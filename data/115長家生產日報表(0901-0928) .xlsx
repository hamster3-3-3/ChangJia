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1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/>
  <xr:revisionPtr revIDLastSave="0" documentId="13_ncr:1_{448A5CB3-C7F8-4489-A8C4-C8BBD3F41752}" xr6:coauthVersionLast="47" xr6:coauthVersionMax="47" xr10:uidLastSave="{00000000-0000-0000-0000-000000000000}"/>
  <bookViews>
    <workbookView xWindow="-120" yWindow="-120" windowWidth="29040" windowHeight="15720" tabRatio="826" firstSheet="43" activeTab="58" xr2:uid="{00000000-000D-0000-FFFF-FFFF00000000}"/>
  </bookViews>
  <sheets>
    <sheet name="廠價表" sheetId="5" r:id="rId1"/>
    <sheet name="產線配置圖" sheetId="4" r:id="rId2"/>
    <sheet name="範本總" sheetId="2" state="hidden" r:id="rId3"/>
    <sheet name="範本" sheetId="3" state="hidden" r:id="rId4"/>
    <sheet name="0901總" sheetId="68" r:id="rId5"/>
    <sheet name="0901" sheetId="69" r:id="rId6"/>
    <sheet name="0902總" sheetId="70" r:id="rId7"/>
    <sheet name="0902" sheetId="71" r:id="rId8"/>
    <sheet name="0903總" sheetId="72" r:id="rId9"/>
    <sheet name="0903" sheetId="73" r:id="rId10"/>
    <sheet name="0904總" sheetId="74" r:id="rId11"/>
    <sheet name="0904" sheetId="75" r:id="rId12"/>
    <sheet name="0905總" sheetId="76" r:id="rId13"/>
    <sheet name="0905" sheetId="77" r:id="rId14"/>
    <sheet name="0906總" sheetId="78" r:id="rId15"/>
    <sheet name="0906" sheetId="79" r:id="rId16"/>
    <sheet name="0907總" sheetId="80" r:id="rId17"/>
    <sheet name="0907" sheetId="81" r:id="rId18"/>
    <sheet name="0908總" sheetId="82" r:id="rId19"/>
    <sheet name="0908" sheetId="83" r:id="rId20"/>
    <sheet name="0909總" sheetId="84" r:id="rId21"/>
    <sheet name="0909" sheetId="85" r:id="rId22"/>
    <sheet name="0910總" sheetId="86" r:id="rId23"/>
    <sheet name="0910" sheetId="87" r:id="rId24"/>
    <sheet name="0911總" sheetId="88" r:id="rId25"/>
    <sheet name="0911" sheetId="89" r:id="rId26"/>
    <sheet name="0912總" sheetId="90" r:id="rId27"/>
    <sheet name="0912" sheetId="91" r:id="rId28"/>
    <sheet name="0913總" sheetId="92" r:id="rId29"/>
    <sheet name="0913" sheetId="93" r:id="rId30"/>
    <sheet name="0914總" sheetId="94" r:id="rId31"/>
    <sheet name="0914" sheetId="95" r:id="rId32"/>
    <sheet name="0915總" sheetId="128" r:id="rId33"/>
    <sheet name="0915" sheetId="129" r:id="rId34"/>
    <sheet name="0916總" sheetId="130" r:id="rId35"/>
    <sheet name="0916" sheetId="131" r:id="rId36"/>
    <sheet name="0917總" sheetId="100" r:id="rId37"/>
    <sheet name="0917" sheetId="101" r:id="rId38"/>
    <sheet name="0918總" sheetId="102" r:id="rId39"/>
    <sheet name="0918" sheetId="103" r:id="rId40"/>
    <sheet name="0919總" sheetId="104" r:id="rId41"/>
    <sheet name="0919" sheetId="105" r:id="rId42"/>
    <sheet name="0920總" sheetId="106" r:id="rId43"/>
    <sheet name="0920" sheetId="107" r:id="rId44"/>
    <sheet name="0921總" sheetId="108" r:id="rId45"/>
    <sheet name="0921" sheetId="109" r:id="rId46"/>
    <sheet name="0922總" sheetId="110" r:id="rId47"/>
    <sheet name="0922" sheetId="111" r:id="rId48"/>
    <sheet name="0923總" sheetId="112" r:id="rId49"/>
    <sheet name="0923" sheetId="113" r:id="rId50"/>
    <sheet name="0924總" sheetId="114" r:id="rId51"/>
    <sheet name="0924" sheetId="115" r:id="rId52"/>
    <sheet name="0925總" sheetId="116" r:id="rId53"/>
    <sheet name="0925" sheetId="117" r:id="rId54"/>
    <sheet name="0926總" sheetId="118" r:id="rId55"/>
    <sheet name="0926" sheetId="119" r:id="rId56"/>
    <sheet name="0927總" sheetId="120" r:id="rId57"/>
    <sheet name="0927" sheetId="121" r:id="rId58"/>
    <sheet name="0928總" sheetId="122" r:id="rId59"/>
    <sheet name="0928" sheetId="123" r:id="rId60"/>
    <sheet name="0929總" sheetId="124" r:id="rId61"/>
    <sheet name="0929" sheetId="125" r:id="rId62"/>
    <sheet name="0930總" sheetId="126" r:id="rId63"/>
    <sheet name="0930" sheetId="127" r:id="rId64"/>
  </sheets>
  <externalReferences>
    <externalReference r:id="rId65"/>
  </externalReferences>
  <definedNames>
    <definedName name="_xlnm._FilterDatabase" localSheetId="5">'0901'!$A$4:$AJ$79</definedName>
    <definedName name="_xlnm._FilterDatabase" localSheetId="4">'0901總'!$B$10:$J$25</definedName>
    <definedName name="_xlnm._FilterDatabase" localSheetId="7">'0902'!$A$4:$AJ$79</definedName>
    <definedName name="_xlnm._FilterDatabase" localSheetId="6">'0902總'!$B$10:$J$25</definedName>
    <definedName name="_xlnm._FilterDatabase" localSheetId="9">'0903'!$A$4:$AJ$79</definedName>
    <definedName name="_xlnm._FilterDatabase" localSheetId="8">'0903總'!$B$10:$J$25</definedName>
    <definedName name="_xlnm._FilterDatabase" localSheetId="11">'0904'!$A$4:$AJ$79</definedName>
    <definedName name="_xlnm._FilterDatabase" localSheetId="10">'0904總'!$B$10:$J$25</definedName>
    <definedName name="_xlnm._FilterDatabase" localSheetId="13">'0905'!$A$4:$AJ$79</definedName>
    <definedName name="_xlnm._FilterDatabase" localSheetId="12">'0905總'!$B$10:$J$25</definedName>
    <definedName name="_xlnm._FilterDatabase" localSheetId="15">'0906'!$A$4:$AJ$79</definedName>
    <definedName name="_xlnm._FilterDatabase" localSheetId="14">'0906總'!$B$10:$J$25</definedName>
    <definedName name="_xlnm._FilterDatabase" localSheetId="17">'0907'!$A$4:$AJ$79</definedName>
    <definedName name="_xlnm._FilterDatabase" localSheetId="16">'0907總'!$B$10:$J$25</definedName>
    <definedName name="_xlnm._FilterDatabase" localSheetId="19">'0908'!$A$4:$AJ$79</definedName>
    <definedName name="_xlnm._FilterDatabase" localSheetId="18">'0908總'!$B$10:$J$25</definedName>
    <definedName name="_xlnm._FilterDatabase" localSheetId="21">'0909'!$A$4:$AJ$79</definedName>
    <definedName name="_xlnm._FilterDatabase" localSheetId="20">'0909總'!$B$10:$J$25</definedName>
    <definedName name="_xlnm._FilterDatabase" localSheetId="23">'0910'!$A$4:$AJ$79</definedName>
    <definedName name="_xlnm._FilterDatabase" localSheetId="22">'0910總'!$B$10:$J$25</definedName>
    <definedName name="_xlnm._FilterDatabase" localSheetId="25">'0911'!$A$4:$AJ$79</definedName>
    <definedName name="_xlnm._FilterDatabase" localSheetId="24">'0911總'!$B$10:$J$25</definedName>
    <definedName name="_xlnm._FilterDatabase" localSheetId="27">'0912'!$A$4:$AJ$79</definedName>
    <definedName name="_xlnm._FilterDatabase" localSheetId="26">'0912總'!$B$10:$J$25</definedName>
    <definedName name="_xlnm._FilterDatabase" localSheetId="29">'0913'!$A$4:$AJ$79</definedName>
    <definedName name="_xlnm._FilterDatabase" localSheetId="28">'0913總'!$B$10:$J$25</definedName>
    <definedName name="_xlnm._FilterDatabase" localSheetId="31">'0914'!$A$4:$AJ$79</definedName>
    <definedName name="_xlnm._FilterDatabase" localSheetId="30">'0914總'!$B$10:$J$25</definedName>
    <definedName name="_xlnm._FilterDatabase" localSheetId="33">'0915'!$A$4:$AJ$79</definedName>
    <definedName name="_xlnm._FilterDatabase" localSheetId="32">'0915總'!$B$10:$J$25</definedName>
    <definedName name="_xlnm._FilterDatabase" localSheetId="35">'0916'!$A$4:$AJ$78</definedName>
    <definedName name="_xlnm._FilterDatabase" localSheetId="34">'0916總'!$B$10:$J$25</definedName>
    <definedName name="_xlnm._FilterDatabase" localSheetId="37">'0917'!$A$4:$AJ$79</definedName>
    <definedName name="_xlnm._FilterDatabase" localSheetId="36">'0917總'!$B$10:$J$25</definedName>
    <definedName name="_xlnm._FilterDatabase" localSheetId="39">'0918'!$A$4:$AJ$79</definedName>
    <definedName name="_xlnm._FilterDatabase" localSheetId="38">'0918總'!$B$10:$J$25</definedName>
    <definedName name="_xlnm._FilterDatabase" localSheetId="41">'0919'!$A$4:$AJ$79</definedName>
    <definedName name="_xlnm._FilterDatabase" localSheetId="40">'0919總'!$B$10:$J$25</definedName>
    <definedName name="_xlnm._FilterDatabase" localSheetId="43">'0920'!$A$4:$AJ$79</definedName>
    <definedName name="_xlnm._FilterDatabase" localSheetId="42">'0920總'!$B$10:$J$25</definedName>
    <definedName name="_xlnm._FilterDatabase" localSheetId="45">'0921'!$A$4:$AJ$79</definedName>
    <definedName name="_xlnm._FilterDatabase" localSheetId="44">'0921總'!$B$10:$J$25</definedName>
    <definedName name="_xlnm._FilterDatabase" localSheetId="47">'0922'!$A$4:$AJ$79</definedName>
    <definedName name="_xlnm._FilterDatabase" localSheetId="46">'0922總'!$B$10:$J$25</definedName>
    <definedName name="_xlnm._FilterDatabase" localSheetId="49">'0923'!$A$4:$AJ$79</definedName>
    <definedName name="_xlnm._FilterDatabase" localSheetId="48">'0923總'!$B$10:$J$25</definedName>
    <definedName name="_xlnm._FilterDatabase" localSheetId="51">'0924'!$A$4:$AJ$79</definedName>
    <definedName name="_xlnm._FilterDatabase" localSheetId="50">'0924總'!$B$10:$J$25</definedName>
    <definedName name="_xlnm._FilterDatabase" localSheetId="53">'0925'!$A$4:$AJ$79</definedName>
    <definedName name="_xlnm._FilterDatabase" localSheetId="52">'0925總'!$B$10:$J$25</definedName>
    <definedName name="_xlnm._FilterDatabase" localSheetId="55">'0926'!$A$4:$AJ$79</definedName>
    <definedName name="_xlnm._FilterDatabase" localSheetId="54">'0926總'!$B$10:$J$25</definedName>
    <definedName name="_xlnm._FilterDatabase" localSheetId="57">'0927'!$A$4:$AJ$79</definedName>
    <definedName name="_xlnm._FilterDatabase" localSheetId="56">'0927總'!$B$10:$J$25</definedName>
    <definedName name="_xlnm._FilterDatabase" localSheetId="59">'0928'!$A$4:$AJ$79</definedName>
    <definedName name="_xlnm._FilterDatabase" localSheetId="58">'0928總'!$B$10:$J$25</definedName>
    <definedName name="_xlnm._FilterDatabase" localSheetId="61">'0929'!$A$4:$AJ$79</definedName>
    <definedName name="_xlnm._FilterDatabase" localSheetId="60">'0929總'!$B$10:$J$25</definedName>
    <definedName name="_xlnm._FilterDatabase" localSheetId="63">'0930'!$A$4:$AJ$79</definedName>
    <definedName name="_xlnm._FilterDatabase" localSheetId="62">'0930總'!$B$10:$J$25</definedName>
    <definedName name="_xlnm._FilterDatabase" localSheetId="3" hidden="1">範本!$A$4:$AJ$79</definedName>
    <definedName name="_xlnm._FilterDatabase" localSheetId="2" hidden="1">範本總!$B$10:$J$25</definedName>
    <definedName name="_xlnm.Print_Area" localSheetId="5">'0901'!$A$1:$AH$79</definedName>
    <definedName name="_xlnm.Print_Area" localSheetId="7">'0902'!$A$1:$AH$79</definedName>
    <definedName name="_xlnm.Print_Area" localSheetId="9">'0903'!$A$1:$AH$79</definedName>
    <definedName name="_xlnm.Print_Area" localSheetId="11">'0904'!$A$1:$AH$79</definedName>
    <definedName name="_xlnm.Print_Area" localSheetId="13">'0905'!$A$1:$AH$79</definedName>
    <definedName name="_xlnm.Print_Area" localSheetId="15">'0906'!$A$1:$AH$79</definedName>
    <definedName name="_xlnm.Print_Area" localSheetId="17">'0907'!$A$1:$AH$79</definedName>
    <definedName name="_xlnm.Print_Area" localSheetId="19">'0908'!$A$1:$AH$79</definedName>
    <definedName name="_xlnm.Print_Area" localSheetId="21">'0909'!$A$1:$AH$79</definedName>
    <definedName name="_xlnm.Print_Area" localSheetId="23">'0910'!$A$1:$AH$79</definedName>
    <definedName name="_xlnm.Print_Area" localSheetId="25">'0911'!$A$1:$AH$79</definedName>
    <definedName name="_xlnm.Print_Area" localSheetId="27">'0912'!$A$1:$AH$79</definedName>
    <definedName name="_xlnm.Print_Area" localSheetId="29">'0913'!$A$1:$AH$79</definedName>
    <definedName name="_xlnm.Print_Area" localSheetId="31">'0914'!$A$1:$AH$79</definedName>
    <definedName name="_xlnm.Print_Area" localSheetId="33">'0915'!$A$1:$AH$79</definedName>
    <definedName name="_xlnm.Print_Area" localSheetId="35">'0916'!$A$1:$AH$78</definedName>
    <definedName name="_xlnm.Print_Area" localSheetId="37">'0917'!$A$1:$AH$79</definedName>
    <definedName name="_xlnm.Print_Area" localSheetId="39">'0918'!$A$1:$AH$79</definedName>
    <definedName name="_xlnm.Print_Area" localSheetId="41">'0919'!$A$1:$AH$79</definedName>
    <definedName name="_xlnm.Print_Area" localSheetId="43">'0920'!$A$1:$AH$79</definedName>
    <definedName name="_xlnm.Print_Area" localSheetId="45">'0921'!$A$1:$AH$79</definedName>
    <definedName name="_xlnm.Print_Area" localSheetId="47">'0922'!$A$1:$AH$79</definedName>
    <definedName name="_xlnm.Print_Area" localSheetId="49">'0923'!$A$1:$AH$79</definedName>
    <definedName name="_xlnm.Print_Area" localSheetId="51">'0924'!$A$1:$AH$79</definedName>
    <definedName name="_xlnm.Print_Area" localSheetId="53">'0925'!$A$1:$AH$79</definedName>
    <definedName name="_xlnm.Print_Area" localSheetId="55">'0926'!$A$1:$AH$79</definedName>
    <definedName name="_xlnm.Print_Area" localSheetId="57">'0927'!$A$1:$AH$79</definedName>
    <definedName name="_xlnm.Print_Area" localSheetId="59">'0928'!$A$1:$AH$79</definedName>
    <definedName name="_xlnm.Print_Area" localSheetId="61">'0929'!$A$1:$AH$79</definedName>
    <definedName name="_xlnm.Print_Area" localSheetId="63">'0930'!$A$1:$AH$79</definedName>
    <definedName name="_xlnm.Print_Area" localSheetId="3">範本!$A$1:$AH$79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2" i="123" l="1"/>
  <c r="V53" i="123"/>
  <c r="V73" i="123" l="1"/>
  <c r="V72" i="123"/>
  <c r="V71" i="123"/>
  <c r="P73" i="123"/>
  <c r="P72" i="123"/>
  <c r="P71" i="123"/>
  <c r="K73" i="123"/>
  <c r="L73" i="123" s="1"/>
  <c r="H73" i="123"/>
  <c r="K72" i="123"/>
  <c r="L72" i="123"/>
  <c r="H72" i="123"/>
  <c r="K71" i="123"/>
  <c r="L71" i="123" s="1"/>
  <c r="H71" i="123"/>
  <c r="F73" i="123"/>
  <c r="F72" i="123"/>
  <c r="F71" i="123"/>
  <c r="V62" i="123"/>
  <c r="V63" i="123"/>
  <c r="N62" i="123"/>
  <c r="O62" i="123" s="1"/>
  <c r="P62" i="123"/>
  <c r="P63" i="123"/>
  <c r="H62" i="123"/>
  <c r="J62" i="123"/>
  <c r="K62" i="123"/>
  <c r="L62" i="123" s="1"/>
  <c r="H63" i="123"/>
  <c r="J63" i="123"/>
  <c r="K63" i="123"/>
  <c r="L63" i="123"/>
  <c r="F61" i="123"/>
  <c r="H61" i="123" s="1"/>
  <c r="F62" i="123"/>
  <c r="F63" i="123"/>
  <c r="P52" i="123"/>
  <c r="P53" i="123"/>
  <c r="H52" i="123"/>
  <c r="J52" i="123"/>
  <c r="K52" i="123"/>
  <c r="L52" i="123" s="1"/>
  <c r="H53" i="123"/>
  <c r="J53" i="123"/>
  <c r="K53" i="123"/>
  <c r="L53" i="123"/>
  <c r="F51" i="123"/>
  <c r="F52" i="123"/>
  <c r="F53" i="123"/>
  <c r="H30" i="123"/>
  <c r="J30" i="123"/>
  <c r="K30" i="123"/>
  <c r="L30" i="123"/>
  <c r="H31" i="123"/>
  <c r="J31" i="123"/>
  <c r="P31" i="123" s="1"/>
  <c r="K31" i="123"/>
  <c r="L31" i="123" s="1"/>
  <c r="F30" i="123"/>
  <c r="F31" i="123"/>
  <c r="P30" i="123"/>
  <c r="V30" i="123"/>
  <c r="V31" i="123"/>
  <c r="N8" i="123"/>
  <c r="O8" i="123" s="1"/>
  <c r="P8" i="123"/>
  <c r="H8" i="123"/>
  <c r="J8" i="123"/>
  <c r="J15" i="123" s="1"/>
  <c r="P15" i="123" s="1"/>
  <c r="K8" i="123"/>
  <c r="L8" i="123" s="1"/>
  <c r="F8" i="123"/>
  <c r="V8" i="123"/>
  <c r="AE79" i="127"/>
  <c r="AD79" i="127"/>
  <c r="AA79" i="127"/>
  <c r="Z79" i="127"/>
  <c r="M79" i="127"/>
  <c r="W78" i="127"/>
  <c r="H78" i="127"/>
  <c r="W77" i="127"/>
  <c r="H77" i="127"/>
  <c r="W76" i="127"/>
  <c r="H76" i="127"/>
  <c r="W75" i="127"/>
  <c r="H75" i="127"/>
  <c r="W74" i="127"/>
  <c r="W73" i="127"/>
  <c r="W72" i="127"/>
  <c r="W71" i="127"/>
  <c r="W70" i="127"/>
  <c r="N70" i="127" s="1"/>
  <c r="K70" i="127"/>
  <c r="K79" i="127" s="1"/>
  <c r="J70" i="127"/>
  <c r="J79" i="127" s="1"/>
  <c r="F70" i="127"/>
  <c r="H70" i="127" s="1"/>
  <c r="B70" i="127"/>
  <c r="AE69" i="127"/>
  <c r="AD69" i="127"/>
  <c r="AA69" i="127"/>
  <c r="Z69" i="127"/>
  <c r="M69" i="127"/>
  <c r="I22" i="126" s="1"/>
  <c r="W68" i="127"/>
  <c r="H68" i="127"/>
  <c r="W67" i="127"/>
  <c r="W66" i="127"/>
  <c r="W65" i="127"/>
  <c r="W64" i="127"/>
  <c r="W63" i="127"/>
  <c r="AG62" i="127"/>
  <c r="AF62" i="127"/>
  <c r="W62" i="127"/>
  <c r="W61" i="127"/>
  <c r="N61" i="127" s="1"/>
  <c r="V61" i="127"/>
  <c r="L61" i="127"/>
  <c r="K61" i="127"/>
  <c r="J61" i="127"/>
  <c r="P61" i="127" s="1"/>
  <c r="F61" i="127"/>
  <c r="H61" i="127" s="1"/>
  <c r="B61" i="127"/>
  <c r="W60" i="127"/>
  <c r="V60" i="127"/>
  <c r="P60" i="127"/>
  <c r="N60" i="127"/>
  <c r="AF60" i="127" s="1"/>
  <c r="K60" i="127"/>
  <c r="L60" i="127" s="1"/>
  <c r="J60" i="127"/>
  <c r="F60" i="127"/>
  <c r="H60" i="127" s="1"/>
  <c r="B60" i="127"/>
  <c r="W59" i="127"/>
  <c r="N59" i="127" s="1"/>
  <c r="P59" i="127"/>
  <c r="K59" i="127"/>
  <c r="L59" i="127" s="1"/>
  <c r="L69" i="127" s="1"/>
  <c r="I13" i="126" s="1"/>
  <c r="J6" i="126" s="1"/>
  <c r="J59" i="127"/>
  <c r="J69" i="127" s="1"/>
  <c r="P69" i="127" s="1"/>
  <c r="H59" i="127"/>
  <c r="F59" i="127"/>
  <c r="B59" i="127"/>
  <c r="AE58" i="127"/>
  <c r="AD58" i="127"/>
  <c r="AA58" i="127"/>
  <c r="Z58" i="127"/>
  <c r="M58" i="127"/>
  <c r="K58" i="127"/>
  <c r="W57" i="127"/>
  <c r="W56" i="127"/>
  <c r="W55" i="127"/>
  <c r="W54" i="127"/>
  <c r="AG53" i="127"/>
  <c r="AF53" i="127"/>
  <c r="W53" i="127"/>
  <c r="AG52" i="127"/>
  <c r="AF52" i="127"/>
  <c r="W52" i="127"/>
  <c r="V52" i="127"/>
  <c r="W51" i="127"/>
  <c r="N51" i="127" s="1"/>
  <c r="V51" i="127"/>
  <c r="O51" i="127"/>
  <c r="K51" i="127"/>
  <c r="J51" i="127"/>
  <c r="P51" i="127" s="1"/>
  <c r="F51" i="127"/>
  <c r="H51" i="127" s="1"/>
  <c r="B51" i="127"/>
  <c r="W50" i="127"/>
  <c r="V50" i="127"/>
  <c r="P50" i="127"/>
  <c r="N50" i="127"/>
  <c r="K50" i="127"/>
  <c r="L50" i="127" s="1"/>
  <c r="J50" i="127"/>
  <c r="F50" i="127"/>
  <c r="H50" i="127" s="1"/>
  <c r="B50" i="127"/>
  <c r="AG49" i="127"/>
  <c r="W49" i="127"/>
  <c r="N49" i="127" s="1"/>
  <c r="P49" i="127"/>
  <c r="K49" i="127"/>
  <c r="L49" i="127" s="1"/>
  <c r="L58" i="127" s="1"/>
  <c r="J49" i="127"/>
  <c r="J58" i="127" s="1"/>
  <c r="H49" i="127"/>
  <c r="F49" i="127"/>
  <c r="B49" i="127"/>
  <c r="AE48" i="127"/>
  <c r="AD48" i="127"/>
  <c r="G20" i="126" s="1"/>
  <c r="AA48" i="127"/>
  <c r="Z48" i="127"/>
  <c r="W48" i="127"/>
  <c r="P48" i="127"/>
  <c r="M48" i="127"/>
  <c r="G22" i="126" s="1"/>
  <c r="L48" i="127"/>
  <c r="G13" i="126" s="1"/>
  <c r="J48" i="127"/>
  <c r="W47" i="127"/>
  <c r="H47" i="127"/>
  <c r="W46" i="127"/>
  <c r="W45" i="127"/>
  <c r="W44" i="127"/>
  <c r="W43" i="127"/>
  <c r="W42" i="127"/>
  <c r="AG41" i="127"/>
  <c r="AF41" i="127"/>
  <c r="W41" i="127"/>
  <c r="W40" i="127"/>
  <c r="N40" i="127" s="1"/>
  <c r="AG40" i="127" s="1"/>
  <c r="V40" i="127"/>
  <c r="O40" i="127"/>
  <c r="K40" i="127"/>
  <c r="J40" i="127"/>
  <c r="F40" i="127"/>
  <c r="H40" i="127" s="1"/>
  <c r="B40" i="127"/>
  <c r="W39" i="127"/>
  <c r="V39" i="127"/>
  <c r="P39" i="127"/>
  <c r="N39" i="127"/>
  <c r="K39" i="127"/>
  <c r="L39" i="127" s="1"/>
  <c r="J39" i="127"/>
  <c r="F39" i="127"/>
  <c r="H39" i="127" s="1"/>
  <c r="B39" i="127"/>
  <c r="AG38" i="127"/>
  <c r="W38" i="127"/>
  <c r="N38" i="127" s="1"/>
  <c r="P38" i="127"/>
  <c r="K38" i="127"/>
  <c r="L38" i="127" s="1"/>
  <c r="J38" i="127"/>
  <c r="H38" i="127"/>
  <c r="F38" i="127"/>
  <c r="B38" i="127"/>
  <c r="AE37" i="127"/>
  <c r="AD37" i="127"/>
  <c r="AA37" i="127"/>
  <c r="F19" i="126" s="1"/>
  <c r="Z37" i="127"/>
  <c r="M37" i="127"/>
  <c r="W36" i="127"/>
  <c r="H36" i="127"/>
  <c r="W35" i="127"/>
  <c r="W34" i="127"/>
  <c r="W33" i="127"/>
  <c r="W32" i="127"/>
  <c r="AG31" i="127"/>
  <c r="AF31" i="127"/>
  <c r="W31" i="127"/>
  <c r="AG30" i="127"/>
  <c r="AF30" i="127"/>
  <c r="W30" i="127"/>
  <c r="V30" i="127"/>
  <c r="AG29" i="127"/>
  <c r="W29" i="127"/>
  <c r="V29" i="127"/>
  <c r="O29" i="127"/>
  <c r="N29" i="127"/>
  <c r="AF29" i="127" s="1"/>
  <c r="L29" i="127"/>
  <c r="K29" i="127"/>
  <c r="J29" i="127"/>
  <c r="P29" i="127" s="1"/>
  <c r="H29" i="127"/>
  <c r="F29" i="127"/>
  <c r="B29" i="127"/>
  <c r="W28" i="127"/>
  <c r="N28" i="127" s="1"/>
  <c r="V28" i="127"/>
  <c r="P28" i="127"/>
  <c r="L28" i="127"/>
  <c r="K28" i="127"/>
  <c r="J28" i="127"/>
  <c r="H28" i="127"/>
  <c r="F28" i="127"/>
  <c r="B28" i="127"/>
  <c r="W27" i="127"/>
  <c r="N27" i="127" s="1"/>
  <c r="P27" i="127"/>
  <c r="K27" i="127"/>
  <c r="J27" i="127"/>
  <c r="J37" i="127" s="1"/>
  <c r="H27" i="127"/>
  <c r="F27" i="127"/>
  <c r="B27" i="127"/>
  <c r="AE26" i="127"/>
  <c r="E21" i="126" s="1"/>
  <c r="AD26" i="127"/>
  <c r="AA26" i="127"/>
  <c r="Z26" i="127"/>
  <c r="M26" i="127"/>
  <c r="K26" i="127"/>
  <c r="W25" i="127"/>
  <c r="H25" i="127"/>
  <c r="W24" i="127"/>
  <c r="H24" i="127"/>
  <c r="W23" i="127"/>
  <c r="W21" i="127"/>
  <c r="W20" i="127"/>
  <c r="V20" i="127"/>
  <c r="AG19" i="127"/>
  <c r="AF19" i="127"/>
  <c r="W19" i="127"/>
  <c r="V19" i="127"/>
  <c r="W18" i="127"/>
  <c r="V18" i="127"/>
  <c r="N18" i="127"/>
  <c r="K18" i="127"/>
  <c r="J18" i="127"/>
  <c r="P18" i="127" s="1"/>
  <c r="H18" i="127"/>
  <c r="F18" i="127"/>
  <c r="B18" i="127"/>
  <c r="W17" i="127"/>
  <c r="V17" i="127"/>
  <c r="N17" i="127"/>
  <c r="L17" i="127"/>
  <c r="K17" i="127"/>
  <c r="J17" i="127"/>
  <c r="P17" i="127" s="1"/>
  <c r="F17" i="127"/>
  <c r="H17" i="127" s="1"/>
  <c r="B17" i="127"/>
  <c r="W16" i="127"/>
  <c r="N16" i="127" s="1"/>
  <c r="O16" i="127"/>
  <c r="K16" i="127"/>
  <c r="J16" i="127"/>
  <c r="F16" i="127"/>
  <c r="H16" i="127" s="1"/>
  <c r="B16" i="127"/>
  <c r="AE15" i="127"/>
  <c r="D21" i="126" s="1"/>
  <c r="AD15" i="127"/>
  <c r="AA15" i="127"/>
  <c r="D19" i="126" s="1"/>
  <c r="Z15" i="127"/>
  <c r="M15" i="127"/>
  <c r="L15" i="127"/>
  <c r="D13" i="126" s="1"/>
  <c r="F6" i="126" s="1"/>
  <c r="K15" i="127"/>
  <c r="J15" i="127"/>
  <c r="P15" i="127" s="1"/>
  <c r="W14" i="127"/>
  <c r="W13" i="127"/>
  <c r="W12" i="127"/>
  <c r="AG11" i="127"/>
  <c r="AF11" i="127"/>
  <c r="W11" i="127"/>
  <c r="AG10" i="127"/>
  <c r="AF10" i="127"/>
  <c r="W10" i="127"/>
  <c r="AG9" i="127"/>
  <c r="AF9" i="127"/>
  <c r="W9" i="127"/>
  <c r="AG8" i="127"/>
  <c r="AF8" i="127"/>
  <c r="W8" i="127"/>
  <c r="W7" i="127"/>
  <c r="N7" i="127" s="1"/>
  <c r="V7" i="127"/>
  <c r="P7" i="127"/>
  <c r="K7" i="127"/>
  <c r="L7" i="127" s="1"/>
  <c r="J7" i="127"/>
  <c r="H7" i="127"/>
  <c r="F7" i="127"/>
  <c r="B7" i="127"/>
  <c r="W6" i="127"/>
  <c r="N6" i="127" s="1"/>
  <c r="V6" i="127"/>
  <c r="O6" i="127"/>
  <c r="K6" i="127"/>
  <c r="J6" i="127"/>
  <c r="P6" i="127" s="1"/>
  <c r="F6" i="127"/>
  <c r="H6" i="127" s="1"/>
  <c r="B6" i="127"/>
  <c r="AG5" i="127"/>
  <c r="AF5" i="127"/>
  <c r="W5" i="127"/>
  <c r="O5" i="127"/>
  <c r="N5" i="127"/>
  <c r="L5" i="127"/>
  <c r="K5" i="127"/>
  <c r="J5" i="127"/>
  <c r="P5" i="127" s="1"/>
  <c r="F5" i="127"/>
  <c r="H5" i="127" s="1"/>
  <c r="B5" i="127"/>
  <c r="AE2" i="127"/>
  <c r="O6" i="126" s="1"/>
  <c r="AA2" i="127"/>
  <c r="M6" i="126" s="1"/>
  <c r="I2" i="127"/>
  <c r="G1" i="127"/>
  <c r="E1" i="127"/>
  <c r="G3" i="126" s="1"/>
  <c r="J22" i="126"/>
  <c r="H22" i="126"/>
  <c r="D22" i="126"/>
  <c r="J21" i="126"/>
  <c r="I21" i="126"/>
  <c r="H21" i="126"/>
  <c r="G21" i="126"/>
  <c r="F21" i="126"/>
  <c r="J20" i="126"/>
  <c r="I20" i="126"/>
  <c r="H20" i="126"/>
  <c r="F20" i="126"/>
  <c r="D20" i="126"/>
  <c r="J19" i="126"/>
  <c r="I19" i="126"/>
  <c r="H19" i="126"/>
  <c r="G19" i="126"/>
  <c r="E19" i="126"/>
  <c r="J18" i="126"/>
  <c r="I18" i="126"/>
  <c r="H18" i="126"/>
  <c r="G18" i="126"/>
  <c r="F18" i="126"/>
  <c r="D18" i="126"/>
  <c r="J16" i="126"/>
  <c r="I16" i="126"/>
  <c r="H16" i="126"/>
  <c r="G16" i="126"/>
  <c r="F16" i="126"/>
  <c r="E16" i="126"/>
  <c r="D16" i="126"/>
  <c r="H13" i="126"/>
  <c r="H6" i="126"/>
  <c r="AE79" i="125"/>
  <c r="J21" i="124" s="1"/>
  <c r="AD79" i="125"/>
  <c r="AA79" i="125"/>
  <c r="J18" i="124" s="1"/>
  <c r="Z79" i="125"/>
  <c r="M79" i="125"/>
  <c r="J79" i="125"/>
  <c r="P79" i="125" s="1"/>
  <c r="W78" i="125"/>
  <c r="H78" i="125"/>
  <c r="W77" i="125"/>
  <c r="H77" i="125"/>
  <c r="W76" i="125"/>
  <c r="H76" i="125"/>
  <c r="W75" i="125"/>
  <c r="H75" i="125"/>
  <c r="W74" i="125"/>
  <c r="W73" i="125"/>
  <c r="W72" i="125"/>
  <c r="W71" i="125"/>
  <c r="W70" i="125"/>
  <c r="P70" i="125"/>
  <c r="N70" i="125"/>
  <c r="K70" i="125"/>
  <c r="J70" i="125"/>
  <c r="H70" i="125"/>
  <c r="F70" i="125"/>
  <c r="B70" i="125"/>
  <c r="AE69" i="125"/>
  <c r="AD69" i="125"/>
  <c r="I20" i="124" s="1"/>
  <c r="AA69" i="125"/>
  <c r="I19" i="124" s="1"/>
  <c r="Z69" i="125"/>
  <c r="Z2" i="125" s="1"/>
  <c r="L6" i="124" s="1"/>
  <c r="M69" i="125"/>
  <c r="K69" i="125"/>
  <c r="W68" i="125"/>
  <c r="H68" i="125"/>
  <c r="W67" i="125"/>
  <c r="W66" i="125"/>
  <c r="W65" i="125"/>
  <c r="W64" i="125"/>
  <c r="W63" i="125"/>
  <c r="AG62" i="125"/>
  <c r="AF62" i="125"/>
  <c r="W62" i="125"/>
  <c r="W61" i="125"/>
  <c r="N61" i="125" s="1"/>
  <c r="V61" i="125"/>
  <c r="P61" i="125"/>
  <c r="K61" i="125"/>
  <c r="L61" i="125" s="1"/>
  <c r="J61" i="125"/>
  <c r="H61" i="125"/>
  <c r="F61" i="125"/>
  <c r="B61" i="125"/>
  <c r="AF60" i="125"/>
  <c r="W60" i="125"/>
  <c r="N60" i="125" s="1"/>
  <c r="V60" i="125"/>
  <c r="P60" i="125"/>
  <c r="L60" i="125"/>
  <c r="K60" i="125"/>
  <c r="J60" i="125"/>
  <c r="F60" i="125"/>
  <c r="H60" i="125" s="1"/>
  <c r="B60" i="125"/>
  <c r="W59" i="125"/>
  <c r="N59" i="125" s="1"/>
  <c r="K59" i="125"/>
  <c r="J59" i="125"/>
  <c r="F59" i="125"/>
  <c r="H59" i="125" s="1"/>
  <c r="B59" i="125"/>
  <c r="AE58" i="125"/>
  <c r="H21" i="124" s="1"/>
  <c r="AD58" i="125"/>
  <c r="AA58" i="125"/>
  <c r="H19" i="124" s="1"/>
  <c r="Z58" i="125"/>
  <c r="M58" i="125"/>
  <c r="H22" i="124" s="1"/>
  <c r="J58" i="125"/>
  <c r="W57" i="125"/>
  <c r="W56" i="125"/>
  <c r="W55" i="125"/>
  <c r="W54" i="125"/>
  <c r="AG53" i="125"/>
  <c r="AF53" i="125"/>
  <c r="W53" i="125"/>
  <c r="AG52" i="125"/>
  <c r="AF52" i="125"/>
  <c r="W52" i="125"/>
  <c r="V52" i="125"/>
  <c r="W51" i="125"/>
  <c r="V51" i="125"/>
  <c r="P51" i="125"/>
  <c r="N51" i="125"/>
  <c r="K51" i="125"/>
  <c r="L51" i="125" s="1"/>
  <c r="J51" i="125"/>
  <c r="H51" i="125"/>
  <c r="F51" i="125"/>
  <c r="B51" i="125"/>
  <c r="W50" i="125"/>
  <c r="N50" i="125" s="1"/>
  <c r="V50" i="125"/>
  <c r="P50" i="125"/>
  <c r="O50" i="125"/>
  <c r="K50" i="125"/>
  <c r="J50" i="125"/>
  <c r="L50" i="125" s="1"/>
  <c r="F50" i="125"/>
  <c r="H50" i="125" s="1"/>
  <c r="B50" i="125"/>
  <c r="AF49" i="125"/>
  <c r="W49" i="125"/>
  <c r="N49" i="125" s="1"/>
  <c r="O49" i="125"/>
  <c r="K49" i="125"/>
  <c r="K58" i="125" s="1"/>
  <c r="J49" i="125"/>
  <c r="F49" i="125"/>
  <c r="H49" i="125" s="1"/>
  <c r="B49" i="125"/>
  <c r="AE48" i="125"/>
  <c r="G21" i="124" s="1"/>
  <c r="AD48" i="125"/>
  <c r="AA48" i="125"/>
  <c r="G19" i="124" s="1"/>
  <c r="Z48" i="125"/>
  <c r="W48" i="125"/>
  <c r="M48" i="125"/>
  <c r="K48" i="125"/>
  <c r="W47" i="125"/>
  <c r="H47" i="125"/>
  <c r="W46" i="125"/>
  <c r="W45" i="125"/>
  <c r="W44" i="125"/>
  <c r="W43" i="125"/>
  <c r="W42" i="125"/>
  <c r="AG41" i="125"/>
  <c r="AF41" i="125"/>
  <c r="W41" i="125"/>
  <c r="W40" i="125"/>
  <c r="N40" i="125" s="1"/>
  <c r="V40" i="125"/>
  <c r="P40" i="125"/>
  <c r="L40" i="125"/>
  <c r="K40" i="125"/>
  <c r="J40" i="125"/>
  <c r="H40" i="125"/>
  <c r="F40" i="125"/>
  <c r="B40" i="125"/>
  <c r="W39" i="125"/>
  <c r="N39" i="125" s="1"/>
  <c r="V39" i="125"/>
  <c r="P39" i="125"/>
  <c r="K39" i="125"/>
  <c r="J39" i="125"/>
  <c r="L39" i="125" s="1"/>
  <c r="F39" i="125"/>
  <c r="H39" i="125" s="1"/>
  <c r="B39" i="125"/>
  <c r="AF38" i="125"/>
  <c r="W38" i="125"/>
  <c r="N38" i="125" s="1"/>
  <c r="Q38" i="125"/>
  <c r="O38" i="125"/>
  <c r="L38" i="125"/>
  <c r="L48" i="125" s="1"/>
  <c r="G13" i="124" s="1"/>
  <c r="K38" i="125"/>
  <c r="J38" i="125"/>
  <c r="F38" i="125"/>
  <c r="H38" i="125" s="1"/>
  <c r="B38" i="125"/>
  <c r="AE37" i="125"/>
  <c r="AD37" i="125"/>
  <c r="AA37" i="125"/>
  <c r="F19" i="124" s="1"/>
  <c r="Z37" i="125"/>
  <c r="F18" i="124" s="1"/>
  <c r="N37" i="125"/>
  <c r="M37" i="125"/>
  <c r="W36" i="125"/>
  <c r="H36" i="125"/>
  <c r="W35" i="125"/>
  <c r="W34" i="125"/>
  <c r="W33" i="125"/>
  <c r="W32" i="125"/>
  <c r="AG31" i="125"/>
  <c r="AF31" i="125"/>
  <c r="W31" i="125"/>
  <c r="AG30" i="125"/>
  <c r="AF30" i="125"/>
  <c r="W30" i="125"/>
  <c r="V30" i="125"/>
  <c r="W29" i="125"/>
  <c r="V29" i="125"/>
  <c r="P29" i="125"/>
  <c r="O29" i="125"/>
  <c r="N29" i="125"/>
  <c r="K29" i="125"/>
  <c r="J29" i="125"/>
  <c r="H29" i="125"/>
  <c r="F29" i="125"/>
  <c r="B29" i="125"/>
  <c r="AF28" i="125"/>
  <c r="W28" i="125"/>
  <c r="N28" i="125" s="1"/>
  <c r="AG28" i="125" s="1"/>
  <c r="V28" i="125"/>
  <c r="O28" i="125"/>
  <c r="K28" i="125"/>
  <c r="J28" i="125"/>
  <c r="F28" i="125"/>
  <c r="H28" i="125" s="1"/>
  <c r="B28" i="125"/>
  <c r="AG27" i="125"/>
  <c r="AF27" i="125"/>
  <c r="W27" i="125"/>
  <c r="O27" i="125"/>
  <c r="N27" i="125"/>
  <c r="K27" i="125"/>
  <c r="K37" i="125" s="1"/>
  <c r="J27" i="125"/>
  <c r="H27" i="125"/>
  <c r="F27" i="125"/>
  <c r="B27" i="125"/>
  <c r="AE26" i="125"/>
  <c r="AD26" i="125"/>
  <c r="AA26" i="125"/>
  <c r="E19" i="124" s="1"/>
  <c r="Z26" i="125"/>
  <c r="M26" i="125"/>
  <c r="W25" i="125"/>
  <c r="H25" i="125"/>
  <c r="W24" i="125"/>
  <c r="H24" i="125"/>
  <c r="W23" i="125"/>
  <c r="W21" i="125"/>
  <c r="W20" i="125"/>
  <c r="V20" i="125"/>
  <c r="AG19" i="125"/>
  <c r="AF19" i="125"/>
  <c r="W19" i="125"/>
  <c r="V19" i="125"/>
  <c r="W18" i="125"/>
  <c r="N18" i="125" s="1"/>
  <c r="V18" i="125"/>
  <c r="O18" i="125"/>
  <c r="L18" i="125"/>
  <c r="K18" i="125"/>
  <c r="J18" i="125"/>
  <c r="P18" i="125" s="1"/>
  <c r="F18" i="125"/>
  <c r="H18" i="125" s="1"/>
  <c r="B18" i="125"/>
  <c r="W17" i="125"/>
  <c r="V17" i="125"/>
  <c r="P17" i="125"/>
  <c r="N17" i="125"/>
  <c r="K17" i="125"/>
  <c r="L17" i="125" s="1"/>
  <c r="J17" i="125"/>
  <c r="H17" i="125"/>
  <c r="F17" i="125"/>
  <c r="B17" i="125"/>
  <c r="W16" i="125"/>
  <c r="N16" i="125"/>
  <c r="K16" i="125"/>
  <c r="J16" i="125"/>
  <c r="H16" i="125"/>
  <c r="F16" i="125"/>
  <c r="B16" i="125"/>
  <c r="AE15" i="125"/>
  <c r="AD15" i="125"/>
  <c r="AA15" i="125"/>
  <c r="Z15" i="125"/>
  <c r="D18" i="124" s="1"/>
  <c r="M15" i="125"/>
  <c r="J15" i="125"/>
  <c r="W14" i="125"/>
  <c r="W13" i="125"/>
  <c r="W12" i="125"/>
  <c r="AG11" i="125"/>
  <c r="AF11" i="125"/>
  <c r="W11" i="125"/>
  <c r="AG10" i="125"/>
  <c r="AF10" i="125"/>
  <c r="W10" i="125"/>
  <c r="AG9" i="125"/>
  <c r="AF9" i="125"/>
  <c r="W9" i="125"/>
  <c r="AG8" i="125"/>
  <c r="AF8" i="125"/>
  <c r="W8" i="125"/>
  <c r="AF7" i="125"/>
  <c r="W7" i="125"/>
  <c r="N7" i="125" s="1"/>
  <c r="AG7" i="125" s="1"/>
  <c r="V7" i="125"/>
  <c r="O7" i="125"/>
  <c r="K7" i="125"/>
  <c r="J7" i="125"/>
  <c r="F7" i="125"/>
  <c r="H7" i="125" s="1"/>
  <c r="B7" i="125"/>
  <c r="AG6" i="125"/>
  <c r="W6" i="125"/>
  <c r="V6" i="125"/>
  <c r="P6" i="125"/>
  <c r="N6" i="125"/>
  <c r="K6" i="125"/>
  <c r="J6" i="125"/>
  <c r="H6" i="125"/>
  <c r="F6" i="125"/>
  <c r="B6" i="125"/>
  <c r="W5" i="125"/>
  <c r="P5" i="125"/>
  <c r="N5" i="125"/>
  <c r="K5" i="125"/>
  <c r="J5" i="125"/>
  <c r="H5" i="125"/>
  <c r="G1" i="125" s="1"/>
  <c r="J3" i="124" s="1"/>
  <c r="F5" i="125"/>
  <c r="B5" i="125"/>
  <c r="I2" i="125"/>
  <c r="G2" i="125"/>
  <c r="I1" i="125"/>
  <c r="E1" i="125"/>
  <c r="J22" i="124"/>
  <c r="I22" i="124"/>
  <c r="E22" i="124"/>
  <c r="I21" i="124"/>
  <c r="F21" i="124"/>
  <c r="D21" i="124"/>
  <c r="J20" i="124"/>
  <c r="H20" i="124"/>
  <c r="G20" i="124"/>
  <c r="F20" i="124"/>
  <c r="E20" i="124"/>
  <c r="J19" i="124"/>
  <c r="D19" i="124"/>
  <c r="I18" i="124"/>
  <c r="H18" i="124"/>
  <c r="G18" i="124"/>
  <c r="E18" i="124"/>
  <c r="J16" i="124"/>
  <c r="I16" i="124"/>
  <c r="H16" i="124"/>
  <c r="G16" i="124"/>
  <c r="F16" i="124"/>
  <c r="E16" i="124"/>
  <c r="D16" i="124"/>
  <c r="G3" i="124"/>
  <c r="AE79" i="123"/>
  <c r="J21" i="122" s="1"/>
  <c r="AD79" i="123"/>
  <c r="J20" i="122" s="1"/>
  <c r="AA79" i="123"/>
  <c r="Z79" i="123"/>
  <c r="M79" i="123"/>
  <c r="W78" i="123"/>
  <c r="H78" i="123"/>
  <c r="W77" i="123"/>
  <c r="H77" i="123"/>
  <c r="W76" i="123"/>
  <c r="H76" i="123"/>
  <c r="W75" i="123"/>
  <c r="H75" i="123"/>
  <c r="W74" i="123"/>
  <c r="W73" i="123"/>
  <c r="N73" i="123" s="1"/>
  <c r="O73" i="123" s="1"/>
  <c r="W72" i="123"/>
  <c r="N72" i="123" s="1"/>
  <c r="O72" i="123" s="1"/>
  <c r="W71" i="123"/>
  <c r="N71" i="123" s="1"/>
  <c r="O71" i="123" s="1"/>
  <c r="W70" i="123"/>
  <c r="N70" i="123"/>
  <c r="AF70" i="123" s="1"/>
  <c r="K70" i="123"/>
  <c r="K79" i="123" s="1"/>
  <c r="J70" i="123"/>
  <c r="F70" i="123"/>
  <c r="H70" i="123" s="1"/>
  <c r="AE69" i="123"/>
  <c r="I21" i="122" s="1"/>
  <c r="AD69" i="123"/>
  <c r="AA69" i="123"/>
  <c r="Z69" i="123"/>
  <c r="M69" i="123"/>
  <c r="W68" i="123"/>
  <c r="H68" i="123"/>
  <c r="W67" i="123"/>
  <c r="W66" i="123"/>
  <c r="W65" i="123"/>
  <c r="W64" i="123"/>
  <c r="W63" i="123"/>
  <c r="N63" i="123" s="1"/>
  <c r="O63" i="123" s="1"/>
  <c r="Q63" i="123" s="1"/>
  <c r="AF62" i="123"/>
  <c r="W62" i="123"/>
  <c r="W61" i="123"/>
  <c r="N61" i="123" s="1"/>
  <c r="V61" i="123"/>
  <c r="K61" i="123"/>
  <c r="J61" i="123"/>
  <c r="P61" i="123" s="1"/>
  <c r="W60" i="123"/>
  <c r="N60" i="123" s="1"/>
  <c r="V60" i="123"/>
  <c r="K60" i="123"/>
  <c r="L60" i="123" s="1"/>
  <c r="J60" i="123"/>
  <c r="P60" i="123" s="1"/>
  <c r="F60" i="123"/>
  <c r="H60" i="123" s="1"/>
  <c r="W59" i="123"/>
  <c r="N59" i="123" s="1"/>
  <c r="K59" i="123"/>
  <c r="J59" i="123"/>
  <c r="F59" i="123"/>
  <c r="H59" i="123" s="1"/>
  <c r="AE58" i="123"/>
  <c r="AD58" i="123"/>
  <c r="H20" i="122" s="1"/>
  <c r="AA58" i="123"/>
  <c r="H19" i="122" s="1"/>
  <c r="Z58" i="123"/>
  <c r="M58" i="123"/>
  <c r="H22" i="122" s="1"/>
  <c r="W57" i="123"/>
  <c r="W56" i="123"/>
  <c r="W55" i="123"/>
  <c r="W54" i="123"/>
  <c r="W53" i="123"/>
  <c r="N53" i="123" s="1"/>
  <c r="O53" i="123" s="1"/>
  <c r="W52" i="123"/>
  <c r="N52" i="123" s="1"/>
  <c r="W51" i="123"/>
  <c r="V51" i="123"/>
  <c r="N51" i="123"/>
  <c r="AF51" i="123" s="1"/>
  <c r="K51" i="123"/>
  <c r="L51" i="123" s="1"/>
  <c r="J51" i="123"/>
  <c r="P51" i="123" s="1"/>
  <c r="H51" i="123"/>
  <c r="W50" i="123"/>
  <c r="N50" i="123" s="1"/>
  <c r="O50" i="123" s="1"/>
  <c r="V50" i="123"/>
  <c r="K50" i="123"/>
  <c r="J50" i="123"/>
  <c r="F50" i="123"/>
  <c r="H50" i="123" s="1"/>
  <c r="W49" i="123"/>
  <c r="N49" i="123" s="1"/>
  <c r="J49" i="123"/>
  <c r="P49" i="123" s="1"/>
  <c r="F49" i="123"/>
  <c r="H49" i="123" s="1"/>
  <c r="AE48" i="123"/>
  <c r="AD48" i="123"/>
  <c r="G20" i="122" s="1"/>
  <c r="AA48" i="123"/>
  <c r="G19" i="122" s="1"/>
  <c r="Z48" i="123"/>
  <c r="W48" i="123"/>
  <c r="M48" i="123"/>
  <c r="W47" i="123"/>
  <c r="H47" i="123"/>
  <c r="W46" i="123"/>
  <c r="W45" i="123"/>
  <c r="W44" i="123"/>
  <c r="W43" i="123"/>
  <c r="W42" i="123"/>
  <c r="AG41" i="123"/>
  <c r="AF41" i="123"/>
  <c r="W41" i="123"/>
  <c r="W40" i="123"/>
  <c r="N40" i="123" s="1"/>
  <c r="V40" i="123"/>
  <c r="K40" i="123"/>
  <c r="J40" i="123"/>
  <c r="P40" i="123" s="1"/>
  <c r="F40" i="123"/>
  <c r="H40" i="123" s="1"/>
  <c r="W39" i="123"/>
  <c r="N39" i="123" s="1"/>
  <c r="V39" i="123"/>
  <c r="K39" i="123"/>
  <c r="J39" i="123"/>
  <c r="P39" i="123" s="1"/>
  <c r="F39" i="123"/>
  <c r="H39" i="123" s="1"/>
  <c r="W38" i="123"/>
  <c r="N38" i="123"/>
  <c r="K38" i="123"/>
  <c r="J38" i="123"/>
  <c r="J48" i="123" s="1"/>
  <c r="F38" i="123"/>
  <c r="H38" i="123" s="1"/>
  <c r="AE37" i="123"/>
  <c r="AD37" i="123"/>
  <c r="F20" i="122" s="1"/>
  <c r="AA37" i="123"/>
  <c r="F19" i="122" s="1"/>
  <c r="Z37" i="123"/>
  <c r="F18" i="122" s="1"/>
  <c r="M37" i="123"/>
  <c r="W36" i="123"/>
  <c r="H36" i="123"/>
  <c r="W35" i="123"/>
  <c r="W34" i="123"/>
  <c r="W33" i="123"/>
  <c r="W32" i="123"/>
  <c r="W31" i="123"/>
  <c r="N31" i="123" s="1"/>
  <c r="O31" i="123" s="1"/>
  <c r="W30" i="123"/>
  <c r="N30" i="123" s="1"/>
  <c r="W29" i="123"/>
  <c r="N29" i="123" s="1"/>
  <c r="V29" i="123"/>
  <c r="K29" i="123"/>
  <c r="J29" i="123"/>
  <c r="P29" i="123" s="1"/>
  <c r="F29" i="123"/>
  <c r="H29" i="123" s="1"/>
  <c r="W28" i="123"/>
  <c r="V28" i="123"/>
  <c r="N28" i="123"/>
  <c r="AG28" i="123" s="1"/>
  <c r="K28" i="123"/>
  <c r="J28" i="123"/>
  <c r="F28" i="123"/>
  <c r="H28" i="123" s="1"/>
  <c r="W27" i="123"/>
  <c r="N27" i="123" s="1"/>
  <c r="O27" i="123"/>
  <c r="K27" i="123"/>
  <c r="L27" i="123" s="1"/>
  <c r="P27" i="123"/>
  <c r="F27" i="123"/>
  <c r="H27" i="123" s="1"/>
  <c r="AE26" i="123"/>
  <c r="E21" i="122" s="1"/>
  <c r="AD26" i="123"/>
  <c r="AA26" i="123"/>
  <c r="Z26" i="123"/>
  <c r="E18" i="122" s="1"/>
  <c r="M26" i="123"/>
  <c r="K26" i="123"/>
  <c r="J26" i="123"/>
  <c r="P26" i="123" s="1"/>
  <c r="W25" i="123"/>
  <c r="H25" i="123"/>
  <c r="W24" i="123"/>
  <c r="H24" i="123"/>
  <c r="W23" i="123"/>
  <c r="W21" i="123"/>
  <c r="W20" i="123"/>
  <c r="AG19" i="123"/>
  <c r="AF19" i="123"/>
  <c r="W19" i="123"/>
  <c r="W18" i="123"/>
  <c r="N18" i="123" s="1"/>
  <c r="V18" i="123"/>
  <c r="L18" i="123"/>
  <c r="K18" i="123"/>
  <c r="J18" i="123"/>
  <c r="P18" i="123" s="1"/>
  <c r="F18" i="123"/>
  <c r="H18" i="123" s="1"/>
  <c r="W17" i="123"/>
  <c r="N17" i="123" s="1"/>
  <c r="V17" i="123"/>
  <c r="K17" i="123"/>
  <c r="J17" i="123"/>
  <c r="P17" i="123" s="1"/>
  <c r="F17" i="123"/>
  <c r="H17" i="123" s="1"/>
  <c r="W16" i="123"/>
  <c r="N16" i="123" s="1"/>
  <c r="AF16" i="123" s="1"/>
  <c r="K16" i="123"/>
  <c r="L16" i="123"/>
  <c r="F16" i="123"/>
  <c r="H16" i="123" s="1"/>
  <c r="AE15" i="123"/>
  <c r="AD15" i="123"/>
  <c r="D20" i="122" s="1"/>
  <c r="AA15" i="123"/>
  <c r="D19" i="122" s="1"/>
  <c r="Z15" i="123"/>
  <c r="M15" i="123"/>
  <c r="W14" i="123"/>
  <c r="W13" i="123"/>
  <c r="W12" i="123"/>
  <c r="AG11" i="123"/>
  <c r="AF11" i="123"/>
  <c r="W11" i="123"/>
  <c r="AG10" i="123"/>
  <c r="AF10" i="123"/>
  <c r="W10" i="123"/>
  <c r="AG9" i="123"/>
  <c r="AF9" i="123"/>
  <c r="W9" i="123"/>
  <c r="W8" i="123"/>
  <c r="W7" i="123"/>
  <c r="N7" i="123" s="1"/>
  <c r="AF7" i="123" s="1"/>
  <c r="V7" i="123"/>
  <c r="K7" i="123"/>
  <c r="J7" i="123"/>
  <c r="P7" i="123" s="1"/>
  <c r="F7" i="123"/>
  <c r="H7" i="123" s="1"/>
  <c r="AG6" i="123"/>
  <c r="AF6" i="123"/>
  <c r="W6" i="123"/>
  <c r="N6" i="123" s="1"/>
  <c r="V6" i="123"/>
  <c r="O6" i="123"/>
  <c r="K6" i="123"/>
  <c r="L6" i="123" s="1"/>
  <c r="J6" i="123"/>
  <c r="P6" i="123" s="1"/>
  <c r="F6" i="123"/>
  <c r="H6" i="123" s="1"/>
  <c r="W5" i="123"/>
  <c r="N5" i="123"/>
  <c r="AF5" i="123" s="1"/>
  <c r="L5" i="123"/>
  <c r="K5" i="123"/>
  <c r="J5" i="123"/>
  <c r="P5" i="123" s="1"/>
  <c r="F5" i="123"/>
  <c r="H5" i="123" s="1"/>
  <c r="I2" i="123"/>
  <c r="E1" i="123"/>
  <c r="G3" i="122" s="1"/>
  <c r="I22" i="122"/>
  <c r="G22" i="122"/>
  <c r="E22" i="122"/>
  <c r="H21" i="122"/>
  <c r="G21" i="122"/>
  <c r="F21" i="122"/>
  <c r="I20" i="122"/>
  <c r="J19" i="122"/>
  <c r="I19" i="122"/>
  <c r="J18" i="122"/>
  <c r="I18" i="122"/>
  <c r="H18" i="122"/>
  <c r="G18" i="122"/>
  <c r="J16" i="122"/>
  <c r="I16" i="122"/>
  <c r="H16" i="122"/>
  <c r="G16" i="122"/>
  <c r="F16" i="122"/>
  <c r="E16" i="122"/>
  <c r="D16" i="122"/>
  <c r="J19" i="120"/>
  <c r="J16" i="120"/>
  <c r="I16" i="120"/>
  <c r="H16" i="120"/>
  <c r="G16" i="120"/>
  <c r="F16" i="120"/>
  <c r="E16" i="120"/>
  <c r="D16" i="120"/>
  <c r="AE79" i="119"/>
  <c r="AD79" i="119"/>
  <c r="J20" i="118" s="1"/>
  <c r="AA79" i="119"/>
  <c r="Z79" i="119"/>
  <c r="M79" i="119"/>
  <c r="W78" i="119"/>
  <c r="H78" i="119"/>
  <c r="W77" i="119"/>
  <c r="W76" i="119"/>
  <c r="W75" i="119"/>
  <c r="W74" i="119"/>
  <c r="W73" i="119"/>
  <c r="W72" i="119"/>
  <c r="V72" i="119"/>
  <c r="P72" i="119"/>
  <c r="O72" i="119"/>
  <c r="N72" i="119"/>
  <c r="K72" i="119"/>
  <c r="L72" i="119" s="1"/>
  <c r="J72" i="119"/>
  <c r="F72" i="119"/>
  <c r="H72" i="119" s="1"/>
  <c r="W71" i="119"/>
  <c r="V71" i="119"/>
  <c r="P71" i="119"/>
  <c r="N71" i="119"/>
  <c r="O71" i="119" s="1"/>
  <c r="K71" i="119"/>
  <c r="J71" i="119"/>
  <c r="J79" i="119" s="1"/>
  <c r="F71" i="119"/>
  <c r="H71" i="119" s="1"/>
  <c r="W70" i="119"/>
  <c r="P70" i="119"/>
  <c r="O70" i="119"/>
  <c r="N70" i="119"/>
  <c r="K70" i="119"/>
  <c r="H70" i="119"/>
  <c r="F70" i="119"/>
  <c r="AE69" i="119"/>
  <c r="AD69" i="119"/>
  <c r="AA69" i="119"/>
  <c r="I19" i="118" s="1"/>
  <c r="Z69" i="119"/>
  <c r="M69" i="119"/>
  <c r="K69" i="119"/>
  <c r="W68" i="119"/>
  <c r="H68" i="119"/>
  <c r="W67" i="119"/>
  <c r="W66" i="119"/>
  <c r="W65" i="119"/>
  <c r="W64" i="119"/>
  <c r="W63" i="119"/>
  <c r="AG62" i="119"/>
  <c r="W62" i="119"/>
  <c r="V62" i="119"/>
  <c r="N62" i="119"/>
  <c r="K62" i="119"/>
  <c r="J62" i="119"/>
  <c r="P62" i="119" s="1"/>
  <c r="H62" i="119"/>
  <c r="F62" i="119"/>
  <c r="W61" i="119"/>
  <c r="V61" i="119"/>
  <c r="O61" i="119"/>
  <c r="N61" i="119"/>
  <c r="K61" i="119"/>
  <c r="J61" i="119"/>
  <c r="P61" i="119" s="1"/>
  <c r="F61" i="119"/>
  <c r="H61" i="119" s="1"/>
  <c r="W60" i="119"/>
  <c r="V60" i="119"/>
  <c r="P60" i="119"/>
  <c r="N60" i="119"/>
  <c r="K60" i="119"/>
  <c r="L60" i="119" s="1"/>
  <c r="J60" i="119"/>
  <c r="H60" i="119"/>
  <c r="F60" i="119"/>
  <c r="W59" i="119"/>
  <c r="P59" i="119"/>
  <c r="N59" i="119"/>
  <c r="K59" i="119"/>
  <c r="L59" i="119" s="1"/>
  <c r="J59" i="119"/>
  <c r="F59" i="119"/>
  <c r="H59" i="119" s="1"/>
  <c r="AE58" i="119"/>
  <c r="H21" i="118" s="1"/>
  <c r="AD58" i="119"/>
  <c r="AA58" i="119"/>
  <c r="Z58" i="119"/>
  <c r="Z2" i="119" s="1"/>
  <c r="M58" i="119"/>
  <c r="H22" i="118" s="1"/>
  <c r="W57" i="119"/>
  <c r="W56" i="119"/>
  <c r="W55" i="119"/>
  <c r="W54" i="119"/>
  <c r="AF53" i="119"/>
  <c r="W53" i="119"/>
  <c r="N53" i="119" s="1"/>
  <c r="O53" i="119" s="1"/>
  <c r="V53" i="119"/>
  <c r="L53" i="119"/>
  <c r="K53" i="119"/>
  <c r="J53" i="119"/>
  <c r="P53" i="119" s="1"/>
  <c r="F53" i="119"/>
  <c r="H53" i="119" s="1"/>
  <c r="W52" i="119"/>
  <c r="N52" i="119" s="1"/>
  <c r="V52" i="119"/>
  <c r="L52" i="119"/>
  <c r="K52" i="119"/>
  <c r="J52" i="119"/>
  <c r="P52" i="119" s="1"/>
  <c r="H52" i="119"/>
  <c r="F52" i="119"/>
  <c r="AF51" i="119"/>
  <c r="W51" i="119"/>
  <c r="V51" i="119"/>
  <c r="P51" i="119"/>
  <c r="O51" i="119"/>
  <c r="N51" i="119"/>
  <c r="AG51" i="119" s="1"/>
  <c r="L51" i="119"/>
  <c r="Q51" i="119" s="1"/>
  <c r="K51" i="119"/>
  <c r="J51" i="119"/>
  <c r="H51" i="119"/>
  <c r="F51" i="119"/>
  <c r="W50" i="119"/>
  <c r="V50" i="119"/>
  <c r="P50" i="119"/>
  <c r="O50" i="119"/>
  <c r="N50" i="119"/>
  <c r="K50" i="119"/>
  <c r="J50" i="119"/>
  <c r="H50" i="119"/>
  <c r="F50" i="119"/>
  <c r="W49" i="119"/>
  <c r="N49" i="119" s="1"/>
  <c r="J49" i="119"/>
  <c r="F49" i="119"/>
  <c r="H49" i="119" s="1"/>
  <c r="AE48" i="119"/>
  <c r="G21" i="118" s="1"/>
  <c r="AD48" i="119"/>
  <c r="AA48" i="119"/>
  <c r="G19" i="118" s="1"/>
  <c r="Z48" i="119"/>
  <c r="W48" i="119"/>
  <c r="M48" i="119"/>
  <c r="W47" i="119"/>
  <c r="H47" i="119"/>
  <c r="W46" i="119"/>
  <c r="W45" i="119"/>
  <c r="W44" i="119"/>
  <c r="W43" i="119"/>
  <c r="W42" i="119"/>
  <c r="AG41" i="119"/>
  <c r="AF41" i="119"/>
  <c r="W41" i="119"/>
  <c r="AG40" i="119"/>
  <c r="AF40" i="119"/>
  <c r="W40" i="119"/>
  <c r="W39" i="119"/>
  <c r="N39" i="119" s="1"/>
  <c r="V39" i="119"/>
  <c r="K39" i="119"/>
  <c r="K48" i="119" s="1"/>
  <c r="J39" i="119"/>
  <c r="P39" i="119" s="1"/>
  <c r="F39" i="119"/>
  <c r="H39" i="119" s="1"/>
  <c r="AF38" i="119"/>
  <c r="W38" i="119"/>
  <c r="N38" i="119"/>
  <c r="K38" i="119"/>
  <c r="J38" i="119"/>
  <c r="F38" i="119"/>
  <c r="H38" i="119" s="1"/>
  <c r="AE37" i="119"/>
  <c r="F21" i="118" s="1"/>
  <c r="AD37" i="119"/>
  <c r="AA37" i="119"/>
  <c r="Z37" i="119"/>
  <c r="M37" i="119"/>
  <c r="J37" i="119"/>
  <c r="P37" i="119" s="1"/>
  <c r="W36" i="119"/>
  <c r="H36" i="119"/>
  <c r="W35" i="119"/>
  <c r="W34" i="119"/>
  <c r="W33" i="119"/>
  <c r="W32" i="119"/>
  <c r="AG31" i="119"/>
  <c r="AF31" i="119"/>
  <c r="W31" i="119"/>
  <c r="AG30" i="119"/>
  <c r="AF30" i="119"/>
  <c r="W30" i="119"/>
  <c r="W29" i="119"/>
  <c r="V29" i="119"/>
  <c r="N29" i="119"/>
  <c r="K29" i="119"/>
  <c r="L29" i="119" s="1"/>
  <c r="J29" i="119"/>
  <c r="P29" i="119" s="1"/>
  <c r="H29" i="119"/>
  <c r="F29" i="119"/>
  <c r="W28" i="119"/>
  <c r="V28" i="119"/>
  <c r="O28" i="119"/>
  <c r="N28" i="119"/>
  <c r="K28" i="119"/>
  <c r="J28" i="119"/>
  <c r="F28" i="119"/>
  <c r="H28" i="119" s="1"/>
  <c r="W27" i="119"/>
  <c r="P27" i="119"/>
  <c r="N27" i="119"/>
  <c r="L27" i="119"/>
  <c r="K27" i="119"/>
  <c r="J27" i="119"/>
  <c r="F27" i="119"/>
  <c r="H27" i="119" s="1"/>
  <c r="AE26" i="119"/>
  <c r="E21" i="118" s="1"/>
  <c r="AD26" i="119"/>
  <c r="AA26" i="119"/>
  <c r="E19" i="118" s="1"/>
  <c r="Z26" i="119"/>
  <c r="M26" i="119"/>
  <c r="K26" i="119"/>
  <c r="AG26" i="119" s="1"/>
  <c r="AH16" i="119" s="1"/>
  <c r="J26" i="119"/>
  <c r="W25" i="119"/>
  <c r="H25" i="119"/>
  <c r="W24" i="119"/>
  <c r="H24" i="119"/>
  <c r="W23" i="119"/>
  <c r="W21" i="119"/>
  <c r="W20" i="119"/>
  <c r="AG19" i="119"/>
  <c r="AF19" i="119"/>
  <c r="W19" i="119"/>
  <c r="AG18" i="119"/>
  <c r="AF18" i="119"/>
  <c r="W18" i="119"/>
  <c r="W17" i="119"/>
  <c r="N17" i="119" s="1"/>
  <c r="O17" i="119" s="1"/>
  <c r="V17" i="119"/>
  <c r="K17" i="119"/>
  <c r="J17" i="119"/>
  <c r="P17" i="119" s="1"/>
  <c r="H17" i="119"/>
  <c r="F17" i="119"/>
  <c r="AG16" i="119"/>
  <c r="W16" i="119"/>
  <c r="P16" i="119"/>
  <c r="O16" i="119"/>
  <c r="N16" i="119"/>
  <c r="N26" i="119" s="1"/>
  <c r="L16" i="119"/>
  <c r="K16" i="119"/>
  <c r="H16" i="119"/>
  <c r="F16" i="119"/>
  <c r="AE15" i="119"/>
  <c r="AD15" i="119"/>
  <c r="AA15" i="119"/>
  <c r="Z15" i="119"/>
  <c r="M15" i="119"/>
  <c r="J15" i="119"/>
  <c r="W14" i="119"/>
  <c r="W13" i="119"/>
  <c r="W12" i="119"/>
  <c r="AG11" i="119"/>
  <c r="AF11" i="119"/>
  <c r="W11" i="119"/>
  <c r="AG10" i="119"/>
  <c r="AF10" i="119"/>
  <c r="W10" i="119"/>
  <c r="AG9" i="119"/>
  <c r="AF9" i="119"/>
  <c r="W9" i="119"/>
  <c r="AG8" i="119"/>
  <c r="AF8" i="119"/>
  <c r="W8" i="119"/>
  <c r="AF7" i="119"/>
  <c r="W7" i="119"/>
  <c r="V7" i="119"/>
  <c r="P7" i="119"/>
  <c r="N7" i="119"/>
  <c r="L7" i="119"/>
  <c r="K7" i="119"/>
  <c r="J7" i="119"/>
  <c r="H7" i="119"/>
  <c r="F7" i="119"/>
  <c r="W6" i="119"/>
  <c r="N6" i="119" s="1"/>
  <c r="V6" i="119"/>
  <c r="P6" i="119"/>
  <c r="O6" i="119"/>
  <c r="L6" i="119"/>
  <c r="K6" i="119"/>
  <c r="J6" i="119"/>
  <c r="F6" i="119"/>
  <c r="H6" i="119" s="1"/>
  <c r="AF5" i="119"/>
  <c r="W5" i="119"/>
  <c r="P5" i="119"/>
  <c r="N5" i="119"/>
  <c r="O5" i="119" s="1"/>
  <c r="K5" i="119"/>
  <c r="J5" i="119"/>
  <c r="F5" i="119"/>
  <c r="H5" i="119" s="1"/>
  <c r="G1" i="119" s="1"/>
  <c r="I2" i="119"/>
  <c r="E1" i="119"/>
  <c r="G3" i="118" s="1"/>
  <c r="G22" i="118"/>
  <c r="F22" i="118"/>
  <c r="E22" i="118"/>
  <c r="D22" i="118"/>
  <c r="J21" i="118"/>
  <c r="I21" i="118"/>
  <c r="D21" i="118"/>
  <c r="I20" i="118"/>
  <c r="G20" i="118"/>
  <c r="F20" i="118"/>
  <c r="E20" i="118"/>
  <c r="D20" i="118"/>
  <c r="J19" i="118"/>
  <c r="F19" i="118"/>
  <c r="D19" i="118"/>
  <c r="J18" i="118"/>
  <c r="I18" i="118"/>
  <c r="H18" i="118"/>
  <c r="G18" i="118"/>
  <c r="F18" i="118"/>
  <c r="E18" i="118"/>
  <c r="D18" i="118"/>
  <c r="J16" i="118"/>
  <c r="I16" i="118"/>
  <c r="H16" i="118"/>
  <c r="G16" i="118"/>
  <c r="F16" i="118"/>
  <c r="E16" i="118"/>
  <c r="D16" i="118"/>
  <c r="L6" i="118"/>
  <c r="AE79" i="117"/>
  <c r="AD79" i="117"/>
  <c r="AA79" i="117"/>
  <c r="Z79" i="117"/>
  <c r="M79" i="117"/>
  <c r="K79" i="117"/>
  <c r="J79" i="117"/>
  <c r="W78" i="117"/>
  <c r="H78" i="117"/>
  <c r="W77" i="117"/>
  <c r="H77" i="117"/>
  <c r="W76" i="117"/>
  <c r="H76" i="117"/>
  <c r="W75" i="117"/>
  <c r="W74" i="117"/>
  <c r="W73" i="117"/>
  <c r="W72" i="117"/>
  <c r="V72" i="117"/>
  <c r="P72" i="117"/>
  <c r="O72" i="117"/>
  <c r="N72" i="117"/>
  <c r="L72" i="117"/>
  <c r="K72" i="117"/>
  <c r="J72" i="117"/>
  <c r="H72" i="117"/>
  <c r="F72" i="117"/>
  <c r="W71" i="117"/>
  <c r="V71" i="117"/>
  <c r="P71" i="117"/>
  <c r="N71" i="117"/>
  <c r="O71" i="117" s="1"/>
  <c r="L71" i="117"/>
  <c r="K71" i="117"/>
  <c r="J71" i="117"/>
  <c r="H71" i="117"/>
  <c r="F71" i="117"/>
  <c r="W70" i="117"/>
  <c r="P70" i="117"/>
  <c r="N70" i="117"/>
  <c r="K70" i="117"/>
  <c r="L70" i="117" s="1"/>
  <c r="J70" i="117"/>
  <c r="H70" i="117"/>
  <c r="F70" i="117"/>
  <c r="AE69" i="117"/>
  <c r="I21" i="116" s="1"/>
  <c r="AD69" i="117"/>
  <c r="I20" i="116" s="1"/>
  <c r="AA69" i="117"/>
  <c r="Z69" i="117"/>
  <c r="M69" i="117"/>
  <c r="K69" i="117"/>
  <c r="W68" i="117"/>
  <c r="H68" i="117"/>
  <c r="W67" i="117"/>
  <c r="W66" i="117"/>
  <c r="W65" i="117"/>
  <c r="W64" i="117"/>
  <c r="W63" i="117"/>
  <c r="V63" i="117"/>
  <c r="P63" i="117"/>
  <c r="N63" i="117"/>
  <c r="O63" i="117" s="1"/>
  <c r="K63" i="117"/>
  <c r="J63" i="117"/>
  <c r="L63" i="117" s="1"/>
  <c r="F63" i="117"/>
  <c r="H63" i="117" s="1"/>
  <c r="AF62" i="117"/>
  <c r="W62" i="117"/>
  <c r="N62" i="117" s="1"/>
  <c r="V62" i="117"/>
  <c r="P62" i="117"/>
  <c r="L62" i="117"/>
  <c r="K62" i="117"/>
  <c r="J62" i="117"/>
  <c r="H62" i="117"/>
  <c r="F62" i="117"/>
  <c r="W61" i="117"/>
  <c r="V61" i="117"/>
  <c r="N61" i="117"/>
  <c r="L61" i="117"/>
  <c r="K61" i="117"/>
  <c r="J61" i="117"/>
  <c r="P61" i="117" s="1"/>
  <c r="F61" i="117"/>
  <c r="H61" i="117" s="1"/>
  <c r="W60" i="117"/>
  <c r="N60" i="117" s="1"/>
  <c r="V60" i="117"/>
  <c r="P60" i="117"/>
  <c r="K60" i="117"/>
  <c r="L60" i="117" s="1"/>
  <c r="J60" i="117"/>
  <c r="F60" i="117"/>
  <c r="H60" i="117" s="1"/>
  <c r="AG59" i="117"/>
  <c r="W59" i="117"/>
  <c r="N59" i="117" s="1"/>
  <c r="K59" i="117"/>
  <c r="L59" i="117" s="1"/>
  <c r="J59" i="117"/>
  <c r="H59" i="117"/>
  <c r="F59" i="117"/>
  <c r="AG58" i="117"/>
  <c r="AH49" i="117" s="1"/>
  <c r="AF58" i="117"/>
  <c r="AE58" i="117"/>
  <c r="H21" i="116" s="1"/>
  <c r="AD58" i="117"/>
  <c r="H20" i="116" s="1"/>
  <c r="AA58" i="117"/>
  <c r="Z58" i="117"/>
  <c r="P58" i="117"/>
  <c r="N58" i="117"/>
  <c r="M58" i="117"/>
  <c r="K58" i="117"/>
  <c r="J58" i="117"/>
  <c r="W57" i="117"/>
  <c r="W56" i="117"/>
  <c r="W55" i="117"/>
  <c r="W54" i="117"/>
  <c r="AG53" i="117"/>
  <c r="AF53" i="117"/>
  <c r="W53" i="117"/>
  <c r="AG52" i="117"/>
  <c r="W52" i="117"/>
  <c r="N52" i="117" s="1"/>
  <c r="AF52" i="117" s="1"/>
  <c r="V52" i="117"/>
  <c r="P52" i="117"/>
  <c r="O52" i="117"/>
  <c r="K52" i="117"/>
  <c r="J52" i="117"/>
  <c r="L52" i="117" s="1"/>
  <c r="H52" i="117"/>
  <c r="F52" i="117"/>
  <c r="AF51" i="117"/>
  <c r="W51" i="117"/>
  <c r="N51" i="117" s="1"/>
  <c r="O51" i="117" s="1"/>
  <c r="V51" i="117"/>
  <c r="P51" i="117"/>
  <c r="L51" i="117"/>
  <c r="K51" i="117"/>
  <c r="J51" i="117"/>
  <c r="H51" i="117"/>
  <c r="F51" i="117"/>
  <c r="W50" i="117"/>
  <c r="N50" i="117" s="1"/>
  <c r="AG50" i="117" s="1"/>
  <c r="V50" i="117"/>
  <c r="O50" i="117"/>
  <c r="K50" i="117"/>
  <c r="J50" i="117"/>
  <c r="P50" i="117" s="1"/>
  <c r="F50" i="117"/>
  <c r="H50" i="117" s="1"/>
  <c r="AG49" i="117"/>
  <c r="AF49" i="117"/>
  <c r="W49" i="117"/>
  <c r="O49" i="117"/>
  <c r="N49" i="117"/>
  <c r="L49" i="117"/>
  <c r="J49" i="117"/>
  <c r="P49" i="117" s="1"/>
  <c r="H49" i="117"/>
  <c r="F49" i="117"/>
  <c r="AE48" i="117"/>
  <c r="AD48" i="117"/>
  <c r="G20" i="116" s="1"/>
  <c r="AA48" i="117"/>
  <c r="Z48" i="117"/>
  <c r="W48" i="117"/>
  <c r="M48" i="117"/>
  <c r="J48" i="117"/>
  <c r="W47" i="117"/>
  <c r="H47" i="117"/>
  <c r="W46" i="117"/>
  <c r="W45" i="117"/>
  <c r="W44" i="117"/>
  <c r="W43" i="117"/>
  <c r="W42" i="117"/>
  <c r="AG41" i="117"/>
  <c r="AF41" i="117"/>
  <c r="W41" i="117"/>
  <c r="AG40" i="117"/>
  <c r="AF40" i="117"/>
  <c r="W40" i="117"/>
  <c r="W39" i="117"/>
  <c r="V39" i="117"/>
  <c r="N39" i="117"/>
  <c r="L39" i="117"/>
  <c r="K39" i="117"/>
  <c r="J39" i="117"/>
  <c r="P39" i="117" s="1"/>
  <c r="F39" i="117"/>
  <c r="H39" i="117" s="1"/>
  <c r="AG38" i="117"/>
  <c r="W38" i="117"/>
  <c r="N38" i="117" s="1"/>
  <c r="P38" i="117"/>
  <c r="O38" i="117"/>
  <c r="K38" i="117"/>
  <c r="J38" i="117"/>
  <c r="F38" i="117"/>
  <c r="H38" i="117" s="1"/>
  <c r="AE37" i="117"/>
  <c r="AD37" i="117"/>
  <c r="F20" i="116" s="1"/>
  <c r="AA37" i="117"/>
  <c r="Z37" i="117"/>
  <c r="F18" i="116" s="1"/>
  <c r="M37" i="117"/>
  <c r="W36" i="117"/>
  <c r="H36" i="117"/>
  <c r="W35" i="117"/>
  <c r="W34" i="117"/>
  <c r="W33" i="117"/>
  <c r="W32" i="117"/>
  <c r="AG31" i="117"/>
  <c r="AF31" i="117"/>
  <c r="W31" i="117"/>
  <c r="AG30" i="117"/>
  <c r="AF30" i="117"/>
  <c r="W30" i="117"/>
  <c r="W29" i="117"/>
  <c r="V29" i="117"/>
  <c r="N29" i="117"/>
  <c r="K29" i="117"/>
  <c r="J29" i="117"/>
  <c r="P29" i="117" s="1"/>
  <c r="H29" i="117"/>
  <c r="F29" i="117"/>
  <c r="W28" i="117"/>
  <c r="V28" i="117"/>
  <c r="N28" i="117"/>
  <c r="O28" i="117" s="1"/>
  <c r="K28" i="117"/>
  <c r="J28" i="117"/>
  <c r="F28" i="117"/>
  <c r="H28" i="117" s="1"/>
  <c r="W27" i="117"/>
  <c r="N27" i="117"/>
  <c r="K27" i="117"/>
  <c r="L27" i="117" s="1"/>
  <c r="J27" i="117"/>
  <c r="P27" i="117" s="1"/>
  <c r="F27" i="117"/>
  <c r="H27" i="117" s="1"/>
  <c r="AE26" i="117"/>
  <c r="E21" i="116" s="1"/>
  <c r="AD26" i="117"/>
  <c r="AA26" i="117"/>
  <c r="E19" i="116" s="1"/>
  <c r="Z26" i="117"/>
  <c r="E18" i="116" s="1"/>
  <c r="M26" i="117"/>
  <c r="W25" i="117"/>
  <c r="H25" i="117"/>
  <c r="W24" i="117"/>
  <c r="H24" i="117"/>
  <c r="W23" i="117"/>
  <c r="W21" i="117"/>
  <c r="W20" i="117"/>
  <c r="AG19" i="117"/>
  <c r="AF19" i="117"/>
  <c r="W19" i="117"/>
  <c r="AG18" i="117"/>
  <c r="AF18" i="117"/>
  <c r="W18" i="117"/>
  <c r="W17" i="117"/>
  <c r="N17" i="117" s="1"/>
  <c r="V17" i="117"/>
  <c r="K17" i="117"/>
  <c r="J17" i="117"/>
  <c r="H17" i="117"/>
  <c r="F17" i="117"/>
  <c r="AF16" i="117"/>
  <c r="W16" i="117"/>
  <c r="N16" i="117" s="1"/>
  <c r="P16" i="117"/>
  <c r="K16" i="117"/>
  <c r="L16" i="117" s="1"/>
  <c r="H16" i="117"/>
  <c r="F16" i="117"/>
  <c r="AG15" i="117"/>
  <c r="AE15" i="117"/>
  <c r="AD15" i="117"/>
  <c r="AA15" i="117"/>
  <c r="D19" i="116" s="1"/>
  <c r="Z15" i="117"/>
  <c r="N15" i="117"/>
  <c r="AF15" i="117" s="1"/>
  <c r="M15" i="117"/>
  <c r="W14" i="117"/>
  <c r="W13" i="117"/>
  <c r="W12" i="117"/>
  <c r="AG11" i="117"/>
  <c r="AF11" i="117"/>
  <c r="W11" i="117"/>
  <c r="AG10" i="117"/>
  <c r="AF10" i="117"/>
  <c r="W10" i="117"/>
  <c r="AG9" i="117"/>
  <c r="AF9" i="117"/>
  <c r="W9" i="117"/>
  <c r="AG8" i="117"/>
  <c r="AF8" i="117"/>
  <c r="W8" i="117"/>
  <c r="AG7" i="117"/>
  <c r="AF7" i="117"/>
  <c r="W7" i="117"/>
  <c r="N7" i="117" s="1"/>
  <c r="O7" i="117" s="1"/>
  <c r="V7" i="117"/>
  <c r="K7" i="117"/>
  <c r="J7" i="117"/>
  <c r="F7" i="117"/>
  <c r="H7" i="117" s="1"/>
  <c r="W6" i="117"/>
  <c r="N6" i="117" s="1"/>
  <c r="V6" i="117"/>
  <c r="K6" i="117"/>
  <c r="J6" i="117"/>
  <c r="P6" i="117" s="1"/>
  <c r="F6" i="117"/>
  <c r="H6" i="117" s="1"/>
  <c r="AH5" i="117"/>
  <c r="AG5" i="117"/>
  <c r="W5" i="117"/>
  <c r="N5" i="117" s="1"/>
  <c r="AF5" i="117" s="1"/>
  <c r="O5" i="117"/>
  <c r="K5" i="117"/>
  <c r="K15" i="117" s="1"/>
  <c r="J5" i="117"/>
  <c r="H5" i="117"/>
  <c r="F5" i="117"/>
  <c r="AE2" i="117"/>
  <c r="O6" i="116" s="1"/>
  <c r="AA2" i="117"/>
  <c r="M6" i="116" s="1"/>
  <c r="I2" i="117"/>
  <c r="E1" i="117"/>
  <c r="G3" i="116" s="1"/>
  <c r="J22" i="116"/>
  <c r="H22" i="116"/>
  <c r="D22" i="116"/>
  <c r="J21" i="116"/>
  <c r="G21" i="116"/>
  <c r="F21" i="116"/>
  <c r="D21" i="116"/>
  <c r="J20" i="116"/>
  <c r="E20" i="116"/>
  <c r="J19" i="116"/>
  <c r="I19" i="116"/>
  <c r="H19" i="116"/>
  <c r="G19" i="116"/>
  <c r="F19" i="116"/>
  <c r="J18" i="116"/>
  <c r="I18" i="116"/>
  <c r="H18" i="116"/>
  <c r="G18" i="116"/>
  <c r="J16" i="116"/>
  <c r="I16" i="116"/>
  <c r="H16" i="116"/>
  <c r="G16" i="116"/>
  <c r="F16" i="116"/>
  <c r="E16" i="116"/>
  <c r="D16" i="116"/>
  <c r="AE79" i="115"/>
  <c r="AD79" i="115"/>
  <c r="J20" i="114" s="1"/>
  <c r="AA79" i="115"/>
  <c r="Z79" i="115"/>
  <c r="N79" i="115"/>
  <c r="M79" i="115"/>
  <c r="J22" i="114" s="1"/>
  <c r="W78" i="115"/>
  <c r="H78" i="115"/>
  <c r="W77" i="115"/>
  <c r="H77" i="115"/>
  <c r="W76" i="115"/>
  <c r="H76" i="115"/>
  <c r="W75" i="115"/>
  <c r="H75" i="115"/>
  <c r="W74" i="115"/>
  <c r="W73" i="115"/>
  <c r="W72" i="115"/>
  <c r="W71" i="115"/>
  <c r="V71" i="115"/>
  <c r="O71" i="115"/>
  <c r="N71" i="115"/>
  <c r="K71" i="115"/>
  <c r="J71" i="115"/>
  <c r="P71" i="115" s="1"/>
  <c r="F71" i="115"/>
  <c r="H71" i="115" s="1"/>
  <c r="W70" i="115"/>
  <c r="N70" i="115"/>
  <c r="K70" i="115"/>
  <c r="J70" i="115"/>
  <c r="F70" i="115"/>
  <c r="H70" i="115" s="1"/>
  <c r="AE69" i="115"/>
  <c r="I21" i="114" s="1"/>
  <c r="AD69" i="115"/>
  <c r="AA69" i="115"/>
  <c r="Z69" i="115"/>
  <c r="M69" i="115"/>
  <c r="J69" i="115"/>
  <c r="W68" i="115"/>
  <c r="H68" i="115"/>
  <c r="W67" i="115"/>
  <c r="W66" i="115"/>
  <c r="W65" i="115"/>
  <c r="W64" i="115"/>
  <c r="W63" i="115"/>
  <c r="V63" i="115"/>
  <c r="N63" i="115"/>
  <c r="O63" i="115" s="1"/>
  <c r="K63" i="115"/>
  <c r="L63" i="115" s="1"/>
  <c r="J63" i="115"/>
  <c r="P63" i="115" s="1"/>
  <c r="F63" i="115"/>
  <c r="H63" i="115" s="1"/>
  <c r="W62" i="115"/>
  <c r="V62" i="115"/>
  <c r="N62" i="115"/>
  <c r="O62" i="115" s="1"/>
  <c r="K62" i="115"/>
  <c r="J62" i="115"/>
  <c r="P62" i="115" s="1"/>
  <c r="F62" i="115"/>
  <c r="H62" i="115" s="1"/>
  <c r="AG61" i="115"/>
  <c r="W61" i="115"/>
  <c r="V61" i="115"/>
  <c r="P61" i="115"/>
  <c r="N61" i="115"/>
  <c r="K61" i="115"/>
  <c r="L61" i="115" s="1"/>
  <c r="J61" i="115"/>
  <c r="F61" i="115"/>
  <c r="H61" i="115" s="1"/>
  <c r="AG60" i="115"/>
  <c r="W60" i="115"/>
  <c r="V60" i="115"/>
  <c r="P60" i="115"/>
  <c r="O60" i="115"/>
  <c r="N60" i="115"/>
  <c r="AF60" i="115" s="1"/>
  <c r="L60" i="115"/>
  <c r="K60" i="115"/>
  <c r="J60" i="115"/>
  <c r="F60" i="115"/>
  <c r="H60" i="115" s="1"/>
  <c r="W59" i="115"/>
  <c r="Q59" i="115"/>
  <c r="P59" i="115"/>
  <c r="O59" i="115"/>
  <c r="N59" i="115"/>
  <c r="L59" i="115"/>
  <c r="K59" i="115"/>
  <c r="J59" i="115"/>
  <c r="F59" i="115"/>
  <c r="H59" i="115" s="1"/>
  <c r="AE58" i="115"/>
  <c r="H21" i="114" s="1"/>
  <c r="AD58" i="115"/>
  <c r="AA58" i="115"/>
  <c r="H19" i="114" s="1"/>
  <c r="Z58" i="115"/>
  <c r="H18" i="114" s="1"/>
  <c r="M58" i="115"/>
  <c r="W57" i="115"/>
  <c r="W56" i="115"/>
  <c r="W55" i="115"/>
  <c r="W54" i="115"/>
  <c r="AF53" i="115"/>
  <c r="W53" i="115"/>
  <c r="N53" i="115" s="1"/>
  <c r="AG53" i="115" s="1"/>
  <c r="V53" i="115"/>
  <c r="O53" i="115"/>
  <c r="Q53" i="115" s="1"/>
  <c r="K53" i="115"/>
  <c r="L53" i="115" s="1"/>
  <c r="J53" i="115"/>
  <c r="P53" i="115" s="1"/>
  <c r="F53" i="115"/>
  <c r="H53" i="115" s="1"/>
  <c r="W52" i="115"/>
  <c r="N52" i="115" s="1"/>
  <c r="V52" i="115"/>
  <c r="L52" i="115"/>
  <c r="K52" i="115"/>
  <c r="J52" i="115"/>
  <c r="P52" i="115" s="1"/>
  <c r="F52" i="115"/>
  <c r="H52" i="115" s="1"/>
  <c r="W51" i="115"/>
  <c r="V51" i="115"/>
  <c r="O51" i="115"/>
  <c r="N51" i="115"/>
  <c r="K51" i="115"/>
  <c r="J51" i="115"/>
  <c r="H51" i="115"/>
  <c r="F51" i="115"/>
  <c r="W50" i="115"/>
  <c r="V50" i="115"/>
  <c r="P50" i="115"/>
  <c r="O50" i="115"/>
  <c r="N50" i="115"/>
  <c r="K50" i="115"/>
  <c r="J50" i="115"/>
  <c r="H50" i="115"/>
  <c r="F50" i="115"/>
  <c r="W49" i="115"/>
  <c r="N49" i="115" s="1"/>
  <c r="Q49" i="115"/>
  <c r="P49" i="115"/>
  <c r="O49" i="115"/>
  <c r="L49" i="115"/>
  <c r="J49" i="115"/>
  <c r="F49" i="115"/>
  <c r="H49" i="115" s="1"/>
  <c r="AE48" i="115"/>
  <c r="AD48" i="115"/>
  <c r="AA48" i="115"/>
  <c r="G19" i="114" s="1"/>
  <c r="Z48" i="115"/>
  <c r="G18" i="114" s="1"/>
  <c r="W48" i="115"/>
  <c r="M48" i="115"/>
  <c r="G22" i="114" s="1"/>
  <c r="W47" i="115"/>
  <c r="H47" i="115"/>
  <c r="W46" i="115"/>
  <c r="W45" i="115"/>
  <c r="W44" i="115"/>
  <c r="W43" i="115"/>
  <c r="W42" i="115"/>
  <c r="AG41" i="115"/>
  <c r="AF41" i="115"/>
  <c r="W41" i="115"/>
  <c r="AG40" i="115"/>
  <c r="AF40" i="115"/>
  <c r="W40" i="115"/>
  <c r="AG39" i="115"/>
  <c r="AF39" i="115"/>
  <c r="W39" i="115"/>
  <c r="V39" i="115"/>
  <c r="Q39" i="115"/>
  <c r="O39" i="115"/>
  <c r="N39" i="115"/>
  <c r="L39" i="115"/>
  <c r="K39" i="115"/>
  <c r="J39" i="115"/>
  <c r="P39" i="115" s="1"/>
  <c r="F39" i="115"/>
  <c r="H39" i="115" s="1"/>
  <c r="AG38" i="115"/>
  <c r="AF38" i="115"/>
  <c r="W38" i="115"/>
  <c r="P38" i="115"/>
  <c r="N38" i="115"/>
  <c r="N48" i="115" s="1"/>
  <c r="K38" i="115"/>
  <c r="K48" i="115" s="1"/>
  <c r="J38" i="115"/>
  <c r="F38" i="115"/>
  <c r="H38" i="115" s="1"/>
  <c r="AE37" i="115"/>
  <c r="AD37" i="115"/>
  <c r="AA37" i="115"/>
  <c r="Z37" i="115"/>
  <c r="F18" i="114" s="1"/>
  <c r="M37" i="115"/>
  <c r="P37" i="115" s="1"/>
  <c r="K37" i="115"/>
  <c r="J37" i="115"/>
  <c r="W36" i="115"/>
  <c r="H36" i="115"/>
  <c r="W35" i="115"/>
  <c r="W34" i="115"/>
  <c r="W33" i="115"/>
  <c r="W32" i="115"/>
  <c r="AG31" i="115"/>
  <c r="AF31" i="115"/>
  <c r="W31" i="115"/>
  <c r="AF30" i="115"/>
  <c r="W30" i="115"/>
  <c r="N30" i="115" s="1"/>
  <c r="O30" i="115" s="1"/>
  <c r="V30" i="115"/>
  <c r="P30" i="115"/>
  <c r="K30" i="115"/>
  <c r="J30" i="115"/>
  <c r="F30" i="115"/>
  <c r="H30" i="115" s="1"/>
  <c r="AG29" i="115"/>
  <c r="AF29" i="115"/>
  <c r="W29" i="115"/>
  <c r="V29" i="115"/>
  <c r="P29" i="115"/>
  <c r="N29" i="115"/>
  <c r="O29" i="115" s="1"/>
  <c r="L29" i="115"/>
  <c r="K29" i="115"/>
  <c r="J29" i="115"/>
  <c r="F29" i="115"/>
  <c r="H29" i="115" s="1"/>
  <c r="W28" i="115"/>
  <c r="N28" i="115" s="1"/>
  <c r="V28" i="115"/>
  <c r="P28" i="115"/>
  <c r="L28" i="115"/>
  <c r="K28" i="115"/>
  <c r="J28" i="115"/>
  <c r="F28" i="115"/>
  <c r="H28" i="115" s="1"/>
  <c r="AG27" i="115"/>
  <c r="W27" i="115"/>
  <c r="P27" i="115"/>
  <c r="O27" i="115"/>
  <c r="N27" i="115"/>
  <c r="K27" i="115"/>
  <c r="L27" i="115" s="1"/>
  <c r="J27" i="115"/>
  <c r="H27" i="115"/>
  <c r="F27" i="115"/>
  <c r="AE26" i="115"/>
  <c r="AD26" i="115"/>
  <c r="AA26" i="115"/>
  <c r="Z26" i="115"/>
  <c r="M26" i="115"/>
  <c r="J26" i="115"/>
  <c r="W25" i="115"/>
  <c r="H25" i="115"/>
  <c r="W24" i="115"/>
  <c r="H24" i="115"/>
  <c r="W23" i="115"/>
  <c r="W21" i="115"/>
  <c r="W19" i="115"/>
  <c r="W18" i="115"/>
  <c r="W17" i="115"/>
  <c r="V17" i="115"/>
  <c r="O17" i="115"/>
  <c r="N17" i="115"/>
  <c r="L17" i="115"/>
  <c r="K17" i="115"/>
  <c r="J17" i="115"/>
  <c r="P17" i="115" s="1"/>
  <c r="F17" i="115"/>
  <c r="H17" i="115" s="1"/>
  <c r="W16" i="115"/>
  <c r="P16" i="115"/>
  <c r="N16" i="115"/>
  <c r="K16" i="115"/>
  <c r="F16" i="115"/>
  <c r="H16" i="115" s="1"/>
  <c r="AE15" i="115"/>
  <c r="D21" i="114" s="1"/>
  <c r="AD15" i="115"/>
  <c r="AA15" i="115"/>
  <c r="Z15" i="115"/>
  <c r="M15" i="115"/>
  <c r="K15" i="115"/>
  <c r="J15" i="115"/>
  <c r="W14" i="115"/>
  <c r="W13" i="115"/>
  <c r="W12" i="115"/>
  <c r="AG11" i="115"/>
  <c r="AF11" i="115"/>
  <c r="W11" i="115"/>
  <c r="AG10" i="115"/>
  <c r="AF10" i="115"/>
  <c r="W10" i="115"/>
  <c r="AG9" i="115"/>
  <c r="AF9" i="115"/>
  <c r="W9" i="115"/>
  <c r="AG8" i="115"/>
  <c r="AF8" i="115"/>
  <c r="W8" i="115"/>
  <c r="AG7" i="115"/>
  <c r="AF7" i="115"/>
  <c r="W7" i="115"/>
  <c r="V7" i="115"/>
  <c r="P7" i="115"/>
  <c r="O7" i="115"/>
  <c r="N7" i="115"/>
  <c r="L7" i="115"/>
  <c r="Q7" i="115" s="1"/>
  <c r="K7" i="115"/>
  <c r="J7" i="115"/>
  <c r="F7" i="115"/>
  <c r="H7" i="115" s="1"/>
  <c r="AF6" i="115"/>
  <c r="W6" i="115"/>
  <c r="V6" i="115"/>
  <c r="R6" i="115"/>
  <c r="P6" i="115"/>
  <c r="O6" i="115"/>
  <c r="N6" i="115"/>
  <c r="AG6" i="115" s="1"/>
  <c r="K6" i="115"/>
  <c r="L6" i="115" s="1"/>
  <c r="J6" i="115"/>
  <c r="F6" i="115"/>
  <c r="H6" i="115" s="1"/>
  <c r="AG5" i="115"/>
  <c r="AF5" i="115"/>
  <c r="W5" i="115"/>
  <c r="N5" i="115" s="1"/>
  <c r="P5" i="115"/>
  <c r="K5" i="115"/>
  <c r="L5" i="115" s="1"/>
  <c r="J5" i="115"/>
  <c r="F5" i="115"/>
  <c r="H5" i="115" s="1"/>
  <c r="I2" i="115"/>
  <c r="E1" i="115"/>
  <c r="H22" i="114"/>
  <c r="F22" i="114"/>
  <c r="E22" i="114"/>
  <c r="D22" i="114"/>
  <c r="J21" i="114"/>
  <c r="G21" i="114"/>
  <c r="F21" i="114"/>
  <c r="I20" i="114"/>
  <c r="H20" i="114"/>
  <c r="G20" i="114"/>
  <c r="F20" i="114"/>
  <c r="D20" i="114"/>
  <c r="J19" i="114"/>
  <c r="I19" i="114"/>
  <c r="F19" i="114"/>
  <c r="D19" i="114"/>
  <c r="J18" i="114"/>
  <c r="I18" i="114"/>
  <c r="D18" i="114"/>
  <c r="J16" i="114"/>
  <c r="I16" i="114"/>
  <c r="H16" i="114"/>
  <c r="G16" i="114"/>
  <c r="F16" i="114"/>
  <c r="E16" i="114"/>
  <c r="D16" i="114"/>
  <c r="G3" i="114"/>
  <c r="AE79" i="113"/>
  <c r="AD79" i="113"/>
  <c r="AA79" i="113"/>
  <c r="Z79" i="113"/>
  <c r="M79" i="113"/>
  <c r="W78" i="113"/>
  <c r="H78" i="113"/>
  <c r="W77" i="113"/>
  <c r="H77" i="113"/>
  <c r="W76" i="113"/>
  <c r="H76" i="113"/>
  <c r="W75" i="113"/>
  <c r="H75" i="113"/>
  <c r="W74" i="113"/>
  <c r="W73" i="113"/>
  <c r="W72" i="113"/>
  <c r="V72" i="113"/>
  <c r="N72" i="113"/>
  <c r="O72" i="113" s="1"/>
  <c r="K72" i="113"/>
  <c r="L72" i="113" s="1"/>
  <c r="J72" i="113"/>
  <c r="P72" i="113" s="1"/>
  <c r="H72" i="113"/>
  <c r="F72" i="113"/>
  <c r="W71" i="113"/>
  <c r="N71" i="113" s="1"/>
  <c r="V71" i="113"/>
  <c r="K71" i="113"/>
  <c r="L71" i="113" s="1"/>
  <c r="J71" i="113"/>
  <c r="P71" i="113" s="1"/>
  <c r="F71" i="113"/>
  <c r="H71" i="113" s="1"/>
  <c r="W70" i="113"/>
  <c r="N70" i="113"/>
  <c r="K70" i="113"/>
  <c r="J70" i="113"/>
  <c r="H70" i="113"/>
  <c r="F70" i="113"/>
  <c r="AE69" i="113"/>
  <c r="AD69" i="113"/>
  <c r="I20" i="112" s="1"/>
  <c r="AA69" i="113"/>
  <c r="Z69" i="113"/>
  <c r="M69" i="113"/>
  <c r="J69" i="113"/>
  <c r="P69" i="113" s="1"/>
  <c r="W68" i="113"/>
  <c r="H68" i="113"/>
  <c r="W67" i="113"/>
  <c r="W66" i="113"/>
  <c r="W65" i="113"/>
  <c r="W64" i="113"/>
  <c r="W63" i="113"/>
  <c r="V63" i="113"/>
  <c r="N63" i="113"/>
  <c r="O63" i="113" s="1"/>
  <c r="L63" i="113"/>
  <c r="K63" i="113"/>
  <c r="J63" i="113"/>
  <c r="P63" i="113" s="1"/>
  <c r="F63" i="113"/>
  <c r="H63" i="113" s="1"/>
  <c r="W62" i="113"/>
  <c r="V62" i="113"/>
  <c r="O62" i="113"/>
  <c r="N62" i="113"/>
  <c r="K62" i="113"/>
  <c r="J62" i="113"/>
  <c r="P62" i="113" s="1"/>
  <c r="H62" i="113"/>
  <c r="F62" i="113"/>
  <c r="W61" i="113"/>
  <c r="V61" i="113"/>
  <c r="P61" i="113"/>
  <c r="N61" i="113"/>
  <c r="K61" i="113"/>
  <c r="L61" i="113" s="1"/>
  <c r="J61" i="113"/>
  <c r="H61" i="113"/>
  <c r="F61" i="113"/>
  <c r="W60" i="113"/>
  <c r="V60" i="113"/>
  <c r="P60" i="113"/>
  <c r="O60" i="113"/>
  <c r="R60" i="113" s="1"/>
  <c r="N60" i="113"/>
  <c r="K60" i="113"/>
  <c r="J60" i="113"/>
  <c r="L60" i="113" s="1"/>
  <c r="F60" i="113"/>
  <c r="H60" i="113" s="1"/>
  <c r="W59" i="113"/>
  <c r="P59" i="113"/>
  <c r="O59" i="113"/>
  <c r="N59" i="113"/>
  <c r="K59" i="113"/>
  <c r="J59" i="113"/>
  <c r="F59" i="113"/>
  <c r="H59" i="113" s="1"/>
  <c r="AE58" i="113"/>
  <c r="AD58" i="113"/>
  <c r="H20" i="112" s="1"/>
  <c r="AA58" i="113"/>
  <c r="Z58" i="113"/>
  <c r="M58" i="113"/>
  <c r="K58" i="113"/>
  <c r="W57" i="113"/>
  <c r="W56" i="113"/>
  <c r="W55" i="113"/>
  <c r="W54" i="113"/>
  <c r="W53" i="113"/>
  <c r="V53" i="113"/>
  <c r="O53" i="113"/>
  <c r="N53" i="113"/>
  <c r="K53" i="113"/>
  <c r="J53" i="113"/>
  <c r="P53" i="113" s="1"/>
  <c r="F53" i="113"/>
  <c r="H53" i="113" s="1"/>
  <c r="AF52" i="113"/>
  <c r="W52" i="113"/>
  <c r="N52" i="113" s="1"/>
  <c r="AG52" i="113" s="1"/>
  <c r="V52" i="113"/>
  <c r="O52" i="113"/>
  <c r="L52" i="113"/>
  <c r="K52" i="113"/>
  <c r="J52" i="113"/>
  <c r="P52" i="113" s="1"/>
  <c r="F52" i="113"/>
  <c r="H52" i="113" s="1"/>
  <c r="W51" i="113"/>
  <c r="N51" i="113" s="1"/>
  <c r="V51" i="113"/>
  <c r="K51" i="113"/>
  <c r="J51" i="113"/>
  <c r="H51" i="113"/>
  <c r="F51" i="113"/>
  <c r="AG50" i="113"/>
  <c r="AF50" i="113"/>
  <c r="W50" i="113"/>
  <c r="N50" i="113" s="1"/>
  <c r="O50" i="113" s="1"/>
  <c r="V50" i="113"/>
  <c r="K50" i="113"/>
  <c r="L50" i="113" s="1"/>
  <c r="Q50" i="113" s="1"/>
  <c r="J50" i="113"/>
  <c r="P50" i="113" s="1"/>
  <c r="F50" i="113"/>
  <c r="H50" i="113" s="1"/>
  <c r="W49" i="113"/>
  <c r="N49" i="113" s="1"/>
  <c r="P49" i="113"/>
  <c r="L49" i="113"/>
  <c r="J49" i="113"/>
  <c r="H49" i="113"/>
  <c r="F49" i="113"/>
  <c r="AE48" i="113"/>
  <c r="AD48" i="113"/>
  <c r="AA48" i="113"/>
  <c r="Z48" i="113"/>
  <c r="W48" i="113"/>
  <c r="M48" i="113"/>
  <c r="W47" i="113"/>
  <c r="H47" i="113"/>
  <c r="W46" i="113"/>
  <c r="W45" i="113"/>
  <c r="W44" i="113"/>
  <c r="W43" i="113"/>
  <c r="W42" i="113"/>
  <c r="AG41" i="113"/>
  <c r="AF41" i="113"/>
  <c r="W41" i="113"/>
  <c r="W40" i="113"/>
  <c r="V40" i="113"/>
  <c r="N40" i="113"/>
  <c r="K40" i="113"/>
  <c r="J40" i="113"/>
  <c r="P40" i="113" s="1"/>
  <c r="F40" i="113"/>
  <c r="H40" i="113" s="1"/>
  <c r="W39" i="113"/>
  <c r="N39" i="113" s="1"/>
  <c r="V39" i="113"/>
  <c r="O39" i="113"/>
  <c r="R39" i="113" s="1"/>
  <c r="L39" i="113"/>
  <c r="K39" i="113"/>
  <c r="J39" i="113"/>
  <c r="P39" i="113" s="1"/>
  <c r="F39" i="113"/>
  <c r="H39" i="113" s="1"/>
  <c r="W38" i="113"/>
  <c r="N38" i="113"/>
  <c r="K38" i="113"/>
  <c r="J38" i="113"/>
  <c r="F38" i="113"/>
  <c r="H38" i="113" s="1"/>
  <c r="AE37" i="113"/>
  <c r="AD37" i="113"/>
  <c r="F20" i="112" s="1"/>
  <c r="AA37" i="113"/>
  <c r="F19" i="112" s="1"/>
  <c r="Z37" i="113"/>
  <c r="M37" i="113"/>
  <c r="W36" i="113"/>
  <c r="H36" i="113"/>
  <c r="W35" i="113"/>
  <c r="W34" i="113"/>
  <c r="W33" i="113"/>
  <c r="W32" i="113"/>
  <c r="AG31" i="113"/>
  <c r="AF31" i="113"/>
  <c r="W31" i="113"/>
  <c r="AG30" i="113"/>
  <c r="W30" i="113"/>
  <c r="V30" i="113"/>
  <c r="N30" i="113"/>
  <c r="K30" i="113"/>
  <c r="L30" i="113" s="1"/>
  <c r="J30" i="113"/>
  <c r="P30" i="113" s="1"/>
  <c r="H30" i="113"/>
  <c r="F30" i="113"/>
  <c r="AG29" i="113"/>
  <c r="AF29" i="113"/>
  <c r="W29" i="113"/>
  <c r="V29" i="113"/>
  <c r="N29" i="113"/>
  <c r="O29" i="113" s="1"/>
  <c r="L29" i="113"/>
  <c r="K29" i="113"/>
  <c r="J29" i="113"/>
  <c r="P29" i="113" s="1"/>
  <c r="F29" i="113"/>
  <c r="H29" i="113" s="1"/>
  <c r="W28" i="113"/>
  <c r="N28" i="113" s="1"/>
  <c r="V28" i="113"/>
  <c r="L28" i="113"/>
  <c r="K28" i="113"/>
  <c r="K37" i="113" s="1"/>
  <c r="J28" i="113"/>
  <c r="P28" i="113" s="1"/>
  <c r="H28" i="113"/>
  <c r="F28" i="113"/>
  <c r="W27" i="113"/>
  <c r="O27" i="113"/>
  <c r="N27" i="113"/>
  <c r="L27" i="113"/>
  <c r="L37" i="113" s="1"/>
  <c r="F13" i="112" s="1"/>
  <c r="K27" i="113"/>
  <c r="J27" i="113"/>
  <c r="F27" i="113"/>
  <c r="H27" i="113" s="1"/>
  <c r="AE26" i="113"/>
  <c r="AD26" i="113"/>
  <c r="AA26" i="113"/>
  <c r="Z26" i="113"/>
  <c r="M26" i="113"/>
  <c r="L26" i="113"/>
  <c r="E13" i="112" s="1"/>
  <c r="W25" i="113"/>
  <c r="H25" i="113"/>
  <c r="W24" i="113"/>
  <c r="H24" i="113"/>
  <c r="W23" i="113"/>
  <c r="W21" i="113"/>
  <c r="W20" i="113"/>
  <c r="AG19" i="113"/>
  <c r="AF19" i="113"/>
  <c r="W19" i="113"/>
  <c r="AG18" i="113"/>
  <c r="AF18" i="113"/>
  <c r="W18" i="113"/>
  <c r="AF17" i="113"/>
  <c r="W17" i="113"/>
  <c r="N17" i="113" s="1"/>
  <c r="V17" i="113"/>
  <c r="K17" i="113"/>
  <c r="L17" i="113" s="1"/>
  <c r="J17" i="113"/>
  <c r="F17" i="113"/>
  <c r="H17" i="113" s="1"/>
  <c r="W16" i="113"/>
  <c r="N16" i="113" s="1"/>
  <c r="P16" i="113"/>
  <c r="K16" i="113"/>
  <c r="L16" i="113" s="1"/>
  <c r="F16" i="113"/>
  <c r="H16" i="113" s="1"/>
  <c r="AE15" i="113"/>
  <c r="D21" i="112" s="1"/>
  <c r="AD15" i="113"/>
  <c r="AA15" i="113"/>
  <c r="D19" i="112" s="1"/>
  <c r="Z15" i="113"/>
  <c r="P15" i="113"/>
  <c r="M15" i="113"/>
  <c r="K15" i="113"/>
  <c r="W14" i="113"/>
  <c r="W13" i="113"/>
  <c r="W12" i="113"/>
  <c r="AG11" i="113"/>
  <c r="AF11" i="113"/>
  <c r="W11" i="113"/>
  <c r="AG10" i="113"/>
  <c r="AF10" i="113"/>
  <c r="W10" i="113"/>
  <c r="AG9" i="113"/>
  <c r="AF9" i="113"/>
  <c r="W9" i="113"/>
  <c r="AG8" i="113"/>
  <c r="AF8" i="113"/>
  <c r="W8" i="113"/>
  <c r="AG7" i="113"/>
  <c r="W7" i="113"/>
  <c r="N7" i="113" s="1"/>
  <c r="O7" i="113" s="1"/>
  <c r="Q7" i="113" s="1"/>
  <c r="V7" i="113"/>
  <c r="R7" i="113"/>
  <c r="K7" i="113"/>
  <c r="L7" i="113" s="1"/>
  <c r="J7" i="113"/>
  <c r="P7" i="113" s="1"/>
  <c r="F7" i="113"/>
  <c r="H7" i="113" s="1"/>
  <c r="AF6" i="113"/>
  <c r="W6" i="113"/>
  <c r="N6" i="113" s="1"/>
  <c r="V6" i="113"/>
  <c r="K6" i="113"/>
  <c r="L6" i="113" s="1"/>
  <c r="J6" i="113"/>
  <c r="P6" i="113" s="1"/>
  <c r="H6" i="113"/>
  <c r="F6" i="113"/>
  <c r="W5" i="113"/>
  <c r="N5" i="113" s="1"/>
  <c r="P5" i="113"/>
  <c r="K5" i="113"/>
  <c r="J5" i="113"/>
  <c r="J15" i="113" s="1"/>
  <c r="H5" i="113"/>
  <c r="F5" i="113"/>
  <c r="AE2" i="113"/>
  <c r="O6" i="112" s="1"/>
  <c r="I2" i="113"/>
  <c r="E1" i="113"/>
  <c r="I22" i="112"/>
  <c r="F22" i="112"/>
  <c r="D22" i="112"/>
  <c r="J21" i="112"/>
  <c r="I21" i="112"/>
  <c r="H21" i="112"/>
  <c r="G21" i="112"/>
  <c r="F21" i="112"/>
  <c r="E21" i="112"/>
  <c r="J20" i="112"/>
  <c r="G20" i="112"/>
  <c r="E20" i="112"/>
  <c r="D20" i="112"/>
  <c r="J19" i="112"/>
  <c r="I19" i="112"/>
  <c r="H19" i="112"/>
  <c r="G19" i="112"/>
  <c r="E19" i="112"/>
  <c r="I18" i="112"/>
  <c r="H18" i="112"/>
  <c r="F18" i="112"/>
  <c r="E18" i="112"/>
  <c r="D18" i="112"/>
  <c r="J16" i="112"/>
  <c r="I16" i="112"/>
  <c r="H16" i="112"/>
  <c r="G16" i="112"/>
  <c r="F16" i="112"/>
  <c r="E16" i="112"/>
  <c r="D16" i="112"/>
  <c r="G3" i="112"/>
  <c r="AE79" i="111"/>
  <c r="AD79" i="111"/>
  <c r="J20" i="110" s="1"/>
  <c r="AA79" i="111"/>
  <c r="Z79" i="111"/>
  <c r="Z2" i="111" s="1"/>
  <c r="L6" i="110" s="1"/>
  <c r="M79" i="111"/>
  <c r="J22" i="110" s="1"/>
  <c r="J79" i="111"/>
  <c r="P79" i="111" s="1"/>
  <c r="W78" i="111"/>
  <c r="H78" i="111"/>
  <c r="W77" i="111"/>
  <c r="H77" i="111"/>
  <c r="W76" i="111"/>
  <c r="H76" i="111"/>
  <c r="W75" i="111"/>
  <c r="H75" i="111"/>
  <c r="W74" i="111"/>
  <c r="W73" i="111"/>
  <c r="W72" i="111"/>
  <c r="N72" i="111" s="1"/>
  <c r="O72" i="111" s="1"/>
  <c r="V72" i="111"/>
  <c r="K72" i="111"/>
  <c r="J72" i="111"/>
  <c r="F72" i="111"/>
  <c r="H72" i="111" s="1"/>
  <c r="W71" i="111"/>
  <c r="N71" i="111" s="1"/>
  <c r="O71" i="111" s="1"/>
  <c r="V71" i="111"/>
  <c r="K71" i="111"/>
  <c r="J71" i="111"/>
  <c r="H71" i="111"/>
  <c r="F71" i="111"/>
  <c r="W70" i="111"/>
  <c r="N70" i="111" s="1"/>
  <c r="P70" i="111"/>
  <c r="K70" i="111"/>
  <c r="F70" i="111"/>
  <c r="H70" i="111" s="1"/>
  <c r="AE69" i="111"/>
  <c r="I21" i="110" s="1"/>
  <c r="AD69" i="111"/>
  <c r="AA69" i="111"/>
  <c r="Z69" i="111"/>
  <c r="M69" i="111"/>
  <c r="K69" i="111"/>
  <c r="W68" i="111"/>
  <c r="H68" i="111"/>
  <c r="W67" i="111"/>
  <c r="W66" i="111"/>
  <c r="W65" i="111"/>
  <c r="W64" i="111"/>
  <c r="V64" i="111"/>
  <c r="P64" i="111"/>
  <c r="N64" i="111"/>
  <c r="O64" i="111" s="1"/>
  <c r="L64" i="111"/>
  <c r="K64" i="111"/>
  <c r="J64" i="111"/>
  <c r="F64" i="111"/>
  <c r="H64" i="111" s="1"/>
  <c r="W63" i="111"/>
  <c r="N63" i="111" s="1"/>
  <c r="O63" i="111" s="1"/>
  <c r="V63" i="111"/>
  <c r="P63" i="111"/>
  <c r="K63" i="111"/>
  <c r="J63" i="111"/>
  <c r="L63" i="111" s="1"/>
  <c r="F63" i="111"/>
  <c r="H63" i="111" s="1"/>
  <c r="W62" i="111"/>
  <c r="V62" i="111"/>
  <c r="N62" i="111"/>
  <c r="O62" i="111" s="1"/>
  <c r="K62" i="111"/>
  <c r="J62" i="111"/>
  <c r="F62" i="111"/>
  <c r="H62" i="111" s="1"/>
  <c r="W61" i="111"/>
  <c r="N61" i="111" s="1"/>
  <c r="V61" i="111"/>
  <c r="L61" i="111"/>
  <c r="K61" i="111"/>
  <c r="J61" i="111"/>
  <c r="P61" i="111" s="1"/>
  <c r="F61" i="111"/>
  <c r="H61" i="111" s="1"/>
  <c r="AF60" i="111"/>
  <c r="W60" i="111"/>
  <c r="N60" i="111" s="1"/>
  <c r="V60" i="111"/>
  <c r="O60" i="111"/>
  <c r="K60" i="111"/>
  <c r="J60" i="111"/>
  <c r="P60" i="111" s="1"/>
  <c r="H60" i="111"/>
  <c r="F60" i="111"/>
  <c r="AG59" i="111"/>
  <c r="W59" i="111"/>
  <c r="N59" i="111" s="1"/>
  <c r="O59" i="111"/>
  <c r="K59" i="111"/>
  <c r="J59" i="111"/>
  <c r="H59" i="111"/>
  <c r="F59" i="111"/>
  <c r="AE58" i="111"/>
  <c r="AD58" i="111"/>
  <c r="AA58" i="111"/>
  <c r="Z58" i="111"/>
  <c r="H18" i="110" s="1"/>
  <c r="M58" i="111"/>
  <c r="W57" i="111"/>
  <c r="W56" i="111"/>
  <c r="W55" i="111"/>
  <c r="W54" i="111"/>
  <c r="AG53" i="111"/>
  <c r="AF53" i="111"/>
  <c r="W53" i="111"/>
  <c r="N53" i="111" s="1"/>
  <c r="O53" i="111" s="1"/>
  <c r="V53" i="111"/>
  <c r="L53" i="111"/>
  <c r="R53" i="111" s="1"/>
  <c r="K53" i="111"/>
  <c r="J53" i="111"/>
  <c r="P53" i="111" s="1"/>
  <c r="H53" i="111"/>
  <c r="F53" i="111"/>
  <c r="W52" i="111"/>
  <c r="N52" i="111" s="1"/>
  <c r="V52" i="111"/>
  <c r="K52" i="111"/>
  <c r="J52" i="111"/>
  <c r="H52" i="111"/>
  <c r="F52" i="111"/>
  <c r="AG51" i="111"/>
  <c r="AF51" i="111"/>
  <c r="W51" i="111"/>
  <c r="V51" i="111"/>
  <c r="N51" i="111"/>
  <c r="O51" i="111" s="1"/>
  <c r="K51" i="111"/>
  <c r="L51" i="111" s="1"/>
  <c r="J51" i="111"/>
  <c r="P51" i="111" s="1"/>
  <c r="H51" i="111"/>
  <c r="F51" i="111"/>
  <c r="AF50" i="111"/>
  <c r="W50" i="111"/>
  <c r="V50" i="111"/>
  <c r="O50" i="111"/>
  <c r="N50" i="111"/>
  <c r="K50" i="111"/>
  <c r="J50" i="111"/>
  <c r="P50" i="111" s="1"/>
  <c r="F50" i="111"/>
  <c r="H50" i="111" s="1"/>
  <c r="W49" i="111"/>
  <c r="N49" i="111" s="1"/>
  <c r="P49" i="111"/>
  <c r="J49" i="111"/>
  <c r="L49" i="111" s="1"/>
  <c r="F49" i="111"/>
  <c r="H49" i="111" s="1"/>
  <c r="AE48" i="111"/>
  <c r="G21" i="110" s="1"/>
  <c r="AD48" i="111"/>
  <c r="G20" i="110" s="1"/>
  <c r="AA48" i="111"/>
  <c r="G19" i="110" s="1"/>
  <c r="Z48" i="111"/>
  <c r="W48" i="111"/>
  <c r="N48" i="111"/>
  <c r="M48" i="111"/>
  <c r="W47" i="111"/>
  <c r="H47" i="111"/>
  <c r="W46" i="111"/>
  <c r="W45" i="111"/>
  <c r="W44" i="111"/>
  <c r="W43" i="111"/>
  <c r="W42" i="111"/>
  <c r="AG41" i="111"/>
  <c r="AF41" i="111"/>
  <c r="W41" i="111"/>
  <c r="AF40" i="111"/>
  <c r="W40" i="111"/>
  <c r="N40" i="111" s="1"/>
  <c r="V40" i="111"/>
  <c r="L40" i="111"/>
  <c r="K40" i="111"/>
  <c r="J40" i="111"/>
  <c r="P40" i="111" s="1"/>
  <c r="H40" i="111"/>
  <c r="F40" i="111"/>
  <c r="W39" i="111"/>
  <c r="N39" i="111" s="1"/>
  <c r="V39" i="111"/>
  <c r="O39" i="111"/>
  <c r="L39" i="111"/>
  <c r="K39" i="111"/>
  <c r="J39" i="111"/>
  <c r="P39" i="111" s="1"/>
  <c r="H39" i="111"/>
  <c r="F39" i="111"/>
  <c r="W38" i="111"/>
  <c r="N38" i="111"/>
  <c r="K38" i="111"/>
  <c r="J38" i="111"/>
  <c r="H38" i="111"/>
  <c r="F38" i="111"/>
  <c r="AE37" i="111"/>
  <c r="AD37" i="111"/>
  <c r="F20" i="110" s="1"/>
  <c r="AA37" i="111"/>
  <c r="Z37" i="111"/>
  <c r="F18" i="110" s="1"/>
  <c r="N37" i="111"/>
  <c r="M37" i="111"/>
  <c r="J37" i="111"/>
  <c r="P37" i="111" s="1"/>
  <c r="W36" i="111"/>
  <c r="H36" i="111"/>
  <c r="W35" i="111"/>
  <c r="W34" i="111"/>
  <c r="W33" i="111"/>
  <c r="W32" i="111"/>
  <c r="W31" i="111"/>
  <c r="W30" i="111"/>
  <c r="N30" i="111" s="1"/>
  <c r="V30" i="111"/>
  <c r="P30" i="111"/>
  <c r="K30" i="111"/>
  <c r="J30" i="111"/>
  <c r="L30" i="111" s="1"/>
  <c r="H30" i="111"/>
  <c r="F30" i="111"/>
  <c r="W29" i="111"/>
  <c r="N29" i="111" s="1"/>
  <c r="V29" i="111"/>
  <c r="P29" i="111"/>
  <c r="K29" i="111"/>
  <c r="L29" i="111" s="1"/>
  <c r="J29" i="111"/>
  <c r="H29" i="111"/>
  <c r="F29" i="111"/>
  <c r="W28" i="111"/>
  <c r="V28" i="111"/>
  <c r="P28" i="111"/>
  <c r="N28" i="111"/>
  <c r="K28" i="111"/>
  <c r="L28" i="111" s="1"/>
  <c r="J28" i="111"/>
  <c r="H28" i="111"/>
  <c r="F28" i="111"/>
  <c r="W27" i="111"/>
  <c r="N27" i="111" s="1"/>
  <c r="K27" i="111"/>
  <c r="J27" i="111"/>
  <c r="P27" i="111" s="1"/>
  <c r="F27" i="111"/>
  <c r="H27" i="111" s="1"/>
  <c r="AE26" i="111"/>
  <c r="E21" i="110" s="1"/>
  <c r="AD26" i="111"/>
  <c r="AA26" i="111"/>
  <c r="Z26" i="111"/>
  <c r="M26" i="111"/>
  <c r="K26" i="111"/>
  <c r="J26" i="111"/>
  <c r="W25" i="111"/>
  <c r="H25" i="111"/>
  <c r="W24" i="111"/>
  <c r="H24" i="111"/>
  <c r="W23" i="111"/>
  <c r="W21" i="111"/>
  <c r="W20" i="111"/>
  <c r="AG19" i="111"/>
  <c r="AF19" i="111"/>
  <c r="W19" i="111"/>
  <c r="AG18" i="111"/>
  <c r="AF18" i="111"/>
  <c r="W18" i="111"/>
  <c r="W17" i="111"/>
  <c r="V17" i="111"/>
  <c r="P17" i="111"/>
  <c r="N17" i="111"/>
  <c r="K17" i="111"/>
  <c r="J17" i="111"/>
  <c r="F17" i="111"/>
  <c r="H17" i="111" s="1"/>
  <c r="W16" i="111"/>
  <c r="P16" i="111"/>
  <c r="N16" i="111"/>
  <c r="K16" i="111"/>
  <c r="L16" i="111" s="1"/>
  <c r="F16" i="111"/>
  <c r="H16" i="111" s="1"/>
  <c r="AE15" i="111"/>
  <c r="AD15" i="111"/>
  <c r="AA15" i="111"/>
  <c r="Z15" i="111"/>
  <c r="D18" i="110" s="1"/>
  <c r="M15" i="111"/>
  <c r="K15" i="111"/>
  <c r="J15" i="111"/>
  <c r="W14" i="111"/>
  <c r="W13" i="111"/>
  <c r="W12" i="111"/>
  <c r="AG11" i="111"/>
  <c r="AF11" i="111"/>
  <c r="W11" i="111"/>
  <c r="AG10" i="111"/>
  <c r="AF10" i="111"/>
  <c r="W10" i="111"/>
  <c r="AG9" i="111"/>
  <c r="AF9" i="111"/>
  <c r="W9" i="111"/>
  <c r="AG8" i="111"/>
  <c r="AF8" i="111"/>
  <c r="W8" i="111"/>
  <c r="V8" i="111"/>
  <c r="P8" i="111"/>
  <c r="N8" i="111"/>
  <c r="O8" i="111" s="1"/>
  <c r="L8" i="111"/>
  <c r="K8" i="111"/>
  <c r="J8" i="111"/>
  <c r="F8" i="111"/>
  <c r="H8" i="111" s="1"/>
  <c r="AG7" i="111"/>
  <c r="W7" i="111"/>
  <c r="V7" i="111"/>
  <c r="P7" i="111"/>
  <c r="N7" i="111"/>
  <c r="AF7" i="111" s="1"/>
  <c r="L7" i="111"/>
  <c r="K7" i="111"/>
  <c r="J7" i="111"/>
  <c r="F7" i="111"/>
  <c r="H7" i="111" s="1"/>
  <c r="W6" i="111"/>
  <c r="V6" i="111"/>
  <c r="P6" i="111"/>
  <c r="N6" i="111"/>
  <c r="L6" i="111"/>
  <c r="K6" i="111"/>
  <c r="J6" i="111"/>
  <c r="H6" i="111"/>
  <c r="F6" i="111"/>
  <c r="W5" i="111"/>
  <c r="P5" i="111"/>
  <c r="N5" i="111"/>
  <c r="K5" i="111"/>
  <c r="J5" i="111"/>
  <c r="L5" i="111" s="1"/>
  <c r="F5" i="111"/>
  <c r="H5" i="111" s="1"/>
  <c r="I2" i="111"/>
  <c r="I1" i="111"/>
  <c r="E1" i="111"/>
  <c r="G3" i="110" s="1"/>
  <c r="H22" i="110"/>
  <c r="F22" i="110"/>
  <c r="D22" i="110"/>
  <c r="J21" i="110"/>
  <c r="H21" i="110"/>
  <c r="F21" i="110"/>
  <c r="D21" i="110"/>
  <c r="I20" i="110"/>
  <c r="H20" i="110"/>
  <c r="D20" i="110"/>
  <c r="J19" i="110"/>
  <c r="I19" i="110"/>
  <c r="H19" i="110"/>
  <c r="F19" i="110"/>
  <c r="E19" i="110"/>
  <c r="J18" i="110"/>
  <c r="I18" i="110"/>
  <c r="G18" i="110"/>
  <c r="E18" i="110"/>
  <c r="J16" i="110"/>
  <c r="I16" i="110"/>
  <c r="H16" i="110"/>
  <c r="G16" i="110"/>
  <c r="F16" i="110"/>
  <c r="E16" i="110"/>
  <c r="D16" i="110"/>
  <c r="AE79" i="109"/>
  <c r="AD79" i="109"/>
  <c r="AA79" i="109"/>
  <c r="Z79" i="109"/>
  <c r="M79" i="109"/>
  <c r="K79" i="109"/>
  <c r="W78" i="109"/>
  <c r="H78" i="109"/>
  <c r="W77" i="109"/>
  <c r="H77" i="109"/>
  <c r="W76" i="109"/>
  <c r="H76" i="109"/>
  <c r="W75" i="109"/>
  <c r="H75" i="109"/>
  <c r="W74" i="109"/>
  <c r="W73" i="109"/>
  <c r="W72" i="109"/>
  <c r="W71" i="109"/>
  <c r="N71" i="109" s="1"/>
  <c r="V71" i="109"/>
  <c r="O71" i="109"/>
  <c r="K71" i="109"/>
  <c r="J71" i="109"/>
  <c r="F71" i="109"/>
  <c r="H71" i="109" s="1"/>
  <c r="AG70" i="109"/>
  <c r="W70" i="109"/>
  <c r="N70" i="109" s="1"/>
  <c r="P70" i="109"/>
  <c r="K70" i="109"/>
  <c r="L70" i="109" s="1"/>
  <c r="F70" i="109"/>
  <c r="H70" i="109" s="1"/>
  <c r="AE69" i="109"/>
  <c r="AD69" i="109"/>
  <c r="AA69" i="109"/>
  <c r="I19" i="108" s="1"/>
  <c r="Z69" i="109"/>
  <c r="I18" i="108" s="1"/>
  <c r="M69" i="109"/>
  <c r="W68" i="109"/>
  <c r="H68" i="109"/>
  <c r="W67" i="109"/>
  <c r="W66" i="109"/>
  <c r="W65" i="109"/>
  <c r="W64" i="109"/>
  <c r="W63" i="109"/>
  <c r="N63" i="109" s="1"/>
  <c r="O63" i="109" s="1"/>
  <c r="V63" i="109"/>
  <c r="P63" i="109"/>
  <c r="L63" i="109"/>
  <c r="K63" i="109"/>
  <c r="J63" i="109"/>
  <c r="F63" i="109"/>
  <c r="H63" i="109" s="1"/>
  <c r="W62" i="109"/>
  <c r="V62" i="109"/>
  <c r="N62" i="109"/>
  <c r="K62" i="109"/>
  <c r="J62" i="109"/>
  <c r="P62" i="109" s="1"/>
  <c r="H62" i="109"/>
  <c r="F62" i="109"/>
  <c r="W61" i="109"/>
  <c r="V61" i="109"/>
  <c r="N61" i="109"/>
  <c r="K61" i="109"/>
  <c r="L61" i="109" s="1"/>
  <c r="J61" i="109"/>
  <c r="P61" i="109" s="1"/>
  <c r="H61" i="109"/>
  <c r="F61" i="109"/>
  <c r="W60" i="109"/>
  <c r="V60" i="109"/>
  <c r="P60" i="109"/>
  <c r="N60" i="109"/>
  <c r="K60" i="109"/>
  <c r="J60" i="109"/>
  <c r="H60" i="109"/>
  <c r="F60" i="109"/>
  <c r="AG59" i="109"/>
  <c r="AF59" i="109"/>
  <c r="W59" i="109"/>
  <c r="N59" i="109" s="1"/>
  <c r="O59" i="109"/>
  <c r="L59" i="109"/>
  <c r="K59" i="109"/>
  <c r="J59" i="109"/>
  <c r="H59" i="109"/>
  <c r="F59" i="109"/>
  <c r="AE58" i="109"/>
  <c r="AD58" i="109"/>
  <c r="AA58" i="109"/>
  <c r="Z58" i="109"/>
  <c r="H18" i="108" s="1"/>
  <c r="M58" i="109"/>
  <c r="W57" i="109"/>
  <c r="W56" i="109"/>
  <c r="W55" i="109"/>
  <c r="W54" i="109"/>
  <c r="AG53" i="109"/>
  <c r="AF53" i="109"/>
  <c r="W53" i="109"/>
  <c r="W52" i="109"/>
  <c r="N52" i="109" s="1"/>
  <c r="V52" i="109"/>
  <c r="L52" i="109"/>
  <c r="K52" i="109"/>
  <c r="J52" i="109"/>
  <c r="P52" i="109" s="1"/>
  <c r="F52" i="109"/>
  <c r="H52" i="109" s="1"/>
  <c r="AF51" i="109"/>
  <c r="W51" i="109"/>
  <c r="N51" i="109" s="1"/>
  <c r="V51" i="109"/>
  <c r="O51" i="109"/>
  <c r="K51" i="109"/>
  <c r="J51" i="109"/>
  <c r="P51" i="109" s="1"/>
  <c r="H51" i="109"/>
  <c r="F51" i="109"/>
  <c r="AG50" i="109"/>
  <c r="AF50" i="109"/>
  <c r="W50" i="109"/>
  <c r="V50" i="109"/>
  <c r="O50" i="109"/>
  <c r="N50" i="109"/>
  <c r="K50" i="109"/>
  <c r="J50" i="109"/>
  <c r="P50" i="109" s="1"/>
  <c r="F50" i="109"/>
  <c r="H50" i="109" s="1"/>
  <c r="AG49" i="109"/>
  <c r="W49" i="109"/>
  <c r="P49" i="109"/>
  <c r="O49" i="109"/>
  <c r="N49" i="109"/>
  <c r="AF49" i="109" s="1"/>
  <c r="L49" i="109"/>
  <c r="J49" i="109"/>
  <c r="H49" i="109"/>
  <c r="F49" i="109"/>
  <c r="AE48" i="109"/>
  <c r="AD48" i="109"/>
  <c r="AA48" i="109"/>
  <c r="Z48" i="109"/>
  <c r="W48" i="109"/>
  <c r="M48" i="109"/>
  <c r="W47" i="109"/>
  <c r="H47" i="109"/>
  <c r="W46" i="109"/>
  <c r="W45" i="109"/>
  <c r="W44" i="109"/>
  <c r="W43" i="109"/>
  <c r="W42" i="109"/>
  <c r="AG41" i="109"/>
  <c r="AF41" i="109"/>
  <c r="W41" i="109"/>
  <c r="AG40" i="109"/>
  <c r="AF40" i="109"/>
  <c r="W40" i="109"/>
  <c r="V40" i="109"/>
  <c r="O40" i="109"/>
  <c r="N40" i="109"/>
  <c r="K40" i="109"/>
  <c r="J40" i="109"/>
  <c r="P40" i="109" s="1"/>
  <c r="H40" i="109"/>
  <c r="F40" i="109"/>
  <c r="W39" i="109"/>
  <c r="V39" i="109"/>
  <c r="N39" i="109"/>
  <c r="K39" i="109"/>
  <c r="J39" i="109"/>
  <c r="F39" i="109"/>
  <c r="H39" i="109" s="1"/>
  <c r="AG38" i="109"/>
  <c r="AF38" i="109"/>
  <c r="W38" i="109"/>
  <c r="N38" i="109" s="1"/>
  <c r="P38" i="109"/>
  <c r="K38" i="109"/>
  <c r="J38" i="109"/>
  <c r="F38" i="109"/>
  <c r="H38" i="109" s="1"/>
  <c r="AE37" i="109"/>
  <c r="F21" i="108" s="1"/>
  <c r="AD37" i="109"/>
  <c r="F20" i="108" s="1"/>
  <c r="AA37" i="109"/>
  <c r="F19" i="108" s="1"/>
  <c r="Z37" i="109"/>
  <c r="F18" i="108" s="1"/>
  <c r="M37" i="109"/>
  <c r="W36" i="109"/>
  <c r="H36" i="109"/>
  <c r="W35" i="109"/>
  <c r="W34" i="109"/>
  <c r="W33" i="109"/>
  <c r="W32" i="109"/>
  <c r="W31" i="109"/>
  <c r="V31" i="109"/>
  <c r="P31" i="109"/>
  <c r="O31" i="109"/>
  <c r="N31" i="109"/>
  <c r="L31" i="109"/>
  <c r="K31" i="109"/>
  <c r="J31" i="109"/>
  <c r="F31" i="109"/>
  <c r="H31" i="109" s="1"/>
  <c r="AF30" i="109"/>
  <c r="W30" i="109"/>
  <c r="N30" i="109" s="1"/>
  <c r="AG30" i="109" s="1"/>
  <c r="V30" i="109"/>
  <c r="P30" i="109"/>
  <c r="O30" i="109"/>
  <c r="L30" i="109"/>
  <c r="K30" i="109"/>
  <c r="J30" i="109"/>
  <c r="H30" i="109"/>
  <c r="F30" i="109"/>
  <c r="W29" i="109"/>
  <c r="N29" i="109" s="1"/>
  <c r="V29" i="109"/>
  <c r="O29" i="109"/>
  <c r="K29" i="109"/>
  <c r="J29" i="109"/>
  <c r="P29" i="109" s="1"/>
  <c r="H29" i="109"/>
  <c r="F29" i="109"/>
  <c r="AG28" i="109"/>
  <c r="W28" i="109"/>
  <c r="V28" i="109"/>
  <c r="N28" i="109"/>
  <c r="K28" i="109"/>
  <c r="L28" i="109" s="1"/>
  <c r="J28" i="109"/>
  <c r="P28" i="109" s="1"/>
  <c r="H28" i="109"/>
  <c r="F28" i="109"/>
  <c r="W27" i="109"/>
  <c r="O27" i="109"/>
  <c r="N27" i="109"/>
  <c r="K27" i="109"/>
  <c r="J27" i="109"/>
  <c r="H27" i="109"/>
  <c r="F27" i="109"/>
  <c r="AE26" i="109"/>
  <c r="AD26" i="109"/>
  <c r="E20" i="108" s="1"/>
  <c r="AA26" i="109"/>
  <c r="Z26" i="109"/>
  <c r="M26" i="109"/>
  <c r="W25" i="109"/>
  <c r="H25" i="109"/>
  <c r="W24" i="109"/>
  <c r="H24" i="109"/>
  <c r="W23" i="109"/>
  <c r="W21" i="109"/>
  <c r="W20" i="109"/>
  <c r="AG19" i="109"/>
  <c r="AF19" i="109"/>
  <c r="W19" i="109"/>
  <c r="W18" i="109"/>
  <c r="V18" i="109"/>
  <c r="P18" i="109"/>
  <c r="N18" i="109"/>
  <c r="K18" i="109"/>
  <c r="J18" i="109"/>
  <c r="L18" i="109" s="1"/>
  <c r="F18" i="109"/>
  <c r="H18" i="109" s="1"/>
  <c r="AG17" i="109"/>
  <c r="AF17" i="109"/>
  <c r="W17" i="109"/>
  <c r="N17" i="109" s="1"/>
  <c r="V17" i="109"/>
  <c r="P17" i="109"/>
  <c r="O17" i="109"/>
  <c r="L17" i="109"/>
  <c r="K17" i="109"/>
  <c r="J17" i="109"/>
  <c r="F17" i="109"/>
  <c r="H17" i="109" s="1"/>
  <c r="W16" i="109"/>
  <c r="P16" i="109"/>
  <c r="N16" i="109"/>
  <c r="K16" i="109"/>
  <c r="F16" i="109"/>
  <c r="H16" i="109" s="1"/>
  <c r="AE15" i="109"/>
  <c r="AD15" i="109"/>
  <c r="AA15" i="109"/>
  <c r="Z15" i="109"/>
  <c r="D18" i="108" s="1"/>
  <c r="N15" i="109"/>
  <c r="M15" i="109"/>
  <c r="D22" i="108" s="1"/>
  <c r="W14" i="109"/>
  <c r="W13" i="109"/>
  <c r="W12" i="109"/>
  <c r="AG11" i="109"/>
  <c r="AF11" i="109"/>
  <c r="W11" i="109"/>
  <c r="AG10" i="109"/>
  <c r="AF10" i="109"/>
  <c r="W10" i="109"/>
  <c r="AG9" i="109"/>
  <c r="AF9" i="109"/>
  <c r="W9" i="109"/>
  <c r="W8" i="109"/>
  <c r="V8" i="109"/>
  <c r="N8" i="109"/>
  <c r="K8" i="109"/>
  <c r="J8" i="109"/>
  <c r="P8" i="109" s="1"/>
  <c r="H8" i="109"/>
  <c r="F8" i="109"/>
  <c r="W7" i="109"/>
  <c r="N7" i="109" s="1"/>
  <c r="V7" i="109"/>
  <c r="P7" i="109"/>
  <c r="L7" i="109"/>
  <c r="K7" i="109"/>
  <c r="J7" i="109"/>
  <c r="H7" i="109"/>
  <c r="F7" i="109"/>
  <c r="AF6" i="109"/>
  <c r="W6" i="109"/>
  <c r="N6" i="109" s="1"/>
  <c r="V6" i="109"/>
  <c r="P6" i="109"/>
  <c r="K6" i="109"/>
  <c r="L6" i="109" s="1"/>
  <c r="J6" i="109"/>
  <c r="F6" i="109"/>
  <c r="H6" i="109" s="1"/>
  <c r="W5" i="109"/>
  <c r="N5" i="109" s="1"/>
  <c r="O5" i="109"/>
  <c r="K5" i="109"/>
  <c r="J5" i="109"/>
  <c r="H5" i="109"/>
  <c r="F5" i="109"/>
  <c r="I2" i="109"/>
  <c r="E1" i="109"/>
  <c r="G3" i="108" s="1"/>
  <c r="J22" i="108"/>
  <c r="I22" i="108"/>
  <c r="G22" i="108"/>
  <c r="F22" i="108"/>
  <c r="E22" i="108"/>
  <c r="J21" i="108"/>
  <c r="I21" i="108"/>
  <c r="H21" i="108"/>
  <c r="G21" i="108"/>
  <c r="E21" i="108"/>
  <c r="J20" i="108"/>
  <c r="I20" i="108"/>
  <c r="H20" i="108"/>
  <c r="G20" i="108"/>
  <c r="J19" i="108"/>
  <c r="H19" i="108"/>
  <c r="G19" i="108"/>
  <c r="D19" i="108"/>
  <c r="J18" i="108"/>
  <c r="G18" i="108"/>
  <c r="J16" i="108"/>
  <c r="I16" i="108"/>
  <c r="H16" i="108"/>
  <c r="G16" i="108"/>
  <c r="F16" i="108"/>
  <c r="E16" i="108"/>
  <c r="D16" i="108"/>
  <c r="AE79" i="107"/>
  <c r="AD79" i="107"/>
  <c r="J20" i="106" s="1"/>
  <c r="AA79" i="107"/>
  <c r="J18" i="106" s="1"/>
  <c r="Z79" i="107"/>
  <c r="M79" i="107"/>
  <c r="W78" i="107"/>
  <c r="H78" i="107"/>
  <c r="W77" i="107"/>
  <c r="H77" i="107"/>
  <c r="W76" i="107"/>
  <c r="H76" i="107"/>
  <c r="W75" i="107"/>
  <c r="H75" i="107"/>
  <c r="W74" i="107"/>
  <c r="W73" i="107"/>
  <c r="V73" i="107"/>
  <c r="P73" i="107"/>
  <c r="N73" i="107"/>
  <c r="O73" i="107" s="1"/>
  <c r="K73" i="107"/>
  <c r="L73" i="107" s="1"/>
  <c r="F73" i="107"/>
  <c r="H73" i="107" s="1"/>
  <c r="W72" i="107"/>
  <c r="N72" i="107" s="1"/>
  <c r="O72" i="107" s="1"/>
  <c r="V72" i="107"/>
  <c r="K72" i="107"/>
  <c r="J72" i="107"/>
  <c r="H72" i="107"/>
  <c r="F72" i="107"/>
  <c r="W71" i="107"/>
  <c r="V71" i="107"/>
  <c r="P71" i="107"/>
  <c r="N71" i="107"/>
  <c r="O71" i="107" s="1"/>
  <c r="K71" i="107"/>
  <c r="L71" i="107" s="1"/>
  <c r="J71" i="107"/>
  <c r="H71" i="107"/>
  <c r="F71" i="107"/>
  <c r="W70" i="107"/>
  <c r="P70" i="107"/>
  <c r="N70" i="107"/>
  <c r="K70" i="107"/>
  <c r="H70" i="107"/>
  <c r="F70" i="107"/>
  <c r="AE69" i="107"/>
  <c r="I21" i="106" s="1"/>
  <c r="AD69" i="107"/>
  <c r="AA69" i="107"/>
  <c r="I19" i="106" s="1"/>
  <c r="Z69" i="107"/>
  <c r="M69" i="107"/>
  <c r="W68" i="107"/>
  <c r="H68" i="107"/>
  <c r="W67" i="107"/>
  <c r="W66" i="107"/>
  <c r="W65" i="107"/>
  <c r="W64" i="107"/>
  <c r="V64" i="107"/>
  <c r="R64" i="107"/>
  <c r="P64" i="107"/>
  <c r="N64" i="107"/>
  <c r="O64" i="107" s="1"/>
  <c r="Q64" i="107" s="1"/>
  <c r="K64" i="107"/>
  <c r="L64" i="107" s="1"/>
  <c r="J64" i="107"/>
  <c r="H64" i="107"/>
  <c r="F64" i="107"/>
  <c r="W63" i="107"/>
  <c r="V63" i="107"/>
  <c r="N63" i="107"/>
  <c r="O63" i="107" s="1"/>
  <c r="K63" i="107"/>
  <c r="J63" i="107"/>
  <c r="P63" i="107" s="1"/>
  <c r="F63" i="107"/>
  <c r="H63" i="107" s="1"/>
  <c r="AF62" i="107"/>
  <c r="W62" i="107"/>
  <c r="V62" i="107"/>
  <c r="P62" i="107"/>
  <c r="O62" i="107"/>
  <c r="N62" i="107"/>
  <c r="AG62" i="107" s="1"/>
  <c r="K62" i="107"/>
  <c r="L62" i="107" s="1"/>
  <c r="J62" i="107"/>
  <c r="F62" i="107"/>
  <c r="H62" i="107" s="1"/>
  <c r="W61" i="107"/>
  <c r="V61" i="107"/>
  <c r="P61" i="107"/>
  <c r="O61" i="107"/>
  <c r="N61" i="107"/>
  <c r="K61" i="107"/>
  <c r="L61" i="107" s="1"/>
  <c r="Q61" i="107" s="1"/>
  <c r="J61" i="107"/>
  <c r="H61" i="107"/>
  <c r="F61" i="107"/>
  <c r="W60" i="107"/>
  <c r="V60" i="107"/>
  <c r="P60" i="107"/>
  <c r="O60" i="107"/>
  <c r="N60" i="107"/>
  <c r="K60" i="107"/>
  <c r="L60" i="107" s="1"/>
  <c r="R60" i="107" s="1"/>
  <c r="J60" i="107"/>
  <c r="H60" i="107"/>
  <c r="F60" i="107"/>
  <c r="W59" i="107"/>
  <c r="N59" i="107" s="1"/>
  <c r="AG59" i="107" s="1"/>
  <c r="R59" i="107"/>
  <c r="Q59" i="107"/>
  <c r="P59" i="107"/>
  <c r="O59" i="107"/>
  <c r="L59" i="107"/>
  <c r="K59" i="107"/>
  <c r="J59" i="107"/>
  <c r="H59" i="107"/>
  <c r="F59" i="107"/>
  <c r="AE58" i="107"/>
  <c r="AD58" i="107"/>
  <c r="AA58" i="107"/>
  <c r="H19" i="106" s="1"/>
  <c r="Z58" i="107"/>
  <c r="M58" i="107"/>
  <c r="W57" i="107"/>
  <c r="W56" i="107"/>
  <c r="W55" i="107"/>
  <c r="W54" i="107"/>
  <c r="AG53" i="107"/>
  <c r="AF53" i="107"/>
  <c r="W53" i="107"/>
  <c r="W52" i="107"/>
  <c r="N52" i="107" s="1"/>
  <c r="V52" i="107"/>
  <c r="K52" i="107"/>
  <c r="J52" i="107"/>
  <c r="L52" i="107" s="1"/>
  <c r="H52" i="107"/>
  <c r="F52" i="107"/>
  <c r="W51" i="107"/>
  <c r="N51" i="107" s="1"/>
  <c r="AG51" i="107" s="1"/>
  <c r="V51" i="107"/>
  <c r="O51" i="107"/>
  <c r="K51" i="107"/>
  <c r="AF51" i="107" s="1"/>
  <c r="J51" i="107"/>
  <c r="P51" i="107" s="1"/>
  <c r="H51" i="107"/>
  <c r="F51" i="107"/>
  <c r="W50" i="107"/>
  <c r="V50" i="107"/>
  <c r="O50" i="107"/>
  <c r="N50" i="107"/>
  <c r="K50" i="107"/>
  <c r="L50" i="107" s="1"/>
  <c r="J50" i="107"/>
  <c r="P50" i="107" s="1"/>
  <c r="H50" i="107"/>
  <c r="F50" i="107"/>
  <c r="AG49" i="107"/>
  <c r="W49" i="107"/>
  <c r="O49" i="107"/>
  <c r="N49" i="107"/>
  <c r="AF49" i="107" s="1"/>
  <c r="J49" i="107"/>
  <c r="F49" i="107"/>
  <c r="H49" i="107" s="1"/>
  <c r="AE48" i="107"/>
  <c r="AD48" i="107"/>
  <c r="AA48" i="107"/>
  <c r="G19" i="106" s="1"/>
  <c r="Z48" i="107"/>
  <c r="W48" i="107"/>
  <c r="M48" i="107"/>
  <c r="J48" i="107"/>
  <c r="P48" i="107" s="1"/>
  <c r="W47" i="107"/>
  <c r="H47" i="107"/>
  <c r="W46" i="107"/>
  <c r="W45" i="107"/>
  <c r="W44" i="107"/>
  <c r="W43" i="107"/>
  <c r="W42" i="107"/>
  <c r="AG41" i="107"/>
  <c r="AF41" i="107"/>
  <c r="W41" i="107"/>
  <c r="W40" i="107"/>
  <c r="N40" i="107" s="1"/>
  <c r="V40" i="107"/>
  <c r="R40" i="107"/>
  <c r="P40" i="107"/>
  <c r="O40" i="107"/>
  <c r="Q40" i="107" s="1"/>
  <c r="K40" i="107"/>
  <c r="J40" i="107"/>
  <c r="L40" i="107" s="1"/>
  <c r="F40" i="107"/>
  <c r="H40" i="107" s="1"/>
  <c r="AF39" i="107"/>
  <c r="W39" i="107"/>
  <c r="N39" i="107" s="1"/>
  <c r="AG39" i="107" s="1"/>
  <c r="V39" i="107"/>
  <c r="P39" i="107"/>
  <c r="O39" i="107"/>
  <c r="R39" i="107" s="1"/>
  <c r="L39" i="107"/>
  <c r="K39" i="107"/>
  <c r="J39" i="107"/>
  <c r="H39" i="107"/>
  <c r="F39" i="107"/>
  <c r="W38" i="107"/>
  <c r="P38" i="107"/>
  <c r="N38" i="107"/>
  <c r="L38" i="107"/>
  <c r="L48" i="107" s="1"/>
  <c r="G13" i="106" s="1"/>
  <c r="K38" i="107"/>
  <c r="K48" i="107" s="1"/>
  <c r="J38" i="107"/>
  <c r="F38" i="107"/>
  <c r="H38" i="107" s="1"/>
  <c r="AE37" i="107"/>
  <c r="F21" i="106" s="1"/>
  <c r="AD37" i="107"/>
  <c r="AA37" i="107"/>
  <c r="F19" i="106" s="1"/>
  <c r="Z37" i="107"/>
  <c r="M37" i="107"/>
  <c r="W36" i="107"/>
  <c r="H36" i="107"/>
  <c r="W35" i="107"/>
  <c r="W34" i="107"/>
  <c r="W33" i="107"/>
  <c r="W32" i="107"/>
  <c r="W31" i="107"/>
  <c r="N31" i="107" s="1"/>
  <c r="V31" i="107"/>
  <c r="O31" i="107"/>
  <c r="K31" i="107"/>
  <c r="L31" i="107" s="1"/>
  <c r="J31" i="107"/>
  <c r="P31" i="107" s="1"/>
  <c r="H31" i="107"/>
  <c r="F31" i="107"/>
  <c r="W30" i="107"/>
  <c r="N30" i="107" s="1"/>
  <c r="V30" i="107"/>
  <c r="K30" i="107"/>
  <c r="L30" i="107" s="1"/>
  <c r="J30" i="107"/>
  <c r="P30" i="107" s="1"/>
  <c r="H30" i="107"/>
  <c r="F30" i="107"/>
  <c r="W29" i="107"/>
  <c r="V29" i="107"/>
  <c r="O29" i="107"/>
  <c r="N29" i="107"/>
  <c r="K29" i="107"/>
  <c r="AG29" i="107" s="1"/>
  <c r="J29" i="107"/>
  <c r="P29" i="107" s="1"/>
  <c r="F29" i="107"/>
  <c r="H29" i="107" s="1"/>
  <c r="W28" i="107"/>
  <c r="V28" i="107"/>
  <c r="O28" i="107"/>
  <c r="N28" i="107"/>
  <c r="K28" i="107"/>
  <c r="J28" i="107"/>
  <c r="F28" i="107"/>
  <c r="H28" i="107" s="1"/>
  <c r="W27" i="107"/>
  <c r="N27" i="107" s="1"/>
  <c r="P27" i="107"/>
  <c r="L27" i="107"/>
  <c r="K27" i="107"/>
  <c r="J27" i="107"/>
  <c r="F27" i="107"/>
  <c r="H27" i="107" s="1"/>
  <c r="AE26" i="107"/>
  <c r="E21" i="106" s="1"/>
  <c r="AD26" i="107"/>
  <c r="E20" i="106" s="1"/>
  <c r="AA26" i="107"/>
  <c r="E19" i="106" s="1"/>
  <c r="Z26" i="107"/>
  <c r="M26" i="107"/>
  <c r="K26" i="107"/>
  <c r="W25" i="107"/>
  <c r="H25" i="107"/>
  <c r="W24" i="107"/>
  <c r="H24" i="107"/>
  <c r="W23" i="107"/>
  <c r="W21" i="107"/>
  <c r="W20" i="107"/>
  <c r="W19" i="107"/>
  <c r="N19" i="107" s="1"/>
  <c r="V19" i="107"/>
  <c r="P19" i="107"/>
  <c r="K19" i="107"/>
  <c r="L19" i="107" s="1"/>
  <c r="F19" i="107"/>
  <c r="H19" i="107" s="1"/>
  <c r="W18" i="107"/>
  <c r="V18" i="107"/>
  <c r="P18" i="107"/>
  <c r="N18" i="107"/>
  <c r="K18" i="107"/>
  <c r="L18" i="107" s="1"/>
  <c r="J18" i="107"/>
  <c r="F18" i="107"/>
  <c r="H18" i="107" s="1"/>
  <c r="AF17" i="107"/>
  <c r="W17" i="107"/>
  <c r="N17" i="107" s="1"/>
  <c r="AG17" i="107" s="1"/>
  <c r="V17" i="107"/>
  <c r="P17" i="107"/>
  <c r="O17" i="107"/>
  <c r="K17" i="107"/>
  <c r="J17" i="107"/>
  <c r="F17" i="107"/>
  <c r="H17" i="107" s="1"/>
  <c r="W16" i="107"/>
  <c r="N16" i="107" s="1"/>
  <c r="P16" i="107"/>
  <c r="K16" i="107"/>
  <c r="L16" i="107" s="1"/>
  <c r="F16" i="107"/>
  <c r="H16" i="107" s="1"/>
  <c r="AE15" i="107"/>
  <c r="D21" i="106" s="1"/>
  <c r="AD15" i="107"/>
  <c r="D20" i="106" s="1"/>
  <c r="AA15" i="107"/>
  <c r="Z15" i="107"/>
  <c r="M15" i="107"/>
  <c r="W14" i="107"/>
  <c r="W13" i="107"/>
  <c r="W12" i="107"/>
  <c r="AG11" i="107"/>
  <c r="AF11" i="107"/>
  <c r="W11" i="107"/>
  <c r="AG10" i="107"/>
  <c r="AF10" i="107"/>
  <c r="W10" i="107"/>
  <c r="AG9" i="107"/>
  <c r="AF9" i="107"/>
  <c r="W9" i="107"/>
  <c r="W8" i="107"/>
  <c r="V8" i="107"/>
  <c r="P8" i="107"/>
  <c r="N8" i="107"/>
  <c r="L8" i="107"/>
  <c r="K8" i="107"/>
  <c r="J8" i="107"/>
  <c r="F8" i="107"/>
  <c r="H8" i="107" s="1"/>
  <c r="W7" i="107"/>
  <c r="V7" i="107"/>
  <c r="N7" i="107"/>
  <c r="O7" i="107" s="1"/>
  <c r="K7" i="107"/>
  <c r="L7" i="107" s="1"/>
  <c r="J7" i="107"/>
  <c r="H7" i="107"/>
  <c r="F7" i="107"/>
  <c r="W6" i="107"/>
  <c r="V6" i="107"/>
  <c r="P6" i="107"/>
  <c r="O6" i="107"/>
  <c r="N6" i="107"/>
  <c r="K6" i="107"/>
  <c r="J6" i="107"/>
  <c r="F6" i="107"/>
  <c r="H6" i="107" s="1"/>
  <c r="AG5" i="107"/>
  <c r="AF5" i="107"/>
  <c r="W5" i="107"/>
  <c r="N5" i="107" s="1"/>
  <c r="P5" i="107"/>
  <c r="O5" i="107"/>
  <c r="L5" i="107"/>
  <c r="K5" i="107"/>
  <c r="J5" i="107"/>
  <c r="F5" i="107"/>
  <c r="H5" i="107" s="1"/>
  <c r="AE2" i="107"/>
  <c r="O6" i="106" s="1"/>
  <c r="I2" i="107"/>
  <c r="E1" i="107"/>
  <c r="J22" i="106"/>
  <c r="I22" i="106"/>
  <c r="H22" i="106"/>
  <c r="G22" i="106"/>
  <c r="F22" i="106"/>
  <c r="E22" i="106"/>
  <c r="J21" i="106"/>
  <c r="H21" i="106"/>
  <c r="G21" i="106"/>
  <c r="I20" i="106"/>
  <c r="H20" i="106"/>
  <c r="G20" i="106"/>
  <c r="F20" i="106"/>
  <c r="J19" i="106"/>
  <c r="I18" i="106"/>
  <c r="G18" i="106"/>
  <c r="F18" i="106"/>
  <c r="E18" i="106"/>
  <c r="D18" i="106"/>
  <c r="J16" i="106"/>
  <c r="I16" i="106"/>
  <c r="H16" i="106"/>
  <c r="G16" i="106"/>
  <c r="F16" i="106"/>
  <c r="E16" i="106"/>
  <c r="D16" i="106"/>
  <c r="G3" i="106"/>
  <c r="AE79" i="105"/>
  <c r="AD79" i="105"/>
  <c r="AA79" i="105"/>
  <c r="J18" i="104" s="1"/>
  <c r="Z79" i="105"/>
  <c r="P79" i="105"/>
  <c r="M79" i="105"/>
  <c r="K79" i="105"/>
  <c r="W78" i="105"/>
  <c r="H78" i="105"/>
  <c r="W77" i="105"/>
  <c r="H77" i="105"/>
  <c r="W76" i="105"/>
  <c r="H76" i="105"/>
  <c r="W75" i="105"/>
  <c r="H75" i="105"/>
  <c r="W74" i="105"/>
  <c r="W73" i="105"/>
  <c r="W72" i="105"/>
  <c r="W71" i="105"/>
  <c r="V71" i="105"/>
  <c r="P71" i="105"/>
  <c r="O71" i="105"/>
  <c r="N71" i="105"/>
  <c r="K71" i="105"/>
  <c r="L71" i="105" s="1"/>
  <c r="J71" i="105"/>
  <c r="J79" i="105" s="1"/>
  <c r="H71" i="105"/>
  <c r="F71" i="105"/>
  <c r="W70" i="105"/>
  <c r="N70" i="105" s="1"/>
  <c r="P70" i="105"/>
  <c r="K70" i="105"/>
  <c r="L70" i="105" s="1"/>
  <c r="F70" i="105"/>
  <c r="H70" i="105" s="1"/>
  <c r="AE69" i="105"/>
  <c r="AD69" i="105"/>
  <c r="I20" i="104" s="1"/>
  <c r="AA69" i="105"/>
  <c r="I19" i="104" s="1"/>
  <c r="Z69" i="105"/>
  <c r="I18" i="104" s="1"/>
  <c r="M69" i="105"/>
  <c r="W68" i="105"/>
  <c r="H68" i="105"/>
  <c r="W67" i="105"/>
  <c r="W66" i="105"/>
  <c r="W65" i="105"/>
  <c r="W64" i="105"/>
  <c r="W63" i="105"/>
  <c r="W62" i="105"/>
  <c r="V62" i="105"/>
  <c r="P62" i="105"/>
  <c r="N62" i="105"/>
  <c r="K62" i="105"/>
  <c r="L62" i="105" s="1"/>
  <c r="J62" i="105"/>
  <c r="F62" i="105"/>
  <c r="H62" i="105" s="1"/>
  <c r="W61" i="105"/>
  <c r="V61" i="105"/>
  <c r="P61" i="105"/>
  <c r="O61" i="105"/>
  <c r="N61" i="105"/>
  <c r="L61" i="105"/>
  <c r="K61" i="105"/>
  <c r="J61" i="105"/>
  <c r="F61" i="105"/>
  <c r="H61" i="105" s="1"/>
  <c r="AG60" i="105"/>
  <c r="AF60" i="105"/>
  <c r="W60" i="105"/>
  <c r="N60" i="105" s="1"/>
  <c r="V60" i="105"/>
  <c r="O60" i="105"/>
  <c r="K60" i="105"/>
  <c r="J60" i="105"/>
  <c r="F60" i="105"/>
  <c r="H60" i="105" s="1"/>
  <c r="AG59" i="105"/>
  <c r="W59" i="105"/>
  <c r="N59" i="105"/>
  <c r="K59" i="105"/>
  <c r="J59" i="105"/>
  <c r="P59" i="105" s="1"/>
  <c r="F59" i="105"/>
  <c r="H59" i="105" s="1"/>
  <c r="AE58" i="105"/>
  <c r="H21" i="104" s="1"/>
  <c r="AD58" i="105"/>
  <c r="AA58" i="105"/>
  <c r="H19" i="104" s="1"/>
  <c r="Z58" i="105"/>
  <c r="P58" i="105"/>
  <c r="M58" i="105"/>
  <c r="H22" i="104" s="1"/>
  <c r="W57" i="105"/>
  <c r="W56" i="105"/>
  <c r="W55" i="105"/>
  <c r="W54" i="105"/>
  <c r="W53" i="105"/>
  <c r="N53" i="105" s="1"/>
  <c r="V53" i="105"/>
  <c r="P53" i="105"/>
  <c r="K53" i="105"/>
  <c r="J53" i="105"/>
  <c r="L53" i="105" s="1"/>
  <c r="F53" i="105"/>
  <c r="H53" i="105" s="1"/>
  <c r="AG52" i="105"/>
  <c r="W52" i="105"/>
  <c r="N52" i="105" s="1"/>
  <c r="O52" i="105" s="1"/>
  <c r="V52" i="105"/>
  <c r="R52" i="105"/>
  <c r="Q52" i="105"/>
  <c r="L52" i="105"/>
  <c r="K52" i="105"/>
  <c r="J52" i="105"/>
  <c r="P52" i="105" s="1"/>
  <c r="F52" i="105"/>
  <c r="H52" i="105" s="1"/>
  <c r="W51" i="105"/>
  <c r="V51" i="105"/>
  <c r="N51" i="105"/>
  <c r="K51" i="105"/>
  <c r="K58" i="105" s="1"/>
  <c r="J51" i="105"/>
  <c r="P51" i="105" s="1"/>
  <c r="H51" i="105"/>
  <c r="F51" i="105"/>
  <c r="W50" i="105"/>
  <c r="V50" i="105"/>
  <c r="P50" i="105"/>
  <c r="N50" i="105"/>
  <c r="L50" i="105"/>
  <c r="K50" i="105"/>
  <c r="J50" i="105"/>
  <c r="F50" i="105"/>
  <c r="H50" i="105" s="1"/>
  <c r="W49" i="105"/>
  <c r="P49" i="105"/>
  <c r="N49" i="105"/>
  <c r="L49" i="105"/>
  <c r="J49" i="105"/>
  <c r="J58" i="105" s="1"/>
  <c r="F49" i="105"/>
  <c r="H49" i="105" s="1"/>
  <c r="AE48" i="105"/>
  <c r="AD48" i="105"/>
  <c r="G20" i="104" s="1"/>
  <c r="AA48" i="105"/>
  <c r="G19" i="104" s="1"/>
  <c r="Z48" i="105"/>
  <c r="G18" i="104" s="1"/>
  <c r="W48" i="105"/>
  <c r="M48" i="105"/>
  <c r="W47" i="105"/>
  <c r="H47" i="105"/>
  <c r="W46" i="105"/>
  <c r="W45" i="105"/>
  <c r="W44" i="105"/>
  <c r="W43" i="105"/>
  <c r="W42" i="105"/>
  <c r="AG41" i="105"/>
  <c r="AF41" i="105"/>
  <c r="W41" i="105"/>
  <c r="W40" i="105"/>
  <c r="N40" i="105" s="1"/>
  <c r="V40" i="105"/>
  <c r="P40" i="105"/>
  <c r="O40" i="105"/>
  <c r="K40" i="105"/>
  <c r="J40" i="105"/>
  <c r="L40" i="105" s="1"/>
  <c r="H40" i="105"/>
  <c r="F40" i="105"/>
  <c r="W39" i="105"/>
  <c r="N39" i="105" s="1"/>
  <c r="V39" i="105"/>
  <c r="L39" i="105"/>
  <c r="K39" i="105"/>
  <c r="J39" i="105"/>
  <c r="P39" i="105" s="1"/>
  <c r="F39" i="105"/>
  <c r="H39" i="105" s="1"/>
  <c r="W38" i="105"/>
  <c r="N38" i="105" s="1"/>
  <c r="P38" i="105"/>
  <c r="K38" i="105"/>
  <c r="J38" i="105"/>
  <c r="F38" i="105"/>
  <c r="H38" i="105" s="1"/>
  <c r="AE37" i="105"/>
  <c r="F21" i="104" s="1"/>
  <c r="AD37" i="105"/>
  <c r="AA37" i="105"/>
  <c r="Z37" i="105"/>
  <c r="M37" i="105"/>
  <c r="W36" i="105"/>
  <c r="H36" i="105"/>
  <c r="W35" i="105"/>
  <c r="W34" i="105"/>
  <c r="W33" i="105"/>
  <c r="W32" i="105"/>
  <c r="AG31" i="105"/>
  <c r="AF31" i="105"/>
  <c r="W31" i="105"/>
  <c r="W30" i="105"/>
  <c r="V30" i="105"/>
  <c r="O30" i="105"/>
  <c r="N30" i="105"/>
  <c r="K30" i="105"/>
  <c r="L30" i="105" s="1"/>
  <c r="J30" i="105"/>
  <c r="P30" i="105" s="1"/>
  <c r="H30" i="105"/>
  <c r="F30" i="105"/>
  <c r="W29" i="105"/>
  <c r="V29" i="105"/>
  <c r="P29" i="105"/>
  <c r="O29" i="105"/>
  <c r="N29" i="105"/>
  <c r="L29" i="105"/>
  <c r="K29" i="105"/>
  <c r="J29" i="105"/>
  <c r="H29" i="105"/>
  <c r="F29" i="105"/>
  <c r="W28" i="105"/>
  <c r="V28" i="105"/>
  <c r="P28" i="105"/>
  <c r="O28" i="105"/>
  <c r="N28" i="105"/>
  <c r="K28" i="105"/>
  <c r="L28" i="105" s="1"/>
  <c r="J28" i="105"/>
  <c r="F28" i="105"/>
  <c r="H28" i="105" s="1"/>
  <c r="W27" i="105"/>
  <c r="N27" i="105" s="1"/>
  <c r="O27" i="105" s="1"/>
  <c r="K27" i="105"/>
  <c r="J27" i="105"/>
  <c r="F27" i="105"/>
  <c r="H27" i="105" s="1"/>
  <c r="AE26" i="105"/>
  <c r="AD26" i="105"/>
  <c r="AA26" i="105"/>
  <c r="Z26" i="105"/>
  <c r="E18" i="104" s="1"/>
  <c r="M26" i="105"/>
  <c r="W25" i="105"/>
  <c r="H25" i="105"/>
  <c r="W24" i="105"/>
  <c r="H24" i="105"/>
  <c r="W23" i="105"/>
  <c r="W21" i="105"/>
  <c r="W20" i="105"/>
  <c r="AG19" i="105"/>
  <c r="AF19" i="105"/>
  <c r="W19" i="105"/>
  <c r="AG18" i="105"/>
  <c r="AF18" i="105"/>
  <c r="W18" i="105"/>
  <c r="W17" i="105"/>
  <c r="V17" i="105"/>
  <c r="N17" i="105"/>
  <c r="K17" i="105"/>
  <c r="J17" i="105"/>
  <c r="F17" i="105"/>
  <c r="H17" i="105" s="1"/>
  <c r="W16" i="105"/>
  <c r="N16" i="105" s="1"/>
  <c r="P16" i="105"/>
  <c r="K16" i="105"/>
  <c r="L16" i="105" s="1"/>
  <c r="F16" i="105"/>
  <c r="H16" i="105" s="1"/>
  <c r="AE15" i="105"/>
  <c r="AD15" i="105"/>
  <c r="D20" i="104" s="1"/>
  <c r="AA15" i="105"/>
  <c r="D19" i="104" s="1"/>
  <c r="Z15" i="105"/>
  <c r="M15" i="105"/>
  <c r="L15" i="105"/>
  <c r="D13" i="104" s="1"/>
  <c r="K15" i="105"/>
  <c r="J15" i="105"/>
  <c r="W14" i="105"/>
  <c r="W13" i="105"/>
  <c r="W12" i="105"/>
  <c r="AG11" i="105"/>
  <c r="AF11" i="105"/>
  <c r="W11" i="105"/>
  <c r="AG10" i="105"/>
  <c r="AF10" i="105"/>
  <c r="W10" i="105"/>
  <c r="AG9" i="105"/>
  <c r="AF9" i="105"/>
  <c r="W9" i="105"/>
  <c r="AG8" i="105"/>
  <c r="AF8" i="105"/>
  <c r="W8" i="105"/>
  <c r="AG7" i="105"/>
  <c r="AF7" i="105"/>
  <c r="W7" i="105"/>
  <c r="V7" i="105"/>
  <c r="P7" i="105"/>
  <c r="O7" i="105"/>
  <c r="R7" i="105" s="1"/>
  <c r="N7" i="105"/>
  <c r="L7" i="105"/>
  <c r="K7" i="105"/>
  <c r="J7" i="105"/>
  <c r="F7" i="105"/>
  <c r="H7" i="105" s="1"/>
  <c r="W6" i="105"/>
  <c r="V6" i="105"/>
  <c r="R6" i="105"/>
  <c r="Q6" i="105"/>
  <c r="P6" i="105"/>
  <c r="O6" i="105"/>
  <c r="N6" i="105"/>
  <c r="L6" i="105"/>
  <c r="K6" i="105"/>
  <c r="J6" i="105"/>
  <c r="F6" i="105"/>
  <c r="H6" i="105" s="1"/>
  <c r="W5" i="105"/>
  <c r="N5" i="105" s="1"/>
  <c r="P5" i="105"/>
  <c r="K5" i="105"/>
  <c r="L5" i="105" s="1"/>
  <c r="J5" i="105"/>
  <c r="F5" i="105"/>
  <c r="H5" i="105" s="1"/>
  <c r="AD2" i="105"/>
  <c r="N6" i="104" s="1"/>
  <c r="AA2" i="105"/>
  <c r="M6" i="104" s="1"/>
  <c r="I2" i="105"/>
  <c r="E1" i="105"/>
  <c r="J22" i="104"/>
  <c r="I22" i="104"/>
  <c r="G22" i="104"/>
  <c r="J21" i="104"/>
  <c r="I21" i="104"/>
  <c r="E21" i="104"/>
  <c r="D21" i="104"/>
  <c r="J20" i="104"/>
  <c r="H20" i="104"/>
  <c r="F20" i="104"/>
  <c r="E20" i="104"/>
  <c r="J19" i="104"/>
  <c r="F19" i="104"/>
  <c r="E19" i="104"/>
  <c r="H18" i="104"/>
  <c r="F18" i="104"/>
  <c r="J16" i="104"/>
  <c r="I16" i="104"/>
  <c r="H16" i="104"/>
  <c r="G16" i="104"/>
  <c r="F16" i="104"/>
  <c r="E16" i="104"/>
  <c r="D16" i="104"/>
  <c r="G3" i="104"/>
  <c r="AG79" i="103"/>
  <c r="AH70" i="103" s="1"/>
  <c r="AF79" i="103"/>
  <c r="AE79" i="103"/>
  <c r="J21" i="102" s="1"/>
  <c r="AD79" i="103"/>
  <c r="AA79" i="103"/>
  <c r="Z79" i="103"/>
  <c r="W78" i="103"/>
  <c r="H78" i="103"/>
  <c r="W77" i="103"/>
  <c r="H77" i="103"/>
  <c r="W76" i="103"/>
  <c r="H76" i="103"/>
  <c r="W75" i="103"/>
  <c r="W74" i="103"/>
  <c r="W73" i="103"/>
  <c r="W72" i="103"/>
  <c r="W71" i="103"/>
  <c r="AG70" i="103"/>
  <c r="AF70" i="103"/>
  <c r="W70" i="103"/>
  <c r="S70" i="103"/>
  <c r="J15" i="102" s="1"/>
  <c r="AE69" i="103"/>
  <c r="AD69" i="103"/>
  <c r="I20" i="102" s="1"/>
  <c r="AA69" i="103"/>
  <c r="Z69" i="103"/>
  <c r="P69" i="103"/>
  <c r="M69" i="103"/>
  <c r="I22" i="102" s="1"/>
  <c r="K69" i="103"/>
  <c r="J69" i="103"/>
  <c r="W68" i="103"/>
  <c r="H68" i="103"/>
  <c r="W67" i="103"/>
  <c r="W66" i="103"/>
  <c r="W65" i="103"/>
  <c r="W64" i="103"/>
  <c r="W63" i="103"/>
  <c r="W62" i="103"/>
  <c r="N62" i="103" s="1"/>
  <c r="V62" i="103"/>
  <c r="K62" i="103"/>
  <c r="J62" i="103"/>
  <c r="P62" i="103" s="1"/>
  <c r="F62" i="103"/>
  <c r="H62" i="103" s="1"/>
  <c r="AF61" i="103"/>
  <c r="W61" i="103"/>
  <c r="N61" i="103" s="1"/>
  <c r="V61" i="103"/>
  <c r="K61" i="103"/>
  <c r="L61" i="103" s="1"/>
  <c r="J61" i="103"/>
  <c r="P61" i="103" s="1"/>
  <c r="H61" i="103"/>
  <c r="F61" i="103"/>
  <c r="AF60" i="103"/>
  <c r="W60" i="103"/>
  <c r="N60" i="103" s="1"/>
  <c r="V60" i="103"/>
  <c r="P60" i="103"/>
  <c r="O60" i="103"/>
  <c r="K60" i="103"/>
  <c r="L60" i="103" s="1"/>
  <c r="J60" i="103"/>
  <c r="F60" i="103"/>
  <c r="H60" i="103" s="1"/>
  <c r="W59" i="103"/>
  <c r="Q59" i="103"/>
  <c r="P59" i="103"/>
  <c r="O59" i="103"/>
  <c r="N59" i="103"/>
  <c r="K59" i="103"/>
  <c r="J59" i="103"/>
  <c r="L59" i="103" s="1"/>
  <c r="F59" i="103"/>
  <c r="H59" i="103" s="1"/>
  <c r="AE58" i="103"/>
  <c r="AD58" i="103"/>
  <c r="H20" i="102" s="1"/>
  <c r="AA58" i="103"/>
  <c r="Z58" i="103"/>
  <c r="H18" i="102" s="1"/>
  <c r="M58" i="103"/>
  <c r="K58" i="103"/>
  <c r="J58" i="103"/>
  <c r="P58" i="103" s="1"/>
  <c r="W57" i="103"/>
  <c r="W56" i="103"/>
  <c r="W55" i="103"/>
  <c r="W54" i="103"/>
  <c r="N54" i="103" s="1"/>
  <c r="O54" i="103" s="1"/>
  <c r="V54" i="103"/>
  <c r="R54" i="103"/>
  <c r="K54" i="103"/>
  <c r="L54" i="103" s="1"/>
  <c r="Q54" i="103" s="1"/>
  <c r="J54" i="103"/>
  <c r="P54" i="103" s="1"/>
  <c r="H54" i="103"/>
  <c r="F54" i="103"/>
  <c r="W53" i="103"/>
  <c r="N53" i="103" s="1"/>
  <c r="O53" i="103" s="1"/>
  <c r="V53" i="103"/>
  <c r="L53" i="103"/>
  <c r="K53" i="103"/>
  <c r="J53" i="103"/>
  <c r="P53" i="103" s="1"/>
  <c r="F53" i="103"/>
  <c r="H53" i="103" s="1"/>
  <c r="AG52" i="103"/>
  <c r="AF52" i="103"/>
  <c r="W52" i="103"/>
  <c r="V52" i="103"/>
  <c r="P52" i="103"/>
  <c r="N52" i="103"/>
  <c r="O52" i="103" s="1"/>
  <c r="K52" i="103"/>
  <c r="L52" i="103" s="1"/>
  <c r="J52" i="103"/>
  <c r="H52" i="103"/>
  <c r="F52" i="103"/>
  <c r="W51" i="103"/>
  <c r="V51" i="103"/>
  <c r="R51" i="103"/>
  <c r="Q51" i="103"/>
  <c r="P51" i="103"/>
  <c r="O51" i="103"/>
  <c r="N51" i="103"/>
  <c r="K51" i="103"/>
  <c r="L51" i="103" s="1"/>
  <c r="J51" i="103"/>
  <c r="F51" i="103"/>
  <c r="H51" i="103" s="1"/>
  <c r="AF50" i="103"/>
  <c r="W50" i="103"/>
  <c r="N50" i="103" s="1"/>
  <c r="AG50" i="103" s="1"/>
  <c r="V50" i="103"/>
  <c r="R50" i="103"/>
  <c r="P50" i="103"/>
  <c r="O50" i="103"/>
  <c r="Q50" i="103" s="1"/>
  <c r="L50" i="103"/>
  <c r="K50" i="103"/>
  <c r="J50" i="103"/>
  <c r="F50" i="103"/>
  <c r="H50" i="103" s="1"/>
  <c r="AG49" i="103"/>
  <c r="W49" i="103"/>
  <c r="N49" i="103" s="1"/>
  <c r="P49" i="103"/>
  <c r="K49" i="103"/>
  <c r="J49" i="103"/>
  <c r="F49" i="103"/>
  <c r="H49" i="103" s="1"/>
  <c r="AE48" i="103"/>
  <c r="AD48" i="103"/>
  <c r="G20" i="102" s="1"/>
  <c r="AA48" i="103"/>
  <c r="Z48" i="103"/>
  <c r="W48" i="103"/>
  <c r="M48" i="103"/>
  <c r="J48" i="103"/>
  <c r="W47" i="103"/>
  <c r="H47" i="103"/>
  <c r="W46" i="103"/>
  <c r="W45" i="103"/>
  <c r="W44" i="103"/>
  <c r="W43" i="103"/>
  <c r="W42" i="103"/>
  <c r="AG41" i="103"/>
  <c r="AF41" i="103"/>
  <c r="W41" i="103"/>
  <c r="AG40" i="103"/>
  <c r="AF40" i="103"/>
  <c r="W40" i="103"/>
  <c r="W39" i="103"/>
  <c r="V39" i="103"/>
  <c r="O39" i="103"/>
  <c r="N39" i="103"/>
  <c r="K39" i="103"/>
  <c r="K48" i="103" s="1"/>
  <c r="J39" i="103"/>
  <c r="P39" i="103" s="1"/>
  <c r="F39" i="103"/>
  <c r="H39" i="103" s="1"/>
  <c r="W38" i="103"/>
  <c r="P38" i="103"/>
  <c r="N38" i="103"/>
  <c r="K38" i="103"/>
  <c r="L38" i="103" s="1"/>
  <c r="J38" i="103"/>
  <c r="H38" i="103"/>
  <c r="F38" i="103"/>
  <c r="AE37" i="103"/>
  <c r="AD37" i="103"/>
  <c r="F20" i="102" s="1"/>
  <c r="AA37" i="103"/>
  <c r="Z37" i="103"/>
  <c r="N37" i="103"/>
  <c r="M37" i="103"/>
  <c r="F22" i="102" s="1"/>
  <c r="W36" i="103"/>
  <c r="H36" i="103"/>
  <c r="W35" i="103"/>
  <c r="W34" i="103"/>
  <c r="W33" i="103"/>
  <c r="W32" i="103"/>
  <c r="AG31" i="103"/>
  <c r="AF31" i="103"/>
  <c r="W31" i="103"/>
  <c r="AG30" i="103"/>
  <c r="AF30" i="103"/>
  <c r="W30" i="103"/>
  <c r="N30" i="103" s="1"/>
  <c r="O30" i="103" s="1"/>
  <c r="V30" i="103"/>
  <c r="K30" i="103"/>
  <c r="J30" i="103"/>
  <c r="P30" i="103" s="1"/>
  <c r="F30" i="103"/>
  <c r="H30" i="103" s="1"/>
  <c r="W29" i="103"/>
  <c r="N29" i="103" s="1"/>
  <c r="AF29" i="103" s="1"/>
  <c r="V29" i="103"/>
  <c r="K29" i="103"/>
  <c r="J29" i="103"/>
  <c r="H29" i="103"/>
  <c r="F29" i="103"/>
  <c r="W28" i="103"/>
  <c r="N28" i="103" s="1"/>
  <c r="V28" i="103"/>
  <c r="P28" i="103"/>
  <c r="K28" i="103"/>
  <c r="J28" i="103"/>
  <c r="F28" i="103"/>
  <c r="H28" i="103" s="1"/>
  <c r="W27" i="103"/>
  <c r="N27" i="103"/>
  <c r="L27" i="103"/>
  <c r="K27" i="103"/>
  <c r="K37" i="103" s="1"/>
  <c r="J27" i="103"/>
  <c r="P27" i="103" s="1"/>
  <c r="F27" i="103"/>
  <c r="H27" i="103" s="1"/>
  <c r="AE26" i="103"/>
  <c r="E21" i="102" s="1"/>
  <c r="AD26" i="103"/>
  <c r="E20" i="102" s="1"/>
  <c r="AA26" i="103"/>
  <c r="Z26" i="103"/>
  <c r="O26" i="103"/>
  <c r="M26" i="103"/>
  <c r="J26" i="103"/>
  <c r="W25" i="103"/>
  <c r="H25" i="103"/>
  <c r="W24" i="103"/>
  <c r="H24" i="103"/>
  <c r="W23" i="103"/>
  <c r="W21" i="103"/>
  <c r="W20" i="103"/>
  <c r="AG19" i="103"/>
  <c r="AF19" i="103"/>
  <c r="W19" i="103"/>
  <c r="AG18" i="103"/>
  <c r="AF18" i="103"/>
  <c r="W18" i="103"/>
  <c r="W17" i="103"/>
  <c r="N17" i="103" s="1"/>
  <c r="V17" i="103"/>
  <c r="O17" i="103"/>
  <c r="K17" i="103"/>
  <c r="J17" i="103"/>
  <c r="P17" i="103" s="1"/>
  <c r="F17" i="103"/>
  <c r="H17" i="103" s="1"/>
  <c r="W16" i="103"/>
  <c r="P16" i="103"/>
  <c r="O16" i="103"/>
  <c r="N16" i="103"/>
  <c r="L16" i="103"/>
  <c r="K16" i="103"/>
  <c r="K26" i="103" s="1"/>
  <c r="H16" i="103"/>
  <c r="F16" i="103"/>
  <c r="AE15" i="103"/>
  <c r="AD15" i="103"/>
  <c r="AA15" i="103"/>
  <c r="D19" i="102" s="1"/>
  <c r="Z15" i="103"/>
  <c r="P15" i="103"/>
  <c r="M15" i="103"/>
  <c r="W14" i="103"/>
  <c r="W13" i="103"/>
  <c r="W12" i="103"/>
  <c r="AG11" i="103"/>
  <c r="AF11" i="103"/>
  <c r="W11" i="103"/>
  <c r="AG10" i="103"/>
  <c r="AF10" i="103"/>
  <c r="W10" i="103"/>
  <c r="AG9" i="103"/>
  <c r="AF9" i="103"/>
  <c r="W9" i="103"/>
  <c r="AG8" i="103"/>
  <c r="AF8" i="103"/>
  <c r="W8" i="103"/>
  <c r="AF7" i="103"/>
  <c r="W7" i="103"/>
  <c r="N7" i="103" s="1"/>
  <c r="V7" i="103"/>
  <c r="P7" i="103"/>
  <c r="L7" i="103"/>
  <c r="K7" i="103"/>
  <c r="J7" i="103"/>
  <c r="H7" i="103"/>
  <c r="F7" i="103"/>
  <c r="W6" i="103"/>
  <c r="N6" i="103" s="1"/>
  <c r="O6" i="103" s="1"/>
  <c r="V6" i="103"/>
  <c r="K6" i="103"/>
  <c r="J6" i="103"/>
  <c r="P6" i="103" s="1"/>
  <c r="H6" i="103"/>
  <c r="F6" i="103"/>
  <c r="W5" i="103"/>
  <c r="N5" i="103" s="1"/>
  <c r="AG5" i="103" s="1"/>
  <c r="P5" i="103"/>
  <c r="L5" i="103"/>
  <c r="K5" i="103"/>
  <c r="J5" i="103"/>
  <c r="J15" i="103" s="1"/>
  <c r="F5" i="103"/>
  <c r="H5" i="103" s="1"/>
  <c r="AE2" i="103"/>
  <c r="O6" i="102" s="1"/>
  <c r="I2" i="103"/>
  <c r="E1" i="103"/>
  <c r="G3" i="102" s="1"/>
  <c r="J22" i="102"/>
  <c r="H22" i="102"/>
  <c r="D22" i="102"/>
  <c r="I21" i="102"/>
  <c r="H21" i="102"/>
  <c r="G21" i="102"/>
  <c r="F21" i="102"/>
  <c r="D21" i="102"/>
  <c r="J20" i="102"/>
  <c r="D20" i="102"/>
  <c r="J19" i="102"/>
  <c r="I19" i="102"/>
  <c r="G19" i="102"/>
  <c r="F19" i="102"/>
  <c r="E19" i="102"/>
  <c r="J18" i="102"/>
  <c r="I18" i="102"/>
  <c r="G18" i="102"/>
  <c r="F18" i="102"/>
  <c r="E18" i="102"/>
  <c r="D18" i="102"/>
  <c r="J16" i="102"/>
  <c r="I16" i="102"/>
  <c r="H16" i="102"/>
  <c r="G16" i="102"/>
  <c r="F16" i="102"/>
  <c r="E16" i="102"/>
  <c r="D16" i="102"/>
  <c r="J14" i="102"/>
  <c r="J13" i="102"/>
  <c r="AE79" i="101"/>
  <c r="J21" i="100" s="1"/>
  <c r="AD79" i="101"/>
  <c r="J20" i="100" s="1"/>
  <c r="AA79" i="101"/>
  <c r="Z79" i="101"/>
  <c r="M79" i="101"/>
  <c r="J79" i="101"/>
  <c r="P79" i="101" s="1"/>
  <c r="W78" i="101"/>
  <c r="H78" i="101"/>
  <c r="W77" i="101"/>
  <c r="H77" i="101"/>
  <c r="W76" i="101"/>
  <c r="H76" i="101"/>
  <c r="W75" i="101"/>
  <c r="H75" i="101"/>
  <c r="W74" i="101"/>
  <c r="W73" i="101"/>
  <c r="W72" i="101"/>
  <c r="W71" i="101"/>
  <c r="N71" i="101" s="1"/>
  <c r="O71" i="101" s="1"/>
  <c r="Q71" i="101" s="1"/>
  <c r="V71" i="101"/>
  <c r="R71" i="101"/>
  <c r="P71" i="101"/>
  <c r="K71" i="101"/>
  <c r="L71" i="101" s="1"/>
  <c r="J71" i="101"/>
  <c r="F71" i="101"/>
  <c r="H71" i="101" s="1"/>
  <c r="W70" i="101"/>
  <c r="N70" i="101" s="1"/>
  <c r="P70" i="101"/>
  <c r="O70" i="101"/>
  <c r="K70" i="101"/>
  <c r="K79" i="101" s="1"/>
  <c r="F70" i="101"/>
  <c r="H70" i="101" s="1"/>
  <c r="AE69" i="101"/>
  <c r="AD69" i="101"/>
  <c r="I20" i="100" s="1"/>
  <c r="AA69" i="101"/>
  <c r="Z69" i="101"/>
  <c r="M69" i="101"/>
  <c r="I22" i="100" s="1"/>
  <c r="W68" i="101"/>
  <c r="H68" i="101"/>
  <c r="W67" i="101"/>
  <c r="W66" i="101"/>
  <c r="W65" i="101"/>
  <c r="W64" i="101"/>
  <c r="W63" i="101"/>
  <c r="AG62" i="101"/>
  <c r="AF62" i="101"/>
  <c r="W62" i="101"/>
  <c r="N62" i="101" s="1"/>
  <c r="O62" i="101" s="1"/>
  <c r="V62" i="101"/>
  <c r="R62" i="101"/>
  <c r="Q62" i="101"/>
  <c r="P62" i="101"/>
  <c r="K62" i="101"/>
  <c r="L62" i="101" s="1"/>
  <c r="J62" i="101"/>
  <c r="F62" i="101"/>
  <c r="H62" i="101" s="1"/>
  <c r="W61" i="101"/>
  <c r="N61" i="101" s="1"/>
  <c r="V61" i="101"/>
  <c r="P61" i="101"/>
  <c r="K61" i="101"/>
  <c r="L61" i="101" s="1"/>
  <c r="J61" i="101"/>
  <c r="H61" i="101"/>
  <c r="F61" i="101"/>
  <c r="W60" i="101"/>
  <c r="N60" i="101" s="1"/>
  <c r="V60" i="101"/>
  <c r="K60" i="101"/>
  <c r="J60" i="101"/>
  <c r="F60" i="101"/>
  <c r="H60" i="101" s="1"/>
  <c r="W59" i="101"/>
  <c r="O59" i="101"/>
  <c r="N59" i="101"/>
  <c r="L59" i="101"/>
  <c r="K59" i="101"/>
  <c r="J59" i="101"/>
  <c r="P59" i="101" s="1"/>
  <c r="F59" i="101"/>
  <c r="H59" i="101" s="1"/>
  <c r="AE58" i="101"/>
  <c r="H21" i="100" s="1"/>
  <c r="AD58" i="101"/>
  <c r="AA58" i="101"/>
  <c r="Z58" i="101"/>
  <c r="H18" i="100" s="1"/>
  <c r="M58" i="101"/>
  <c r="K58" i="101"/>
  <c r="J58" i="101"/>
  <c r="W57" i="101"/>
  <c r="W56" i="101"/>
  <c r="W55" i="101"/>
  <c r="W54" i="101"/>
  <c r="AG53" i="101"/>
  <c r="AF53" i="101"/>
  <c r="W53" i="101"/>
  <c r="W52" i="101"/>
  <c r="V52" i="101"/>
  <c r="P52" i="101"/>
  <c r="N52" i="101"/>
  <c r="K52" i="101"/>
  <c r="L52" i="101" s="1"/>
  <c r="J52" i="101"/>
  <c r="F52" i="101"/>
  <c r="H52" i="101" s="1"/>
  <c r="W51" i="101"/>
  <c r="V51" i="101"/>
  <c r="P51" i="101"/>
  <c r="N51" i="101"/>
  <c r="L51" i="101"/>
  <c r="K51" i="101"/>
  <c r="J51" i="101"/>
  <c r="F51" i="101"/>
  <c r="H51" i="101" s="1"/>
  <c r="W50" i="101"/>
  <c r="N50" i="101" s="1"/>
  <c r="V50" i="101"/>
  <c r="P50" i="101"/>
  <c r="L50" i="101"/>
  <c r="K50" i="101"/>
  <c r="J50" i="101"/>
  <c r="H50" i="101"/>
  <c r="F50" i="101"/>
  <c r="AG49" i="101"/>
  <c r="AF49" i="101"/>
  <c r="W49" i="101"/>
  <c r="P49" i="101"/>
  <c r="N49" i="101"/>
  <c r="L49" i="101"/>
  <c r="J49" i="101"/>
  <c r="H49" i="101"/>
  <c r="F49" i="101"/>
  <c r="AE48" i="101"/>
  <c r="G21" i="100" s="1"/>
  <c r="AD48" i="101"/>
  <c r="G20" i="100" s="1"/>
  <c r="AA48" i="101"/>
  <c r="Z48" i="101"/>
  <c r="G18" i="100" s="1"/>
  <c r="W48" i="101"/>
  <c r="M48" i="101"/>
  <c r="K48" i="101"/>
  <c r="J48" i="101"/>
  <c r="W47" i="101"/>
  <c r="H47" i="101"/>
  <c r="W46" i="101"/>
  <c r="W45" i="101"/>
  <c r="W44" i="101"/>
  <c r="W43" i="101"/>
  <c r="W42" i="101"/>
  <c r="AG41" i="101"/>
  <c r="AF41" i="101"/>
  <c r="W41" i="101"/>
  <c r="AG40" i="101"/>
  <c r="AF40" i="101"/>
  <c r="W40" i="101"/>
  <c r="AG39" i="101"/>
  <c r="W39" i="101"/>
  <c r="V39" i="101"/>
  <c r="P39" i="101"/>
  <c r="N39" i="101"/>
  <c r="K39" i="101"/>
  <c r="L39" i="101" s="1"/>
  <c r="J39" i="101"/>
  <c r="H39" i="101"/>
  <c r="F39" i="101"/>
  <c r="AG38" i="101"/>
  <c r="AF38" i="101"/>
  <c r="W38" i="101"/>
  <c r="N38" i="101" s="1"/>
  <c r="O38" i="101"/>
  <c r="K38" i="101"/>
  <c r="J38" i="101"/>
  <c r="L38" i="101" s="1"/>
  <c r="L48" i="101" s="1"/>
  <c r="G13" i="100" s="1"/>
  <c r="H38" i="101"/>
  <c r="F38" i="101"/>
  <c r="AE37" i="101"/>
  <c r="AD37" i="101"/>
  <c r="AA37" i="101"/>
  <c r="Z37" i="101"/>
  <c r="M37" i="101"/>
  <c r="W36" i="101"/>
  <c r="H36" i="101"/>
  <c r="W35" i="101"/>
  <c r="W33" i="101"/>
  <c r="W32" i="101"/>
  <c r="N32" i="101" s="1"/>
  <c r="V32" i="101"/>
  <c r="P32" i="101"/>
  <c r="O32" i="101"/>
  <c r="L32" i="101"/>
  <c r="K32" i="101"/>
  <c r="J32" i="101"/>
  <c r="H32" i="101"/>
  <c r="F32" i="101"/>
  <c r="W31" i="101"/>
  <c r="V31" i="101"/>
  <c r="P31" i="101"/>
  <c r="N31" i="101"/>
  <c r="AF31" i="101" s="1"/>
  <c r="K31" i="101"/>
  <c r="L31" i="101" s="1"/>
  <c r="J31" i="101"/>
  <c r="H31" i="101"/>
  <c r="F31" i="101"/>
  <c r="AG30" i="101"/>
  <c r="AF30" i="101"/>
  <c r="W30" i="101"/>
  <c r="N30" i="101" s="1"/>
  <c r="O30" i="101" s="1"/>
  <c r="V30" i="101"/>
  <c r="R30" i="101"/>
  <c r="Q30" i="101"/>
  <c r="P30" i="101"/>
  <c r="K30" i="101"/>
  <c r="L30" i="101" s="1"/>
  <c r="J30" i="101"/>
  <c r="H30" i="101"/>
  <c r="F30" i="101"/>
  <c r="W29" i="101"/>
  <c r="N29" i="101" s="1"/>
  <c r="AF29" i="101" s="1"/>
  <c r="V29" i="101"/>
  <c r="K29" i="101"/>
  <c r="J29" i="101"/>
  <c r="F29" i="101"/>
  <c r="H29" i="101" s="1"/>
  <c r="AG28" i="101"/>
  <c r="W28" i="101"/>
  <c r="N28" i="101" s="1"/>
  <c r="O28" i="101" s="1"/>
  <c r="V28" i="101"/>
  <c r="R28" i="101"/>
  <c r="P28" i="101"/>
  <c r="K28" i="101"/>
  <c r="J28" i="101"/>
  <c r="L28" i="101" s="1"/>
  <c r="F28" i="101"/>
  <c r="H28" i="101" s="1"/>
  <c r="AG27" i="101"/>
  <c r="AF27" i="101"/>
  <c r="W27" i="101"/>
  <c r="Q27" i="101"/>
  <c r="O27" i="101"/>
  <c r="N27" i="101"/>
  <c r="K27" i="101"/>
  <c r="L27" i="101" s="1"/>
  <c r="J27" i="101"/>
  <c r="P27" i="101" s="1"/>
  <c r="F27" i="101"/>
  <c r="H27" i="101" s="1"/>
  <c r="AE26" i="101"/>
  <c r="AD26" i="101"/>
  <c r="AA26" i="101"/>
  <c r="E19" i="100" s="1"/>
  <c r="Z26" i="101"/>
  <c r="E18" i="100" s="1"/>
  <c r="P26" i="101"/>
  <c r="M26" i="101"/>
  <c r="E22" i="100" s="1"/>
  <c r="W25" i="101"/>
  <c r="H25" i="101"/>
  <c r="W24" i="101"/>
  <c r="H24" i="101"/>
  <c r="W23" i="101"/>
  <c r="W21" i="101"/>
  <c r="W20" i="101"/>
  <c r="AG19" i="101"/>
  <c r="AF19" i="101"/>
  <c r="W19" i="101"/>
  <c r="AG18" i="101"/>
  <c r="W18" i="101"/>
  <c r="N18" i="101" s="1"/>
  <c r="V18" i="101"/>
  <c r="P18" i="101"/>
  <c r="K18" i="101"/>
  <c r="L18" i="101" s="1"/>
  <c r="J18" i="101"/>
  <c r="H18" i="101"/>
  <c r="F18" i="101"/>
  <c r="AF17" i="101"/>
  <c r="W17" i="101"/>
  <c r="N17" i="101" s="1"/>
  <c r="O17" i="101" s="1"/>
  <c r="V17" i="101"/>
  <c r="P17" i="101"/>
  <c r="K17" i="101"/>
  <c r="L17" i="101" s="1"/>
  <c r="J17" i="101"/>
  <c r="J26" i="101" s="1"/>
  <c r="F17" i="101"/>
  <c r="H17" i="101" s="1"/>
  <c r="W16" i="101"/>
  <c r="N16" i="101" s="1"/>
  <c r="P16" i="101"/>
  <c r="K16" i="101"/>
  <c r="K26" i="101" s="1"/>
  <c r="H16" i="101"/>
  <c r="F16" i="101"/>
  <c r="AE15" i="101"/>
  <c r="AD15" i="101"/>
  <c r="AA15" i="101"/>
  <c r="Z15" i="101"/>
  <c r="M15" i="101"/>
  <c r="W14" i="101"/>
  <c r="W13" i="101"/>
  <c r="W12" i="101"/>
  <c r="AG11" i="101"/>
  <c r="AF11" i="101"/>
  <c r="W11" i="101"/>
  <c r="AG10" i="101"/>
  <c r="AF10" i="101"/>
  <c r="W10" i="101"/>
  <c r="AG9" i="101"/>
  <c r="AF9" i="101"/>
  <c r="W9" i="101"/>
  <c r="AG8" i="101"/>
  <c r="W8" i="101"/>
  <c r="V8" i="101"/>
  <c r="P8" i="101"/>
  <c r="O8" i="101"/>
  <c r="N8" i="101"/>
  <c r="AF8" i="101" s="1"/>
  <c r="L8" i="101"/>
  <c r="K8" i="101"/>
  <c r="J8" i="101"/>
  <c r="F8" i="101"/>
  <c r="H8" i="101" s="1"/>
  <c r="W7" i="101"/>
  <c r="V7" i="101"/>
  <c r="P7" i="101"/>
  <c r="O7" i="101"/>
  <c r="Q7" i="101" s="1"/>
  <c r="N7" i="101"/>
  <c r="K7" i="101"/>
  <c r="L7" i="101" s="1"/>
  <c r="J7" i="101"/>
  <c r="F7" i="101"/>
  <c r="H7" i="101" s="1"/>
  <c r="W6" i="101"/>
  <c r="V6" i="101"/>
  <c r="N6" i="101"/>
  <c r="K6" i="101"/>
  <c r="J6" i="101"/>
  <c r="P6" i="101" s="1"/>
  <c r="F6" i="101"/>
  <c r="H6" i="101" s="1"/>
  <c r="W5" i="101"/>
  <c r="P5" i="101"/>
  <c r="N5" i="101"/>
  <c r="K5" i="101"/>
  <c r="J5" i="101"/>
  <c r="H5" i="101"/>
  <c r="F5" i="101"/>
  <c r="AA2" i="101"/>
  <c r="I2" i="101"/>
  <c r="E1" i="101"/>
  <c r="G3" i="100" s="1"/>
  <c r="J22" i="100"/>
  <c r="H22" i="100"/>
  <c r="D22" i="100"/>
  <c r="I21" i="100"/>
  <c r="F21" i="100"/>
  <c r="E21" i="100"/>
  <c r="H20" i="100"/>
  <c r="F20" i="100"/>
  <c r="D20" i="100"/>
  <c r="J19" i="100"/>
  <c r="I19" i="100"/>
  <c r="H19" i="100"/>
  <c r="G19" i="100"/>
  <c r="F19" i="100"/>
  <c r="D19" i="100"/>
  <c r="J18" i="100"/>
  <c r="I18" i="100"/>
  <c r="D18" i="100"/>
  <c r="J16" i="100"/>
  <c r="I16" i="100"/>
  <c r="H16" i="100"/>
  <c r="G16" i="100"/>
  <c r="F16" i="100"/>
  <c r="E16" i="100"/>
  <c r="D16" i="100"/>
  <c r="M6" i="100"/>
  <c r="AE78" i="131"/>
  <c r="J21" i="130" s="1"/>
  <c r="AD78" i="131"/>
  <c r="AA78" i="131"/>
  <c r="Z78" i="131"/>
  <c r="P78" i="131"/>
  <c r="M78" i="131"/>
  <c r="J78" i="131"/>
  <c r="W77" i="131"/>
  <c r="W76" i="131"/>
  <c r="W75" i="131"/>
  <c r="W74" i="131"/>
  <c r="W73" i="131"/>
  <c r="N73" i="131" s="1"/>
  <c r="O73" i="131" s="1"/>
  <c r="V73" i="131"/>
  <c r="R73" i="131"/>
  <c r="P73" i="131"/>
  <c r="L73" i="131"/>
  <c r="K73" i="131"/>
  <c r="H73" i="131"/>
  <c r="F73" i="131"/>
  <c r="W72" i="131"/>
  <c r="N72" i="131" s="1"/>
  <c r="O72" i="131" s="1"/>
  <c r="V72" i="131"/>
  <c r="R72" i="131"/>
  <c r="Q72" i="131"/>
  <c r="P72" i="131"/>
  <c r="K72" i="131"/>
  <c r="L72" i="131" s="1"/>
  <c r="J72" i="131"/>
  <c r="H72" i="131"/>
  <c r="F72" i="131"/>
  <c r="W71" i="131"/>
  <c r="N71" i="131" s="1"/>
  <c r="V71" i="131"/>
  <c r="P71" i="131"/>
  <c r="O71" i="131"/>
  <c r="K71" i="131"/>
  <c r="L71" i="131" s="1"/>
  <c r="F71" i="131"/>
  <c r="H71" i="131" s="1"/>
  <c r="AG70" i="131"/>
  <c r="W70" i="131"/>
  <c r="N70" i="131" s="1"/>
  <c r="P70" i="131"/>
  <c r="K70" i="131"/>
  <c r="H70" i="131"/>
  <c r="F70" i="131"/>
  <c r="AE69" i="131"/>
  <c r="AD69" i="131"/>
  <c r="I20" i="130" s="1"/>
  <c r="AA69" i="131"/>
  <c r="I19" i="130" s="1"/>
  <c r="Z69" i="131"/>
  <c r="I18" i="130" s="1"/>
  <c r="M69" i="131"/>
  <c r="W68" i="131"/>
  <c r="H68" i="131"/>
  <c r="W67" i="131"/>
  <c r="W66" i="131"/>
  <c r="W65" i="131"/>
  <c r="W64" i="131"/>
  <c r="V64" i="131"/>
  <c r="N64" i="131"/>
  <c r="O64" i="131" s="1"/>
  <c r="K64" i="131"/>
  <c r="J64" i="131"/>
  <c r="P64" i="131" s="1"/>
  <c r="F64" i="131"/>
  <c r="H64" i="131" s="1"/>
  <c r="W63" i="131"/>
  <c r="V63" i="131"/>
  <c r="K63" i="131"/>
  <c r="L63" i="131" s="1"/>
  <c r="J63" i="131"/>
  <c r="P63" i="131" s="1"/>
  <c r="G63" i="131"/>
  <c r="N63" i="131" s="1"/>
  <c r="O63" i="131" s="1"/>
  <c r="F63" i="131"/>
  <c r="W62" i="131"/>
  <c r="V62" i="131"/>
  <c r="P62" i="131"/>
  <c r="N62" i="131"/>
  <c r="K62" i="131"/>
  <c r="L62" i="131" s="1"/>
  <c r="J62" i="131"/>
  <c r="H62" i="131"/>
  <c r="F62" i="131"/>
  <c r="W61" i="131"/>
  <c r="V61" i="131"/>
  <c r="N61" i="131"/>
  <c r="K61" i="131"/>
  <c r="L61" i="131" s="1"/>
  <c r="J61" i="131"/>
  <c r="P61" i="131" s="1"/>
  <c r="F61" i="131"/>
  <c r="H61" i="131" s="1"/>
  <c r="W60" i="131"/>
  <c r="N60" i="131" s="1"/>
  <c r="O60" i="131" s="1"/>
  <c r="V60" i="131"/>
  <c r="K60" i="131"/>
  <c r="J60" i="131"/>
  <c r="P60" i="131" s="1"/>
  <c r="F60" i="131"/>
  <c r="H60" i="131" s="1"/>
  <c r="AG59" i="131"/>
  <c r="AF59" i="131"/>
  <c r="W59" i="131"/>
  <c r="P59" i="131"/>
  <c r="O59" i="131"/>
  <c r="N59" i="131"/>
  <c r="K59" i="131"/>
  <c r="J59" i="131"/>
  <c r="H59" i="131"/>
  <c r="F59" i="131"/>
  <c r="AE58" i="131"/>
  <c r="AD58" i="131"/>
  <c r="AA58" i="131"/>
  <c r="H19" i="130" s="1"/>
  <c r="Z58" i="131"/>
  <c r="H18" i="130" s="1"/>
  <c r="M58" i="131"/>
  <c r="W57" i="131"/>
  <c r="W56" i="131"/>
  <c r="W55" i="131"/>
  <c r="AG54" i="131"/>
  <c r="AF54" i="131"/>
  <c r="W54" i="131"/>
  <c r="AG53" i="131"/>
  <c r="AF53" i="131"/>
  <c r="W53" i="131"/>
  <c r="W52" i="131"/>
  <c r="V52" i="131"/>
  <c r="N52" i="131"/>
  <c r="K52" i="131"/>
  <c r="L52" i="131" s="1"/>
  <c r="J52" i="131"/>
  <c r="P52" i="131" s="1"/>
  <c r="G52" i="131"/>
  <c r="F52" i="131"/>
  <c r="H52" i="131" s="1"/>
  <c r="W51" i="131"/>
  <c r="N51" i="131" s="1"/>
  <c r="V51" i="131"/>
  <c r="P51" i="131"/>
  <c r="K51" i="131"/>
  <c r="L51" i="131" s="1"/>
  <c r="J51" i="131"/>
  <c r="F51" i="131"/>
  <c r="H51" i="131" s="1"/>
  <c r="AG50" i="131"/>
  <c r="W50" i="131"/>
  <c r="V50" i="131"/>
  <c r="P50" i="131"/>
  <c r="N50" i="131"/>
  <c r="K50" i="131"/>
  <c r="J50" i="131"/>
  <c r="H50" i="131"/>
  <c r="F50" i="131"/>
  <c r="W49" i="131"/>
  <c r="O49" i="131"/>
  <c r="N49" i="131"/>
  <c r="K49" i="131"/>
  <c r="J49" i="131"/>
  <c r="G49" i="131"/>
  <c r="F49" i="131"/>
  <c r="H49" i="131" s="1"/>
  <c r="AE48" i="131"/>
  <c r="AD48" i="131"/>
  <c r="AA48" i="131"/>
  <c r="G19" i="130" s="1"/>
  <c r="Z48" i="131"/>
  <c r="W48" i="131"/>
  <c r="M48" i="131"/>
  <c r="W47" i="131"/>
  <c r="H47" i="131"/>
  <c r="W46" i="131"/>
  <c r="W45" i="131"/>
  <c r="W44" i="131"/>
  <c r="W43" i="131"/>
  <c r="W42" i="131"/>
  <c r="W41" i="131"/>
  <c r="W40" i="131"/>
  <c r="V40" i="131"/>
  <c r="N40" i="131"/>
  <c r="L40" i="131"/>
  <c r="K40" i="131"/>
  <c r="J40" i="131"/>
  <c r="P40" i="131" s="1"/>
  <c r="G40" i="131"/>
  <c r="F40" i="131"/>
  <c r="H40" i="131" s="1"/>
  <c r="AF39" i="131"/>
  <c r="W39" i="131"/>
  <c r="V39" i="131"/>
  <c r="P39" i="131"/>
  <c r="N39" i="131"/>
  <c r="L39" i="131"/>
  <c r="K39" i="131"/>
  <c r="J39" i="131"/>
  <c r="F39" i="131"/>
  <c r="H39" i="131" s="1"/>
  <c r="W38" i="131"/>
  <c r="N38" i="131"/>
  <c r="K38" i="131"/>
  <c r="J38" i="131"/>
  <c r="F38" i="131"/>
  <c r="H38" i="131" s="1"/>
  <c r="AE37" i="131"/>
  <c r="F21" i="130" s="1"/>
  <c r="AD37" i="131"/>
  <c r="AA37" i="131"/>
  <c r="F19" i="130" s="1"/>
  <c r="Z37" i="131"/>
  <c r="M37" i="131"/>
  <c r="W36" i="131"/>
  <c r="H36" i="131"/>
  <c r="W35" i="131"/>
  <c r="W34" i="131"/>
  <c r="W33" i="131"/>
  <c r="W32" i="131"/>
  <c r="N32" i="131" s="1"/>
  <c r="O32" i="131" s="1"/>
  <c r="V32" i="131"/>
  <c r="P32" i="131"/>
  <c r="K32" i="131"/>
  <c r="L32" i="131" s="1"/>
  <c r="J32" i="131"/>
  <c r="H32" i="131"/>
  <c r="F32" i="131"/>
  <c r="AG31" i="131"/>
  <c r="AF31" i="131"/>
  <c r="W31" i="131"/>
  <c r="N31" i="131" s="1"/>
  <c r="O31" i="131" s="1"/>
  <c r="Q31" i="131" s="1"/>
  <c r="V31" i="131"/>
  <c r="R31" i="131"/>
  <c r="P31" i="131"/>
  <c r="K31" i="131"/>
  <c r="L31" i="131" s="1"/>
  <c r="J31" i="131"/>
  <c r="H31" i="131"/>
  <c r="F31" i="131"/>
  <c r="W30" i="131"/>
  <c r="N30" i="131" s="1"/>
  <c r="V30" i="131"/>
  <c r="K30" i="131"/>
  <c r="J30" i="131"/>
  <c r="P30" i="131" s="1"/>
  <c r="H30" i="131"/>
  <c r="G30" i="131"/>
  <c r="F30" i="131"/>
  <c r="W29" i="131"/>
  <c r="V29" i="131"/>
  <c r="N29" i="131"/>
  <c r="K29" i="131"/>
  <c r="L29" i="131" s="1"/>
  <c r="J29" i="131"/>
  <c r="P29" i="131" s="1"/>
  <c r="H29" i="131"/>
  <c r="F29" i="131"/>
  <c r="W28" i="131"/>
  <c r="V28" i="131"/>
  <c r="N28" i="131"/>
  <c r="K28" i="131"/>
  <c r="J28" i="131"/>
  <c r="F28" i="131"/>
  <c r="H28" i="131" s="1"/>
  <c r="W27" i="131"/>
  <c r="N27" i="131" s="1"/>
  <c r="AG27" i="131" s="1"/>
  <c r="P27" i="131"/>
  <c r="K27" i="131"/>
  <c r="J27" i="131"/>
  <c r="G27" i="131"/>
  <c r="E1" i="131" s="1"/>
  <c r="G3" i="130" s="1"/>
  <c r="F27" i="131"/>
  <c r="H27" i="131" s="1"/>
  <c r="AE26" i="131"/>
  <c r="AD26" i="131"/>
  <c r="AA26" i="131"/>
  <c r="Z26" i="131"/>
  <c r="M26" i="131"/>
  <c r="W25" i="131"/>
  <c r="H25" i="131"/>
  <c r="W24" i="131"/>
  <c r="H24" i="131"/>
  <c r="W23" i="131"/>
  <c r="W21" i="131"/>
  <c r="W20" i="131"/>
  <c r="W19" i="131"/>
  <c r="AF18" i="131"/>
  <c r="W18" i="131"/>
  <c r="N18" i="131" s="1"/>
  <c r="V18" i="131"/>
  <c r="P18" i="131"/>
  <c r="K18" i="131"/>
  <c r="L18" i="131" s="1"/>
  <c r="J18" i="131"/>
  <c r="H18" i="131"/>
  <c r="F18" i="131"/>
  <c r="W17" i="131"/>
  <c r="V17" i="131"/>
  <c r="P17" i="131"/>
  <c r="N17" i="131"/>
  <c r="K17" i="131"/>
  <c r="L17" i="131" s="1"/>
  <c r="F17" i="131"/>
  <c r="H17" i="131" s="1"/>
  <c r="W16" i="131"/>
  <c r="N16" i="131"/>
  <c r="K16" i="131"/>
  <c r="K26" i="131" s="1"/>
  <c r="J16" i="131"/>
  <c r="J26" i="131" s="1"/>
  <c r="H16" i="131"/>
  <c r="F16" i="131"/>
  <c r="AE15" i="131"/>
  <c r="D21" i="130" s="1"/>
  <c r="AD15" i="131"/>
  <c r="AA15" i="131"/>
  <c r="Z15" i="131"/>
  <c r="M15" i="131"/>
  <c r="W14" i="131"/>
  <c r="W13" i="131"/>
  <c r="W12" i="131"/>
  <c r="W11" i="131"/>
  <c r="W10" i="131"/>
  <c r="W9" i="131"/>
  <c r="AG8" i="131"/>
  <c r="W8" i="131"/>
  <c r="N8" i="131" s="1"/>
  <c r="O8" i="131" s="1"/>
  <c r="V8" i="131"/>
  <c r="K8" i="131"/>
  <c r="J8" i="131"/>
  <c r="P8" i="131" s="1"/>
  <c r="F8" i="131"/>
  <c r="H8" i="131" s="1"/>
  <c r="W7" i="131"/>
  <c r="N7" i="131" s="1"/>
  <c r="O7" i="131" s="1"/>
  <c r="V7" i="131"/>
  <c r="K7" i="131"/>
  <c r="AF7" i="131" s="1"/>
  <c r="J7" i="131"/>
  <c r="P7" i="131" s="1"/>
  <c r="F7" i="131"/>
  <c r="H7" i="131" s="1"/>
  <c r="AG6" i="131"/>
  <c r="W6" i="131"/>
  <c r="V6" i="131"/>
  <c r="O6" i="131"/>
  <c r="N6" i="131"/>
  <c r="K6" i="131"/>
  <c r="AF6" i="131" s="1"/>
  <c r="J6" i="131"/>
  <c r="H6" i="131"/>
  <c r="F6" i="131"/>
  <c r="W5" i="131"/>
  <c r="P5" i="131"/>
  <c r="N5" i="131"/>
  <c r="K5" i="131"/>
  <c r="L5" i="131" s="1"/>
  <c r="J5" i="131"/>
  <c r="H5" i="131"/>
  <c r="F5" i="131"/>
  <c r="I2" i="131"/>
  <c r="J22" i="130"/>
  <c r="H22" i="130"/>
  <c r="G22" i="130"/>
  <c r="F22" i="130"/>
  <c r="D22" i="130"/>
  <c r="H21" i="130"/>
  <c r="G21" i="130"/>
  <c r="E21" i="130"/>
  <c r="J20" i="130"/>
  <c r="H20" i="130"/>
  <c r="G20" i="130"/>
  <c r="F20" i="130"/>
  <c r="D20" i="130"/>
  <c r="J19" i="130"/>
  <c r="D19" i="130"/>
  <c r="J18" i="130"/>
  <c r="G18" i="130"/>
  <c r="F18" i="130"/>
  <c r="D18" i="130"/>
  <c r="J16" i="130"/>
  <c r="I16" i="130"/>
  <c r="H16" i="130"/>
  <c r="G16" i="130"/>
  <c r="F16" i="130"/>
  <c r="E16" i="130"/>
  <c r="D16" i="130"/>
  <c r="AE79" i="129"/>
  <c r="J21" i="128" s="1"/>
  <c r="AD79" i="129"/>
  <c r="J20" i="128" s="1"/>
  <c r="AA79" i="129"/>
  <c r="Z79" i="129"/>
  <c r="N79" i="129"/>
  <c r="M79" i="129"/>
  <c r="W78" i="129"/>
  <c r="H78" i="129"/>
  <c r="W77" i="129"/>
  <c r="W76" i="129"/>
  <c r="W75" i="129"/>
  <c r="W74" i="129"/>
  <c r="W73" i="129"/>
  <c r="W72" i="129"/>
  <c r="V72" i="129"/>
  <c r="P72" i="129"/>
  <c r="O72" i="129"/>
  <c r="N72" i="129"/>
  <c r="K72" i="129"/>
  <c r="L72" i="129" s="1"/>
  <c r="J72" i="129"/>
  <c r="G72" i="129"/>
  <c r="F72" i="129"/>
  <c r="H72" i="129" s="1"/>
  <c r="W71" i="129"/>
  <c r="V71" i="129"/>
  <c r="K71" i="129"/>
  <c r="J71" i="129"/>
  <c r="G71" i="129"/>
  <c r="N71" i="129" s="1"/>
  <c r="O71" i="129" s="1"/>
  <c r="F71" i="129"/>
  <c r="H71" i="129" s="1"/>
  <c r="W70" i="129"/>
  <c r="O70" i="129"/>
  <c r="N70" i="129"/>
  <c r="K70" i="129"/>
  <c r="J70" i="129"/>
  <c r="F70" i="129"/>
  <c r="H70" i="129" s="1"/>
  <c r="AE69" i="129"/>
  <c r="AD69" i="129"/>
  <c r="AA69" i="129"/>
  <c r="Z69" i="129"/>
  <c r="I18" i="128" s="1"/>
  <c r="M69" i="129"/>
  <c r="W68" i="129"/>
  <c r="H68" i="129"/>
  <c r="W67" i="129"/>
  <c r="W66" i="129"/>
  <c r="W65" i="129"/>
  <c r="W64" i="129"/>
  <c r="W63" i="129"/>
  <c r="W62" i="129"/>
  <c r="N62" i="129" s="1"/>
  <c r="O62" i="129" s="1"/>
  <c r="V62" i="129"/>
  <c r="K62" i="129"/>
  <c r="L62" i="129" s="1"/>
  <c r="J62" i="129"/>
  <c r="P62" i="129" s="1"/>
  <c r="F62" i="129"/>
  <c r="H62" i="129" s="1"/>
  <c r="AG61" i="129"/>
  <c r="AF61" i="129"/>
  <c r="W61" i="129"/>
  <c r="V61" i="129"/>
  <c r="N61" i="129"/>
  <c r="O61" i="129" s="1"/>
  <c r="K61" i="129"/>
  <c r="L61" i="129" s="1"/>
  <c r="J61" i="129"/>
  <c r="P61" i="129" s="1"/>
  <c r="H61" i="129"/>
  <c r="G61" i="129"/>
  <c r="F61" i="129"/>
  <c r="W60" i="129"/>
  <c r="N60" i="129" s="1"/>
  <c r="V60" i="129"/>
  <c r="P60" i="129"/>
  <c r="K60" i="129"/>
  <c r="J60" i="129"/>
  <c r="H60" i="129"/>
  <c r="F60" i="129"/>
  <c r="AF59" i="129"/>
  <c r="W59" i="129"/>
  <c r="N59" i="129" s="1"/>
  <c r="AG59" i="129" s="1"/>
  <c r="P59" i="129"/>
  <c r="O59" i="129"/>
  <c r="K59" i="129"/>
  <c r="J59" i="129"/>
  <c r="H59" i="129"/>
  <c r="F59" i="129"/>
  <c r="AE58" i="129"/>
  <c r="H21" i="128" s="1"/>
  <c r="AD58" i="129"/>
  <c r="AA58" i="129"/>
  <c r="H19" i="128" s="1"/>
  <c r="Z58" i="129"/>
  <c r="H18" i="128" s="1"/>
  <c r="M58" i="129"/>
  <c r="W57" i="129"/>
  <c r="W56" i="129"/>
  <c r="W55" i="129"/>
  <c r="AF54" i="129"/>
  <c r="W54" i="129"/>
  <c r="V54" i="129"/>
  <c r="O54" i="129"/>
  <c r="N54" i="129"/>
  <c r="K54" i="129"/>
  <c r="J54" i="129"/>
  <c r="L54" i="129" s="1"/>
  <c r="F54" i="129"/>
  <c r="H54" i="129" s="1"/>
  <c r="W53" i="129"/>
  <c r="N53" i="129" s="1"/>
  <c r="V53" i="129"/>
  <c r="P53" i="129"/>
  <c r="O53" i="129"/>
  <c r="Q53" i="129" s="1"/>
  <c r="K53" i="129"/>
  <c r="J53" i="129"/>
  <c r="L53" i="129" s="1"/>
  <c r="F53" i="129"/>
  <c r="H53" i="129" s="1"/>
  <c r="W52" i="129"/>
  <c r="V52" i="129"/>
  <c r="P52" i="129"/>
  <c r="K52" i="129"/>
  <c r="J52" i="129"/>
  <c r="L52" i="129" s="1"/>
  <c r="G52" i="129"/>
  <c r="F52" i="129"/>
  <c r="W51" i="129"/>
  <c r="V51" i="129"/>
  <c r="K51" i="129"/>
  <c r="J51" i="129"/>
  <c r="P51" i="129" s="1"/>
  <c r="G51" i="129"/>
  <c r="N51" i="129" s="1"/>
  <c r="F51" i="129"/>
  <c r="W50" i="129"/>
  <c r="V50" i="129"/>
  <c r="N50" i="129"/>
  <c r="O50" i="129" s="1"/>
  <c r="K50" i="129"/>
  <c r="J50" i="129"/>
  <c r="F50" i="129"/>
  <c r="H50" i="129" s="1"/>
  <c r="W49" i="129"/>
  <c r="N49" i="129" s="1"/>
  <c r="P49" i="129"/>
  <c r="K49" i="129"/>
  <c r="J49" i="129"/>
  <c r="G49" i="129"/>
  <c r="F49" i="129"/>
  <c r="H49" i="129" s="1"/>
  <c r="AE48" i="129"/>
  <c r="AD48" i="129"/>
  <c r="G20" i="128" s="1"/>
  <c r="AA48" i="129"/>
  <c r="Z48" i="129"/>
  <c r="G18" i="128" s="1"/>
  <c r="W48" i="129"/>
  <c r="M48" i="129"/>
  <c r="W47" i="129"/>
  <c r="H47" i="129"/>
  <c r="W46" i="129"/>
  <c r="W45" i="129"/>
  <c r="W40" i="129"/>
  <c r="V40" i="129"/>
  <c r="O40" i="129"/>
  <c r="K40" i="129"/>
  <c r="J40" i="129"/>
  <c r="G40" i="129"/>
  <c r="N40" i="129" s="1"/>
  <c r="F40" i="129"/>
  <c r="W39" i="129"/>
  <c r="V39" i="129"/>
  <c r="P39" i="129"/>
  <c r="K39" i="129"/>
  <c r="J39" i="129"/>
  <c r="H39" i="129"/>
  <c r="G39" i="129"/>
  <c r="N39" i="129" s="1"/>
  <c r="O39" i="129" s="1"/>
  <c r="F39" i="129"/>
  <c r="W38" i="129"/>
  <c r="K38" i="129"/>
  <c r="J38" i="129"/>
  <c r="G38" i="129"/>
  <c r="N38" i="129" s="1"/>
  <c r="F38" i="129"/>
  <c r="H38" i="129" s="1"/>
  <c r="AE37" i="129"/>
  <c r="AD37" i="129"/>
  <c r="AA37" i="129"/>
  <c r="Z37" i="129"/>
  <c r="M37" i="129"/>
  <c r="K37" i="129"/>
  <c r="W36" i="129"/>
  <c r="H36" i="129"/>
  <c r="W35" i="129"/>
  <c r="W34" i="129"/>
  <c r="W33" i="129"/>
  <c r="W32" i="129"/>
  <c r="N32" i="129" s="1"/>
  <c r="V32" i="129"/>
  <c r="P32" i="129"/>
  <c r="O32" i="129"/>
  <c r="R32" i="129" s="1"/>
  <c r="L32" i="129"/>
  <c r="K32" i="129"/>
  <c r="J32" i="129"/>
  <c r="F32" i="129"/>
  <c r="H32" i="129" s="1"/>
  <c r="W31" i="129"/>
  <c r="V31" i="129"/>
  <c r="L31" i="129"/>
  <c r="K31" i="129"/>
  <c r="J31" i="129"/>
  <c r="P31" i="129" s="1"/>
  <c r="G31" i="129"/>
  <c r="F31" i="129"/>
  <c r="H31" i="129" s="1"/>
  <c r="AG30" i="129"/>
  <c r="AF30" i="129"/>
  <c r="W30" i="129"/>
  <c r="N30" i="129" s="1"/>
  <c r="V30" i="129"/>
  <c r="P30" i="129"/>
  <c r="O30" i="129"/>
  <c r="K30" i="129"/>
  <c r="J30" i="129"/>
  <c r="L30" i="129" s="1"/>
  <c r="H30" i="129"/>
  <c r="F30" i="129"/>
  <c r="W29" i="129"/>
  <c r="N29" i="129" s="1"/>
  <c r="V29" i="129"/>
  <c r="K29" i="129"/>
  <c r="J29" i="129"/>
  <c r="P29" i="129" s="1"/>
  <c r="G29" i="129"/>
  <c r="F29" i="129"/>
  <c r="H29" i="129" s="1"/>
  <c r="W28" i="129"/>
  <c r="V28" i="129"/>
  <c r="P28" i="129"/>
  <c r="N28" i="129"/>
  <c r="K28" i="129"/>
  <c r="J28" i="129"/>
  <c r="L28" i="129" s="1"/>
  <c r="F28" i="129"/>
  <c r="H28" i="129" s="1"/>
  <c r="W27" i="129"/>
  <c r="P27" i="129"/>
  <c r="N27" i="129"/>
  <c r="K27" i="129"/>
  <c r="L27" i="129" s="1"/>
  <c r="J27" i="129"/>
  <c r="F27" i="129"/>
  <c r="H27" i="129" s="1"/>
  <c r="AE26" i="129"/>
  <c r="E21" i="128" s="1"/>
  <c r="AD26" i="129"/>
  <c r="E20" i="128" s="1"/>
  <c r="AA26" i="129"/>
  <c r="Z26" i="129"/>
  <c r="P26" i="129"/>
  <c r="M26" i="129"/>
  <c r="K26" i="129"/>
  <c r="J26" i="129"/>
  <c r="W25" i="129"/>
  <c r="H25" i="129"/>
  <c r="W24" i="129"/>
  <c r="H24" i="129"/>
  <c r="W23" i="129"/>
  <c r="W21" i="129"/>
  <c r="W20" i="129"/>
  <c r="W19" i="129"/>
  <c r="W18" i="129"/>
  <c r="N18" i="129" s="1"/>
  <c r="V18" i="129"/>
  <c r="K18" i="129"/>
  <c r="J18" i="129"/>
  <c r="P18" i="129" s="1"/>
  <c r="F18" i="129"/>
  <c r="H18" i="129" s="1"/>
  <c r="AG17" i="129"/>
  <c r="AF17" i="129"/>
  <c r="W17" i="129"/>
  <c r="N17" i="129" s="1"/>
  <c r="V17" i="129"/>
  <c r="P17" i="129"/>
  <c r="O17" i="129"/>
  <c r="K17" i="129"/>
  <c r="L17" i="129" s="1"/>
  <c r="H17" i="129"/>
  <c r="F17" i="129"/>
  <c r="W16" i="129"/>
  <c r="P16" i="129"/>
  <c r="L16" i="129"/>
  <c r="K16" i="129"/>
  <c r="J16" i="129"/>
  <c r="G16" i="129"/>
  <c r="N16" i="129" s="1"/>
  <c r="F16" i="129"/>
  <c r="AE15" i="129"/>
  <c r="AD15" i="129"/>
  <c r="AA15" i="129"/>
  <c r="D19" i="128" s="1"/>
  <c r="Z15" i="129"/>
  <c r="M15" i="129"/>
  <c r="W14" i="129"/>
  <c r="W13" i="129"/>
  <c r="W12" i="129"/>
  <c r="W11" i="129"/>
  <c r="W10" i="129"/>
  <c r="W9" i="129"/>
  <c r="AG8" i="129"/>
  <c r="AF8" i="129"/>
  <c r="W8" i="129"/>
  <c r="V8" i="129"/>
  <c r="P8" i="129"/>
  <c r="O8" i="129"/>
  <c r="N8" i="129"/>
  <c r="L8" i="129"/>
  <c r="K8" i="129"/>
  <c r="J8" i="129"/>
  <c r="H8" i="129"/>
  <c r="F8" i="129"/>
  <c r="W7" i="129"/>
  <c r="V7" i="129"/>
  <c r="N7" i="129"/>
  <c r="K7" i="129"/>
  <c r="J7" i="129"/>
  <c r="J15" i="129" s="1"/>
  <c r="P15" i="129" s="1"/>
  <c r="F7" i="129"/>
  <c r="H7" i="129" s="1"/>
  <c r="W6" i="129"/>
  <c r="V6" i="129"/>
  <c r="K6" i="129"/>
  <c r="J6" i="129"/>
  <c r="G6" i="129"/>
  <c r="F6" i="129"/>
  <c r="H6" i="129" s="1"/>
  <c r="W5" i="129"/>
  <c r="K5" i="129"/>
  <c r="J5" i="129"/>
  <c r="P5" i="129" s="1"/>
  <c r="G5" i="129"/>
  <c r="N5" i="129" s="1"/>
  <c r="F5" i="129"/>
  <c r="H5" i="129" s="1"/>
  <c r="I2" i="129"/>
  <c r="J22" i="128"/>
  <c r="H22" i="128"/>
  <c r="G22" i="128"/>
  <c r="F22" i="128"/>
  <c r="D22" i="128"/>
  <c r="I21" i="128"/>
  <c r="G21" i="128"/>
  <c r="F21" i="128"/>
  <c r="I20" i="128"/>
  <c r="H20" i="128"/>
  <c r="F20" i="128"/>
  <c r="D20" i="128"/>
  <c r="J19" i="128"/>
  <c r="I19" i="128"/>
  <c r="G19" i="128"/>
  <c r="F19" i="128"/>
  <c r="E19" i="128"/>
  <c r="J18" i="128"/>
  <c r="F18" i="128"/>
  <c r="E18" i="128"/>
  <c r="D18" i="128"/>
  <c r="J16" i="128"/>
  <c r="I16" i="128"/>
  <c r="H16" i="128"/>
  <c r="G16" i="128"/>
  <c r="F16" i="128"/>
  <c r="E16" i="128"/>
  <c r="D16" i="128"/>
  <c r="AE79" i="95"/>
  <c r="AD79" i="95"/>
  <c r="J20" i="94" s="1"/>
  <c r="AA79" i="95"/>
  <c r="Z79" i="95"/>
  <c r="Z2" i="95" s="1"/>
  <c r="L6" i="94" s="1"/>
  <c r="M79" i="95"/>
  <c r="J79" i="95"/>
  <c r="P79" i="95" s="1"/>
  <c r="W78" i="95"/>
  <c r="H78" i="95"/>
  <c r="W77" i="95"/>
  <c r="H77" i="95"/>
  <c r="W76" i="95"/>
  <c r="H76" i="95"/>
  <c r="W75" i="95"/>
  <c r="H75" i="95"/>
  <c r="W74" i="95"/>
  <c r="W73" i="95"/>
  <c r="W72" i="95"/>
  <c r="V72" i="95"/>
  <c r="O72" i="95"/>
  <c r="N72" i="95"/>
  <c r="K72" i="95"/>
  <c r="J72" i="95"/>
  <c r="P72" i="95" s="1"/>
  <c r="F72" i="95"/>
  <c r="H72" i="95" s="1"/>
  <c r="W71" i="95"/>
  <c r="V71" i="95"/>
  <c r="R71" i="95"/>
  <c r="P71" i="95"/>
  <c r="N71" i="95"/>
  <c r="O71" i="95" s="1"/>
  <c r="Q71" i="95" s="1"/>
  <c r="L71" i="95"/>
  <c r="K71" i="95"/>
  <c r="J71" i="95"/>
  <c r="F71" i="95"/>
  <c r="H71" i="95" s="1"/>
  <c r="W70" i="95"/>
  <c r="P70" i="95"/>
  <c r="N70" i="95"/>
  <c r="K70" i="95"/>
  <c r="J70" i="95"/>
  <c r="H70" i="95"/>
  <c r="F70" i="95"/>
  <c r="AE69" i="95"/>
  <c r="AD69" i="95"/>
  <c r="I20" i="94" s="1"/>
  <c r="AA69" i="95"/>
  <c r="I19" i="94" s="1"/>
  <c r="Z69" i="95"/>
  <c r="M69" i="95"/>
  <c r="W68" i="95"/>
  <c r="H68" i="95"/>
  <c r="W67" i="95"/>
  <c r="W66" i="95"/>
  <c r="W65" i="95"/>
  <c r="W64" i="95"/>
  <c r="W63" i="95"/>
  <c r="AG62" i="95"/>
  <c r="AF62" i="95"/>
  <c r="W62" i="95"/>
  <c r="W61" i="95"/>
  <c r="N61" i="95" s="1"/>
  <c r="N69" i="95" s="1"/>
  <c r="V61" i="95"/>
  <c r="K61" i="95"/>
  <c r="K69" i="95" s="1"/>
  <c r="J61" i="95"/>
  <c r="P61" i="95" s="1"/>
  <c r="F61" i="95"/>
  <c r="H61" i="95" s="1"/>
  <c r="AG60" i="95"/>
  <c r="AF60" i="95"/>
  <c r="W60" i="95"/>
  <c r="N60" i="95" s="1"/>
  <c r="V60" i="95"/>
  <c r="O60" i="95"/>
  <c r="K60" i="95"/>
  <c r="J60" i="95"/>
  <c r="F60" i="95"/>
  <c r="H60" i="95" s="1"/>
  <c r="W59" i="95"/>
  <c r="N59" i="95" s="1"/>
  <c r="P59" i="95"/>
  <c r="L59" i="95"/>
  <c r="K59" i="95"/>
  <c r="J59" i="95"/>
  <c r="H59" i="95"/>
  <c r="F59" i="95"/>
  <c r="AE58" i="95"/>
  <c r="AD58" i="95"/>
  <c r="H20" i="94" s="1"/>
  <c r="AA58" i="95"/>
  <c r="Z58" i="95"/>
  <c r="H18" i="94" s="1"/>
  <c r="M58" i="95"/>
  <c r="J58" i="95"/>
  <c r="P58" i="95" s="1"/>
  <c r="W57" i="95"/>
  <c r="W56" i="95"/>
  <c r="W55" i="95"/>
  <c r="W54" i="95"/>
  <c r="AG53" i="95"/>
  <c r="AF53" i="95"/>
  <c r="W53" i="95"/>
  <c r="AG52" i="95"/>
  <c r="AF52" i="95"/>
  <c r="W52" i="95"/>
  <c r="W51" i="95"/>
  <c r="V51" i="95"/>
  <c r="P51" i="95"/>
  <c r="N51" i="95"/>
  <c r="L51" i="95"/>
  <c r="K51" i="95"/>
  <c r="J51" i="95"/>
  <c r="F51" i="95"/>
  <c r="H51" i="95" s="1"/>
  <c r="W50" i="95"/>
  <c r="N50" i="95" s="1"/>
  <c r="V50" i="95"/>
  <c r="O50" i="95"/>
  <c r="K50" i="95"/>
  <c r="J50" i="95"/>
  <c r="P50" i="95" s="1"/>
  <c r="F50" i="95"/>
  <c r="H50" i="95" s="1"/>
  <c r="W49" i="95"/>
  <c r="N49" i="95"/>
  <c r="K49" i="95"/>
  <c r="K58" i="95" s="1"/>
  <c r="J49" i="95"/>
  <c r="P49" i="95" s="1"/>
  <c r="H49" i="95"/>
  <c r="F49" i="95"/>
  <c r="AE48" i="95"/>
  <c r="AD48" i="95"/>
  <c r="AA48" i="95"/>
  <c r="Z48" i="95"/>
  <c r="W48" i="95"/>
  <c r="M48" i="95"/>
  <c r="G22" i="94" s="1"/>
  <c r="W47" i="95"/>
  <c r="H47" i="95"/>
  <c r="W46" i="95"/>
  <c r="W45" i="95"/>
  <c r="W43" i="95"/>
  <c r="W41" i="95"/>
  <c r="W40" i="95"/>
  <c r="N40" i="95" s="1"/>
  <c r="V40" i="95"/>
  <c r="K40" i="95"/>
  <c r="J40" i="95"/>
  <c r="P40" i="95" s="1"/>
  <c r="F40" i="95"/>
  <c r="H40" i="95" s="1"/>
  <c r="AG39" i="95"/>
  <c r="AF39" i="95"/>
  <c r="W39" i="95"/>
  <c r="N39" i="95" s="1"/>
  <c r="V39" i="95"/>
  <c r="O39" i="95"/>
  <c r="L39" i="95"/>
  <c r="K39" i="95"/>
  <c r="J39" i="95"/>
  <c r="P39" i="95" s="1"/>
  <c r="F39" i="95"/>
  <c r="H39" i="95" s="1"/>
  <c r="AF38" i="95"/>
  <c r="W38" i="95"/>
  <c r="N38" i="95"/>
  <c r="L38" i="95"/>
  <c r="K38" i="95"/>
  <c r="J38" i="95"/>
  <c r="F38" i="95"/>
  <c r="H38" i="95" s="1"/>
  <c r="AE37" i="95"/>
  <c r="AD37" i="95"/>
  <c r="F20" i="94" s="1"/>
  <c r="AA37" i="95"/>
  <c r="F19" i="94" s="1"/>
  <c r="Z37" i="95"/>
  <c r="M37" i="95"/>
  <c r="F22" i="94" s="1"/>
  <c r="W36" i="95"/>
  <c r="H36" i="95"/>
  <c r="W35" i="95"/>
  <c r="W34" i="95"/>
  <c r="W33" i="95"/>
  <c r="W32" i="95"/>
  <c r="V32" i="95"/>
  <c r="N32" i="95"/>
  <c r="O32" i="95" s="1"/>
  <c r="K32" i="95"/>
  <c r="L32" i="95" s="1"/>
  <c r="J32" i="95"/>
  <c r="P32" i="95" s="1"/>
  <c r="H32" i="95"/>
  <c r="F32" i="95"/>
  <c r="AF31" i="95"/>
  <c r="W31" i="95"/>
  <c r="V31" i="95"/>
  <c r="N31" i="95"/>
  <c r="AG31" i="95" s="1"/>
  <c r="K31" i="95"/>
  <c r="L31" i="95" s="1"/>
  <c r="J31" i="95"/>
  <c r="P31" i="95" s="1"/>
  <c r="H31" i="95"/>
  <c r="F31" i="95"/>
  <c r="AF30" i="95"/>
  <c r="W30" i="95"/>
  <c r="V30" i="95"/>
  <c r="O30" i="95"/>
  <c r="N30" i="95"/>
  <c r="K30" i="95"/>
  <c r="J30" i="95"/>
  <c r="P30" i="95" s="1"/>
  <c r="F30" i="95"/>
  <c r="H30" i="95" s="1"/>
  <c r="AF29" i="95"/>
  <c r="W29" i="95"/>
  <c r="V29" i="95"/>
  <c r="R29" i="95"/>
  <c r="Q29" i="95"/>
  <c r="O29" i="95"/>
  <c r="N29" i="95"/>
  <c r="AG29" i="95" s="1"/>
  <c r="K29" i="95"/>
  <c r="J29" i="95"/>
  <c r="L29" i="95" s="1"/>
  <c r="F29" i="95"/>
  <c r="H29" i="95" s="1"/>
  <c r="W28" i="95"/>
  <c r="N28" i="95" s="1"/>
  <c r="AG28" i="95" s="1"/>
  <c r="V28" i="95"/>
  <c r="P28" i="95"/>
  <c r="K28" i="95"/>
  <c r="J28" i="95"/>
  <c r="F28" i="95"/>
  <c r="H28" i="95" s="1"/>
  <c r="W27" i="95"/>
  <c r="P27" i="95"/>
  <c r="N27" i="95"/>
  <c r="L27" i="95"/>
  <c r="K27" i="95"/>
  <c r="J27" i="95"/>
  <c r="H27" i="95"/>
  <c r="F27" i="95"/>
  <c r="AE26" i="95"/>
  <c r="AD26" i="95"/>
  <c r="AA26" i="95"/>
  <c r="Z26" i="95"/>
  <c r="M26" i="95"/>
  <c r="W25" i="95"/>
  <c r="H25" i="95"/>
  <c r="W24" i="95"/>
  <c r="H24" i="95"/>
  <c r="W23" i="95"/>
  <c r="W21" i="95"/>
  <c r="W20" i="95"/>
  <c r="N20" i="95" s="1"/>
  <c r="V20" i="95"/>
  <c r="Q20" i="95"/>
  <c r="P20" i="95"/>
  <c r="O20" i="95"/>
  <c r="L20" i="95"/>
  <c r="K20" i="95"/>
  <c r="F20" i="95"/>
  <c r="H20" i="95" s="1"/>
  <c r="AF19" i="95"/>
  <c r="W19" i="95"/>
  <c r="V19" i="95"/>
  <c r="P19" i="95"/>
  <c r="N19" i="95"/>
  <c r="K19" i="95"/>
  <c r="L19" i="95" s="1"/>
  <c r="J19" i="95"/>
  <c r="F19" i="95"/>
  <c r="H19" i="95" s="1"/>
  <c r="AF18" i="95"/>
  <c r="W18" i="95"/>
  <c r="V18" i="95"/>
  <c r="N18" i="95"/>
  <c r="O18" i="95" s="1"/>
  <c r="L18" i="95"/>
  <c r="K18" i="95"/>
  <c r="AG18" i="95" s="1"/>
  <c r="J18" i="95"/>
  <c r="P18" i="95" s="1"/>
  <c r="H18" i="95"/>
  <c r="F18" i="95"/>
  <c r="W17" i="95"/>
  <c r="V17" i="95"/>
  <c r="P17" i="95"/>
  <c r="N17" i="95"/>
  <c r="O17" i="95" s="1"/>
  <c r="K17" i="95"/>
  <c r="F17" i="95"/>
  <c r="H17" i="95" s="1"/>
  <c r="W16" i="95"/>
  <c r="O16" i="95"/>
  <c r="N16" i="95"/>
  <c r="K16" i="95"/>
  <c r="J16" i="95"/>
  <c r="H16" i="95"/>
  <c r="F16" i="95"/>
  <c r="AE15" i="95"/>
  <c r="D21" i="94" s="1"/>
  <c r="AD15" i="95"/>
  <c r="AA15" i="95"/>
  <c r="D19" i="94" s="1"/>
  <c r="Z15" i="95"/>
  <c r="D18" i="94" s="1"/>
  <c r="M15" i="95"/>
  <c r="J15" i="95"/>
  <c r="P15" i="95" s="1"/>
  <c r="W14" i="95"/>
  <c r="W13" i="95"/>
  <c r="W12" i="95"/>
  <c r="AG11" i="95"/>
  <c r="AF11" i="95"/>
  <c r="W11" i="95"/>
  <c r="AG10" i="95"/>
  <c r="AF10" i="95"/>
  <c r="W10" i="95"/>
  <c r="AG9" i="95"/>
  <c r="AF9" i="95"/>
  <c r="W9" i="95"/>
  <c r="AF8" i="95"/>
  <c r="W8" i="95"/>
  <c r="N8" i="95" s="1"/>
  <c r="AG8" i="95" s="1"/>
  <c r="V8" i="95"/>
  <c r="O8" i="95"/>
  <c r="L8" i="95"/>
  <c r="K8" i="95"/>
  <c r="J8" i="95"/>
  <c r="P8" i="95" s="1"/>
  <c r="H8" i="95"/>
  <c r="F8" i="95"/>
  <c r="W7" i="95"/>
  <c r="N7" i="95" s="1"/>
  <c r="V7" i="95"/>
  <c r="K7" i="95"/>
  <c r="J7" i="95"/>
  <c r="P7" i="95" s="1"/>
  <c r="H7" i="95"/>
  <c r="F7" i="95"/>
  <c r="AG6" i="95"/>
  <c r="W6" i="95"/>
  <c r="N6" i="95" s="1"/>
  <c r="V6" i="95"/>
  <c r="K6" i="95"/>
  <c r="L6" i="95" s="1"/>
  <c r="J6" i="95"/>
  <c r="P6" i="95" s="1"/>
  <c r="H6" i="95"/>
  <c r="F6" i="95"/>
  <c r="W5" i="95"/>
  <c r="N5" i="95" s="1"/>
  <c r="O5" i="95" s="1"/>
  <c r="P5" i="95"/>
  <c r="K5" i="95"/>
  <c r="J5" i="95"/>
  <c r="H5" i="95"/>
  <c r="F5" i="95"/>
  <c r="AA2" i="95"/>
  <c r="M6" i="94" s="1"/>
  <c r="I2" i="95"/>
  <c r="E1" i="95"/>
  <c r="J22" i="94"/>
  <c r="H22" i="94"/>
  <c r="E22" i="94"/>
  <c r="D22" i="94"/>
  <c r="J21" i="94"/>
  <c r="I21" i="94"/>
  <c r="H21" i="94"/>
  <c r="G21" i="94"/>
  <c r="F21" i="94"/>
  <c r="E21" i="94"/>
  <c r="G20" i="94"/>
  <c r="E20" i="94"/>
  <c r="D20" i="94"/>
  <c r="J19" i="94"/>
  <c r="H19" i="94"/>
  <c r="G19" i="94"/>
  <c r="E19" i="94"/>
  <c r="J18" i="94"/>
  <c r="I18" i="94"/>
  <c r="G18" i="94"/>
  <c r="F18" i="94"/>
  <c r="E18" i="94"/>
  <c r="J16" i="94"/>
  <c r="I16" i="94"/>
  <c r="H16" i="94"/>
  <c r="G16" i="94"/>
  <c r="F16" i="94"/>
  <c r="E16" i="94"/>
  <c r="D16" i="94"/>
  <c r="G3" i="94"/>
  <c r="AE79" i="93"/>
  <c r="AD79" i="93"/>
  <c r="J20" i="92" s="1"/>
  <c r="AA79" i="93"/>
  <c r="Z79" i="93"/>
  <c r="N79" i="93"/>
  <c r="M79" i="93"/>
  <c r="W78" i="93"/>
  <c r="H78" i="93"/>
  <c r="W77" i="93"/>
  <c r="H77" i="93"/>
  <c r="W76" i="93"/>
  <c r="H76" i="93"/>
  <c r="W75" i="93"/>
  <c r="H75" i="93"/>
  <c r="W74" i="93"/>
  <c r="W73" i="93"/>
  <c r="W72" i="93"/>
  <c r="N72" i="93" s="1"/>
  <c r="V72" i="93"/>
  <c r="P72" i="93"/>
  <c r="O72" i="93"/>
  <c r="L72" i="93"/>
  <c r="Q72" i="93" s="1"/>
  <c r="K72" i="93"/>
  <c r="J72" i="93"/>
  <c r="H72" i="93"/>
  <c r="F72" i="93"/>
  <c r="W71" i="93"/>
  <c r="N71" i="93" s="1"/>
  <c r="O71" i="93" s="1"/>
  <c r="V71" i="93"/>
  <c r="L71" i="93"/>
  <c r="K71" i="93"/>
  <c r="J71" i="93"/>
  <c r="F71" i="93"/>
  <c r="H71" i="93" s="1"/>
  <c r="W70" i="93"/>
  <c r="N70" i="93" s="1"/>
  <c r="O70" i="93" s="1"/>
  <c r="P70" i="93"/>
  <c r="K70" i="93"/>
  <c r="L70" i="93" s="1"/>
  <c r="J70" i="93"/>
  <c r="H70" i="93"/>
  <c r="F70" i="93"/>
  <c r="AE69" i="93"/>
  <c r="I21" i="92" s="1"/>
  <c r="AD69" i="93"/>
  <c r="AA69" i="93"/>
  <c r="Z69" i="93"/>
  <c r="M69" i="93"/>
  <c r="K69" i="93"/>
  <c r="J69" i="93"/>
  <c r="P69" i="93" s="1"/>
  <c r="W68" i="93"/>
  <c r="H68" i="93"/>
  <c r="W67" i="93"/>
  <c r="W66" i="93"/>
  <c r="W65" i="93"/>
  <c r="W64" i="93"/>
  <c r="W63" i="93"/>
  <c r="W62" i="93"/>
  <c r="V62" i="93"/>
  <c r="P62" i="93"/>
  <c r="N62" i="93"/>
  <c r="L62" i="93"/>
  <c r="K62" i="93"/>
  <c r="J62" i="93"/>
  <c r="H62" i="93"/>
  <c r="F62" i="93"/>
  <c r="W61" i="93"/>
  <c r="N61" i="93" s="1"/>
  <c r="V61" i="93"/>
  <c r="P61" i="93"/>
  <c r="O61" i="93"/>
  <c r="L61" i="93"/>
  <c r="L69" i="93" s="1"/>
  <c r="I13" i="92" s="1"/>
  <c r="K61" i="93"/>
  <c r="J61" i="93"/>
  <c r="F61" i="93"/>
  <c r="H61" i="93" s="1"/>
  <c r="W60" i="93"/>
  <c r="V60" i="93"/>
  <c r="R60" i="93"/>
  <c r="P60" i="93"/>
  <c r="O60" i="93"/>
  <c r="N60" i="93"/>
  <c r="K60" i="93"/>
  <c r="L60" i="93" s="1"/>
  <c r="J60" i="93"/>
  <c r="H60" i="93"/>
  <c r="F60" i="93"/>
  <c r="W59" i="93"/>
  <c r="N59" i="93" s="1"/>
  <c r="O59" i="93" s="1"/>
  <c r="P59" i="93"/>
  <c r="K59" i="93"/>
  <c r="J59" i="93"/>
  <c r="L59" i="93" s="1"/>
  <c r="F59" i="93"/>
  <c r="H59" i="93" s="1"/>
  <c r="AE58" i="93"/>
  <c r="AD58" i="93"/>
  <c r="H20" i="92" s="1"/>
  <c r="AA58" i="93"/>
  <c r="H19" i="92" s="1"/>
  <c r="Z58" i="93"/>
  <c r="M58" i="93"/>
  <c r="W57" i="93"/>
  <c r="W56" i="93"/>
  <c r="W55" i="93"/>
  <c r="W54" i="93"/>
  <c r="AG53" i="93"/>
  <c r="AF53" i="93"/>
  <c r="W53" i="93"/>
  <c r="AG52" i="93"/>
  <c r="AF52" i="93"/>
  <c r="W52" i="93"/>
  <c r="W51" i="93"/>
  <c r="N51" i="93" s="1"/>
  <c r="V51" i="93"/>
  <c r="P51" i="93"/>
  <c r="K51" i="93"/>
  <c r="L51" i="93" s="1"/>
  <c r="J51" i="93"/>
  <c r="H51" i="93"/>
  <c r="F51" i="93"/>
  <c r="W50" i="93"/>
  <c r="V50" i="93"/>
  <c r="P50" i="93"/>
  <c r="N50" i="93"/>
  <c r="K50" i="93"/>
  <c r="J50" i="93"/>
  <c r="L50" i="93" s="1"/>
  <c r="F50" i="93"/>
  <c r="H50" i="93" s="1"/>
  <c r="AF49" i="93"/>
  <c r="W49" i="93"/>
  <c r="P49" i="93"/>
  <c r="N49" i="93"/>
  <c r="K49" i="93"/>
  <c r="J49" i="93"/>
  <c r="H49" i="93"/>
  <c r="F49" i="93"/>
  <c r="AE48" i="93"/>
  <c r="AD48" i="93"/>
  <c r="G20" i="92" s="1"/>
  <c r="AA48" i="93"/>
  <c r="G19" i="92" s="1"/>
  <c r="Z48" i="93"/>
  <c r="G18" i="92" s="1"/>
  <c r="W48" i="93"/>
  <c r="M48" i="93"/>
  <c r="W47" i="93"/>
  <c r="H47" i="93"/>
  <c r="W46" i="93"/>
  <c r="W45" i="93"/>
  <c r="W44" i="93"/>
  <c r="W43" i="93"/>
  <c r="W42" i="93"/>
  <c r="AG41" i="93"/>
  <c r="AF41" i="93"/>
  <c r="W41" i="93"/>
  <c r="W40" i="93"/>
  <c r="V40" i="93"/>
  <c r="N40" i="93"/>
  <c r="L40" i="93"/>
  <c r="K40" i="93"/>
  <c r="J40" i="93"/>
  <c r="P40" i="93" s="1"/>
  <c r="H40" i="93"/>
  <c r="F40" i="93"/>
  <c r="W39" i="93"/>
  <c r="N39" i="93" s="1"/>
  <c r="V39" i="93"/>
  <c r="O39" i="93"/>
  <c r="K39" i="93"/>
  <c r="J39" i="93"/>
  <c r="P39" i="93" s="1"/>
  <c r="H39" i="93"/>
  <c r="F39" i="93"/>
  <c r="W38" i="93"/>
  <c r="O38" i="93"/>
  <c r="N38" i="93"/>
  <c r="K38" i="93"/>
  <c r="J38" i="93"/>
  <c r="H38" i="93"/>
  <c r="F38" i="93"/>
  <c r="AE37" i="93"/>
  <c r="F21" i="92" s="1"/>
  <c r="AD37" i="93"/>
  <c r="AA37" i="93"/>
  <c r="Z37" i="93"/>
  <c r="F18" i="92" s="1"/>
  <c r="M37" i="93"/>
  <c r="J37" i="93"/>
  <c r="P37" i="93" s="1"/>
  <c r="W36" i="93"/>
  <c r="H36" i="93"/>
  <c r="W31" i="93"/>
  <c r="N31" i="93" s="1"/>
  <c r="AG31" i="93" s="1"/>
  <c r="V31" i="93"/>
  <c r="O31" i="93"/>
  <c r="K31" i="93"/>
  <c r="J31" i="93"/>
  <c r="H31" i="93"/>
  <c r="F31" i="93"/>
  <c r="AG30" i="93"/>
  <c r="AF30" i="93"/>
  <c r="W30" i="93"/>
  <c r="N30" i="93" s="1"/>
  <c r="V30" i="93"/>
  <c r="O30" i="93"/>
  <c r="L30" i="93"/>
  <c r="Q30" i="93" s="1"/>
  <c r="K30" i="93"/>
  <c r="J30" i="93"/>
  <c r="P30" i="93" s="1"/>
  <c r="F30" i="93"/>
  <c r="H30" i="93" s="1"/>
  <c r="W29" i="93"/>
  <c r="V29" i="93"/>
  <c r="O29" i="93"/>
  <c r="N29" i="93"/>
  <c r="L29" i="93"/>
  <c r="K29" i="93"/>
  <c r="J29" i="93"/>
  <c r="P29" i="93" s="1"/>
  <c r="F29" i="93"/>
  <c r="H29" i="93" s="1"/>
  <c r="W28" i="93"/>
  <c r="V28" i="93"/>
  <c r="P28" i="93"/>
  <c r="N28" i="93"/>
  <c r="L28" i="93"/>
  <c r="K28" i="93"/>
  <c r="K37" i="93" s="1"/>
  <c r="J28" i="93"/>
  <c r="F28" i="93"/>
  <c r="H28" i="93" s="1"/>
  <c r="W27" i="93"/>
  <c r="P27" i="93"/>
  <c r="N27" i="93"/>
  <c r="L27" i="93"/>
  <c r="J27" i="93"/>
  <c r="F27" i="93"/>
  <c r="H27" i="93" s="1"/>
  <c r="AE26" i="93"/>
  <c r="AD26" i="93"/>
  <c r="AA26" i="93"/>
  <c r="Z26" i="93"/>
  <c r="E18" i="92" s="1"/>
  <c r="M26" i="93"/>
  <c r="W25" i="93"/>
  <c r="H25" i="93"/>
  <c r="W24" i="93"/>
  <c r="H24" i="93"/>
  <c r="W23" i="93"/>
  <c r="W20" i="93"/>
  <c r="N20" i="93" s="1"/>
  <c r="O20" i="93" s="1"/>
  <c r="V20" i="93"/>
  <c r="P20" i="93"/>
  <c r="L20" i="93"/>
  <c r="K20" i="93"/>
  <c r="F20" i="93"/>
  <c r="H20" i="93" s="1"/>
  <c r="AG19" i="93"/>
  <c r="AF19" i="93"/>
  <c r="W19" i="93"/>
  <c r="N19" i="93" s="1"/>
  <c r="O19" i="93" s="1"/>
  <c r="V19" i="93"/>
  <c r="K19" i="93"/>
  <c r="J19" i="93"/>
  <c r="F19" i="93"/>
  <c r="H19" i="93" s="1"/>
  <c r="AG18" i="93"/>
  <c r="AF18" i="93"/>
  <c r="W18" i="93"/>
  <c r="N18" i="93" s="1"/>
  <c r="O18" i="93" s="1"/>
  <c r="V18" i="93"/>
  <c r="K18" i="93"/>
  <c r="J18" i="93"/>
  <c r="F18" i="93"/>
  <c r="H18" i="93" s="1"/>
  <c r="AG17" i="93"/>
  <c r="W17" i="93"/>
  <c r="V17" i="93"/>
  <c r="P17" i="93"/>
  <c r="N17" i="93"/>
  <c r="L17" i="93"/>
  <c r="K17" i="93"/>
  <c r="F17" i="93"/>
  <c r="H17" i="93" s="1"/>
  <c r="W16" i="93"/>
  <c r="P16" i="93"/>
  <c r="O16" i="93"/>
  <c r="N16" i="93"/>
  <c r="L16" i="93"/>
  <c r="K16" i="93"/>
  <c r="J16" i="93"/>
  <c r="F16" i="93"/>
  <c r="H16" i="93" s="1"/>
  <c r="AE15" i="93"/>
  <c r="AD15" i="93"/>
  <c r="AA15" i="93"/>
  <c r="D19" i="92" s="1"/>
  <c r="Z15" i="93"/>
  <c r="M15" i="93"/>
  <c r="J15" i="93"/>
  <c r="W14" i="93"/>
  <c r="W13" i="93"/>
  <c r="W12" i="93"/>
  <c r="W11" i="93"/>
  <c r="AG10" i="93"/>
  <c r="AF10" i="93"/>
  <c r="W10" i="93"/>
  <c r="W9" i="93"/>
  <c r="V9" i="93"/>
  <c r="P9" i="93"/>
  <c r="N9" i="93"/>
  <c r="K9" i="93"/>
  <c r="L9" i="93" s="1"/>
  <c r="F9" i="93"/>
  <c r="H9" i="93" s="1"/>
  <c r="AG8" i="93"/>
  <c r="W8" i="93"/>
  <c r="V8" i="93"/>
  <c r="N8" i="93"/>
  <c r="K8" i="93"/>
  <c r="J8" i="93"/>
  <c r="F8" i="93"/>
  <c r="H8" i="93" s="1"/>
  <c r="AG7" i="93"/>
  <c r="W7" i="93"/>
  <c r="N7" i="93" s="1"/>
  <c r="AF7" i="93" s="1"/>
  <c r="V7" i="93"/>
  <c r="P7" i="93"/>
  <c r="O7" i="93"/>
  <c r="K7" i="93"/>
  <c r="J7" i="93"/>
  <c r="F7" i="93"/>
  <c r="H7" i="93" s="1"/>
  <c r="W6" i="93"/>
  <c r="V6" i="93"/>
  <c r="N6" i="93"/>
  <c r="K6" i="93"/>
  <c r="J6" i="93"/>
  <c r="P6" i="93" s="1"/>
  <c r="F6" i="93"/>
  <c r="H6" i="93" s="1"/>
  <c r="W5" i="93"/>
  <c r="P5" i="93"/>
  <c r="N5" i="93"/>
  <c r="K5" i="93"/>
  <c r="J5" i="93"/>
  <c r="L5" i="93" s="1"/>
  <c r="H5" i="93"/>
  <c r="F5" i="93"/>
  <c r="I2" i="93"/>
  <c r="I1" i="93"/>
  <c r="E1" i="93"/>
  <c r="G3" i="92" s="1"/>
  <c r="J22" i="92"/>
  <c r="I22" i="92"/>
  <c r="G22" i="92"/>
  <c r="F22" i="92"/>
  <c r="E22" i="92"/>
  <c r="J21" i="92"/>
  <c r="H21" i="92"/>
  <c r="G21" i="92"/>
  <c r="D21" i="92"/>
  <c r="I20" i="92"/>
  <c r="F20" i="92"/>
  <c r="E20" i="92"/>
  <c r="J19" i="92"/>
  <c r="I19" i="92"/>
  <c r="F19" i="92"/>
  <c r="J18" i="92"/>
  <c r="I18" i="92"/>
  <c r="H18" i="92"/>
  <c r="J16" i="92"/>
  <c r="I16" i="92"/>
  <c r="H16" i="92"/>
  <c r="G16" i="92"/>
  <c r="F16" i="92"/>
  <c r="E16" i="92"/>
  <c r="D16" i="92"/>
  <c r="AE79" i="91"/>
  <c r="J21" i="90" s="1"/>
  <c r="AD79" i="91"/>
  <c r="J20" i="90" s="1"/>
  <c r="AA79" i="91"/>
  <c r="J18" i="90" s="1"/>
  <c r="Z79" i="91"/>
  <c r="M79" i="91"/>
  <c r="J79" i="91"/>
  <c r="P79" i="91" s="1"/>
  <c r="W78" i="91"/>
  <c r="H78" i="91"/>
  <c r="W77" i="91"/>
  <c r="H77" i="91"/>
  <c r="W76" i="91"/>
  <c r="H76" i="91"/>
  <c r="W75" i="91"/>
  <c r="H75" i="91"/>
  <c r="W74" i="91"/>
  <c r="W73" i="91"/>
  <c r="W72" i="91"/>
  <c r="W71" i="91"/>
  <c r="N71" i="91" s="1"/>
  <c r="V71" i="91"/>
  <c r="P71" i="91"/>
  <c r="O71" i="91"/>
  <c r="R71" i="91" s="1"/>
  <c r="K71" i="91"/>
  <c r="L71" i="91" s="1"/>
  <c r="J71" i="91"/>
  <c r="H71" i="91"/>
  <c r="F71" i="91"/>
  <c r="AG70" i="91"/>
  <c r="AF70" i="91"/>
  <c r="W70" i="91"/>
  <c r="N70" i="91" s="1"/>
  <c r="O70" i="91" s="1"/>
  <c r="P70" i="91"/>
  <c r="L70" i="91"/>
  <c r="K70" i="91"/>
  <c r="J70" i="91"/>
  <c r="H70" i="91"/>
  <c r="F70" i="91"/>
  <c r="AE69" i="91"/>
  <c r="I21" i="90" s="1"/>
  <c r="AD69" i="91"/>
  <c r="AA69" i="91"/>
  <c r="Z69" i="91"/>
  <c r="M69" i="91"/>
  <c r="K69" i="91"/>
  <c r="J69" i="91"/>
  <c r="W68" i="91"/>
  <c r="H68" i="91"/>
  <c r="W67" i="91"/>
  <c r="W66" i="91"/>
  <c r="W65" i="91"/>
  <c r="W64" i="91"/>
  <c r="W63" i="91"/>
  <c r="AG62" i="91"/>
  <c r="AF62" i="91"/>
  <c r="W62" i="91"/>
  <c r="AG61" i="91"/>
  <c r="AF61" i="91"/>
  <c r="W61" i="91"/>
  <c r="N61" i="91" s="1"/>
  <c r="O61" i="91" s="1"/>
  <c r="V61" i="91"/>
  <c r="R61" i="91"/>
  <c r="P61" i="91"/>
  <c r="K61" i="91"/>
  <c r="L61" i="91" s="1"/>
  <c r="J61" i="91"/>
  <c r="F61" i="91"/>
  <c r="H61" i="91" s="1"/>
  <c r="W60" i="91"/>
  <c r="N60" i="91" s="1"/>
  <c r="AF60" i="91" s="1"/>
  <c r="V60" i="91"/>
  <c r="P60" i="91"/>
  <c r="L60" i="91"/>
  <c r="K60" i="91"/>
  <c r="J60" i="91"/>
  <c r="F60" i="91"/>
  <c r="H60" i="91" s="1"/>
  <c r="W59" i="91"/>
  <c r="O59" i="91"/>
  <c r="N59" i="91"/>
  <c r="K59" i="91"/>
  <c r="J59" i="91"/>
  <c r="P59" i="91" s="1"/>
  <c r="F59" i="91"/>
  <c r="H59" i="91" s="1"/>
  <c r="AE58" i="91"/>
  <c r="H21" i="90" s="1"/>
  <c r="AD58" i="91"/>
  <c r="H20" i="90" s="1"/>
  <c r="AA58" i="91"/>
  <c r="H19" i="90" s="1"/>
  <c r="Z58" i="91"/>
  <c r="H18" i="90" s="1"/>
  <c r="M58" i="91"/>
  <c r="K58" i="91"/>
  <c r="J58" i="91"/>
  <c r="W57" i="91"/>
  <c r="W56" i="91"/>
  <c r="W55" i="91"/>
  <c r="W54" i="91"/>
  <c r="AG53" i="91"/>
  <c r="AF53" i="91"/>
  <c r="W53" i="91"/>
  <c r="AG52" i="91"/>
  <c r="AF52" i="91"/>
  <c r="W52" i="91"/>
  <c r="W51" i="91"/>
  <c r="N51" i="91" s="1"/>
  <c r="V51" i="91"/>
  <c r="P51" i="91"/>
  <c r="K51" i="91"/>
  <c r="L51" i="91" s="1"/>
  <c r="J51" i="91"/>
  <c r="F51" i="91"/>
  <c r="H51" i="91" s="1"/>
  <c r="W50" i="91"/>
  <c r="N50" i="91" s="1"/>
  <c r="V50" i="91"/>
  <c r="P50" i="91"/>
  <c r="K50" i="91"/>
  <c r="J50" i="91"/>
  <c r="F50" i="91"/>
  <c r="H50" i="91" s="1"/>
  <c r="W49" i="91"/>
  <c r="N49" i="91"/>
  <c r="K49" i="91"/>
  <c r="L49" i="91" s="1"/>
  <c r="J49" i="91"/>
  <c r="P49" i="91" s="1"/>
  <c r="F49" i="91"/>
  <c r="H49" i="91" s="1"/>
  <c r="AE48" i="91"/>
  <c r="AD48" i="91"/>
  <c r="AA48" i="91"/>
  <c r="Z48" i="91"/>
  <c r="G18" i="90" s="1"/>
  <c r="W48" i="91"/>
  <c r="M48" i="91"/>
  <c r="G22" i="90" s="1"/>
  <c r="J48" i="91"/>
  <c r="P48" i="91" s="1"/>
  <c r="W47" i="91"/>
  <c r="H47" i="91"/>
  <c r="W46" i="91"/>
  <c r="W45" i="91"/>
  <c r="W44" i="91"/>
  <c r="W43" i="91"/>
  <c r="W42" i="91"/>
  <c r="AG41" i="91"/>
  <c r="AF41" i="91"/>
  <c r="W41" i="91"/>
  <c r="W40" i="91"/>
  <c r="V40" i="91"/>
  <c r="P40" i="91"/>
  <c r="N40" i="91"/>
  <c r="K40" i="91"/>
  <c r="J40" i="91"/>
  <c r="F40" i="91"/>
  <c r="H40" i="91" s="1"/>
  <c r="W39" i="91"/>
  <c r="N39" i="91" s="1"/>
  <c r="V39" i="91"/>
  <c r="P39" i="91"/>
  <c r="L39" i="91"/>
  <c r="K39" i="91"/>
  <c r="J39" i="91"/>
  <c r="F39" i="91"/>
  <c r="H39" i="91" s="1"/>
  <c r="W38" i="91"/>
  <c r="N38" i="91"/>
  <c r="K38" i="91"/>
  <c r="J38" i="91"/>
  <c r="P38" i="91" s="1"/>
  <c r="F38" i="91"/>
  <c r="H38" i="91" s="1"/>
  <c r="AE37" i="91"/>
  <c r="AD37" i="91"/>
  <c r="F20" i="90" s="1"/>
  <c r="AA37" i="91"/>
  <c r="Z37" i="91"/>
  <c r="M37" i="91"/>
  <c r="F22" i="90" s="1"/>
  <c r="J37" i="91"/>
  <c r="W36" i="91"/>
  <c r="H36" i="91"/>
  <c r="W35" i="91"/>
  <c r="W34" i="91"/>
  <c r="W33" i="91"/>
  <c r="W32" i="91"/>
  <c r="W31" i="91"/>
  <c r="N31" i="91" s="1"/>
  <c r="O31" i="91" s="1"/>
  <c r="V31" i="91"/>
  <c r="R31" i="91"/>
  <c r="Q31" i="91"/>
  <c r="P31" i="91"/>
  <c r="L31" i="91"/>
  <c r="J31" i="91"/>
  <c r="F31" i="91"/>
  <c r="H31" i="91" s="1"/>
  <c r="W30" i="91"/>
  <c r="V30" i="91"/>
  <c r="P30" i="91"/>
  <c r="N30" i="91"/>
  <c r="K30" i="91"/>
  <c r="L30" i="91" s="1"/>
  <c r="J30" i="91"/>
  <c r="F30" i="91"/>
  <c r="H30" i="91" s="1"/>
  <c r="W29" i="91"/>
  <c r="V29" i="91"/>
  <c r="P29" i="91"/>
  <c r="N29" i="91"/>
  <c r="K29" i="91"/>
  <c r="L29" i="91" s="1"/>
  <c r="L37" i="91" s="1"/>
  <c r="F13" i="90" s="1"/>
  <c r="J29" i="91"/>
  <c r="F29" i="91"/>
  <c r="H29" i="91" s="1"/>
  <c r="W28" i="91"/>
  <c r="N28" i="91" s="1"/>
  <c r="V28" i="91"/>
  <c r="P28" i="91"/>
  <c r="L28" i="91"/>
  <c r="K28" i="91"/>
  <c r="J28" i="91"/>
  <c r="F28" i="91"/>
  <c r="H28" i="91" s="1"/>
  <c r="AF27" i="91"/>
  <c r="W27" i="91"/>
  <c r="R27" i="91"/>
  <c r="Q27" i="91"/>
  <c r="P27" i="91"/>
  <c r="O27" i="91"/>
  <c r="N27" i="91"/>
  <c r="K27" i="91"/>
  <c r="L27" i="91" s="1"/>
  <c r="J27" i="91"/>
  <c r="F27" i="91"/>
  <c r="H27" i="91" s="1"/>
  <c r="AE26" i="91"/>
  <c r="E21" i="90" s="1"/>
  <c r="AD26" i="91"/>
  <c r="AA26" i="91"/>
  <c r="E19" i="90" s="1"/>
  <c r="Z26" i="91"/>
  <c r="M26" i="91"/>
  <c r="K26" i="91"/>
  <c r="J26" i="91"/>
  <c r="W25" i="91"/>
  <c r="H25" i="91"/>
  <c r="W24" i="91"/>
  <c r="H24" i="91"/>
  <c r="W23" i="91"/>
  <c r="W21" i="91"/>
  <c r="W20" i="91"/>
  <c r="AG19" i="91"/>
  <c r="AF19" i="91"/>
  <c r="W19" i="91"/>
  <c r="AG18" i="91"/>
  <c r="W18" i="91"/>
  <c r="V18" i="91"/>
  <c r="P18" i="91"/>
  <c r="O18" i="91"/>
  <c r="N18" i="91"/>
  <c r="AF18" i="91" s="1"/>
  <c r="K18" i="91"/>
  <c r="L18" i="91" s="1"/>
  <c r="J18" i="91"/>
  <c r="F18" i="91"/>
  <c r="H18" i="91" s="1"/>
  <c r="W17" i="91"/>
  <c r="V17" i="91"/>
  <c r="P17" i="91"/>
  <c r="N17" i="91"/>
  <c r="K17" i="91"/>
  <c r="L17" i="91" s="1"/>
  <c r="F17" i="91"/>
  <c r="H17" i="91" s="1"/>
  <c r="W16" i="91"/>
  <c r="P16" i="91"/>
  <c r="N16" i="91"/>
  <c r="AG16" i="91" s="1"/>
  <c r="L16" i="91"/>
  <c r="L26" i="91" s="1"/>
  <c r="E13" i="90" s="1"/>
  <c r="K16" i="91"/>
  <c r="J16" i="91"/>
  <c r="F16" i="91"/>
  <c r="H16" i="91" s="1"/>
  <c r="AE15" i="91"/>
  <c r="AD15" i="91"/>
  <c r="AA15" i="91"/>
  <c r="AA2" i="91" s="1"/>
  <c r="M6" i="90" s="1"/>
  <c r="Z15" i="91"/>
  <c r="N15" i="91"/>
  <c r="M15" i="91"/>
  <c r="K15" i="91"/>
  <c r="J15" i="91"/>
  <c r="W14" i="91"/>
  <c r="W13" i="91"/>
  <c r="W12" i="91"/>
  <c r="AG11" i="91"/>
  <c r="AF11" i="91"/>
  <c r="W11" i="91"/>
  <c r="AG10" i="91"/>
  <c r="AF10" i="91"/>
  <c r="W10" i="91"/>
  <c r="AG9" i="91"/>
  <c r="AF9" i="91"/>
  <c r="W9" i="91"/>
  <c r="AG8" i="91"/>
  <c r="AF8" i="91"/>
  <c r="W8" i="91"/>
  <c r="AG7" i="91"/>
  <c r="AF7" i="91"/>
  <c r="W7" i="91"/>
  <c r="V7" i="91"/>
  <c r="P7" i="91"/>
  <c r="N7" i="91"/>
  <c r="O7" i="91" s="1"/>
  <c r="Q7" i="91" s="1"/>
  <c r="K7" i="91"/>
  <c r="L7" i="91" s="1"/>
  <c r="J7" i="91"/>
  <c r="F7" i="91"/>
  <c r="H7" i="91" s="1"/>
  <c r="AG6" i="91"/>
  <c r="W6" i="91"/>
  <c r="V6" i="91"/>
  <c r="P6" i="91"/>
  <c r="N6" i="91"/>
  <c r="K6" i="91"/>
  <c r="L6" i="91" s="1"/>
  <c r="J6" i="91"/>
  <c r="F6" i="91"/>
  <c r="H6" i="91" s="1"/>
  <c r="W5" i="91"/>
  <c r="O5" i="91"/>
  <c r="N5" i="91"/>
  <c r="L5" i="91"/>
  <c r="L15" i="91" s="1"/>
  <c r="D13" i="90" s="1"/>
  <c r="K5" i="91"/>
  <c r="J5" i="91"/>
  <c r="P5" i="91" s="1"/>
  <c r="H5" i="91"/>
  <c r="F5" i="91"/>
  <c r="I2" i="91"/>
  <c r="I1" i="91"/>
  <c r="E1" i="91"/>
  <c r="G3" i="90" s="1"/>
  <c r="J22" i="90"/>
  <c r="I22" i="90"/>
  <c r="H22" i="90"/>
  <c r="G21" i="90"/>
  <c r="F21" i="90"/>
  <c r="D21" i="90"/>
  <c r="I20" i="90"/>
  <c r="G20" i="90"/>
  <c r="D20" i="90"/>
  <c r="J19" i="90"/>
  <c r="I19" i="90"/>
  <c r="G19" i="90"/>
  <c r="F19" i="90"/>
  <c r="D19" i="90"/>
  <c r="I18" i="90"/>
  <c r="F18" i="90"/>
  <c r="D18" i="90"/>
  <c r="J16" i="90"/>
  <c r="I16" i="90"/>
  <c r="H16" i="90"/>
  <c r="G16" i="90"/>
  <c r="F16" i="90"/>
  <c r="E16" i="90"/>
  <c r="D16" i="90"/>
  <c r="AE79" i="89"/>
  <c r="AD79" i="89"/>
  <c r="AA79" i="89"/>
  <c r="J18" i="88" s="1"/>
  <c r="Z79" i="89"/>
  <c r="M79" i="89"/>
  <c r="W78" i="89"/>
  <c r="H78" i="89"/>
  <c r="W77" i="89"/>
  <c r="H77" i="89"/>
  <c r="W76" i="89"/>
  <c r="H76" i="89"/>
  <c r="W75" i="89"/>
  <c r="H75" i="89"/>
  <c r="W74" i="89"/>
  <c r="W73" i="89"/>
  <c r="W72" i="89"/>
  <c r="W71" i="89"/>
  <c r="V71" i="89"/>
  <c r="P71" i="89"/>
  <c r="O71" i="89"/>
  <c r="R71" i="89" s="1"/>
  <c r="N71" i="89"/>
  <c r="L71" i="89"/>
  <c r="K71" i="89"/>
  <c r="J71" i="89"/>
  <c r="F71" i="89"/>
  <c r="H71" i="89" s="1"/>
  <c r="W70" i="89"/>
  <c r="P70" i="89"/>
  <c r="N70" i="89"/>
  <c r="K70" i="89"/>
  <c r="J70" i="89"/>
  <c r="J79" i="89" s="1"/>
  <c r="P79" i="89" s="1"/>
  <c r="F70" i="89"/>
  <c r="H70" i="89" s="1"/>
  <c r="AE69" i="89"/>
  <c r="AD69" i="89"/>
  <c r="I20" i="88" s="1"/>
  <c r="AA69" i="89"/>
  <c r="I19" i="88" s="1"/>
  <c r="Z69" i="89"/>
  <c r="O69" i="89"/>
  <c r="I14" i="88" s="1"/>
  <c r="N69" i="89"/>
  <c r="M69" i="89"/>
  <c r="W68" i="89"/>
  <c r="H68" i="89"/>
  <c r="W67" i="89"/>
  <c r="W66" i="89"/>
  <c r="W65" i="89"/>
  <c r="W64" i="89"/>
  <c r="W63" i="89"/>
  <c r="AG62" i="89"/>
  <c r="W62" i="89"/>
  <c r="N62" i="89" s="1"/>
  <c r="AF62" i="89" s="1"/>
  <c r="O62" i="89"/>
  <c r="Q62" i="89" s="1"/>
  <c r="L62" i="89"/>
  <c r="R62" i="89" s="1"/>
  <c r="K62" i="89"/>
  <c r="J62" i="89"/>
  <c r="P62" i="89" s="1"/>
  <c r="F62" i="89"/>
  <c r="H62" i="89" s="1"/>
  <c r="W61" i="89"/>
  <c r="N61" i="89" s="1"/>
  <c r="V61" i="89"/>
  <c r="O61" i="89"/>
  <c r="K61" i="89"/>
  <c r="J61" i="89"/>
  <c r="P61" i="89" s="1"/>
  <c r="F61" i="89"/>
  <c r="H61" i="89" s="1"/>
  <c r="AG60" i="89"/>
  <c r="W60" i="89"/>
  <c r="V60" i="89"/>
  <c r="O60" i="89"/>
  <c r="N60" i="89"/>
  <c r="K60" i="89"/>
  <c r="J60" i="89"/>
  <c r="P60" i="89" s="1"/>
  <c r="F60" i="89"/>
  <c r="H60" i="89" s="1"/>
  <c r="W59" i="89"/>
  <c r="O59" i="89"/>
  <c r="N59" i="89"/>
  <c r="K59" i="89"/>
  <c r="J59" i="89"/>
  <c r="H59" i="89"/>
  <c r="F59" i="89"/>
  <c r="AE58" i="89"/>
  <c r="AD58" i="89"/>
  <c r="H20" i="88" s="1"/>
  <c r="AA58" i="89"/>
  <c r="H19" i="88" s="1"/>
  <c r="Z58" i="89"/>
  <c r="H18" i="88" s="1"/>
  <c r="M58" i="89"/>
  <c r="W57" i="89"/>
  <c r="W56" i="89"/>
  <c r="W55" i="89"/>
  <c r="W54" i="89"/>
  <c r="AG53" i="89"/>
  <c r="AF53" i="89"/>
  <c r="W53" i="89"/>
  <c r="AG52" i="89"/>
  <c r="AF52" i="89"/>
  <c r="W52" i="89"/>
  <c r="AF51" i="89"/>
  <c r="W51" i="89"/>
  <c r="V51" i="89"/>
  <c r="P51" i="89"/>
  <c r="N51" i="89"/>
  <c r="L51" i="89"/>
  <c r="K51" i="89"/>
  <c r="J51" i="89"/>
  <c r="F51" i="89"/>
  <c r="H51" i="89" s="1"/>
  <c r="AG50" i="89"/>
  <c r="W50" i="89"/>
  <c r="N50" i="89" s="1"/>
  <c r="AF50" i="89" s="1"/>
  <c r="V50" i="89"/>
  <c r="P50" i="89"/>
  <c r="O50" i="89"/>
  <c r="Q50" i="89" s="1"/>
  <c r="L50" i="89"/>
  <c r="K50" i="89"/>
  <c r="J50" i="89"/>
  <c r="F50" i="89"/>
  <c r="H50" i="89" s="1"/>
  <c r="W49" i="89"/>
  <c r="N49" i="89" s="1"/>
  <c r="K49" i="89"/>
  <c r="K58" i="89" s="1"/>
  <c r="J49" i="89"/>
  <c r="J58" i="89" s="1"/>
  <c r="P58" i="89" s="1"/>
  <c r="H49" i="89"/>
  <c r="F49" i="89"/>
  <c r="AE48" i="89"/>
  <c r="G21" i="88" s="1"/>
  <c r="AD48" i="89"/>
  <c r="AA48" i="89"/>
  <c r="G19" i="88" s="1"/>
  <c r="Z48" i="89"/>
  <c r="W48" i="89"/>
  <c r="M48" i="89"/>
  <c r="W47" i="89"/>
  <c r="H47" i="89"/>
  <c r="W46" i="89"/>
  <c r="W45" i="89"/>
  <c r="W44" i="89"/>
  <c r="W43" i="89"/>
  <c r="W42" i="89"/>
  <c r="AG41" i="89"/>
  <c r="AF41" i="89"/>
  <c r="W41" i="89"/>
  <c r="AG40" i="89"/>
  <c r="AF40" i="89"/>
  <c r="W40" i="89"/>
  <c r="AF39" i="89"/>
  <c r="W39" i="89"/>
  <c r="N39" i="89" s="1"/>
  <c r="AG39" i="89" s="1"/>
  <c r="V39" i="89"/>
  <c r="R39" i="89"/>
  <c r="Q39" i="89"/>
  <c r="P39" i="89"/>
  <c r="O39" i="89"/>
  <c r="K39" i="89"/>
  <c r="J39" i="89"/>
  <c r="L39" i="89" s="1"/>
  <c r="F39" i="89"/>
  <c r="H39" i="89" s="1"/>
  <c r="W38" i="89"/>
  <c r="N38" i="89" s="1"/>
  <c r="K38" i="89"/>
  <c r="J38" i="89"/>
  <c r="H38" i="89"/>
  <c r="F38" i="89"/>
  <c r="AE37" i="89"/>
  <c r="F21" i="88" s="1"/>
  <c r="AD37" i="89"/>
  <c r="AA37" i="89"/>
  <c r="Z37" i="89"/>
  <c r="M37" i="89"/>
  <c r="W36" i="89"/>
  <c r="H36" i="89"/>
  <c r="W35" i="89"/>
  <c r="W34" i="89"/>
  <c r="W33" i="89"/>
  <c r="W32" i="89"/>
  <c r="AG31" i="89"/>
  <c r="AF31" i="89"/>
  <c r="W31" i="89"/>
  <c r="N31" i="89" s="1"/>
  <c r="O31" i="89" s="1"/>
  <c r="V31" i="89"/>
  <c r="R31" i="89"/>
  <c r="P31" i="89"/>
  <c r="L31" i="89"/>
  <c r="K31" i="89"/>
  <c r="J31" i="89"/>
  <c r="F31" i="89"/>
  <c r="H31" i="89" s="1"/>
  <c r="AG30" i="89"/>
  <c r="AF30" i="89"/>
  <c r="W30" i="89"/>
  <c r="N30" i="89" s="1"/>
  <c r="O30" i="89" s="1"/>
  <c r="V30" i="89"/>
  <c r="L30" i="89"/>
  <c r="K30" i="89"/>
  <c r="J30" i="89"/>
  <c r="P30" i="89" s="1"/>
  <c r="F30" i="89"/>
  <c r="H30" i="89" s="1"/>
  <c r="W29" i="89"/>
  <c r="N29" i="89" s="1"/>
  <c r="O29" i="89" s="1"/>
  <c r="V29" i="89"/>
  <c r="K29" i="89"/>
  <c r="L29" i="89" s="1"/>
  <c r="J29" i="89"/>
  <c r="P29" i="89" s="1"/>
  <c r="F29" i="89"/>
  <c r="H29" i="89" s="1"/>
  <c r="W28" i="89"/>
  <c r="V28" i="89"/>
  <c r="N28" i="89"/>
  <c r="O28" i="89" s="1"/>
  <c r="K28" i="89"/>
  <c r="J28" i="89"/>
  <c r="P28" i="89" s="1"/>
  <c r="H28" i="89"/>
  <c r="F28" i="89"/>
  <c r="AF27" i="89"/>
  <c r="W27" i="89"/>
  <c r="N27" i="89" s="1"/>
  <c r="J27" i="89"/>
  <c r="L27" i="89" s="1"/>
  <c r="F27" i="89"/>
  <c r="H27" i="89" s="1"/>
  <c r="AE26" i="89"/>
  <c r="AD26" i="89"/>
  <c r="E20" i="88" s="1"/>
  <c r="AA26" i="89"/>
  <c r="Z26" i="89"/>
  <c r="M26" i="89"/>
  <c r="J26" i="89"/>
  <c r="W25" i="89"/>
  <c r="H25" i="89"/>
  <c r="W24" i="89"/>
  <c r="H24" i="89"/>
  <c r="W23" i="89"/>
  <c r="W21" i="89"/>
  <c r="W20" i="89"/>
  <c r="AG19" i="89"/>
  <c r="AF19" i="89"/>
  <c r="W19" i="89"/>
  <c r="W18" i="89"/>
  <c r="N18" i="89" s="1"/>
  <c r="AF18" i="89" s="1"/>
  <c r="V18" i="89"/>
  <c r="O18" i="89"/>
  <c r="K18" i="89"/>
  <c r="J18" i="89"/>
  <c r="P18" i="89" s="1"/>
  <c r="F18" i="89"/>
  <c r="H18" i="89" s="1"/>
  <c r="AG17" i="89"/>
  <c r="W17" i="89"/>
  <c r="V17" i="89"/>
  <c r="P17" i="89"/>
  <c r="N17" i="89"/>
  <c r="L17" i="89"/>
  <c r="K17" i="89"/>
  <c r="F17" i="89"/>
  <c r="H17" i="89" s="1"/>
  <c r="W16" i="89"/>
  <c r="N16" i="89" s="1"/>
  <c r="P16" i="89"/>
  <c r="K16" i="89"/>
  <c r="L16" i="89" s="1"/>
  <c r="J16" i="89"/>
  <c r="F16" i="89"/>
  <c r="H16" i="89" s="1"/>
  <c r="AE15" i="89"/>
  <c r="AD15" i="89"/>
  <c r="AA15" i="89"/>
  <c r="D19" i="88" s="1"/>
  <c r="Z15" i="89"/>
  <c r="M15" i="89"/>
  <c r="K15" i="89"/>
  <c r="W14" i="89"/>
  <c r="W13" i="89"/>
  <c r="W12" i="89"/>
  <c r="AG11" i="89"/>
  <c r="AF11" i="89"/>
  <c r="W11" i="89"/>
  <c r="AG10" i="89"/>
  <c r="AF10" i="89"/>
  <c r="W10" i="89"/>
  <c r="AG9" i="89"/>
  <c r="AF9" i="89"/>
  <c r="W9" i="89"/>
  <c r="W8" i="89"/>
  <c r="V8" i="89"/>
  <c r="P8" i="89"/>
  <c r="N8" i="89"/>
  <c r="K8" i="89"/>
  <c r="J8" i="89"/>
  <c r="L8" i="89" s="1"/>
  <c r="F8" i="89"/>
  <c r="H8" i="89" s="1"/>
  <c r="AF7" i="89"/>
  <c r="W7" i="89"/>
  <c r="N7" i="89" s="1"/>
  <c r="AG7" i="89" s="1"/>
  <c r="V7" i="89"/>
  <c r="P7" i="89"/>
  <c r="O7" i="89"/>
  <c r="L7" i="89"/>
  <c r="K7" i="89"/>
  <c r="J7" i="89"/>
  <c r="F7" i="89"/>
  <c r="H7" i="89" s="1"/>
  <c r="W6" i="89"/>
  <c r="N6" i="89" s="1"/>
  <c r="O6" i="89" s="1"/>
  <c r="V6" i="89"/>
  <c r="P6" i="89"/>
  <c r="L6" i="89"/>
  <c r="K6" i="89"/>
  <c r="J6" i="89"/>
  <c r="F6" i="89"/>
  <c r="H6" i="89" s="1"/>
  <c r="AG5" i="89"/>
  <c r="W5" i="89"/>
  <c r="N5" i="89" s="1"/>
  <c r="P5" i="89"/>
  <c r="K5" i="89"/>
  <c r="J5" i="89"/>
  <c r="F5" i="89"/>
  <c r="H5" i="89" s="1"/>
  <c r="AD2" i="89"/>
  <c r="N6" i="88" s="1"/>
  <c r="I2" i="89"/>
  <c r="E1" i="89"/>
  <c r="G3" i="88" s="1"/>
  <c r="J22" i="88"/>
  <c r="I22" i="88"/>
  <c r="H22" i="88"/>
  <c r="G22" i="88"/>
  <c r="F22" i="88"/>
  <c r="D22" i="88"/>
  <c r="J21" i="88"/>
  <c r="I21" i="88"/>
  <c r="H21" i="88"/>
  <c r="D21" i="88"/>
  <c r="J20" i="88"/>
  <c r="G20" i="88"/>
  <c r="F20" i="88"/>
  <c r="D20" i="88"/>
  <c r="J19" i="88"/>
  <c r="F19" i="88"/>
  <c r="E19" i="88"/>
  <c r="I18" i="88"/>
  <c r="G18" i="88"/>
  <c r="F18" i="88"/>
  <c r="E18" i="88"/>
  <c r="J16" i="88"/>
  <c r="I16" i="88"/>
  <c r="H16" i="88"/>
  <c r="G16" i="88"/>
  <c r="F16" i="88"/>
  <c r="E16" i="88"/>
  <c r="D16" i="88"/>
  <c r="AE79" i="87"/>
  <c r="J21" i="86" s="1"/>
  <c r="AD79" i="87"/>
  <c r="J20" i="86" s="1"/>
  <c r="AA79" i="87"/>
  <c r="J18" i="86" s="1"/>
  <c r="Z79" i="87"/>
  <c r="M79" i="87"/>
  <c r="W78" i="87"/>
  <c r="H78" i="87"/>
  <c r="W77" i="87"/>
  <c r="H77" i="87"/>
  <c r="W76" i="87"/>
  <c r="H76" i="87"/>
  <c r="W75" i="87"/>
  <c r="H75" i="87"/>
  <c r="W74" i="87"/>
  <c r="W73" i="87"/>
  <c r="W72" i="87"/>
  <c r="W71" i="87"/>
  <c r="N71" i="87" s="1"/>
  <c r="O71" i="87" s="1"/>
  <c r="V71" i="87"/>
  <c r="P71" i="87"/>
  <c r="K71" i="87"/>
  <c r="L71" i="87" s="1"/>
  <c r="J71" i="87"/>
  <c r="H71" i="87"/>
  <c r="F71" i="87"/>
  <c r="W70" i="87"/>
  <c r="N70" i="87" s="1"/>
  <c r="O70" i="87"/>
  <c r="K70" i="87"/>
  <c r="J70" i="87"/>
  <c r="H70" i="87"/>
  <c r="F70" i="87"/>
  <c r="AE69" i="87"/>
  <c r="AD69" i="87"/>
  <c r="AA69" i="87"/>
  <c r="I19" i="86" s="1"/>
  <c r="Z69" i="87"/>
  <c r="I18" i="86" s="1"/>
  <c r="M69" i="87"/>
  <c r="W68" i="87"/>
  <c r="H68" i="87"/>
  <c r="W67" i="87"/>
  <c r="W66" i="87"/>
  <c r="W65" i="87"/>
  <c r="W64" i="87"/>
  <c r="W63" i="87"/>
  <c r="V63" i="87"/>
  <c r="P63" i="87"/>
  <c r="N63" i="87"/>
  <c r="O63" i="87" s="1"/>
  <c r="K63" i="87"/>
  <c r="L63" i="87" s="1"/>
  <c r="J63" i="87"/>
  <c r="H63" i="87"/>
  <c r="F63" i="87"/>
  <c r="AF62" i="87"/>
  <c r="W62" i="87"/>
  <c r="N62" i="87" s="1"/>
  <c r="V62" i="87"/>
  <c r="K62" i="87"/>
  <c r="J62" i="87"/>
  <c r="P62" i="87" s="1"/>
  <c r="F62" i="87"/>
  <c r="H62" i="87" s="1"/>
  <c r="AF61" i="87"/>
  <c r="W61" i="87"/>
  <c r="N61" i="87" s="1"/>
  <c r="O61" i="87" s="1"/>
  <c r="V61" i="87"/>
  <c r="K61" i="87"/>
  <c r="J61" i="87"/>
  <c r="P61" i="87" s="1"/>
  <c r="F61" i="87"/>
  <c r="H61" i="87" s="1"/>
  <c r="W60" i="87"/>
  <c r="V60" i="87"/>
  <c r="N60" i="87"/>
  <c r="N69" i="87" s="1"/>
  <c r="K60" i="87"/>
  <c r="J60" i="87"/>
  <c r="P60" i="87" s="1"/>
  <c r="F60" i="87"/>
  <c r="H60" i="87" s="1"/>
  <c r="AG59" i="87"/>
  <c r="AF59" i="87"/>
  <c r="W59" i="87"/>
  <c r="P59" i="87"/>
  <c r="O59" i="87"/>
  <c r="N59" i="87"/>
  <c r="K59" i="87"/>
  <c r="J59" i="87"/>
  <c r="F59" i="87"/>
  <c r="H59" i="87" s="1"/>
  <c r="AE58" i="87"/>
  <c r="AD58" i="87"/>
  <c r="AA58" i="87"/>
  <c r="Z58" i="87"/>
  <c r="N58" i="87"/>
  <c r="M58" i="87"/>
  <c r="W57" i="87"/>
  <c r="W56" i="87"/>
  <c r="W55" i="87"/>
  <c r="W54" i="87"/>
  <c r="AG53" i="87"/>
  <c r="AF53" i="87"/>
  <c r="W53" i="87"/>
  <c r="AG52" i="87"/>
  <c r="AF52" i="87"/>
  <c r="W52" i="87"/>
  <c r="W51" i="87"/>
  <c r="V51" i="87"/>
  <c r="P51" i="87"/>
  <c r="O51" i="87"/>
  <c r="N51" i="87"/>
  <c r="K51" i="87"/>
  <c r="J51" i="87"/>
  <c r="H51" i="87"/>
  <c r="F51" i="87"/>
  <c r="W50" i="87"/>
  <c r="N50" i="87" s="1"/>
  <c r="V50" i="87"/>
  <c r="K50" i="87"/>
  <c r="J50" i="87"/>
  <c r="H50" i="87"/>
  <c r="F50" i="87"/>
  <c r="AG49" i="87"/>
  <c r="AF49" i="87"/>
  <c r="W49" i="87"/>
  <c r="N49" i="87" s="1"/>
  <c r="O49" i="87" s="1"/>
  <c r="R49" i="87"/>
  <c r="Q49" i="87"/>
  <c r="K49" i="87"/>
  <c r="L49" i="87" s="1"/>
  <c r="J49" i="87"/>
  <c r="P49" i="87" s="1"/>
  <c r="F49" i="87"/>
  <c r="H49" i="87" s="1"/>
  <c r="AE48" i="87"/>
  <c r="G21" i="86" s="1"/>
  <c r="AD48" i="87"/>
  <c r="G20" i="86" s="1"/>
  <c r="AA48" i="87"/>
  <c r="Z48" i="87"/>
  <c r="W48" i="87"/>
  <c r="M48" i="87"/>
  <c r="K48" i="87"/>
  <c r="W47" i="87"/>
  <c r="H47" i="87"/>
  <c r="W46" i="87"/>
  <c r="W45" i="87"/>
  <c r="W44" i="87"/>
  <c r="W43" i="87"/>
  <c r="W42" i="87"/>
  <c r="AG41" i="87"/>
  <c r="AF41" i="87"/>
  <c r="W41" i="87"/>
  <c r="AG40" i="87"/>
  <c r="AF40" i="87"/>
  <c r="W40" i="87"/>
  <c r="V40" i="87"/>
  <c r="N40" i="87"/>
  <c r="O40" i="87" s="1"/>
  <c r="K40" i="87"/>
  <c r="J40" i="87"/>
  <c r="P40" i="87" s="1"/>
  <c r="H40" i="87"/>
  <c r="F40" i="87"/>
  <c r="W39" i="87"/>
  <c r="N39" i="87" s="1"/>
  <c r="V39" i="87"/>
  <c r="K39" i="87"/>
  <c r="J39" i="87"/>
  <c r="F39" i="87"/>
  <c r="H39" i="87" s="1"/>
  <c r="AF38" i="87"/>
  <c r="W38" i="87"/>
  <c r="N38" i="87" s="1"/>
  <c r="P38" i="87"/>
  <c r="O38" i="87"/>
  <c r="K38" i="87"/>
  <c r="J38" i="87"/>
  <c r="F38" i="87"/>
  <c r="H38" i="87" s="1"/>
  <c r="AE37" i="87"/>
  <c r="AD37" i="87"/>
  <c r="AA37" i="87"/>
  <c r="Z37" i="87"/>
  <c r="F18" i="86" s="1"/>
  <c r="M37" i="87"/>
  <c r="W36" i="87"/>
  <c r="H36" i="87"/>
  <c r="W35" i="87"/>
  <c r="W34" i="87"/>
  <c r="W33" i="87"/>
  <c r="W32" i="87"/>
  <c r="V32" i="87"/>
  <c r="P32" i="87"/>
  <c r="O32" i="87"/>
  <c r="R32" i="87" s="1"/>
  <c r="N32" i="87"/>
  <c r="L32" i="87"/>
  <c r="K32" i="87"/>
  <c r="J32" i="87"/>
  <c r="H32" i="87"/>
  <c r="F32" i="87"/>
  <c r="W31" i="87"/>
  <c r="N31" i="87" s="1"/>
  <c r="AG31" i="87" s="1"/>
  <c r="V31" i="87"/>
  <c r="Q31" i="87"/>
  <c r="P31" i="87"/>
  <c r="O31" i="87"/>
  <c r="R31" i="87" s="1"/>
  <c r="K31" i="87"/>
  <c r="L31" i="87" s="1"/>
  <c r="J31" i="87"/>
  <c r="H31" i="87"/>
  <c r="F31" i="87"/>
  <c r="W30" i="87"/>
  <c r="V30" i="87"/>
  <c r="N30" i="87"/>
  <c r="K30" i="87"/>
  <c r="J30" i="87"/>
  <c r="P30" i="87" s="1"/>
  <c r="F30" i="87"/>
  <c r="H30" i="87" s="1"/>
  <c r="W29" i="87"/>
  <c r="V29" i="87"/>
  <c r="N29" i="87"/>
  <c r="K29" i="87"/>
  <c r="J29" i="87"/>
  <c r="P29" i="87" s="1"/>
  <c r="F29" i="87"/>
  <c r="H29" i="87" s="1"/>
  <c r="AG28" i="87"/>
  <c r="AF28" i="87"/>
  <c r="W28" i="87"/>
  <c r="V28" i="87"/>
  <c r="N28" i="87"/>
  <c r="O28" i="87" s="1"/>
  <c r="K28" i="87"/>
  <c r="J28" i="87"/>
  <c r="P28" i="87" s="1"/>
  <c r="H28" i="87"/>
  <c r="F28" i="87"/>
  <c r="AG27" i="87"/>
  <c r="AF27" i="87"/>
  <c r="W27" i="87"/>
  <c r="P27" i="87"/>
  <c r="O27" i="87"/>
  <c r="N27" i="87"/>
  <c r="J27" i="87"/>
  <c r="L27" i="87" s="1"/>
  <c r="F27" i="87"/>
  <c r="H27" i="87" s="1"/>
  <c r="AE26" i="87"/>
  <c r="AD26" i="87"/>
  <c r="E20" i="86" s="1"/>
  <c r="AA26" i="87"/>
  <c r="Z26" i="87"/>
  <c r="E18" i="86" s="1"/>
  <c r="M26" i="87"/>
  <c r="W25" i="87"/>
  <c r="H25" i="87"/>
  <c r="W24" i="87"/>
  <c r="H24" i="87"/>
  <c r="W23" i="87"/>
  <c r="W21" i="87"/>
  <c r="W20" i="87"/>
  <c r="N20" i="87" s="1"/>
  <c r="O20" i="87" s="1"/>
  <c r="V20" i="87"/>
  <c r="P20" i="87"/>
  <c r="K20" i="87"/>
  <c r="L20" i="87" s="1"/>
  <c r="Q20" i="87" s="1"/>
  <c r="H20" i="87"/>
  <c r="F20" i="87"/>
  <c r="W19" i="87"/>
  <c r="N19" i="87" s="1"/>
  <c r="V19" i="87"/>
  <c r="K19" i="87"/>
  <c r="J19" i="87"/>
  <c r="H19" i="87"/>
  <c r="F19" i="87"/>
  <c r="W18" i="87"/>
  <c r="N18" i="87" s="1"/>
  <c r="V18" i="87"/>
  <c r="L18" i="87"/>
  <c r="K18" i="87"/>
  <c r="J18" i="87"/>
  <c r="P18" i="87" s="1"/>
  <c r="H18" i="87"/>
  <c r="F18" i="87"/>
  <c r="W17" i="87"/>
  <c r="V17" i="87"/>
  <c r="P17" i="87"/>
  <c r="N17" i="87"/>
  <c r="K17" i="87"/>
  <c r="L17" i="87" s="1"/>
  <c r="F17" i="87"/>
  <c r="H17" i="87" s="1"/>
  <c r="W16" i="87"/>
  <c r="P16" i="87"/>
  <c r="O16" i="87"/>
  <c r="N16" i="87"/>
  <c r="L16" i="87"/>
  <c r="K16" i="87"/>
  <c r="J16" i="87"/>
  <c r="H16" i="87"/>
  <c r="F16" i="87"/>
  <c r="AE15" i="87"/>
  <c r="AD15" i="87"/>
  <c r="AA15" i="87"/>
  <c r="Z15" i="87"/>
  <c r="N15" i="87"/>
  <c r="M15" i="87"/>
  <c r="K15" i="87"/>
  <c r="W14" i="87"/>
  <c r="W13" i="87"/>
  <c r="W12" i="87"/>
  <c r="AG11" i="87"/>
  <c r="AF11" i="87"/>
  <c r="W11" i="87"/>
  <c r="AG10" i="87"/>
  <c r="AF10" i="87"/>
  <c r="W10" i="87"/>
  <c r="AG9" i="87"/>
  <c r="AF9" i="87"/>
  <c r="W9" i="87"/>
  <c r="AG8" i="87"/>
  <c r="AF8" i="87"/>
  <c r="W8" i="87"/>
  <c r="AG7" i="87"/>
  <c r="AF7" i="87"/>
  <c r="W7" i="87"/>
  <c r="N7" i="87" s="1"/>
  <c r="O7" i="87" s="1"/>
  <c r="V7" i="87"/>
  <c r="P7" i="87"/>
  <c r="K7" i="87"/>
  <c r="J7" i="87"/>
  <c r="H7" i="87"/>
  <c r="F7" i="87"/>
  <c r="W6" i="87"/>
  <c r="N6" i="87" s="1"/>
  <c r="V6" i="87"/>
  <c r="P6" i="87"/>
  <c r="K6" i="87"/>
  <c r="J6" i="87"/>
  <c r="H6" i="87"/>
  <c r="F6" i="87"/>
  <c r="W5" i="87"/>
  <c r="N5" i="87" s="1"/>
  <c r="O5" i="87" s="1"/>
  <c r="K5" i="87"/>
  <c r="J5" i="87"/>
  <c r="F5" i="87"/>
  <c r="H5" i="87" s="1"/>
  <c r="AE2" i="87"/>
  <c r="O6" i="86" s="1"/>
  <c r="AD2" i="87"/>
  <c r="I2" i="87"/>
  <c r="E1" i="87"/>
  <c r="J22" i="86"/>
  <c r="G22" i="86"/>
  <c r="I21" i="86"/>
  <c r="H21" i="86"/>
  <c r="F21" i="86"/>
  <c r="E21" i="86"/>
  <c r="D21" i="86"/>
  <c r="I20" i="86"/>
  <c r="H20" i="86"/>
  <c r="F20" i="86"/>
  <c r="D20" i="86"/>
  <c r="J19" i="86"/>
  <c r="H19" i="86"/>
  <c r="G19" i="86"/>
  <c r="F19" i="86"/>
  <c r="E19" i="86"/>
  <c r="H18" i="86"/>
  <c r="G18" i="86"/>
  <c r="J16" i="86"/>
  <c r="I16" i="86"/>
  <c r="H16" i="86"/>
  <c r="G16" i="86"/>
  <c r="F16" i="86"/>
  <c r="E16" i="86"/>
  <c r="D16" i="86"/>
  <c r="N6" i="86"/>
  <c r="G3" i="86"/>
  <c r="AE79" i="85"/>
  <c r="AD79" i="85"/>
  <c r="AA79" i="85"/>
  <c r="J18" i="84" s="1"/>
  <c r="Z79" i="85"/>
  <c r="M79" i="85"/>
  <c r="K79" i="85"/>
  <c r="W78" i="85"/>
  <c r="H78" i="85"/>
  <c r="W77" i="85"/>
  <c r="H77" i="85"/>
  <c r="W76" i="85"/>
  <c r="H76" i="85"/>
  <c r="W75" i="85"/>
  <c r="H75" i="85"/>
  <c r="W74" i="85"/>
  <c r="W73" i="85"/>
  <c r="W72" i="85"/>
  <c r="N72" i="85" s="1"/>
  <c r="O72" i="85" s="1"/>
  <c r="V72" i="85"/>
  <c r="P72" i="85"/>
  <c r="K72" i="85"/>
  <c r="J72" i="85"/>
  <c r="H72" i="85"/>
  <c r="F72" i="85"/>
  <c r="W71" i="85"/>
  <c r="V71" i="85"/>
  <c r="P71" i="85"/>
  <c r="N71" i="85"/>
  <c r="N79" i="85" s="1"/>
  <c r="K71" i="85"/>
  <c r="J71" i="85"/>
  <c r="L71" i="85" s="1"/>
  <c r="F71" i="85"/>
  <c r="H71" i="85" s="1"/>
  <c r="W70" i="85"/>
  <c r="N70" i="85" s="1"/>
  <c r="O70" i="85"/>
  <c r="K70" i="85"/>
  <c r="L70" i="85" s="1"/>
  <c r="J70" i="85"/>
  <c r="J79" i="85" s="1"/>
  <c r="F70" i="85"/>
  <c r="H70" i="85" s="1"/>
  <c r="AE69" i="85"/>
  <c r="AD69" i="85"/>
  <c r="I20" i="84" s="1"/>
  <c r="AA69" i="85"/>
  <c r="Z69" i="85"/>
  <c r="I18" i="84" s="1"/>
  <c r="M69" i="85"/>
  <c r="I22" i="84" s="1"/>
  <c r="J69" i="85"/>
  <c r="P69" i="85" s="1"/>
  <c r="W68" i="85"/>
  <c r="H68" i="85"/>
  <c r="W67" i="85"/>
  <c r="W66" i="85"/>
  <c r="W65" i="85"/>
  <c r="W64" i="85"/>
  <c r="W63" i="85"/>
  <c r="W62" i="85"/>
  <c r="V62" i="85"/>
  <c r="P62" i="85"/>
  <c r="N62" i="85"/>
  <c r="K62" i="85"/>
  <c r="K69" i="85" s="1"/>
  <c r="AF69" i="85" s="1"/>
  <c r="J62" i="85"/>
  <c r="F62" i="85"/>
  <c r="H62" i="85" s="1"/>
  <c r="W61" i="85"/>
  <c r="N61" i="85" s="1"/>
  <c r="V61" i="85"/>
  <c r="P61" i="85"/>
  <c r="O61" i="85"/>
  <c r="L61" i="85"/>
  <c r="K61" i="85"/>
  <c r="J61" i="85"/>
  <c r="F61" i="85"/>
  <c r="H61" i="85" s="1"/>
  <c r="AG60" i="85"/>
  <c r="AF60" i="85"/>
  <c r="W60" i="85"/>
  <c r="N60" i="85" s="1"/>
  <c r="O60" i="85" s="1"/>
  <c r="V60" i="85"/>
  <c r="R60" i="85"/>
  <c r="Q60" i="85"/>
  <c r="P60" i="85"/>
  <c r="K60" i="85"/>
  <c r="L60" i="85" s="1"/>
  <c r="J60" i="85"/>
  <c r="F60" i="85"/>
  <c r="H60" i="85" s="1"/>
  <c r="AG59" i="85"/>
  <c r="AF59" i="85"/>
  <c r="W59" i="85"/>
  <c r="N59" i="85"/>
  <c r="N69" i="85" s="1"/>
  <c r="L59" i="85"/>
  <c r="K59" i="85"/>
  <c r="J59" i="85"/>
  <c r="P59" i="85" s="1"/>
  <c r="F59" i="85"/>
  <c r="H59" i="85" s="1"/>
  <c r="AE58" i="85"/>
  <c r="H21" i="84" s="1"/>
  <c r="AD58" i="85"/>
  <c r="AA58" i="85"/>
  <c r="Z58" i="85"/>
  <c r="H18" i="84" s="1"/>
  <c r="M58" i="85"/>
  <c r="W57" i="85"/>
  <c r="W56" i="85"/>
  <c r="W55" i="85"/>
  <c r="W54" i="85"/>
  <c r="AG53" i="85"/>
  <c r="AF53" i="85"/>
  <c r="W53" i="85"/>
  <c r="AG52" i="85"/>
  <c r="AF52" i="85"/>
  <c r="W52" i="85"/>
  <c r="AG51" i="85"/>
  <c r="AF51" i="85"/>
  <c r="W51" i="85"/>
  <c r="V51" i="85"/>
  <c r="R51" i="85"/>
  <c r="Q51" i="85"/>
  <c r="P51" i="85"/>
  <c r="O51" i="85"/>
  <c r="N51" i="85"/>
  <c r="K51" i="85"/>
  <c r="L51" i="85" s="1"/>
  <c r="J51" i="85"/>
  <c r="F51" i="85"/>
  <c r="H51" i="85" s="1"/>
  <c r="W50" i="85"/>
  <c r="N50" i="85" s="1"/>
  <c r="V50" i="85"/>
  <c r="K50" i="85"/>
  <c r="J50" i="85"/>
  <c r="P50" i="85" s="1"/>
  <c r="F50" i="85"/>
  <c r="H50" i="85" s="1"/>
  <c r="W49" i="85"/>
  <c r="N49" i="85"/>
  <c r="K49" i="85"/>
  <c r="J49" i="85"/>
  <c r="P49" i="85" s="1"/>
  <c r="H49" i="85"/>
  <c r="F49" i="85"/>
  <c r="AE48" i="85"/>
  <c r="AD48" i="85"/>
  <c r="G20" i="84" s="1"/>
  <c r="AA48" i="85"/>
  <c r="Z48" i="85"/>
  <c r="W48" i="85"/>
  <c r="M48" i="85"/>
  <c r="K48" i="85"/>
  <c r="W47" i="85"/>
  <c r="H47" i="85"/>
  <c r="W46" i="85"/>
  <c r="W45" i="85"/>
  <c r="W44" i="85"/>
  <c r="W43" i="85"/>
  <c r="W42" i="85"/>
  <c r="AF41" i="85"/>
  <c r="W41" i="85"/>
  <c r="N41" i="85" s="1"/>
  <c r="O41" i="85" s="1"/>
  <c r="V41" i="85"/>
  <c r="P41" i="85"/>
  <c r="K41" i="85"/>
  <c r="J41" i="85"/>
  <c r="F41" i="85"/>
  <c r="H41" i="85" s="1"/>
  <c r="W40" i="85"/>
  <c r="N40" i="85" s="1"/>
  <c r="O40" i="85" s="1"/>
  <c r="V40" i="85"/>
  <c r="K40" i="85"/>
  <c r="J40" i="85"/>
  <c r="P40" i="85" s="1"/>
  <c r="H40" i="85"/>
  <c r="F40" i="85"/>
  <c r="W39" i="85"/>
  <c r="V39" i="85"/>
  <c r="P39" i="85"/>
  <c r="N39" i="85"/>
  <c r="K39" i="85"/>
  <c r="J39" i="85"/>
  <c r="L39" i="85" s="1"/>
  <c r="F39" i="85"/>
  <c r="H39" i="85" s="1"/>
  <c r="AG38" i="85"/>
  <c r="W38" i="85"/>
  <c r="O38" i="85"/>
  <c r="N38" i="85"/>
  <c r="K38" i="85"/>
  <c r="J38" i="85"/>
  <c r="P38" i="85" s="1"/>
  <c r="H38" i="85"/>
  <c r="F38" i="85"/>
  <c r="AE37" i="85"/>
  <c r="AD37" i="85"/>
  <c r="F20" i="84" s="1"/>
  <c r="AA37" i="85"/>
  <c r="F19" i="84" s="1"/>
  <c r="Z37" i="85"/>
  <c r="M37" i="85"/>
  <c r="W36" i="85"/>
  <c r="H36" i="85"/>
  <c r="W35" i="85"/>
  <c r="W34" i="85"/>
  <c r="W33" i="85"/>
  <c r="W32" i="85"/>
  <c r="V32" i="85"/>
  <c r="O32" i="85"/>
  <c r="N32" i="85"/>
  <c r="K32" i="85"/>
  <c r="J32" i="85"/>
  <c r="P32" i="85" s="1"/>
  <c r="F32" i="85"/>
  <c r="H32" i="85" s="1"/>
  <c r="AG31" i="85"/>
  <c r="W31" i="85"/>
  <c r="V31" i="85"/>
  <c r="O31" i="85"/>
  <c r="N31" i="85"/>
  <c r="K31" i="85"/>
  <c r="J31" i="85"/>
  <c r="P31" i="85" s="1"/>
  <c r="F31" i="85"/>
  <c r="H31" i="85" s="1"/>
  <c r="W30" i="85"/>
  <c r="V30" i="85"/>
  <c r="O30" i="85"/>
  <c r="N30" i="85"/>
  <c r="K30" i="85"/>
  <c r="J30" i="85"/>
  <c r="P30" i="85" s="1"/>
  <c r="H30" i="85"/>
  <c r="F30" i="85"/>
  <c r="W29" i="85"/>
  <c r="V29" i="85"/>
  <c r="P29" i="85"/>
  <c r="O29" i="85"/>
  <c r="N29" i="85"/>
  <c r="K29" i="85"/>
  <c r="J29" i="85"/>
  <c r="F29" i="85"/>
  <c r="H29" i="85" s="1"/>
  <c r="W28" i="85"/>
  <c r="V28" i="85"/>
  <c r="P28" i="85"/>
  <c r="N28" i="85"/>
  <c r="K28" i="85"/>
  <c r="J28" i="85"/>
  <c r="H28" i="85"/>
  <c r="F28" i="85"/>
  <c r="W27" i="85"/>
  <c r="N27" i="85"/>
  <c r="L27" i="85"/>
  <c r="J27" i="85"/>
  <c r="P27" i="85" s="1"/>
  <c r="H27" i="85"/>
  <c r="F27" i="85"/>
  <c r="AE26" i="85"/>
  <c r="AD26" i="85"/>
  <c r="E20" i="84" s="1"/>
  <c r="AA26" i="85"/>
  <c r="E19" i="84" s="1"/>
  <c r="Z26" i="85"/>
  <c r="P26" i="85"/>
  <c r="N26" i="85"/>
  <c r="M26" i="85"/>
  <c r="W25" i="85"/>
  <c r="H25" i="85"/>
  <c r="W24" i="85"/>
  <c r="H24" i="85"/>
  <c r="W23" i="85"/>
  <c r="W21" i="85"/>
  <c r="W20" i="85"/>
  <c r="AG19" i="85"/>
  <c r="AF19" i="85"/>
  <c r="W19" i="85"/>
  <c r="W18" i="85"/>
  <c r="V18" i="85"/>
  <c r="N18" i="85"/>
  <c r="K18" i="85"/>
  <c r="K26" i="85" s="1"/>
  <c r="J18" i="85"/>
  <c r="J26" i="85" s="1"/>
  <c r="H18" i="85"/>
  <c r="F18" i="85"/>
  <c r="AF17" i="85"/>
  <c r="W17" i="85"/>
  <c r="V17" i="85"/>
  <c r="R17" i="85"/>
  <c r="Q17" i="85"/>
  <c r="P17" i="85"/>
  <c r="O17" i="85"/>
  <c r="N17" i="85"/>
  <c r="AG17" i="85" s="1"/>
  <c r="L17" i="85"/>
  <c r="K17" i="85"/>
  <c r="J17" i="85"/>
  <c r="F17" i="85"/>
  <c r="H17" i="85" s="1"/>
  <c r="AF16" i="85"/>
  <c r="W16" i="85"/>
  <c r="P16" i="85"/>
  <c r="N16" i="85"/>
  <c r="AG16" i="85" s="1"/>
  <c r="L16" i="85"/>
  <c r="K16" i="85"/>
  <c r="J16" i="85"/>
  <c r="F16" i="85"/>
  <c r="H16" i="85" s="1"/>
  <c r="AE15" i="85"/>
  <c r="AD15" i="85"/>
  <c r="D20" i="84" s="1"/>
  <c r="AA15" i="85"/>
  <c r="D19" i="84" s="1"/>
  <c r="Z15" i="85"/>
  <c r="D18" i="84" s="1"/>
  <c r="M15" i="85"/>
  <c r="W14" i="85"/>
  <c r="W13" i="85"/>
  <c r="W12" i="85"/>
  <c r="AG11" i="85"/>
  <c r="AF11" i="85"/>
  <c r="W11" i="85"/>
  <c r="AG10" i="85"/>
  <c r="AF10" i="85"/>
  <c r="W10" i="85"/>
  <c r="W9" i="85"/>
  <c r="V9" i="85"/>
  <c r="P9" i="85"/>
  <c r="N9" i="85"/>
  <c r="K9" i="85"/>
  <c r="L9" i="85" s="1"/>
  <c r="H9" i="85"/>
  <c r="F9" i="85"/>
  <c r="AF8" i="85"/>
  <c r="W8" i="85"/>
  <c r="N8" i="85" s="1"/>
  <c r="V8" i="85"/>
  <c r="K8" i="85"/>
  <c r="J8" i="85"/>
  <c r="H8" i="85"/>
  <c r="F8" i="85"/>
  <c r="AF7" i="85"/>
  <c r="W7" i="85"/>
  <c r="N7" i="85" s="1"/>
  <c r="V7" i="85"/>
  <c r="L7" i="85"/>
  <c r="K7" i="85"/>
  <c r="J7" i="85"/>
  <c r="P7" i="85" s="1"/>
  <c r="H7" i="85"/>
  <c r="F7" i="85"/>
  <c r="W6" i="85"/>
  <c r="N6" i="85" s="1"/>
  <c r="V6" i="85"/>
  <c r="P6" i="85"/>
  <c r="O6" i="85"/>
  <c r="L6" i="85"/>
  <c r="K6" i="85"/>
  <c r="K15" i="85" s="1"/>
  <c r="J6" i="85"/>
  <c r="H6" i="85"/>
  <c r="F6" i="85"/>
  <c r="AG5" i="85"/>
  <c r="W5" i="85"/>
  <c r="P5" i="85"/>
  <c r="N5" i="85"/>
  <c r="L5" i="85"/>
  <c r="K5" i="85"/>
  <c r="J5" i="85"/>
  <c r="H5" i="85"/>
  <c r="F5" i="85"/>
  <c r="Z2" i="85"/>
  <c r="I2" i="85"/>
  <c r="E1" i="85"/>
  <c r="F22" i="84"/>
  <c r="E22" i="84"/>
  <c r="D22" i="84"/>
  <c r="J21" i="84"/>
  <c r="I21" i="84"/>
  <c r="G21" i="84"/>
  <c r="F21" i="84"/>
  <c r="E21" i="84"/>
  <c r="J20" i="84"/>
  <c r="H20" i="84"/>
  <c r="J19" i="84"/>
  <c r="I19" i="84"/>
  <c r="H19" i="84"/>
  <c r="G19" i="84"/>
  <c r="G18" i="84"/>
  <c r="F18" i="84"/>
  <c r="E18" i="84"/>
  <c r="J16" i="84"/>
  <c r="I16" i="84"/>
  <c r="H16" i="84"/>
  <c r="G16" i="84"/>
  <c r="F16" i="84"/>
  <c r="E16" i="84"/>
  <c r="D16" i="84"/>
  <c r="L6" i="84"/>
  <c r="G3" i="84"/>
  <c r="AE79" i="83"/>
  <c r="J21" i="82" s="1"/>
  <c r="AD79" i="83"/>
  <c r="J20" i="82" s="1"/>
  <c r="AA79" i="83"/>
  <c r="Z79" i="83"/>
  <c r="M79" i="83"/>
  <c r="K79" i="83"/>
  <c r="J79" i="83"/>
  <c r="W78" i="83"/>
  <c r="H78" i="83"/>
  <c r="W77" i="83"/>
  <c r="H77" i="83"/>
  <c r="W76" i="83"/>
  <c r="H76" i="83"/>
  <c r="W75" i="83"/>
  <c r="H75" i="83"/>
  <c r="W74" i="83"/>
  <c r="W73" i="83"/>
  <c r="W72" i="83"/>
  <c r="N72" i="83" s="1"/>
  <c r="O72" i="83" s="1"/>
  <c r="V72" i="83"/>
  <c r="P72" i="83"/>
  <c r="K72" i="83"/>
  <c r="J72" i="83"/>
  <c r="F72" i="83"/>
  <c r="H72" i="83" s="1"/>
  <c r="W71" i="83"/>
  <c r="N71" i="83" s="1"/>
  <c r="O71" i="83" s="1"/>
  <c r="V71" i="83"/>
  <c r="R71" i="83"/>
  <c r="Q71" i="83"/>
  <c r="P71" i="83"/>
  <c r="K71" i="83"/>
  <c r="L71" i="83" s="1"/>
  <c r="J71" i="83"/>
  <c r="F71" i="83"/>
  <c r="H71" i="83" s="1"/>
  <c r="W70" i="83"/>
  <c r="N70" i="83" s="1"/>
  <c r="L70" i="83"/>
  <c r="K70" i="83"/>
  <c r="J70" i="83"/>
  <c r="P70" i="83" s="1"/>
  <c r="F70" i="83"/>
  <c r="H70" i="83" s="1"/>
  <c r="AE69" i="83"/>
  <c r="AD69" i="83"/>
  <c r="AA69" i="83"/>
  <c r="Z69" i="83"/>
  <c r="I18" i="82" s="1"/>
  <c r="M69" i="83"/>
  <c r="W68" i="83"/>
  <c r="H68" i="83"/>
  <c r="W67" i="83"/>
  <c r="W66" i="83"/>
  <c r="W65" i="83"/>
  <c r="W64" i="83"/>
  <c r="V64" i="83"/>
  <c r="P64" i="83"/>
  <c r="O64" i="83"/>
  <c r="R64" i="83" s="1"/>
  <c r="N64" i="83"/>
  <c r="K64" i="83"/>
  <c r="L64" i="83" s="1"/>
  <c r="J64" i="83"/>
  <c r="F64" i="83"/>
  <c r="H64" i="83" s="1"/>
  <c r="W63" i="83"/>
  <c r="V63" i="83"/>
  <c r="N63" i="83"/>
  <c r="O63" i="83" s="1"/>
  <c r="K63" i="83"/>
  <c r="J63" i="83"/>
  <c r="P63" i="83" s="1"/>
  <c r="H63" i="83"/>
  <c r="F63" i="83"/>
  <c r="W62" i="83"/>
  <c r="N62" i="83" s="1"/>
  <c r="O62" i="83" s="1"/>
  <c r="V62" i="83"/>
  <c r="K62" i="83"/>
  <c r="J62" i="83"/>
  <c r="P62" i="83" s="1"/>
  <c r="F62" i="83"/>
  <c r="H62" i="83" s="1"/>
  <c r="W61" i="83"/>
  <c r="V61" i="83"/>
  <c r="N61" i="83"/>
  <c r="K61" i="83"/>
  <c r="L61" i="83" s="1"/>
  <c r="J61" i="83"/>
  <c r="P61" i="83" s="1"/>
  <c r="H61" i="83"/>
  <c r="F61" i="83"/>
  <c r="AG60" i="83"/>
  <c r="AF60" i="83"/>
  <c r="W60" i="83"/>
  <c r="V60" i="83"/>
  <c r="N60" i="83"/>
  <c r="O60" i="83" s="1"/>
  <c r="K60" i="83"/>
  <c r="J60" i="83"/>
  <c r="P60" i="83" s="1"/>
  <c r="F60" i="83"/>
  <c r="H60" i="83" s="1"/>
  <c r="W59" i="83"/>
  <c r="N59" i="83"/>
  <c r="K59" i="83"/>
  <c r="J59" i="83"/>
  <c r="P59" i="83" s="1"/>
  <c r="F59" i="83"/>
  <c r="H59" i="83" s="1"/>
  <c r="AE58" i="83"/>
  <c r="AD58" i="83"/>
  <c r="AA58" i="83"/>
  <c r="H19" i="82" s="1"/>
  <c r="Z58" i="83"/>
  <c r="H18" i="82" s="1"/>
  <c r="M58" i="83"/>
  <c r="W57" i="83"/>
  <c r="W56" i="83"/>
  <c r="W55" i="83"/>
  <c r="W54" i="83"/>
  <c r="AG53" i="83"/>
  <c r="AF53" i="83"/>
  <c r="W53" i="83"/>
  <c r="AG52" i="83"/>
  <c r="AF52" i="83"/>
  <c r="W52" i="83"/>
  <c r="AG51" i="83"/>
  <c r="W51" i="83"/>
  <c r="V51" i="83"/>
  <c r="O51" i="83"/>
  <c r="N51" i="83"/>
  <c r="AF51" i="83" s="1"/>
  <c r="K51" i="83"/>
  <c r="J51" i="83"/>
  <c r="P51" i="83" s="1"/>
  <c r="H51" i="83"/>
  <c r="F51" i="83"/>
  <c r="W50" i="83"/>
  <c r="N50" i="83" s="1"/>
  <c r="O50" i="83" s="1"/>
  <c r="V50" i="83"/>
  <c r="P50" i="83"/>
  <c r="L50" i="83"/>
  <c r="K50" i="83"/>
  <c r="J50" i="83"/>
  <c r="F50" i="83"/>
  <c r="H50" i="83" s="1"/>
  <c r="W49" i="83"/>
  <c r="N49" i="83" s="1"/>
  <c r="K49" i="83"/>
  <c r="L49" i="83" s="1"/>
  <c r="J49" i="83"/>
  <c r="H49" i="83"/>
  <c r="F49" i="83"/>
  <c r="AE48" i="83"/>
  <c r="AD48" i="83"/>
  <c r="AA48" i="83"/>
  <c r="Z48" i="83"/>
  <c r="W48" i="83"/>
  <c r="M48" i="83"/>
  <c r="W47" i="83"/>
  <c r="H47" i="83"/>
  <c r="W46" i="83"/>
  <c r="W45" i="83"/>
  <c r="W44" i="83"/>
  <c r="W43" i="83"/>
  <c r="W42" i="83"/>
  <c r="AG41" i="83"/>
  <c r="AF41" i="83"/>
  <c r="W41" i="83"/>
  <c r="W40" i="83"/>
  <c r="V40" i="83"/>
  <c r="N40" i="83"/>
  <c r="K40" i="83"/>
  <c r="L40" i="83" s="1"/>
  <c r="J40" i="83"/>
  <c r="P40" i="83" s="1"/>
  <c r="F40" i="83"/>
  <c r="H40" i="83" s="1"/>
  <c r="W39" i="83"/>
  <c r="V39" i="83"/>
  <c r="P39" i="83"/>
  <c r="N39" i="83"/>
  <c r="L39" i="83"/>
  <c r="K39" i="83"/>
  <c r="J39" i="83"/>
  <c r="H39" i="83"/>
  <c r="F39" i="83"/>
  <c r="W38" i="83"/>
  <c r="N38" i="83" s="1"/>
  <c r="P38" i="83"/>
  <c r="K38" i="83"/>
  <c r="J38" i="83"/>
  <c r="F38" i="83"/>
  <c r="H38" i="83" s="1"/>
  <c r="AE37" i="83"/>
  <c r="F21" i="82" s="1"/>
  <c r="AD37" i="83"/>
  <c r="F20" i="82" s="1"/>
  <c r="AA37" i="83"/>
  <c r="Z37" i="83"/>
  <c r="M37" i="83"/>
  <c r="J37" i="83"/>
  <c r="P37" i="83" s="1"/>
  <c r="W36" i="83"/>
  <c r="H36" i="83"/>
  <c r="W35" i="83"/>
  <c r="W34" i="83"/>
  <c r="W33" i="83"/>
  <c r="W32" i="83"/>
  <c r="V32" i="83"/>
  <c r="P32" i="83"/>
  <c r="N32" i="83"/>
  <c r="O32" i="83" s="1"/>
  <c r="K32" i="83"/>
  <c r="L32" i="83" s="1"/>
  <c r="J32" i="83"/>
  <c r="F32" i="83"/>
  <c r="H32" i="83" s="1"/>
  <c r="AG31" i="83"/>
  <c r="AF31" i="83"/>
  <c r="W31" i="83"/>
  <c r="V31" i="83"/>
  <c r="N31" i="83"/>
  <c r="O31" i="83" s="1"/>
  <c r="K31" i="83"/>
  <c r="J31" i="83"/>
  <c r="P31" i="83" s="1"/>
  <c r="F31" i="83"/>
  <c r="H31" i="83" s="1"/>
  <c r="AG30" i="83"/>
  <c r="AF30" i="83"/>
  <c r="W30" i="83"/>
  <c r="N30" i="83" s="1"/>
  <c r="O30" i="83" s="1"/>
  <c r="V30" i="83"/>
  <c r="K30" i="83"/>
  <c r="L30" i="83" s="1"/>
  <c r="J30" i="83"/>
  <c r="P30" i="83" s="1"/>
  <c r="F30" i="83"/>
  <c r="H30" i="83" s="1"/>
  <c r="W29" i="83"/>
  <c r="V29" i="83"/>
  <c r="O29" i="83"/>
  <c r="N29" i="83"/>
  <c r="K29" i="83"/>
  <c r="AF29" i="83" s="1"/>
  <c r="J29" i="83"/>
  <c r="P29" i="83" s="1"/>
  <c r="H29" i="83"/>
  <c r="F29" i="83"/>
  <c r="W28" i="83"/>
  <c r="V28" i="83"/>
  <c r="O28" i="83"/>
  <c r="N28" i="83"/>
  <c r="K28" i="83"/>
  <c r="J28" i="83"/>
  <c r="P28" i="83" s="1"/>
  <c r="F28" i="83"/>
  <c r="H28" i="83" s="1"/>
  <c r="W27" i="83"/>
  <c r="N27" i="83"/>
  <c r="O27" i="83" s="1"/>
  <c r="K27" i="83"/>
  <c r="J27" i="83"/>
  <c r="P27" i="83" s="1"/>
  <c r="F27" i="83"/>
  <c r="H27" i="83" s="1"/>
  <c r="AE26" i="83"/>
  <c r="AD26" i="83"/>
  <c r="E20" i="82" s="1"/>
  <c r="AA26" i="83"/>
  <c r="Z26" i="83"/>
  <c r="M26" i="83"/>
  <c r="W25" i="83"/>
  <c r="H25" i="83"/>
  <c r="W24" i="83"/>
  <c r="H24" i="83"/>
  <c r="W23" i="83"/>
  <c r="W21" i="83"/>
  <c r="W20" i="83"/>
  <c r="W19" i="83"/>
  <c r="N19" i="83" s="1"/>
  <c r="V19" i="83"/>
  <c r="K19" i="83"/>
  <c r="K26" i="83" s="1"/>
  <c r="J19" i="83"/>
  <c r="P19" i="83" s="1"/>
  <c r="F19" i="83"/>
  <c r="H19" i="83" s="1"/>
  <c r="AG18" i="83"/>
  <c r="AF18" i="83"/>
  <c r="W18" i="83"/>
  <c r="N18" i="83" s="1"/>
  <c r="O18" i="83" s="1"/>
  <c r="V18" i="83"/>
  <c r="P18" i="83"/>
  <c r="L18" i="83"/>
  <c r="R18" i="83" s="1"/>
  <c r="K18" i="83"/>
  <c r="J18" i="83"/>
  <c r="F18" i="83"/>
  <c r="H18" i="83" s="1"/>
  <c r="AG17" i="83"/>
  <c r="W17" i="83"/>
  <c r="N17" i="83" s="1"/>
  <c r="O17" i="83" s="1"/>
  <c r="V17" i="83"/>
  <c r="P17" i="83"/>
  <c r="K17" i="83"/>
  <c r="L17" i="83" s="1"/>
  <c r="F17" i="83"/>
  <c r="H17" i="83" s="1"/>
  <c r="G1" i="83" s="1"/>
  <c r="W16" i="83"/>
  <c r="N16" i="83"/>
  <c r="AF16" i="83" s="1"/>
  <c r="K16" i="83"/>
  <c r="L16" i="83" s="1"/>
  <c r="J16" i="83"/>
  <c r="F16" i="83"/>
  <c r="H16" i="83" s="1"/>
  <c r="AE15" i="83"/>
  <c r="AD15" i="83"/>
  <c r="AA15" i="83"/>
  <c r="Z15" i="83"/>
  <c r="M15" i="83"/>
  <c r="D22" i="82" s="1"/>
  <c r="J15" i="83"/>
  <c r="P15" i="83" s="1"/>
  <c r="W14" i="83"/>
  <c r="W13" i="83"/>
  <c r="W12" i="83"/>
  <c r="AG11" i="83"/>
  <c r="AF11" i="83"/>
  <c r="W11" i="83"/>
  <c r="AG10" i="83"/>
  <c r="AF10" i="83"/>
  <c r="W10" i="83"/>
  <c r="AG9" i="83"/>
  <c r="AF9" i="83"/>
  <c r="W9" i="83"/>
  <c r="W8" i="83"/>
  <c r="V8" i="83"/>
  <c r="P8" i="83"/>
  <c r="O8" i="83"/>
  <c r="R8" i="83" s="1"/>
  <c r="N8" i="83"/>
  <c r="K8" i="83"/>
  <c r="L8" i="83" s="1"/>
  <c r="J8" i="83"/>
  <c r="H8" i="83"/>
  <c r="F8" i="83"/>
  <c r="W7" i="83"/>
  <c r="V7" i="83"/>
  <c r="P7" i="83"/>
  <c r="N7" i="83"/>
  <c r="K7" i="83"/>
  <c r="L7" i="83" s="1"/>
  <c r="J7" i="83"/>
  <c r="F7" i="83"/>
  <c r="H7" i="83" s="1"/>
  <c r="W6" i="83"/>
  <c r="V6" i="83"/>
  <c r="P6" i="83"/>
  <c r="O6" i="83"/>
  <c r="R6" i="83" s="1"/>
  <c r="N6" i="83"/>
  <c r="K6" i="83"/>
  <c r="L6" i="83" s="1"/>
  <c r="J6" i="83"/>
  <c r="H6" i="83"/>
  <c r="F6" i="83"/>
  <c r="W5" i="83"/>
  <c r="N5" i="83"/>
  <c r="K5" i="83"/>
  <c r="K15" i="83" s="1"/>
  <c r="J5" i="83"/>
  <c r="P5" i="83" s="1"/>
  <c r="F5" i="83"/>
  <c r="H5" i="83" s="1"/>
  <c r="I2" i="83"/>
  <c r="E1" i="83"/>
  <c r="H22" i="82"/>
  <c r="G22" i="82"/>
  <c r="F22" i="82"/>
  <c r="E22" i="82"/>
  <c r="I21" i="82"/>
  <c r="H21" i="82"/>
  <c r="G21" i="82"/>
  <c r="E21" i="82"/>
  <c r="D21" i="82"/>
  <c r="I20" i="82"/>
  <c r="H20" i="82"/>
  <c r="G20" i="82"/>
  <c r="D20" i="82"/>
  <c r="J19" i="82"/>
  <c r="I19" i="82"/>
  <c r="F19" i="82"/>
  <c r="E19" i="82"/>
  <c r="D19" i="82"/>
  <c r="J18" i="82"/>
  <c r="F18" i="82"/>
  <c r="E18" i="82"/>
  <c r="D18" i="82"/>
  <c r="J16" i="82"/>
  <c r="I16" i="82"/>
  <c r="H16" i="82"/>
  <c r="G16" i="82"/>
  <c r="F16" i="82"/>
  <c r="E16" i="82"/>
  <c r="D16" i="82"/>
  <c r="G3" i="82"/>
  <c r="AE79" i="81"/>
  <c r="J21" i="80" s="1"/>
  <c r="AD79" i="81"/>
  <c r="AA79" i="81"/>
  <c r="Z79" i="81"/>
  <c r="M79" i="81"/>
  <c r="J22" i="80" s="1"/>
  <c r="J79" i="81"/>
  <c r="W78" i="81"/>
  <c r="H78" i="81"/>
  <c r="W77" i="81"/>
  <c r="H77" i="81"/>
  <c r="W76" i="81"/>
  <c r="H76" i="81"/>
  <c r="W75" i="81"/>
  <c r="H75" i="81"/>
  <c r="W74" i="81"/>
  <c r="W73" i="81"/>
  <c r="W72" i="81"/>
  <c r="W71" i="81"/>
  <c r="V71" i="81"/>
  <c r="P71" i="81"/>
  <c r="N71" i="81"/>
  <c r="O71" i="81" s="1"/>
  <c r="L71" i="81"/>
  <c r="K71" i="81"/>
  <c r="J71" i="81"/>
  <c r="F71" i="81"/>
  <c r="H71" i="81" s="1"/>
  <c r="AG70" i="81"/>
  <c r="W70" i="81"/>
  <c r="N70" i="81" s="1"/>
  <c r="P70" i="81"/>
  <c r="O70" i="81"/>
  <c r="K70" i="81"/>
  <c r="J70" i="81"/>
  <c r="F70" i="81"/>
  <c r="H70" i="81" s="1"/>
  <c r="AE69" i="81"/>
  <c r="AD69" i="81"/>
  <c r="I20" i="80" s="1"/>
  <c r="AA69" i="81"/>
  <c r="I19" i="80" s="1"/>
  <c r="Z69" i="81"/>
  <c r="M69" i="81"/>
  <c r="K69" i="81"/>
  <c r="W68" i="81"/>
  <c r="H68" i="81"/>
  <c r="W67" i="81"/>
  <c r="W66" i="81"/>
  <c r="W65" i="81"/>
  <c r="W64" i="81"/>
  <c r="W63" i="81"/>
  <c r="AG62" i="81"/>
  <c r="AF62" i="81"/>
  <c r="W62" i="81"/>
  <c r="W61" i="81"/>
  <c r="V61" i="81"/>
  <c r="N61" i="81"/>
  <c r="O61" i="81" s="1"/>
  <c r="L61" i="81"/>
  <c r="K61" i="81"/>
  <c r="J61" i="81"/>
  <c r="P61" i="81" s="1"/>
  <c r="F61" i="81"/>
  <c r="H61" i="81" s="1"/>
  <c r="AF60" i="81"/>
  <c r="W60" i="81"/>
  <c r="N60" i="81" s="1"/>
  <c r="O60" i="81" s="1"/>
  <c r="V60" i="81"/>
  <c r="P60" i="81"/>
  <c r="L60" i="81"/>
  <c r="K60" i="81"/>
  <c r="J60" i="81"/>
  <c r="F60" i="81"/>
  <c r="H60" i="81" s="1"/>
  <c r="AG59" i="81"/>
  <c r="W59" i="81"/>
  <c r="O59" i="81"/>
  <c r="N59" i="81"/>
  <c r="K59" i="81"/>
  <c r="J59" i="81"/>
  <c r="P59" i="81" s="1"/>
  <c r="H59" i="81"/>
  <c r="F59" i="81"/>
  <c r="AE58" i="81"/>
  <c r="H21" i="80" s="1"/>
  <c r="AD58" i="81"/>
  <c r="H20" i="80" s="1"/>
  <c r="AA58" i="81"/>
  <c r="H19" i="80" s="1"/>
  <c r="Z58" i="81"/>
  <c r="H18" i="80" s="1"/>
  <c r="M58" i="81"/>
  <c r="J58" i="81"/>
  <c r="P58" i="81" s="1"/>
  <c r="W57" i="81"/>
  <c r="W56" i="81"/>
  <c r="W55" i="81"/>
  <c r="W54" i="81"/>
  <c r="AG53" i="81"/>
  <c r="AF53" i="81"/>
  <c r="W53" i="81"/>
  <c r="W52" i="81"/>
  <c r="V52" i="81"/>
  <c r="P52" i="81"/>
  <c r="N52" i="81"/>
  <c r="O52" i="81" s="1"/>
  <c r="K52" i="81"/>
  <c r="K58" i="81" s="1"/>
  <c r="J52" i="81"/>
  <c r="H52" i="81"/>
  <c r="F52" i="81"/>
  <c r="W51" i="81"/>
  <c r="V51" i="81"/>
  <c r="R51" i="81"/>
  <c r="P51" i="81"/>
  <c r="N51" i="81"/>
  <c r="O51" i="81" s="1"/>
  <c r="Q51" i="81" s="1"/>
  <c r="L51" i="81"/>
  <c r="K51" i="81"/>
  <c r="J51" i="81"/>
  <c r="F51" i="81"/>
  <c r="H51" i="81" s="1"/>
  <c r="W50" i="81"/>
  <c r="N50" i="81" s="1"/>
  <c r="V50" i="81"/>
  <c r="P50" i="81"/>
  <c r="K50" i="81"/>
  <c r="L50" i="81" s="1"/>
  <c r="J50" i="81"/>
  <c r="F50" i="81"/>
  <c r="H50" i="81" s="1"/>
  <c r="W49" i="81"/>
  <c r="N49" i="81"/>
  <c r="K49" i="81"/>
  <c r="J49" i="81"/>
  <c r="P49" i="81" s="1"/>
  <c r="F49" i="81"/>
  <c r="H49" i="81" s="1"/>
  <c r="AE48" i="81"/>
  <c r="G21" i="80" s="1"/>
  <c r="AD48" i="81"/>
  <c r="G20" i="80" s="1"/>
  <c r="AA48" i="81"/>
  <c r="Z48" i="81"/>
  <c r="W48" i="81"/>
  <c r="M48" i="81"/>
  <c r="W47" i="81"/>
  <c r="H47" i="81"/>
  <c r="W46" i="81"/>
  <c r="W45" i="81"/>
  <c r="W44" i="81"/>
  <c r="W43" i="81"/>
  <c r="W42" i="81"/>
  <c r="AG41" i="81"/>
  <c r="AF41" i="81"/>
  <c r="W41" i="81"/>
  <c r="W40" i="81"/>
  <c r="V40" i="81"/>
  <c r="N40" i="81"/>
  <c r="K40" i="81"/>
  <c r="J40" i="81"/>
  <c r="P40" i="81" s="1"/>
  <c r="F40" i="81"/>
  <c r="H40" i="81" s="1"/>
  <c r="W39" i="81"/>
  <c r="N39" i="81" s="1"/>
  <c r="V39" i="81"/>
  <c r="K39" i="81"/>
  <c r="L39" i="81" s="1"/>
  <c r="J39" i="81"/>
  <c r="P39" i="81" s="1"/>
  <c r="F39" i="81"/>
  <c r="H39" i="81" s="1"/>
  <c r="W38" i="81"/>
  <c r="N38" i="81" s="1"/>
  <c r="AG38" i="81" s="1"/>
  <c r="O38" i="81"/>
  <c r="K38" i="81"/>
  <c r="J38" i="81"/>
  <c r="J48" i="81" s="1"/>
  <c r="F38" i="81"/>
  <c r="H38" i="81" s="1"/>
  <c r="AE37" i="81"/>
  <c r="AD37" i="81"/>
  <c r="AA37" i="81"/>
  <c r="Z37" i="81"/>
  <c r="F18" i="80" s="1"/>
  <c r="M37" i="81"/>
  <c r="W36" i="81"/>
  <c r="H36" i="81"/>
  <c r="W35" i="81"/>
  <c r="W34" i="81"/>
  <c r="W33" i="81"/>
  <c r="W32" i="81"/>
  <c r="V32" i="81"/>
  <c r="P32" i="81"/>
  <c r="N32" i="81"/>
  <c r="O32" i="81" s="1"/>
  <c r="L32" i="81"/>
  <c r="K32" i="81"/>
  <c r="J32" i="81"/>
  <c r="H32" i="81"/>
  <c r="F32" i="81"/>
  <c r="AF31" i="81"/>
  <c r="W31" i="81"/>
  <c r="V31" i="81"/>
  <c r="P31" i="81"/>
  <c r="O31" i="81"/>
  <c r="R31" i="81" s="1"/>
  <c r="N31" i="81"/>
  <c r="AG31" i="81" s="1"/>
  <c r="L31" i="81"/>
  <c r="K31" i="81"/>
  <c r="J31" i="81"/>
  <c r="F31" i="81"/>
  <c r="H31" i="81" s="1"/>
  <c r="AG30" i="81"/>
  <c r="W30" i="81"/>
  <c r="N30" i="81" s="1"/>
  <c r="AF30" i="81" s="1"/>
  <c r="V30" i="81"/>
  <c r="P30" i="81"/>
  <c r="O30" i="81"/>
  <c r="K30" i="81"/>
  <c r="J30" i="81"/>
  <c r="F30" i="81"/>
  <c r="H30" i="81" s="1"/>
  <c r="AG29" i="81"/>
  <c r="W29" i="81"/>
  <c r="N29" i="81" s="1"/>
  <c r="O29" i="81" s="1"/>
  <c r="V29" i="81"/>
  <c r="P29" i="81"/>
  <c r="K29" i="81"/>
  <c r="J29" i="81"/>
  <c r="L29" i="81" s="1"/>
  <c r="R29" i="81" s="1"/>
  <c r="F29" i="81"/>
  <c r="H29" i="81" s="1"/>
  <c r="W28" i="81"/>
  <c r="V28" i="81"/>
  <c r="N28" i="81"/>
  <c r="K28" i="81"/>
  <c r="J28" i="81"/>
  <c r="P28" i="81" s="1"/>
  <c r="H28" i="81"/>
  <c r="F28" i="81"/>
  <c r="W27" i="81"/>
  <c r="O27" i="81"/>
  <c r="N27" i="81"/>
  <c r="K27" i="81"/>
  <c r="J27" i="81"/>
  <c r="J37" i="81" s="1"/>
  <c r="H27" i="81"/>
  <c r="F27" i="81"/>
  <c r="AE26" i="81"/>
  <c r="AD26" i="81"/>
  <c r="E20" i="80" s="1"/>
  <c r="AA26" i="81"/>
  <c r="Z26" i="81"/>
  <c r="E18" i="80" s="1"/>
  <c r="N26" i="81"/>
  <c r="M26" i="81"/>
  <c r="W25" i="81"/>
  <c r="H25" i="81"/>
  <c r="W24" i="81"/>
  <c r="H24" i="81"/>
  <c r="W23" i="81"/>
  <c r="W21" i="81"/>
  <c r="W20" i="81"/>
  <c r="V20" i="81"/>
  <c r="P20" i="81"/>
  <c r="O20" i="81"/>
  <c r="N20" i="81"/>
  <c r="K20" i="81"/>
  <c r="L20" i="81" s="1"/>
  <c r="F20" i="81"/>
  <c r="H20" i="81" s="1"/>
  <c r="W19" i="81"/>
  <c r="V19" i="81"/>
  <c r="N19" i="81"/>
  <c r="O19" i="81" s="1"/>
  <c r="K19" i="81"/>
  <c r="J19" i="81"/>
  <c r="P19" i="81" s="1"/>
  <c r="F19" i="81"/>
  <c r="H19" i="81" s="1"/>
  <c r="AG18" i="81"/>
  <c r="AF18" i="81"/>
  <c r="W18" i="81"/>
  <c r="V18" i="81"/>
  <c r="N18" i="81"/>
  <c r="O18" i="81" s="1"/>
  <c r="K18" i="81"/>
  <c r="J18" i="81"/>
  <c r="P18" i="81" s="1"/>
  <c r="H18" i="81"/>
  <c r="F18" i="81"/>
  <c r="W17" i="81"/>
  <c r="V17" i="81"/>
  <c r="P17" i="81"/>
  <c r="N17" i="81"/>
  <c r="K17" i="81"/>
  <c r="H17" i="81"/>
  <c r="F17" i="81"/>
  <c r="AG16" i="81"/>
  <c r="W16" i="81"/>
  <c r="P16" i="81"/>
  <c r="N16" i="81"/>
  <c r="AF16" i="81" s="1"/>
  <c r="L16" i="81"/>
  <c r="K16" i="81"/>
  <c r="J16" i="81"/>
  <c r="H16" i="81"/>
  <c r="F16" i="81"/>
  <c r="AE15" i="81"/>
  <c r="AD15" i="81"/>
  <c r="D20" i="80" s="1"/>
  <c r="AA15" i="81"/>
  <c r="AA2" i="81" s="1"/>
  <c r="M6" i="80" s="1"/>
  <c r="Z15" i="81"/>
  <c r="M15" i="81"/>
  <c r="W14" i="81"/>
  <c r="W13" i="81"/>
  <c r="W12" i="81"/>
  <c r="AG11" i="81"/>
  <c r="AF11" i="81"/>
  <c r="W11" i="81"/>
  <c r="AG10" i="81"/>
  <c r="AF10" i="81"/>
  <c r="W10" i="81"/>
  <c r="AG9" i="81"/>
  <c r="AF9" i="81"/>
  <c r="W9" i="81"/>
  <c r="W8" i="81"/>
  <c r="V8" i="81"/>
  <c r="P8" i="81"/>
  <c r="N8" i="81"/>
  <c r="L8" i="81"/>
  <c r="K8" i="81"/>
  <c r="J8" i="81"/>
  <c r="F8" i="81"/>
  <c r="H8" i="81" s="1"/>
  <c r="AG7" i="81"/>
  <c r="AF7" i="81"/>
  <c r="W7" i="81"/>
  <c r="N7" i="81" s="1"/>
  <c r="V7" i="81"/>
  <c r="P7" i="81"/>
  <c r="O7" i="81"/>
  <c r="K7" i="81"/>
  <c r="J7" i="81"/>
  <c r="F7" i="81"/>
  <c r="H7" i="81" s="1"/>
  <c r="W6" i="81"/>
  <c r="N6" i="81" s="1"/>
  <c r="V6" i="81"/>
  <c r="K6" i="81"/>
  <c r="J6" i="81"/>
  <c r="P6" i="81" s="1"/>
  <c r="H6" i="81"/>
  <c r="F6" i="81"/>
  <c r="AG5" i="81"/>
  <c r="W5" i="81"/>
  <c r="N5" i="81"/>
  <c r="AF5" i="81" s="1"/>
  <c r="K5" i="81"/>
  <c r="J5" i="81"/>
  <c r="F5" i="81"/>
  <c r="H5" i="81" s="1"/>
  <c r="AE2" i="81"/>
  <c r="O6" i="80" s="1"/>
  <c r="I2" i="81"/>
  <c r="E1" i="81"/>
  <c r="I22" i="80"/>
  <c r="H22" i="80"/>
  <c r="I21" i="80"/>
  <c r="F21" i="80"/>
  <c r="E21" i="80"/>
  <c r="D21" i="80"/>
  <c r="J20" i="80"/>
  <c r="F20" i="80"/>
  <c r="J19" i="80"/>
  <c r="G19" i="80"/>
  <c r="F19" i="80"/>
  <c r="E19" i="80"/>
  <c r="J18" i="80"/>
  <c r="I18" i="80"/>
  <c r="G18" i="80"/>
  <c r="J16" i="80"/>
  <c r="I16" i="80"/>
  <c r="H16" i="80"/>
  <c r="G16" i="80"/>
  <c r="F16" i="80"/>
  <c r="E16" i="80"/>
  <c r="D16" i="80"/>
  <c r="G3" i="80"/>
  <c r="AE79" i="79"/>
  <c r="AD79" i="79"/>
  <c r="J20" i="78" s="1"/>
  <c r="AA79" i="79"/>
  <c r="Z79" i="79"/>
  <c r="M79" i="79"/>
  <c r="W78" i="79"/>
  <c r="H78" i="79"/>
  <c r="W77" i="79"/>
  <c r="H77" i="79"/>
  <c r="W76" i="79"/>
  <c r="H76" i="79"/>
  <c r="W75" i="79"/>
  <c r="H75" i="79"/>
  <c r="W74" i="79"/>
  <c r="W73" i="79"/>
  <c r="W72" i="79"/>
  <c r="W71" i="79"/>
  <c r="N71" i="79" s="1"/>
  <c r="O71" i="79" s="1"/>
  <c r="V71" i="79"/>
  <c r="K71" i="79"/>
  <c r="L71" i="79" s="1"/>
  <c r="Q71" i="79" s="1"/>
  <c r="J71" i="79"/>
  <c r="P71" i="79" s="1"/>
  <c r="H71" i="79"/>
  <c r="F71" i="79"/>
  <c r="AG70" i="79"/>
  <c r="W70" i="79"/>
  <c r="N70" i="79"/>
  <c r="O70" i="79" s="1"/>
  <c r="K70" i="79"/>
  <c r="J70" i="79"/>
  <c r="H70" i="79"/>
  <c r="F70" i="79"/>
  <c r="AE69" i="79"/>
  <c r="AD69" i="79"/>
  <c r="AA69" i="79"/>
  <c r="Z69" i="79"/>
  <c r="I18" i="78" s="1"/>
  <c r="P69" i="79"/>
  <c r="M69" i="79"/>
  <c r="W68" i="79"/>
  <c r="H68" i="79"/>
  <c r="W67" i="79"/>
  <c r="W66" i="79"/>
  <c r="W65" i="79"/>
  <c r="W64" i="79"/>
  <c r="W63" i="79"/>
  <c r="AG62" i="79"/>
  <c r="AF62" i="79"/>
  <c r="W62" i="79"/>
  <c r="W61" i="79"/>
  <c r="V61" i="79"/>
  <c r="P61" i="79"/>
  <c r="N61" i="79"/>
  <c r="O61" i="79" s="1"/>
  <c r="L61" i="79"/>
  <c r="K61" i="79"/>
  <c r="J61" i="79"/>
  <c r="H61" i="79"/>
  <c r="F61" i="79"/>
  <c r="W60" i="79"/>
  <c r="N60" i="79" s="1"/>
  <c r="V60" i="79"/>
  <c r="P60" i="79"/>
  <c r="O60" i="79"/>
  <c r="R60" i="79" s="1"/>
  <c r="L60" i="79"/>
  <c r="K60" i="79"/>
  <c r="K69" i="79" s="1"/>
  <c r="J60" i="79"/>
  <c r="J69" i="79" s="1"/>
  <c r="H60" i="79"/>
  <c r="F60" i="79"/>
  <c r="W59" i="79"/>
  <c r="P59" i="79"/>
  <c r="O59" i="79"/>
  <c r="N59" i="79"/>
  <c r="L59" i="79"/>
  <c r="K59" i="79"/>
  <c r="J59" i="79"/>
  <c r="F59" i="79"/>
  <c r="H59" i="79" s="1"/>
  <c r="AE58" i="79"/>
  <c r="AD58" i="79"/>
  <c r="AA58" i="79"/>
  <c r="H19" i="78" s="1"/>
  <c r="Z58" i="79"/>
  <c r="H18" i="78" s="1"/>
  <c r="M58" i="79"/>
  <c r="W57" i="79"/>
  <c r="W56" i="79"/>
  <c r="W55" i="79"/>
  <c r="W54" i="79"/>
  <c r="AG53" i="79"/>
  <c r="AF53" i="79"/>
  <c r="W53" i="79"/>
  <c r="AG52" i="79"/>
  <c r="AF52" i="79"/>
  <c r="W52" i="79"/>
  <c r="W51" i="79"/>
  <c r="V51" i="79"/>
  <c r="O51" i="79"/>
  <c r="N51" i="79"/>
  <c r="K51" i="79"/>
  <c r="L51" i="79" s="1"/>
  <c r="J51" i="79"/>
  <c r="P51" i="79" s="1"/>
  <c r="H51" i="79"/>
  <c r="F51" i="79"/>
  <c r="AF50" i="79"/>
  <c r="W50" i="79"/>
  <c r="N50" i="79" s="1"/>
  <c r="V50" i="79"/>
  <c r="K50" i="79"/>
  <c r="J50" i="79"/>
  <c r="P50" i="79" s="1"/>
  <c r="F50" i="79"/>
  <c r="H50" i="79" s="1"/>
  <c r="AG49" i="79"/>
  <c r="AF49" i="79"/>
  <c r="W49" i="79"/>
  <c r="N49" i="79" s="1"/>
  <c r="K49" i="79"/>
  <c r="L49" i="79" s="1"/>
  <c r="J49" i="79"/>
  <c r="P49" i="79" s="1"/>
  <c r="F49" i="79"/>
  <c r="H49" i="79" s="1"/>
  <c r="AE48" i="79"/>
  <c r="G21" i="78" s="1"/>
  <c r="AD48" i="79"/>
  <c r="AA48" i="79"/>
  <c r="Z48" i="79"/>
  <c r="W48" i="79"/>
  <c r="M48" i="79"/>
  <c r="G22" i="78" s="1"/>
  <c r="J48" i="79"/>
  <c r="W47" i="79"/>
  <c r="H47" i="79"/>
  <c r="W46" i="79"/>
  <c r="W45" i="79"/>
  <c r="W44" i="79"/>
  <c r="W43" i="79"/>
  <c r="W42" i="79"/>
  <c r="AG41" i="79"/>
  <c r="AF41" i="79"/>
  <c r="W41" i="79"/>
  <c r="AG40" i="79"/>
  <c r="W40" i="79"/>
  <c r="V40" i="79"/>
  <c r="N40" i="79"/>
  <c r="O40" i="79" s="1"/>
  <c r="L40" i="79"/>
  <c r="K40" i="79"/>
  <c r="J40" i="79"/>
  <c r="P40" i="79" s="1"/>
  <c r="F40" i="79"/>
  <c r="H40" i="79" s="1"/>
  <c r="W39" i="79"/>
  <c r="V39" i="79"/>
  <c r="O39" i="79"/>
  <c r="Q39" i="79" s="1"/>
  <c r="N39" i="79"/>
  <c r="L39" i="79"/>
  <c r="K39" i="79"/>
  <c r="J39" i="79"/>
  <c r="P39" i="79" s="1"/>
  <c r="H39" i="79"/>
  <c r="F39" i="79"/>
  <c r="W38" i="79"/>
  <c r="P38" i="79"/>
  <c r="N38" i="79"/>
  <c r="K38" i="79"/>
  <c r="L38" i="79" s="1"/>
  <c r="L48" i="79" s="1"/>
  <c r="G13" i="78" s="1"/>
  <c r="J38" i="79"/>
  <c r="F38" i="79"/>
  <c r="H38" i="79" s="1"/>
  <c r="AE37" i="79"/>
  <c r="F21" i="78" s="1"/>
  <c r="AD37" i="79"/>
  <c r="AA37" i="79"/>
  <c r="F19" i="78" s="1"/>
  <c r="Z37" i="79"/>
  <c r="M37" i="79"/>
  <c r="J37" i="79"/>
  <c r="P37" i="79" s="1"/>
  <c r="W36" i="79"/>
  <c r="H36" i="79"/>
  <c r="W35" i="79"/>
  <c r="W34" i="79"/>
  <c r="W33" i="79"/>
  <c r="W32" i="79"/>
  <c r="W31" i="79"/>
  <c r="V31" i="79"/>
  <c r="P31" i="79"/>
  <c r="N31" i="79"/>
  <c r="K31" i="79"/>
  <c r="L31" i="79" s="1"/>
  <c r="J31" i="79"/>
  <c r="H31" i="79"/>
  <c r="F31" i="79"/>
  <c r="W30" i="79"/>
  <c r="V30" i="79"/>
  <c r="P30" i="79"/>
  <c r="N30" i="79"/>
  <c r="K30" i="79"/>
  <c r="L30" i="79" s="1"/>
  <c r="J30" i="79"/>
  <c r="H30" i="79"/>
  <c r="F30" i="79"/>
  <c r="W29" i="79"/>
  <c r="V29" i="79"/>
  <c r="N29" i="79"/>
  <c r="K29" i="79"/>
  <c r="J29" i="79"/>
  <c r="P29" i="79" s="1"/>
  <c r="H29" i="79"/>
  <c r="F29" i="79"/>
  <c r="W28" i="79"/>
  <c r="V28" i="79"/>
  <c r="P28" i="79"/>
  <c r="N28" i="79"/>
  <c r="K28" i="79"/>
  <c r="L28" i="79" s="1"/>
  <c r="J28" i="79"/>
  <c r="F28" i="79"/>
  <c r="H28" i="79" s="1"/>
  <c r="W27" i="79"/>
  <c r="P27" i="79"/>
  <c r="N27" i="79"/>
  <c r="L27" i="79"/>
  <c r="J27" i="79"/>
  <c r="F27" i="79"/>
  <c r="H27" i="79" s="1"/>
  <c r="AE26" i="79"/>
  <c r="AD26" i="79"/>
  <c r="AA26" i="79"/>
  <c r="Z26" i="79"/>
  <c r="M26" i="79"/>
  <c r="J26" i="79"/>
  <c r="W25" i="79"/>
  <c r="H25" i="79"/>
  <c r="W24" i="79"/>
  <c r="H24" i="79"/>
  <c r="W23" i="79"/>
  <c r="W21" i="79"/>
  <c r="W20" i="79"/>
  <c r="N20" i="79" s="1"/>
  <c r="V20" i="79"/>
  <c r="P20" i="79"/>
  <c r="O20" i="79"/>
  <c r="R20" i="79" s="1"/>
  <c r="L20" i="79"/>
  <c r="K20" i="79"/>
  <c r="F20" i="79"/>
  <c r="H20" i="79" s="1"/>
  <c r="W19" i="79"/>
  <c r="V19" i="79"/>
  <c r="P19" i="79"/>
  <c r="N19" i="79"/>
  <c r="K19" i="79"/>
  <c r="L19" i="79" s="1"/>
  <c r="J19" i="79"/>
  <c r="F19" i="79"/>
  <c r="H19" i="79" s="1"/>
  <c r="W18" i="79"/>
  <c r="V18" i="79"/>
  <c r="N18" i="79"/>
  <c r="O18" i="79" s="1"/>
  <c r="K18" i="79"/>
  <c r="J18" i="79"/>
  <c r="P18" i="79" s="1"/>
  <c r="H18" i="79"/>
  <c r="F18" i="79"/>
  <c r="W17" i="79"/>
  <c r="N17" i="79" s="1"/>
  <c r="V17" i="79"/>
  <c r="P17" i="79"/>
  <c r="K17" i="79"/>
  <c r="L17" i="79" s="1"/>
  <c r="H17" i="79"/>
  <c r="F17" i="79"/>
  <c r="W16" i="79"/>
  <c r="N16" i="79" s="1"/>
  <c r="P16" i="79"/>
  <c r="L16" i="79"/>
  <c r="K16" i="79"/>
  <c r="J16" i="79"/>
  <c r="H16" i="79"/>
  <c r="F16" i="79"/>
  <c r="AE15" i="79"/>
  <c r="AD15" i="79"/>
  <c r="AA15" i="79"/>
  <c r="Z15" i="79"/>
  <c r="M15" i="79"/>
  <c r="W14" i="79"/>
  <c r="W13" i="79"/>
  <c r="W12" i="79"/>
  <c r="AG11" i="79"/>
  <c r="AF11" i="79"/>
  <c r="W11" i="79"/>
  <c r="AG10" i="79"/>
  <c r="AF10" i="79"/>
  <c r="W10" i="79"/>
  <c r="AG9" i="79"/>
  <c r="AF9" i="79"/>
  <c r="W9" i="79"/>
  <c r="W8" i="79"/>
  <c r="N8" i="79" s="1"/>
  <c r="O8" i="79" s="1"/>
  <c r="V8" i="79"/>
  <c r="K8" i="79"/>
  <c r="L8" i="79" s="1"/>
  <c r="R8" i="79" s="1"/>
  <c r="J8" i="79"/>
  <c r="P8" i="79" s="1"/>
  <c r="F8" i="79"/>
  <c r="H8" i="79" s="1"/>
  <c r="W7" i="79"/>
  <c r="V7" i="79"/>
  <c r="N7" i="79"/>
  <c r="K7" i="79"/>
  <c r="L7" i="79" s="1"/>
  <c r="J7" i="79"/>
  <c r="P7" i="79" s="1"/>
  <c r="H7" i="79"/>
  <c r="F7" i="79"/>
  <c r="W6" i="79"/>
  <c r="V6" i="79"/>
  <c r="N6" i="79"/>
  <c r="K6" i="79"/>
  <c r="L6" i="79" s="1"/>
  <c r="J6" i="79"/>
  <c r="P6" i="79" s="1"/>
  <c r="F6" i="79"/>
  <c r="H6" i="79" s="1"/>
  <c r="W5" i="79"/>
  <c r="N5" i="79"/>
  <c r="K5" i="79"/>
  <c r="K15" i="79" s="1"/>
  <c r="J5" i="79"/>
  <c r="H5" i="79"/>
  <c r="F5" i="79"/>
  <c r="Z2" i="79"/>
  <c r="L6" i="78" s="1"/>
  <c r="I2" i="79"/>
  <c r="E1" i="79"/>
  <c r="J22" i="78"/>
  <c r="I22" i="78"/>
  <c r="F22" i="78"/>
  <c r="E22" i="78"/>
  <c r="D22" i="78"/>
  <c r="J21" i="78"/>
  <c r="I21" i="78"/>
  <c r="H21" i="78"/>
  <c r="E21" i="78"/>
  <c r="I20" i="78"/>
  <c r="H20" i="78"/>
  <c r="G20" i="78"/>
  <c r="F20" i="78"/>
  <c r="E20" i="78"/>
  <c r="D20" i="78"/>
  <c r="J19" i="78"/>
  <c r="I19" i="78"/>
  <c r="G19" i="78"/>
  <c r="E19" i="78"/>
  <c r="D19" i="78"/>
  <c r="J18" i="78"/>
  <c r="G18" i="78"/>
  <c r="F18" i="78"/>
  <c r="E18" i="78"/>
  <c r="D18" i="78"/>
  <c r="J16" i="78"/>
  <c r="I16" i="78"/>
  <c r="H16" i="78"/>
  <c r="G16" i="78"/>
  <c r="F16" i="78"/>
  <c r="E16" i="78"/>
  <c r="D16" i="78"/>
  <c r="G3" i="78"/>
  <c r="AE79" i="77"/>
  <c r="AD79" i="77"/>
  <c r="J20" i="76" s="1"/>
  <c r="AA79" i="77"/>
  <c r="Z79" i="77"/>
  <c r="M79" i="77"/>
  <c r="P79" i="77" s="1"/>
  <c r="L79" i="77"/>
  <c r="J13" i="76" s="1"/>
  <c r="K79" i="77"/>
  <c r="W78" i="77"/>
  <c r="H78" i="77"/>
  <c r="W77" i="77"/>
  <c r="H77" i="77"/>
  <c r="W76" i="77"/>
  <c r="H76" i="77"/>
  <c r="W75" i="77"/>
  <c r="H75" i="77"/>
  <c r="W74" i="77"/>
  <c r="W73" i="77"/>
  <c r="W72" i="77"/>
  <c r="W71" i="77"/>
  <c r="W70" i="77"/>
  <c r="N70" i="77" s="1"/>
  <c r="P70" i="77"/>
  <c r="K70" i="77"/>
  <c r="L70" i="77" s="1"/>
  <c r="J70" i="77"/>
  <c r="J79" i="77" s="1"/>
  <c r="F70" i="77"/>
  <c r="H70" i="77" s="1"/>
  <c r="AE69" i="77"/>
  <c r="I21" i="76" s="1"/>
  <c r="AD69" i="77"/>
  <c r="I20" i="76" s="1"/>
  <c r="AA69" i="77"/>
  <c r="I19" i="76" s="1"/>
  <c r="Z69" i="77"/>
  <c r="I18" i="76" s="1"/>
  <c r="M69" i="77"/>
  <c r="W68" i="77"/>
  <c r="H68" i="77"/>
  <c r="W67" i="77"/>
  <c r="W66" i="77"/>
  <c r="W65" i="77"/>
  <c r="W64" i="77"/>
  <c r="W63" i="77"/>
  <c r="N63" i="77" s="1"/>
  <c r="O63" i="77" s="1"/>
  <c r="V63" i="77"/>
  <c r="K63" i="77"/>
  <c r="J63" i="77"/>
  <c r="P63" i="77" s="1"/>
  <c r="F63" i="77"/>
  <c r="H63" i="77" s="1"/>
  <c r="W62" i="77"/>
  <c r="V62" i="77"/>
  <c r="N62" i="77"/>
  <c r="K62" i="77"/>
  <c r="J62" i="77"/>
  <c r="P62" i="77" s="1"/>
  <c r="F62" i="77"/>
  <c r="H62" i="77" s="1"/>
  <c r="W61" i="77"/>
  <c r="V61" i="77"/>
  <c r="P61" i="77"/>
  <c r="O61" i="77"/>
  <c r="N61" i="77"/>
  <c r="K61" i="77"/>
  <c r="J61" i="77"/>
  <c r="H61" i="77"/>
  <c r="F61" i="77"/>
  <c r="W60" i="77"/>
  <c r="V60" i="77"/>
  <c r="O60" i="77"/>
  <c r="N60" i="77"/>
  <c r="K60" i="77"/>
  <c r="J60" i="77"/>
  <c r="F60" i="77"/>
  <c r="H60" i="77" s="1"/>
  <c r="W59" i="77"/>
  <c r="N59" i="77" s="1"/>
  <c r="P59" i="77"/>
  <c r="K59" i="77"/>
  <c r="J59" i="77"/>
  <c r="H59" i="77"/>
  <c r="F59" i="77"/>
  <c r="AE58" i="77"/>
  <c r="H21" i="76" s="1"/>
  <c r="AD58" i="77"/>
  <c r="AA58" i="77"/>
  <c r="Z58" i="77"/>
  <c r="M58" i="77"/>
  <c r="H22" i="76" s="1"/>
  <c r="J58" i="77"/>
  <c r="P58" i="77" s="1"/>
  <c r="W57" i="77"/>
  <c r="W56" i="77"/>
  <c r="W55" i="77"/>
  <c r="W54" i="77"/>
  <c r="AG53" i="77"/>
  <c r="AF53" i="77"/>
  <c r="W53" i="77"/>
  <c r="AG52" i="77"/>
  <c r="AF52" i="77"/>
  <c r="W52" i="77"/>
  <c r="AG51" i="77"/>
  <c r="AF51" i="77"/>
  <c r="W51" i="77"/>
  <c r="W50" i="77"/>
  <c r="N50" i="77" s="1"/>
  <c r="O50" i="77" s="1"/>
  <c r="V50" i="77"/>
  <c r="P50" i="77"/>
  <c r="K50" i="77"/>
  <c r="L50" i="77" s="1"/>
  <c r="J50" i="77"/>
  <c r="F50" i="77"/>
  <c r="H50" i="77" s="1"/>
  <c r="W49" i="77"/>
  <c r="N49" i="77"/>
  <c r="K49" i="77"/>
  <c r="J49" i="77"/>
  <c r="P49" i="77" s="1"/>
  <c r="F49" i="77"/>
  <c r="H49" i="77" s="1"/>
  <c r="AE48" i="77"/>
  <c r="G21" i="76" s="1"/>
  <c r="AD48" i="77"/>
  <c r="G20" i="76" s="1"/>
  <c r="AA48" i="77"/>
  <c r="Z48" i="77"/>
  <c r="W48" i="77"/>
  <c r="M48" i="77"/>
  <c r="G22" i="76" s="1"/>
  <c r="W47" i="77"/>
  <c r="H47" i="77"/>
  <c r="W46" i="77"/>
  <c r="W45" i="77"/>
  <c r="W44" i="77"/>
  <c r="W43" i="77"/>
  <c r="W42" i="77"/>
  <c r="AG41" i="77"/>
  <c r="AF41" i="77"/>
  <c r="W41" i="77"/>
  <c r="W40" i="77"/>
  <c r="N40" i="77" s="1"/>
  <c r="V40" i="77"/>
  <c r="O40" i="77"/>
  <c r="K40" i="77"/>
  <c r="L40" i="77" s="1"/>
  <c r="J40" i="77"/>
  <c r="P40" i="77" s="1"/>
  <c r="H40" i="77"/>
  <c r="F40" i="77"/>
  <c r="W39" i="77"/>
  <c r="V39" i="77"/>
  <c r="N39" i="77"/>
  <c r="K39" i="77"/>
  <c r="L39" i="77" s="1"/>
  <c r="J39" i="77"/>
  <c r="P39" i="77" s="1"/>
  <c r="H39" i="77"/>
  <c r="F39" i="77"/>
  <c r="W38" i="77"/>
  <c r="N38" i="77"/>
  <c r="K38" i="77"/>
  <c r="J38" i="77"/>
  <c r="H38" i="77"/>
  <c r="F38" i="77"/>
  <c r="AE37" i="77"/>
  <c r="AD37" i="77"/>
  <c r="F20" i="76" s="1"/>
  <c r="AA37" i="77"/>
  <c r="F19" i="76" s="1"/>
  <c r="Z37" i="77"/>
  <c r="F18" i="76" s="1"/>
  <c r="M37" i="77"/>
  <c r="F22" i="76" s="1"/>
  <c r="W36" i="77"/>
  <c r="H36" i="77"/>
  <c r="W35" i="77"/>
  <c r="W34" i="77"/>
  <c r="W33" i="77"/>
  <c r="W32" i="77"/>
  <c r="AG31" i="77"/>
  <c r="AF31" i="77"/>
  <c r="W31" i="77"/>
  <c r="AG30" i="77"/>
  <c r="W30" i="77"/>
  <c r="V30" i="77"/>
  <c r="O30" i="77"/>
  <c r="N30" i="77"/>
  <c r="AF30" i="77" s="1"/>
  <c r="K30" i="77"/>
  <c r="J30" i="77"/>
  <c r="P30" i="77" s="1"/>
  <c r="H30" i="77"/>
  <c r="F30" i="77"/>
  <c r="W29" i="77"/>
  <c r="N29" i="77" s="1"/>
  <c r="V29" i="77"/>
  <c r="P29" i="77"/>
  <c r="K29" i="77"/>
  <c r="L29" i="77" s="1"/>
  <c r="J29" i="77"/>
  <c r="F29" i="77"/>
  <c r="H29" i="77" s="1"/>
  <c r="W28" i="77"/>
  <c r="V28" i="77"/>
  <c r="P28" i="77"/>
  <c r="N28" i="77"/>
  <c r="AG28" i="77" s="1"/>
  <c r="L28" i="77"/>
  <c r="K28" i="77"/>
  <c r="J28" i="77"/>
  <c r="F28" i="77"/>
  <c r="H28" i="77" s="1"/>
  <c r="AG27" i="77"/>
  <c r="W27" i="77"/>
  <c r="N27" i="77" s="1"/>
  <c r="O27" i="77" s="1"/>
  <c r="J27" i="77"/>
  <c r="F27" i="77"/>
  <c r="H27" i="77" s="1"/>
  <c r="AE26" i="77"/>
  <c r="AD26" i="77"/>
  <c r="AA26" i="77"/>
  <c r="E19" i="76" s="1"/>
  <c r="Z26" i="77"/>
  <c r="M26" i="77"/>
  <c r="E22" i="76" s="1"/>
  <c r="J26" i="77"/>
  <c r="W25" i="77"/>
  <c r="H25" i="77"/>
  <c r="W24" i="77"/>
  <c r="W23" i="77"/>
  <c r="W21" i="77"/>
  <c r="W20" i="77"/>
  <c r="W19" i="77"/>
  <c r="N19" i="77" s="1"/>
  <c r="O19" i="77" s="1"/>
  <c r="V19" i="77"/>
  <c r="P19" i="77"/>
  <c r="K19" i="77"/>
  <c r="J19" i="77"/>
  <c r="F19" i="77"/>
  <c r="H19" i="77" s="1"/>
  <c r="G1" i="77" s="1"/>
  <c r="AF18" i="77"/>
  <c r="W18" i="77"/>
  <c r="N18" i="77" s="1"/>
  <c r="O18" i="77" s="1"/>
  <c r="V18" i="77"/>
  <c r="K18" i="77"/>
  <c r="L18" i="77" s="1"/>
  <c r="J18" i="77"/>
  <c r="P18" i="77" s="1"/>
  <c r="F18" i="77"/>
  <c r="H18" i="77" s="1"/>
  <c r="W17" i="77"/>
  <c r="N17" i="77" s="1"/>
  <c r="O17" i="77" s="1"/>
  <c r="V17" i="77"/>
  <c r="P17" i="77"/>
  <c r="K17" i="77"/>
  <c r="K26" i="77" s="1"/>
  <c r="F17" i="77"/>
  <c r="H17" i="77" s="1"/>
  <c r="AG16" i="77"/>
  <c r="AF16" i="77"/>
  <c r="W16" i="77"/>
  <c r="P16" i="77"/>
  <c r="O16" i="77"/>
  <c r="R16" i="77" s="1"/>
  <c r="N16" i="77"/>
  <c r="L16" i="77"/>
  <c r="K16" i="77"/>
  <c r="J16" i="77"/>
  <c r="F16" i="77"/>
  <c r="H16" i="77" s="1"/>
  <c r="AE15" i="77"/>
  <c r="AD15" i="77"/>
  <c r="AA15" i="77"/>
  <c r="Z15" i="77"/>
  <c r="M15" i="77"/>
  <c r="W14" i="77"/>
  <c r="W13" i="77"/>
  <c r="W12" i="77"/>
  <c r="AG11" i="77"/>
  <c r="AF11" i="77"/>
  <c r="W11" i="77"/>
  <c r="AG10" i="77"/>
  <c r="AF10" i="77"/>
  <c r="W10" i="77"/>
  <c r="AG9" i="77"/>
  <c r="AF9" i="77"/>
  <c r="W9" i="77"/>
  <c r="AG8" i="77"/>
  <c r="AF8" i="77"/>
  <c r="W8" i="77"/>
  <c r="W7" i="77"/>
  <c r="N7" i="77" s="1"/>
  <c r="O7" i="77" s="1"/>
  <c r="V7" i="77"/>
  <c r="K7" i="77"/>
  <c r="L7" i="77" s="1"/>
  <c r="Q7" i="77" s="1"/>
  <c r="J7" i="77"/>
  <c r="P7" i="77" s="1"/>
  <c r="F7" i="77"/>
  <c r="H7" i="77" s="1"/>
  <c r="W6" i="77"/>
  <c r="N6" i="77" s="1"/>
  <c r="V6" i="77"/>
  <c r="L6" i="77"/>
  <c r="K6" i="77"/>
  <c r="J6" i="77"/>
  <c r="P6" i="77" s="1"/>
  <c r="F6" i="77"/>
  <c r="H6" i="77" s="1"/>
  <c r="W5" i="77"/>
  <c r="P5" i="77"/>
  <c r="O5" i="77"/>
  <c r="R5" i="77" s="1"/>
  <c r="N5" i="77"/>
  <c r="L5" i="77"/>
  <c r="K5" i="77"/>
  <c r="J5" i="77"/>
  <c r="H5" i="77"/>
  <c r="F5" i="77"/>
  <c r="I2" i="77"/>
  <c r="I1" i="77"/>
  <c r="E1" i="77"/>
  <c r="G3" i="76" s="1"/>
  <c r="I22" i="76"/>
  <c r="D22" i="76"/>
  <c r="J21" i="76"/>
  <c r="F21" i="76"/>
  <c r="E21" i="76"/>
  <c r="D21" i="76"/>
  <c r="H20" i="76"/>
  <c r="E20" i="76"/>
  <c r="J19" i="76"/>
  <c r="H19" i="76"/>
  <c r="G19" i="76"/>
  <c r="J18" i="76"/>
  <c r="H18" i="76"/>
  <c r="G18" i="76"/>
  <c r="E18" i="76"/>
  <c r="D18" i="76"/>
  <c r="J16" i="76"/>
  <c r="I16" i="76"/>
  <c r="H16" i="76"/>
  <c r="G16" i="76"/>
  <c r="F16" i="76"/>
  <c r="E16" i="76"/>
  <c r="D16" i="76"/>
  <c r="AE79" i="75"/>
  <c r="J21" i="74" s="1"/>
  <c r="AD79" i="75"/>
  <c r="J20" i="74" s="1"/>
  <c r="AA79" i="75"/>
  <c r="J18" i="74" s="1"/>
  <c r="Z79" i="75"/>
  <c r="Z2" i="75" s="1"/>
  <c r="L6" i="74" s="1"/>
  <c r="N79" i="75"/>
  <c r="M79" i="75"/>
  <c r="W78" i="75"/>
  <c r="H78" i="75"/>
  <c r="W77" i="75"/>
  <c r="H77" i="75"/>
  <c r="W76" i="75"/>
  <c r="H76" i="75"/>
  <c r="W75" i="75"/>
  <c r="H75" i="75"/>
  <c r="W74" i="75"/>
  <c r="W73" i="75"/>
  <c r="W72" i="75"/>
  <c r="W71" i="75"/>
  <c r="N71" i="75" s="1"/>
  <c r="O71" i="75" s="1"/>
  <c r="V71" i="75"/>
  <c r="K71" i="75"/>
  <c r="L71" i="75" s="1"/>
  <c r="J71" i="75"/>
  <c r="P71" i="75" s="1"/>
  <c r="F71" i="75"/>
  <c r="H71" i="75" s="1"/>
  <c r="W70" i="75"/>
  <c r="N70" i="75"/>
  <c r="K70" i="75"/>
  <c r="J70" i="75"/>
  <c r="H70" i="75"/>
  <c r="F70" i="75"/>
  <c r="AE69" i="75"/>
  <c r="AD69" i="75"/>
  <c r="AA69" i="75"/>
  <c r="Z69" i="75"/>
  <c r="I18" i="74" s="1"/>
  <c r="M69" i="75"/>
  <c r="W68" i="75"/>
  <c r="H68" i="75"/>
  <c r="W67" i="75"/>
  <c r="W66" i="75"/>
  <c r="W65" i="75"/>
  <c r="W64" i="75"/>
  <c r="W63" i="75"/>
  <c r="W62" i="75"/>
  <c r="N62" i="75" s="1"/>
  <c r="V62" i="75"/>
  <c r="K62" i="75"/>
  <c r="J62" i="75"/>
  <c r="P62" i="75" s="1"/>
  <c r="F62" i="75"/>
  <c r="H62" i="75" s="1"/>
  <c r="AG61" i="75"/>
  <c r="AF61" i="75"/>
  <c r="W61" i="75"/>
  <c r="V61" i="75"/>
  <c r="P61" i="75"/>
  <c r="O61" i="75"/>
  <c r="N61" i="75"/>
  <c r="K61" i="75"/>
  <c r="J61" i="75"/>
  <c r="F61" i="75"/>
  <c r="H61" i="75" s="1"/>
  <c r="W60" i="75"/>
  <c r="V60" i="75"/>
  <c r="P60" i="75"/>
  <c r="O60" i="75"/>
  <c r="R60" i="75" s="1"/>
  <c r="N60" i="75"/>
  <c r="K60" i="75"/>
  <c r="L60" i="75" s="1"/>
  <c r="J60" i="75"/>
  <c r="H60" i="75"/>
  <c r="F60" i="75"/>
  <c r="W59" i="75"/>
  <c r="P59" i="75"/>
  <c r="N59" i="75"/>
  <c r="L59" i="75"/>
  <c r="K59" i="75"/>
  <c r="J59" i="75"/>
  <c r="F59" i="75"/>
  <c r="H59" i="75" s="1"/>
  <c r="AE58" i="75"/>
  <c r="H21" i="74" s="1"/>
  <c r="AD58" i="75"/>
  <c r="H20" i="74" s="1"/>
  <c r="AA58" i="75"/>
  <c r="H19" i="74" s="1"/>
  <c r="Z58" i="75"/>
  <c r="N58" i="75"/>
  <c r="M58" i="75"/>
  <c r="K58" i="75"/>
  <c r="W57" i="75"/>
  <c r="W56" i="75"/>
  <c r="W55" i="75"/>
  <c r="W54" i="75"/>
  <c r="AG53" i="75"/>
  <c r="AF53" i="75"/>
  <c r="W53" i="75"/>
  <c r="AG52" i="75"/>
  <c r="AF52" i="75"/>
  <c r="W52" i="75"/>
  <c r="W51" i="75"/>
  <c r="N51" i="75" s="1"/>
  <c r="O51" i="75" s="1"/>
  <c r="V51" i="75"/>
  <c r="K51" i="75"/>
  <c r="J51" i="75"/>
  <c r="P51" i="75" s="1"/>
  <c r="F51" i="75"/>
  <c r="H51" i="75" s="1"/>
  <c r="W50" i="75"/>
  <c r="V50" i="75"/>
  <c r="N50" i="75"/>
  <c r="L50" i="75"/>
  <c r="K50" i="75"/>
  <c r="J50" i="75"/>
  <c r="P50" i="75" s="1"/>
  <c r="F50" i="75"/>
  <c r="H50" i="75" s="1"/>
  <c r="W49" i="75"/>
  <c r="N49" i="75"/>
  <c r="K49" i="75"/>
  <c r="J49" i="75"/>
  <c r="H49" i="75"/>
  <c r="F49" i="75"/>
  <c r="AE48" i="75"/>
  <c r="G21" i="74" s="1"/>
  <c r="AD48" i="75"/>
  <c r="AA48" i="75"/>
  <c r="G19" i="74" s="1"/>
  <c r="Z48" i="75"/>
  <c r="W48" i="75"/>
  <c r="M48" i="75"/>
  <c r="K48" i="75"/>
  <c r="W47" i="75"/>
  <c r="H47" i="75"/>
  <c r="W46" i="75"/>
  <c r="W45" i="75"/>
  <c r="W44" i="75"/>
  <c r="W43" i="75"/>
  <c r="W42" i="75"/>
  <c r="AG41" i="75"/>
  <c r="AF41" i="75"/>
  <c r="W41" i="75"/>
  <c r="AG40" i="75"/>
  <c r="AF40" i="75"/>
  <c r="W40" i="75"/>
  <c r="AG39" i="75"/>
  <c r="AF39" i="75"/>
  <c r="W39" i="75"/>
  <c r="N39" i="75" s="1"/>
  <c r="O39" i="75" s="1"/>
  <c r="V39" i="75"/>
  <c r="K39" i="75"/>
  <c r="J39" i="75"/>
  <c r="P39" i="75" s="1"/>
  <c r="F39" i="75"/>
  <c r="H39" i="75" s="1"/>
  <c r="W38" i="75"/>
  <c r="N38" i="75" s="1"/>
  <c r="AG38" i="75" s="1"/>
  <c r="K38" i="75"/>
  <c r="J38" i="75"/>
  <c r="P38" i="75" s="1"/>
  <c r="F38" i="75"/>
  <c r="H38" i="75" s="1"/>
  <c r="AE37" i="75"/>
  <c r="AD37" i="75"/>
  <c r="AA37" i="75"/>
  <c r="F19" i="74" s="1"/>
  <c r="Z37" i="75"/>
  <c r="F18" i="74" s="1"/>
  <c r="M37" i="75"/>
  <c r="W36" i="75"/>
  <c r="H36" i="75"/>
  <c r="W35" i="75"/>
  <c r="W34" i="75"/>
  <c r="W33" i="75"/>
  <c r="W32" i="75"/>
  <c r="AG31" i="75"/>
  <c r="AF31" i="75"/>
  <c r="W31" i="75"/>
  <c r="W30" i="75"/>
  <c r="V30" i="75"/>
  <c r="P30" i="75"/>
  <c r="N30" i="75"/>
  <c r="K30" i="75"/>
  <c r="L30" i="75" s="1"/>
  <c r="J30" i="75"/>
  <c r="H30" i="75"/>
  <c r="F30" i="75"/>
  <c r="W29" i="75"/>
  <c r="V29" i="75"/>
  <c r="P29" i="75"/>
  <c r="N29" i="75"/>
  <c r="O29" i="75" s="1"/>
  <c r="K29" i="75"/>
  <c r="J29" i="75"/>
  <c r="F29" i="75"/>
  <c r="H29" i="75" s="1"/>
  <c r="W28" i="75"/>
  <c r="V28" i="75"/>
  <c r="P28" i="75"/>
  <c r="N28" i="75"/>
  <c r="L28" i="75"/>
  <c r="K28" i="75"/>
  <c r="J28" i="75"/>
  <c r="F28" i="75"/>
  <c r="H28" i="75" s="1"/>
  <c r="AG27" i="75"/>
  <c r="W27" i="75"/>
  <c r="N27" i="75" s="1"/>
  <c r="L27" i="75"/>
  <c r="J27" i="75"/>
  <c r="F27" i="75"/>
  <c r="H27" i="75" s="1"/>
  <c r="AE26" i="75"/>
  <c r="E21" i="74" s="1"/>
  <c r="AD26" i="75"/>
  <c r="AD2" i="75" s="1"/>
  <c r="N6" i="74" s="1"/>
  <c r="AA26" i="75"/>
  <c r="AA2" i="75" s="1"/>
  <c r="M6" i="74" s="1"/>
  <c r="Z26" i="75"/>
  <c r="M26" i="75"/>
  <c r="W25" i="75"/>
  <c r="H25" i="75"/>
  <c r="W24" i="75"/>
  <c r="H24" i="75"/>
  <c r="W23" i="75"/>
  <c r="W21" i="75"/>
  <c r="W20" i="75"/>
  <c r="AG19" i="75"/>
  <c r="AF19" i="75"/>
  <c r="W19" i="75"/>
  <c r="W18" i="75"/>
  <c r="V18" i="75"/>
  <c r="N18" i="75"/>
  <c r="K18" i="75"/>
  <c r="L18" i="75" s="1"/>
  <c r="J18" i="75"/>
  <c r="P18" i="75" s="1"/>
  <c r="H18" i="75"/>
  <c r="F18" i="75"/>
  <c r="AF17" i="75"/>
  <c r="W17" i="75"/>
  <c r="V17" i="75"/>
  <c r="P17" i="75"/>
  <c r="N17" i="75"/>
  <c r="K17" i="75"/>
  <c r="L17" i="75" s="1"/>
  <c r="H17" i="75"/>
  <c r="F17" i="75"/>
  <c r="W16" i="75"/>
  <c r="N16" i="75"/>
  <c r="O16" i="75" s="1"/>
  <c r="K16" i="75"/>
  <c r="K26" i="75" s="1"/>
  <c r="J16" i="75"/>
  <c r="H16" i="75"/>
  <c r="F16" i="75"/>
  <c r="AE15" i="75"/>
  <c r="D21" i="74" s="1"/>
  <c r="AD15" i="75"/>
  <c r="AA15" i="75"/>
  <c r="D19" i="74" s="1"/>
  <c r="Z15" i="75"/>
  <c r="M15" i="75"/>
  <c r="W14" i="75"/>
  <c r="W13" i="75"/>
  <c r="W12" i="75"/>
  <c r="AG11" i="75"/>
  <c r="AF11" i="75"/>
  <c r="W11" i="75"/>
  <c r="AG10" i="75"/>
  <c r="AF10" i="75"/>
  <c r="W10" i="75"/>
  <c r="AG9" i="75"/>
  <c r="AF9" i="75"/>
  <c r="W9" i="75"/>
  <c r="AG8" i="75"/>
  <c r="AF8" i="75"/>
  <c r="W8" i="75"/>
  <c r="AG7" i="75"/>
  <c r="W7" i="75"/>
  <c r="V7" i="75"/>
  <c r="N7" i="75"/>
  <c r="AF7" i="75" s="1"/>
  <c r="L7" i="75"/>
  <c r="K7" i="75"/>
  <c r="J7" i="75"/>
  <c r="P7" i="75" s="1"/>
  <c r="F7" i="75"/>
  <c r="H7" i="75" s="1"/>
  <c r="AG6" i="75"/>
  <c r="W6" i="75"/>
  <c r="V6" i="75"/>
  <c r="N6" i="75"/>
  <c r="O6" i="75" s="1"/>
  <c r="K6" i="75"/>
  <c r="J6" i="75"/>
  <c r="F6" i="75"/>
  <c r="H6" i="75" s="1"/>
  <c r="W5" i="75"/>
  <c r="N5" i="75" s="1"/>
  <c r="P5" i="75"/>
  <c r="K5" i="75"/>
  <c r="K15" i="75" s="1"/>
  <c r="J5" i="75"/>
  <c r="F5" i="75"/>
  <c r="H5" i="75" s="1"/>
  <c r="I2" i="75"/>
  <c r="E1" i="75"/>
  <c r="H22" i="74"/>
  <c r="G22" i="74"/>
  <c r="F22" i="74"/>
  <c r="E22" i="74"/>
  <c r="D22" i="74"/>
  <c r="I21" i="74"/>
  <c r="F21" i="74"/>
  <c r="I20" i="74"/>
  <c r="G20" i="74"/>
  <c r="F20" i="74"/>
  <c r="D20" i="74"/>
  <c r="J19" i="74"/>
  <c r="I19" i="74"/>
  <c r="E19" i="74"/>
  <c r="H18" i="74"/>
  <c r="G18" i="74"/>
  <c r="E18" i="74"/>
  <c r="D18" i="74"/>
  <c r="J16" i="74"/>
  <c r="I16" i="74"/>
  <c r="H16" i="74"/>
  <c r="G16" i="74"/>
  <c r="F16" i="74"/>
  <c r="E16" i="74"/>
  <c r="D16" i="74"/>
  <c r="G3" i="74"/>
  <c r="AG79" i="73"/>
  <c r="AH70" i="73" s="1"/>
  <c r="AF79" i="73"/>
  <c r="AE79" i="73"/>
  <c r="AD79" i="73"/>
  <c r="J20" i="72" s="1"/>
  <c r="AA79" i="73"/>
  <c r="Z79" i="73"/>
  <c r="W78" i="73"/>
  <c r="W77" i="73"/>
  <c r="W76" i="73"/>
  <c r="W75" i="73"/>
  <c r="W74" i="73"/>
  <c r="W73" i="73"/>
  <c r="W72" i="73"/>
  <c r="W71" i="73"/>
  <c r="AG70" i="73"/>
  <c r="AF70" i="73"/>
  <c r="W70" i="73"/>
  <c r="S70" i="73"/>
  <c r="AE69" i="73"/>
  <c r="AD69" i="73"/>
  <c r="I20" i="72" s="1"/>
  <c r="AA69" i="73"/>
  <c r="Z69" i="73"/>
  <c r="I18" i="72" s="1"/>
  <c r="M69" i="73"/>
  <c r="K69" i="73"/>
  <c r="W68" i="73"/>
  <c r="H68" i="73"/>
  <c r="W67" i="73"/>
  <c r="W66" i="73"/>
  <c r="W65" i="73"/>
  <c r="W64" i="73"/>
  <c r="W63" i="73"/>
  <c r="V63" i="73"/>
  <c r="P63" i="73"/>
  <c r="N63" i="73"/>
  <c r="O63" i="73" s="1"/>
  <c r="L63" i="73"/>
  <c r="K63" i="73"/>
  <c r="J63" i="73"/>
  <c r="F63" i="73"/>
  <c r="H63" i="73" s="1"/>
  <c r="W62" i="73"/>
  <c r="V62" i="73"/>
  <c r="P62" i="73"/>
  <c r="N62" i="73"/>
  <c r="L62" i="73"/>
  <c r="K62" i="73"/>
  <c r="J62" i="73"/>
  <c r="H62" i="73"/>
  <c r="F62" i="73"/>
  <c r="W61" i="73"/>
  <c r="V61" i="73"/>
  <c r="P61" i="73"/>
  <c r="N61" i="73"/>
  <c r="L61" i="73"/>
  <c r="K61" i="73"/>
  <c r="J61" i="73"/>
  <c r="F61" i="73"/>
  <c r="H61" i="73" s="1"/>
  <c r="AG60" i="73"/>
  <c r="W60" i="73"/>
  <c r="V60" i="73"/>
  <c r="P60" i="73"/>
  <c r="N60" i="73"/>
  <c r="AF60" i="73" s="1"/>
  <c r="L60" i="73"/>
  <c r="K60" i="73"/>
  <c r="J60" i="73"/>
  <c r="F60" i="73"/>
  <c r="H60" i="73" s="1"/>
  <c r="W59" i="73"/>
  <c r="N59" i="73" s="1"/>
  <c r="AF59" i="73" s="1"/>
  <c r="K59" i="73"/>
  <c r="J59" i="73"/>
  <c r="P59" i="73" s="1"/>
  <c r="F59" i="73"/>
  <c r="H59" i="73" s="1"/>
  <c r="AE58" i="73"/>
  <c r="AD58" i="73"/>
  <c r="AA58" i="73"/>
  <c r="Z58" i="73"/>
  <c r="N58" i="73"/>
  <c r="M58" i="73"/>
  <c r="W57" i="73"/>
  <c r="W56" i="73"/>
  <c r="W55" i="73"/>
  <c r="W54" i="73"/>
  <c r="AG53" i="73"/>
  <c r="AF53" i="73"/>
  <c r="W53" i="73"/>
  <c r="AG52" i="73"/>
  <c r="AF52" i="73"/>
  <c r="W52" i="73"/>
  <c r="AG51" i="73"/>
  <c r="AF51" i="73"/>
  <c r="W51" i="73"/>
  <c r="W50" i="73"/>
  <c r="V50" i="73"/>
  <c r="N50" i="73"/>
  <c r="K50" i="73"/>
  <c r="K58" i="73" s="1"/>
  <c r="J50" i="73"/>
  <c r="P50" i="73" s="1"/>
  <c r="H50" i="73"/>
  <c r="F50" i="73"/>
  <c r="AG49" i="73"/>
  <c r="AF49" i="73"/>
  <c r="W49" i="73"/>
  <c r="P49" i="73"/>
  <c r="N49" i="73"/>
  <c r="O49" i="73" s="1"/>
  <c r="L49" i="73"/>
  <c r="K49" i="73"/>
  <c r="J49" i="73"/>
  <c r="F49" i="73"/>
  <c r="H49" i="73" s="1"/>
  <c r="AE48" i="73"/>
  <c r="AD48" i="73"/>
  <c r="AA48" i="73"/>
  <c r="Z48" i="73"/>
  <c r="W48" i="73"/>
  <c r="N48" i="73"/>
  <c r="M48" i="73"/>
  <c r="I1" i="73" s="1"/>
  <c r="K48" i="73"/>
  <c r="W47" i="73"/>
  <c r="H47" i="73"/>
  <c r="W46" i="73"/>
  <c r="W45" i="73"/>
  <c r="W44" i="73"/>
  <c r="W43" i="73"/>
  <c r="W42" i="73"/>
  <c r="AG41" i="73"/>
  <c r="AF41" i="73"/>
  <c r="W41" i="73"/>
  <c r="AG40" i="73"/>
  <c r="AF40" i="73"/>
  <c r="W40" i="73"/>
  <c r="W39" i="73"/>
  <c r="V39" i="73"/>
  <c r="N39" i="73"/>
  <c r="K39" i="73"/>
  <c r="L39" i="73" s="1"/>
  <c r="L48" i="73" s="1"/>
  <c r="G13" i="72" s="1"/>
  <c r="J39" i="73"/>
  <c r="P39" i="73" s="1"/>
  <c r="H39" i="73"/>
  <c r="F39" i="73"/>
  <c r="W38" i="73"/>
  <c r="P38" i="73"/>
  <c r="N38" i="73"/>
  <c r="L38" i="73"/>
  <c r="K38" i="73"/>
  <c r="J38" i="73"/>
  <c r="F38" i="73"/>
  <c r="H38" i="73" s="1"/>
  <c r="AE37" i="73"/>
  <c r="F21" i="72" s="1"/>
  <c r="AD37" i="73"/>
  <c r="AA37" i="73"/>
  <c r="Z37" i="73"/>
  <c r="M37" i="73"/>
  <c r="K37" i="73"/>
  <c r="W36" i="73"/>
  <c r="H36" i="73"/>
  <c r="W35" i="73"/>
  <c r="W34" i="73"/>
  <c r="W33" i="73"/>
  <c r="W32" i="73"/>
  <c r="W31" i="73"/>
  <c r="V31" i="73"/>
  <c r="P31" i="73"/>
  <c r="N31" i="73"/>
  <c r="L31" i="73"/>
  <c r="K31" i="73"/>
  <c r="J31" i="73"/>
  <c r="H31" i="73"/>
  <c r="F31" i="73"/>
  <c r="W30" i="73"/>
  <c r="V30" i="73"/>
  <c r="P30" i="73"/>
  <c r="N30" i="73"/>
  <c r="L30" i="73"/>
  <c r="K30" i="73"/>
  <c r="F30" i="73"/>
  <c r="H30" i="73" s="1"/>
  <c r="W29" i="73"/>
  <c r="V29" i="73"/>
  <c r="P29" i="73"/>
  <c r="N29" i="73"/>
  <c r="L29" i="73"/>
  <c r="K29" i="73"/>
  <c r="J29" i="73"/>
  <c r="F29" i="73"/>
  <c r="H29" i="73" s="1"/>
  <c r="W28" i="73"/>
  <c r="N28" i="73" s="1"/>
  <c r="O28" i="73" s="1"/>
  <c r="V28" i="73"/>
  <c r="K28" i="73"/>
  <c r="J28" i="73"/>
  <c r="P28" i="73" s="1"/>
  <c r="F28" i="73"/>
  <c r="H28" i="73" s="1"/>
  <c r="AG27" i="73"/>
  <c r="AF27" i="73"/>
  <c r="W27" i="73"/>
  <c r="N27" i="73" s="1"/>
  <c r="J27" i="73"/>
  <c r="L27" i="73" s="1"/>
  <c r="F27" i="73"/>
  <c r="H27" i="73" s="1"/>
  <c r="AE26" i="73"/>
  <c r="AD26" i="73"/>
  <c r="AA26" i="73"/>
  <c r="Z26" i="73"/>
  <c r="M26" i="73"/>
  <c r="W25" i="73"/>
  <c r="H25" i="73"/>
  <c r="W24" i="73"/>
  <c r="W23" i="73"/>
  <c r="W21" i="73"/>
  <c r="W20" i="73"/>
  <c r="W19" i="73"/>
  <c r="N19" i="73" s="1"/>
  <c r="O19" i="73" s="1"/>
  <c r="V19" i="73"/>
  <c r="K19" i="73"/>
  <c r="L19" i="73" s="1"/>
  <c r="J19" i="73"/>
  <c r="P19" i="73" s="1"/>
  <c r="F19" i="73"/>
  <c r="H19" i="73" s="1"/>
  <c r="AG18" i="73"/>
  <c r="W18" i="73"/>
  <c r="V18" i="73"/>
  <c r="N18" i="73"/>
  <c r="K18" i="73"/>
  <c r="J18" i="73"/>
  <c r="P18" i="73" s="1"/>
  <c r="H18" i="73"/>
  <c r="F18" i="73"/>
  <c r="AF17" i="73"/>
  <c r="W17" i="73"/>
  <c r="V17" i="73"/>
  <c r="P17" i="73"/>
  <c r="N17" i="73"/>
  <c r="L17" i="73"/>
  <c r="K17" i="73"/>
  <c r="H17" i="73"/>
  <c r="F17" i="73"/>
  <c r="W16" i="73"/>
  <c r="N16" i="73"/>
  <c r="N26" i="73" s="1"/>
  <c r="K16" i="73"/>
  <c r="J16" i="73"/>
  <c r="P16" i="73" s="1"/>
  <c r="H16" i="73"/>
  <c r="F16" i="73"/>
  <c r="AE15" i="73"/>
  <c r="AD15" i="73"/>
  <c r="AA15" i="73"/>
  <c r="D19" i="72" s="1"/>
  <c r="Z15" i="73"/>
  <c r="D18" i="72" s="1"/>
  <c r="M15" i="73"/>
  <c r="W14" i="73"/>
  <c r="W13" i="73"/>
  <c r="W12" i="73"/>
  <c r="AG11" i="73"/>
  <c r="AF11" i="73"/>
  <c r="W11" i="73"/>
  <c r="AG10" i="73"/>
  <c r="AF10" i="73"/>
  <c r="W10" i="73"/>
  <c r="W9" i="73"/>
  <c r="V9" i="73"/>
  <c r="P9" i="73"/>
  <c r="N9" i="73"/>
  <c r="L9" i="73"/>
  <c r="K9" i="73"/>
  <c r="J9" i="73"/>
  <c r="F9" i="73"/>
  <c r="H9" i="73" s="1"/>
  <c r="AG8" i="73"/>
  <c r="W8" i="73"/>
  <c r="N8" i="73" s="1"/>
  <c r="AF8" i="73" s="1"/>
  <c r="V8" i="73"/>
  <c r="P8" i="73"/>
  <c r="O8" i="73"/>
  <c r="R8" i="73" s="1"/>
  <c r="K8" i="73"/>
  <c r="L8" i="73" s="1"/>
  <c r="J8" i="73"/>
  <c r="H8" i="73"/>
  <c r="F8" i="73"/>
  <c r="W7" i="73"/>
  <c r="N7" i="73" s="1"/>
  <c r="O7" i="73" s="1"/>
  <c r="V7" i="73"/>
  <c r="K7" i="73"/>
  <c r="AG7" i="73" s="1"/>
  <c r="J7" i="73"/>
  <c r="P7" i="73" s="1"/>
  <c r="H7" i="73"/>
  <c r="F7" i="73"/>
  <c r="W6" i="73"/>
  <c r="V6" i="73"/>
  <c r="N6" i="73"/>
  <c r="K6" i="73"/>
  <c r="L6" i="73" s="1"/>
  <c r="J6" i="73"/>
  <c r="P6" i="73" s="1"/>
  <c r="F6" i="73"/>
  <c r="H6" i="73" s="1"/>
  <c r="W5" i="73"/>
  <c r="N5" i="73"/>
  <c r="K5" i="73"/>
  <c r="K15" i="73" s="1"/>
  <c r="J5" i="73"/>
  <c r="H5" i="73"/>
  <c r="F5" i="73"/>
  <c r="I2" i="73"/>
  <c r="E1" i="73"/>
  <c r="G3" i="72" s="1"/>
  <c r="J22" i="72"/>
  <c r="I22" i="72"/>
  <c r="F22" i="72"/>
  <c r="E22" i="72"/>
  <c r="D22" i="72"/>
  <c r="J21" i="72"/>
  <c r="I21" i="72"/>
  <c r="H21" i="72"/>
  <c r="G21" i="72"/>
  <c r="E21" i="72"/>
  <c r="D21" i="72"/>
  <c r="H20" i="72"/>
  <c r="G20" i="72"/>
  <c r="F20" i="72"/>
  <c r="E20" i="72"/>
  <c r="J19" i="72"/>
  <c r="H19" i="72"/>
  <c r="G19" i="72"/>
  <c r="F19" i="72"/>
  <c r="E19" i="72"/>
  <c r="J18" i="72"/>
  <c r="H18" i="72"/>
  <c r="G18" i="72"/>
  <c r="F18" i="72"/>
  <c r="E18" i="72"/>
  <c r="J17" i="72"/>
  <c r="J16" i="72"/>
  <c r="I16" i="72"/>
  <c r="H16" i="72"/>
  <c r="G16" i="72"/>
  <c r="F16" i="72"/>
  <c r="E16" i="72"/>
  <c r="D16" i="72"/>
  <c r="J15" i="72"/>
  <c r="J14" i="72"/>
  <c r="J13" i="72"/>
  <c r="AE79" i="71"/>
  <c r="AD79" i="71"/>
  <c r="J20" i="70" s="1"/>
  <c r="AA79" i="71"/>
  <c r="J18" i="70" s="1"/>
  <c r="Z79" i="71"/>
  <c r="N79" i="71"/>
  <c r="M79" i="71"/>
  <c r="W78" i="71"/>
  <c r="H78" i="71"/>
  <c r="W77" i="71"/>
  <c r="W76" i="71"/>
  <c r="W75" i="71"/>
  <c r="W74" i="71"/>
  <c r="W73" i="71"/>
  <c r="W72" i="71"/>
  <c r="W71" i="71"/>
  <c r="V71" i="71"/>
  <c r="P71" i="71"/>
  <c r="N71" i="71"/>
  <c r="O71" i="71" s="1"/>
  <c r="L71" i="71"/>
  <c r="K71" i="71"/>
  <c r="J71" i="71"/>
  <c r="F71" i="71"/>
  <c r="H71" i="71" s="1"/>
  <c r="W70" i="71"/>
  <c r="N70" i="71" s="1"/>
  <c r="O70" i="71" s="1"/>
  <c r="K70" i="71"/>
  <c r="K79" i="71" s="1"/>
  <c r="J70" i="71"/>
  <c r="H70" i="71"/>
  <c r="F70" i="71"/>
  <c r="AE69" i="71"/>
  <c r="AD69" i="71"/>
  <c r="I20" i="70" s="1"/>
  <c r="AA69" i="71"/>
  <c r="Z69" i="71"/>
  <c r="M69" i="71"/>
  <c r="I22" i="70" s="1"/>
  <c r="J69" i="71"/>
  <c r="W68" i="71"/>
  <c r="H68" i="71"/>
  <c r="W67" i="71"/>
  <c r="W66" i="71"/>
  <c r="W65" i="71"/>
  <c r="W64" i="71"/>
  <c r="W63" i="71"/>
  <c r="AG62" i="71"/>
  <c r="AF62" i="71"/>
  <c r="W62" i="71"/>
  <c r="W61" i="71"/>
  <c r="N61" i="71" s="1"/>
  <c r="O61" i="71" s="1"/>
  <c r="V61" i="71"/>
  <c r="K61" i="71"/>
  <c r="J61" i="71"/>
  <c r="P61" i="71" s="1"/>
  <c r="H61" i="71"/>
  <c r="F61" i="71"/>
  <c r="W60" i="71"/>
  <c r="V60" i="71"/>
  <c r="P60" i="71"/>
  <c r="N60" i="71"/>
  <c r="O60" i="71" s="1"/>
  <c r="K60" i="71"/>
  <c r="K69" i="71" s="1"/>
  <c r="J60" i="71"/>
  <c r="H60" i="71"/>
  <c r="F60" i="71"/>
  <c r="W59" i="71"/>
  <c r="P59" i="71"/>
  <c r="N59" i="71"/>
  <c r="AG59" i="71" s="1"/>
  <c r="L59" i="71"/>
  <c r="K59" i="71"/>
  <c r="J59" i="71"/>
  <c r="F59" i="71"/>
  <c r="H59" i="71" s="1"/>
  <c r="AE58" i="71"/>
  <c r="AD58" i="71"/>
  <c r="H20" i="70" s="1"/>
  <c r="AA58" i="71"/>
  <c r="Z58" i="71"/>
  <c r="H18" i="70" s="1"/>
  <c r="M58" i="71"/>
  <c r="W57" i="71"/>
  <c r="W56" i="71"/>
  <c r="W55" i="71"/>
  <c r="W54" i="71"/>
  <c r="AG53" i="71"/>
  <c r="AF53" i="71"/>
  <c r="W53" i="71"/>
  <c r="AG52" i="71"/>
  <c r="AF52" i="71"/>
  <c r="W52" i="71"/>
  <c r="AG51" i="71"/>
  <c r="AF51" i="71"/>
  <c r="W51" i="71"/>
  <c r="N51" i="71" s="1"/>
  <c r="V51" i="71"/>
  <c r="O51" i="71"/>
  <c r="K51" i="71"/>
  <c r="J51" i="71"/>
  <c r="P51" i="71" s="1"/>
  <c r="F51" i="71"/>
  <c r="H51" i="71" s="1"/>
  <c r="W50" i="71"/>
  <c r="N50" i="71" s="1"/>
  <c r="O50" i="71" s="1"/>
  <c r="V50" i="71"/>
  <c r="K50" i="71"/>
  <c r="J50" i="71"/>
  <c r="P50" i="71" s="1"/>
  <c r="F50" i="71"/>
  <c r="H50" i="71" s="1"/>
  <c r="W49" i="71"/>
  <c r="N49" i="71" s="1"/>
  <c r="P49" i="71"/>
  <c r="K49" i="71"/>
  <c r="L49" i="71" s="1"/>
  <c r="J49" i="71"/>
  <c r="F49" i="71"/>
  <c r="H49" i="71" s="1"/>
  <c r="AE48" i="71"/>
  <c r="AD48" i="71"/>
  <c r="G20" i="70" s="1"/>
  <c r="AA48" i="71"/>
  <c r="Z48" i="71"/>
  <c r="G18" i="70" s="1"/>
  <c r="W48" i="71"/>
  <c r="M48" i="71"/>
  <c r="G22" i="70" s="1"/>
  <c r="J48" i="71"/>
  <c r="W47" i="71"/>
  <c r="H47" i="71"/>
  <c r="W46" i="71"/>
  <c r="W45" i="71"/>
  <c r="W44" i="71"/>
  <c r="W43" i="71"/>
  <c r="W42" i="71"/>
  <c r="AG41" i="71"/>
  <c r="AF41" i="71"/>
  <c r="W41" i="71"/>
  <c r="W40" i="71"/>
  <c r="N40" i="71" s="1"/>
  <c r="V40" i="71"/>
  <c r="P40" i="71"/>
  <c r="K40" i="71"/>
  <c r="L40" i="71" s="1"/>
  <c r="J40" i="71"/>
  <c r="F40" i="71"/>
  <c r="H40" i="71" s="1"/>
  <c r="W39" i="71"/>
  <c r="N39" i="71" s="1"/>
  <c r="O39" i="71" s="1"/>
  <c r="Q39" i="71" s="1"/>
  <c r="V39" i="71"/>
  <c r="R39" i="71"/>
  <c r="P39" i="71"/>
  <c r="K39" i="71"/>
  <c r="L39" i="71" s="1"/>
  <c r="J39" i="71"/>
  <c r="H39" i="71"/>
  <c r="F39" i="71"/>
  <c r="W38" i="71"/>
  <c r="N38" i="71" s="1"/>
  <c r="O38" i="71" s="1"/>
  <c r="K38" i="71"/>
  <c r="J38" i="71"/>
  <c r="F38" i="71"/>
  <c r="H38" i="71" s="1"/>
  <c r="AE37" i="71"/>
  <c r="AE2" i="71" s="1"/>
  <c r="O6" i="70" s="1"/>
  <c r="AD37" i="71"/>
  <c r="F20" i="70" s="1"/>
  <c r="AA37" i="71"/>
  <c r="Z37" i="71"/>
  <c r="M37" i="71"/>
  <c r="W36" i="71"/>
  <c r="H36" i="71"/>
  <c r="W35" i="71"/>
  <c r="W34" i="71"/>
  <c r="W33" i="71"/>
  <c r="W32" i="71"/>
  <c r="AG31" i="71"/>
  <c r="AF31" i="71"/>
  <c r="W31" i="71"/>
  <c r="W30" i="71"/>
  <c r="N30" i="71" s="1"/>
  <c r="O30" i="71" s="1"/>
  <c r="V30" i="71"/>
  <c r="K30" i="71"/>
  <c r="J30" i="71"/>
  <c r="F30" i="71"/>
  <c r="H30" i="71" s="1"/>
  <c r="W29" i="71"/>
  <c r="V29" i="71"/>
  <c r="O29" i="71"/>
  <c r="N29" i="71"/>
  <c r="K29" i="71"/>
  <c r="AF29" i="71" s="1"/>
  <c r="J29" i="71"/>
  <c r="P29" i="71" s="1"/>
  <c r="H29" i="71"/>
  <c r="F29" i="71"/>
  <c r="W28" i="71"/>
  <c r="N28" i="71" s="1"/>
  <c r="V28" i="71"/>
  <c r="K28" i="71"/>
  <c r="J28" i="71"/>
  <c r="P28" i="71" s="1"/>
  <c r="F28" i="71"/>
  <c r="H28" i="71" s="1"/>
  <c r="W27" i="71"/>
  <c r="N27" i="71" s="1"/>
  <c r="O27" i="71" s="1"/>
  <c r="K27" i="71"/>
  <c r="J27" i="71"/>
  <c r="P27" i="71" s="1"/>
  <c r="F27" i="71"/>
  <c r="H27" i="71" s="1"/>
  <c r="AE26" i="71"/>
  <c r="E21" i="70" s="1"/>
  <c r="AD26" i="71"/>
  <c r="AA26" i="71"/>
  <c r="Z26" i="71"/>
  <c r="M26" i="71"/>
  <c r="K26" i="71"/>
  <c r="W25" i="71"/>
  <c r="H25" i="71"/>
  <c r="W24" i="71"/>
  <c r="H24" i="71"/>
  <c r="W23" i="71"/>
  <c r="W21" i="71"/>
  <c r="W20" i="71"/>
  <c r="W19" i="71"/>
  <c r="N19" i="71" s="1"/>
  <c r="O19" i="71" s="1"/>
  <c r="V19" i="71"/>
  <c r="P19" i="71"/>
  <c r="K19" i="71"/>
  <c r="J19" i="71"/>
  <c r="F19" i="71"/>
  <c r="H19" i="71" s="1"/>
  <c r="W18" i="71"/>
  <c r="N18" i="71" s="1"/>
  <c r="O18" i="71" s="1"/>
  <c r="V18" i="71"/>
  <c r="K18" i="71"/>
  <c r="J18" i="71"/>
  <c r="P18" i="71" s="1"/>
  <c r="F18" i="71"/>
  <c r="H18" i="71" s="1"/>
  <c r="W17" i="71"/>
  <c r="N17" i="71" s="1"/>
  <c r="AG17" i="71" s="1"/>
  <c r="V17" i="71"/>
  <c r="O17" i="71"/>
  <c r="K17" i="71"/>
  <c r="J17" i="71"/>
  <c r="P17" i="71" s="1"/>
  <c r="F17" i="71"/>
  <c r="H17" i="71" s="1"/>
  <c r="AG16" i="71"/>
  <c r="AF16" i="71"/>
  <c r="W16" i="71"/>
  <c r="O16" i="71"/>
  <c r="N16" i="71"/>
  <c r="K16" i="71"/>
  <c r="J16" i="71"/>
  <c r="P16" i="71" s="1"/>
  <c r="F16" i="71"/>
  <c r="H16" i="71" s="1"/>
  <c r="AE15" i="71"/>
  <c r="D21" i="70" s="1"/>
  <c r="AD15" i="71"/>
  <c r="AA15" i="71"/>
  <c r="Z15" i="71"/>
  <c r="D18" i="70" s="1"/>
  <c r="M15" i="71"/>
  <c r="J15" i="71"/>
  <c r="W14" i="71"/>
  <c r="W13" i="71"/>
  <c r="W12" i="71"/>
  <c r="AG11" i="71"/>
  <c r="AF11" i="71"/>
  <c r="W11" i="71"/>
  <c r="AG10" i="71"/>
  <c r="AF10" i="71"/>
  <c r="W10" i="71"/>
  <c r="W9" i="71"/>
  <c r="V9" i="71"/>
  <c r="P9" i="71"/>
  <c r="N9" i="71"/>
  <c r="O9" i="71" s="1"/>
  <c r="K9" i="71"/>
  <c r="L9" i="71" s="1"/>
  <c r="J9" i="71"/>
  <c r="F9" i="71"/>
  <c r="H9" i="71" s="1"/>
  <c r="W8" i="71"/>
  <c r="V8" i="71"/>
  <c r="P8" i="71"/>
  <c r="N8" i="71"/>
  <c r="O8" i="71" s="1"/>
  <c r="L8" i="71"/>
  <c r="K8" i="71"/>
  <c r="J8" i="71"/>
  <c r="F8" i="71"/>
  <c r="H8" i="71" s="1"/>
  <c r="AF7" i="71"/>
  <c r="W7" i="71"/>
  <c r="N7" i="71" s="1"/>
  <c r="AG7" i="71" s="1"/>
  <c r="V7" i="71"/>
  <c r="P7" i="71"/>
  <c r="O7" i="71"/>
  <c r="Q7" i="71" s="1"/>
  <c r="K7" i="71"/>
  <c r="L7" i="71" s="1"/>
  <c r="J7" i="71"/>
  <c r="F7" i="71"/>
  <c r="H7" i="71" s="1"/>
  <c r="AF6" i="71"/>
  <c r="W6" i="71"/>
  <c r="V6" i="71"/>
  <c r="N6" i="71"/>
  <c r="L6" i="71"/>
  <c r="K6" i="71"/>
  <c r="J6" i="71"/>
  <c r="P6" i="71" s="1"/>
  <c r="F6" i="71"/>
  <c r="H6" i="71" s="1"/>
  <c r="W5" i="71"/>
  <c r="N5" i="71" s="1"/>
  <c r="P5" i="71"/>
  <c r="L5" i="71"/>
  <c r="K5" i="71"/>
  <c r="J5" i="71"/>
  <c r="F5" i="71"/>
  <c r="H5" i="71" s="1"/>
  <c r="Z2" i="71"/>
  <c r="L6" i="70" s="1"/>
  <c r="I2" i="71"/>
  <c r="E1" i="71"/>
  <c r="J22" i="70"/>
  <c r="H22" i="70"/>
  <c r="D22" i="70"/>
  <c r="J21" i="70"/>
  <c r="I21" i="70"/>
  <c r="H21" i="70"/>
  <c r="G21" i="70"/>
  <c r="F21" i="70"/>
  <c r="E20" i="70"/>
  <c r="J19" i="70"/>
  <c r="I19" i="70"/>
  <c r="H19" i="70"/>
  <c r="G19" i="70"/>
  <c r="F19" i="70"/>
  <c r="E19" i="70"/>
  <c r="I18" i="70"/>
  <c r="F18" i="70"/>
  <c r="E18" i="70"/>
  <c r="J16" i="70"/>
  <c r="I16" i="70"/>
  <c r="H16" i="70"/>
  <c r="G16" i="70"/>
  <c r="F16" i="70"/>
  <c r="E16" i="70"/>
  <c r="D16" i="70"/>
  <c r="G3" i="70"/>
  <c r="AE79" i="69"/>
  <c r="J21" i="68" s="1"/>
  <c r="AD79" i="69"/>
  <c r="J20" i="68" s="1"/>
  <c r="AA79" i="69"/>
  <c r="Z79" i="69"/>
  <c r="M79" i="69"/>
  <c r="P79" i="69" s="1"/>
  <c r="K79" i="69"/>
  <c r="W78" i="69"/>
  <c r="H78" i="69"/>
  <c r="W77" i="69"/>
  <c r="H77" i="69"/>
  <c r="W76" i="69"/>
  <c r="W75" i="69"/>
  <c r="W74" i="69"/>
  <c r="W73" i="69"/>
  <c r="W72" i="69"/>
  <c r="W71" i="69"/>
  <c r="V71" i="69"/>
  <c r="P71" i="69"/>
  <c r="N71" i="69"/>
  <c r="O71" i="69" s="1"/>
  <c r="L71" i="69"/>
  <c r="K71" i="69"/>
  <c r="J71" i="69"/>
  <c r="F71" i="69"/>
  <c r="H71" i="69" s="1"/>
  <c r="AG70" i="69"/>
  <c r="W70" i="69"/>
  <c r="N70" i="69" s="1"/>
  <c r="O70" i="69"/>
  <c r="K70" i="69"/>
  <c r="J70" i="69"/>
  <c r="J79" i="69" s="1"/>
  <c r="F70" i="69"/>
  <c r="H70" i="69" s="1"/>
  <c r="AE69" i="69"/>
  <c r="I21" i="68" s="1"/>
  <c r="AD69" i="69"/>
  <c r="AA69" i="69"/>
  <c r="Z69" i="69"/>
  <c r="I18" i="68" s="1"/>
  <c r="M69" i="69"/>
  <c r="I22" i="68" s="1"/>
  <c r="K69" i="69"/>
  <c r="J69" i="69"/>
  <c r="W68" i="69"/>
  <c r="H68" i="69"/>
  <c r="W67" i="69"/>
  <c r="W66" i="69"/>
  <c r="W65" i="69"/>
  <c r="W64" i="69"/>
  <c r="W63" i="69"/>
  <c r="W62" i="69"/>
  <c r="N62" i="69" s="1"/>
  <c r="O62" i="69" s="1"/>
  <c r="V62" i="69"/>
  <c r="K62" i="69"/>
  <c r="J62" i="69"/>
  <c r="P62" i="69" s="1"/>
  <c r="H62" i="69"/>
  <c r="F62" i="69"/>
  <c r="W61" i="69"/>
  <c r="N61" i="69" s="1"/>
  <c r="O61" i="69" s="1"/>
  <c r="V61" i="69"/>
  <c r="K61" i="69"/>
  <c r="L61" i="69" s="1"/>
  <c r="R61" i="69" s="1"/>
  <c r="J61" i="69"/>
  <c r="P61" i="69" s="1"/>
  <c r="F61" i="69"/>
  <c r="H61" i="69" s="1"/>
  <c r="AG60" i="69"/>
  <c r="AF60" i="69"/>
  <c r="W60" i="69"/>
  <c r="N60" i="69" s="1"/>
  <c r="O60" i="69" s="1"/>
  <c r="V60" i="69"/>
  <c r="P60" i="69"/>
  <c r="K60" i="69"/>
  <c r="L60" i="69" s="1"/>
  <c r="J60" i="69"/>
  <c r="F60" i="69"/>
  <c r="H60" i="69" s="1"/>
  <c r="AG59" i="69"/>
  <c r="W59" i="69"/>
  <c r="R59" i="69"/>
  <c r="N59" i="69"/>
  <c r="O59" i="69" s="1"/>
  <c r="K59" i="69"/>
  <c r="L59" i="69" s="1"/>
  <c r="J59" i="69"/>
  <c r="P59" i="69" s="1"/>
  <c r="H59" i="69"/>
  <c r="F59" i="69"/>
  <c r="AE58" i="69"/>
  <c r="AD58" i="69"/>
  <c r="H20" i="68" s="1"/>
  <c r="AA58" i="69"/>
  <c r="Z58" i="69"/>
  <c r="M58" i="69"/>
  <c r="W57" i="69"/>
  <c r="W56" i="69"/>
  <c r="W55" i="69"/>
  <c r="W54" i="69"/>
  <c r="AG53" i="69"/>
  <c r="AF53" i="69"/>
  <c r="W53" i="69"/>
  <c r="AG52" i="69"/>
  <c r="AF52" i="69"/>
  <c r="W52" i="69"/>
  <c r="W51" i="69"/>
  <c r="N51" i="69" s="1"/>
  <c r="O51" i="69" s="1"/>
  <c r="V51" i="69"/>
  <c r="P51" i="69"/>
  <c r="L51" i="69"/>
  <c r="K51" i="69"/>
  <c r="J51" i="69"/>
  <c r="F51" i="69"/>
  <c r="H51" i="69" s="1"/>
  <c r="AG50" i="69"/>
  <c r="W50" i="69"/>
  <c r="N50" i="69" s="1"/>
  <c r="V50" i="69"/>
  <c r="O50" i="69"/>
  <c r="K50" i="69"/>
  <c r="J50" i="69"/>
  <c r="P50" i="69" s="1"/>
  <c r="F50" i="69"/>
  <c r="H50" i="69" s="1"/>
  <c r="W49" i="69"/>
  <c r="N49" i="69"/>
  <c r="AG49" i="69" s="1"/>
  <c r="K49" i="69"/>
  <c r="L49" i="69" s="1"/>
  <c r="J49" i="69"/>
  <c r="P49" i="69" s="1"/>
  <c r="F49" i="69"/>
  <c r="H49" i="69" s="1"/>
  <c r="AE48" i="69"/>
  <c r="AD48" i="69"/>
  <c r="AA48" i="69"/>
  <c r="Z48" i="69"/>
  <c r="G18" i="68" s="1"/>
  <c r="W48" i="69"/>
  <c r="M48" i="69"/>
  <c r="G22" i="68" s="1"/>
  <c r="W47" i="69"/>
  <c r="H47" i="69"/>
  <c r="W46" i="69"/>
  <c r="W45" i="69"/>
  <c r="W44" i="69"/>
  <c r="W43" i="69"/>
  <c r="W42" i="69"/>
  <c r="AG41" i="69"/>
  <c r="AF41" i="69"/>
  <c r="W41" i="69"/>
  <c r="W40" i="69"/>
  <c r="V40" i="69"/>
  <c r="N40" i="69"/>
  <c r="K40" i="69"/>
  <c r="L40" i="69" s="1"/>
  <c r="J40" i="69"/>
  <c r="P40" i="69" s="1"/>
  <c r="H40" i="69"/>
  <c r="F40" i="69"/>
  <c r="W39" i="69"/>
  <c r="V39" i="69"/>
  <c r="P39" i="69"/>
  <c r="N39" i="69"/>
  <c r="N48" i="69" s="1"/>
  <c r="K39" i="69"/>
  <c r="L39" i="69" s="1"/>
  <c r="J39" i="69"/>
  <c r="F39" i="69"/>
  <c r="H39" i="69" s="1"/>
  <c r="W38" i="69"/>
  <c r="N38" i="69" s="1"/>
  <c r="AG38" i="69" s="1"/>
  <c r="O38" i="69"/>
  <c r="K38" i="69"/>
  <c r="J38" i="69"/>
  <c r="F38" i="69"/>
  <c r="H38" i="69" s="1"/>
  <c r="AE37" i="69"/>
  <c r="AE2" i="69" s="1"/>
  <c r="O6" i="68" s="1"/>
  <c r="AD37" i="69"/>
  <c r="AA37" i="69"/>
  <c r="F19" i="68" s="1"/>
  <c r="Z37" i="69"/>
  <c r="F18" i="68" s="1"/>
  <c r="M37" i="69"/>
  <c r="F22" i="68" s="1"/>
  <c r="W36" i="69"/>
  <c r="H36" i="69"/>
  <c r="W35" i="69"/>
  <c r="W34" i="69"/>
  <c r="W33" i="69"/>
  <c r="W32" i="69"/>
  <c r="AG31" i="69"/>
  <c r="AF31" i="69"/>
  <c r="W31" i="69"/>
  <c r="W30" i="69"/>
  <c r="V30" i="69"/>
  <c r="N30" i="69"/>
  <c r="K30" i="69"/>
  <c r="L30" i="69" s="1"/>
  <c r="J30" i="69"/>
  <c r="P30" i="69" s="1"/>
  <c r="F30" i="69"/>
  <c r="H30" i="69" s="1"/>
  <c r="W29" i="69"/>
  <c r="V29" i="69"/>
  <c r="N29" i="69"/>
  <c r="K29" i="69"/>
  <c r="L29" i="69" s="1"/>
  <c r="J29" i="69"/>
  <c r="P29" i="69" s="1"/>
  <c r="F29" i="69"/>
  <c r="H29" i="69" s="1"/>
  <c r="W28" i="69"/>
  <c r="V28" i="69"/>
  <c r="P28" i="69"/>
  <c r="O28" i="69"/>
  <c r="N28" i="69"/>
  <c r="K28" i="69"/>
  <c r="J28" i="69"/>
  <c r="L28" i="69" s="1"/>
  <c r="F28" i="69"/>
  <c r="H28" i="69" s="1"/>
  <c r="W27" i="69"/>
  <c r="P27" i="69"/>
  <c r="N27" i="69"/>
  <c r="L27" i="69"/>
  <c r="J27" i="69"/>
  <c r="F27" i="69"/>
  <c r="H27" i="69" s="1"/>
  <c r="AE26" i="69"/>
  <c r="AD26" i="69"/>
  <c r="E20" i="68" s="1"/>
  <c r="AA26" i="69"/>
  <c r="Z26" i="69"/>
  <c r="E18" i="68" s="1"/>
  <c r="M26" i="69"/>
  <c r="W25" i="69"/>
  <c r="H25" i="69"/>
  <c r="W24" i="69"/>
  <c r="H24" i="69"/>
  <c r="W23" i="69"/>
  <c r="W21" i="69"/>
  <c r="W20" i="69"/>
  <c r="N20" i="69" s="1"/>
  <c r="O20" i="69" s="1"/>
  <c r="V20" i="69"/>
  <c r="K20" i="69"/>
  <c r="J20" i="69"/>
  <c r="P20" i="69" s="1"/>
  <c r="F20" i="69"/>
  <c r="H20" i="69" s="1"/>
  <c r="W19" i="69"/>
  <c r="V19" i="69"/>
  <c r="N19" i="69"/>
  <c r="O19" i="69" s="1"/>
  <c r="K19" i="69"/>
  <c r="J19" i="69"/>
  <c r="P19" i="69" s="1"/>
  <c r="H19" i="69"/>
  <c r="F19" i="69"/>
  <c r="W18" i="69"/>
  <c r="N18" i="69" s="1"/>
  <c r="V18" i="69"/>
  <c r="P18" i="69"/>
  <c r="L18" i="69"/>
  <c r="K18" i="69"/>
  <c r="J18" i="69"/>
  <c r="F18" i="69"/>
  <c r="H18" i="69" s="1"/>
  <c r="W17" i="69"/>
  <c r="V17" i="69"/>
  <c r="N17" i="69"/>
  <c r="O17" i="69" s="1"/>
  <c r="K17" i="69"/>
  <c r="J17" i="69"/>
  <c r="P17" i="69" s="1"/>
  <c r="F17" i="69"/>
  <c r="H17" i="69" s="1"/>
  <c r="W16" i="69"/>
  <c r="N16" i="69"/>
  <c r="K16" i="69"/>
  <c r="K26" i="69" s="1"/>
  <c r="J16" i="69"/>
  <c r="F16" i="69"/>
  <c r="H16" i="69" s="1"/>
  <c r="AE15" i="69"/>
  <c r="AD15" i="69"/>
  <c r="D20" i="68" s="1"/>
  <c r="AA15" i="69"/>
  <c r="Z15" i="69"/>
  <c r="M15" i="69"/>
  <c r="I1" i="69" s="1"/>
  <c r="W14" i="69"/>
  <c r="W13" i="69"/>
  <c r="W12" i="69"/>
  <c r="AG11" i="69"/>
  <c r="AF11" i="69"/>
  <c r="W11" i="69"/>
  <c r="AG10" i="69"/>
  <c r="AF10" i="69"/>
  <c r="W10" i="69"/>
  <c r="W9" i="69"/>
  <c r="V9" i="69"/>
  <c r="N9" i="69"/>
  <c r="K9" i="69"/>
  <c r="L9" i="69" s="1"/>
  <c r="J9" i="69"/>
  <c r="P9" i="69" s="1"/>
  <c r="F9" i="69"/>
  <c r="H9" i="69" s="1"/>
  <c r="W8" i="69"/>
  <c r="V8" i="69"/>
  <c r="P8" i="69"/>
  <c r="N8" i="69"/>
  <c r="AF8" i="69" s="1"/>
  <c r="L8" i="69"/>
  <c r="K8" i="69"/>
  <c r="J8" i="69"/>
  <c r="H8" i="69"/>
  <c r="F8" i="69"/>
  <c r="W7" i="69"/>
  <c r="V7" i="69"/>
  <c r="N7" i="69"/>
  <c r="O7" i="69" s="1"/>
  <c r="K7" i="69"/>
  <c r="L7" i="69" s="1"/>
  <c r="J7" i="69"/>
  <c r="J15" i="69" s="1"/>
  <c r="F7" i="69"/>
  <c r="H7" i="69" s="1"/>
  <c r="W6" i="69"/>
  <c r="V6" i="69"/>
  <c r="P6" i="69"/>
  <c r="N6" i="69"/>
  <c r="L6" i="69"/>
  <c r="K6" i="69"/>
  <c r="J6" i="69"/>
  <c r="F6" i="69"/>
  <c r="H6" i="69" s="1"/>
  <c r="W5" i="69"/>
  <c r="N5" i="69" s="1"/>
  <c r="P5" i="69"/>
  <c r="K5" i="69"/>
  <c r="J5" i="69"/>
  <c r="H5" i="69"/>
  <c r="F5" i="69"/>
  <c r="I2" i="69"/>
  <c r="E1" i="69"/>
  <c r="G3" i="68" s="1"/>
  <c r="H22" i="68"/>
  <c r="E22" i="68"/>
  <c r="H21" i="68"/>
  <c r="G21" i="68"/>
  <c r="F21" i="68"/>
  <c r="E21" i="68"/>
  <c r="D21" i="68"/>
  <c r="I20" i="68"/>
  <c r="G20" i="68"/>
  <c r="J19" i="68"/>
  <c r="I19" i="68"/>
  <c r="H19" i="68"/>
  <c r="G19" i="68"/>
  <c r="E19" i="68"/>
  <c r="D19" i="68"/>
  <c r="J18" i="68"/>
  <c r="H18" i="68"/>
  <c r="D18" i="68"/>
  <c r="J16" i="68"/>
  <c r="I16" i="68"/>
  <c r="H16" i="68"/>
  <c r="G16" i="68"/>
  <c r="F16" i="68"/>
  <c r="E16" i="68"/>
  <c r="D16" i="68"/>
  <c r="AE79" i="3"/>
  <c r="AD79" i="3"/>
  <c r="AA79" i="3"/>
  <c r="Z79" i="3"/>
  <c r="M79" i="3"/>
  <c r="P79" i="3" s="1"/>
  <c r="W78" i="3"/>
  <c r="H78" i="3"/>
  <c r="W77" i="3"/>
  <c r="H77" i="3"/>
  <c r="W76" i="3"/>
  <c r="H76" i="3"/>
  <c r="W75" i="3"/>
  <c r="H75" i="3"/>
  <c r="W74" i="3"/>
  <c r="W73" i="3"/>
  <c r="W72" i="3"/>
  <c r="W71" i="3"/>
  <c r="W70" i="3"/>
  <c r="N70" i="3" s="1"/>
  <c r="K70" i="3"/>
  <c r="K79" i="3" s="1"/>
  <c r="J70" i="3"/>
  <c r="J79" i="3" s="1"/>
  <c r="F70" i="3"/>
  <c r="H70" i="3" s="1"/>
  <c r="B70" i="3"/>
  <c r="AE69" i="3"/>
  <c r="AD69" i="3"/>
  <c r="AA69" i="3"/>
  <c r="Z69" i="3"/>
  <c r="M69" i="3"/>
  <c r="K69" i="3"/>
  <c r="J69" i="3"/>
  <c r="W68" i="3"/>
  <c r="H68" i="3"/>
  <c r="W67" i="3"/>
  <c r="W66" i="3"/>
  <c r="W65" i="3"/>
  <c r="W64" i="3"/>
  <c r="W63" i="3"/>
  <c r="AG62" i="3"/>
  <c r="AF62" i="3"/>
  <c r="W62" i="3"/>
  <c r="W61" i="3"/>
  <c r="N61" i="3" s="1"/>
  <c r="O61" i="3" s="1"/>
  <c r="V61" i="3"/>
  <c r="K61" i="3"/>
  <c r="L61" i="3" s="1"/>
  <c r="R61" i="3" s="1"/>
  <c r="J61" i="3"/>
  <c r="P61" i="3" s="1"/>
  <c r="F61" i="3"/>
  <c r="H61" i="3" s="1"/>
  <c r="B61" i="3"/>
  <c r="W60" i="3"/>
  <c r="V60" i="3"/>
  <c r="N60" i="3"/>
  <c r="O60" i="3" s="1"/>
  <c r="K60" i="3"/>
  <c r="AG60" i="3" s="1"/>
  <c r="J60" i="3"/>
  <c r="P60" i="3" s="1"/>
  <c r="F60" i="3"/>
  <c r="H60" i="3" s="1"/>
  <c r="B60" i="3"/>
  <c r="W59" i="3"/>
  <c r="P59" i="3"/>
  <c r="N59" i="3"/>
  <c r="O59" i="3" s="1"/>
  <c r="L59" i="3"/>
  <c r="L69" i="3" s="1"/>
  <c r="I13" i="2" s="1"/>
  <c r="J6" i="2" s="1"/>
  <c r="K59" i="3"/>
  <c r="J59" i="3"/>
  <c r="H59" i="3"/>
  <c r="F59" i="3"/>
  <c r="B59" i="3"/>
  <c r="AE58" i="3"/>
  <c r="AD58" i="3"/>
  <c r="AA58" i="3"/>
  <c r="Z58" i="3"/>
  <c r="M58" i="3"/>
  <c r="K58" i="3"/>
  <c r="J58" i="3"/>
  <c r="W57" i="3"/>
  <c r="W56" i="3"/>
  <c r="W55" i="3"/>
  <c r="W54" i="3"/>
  <c r="AG53" i="3"/>
  <c r="AF53" i="3"/>
  <c r="W53" i="3"/>
  <c r="AG52" i="3"/>
  <c r="AF52" i="3"/>
  <c r="W52" i="3"/>
  <c r="V52" i="3"/>
  <c r="W51" i="3"/>
  <c r="V51" i="3"/>
  <c r="O51" i="3"/>
  <c r="N51" i="3"/>
  <c r="K51" i="3"/>
  <c r="J51" i="3"/>
  <c r="P51" i="3" s="1"/>
  <c r="F51" i="3"/>
  <c r="H51" i="3" s="1"/>
  <c r="B51" i="3"/>
  <c r="W50" i="3"/>
  <c r="V50" i="3"/>
  <c r="P50" i="3"/>
  <c r="O50" i="3"/>
  <c r="R50" i="3" s="1"/>
  <c r="N50" i="3"/>
  <c r="K50" i="3"/>
  <c r="L50" i="3" s="1"/>
  <c r="J50" i="3"/>
  <c r="F50" i="3"/>
  <c r="H50" i="3" s="1"/>
  <c r="B50" i="3"/>
  <c r="W49" i="3"/>
  <c r="N49" i="3" s="1"/>
  <c r="O49" i="3" s="1"/>
  <c r="O58" i="3" s="1"/>
  <c r="R49" i="3"/>
  <c r="Q49" i="3"/>
  <c r="P49" i="3"/>
  <c r="L49" i="3"/>
  <c r="L58" i="3" s="1"/>
  <c r="K49" i="3"/>
  <c r="J49" i="3"/>
  <c r="F49" i="3"/>
  <c r="H49" i="3" s="1"/>
  <c r="B49" i="3"/>
  <c r="AE48" i="3"/>
  <c r="AD48" i="3"/>
  <c r="AA48" i="3"/>
  <c r="Z48" i="3"/>
  <c r="W48" i="3"/>
  <c r="M48" i="3"/>
  <c r="K48" i="3"/>
  <c r="J48" i="3"/>
  <c r="W47" i="3"/>
  <c r="H47" i="3"/>
  <c r="W46" i="3"/>
  <c r="W45" i="3"/>
  <c r="W44" i="3"/>
  <c r="W43" i="3"/>
  <c r="W42" i="3"/>
  <c r="AG41" i="3"/>
  <c r="AF41" i="3"/>
  <c r="W41" i="3"/>
  <c r="W40" i="3"/>
  <c r="N40" i="3" s="1"/>
  <c r="O40" i="3" s="1"/>
  <c r="V40" i="3"/>
  <c r="K40" i="3"/>
  <c r="J40" i="3"/>
  <c r="P40" i="3" s="1"/>
  <c r="H40" i="3"/>
  <c r="F40" i="3"/>
  <c r="B40" i="3"/>
  <c r="W39" i="3"/>
  <c r="V39" i="3"/>
  <c r="N39" i="3"/>
  <c r="AG39" i="3" s="1"/>
  <c r="K39" i="3"/>
  <c r="L39" i="3" s="1"/>
  <c r="J39" i="3"/>
  <c r="P39" i="3" s="1"/>
  <c r="H39" i="3"/>
  <c r="F39" i="3"/>
  <c r="B39" i="3"/>
  <c r="W38" i="3"/>
  <c r="P38" i="3"/>
  <c r="N38" i="3"/>
  <c r="L38" i="3"/>
  <c r="L48" i="3" s="1"/>
  <c r="G13" i="2" s="1"/>
  <c r="K38" i="3"/>
  <c r="J38" i="3"/>
  <c r="H38" i="3"/>
  <c r="F38" i="3"/>
  <c r="B38" i="3"/>
  <c r="AE37" i="3"/>
  <c r="AD37" i="3"/>
  <c r="AA37" i="3"/>
  <c r="AA2" i="3" s="1"/>
  <c r="M6" i="2" s="1"/>
  <c r="Z37" i="3"/>
  <c r="Z2" i="3" s="1"/>
  <c r="L6" i="2" s="1"/>
  <c r="M37" i="3"/>
  <c r="W36" i="3"/>
  <c r="H36" i="3"/>
  <c r="W35" i="3"/>
  <c r="W34" i="3"/>
  <c r="W33" i="3"/>
  <c r="W32" i="3"/>
  <c r="AG31" i="3"/>
  <c r="AF31" i="3"/>
  <c r="W31" i="3"/>
  <c r="AG30" i="3"/>
  <c r="AF30" i="3"/>
  <c r="W30" i="3"/>
  <c r="V30" i="3"/>
  <c r="AG29" i="3"/>
  <c r="W29" i="3"/>
  <c r="N29" i="3" s="1"/>
  <c r="O29" i="3" s="1"/>
  <c r="V29" i="3"/>
  <c r="P29" i="3"/>
  <c r="K29" i="3"/>
  <c r="L29" i="3" s="1"/>
  <c r="Q29" i="3" s="1"/>
  <c r="J29" i="3"/>
  <c r="F29" i="3"/>
  <c r="H29" i="3" s="1"/>
  <c r="B29" i="3"/>
  <c r="W28" i="3"/>
  <c r="N28" i="3" s="1"/>
  <c r="V28" i="3"/>
  <c r="K28" i="3"/>
  <c r="J28" i="3"/>
  <c r="P28" i="3" s="1"/>
  <c r="F28" i="3"/>
  <c r="H28" i="3" s="1"/>
  <c r="B28" i="3"/>
  <c r="W27" i="3"/>
  <c r="N27" i="3" s="1"/>
  <c r="K27" i="3"/>
  <c r="J27" i="3"/>
  <c r="F27" i="3"/>
  <c r="H27" i="3" s="1"/>
  <c r="B27" i="3"/>
  <c r="AE26" i="3"/>
  <c r="AD26" i="3"/>
  <c r="AA26" i="3"/>
  <c r="Z26" i="3"/>
  <c r="P26" i="3"/>
  <c r="N26" i="3"/>
  <c r="AF26" i="3" s="1"/>
  <c r="M26" i="3"/>
  <c r="K26" i="3"/>
  <c r="J26" i="3"/>
  <c r="W25" i="3"/>
  <c r="H25" i="3"/>
  <c r="W24" i="3"/>
  <c r="H24" i="3"/>
  <c r="W23" i="3"/>
  <c r="W21" i="3"/>
  <c r="W20" i="3"/>
  <c r="V20" i="3"/>
  <c r="AG19" i="3"/>
  <c r="AF19" i="3"/>
  <c r="W19" i="3"/>
  <c r="V19" i="3"/>
  <c r="W18" i="3"/>
  <c r="V18" i="3"/>
  <c r="P18" i="3"/>
  <c r="N18" i="3"/>
  <c r="K18" i="3"/>
  <c r="L18" i="3" s="1"/>
  <c r="J18" i="3"/>
  <c r="F18" i="3"/>
  <c r="H18" i="3" s="1"/>
  <c r="B18" i="3"/>
  <c r="W17" i="3"/>
  <c r="V17" i="3"/>
  <c r="P17" i="3"/>
  <c r="N17" i="3"/>
  <c r="O17" i="3" s="1"/>
  <c r="L17" i="3"/>
  <c r="K17" i="3"/>
  <c r="J17" i="3"/>
  <c r="F17" i="3"/>
  <c r="H17" i="3" s="1"/>
  <c r="B17" i="3"/>
  <c r="W16" i="3"/>
  <c r="N16" i="3" s="1"/>
  <c r="O16" i="3" s="1"/>
  <c r="P16" i="3"/>
  <c r="K16" i="3"/>
  <c r="J16" i="3"/>
  <c r="L16" i="3" s="1"/>
  <c r="L26" i="3" s="1"/>
  <c r="E13" i="2" s="1"/>
  <c r="F16" i="3"/>
  <c r="H16" i="3" s="1"/>
  <c r="B16" i="3"/>
  <c r="AE15" i="3"/>
  <c r="AD15" i="3"/>
  <c r="AD2" i="3" s="1"/>
  <c r="N6" i="2" s="1"/>
  <c r="AA15" i="3"/>
  <c r="Z15" i="3"/>
  <c r="M15" i="3"/>
  <c r="K15" i="3"/>
  <c r="W14" i="3"/>
  <c r="W13" i="3"/>
  <c r="W12" i="3"/>
  <c r="AG11" i="3"/>
  <c r="AF11" i="3"/>
  <c r="W11" i="3"/>
  <c r="AG10" i="3"/>
  <c r="AF10" i="3"/>
  <c r="W10" i="3"/>
  <c r="AG9" i="3"/>
  <c r="AF9" i="3"/>
  <c r="W9" i="3"/>
  <c r="AG8" i="3"/>
  <c r="AF8" i="3"/>
  <c r="W8" i="3"/>
  <c r="W7" i="3"/>
  <c r="V7" i="3"/>
  <c r="P7" i="3"/>
  <c r="N7" i="3"/>
  <c r="L7" i="3"/>
  <c r="K7" i="3"/>
  <c r="J7" i="3"/>
  <c r="H7" i="3"/>
  <c r="F7" i="3"/>
  <c r="B7" i="3"/>
  <c r="W6" i="3"/>
  <c r="V6" i="3"/>
  <c r="P6" i="3"/>
  <c r="N6" i="3"/>
  <c r="K6" i="3"/>
  <c r="L6" i="3" s="1"/>
  <c r="J6" i="3"/>
  <c r="F6" i="3"/>
  <c r="H6" i="3" s="1"/>
  <c r="B6" i="3"/>
  <c r="W5" i="3"/>
  <c r="N5" i="3" s="1"/>
  <c r="O5" i="3" s="1"/>
  <c r="K5" i="3"/>
  <c r="J5" i="3"/>
  <c r="P5" i="3" s="1"/>
  <c r="F5" i="3"/>
  <c r="H5" i="3" s="1"/>
  <c r="G1" i="3" s="1"/>
  <c r="B5" i="3"/>
  <c r="I2" i="3"/>
  <c r="E1" i="3"/>
  <c r="G3" i="2" s="1"/>
  <c r="J22" i="2"/>
  <c r="I22" i="2"/>
  <c r="G22" i="2"/>
  <c r="F22" i="2"/>
  <c r="E22" i="2"/>
  <c r="J16" i="2"/>
  <c r="I16" i="2"/>
  <c r="H16" i="2"/>
  <c r="G16" i="2"/>
  <c r="F16" i="2"/>
  <c r="E16" i="2"/>
  <c r="D16" i="2"/>
  <c r="H13" i="2"/>
  <c r="E30" i="4"/>
  <c r="E29" i="4"/>
  <c r="E28" i="4"/>
  <c r="E27" i="4"/>
  <c r="E22" i="4"/>
  <c r="E21" i="4"/>
  <c r="E20" i="4"/>
  <c r="N19" i="4"/>
  <c r="E19" i="4"/>
  <c r="N18" i="4"/>
  <c r="E18" i="4"/>
  <c r="N17" i="4"/>
  <c r="E17" i="4"/>
  <c r="N16" i="4"/>
  <c r="E16" i="4"/>
  <c r="N15" i="4"/>
  <c r="E15" i="4"/>
  <c r="N14" i="4"/>
  <c r="E14" i="4"/>
  <c r="N13" i="4"/>
  <c r="E13" i="4"/>
  <c r="E12" i="4"/>
  <c r="E11" i="4"/>
  <c r="E10" i="4"/>
  <c r="E9" i="4"/>
  <c r="E8" i="4"/>
  <c r="E7" i="4"/>
  <c r="E6" i="4"/>
  <c r="E5" i="4"/>
  <c r="E4" i="4"/>
  <c r="E3" i="4"/>
  <c r="AG79" i="121"/>
  <c r="AH70" i="121" s="1"/>
  <c r="AE79" i="121"/>
  <c r="J21" i="120" s="1"/>
  <c r="AD79" i="121"/>
  <c r="J20" i="120" s="1"/>
  <c r="AA79" i="121"/>
  <c r="J18" i="120" s="1"/>
  <c r="Z79" i="121"/>
  <c r="O79" i="121"/>
  <c r="J14" i="120" s="1"/>
  <c r="N79" i="121"/>
  <c r="AF79" i="121" s="1"/>
  <c r="M79" i="121"/>
  <c r="J22" i="120" s="1"/>
  <c r="W78" i="121"/>
  <c r="H78" i="121"/>
  <c r="W77" i="121"/>
  <c r="W76" i="121"/>
  <c r="W75" i="121"/>
  <c r="W74" i="121"/>
  <c r="W73" i="121"/>
  <c r="W72" i="121"/>
  <c r="N72" i="121" s="1"/>
  <c r="O72" i="121" s="1"/>
  <c r="V72" i="121"/>
  <c r="K72" i="121"/>
  <c r="J72" i="121"/>
  <c r="P72" i="121" s="1"/>
  <c r="H72" i="121"/>
  <c r="F72" i="121"/>
  <c r="W71" i="121"/>
  <c r="N71" i="121" s="1"/>
  <c r="O71" i="121" s="1"/>
  <c r="V71" i="121"/>
  <c r="K71" i="121"/>
  <c r="J71" i="121"/>
  <c r="P71" i="121" s="1"/>
  <c r="F71" i="121"/>
  <c r="H71" i="121" s="1"/>
  <c r="AG70" i="121"/>
  <c r="AF70" i="121"/>
  <c r="W70" i="121"/>
  <c r="N70" i="121" s="1"/>
  <c r="O70" i="121" s="1"/>
  <c r="P70" i="121"/>
  <c r="K70" i="121"/>
  <c r="K79" i="121" s="1"/>
  <c r="F70" i="121"/>
  <c r="H70" i="121" s="1"/>
  <c r="AE69" i="121"/>
  <c r="I21" i="120" s="1"/>
  <c r="AD69" i="121"/>
  <c r="I20" i="120" s="1"/>
  <c r="AA69" i="121"/>
  <c r="I19" i="120" s="1"/>
  <c r="Z69" i="121"/>
  <c r="I18" i="120" s="1"/>
  <c r="M69" i="121"/>
  <c r="I22" i="120" s="1"/>
  <c r="W68" i="121"/>
  <c r="H68" i="121"/>
  <c r="W67" i="121"/>
  <c r="W66" i="121"/>
  <c r="W65" i="121"/>
  <c r="W64" i="121"/>
  <c r="W63" i="121"/>
  <c r="N63" i="121" s="1"/>
  <c r="V63" i="121"/>
  <c r="P63" i="121"/>
  <c r="O63" i="121"/>
  <c r="R63" i="121" s="1"/>
  <c r="K63" i="121"/>
  <c r="J63" i="121"/>
  <c r="L63" i="121" s="1"/>
  <c r="F63" i="121"/>
  <c r="H63" i="121" s="1"/>
  <c r="AG62" i="121"/>
  <c r="W62" i="121"/>
  <c r="N62" i="121" s="1"/>
  <c r="O62" i="121" s="1"/>
  <c r="V62" i="121"/>
  <c r="K62" i="121"/>
  <c r="L62" i="121" s="1"/>
  <c r="R62" i="121" s="1"/>
  <c r="J62" i="121"/>
  <c r="P62" i="121" s="1"/>
  <c r="F62" i="121"/>
  <c r="H62" i="121" s="1"/>
  <c r="W61" i="121"/>
  <c r="N61" i="121" s="1"/>
  <c r="O61" i="121" s="1"/>
  <c r="V61" i="121"/>
  <c r="K61" i="121"/>
  <c r="J61" i="121"/>
  <c r="P61" i="121" s="1"/>
  <c r="F61" i="121"/>
  <c r="H61" i="121" s="1"/>
  <c r="W60" i="121"/>
  <c r="N60" i="121" s="1"/>
  <c r="O60" i="121" s="1"/>
  <c r="V60" i="121"/>
  <c r="K60" i="121"/>
  <c r="J60" i="121"/>
  <c r="P60" i="121" s="1"/>
  <c r="F60" i="121"/>
  <c r="H60" i="121" s="1"/>
  <c r="W59" i="121"/>
  <c r="N59" i="121"/>
  <c r="K59" i="121"/>
  <c r="K69" i="121" s="1"/>
  <c r="J59" i="121"/>
  <c r="P59" i="121" s="1"/>
  <c r="H59" i="121"/>
  <c r="F59" i="121"/>
  <c r="AE58" i="121"/>
  <c r="H21" i="120" s="1"/>
  <c r="AD58" i="121"/>
  <c r="H20" i="120" s="1"/>
  <c r="AA58" i="121"/>
  <c r="H19" i="120" s="1"/>
  <c r="Z58" i="121"/>
  <c r="H18" i="120" s="1"/>
  <c r="M58" i="121"/>
  <c r="H22" i="120" s="1"/>
  <c r="W57" i="121"/>
  <c r="W56" i="121"/>
  <c r="W55" i="121"/>
  <c r="W54" i="121"/>
  <c r="W53" i="121"/>
  <c r="N53" i="121" s="1"/>
  <c r="O53" i="121" s="1"/>
  <c r="V53" i="121"/>
  <c r="P53" i="121"/>
  <c r="K53" i="121"/>
  <c r="L53" i="121" s="1"/>
  <c r="Q53" i="121" s="1"/>
  <c r="J53" i="121"/>
  <c r="H53" i="121"/>
  <c r="F53" i="121"/>
  <c r="W52" i="121"/>
  <c r="V52" i="121"/>
  <c r="N52" i="121"/>
  <c r="O52" i="121" s="1"/>
  <c r="K52" i="121"/>
  <c r="AF52" i="121" s="1"/>
  <c r="J52" i="121"/>
  <c r="P52" i="121" s="1"/>
  <c r="F52" i="121"/>
  <c r="H52" i="121" s="1"/>
  <c r="AF51" i="121"/>
  <c r="W51" i="121"/>
  <c r="N51" i="121" s="1"/>
  <c r="V51" i="121"/>
  <c r="K51" i="121"/>
  <c r="L51" i="121" s="1"/>
  <c r="J51" i="121"/>
  <c r="P51" i="121" s="1"/>
  <c r="F51" i="121"/>
  <c r="H51" i="121" s="1"/>
  <c r="W50" i="121"/>
  <c r="V50" i="121"/>
  <c r="N50" i="121"/>
  <c r="O50" i="121" s="1"/>
  <c r="L50" i="121"/>
  <c r="K50" i="121"/>
  <c r="J50" i="121"/>
  <c r="P50" i="121" s="1"/>
  <c r="F50" i="121"/>
  <c r="H50" i="121" s="1"/>
  <c r="W49" i="121"/>
  <c r="N49" i="121"/>
  <c r="N58" i="121" s="1"/>
  <c r="K49" i="121"/>
  <c r="K58" i="121" s="1"/>
  <c r="J49" i="121"/>
  <c r="J58" i="121" s="1"/>
  <c r="P58" i="121" s="1"/>
  <c r="H49" i="121"/>
  <c r="F49" i="121"/>
  <c r="AE48" i="121"/>
  <c r="G21" i="120" s="1"/>
  <c r="AD48" i="121"/>
  <c r="G20" i="120" s="1"/>
  <c r="AA48" i="121"/>
  <c r="G19" i="120" s="1"/>
  <c r="Z48" i="121"/>
  <c r="G18" i="120" s="1"/>
  <c r="W48" i="121"/>
  <c r="M48" i="121"/>
  <c r="G22" i="120" s="1"/>
  <c r="K48" i="121"/>
  <c r="W47" i="121"/>
  <c r="H47" i="121"/>
  <c r="W46" i="121"/>
  <c r="W45" i="121"/>
  <c r="W44" i="121"/>
  <c r="W43" i="121"/>
  <c r="W42" i="121"/>
  <c r="AG41" i="121"/>
  <c r="AF41" i="121"/>
  <c r="W41" i="121"/>
  <c r="W40" i="121"/>
  <c r="N40" i="121" s="1"/>
  <c r="V40" i="121"/>
  <c r="P40" i="121"/>
  <c r="K40" i="121"/>
  <c r="L40" i="121" s="1"/>
  <c r="J40" i="121"/>
  <c r="F40" i="121"/>
  <c r="H40" i="121" s="1"/>
  <c r="W39" i="121"/>
  <c r="N39" i="121" s="1"/>
  <c r="AF39" i="121" s="1"/>
  <c r="V39" i="121"/>
  <c r="P39" i="121"/>
  <c r="K39" i="121"/>
  <c r="J39" i="121"/>
  <c r="L39" i="121" s="1"/>
  <c r="H39" i="121"/>
  <c r="F39" i="121"/>
  <c r="W38" i="121"/>
  <c r="N38" i="121" s="1"/>
  <c r="K38" i="121"/>
  <c r="J38" i="121"/>
  <c r="F38" i="121"/>
  <c r="H38" i="121" s="1"/>
  <c r="AE37" i="121"/>
  <c r="F21" i="120" s="1"/>
  <c r="AD37" i="121"/>
  <c r="F20" i="120" s="1"/>
  <c r="AA37" i="121"/>
  <c r="F19" i="120" s="1"/>
  <c r="Z37" i="121"/>
  <c r="F18" i="120" s="1"/>
  <c r="M37" i="121"/>
  <c r="K37" i="121"/>
  <c r="J37" i="121"/>
  <c r="W36" i="121"/>
  <c r="H36" i="121"/>
  <c r="W35" i="121"/>
  <c r="W34" i="121"/>
  <c r="W33" i="121"/>
  <c r="W32" i="121"/>
  <c r="AG31" i="121"/>
  <c r="AF31" i="121"/>
  <c r="W31" i="121"/>
  <c r="AG30" i="121"/>
  <c r="AF30" i="121"/>
  <c r="W30" i="121"/>
  <c r="AG29" i="121"/>
  <c r="AF29" i="121"/>
  <c r="W29" i="121"/>
  <c r="W28" i="121"/>
  <c r="V28" i="121"/>
  <c r="P28" i="121"/>
  <c r="N28" i="121"/>
  <c r="O28" i="121" s="1"/>
  <c r="L28" i="121"/>
  <c r="L37" i="121" s="1"/>
  <c r="F13" i="120" s="1"/>
  <c r="K28" i="121"/>
  <c r="J28" i="121"/>
  <c r="F28" i="121"/>
  <c r="H28" i="121" s="1"/>
  <c r="W27" i="121"/>
  <c r="N27" i="121" s="1"/>
  <c r="AG27" i="121" s="1"/>
  <c r="P27" i="121"/>
  <c r="L27" i="121"/>
  <c r="K27" i="121"/>
  <c r="J27" i="121"/>
  <c r="F27" i="121"/>
  <c r="H27" i="121" s="1"/>
  <c r="AE26" i="121"/>
  <c r="E21" i="120" s="1"/>
  <c r="AD26" i="121"/>
  <c r="E20" i="120" s="1"/>
  <c r="AA26" i="121"/>
  <c r="E19" i="120" s="1"/>
  <c r="Z26" i="121"/>
  <c r="E18" i="120" s="1"/>
  <c r="M26" i="121"/>
  <c r="E22" i="120" s="1"/>
  <c r="J26" i="121"/>
  <c r="W25" i="121"/>
  <c r="H25" i="121"/>
  <c r="W24" i="121"/>
  <c r="H24" i="121"/>
  <c r="W23" i="121"/>
  <c r="W21" i="121"/>
  <c r="W20" i="121"/>
  <c r="AG19" i="121"/>
  <c r="AF19" i="121"/>
  <c r="W19" i="121"/>
  <c r="AG18" i="121"/>
  <c r="AF18" i="121"/>
  <c r="W18" i="121"/>
  <c r="W17" i="121"/>
  <c r="N17" i="121" s="1"/>
  <c r="O17" i="121" s="1"/>
  <c r="V17" i="121"/>
  <c r="K17" i="121"/>
  <c r="L17" i="121" s="1"/>
  <c r="J17" i="121"/>
  <c r="P17" i="121" s="1"/>
  <c r="H17" i="121"/>
  <c r="F17" i="121"/>
  <c r="W16" i="121"/>
  <c r="P16" i="121"/>
  <c r="N16" i="121"/>
  <c r="AG16" i="121" s="1"/>
  <c r="K16" i="121"/>
  <c r="K26" i="121" s="1"/>
  <c r="H16" i="121"/>
  <c r="F16" i="121"/>
  <c r="AE15" i="121"/>
  <c r="AD15" i="121"/>
  <c r="D20" i="120" s="1"/>
  <c r="AA15" i="121"/>
  <c r="D19" i="120" s="1"/>
  <c r="Z15" i="121"/>
  <c r="D18" i="120" s="1"/>
  <c r="M15" i="121"/>
  <c r="W14" i="121"/>
  <c r="W13" i="121"/>
  <c r="W12" i="121"/>
  <c r="AG11" i="121"/>
  <c r="AF11" i="121"/>
  <c r="W11" i="121"/>
  <c r="AG10" i="121"/>
  <c r="AF10" i="121"/>
  <c r="W10" i="121"/>
  <c r="AG9" i="121"/>
  <c r="AF9" i="121"/>
  <c r="W9" i="121"/>
  <c r="AG8" i="121"/>
  <c r="AF8" i="121"/>
  <c r="W8" i="121"/>
  <c r="W7" i="121"/>
  <c r="V7" i="121"/>
  <c r="P7" i="121"/>
  <c r="N7" i="121"/>
  <c r="K7" i="121"/>
  <c r="L7" i="121" s="1"/>
  <c r="J7" i="121"/>
  <c r="F7" i="121"/>
  <c r="H7" i="121" s="1"/>
  <c r="W6" i="121"/>
  <c r="N6" i="121" s="1"/>
  <c r="AG6" i="121" s="1"/>
  <c r="V6" i="121"/>
  <c r="P6" i="121"/>
  <c r="O6" i="121"/>
  <c r="R6" i="121" s="1"/>
  <c r="K6" i="121"/>
  <c r="J6" i="121"/>
  <c r="L6" i="121" s="1"/>
  <c r="F6" i="121"/>
  <c r="H6" i="121" s="1"/>
  <c r="W5" i="121"/>
  <c r="N5" i="121"/>
  <c r="O5" i="121" s="1"/>
  <c r="K5" i="121"/>
  <c r="J5" i="121"/>
  <c r="F5" i="121"/>
  <c r="H5" i="121" s="1"/>
  <c r="AD2" i="121"/>
  <c r="N6" i="120" s="1"/>
  <c r="AA2" i="121"/>
  <c r="M6" i="120" s="1"/>
  <c r="Z2" i="121"/>
  <c r="L6" i="120" s="1"/>
  <c r="I2" i="121"/>
  <c r="E1" i="121"/>
  <c r="G3" i="120" s="1"/>
  <c r="Q53" i="123" l="1"/>
  <c r="R53" i="123"/>
  <c r="O52" i="123"/>
  <c r="AF52" i="123"/>
  <c r="AG30" i="123"/>
  <c r="O30" i="123"/>
  <c r="Q30" i="123" s="1"/>
  <c r="AF30" i="123"/>
  <c r="R31" i="123"/>
  <c r="Q8" i="123"/>
  <c r="R8" i="123"/>
  <c r="AF8" i="123"/>
  <c r="AG8" i="123"/>
  <c r="R71" i="123"/>
  <c r="Q71" i="123"/>
  <c r="R72" i="123"/>
  <c r="Q72" i="123"/>
  <c r="R73" i="123"/>
  <c r="Q73" i="123"/>
  <c r="Q62" i="123"/>
  <c r="R62" i="123"/>
  <c r="R63" i="123"/>
  <c r="AG62" i="123"/>
  <c r="AG53" i="123"/>
  <c r="AG52" i="123"/>
  <c r="AF53" i="123"/>
  <c r="Q31" i="123"/>
  <c r="AG31" i="123"/>
  <c r="AF31" i="123"/>
  <c r="I1" i="123"/>
  <c r="AG16" i="123"/>
  <c r="L49" i="123"/>
  <c r="L7" i="123"/>
  <c r="L15" i="123" s="1"/>
  <c r="D13" i="122" s="1"/>
  <c r="P38" i="123"/>
  <c r="L17" i="123"/>
  <c r="L40" i="123"/>
  <c r="L59" i="123"/>
  <c r="L69" i="123" s="1"/>
  <c r="I13" i="122" s="1"/>
  <c r="L61" i="123"/>
  <c r="N26" i="123"/>
  <c r="AG26" i="123" s="1"/>
  <c r="AH16" i="123" s="1"/>
  <c r="P48" i="123"/>
  <c r="O51" i="123"/>
  <c r="R51" i="123" s="1"/>
  <c r="O16" i="123"/>
  <c r="P16" i="123"/>
  <c r="D22" i="122"/>
  <c r="AG6" i="77"/>
  <c r="O6" i="77"/>
  <c r="AF6" i="77"/>
  <c r="R63" i="83"/>
  <c r="Q63" i="83"/>
  <c r="R71" i="87"/>
  <c r="Q71" i="87"/>
  <c r="G1" i="121"/>
  <c r="AF58" i="121"/>
  <c r="AG58" i="121"/>
  <c r="AH49" i="121" s="1"/>
  <c r="Q58" i="121"/>
  <c r="G2" i="3"/>
  <c r="J3" i="2"/>
  <c r="O69" i="3"/>
  <c r="R59" i="3"/>
  <c r="Q59" i="3"/>
  <c r="R19" i="71"/>
  <c r="AG70" i="83"/>
  <c r="AF70" i="83"/>
  <c r="O70" i="83"/>
  <c r="N79" i="83"/>
  <c r="Q79" i="85"/>
  <c r="AF79" i="85"/>
  <c r="AG79" i="85"/>
  <c r="AH70" i="85" s="1"/>
  <c r="Q59" i="93"/>
  <c r="R59" i="93"/>
  <c r="Q63" i="131"/>
  <c r="R63" i="131"/>
  <c r="Q58" i="73"/>
  <c r="AG58" i="73"/>
  <c r="AH49" i="73" s="1"/>
  <c r="G2" i="83"/>
  <c r="J3" i="82"/>
  <c r="N26" i="89"/>
  <c r="AG16" i="89"/>
  <c r="O16" i="89"/>
  <c r="AF16" i="89"/>
  <c r="O50" i="91"/>
  <c r="AG50" i="91"/>
  <c r="AF50" i="91"/>
  <c r="R17" i="3"/>
  <c r="Q17" i="3"/>
  <c r="O26" i="3"/>
  <c r="H14" i="2"/>
  <c r="H15" i="2" s="1"/>
  <c r="R58" i="3"/>
  <c r="S49" i="3" s="1"/>
  <c r="Q28" i="121"/>
  <c r="R28" i="121"/>
  <c r="G1" i="71"/>
  <c r="L58" i="69"/>
  <c r="H13" i="68" s="1"/>
  <c r="Q8" i="71"/>
  <c r="R8" i="71"/>
  <c r="N15" i="71"/>
  <c r="AG5" i="71"/>
  <c r="O5" i="71"/>
  <c r="AF5" i="71"/>
  <c r="G1" i="91"/>
  <c r="AG40" i="121"/>
  <c r="AF40" i="121"/>
  <c r="O40" i="121"/>
  <c r="O62" i="75"/>
  <c r="AG62" i="75"/>
  <c r="AF62" i="75"/>
  <c r="N69" i="75"/>
  <c r="R32" i="81"/>
  <c r="Q32" i="81"/>
  <c r="R61" i="79"/>
  <c r="Q61" i="79"/>
  <c r="G1" i="95"/>
  <c r="R9" i="71"/>
  <c r="Q9" i="71"/>
  <c r="R19" i="73"/>
  <c r="Q19" i="73"/>
  <c r="L69" i="75"/>
  <c r="I13" i="74" s="1"/>
  <c r="J6" i="74" s="1"/>
  <c r="R30" i="81"/>
  <c r="R71" i="81"/>
  <c r="Q71" i="81"/>
  <c r="AG29" i="77"/>
  <c r="AF29" i="77"/>
  <c r="O29" i="77"/>
  <c r="O15" i="95"/>
  <c r="R5" i="95"/>
  <c r="Q5" i="95"/>
  <c r="G1" i="73"/>
  <c r="J3" i="76"/>
  <c r="G2" i="77"/>
  <c r="R7" i="69"/>
  <c r="Q7" i="69"/>
  <c r="G1" i="69"/>
  <c r="AF48" i="69"/>
  <c r="AG48" i="69"/>
  <c r="AH38" i="69" s="1"/>
  <c r="O37" i="83"/>
  <c r="AG69" i="87"/>
  <c r="AH59" i="87" s="1"/>
  <c r="AF69" i="87"/>
  <c r="Q69" i="87"/>
  <c r="Q69" i="95"/>
  <c r="AG69" i="95"/>
  <c r="AH59" i="95" s="1"/>
  <c r="AF69" i="95"/>
  <c r="K48" i="79"/>
  <c r="K48" i="83"/>
  <c r="AG38" i="83"/>
  <c r="AF38" i="83"/>
  <c r="L38" i="83"/>
  <c r="L48" i="83" s="1"/>
  <c r="G13" i="82" s="1"/>
  <c r="R16" i="87"/>
  <c r="Q16" i="87"/>
  <c r="R27" i="87"/>
  <c r="Q27" i="87"/>
  <c r="P28" i="107"/>
  <c r="J37" i="107"/>
  <c r="P37" i="107" s="1"/>
  <c r="L60" i="121"/>
  <c r="AF61" i="121"/>
  <c r="O70" i="3"/>
  <c r="N79" i="3"/>
  <c r="L17" i="69"/>
  <c r="R17" i="69" s="1"/>
  <c r="AG27" i="69"/>
  <c r="AF27" i="69"/>
  <c r="L16" i="75"/>
  <c r="L26" i="75" s="1"/>
  <c r="E13" i="74" s="1"/>
  <c r="P27" i="77"/>
  <c r="J37" i="77"/>
  <c r="P37" i="77" s="1"/>
  <c r="L19" i="83"/>
  <c r="L26" i="83" s="1"/>
  <c r="E13" i="82" s="1"/>
  <c r="R6" i="85"/>
  <c r="Q6" i="85"/>
  <c r="AG61" i="121"/>
  <c r="I1" i="3"/>
  <c r="AG18" i="3"/>
  <c r="AF18" i="3"/>
  <c r="AA2" i="69"/>
  <c r="M6" i="68" s="1"/>
  <c r="AD2" i="69"/>
  <c r="N6" i="68" s="1"/>
  <c r="F20" i="68"/>
  <c r="AF19" i="71"/>
  <c r="R60" i="71"/>
  <c r="Q60" i="71"/>
  <c r="R17" i="77"/>
  <c r="Q17" i="77"/>
  <c r="AF31" i="79"/>
  <c r="AG31" i="79"/>
  <c r="L60" i="101"/>
  <c r="L69" i="101" s="1"/>
  <c r="I13" i="100" s="1"/>
  <c r="J6" i="100" s="1"/>
  <c r="P60" i="101"/>
  <c r="J69" i="101"/>
  <c r="AF27" i="121"/>
  <c r="P16" i="69"/>
  <c r="J26" i="69"/>
  <c r="P26" i="69" s="1"/>
  <c r="L20" i="69"/>
  <c r="Q20" i="69" s="1"/>
  <c r="O26" i="71"/>
  <c r="R30" i="71"/>
  <c r="Q30" i="71"/>
  <c r="R71" i="71"/>
  <c r="Q71" i="71"/>
  <c r="Q48" i="73"/>
  <c r="O59" i="75"/>
  <c r="AF59" i="75"/>
  <c r="AG59" i="75"/>
  <c r="O31" i="79"/>
  <c r="Q64" i="83"/>
  <c r="Q59" i="87"/>
  <c r="P37" i="103"/>
  <c r="AF17" i="121"/>
  <c r="P49" i="121"/>
  <c r="AF50" i="121"/>
  <c r="R16" i="3"/>
  <c r="AF40" i="69"/>
  <c r="AG40" i="69"/>
  <c r="R71" i="69"/>
  <c r="Q71" i="69"/>
  <c r="L16" i="73"/>
  <c r="AG8" i="81"/>
  <c r="AF8" i="81"/>
  <c r="R60" i="83"/>
  <c r="Q60" i="83"/>
  <c r="AG17" i="121"/>
  <c r="Q52" i="121"/>
  <c r="AG60" i="121"/>
  <c r="L60" i="3"/>
  <c r="AG6" i="69"/>
  <c r="AF6" i="69"/>
  <c r="L16" i="69"/>
  <c r="J48" i="69"/>
  <c r="P48" i="69" s="1"/>
  <c r="O40" i="69"/>
  <c r="Q62" i="69"/>
  <c r="AG30" i="71"/>
  <c r="N69" i="71"/>
  <c r="Q8" i="73"/>
  <c r="AG17" i="79"/>
  <c r="AF17" i="79"/>
  <c r="O17" i="79"/>
  <c r="O49" i="81"/>
  <c r="N58" i="81"/>
  <c r="AG49" i="81"/>
  <c r="J22" i="84"/>
  <c r="P79" i="85"/>
  <c r="J58" i="87"/>
  <c r="P58" i="87" s="1"/>
  <c r="P50" i="87"/>
  <c r="E18" i="90"/>
  <c r="Z2" i="91"/>
  <c r="L6" i="90" s="1"/>
  <c r="Q5" i="121"/>
  <c r="AG40" i="3"/>
  <c r="Q61" i="3"/>
  <c r="O6" i="69"/>
  <c r="K26" i="73"/>
  <c r="Z2" i="73"/>
  <c r="L6" i="72" s="1"/>
  <c r="R7" i="77"/>
  <c r="Z2" i="77"/>
  <c r="L6" i="76" s="1"/>
  <c r="O26" i="77"/>
  <c r="R40" i="77"/>
  <c r="Q40" i="77"/>
  <c r="L69" i="79"/>
  <c r="I13" i="78" s="1"/>
  <c r="P48" i="81"/>
  <c r="G22" i="80"/>
  <c r="L38" i="89"/>
  <c r="L48" i="89" s="1"/>
  <c r="G13" i="88" s="1"/>
  <c r="K48" i="89"/>
  <c r="L7" i="129"/>
  <c r="O51" i="129"/>
  <c r="AF51" i="129"/>
  <c r="AG51" i="129"/>
  <c r="E14" i="102"/>
  <c r="Q62" i="121"/>
  <c r="AG62" i="69"/>
  <c r="N69" i="69"/>
  <c r="O79" i="69"/>
  <c r="O6" i="71"/>
  <c r="AG6" i="71"/>
  <c r="AF17" i="71"/>
  <c r="N37" i="71"/>
  <c r="AF39" i="71"/>
  <c r="P48" i="71"/>
  <c r="N58" i="71"/>
  <c r="O49" i="71"/>
  <c r="AG60" i="71"/>
  <c r="P69" i="71"/>
  <c r="P26" i="73"/>
  <c r="O29" i="73"/>
  <c r="AF29" i="73"/>
  <c r="AG39" i="73"/>
  <c r="AF39" i="73"/>
  <c r="O39" i="73"/>
  <c r="J58" i="73"/>
  <c r="O60" i="73"/>
  <c r="L6" i="75"/>
  <c r="AG18" i="75"/>
  <c r="AF18" i="75"/>
  <c r="O18" i="75"/>
  <c r="AF38" i="75"/>
  <c r="J48" i="75"/>
  <c r="P48" i="75" s="1"/>
  <c r="L49" i="75"/>
  <c r="D19" i="76"/>
  <c r="AA2" i="77"/>
  <c r="M6" i="76" s="1"/>
  <c r="AF19" i="77"/>
  <c r="P26" i="77"/>
  <c r="AG49" i="77"/>
  <c r="O49" i="77"/>
  <c r="N58" i="77"/>
  <c r="AF50" i="77"/>
  <c r="L62" i="77"/>
  <c r="O7" i="79"/>
  <c r="AG7" i="79"/>
  <c r="AF7" i="79"/>
  <c r="AG59" i="79"/>
  <c r="AF59" i="79"/>
  <c r="N69" i="79"/>
  <c r="Q60" i="79"/>
  <c r="R70" i="79"/>
  <c r="Q70" i="79"/>
  <c r="O79" i="79"/>
  <c r="D19" i="80"/>
  <c r="E22" i="80"/>
  <c r="P26" i="81"/>
  <c r="P27" i="81"/>
  <c r="P37" i="81"/>
  <c r="F22" i="80"/>
  <c r="AF38" i="81"/>
  <c r="N48" i="81"/>
  <c r="R31" i="83"/>
  <c r="Q31" i="83"/>
  <c r="Q51" i="83"/>
  <c r="P79" i="83"/>
  <c r="J22" i="82"/>
  <c r="AD2" i="85"/>
  <c r="N6" i="84" s="1"/>
  <c r="G1" i="85"/>
  <c r="J37" i="85"/>
  <c r="P37" i="85" s="1"/>
  <c r="J48" i="85"/>
  <c r="J58" i="85"/>
  <c r="L62" i="85"/>
  <c r="L69" i="85" s="1"/>
  <c r="I13" i="84" s="1"/>
  <c r="AG38" i="87"/>
  <c r="N48" i="87"/>
  <c r="AG8" i="89"/>
  <c r="AF8" i="89"/>
  <c r="O8" i="89"/>
  <c r="AG29" i="89"/>
  <c r="O49" i="89"/>
  <c r="AG49" i="89"/>
  <c r="N58" i="89"/>
  <c r="AF49" i="89"/>
  <c r="E20" i="90"/>
  <c r="AD2" i="91"/>
  <c r="N6" i="90" s="1"/>
  <c r="N26" i="93"/>
  <c r="AG16" i="93"/>
  <c r="AF16" i="93"/>
  <c r="R30" i="93"/>
  <c r="R71" i="93"/>
  <c r="Q71" i="93"/>
  <c r="AF6" i="95"/>
  <c r="O6" i="95"/>
  <c r="R8" i="95"/>
  <c r="Q8" i="95"/>
  <c r="L49" i="95"/>
  <c r="K15" i="129"/>
  <c r="L5" i="129"/>
  <c r="AG7" i="129"/>
  <c r="O7" i="129"/>
  <c r="AF7" i="129"/>
  <c r="O27" i="129"/>
  <c r="AF27" i="129"/>
  <c r="Q30" i="129"/>
  <c r="R30" i="129"/>
  <c r="O38" i="129"/>
  <c r="AF38" i="129"/>
  <c r="N48" i="129"/>
  <c r="H51" i="129"/>
  <c r="P26" i="131"/>
  <c r="I1" i="131"/>
  <c r="E22" i="130"/>
  <c r="K58" i="131"/>
  <c r="L49" i="131"/>
  <c r="AG49" i="131"/>
  <c r="G1" i="101"/>
  <c r="Q17" i="101"/>
  <c r="R17" i="101"/>
  <c r="AG17" i="105"/>
  <c r="AF17" i="105"/>
  <c r="O17" i="105"/>
  <c r="N26" i="105"/>
  <c r="F22" i="104"/>
  <c r="P37" i="105"/>
  <c r="L51" i="105"/>
  <c r="L58" i="105" s="1"/>
  <c r="H13" i="104" s="1"/>
  <c r="Q39" i="107"/>
  <c r="L29" i="125"/>
  <c r="R29" i="125" s="1"/>
  <c r="AG29" i="125"/>
  <c r="N48" i="121"/>
  <c r="O38" i="121"/>
  <c r="AF9" i="69"/>
  <c r="O9" i="69"/>
  <c r="L37" i="69"/>
  <c r="F13" i="68" s="1"/>
  <c r="R28" i="69"/>
  <c r="AF49" i="69"/>
  <c r="O49" i="69"/>
  <c r="N58" i="69"/>
  <c r="J58" i="71"/>
  <c r="P58" i="71" s="1"/>
  <c r="AG38" i="77"/>
  <c r="AF38" i="77"/>
  <c r="N48" i="77"/>
  <c r="J15" i="79"/>
  <c r="P15" i="79" s="1"/>
  <c r="P5" i="79"/>
  <c r="P69" i="83"/>
  <c r="I22" i="82"/>
  <c r="Q61" i="85"/>
  <c r="R61" i="85"/>
  <c r="Q29" i="93"/>
  <c r="R29" i="93"/>
  <c r="O62" i="93"/>
  <c r="O69" i="93" s="1"/>
  <c r="AF62" i="93"/>
  <c r="AG62" i="93"/>
  <c r="J58" i="129"/>
  <c r="P58" i="129" s="1"/>
  <c r="P50" i="129"/>
  <c r="N15" i="105"/>
  <c r="AF5" i="105"/>
  <c r="O5" i="105"/>
  <c r="R28" i="105"/>
  <c r="O37" i="105"/>
  <c r="Q28" i="105"/>
  <c r="R61" i="105"/>
  <c r="Q61" i="105"/>
  <c r="Z2" i="107"/>
  <c r="L6" i="106" s="1"/>
  <c r="H18" i="106"/>
  <c r="Q49" i="109"/>
  <c r="R49" i="109"/>
  <c r="O58" i="109"/>
  <c r="R50" i="121"/>
  <c r="Q50" i="121"/>
  <c r="AG7" i="3"/>
  <c r="AF7" i="3"/>
  <c r="AG28" i="3"/>
  <c r="AF28" i="3"/>
  <c r="O28" i="3"/>
  <c r="Z2" i="69"/>
  <c r="L6" i="68" s="1"/>
  <c r="AG18" i="69"/>
  <c r="O18" i="69"/>
  <c r="L27" i="71"/>
  <c r="L37" i="71" s="1"/>
  <c r="F13" i="70" s="1"/>
  <c r="L50" i="71"/>
  <c r="L58" i="71" s="1"/>
  <c r="H13" i="70" s="1"/>
  <c r="K58" i="71"/>
  <c r="L60" i="71"/>
  <c r="L5" i="73"/>
  <c r="I22" i="74"/>
  <c r="I1" i="75"/>
  <c r="J22" i="74"/>
  <c r="L26" i="77"/>
  <c r="E13" i="76" s="1"/>
  <c r="O38" i="77"/>
  <c r="AG70" i="77"/>
  <c r="N79" i="77"/>
  <c r="O70" i="77"/>
  <c r="R39" i="79"/>
  <c r="N37" i="81"/>
  <c r="AG28" i="81"/>
  <c r="AF28" i="81"/>
  <c r="N26" i="83"/>
  <c r="O16" i="83"/>
  <c r="AG28" i="91"/>
  <c r="N37" i="91"/>
  <c r="O28" i="91"/>
  <c r="L70" i="95"/>
  <c r="L79" i="95" s="1"/>
  <c r="J13" i="94" s="1"/>
  <c r="K79" i="95"/>
  <c r="O16" i="129"/>
  <c r="N26" i="129"/>
  <c r="AG16" i="129"/>
  <c r="AF16" i="129"/>
  <c r="AG51" i="131"/>
  <c r="AF51" i="131"/>
  <c r="O51" i="131"/>
  <c r="J3" i="118"/>
  <c r="G2" i="119"/>
  <c r="O7" i="121"/>
  <c r="AG7" i="121"/>
  <c r="L16" i="121"/>
  <c r="L26" i="121" s="1"/>
  <c r="E13" i="120" s="1"/>
  <c r="AG39" i="121"/>
  <c r="L49" i="121"/>
  <c r="O7" i="3"/>
  <c r="AG17" i="3"/>
  <c r="AF17" i="3"/>
  <c r="N37" i="3"/>
  <c r="O27" i="3"/>
  <c r="L40" i="3"/>
  <c r="Q50" i="3"/>
  <c r="Q28" i="69"/>
  <c r="P26" i="71"/>
  <c r="E22" i="70"/>
  <c r="N15" i="73"/>
  <c r="AF5" i="73"/>
  <c r="AG5" i="73"/>
  <c r="AG9" i="73"/>
  <c r="AF9" i="73"/>
  <c r="G22" i="72"/>
  <c r="L50" i="73"/>
  <c r="L58" i="73" s="1"/>
  <c r="H13" i="72" s="1"/>
  <c r="AF62" i="73"/>
  <c r="O62" i="73"/>
  <c r="R16" i="75"/>
  <c r="Q16" i="75"/>
  <c r="K37" i="75"/>
  <c r="Q61" i="75"/>
  <c r="Q79" i="75"/>
  <c r="AG79" i="75"/>
  <c r="AH70" i="75" s="1"/>
  <c r="AF79" i="75"/>
  <c r="L27" i="77"/>
  <c r="L63" i="77"/>
  <c r="AF70" i="77"/>
  <c r="K26" i="79"/>
  <c r="AG38" i="79"/>
  <c r="AF38" i="79"/>
  <c r="N48" i="79"/>
  <c r="J15" i="81"/>
  <c r="P15" i="81" s="1"/>
  <c r="P5" i="81"/>
  <c r="L5" i="81"/>
  <c r="L15" i="81" s="1"/>
  <c r="D13" i="80" s="1"/>
  <c r="L5" i="83"/>
  <c r="L15" i="83" s="1"/>
  <c r="D13" i="82" s="1"/>
  <c r="L29" i="83"/>
  <c r="Q29" i="83" s="1"/>
  <c r="AG29" i="83"/>
  <c r="K37" i="83"/>
  <c r="AG39" i="85"/>
  <c r="AF39" i="85"/>
  <c r="J79" i="87"/>
  <c r="P79" i="87" s="1"/>
  <c r="P70" i="87"/>
  <c r="O30" i="91"/>
  <c r="AG30" i="91"/>
  <c r="AF30" i="91"/>
  <c r="AG5" i="93"/>
  <c r="AF5" i="93"/>
  <c r="N15" i="93"/>
  <c r="O5" i="93"/>
  <c r="AG70" i="95"/>
  <c r="AF70" i="95"/>
  <c r="R7" i="101"/>
  <c r="R60" i="105"/>
  <c r="Q60" i="105"/>
  <c r="AF52" i="107"/>
  <c r="O52" i="107"/>
  <c r="N58" i="107"/>
  <c r="Q60" i="115"/>
  <c r="R60" i="115"/>
  <c r="AF52" i="119"/>
  <c r="AG52" i="119"/>
  <c r="O52" i="119"/>
  <c r="AF16" i="121"/>
  <c r="N26" i="121"/>
  <c r="O49" i="121"/>
  <c r="AG49" i="121"/>
  <c r="AF49" i="121"/>
  <c r="R60" i="121"/>
  <c r="Q60" i="121"/>
  <c r="AG70" i="3"/>
  <c r="AG9" i="69"/>
  <c r="AF8" i="71"/>
  <c r="AG8" i="71"/>
  <c r="L16" i="71"/>
  <c r="AG19" i="71"/>
  <c r="N26" i="71"/>
  <c r="AF27" i="71"/>
  <c r="L29" i="71"/>
  <c r="J37" i="71"/>
  <c r="O5" i="73"/>
  <c r="L29" i="75"/>
  <c r="Q29" i="75" s="1"/>
  <c r="Q8" i="79"/>
  <c r="Q20" i="79"/>
  <c r="AF30" i="79"/>
  <c r="AG30" i="79"/>
  <c r="K69" i="83"/>
  <c r="J15" i="85"/>
  <c r="P15" i="85" s="1"/>
  <c r="P8" i="85"/>
  <c r="L50" i="85"/>
  <c r="K58" i="85"/>
  <c r="L58" i="91"/>
  <c r="H13" i="90" s="1"/>
  <c r="AE2" i="93"/>
  <c r="O6" i="92" s="1"/>
  <c r="E21" i="92"/>
  <c r="AF28" i="93"/>
  <c r="AG28" i="93"/>
  <c r="O28" i="93"/>
  <c r="AG40" i="93"/>
  <c r="AF40" i="93"/>
  <c r="N48" i="93"/>
  <c r="O40" i="93"/>
  <c r="L37" i="95"/>
  <c r="F13" i="94" s="1"/>
  <c r="L7" i="131"/>
  <c r="Q7" i="131" s="1"/>
  <c r="AG7" i="131"/>
  <c r="I21" i="130"/>
  <c r="AE2" i="131"/>
  <c r="O6" i="130" s="1"/>
  <c r="L29" i="103"/>
  <c r="P29" i="103"/>
  <c r="O49" i="111"/>
  <c r="AG49" i="111"/>
  <c r="AF49" i="111"/>
  <c r="P16" i="127"/>
  <c r="J26" i="127"/>
  <c r="P26" i="127" s="1"/>
  <c r="L16" i="127"/>
  <c r="L26" i="127" s="1"/>
  <c r="E13" i="126" s="1"/>
  <c r="J15" i="121"/>
  <c r="P15" i="121" s="1"/>
  <c r="P5" i="121"/>
  <c r="AF60" i="121"/>
  <c r="J69" i="121"/>
  <c r="AG38" i="3"/>
  <c r="AF38" i="3"/>
  <c r="AG40" i="71"/>
  <c r="O40" i="71"/>
  <c r="J79" i="71"/>
  <c r="P79" i="71" s="1"/>
  <c r="P70" i="71"/>
  <c r="AF30" i="75"/>
  <c r="AG30" i="75"/>
  <c r="Q58" i="75"/>
  <c r="AG58" i="75"/>
  <c r="AH49" i="75" s="1"/>
  <c r="Q60" i="75"/>
  <c r="R63" i="77"/>
  <c r="Q63" i="77"/>
  <c r="L27" i="81"/>
  <c r="AG27" i="81"/>
  <c r="AF27" i="81"/>
  <c r="R38" i="81"/>
  <c r="Q38" i="81"/>
  <c r="O79" i="81"/>
  <c r="AG16" i="83"/>
  <c r="R32" i="83"/>
  <c r="Q32" i="83"/>
  <c r="AG40" i="83"/>
  <c r="AF40" i="83"/>
  <c r="AG61" i="83"/>
  <c r="O71" i="85"/>
  <c r="O79" i="85" s="1"/>
  <c r="R6" i="89"/>
  <c r="Q6" i="89"/>
  <c r="N58" i="91"/>
  <c r="AG49" i="91"/>
  <c r="AF49" i="91"/>
  <c r="O49" i="91"/>
  <c r="R20" i="93"/>
  <c r="Q20" i="93"/>
  <c r="Q79" i="93"/>
  <c r="AG79" i="93"/>
  <c r="AH70" i="93" s="1"/>
  <c r="AF79" i="93"/>
  <c r="R71" i="129"/>
  <c r="Q71" i="129"/>
  <c r="O79" i="129"/>
  <c r="O31" i="101"/>
  <c r="AF7" i="109"/>
  <c r="O7" i="109"/>
  <c r="AG7" i="109"/>
  <c r="K79" i="111"/>
  <c r="L70" i="111"/>
  <c r="AG79" i="115"/>
  <c r="AH70" i="115" s="1"/>
  <c r="AF79" i="115"/>
  <c r="Q79" i="115"/>
  <c r="L51" i="127"/>
  <c r="K15" i="121"/>
  <c r="L5" i="121"/>
  <c r="L15" i="121" s="1"/>
  <c r="D13" i="120" s="1"/>
  <c r="AG50" i="121"/>
  <c r="O39" i="3"/>
  <c r="H22" i="2"/>
  <c r="P58" i="3"/>
  <c r="D22" i="68"/>
  <c r="P7" i="69"/>
  <c r="P15" i="69"/>
  <c r="AF17" i="69"/>
  <c r="L69" i="69"/>
  <c r="I13" i="68" s="1"/>
  <c r="J6" i="68" s="1"/>
  <c r="P38" i="71"/>
  <c r="L38" i="71"/>
  <c r="L48" i="71" s="1"/>
  <c r="G13" i="70" s="1"/>
  <c r="AG50" i="71"/>
  <c r="O59" i="71"/>
  <c r="R49" i="73"/>
  <c r="Q49" i="73"/>
  <c r="AF28" i="75"/>
  <c r="AG28" i="75"/>
  <c r="O30" i="75"/>
  <c r="Q16" i="77"/>
  <c r="N26" i="77"/>
  <c r="AF28" i="77"/>
  <c r="AG8" i="79"/>
  <c r="L50" i="79"/>
  <c r="L58" i="79" s="1"/>
  <c r="H13" i="78" s="1"/>
  <c r="AF51" i="79"/>
  <c r="J58" i="79"/>
  <c r="P58" i="79" s="1"/>
  <c r="K37" i="81"/>
  <c r="O18" i="87"/>
  <c r="AG18" i="87"/>
  <c r="AF18" i="87"/>
  <c r="R38" i="87"/>
  <c r="Q38" i="87"/>
  <c r="L61" i="87"/>
  <c r="R61" i="87" s="1"/>
  <c r="R29" i="89"/>
  <c r="Q29" i="89"/>
  <c r="AF15" i="91"/>
  <c r="AG15" i="91"/>
  <c r="AH5" i="91" s="1"/>
  <c r="P60" i="95"/>
  <c r="J69" i="95"/>
  <c r="P69" i="95" s="1"/>
  <c r="R8" i="129"/>
  <c r="Q8" i="129"/>
  <c r="AG60" i="101"/>
  <c r="O60" i="101"/>
  <c r="N69" i="101"/>
  <c r="O62" i="103"/>
  <c r="AG62" i="103"/>
  <c r="AF62" i="103"/>
  <c r="R40" i="105"/>
  <c r="Q40" i="105"/>
  <c r="Q29" i="113"/>
  <c r="R29" i="113"/>
  <c r="R53" i="121"/>
  <c r="AF59" i="121"/>
  <c r="O59" i="121"/>
  <c r="AG5" i="3"/>
  <c r="AG49" i="3"/>
  <c r="N58" i="3"/>
  <c r="R60" i="3"/>
  <c r="Q60" i="3"/>
  <c r="K15" i="69"/>
  <c r="AG8" i="69"/>
  <c r="N26" i="69"/>
  <c r="O16" i="69"/>
  <c r="AF16" i="69"/>
  <c r="AG17" i="69"/>
  <c r="AF62" i="69"/>
  <c r="L70" i="69"/>
  <c r="L79" i="69" s="1"/>
  <c r="J13" i="68" s="1"/>
  <c r="F22" i="70"/>
  <c r="P37" i="71"/>
  <c r="AF60" i="71"/>
  <c r="L70" i="71"/>
  <c r="O79" i="71"/>
  <c r="L7" i="73"/>
  <c r="AG62" i="73"/>
  <c r="O28" i="75"/>
  <c r="P49" i="75"/>
  <c r="J58" i="75"/>
  <c r="R19" i="77"/>
  <c r="Q19" i="77"/>
  <c r="O19" i="79"/>
  <c r="AF19" i="79"/>
  <c r="AG19" i="79"/>
  <c r="AG51" i="79"/>
  <c r="J26" i="81"/>
  <c r="N58" i="83"/>
  <c r="AG49" i="83"/>
  <c r="AF49" i="83"/>
  <c r="O49" i="83"/>
  <c r="R20" i="87"/>
  <c r="AG6" i="89"/>
  <c r="AF29" i="89"/>
  <c r="R39" i="93"/>
  <c r="Q39" i="93"/>
  <c r="R54" i="129"/>
  <c r="Q54" i="129"/>
  <c r="AF27" i="131"/>
  <c r="O27" i="131"/>
  <c r="N37" i="131"/>
  <c r="L17" i="105"/>
  <c r="L26" i="105" s="1"/>
  <c r="E13" i="104" s="1"/>
  <c r="K26" i="105"/>
  <c r="AD2" i="107"/>
  <c r="N6" i="106" s="1"/>
  <c r="R7" i="107"/>
  <c r="Q7" i="107"/>
  <c r="O15" i="107"/>
  <c r="R51" i="107"/>
  <c r="Q51" i="107"/>
  <c r="Q63" i="109"/>
  <c r="R63" i="109"/>
  <c r="Q60" i="113"/>
  <c r="K79" i="115"/>
  <c r="L70" i="115"/>
  <c r="AG70" i="115"/>
  <c r="AF16" i="3"/>
  <c r="O30" i="69"/>
  <c r="AG30" i="69"/>
  <c r="AF30" i="69"/>
  <c r="L50" i="69"/>
  <c r="R7" i="71"/>
  <c r="J48" i="121"/>
  <c r="P48" i="121" s="1"/>
  <c r="P38" i="121"/>
  <c r="L38" i="121"/>
  <c r="L48" i="121" s="1"/>
  <c r="G13" i="120" s="1"/>
  <c r="AG53" i="121"/>
  <c r="AG59" i="121"/>
  <c r="AG16" i="3"/>
  <c r="AG26" i="3"/>
  <c r="AH16" i="3" s="1"/>
  <c r="AF39" i="3"/>
  <c r="AG61" i="3"/>
  <c r="J22" i="68"/>
  <c r="AG16" i="69"/>
  <c r="P38" i="69"/>
  <c r="R50" i="69"/>
  <c r="Q50" i="69"/>
  <c r="L28" i="71"/>
  <c r="L51" i="71"/>
  <c r="Q51" i="71" s="1"/>
  <c r="AF59" i="71"/>
  <c r="R6" i="75"/>
  <c r="Q6" i="75"/>
  <c r="AF49" i="75"/>
  <c r="AG49" i="75"/>
  <c r="AD2" i="77"/>
  <c r="N6" i="76" s="1"/>
  <c r="D20" i="76"/>
  <c r="AG19" i="77"/>
  <c r="AG39" i="77"/>
  <c r="AF39" i="77"/>
  <c r="AG50" i="77"/>
  <c r="AF62" i="77"/>
  <c r="AG62" i="77"/>
  <c r="O28" i="79"/>
  <c r="AG28" i="79"/>
  <c r="AF28" i="79"/>
  <c r="Q40" i="79"/>
  <c r="R40" i="79"/>
  <c r="H22" i="78"/>
  <c r="Q59" i="79"/>
  <c r="O69" i="79"/>
  <c r="Q20" i="81"/>
  <c r="R20" i="81"/>
  <c r="Q30" i="81"/>
  <c r="Q31" i="81"/>
  <c r="I1" i="83"/>
  <c r="AG7" i="83"/>
  <c r="AF7" i="83"/>
  <c r="AG39" i="83"/>
  <c r="AF39" i="83"/>
  <c r="O39" i="83"/>
  <c r="AF62" i="83"/>
  <c r="AG62" i="83"/>
  <c r="AG28" i="85"/>
  <c r="AF28" i="85"/>
  <c r="P19" i="87"/>
  <c r="J26" i="87"/>
  <c r="P26" i="87" s="1"/>
  <c r="F22" i="86"/>
  <c r="Q63" i="87"/>
  <c r="R63" i="87"/>
  <c r="AF28" i="89"/>
  <c r="AG28" i="89"/>
  <c r="K37" i="89"/>
  <c r="O38" i="89"/>
  <c r="N48" i="89"/>
  <c r="AG38" i="89"/>
  <c r="AF38" i="89"/>
  <c r="AG51" i="91"/>
  <c r="AF51" i="91"/>
  <c r="O51" i="91"/>
  <c r="AF6" i="93"/>
  <c r="AG6" i="93"/>
  <c r="O9" i="93"/>
  <c r="AG9" i="93"/>
  <c r="AF9" i="93"/>
  <c r="R16" i="93"/>
  <c r="Q16" i="93"/>
  <c r="P7" i="129"/>
  <c r="AF49" i="129"/>
  <c r="O49" i="129"/>
  <c r="O29" i="131"/>
  <c r="AF29" i="131"/>
  <c r="AG29" i="131"/>
  <c r="AE2" i="101"/>
  <c r="O6" i="100" s="1"/>
  <c r="D21" i="100"/>
  <c r="P29" i="101"/>
  <c r="J37" i="101"/>
  <c r="AG31" i="101"/>
  <c r="D18" i="104"/>
  <c r="Z2" i="105"/>
  <c r="L6" i="104" s="1"/>
  <c r="O51" i="105"/>
  <c r="AG51" i="105"/>
  <c r="AF51" i="105"/>
  <c r="AF30" i="107"/>
  <c r="O30" i="107"/>
  <c r="L62" i="109"/>
  <c r="L69" i="109" s="1"/>
  <c r="I13" i="108" s="1"/>
  <c r="J6" i="108" s="1"/>
  <c r="J48" i="111"/>
  <c r="P48" i="111" s="1"/>
  <c r="P38" i="111"/>
  <c r="AG39" i="111"/>
  <c r="AF39" i="111"/>
  <c r="AF16" i="113"/>
  <c r="N26" i="113"/>
  <c r="O16" i="113"/>
  <c r="AG16" i="113"/>
  <c r="Q50" i="123"/>
  <c r="AF6" i="121"/>
  <c r="O27" i="121"/>
  <c r="F22" i="120"/>
  <c r="P37" i="121"/>
  <c r="L61" i="121"/>
  <c r="Q61" i="121" s="1"/>
  <c r="L28" i="3"/>
  <c r="N48" i="3"/>
  <c r="AF60" i="3"/>
  <c r="K37" i="69"/>
  <c r="N37" i="69"/>
  <c r="Q38" i="69"/>
  <c r="O48" i="69"/>
  <c r="AF51" i="69"/>
  <c r="J58" i="69"/>
  <c r="P58" i="69" s="1"/>
  <c r="AF61" i="69"/>
  <c r="P69" i="69"/>
  <c r="D19" i="70"/>
  <c r="AA2" i="71"/>
  <c r="M6" i="70" s="1"/>
  <c r="AG29" i="71"/>
  <c r="AG38" i="71"/>
  <c r="AG49" i="71"/>
  <c r="AG70" i="71"/>
  <c r="L59" i="73"/>
  <c r="L69" i="73" s="1"/>
  <c r="I13" i="72" s="1"/>
  <c r="J6" i="72" s="1"/>
  <c r="J69" i="73"/>
  <c r="P69" i="73" s="1"/>
  <c r="AE2" i="75"/>
  <c r="O6" i="74" s="1"/>
  <c r="AG17" i="75"/>
  <c r="O17" i="75"/>
  <c r="N26" i="75"/>
  <c r="O49" i="75"/>
  <c r="K15" i="77"/>
  <c r="AF7" i="77"/>
  <c r="AE2" i="77"/>
  <c r="O6" i="76" s="1"/>
  <c r="R18" i="77"/>
  <c r="Q18" i="77"/>
  <c r="R30" i="77"/>
  <c r="J48" i="77"/>
  <c r="P48" i="77" s="1"/>
  <c r="P38" i="77"/>
  <c r="O39" i="77"/>
  <c r="AG40" i="77"/>
  <c r="AF40" i="77"/>
  <c r="O62" i="77"/>
  <c r="D22" i="80"/>
  <c r="I1" i="81"/>
  <c r="R60" i="81"/>
  <c r="Q60" i="81"/>
  <c r="O7" i="83"/>
  <c r="AE2" i="83"/>
  <c r="O6" i="82" s="1"/>
  <c r="G18" i="82"/>
  <c r="Z2" i="83"/>
  <c r="L6" i="82" s="1"/>
  <c r="L62" i="83"/>
  <c r="O28" i="85"/>
  <c r="L32" i="85"/>
  <c r="N37" i="85"/>
  <c r="Q41" i="85"/>
  <c r="Q70" i="85"/>
  <c r="R70" i="85"/>
  <c r="E22" i="86"/>
  <c r="O15" i="87"/>
  <c r="K26" i="87"/>
  <c r="L19" i="87"/>
  <c r="AG61" i="87"/>
  <c r="L28" i="89"/>
  <c r="L37" i="89" s="1"/>
  <c r="F13" i="88" s="1"/>
  <c r="AG51" i="89"/>
  <c r="O51" i="89"/>
  <c r="N79" i="89"/>
  <c r="O70" i="89"/>
  <c r="AG70" i="89"/>
  <c r="AF70" i="89"/>
  <c r="K37" i="91"/>
  <c r="O6" i="93"/>
  <c r="J26" i="95"/>
  <c r="P26" i="95" s="1"/>
  <c r="P16" i="95"/>
  <c r="R32" i="95"/>
  <c r="Q32" i="95"/>
  <c r="P48" i="95"/>
  <c r="O18" i="129"/>
  <c r="AG18" i="129"/>
  <c r="AF18" i="129"/>
  <c r="AG49" i="129"/>
  <c r="L51" i="129"/>
  <c r="AG18" i="131"/>
  <c r="O18" i="131"/>
  <c r="Z2" i="131"/>
  <c r="L6" i="130" s="1"/>
  <c r="E18" i="130"/>
  <c r="AG17" i="101"/>
  <c r="Q59" i="101"/>
  <c r="R59" i="101"/>
  <c r="AG29" i="105"/>
  <c r="AF29" i="105"/>
  <c r="R71" i="105"/>
  <c r="Q71" i="105"/>
  <c r="L29" i="107"/>
  <c r="Q29" i="107" s="1"/>
  <c r="AG30" i="107"/>
  <c r="O38" i="107"/>
  <c r="AG38" i="107"/>
  <c r="N48" i="107"/>
  <c r="AF38" i="107"/>
  <c r="R59" i="109"/>
  <c r="Q59" i="109"/>
  <c r="O62" i="109"/>
  <c r="AG62" i="109"/>
  <c r="AF62" i="109"/>
  <c r="L38" i="111"/>
  <c r="L48" i="111" s="1"/>
  <c r="G13" i="110" s="1"/>
  <c r="K48" i="111"/>
  <c r="Q48" i="111" s="1"/>
  <c r="O6" i="113"/>
  <c r="AG6" i="113"/>
  <c r="R27" i="115"/>
  <c r="Q27" i="115"/>
  <c r="AF28" i="115"/>
  <c r="O28" i="115"/>
  <c r="AG28" i="115"/>
  <c r="D21" i="128"/>
  <c r="AE2" i="129"/>
  <c r="O6" i="128" s="1"/>
  <c r="AG40" i="129"/>
  <c r="AF40" i="129"/>
  <c r="P54" i="129"/>
  <c r="AA2" i="131"/>
  <c r="M6" i="130" s="1"/>
  <c r="E19" i="130"/>
  <c r="J37" i="131"/>
  <c r="P37" i="131" s="1"/>
  <c r="P28" i="131"/>
  <c r="R8" i="101"/>
  <c r="Q8" i="101"/>
  <c r="L6" i="103"/>
  <c r="R6" i="103" s="1"/>
  <c r="K15" i="103"/>
  <c r="AG6" i="103"/>
  <c r="AF6" i="103"/>
  <c r="H19" i="102"/>
  <c r="AA2" i="103"/>
  <c r="M6" i="102" s="1"/>
  <c r="R29" i="105"/>
  <c r="Q29" i="105"/>
  <c r="AF38" i="111"/>
  <c r="O38" i="111"/>
  <c r="AG38" i="111"/>
  <c r="O29" i="117"/>
  <c r="AG29" i="117"/>
  <c r="AF29" i="117"/>
  <c r="O6" i="3"/>
  <c r="O15" i="3" s="1"/>
  <c r="AG6" i="3"/>
  <c r="J37" i="3"/>
  <c r="P37" i="3" s="1"/>
  <c r="P27" i="3"/>
  <c r="O5" i="69"/>
  <c r="AG5" i="69"/>
  <c r="AF5" i="69"/>
  <c r="P30" i="71"/>
  <c r="L30" i="71"/>
  <c r="O15" i="77"/>
  <c r="R51" i="79"/>
  <c r="Q51" i="79"/>
  <c r="D18" i="80"/>
  <c r="Z2" i="81"/>
  <c r="L6" i="80" s="1"/>
  <c r="AG39" i="81"/>
  <c r="AF39" i="81"/>
  <c r="O39" i="81"/>
  <c r="AG27" i="83"/>
  <c r="AF27" i="83"/>
  <c r="N37" i="83"/>
  <c r="L51" i="87"/>
  <c r="AG51" i="87"/>
  <c r="AF51" i="87"/>
  <c r="O60" i="87"/>
  <c r="AG60" i="87"/>
  <c r="AF60" i="87"/>
  <c r="R5" i="91"/>
  <c r="AG59" i="93"/>
  <c r="AF59" i="93"/>
  <c r="N69" i="93"/>
  <c r="AF5" i="95"/>
  <c r="AG5" i="95"/>
  <c r="N15" i="95"/>
  <c r="N48" i="103"/>
  <c r="O38" i="103"/>
  <c r="AG38" i="103"/>
  <c r="AF38" i="103"/>
  <c r="L60" i="105"/>
  <c r="P60" i="105"/>
  <c r="J69" i="105"/>
  <c r="P69" i="105" s="1"/>
  <c r="Q6" i="119"/>
  <c r="R6" i="119"/>
  <c r="O15" i="119"/>
  <c r="D22" i="120"/>
  <c r="I1" i="121"/>
  <c r="AF38" i="121"/>
  <c r="L5" i="3"/>
  <c r="L27" i="3"/>
  <c r="L37" i="3" s="1"/>
  <c r="F13" i="2" s="1"/>
  <c r="K37" i="3"/>
  <c r="I19" i="72"/>
  <c r="AA2" i="73"/>
  <c r="M6" i="72" s="1"/>
  <c r="P70" i="75"/>
  <c r="J79" i="75"/>
  <c r="P79" i="75" s="1"/>
  <c r="O28" i="77"/>
  <c r="J69" i="77"/>
  <c r="P69" i="77" s="1"/>
  <c r="P60" i="77"/>
  <c r="N37" i="79"/>
  <c r="AG27" i="79"/>
  <c r="AF27" i="79"/>
  <c r="O27" i="79"/>
  <c r="G1" i="81"/>
  <c r="AF61" i="83"/>
  <c r="L30" i="87"/>
  <c r="G1" i="89"/>
  <c r="L61" i="89"/>
  <c r="AG61" i="89"/>
  <c r="Q5" i="91"/>
  <c r="Q40" i="129"/>
  <c r="R71" i="131"/>
  <c r="Q71" i="131"/>
  <c r="O16" i="101"/>
  <c r="AF16" i="101"/>
  <c r="AG16" i="101"/>
  <c r="O61" i="101"/>
  <c r="AG61" i="101"/>
  <c r="AF61" i="101"/>
  <c r="AG5" i="105"/>
  <c r="AF8" i="107"/>
  <c r="AG8" i="107"/>
  <c r="Q62" i="107"/>
  <c r="R62" i="107"/>
  <c r="AG18" i="109"/>
  <c r="AF18" i="109"/>
  <c r="O18" i="109"/>
  <c r="O37" i="109"/>
  <c r="R27" i="109"/>
  <c r="Q27" i="109"/>
  <c r="O49" i="113"/>
  <c r="AG49" i="113"/>
  <c r="AF49" i="113"/>
  <c r="N58" i="113"/>
  <c r="E22" i="116"/>
  <c r="I1" i="117"/>
  <c r="N15" i="121"/>
  <c r="AG38" i="121"/>
  <c r="AF70" i="3"/>
  <c r="O8" i="69"/>
  <c r="AF18" i="69"/>
  <c r="O27" i="69"/>
  <c r="AG9" i="71"/>
  <c r="AF9" i="71"/>
  <c r="AF61" i="71"/>
  <c r="K79" i="75"/>
  <c r="L70" i="75"/>
  <c r="L79" i="75" s="1"/>
  <c r="J13" i="74" s="1"/>
  <c r="Q5" i="77"/>
  <c r="L60" i="77"/>
  <c r="Q60" i="77" s="1"/>
  <c r="L5" i="79"/>
  <c r="L15" i="79" s="1"/>
  <c r="D13" i="78" s="1"/>
  <c r="L18" i="81"/>
  <c r="R18" i="81" s="1"/>
  <c r="O28" i="81"/>
  <c r="Q6" i="83"/>
  <c r="Z2" i="87"/>
  <c r="L6" i="86" s="1"/>
  <c r="D18" i="86"/>
  <c r="AF28" i="91"/>
  <c r="Q71" i="91"/>
  <c r="H16" i="129"/>
  <c r="R32" i="101"/>
  <c r="Q32" i="101"/>
  <c r="Q37" i="103"/>
  <c r="AG37" i="103"/>
  <c r="AH27" i="103" s="1"/>
  <c r="AF37" i="103"/>
  <c r="O8" i="107"/>
  <c r="O52" i="111"/>
  <c r="AG52" i="111"/>
  <c r="AF52" i="111"/>
  <c r="Q17" i="121"/>
  <c r="R17" i="121"/>
  <c r="N15" i="3"/>
  <c r="Q16" i="3"/>
  <c r="O18" i="3"/>
  <c r="AF27" i="3"/>
  <c r="AG7" i="69"/>
  <c r="AF7" i="69"/>
  <c r="N15" i="69"/>
  <c r="L69" i="71"/>
  <c r="I13" i="70" s="1"/>
  <c r="AG61" i="71"/>
  <c r="O9" i="73"/>
  <c r="AG30" i="73"/>
  <c r="O30" i="73"/>
  <c r="AF30" i="73"/>
  <c r="N15" i="75"/>
  <c r="AG5" i="75"/>
  <c r="AF5" i="75"/>
  <c r="O5" i="75"/>
  <c r="AF70" i="75"/>
  <c r="AF17" i="77"/>
  <c r="AG5" i="79"/>
  <c r="L29" i="79"/>
  <c r="L37" i="79" s="1"/>
  <c r="F13" i="78" s="1"/>
  <c r="O38" i="79"/>
  <c r="O5" i="83"/>
  <c r="N15" i="83"/>
  <c r="AF5" i="83"/>
  <c r="AG5" i="83"/>
  <c r="L63" i="83"/>
  <c r="Q31" i="85"/>
  <c r="O39" i="85"/>
  <c r="K79" i="87"/>
  <c r="AF70" i="87"/>
  <c r="Q18" i="89"/>
  <c r="L79" i="91"/>
  <c r="J13" i="90" s="1"/>
  <c r="R70" i="91"/>
  <c r="L61" i="95"/>
  <c r="O70" i="95"/>
  <c r="AF60" i="129"/>
  <c r="N69" i="129"/>
  <c r="AG60" i="129"/>
  <c r="O60" i="129"/>
  <c r="P69" i="129"/>
  <c r="I22" i="128"/>
  <c r="R72" i="129"/>
  <c r="Q72" i="129"/>
  <c r="Q79" i="129"/>
  <c r="AG79" i="129"/>
  <c r="AH70" i="129" s="1"/>
  <c r="J15" i="101"/>
  <c r="P15" i="101" s="1"/>
  <c r="L70" i="101"/>
  <c r="L79" i="101" s="1"/>
  <c r="J13" i="100" s="1"/>
  <c r="J15" i="107"/>
  <c r="P7" i="107"/>
  <c r="AG52" i="107"/>
  <c r="AG29" i="109"/>
  <c r="K37" i="109"/>
  <c r="Q6" i="121"/>
  <c r="O16" i="121"/>
  <c r="L52" i="121"/>
  <c r="R52" i="121" s="1"/>
  <c r="AG27" i="3"/>
  <c r="Q40" i="3"/>
  <c r="R40" i="3"/>
  <c r="AF18" i="71"/>
  <c r="AG27" i="71"/>
  <c r="AF30" i="71"/>
  <c r="K37" i="71"/>
  <c r="AF50" i="71"/>
  <c r="E20" i="74"/>
  <c r="AG29" i="75"/>
  <c r="AF29" i="75"/>
  <c r="P69" i="75"/>
  <c r="AG17" i="77"/>
  <c r="AF8" i="79"/>
  <c r="AG29" i="79"/>
  <c r="AF29" i="79"/>
  <c r="O30" i="79"/>
  <c r="AF61" i="79"/>
  <c r="AG61" i="79"/>
  <c r="L40" i="81"/>
  <c r="AG6" i="85"/>
  <c r="AF6" i="85"/>
  <c r="R72" i="85"/>
  <c r="L70" i="87"/>
  <c r="L79" i="87" s="1"/>
  <c r="J13" i="86" s="1"/>
  <c r="L60" i="89"/>
  <c r="N26" i="91"/>
  <c r="O16" i="91"/>
  <c r="AF16" i="91"/>
  <c r="AG17" i="95"/>
  <c r="L17" i="95"/>
  <c r="R17" i="95" s="1"/>
  <c r="AF17" i="95"/>
  <c r="N37" i="95"/>
  <c r="O27" i="95"/>
  <c r="AG27" i="95"/>
  <c r="AF27" i="95"/>
  <c r="I22" i="94"/>
  <c r="L6" i="101"/>
  <c r="R17" i="109"/>
  <c r="Q17" i="109"/>
  <c r="Z2" i="109"/>
  <c r="L6" i="108" s="1"/>
  <c r="E18" i="108"/>
  <c r="L29" i="109"/>
  <c r="Q29" i="109" s="1"/>
  <c r="AF48" i="111"/>
  <c r="AG48" i="111"/>
  <c r="AH38" i="111" s="1"/>
  <c r="J18" i="112"/>
  <c r="AA2" i="113"/>
  <c r="M6" i="112" s="1"/>
  <c r="L59" i="121"/>
  <c r="AF5" i="3"/>
  <c r="O38" i="3"/>
  <c r="AF40" i="3"/>
  <c r="AF49" i="3"/>
  <c r="AG39" i="69"/>
  <c r="AF39" i="69"/>
  <c r="AG18" i="71"/>
  <c r="R29" i="71"/>
  <c r="AF40" i="71"/>
  <c r="Q79" i="71"/>
  <c r="AG79" i="71"/>
  <c r="AH70" i="71" s="1"/>
  <c r="AF79" i="71"/>
  <c r="J26" i="73"/>
  <c r="AG61" i="73"/>
  <c r="AF61" i="73"/>
  <c r="O61" i="73"/>
  <c r="AG50" i="75"/>
  <c r="AF50" i="75"/>
  <c r="O50" i="75"/>
  <c r="AG70" i="75"/>
  <c r="O29" i="79"/>
  <c r="P70" i="79"/>
  <c r="J79" i="79"/>
  <c r="P79" i="79" s="1"/>
  <c r="O8" i="81"/>
  <c r="P38" i="81"/>
  <c r="L28" i="83"/>
  <c r="R28" i="83" s="1"/>
  <c r="AG28" i="83"/>
  <c r="AF28" i="83"/>
  <c r="O40" i="83"/>
  <c r="AF6" i="89"/>
  <c r="L59" i="91"/>
  <c r="AF59" i="91"/>
  <c r="AG39" i="93"/>
  <c r="L39" i="93"/>
  <c r="AF39" i="93"/>
  <c r="O61" i="95"/>
  <c r="AG61" i="95"/>
  <c r="AF61" i="95"/>
  <c r="O30" i="131"/>
  <c r="AG30" i="131"/>
  <c r="AG6" i="101"/>
  <c r="AF6" i="101"/>
  <c r="O6" i="101"/>
  <c r="N26" i="101"/>
  <c r="J26" i="105"/>
  <c r="P26" i="105" s="1"/>
  <c r="P17" i="105"/>
  <c r="R39" i="111"/>
  <c r="N58" i="111"/>
  <c r="R63" i="113"/>
  <c r="Q63" i="113"/>
  <c r="R51" i="127"/>
  <c r="Q51" i="127"/>
  <c r="Q63" i="121"/>
  <c r="Q79" i="121"/>
  <c r="AF6" i="3"/>
  <c r="L19" i="69"/>
  <c r="R19" i="69" s="1"/>
  <c r="L38" i="69"/>
  <c r="L48" i="69" s="1"/>
  <c r="G13" i="68" s="1"/>
  <c r="K48" i="69"/>
  <c r="Q48" i="69" s="1"/>
  <c r="O39" i="69"/>
  <c r="N48" i="71"/>
  <c r="J15" i="75"/>
  <c r="P15" i="75" s="1"/>
  <c r="P6" i="75"/>
  <c r="N48" i="75"/>
  <c r="O38" i="75"/>
  <c r="R50" i="77"/>
  <c r="Q50" i="77"/>
  <c r="K37" i="79"/>
  <c r="K58" i="79"/>
  <c r="L70" i="79"/>
  <c r="L79" i="79" s="1"/>
  <c r="J13" i="78" s="1"/>
  <c r="AG50" i="81"/>
  <c r="AF50" i="81"/>
  <c r="O50" i="81"/>
  <c r="AA2" i="85"/>
  <c r="M6" i="84" s="1"/>
  <c r="G1" i="87"/>
  <c r="K37" i="87"/>
  <c r="I22" i="86"/>
  <c r="R7" i="91"/>
  <c r="O60" i="91"/>
  <c r="AG60" i="91"/>
  <c r="P71" i="129"/>
  <c r="L71" i="129"/>
  <c r="J15" i="131"/>
  <c r="P15" i="131" s="1"/>
  <c r="P6" i="131"/>
  <c r="AF30" i="131"/>
  <c r="AF60" i="101"/>
  <c r="Q16" i="103"/>
  <c r="R16" i="103"/>
  <c r="O29" i="103"/>
  <c r="AG29" i="103"/>
  <c r="N48" i="105"/>
  <c r="AG38" i="105"/>
  <c r="AF38" i="105"/>
  <c r="O38" i="105"/>
  <c r="Q39" i="111"/>
  <c r="O70" i="111"/>
  <c r="N79" i="111"/>
  <c r="AG70" i="111"/>
  <c r="AF70" i="111"/>
  <c r="K48" i="123"/>
  <c r="L39" i="123"/>
  <c r="AG39" i="123"/>
  <c r="AF53" i="121"/>
  <c r="AE2" i="3"/>
  <c r="O6" i="2" s="1"/>
  <c r="AF59" i="3"/>
  <c r="N69" i="3"/>
  <c r="AF61" i="3"/>
  <c r="L5" i="69"/>
  <c r="L15" i="69" s="1"/>
  <c r="D13" i="68" s="1"/>
  <c r="AF7" i="121"/>
  <c r="AG28" i="121"/>
  <c r="AF28" i="121"/>
  <c r="O39" i="121"/>
  <c r="N69" i="121"/>
  <c r="L70" i="121"/>
  <c r="P48" i="3"/>
  <c r="R51" i="69"/>
  <c r="Q51" i="69"/>
  <c r="Q61" i="69"/>
  <c r="O69" i="69"/>
  <c r="P70" i="69"/>
  <c r="O37" i="71"/>
  <c r="AF38" i="71"/>
  <c r="AG39" i="71"/>
  <c r="AF49" i="71"/>
  <c r="AF70" i="71"/>
  <c r="AF5" i="121"/>
  <c r="N37" i="121"/>
  <c r="AG52" i="121"/>
  <c r="P69" i="121"/>
  <c r="D22" i="2"/>
  <c r="R29" i="3"/>
  <c r="L51" i="3"/>
  <c r="Q51" i="3" s="1"/>
  <c r="P69" i="3"/>
  <c r="AG29" i="69"/>
  <c r="AF29" i="69"/>
  <c r="AG51" i="69"/>
  <c r="K58" i="69"/>
  <c r="AG61" i="69"/>
  <c r="I1" i="71"/>
  <c r="AD2" i="71"/>
  <c r="N6" i="70" s="1"/>
  <c r="D20" i="70"/>
  <c r="Q19" i="71"/>
  <c r="AG28" i="71"/>
  <c r="AF28" i="71"/>
  <c r="O28" i="71"/>
  <c r="AG6" i="73"/>
  <c r="AF6" i="73"/>
  <c r="AD2" i="73"/>
  <c r="N6" i="72" s="1"/>
  <c r="D20" i="72"/>
  <c r="L18" i="73"/>
  <c r="AF48" i="73"/>
  <c r="H22" i="72"/>
  <c r="P58" i="73"/>
  <c r="G1" i="75"/>
  <c r="O27" i="75"/>
  <c r="N37" i="75"/>
  <c r="AF58" i="75"/>
  <c r="R71" i="75"/>
  <c r="Q71" i="75"/>
  <c r="L15" i="77"/>
  <c r="D13" i="76" s="1"/>
  <c r="AG7" i="77"/>
  <c r="K48" i="77"/>
  <c r="L61" i="77"/>
  <c r="R61" i="77" s="1"/>
  <c r="AG61" i="77"/>
  <c r="AF61" i="77"/>
  <c r="AG6" i="79"/>
  <c r="AF6" i="79"/>
  <c r="AF16" i="79"/>
  <c r="N26" i="79"/>
  <c r="AG16" i="79"/>
  <c r="O16" i="79"/>
  <c r="L18" i="79"/>
  <c r="L26" i="79" s="1"/>
  <c r="E13" i="78" s="1"/>
  <c r="R59" i="79"/>
  <c r="N15" i="81"/>
  <c r="Q29" i="81"/>
  <c r="AF49" i="81"/>
  <c r="Q8" i="83"/>
  <c r="R30" i="83"/>
  <c r="Q30" i="83"/>
  <c r="AA2" i="83"/>
  <c r="M6" i="82" s="1"/>
  <c r="G19" i="82"/>
  <c r="R50" i="83"/>
  <c r="Q50" i="83"/>
  <c r="G22" i="84"/>
  <c r="I1" i="85"/>
  <c r="P48" i="85"/>
  <c r="P70" i="85"/>
  <c r="D22" i="86"/>
  <c r="I1" i="87"/>
  <c r="L26" i="87"/>
  <c r="E13" i="86" s="1"/>
  <c r="P39" i="87"/>
  <c r="J48" i="87"/>
  <c r="E21" i="88"/>
  <c r="AE2" i="89"/>
  <c r="O6" i="88" s="1"/>
  <c r="R28" i="89"/>
  <c r="Q28" i="89"/>
  <c r="Q69" i="89"/>
  <c r="AG69" i="89"/>
  <c r="AH59" i="89" s="1"/>
  <c r="AF69" i="89"/>
  <c r="Q71" i="89"/>
  <c r="AG29" i="91"/>
  <c r="AG5" i="121"/>
  <c r="AG51" i="121"/>
  <c r="O51" i="121"/>
  <c r="AF62" i="121"/>
  <c r="R70" i="121"/>
  <c r="Q70" i="121"/>
  <c r="J15" i="3"/>
  <c r="P15" i="3" s="1"/>
  <c r="AF29" i="3"/>
  <c r="AF50" i="3"/>
  <c r="AG50" i="3"/>
  <c r="AF51" i="3"/>
  <c r="AG51" i="3"/>
  <c r="AG59" i="3"/>
  <c r="AG19" i="69"/>
  <c r="J37" i="69"/>
  <c r="AG28" i="69"/>
  <c r="AF28" i="69"/>
  <c r="O29" i="69"/>
  <c r="P37" i="69"/>
  <c r="AF50" i="69"/>
  <c r="Q59" i="69"/>
  <c r="R60" i="69"/>
  <c r="Q60" i="69"/>
  <c r="J26" i="71"/>
  <c r="L61" i="71"/>
  <c r="R61" i="71" s="1"/>
  <c r="J15" i="73"/>
  <c r="P15" i="73" s="1"/>
  <c r="P5" i="73"/>
  <c r="O6" i="73"/>
  <c r="AE2" i="73"/>
  <c r="O6" i="72" s="1"/>
  <c r="AF18" i="73"/>
  <c r="L28" i="73"/>
  <c r="L37" i="73" s="1"/>
  <c r="F13" i="72" s="1"/>
  <c r="AG28" i="73"/>
  <c r="AF28" i="73"/>
  <c r="AG29" i="73"/>
  <c r="AG38" i="73"/>
  <c r="AF38" i="73"/>
  <c r="O38" i="73"/>
  <c r="J48" i="73"/>
  <c r="P48" i="73" s="1"/>
  <c r="AG48" i="73"/>
  <c r="AH38" i="73" s="1"/>
  <c r="AF58" i="73"/>
  <c r="R63" i="73"/>
  <c r="Q63" i="73"/>
  <c r="AF6" i="75"/>
  <c r="J26" i="75"/>
  <c r="P26" i="75" s="1"/>
  <c r="P16" i="75"/>
  <c r="AF27" i="75"/>
  <c r="L51" i="75"/>
  <c r="K69" i="75"/>
  <c r="J22" i="76"/>
  <c r="AF5" i="77"/>
  <c r="N15" i="77"/>
  <c r="AG5" i="77"/>
  <c r="AG18" i="77"/>
  <c r="N37" i="77"/>
  <c r="L38" i="77"/>
  <c r="L48" i="77" s="1"/>
  <c r="G13" i="76" s="1"/>
  <c r="AF49" i="77"/>
  <c r="N69" i="77"/>
  <c r="AG59" i="77"/>
  <c r="AF59" i="77"/>
  <c r="O59" i="77"/>
  <c r="G1" i="79"/>
  <c r="O6" i="79"/>
  <c r="D21" i="78"/>
  <c r="AE2" i="79"/>
  <c r="O6" i="78" s="1"/>
  <c r="Q18" i="79"/>
  <c r="R18" i="79"/>
  <c r="AF39" i="79"/>
  <c r="AG39" i="79"/>
  <c r="AF40" i="79"/>
  <c r="N58" i="79"/>
  <c r="O49" i="79"/>
  <c r="AD2" i="81"/>
  <c r="N6" i="80" s="1"/>
  <c r="K15" i="81"/>
  <c r="L6" i="81"/>
  <c r="L19" i="81"/>
  <c r="AG60" i="81"/>
  <c r="AG6" i="83"/>
  <c r="AF6" i="83"/>
  <c r="L27" i="83"/>
  <c r="R27" i="83" s="1"/>
  <c r="O7" i="85"/>
  <c r="AG7" i="85"/>
  <c r="AG9" i="85"/>
  <c r="O9" i="85"/>
  <c r="AF9" i="85"/>
  <c r="AG26" i="85"/>
  <c r="AH16" i="85" s="1"/>
  <c r="AF26" i="85"/>
  <c r="O27" i="85"/>
  <c r="AG27" i="85"/>
  <c r="AF27" i="85"/>
  <c r="AG41" i="85"/>
  <c r="N48" i="85"/>
  <c r="AG15" i="87"/>
  <c r="AH5" i="87" s="1"/>
  <c r="AF15" i="87"/>
  <c r="AG16" i="87"/>
  <c r="AF16" i="87"/>
  <c r="N26" i="87"/>
  <c r="AF19" i="87"/>
  <c r="Q32" i="87"/>
  <c r="AA2" i="89"/>
  <c r="M6" i="88" s="1"/>
  <c r="AG5" i="91"/>
  <c r="AF5" i="91"/>
  <c r="G1" i="93"/>
  <c r="AG29" i="93"/>
  <c r="AF29" i="93"/>
  <c r="AG50" i="93"/>
  <c r="AF50" i="93"/>
  <c r="O50" i="93"/>
  <c r="L79" i="93"/>
  <c r="J13" i="92" s="1"/>
  <c r="J6" i="92" s="1"/>
  <c r="I1" i="95"/>
  <c r="N79" i="95"/>
  <c r="N6" i="129"/>
  <c r="E1" i="129"/>
  <c r="G3" i="128" s="1"/>
  <c r="R17" i="129"/>
  <c r="Q17" i="129"/>
  <c r="AG27" i="129"/>
  <c r="AG38" i="129"/>
  <c r="AD2" i="131"/>
  <c r="N6" i="130" s="1"/>
  <c r="E20" i="130"/>
  <c r="L28" i="131"/>
  <c r="AG7" i="101"/>
  <c r="AF7" i="101"/>
  <c r="AG52" i="101"/>
  <c r="AF52" i="101"/>
  <c r="O52" i="101"/>
  <c r="O61" i="103"/>
  <c r="AG61" i="103"/>
  <c r="N37" i="105"/>
  <c r="AG28" i="105"/>
  <c r="AF28" i="105"/>
  <c r="R31" i="109"/>
  <c r="Q31" i="109"/>
  <c r="L39" i="109"/>
  <c r="AF39" i="109"/>
  <c r="P58" i="109"/>
  <c r="I1" i="109"/>
  <c r="H22" i="108"/>
  <c r="G1" i="113"/>
  <c r="R17" i="115"/>
  <c r="Q17" i="115"/>
  <c r="R49" i="117"/>
  <c r="O58" i="117"/>
  <c r="Q49" i="117"/>
  <c r="P26" i="79"/>
  <c r="I1" i="79"/>
  <c r="AG19" i="83"/>
  <c r="AF19" i="83"/>
  <c r="O19" i="83"/>
  <c r="J58" i="83"/>
  <c r="P58" i="83" s="1"/>
  <c r="Q32" i="85"/>
  <c r="AG50" i="85"/>
  <c r="AF50" i="85"/>
  <c r="O50" i="85"/>
  <c r="D19" i="86"/>
  <c r="AA2" i="87"/>
  <c r="M6" i="86" s="1"/>
  <c r="L39" i="87"/>
  <c r="R18" i="91"/>
  <c r="Q18" i="91"/>
  <c r="K48" i="91"/>
  <c r="L38" i="91"/>
  <c r="L48" i="91" s="1"/>
  <c r="G13" i="90" s="1"/>
  <c r="H6" i="90" s="1"/>
  <c r="P8" i="93"/>
  <c r="L8" i="93"/>
  <c r="L19" i="93"/>
  <c r="L26" i="93" s="1"/>
  <c r="E13" i="92" s="1"/>
  <c r="P19" i="93"/>
  <c r="AG50" i="129"/>
  <c r="AF50" i="129"/>
  <c r="K37" i="105"/>
  <c r="AF27" i="105"/>
  <c r="AG50" i="105"/>
  <c r="AF50" i="105"/>
  <c r="K15" i="107"/>
  <c r="L28" i="107"/>
  <c r="L37" i="107" s="1"/>
  <c r="F13" i="106" s="1"/>
  <c r="P5" i="109"/>
  <c r="J15" i="109"/>
  <c r="P15" i="109" s="1"/>
  <c r="AF8" i="109"/>
  <c r="O8" i="109"/>
  <c r="AA2" i="109"/>
  <c r="M6" i="108" s="1"/>
  <c r="E19" i="108"/>
  <c r="J48" i="113"/>
  <c r="P38" i="113"/>
  <c r="L72" i="121"/>
  <c r="R72" i="121" s="1"/>
  <c r="AG17" i="73"/>
  <c r="AG50" i="73"/>
  <c r="AF50" i="73"/>
  <c r="O50" i="73"/>
  <c r="O58" i="73" s="1"/>
  <c r="L52" i="81"/>
  <c r="Q52" i="81" s="1"/>
  <c r="R61" i="81"/>
  <c r="Q61" i="81"/>
  <c r="R32" i="85"/>
  <c r="N58" i="85"/>
  <c r="O49" i="85"/>
  <c r="AG49" i="85"/>
  <c r="AF49" i="85"/>
  <c r="Q69" i="85"/>
  <c r="AG69" i="85"/>
  <c r="AH59" i="85" s="1"/>
  <c r="P5" i="87"/>
  <c r="J15" i="87"/>
  <c r="P15" i="87" s="1"/>
  <c r="L5" i="87"/>
  <c r="L15" i="87" s="1"/>
  <c r="D13" i="86" s="1"/>
  <c r="L29" i="87"/>
  <c r="J69" i="89"/>
  <c r="P69" i="89" s="1"/>
  <c r="P59" i="89"/>
  <c r="R60" i="89"/>
  <c r="AF61" i="89"/>
  <c r="L37" i="93"/>
  <c r="F13" i="92" s="1"/>
  <c r="Q61" i="93"/>
  <c r="R61" i="93"/>
  <c r="Q70" i="93"/>
  <c r="O79" i="93"/>
  <c r="R70" i="93"/>
  <c r="AF7" i="95"/>
  <c r="O7" i="95"/>
  <c r="AG7" i="95"/>
  <c r="AG51" i="95"/>
  <c r="O51" i="95"/>
  <c r="AF51" i="95"/>
  <c r="K15" i="131"/>
  <c r="Q32" i="131"/>
  <c r="R32" i="131"/>
  <c r="AF40" i="131"/>
  <c r="O40" i="131"/>
  <c r="R49" i="131"/>
  <c r="O58" i="131"/>
  <c r="Q49" i="131"/>
  <c r="O50" i="105"/>
  <c r="G1" i="107"/>
  <c r="AG18" i="107"/>
  <c r="AF18" i="107"/>
  <c r="P62" i="111"/>
  <c r="L62" i="111"/>
  <c r="Q62" i="111" s="1"/>
  <c r="K48" i="113"/>
  <c r="L38" i="113"/>
  <c r="R50" i="115"/>
  <c r="R53" i="115"/>
  <c r="O60" i="123"/>
  <c r="AF60" i="123"/>
  <c r="AG60" i="123"/>
  <c r="L71" i="121"/>
  <c r="AF38" i="69"/>
  <c r="L62" i="69"/>
  <c r="R62" i="69" s="1"/>
  <c r="O17" i="73"/>
  <c r="L38" i="75"/>
  <c r="R71" i="79"/>
  <c r="K26" i="81"/>
  <c r="AG26" i="81" s="1"/>
  <c r="AH16" i="81" s="1"/>
  <c r="O61" i="83"/>
  <c r="L30" i="85"/>
  <c r="AG40" i="85"/>
  <c r="H22" i="86"/>
  <c r="AF6" i="87"/>
  <c r="O6" i="87"/>
  <c r="AG6" i="87"/>
  <c r="Q60" i="89"/>
  <c r="O17" i="91"/>
  <c r="AG17" i="91"/>
  <c r="AF17" i="91"/>
  <c r="AG31" i="91"/>
  <c r="AD2" i="93"/>
  <c r="N6" i="92" s="1"/>
  <c r="D20" i="92"/>
  <c r="AF27" i="93"/>
  <c r="AG27" i="93"/>
  <c r="N37" i="93"/>
  <c r="AF70" i="93"/>
  <c r="Q16" i="95"/>
  <c r="O19" i="95"/>
  <c r="AG19" i="95"/>
  <c r="AD2" i="129"/>
  <c r="N6" i="128" s="1"/>
  <c r="AF29" i="129"/>
  <c r="O29" i="129"/>
  <c r="AG29" i="129"/>
  <c r="N52" i="129"/>
  <c r="N58" i="129" s="1"/>
  <c r="H52" i="129"/>
  <c r="AG52" i="131"/>
  <c r="O52" i="131"/>
  <c r="AF52" i="131"/>
  <c r="N69" i="131"/>
  <c r="AF60" i="131"/>
  <c r="AG62" i="131"/>
  <c r="AF62" i="131"/>
  <c r="O5" i="101"/>
  <c r="AG5" i="101"/>
  <c r="AF5" i="101"/>
  <c r="N15" i="101"/>
  <c r="AF5" i="103"/>
  <c r="L39" i="103"/>
  <c r="N79" i="105"/>
  <c r="O70" i="105"/>
  <c r="AG70" i="105"/>
  <c r="AF70" i="105"/>
  <c r="O18" i="107"/>
  <c r="Q72" i="107"/>
  <c r="P71" i="109"/>
  <c r="L71" i="109"/>
  <c r="L79" i="109" s="1"/>
  <c r="J13" i="108" s="1"/>
  <c r="J79" i="109"/>
  <c r="L15" i="111"/>
  <c r="D13" i="110" s="1"/>
  <c r="O28" i="111"/>
  <c r="AG28" i="111"/>
  <c r="AF28" i="111"/>
  <c r="AF30" i="111"/>
  <c r="O30" i="111"/>
  <c r="AG30" i="111"/>
  <c r="AG39" i="117"/>
  <c r="AF39" i="117"/>
  <c r="N48" i="117"/>
  <c r="O39" i="117"/>
  <c r="L39" i="119"/>
  <c r="N15" i="125"/>
  <c r="AF5" i="125"/>
  <c r="O5" i="125"/>
  <c r="AG5" i="125"/>
  <c r="P26" i="121"/>
  <c r="O16" i="73"/>
  <c r="AF19" i="73"/>
  <c r="AG51" i="75"/>
  <c r="O70" i="75"/>
  <c r="L17" i="77"/>
  <c r="K79" i="79"/>
  <c r="L17" i="81"/>
  <c r="L26" i="81" s="1"/>
  <c r="E13" i="80" s="1"/>
  <c r="L59" i="81"/>
  <c r="AD2" i="83"/>
  <c r="N6" i="82" s="1"/>
  <c r="P16" i="83"/>
  <c r="J26" i="83"/>
  <c r="P26" i="83" s="1"/>
  <c r="Q18" i="83"/>
  <c r="O38" i="83"/>
  <c r="N48" i="83"/>
  <c r="K58" i="83"/>
  <c r="L18" i="85"/>
  <c r="L26" i="85" s="1"/>
  <c r="E13" i="84" s="1"/>
  <c r="K37" i="85"/>
  <c r="L29" i="85"/>
  <c r="AG61" i="85"/>
  <c r="AF61" i="85"/>
  <c r="L28" i="87"/>
  <c r="L62" i="87"/>
  <c r="AG18" i="89"/>
  <c r="K26" i="89"/>
  <c r="O27" i="89"/>
  <c r="N37" i="89"/>
  <c r="AG27" i="89"/>
  <c r="Q30" i="89"/>
  <c r="R30" i="89"/>
  <c r="L49" i="89"/>
  <c r="L58" i="89" s="1"/>
  <c r="H13" i="88" s="1"/>
  <c r="R50" i="89"/>
  <c r="P37" i="91"/>
  <c r="R19" i="93"/>
  <c r="O27" i="93"/>
  <c r="P31" i="93"/>
  <c r="L31" i="93"/>
  <c r="Q38" i="93"/>
  <c r="R38" i="93"/>
  <c r="AF60" i="93"/>
  <c r="AG60" i="93"/>
  <c r="AG70" i="93"/>
  <c r="R72" i="93"/>
  <c r="R53" i="129"/>
  <c r="J69" i="129"/>
  <c r="L59" i="129"/>
  <c r="AF5" i="131"/>
  <c r="O5" i="131"/>
  <c r="N15" i="131"/>
  <c r="AG5" i="131"/>
  <c r="L8" i="131"/>
  <c r="R8" i="131" s="1"/>
  <c r="AF8" i="131"/>
  <c r="L16" i="131"/>
  <c r="L26" i="131" s="1"/>
  <c r="E13" i="130" s="1"/>
  <c r="Q59" i="131"/>
  <c r="AG60" i="131"/>
  <c r="O62" i="131"/>
  <c r="P38" i="101"/>
  <c r="P69" i="101"/>
  <c r="N79" i="101"/>
  <c r="AG70" i="101"/>
  <c r="AF70" i="101"/>
  <c r="R17" i="103"/>
  <c r="Q17" i="103"/>
  <c r="AG60" i="103"/>
  <c r="N69" i="103"/>
  <c r="AG6" i="105"/>
  <c r="AF6" i="105"/>
  <c r="E22" i="104"/>
  <c r="O69" i="107"/>
  <c r="AG8" i="109"/>
  <c r="K26" i="113"/>
  <c r="AG27" i="113"/>
  <c r="AF27" i="113"/>
  <c r="N37" i="113"/>
  <c r="L40" i="113"/>
  <c r="AF40" i="113"/>
  <c r="E20" i="114"/>
  <c r="AD2" i="115"/>
  <c r="N6" i="114" s="1"/>
  <c r="K69" i="115"/>
  <c r="AG27" i="119"/>
  <c r="N37" i="119"/>
  <c r="AF27" i="119"/>
  <c r="O27" i="119"/>
  <c r="P37" i="127"/>
  <c r="F22" i="126"/>
  <c r="L31" i="85"/>
  <c r="L39" i="129"/>
  <c r="AG39" i="129"/>
  <c r="AG70" i="127"/>
  <c r="AF70" i="127"/>
  <c r="N79" i="127"/>
  <c r="O70" i="127"/>
  <c r="R19" i="81"/>
  <c r="Q19" i="81"/>
  <c r="O40" i="81"/>
  <c r="AF40" i="81"/>
  <c r="AF40" i="85"/>
  <c r="P27" i="89"/>
  <c r="J37" i="89"/>
  <c r="P37" i="89" s="1"/>
  <c r="N15" i="103"/>
  <c r="O5" i="103"/>
  <c r="G21" i="104"/>
  <c r="AE2" i="105"/>
  <c r="O6" i="104" s="1"/>
  <c r="AG16" i="73"/>
  <c r="AF16" i="73"/>
  <c r="O18" i="73"/>
  <c r="O5" i="79"/>
  <c r="AG51" i="81"/>
  <c r="AF51" i="81"/>
  <c r="AF52" i="81"/>
  <c r="AG52" i="81"/>
  <c r="J79" i="121"/>
  <c r="P79" i="121" s="1"/>
  <c r="AG19" i="73"/>
  <c r="L30" i="77"/>
  <c r="Q30" i="77" s="1"/>
  <c r="K58" i="77"/>
  <c r="AA2" i="79"/>
  <c r="M6" i="78" s="1"/>
  <c r="P48" i="79"/>
  <c r="AF6" i="81"/>
  <c r="O6" i="81"/>
  <c r="AG17" i="81"/>
  <c r="AF17" i="81"/>
  <c r="O17" i="81"/>
  <c r="AF19" i="81"/>
  <c r="K48" i="81"/>
  <c r="N69" i="81"/>
  <c r="AF61" i="81"/>
  <c r="J69" i="81"/>
  <c r="R17" i="83"/>
  <c r="Q17" i="83"/>
  <c r="L59" i="83"/>
  <c r="J69" i="83"/>
  <c r="AF5" i="85"/>
  <c r="N15" i="85"/>
  <c r="AG18" i="85"/>
  <c r="AF18" i="85"/>
  <c r="O18" i="85"/>
  <c r="AF17" i="87"/>
  <c r="AG17" i="87"/>
  <c r="J37" i="87"/>
  <c r="P37" i="87" s="1"/>
  <c r="AG39" i="87"/>
  <c r="O39" i="87"/>
  <c r="O48" i="87" s="1"/>
  <c r="AF39" i="87"/>
  <c r="P48" i="87"/>
  <c r="N79" i="87"/>
  <c r="E22" i="88"/>
  <c r="P26" i="89"/>
  <c r="AF40" i="91"/>
  <c r="L40" i="91"/>
  <c r="J26" i="93"/>
  <c r="P26" i="93" s="1"/>
  <c r="P18" i="93"/>
  <c r="Q60" i="93"/>
  <c r="AF61" i="93"/>
  <c r="AG61" i="93"/>
  <c r="AE2" i="95"/>
  <c r="O6" i="94" s="1"/>
  <c r="AG38" i="95"/>
  <c r="N48" i="95"/>
  <c r="Q32" i="129"/>
  <c r="AF39" i="129"/>
  <c r="J48" i="131"/>
  <c r="P48" i="131" s="1"/>
  <c r="P38" i="131"/>
  <c r="AG40" i="131"/>
  <c r="L37" i="101"/>
  <c r="F13" i="100" s="1"/>
  <c r="Q38" i="101"/>
  <c r="AG51" i="101"/>
  <c r="AF51" i="101"/>
  <c r="O51" i="101"/>
  <c r="O28" i="103"/>
  <c r="AG28" i="103"/>
  <c r="AF28" i="103"/>
  <c r="R59" i="103"/>
  <c r="P15" i="105"/>
  <c r="I1" i="105"/>
  <c r="D22" i="104"/>
  <c r="P49" i="107"/>
  <c r="J58" i="107"/>
  <c r="Q60" i="107"/>
  <c r="L40" i="109"/>
  <c r="Q40" i="109" s="1"/>
  <c r="R71" i="109"/>
  <c r="Q71" i="109"/>
  <c r="AF29" i="111"/>
  <c r="O29" i="111"/>
  <c r="R64" i="111"/>
  <c r="Q64" i="111"/>
  <c r="R71" i="111"/>
  <c r="Q71" i="111"/>
  <c r="R27" i="113"/>
  <c r="Q27" i="113"/>
  <c r="J79" i="113"/>
  <c r="P70" i="113"/>
  <c r="R49" i="115"/>
  <c r="P7" i="117"/>
  <c r="L7" i="117"/>
  <c r="R7" i="117" s="1"/>
  <c r="O26" i="119"/>
  <c r="R16" i="119"/>
  <c r="Q16" i="119"/>
  <c r="O40" i="123"/>
  <c r="AG40" i="123"/>
  <c r="AF40" i="123"/>
  <c r="P79" i="81"/>
  <c r="L49" i="85"/>
  <c r="R70" i="87"/>
  <c r="Q70" i="87"/>
  <c r="J48" i="93"/>
  <c r="P48" i="93" s="1"/>
  <c r="P38" i="93"/>
  <c r="AF28" i="95"/>
  <c r="O28" i="95"/>
  <c r="L60" i="95"/>
  <c r="L69" i="95" s="1"/>
  <c r="I13" i="94" s="1"/>
  <c r="J6" i="94" s="1"/>
  <c r="L6" i="129"/>
  <c r="P6" i="129"/>
  <c r="J69" i="131"/>
  <c r="O79" i="101"/>
  <c r="R70" i="101"/>
  <c r="Q70" i="101"/>
  <c r="R60" i="103"/>
  <c r="Q60" i="103"/>
  <c r="AF7" i="107"/>
  <c r="AG7" i="107"/>
  <c r="AF19" i="107"/>
  <c r="AG19" i="107"/>
  <c r="O19" i="107"/>
  <c r="AF28" i="113"/>
  <c r="O28" i="113"/>
  <c r="AE2" i="123"/>
  <c r="O6" i="122" s="1"/>
  <c r="D21" i="122"/>
  <c r="K26" i="125"/>
  <c r="L16" i="125"/>
  <c r="L26" i="125" s="1"/>
  <c r="E13" i="124" s="1"/>
  <c r="AG16" i="125"/>
  <c r="P15" i="71"/>
  <c r="AG16" i="75"/>
  <c r="AF16" i="75"/>
  <c r="L39" i="75"/>
  <c r="Q39" i="75" s="1"/>
  <c r="AF5" i="79"/>
  <c r="N15" i="79"/>
  <c r="AG18" i="79"/>
  <c r="AF18" i="79"/>
  <c r="L31" i="83"/>
  <c r="L60" i="83"/>
  <c r="R59" i="87"/>
  <c r="O29" i="91"/>
  <c r="AF29" i="91"/>
  <c r="AF31" i="91"/>
  <c r="O38" i="91"/>
  <c r="N48" i="91"/>
  <c r="AG38" i="91"/>
  <c r="AF38" i="91"/>
  <c r="K48" i="93"/>
  <c r="L38" i="93"/>
  <c r="L48" i="93" s="1"/>
  <c r="G13" i="92" s="1"/>
  <c r="L50" i="129"/>
  <c r="O29" i="101"/>
  <c r="AG29" i="101"/>
  <c r="N37" i="101"/>
  <c r="L27" i="105"/>
  <c r="L6" i="107"/>
  <c r="R6" i="107" s="1"/>
  <c r="K58" i="107"/>
  <c r="AF50" i="107"/>
  <c r="AG5" i="109"/>
  <c r="AF5" i="109"/>
  <c r="K15" i="109"/>
  <c r="AG15" i="109" s="1"/>
  <c r="AH5" i="109" s="1"/>
  <c r="L5" i="109"/>
  <c r="O52" i="109"/>
  <c r="AG52" i="109"/>
  <c r="AF52" i="109"/>
  <c r="N58" i="109"/>
  <c r="AF6" i="111"/>
  <c r="AG6" i="111"/>
  <c r="O6" i="111"/>
  <c r="P71" i="111"/>
  <c r="L71" i="111"/>
  <c r="AG28" i="113"/>
  <c r="R72" i="119"/>
  <c r="Q72" i="119"/>
  <c r="L5" i="125"/>
  <c r="L15" i="125" s="1"/>
  <c r="D13" i="124" s="1"/>
  <c r="K15" i="125"/>
  <c r="AF19" i="69"/>
  <c r="AF59" i="69"/>
  <c r="P27" i="73"/>
  <c r="J37" i="73"/>
  <c r="P37" i="73" s="1"/>
  <c r="N69" i="73"/>
  <c r="O59" i="73"/>
  <c r="O7" i="75"/>
  <c r="AF51" i="75"/>
  <c r="AF70" i="79"/>
  <c r="N79" i="79"/>
  <c r="O5" i="81"/>
  <c r="R31" i="85"/>
  <c r="O59" i="85"/>
  <c r="AG19" i="87"/>
  <c r="O19" i="87"/>
  <c r="R7" i="89"/>
  <c r="Q7" i="89"/>
  <c r="O17" i="89"/>
  <c r="AF17" i="89"/>
  <c r="D21" i="120"/>
  <c r="AE2" i="121"/>
  <c r="O6" i="120" s="1"/>
  <c r="N79" i="69"/>
  <c r="L17" i="71"/>
  <c r="Q17" i="71" s="1"/>
  <c r="L18" i="71"/>
  <c r="Q29" i="71"/>
  <c r="AG59" i="73"/>
  <c r="P70" i="3"/>
  <c r="AF70" i="69"/>
  <c r="L15" i="71"/>
  <c r="D13" i="70" s="1"/>
  <c r="N37" i="73"/>
  <c r="O27" i="73"/>
  <c r="P58" i="75"/>
  <c r="J69" i="75"/>
  <c r="L61" i="75"/>
  <c r="R61" i="75" s="1"/>
  <c r="L62" i="75"/>
  <c r="L49" i="77"/>
  <c r="L58" i="77" s="1"/>
  <c r="H13" i="76" s="1"/>
  <c r="AD2" i="79"/>
  <c r="N6" i="78" s="1"/>
  <c r="AG6" i="81"/>
  <c r="AG19" i="81"/>
  <c r="AG40" i="81"/>
  <c r="AG61" i="81"/>
  <c r="AF8" i="83"/>
  <c r="AG8" i="83"/>
  <c r="AF17" i="83"/>
  <c r="P49" i="83"/>
  <c r="AG59" i="83"/>
  <c r="AF59" i="83"/>
  <c r="N69" i="83"/>
  <c r="O59" i="83"/>
  <c r="O5" i="85"/>
  <c r="AG8" i="85"/>
  <c r="O8" i="85"/>
  <c r="O16" i="85"/>
  <c r="P18" i="85"/>
  <c r="AG5" i="87"/>
  <c r="AF5" i="87"/>
  <c r="O17" i="87"/>
  <c r="O26" i="87" s="1"/>
  <c r="N37" i="87"/>
  <c r="AG29" i="87"/>
  <c r="O62" i="87"/>
  <c r="AG62" i="87"/>
  <c r="O79" i="87"/>
  <c r="P49" i="89"/>
  <c r="L70" i="89"/>
  <c r="L79" i="89" s="1"/>
  <c r="J13" i="88" s="1"/>
  <c r="K79" i="89"/>
  <c r="P26" i="91"/>
  <c r="E22" i="90"/>
  <c r="AF38" i="93"/>
  <c r="J79" i="93"/>
  <c r="P71" i="93"/>
  <c r="O38" i="95"/>
  <c r="L50" i="95"/>
  <c r="Q50" i="95" s="1"/>
  <c r="O5" i="129"/>
  <c r="AF5" i="129"/>
  <c r="AG5" i="129"/>
  <c r="H40" i="129"/>
  <c r="G1" i="129" s="1"/>
  <c r="K48" i="129"/>
  <c r="AG53" i="129"/>
  <c r="AF53" i="129"/>
  <c r="O69" i="129"/>
  <c r="AF70" i="129"/>
  <c r="AG70" i="129"/>
  <c r="P16" i="131"/>
  <c r="L38" i="131"/>
  <c r="L48" i="131" s="1"/>
  <c r="G13" i="130" s="1"/>
  <c r="K48" i="131"/>
  <c r="F18" i="100"/>
  <c r="Z2" i="101"/>
  <c r="L6" i="100" s="1"/>
  <c r="AG17" i="103"/>
  <c r="AF17" i="103"/>
  <c r="L48" i="103"/>
  <c r="G13" i="102" s="1"/>
  <c r="Q7" i="105"/>
  <c r="AG16" i="105"/>
  <c r="AF16" i="105"/>
  <c r="O16" i="105"/>
  <c r="AG49" i="105"/>
  <c r="AF49" i="105"/>
  <c r="O49" i="105"/>
  <c r="N58" i="105"/>
  <c r="O53" i="105"/>
  <c r="AG53" i="105"/>
  <c r="AF53" i="105"/>
  <c r="AG61" i="105"/>
  <c r="AF61" i="105"/>
  <c r="Q17" i="107"/>
  <c r="L49" i="107"/>
  <c r="Q71" i="107"/>
  <c r="R71" i="107"/>
  <c r="L27" i="109"/>
  <c r="P27" i="109"/>
  <c r="J37" i="109"/>
  <c r="AG31" i="109"/>
  <c r="AF31" i="109"/>
  <c r="AG29" i="111"/>
  <c r="O40" i="111"/>
  <c r="AG40" i="111"/>
  <c r="P26" i="113"/>
  <c r="I1" i="113"/>
  <c r="E22" i="112"/>
  <c r="H22" i="112"/>
  <c r="K79" i="113"/>
  <c r="AG70" i="113"/>
  <c r="L70" i="113"/>
  <c r="L79" i="113" s="1"/>
  <c r="J13" i="112" s="1"/>
  <c r="L29" i="117"/>
  <c r="L38" i="117"/>
  <c r="L48" i="117" s="1"/>
  <c r="G13" i="116" s="1"/>
  <c r="K48" i="117"/>
  <c r="AF38" i="117"/>
  <c r="AG61" i="119"/>
  <c r="AF61" i="119"/>
  <c r="R71" i="119"/>
  <c r="R16" i="123"/>
  <c r="Q16" i="123"/>
  <c r="R18" i="125"/>
  <c r="Q18" i="125"/>
  <c r="AG70" i="85"/>
  <c r="AF70" i="85"/>
  <c r="O30" i="87"/>
  <c r="AG30" i="87"/>
  <c r="AF30" i="87"/>
  <c r="AG70" i="87"/>
  <c r="Z2" i="89"/>
  <c r="L6" i="88" s="1"/>
  <c r="D18" i="88"/>
  <c r="J48" i="89"/>
  <c r="P48" i="89" s="1"/>
  <c r="P38" i="89"/>
  <c r="K69" i="89"/>
  <c r="Q70" i="91"/>
  <c r="AF17" i="93"/>
  <c r="O17" i="93"/>
  <c r="O26" i="93" s="1"/>
  <c r="L30" i="95"/>
  <c r="N26" i="131"/>
  <c r="O16" i="131"/>
  <c r="AF16" i="131"/>
  <c r="O28" i="131"/>
  <c r="AF28" i="131"/>
  <c r="G1" i="103"/>
  <c r="N26" i="103"/>
  <c r="AG16" i="103"/>
  <c r="AF16" i="103"/>
  <c r="AG6" i="107"/>
  <c r="AF6" i="107"/>
  <c r="N15" i="107"/>
  <c r="O16" i="107"/>
  <c r="AG16" i="107"/>
  <c r="AF16" i="107"/>
  <c r="N26" i="107"/>
  <c r="D21" i="108"/>
  <c r="AE2" i="109"/>
  <c r="O6" i="108" s="1"/>
  <c r="O38" i="109"/>
  <c r="N48" i="109"/>
  <c r="P79" i="109"/>
  <c r="AG17" i="111"/>
  <c r="O17" i="111"/>
  <c r="AF17" i="111"/>
  <c r="R63" i="111"/>
  <c r="Q63" i="111"/>
  <c r="Q63" i="115"/>
  <c r="R63" i="115"/>
  <c r="O61" i="117"/>
  <c r="AF61" i="117"/>
  <c r="AG61" i="117"/>
  <c r="O70" i="117"/>
  <c r="N79" i="117"/>
  <c r="AF70" i="117"/>
  <c r="AG70" i="117"/>
  <c r="AG59" i="125"/>
  <c r="O59" i="125"/>
  <c r="AF59" i="125"/>
  <c r="N69" i="125"/>
  <c r="AG28" i="127"/>
  <c r="AF28" i="127"/>
  <c r="O28" i="127"/>
  <c r="P40" i="127"/>
  <c r="L40" i="127"/>
  <c r="Q40" i="127" s="1"/>
  <c r="AG51" i="127"/>
  <c r="AF51" i="127"/>
  <c r="AG31" i="73"/>
  <c r="AF31" i="73"/>
  <c r="AG60" i="79"/>
  <c r="AF60" i="79"/>
  <c r="L38" i="81"/>
  <c r="O69" i="81"/>
  <c r="N79" i="81"/>
  <c r="L51" i="83"/>
  <c r="R51" i="83" s="1"/>
  <c r="L8" i="85"/>
  <c r="L15" i="85" s="1"/>
  <c r="D13" i="84" s="1"/>
  <c r="D21" i="84"/>
  <c r="AE2" i="85"/>
  <c r="O6" i="84" s="1"/>
  <c r="L38" i="85"/>
  <c r="AG62" i="85"/>
  <c r="AF62" i="85"/>
  <c r="L72" i="85"/>
  <c r="O29" i="87"/>
  <c r="AF29" i="87"/>
  <c r="AG50" i="87"/>
  <c r="AF50" i="87"/>
  <c r="O50" i="87"/>
  <c r="J69" i="87"/>
  <c r="P69" i="87" s="1"/>
  <c r="O5" i="89"/>
  <c r="N15" i="89"/>
  <c r="O6" i="91"/>
  <c r="AF6" i="91"/>
  <c r="N79" i="91"/>
  <c r="Z2" i="93"/>
  <c r="L6" i="92" s="1"/>
  <c r="D18" i="92"/>
  <c r="E19" i="92"/>
  <c r="AA2" i="93"/>
  <c r="M6" i="92" s="1"/>
  <c r="L49" i="93"/>
  <c r="L58" i="93" s="1"/>
  <c r="H13" i="92" s="1"/>
  <c r="K58" i="93"/>
  <c r="P58" i="93"/>
  <c r="H22" i="92"/>
  <c r="L16" i="95"/>
  <c r="K26" i="95"/>
  <c r="AG16" i="95"/>
  <c r="Q39" i="95"/>
  <c r="O40" i="95"/>
  <c r="AG40" i="95"/>
  <c r="AF59" i="95"/>
  <c r="O59" i="95"/>
  <c r="L72" i="95"/>
  <c r="Q72" i="95" s="1"/>
  <c r="L29" i="129"/>
  <c r="L37" i="129" s="1"/>
  <c r="F13" i="128" s="1"/>
  <c r="L40" i="129"/>
  <c r="R40" i="129" s="1"/>
  <c r="P40" i="129"/>
  <c r="AG16" i="131"/>
  <c r="AG28" i="131"/>
  <c r="O61" i="131"/>
  <c r="O69" i="131" s="1"/>
  <c r="AG61" i="131"/>
  <c r="AF61" i="131"/>
  <c r="Q64" i="131"/>
  <c r="O70" i="131"/>
  <c r="N78" i="131"/>
  <c r="K37" i="101"/>
  <c r="AG50" i="101"/>
  <c r="O50" i="101"/>
  <c r="AG27" i="103"/>
  <c r="O27" i="103"/>
  <c r="AF27" i="103"/>
  <c r="N58" i="103"/>
  <c r="O49" i="103"/>
  <c r="AG62" i="105"/>
  <c r="AF62" i="105"/>
  <c r="L17" i="107"/>
  <c r="L26" i="107" s="1"/>
  <c r="E13" i="106" s="1"/>
  <c r="J26" i="107"/>
  <c r="P26" i="107" s="1"/>
  <c r="K79" i="107"/>
  <c r="L70" i="107"/>
  <c r="L79" i="107" s="1"/>
  <c r="J13" i="106" s="1"/>
  <c r="AF61" i="109"/>
  <c r="AG61" i="109"/>
  <c r="O61" i="109"/>
  <c r="P52" i="111"/>
  <c r="L52" i="111"/>
  <c r="J58" i="111"/>
  <c r="G18" i="112"/>
  <c r="Z2" i="113"/>
  <c r="L6" i="112" s="1"/>
  <c r="AF53" i="113"/>
  <c r="L53" i="113"/>
  <c r="Q53" i="113" s="1"/>
  <c r="E18" i="114"/>
  <c r="Z2" i="115"/>
  <c r="L6" i="114" s="1"/>
  <c r="L51" i="115"/>
  <c r="R51" i="115" s="1"/>
  <c r="P51" i="115"/>
  <c r="AG52" i="115"/>
  <c r="O52" i="115"/>
  <c r="O58" i="115" s="1"/>
  <c r="AF52" i="115"/>
  <c r="AG60" i="119"/>
  <c r="N69" i="119"/>
  <c r="O60" i="119"/>
  <c r="AF60" i="119"/>
  <c r="G1" i="123"/>
  <c r="D20" i="124"/>
  <c r="AD2" i="125"/>
  <c r="N6" i="124" s="1"/>
  <c r="K15" i="71"/>
  <c r="L19" i="71"/>
  <c r="K48" i="71"/>
  <c r="AF7" i="73"/>
  <c r="O31" i="73"/>
  <c r="L5" i="75"/>
  <c r="L15" i="75" s="1"/>
  <c r="D13" i="74" s="1"/>
  <c r="P27" i="75"/>
  <c r="J37" i="75"/>
  <c r="P37" i="75" s="1"/>
  <c r="AG60" i="75"/>
  <c r="AF60" i="75"/>
  <c r="J15" i="77"/>
  <c r="P15" i="77" s="1"/>
  <c r="L19" i="77"/>
  <c r="AF27" i="77"/>
  <c r="K69" i="77"/>
  <c r="L59" i="77"/>
  <c r="AG60" i="77"/>
  <c r="AF60" i="77"/>
  <c r="AG50" i="79"/>
  <c r="O50" i="79"/>
  <c r="L7" i="81"/>
  <c r="Q7" i="81" s="1"/>
  <c r="O16" i="81"/>
  <c r="AF29" i="81"/>
  <c r="AF70" i="81"/>
  <c r="L28" i="85"/>
  <c r="AG29" i="85"/>
  <c r="AF29" i="85"/>
  <c r="AF30" i="85"/>
  <c r="AG30" i="85"/>
  <c r="AF31" i="85"/>
  <c r="H22" i="84"/>
  <c r="P58" i="85"/>
  <c r="O62" i="85"/>
  <c r="L40" i="87"/>
  <c r="O58" i="87"/>
  <c r="K58" i="87"/>
  <c r="AF58" i="87" s="1"/>
  <c r="K69" i="87"/>
  <c r="AF5" i="89"/>
  <c r="Q31" i="89"/>
  <c r="D22" i="90"/>
  <c r="P15" i="91"/>
  <c r="Q61" i="91"/>
  <c r="O79" i="91"/>
  <c r="L7" i="93"/>
  <c r="R7" i="93" s="1"/>
  <c r="AG38" i="93"/>
  <c r="N58" i="93"/>
  <c r="O49" i="93"/>
  <c r="AG49" i="93"/>
  <c r="O51" i="93"/>
  <c r="AG51" i="93"/>
  <c r="AF51" i="93"/>
  <c r="K37" i="95"/>
  <c r="P29" i="95"/>
  <c r="L48" i="95"/>
  <c r="G13" i="94" s="1"/>
  <c r="R39" i="95"/>
  <c r="AF40" i="95"/>
  <c r="AG59" i="95"/>
  <c r="R39" i="129"/>
  <c r="Q39" i="129"/>
  <c r="L6" i="131"/>
  <c r="Q6" i="131" s="1"/>
  <c r="L30" i="131"/>
  <c r="AG39" i="131"/>
  <c r="O39" i="131"/>
  <c r="AF49" i="131"/>
  <c r="N58" i="131"/>
  <c r="R64" i="131"/>
  <c r="AF70" i="131"/>
  <c r="L5" i="101"/>
  <c r="L15" i="101" s="1"/>
  <c r="D13" i="100" s="1"/>
  <c r="K15" i="101"/>
  <c r="AF50" i="101"/>
  <c r="K69" i="101"/>
  <c r="AF59" i="101"/>
  <c r="AG7" i="103"/>
  <c r="O7" i="103"/>
  <c r="E22" i="102"/>
  <c r="I1" i="103"/>
  <c r="P26" i="103"/>
  <c r="AF49" i="103"/>
  <c r="P27" i="105"/>
  <c r="J37" i="105"/>
  <c r="O62" i="105"/>
  <c r="D19" i="106"/>
  <c r="AA2" i="107"/>
  <c r="M6" i="106" s="1"/>
  <c r="R31" i="107"/>
  <c r="Q31" i="107"/>
  <c r="L51" i="107"/>
  <c r="R30" i="109"/>
  <c r="Q30" i="109"/>
  <c r="P39" i="109"/>
  <c r="J48" i="109"/>
  <c r="P48" i="109" s="1"/>
  <c r="O7" i="111"/>
  <c r="L59" i="111"/>
  <c r="P59" i="111"/>
  <c r="J69" i="111"/>
  <c r="P69" i="111" s="1"/>
  <c r="J37" i="113"/>
  <c r="P37" i="113" s="1"/>
  <c r="P27" i="113"/>
  <c r="Q39" i="113"/>
  <c r="O51" i="113"/>
  <c r="AG51" i="113"/>
  <c r="AF51" i="113"/>
  <c r="N15" i="115"/>
  <c r="O5" i="115"/>
  <c r="E19" i="114"/>
  <c r="AA2" i="115"/>
  <c r="M6" i="114" s="1"/>
  <c r="Q63" i="117"/>
  <c r="R63" i="117"/>
  <c r="R27" i="123"/>
  <c r="Q27" i="123"/>
  <c r="AF37" i="125"/>
  <c r="Q37" i="125"/>
  <c r="AG37" i="125"/>
  <c r="AH27" i="125" s="1"/>
  <c r="P69" i="81"/>
  <c r="L7" i="87"/>
  <c r="L50" i="87"/>
  <c r="L58" i="87" s="1"/>
  <c r="H13" i="86" s="1"/>
  <c r="I1" i="89"/>
  <c r="AG39" i="91"/>
  <c r="O39" i="91"/>
  <c r="K15" i="93"/>
  <c r="L18" i="93"/>
  <c r="R18" i="93" s="1"/>
  <c r="K79" i="93"/>
  <c r="L7" i="95"/>
  <c r="O49" i="95"/>
  <c r="N58" i="95"/>
  <c r="AG49" i="95"/>
  <c r="AF49" i="95"/>
  <c r="J48" i="129"/>
  <c r="P48" i="129" s="1"/>
  <c r="P38" i="129"/>
  <c r="K69" i="129"/>
  <c r="R62" i="129"/>
  <c r="Q62" i="129"/>
  <c r="P70" i="129"/>
  <c r="J79" i="129"/>
  <c r="P79" i="129" s="1"/>
  <c r="O38" i="131"/>
  <c r="AG38" i="131"/>
  <c r="AF38" i="131"/>
  <c r="L60" i="131"/>
  <c r="R60" i="131" s="1"/>
  <c r="I1" i="101"/>
  <c r="P37" i="101"/>
  <c r="F22" i="100"/>
  <c r="P48" i="101"/>
  <c r="G22" i="100"/>
  <c r="R52" i="103"/>
  <c r="R53" i="103"/>
  <c r="Q53" i="103"/>
  <c r="K69" i="107"/>
  <c r="N15" i="111"/>
  <c r="AG5" i="111"/>
  <c r="AF5" i="111"/>
  <c r="K37" i="111"/>
  <c r="AF37" i="111" s="1"/>
  <c r="L27" i="111"/>
  <c r="L37" i="111" s="1"/>
  <c r="F13" i="110" s="1"/>
  <c r="AF27" i="111"/>
  <c r="L59" i="113"/>
  <c r="K69" i="113"/>
  <c r="E21" i="114"/>
  <c r="AE2" i="115"/>
  <c r="O6" i="114" s="1"/>
  <c r="R72" i="117"/>
  <c r="Q72" i="117"/>
  <c r="L17" i="119"/>
  <c r="AF17" i="119"/>
  <c r="L50" i="119"/>
  <c r="K58" i="119"/>
  <c r="O70" i="125"/>
  <c r="AG70" i="125"/>
  <c r="AF70" i="125"/>
  <c r="N79" i="125"/>
  <c r="J15" i="89"/>
  <c r="P15" i="89" s="1"/>
  <c r="L70" i="3"/>
  <c r="L79" i="3" s="1"/>
  <c r="J13" i="2" s="1"/>
  <c r="K37" i="77"/>
  <c r="L30" i="81"/>
  <c r="L70" i="81"/>
  <c r="L79" i="81" s="1"/>
  <c r="J13" i="80" s="1"/>
  <c r="AF50" i="83"/>
  <c r="L72" i="83"/>
  <c r="R72" i="83" s="1"/>
  <c r="AF38" i="85"/>
  <c r="L41" i="85"/>
  <c r="R41" i="85" s="1"/>
  <c r="L6" i="87"/>
  <c r="AF31" i="87"/>
  <c r="L38" i="87"/>
  <c r="L59" i="87"/>
  <c r="L5" i="89"/>
  <c r="L15" i="89" s="1"/>
  <c r="D13" i="88" s="1"/>
  <c r="L18" i="89"/>
  <c r="L26" i="89" s="1"/>
  <c r="E13" i="88" s="1"/>
  <c r="L59" i="89"/>
  <c r="L69" i="89" s="1"/>
  <c r="AE2" i="91"/>
  <c r="O6" i="90" s="1"/>
  <c r="AF39" i="91"/>
  <c r="P58" i="91"/>
  <c r="O8" i="93"/>
  <c r="AF8" i="93"/>
  <c r="AF31" i="93"/>
  <c r="AD2" i="95"/>
  <c r="N6" i="94" s="1"/>
  <c r="R20" i="95"/>
  <c r="L28" i="95"/>
  <c r="J37" i="95"/>
  <c r="P37" i="95" s="1"/>
  <c r="O31" i="95"/>
  <c r="AG50" i="95"/>
  <c r="AF50" i="95"/>
  <c r="E22" i="128"/>
  <c r="I1" i="129"/>
  <c r="K58" i="129"/>
  <c r="L49" i="129"/>
  <c r="L60" i="129"/>
  <c r="AF62" i="129"/>
  <c r="K79" i="129"/>
  <c r="AF79" i="129" s="1"/>
  <c r="K37" i="131"/>
  <c r="L27" i="131"/>
  <c r="L37" i="131" s="1"/>
  <c r="F13" i="130" s="1"/>
  <c r="N48" i="131"/>
  <c r="L50" i="131"/>
  <c r="P58" i="131"/>
  <c r="L16" i="101"/>
  <c r="L26" i="101" s="1"/>
  <c r="E13" i="100" s="1"/>
  <c r="L58" i="101"/>
  <c r="H13" i="100" s="1"/>
  <c r="AF53" i="103"/>
  <c r="G1" i="105"/>
  <c r="AF30" i="105"/>
  <c r="AG30" i="105"/>
  <c r="J48" i="105"/>
  <c r="P48" i="105" s="1"/>
  <c r="K69" i="105"/>
  <c r="L59" i="105"/>
  <c r="L69" i="105" s="1"/>
  <c r="I13" i="104" s="1"/>
  <c r="J6" i="104" s="1"/>
  <c r="R5" i="107"/>
  <c r="Q5" i="107"/>
  <c r="P15" i="107"/>
  <c r="D22" i="106"/>
  <c r="I1" i="107"/>
  <c r="AF31" i="107"/>
  <c r="AG31" i="107"/>
  <c r="AF60" i="107"/>
  <c r="AG60" i="107"/>
  <c r="AF61" i="107"/>
  <c r="AG61" i="107"/>
  <c r="N69" i="107"/>
  <c r="AG70" i="107"/>
  <c r="O70" i="107"/>
  <c r="N79" i="107"/>
  <c r="AF70" i="107"/>
  <c r="R73" i="107"/>
  <c r="Q73" i="107"/>
  <c r="J26" i="109"/>
  <c r="P26" i="109" s="1"/>
  <c r="AF60" i="109"/>
  <c r="AG60" i="109"/>
  <c r="N69" i="109"/>
  <c r="O60" i="109"/>
  <c r="O69" i="109" s="1"/>
  <c r="AF70" i="109"/>
  <c r="N79" i="109"/>
  <c r="O70" i="109"/>
  <c r="O5" i="111"/>
  <c r="O16" i="111"/>
  <c r="N26" i="111"/>
  <c r="AG16" i="111"/>
  <c r="AF16" i="111"/>
  <c r="Q53" i="111"/>
  <c r="AG59" i="113"/>
  <c r="AF59" i="113"/>
  <c r="N69" i="113"/>
  <c r="J22" i="112"/>
  <c r="P79" i="113"/>
  <c r="P28" i="117"/>
  <c r="J37" i="117"/>
  <c r="O60" i="117"/>
  <c r="AG60" i="117"/>
  <c r="N69" i="117"/>
  <c r="AF60" i="117"/>
  <c r="H19" i="118"/>
  <c r="AA2" i="119"/>
  <c r="M6" i="118" s="1"/>
  <c r="L28" i="81"/>
  <c r="L49" i="81"/>
  <c r="AF59" i="81"/>
  <c r="J48" i="83"/>
  <c r="P48" i="83" s="1"/>
  <c r="AG50" i="83"/>
  <c r="L40" i="85"/>
  <c r="L60" i="87"/>
  <c r="AF59" i="89"/>
  <c r="AG59" i="89"/>
  <c r="AF60" i="89"/>
  <c r="L6" i="93"/>
  <c r="L15" i="93" s="1"/>
  <c r="D13" i="92" s="1"/>
  <c r="P15" i="93"/>
  <c r="D22" i="92"/>
  <c r="J58" i="93"/>
  <c r="P79" i="93"/>
  <c r="R72" i="95"/>
  <c r="AA2" i="129"/>
  <c r="M6" i="128" s="1"/>
  <c r="J37" i="129"/>
  <c r="P37" i="129" s="1"/>
  <c r="AG28" i="129"/>
  <c r="O28" i="129"/>
  <c r="AF28" i="129"/>
  <c r="L38" i="129"/>
  <c r="R61" i="129"/>
  <c r="Q61" i="129"/>
  <c r="AG62" i="129"/>
  <c r="L70" i="129"/>
  <c r="L79" i="129" s="1"/>
  <c r="J13" i="128" s="1"/>
  <c r="Q8" i="131"/>
  <c r="O17" i="131"/>
  <c r="AG17" i="131"/>
  <c r="AF17" i="131"/>
  <c r="J58" i="131"/>
  <c r="P49" i="131"/>
  <c r="O50" i="131"/>
  <c r="AF50" i="131"/>
  <c r="H63" i="131"/>
  <c r="G1" i="131" s="1"/>
  <c r="L64" i="131"/>
  <c r="AF18" i="101"/>
  <c r="O18" i="101"/>
  <c r="O48" i="101"/>
  <c r="R38" i="101"/>
  <c r="AF39" i="101"/>
  <c r="N48" i="101"/>
  <c r="O39" i="101"/>
  <c r="N58" i="101"/>
  <c r="O49" i="101"/>
  <c r="L17" i="103"/>
  <c r="L26" i="103" s="1"/>
  <c r="G22" i="102"/>
  <c r="P48" i="103"/>
  <c r="Q52" i="103"/>
  <c r="AG53" i="103"/>
  <c r="R30" i="105"/>
  <c r="Q30" i="105"/>
  <c r="O39" i="105"/>
  <c r="AG39" i="105"/>
  <c r="AF39" i="105"/>
  <c r="K37" i="107"/>
  <c r="P52" i="107"/>
  <c r="R61" i="107"/>
  <c r="G1" i="109"/>
  <c r="O6" i="109"/>
  <c r="AG6" i="109"/>
  <c r="D20" i="108"/>
  <c r="AD2" i="109"/>
  <c r="N6" i="108" s="1"/>
  <c r="AF29" i="109"/>
  <c r="R50" i="109"/>
  <c r="Q50" i="109"/>
  <c r="J69" i="109"/>
  <c r="P69" i="109" s="1"/>
  <c r="P59" i="109"/>
  <c r="P72" i="111"/>
  <c r="L72" i="111"/>
  <c r="R72" i="111" s="1"/>
  <c r="AF5" i="113"/>
  <c r="N15" i="113"/>
  <c r="O5" i="113"/>
  <c r="AG5" i="113"/>
  <c r="AG17" i="113"/>
  <c r="O17" i="113"/>
  <c r="G22" i="112"/>
  <c r="P48" i="113"/>
  <c r="R59" i="113"/>
  <c r="Q59" i="113"/>
  <c r="L62" i="113"/>
  <c r="O69" i="115"/>
  <c r="R59" i="115"/>
  <c r="AG28" i="117"/>
  <c r="AF28" i="117"/>
  <c r="K37" i="117"/>
  <c r="L28" i="117"/>
  <c r="Q28" i="117" s="1"/>
  <c r="R52" i="117"/>
  <c r="Q52" i="117"/>
  <c r="R71" i="117"/>
  <c r="Q71" i="117"/>
  <c r="AD2" i="119"/>
  <c r="N6" i="118" s="1"/>
  <c r="H20" i="118"/>
  <c r="K79" i="81"/>
  <c r="AG40" i="91"/>
  <c r="P69" i="91"/>
  <c r="K26" i="93"/>
  <c r="K15" i="95"/>
  <c r="Q18" i="95"/>
  <c r="R18" i="95"/>
  <c r="N26" i="95"/>
  <c r="J48" i="95"/>
  <c r="P38" i="95"/>
  <c r="L40" i="95"/>
  <c r="L18" i="129"/>
  <c r="L26" i="129" s="1"/>
  <c r="E13" i="128" s="1"/>
  <c r="R50" i="129"/>
  <c r="Q50" i="129"/>
  <c r="K69" i="131"/>
  <c r="Q28" i="101"/>
  <c r="P58" i="101"/>
  <c r="K48" i="105"/>
  <c r="AG40" i="105"/>
  <c r="AF40" i="105"/>
  <c r="N37" i="107"/>
  <c r="AG27" i="107"/>
  <c r="O27" i="107"/>
  <c r="AG40" i="107"/>
  <c r="AF40" i="107"/>
  <c r="L63" i="107"/>
  <c r="R63" i="107" s="1"/>
  <c r="K26" i="109"/>
  <c r="L16" i="109"/>
  <c r="L26" i="109" s="1"/>
  <c r="E13" i="108" s="1"/>
  <c r="K69" i="109"/>
  <c r="Q59" i="111"/>
  <c r="O38" i="113"/>
  <c r="AG38" i="113"/>
  <c r="N48" i="113"/>
  <c r="AF38" i="113"/>
  <c r="AG39" i="113"/>
  <c r="AF39" i="113"/>
  <c r="O71" i="113"/>
  <c r="N79" i="113"/>
  <c r="L15" i="115"/>
  <c r="D13" i="114" s="1"/>
  <c r="Q6" i="115"/>
  <c r="Q51" i="115"/>
  <c r="P69" i="115"/>
  <c r="I22" i="114"/>
  <c r="P26" i="119"/>
  <c r="AF29" i="119"/>
  <c r="AG29" i="119"/>
  <c r="O29" i="119"/>
  <c r="O62" i="119"/>
  <c r="AF62" i="119"/>
  <c r="AG27" i="91"/>
  <c r="O40" i="91"/>
  <c r="L50" i="91"/>
  <c r="AG59" i="91"/>
  <c r="N69" i="91"/>
  <c r="K79" i="91"/>
  <c r="L5" i="95"/>
  <c r="AF16" i="95"/>
  <c r="AG30" i="95"/>
  <c r="K48" i="95"/>
  <c r="N31" i="129"/>
  <c r="L59" i="131"/>
  <c r="L69" i="131" s="1"/>
  <c r="I13" i="130" s="1"/>
  <c r="J6" i="130" s="1"/>
  <c r="Q73" i="131"/>
  <c r="E20" i="100"/>
  <c r="AD2" i="101"/>
  <c r="N6" i="100" s="1"/>
  <c r="AF28" i="101"/>
  <c r="L28" i="103"/>
  <c r="J37" i="103"/>
  <c r="AG51" i="103"/>
  <c r="AF51" i="103"/>
  <c r="L38" i="105"/>
  <c r="L48" i="105" s="1"/>
  <c r="G13" i="104" s="1"/>
  <c r="AF52" i="105"/>
  <c r="N69" i="105"/>
  <c r="O59" i="105"/>
  <c r="AF59" i="105"/>
  <c r="AF27" i="107"/>
  <c r="AF59" i="107"/>
  <c r="O16" i="109"/>
  <c r="AF16" i="109"/>
  <c r="N26" i="109"/>
  <c r="AG16" i="109"/>
  <c r="L60" i="109"/>
  <c r="P58" i="111"/>
  <c r="G1" i="115"/>
  <c r="AF50" i="115"/>
  <c r="AG50" i="115"/>
  <c r="N69" i="115"/>
  <c r="AG59" i="115"/>
  <c r="AF59" i="115"/>
  <c r="L17" i="117"/>
  <c r="L26" i="117" s="1"/>
  <c r="E13" i="116" s="1"/>
  <c r="AG17" i="117"/>
  <c r="K26" i="117"/>
  <c r="P28" i="119"/>
  <c r="L28" i="119"/>
  <c r="R28" i="119" s="1"/>
  <c r="N58" i="119"/>
  <c r="AG49" i="119"/>
  <c r="AF49" i="119"/>
  <c r="O49" i="119"/>
  <c r="P79" i="119"/>
  <c r="J22" i="118"/>
  <c r="E20" i="122"/>
  <c r="AD2" i="123"/>
  <c r="N6" i="122" s="1"/>
  <c r="Z2" i="129"/>
  <c r="L6" i="128" s="1"/>
  <c r="L29" i="101"/>
  <c r="AG59" i="101"/>
  <c r="Z2" i="103"/>
  <c r="L6" i="102" s="1"/>
  <c r="L30" i="103"/>
  <c r="AG39" i="103"/>
  <c r="AF39" i="103"/>
  <c r="L62" i="103"/>
  <c r="L69" i="103" s="1"/>
  <c r="I13" i="102" s="1"/>
  <c r="J6" i="102" s="1"/>
  <c r="L79" i="105"/>
  <c r="J13" i="104" s="1"/>
  <c r="L51" i="109"/>
  <c r="R51" i="109" s="1"/>
  <c r="AG51" i="109"/>
  <c r="AA2" i="111"/>
  <c r="M6" i="110" s="1"/>
  <c r="D19" i="110"/>
  <c r="Q5" i="117"/>
  <c r="R5" i="117"/>
  <c r="Z2" i="117"/>
  <c r="L6" i="116" s="1"/>
  <c r="D18" i="116"/>
  <c r="R50" i="117"/>
  <c r="K37" i="119"/>
  <c r="Q53" i="119"/>
  <c r="R53" i="119"/>
  <c r="O7" i="123"/>
  <c r="AG7" i="123"/>
  <c r="P50" i="123"/>
  <c r="L50" i="123"/>
  <c r="R50" i="123" s="1"/>
  <c r="O58" i="125"/>
  <c r="Q49" i="125"/>
  <c r="R27" i="101"/>
  <c r="Q63" i="107"/>
  <c r="AF28" i="109"/>
  <c r="Q51" i="109"/>
  <c r="K58" i="111"/>
  <c r="L50" i="111"/>
  <c r="AG60" i="111"/>
  <c r="L60" i="111"/>
  <c r="R60" i="111" s="1"/>
  <c r="AF61" i="111"/>
  <c r="O61" i="111"/>
  <c r="I22" i="110"/>
  <c r="O30" i="113"/>
  <c r="AF30" i="113"/>
  <c r="R29" i="115"/>
  <c r="Q29" i="115"/>
  <c r="AG48" i="115"/>
  <c r="AH38" i="115" s="1"/>
  <c r="AF48" i="115"/>
  <c r="Q48" i="115"/>
  <c r="K58" i="115"/>
  <c r="L70" i="119"/>
  <c r="R70" i="119" s="1"/>
  <c r="K79" i="119"/>
  <c r="Q6" i="123"/>
  <c r="R6" i="123"/>
  <c r="AG17" i="123"/>
  <c r="AF17" i="123"/>
  <c r="O17" i="123"/>
  <c r="L29" i="123"/>
  <c r="K37" i="123"/>
  <c r="AG29" i="123"/>
  <c r="AF40" i="125"/>
  <c r="O40" i="125"/>
  <c r="AG54" i="129"/>
  <c r="P69" i="131"/>
  <c r="I22" i="130"/>
  <c r="K78" i="131"/>
  <c r="L70" i="131"/>
  <c r="L78" i="131" s="1"/>
  <c r="J13" i="130" s="1"/>
  <c r="AD2" i="103"/>
  <c r="N6" i="102" s="1"/>
  <c r="L49" i="103"/>
  <c r="L58" i="103" s="1"/>
  <c r="H13" i="102" s="1"/>
  <c r="AG59" i="103"/>
  <c r="AF59" i="103"/>
  <c r="AG27" i="105"/>
  <c r="J69" i="107"/>
  <c r="P69" i="107" s="1"/>
  <c r="P72" i="107"/>
  <c r="L72" i="107"/>
  <c r="R72" i="107" s="1"/>
  <c r="L8" i="109"/>
  <c r="AF27" i="109"/>
  <c r="AG27" i="109"/>
  <c r="N37" i="109"/>
  <c r="O28" i="109"/>
  <c r="J58" i="109"/>
  <c r="L50" i="109"/>
  <c r="L58" i="109" s="1"/>
  <c r="H13" i="108" s="1"/>
  <c r="Q8" i="111"/>
  <c r="R8" i="111"/>
  <c r="AE2" i="111"/>
  <c r="O6" i="110" s="1"/>
  <c r="L17" i="111"/>
  <c r="L26" i="111" s="1"/>
  <c r="E13" i="110" s="1"/>
  <c r="O27" i="111"/>
  <c r="AG27" i="111"/>
  <c r="Q60" i="111"/>
  <c r="AG61" i="111"/>
  <c r="R50" i="113"/>
  <c r="O38" i="115"/>
  <c r="L50" i="115"/>
  <c r="L58" i="115" s="1"/>
  <c r="H13" i="114" s="1"/>
  <c r="AF51" i="115"/>
  <c r="AG51" i="115"/>
  <c r="L71" i="115"/>
  <c r="Q71" i="115" s="1"/>
  <c r="AD2" i="117"/>
  <c r="N6" i="116" s="1"/>
  <c r="D20" i="116"/>
  <c r="P17" i="117"/>
  <c r="J26" i="117"/>
  <c r="P26" i="117" s="1"/>
  <c r="P69" i="117"/>
  <c r="I22" i="116"/>
  <c r="AG53" i="119"/>
  <c r="E19" i="122"/>
  <c r="AA2" i="123"/>
  <c r="M6" i="122" s="1"/>
  <c r="N37" i="123"/>
  <c r="AF27" i="123"/>
  <c r="AG27" i="123"/>
  <c r="AG40" i="125"/>
  <c r="P48" i="125"/>
  <c r="G22" i="124"/>
  <c r="AG28" i="107"/>
  <c r="AF28" i="107"/>
  <c r="AF29" i="107"/>
  <c r="AG50" i="107"/>
  <c r="R5" i="109"/>
  <c r="P37" i="109"/>
  <c r="K48" i="109"/>
  <c r="L38" i="109"/>
  <c r="L48" i="109" s="1"/>
  <c r="G13" i="108" s="1"/>
  <c r="AG39" i="109"/>
  <c r="O39" i="109"/>
  <c r="P15" i="111"/>
  <c r="AD2" i="111"/>
  <c r="N6" i="110" s="1"/>
  <c r="E20" i="110"/>
  <c r="AF59" i="111"/>
  <c r="N69" i="111"/>
  <c r="P17" i="113"/>
  <c r="J26" i="113"/>
  <c r="R52" i="113"/>
  <c r="Q52" i="113"/>
  <c r="AF70" i="113"/>
  <c r="O70" i="113"/>
  <c r="P26" i="115"/>
  <c r="AF27" i="115"/>
  <c r="N37" i="115"/>
  <c r="O61" i="115"/>
  <c r="AF61" i="115"/>
  <c r="AG27" i="117"/>
  <c r="N37" i="117"/>
  <c r="AF27" i="117"/>
  <c r="O27" i="117"/>
  <c r="R38" i="117"/>
  <c r="R51" i="117"/>
  <c r="Q51" i="117"/>
  <c r="AG28" i="119"/>
  <c r="AF28" i="119"/>
  <c r="AG39" i="119"/>
  <c r="O39" i="119"/>
  <c r="AF39" i="119"/>
  <c r="AF70" i="119"/>
  <c r="N79" i="119"/>
  <c r="AG70" i="119"/>
  <c r="R29" i="107"/>
  <c r="R50" i="107"/>
  <c r="R40" i="109"/>
  <c r="AG40" i="113"/>
  <c r="AG61" i="113"/>
  <c r="AF61" i="113"/>
  <c r="R62" i="113"/>
  <c r="G1" i="117"/>
  <c r="O6" i="117"/>
  <c r="O15" i="117" s="1"/>
  <c r="AG6" i="117"/>
  <c r="P37" i="117"/>
  <c r="F22" i="116"/>
  <c r="I22" i="118"/>
  <c r="O79" i="119"/>
  <c r="AG38" i="123"/>
  <c r="AF38" i="123"/>
  <c r="N48" i="123"/>
  <c r="N69" i="123"/>
  <c r="AG59" i="123"/>
  <c r="AF59" i="123"/>
  <c r="O59" i="123"/>
  <c r="AG70" i="123"/>
  <c r="N79" i="123"/>
  <c r="O37" i="125"/>
  <c r="AG39" i="125"/>
  <c r="O39" i="125"/>
  <c r="O48" i="125" s="1"/>
  <c r="AF39" i="125"/>
  <c r="Q50" i="107"/>
  <c r="J79" i="107"/>
  <c r="P79" i="107" s="1"/>
  <c r="AF7" i="113"/>
  <c r="AD2" i="113"/>
  <c r="N6" i="112" s="1"/>
  <c r="O40" i="113"/>
  <c r="P51" i="113"/>
  <c r="L51" i="113"/>
  <c r="L58" i="113" s="1"/>
  <c r="H13" i="112" s="1"/>
  <c r="AG60" i="113"/>
  <c r="AF60" i="113"/>
  <c r="O61" i="113"/>
  <c r="Q62" i="113"/>
  <c r="R72" i="113"/>
  <c r="Q72" i="113"/>
  <c r="AG30" i="115"/>
  <c r="R39" i="115"/>
  <c r="AG49" i="115"/>
  <c r="AF49" i="115"/>
  <c r="N58" i="115"/>
  <c r="P70" i="115"/>
  <c r="J79" i="115"/>
  <c r="P79" i="115" s="1"/>
  <c r="AF6" i="117"/>
  <c r="N26" i="117"/>
  <c r="AG16" i="117"/>
  <c r="O16" i="117"/>
  <c r="Q38" i="117"/>
  <c r="AF59" i="117"/>
  <c r="O59" i="117"/>
  <c r="L61" i="119"/>
  <c r="Q61" i="119" s="1"/>
  <c r="O38" i="123"/>
  <c r="AG50" i="123"/>
  <c r="AF50" i="123"/>
  <c r="AF61" i="123"/>
  <c r="AG61" i="123"/>
  <c r="O61" i="123"/>
  <c r="O70" i="123"/>
  <c r="F22" i="124"/>
  <c r="P37" i="125"/>
  <c r="AF51" i="125"/>
  <c r="O51" i="125"/>
  <c r="AG51" i="125"/>
  <c r="K58" i="109"/>
  <c r="P26" i="111"/>
  <c r="E22" i="110"/>
  <c r="R51" i="111"/>
  <c r="Q72" i="111"/>
  <c r="L16" i="115"/>
  <c r="L26" i="115" s="1"/>
  <c r="E13" i="114" s="1"/>
  <c r="K26" i="115"/>
  <c r="AG17" i="115"/>
  <c r="AF17" i="115"/>
  <c r="L62" i="115"/>
  <c r="Q62" i="115" s="1"/>
  <c r="AF17" i="117"/>
  <c r="O17" i="117"/>
  <c r="AE2" i="119"/>
  <c r="O6" i="118" s="1"/>
  <c r="AG50" i="119"/>
  <c r="AF50" i="119"/>
  <c r="L71" i="119"/>
  <c r="Q71" i="119" s="1"/>
  <c r="Z2" i="123"/>
  <c r="L6" i="122" s="1"/>
  <c r="D18" i="122"/>
  <c r="AF7" i="127"/>
  <c r="AG7" i="127"/>
  <c r="O7" i="127"/>
  <c r="R7" i="115"/>
  <c r="N26" i="115"/>
  <c r="AG16" i="115"/>
  <c r="AF16" i="115"/>
  <c r="AF70" i="115"/>
  <c r="G22" i="116"/>
  <c r="P48" i="117"/>
  <c r="AF6" i="119"/>
  <c r="N15" i="119"/>
  <c r="N48" i="119"/>
  <c r="AG38" i="119"/>
  <c r="O38" i="119"/>
  <c r="P49" i="119"/>
  <c r="J58" i="119"/>
  <c r="P58" i="119" s="1"/>
  <c r="R51" i="119"/>
  <c r="AG59" i="119"/>
  <c r="AF59" i="119"/>
  <c r="P28" i="123"/>
  <c r="J37" i="123"/>
  <c r="P37" i="123" s="1"/>
  <c r="Q6" i="127"/>
  <c r="AG17" i="127"/>
  <c r="AF17" i="127"/>
  <c r="O17" i="127"/>
  <c r="P58" i="107"/>
  <c r="G22" i="110"/>
  <c r="Q51" i="111"/>
  <c r="L5" i="113"/>
  <c r="L15" i="113" s="1"/>
  <c r="D13" i="112" s="1"/>
  <c r="J58" i="113"/>
  <c r="P58" i="113" s="1"/>
  <c r="P15" i="115"/>
  <c r="I1" i="115"/>
  <c r="O16" i="115"/>
  <c r="O70" i="115"/>
  <c r="L50" i="117"/>
  <c r="Q50" i="117" s="1"/>
  <c r="AF50" i="117"/>
  <c r="L79" i="117"/>
  <c r="J13" i="116" s="1"/>
  <c r="AG6" i="119"/>
  <c r="L49" i="119"/>
  <c r="O59" i="119"/>
  <c r="P49" i="125"/>
  <c r="L49" i="125"/>
  <c r="L58" i="125" s="1"/>
  <c r="H13" i="124" s="1"/>
  <c r="R6" i="127"/>
  <c r="AG50" i="111"/>
  <c r="AG53" i="113"/>
  <c r="J15" i="117"/>
  <c r="P15" i="117" s="1"/>
  <c r="P5" i="117"/>
  <c r="L6" i="117"/>
  <c r="J69" i="117"/>
  <c r="P59" i="117"/>
  <c r="AG62" i="117"/>
  <c r="O62" i="117"/>
  <c r="J58" i="123"/>
  <c r="P58" i="123" s="1"/>
  <c r="P28" i="125"/>
  <c r="L28" i="125"/>
  <c r="R28" i="125" s="1"/>
  <c r="R5" i="127"/>
  <c r="O15" i="127"/>
  <c r="Q5" i="127"/>
  <c r="AG6" i="127"/>
  <c r="AF6" i="127"/>
  <c r="N15" i="127"/>
  <c r="J48" i="115"/>
  <c r="P48" i="115" s="1"/>
  <c r="Q58" i="117"/>
  <c r="L69" i="117"/>
  <c r="I13" i="116" s="1"/>
  <c r="J6" i="116" s="1"/>
  <c r="K15" i="119"/>
  <c r="L5" i="119"/>
  <c r="AG5" i="119"/>
  <c r="I1" i="119"/>
  <c r="P15" i="119"/>
  <c r="P38" i="119"/>
  <c r="J48" i="119"/>
  <c r="P48" i="119" s="1"/>
  <c r="AG5" i="123"/>
  <c r="N15" i="123"/>
  <c r="AG18" i="123"/>
  <c r="O18" i="123"/>
  <c r="AF18" i="123"/>
  <c r="AF39" i="123"/>
  <c r="O39" i="123"/>
  <c r="K58" i="123"/>
  <c r="J69" i="125"/>
  <c r="P59" i="125"/>
  <c r="L59" i="125"/>
  <c r="L69" i="125" s="1"/>
  <c r="I13" i="124" s="1"/>
  <c r="J6" i="124" s="1"/>
  <c r="O27" i="127"/>
  <c r="N37" i="127"/>
  <c r="AF27" i="127"/>
  <c r="AG27" i="127"/>
  <c r="G1" i="111"/>
  <c r="L30" i="115"/>
  <c r="R30" i="115" s="1"/>
  <c r="L38" i="115"/>
  <c r="L48" i="115" s="1"/>
  <c r="G13" i="114" s="1"/>
  <c r="J58" i="115"/>
  <c r="P58" i="115" s="1"/>
  <c r="L5" i="117"/>
  <c r="AG51" i="117"/>
  <c r="O7" i="119"/>
  <c r="AG7" i="119"/>
  <c r="AF26" i="119"/>
  <c r="L38" i="119"/>
  <c r="L48" i="119" s="1"/>
  <c r="G13" i="118" s="1"/>
  <c r="O5" i="123"/>
  <c r="L26" i="123"/>
  <c r="E13" i="122" s="1"/>
  <c r="F22" i="122"/>
  <c r="L38" i="123"/>
  <c r="O49" i="123"/>
  <c r="N58" i="123"/>
  <c r="AG49" i="123"/>
  <c r="AF49" i="123"/>
  <c r="AF6" i="125"/>
  <c r="O6" i="125"/>
  <c r="O17" i="125"/>
  <c r="AF17" i="125"/>
  <c r="N26" i="125"/>
  <c r="AG17" i="125"/>
  <c r="R50" i="125"/>
  <c r="Q50" i="125"/>
  <c r="G2" i="127"/>
  <c r="J3" i="126"/>
  <c r="J26" i="125"/>
  <c r="P26" i="125" s="1"/>
  <c r="P16" i="125"/>
  <c r="R38" i="125"/>
  <c r="AF50" i="127"/>
  <c r="O50" i="127"/>
  <c r="AG50" i="127"/>
  <c r="Q17" i="119"/>
  <c r="J69" i="119"/>
  <c r="P69" i="119" s="1"/>
  <c r="L28" i="123"/>
  <c r="AF29" i="123"/>
  <c r="O29" i="123"/>
  <c r="P27" i="125"/>
  <c r="J37" i="125"/>
  <c r="AF29" i="125"/>
  <c r="AG38" i="125"/>
  <c r="N48" i="125"/>
  <c r="AG50" i="125"/>
  <c r="AF50" i="125"/>
  <c r="AD2" i="127"/>
  <c r="N6" i="126" s="1"/>
  <c r="E20" i="126"/>
  <c r="P15" i="125"/>
  <c r="D22" i="124"/>
  <c r="Q29" i="125"/>
  <c r="AF18" i="127"/>
  <c r="O18" i="127"/>
  <c r="AG18" i="127"/>
  <c r="AF16" i="119"/>
  <c r="AG17" i="119"/>
  <c r="L62" i="119"/>
  <c r="L69" i="119" s="1"/>
  <c r="I13" i="118" s="1"/>
  <c r="AG51" i="123"/>
  <c r="P7" i="125"/>
  <c r="L7" i="125"/>
  <c r="Q7" i="125" s="1"/>
  <c r="L27" i="125"/>
  <c r="L37" i="125" s="1"/>
  <c r="F13" i="124" s="1"/>
  <c r="Q28" i="125"/>
  <c r="P79" i="117"/>
  <c r="P59" i="123"/>
  <c r="J69" i="123"/>
  <c r="P69" i="123" s="1"/>
  <c r="J79" i="123"/>
  <c r="P79" i="123" s="1"/>
  <c r="P70" i="123"/>
  <c r="J22" i="122"/>
  <c r="E21" i="124"/>
  <c r="AE2" i="125"/>
  <c r="O6" i="124" s="1"/>
  <c r="AG49" i="125"/>
  <c r="N58" i="125"/>
  <c r="R29" i="127"/>
  <c r="AF39" i="127"/>
  <c r="O39" i="127"/>
  <c r="AG39" i="127"/>
  <c r="N48" i="127"/>
  <c r="AF28" i="123"/>
  <c r="K69" i="123"/>
  <c r="AG18" i="125"/>
  <c r="AF18" i="125"/>
  <c r="AF61" i="125"/>
  <c r="O61" i="125"/>
  <c r="R16" i="127"/>
  <c r="L27" i="127"/>
  <c r="L37" i="127" s="1"/>
  <c r="F13" i="126" s="1"/>
  <c r="K37" i="127"/>
  <c r="Q29" i="127"/>
  <c r="AF40" i="127"/>
  <c r="K15" i="123"/>
  <c r="O28" i="123"/>
  <c r="L70" i="123"/>
  <c r="L79" i="123" s="1"/>
  <c r="J13" i="122" s="1"/>
  <c r="J48" i="125"/>
  <c r="P38" i="125"/>
  <c r="P58" i="125"/>
  <c r="AG60" i="125"/>
  <c r="O60" i="125"/>
  <c r="AG61" i="125"/>
  <c r="P69" i="125"/>
  <c r="K79" i="125"/>
  <c r="L70" i="125"/>
  <c r="L79" i="125" s="1"/>
  <c r="J13" i="124" s="1"/>
  <c r="L6" i="127"/>
  <c r="E22" i="126"/>
  <c r="I1" i="127"/>
  <c r="L18" i="127"/>
  <c r="Z2" i="127"/>
  <c r="L6" i="126" s="1"/>
  <c r="E18" i="126"/>
  <c r="P58" i="127"/>
  <c r="AG59" i="127"/>
  <c r="AF59" i="127"/>
  <c r="N69" i="127"/>
  <c r="O59" i="127"/>
  <c r="P79" i="127"/>
  <c r="L6" i="125"/>
  <c r="AF16" i="125"/>
  <c r="O16" i="125"/>
  <c r="N26" i="127"/>
  <c r="AG16" i="127"/>
  <c r="O61" i="127"/>
  <c r="AG61" i="127"/>
  <c r="AF61" i="127"/>
  <c r="AA2" i="125"/>
  <c r="M6" i="124" s="1"/>
  <c r="AF16" i="127"/>
  <c r="AF38" i="127"/>
  <c r="O38" i="127"/>
  <c r="N58" i="127"/>
  <c r="AF49" i="127"/>
  <c r="O49" i="127"/>
  <c r="AG60" i="127"/>
  <c r="P70" i="127"/>
  <c r="K48" i="127"/>
  <c r="K69" i="127"/>
  <c r="O60" i="127"/>
  <c r="L70" i="127"/>
  <c r="L79" i="127" s="1"/>
  <c r="J13" i="126" s="1"/>
  <c r="R52" i="123" l="1"/>
  <c r="Q52" i="123"/>
  <c r="R30" i="123"/>
  <c r="AF26" i="123"/>
  <c r="Q51" i="123"/>
  <c r="L58" i="123"/>
  <c r="H13" i="122" s="1"/>
  <c r="L48" i="123"/>
  <c r="G13" i="122" s="1"/>
  <c r="L37" i="123"/>
  <c r="F13" i="122" s="1"/>
  <c r="E13" i="102"/>
  <c r="Q26" i="103"/>
  <c r="R26" i="103"/>
  <c r="S16" i="103" s="1"/>
  <c r="E14" i="92"/>
  <c r="E15" i="92" s="1"/>
  <c r="R26" i="93"/>
  <c r="S16" i="93" s="1"/>
  <c r="Q26" i="93"/>
  <c r="H14" i="114"/>
  <c r="H15" i="114" s="1"/>
  <c r="R58" i="115"/>
  <c r="S49" i="115" s="1"/>
  <c r="G2" i="129"/>
  <c r="J3" i="128"/>
  <c r="R58" i="73"/>
  <c r="S49" i="73" s="1"/>
  <c r="H14" i="72"/>
  <c r="H15" i="72" s="1"/>
  <c r="Q15" i="3"/>
  <c r="D14" i="2"/>
  <c r="E14" i="86"/>
  <c r="E15" i="86" s="1"/>
  <c r="R26" i="87"/>
  <c r="S16" i="87" s="1"/>
  <c r="Q26" i="87"/>
  <c r="F6" i="92"/>
  <c r="H6" i="92"/>
  <c r="R48" i="125"/>
  <c r="S38" i="125" s="1"/>
  <c r="G14" i="124"/>
  <c r="G15" i="124" s="1"/>
  <c r="J14" i="84"/>
  <c r="I14" i="108"/>
  <c r="R69" i="109"/>
  <c r="S59" i="109" s="1"/>
  <c r="R69" i="93"/>
  <c r="S59" i="93" s="1"/>
  <c r="I14" i="92"/>
  <c r="G2" i="131"/>
  <c r="J3" i="130"/>
  <c r="J6" i="118"/>
  <c r="R69" i="131"/>
  <c r="S59" i="131" s="1"/>
  <c r="I14" i="130"/>
  <c r="D14" i="116"/>
  <c r="R48" i="87"/>
  <c r="S38" i="87" s="1"/>
  <c r="G14" i="86"/>
  <c r="G15" i="86" s="1"/>
  <c r="AG58" i="129"/>
  <c r="AH49" i="129" s="1"/>
  <c r="AF58" i="129"/>
  <c r="Q58" i="129"/>
  <c r="AG69" i="115"/>
  <c r="AH59" i="115" s="1"/>
  <c r="Q69" i="115"/>
  <c r="AF69" i="115"/>
  <c r="Q40" i="85"/>
  <c r="R40" i="85"/>
  <c r="R50" i="119"/>
  <c r="Q50" i="119"/>
  <c r="R62" i="105"/>
  <c r="Q62" i="105"/>
  <c r="AG48" i="109"/>
  <c r="AH38" i="109" s="1"/>
  <c r="Q48" i="109"/>
  <c r="AF48" i="109"/>
  <c r="R37" i="71"/>
  <c r="S27" i="71" s="1"/>
  <c r="F14" i="70"/>
  <c r="F15" i="70" s="1"/>
  <c r="L15" i="3"/>
  <c r="D13" i="2" s="1"/>
  <c r="R5" i="3"/>
  <c r="Q5" i="3"/>
  <c r="E14" i="2"/>
  <c r="E15" i="2" s="1"/>
  <c r="R26" i="3"/>
  <c r="S16" i="3" s="1"/>
  <c r="Q26" i="3"/>
  <c r="R17" i="131"/>
  <c r="Q17" i="131"/>
  <c r="AG26" i="103"/>
  <c r="AH16" i="103" s="1"/>
  <c r="AF26" i="103"/>
  <c r="Q40" i="81"/>
  <c r="R40" i="81"/>
  <c r="Q17" i="91"/>
  <c r="R17" i="91"/>
  <c r="R28" i="79"/>
  <c r="Q28" i="79"/>
  <c r="J3" i="110"/>
  <c r="G2" i="111"/>
  <c r="H6" i="100"/>
  <c r="F6" i="100"/>
  <c r="Q50" i="87"/>
  <c r="R50" i="87"/>
  <c r="Q28" i="127"/>
  <c r="R28" i="127"/>
  <c r="AF37" i="101"/>
  <c r="Q37" i="101"/>
  <c r="AG37" i="101"/>
  <c r="AH27" i="101" s="1"/>
  <c r="L48" i="113"/>
  <c r="G13" i="112" s="1"/>
  <c r="AG6" i="129"/>
  <c r="O6" i="129"/>
  <c r="AF6" i="129"/>
  <c r="R29" i="69"/>
  <c r="Q29" i="69"/>
  <c r="R28" i="77"/>
  <c r="Q28" i="77"/>
  <c r="O37" i="77"/>
  <c r="R50" i="95"/>
  <c r="AG48" i="123"/>
  <c r="AH38" i="123" s="1"/>
  <c r="AF48" i="123"/>
  <c r="Q48" i="123"/>
  <c r="R29" i="109"/>
  <c r="R61" i="117"/>
  <c r="Q61" i="117"/>
  <c r="Q40" i="111"/>
  <c r="R40" i="111"/>
  <c r="AF79" i="69"/>
  <c r="AG79" i="69"/>
  <c r="AH70" i="69" s="1"/>
  <c r="Q79" i="69"/>
  <c r="R59" i="81"/>
  <c r="Q59" i="81"/>
  <c r="L69" i="81"/>
  <c r="I13" i="80" s="1"/>
  <c r="J6" i="80" s="1"/>
  <c r="L48" i="75"/>
  <c r="G13" i="74" s="1"/>
  <c r="Q61" i="89"/>
  <c r="R61" i="89"/>
  <c r="AF15" i="95"/>
  <c r="AG15" i="95"/>
  <c r="AH5" i="95" s="1"/>
  <c r="Q7" i="83"/>
  <c r="R7" i="83"/>
  <c r="R39" i="83"/>
  <c r="Q39" i="83"/>
  <c r="Q60" i="101"/>
  <c r="R60" i="101"/>
  <c r="O69" i="101"/>
  <c r="AG48" i="93"/>
  <c r="AH38" i="93" s="1"/>
  <c r="Q48" i="93"/>
  <c r="AF48" i="93"/>
  <c r="AG15" i="73"/>
  <c r="AH5" i="73" s="1"/>
  <c r="AF15" i="73"/>
  <c r="Q7" i="3"/>
  <c r="R7" i="3"/>
  <c r="Q28" i="91"/>
  <c r="R28" i="91"/>
  <c r="O37" i="91"/>
  <c r="O48" i="77"/>
  <c r="R38" i="77"/>
  <c r="Q38" i="77"/>
  <c r="Q61" i="77"/>
  <c r="Q48" i="129"/>
  <c r="AF48" i="129"/>
  <c r="AG48" i="129"/>
  <c r="AH38" i="129" s="1"/>
  <c r="Q48" i="87"/>
  <c r="AG48" i="87"/>
  <c r="AH38" i="87" s="1"/>
  <c r="AF48" i="87"/>
  <c r="J14" i="78"/>
  <c r="R79" i="79"/>
  <c r="S70" i="79" s="1"/>
  <c r="J15" i="78" s="1"/>
  <c r="Q58" i="77"/>
  <c r="AG58" i="77"/>
  <c r="AH49" i="77" s="1"/>
  <c r="AF58" i="77"/>
  <c r="Q70" i="69"/>
  <c r="Q26" i="71"/>
  <c r="R26" i="71"/>
  <c r="S16" i="71" s="1"/>
  <c r="E14" i="70"/>
  <c r="E15" i="70" s="1"/>
  <c r="F14" i="82"/>
  <c r="F15" i="82" s="1"/>
  <c r="R29" i="75"/>
  <c r="L15" i="119"/>
  <c r="D13" i="118" s="1"/>
  <c r="R5" i="119"/>
  <c r="Q5" i="119"/>
  <c r="R39" i="105"/>
  <c r="Q39" i="105"/>
  <c r="AG79" i="107"/>
  <c r="AH70" i="107" s="1"/>
  <c r="AF79" i="107"/>
  <c r="Q79" i="107"/>
  <c r="R58" i="87"/>
  <c r="S49" i="87" s="1"/>
  <c r="H14" i="86"/>
  <c r="H15" i="86" s="1"/>
  <c r="R30" i="87"/>
  <c r="Q30" i="87"/>
  <c r="R62" i="87"/>
  <c r="Q62" i="87"/>
  <c r="Q48" i="91"/>
  <c r="AF48" i="91"/>
  <c r="AG48" i="91"/>
  <c r="AH38" i="91" s="1"/>
  <c r="Q61" i="103"/>
  <c r="R61" i="103"/>
  <c r="Q79" i="111"/>
  <c r="AG79" i="111"/>
  <c r="AH70" i="111" s="1"/>
  <c r="AF79" i="111"/>
  <c r="Q49" i="127"/>
  <c r="R49" i="127"/>
  <c r="O58" i="127"/>
  <c r="Q61" i="111"/>
  <c r="R61" i="111"/>
  <c r="O69" i="105"/>
  <c r="Q59" i="105"/>
  <c r="R59" i="105"/>
  <c r="J3" i="122"/>
  <c r="G2" i="123"/>
  <c r="Q69" i="103"/>
  <c r="AF69" i="103"/>
  <c r="AG69" i="103"/>
  <c r="AH59" i="103" s="1"/>
  <c r="R30" i="111"/>
  <c r="Q30" i="111"/>
  <c r="J14" i="92"/>
  <c r="R79" i="93"/>
  <c r="S70" i="93" s="1"/>
  <c r="J15" i="92" s="1"/>
  <c r="Q70" i="111"/>
  <c r="O79" i="111"/>
  <c r="R70" i="111"/>
  <c r="R30" i="131"/>
  <c r="Q30" i="131"/>
  <c r="R52" i="111"/>
  <c r="Q52" i="111"/>
  <c r="R38" i="89"/>
  <c r="O48" i="89"/>
  <c r="Q38" i="89"/>
  <c r="Q37" i="111"/>
  <c r="AF31" i="129"/>
  <c r="AG31" i="129"/>
  <c r="O31" i="129"/>
  <c r="R17" i="107"/>
  <c r="R5" i="81"/>
  <c r="Q5" i="81"/>
  <c r="O15" i="81"/>
  <c r="Q26" i="119"/>
  <c r="E14" i="118"/>
  <c r="E15" i="118" s="1"/>
  <c r="R69" i="69"/>
  <c r="S59" i="69" s="1"/>
  <c r="I14" i="68"/>
  <c r="R40" i="93"/>
  <c r="Q40" i="93"/>
  <c r="R18" i="69"/>
  <c r="Q18" i="69"/>
  <c r="AG15" i="71"/>
  <c r="AH5" i="71" s="1"/>
  <c r="AF15" i="71"/>
  <c r="R18" i="101"/>
  <c r="Q18" i="101"/>
  <c r="R60" i="119"/>
  <c r="Q60" i="119"/>
  <c r="L58" i="83"/>
  <c r="H13" i="82" s="1"/>
  <c r="Q30" i="91"/>
  <c r="R30" i="91"/>
  <c r="Q27" i="71"/>
  <c r="Q16" i="127"/>
  <c r="AF48" i="125"/>
  <c r="AG48" i="125"/>
  <c r="AH38" i="125" s="1"/>
  <c r="Q48" i="125"/>
  <c r="Q37" i="127"/>
  <c r="AG37" i="127"/>
  <c r="AH27" i="127" s="1"/>
  <c r="AF37" i="127"/>
  <c r="R59" i="119"/>
  <c r="Q59" i="119"/>
  <c r="O69" i="119"/>
  <c r="R61" i="113"/>
  <c r="Q61" i="113"/>
  <c r="R6" i="109"/>
  <c r="Q6" i="109"/>
  <c r="H6" i="88"/>
  <c r="L15" i="107"/>
  <c r="D13" i="106" s="1"/>
  <c r="L48" i="81"/>
  <c r="G13" i="80" s="1"/>
  <c r="Q52" i="109"/>
  <c r="R52" i="109"/>
  <c r="R30" i="79"/>
  <c r="Q30" i="79"/>
  <c r="Q28" i="115"/>
  <c r="R28" i="115"/>
  <c r="AG79" i="89"/>
  <c r="AH70" i="89" s="1"/>
  <c r="AF79" i="89"/>
  <c r="Q79" i="89"/>
  <c r="R51" i="71"/>
  <c r="R69" i="79"/>
  <c r="S59" i="79" s="1"/>
  <c r="I14" i="78"/>
  <c r="L79" i="115"/>
  <c r="J13" i="114" s="1"/>
  <c r="R49" i="83"/>
  <c r="Q49" i="83"/>
  <c r="O58" i="83"/>
  <c r="R27" i="81"/>
  <c r="Q27" i="81"/>
  <c r="L37" i="81"/>
  <c r="F13" i="80" s="1"/>
  <c r="H6" i="80" s="1"/>
  <c r="R17" i="71"/>
  <c r="Q18" i="81"/>
  <c r="R49" i="121"/>
  <c r="Q49" i="121"/>
  <c r="O58" i="121"/>
  <c r="R27" i="71"/>
  <c r="Q70" i="129"/>
  <c r="R28" i="3"/>
  <c r="Q28" i="3"/>
  <c r="AG48" i="77"/>
  <c r="AH38" i="77" s="1"/>
  <c r="AF48" i="77"/>
  <c r="Q48" i="77"/>
  <c r="Q38" i="129"/>
  <c r="O48" i="129"/>
  <c r="R38" i="129"/>
  <c r="Q28" i="83"/>
  <c r="R60" i="73"/>
  <c r="Q60" i="73"/>
  <c r="AF58" i="71"/>
  <c r="AG58" i="71"/>
  <c r="AH49" i="71" s="1"/>
  <c r="Q58" i="71"/>
  <c r="R79" i="69"/>
  <c r="S70" i="69" s="1"/>
  <c r="J15" i="68" s="1"/>
  <c r="J14" i="68"/>
  <c r="AG26" i="73"/>
  <c r="AH16" i="73" s="1"/>
  <c r="AF26" i="73"/>
  <c r="L26" i="73"/>
  <c r="E13" i="72" s="1"/>
  <c r="R31" i="79"/>
  <c r="Q31" i="79"/>
  <c r="Q29" i="77"/>
  <c r="R29" i="77"/>
  <c r="R40" i="121"/>
  <c r="Q40" i="121"/>
  <c r="R50" i="91"/>
  <c r="Q50" i="91"/>
  <c r="O69" i="127"/>
  <c r="R59" i="127"/>
  <c r="Q59" i="127"/>
  <c r="Q6" i="125"/>
  <c r="R6" i="125"/>
  <c r="O37" i="127"/>
  <c r="Q27" i="127"/>
  <c r="R27" i="127"/>
  <c r="R40" i="127"/>
  <c r="L58" i="119"/>
  <c r="H13" i="118" s="1"/>
  <c r="AG26" i="115"/>
  <c r="AH16" i="115" s="1"/>
  <c r="AF26" i="115"/>
  <c r="R28" i="117"/>
  <c r="Q27" i="125"/>
  <c r="O37" i="115"/>
  <c r="R39" i="119"/>
  <c r="Q39" i="119"/>
  <c r="Q61" i="115"/>
  <c r="R61" i="115"/>
  <c r="R62" i="111"/>
  <c r="O15" i="109"/>
  <c r="L15" i="95"/>
  <c r="D13" i="94" s="1"/>
  <c r="R27" i="107"/>
  <c r="Q27" i="107"/>
  <c r="O37" i="107"/>
  <c r="J3" i="108"/>
  <c r="G2" i="109"/>
  <c r="Q7" i="93"/>
  <c r="L69" i="87"/>
  <c r="I13" i="86" s="1"/>
  <c r="J6" i="86" s="1"/>
  <c r="Q49" i="95"/>
  <c r="R49" i="95"/>
  <c r="O58" i="95"/>
  <c r="AG58" i="103"/>
  <c r="AH49" i="103" s="1"/>
  <c r="AF58" i="103"/>
  <c r="Q58" i="103"/>
  <c r="Q40" i="95"/>
  <c r="R40" i="95"/>
  <c r="Q29" i="87"/>
  <c r="R29" i="87"/>
  <c r="Q16" i="131"/>
  <c r="R16" i="131"/>
  <c r="O26" i="131"/>
  <c r="O37" i="73"/>
  <c r="R27" i="73"/>
  <c r="Q27" i="73"/>
  <c r="Q5" i="109"/>
  <c r="L15" i="109"/>
  <c r="D13" i="108" s="1"/>
  <c r="Q60" i="131"/>
  <c r="Q59" i="89"/>
  <c r="Q69" i="81"/>
  <c r="AF69" i="81"/>
  <c r="AG69" i="81"/>
  <c r="AH59" i="81" s="1"/>
  <c r="Q50" i="115"/>
  <c r="Q6" i="107"/>
  <c r="AG15" i="131"/>
  <c r="AH5" i="131" s="1"/>
  <c r="AF15" i="131"/>
  <c r="Q50" i="93"/>
  <c r="R50" i="93"/>
  <c r="R6" i="79"/>
  <c r="Q6" i="79"/>
  <c r="H6" i="76"/>
  <c r="Q37" i="121"/>
  <c r="AG37" i="121"/>
  <c r="AH27" i="121" s="1"/>
  <c r="AF37" i="121"/>
  <c r="AG48" i="105"/>
  <c r="AH38" i="105" s="1"/>
  <c r="AF48" i="105"/>
  <c r="Q48" i="105"/>
  <c r="Q60" i="91"/>
  <c r="O69" i="91"/>
  <c r="R60" i="91"/>
  <c r="Q17" i="95"/>
  <c r="R18" i="3"/>
  <c r="Q18" i="3"/>
  <c r="R18" i="109"/>
  <c r="Q18" i="109"/>
  <c r="Q69" i="93"/>
  <c r="AF69" i="93"/>
  <c r="AG69" i="93"/>
  <c r="AH59" i="93" s="1"/>
  <c r="Q37" i="83"/>
  <c r="AG37" i="83"/>
  <c r="AH27" i="83" s="1"/>
  <c r="AF37" i="83"/>
  <c r="Q18" i="129"/>
  <c r="R18" i="129"/>
  <c r="R51" i="89"/>
  <c r="Q51" i="89"/>
  <c r="Q37" i="69"/>
  <c r="AF37" i="69"/>
  <c r="AG37" i="69"/>
  <c r="AH27" i="69" s="1"/>
  <c r="L79" i="111"/>
  <c r="J13" i="110" s="1"/>
  <c r="Q49" i="111"/>
  <c r="O58" i="111"/>
  <c r="R49" i="111"/>
  <c r="R28" i="93"/>
  <c r="Q28" i="93"/>
  <c r="AF26" i="71"/>
  <c r="AG26" i="71"/>
  <c r="AH16" i="71" s="1"/>
  <c r="AF26" i="121"/>
  <c r="AG26" i="121"/>
  <c r="AH16" i="121" s="1"/>
  <c r="R62" i="73"/>
  <c r="Q62" i="73"/>
  <c r="R70" i="129"/>
  <c r="R16" i="83"/>
  <c r="Q16" i="83"/>
  <c r="O26" i="83"/>
  <c r="AG48" i="121"/>
  <c r="AH38" i="121" s="1"/>
  <c r="AF48" i="121"/>
  <c r="Q48" i="121"/>
  <c r="AF58" i="89"/>
  <c r="AG58" i="89"/>
  <c r="AH49" i="89" s="1"/>
  <c r="Q58" i="89"/>
  <c r="Q69" i="69"/>
  <c r="AF69" i="69"/>
  <c r="AG69" i="69"/>
  <c r="AH59" i="69" s="1"/>
  <c r="R20" i="69"/>
  <c r="L26" i="69"/>
  <c r="E13" i="68" s="1"/>
  <c r="H6" i="68" s="1"/>
  <c r="AF15" i="109"/>
  <c r="R70" i="81"/>
  <c r="R60" i="125"/>
  <c r="Q60" i="125"/>
  <c r="Q49" i="123"/>
  <c r="O58" i="123"/>
  <c r="R49" i="123"/>
  <c r="R59" i="123"/>
  <c r="Q59" i="123"/>
  <c r="O69" i="123"/>
  <c r="O58" i="119"/>
  <c r="R49" i="119"/>
  <c r="Q49" i="119"/>
  <c r="Q40" i="91"/>
  <c r="R40" i="91"/>
  <c r="Q48" i="101"/>
  <c r="AG48" i="101"/>
  <c r="AH38" i="101" s="1"/>
  <c r="AF48" i="101"/>
  <c r="R60" i="117"/>
  <c r="Q60" i="117"/>
  <c r="R16" i="111"/>
  <c r="O26" i="111"/>
  <c r="Q16" i="111"/>
  <c r="Q8" i="93"/>
  <c r="R8" i="93"/>
  <c r="R39" i="91"/>
  <c r="Q39" i="91"/>
  <c r="R50" i="101"/>
  <c r="Q50" i="101"/>
  <c r="Q79" i="117"/>
  <c r="AG79" i="117"/>
  <c r="AH70" i="117" s="1"/>
  <c r="AF79" i="117"/>
  <c r="O69" i="83"/>
  <c r="R59" i="83"/>
  <c r="Q59" i="83"/>
  <c r="R6" i="111"/>
  <c r="Q6" i="111"/>
  <c r="Q19" i="107"/>
  <c r="R19" i="107"/>
  <c r="Q40" i="123"/>
  <c r="R40" i="123"/>
  <c r="R30" i="85"/>
  <c r="Q30" i="85"/>
  <c r="H14" i="130"/>
  <c r="R58" i="131"/>
  <c r="S49" i="131" s="1"/>
  <c r="G2" i="87"/>
  <c r="J3" i="86"/>
  <c r="Q59" i="91"/>
  <c r="L69" i="91"/>
  <c r="I13" i="90" s="1"/>
  <c r="J6" i="90" s="1"/>
  <c r="R59" i="91"/>
  <c r="Q38" i="79"/>
  <c r="O48" i="79"/>
  <c r="R38" i="79"/>
  <c r="Q9" i="73"/>
  <c r="R9" i="73"/>
  <c r="Q58" i="113"/>
  <c r="AG58" i="113"/>
  <c r="AH49" i="113" s="1"/>
  <c r="AF58" i="113"/>
  <c r="AG37" i="79"/>
  <c r="AH27" i="79" s="1"/>
  <c r="AF37" i="79"/>
  <c r="Q37" i="79"/>
  <c r="R6" i="113"/>
  <c r="Q6" i="113"/>
  <c r="Q38" i="107"/>
  <c r="O48" i="107"/>
  <c r="R38" i="107"/>
  <c r="R62" i="83"/>
  <c r="Q62" i="83"/>
  <c r="R17" i="75"/>
  <c r="Q17" i="75"/>
  <c r="AG58" i="91"/>
  <c r="AH49" i="91" s="1"/>
  <c r="Q58" i="91"/>
  <c r="AF58" i="91"/>
  <c r="R29" i="73"/>
  <c r="Q29" i="73"/>
  <c r="Q37" i="71"/>
  <c r="AF37" i="71"/>
  <c r="AG37" i="71"/>
  <c r="AH27" i="71" s="1"/>
  <c r="Q70" i="83"/>
  <c r="O79" i="83"/>
  <c r="R70" i="83"/>
  <c r="Q61" i="125"/>
  <c r="R61" i="125"/>
  <c r="O26" i="115"/>
  <c r="R16" i="115"/>
  <c r="Q16" i="115"/>
  <c r="O58" i="93"/>
  <c r="Q49" i="93"/>
  <c r="R49" i="93"/>
  <c r="Q5" i="89"/>
  <c r="O15" i="89"/>
  <c r="R5" i="89"/>
  <c r="L58" i="107"/>
  <c r="H13" i="106" s="1"/>
  <c r="R49" i="107"/>
  <c r="Q49" i="107"/>
  <c r="R38" i="95"/>
  <c r="Q38" i="95"/>
  <c r="O48" i="95"/>
  <c r="Q19" i="93"/>
  <c r="Q16" i="73"/>
  <c r="O26" i="73"/>
  <c r="R16" i="73"/>
  <c r="R18" i="107"/>
  <c r="Q18" i="107"/>
  <c r="Q61" i="83"/>
  <c r="R61" i="83"/>
  <c r="J3" i="92"/>
  <c r="G2" i="93"/>
  <c r="R7" i="85"/>
  <c r="Q7" i="85"/>
  <c r="O37" i="69"/>
  <c r="R27" i="69"/>
  <c r="Q27" i="69"/>
  <c r="Q38" i="103"/>
  <c r="O48" i="103"/>
  <c r="R38" i="103"/>
  <c r="R6" i="93"/>
  <c r="Q6" i="93"/>
  <c r="AG48" i="89"/>
  <c r="AH38" i="89" s="1"/>
  <c r="AF48" i="89"/>
  <c r="Q48" i="89"/>
  <c r="R79" i="129"/>
  <c r="S70" i="129" s="1"/>
  <c r="J15" i="128" s="1"/>
  <c r="J14" i="128"/>
  <c r="H6" i="82"/>
  <c r="Q7" i="129"/>
  <c r="R7" i="129"/>
  <c r="R7" i="79"/>
  <c r="Q7" i="79"/>
  <c r="Q16" i="125"/>
  <c r="R16" i="125"/>
  <c r="O26" i="125"/>
  <c r="Q70" i="107"/>
  <c r="O79" i="107"/>
  <c r="R70" i="107"/>
  <c r="Q60" i="95"/>
  <c r="L69" i="111"/>
  <c r="I13" i="110" s="1"/>
  <c r="R59" i="111"/>
  <c r="O26" i="81"/>
  <c r="Q16" i="81"/>
  <c r="R16" i="81"/>
  <c r="O48" i="109"/>
  <c r="R38" i="109"/>
  <c r="Q38" i="109"/>
  <c r="R27" i="105"/>
  <c r="Q27" i="105"/>
  <c r="L37" i="105"/>
  <c r="F13" i="104" s="1"/>
  <c r="H6" i="104" s="1"/>
  <c r="Q38" i="91"/>
  <c r="R38" i="91"/>
  <c r="O48" i="91"/>
  <c r="Q28" i="95"/>
  <c r="R28" i="95"/>
  <c r="L69" i="83"/>
  <c r="I13" i="82" s="1"/>
  <c r="J6" i="82" s="1"/>
  <c r="O15" i="79"/>
  <c r="R5" i="79"/>
  <c r="Q5" i="79"/>
  <c r="R40" i="131"/>
  <c r="Q40" i="131"/>
  <c r="R52" i="101"/>
  <c r="Q52" i="101"/>
  <c r="R52" i="81"/>
  <c r="Q48" i="103"/>
  <c r="AF48" i="103"/>
  <c r="AG48" i="103"/>
  <c r="AH38" i="103" s="1"/>
  <c r="Q5" i="87"/>
  <c r="AF26" i="105"/>
  <c r="AG26" i="105"/>
  <c r="AH16" i="105" s="1"/>
  <c r="R18" i="75"/>
  <c r="Q18" i="75"/>
  <c r="R26" i="77"/>
  <c r="S16" i="77" s="1"/>
  <c r="Q26" i="77"/>
  <c r="E14" i="76"/>
  <c r="E15" i="76" s="1"/>
  <c r="Q69" i="71"/>
  <c r="AF69" i="71"/>
  <c r="AG69" i="71"/>
  <c r="AH59" i="71" s="1"/>
  <c r="J3" i="120"/>
  <c r="G2" i="121"/>
  <c r="Q16" i="117"/>
  <c r="R16" i="117"/>
  <c r="O26" i="117"/>
  <c r="AG69" i="123"/>
  <c r="AH59" i="123" s="1"/>
  <c r="AF69" i="123"/>
  <c r="Q69" i="123"/>
  <c r="L79" i="119"/>
  <c r="J13" i="118" s="1"/>
  <c r="Q70" i="119"/>
  <c r="Q30" i="103"/>
  <c r="R30" i="103"/>
  <c r="AG69" i="105"/>
  <c r="AH59" i="105" s="1"/>
  <c r="Q69" i="105"/>
  <c r="AF69" i="105"/>
  <c r="AG79" i="109"/>
  <c r="AH70" i="109" s="1"/>
  <c r="Q79" i="109"/>
  <c r="AF79" i="109"/>
  <c r="R17" i="119"/>
  <c r="L26" i="119"/>
  <c r="E13" i="118" s="1"/>
  <c r="AG15" i="111"/>
  <c r="AH5" i="111" s="1"/>
  <c r="AF15" i="111"/>
  <c r="R60" i="95"/>
  <c r="Q7" i="111"/>
  <c r="R7" i="111"/>
  <c r="R62" i="85"/>
  <c r="Q62" i="85"/>
  <c r="AF78" i="131"/>
  <c r="AG78" i="131"/>
  <c r="AH70" i="131" s="1"/>
  <c r="Q78" i="131"/>
  <c r="G2" i="103"/>
  <c r="J3" i="102"/>
  <c r="I14" i="128"/>
  <c r="Q37" i="87"/>
  <c r="AF37" i="87"/>
  <c r="AG37" i="87"/>
  <c r="AH27" i="87" s="1"/>
  <c r="AF58" i="109"/>
  <c r="AG58" i="109"/>
  <c r="AH49" i="109" s="1"/>
  <c r="Q58" i="109"/>
  <c r="R18" i="73"/>
  <c r="Q18" i="73"/>
  <c r="AG69" i="131"/>
  <c r="AH59" i="131" s="1"/>
  <c r="Q69" i="131"/>
  <c r="AF69" i="131"/>
  <c r="R28" i="107"/>
  <c r="Q28" i="107"/>
  <c r="AF37" i="77"/>
  <c r="AG37" i="77"/>
  <c r="AH27" i="77" s="1"/>
  <c r="Q37" i="77"/>
  <c r="Q40" i="83"/>
  <c r="R40" i="83"/>
  <c r="R8" i="107"/>
  <c r="Q8" i="107"/>
  <c r="Q17" i="69"/>
  <c r="L15" i="131"/>
  <c r="D13" i="130" s="1"/>
  <c r="Q69" i="101"/>
  <c r="AF69" i="101"/>
  <c r="AG69" i="101"/>
  <c r="AH59" i="101" s="1"/>
  <c r="AF26" i="77"/>
  <c r="AG26" i="77"/>
  <c r="AH16" i="77" s="1"/>
  <c r="R52" i="107"/>
  <c r="Q52" i="107"/>
  <c r="L15" i="129"/>
  <c r="D13" i="128" s="1"/>
  <c r="Q61" i="87"/>
  <c r="Q27" i="83"/>
  <c r="R7" i="125"/>
  <c r="AF26" i="125"/>
  <c r="AG26" i="125"/>
  <c r="AH16" i="125" s="1"/>
  <c r="J3" i="116"/>
  <c r="G2" i="117"/>
  <c r="Q40" i="125"/>
  <c r="R40" i="125"/>
  <c r="Q5" i="115"/>
  <c r="O15" i="115"/>
  <c r="R5" i="115"/>
  <c r="AG79" i="81"/>
  <c r="AH70" i="81" s="1"/>
  <c r="AF79" i="81"/>
  <c r="Q79" i="81"/>
  <c r="H6" i="124"/>
  <c r="F6" i="124"/>
  <c r="L37" i="117"/>
  <c r="F13" i="116" s="1"/>
  <c r="Q69" i="3"/>
  <c r="AF69" i="3"/>
  <c r="AG69" i="3"/>
  <c r="AH59" i="3" s="1"/>
  <c r="R61" i="73"/>
  <c r="Q61" i="73"/>
  <c r="AF69" i="113"/>
  <c r="AG69" i="113"/>
  <c r="AH59" i="113" s="1"/>
  <c r="Q69" i="113"/>
  <c r="R79" i="91"/>
  <c r="S70" i="91" s="1"/>
  <c r="J15" i="90" s="1"/>
  <c r="J14" i="90"/>
  <c r="AF69" i="119"/>
  <c r="AG69" i="119"/>
  <c r="AH59" i="119" s="1"/>
  <c r="Q69" i="119"/>
  <c r="AF26" i="107"/>
  <c r="AG26" i="107"/>
  <c r="AH16" i="107" s="1"/>
  <c r="R28" i="131"/>
  <c r="Q28" i="131"/>
  <c r="O37" i="101"/>
  <c r="R29" i="101"/>
  <c r="Q29" i="101"/>
  <c r="Q29" i="91"/>
  <c r="R29" i="91"/>
  <c r="Q29" i="111"/>
  <c r="R29" i="111"/>
  <c r="O69" i="103"/>
  <c r="R70" i="127"/>
  <c r="O79" i="127"/>
  <c r="Q70" i="127"/>
  <c r="AG79" i="105"/>
  <c r="AH70" i="105" s="1"/>
  <c r="Q79" i="105"/>
  <c r="AF79" i="105"/>
  <c r="Q52" i="131"/>
  <c r="R52" i="131"/>
  <c r="Q58" i="87"/>
  <c r="R17" i="73"/>
  <c r="Q17" i="73"/>
  <c r="R6" i="73"/>
  <c r="Q6" i="73"/>
  <c r="AG15" i="81"/>
  <c r="AH5" i="81" s="1"/>
  <c r="AF15" i="81"/>
  <c r="R61" i="121"/>
  <c r="R7" i="81"/>
  <c r="AF48" i="71"/>
  <c r="Q48" i="71"/>
  <c r="AG48" i="71"/>
  <c r="AH38" i="71" s="1"/>
  <c r="AF58" i="111"/>
  <c r="Q58" i="111"/>
  <c r="AG58" i="111"/>
  <c r="AH49" i="111" s="1"/>
  <c r="R61" i="95"/>
  <c r="Q61" i="95"/>
  <c r="R39" i="85"/>
  <c r="Q39" i="85"/>
  <c r="O48" i="85"/>
  <c r="R5" i="75"/>
  <c r="Q5" i="75"/>
  <c r="O15" i="75"/>
  <c r="H6" i="78"/>
  <c r="F6" i="78"/>
  <c r="R8" i="69"/>
  <c r="Q8" i="69"/>
  <c r="J3" i="88"/>
  <c r="G2" i="89"/>
  <c r="E2" i="119"/>
  <c r="R15" i="119"/>
  <c r="S5" i="119" s="1"/>
  <c r="D14" i="118"/>
  <c r="Q15" i="119"/>
  <c r="D14" i="76"/>
  <c r="E2" i="77"/>
  <c r="R15" i="77"/>
  <c r="S5" i="77" s="1"/>
  <c r="Q15" i="77"/>
  <c r="Q62" i="109"/>
  <c r="R62" i="109"/>
  <c r="O79" i="89"/>
  <c r="Q70" i="89"/>
  <c r="R70" i="89"/>
  <c r="R48" i="69"/>
  <c r="S38" i="69" s="1"/>
  <c r="G14" i="68"/>
  <c r="G15" i="68" s="1"/>
  <c r="R30" i="107"/>
  <c r="Q30" i="107"/>
  <c r="Q9" i="93"/>
  <c r="R9" i="93"/>
  <c r="R59" i="121"/>
  <c r="Q59" i="121"/>
  <c r="O69" i="121"/>
  <c r="R30" i="75"/>
  <c r="Q30" i="75"/>
  <c r="Q48" i="79"/>
  <c r="AG48" i="79"/>
  <c r="AH38" i="79" s="1"/>
  <c r="AF48" i="79"/>
  <c r="L58" i="121"/>
  <c r="H13" i="120" s="1"/>
  <c r="H6" i="120" s="1"/>
  <c r="Q37" i="91"/>
  <c r="AF37" i="91"/>
  <c r="AG37" i="91"/>
  <c r="AH27" i="91" s="1"/>
  <c r="L58" i="95"/>
  <c r="H13" i="94" s="1"/>
  <c r="Q49" i="77"/>
  <c r="O58" i="77"/>
  <c r="R49" i="77"/>
  <c r="O58" i="71"/>
  <c r="R49" i="71"/>
  <c r="Q49" i="71"/>
  <c r="R70" i="69"/>
  <c r="Q51" i="129"/>
  <c r="R51" i="129"/>
  <c r="R40" i="69"/>
  <c r="Q40" i="69"/>
  <c r="D14" i="94"/>
  <c r="R18" i="89"/>
  <c r="R62" i="75"/>
  <c r="Q62" i="75"/>
  <c r="R28" i="123"/>
  <c r="Q28" i="123"/>
  <c r="Q17" i="125"/>
  <c r="R17" i="125"/>
  <c r="AF15" i="123"/>
  <c r="AG15" i="123"/>
  <c r="AH5" i="123" s="1"/>
  <c r="Q62" i="117"/>
  <c r="R62" i="117"/>
  <c r="R71" i="115"/>
  <c r="R50" i="111"/>
  <c r="Q50" i="111"/>
  <c r="R29" i="119"/>
  <c r="Q29" i="119"/>
  <c r="AG15" i="113"/>
  <c r="AH5" i="113" s="1"/>
  <c r="AF15" i="113"/>
  <c r="AG69" i="109"/>
  <c r="AH59" i="109" s="1"/>
  <c r="Q69" i="109"/>
  <c r="AF69" i="109"/>
  <c r="AF58" i="95"/>
  <c r="AG58" i="95"/>
  <c r="AH49" i="95" s="1"/>
  <c r="Q58" i="95"/>
  <c r="R31" i="73"/>
  <c r="Q31" i="73"/>
  <c r="O58" i="103"/>
  <c r="Q49" i="103"/>
  <c r="R49" i="103"/>
  <c r="AG69" i="125"/>
  <c r="AH59" i="125" s="1"/>
  <c r="Q69" i="125"/>
  <c r="AF69" i="125"/>
  <c r="AG79" i="127"/>
  <c r="AH70" i="127" s="1"/>
  <c r="AF79" i="127"/>
  <c r="Q79" i="127"/>
  <c r="I14" i="106"/>
  <c r="R69" i="107"/>
  <c r="S59" i="107" s="1"/>
  <c r="O48" i="93"/>
  <c r="R28" i="111"/>
  <c r="Q28" i="111"/>
  <c r="Q39" i="103"/>
  <c r="R39" i="103"/>
  <c r="AF37" i="93"/>
  <c r="Q37" i="93"/>
  <c r="AG37" i="93"/>
  <c r="AH27" i="93" s="1"/>
  <c r="AG58" i="87"/>
  <c r="AH49" i="87" s="1"/>
  <c r="R60" i="129"/>
  <c r="Q60" i="129"/>
  <c r="Q61" i="101"/>
  <c r="R61" i="101"/>
  <c r="R51" i="87"/>
  <c r="Q51" i="87"/>
  <c r="Q38" i="121"/>
  <c r="R38" i="121"/>
  <c r="O48" i="121"/>
  <c r="Q69" i="127"/>
  <c r="AG69" i="127"/>
  <c r="AH59" i="127" s="1"/>
  <c r="AF69" i="127"/>
  <c r="Q69" i="111"/>
  <c r="AG69" i="111"/>
  <c r="AH59" i="111" s="1"/>
  <c r="AF69" i="111"/>
  <c r="AF26" i="109"/>
  <c r="AG26" i="109"/>
  <c r="AH16" i="109" s="1"/>
  <c r="O69" i="113"/>
  <c r="L48" i="129"/>
  <c r="G13" i="128" s="1"/>
  <c r="AF79" i="91"/>
  <c r="Q79" i="91"/>
  <c r="AG79" i="91"/>
  <c r="AH70" i="91" s="1"/>
  <c r="R59" i="125"/>
  <c r="Q59" i="125"/>
  <c r="O69" i="125"/>
  <c r="AG26" i="131"/>
  <c r="AH16" i="131" s="1"/>
  <c r="AF26" i="131"/>
  <c r="R17" i="89"/>
  <c r="Q17" i="89"/>
  <c r="L58" i="85"/>
  <c r="H13" i="84" s="1"/>
  <c r="Q5" i="103"/>
  <c r="R5" i="103"/>
  <c r="O15" i="103"/>
  <c r="Q5" i="131"/>
  <c r="R5" i="131"/>
  <c r="O15" i="131"/>
  <c r="L37" i="119"/>
  <c r="F13" i="118" s="1"/>
  <c r="AG15" i="101"/>
  <c r="AH5" i="101" s="1"/>
  <c r="AF15" i="101"/>
  <c r="Q71" i="121"/>
  <c r="R71" i="121"/>
  <c r="Q49" i="85"/>
  <c r="O58" i="85"/>
  <c r="R49" i="85"/>
  <c r="G2" i="79"/>
  <c r="J3" i="78"/>
  <c r="R38" i="73"/>
  <c r="Q38" i="73"/>
  <c r="O48" i="73"/>
  <c r="O26" i="79"/>
  <c r="Q16" i="79"/>
  <c r="R16" i="79"/>
  <c r="L79" i="121"/>
  <c r="Q8" i="81"/>
  <c r="R8" i="81"/>
  <c r="Q72" i="121"/>
  <c r="Q16" i="91"/>
  <c r="O26" i="91"/>
  <c r="R16" i="91"/>
  <c r="AF69" i="129"/>
  <c r="AG69" i="129"/>
  <c r="AH59" i="129" s="1"/>
  <c r="Q69" i="129"/>
  <c r="AG15" i="75"/>
  <c r="AH5" i="75" s="1"/>
  <c r="AF15" i="75"/>
  <c r="AF15" i="121"/>
  <c r="AG15" i="121"/>
  <c r="AH5" i="121" s="1"/>
  <c r="G2" i="81"/>
  <c r="J3" i="80"/>
  <c r="Q61" i="71"/>
  <c r="O48" i="111"/>
  <c r="R38" i="111"/>
  <c r="Q38" i="111"/>
  <c r="Q16" i="113"/>
  <c r="O26" i="113"/>
  <c r="R16" i="113"/>
  <c r="R29" i="131"/>
  <c r="Q29" i="131"/>
  <c r="R51" i="91"/>
  <c r="Q51" i="91"/>
  <c r="Q37" i="131"/>
  <c r="AG37" i="131"/>
  <c r="AH27" i="131" s="1"/>
  <c r="AF37" i="131"/>
  <c r="R28" i="75"/>
  <c r="Q28" i="75"/>
  <c r="Q16" i="69"/>
  <c r="R16" i="69"/>
  <c r="O26" i="69"/>
  <c r="R18" i="87"/>
  <c r="Q18" i="87"/>
  <c r="AF26" i="83"/>
  <c r="AG26" i="83"/>
  <c r="AH16" i="83" s="1"/>
  <c r="G2" i="101"/>
  <c r="J3" i="100"/>
  <c r="R6" i="95"/>
  <c r="Q6" i="95"/>
  <c r="Q48" i="81"/>
  <c r="AG48" i="81"/>
  <c r="AH38" i="81" s="1"/>
  <c r="AF48" i="81"/>
  <c r="AG69" i="79"/>
  <c r="AH59" i="79" s="1"/>
  <c r="AF69" i="79"/>
  <c r="Q69" i="79"/>
  <c r="R39" i="73"/>
  <c r="Q39" i="73"/>
  <c r="R6" i="69"/>
  <c r="Q6" i="69"/>
  <c r="AG58" i="81"/>
  <c r="AH49" i="81" s="1"/>
  <c r="Q58" i="81"/>
  <c r="AF58" i="81"/>
  <c r="J3" i="94"/>
  <c r="G2" i="95"/>
  <c r="Q16" i="89"/>
  <c r="R16" i="89"/>
  <c r="O26" i="89"/>
  <c r="R69" i="3"/>
  <c r="S59" i="3" s="1"/>
  <c r="I14" i="2"/>
  <c r="R60" i="127"/>
  <c r="Q60" i="127"/>
  <c r="Q18" i="127"/>
  <c r="R18" i="127"/>
  <c r="R7" i="119"/>
  <c r="Q7" i="119"/>
  <c r="O48" i="119"/>
  <c r="R38" i="119"/>
  <c r="Q38" i="119"/>
  <c r="L58" i="111"/>
  <c r="H13" i="110" s="1"/>
  <c r="F6" i="110" s="1"/>
  <c r="Q17" i="117"/>
  <c r="R17" i="117"/>
  <c r="Q38" i="123"/>
  <c r="R38" i="123"/>
  <c r="O48" i="123"/>
  <c r="L69" i="115"/>
  <c r="I13" i="114" s="1"/>
  <c r="R27" i="125"/>
  <c r="Q37" i="115"/>
  <c r="AG37" i="115"/>
  <c r="AH27" i="115" s="1"/>
  <c r="AF37" i="115"/>
  <c r="R38" i="115"/>
  <c r="Q38" i="115"/>
  <c r="O48" i="115"/>
  <c r="R17" i="123"/>
  <c r="Q17" i="123"/>
  <c r="Q7" i="123"/>
  <c r="R7" i="123"/>
  <c r="Q7" i="117"/>
  <c r="L37" i="103"/>
  <c r="F13" i="102" s="1"/>
  <c r="Q69" i="91"/>
  <c r="AG69" i="91"/>
  <c r="AH59" i="91" s="1"/>
  <c r="AF69" i="91"/>
  <c r="AG37" i="107"/>
  <c r="AH27" i="107" s="1"/>
  <c r="Q37" i="107"/>
  <c r="AF37" i="107"/>
  <c r="Q49" i="101"/>
  <c r="O58" i="101"/>
  <c r="R49" i="101"/>
  <c r="R50" i="131"/>
  <c r="Q50" i="131"/>
  <c r="L69" i="107"/>
  <c r="I13" i="106" s="1"/>
  <c r="J6" i="106" s="1"/>
  <c r="L69" i="113"/>
  <c r="I13" i="112" s="1"/>
  <c r="J6" i="112" s="1"/>
  <c r="R61" i="109"/>
  <c r="Q61" i="109"/>
  <c r="O37" i="103"/>
  <c r="Q27" i="103"/>
  <c r="R27" i="103"/>
  <c r="AF15" i="107"/>
  <c r="AG15" i="107"/>
  <c r="AH5" i="107" s="1"/>
  <c r="Q58" i="105"/>
  <c r="AG58" i="105"/>
  <c r="AH49" i="105" s="1"/>
  <c r="AF58" i="105"/>
  <c r="R59" i="89"/>
  <c r="Q8" i="85"/>
  <c r="R8" i="85"/>
  <c r="H6" i="70"/>
  <c r="O69" i="73"/>
  <c r="R59" i="73"/>
  <c r="Q59" i="73"/>
  <c r="R79" i="101"/>
  <c r="S70" i="101" s="1"/>
  <c r="J15" i="100" s="1"/>
  <c r="J14" i="100"/>
  <c r="R51" i="101"/>
  <c r="Q51" i="101"/>
  <c r="AG15" i="103"/>
  <c r="AH5" i="103" s="1"/>
  <c r="AF15" i="103"/>
  <c r="Q31" i="93"/>
  <c r="R31" i="93"/>
  <c r="Q27" i="89"/>
  <c r="R27" i="89"/>
  <c r="O37" i="89"/>
  <c r="R39" i="117"/>
  <c r="Q39" i="117"/>
  <c r="O48" i="117"/>
  <c r="J3" i="106"/>
  <c r="G2" i="107"/>
  <c r="AG58" i="85"/>
  <c r="AH49" i="85" s="1"/>
  <c r="Q58" i="85"/>
  <c r="AF58" i="85"/>
  <c r="H14" i="116"/>
  <c r="R58" i="117"/>
  <c r="S49" i="117" s="1"/>
  <c r="AF26" i="87"/>
  <c r="AG26" i="87"/>
  <c r="AH16" i="87" s="1"/>
  <c r="O69" i="77"/>
  <c r="R59" i="77"/>
  <c r="Q59" i="77"/>
  <c r="Q69" i="121"/>
  <c r="AF69" i="121"/>
  <c r="AG69" i="121"/>
  <c r="AH59" i="121" s="1"/>
  <c r="Q29" i="103"/>
  <c r="R29" i="103"/>
  <c r="AG26" i="101"/>
  <c r="AH16" i="101" s="1"/>
  <c r="AF26" i="101"/>
  <c r="L69" i="121"/>
  <c r="I13" i="120" s="1"/>
  <c r="AG26" i="91"/>
  <c r="AH16" i="91" s="1"/>
  <c r="AF26" i="91"/>
  <c r="AF15" i="3"/>
  <c r="AG15" i="3"/>
  <c r="AH5" i="3" s="1"/>
  <c r="R16" i="101"/>
  <c r="Q16" i="101"/>
  <c r="O26" i="101"/>
  <c r="R27" i="79"/>
  <c r="Q27" i="79"/>
  <c r="O37" i="79"/>
  <c r="AG37" i="85"/>
  <c r="AH27" i="85" s="1"/>
  <c r="Q37" i="85"/>
  <c r="AF37" i="85"/>
  <c r="AG26" i="113"/>
  <c r="AH16" i="113" s="1"/>
  <c r="AF26" i="113"/>
  <c r="R49" i="129"/>
  <c r="Q49" i="129"/>
  <c r="O58" i="129"/>
  <c r="R27" i="131"/>
  <c r="Q27" i="131"/>
  <c r="O37" i="131"/>
  <c r="AF58" i="83"/>
  <c r="Q58" i="83"/>
  <c r="AG58" i="83"/>
  <c r="AH49" i="83" s="1"/>
  <c r="AG26" i="69"/>
  <c r="AH16" i="69" s="1"/>
  <c r="AF26" i="69"/>
  <c r="R49" i="91"/>
  <c r="O58" i="91"/>
  <c r="Q49" i="91"/>
  <c r="R16" i="71"/>
  <c r="Q16" i="71"/>
  <c r="L26" i="71"/>
  <c r="E13" i="70" s="1"/>
  <c r="R52" i="119"/>
  <c r="Q52" i="119"/>
  <c r="R7" i="121"/>
  <c r="Q7" i="121"/>
  <c r="O15" i="121"/>
  <c r="F14" i="104"/>
  <c r="R37" i="105"/>
  <c r="S27" i="105" s="1"/>
  <c r="N37" i="129"/>
  <c r="Q49" i="89"/>
  <c r="O58" i="89"/>
  <c r="R49" i="89"/>
  <c r="Q38" i="71"/>
  <c r="Q19" i="69"/>
  <c r="O58" i="81"/>
  <c r="Q49" i="81"/>
  <c r="R49" i="81"/>
  <c r="Q59" i="75"/>
  <c r="R59" i="75"/>
  <c r="O69" i="75"/>
  <c r="O37" i="87"/>
  <c r="G2" i="69"/>
  <c r="J3" i="68"/>
  <c r="J3" i="90"/>
  <c r="G2" i="91"/>
  <c r="R6" i="77"/>
  <c r="Q6" i="77"/>
  <c r="Q37" i="113"/>
  <c r="AG37" i="113"/>
  <c r="AH27" i="113" s="1"/>
  <c r="AF37" i="113"/>
  <c r="R5" i="87"/>
  <c r="J14" i="80"/>
  <c r="R79" i="81"/>
  <c r="S70" i="81" s="1"/>
  <c r="J15" i="80" s="1"/>
  <c r="R5" i="71"/>
  <c r="O15" i="71"/>
  <c r="Q5" i="71"/>
  <c r="Q27" i="117"/>
  <c r="O37" i="117"/>
  <c r="R27" i="117"/>
  <c r="R40" i="87"/>
  <c r="Q40" i="87"/>
  <c r="R18" i="71"/>
  <c r="Q18" i="71"/>
  <c r="L37" i="83"/>
  <c r="F13" i="82" s="1"/>
  <c r="F6" i="82" s="1"/>
  <c r="Q58" i="3"/>
  <c r="AF58" i="3"/>
  <c r="AG58" i="3"/>
  <c r="AH49" i="3" s="1"/>
  <c r="R70" i="123"/>
  <c r="O79" i="123"/>
  <c r="Q70" i="123"/>
  <c r="Q6" i="117"/>
  <c r="R6" i="117"/>
  <c r="Q27" i="111"/>
  <c r="R27" i="111"/>
  <c r="O37" i="111"/>
  <c r="AF79" i="113"/>
  <c r="AG79" i="113"/>
  <c r="AH70" i="113" s="1"/>
  <c r="Q79" i="113"/>
  <c r="R48" i="101"/>
  <c r="S38" i="101" s="1"/>
  <c r="G14" i="100"/>
  <c r="G15" i="100" s="1"/>
  <c r="R19" i="83"/>
  <c r="Q19" i="83"/>
  <c r="AG37" i="95"/>
  <c r="AH27" i="95" s="1"/>
  <c r="Q37" i="95"/>
  <c r="AF37" i="95"/>
  <c r="O58" i="113"/>
  <c r="Q49" i="113"/>
  <c r="R49" i="113"/>
  <c r="R6" i="3"/>
  <c r="Q6" i="3"/>
  <c r="D14" i="86"/>
  <c r="R15" i="87"/>
  <c r="S5" i="87" s="1"/>
  <c r="Q15" i="87"/>
  <c r="R19" i="79"/>
  <c r="Q19" i="79"/>
  <c r="R71" i="85"/>
  <c r="Q71" i="85"/>
  <c r="R51" i="131"/>
  <c r="Q51" i="131"/>
  <c r="Q58" i="127"/>
  <c r="AG58" i="127"/>
  <c r="AH49" i="127" s="1"/>
  <c r="AF58" i="127"/>
  <c r="Q79" i="119"/>
  <c r="AG79" i="119"/>
  <c r="AH70" i="119" s="1"/>
  <c r="AF79" i="119"/>
  <c r="R58" i="125"/>
  <c r="S49" i="125" s="1"/>
  <c r="H14" i="124"/>
  <c r="H15" i="124" s="1"/>
  <c r="Q50" i="79"/>
  <c r="R50" i="79"/>
  <c r="O69" i="95"/>
  <c r="Q59" i="95"/>
  <c r="R59" i="95"/>
  <c r="Q37" i="119"/>
  <c r="AG37" i="119"/>
  <c r="AH27" i="119" s="1"/>
  <c r="AF37" i="119"/>
  <c r="R69" i="115"/>
  <c r="S59" i="115" s="1"/>
  <c r="I14" i="114"/>
  <c r="O48" i="131"/>
  <c r="Q38" i="131"/>
  <c r="R38" i="131"/>
  <c r="AG58" i="131"/>
  <c r="AH49" i="131" s="1"/>
  <c r="AF58" i="131"/>
  <c r="Q58" i="131"/>
  <c r="Q62" i="93"/>
  <c r="R62" i="93"/>
  <c r="Q48" i="127"/>
  <c r="AG48" i="127"/>
  <c r="AH38" i="127" s="1"/>
  <c r="AF48" i="127"/>
  <c r="J14" i="118"/>
  <c r="R79" i="119"/>
  <c r="S70" i="119" s="1"/>
  <c r="J15" i="118" s="1"/>
  <c r="Q79" i="125"/>
  <c r="AF79" i="125"/>
  <c r="AG79" i="125"/>
  <c r="AH70" i="125" s="1"/>
  <c r="R61" i="131"/>
  <c r="Q61" i="131"/>
  <c r="L79" i="85"/>
  <c r="J13" i="84" s="1"/>
  <c r="J6" i="84" s="1"/>
  <c r="Q72" i="85"/>
  <c r="O26" i="107"/>
  <c r="E2" i="107" s="1"/>
  <c r="Q16" i="107"/>
  <c r="R16" i="107"/>
  <c r="Q28" i="103"/>
  <c r="R28" i="103"/>
  <c r="J3" i="70"/>
  <c r="G2" i="71"/>
  <c r="Q7" i="127"/>
  <c r="R7" i="127"/>
  <c r="Q69" i="117"/>
  <c r="AF69" i="117"/>
  <c r="AG69" i="117"/>
  <c r="AH59" i="117" s="1"/>
  <c r="R6" i="91"/>
  <c r="Q6" i="91"/>
  <c r="R30" i="95"/>
  <c r="Q30" i="95"/>
  <c r="AG69" i="73"/>
  <c r="AH59" i="73" s="1"/>
  <c r="Q69" i="73"/>
  <c r="AF69" i="73"/>
  <c r="AG37" i="111"/>
  <c r="AH27" i="111" s="1"/>
  <c r="Q28" i="113"/>
  <c r="R28" i="113"/>
  <c r="O37" i="113"/>
  <c r="Q79" i="87"/>
  <c r="AG79" i="87"/>
  <c r="AH70" i="87" s="1"/>
  <c r="AF79" i="87"/>
  <c r="R17" i="81"/>
  <c r="Q17" i="81"/>
  <c r="AG48" i="83"/>
  <c r="AH38" i="83" s="1"/>
  <c r="AF48" i="83"/>
  <c r="Q48" i="83"/>
  <c r="Q28" i="73"/>
  <c r="AG48" i="117"/>
  <c r="AH38" i="117" s="1"/>
  <c r="AF48" i="117"/>
  <c r="Q48" i="117"/>
  <c r="R29" i="129"/>
  <c r="Q29" i="129"/>
  <c r="R50" i="105"/>
  <c r="Q50" i="105"/>
  <c r="R50" i="85"/>
  <c r="Q50" i="85"/>
  <c r="R9" i="85"/>
  <c r="Q9" i="85"/>
  <c r="R49" i="79"/>
  <c r="O58" i="79"/>
  <c r="Q49" i="79"/>
  <c r="R51" i="75"/>
  <c r="Q51" i="75"/>
  <c r="AF26" i="79"/>
  <c r="AG26" i="79"/>
  <c r="AH16" i="79" s="1"/>
  <c r="R39" i="121"/>
  <c r="Q39" i="121"/>
  <c r="Q6" i="101"/>
  <c r="R6" i="101"/>
  <c r="R60" i="77"/>
  <c r="R70" i="95"/>
  <c r="O79" i="95"/>
  <c r="Q70" i="95"/>
  <c r="AG15" i="83"/>
  <c r="AH5" i="83" s="1"/>
  <c r="AF15" i="83"/>
  <c r="R30" i="73"/>
  <c r="Q30" i="73"/>
  <c r="R51" i="3"/>
  <c r="Q39" i="81"/>
  <c r="R39" i="81"/>
  <c r="R5" i="69"/>
  <c r="Q5" i="69"/>
  <c r="O15" i="69"/>
  <c r="L37" i="115"/>
  <c r="F13" i="114" s="1"/>
  <c r="H6" i="114" s="1"/>
  <c r="AG48" i="107"/>
  <c r="AH38" i="107" s="1"/>
  <c r="AF48" i="107"/>
  <c r="Q48" i="107"/>
  <c r="R62" i="77"/>
  <c r="Q62" i="77"/>
  <c r="O58" i="75"/>
  <c r="R49" i="75"/>
  <c r="Q49" i="75"/>
  <c r="Q48" i="3"/>
  <c r="AF48" i="3"/>
  <c r="AG48" i="3"/>
  <c r="AH38" i="3" s="1"/>
  <c r="R51" i="105"/>
  <c r="Q51" i="105"/>
  <c r="Q70" i="81"/>
  <c r="R7" i="73"/>
  <c r="Q7" i="73"/>
  <c r="Q39" i="3"/>
  <c r="R39" i="3"/>
  <c r="Q7" i="109"/>
  <c r="R7" i="109"/>
  <c r="R29" i="83"/>
  <c r="R61" i="119"/>
  <c r="AF26" i="129"/>
  <c r="AG26" i="129"/>
  <c r="AH16" i="129" s="1"/>
  <c r="L15" i="73"/>
  <c r="D13" i="72" s="1"/>
  <c r="AG58" i="69"/>
  <c r="AH49" i="69" s="1"/>
  <c r="Q58" i="69"/>
  <c r="AF58" i="69"/>
  <c r="L58" i="131"/>
  <c r="H13" i="130" s="1"/>
  <c r="J3" i="84"/>
  <c r="G2" i="85"/>
  <c r="R38" i="71"/>
  <c r="R17" i="79"/>
  <c r="Q17" i="79"/>
  <c r="R39" i="75"/>
  <c r="AF26" i="89"/>
  <c r="AG26" i="89"/>
  <c r="AH16" i="89" s="1"/>
  <c r="Q15" i="127"/>
  <c r="D14" i="126"/>
  <c r="R15" i="127"/>
  <c r="S5" i="127" s="1"/>
  <c r="O79" i="115"/>
  <c r="R70" i="115"/>
  <c r="Q70" i="115"/>
  <c r="AF15" i="119"/>
  <c r="AG15" i="119"/>
  <c r="AH5" i="119" s="1"/>
  <c r="O69" i="117"/>
  <c r="R59" i="117"/>
  <c r="Q59" i="117"/>
  <c r="Q70" i="113"/>
  <c r="R70" i="113"/>
  <c r="O79" i="113"/>
  <c r="AF15" i="89"/>
  <c r="AG15" i="89"/>
  <c r="AH5" i="89" s="1"/>
  <c r="Q17" i="93"/>
  <c r="R17" i="93"/>
  <c r="AF69" i="77"/>
  <c r="Q69" i="77"/>
  <c r="AG69" i="77"/>
  <c r="AH59" i="77" s="1"/>
  <c r="O37" i="75"/>
  <c r="R27" i="75"/>
  <c r="Q27" i="75"/>
  <c r="R38" i="75"/>
  <c r="Q38" i="75"/>
  <c r="O48" i="75"/>
  <c r="Q70" i="71"/>
  <c r="L79" i="71"/>
  <c r="J13" i="70" s="1"/>
  <c r="F6" i="70" s="1"/>
  <c r="R31" i="101"/>
  <c r="Q31" i="101"/>
  <c r="AG15" i="93"/>
  <c r="AH5" i="93" s="1"/>
  <c r="AF15" i="93"/>
  <c r="R27" i="3"/>
  <c r="Q27" i="3"/>
  <c r="O37" i="3"/>
  <c r="E2" i="3" s="1"/>
  <c r="E15" i="102"/>
  <c r="AG26" i="127"/>
  <c r="AH16" i="127" s="1"/>
  <c r="AF26" i="127"/>
  <c r="AF58" i="125"/>
  <c r="Q58" i="125"/>
  <c r="AG58" i="125"/>
  <c r="AH49" i="125" s="1"/>
  <c r="Q39" i="123"/>
  <c r="R39" i="123"/>
  <c r="Q39" i="109"/>
  <c r="R39" i="109"/>
  <c r="O15" i="111"/>
  <c r="R5" i="111"/>
  <c r="Q5" i="111"/>
  <c r="Q72" i="83"/>
  <c r="L79" i="83"/>
  <c r="J13" i="82" s="1"/>
  <c r="O79" i="117"/>
  <c r="R70" i="117"/>
  <c r="Q70" i="117"/>
  <c r="O26" i="105"/>
  <c r="R16" i="105"/>
  <c r="Q16" i="105"/>
  <c r="AF69" i="83"/>
  <c r="AG69" i="83"/>
  <c r="AH59" i="83" s="1"/>
  <c r="Q69" i="83"/>
  <c r="Q59" i="85"/>
  <c r="O69" i="85"/>
  <c r="R59" i="85"/>
  <c r="R39" i="87"/>
  <c r="Q39" i="87"/>
  <c r="R6" i="81"/>
  <c r="Q6" i="81"/>
  <c r="L37" i="87"/>
  <c r="F13" i="86" s="1"/>
  <c r="H6" i="86" s="1"/>
  <c r="J3" i="112"/>
  <c r="G2" i="113"/>
  <c r="O26" i="75"/>
  <c r="AG48" i="75"/>
  <c r="AH38" i="75" s="1"/>
  <c r="AF48" i="75"/>
  <c r="Q48" i="75"/>
  <c r="R50" i="75"/>
  <c r="Q50" i="75"/>
  <c r="R18" i="131"/>
  <c r="Q18" i="131"/>
  <c r="R39" i="77"/>
  <c r="Q39" i="77"/>
  <c r="R5" i="73"/>
  <c r="Q5" i="73"/>
  <c r="O15" i="73"/>
  <c r="Q37" i="3"/>
  <c r="AG37" i="3"/>
  <c r="AH27" i="3" s="1"/>
  <c r="AF37" i="3"/>
  <c r="O79" i="77"/>
  <c r="Q70" i="77"/>
  <c r="R70" i="77"/>
  <c r="R58" i="109"/>
  <c r="S49" i="109" s="1"/>
  <c r="H14" i="108"/>
  <c r="H15" i="108" s="1"/>
  <c r="AG15" i="105"/>
  <c r="AH5" i="105" s="1"/>
  <c r="AF15" i="105"/>
  <c r="AF79" i="3"/>
  <c r="AG79" i="3"/>
  <c r="AH70" i="3" s="1"/>
  <c r="Q79" i="3"/>
  <c r="R6" i="131"/>
  <c r="R17" i="113"/>
  <c r="Q17" i="113"/>
  <c r="O79" i="109"/>
  <c r="R70" i="109"/>
  <c r="Q70" i="109"/>
  <c r="AG58" i="93"/>
  <c r="AH49" i="93" s="1"/>
  <c r="AF58" i="93"/>
  <c r="Q58" i="93"/>
  <c r="R27" i="119"/>
  <c r="O37" i="119"/>
  <c r="Q27" i="119"/>
  <c r="R59" i="131"/>
  <c r="R19" i="95"/>
  <c r="Q19" i="95"/>
  <c r="Q50" i="73"/>
  <c r="R50" i="73"/>
  <c r="Q48" i="85"/>
  <c r="AG48" i="85"/>
  <c r="AH38" i="85" s="1"/>
  <c r="AF48" i="85"/>
  <c r="G2" i="75"/>
  <c r="J3" i="74"/>
  <c r="Q50" i="81"/>
  <c r="R50" i="81"/>
  <c r="L37" i="75"/>
  <c r="F13" i="74" s="1"/>
  <c r="Q27" i="95"/>
  <c r="R27" i="95"/>
  <c r="O37" i="95"/>
  <c r="E2" i="95" s="1"/>
  <c r="O26" i="121"/>
  <c r="R16" i="121"/>
  <c r="Q16" i="121"/>
  <c r="AF26" i="81"/>
  <c r="R30" i="69"/>
  <c r="Q30" i="69"/>
  <c r="R15" i="107"/>
  <c r="S5" i="107" s="1"/>
  <c r="Q15" i="107"/>
  <c r="D14" i="106"/>
  <c r="Q62" i="103"/>
  <c r="R62" i="103"/>
  <c r="Q50" i="71"/>
  <c r="AG58" i="107"/>
  <c r="AH49" i="107" s="1"/>
  <c r="AF58" i="107"/>
  <c r="Q58" i="107"/>
  <c r="Q79" i="77"/>
  <c r="AF79" i="77"/>
  <c r="AG79" i="77"/>
  <c r="AH70" i="77" s="1"/>
  <c r="R70" i="71"/>
  <c r="O79" i="3"/>
  <c r="R70" i="3"/>
  <c r="Q70" i="3"/>
  <c r="G2" i="73"/>
  <c r="J3" i="72"/>
  <c r="Q69" i="75"/>
  <c r="AG69" i="75"/>
  <c r="AH59" i="75" s="1"/>
  <c r="AF69" i="75"/>
  <c r="AG58" i="119"/>
  <c r="AH49" i="119" s="1"/>
  <c r="AF58" i="119"/>
  <c r="Q58" i="119"/>
  <c r="AF15" i="69"/>
  <c r="AG15" i="69"/>
  <c r="AH5" i="69" s="1"/>
  <c r="Q28" i="81"/>
  <c r="O37" i="81"/>
  <c r="R28" i="81"/>
  <c r="Q60" i="87"/>
  <c r="O69" i="87"/>
  <c r="R60" i="87"/>
  <c r="O37" i="121"/>
  <c r="Q27" i="121"/>
  <c r="R27" i="121"/>
  <c r="R50" i="71"/>
  <c r="R9" i="69"/>
  <c r="Q9" i="69"/>
  <c r="R17" i="105"/>
  <c r="Q17" i="105"/>
  <c r="AG26" i="93"/>
  <c r="AH16" i="93" s="1"/>
  <c r="AF26" i="93"/>
  <c r="Q6" i="71"/>
  <c r="R6" i="71"/>
  <c r="R18" i="123"/>
  <c r="Q18" i="123"/>
  <c r="R61" i="123"/>
  <c r="Q61" i="123"/>
  <c r="Q37" i="117"/>
  <c r="AG37" i="117"/>
  <c r="AH27" i="117" s="1"/>
  <c r="AF37" i="117"/>
  <c r="J3" i="114"/>
  <c r="G2" i="115"/>
  <c r="R71" i="113"/>
  <c r="Q71" i="113"/>
  <c r="AF69" i="107"/>
  <c r="Q69" i="107"/>
  <c r="AG69" i="107"/>
  <c r="AH59" i="107" s="1"/>
  <c r="AF48" i="131"/>
  <c r="AG48" i="131"/>
  <c r="AH38" i="131" s="1"/>
  <c r="Q48" i="131"/>
  <c r="I13" i="88"/>
  <c r="R69" i="89"/>
  <c r="S59" i="89" s="1"/>
  <c r="Q7" i="87"/>
  <c r="R7" i="87"/>
  <c r="O78" i="131"/>
  <c r="Q70" i="131"/>
  <c r="R70" i="131"/>
  <c r="Q17" i="87"/>
  <c r="R17" i="87"/>
  <c r="Q79" i="79"/>
  <c r="AG79" i="79"/>
  <c r="AH70" i="79" s="1"/>
  <c r="AF79" i="79"/>
  <c r="R28" i="87"/>
  <c r="R29" i="85"/>
  <c r="Q29" i="85"/>
  <c r="Q5" i="125"/>
  <c r="O15" i="125"/>
  <c r="R5" i="125"/>
  <c r="O79" i="105"/>
  <c r="Q70" i="105"/>
  <c r="R70" i="105"/>
  <c r="O26" i="95"/>
  <c r="AF79" i="95"/>
  <c r="AG79" i="95"/>
  <c r="AH70" i="95" s="1"/>
  <c r="Q79" i="95"/>
  <c r="O48" i="105"/>
  <c r="R38" i="105"/>
  <c r="Q38" i="105"/>
  <c r="Q40" i="71"/>
  <c r="R40" i="71"/>
  <c r="O48" i="127"/>
  <c r="Q38" i="127"/>
  <c r="R38" i="127"/>
  <c r="Q50" i="127"/>
  <c r="R50" i="127"/>
  <c r="O15" i="123"/>
  <c r="R5" i="123"/>
  <c r="Q5" i="123"/>
  <c r="F6" i="112"/>
  <c r="H6" i="112"/>
  <c r="AG26" i="117"/>
  <c r="AH16" i="117" s="1"/>
  <c r="AF26" i="117"/>
  <c r="R39" i="125"/>
  <c r="Q39" i="125"/>
  <c r="AG37" i="123"/>
  <c r="AH27" i="123" s="1"/>
  <c r="AF37" i="123"/>
  <c r="Q37" i="123"/>
  <c r="R62" i="115"/>
  <c r="R49" i="125"/>
  <c r="R62" i="119"/>
  <c r="Q62" i="119"/>
  <c r="O15" i="113"/>
  <c r="R5" i="113"/>
  <c r="Q5" i="113"/>
  <c r="L58" i="81"/>
  <c r="H13" i="80" s="1"/>
  <c r="Q60" i="109"/>
  <c r="R60" i="109"/>
  <c r="R31" i="95"/>
  <c r="Q31" i="95"/>
  <c r="AF15" i="115"/>
  <c r="AG15" i="115"/>
  <c r="AH5" i="115" s="1"/>
  <c r="I14" i="80"/>
  <c r="R69" i="81"/>
  <c r="S59" i="81" s="1"/>
  <c r="Q28" i="87"/>
  <c r="AG15" i="125"/>
  <c r="AH5" i="125" s="1"/>
  <c r="AF15" i="125"/>
  <c r="O37" i="85"/>
  <c r="R27" i="85"/>
  <c r="Q27" i="85"/>
  <c r="AG15" i="77"/>
  <c r="AH5" i="77" s="1"/>
  <c r="AF15" i="77"/>
  <c r="R51" i="121"/>
  <c r="Q51" i="121"/>
  <c r="L37" i="85"/>
  <c r="F13" i="84" s="1"/>
  <c r="F6" i="84" s="1"/>
  <c r="R39" i="69"/>
  <c r="Q39" i="69"/>
  <c r="O48" i="3"/>
  <c r="R38" i="3"/>
  <c r="Q38" i="3"/>
  <c r="F14" i="108"/>
  <c r="Q29" i="117"/>
  <c r="R29" i="117"/>
  <c r="AF15" i="127"/>
  <c r="AG15" i="127"/>
  <c r="AH5" i="127" s="1"/>
  <c r="F14" i="124"/>
  <c r="F15" i="124" s="1"/>
  <c r="R37" i="125"/>
  <c r="S27" i="125" s="1"/>
  <c r="Q30" i="115"/>
  <c r="AG48" i="113"/>
  <c r="AH38" i="113" s="1"/>
  <c r="Q48" i="113"/>
  <c r="AF48" i="113"/>
  <c r="L48" i="87"/>
  <c r="G13" i="86" s="1"/>
  <c r="Q51" i="113"/>
  <c r="R51" i="113"/>
  <c r="R7" i="103"/>
  <c r="Q7" i="103"/>
  <c r="R39" i="131"/>
  <c r="Q39" i="131"/>
  <c r="L69" i="77"/>
  <c r="I13" i="76" s="1"/>
  <c r="J6" i="76" s="1"/>
  <c r="R52" i="115"/>
  <c r="Q52" i="115"/>
  <c r="Q53" i="105"/>
  <c r="R53" i="105"/>
  <c r="N15" i="129"/>
  <c r="R16" i="85"/>
  <c r="Q16" i="85"/>
  <c r="O26" i="85"/>
  <c r="AG37" i="73"/>
  <c r="AH27" i="73" s="1"/>
  <c r="AF37" i="73"/>
  <c r="Q37" i="73"/>
  <c r="R7" i="75"/>
  <c r="Q7" i="75"/>
  <c r="AF48" i="95"/>
  <c r="Q48" i="95"/>
  <c r="AG48" i="95"/>
  <c r="AH38" i="95" s="1"/>
  <c r="R18" i="85"/>
  <c r="Q18" i="85"/>
  <c r="Q79" i="101"/>
  <c r="AG79" i="101"/>
  <c r="AH70" i="101" s="1"/>
  <c r="AF79" i="101"/>
  <c r="Q37" i="89"/>
  <c r="AG37" i="89"/>
  <c r="AH27" i="89" s="1"/>
  <c r="AF37" i="89"/>
  <c r="R70" i="75"/>
  <c r="Q70" i="75"/>
  <c r="O79" i="75"/>
  <c r="O52" i="129"/>
  <c r="AF52" i="129"/>
  <c r="AG52" i="129"/>
  <c r="R6" i="87"/>
  <c r="Q6" i="87"/>
  <c r="Q51" i="95"/>
  <c r="R51" i="95"/>
  <c r="Q39" i="127"/>
  <c r="R39" i="127"/>
  <c r="R17" i="127"/>
  <c r="Q17" i="127"/>
  <c r="O26" i="127"/>
  <c r="E2" i="127" s="1"/>
  <c r="AG58" i="115"/>
  <c r="AH49" i="115" s="1"/>
  <c r="AF58" i="115"/>
  <c r="Q58" i="115"/>
  <c r="Q79" i="123"/>
  <c r="AG79" i="123"/>
  <c r="AH70" i="123" s="1"/>
  <c r="AF79" i="123"/>
  <c r="R53" i="113"/>
  <c r="R28" i="109"/>
  <c r="Q28" i="109"/>
  <c r="Q16" i="109"/>
  <c r="O26" i="109"/>
  <c r="R16" i="109"/>
  <c r="R38" i="113"/>
  <c r="O48" i="113"/>
  <c r="Q38" i="113"/>
  <c r="AG26" i="95"/>
  <c r="AH16" i="95" s="1"/>
  <c r="AF26" i="95"/>
  <c r="AG58" i="101"/>
  <c r="AH49" i="101" s="1"/>
  <c r="Q58" i="101"/>
  <c r="AF58" i="101"/>
  <c r="Q28" i="129"/>
  <c r="R28" i="129"/>
  <c r="J3" i="104"/>
  <c r="G2" i="105"/>
  <c r="O37" i="123"/>
  <c r="Q6" i="103"/>
  <c r="Q17" i="111"/>
  <c r="R17" i="111"/>
  <c r="O26" i="123"/>
  <c r="L37" i="109"/>
  <c r="F13" i="108" s="1"/>
  <c r="O58" i="105"/>
  <c r="R49" i="105"/>
  <c r="Q49" i="105"/>
  <c r="L69" i="129"/>
  <c r="I13" i="128" s="1"/>
  <c r="J6" i="128" s="1"/>
  <c r="R59" i="129"/>
  <c r="Q59" i="129"/>
  <c r="R61" i="127"/>
  <c r="Q61" i="127"/>
  <c r="R29" i="123"/>
  <c r="Q29" i="123"/>
  <c r="AF58" i="123"/>
  <c r="AG58" i="123"/>
  <c r="AH49" i="123" s="1"/>
  <c r="Q58" i="123"/>
  <c r="L15" i="117"/>
  <c r="D13" i="116" s="1"/>
  <c r="J6" i="122"/>
  <c r="AG48" i="119"/>
  <c r="AH38" i="119" s="1"/>
  <c r="AF48" i="119"/>
  <c r="Q48" i="119"/>
  <c r="Q51" i="125"/>
  <c r="R51" i="125"/>
  <c r="Q28" i="119"/>
  <c r="R40" i="113"/>
  <c r="Q40" i="113"/>
  <c r="L58" i="117"/>
  <c r="H13" i="116" s="1"/>
  <c r="Q37" i="109"/>
  <c r="AG37" i="109"/>
  <c r="AH27" i="109" s="1"/>
  <c r="AF37" i="109"/>
  <c r="Q30" i="113"/>
  <c r="R30" i="113"/>
  <c r="O69" i="111"/>
  <c r="Q39" i="101"/>
  <c r="R39" i="101"/>
  <c r="AF26" i="111"/>
  <c r="AG26" i="111"/>
  <c r="AH16" i="111" s="1"/>
  <c r="L58" i="129"/>
  <c r="H13" i="128" s="1"/>
  <c r="O79" i="125"/>
  <c r="Q70" i="125"/>
  <c r="R70" i="125"/>
  <c r="R7" i="131"/>
  <c r="R51" i="93"/>
  <c r="Q51" i="93"/>
  <c r="L15" i="103"/>
  <c r="D13" i="102" s="1"/>
  <c r="L26" i="95"/>
  <c r="E13" i="94" s="1"/>
  <c r="R38" i="85"/>
  <c r="Q38" i="85"/>
  <c r="L48" i="85"/>
  <c r="G13" i="84" s="1"/>
  <c r="Q18" i="93"/>
  <c r="R5" i="129"/>
  <c r="Q5" i="129"/>
  <c r="R79" i="87"/>
  <c r="S70" i="87" s="1"/>
  <c r="J15" i="86" s="1"/>
  <c r="J14" i="86"/>
  <c r="O15" i="85"/>
  <c r="R5" i="85"/>
  <c r="Q5" i="85"/>
  <c r="Q19" i="87"/>
  <c r="R19" i="87"/>
  <c r="AG15" i="79"/>
  <c r="AH5" i="79" s="1"/>
  <c r="AF15" i="79"/>
  <c r="R16" i="95"/>
  <c r="AF15" i="85"/>
  <c r="AG15" i="85"/>
  <c r="AH5" i="85" s="1"/>
  <c r="R62" i="131"/>
  <c r="Q62" i="131"/>
  <c r="R27" i="93"/>
  <c r="Q27" i="93"/>
  <c r="O37" i="93"/>
  <c r="R38" i="83"/>
  <c r="Q38" i="83"/>
  <c r="O48" i="83"/>
  <c r="R28" i="73"/>
  <c r="O15" i="101"/>
  <c r="R5" i="101"/>
  <c r="Q5" i="101"/>
  <c r="R60" i="123"/>
  <c r="Q60" i="123"/>
  <c r="R7" i="95"/>
  <c r="Q7" i="95"/>
  <c r="R8" i="109"/>
  <c r="Q8" i="109"/>
  <c r="AF37" i="105"/>
  <c r="AG37" i="105"/>
  <c r="AH27" i="105" s="1"/>
  <c r="Q37" i="105"/>
  <c r="AG58" i="79"/>
  <c r="AH49" i="79" s="1"/>
  <c r="AF58" i="79"/>
  <c r="Q58" i="79"/>
  <c r="AF37" i="75"/>
  <c r="Q37" i="75"/>
  <c r="AG37" i="75"/>
  <c r="AH27" i="75" s="1"/>
  <c r="R28" i="71"/>
  <c r="Q28" i="71"/>
  <c r="R29" i="79"/>
  <c r="Q29" i="79"/>
  <c r="O15" i="83"/>
  <c r="R5" i="83"/>
  <c r="Q5" i="83"/>
  <c r="O15" i="91"/>
  <c r="Q28" i="85"/>
  <c r="R28" i="85"/>
  <c r="AF26" i="75"/>
  <c r="AG26" i="75"/>
  <c r="AH16" i="75" s="1"/>
  <c r="O48" i="81"/>
  <c r="O58" i="107"/>
  <c r="J14" i="70"/>
  <c r="Q59" i="71"/>
  <c r="R59" i="71"/>
  <c r="O69" i="71"/>
  <c r="O15" i="93"/>
  <c r="R5" i="93"/>
  <c r="Q5" i="93"/>
  <c r="L37" i="77"/>
  <c r="F13" i="76" s="1"/>
  <c r="F6" i="76" s="1"/>
  <c r="R27" i="77"/>
  <c r="Q27" i="77"/>
  <c r="R16" i="129"/>
  <c r="Q16" i="129"/>
  <c r="O26" i="129"/>
  <c r="Q37" i="81"/>
  <c r="AF37" i="81"/>
  <c r="AG37" i="81"/>
  <c r="AH27" i="81" s="1"/>
  <c r="O15" i="105"/>
  <c r="R5" i="105"/>
  <c r="Q5" i="105"/>
  <c r="Q49" i="69"/>
  <c r="R49" i="69"/>
  <c r="O58" i="69"/>
  <c r="Q27" i="129"/>
  <c r="R27" i="129"/>
  <c r="R8" i="89"/>
  <c r="Q8" i="89"/>
  <c r="L58" i="75"/>
  <c r="H13" i="74" s="1"/>
  <c r="H6" i="74" s="1"/>
  <c r="O48" i="71"/>
  <c r="R5" i="121"/>
  <c r="J6" i="78"/>
  <c r="Q79" i="83"/>
  <c r="AG79" i="83"/>
  <c r="AH70" i="83" s="1"/>
  <c r="AF79" i="83"/>
  <c r="R38" i="69"/>
  <c r="H6" i="122" l="1"/>
  <c r="F6" i="122"/>
  <c r="E2" i="73"/>
  <c r="R15" i="73"/>
  <c r="S5" i="73" s="1"/>
  <c r="Q15" i="73"/>
  <c r="D14" i="72"/>
  <c r="H14" i="90"/>
  <c r="H15" i="90" s="1"/>
  <c r="R58" i="91"/>
  <c r="S49" i="91" s="1"/>
  <c r="G14" i="120"/>
  <c r="G15" i="120" s="1"/>
  <c r="R48" i="121"/>
  <c r="S38" i="121" s="1"/>
  <c r="F14" i="114"/>
  <c r="F15" i="114" s="1"/>
  <c r="R37" i="115"/>
  <c r="S27" i="115" s="1"/>
  <c r="D14" i="84"/>
  <c r="Q15" i="85"/>
  <c r="E2" i="85"/>
  <c r="R15" i="85"/>
  <c r="S5" i="85" s="1"/>
  <c r="E14" i="108"/>
  <c r="E15" i="108" s="1"/>
  <c r="R26" i="109"/>
  <c r="S16" i="109" s="1"/>
  <c r="Q26" i="109"/>
  <c r="R48" i="127"/>
  <c r="S38" i="127" s="1"/>
  <c r="G14" i="126"/>
  <c r="G15" i="126" s="1"/>
  <c r="R58" i="101"/>
  <c r="S49" i="101" s="1"/>
  <c r="H14" i="100"/>
  <c r="H15" i="100" s="1"/>
  <c r="D15" i="76"/>
  <c r="R58" i="79"/>
  <c r="S49" i="79" s="1"/>
  <c r="H14" i="78"/>
  <c r="H15" i="78" s="1"/>
  <c r="I14" i="94"/>
  <c r="R69" i="95"/>
  <c r="S59" i="95" s="1"/>
  <c r="R37" i="111"/>
  <c r="S27" i="111" s="1"/>
  <c r="F14" i="110"/>
  <c r="F15" i="110" s="1"/>
  <c r="H14" i="84"/>
  <c r="H15" i="84" s="1"/>
  <c r="R58" i="85"/>
  <c r="S49" i="85" s="1"/>
  <c r="R37" i="101"/>
  <c r="S27" i="101" s="1"/>
  <c r="F14" i="100"/>
  <c r="F15" i="100" s="1"/>
  <c r="H6" i="128"/>
  <c r="F6" i="128"/>
  <c r="G14" i="94"/>
  <c r="G15" i="94" s="1"/>
  <c r="R48" i="95"/>
  <c r="S38" i="95" s="1"/>
  <c r="R31" i="129"/>
  <c r="Q31" i="129"/>
  <c r="J14" i="130"/>
  <c r="J7" i="130" s="1"/>
  <c r="R78" i="131"/>
  <c r="S70" i="131" s="1"/>
  <c r="J15" i="130" s="1"/>
  <c r="R48" i="115"/>
  <c r="S38" i="115" s="1"/>
  <c r="G14" i="114"/>
  <c r="G15" i="114" s="1"/>
  <c r="D15" i="118"/>
  <c r="H7" i="118"/>
  <c r="F7" i="118"/>
  <c r="E2" i="115"/>
  <c r="Q15" i="115"/>
  <c r="D14" i="114"/>
  <c r="R15" i="115"/>
  <c r="S5" i="115" s="1"/>
  <c r="E14" i="82"/>
  <c r="E15" i="82" s="1"/>
  <c r="R26" i="83"/>
  <c r="S16" i="83" s="1"/>
  <c r="Q26" i="83"/>
  <c r="D14" i="104"/>
  <c r="Q15" i="105"/>
  <c r="E2" i="105"/>
  <c r="R15" i="105"/>
  <c r="S5" i="105" s="1"/>
  <c r="D14" i="90"/>
  <c r="E2" i="91"/>
  <c r="Q15" i="91"/>
  <c r="R15" i="91"/>
  <c r="S5" i="91" s="1"/>
  <c r="I15" i="80"/>
  <c r="J8" i="80" s="1"/>
  <c r="J7" i="80"/>
  <c r="E14" i="120"/>
  <c r="E15" i="120" s="1"/>
  <c r="R26" i="121"/>
  <c r="S16" i="121" s="1"/>
  <c r="Q26" i="121"/>
  <c r="R26" i="89"/>
  <c r="S16" i="89" s="1"/>
  <c r="Q26" i="89"/>
  <c r="E14" i="88"/>
  <c r="E15" i="88" s="1"/>
  <c r="J13" i="120"/>
  <c r="J6" i="120" s="1"/>
  <c r="R79" i="121"/>
  <c r="S70" i="121" s="1"/>
  <c r="J15" i="120" s="1"/>
  <c r="H6" i="108"/>
  <c r="F6" i="108"/>
  <c r="R6" i="129"/>
  <c r="Q6" i="129"/>
  <c r="O15" i="129"/>
  <c r="R58" i="105"/>
  <c r="S49" i="105" s="1"/>
  <c r="H14" i="104"/>
  <c r="H15" i="104" s="1"/>
  <c r="R79" i="109"/>
  <c r="S70" i="109" s="1"/>
  <c r="J15" i="108" s="1"/>
  <c r="J14" i="108"/>
  <c r="J7" i="108" s="1"/>
  <c r="G14" i="92"/>
  <c r="G15" i="92" s="1"/>
  <c r="R48" i="93"/>
  <c r="S38" i="93" s="1"/>
  <c r="H6" i="110"/>
  <c r="R58" i="83"/>
  <c r="S49" i="83" s="1"/>
  <c r="H14" i="82"/>
  <c r="H15" i="82" s="1"/>
  <c r="I14" i="118"/>
  <c r="R69" i="119"/>
  <c r="S59" i="119" s="1"/>
  <c r="I15" i="68"/>
  <c r="J8" i="68" s="1"/>
  <c r="J7" i="68"/>
  <c r="J14" i="124"/>
  <c r="R79" i="125"/>
  <c r="S70" i="125" s="1"/>
  <c r="J15" i="124" s="1"/>
  <c r="F14" i="80"/>
  <c r="F15" i="80" s="1"/>
  <c r="R37" i="81"/>
  <c r="S27" i="81" s="1"/>
  <c r="H15" i="116"/>
  <c r="E14" i="68"/>
  <c r="E15" i="68" s="1"/>
  <c r="R26" i="69"/>
  <c r="S16" i="69" s="1"/>
  <c r="Q26" i="69"/>
  <c r="D14" i="78"/>
  <c r="E2" i="79"/>
  <c r="R15" i="79"/>
  <c r="S5" i="79" s="1"/>
  <c r="Q15" i="79"/>
  <c r="R26" i="111"/>
  <c r="S16" i="111" s="1"/>
  <c r="Q26" i="111"/>
  <c r="E14" i="110"/>
  <c r="E15" i="110" s="1"/>
  <c r="D14" i="82"/>
  <c r="E2" i="83"/>
  <c r="R15" i="83"/>
  <c r="S5" i="83" s="1"/>
  <c r="Q15" i="83"/>
  <c r="J6" i="88"/>
  <c r="I15" i="88"/>
  <c r="H14" i="74"/>
  <c r="H15" i="74" s="1"/>
  <c r="R58" i="75"/>
  <c r="S49" i="75" s="1"/>
  <c r="J7" i="114"/>
  <c r="I15" i="114"/>
  <c r="J8" i="114" s="1"/>
  <c r="E14" i="112"/>
  <c r="E15" i="112" s="1"/>
  <c r="R26" i="113"/>
  <c r="S16" i="113" s="1"/>
  <c r="Q26" i="113"/>
  <c r="E14" i="78"/>
  <c r="E15" i="78" s="1"/>
  <c r="R26" i="79"/>
  <c r="S16" i="79" s="1"/>
  <c r="Q26" i="79"/>
  <c r="R69" i="103"/>
  <c r="S59" i="103" s="1"/>
  <c r="I14" i="102"/>
  <c r="R69" i="83"/>
  <c r="S59" i="83" s="1"/>
  <c r="I14" i="82"/>
  <c r="E2" i="123"/>
  <c r="R15" i="123"/>
  <c r="S5" i="123" s="1"/>
  <c r="D14" i="122"/>
  <c r="Q15" i="123"/>
  <c r="F6" i="114"/>
  <c r="R79" i="123"/>
  <c r="S70" i="123" s="1"/>
  <c r="J15" i="122" s="1"/>
  <c r="J14" i="122"/>
  <c r="H14" i="76"/>
  <c r="H15" i="76" s="1"/>
  <c r="R58" i="77"/>
  <c r="S49" i="77" s="1"/>
  <c r="I14" i="120"/>
  <c r="R69" i="121"/>
  <c r="S59" i="121" s="1"/>
  <c r="R69" i="129"/>
  <c r="S59" i="129" s="1"/>
  <c r="R79" i="83"/>
  <c r="S70" i="83" s="1"/>
  <c r="J15" i="82" s="1"/>
  <c r="J14" i="82"/>
  <c r="H15" i="130"/>
  <c r="R37" i="73"/>
  <c r="S27" i="73" s="1"/>
  <c r="F14" i="72"/>
  <c r="F15" i="72" s="1"/>
  <c r="R48" i="77"/>
  <c r="S38" i="77" s="1"/>
  <c r="G14" i="76"/>
  <c r="G15" i="76" s="1"/>
  <c r="F6" i="68"/>
  <c r="D15" i="116"/>
  <c r="O37" i="129"/>
  <c r="F15" i="108"/>
  <c r="I14" i="84"/>
  <c r="R69" i="85"/>
  <c r="S59" i="85" s="1"/>
  <c r="J14" i="112"/>
  <c r="R79" i="113"/>
  <c r="S70" i="113" s="1"/>
  <c r="J15" i="112" s="1"/>
  <c r="R26" i="101"/>
  <c r="S16" i="101" s="1"/>
  <c r="Q26" i="101"/>
  <c r="E14" i="100"/>
  <c r="E15" i="100" s="1"/>
  <c r="Q15" i="131"/>
  <c r="R15" i="131"/>
  <c r="S5" i="131" s="1"/>
  <c r="D14" i="130"/>
  <c r="E2" i="131"/>
  <c r="H7" i="94"/>
  <c r="F7" i="94"/>
  <c r="D15" i="94"/>
  <c r="I15" i="128"/>
  <c r="J8" i="128" s="1"/>
  <c r="J7" i="128"/>
  <c r="Q26" i="81"/>
  <c r="E14" i="80"/>
  <c r="E15" i="80" s="1"/>
  <c r="R26" i="81"/>
  <c r="S16" i="81" s="1"/>
  <c r="R48" i="103"/>
  <c r="S38" i="103" s="1"/>
  <c r="G14" i="102"/>
  <c r="G15" i="102" s="1"/>
  <c r="D14" i="88"/>
  <c r="R15" i="89"/>
  <c r="S5" i="89" s="1"/>
  <c r="Q15" i="89"/>
  <c r="E2" i="89"/>
  <c r="Q26" i="131"/>
  <c r="E14" i="130"/>
  <c r="E15" i="130" s="1"/>
  <c r="R26" i="131"/>
  <c r="S16" i="131" s="1"/>
  <c r="R37" i="127"/>
  <c r="S27" i="127" s="1"/>
  <c r="F14" i="126"/>
  <c r="F15" i="126" s="1"/>
  <c r="H14" i="120"/>
  <c r="H15" i="120" s="1"/>
  <c r="R58" i="121"/>
  <c r="S49" i="121" s="1"/>
  <c r="J7" i="78"/>
  <c r="I15" i="78"/>
  <c r="J8" i="78" s="1"/>
  <c r="R26" i="119"/>
  <c r="S16" i="119" s="1"/>
  <c r="R37" i="91"/>
  <c r="S27" i="91" s="1"/>
  <c r="F14" i="90"/>
  <c r="F15" i="90" s="1"/>
  <c r="Q15" i="117"/>
  <c r="H6" i="84"/>
  <c r="F6" i="102"/>
  <c r="H6" i="102"/>
  <c r="J14" i="74"/>
  <c r="R79" i="75"/>
  <c r="S70" i="75" s="1"/>
  <c r="J15" i="74" s="1"/>
  <c r="R26" i="75"/>
  <c r="S16" i="75" s="1"/>
  <c r="Q26" i="75"/>
  <c r="E14" i="74"/>
  <c r="E15" i="74" s="1"/>
  <c r="H6" i="72"/>
  <c r="F6" i="72"/>
  <c r="D14" i="102"/>
  <c r="E2" i="103"/>
  <c r="R15" i="103"/>
  <c r="S5" i="103" s="1"/>
  <c r="Q15" i="103"/>
  <c r="R48" i="3"/>
  <c r="S38" i="3" s="1"/>
  <c r="G14" i="2"/>
  <c r="G15" i="2" s="1"/>
  <c r="J14" i="94"/>
  <c r="R79" i="95"/>
  <c r="S70" i="95" s="1"/>
  <c r="J15" i="94" s="1"/>
  <c r="R26" i="117"/>
  <c r="S16" i="117" s="1"/>
  <c r="Q26" i="117"/>
  <c r="E14" i="116"/>
  <c r="E15" i="116" s="1"/>
  <c r="R69" i="113"/>
  <c r="S59" i="113" s="1"/>
  <c r="I14" i="112"/>
  <c r="R69" i="91"/>
  <c r="S59" i="91" s="1"/>
  <c r="I14" i="90"/>
  <c r="G14" i="70"/>
  <c r="G15" i="70" s="1"/>
  <c r="R48" i="71"/>
  <c r="S38" i="71" s="1"/>
  <c r="F6" i="80"/>
  <c r="J7" i="92"/>
  <c r="I15" i="92"/>
  <c r="J8" i="92" s="1"/>
  <c r="D14" i="100"/>
  <c r="Q15" i="101"/>
  <c r="E2" i="101"/>
  <c r="R15" i="101"/>
  <c r="S5" i="101" s="1"/>
  <c r="F6" i="74"/>
  <c r="J14" i="126"/>
  <c r="R79" i="127"/>
  <c r="S70" i="127" s="1"/>
  <c r="J15" i="126" s="1"/>
  <c r="F6" i="86"/>
  <c r="H14" i="70"/>
  <c r="H15" i="70" s="1"/>
  <c r="R58" i="71"/>
  <c r="S49" i="71" s="1"/>
  <c r="G14" i="108"/>
  <c r="G15" i="108" s="1"/>
  <c r="R48" i="109"/>
  <c r="S38" i="109" s="1"/>
  <c r="I14" i="122"/>
  <c r="R69" i="123"/>
  <c r="S59" i="123" s="1"/>
  <c r="R15" i="109"/>
  <c r="S5" i="109" s="1"/>
  <c r="E2" i="109"/>
  <c r="Q15" i="109"/>
  <c r="D14" i="108"/>
  <c r="R58" i="127"/>
  <c r="S49" i="127" s="1"/>
  <c r="H14" i="126"/>
  <c r="H15" i="126" s="1"/>
  <c r="D15" i="106"/>
  <c r="R79" i="115"/>
  <c r="S70" i="115" s="1"/>
  <c r="J15" i="114" s="1"/>
  <c r="J14" i="114"/>
  <c r="R37" i="131"/>
  <c r="S27" i="131" s="1"/>
  <c r="F14" i="130"/>
  <c r="F15" i="130" s="1"/>
  <c r="I15" i="108"/>
  <c r="J8" i="108" s="1"/>
  <c r="Q26" i="129"/>
  <c r="E14" i="128"/>
  <c r="E15" i="128" s="1"/>
  <c r="R26" i="129"/>
  <c r="S16" i="129" s="1"/>
  <c r="R37" i="93"/>
  <c r="S27" i="93" s="1"/>
  <c r="F14" i="92"/>
  <c r="F15" i="92" s="1"/>
  <c r="E14" i="94"/>
  <c r="E15" i="94" s="1"/>
  <c r="R26" i="95"/>
  <c r="S16" i="95" s="1"/>
  <c r="Q26" i="95"/>
  <c r="F6" i="90"/>
  <c r="R26" i="107"/>
  <c r="S16" i="107" s="1"/>
  <c r="Q26" i="107"/>
  <c r="E14" i="106"/>
  <c r="E15" i="106" s="1"/>
  <c r="H7" i="86"/>
  <c r="D15" i="86"/>
  <c r="R15" i="71"/>
  <c r="S5" i="71" s="1"/>
  <c r="Q15" i="71"/>
  <c r="E2" i="71"/>
  <c r="D14" i="70"/>
  <c r="R58" i="89"/>
  <c r="S49" i="89" s="1"/>
  <c r="H14" i="88"/>
  <c r="H15" i="88" s="1"/>
  <c r="R58" i="129"/>
  <c r="S49" i="129" s="1"/>
  <c r="H14" i="128"/>
  <c r="H15" i="128" s="1"/>
  <c r="J6" i="114"/>
  <c r="Q15" i="95"/>
  <c r="F6" i="130"/>
  <c r="H6" i="130"/>
  <c r="J6" i="70"/>
  <c r="G14" i="90"/>
  <c r="G15" i="90" s="1"/>
  <c r="R48" i="91"/>
  <c r="S38" i="91" s="1"/>
  <c r="R58" i="123"/>
  <c r="S49" i="123" s="1"/>
  <c r="H14" i="122"/>
  <c r="H15" i="122" s="1"/>
  <c r="H6" i="106"/>
  <c r="F6" i="106"/>
  <c r="Q15" i="81"/>
  <c r="E2" i="81"/>
  <c r="D14" i="80"/>
  <c r="R15" i="81"/>
  <c r="S5" i="81" s="1"/>
  <c r="H6" i="118"/>
  <c r="F6" i="118"/>
  <c r="F14" i="76"/>
  <c r="F15" i="76" s="1"/>
  <c r="R37" i="77"/>
  <c r="S27" i="77" s="1"/>
  <c r="E2" i="117"/>
  <c r="R79" i="85"/>
  <c r="S70" i="85" s="1"/>
  <c r="J15" i="84" s="1"/>
  <c r="R69" i="111"/>
  <c r="S59" i="111" s="1"/>
  <c r="I14" i="110"/>
  <c r="R26" i="127"/>
  <c r="S16" i="127" s="1"/>
  <c r="Q26" i="127"/>
  <c r="E14" i="126"/>
  <c r="E15" i="126" s="1"/>
  <c r="R15" i="111"/>
  <c r="S5" i="111" s="1"/>
  <c r="Q15" i="111"/>
  <c r="E2" i="111"/>
  <c r="D14" i="110"/>
  <c r="R37" i="113"/>
  <c r="S27" i="113" s="1"/>
  <c r="F14" i="112"/>
  <c r="F15" i="112" s="1"/>
  <c r="F14" i="86"/>
  <c r="F15" i="86" s="1"/>
  <c r="R37" i="87"/>
  <c r="S27" i="87" s="1"/>
  <c r="Q37" i="129"/>
  <c r="AF37" i="129"/>
  <c r="AG37" i="129"/>
  <c r="AH27" i="129" s="1"/>
  <c r="R48" i="117"/>
  <c r="S38" i="117" s="1"/>
  <c r="G14" i="116"/>
  <c r="G15" i="116" s="1"/>
  <c r="R15" i="75"/>
  <c r="S5" i="75" s="1"/>
  <c r="Q15" i="75"/>
  <c r="E2" i="75"/>
  <c r="D14" i="74"/>
  <c r="R48" i="79"/>
  <c r="S38" i="79" s="1"/>
  <c r="G14" i="78"/>
  <c r="G15" i="78" s="1"/>
  <c r="G14" i="128"/>
  <c r="G15" i="128" s="1"/>
  <c r="R48" i="129"/>
  <c r="S38" i="129" s="1"/>
  <c r="R79" i="105"/>
  <c r="S70" i="105" s="1"/>
  <c r="J15" i="104" s="1"/>
  <c r="J14" i="104"/>
  <c r="F14" i="120"/>
  <c r="F15" i="120" s="1"/>
  <c r="R37" i="121"/>
  <c r="S27" i="121" s="1"/>
  <c r="R37" i="75"/>
  <c r="S27" i="75" s="1"/>
  <c r="F14" i="74"/>
  <c r="F15" i="74" s="1"/>
  <c r="R69" i="75"/>
  <c r="S59" i="75" s="1"/>
  <c r="I14" i="74"/>
  <c r="R37" i="69"/>
  <c r="S27" i="69" s="1"/>
  <c r="F14" i="68"/>
  <c r="F15" i="68" s="1"/>
  <c r="H14" i="92"/>
  <c r="H15" i="92" s="1"/>
  <c r="R58" i="93"/>
  <c r="S49" i="93" s="1"/>
  <c r="R37" i="83"/>
  <c r="S27" i="83" s="1"/>
  <c r="R69" i="117"/>
  <c r="S59" i="117" s="1"/>
  <c r="I14" i="116"/>
  <c r="D14" i="68"/>
  <c r="E2" i="69"/>
  <c r="Q15" i="69"/>
  <c r="R15" i="69"/>
  <c r="S5" i="69" s="1"/>
  <c r="F15" i="104"/>
  <c r="I14" i="76"/>
  <c r="R69" i="77"/>
  <c r="S59" i="77" s="1"/>
  <c r="I15" i="2"/>
  <c r="J8" i="2" s="1"/>
  <c r="R79" i="107"/>
  <c r="S70" i="107" s="1"/>
  <c r="J15" i="106" s="1"/>
  <c r="J14" i="106"/>
  <c r="F14" i="106"/>
  <c r="F15" i="106" s="1"/>
  <c r="R37" i="107"/>
  <c r="S27" i="107" s="1"/>
  <c r="R69" i="127"/>
  <c r="S59" i="127" s="1"/>
  <c r="I14" i="126"/>
  <c r="J14" i="110"/>
  <c r="R79" i="111"/>
  <c r="S70" i="111" s="1"/>
  <c r="J15" i="110" s="1"/>
  <c r="F6" i="104"/>
  <c r="E2" i="125"/>
  <c r="R15" i="125"/>
  <c r="S5" i="125" s="1"/>
  <c r="Q15" i="125"/>
  <c r="D14" i="124"/>
  <c r="R69" i="87"/>
  <c r="S59" i="87" s="1"/>
  <c r="I14" i="86"/>
  <c r="H14" i="112"/>
  <c r="H15" i="112" s="1"/>
  <c r="R58" i="113"/>
  <c r="S49" i="113" s="1"/>
  <c r="D14" i="120"/>
  <c r="E2" i="121"/>
  <c r="Q15" i="121"/>
  <c r="R15" i="121"/>
  <c r="S5" i="121" s="1"/>
  <c r="F14" i="88"/>
  <c r="F15" i="88" s="1"/>
  <c r="R37" i="89"/>
  <c r="S27" i="89" s="1"/>
  <c r="R48" i="85"/>
  <c r="S38" i="85" s="1"/>
  <c r="G14" i="84"/>
  <c r="G15" i="84" s="1"/>
  <c r="I14" i="104"/>
  <c r="R69" i="105"/>
  <c r="S59" i="105" s="1"/>
  <c r="D14" i="92"/>
  <c r="E2" i="93"/>
  <c r="R15" i="93"/>
  <c r="S5" i="93" s="1"/>
  <c r="Q15" i="93"/>
  <c r="F6" i="116"/>
  <c r="H6" i="116"/>
  <c r="R15" i="113"/>
  <c r="S5" i="113" s="1"/>
  <c r="Q15" i="113"/>
  <c r="E2" i="113"/>
  <c r="D14" i="112"/>
  <c r="R26" i="105"/>
  <c r="S16" i="105" s="1"/>
  <c r="Q26" i="105"/>
  <c r="E14" i="104"/>
  <c r="E15" i="104" s="1"/>
  <c r="I14" i="72"/>
  <c r="R69" i="73"/>
  <c r="S59" i="73" s="1"/>
  <c r="H14" i="102"/>
  <c r="H15" i="102" s="1"/>
  <c r="R58" i="103"/>
  <c r="S49" i="103" s="1"/>
  <c r="Q26" i="125"/>
  <c r="E14" i="124"/>
  <c r="E15" i="124" s="1"/>
  <c r="R26" i="125"/>
  <c r="S16" i="125" s="1"/>
  <c r="R26" i="115"/>
  <c r="S16" i="115" s="1"/>
  <c r="Q26" i="115"/>
  <c r="E14" i="114"/>
  <c r="E15" i="114" s="1"/>
  <c r="H14" i="110"/>
  <c r="H15" i="110" s="1"/>
  <c r="R58" i="111"/>
  <c r="S49" i="111" s="1"/>
  <c r="R69" i="71"/>
  <c r="S59" i="71" s="1"/>
  <c r="I14" i="70"/>
  <c r="R37" i="95"/>
  <c r="S27" i="95" s="1"/>
  <c r="F14" i="94"/>
  <c r="F15" i="94" s="1"/>
  <c r="F14" i="102"/>
  <c r="F15" i="102" s="1"/>
  <c r="R37" i="103"/>
  <c r="S27" i="103" s="1"/>
  <c r="R58" i="119"/>
  <c r="S49" i="119" s="1"/>
  <c r="H14" i="118"/>
  <c r="H15" i="118" s="1"/>
  <c r="F6" i="94"/>
  <c r="H6" i="94"/>
  <c r="R48" i="105"/>
  <c r="S38" i="105" s="1"/>
  <c r="G14" i="104"/>
  <c r="G15" i="104" s="1"/>
  <c r="R48" i="131"/>
  <c r="S38" i="131" s="1"/>
  <c r="G14" i="130"/>
  <c r="G15" i="130" s="1"/>
  <c r="R58" i="81"/>
  <c r="S49" i="81" s="1"/>
  <c r="H14" i="80"/>
  <c r="H15" i="80" s="1"/>
  <c r="F14" i="78"/>
  <c r="F15" i="78" s="1"/>
  <c r="R37" i="79"/>
  <c r="S27" i="79" s="1"/>
  <c r="G14" i="82"/>
  <c r="G15" i="82" s="1"/>
  <c r="R48" i="83"/>
  <c r="S38" i="83" s="1"/>
  <c r="R26" i="123"/>
  <c r="S16" i="123" s="1"/>
  <c r="Q26" i="123"/>
  <c r="E14" i="122"/>
  <c r="E15" i="122" s="1"/>
  <c r="R26" i="85"/>
  <c r="S16" i="85" s="1"/>
  <c r="E14" i="84"/>
  <c r="E15" i="84" s="1"/>
  <c r="Q26" i="85"/>
  <c r="J14" i="116"/>
  <c r="R79" i="117"/>
  <c r="S70" i="117" s="1"/>
  <c r="J15" i="116" s="1"/>
  <c r="E2" i="87"/>
  <c r="F14" i="116"/>
  <c r="F15" i="116" s="1"/>
  <c r="R37" i="117"/>
  <c r="S27" i="117" s="1"/>
  <c r="G14" i="118"/>
  <c r="G15" i="118" s="1"/>
  <c r="R48" i="119"/>
  <c r="S38" i="119" s="1"/>
  <c r="I15" i="106"/>
  <c r="J8" i="106" s="1"/>
  <c r="J7" i="106"/>
  <c r="R79" i="89"/>
  <c r="S70" i="89" s="1"/>
  <c r="J15" i="88" s="1"/>
  <c r="J14" i="88"/>
  <c r="J7" i="88" s="1"/>
  <c r="H14" i="94"/>
  <c r="H15" i="94" s="1"/>
  <c r="R58" i="95"/>
  <c r="S49" i="95" s="1"/>
  <c r="R48" i="89"/>
  <c r="S38" i="89" s="1"/>
  <c r="G14" i="88"/>
  <c r="G15" i="88" s="1"/>
  <c r="R69" i="101"/>
  <c r="S59" i="101" s="1"/>
  <c r="I14" i="100"/>
  <c r="R15" i="117"/>
  <c r="S5" i="117" s="1"/>
  <c r="R79" i="71"/>
  <c r="S70" i="71" s="1"/>
  <c r="J15" i="70" s="1"/>
  <c r="J14" i="2"/>
  <c r="J7" i="2" s="1"/>
  <c r="R79" i="3"/>
  <c r="S70" i="3" s="1"/>
  <c r="J15" i="2" s="1"/>
  <c r="J14" i="76"/>
  <c r="R79" i="77"/>
  <c r="S70" i="77" s="1"/>
  <c r="J15" i="76" s="1"/>
  <c r="R48" i="75"/>
  <c r="S38" i="75" s="1"/>
  <c r="G14" i="74"/>
  <c r="G15" i="74" s="1"/>
  <c r="R48" i="73"/>
  <c r="S38" i="73" s="1"/>
  <c r="G14" i="72"/>
  <c r="G15" i="72" s="1"/>
  <c r="R69" i="125"/>
  <c r="S59" i="125" s="1"/>
  <c r="I14" i="124"/>
  <c r="R15" i="95"/>
  <c r="S5" i="95" s="1"/>
  <c r="D15" i="2"/>
  <c r="R58" i="107"/>
  <c r="S49" i="107" s="1"/>
  <c r="H14" i="106"/>
  <c r="H15" i="106" s="1"/>
  <c r="G14" i="112"/>
  <c r="G15" i="112" s="1"/>
  <c r="R48" i="113"/>
  <c r="S38" i="113" s="1"/>
  <c r="AF15" i="129"/>
  <c r="AG15" i="129"/>
  <c r="AH5" i="129" s="1"/>
  <c r="R37" i="109"/>
  <c r="S27" i="109" s="1"/>
  <c r="F14" i="118"/>
  <c r="F15" i="118" s="1"/>
  <c r="R37" i="119"/>
  <c r="S27" i="119" s="1"/>
  <c r="D15" i="126"/>
  <c r="R58" i="69"/>
  <c r="S49" i="69" s="1"/>
  <c r="H14" i="68"/>
  <c r="H15" i="68" s="1"/>
  <c r="R48" i="81"/>
  <c r="S38" i="81" s="1"/>
  <c r="G14" i="80"/>
  <c r="G15" i="80" s="1"/>
  <c r="F14" i="122"/>
  <c r="F15" i="122" s="1"/>
  <c r="R37" i="123"/>
  <c r="S27" i="123" s="1"/>
  <c r="R52" i="129"/>
  <c r="Q52" i="129"/>
  <c r="R37" i="85"/>
  <c r="S27" i="85" s="1"/>
  <c r="F14" i="84"/>
  <c r="F15" i="84" s="1"/>
  <c r="R37" i="3"/>
  <c r="S27" i="3" s="1"/>
  <c r="F14" i="2"/>
  <c r="F15" i="2" s="1"/>
  <c r="R48" i="123"/>
  <c r="S38" i="123" s="1"/>
  <c r="G14" i="122"/>
  <c r="G15" i="122" s="1"/>
  <c r="G14" i="110"/>
  <c r="G15" i="110" s="1"/>
  <c r="R48" i="111"/>
  <c r="S38" i="111" s="1"/>
  <c r="E14" i="90"/>
  <c r="E15" i="90" s="1"/>
  <c r="Q26" i="91"/>
  <c r="R26" i="91"/>
  <c r="S16" i="91" s="1"/>
  <c r="J6" i="110"/>
  <c r="R26" i="73"/>
  <c r="S16" i="73" s="1"/>
  <c r="Q26" i="73"/>
  <c r="E14" i="72"/>
  <c r="E15" i="72" s="1"/>
  <c r="R48" i="107"/>
  <c r="S38" i="107" s="1"/>
  <c r="G14" i="106"/>
  <c r="G15" i="106" s="1"/>
  <c r="F6" i="88"/>
  <c r="H6" i="2"/>
  <c r="F6" i="2"/>
  <c r="I15" i="130"/>
  <c r="R15" i="3"/>
  <c r="S5" i="3" s="1"/>
  <c r="H8" i="86" l="1"/>
  <c r="F7" i="76"/>
  <c r="H8" i="76"/>
  <c r="F8" i="76"/>
  <c r="J7" i="90"/>
  <c r="I15" i="90"/>
  <c r="J8" i="90" s="1"/>
  <c r="F7" i="126"/>
  <c r="I15" i="104"/>
  <c r="J8" i="104" s="1"/>
  <c r="J7" i="104"/>
  <c r="H8" i="118"/>
  <c r="F8" i="118"/>
  <c r="H8" i="2"/>
  <c r="F8" i="2"/>
  <c r="F7" i="112"/>
  <c r="D15" i="112"/>
  <c r="H7" i="112"/>
  <c r="D15" i="102"/>
  <c r="H7" i="102"/>
  <c r="F7" i="102"/>
  <c r="D15" i="122"/>
  <c r="H7" i="122"/>
  <c r="F7" i="122"/>
  <c r="I15" i="110"/>
  <c r="J8" i="110" s="1"/>
  <c r="J7" i="110"/>
  <c r="D15" i="104"/>
  <c r="F7" i="104"/>
  <c r="H7" i="104"/>
  <c r="F6" i="120"/>
  <c r="H7" i="100"/>
  <c r="D15" i="100"/>
  <c r="F7" i="100"/>
  <c r="D14" i="128"/>
  <c r="E2" i="129"/>
  <c r="R15" i="129"/>
  <c r="S5" i="129" s="1"/>
  <c r="Q15" i="129"/>
  <c r="J7" i="76"/>
  <c r="I15" i="76"/>
  <c r="J8" i="76" s="1"/>
  <c r="D15" i="70"/>
  <c r="H7" i="70"/>
  <c r="F7" i="70"/>
  <c r="D15" i="130"/>
  <c r="F7" i="130"/>
  <c r="H7" i="130"/>
  <c r="D15" i="72"/>
  <c r="H7" i="72"/>
  <c r="F7" i="72"/>
  <c r="I15" i="74"/>
  <c r="J8" i="74" s="1"/>
  <c r="J7" i="74"/>
  <c r="D15" i="74"/>
  <c r="F7" i="74"/>
  <c r="H7" i="74"/>
  <c r="H7" i="106"/>
  <c r="F8" i="116"/>
  <c r="H8" i="116"/>
  <c r="I15" i="120"/>
  <c r="J8" i="120" s="1"/>
  <c r="J7" i="120"/>
  <c r="I15" i="102"/>
  <c r="J8" i="102" s="1"/>
  <c r="J7" i="102"/>
  <c r="J8" i="88"/>
  <c r="H7" i="78"/>
  <c r="F7" i="78"/>
  <c r="D15" i="78"/>
  <c r="J7" i="118"/>
  <c r="I15" i="118"/>
  <c r="J8" i="118" s="1"/>
  <c r="I15" i="94"/>
  <c r="J8" i="94" s="1"/>
  <c r="J7" i="94"/>
  <c r="H7" i="76"/>
  <c r="J7" i="112"/>
  <c r="I15" i="112"/>
  <c r="J8" i="112" s="1"/>
  <c r="J7" i="84"/>
  <c r="I15" i="84"/>
  <c r="J8" i="84" s="1"/>
  <c r="I15" i="100"/>
  <c r="J8" i="100" s="1"/>
  <c r="J7" i="100"/>
  <c r="J7" i="122"/>
  <c r="I15" i="122"/>
  <c r="J8" i="122" s="1"/>
  <c r="J7" i="82"/>
  <c r="I15" i="82"/>
  <c r="J8" i="82" s="1"/>
  <c r="F7" i="88"/>
  <c r="H7" i="88"/>
  <c r="D15" i="88"/>
  <c r="D15" i="110"/>
  <c r="H7" i="110"/>
  <c r="F7" i="110"/>
  <c r="H8" i="106"/>
  <c r="F8" i="106"/>
  <c r="H7" i="116"/>
  <c r="H7" i="114"/>
  <c r="D15" i="114"/>
  <c r="F7" i="114"/>
  <c r="J7" i="72"/>
  <c r="I15" i="72"/>
  <c r="J8" i="72" s="1"/>
  <c r="H7" i="92"/>
  <c r="D15" i="92"/>
  <c r="F7" i="92"/>
  <c r="H7" i="68"/>
  <c r="F7" i="68"/>
  <c r="D15" i="68"/>
  <c r="F7" i="90"/>
  <c r="D15" i="90"/>
  <c r="H7" i="90"/>
  <c r="F7" i="84"/>
  <c r="D15" i="84"/>
  <c r="H7" i="84"/>
  <c r="F8" i="126"/>
  <c r="H8" i="126"/>
  <c r="F7" i="2"/>
  <c r="I15" i="86"/>
  <c r="J8" i="86" s="1"/>
  <c r="J7" i="86"/>
  <c r="I15" i="116"/>
  <c r="J8" i="116" s="1"/>
  <c r="J7" i="116"/>
  <c r="H7" i="80"/>
  <c r="F7" i="80"/>
  <c r="D15" i="80"/>
  <c r="F7" i="86"/>
  <c r="F7" i="108"/>
  <c r="D15" i="108"/>
  <c r="H7" i="108"/>
  <c r="H7" i="82"/>
  <c r="D15" i="82"/>
  <c r="F7" i="82"/>
  <c r="H7" i="2"/>
  <c r="H7" i="126"/>
  <c r="F7" i="124"/>
  <c r="D15" i="124"/>
  <c r="H7" i="124"/>
  <c r="H8" i="94"/>
  <c r="F8" i="94"/>
  <c r="J7" i="124"/>
  <c r="I15" i="124"/>
  <c r="J8" i="124" s="1"/>
  <c r="F14" i="128"/>
  <c r="F15" i="128" s="1"/>
  <c r="R37" i="129"/>
  <c r="S27" i="129" s="1"/>
  <c r="J8" i="130"/>
  <c r="F7" i="116"/>
  <c r="J7" i="70"/>
  <c r="I15" i="70"/>
  <c r="J8" i="70" s="1"/>
  <c r="H7" i="120"/>
  <c r="F7" i="120"/>
  <c r="D15" i="120"/>
  <c r="I15" i="126"/>
  <c r="J8" i="126" s="1"/>
  <c r="J7" i="126"/>
  <c r="F7" i="106"/>
  <c r="H8" i="110" l="1"/>
  <c r="F8" i="110"/>
  <c r="H7" i="128"/>
  <c r="F7" i="128"/>
  <c r="D15" i="128"/>
  <c r="H8" i="100"/>
  <c r="F8" i="100"/>
  <c r="F8" i="80"/>
  <c r="H8" i="80"/>
  <c r="F8" i="102"/>
  <c r="H8" i="102"/>
  <c r="H8" i="78"/>
  <c r="F8" i="78"/>
  <c r="H8" i="70"/>
  <c r="F8" i="70"/>
  <c r="H8" i="82"/>
  <c r="F8" i="82"/>
  <c r="F8" i="88"/>
  <c r="H8" i="88"/>
  <c r="F8" i="72"/>
  <c r="H8" i="72"/>
  <c r="F8" i="120"/>
  <c r="H8" i="120"/>
  <c r="H8" i="130"/>
  <c r="F8" i="130"/>
  <c r="H8" i="124"/>
  <c r="F8" i="124"/>
  <c r="H8" i="90"/>
  <c r="F8" i="90"/>
  <c r="H8" i="112"/>
  <c r="F8" i="112"/>
  <c r="H8" i="104"/>
  <c r="F8" i="104"/>
  <c r="F8" i="86"/>
  <c r="F8" i="92"/>
  <c r="H8" i="92"/>
  <c r="H8" i="108"/>
  <c r="F8" i="108"/>
  <c r="H8" i="122"/>
  <c r="F8" i="122"/>
  <c r="H8" i="84"/>
  <c r="F8" i="84"/>
  <c r="F8" i="114"/>
  <c r="H8" i="114"/>
  <c r="H8" i="68"/>
  <c r="F8" i="68"/>
  <c r="H8" i="74"/>
  <c r="F8" i="74"/>
  <c r="F8" i="128" l="1"/>
  <c r="H8" i="128"/>
</calcChain>
</file>

<file path=xl/sharedStrings.xml><?xml version="1.0" encoding="utf-8"?>
<sst xmlns="http://schemas.openxmlformats.org/spreadsheetml/2006/main" count="6121" uniqueCount="233">
  <si>
    <t xml:space="preserve">長家廠4度C日報分析                              </t>
  </si>
  <si>
    <t>總生產量</t>
  </si>
  <si>
    <t>營業額</t>
  </si>
  <si>
    <t>出勤人數</t>
  </si>
  <si>
    <t>產線配置圖</t>
  </si>
  <si>
    <t>生產實績</t>
  </si>
  <si>
    <t>人時性差異分析</t>
  </si>
  <si>
    <t>日報登錄</t>
  </si>
  <si>
    <t>合計
次數</t>
  </si>
  <si>
    <t>合計
時間/分</t>
  </si>
  <si>
    <t>分析說明</t>
  </si>
  <si>
    <t>合計
設備次數</t>
  </si>
  <si>
    <t>產能差異分析</t>
  </si>
  <si>
    <t>12月24日  星期三</t>
  </si>
  <si>
    <t>人時性</t>
  </si>
  <si>
    <t>平均廠價</t>
  </si>
  <si>
    <t>多次生產數</t>
  </si>
  <si>
    <t>線別</t>
  </si>
  <si>
    <t>品類</t>
  </si>
  <si>
    <t>品名</t>
  </si>
  <si>
    <t>廠價</t>
  </si>
  <si>
    <t>生產量</t>
  </si>
  <si>
    <t>營收</t>
  </si>
  <si>
    <t>多次
生產</t>
  </si>
  <si>
    <t>人數</t>
  </si>
  <si>
    <t>產能/時</t>
  </si>
  <si>
    <t>達成率</t>
  </si>
  <si>
    <t>達成率平均</t>
  </si>
  <si>
    <t>生產時間</t>
  </si>
  <si>
    <t>前置、換線時間/分</t>
  </si>
  <si>
    <t>稼動時間/分</t>
  </si>
  <si>
    <t>休息時間</t>
  </si>
  <si>
    <t>產線異常統計
(5分鐘以上)</t>
  </si>
  <si>
    <t>短暫停線統計
(5分鐘以下)</t>
  </si>
  <si>
    <t>開始</t>
  </si>
  <si>
    <t>結束</t>
  </si>
  <si>
    <t>次數</t>
  </si>
  <si>
    <t>時間/分</t>
  </si>
  <si>
    <t>總次數</t>
  </si>
  <si>
    <t>設備因素(次數)</t>
  </si>
  <si>
    <t>自動一線
(ET-600)</t>
  </si>
  <si>
    <t>4度一組</t>
  </si>
  <si>
    <t>平均</t>
  </si>
  <si>
    <t>自動二線
(ET-600)</t>
  </si>
  <si>
    <t xml:space="preserve">4度二組A
</t>
  </si>
  <si>
    <t>手工三線
(ET-55)</t>
  </si>
  <si>
    <t xml:space="preserve"> </t>
  </si>
  <si>
    <t xml:space="preserve">
4度二組B
</t>
  </si>
  <si>
    <t>手工四線
(ET-55)</t>
  </si>
  <si>
    <t xml:space="preserve">
4度二組C1
</t>
  </si>
  <si>
    <t>手工五線
(ET-55)</t>
  </si>
  <si>
    <t xml:space="preserve">
4度二組C2
</t>
  </si>
  <si>
    <t>調理包一線
(八爪機)</t>
  </si>
  <si>
    <t xml:space="preserve">               </t>
  </si>
  <si>
    <t xml:space="preserve">
4度三組
</t>
  </si>
  <si>
    <t>調理包二線
(手工)</t>
  </si>
  <si>
    <t xml:space="preserve">
4度四組
</t>
  </si>
  <si>
    <t>1.當日出勤人數較多</t>
  </si>
  <si>
    <t>2.當日出勤人數較少</t>
  </si>
  <si>
    <t>3.當日出勤熟手較少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</si>
  <si>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</si>
  <si>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</si>
  <si>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</si>
  <si>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</si>
  <si>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</si>
  <si>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</si>
  <si>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</si>
  <si>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</si>
  <si>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</si>
  <si>
    <t>13.區域出貨，分段生產</t>
  </si>
  <si>
    <t>長家廠組合室生產人時性分析</t>
  </si>
  <si>
    <t>日期</t>
  </si>
  <si>
    <t>訂單量</t>
  </si>
  <si>
    <t>項目</t>
  </si>
  <si>
    <t>➀</t>
  </si>
  <si>
    <t>➁</t>
  </si>
  <si>
    <t>③</t>
  </si>
  <si>
    <t>異常停線</t>
  </si>
  <si>
    <t>短暫停線</t>
  </si>
  <si>
    <t>組合室</t>
  </si>
  <si>
    <t>全溫層</t>
  </si>
  <si>
    <t>義大利麵</t>
  </si>
  <si>
    <t>袋裝小吃、義麵</t>
  </si>
  <si>
    <t>合計次數</t>
  </si>
  <si>
    <t>時間</t>
  </si>
  <si>
    <t>設備次數</t>
  </si>
  <si>
    <t>排關平均</t>
  </si>
  <si>
    <t>實績平均</t>
  </si>
  <si>
    <t>※現行日本鮮食廠以達成率80%為基本(即為現行KPI)</t>
  </si>
  <si>
    <t>溫層</t>
  </si>
  <si>
    <t>4度C-各編組展開</t>
  </si>
  <si>
    <t>編組</t>
  </si>
  <si>
    <t>自動1線</t>
  </si>
  <si>
    <t>自動2線</t>
  </si>
  <si>
    <t>手工3線</t>
  </si>
  <si>
    <t>手工4線</t>
  </si>
  <si>
    <t>手工5線</t>
  </si>
  <si>
    <t>調理包1線</t>
  </si>
  <si>
    <t>調理包2線</t>
  </si>
  <si>
    <t>排關</t>
  </si>
  <si>
    <t>實績</t>
  </si>
  <si>
    <t>作業
時間</t>
  </si>
  <si>
    <t>產線異常
(5分鐘以上)</t>
  </si>
  <si>
    <t>短暫停線
(5分鐘以下)</t>
  </si>
  <si>
    <t>配置人數</t>
  </si>
  <si>
    <t>主要應用設備</t>
  </si>
  <si>
    <t>ET-600</t>
  </si>
  <si>
    <t>ET-55</t>
  </si>
  <si>
    <t>八爪機</t>
  </si>
  <si>
    <t>次要應用設備</t>
  </si>
  <si>
    <t>封口機</t>
  </si>
  <si>
    <t>備註</t>
  </si>
  <si>
    <t>9月1日  星期二</t>
  </si>
  <si>
    <t>白酒清炒鮮蛤義大利麵</t>
  </si>
  <si>
    <t>羅馬黑胡椒起司義大利麵</t>
  </si>
  <si>
    <t>8:12-8:25待玉取機換麵</t>
  </si>
  <si>
    <t>香煎魚排佐檸檬奶油義大利麵</t>
  </si>
  <si>
    <t>奶油培根義大利麵</t>
  </si>
  <si>
    <t>多兩位新人學習</t>
  </si>
  <si>
    <t>青醬蛤蜊義大利麵</t>
  </si>
  <si>
    <t>義式蕃茄起司義大利麵</t>
  </si>
  <si>
    <t>多一位新人學習</t>
  </si>
  <si>
    <t>金沙豆腐義大利麵</t>
  </si>
  <si>
    <t>奶油鮮蝦明太子細扁麵</t>
  </si>
  <si>
    <t>蕃茄莎莎海鮮冷義大利麵</t>
  </si>
  <si>
    <t>多一位新人學習收籃</t>
  </si>
  <si>
    <t>義式蛋蛋青醬鮪魚冷義大利麵</t>
  </si>
  <si>
    <t>熱乾麵</t>
  </si>
  <si>
    <t>青花椒麻雞肉拌麵</t>
  </si>
  <si>
    <t>府城鹽水意麵</t>
  </si>
  <si>
    <t>黑松露野菇義大利麵</t>
  </si>
  <si>
    <t>焗烤起司雙饗筆尖麵</t>
  </si>
  <si>
    <t>小吃、微波</t>
  </si>
  <si>
    <t>小滷青蔬</t>
  </si>
  <si>
    <t>起司馬鈴薯</t>
  </si>
  <si>
    <t>韓式炒冬粉</t>
  </si>
  <si>
    <t>麻辣雞心</t>
  </si>
  <si>
    <t>生產數量少</t>
  </si>
  <si>
    <t>多三位新人學習補料、投料、收籃</t>
  </si>
  <si>
    <t>10:45-11:05 製作醬杯</t>
  </si>
  <si>
    <t>番茄蘑菇義大利麵</t>
  </si>
  <si>
    <t/>
  </si>
  <si>
    <t>9月2日  星期三</t>
  </si>
  <si>
    <t>8:40-9:02製作醬杯</t>
  </si>
  <si>
    <t>9月3日  星期四</t>
  </si>
  <si>
    <t>7:00-7:20、7:58-8:03玉取機異常</t>
  </si>
  <si>
    <t>秤蛤蠣+1人</t>
  </si>
  <si>
    <t>9月4日  星期五</t>
  </si>
  <si>
    <t>7:58-8:01熱轉印異常</t>
  </si>
  <si>
    <t>9:38-9:48休息</t>
  </si>
  <si>
    <t>9月5日  星期六</t>
  </si>
  <si>
    <t>7:03-7:30玉取機異常，手抓麵</t>
  </si>
  <si>
    <t>13:26-13:28,13:33-13:34,13:40-13:41玉取機異常,停線</t>
  </si>
  <si>
    <t>9月6日  星期日</t>
  </si>
  <si>
    <t>7:13-7:14、7:25-7:26玉取機停麵
08:17-08:20待麵，停線</t>
  </si>
  <si>
    <t>08:38-08:45停線休息</t>
  </si>
  <si>
    <t>9月7日  星期一</t>
  </si>
  <si>
    <t>9月8日  星期二</t>
  </si>
  <si>
    <t>8:30-8:35待1.6麵</t>
  </si>
  <si>
    <t>07:08-08:00封膜機收料異常，停線拆盒</t>
  </si>
  <si>
    <t>ET-600收料卷軸故障，暫時排出，須待料</t>
  </si>
  <si>
    <t>拿坡里燻腸義大利麵</t>
  </si>
  <si>
    <t>新品上市初次生產</t>
  </si>
  <si>
    <t>9月9日  星期三</t>
  </si>
  <si>
    <t>7:43-7:44、7:51-7:52、7:56-7:57容器供應設備異常</t>
  </si>
  <si>
    <t>上午封膜機設備異常改手工</t>
  </si>
  <si>
    <t>8:35-9:10拆機台洗機台</t>
  </si>
  <si>
    <t>8:35-9:15製作醬杯</t>
  </si>
  <si>
    <t>9月10日  星期四</t>
  </si>
  <si>
    <t>7:19-7:22封膜機異常</t>
  </si>
  <si>
    <t>14:12-14:22停線休息</t>
  </si>
  <si>
    <t>9月11日  星期五</t>
  </si>
  <si>
    <t>9月12日  星期六</t>
  </si>
  <si>
    <t>9月13日  星期日</t>
  </si>
  <si>
    <t>9:22-9:32休息</t>
  </si>
  <si>
    <t>8:15-8:25休息</t>
  </si>
  <si>
    <t>9月14日  星期一</t>
  </si>
  <si>
    <t>14:00-14:45試產</t>
  </si>
  <si>
    <t>9月15日  星期二</t>
  </si>
  <si>
    <t>08:14-08:43熱轉印異常，停線</t>
  </si>
  <si>
    <t>08:49-08:53停線休息</t>
  </si>
  <si>
    <t>14:15-14:18下貼標機異常 停線</t>
  </si>
  <si>
    <t>9月16日  星期三</t>
  </si>
  <si>
    <t>8:05-8:43醬杯製作</t>
  </si>
  <si>
    <t>9月17日  星期四</t>
  </si>
  <si>
    <t>9:28-9:34待1.6麵</t>
  </si>
  <si>
    <t>9月18日  星期五</t>
  </si>
  <si>
    <t>9月19日  星期六</t>
  </si>
  <si>
    <t>9:17-9:21待1.6麵</t>
  </si>
  <si>
    <t>9月20日  星期日</t>
  </si>
  <si>
    <t>9月21日  星期一</t>
  </si>
  <si>
    <t>9:00-10:35包醬杯</t>
  </si>
  <si>
    <t>9月22日  星期二</t>
  </si>
  <si>
    <t>支援冷麵生產、生產數量少</t>
  </si>
  <si>
    <t>燻鴨佐白蘭地義大利麵</t>
  </si>
  <si>
    <t>9月23日  星期三</t>
  </si>
  <si>
    <t>8:43-8:58拆盒</t>
  </si>
  <si>
    <t>9月24日  星期四</t>
  </si>
  <si>
    <t>9月25日  星期五</t>
  </si>
  <si>
    <t>9月26日  星期六</t>
  </si>
  <si>
    <t>9月27日  星期日</t>
  </si>
  <si>
    <t>7:46-8:02八爪機異常</t>
  </si>
  <si>
    <t>check</t>
  </si>
  <si>
    <t>類別</t>
  </si>
  <si>
    <t>4度C</t>
  </si>
  <si>
    <t>沙茶豬肉炒麵</t>
  </si>
  <si>
    <t>冷凍</t>
  </si>
  <si>
    <t>冷凍調理麵</t>
  </si>
  <si>
    <t>經典肉醬義大利麵</t>
  </si>
  <si>
    <t>奶油蘑菇培根義大利麵</t>
  </si>
  <si>
    <t>清炒蛤蜊義大利麵</t>
  </si>
  <si>
    <t>青醬乳酪筆尖麵</t>
  </si>
  <si>
    <t>辣蕃茄義大利麵</t>
  </si>
  <si>
    <t>韓式起司義大利麵</t>
  </si>
  <si>
    <t>和風明太子細扁麵</t>
  </si>
  <si>
    <t>9月28日  星期一</t>
  </si>
  <si>
    <t>9月29日  星期二</t>
  </si>
  <si>
    <t>9月30日  星期三</t>
  </si>
  <si>
    <t>品項</t>
  </si>
  <si>
    <t>產能</t>
  </si>
  <si>
    <t>人時</t>
  </si>
  <si>
    <t>白酒清炒鮮蛤義大利麵-手</t>
  </si>
  <si>
    <t>青醬蛤蜊義大利麵-手</t>
  </si>
  <si>
    <t>蒜香奶油蝦蝦義大利麵-手</t>
  </si>
  <si>
    <t>目前使用手工</t>
  </si>
  <si>
    <t>焗烤起司肉醬筆尖麵</t>
  </si>
  <si>
    <t>羅馬黑胡椒起司義大利麵-自動</t>
  </si>
  <si>
    <t>目前使用雙排</t>
  </si>
  <si>
    <t>整條德式香腸義大利麵</t>
  </si>
  <si>
    <t>調理包</t>
  </si>
  <si>
    <t>夏季+1人補料</t>
  </si>
  <si>
    <t>更新日期07/03</t>
  </si>
  <si>
    <t>生產數量少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</si>
</sst>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76" formatCode="[$-F800]dddd\,\ mmmm\ dd\,\ yyyy"/>
    <numFmt numFmtId="177" formatCode="#,##0_ "/>
    <numFmt numFmtId="178" formatCode="_-* #,##0_-;\-* #,##0_-;_-* &quot;-&quot;??_-;_-@_-"/>
    <numFmt numFmtId="179" formatCode="0.0"/>
    <numFmt numFmtId="180" formatCode="0.0%"/>
    <numFmt numFmtId="181" formatCode="h:mm;@"/>
    <numFmt numFmtId="182" formatCode="0_ "/>
    <numFmt numFmtId="183" formatCode="0.0_ "/>
    <numFmt numFmtId="184" formatCode="0_);[Red]\(0\)"/>
    <numFmt numFmtId="185" formatCode="m&quot;月&quot;d&quot;日&quot;"/>
    <numFmt numFmtId="186" formatCode="yyyy&quot;年&quot;mm&quot;月&quot;dd&quot;日&quot;"/>
  </numFmts>
  <fonts count="33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8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6"/>
      <color theme="5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6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color theme="1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2"/>
      <color theme="1"/>
      <name val="Microsoft JhengHei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1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5">
    <xf numFmtId="0" fontId="0" fillId="0" borderId="0"/>
    <xf numFmtId="0" fontId="4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511">
    <xf numFmtId="0" fontId="0" fillId="0" borderId="0" xfId="0"/>
    <xf numFmtId="0" fontId="7" fillId="0" borderId="0" xfId="2" applyFont="1">
      <alignment vertical="center"/>
    </xf>
    <xf numFmtId="0" fontId="8" fillId="0" borderId="0" xfId="2" applyFont="1">
      <alignment vertical="center"/>
    </xf>
    <xf numFmtId="0" fontId="9" fillId="0" borderId="1" xfId="2" applyFont="1" applyBorder="1" applyAlignment="1">
      <alignment horizontal="center" vertical="center"/>
    </xf>
    <xf numFmtId="178" fontId="9" fillId="0" borderId="0" xfId="28" applyNumberFormat="1" applyFont="1" applyBorder="1" applyAlignment="1">
      <alignment vertical="center"/>
    </xf>
    <xf numFmtId="0" fontId="9" fillId="0" borderId="0" xfId="2" applyFont="1">
      <alignment vertical="center"/>
    </xf>
    <xf numFmtId="0" fontId="13" fillId="0" borderId="0" xfId="2" applyFont="1">
      <alignment vertical="center"/>
    </xf>
    <xf numFmtId="0" fontId="14" fillId="0" borderId="0" xfId="10" applyFont="1">
      <alignment vertical="center"/>
    </xf>
    <xf numFmtId="0" fontId="15" fillId="0" borderId="0" xfId="2" applyFont="1">
      <alignment vertical="center"/>
    </xf>
    <xf numFmtId="0" fontId="16" fillId="0" borderId="0" xfId="2" applyFont="1">
      <alignment vertical="center"/>
    </xf>
    <xf numFmtId="0" fontId="8" fillId="0" borderId="1" xfId="2" applyFont="1" applyBorder="1" applyAlignment="1">
      <alignment horizontal="center" vertical="center"/>
    </xf>
    <xf numFmtId="0" fontId="17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179" fontId="18" fillId="0" borderId="1" xfId="2" applyNumberFormat="1" applyFont="1" applyBorder="1" applyAlignment="1">
      <alignment horizontal="center" vertical="center"/>
    </xf>
    <xf numFmtId="180" fontId="18" fillId="0" borderId="9" xfId="29" applyNumberFormat="1" applyFont="1" applyBorder="1" applyAlignment="1">
      <alignment horizontal="center" vertical="center"/>
    </xf>
    <xf numFmtId="180" fontId="18" fillId="0" borderId="9" xfId="29" applyNumberFormat="1" applyFont="1" applyFill="1" applyBorder="1" applyAlignment="1">
      <alignment horizontal="center" vertical="center"/>
    </xf>
    <xf numFmtId="20" fontId="19" fillId="0" borderId="1" xfId="2" applyNumberFormat="1" applyFont="1" applyBorder="1" applyAlignment="1">
      <alignment horizontal="center" vertical="center"/>
    </xf>
    <xf numFmtId="181" fontId="19" fillId="0" borderId="12" xfId="20" applyNumberFormat="1" applyFont="1" applyBorder="1" applyAlignment="1">
      <alignment horizontal="center" vertical="center"/>
    </xf>
    <xf numFmtId="20" fontId="19" fillId="0" borderId="11" xfId="2" applyNumberFormat="1" applyFont="1" applyBorder="1" applyAlignment="1">
      <alignment horizontal="center" vertical="center"/>
    </xf>
    <xf numFmtId="20" fontId="19" fillId="0" borderId="1" xfId="20" applyNumberFormat="1" applyFont="1" applyBorder="1" applyAlignment="1">
      <alignment horizontal="center" vertical="center"/>
    </xf>
    <xf numFmtId="20" fontId="8" fillId="0" borderId="11" xfId="14" applyNumberFormat="1" applyFont="1" applyBorder="1" applyAlignment="1">
      <alignment horizontal="center" vertical="center"/>
    </xf>
    <xf numFmtId="20" fontId="8" fillId="6" borderId="11" xfId="14" applyNumberFormat="1" applyFont="1" applyFill="1" applyBorder="1" applyAlignment="1">
      <alignment horizontal="center" vertical="center"/>
    </xf>
    <xf numFmtId="20" fontId="19" fillId="0" borderId="13" xfId="20" applyNumberFormat="1" applyFont="1" applyBorder="1" applyAlignment="1">
      <alignment horizontal="center" vertical="center"/>
    </xf>
    <xf numFmtId="1" fontId="8" fillId="0" borderId="1" xfId="2" applyNumberFormat="1" applyFont="1" applyBorder="1" applyAlignment="1">
      <alignment horizontal="center" vertical="center" wrapText="1"/>
    </xf>
    <xf numFmtId="0" fontId="20" fillId="0" borderId="1" xfId="2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21" fillId="0" borderId="13" xfId="20" applyFont="1" applyBorder="1">
      <alignment vertical="center"/>
    </xf>
    <xf numFmtId="0" fontId="21" fillId="0" borderId="13" xfId="20" applyFont="1" applyBorder="1" applyAlignment="1">
      <alignment horizontal="left" vertical="center"/>
    </xf>
    <xf numFmtId="178" fontId="22" fillId="7" borderId="13" xfId="24" applyNumberFormat="1" applyFont="1" applyFill="1" applyBorder="1" applyAlignment="1">
      <alignment horizontal="center" vertical="center"/>
    </xf>
    <xf numFmtId="0" fontId="19" fillId="0" borderId="13" xfId="20" applyFont="1" applyBorder="1" applyAlignment="1">
      <alignment horizontal="center" vertical="center"/>
    </xf>
    <xf numFmtId="43" fontId="21" fillId="0" borderId="13" xfId="24" applyFont="1" applyBorder="1" applyAlignment="1">
      <alignment horizontal="center" vertical="center"/>
    </xf>
    <xf numFmtId="0" fontId="21" fillId="0" borderId="13" xfId="20" applyFont="1" applyBorder="1" applyAlignment="1">
      <alignment horizontal="center" vertical="center"/>
    </xf>
    <xf numFmtId="1" fontId="21" fillId="0" borderId="13" xfId="20" applyNumberFormat="1" applyFont="1" applyBorder="1" applyAlignment="1">
      <alignment horizontal="center" vertical="center"/>
    </xf>
    <xf numFmtId="0" fontId="19" fillId="0" borderId="0" xfId="20" applyFont="1">
      <alignment vertical="center"/>
    </xf>
    <xf numFmtId="179" fontId="21" fillId="0" borderId="13" xfId="20" applyNumberFormat="1" applyFont="1" applyBorder="1" applyAlignment="1">
      <alignment horizontal="center" vertical="center"/>
    </xf>
    <xf numFmtId="179" fontId="24" fillId="0" borderId="13" xfId="20" applyNumberFormat="1" applyFont="1" applyBorder="1" applyAlignment="1">
      <alignment horizontal="center" vertical="center" wrapText="1"/>
    </xf>
    <xf numFmtId="2" fontId="21" fillId="0" borderId="13" xfId="20" applyNumberFormat="1" applyFont="1" applyBorder="1" applyAlignment="1">
      <alignment horizontal="center" vertical="center"/>
    </xf>
    <xf numFmtId="0" fontId="19" fillId="0" borderId="14" xfId="20" applyFont="1" applyBorder="1" applyAlignment="1">
      <alignment horizontal="center" vertical="center"/>
    </xf>
    <xf numFmtId="0" fontId="19" fillId="0" borderId="17" xfId="19" applyFont="1" applyBorder="1" applyAlignment="1">
      <alignment horizontal="center"/>
    </xf>
    <xf numFmtId="0" fontId="19" fillId="0" borderId="18" xfId="20" applyFont="1" applyBorder="1" applyAlignment="1">
      <alignment horizontal="center"/>
    </xf>
    <xf numFmtId="0" fontId="19" fillId="0" borderId="18" xfId="19" applyFont="1" applyBorder="1" applyAlignment="1"/>
    <xf numFmtId="1" fontId="19" fillId="0" borderId="19" xfId="20" applyNumberFormat="1" applyFont="1" applyBorder="1" applyAlignment="1">
      <alignment horizontal="center" vertical="center"/>
    </xf>
    <xf numFmtId="43" fontId="19" fillId="0" borderId="20" xfId="24" applyFont="1" applyBorder="1" applyAlignment="1">
      <alignment horizontal="center" vertical="center"/>
    </xf>
    <xf numFmtId="0" fontId="19" fillId="0" borderId="20" xfId="20" applyFont="1" applyBorder="1" applyAlignment="1">
      <alignment horizontal="center" vertical="center" wrapText="1"/>
    </xf>
    <xf numFmtId="1" fontId="19" fillId="3" borderId="20" xfId="20" applyNumberFormat="1" applyFont="1" applyFill="1" applyBorder="1" applyAlignment="1">
      <alignment horizontal="center" vertical="center"/>
    </xf>
    <xf numFmtId="1" fontId="19" fillId="0" borderId="20" xfId="20" applyNumberFormat="1" applyFont="1" applyBorder="1" applyAlignment="1">
      <alignment horizontal="center" vertical="center"/>
    </xf>
    <xf numFmtId="179" fontId="19" fillId="0" borderId="20" xfId="20" applyNumberFormat="1" applyFont="1" applyBorder="1" applyAlignment="1">
      <alignment horizontal="center" vertical="center"/>
    </xf>
    <xf numFmtId="0" fontId="19" fillId="3" borderId="20" xfId="20" applyFont="1" applyFill="1" applyBorder="1" applyAlignment="1">
      <alignment horizontal="center" vertical="center"/>
    </xf>
    <xf numFmtId="182" fontId="19" fillId="0" borderId="20" xfId="20" applyNumberFormat="1" applyFont="1" applyBorder="1" applyAlignment="1">
      <alignment horizontal="center" vertical="center"/>
    </xf>
    <xf numFmtId="183" fontId="19" fillId="0" borderId="20" xfId="20" applyNumberFormat="1" applyFont="1" applyBorder="1" applyAlignment="1">
      <alignment horizontal="center" vertical="center"/>
    </xf>
    <xf numFmtId="180" fontId="19" fillId="0" borderId="20" xfId="34" applyNumberFormat="1" applyFont="1" applyBorder="1" applyAlignment="1">
      <alignment horizontal="center" vertical="center"/>
    </xf>
    <xf numFmtId="180" fontId="19" fillId="0" borderId="21" xfId="34" applyNumberFormat="1" applyFont="1" applyBorder="1" applyAlignment="1">
      <alignment horizontal="center" vertical="center"/>
    </xf>
    <xf numFmtId="0" fontId="19" fillId="0" borderId="22" xfId="20" applyFont="1" applyBorder="1">
      <alignment vertical="center"/>
    </xf>
    <xf numFmtId="0" fontId="19" fillId="0" borderId="21" xfId="20" applyFont="1" applyBorder="1" applyAlignment="1">
      <alignment horizontal="center" vertical="center" wrapText="1"/>
    </xf>
    <xf numFmtId="0" fontId="19" fillId="0" borderId="21" xfId="20" applyFont="1" applyBorder="1" applyAlignment="1">
      <alignment horizontal="center" vertical="center"/>
    </xf>
    <xf numFmtId="182" fontId="19" fillId="0" borderId="21" xfId="20" applyNumberFormat="1" applyFont="1" applyBorder="1" applyAlignment="1">
      <alignment horizontal="center" vertical="center"/>
    </xf>
    <xf numFmtId="0" fontId="19" fillId="0" borderId="25" xfId="19" applyFont="1" applyBorder="1" applyAlignment="1">
      <alignment horizontal="center"/>
    </xf>
    <xf numFmtId="0" fontId="19" fillId="0" borderId="26" xfId="20" applyFont="1" applyBorder="1" applyAlignment="1">
      <alignment horizontal="center"/>
    </xf>
    <xf numFmtId="0" fontId="19" fillId="0" borderId="27" xfId="19" applyFont="1" applyBorder="1" applyAlignment="1"/>
    <xf numFmtId="0" fontId="19" fillId="0" borderId="28" xfId="19" applyFont="1" applyBorder="1" applyAlignment="1"/>
    <xf numFmtId="0" fontId="19" fillId="0" borderId="29" xfId="19" applyFont="1" applyBorder="1" applyAlignment="1">
      <alignment horizontal="center"/>
    </xf>
    <xf numFmtId="1" fontId="19" fillId="0" borderId="30" xfId="20" applyNumberFormat="1" applyFont="1" applyBorder="1" applyAlignment="1">
      <alignment horizontal="center" vertical="center"/>
    </xf>
    <xf numFmtId="43" fontId="19" fillId="0" borderId="31" xfId="24" applyFont="1" applyBorder="1" applyAlignment="1">
      <alignment horizontal="center" vertical="center"/>
    </xf>
    <xf numFmtId="0" fontId="19" fillId="0" borderId="31" xfId="20" applyFont="1" applyBorder="1" applyAlignment="1">
      <alignment horizontal="center" vertical="center" wrapText="1"/>
    </xf>
    <xf numFmtId="1" fontId="19" fillId="3" borderId="31" xfId="20" applyNumberFormat="1" applyFont="1" applyFill="1" applyBorder="1" applyAlignment="1">
      <alignment horizontal="center" vertical="center"/>
    </xf>
    <xf numFmtId="1" fontId="19" fillId="0" borderId="31" xfId="20" applyNumberFormat="1" applyFont="1" applyBorder="1" applyAlignment="1">
      <alignment horizontal="center" vertical="center"/>
    </xf>
    <xf numFmtId="179" fontId="19" fillId="0" borderId="31" xfId="20" applyNumberFormat="1" applyFont="1" applyBorder="1" applyAlignment="1">
      <alignment horizontal="center" vertical="center"/>
    </xf>
    <xf numFmtId="0" fontId="19" fillId="3" borderId="31" xfId="20" applyFont="1" applyFill="1" applyBorder="1" applyAlignment="1">
      <alignment horizontal="center" vertical="center"/>
    </xf>
    <xf numFmtId="182" fontId="19" fillId="0" borderId="31" xfId="20" applyNumberFormat="1" applyFont="1" applyBorder="1" applyAlignment="1">
      <alignment horizontal="center" vertical="center"/>
    </xf>
    <xf numFmtId="183" fontId="19" fillId="0" borderId="31" xfId="20" applyNumberFormat="1" applyFont="1" applyBorder="1" applyAlignment="1">
      <alignment horizontal="center" vertical="center"/>
    </xf>
    <xf numFmtId="180" fontId="19" fillId="0" borderId="31" xfId="34" applyNumberFormat="1" applyFont="1" applyBorder="1" applyAlignment="1">
      <alignment horizontal="center" vertical="center"/>
    </xf>
    <xf numFmtId="180" fontId="19" fillId="0" borderId="13" xfId="34" applyNumberFormat="1" applyFont="1" applyBorder="1" applyAlignment="1">
      <alignment horizontal="center" vertical="center"/>
    </xf>
    <xf numFmtId="0" fontId="19" fillId="0" borderId="13" xfId="20" applyFont="1" applyBorder="1" applyAlignment="1">
      <alignment horizontal="center" vertical="center" wrapText="1"/>
    </xf>
    <xf numFmtId="182" fontId="19" fillId="0" borderId="13" xfId="20" applyNumberFormat="1" applyFont="1" applyBorder="1" applyAlignment="1">
      <alignment horizontal="center" vertical="center"/>
    </xf>
    <xf numFmtId="0" fontId="19" fillId="0" borderId="1" xfId="19" applyFont="1" applyBorder="1" applyAlignment="1">
      <alignment horizontal="center"/>
    </xf>
    <xf numFmtId="0" fontId="19" fillId="0" borderId="33" xfId="20" applyFont="1" applyBorder="1" applyAlignment="1">
      <alignment horizontal="center"/>
    </xf>
    <xf numFmtId="0" fontId="19" fillId="0" borderId="33" xfId="19" applyFont="1" applyBorder="1" applyAlignment="1"/>
    <xf numFmtId="43" fontId="19" fillId="0" borderId="13" xfId="24" applyFont="1" applyBorder="1" applyAlignment="1">
      <alignment horizontal="center" vertical="center"/>
    </xf>
    <xf numFmtId="1" fontId="19" fillId="3" borderId="13" xfId="20" applyNumberFormat="1" applyFont="1" applyFill="1" applyBorder="1" applyAlignment="1">
      <alignment horizontal="center" vertical="center"/>
    </xf>
    <xf numFmtId="1" fontId="19" fillId="0" borderId="13" xfId="20" applyNumberFormat="1" applyFont="1" applyBorder="1" applyAlignment="1">
      <alignment horizontal="center" vertical="center"/>
    </xf>
    <xf numFmtId="179" fontId="19" fillId="0" borderId="13" xfId="20" applyNumberFormat="1" applyFont="1" applyBorder="1" applyAlignment="1">
      <alignment horizontal="center" vertical="center"/>
    </xf>
    <xf numFmtId="0" fontId="19" fillId="3" borderId="13" xfId="20" applyFont="1" applyFill="1" applyBorder="1" applyAlignment="1">
      <alignment horizontal="center" vertical="center"/>
    </xf>
    <xf numFmtId="183" fontId="19" fillId="0" borderId="13" xfId="20" applyNumberFormat="1" applyFont="1" applyBorder="1" applyAlignment="1">
      <alignment horizontal="center" vertical="center"/>
    </xf>
    <xf numFmtId="20" fontId="19" fillId="0" borderId="27" xfId="20" applyNumberFormat="1" applyFont="1" applyBorder="1" applyAlignment="1">
      <alignment horizontal="center" vertical="center"/>
    </xf>
    <xf numFmtId="180" fontId="19" fillId="0" borderId="14" xfId="34" applyNumberFormat="1" applyFont="1" applyBorder="1" applyAlignment="1">
      <alignment horizontal="center" vertical="center"/>
    </xf>
    <xf numFmtId="0" fontId="19" fillId="0" borderId="27" xfId="20" applyFont="1" applyBorder="1" applyAlignment="1">
      <alignment horizontal="center"/>
    </xf>
    <xf numFmtId="0" fontId="19" fillId="0" borderId="30" xfId="19" applyFont="1" applyBorder="1" applyAlignment="1"/>
    <xf numFmtId="0" fontId="19" fillId="0" borderId="37" xfId="20" applyFont="1" applyBorder="1" applyAlignment="1">
      <alignment horizontal="center"/>
    </xf>
    <xf numFmtId="0" fontId="19" fillId="0" borderId="38" xfId="19" applyFont="1" applyBorder="1" applyAlignment="1"/>
    <xf numFmtId="184" fontId="19" fillId="0" borderId="1" xfId="20" applyNumberFormat="1" applyFont="1" applyBorder="1" applyAlignment="1">
      <alignment horizontal="center" vertical="center"/>
    </xf>
    <xf numFmtId="43" fontId="19" fillId="0" borderId="1" xfId="24" applyFont="1" applyBorder="1" applyAlignment="1">
      <alignment horizontal="center" vertical="center"/>
    </xf>
    <xf numFmtId="0" fontId="19" fillId="0" borderId="1" xfId="20" applyFont="1" applyBorder="1" applyAlignment="1">
      <alignment horizontal="center" vertical="center"/>
    </xf>
    <xf numFmtId="179" fontId="19" fillId="0" borderId="30" xfId="20" applyNumberFormat="1" applyFont="1" applyBorder="1" applyAlignment="1">
      <alignment horizontal="center" vertical="center"/>
    </xf>
    <xf numFmtId="0" fontId="19" fillId="3" borderId="1" xfId="20" applyFont="1" applyFill="1" applyBorder="1" applyAlignment="1">
      <alignment horizontal="center" vertical="center"/>
    </xf>
    <xf numFmtId="1" fontId="19" fillId="0" borderId="1" xfId="20" applyNumberFormat="1" applyFont="1" applyBorder="1" applyAlignment="1">
      <alignment horizontal="center" vertical="center"/>
    </xf>
    <xf numFmtId="179" fontId="19" fillId="0" borderId="1" xfId="20" applyNumberFormat="1" applyFont="1" applyBorder="1" applyAlignment="1">
      <alignment horizontal="center" vertical="center"/>
    </xf>
    <xf numFmtId="182" fontId="19" fillId="0" borderId="1" xfId="20" applyNumberFormat="1" applyFont="1" applyBorder="1" applyAlignment="1">
      <alignment horizontal="center" vertical="center"/>
    </xf>
    <xf numFmtId="183" fontId="19" fillId="0" borderId="1" xfId="20" applyNumberFormat="1" applyFont="1" applyBorder="1" applyAlignment="1">
      <alignment horizontal="center" vertical="center"/>
    </xf>
    <xf numFmtId="180" fontId="19" fillId="0" borderId="1" xfId="34" applyNumberFormat="1" applyFont="1" applyBorder="1" applyAlignment="1">
      <alignment horizontal="center" vertical="center"/>
    </xf>
    <xf numFmtId="0" fontId="19" fillId="0" borderId="30" xfId="20" applyFont="1" applyBorder="1" applyAlignment="1">
      <alignment horizontal="center" vertical="center" wrapText="1"/>
    </xf>
    <xf numFmtId="0" fontId="19" fillId="0" borderId="39" xfId="20" applyFont="1" applyBorder="1" applyAlignment="1">
      <alignment horizontal="center" vertical="center"/>
    </xf>
    <xf numFmtId="0" fontId="19" fillId="0" borderId="40" xfId="20" applyFont="1" applyBorder="1" applyAlignment="1">
      <alignment horizontal="center" vertical="center"/>
    </xf>
    <xf numFmtId="0" fontId="19" fillId="0" borderId="41" xfId="19" applyFont="1" applyBorder="1" applyAlignment="1"/>
    <xf numFmtId="0" fontId="19" fillId="0" borderId="39" xfId="19" applyFont="1" applyBorder="1" applyAlignment="1"/>
    <xf numFmtId="0" fontId="19" fillId="0" borderId="30" xfId="19" applyFont="1" applyBorder="1" applyAlignment="1">
      <alignment horizontal="center"/>
    </xf>
    <xf numFmtId="1" fontId="19" fillId="3" borderId="14" xfId="20" applyNumberFormat="1" applyFont="1" applyFill="1" applyBorder="1" applyAlignment="1">
      <alignment horizontal="center" vertical="center"/>
    </xf>
    <xf numFmtId="1" fontId="19" fillId="0" borderId="14" xfId="20" applyNumberFormat="1" applyFont="1" applyBorder="1" applyAlignment="1">
      <alignment horizontal="center" vertical="center"/>
    </xf>
    <xf numFmtId="0" fontId="19" fillId="3" borderId="14" xfId="20" applyFont="1" applyFill="1" applyBorder="1" applyAlignment="1">
      <alignment horizontal="center" vertical="center"/>
    </xf>
    <xf numFmtId="181" fontId="19" fillId="0" borderId="14" xfId="20" applyNumberFormat="1" applyFont="1" applyBorder="1" applyAlignment="1">
      <alignment horizontal="center" vertical="center"/>
    </xf>
    <xf numFmtId="20" fontId="19" fillId="0" borderId="14" xfId="20" applyNumberFormat="1" applyFont="1" applyBorder="1" applyAlignment="1">
      <alignment horizontal="center" vertical="center"/>
    </xf>
    <xf numFmtId="182" fontId="19" fillId="0" borderId="14" xfId="20" applyNumberFormat="1" applyFont="1" applyBorder="1" applyAlignment="1">
      <alignment horizontal="center" vertical="center"/>
    </xf>
    <xf numFmtId="180" fontId="19" fillId="0" borderId="41" xfId="34" applyNumberFormat="1" applyFont="1" applyBorder="1" applyAlignment="1">
      <alignment horizontal="center" vertical="center"/>
    </xf>
    <xf numFmtId="181" fontId="8" fillId="6" borderId="1" xfId="14" applyNumberFormat="1" applyFont="1" applyFill="1" applyBorder="1" applyAlignment="1">
      <alignment horizontal="center" vertical="center"/>
    </xf>
    <xf numFmtId="181" fontId="8" fillId="6" borderId="11" xfId="14" applyNumberFormat="1" applyFont="1" applyFill="1" applyBorder="1" applyAlignment="1">
      <alignment horizontal="center" vertical="center"/>
    </xf>
    <xf numFmtId="0" fontId="19" fillId="0" borderId="43" xfId="20" applyFont="1" applyBorder="1" applyAlignment="1">
      <alignment horizontal="center"/>
    </xf>
    <xf numFmtId="0" fontId="19" fillId="11" borderId="44" xfId="20" applyFont="1" applyFill="1" applyBorder="1" applyAlignment="1">
      <alignment horizontal="center"/>
    </xf>
    <xf numFmtId="179" fontId="19" fillId="11" borderId="44" xfId="20" applyNumberFormat="1" applyFont="1" applyFill="1" applyBorder="1" applyAlignment="1">
      <alignment horizontal="center" vertical="center"/>
    </xf>
    <xf numFmtId="43" fontId="19" fillId="11" borderId="44" xfId="24" applyFont="1" applyFill="1" applyBorder="1" applyAlignment="1">
      <alignment horizontal="center" vertical="center"/>
    </xf>
    <xf numFmtId="0" fontId="19" fillId="11" borderId="44" xfId="20" applyFont="1" applyFill="1" applyBorder="1" applyAlignment="1">
      <alignment horizontal="center" vertical="center"/>
    </xf>
    <xf numFmtId="1" fontId="19" fillId="11" borderId="44" xfId="20" applyNumberFormat="1" applyFont="1" applyFill="1" applyBorder="1" applyAlignment="1">
      <alignment horizontal="center" vertical="center"/>
    </xf>
    <xf numFmtId="182" fontId="19" fillId="0" borderId="44" xfId="20" applyNumberFormat="1" applyFont="1" applyBorder="1" applyAlignment="1">
      <alignment horizontal="center" vertical="center"/>
    </xf>
    <xf numFmtId="183" fontId="19" fillId="0" borderId="44" xfId="20" applyNumberFormat="1" applyFont="1" applyBorder="1" applyAlignment="1">
      <alignment horizontal="center" vertical="center"/>
    </xf>
    <xf numFmtId="180" fontId="19" fillId="0" borderId="44" xfId="34" applyNumberFormat="1" applyFont="1" applyFill="1" applyBorder="1" applyAlignment="1">
      <alignment horizontal="center" vertical="center"/>
    </xf>
    <xf numFmtId="180" fontId="19" fillId="0" borderId="44" xfId="34" applyNumberFormat="1" applyFont="1" applyBorder="1" applyAlignment="1">
      <alignment horizontal="center" vertical="center"/>
    </xf>
    <xf numFmtId="181" fontId="19" fillId="0" borderId="44" xfId="20" applyNumberFormat="1" applyFont="1" applyBorder="1" applyAlignment="1">
      <alignment horizontal="center" vertical="center"/>
    </xf>
    <xf numFmtId="0" fontId="19" fillId="0" borderId="44" xfId="20" applyFont="1" applyBorder="1" applyAlignment="1">
      <alignment horizontal="center" vertical="center"/>
    </xf>
    <xf numFmtId="0" fontId="19" fillId="0" borderId="43" xfId="20" applyFont="1" applyBorder="1" applyAlignment="1">
      <alignment horizontal="center" vertical="center" wrapText="1"/>
    </xf>
    <xf numFmtId="179" fontId="19" fillId="0" borderId="44" xfId="20" applyNumberFormat="1" applyFont="1" applyBorder="1" applyAlignment="1">
      <alignment horizontal="center" vertical="center"/>
    </xf>
    <xf numFmtId="0" fontId="19" fillId="0" borderId="46" xfId="19" applyFont="1" applyBorder="1" applyAlignment="1">
      <alignment horizontal="center"/>
    </xf>
    <xf numFmtId="0" fontId="19" fillId="0" borderId="47" xfId="20" applyFont="1" applyBorder="1" applyAlignment="1">
      <alignment horizontal="center"/>
    </xf>
    <xf numFmtId="0" fontId="19" fillId="0" borderId="48" xfId="19" applyFont="1" applyBorder="1" applyAlignment="1"/>
    <xf numFmtId="0" fontId="19" fillId="0" borderId="49" xfId="19" applyFont="1" applyBorder="1" applyAlignment="1"/>
    <xf numFmtId="184" fontId="19" fillId="0" borderId="17" xfId="2" applyNumberFormat="1" applyFont="1" applyBorder="1" applyAlignment="1">
      <alignment horizontal="center" vertical="center"/>
    </xf>
    <xf numFmtId="43" fontId="19" fillId="0" borderId="17" xfId="24" applyFont="1" applyBorder="1" applyAlignment="1">
      <alignment horizontal="center" vertical="center"/>
    </xf>
    <xf numFmtId="0" fontId="19" fillId="0" borderId="17" xfId="20" applyFont="1" applyBorder="1" applyAlignment="1">
      <alignment horizontal="center" vertical="center"/>
    </xf>
    <xf numFmtId="1" fontId="19" fillId="3" borderId="21" xfId="20" applyNumberFormat="1" applyFont="1" applyFill="1" applyBorder="1" applyAlignment="1">
      <alignment horizontal="center" vertical="center"/>
    </xf>
    <xf numFmtId="1" fontId="19" fillId="0" borderId="21" xfId="20" applyNumberFormat="1" applyFont="1" applyBorder="1" applyAlignment="1">
      <alignment horizontal="center" vertical="center"/>
    </xf>
    <xf numFmtId="179" fontId="19" fillId="0" borderId="21" xfId="20" applyNumberFormat="1" applyFont="1" applyBorder="1" applyAlignment="1">
      <alignment horizontal="center" vertical="center"/>
    </xf>
    <xf numFmtId="1" fontId="19" fillId="3" borderId="17" xfId="20" applyNumberFormat="1" applyFont="1" applyFill="1" applyBorder="1" applyAlignment="1">
      <alignment horizontal="center" vertical="center"/>
    </xf>
    <xf numFmtId="1" fontId="19" fillId="0" borderId="17" xfId="20" applyNumberFormat="1" applyFont="1" applyBorder="1" applyAlignment="1">
      <alignment horizontal="center" vertical="center"/>
    </xf>
    <xf numFmtId="179" fontId="19" fillId="0" borderId="17" xfId="20" applyNumberFormat="1" applyFont="1" applyBorder="1" applyAlignment="1">
      <alignment horizontal="center" vertical="center"/>
    </xf>
    <xf numFmtId="182" fontId="19" fillId="0" borderId="17" xfId="20" applyNumberFormat="1" applyFont="1" applyBorder="1" applyAlignment="1">
      <alignment horizontal="center" vertical="center"/>
    </xf>
    <xf numFmtId="183" fontId="19" fillId="0" borderId="17" xfId="20" applyNumberFormat="1" applyFont="1" applyBorder="1" applyAlignment="1">
      <alignment horizontal="center" vertical="center"/>
    </xf>
    <xf numFmtId="180" fontId="19" fillId="0" borderId="17" xfId="34" applyNumberFormat="1" applyFont="1" applyBorder="1" applyAlignment="1">
      <alignment horizontal="center" vertical="center"/>
    </xf>
    <xf numFmtId="20" fontId="19" fillId="0" borderId="17" xfId="20" applyNumberFormat="1" applyFont="1" applyBorder="1" applyAlignment="1">
      <alignment horizontal="center" vertical="center"/>
    </xf>
    <xf numFmtId="0" fontId="19" fillId="0" borderId="17" xfId="20" applyFont="1" applyBorder="1" applyAlignment="1">
      <alignment horizontal="center" vertical="center" wrapText="1"/>
    </xf>
    <xf numFmtId="184" fontId="19" fillId="0" borderId="1" xfId="2" applyNumberFormat="1" applyFont="1" applyBorder="1" applyAlignment="1">
      <alignment horizontal="center" vertical="center"/>
    </xf>
    <xf numFmtId="1" fontId="19" fillId="3" borderId="1" xfId="20" applyNumberFormat="1" applyFont="1" applyFill="1" applyBorder="1" applyAlignment="1">
      <alignment horizontal="center" vertical="center"/>
    </xf>
    <xf numFmtId="0" fontId="19" fillId="0" borderId="1" xfId="20" applyFont="1" applyBorder="1" applyAlignment="1">
      <alignment horizontal="center" vertical="center" wrapText="1"/>
    </xf>
    <xf numFmtId="181" fontId="19" fillId="0" borderId="1" xfId="20" applyNumberFormat="1" applyFont="1" applyBorder="1" applyAlignment="1">
      <alignment horizontal="center" vertical="center"/>
    </xf>
    <xf numFmtId="0" fontId="19" fillId="0" borderId="27" xfId="20" applyFont="1" applyBorder="1" applyAlignment="1">
      <alignment horizontal="center" vertical="center"/>
    </xf>
    <xf numFmtId="0" fontId="19" fillId="0" borderId="50" xfId="20" applyFont="1" applyBorder="1" applyAlignment="1">
      <alignment horizontal="center"/>
    </xf>
    <xf numFmtId="0" fontId="17" fillId="0" borderId="50" xfId="2" applyFont="1" applyBorder="1" applyAlignment="1">
      <alignment horizontal="center" vertical="center"/>
    </xf>
    <xf numFmtId="0" fontId="19" fillId="11" borderId="50" xfId="20" applyFont="1" applyFill="1" applyBorder="1" applyAlignment="1">
      <alignment horizontal="center"/>
    </xf>
    <xf numFmtId="1" fontId="19" fillId="11" borderId="50" xfId="20" applyNumberFormat="1" applyFont="1" applyFill="1" applyBorder="1" applyAlignment="1">
      <alignment horizontal="center" vertical="center"/>
    </xf>
    <xf numFmtId="43" fontId="19" fillId="11" borderId="50" xfId="24" applyFont="1" applyFill="1" applyBorder="1" applyAlignment="1">
      <alignment horizontal="center" vertical="center"/>
    </xf>
    <xf numFmtId="0" fontId="19" fillId="11" borderId="50" xfId="20" applyFont="1" applyFill="1" applyBorder="1" applyAlignment="1">
      <alignment horizontal="center" vertical="center"/>
    </xf>
    <xf numFmtId="179" fontId="19" fillId="11" borderId="50" xfId="20" applyNumberFormat="1" applyFont="1" applyFill="1" applyBorder="1" applyAlignment="1">
      <alignment horizontal="center" vertical="center"/>
    </xf>
    <xf numFmtId="182" fontId="19" fillId="0" borderId="50" xfId="20" applyNumberFormat="1" applyFont="1" applyBorder="1" applyAlignment="1">
      <alignment horizontal="center" vertical="center"/>
    </xf>
    <xf numFmtId="183" fontId="19" fillId="0" borderId="50" xfId="20" applyNumberFormat="1" applyFont="1" applyBorder="1" applyAlignment="1">
      <alignment horizontal="center" vertical="center"/>
    </xf>
    <xf numFmtId="180" fontId="19" fillId="0" borderId="50" xfId="34" applyNumberFormat="1" applyFont="1" applyFill="1" applyBorder="1" applyAlignment="1">
      <alignment horizontal="center" vertical="center"/>
    </xf>
    <xf numFmtId="180" fontId="19" fillId="0" borderId="50" xfId="34" applyNumberFormat="1" applyFont="1" applyBorder="1" applyAlignment="1">
      <alignment horizontal="center" vertical="center"/>
    </xf>
    <xf numFmtId="181" fontId="19" fillId="0" borderId="50" xfId="20" applyNumberFormat="1" applyFont="1" applyBorder="1" applyAlignment="1">
      <alignment horizontal="center" vertical="center"/>
    </xf>
    <xf numFmtId="0" fontId="19" fillId="0" borderId="50" xfId="20" applyFont="1" applyBorder="1" applyAlignment="1">
      <alignment horizontal="center" vertical="center"/>
    </xf>
    <xf numFmtId="1" fontId="19" fillId="0" borderId="50" xfId="20" applyNumberFormat="1" applyFont="1" applyBorder="1" applyAlignment="1">
      <alignment horizontal="center" vertical="center"/>
    </xf>
    <xf numFmtId="179" fontId="19" fillId="0" borderId="50" xfId="20" applyNumberFormat="1" applyFont="1" applyBorder="1" applyAlignment="1">
      <alignment horizontal="center" vertical="center"/>
    </xf>
    <xf numFmtId="0" fontId="19" fillId="0" borderId="52" xfId="19" applyFont="1" applyBorder="1" applyAlignment="1">
      <alignment horizontal="center"/>
    </xf>
    <xf numFmtId="0" fontId="19" fillId="0" borderId="53" xfId="19" applyFont="1" applyBorder="1" applyAlignment="1"/>
    <xf numFmtId="184" fontId="19" fillId="0" borderId="17" xfId="20" applyNumberFormat="1" applyFont="1" applyBorder="1" applyAlignment="1">
      <alignment horizontal="center" vertical="center"/>
    </xf>
    <xf numFmtId="0" fontId="19" fillId="3" borderId="17" xfId="20" applyFont="1" applyFill="1" applyBorder="1" applyAlignment="1">
      <alignment horizontal="center" vertical="center"/>
    </xf>
    <xf numFmtId="20" fontId="19" fillId="0" borderId="17" xfId="2" applyNumberFormat="1" applyFont="1" applyBorder="1" applyAlignment="1">
      <alignment horizontal="center" vertical="center"/>
    </xf>
    <xf numFmtId="180" fontId="19" fillId="0" borderId="55" xfId="34" applyNumberFormat="1" applyFont="1" applyBorder="1" applyAlignment="1">
      <alignment horizontal="center" vertical="center"/>
    </xf>
    <xf numFmtId="0" fontId="19" fillId="0" borderId="41" xfId="20" applyFont="1" applyBorder="1" applyAlignment="1">
      <alignment horizontal="center"/>
    </xf>
    <xf numFmtId="20" fontId="19" fillId="0" borderId="1" xfId="19" applyNumberFormat="1" applyFont="1" applyBorder="1" applyAlignment="1">
      <alignment horizontal="center" vertical="center"/>
    </xf>
    <xf numFmtId="0" fontId="19" fillId="0" borderId="58" xfId="19" applyFont="1" applyBorder="1" applyAlignment="1"/>
    <xf numFmtId="0" fontId="19" fillId="0" borderId="3" xfId="19" applyFont="1" applyBorder="1" applyAlignment="1"/>
    <xf numFmtId="0" fontId="19" fillId="0" borderId="58" xfId="20" applyFont="1" applyBorder="1" applyAlignment="1">
      <alignment horizontal="center" vertical="center"/>
    </xf>
    <xf numFmtId="0" fontId="19" fillId="0" borderId="60" xfId="19" applyFont="1" applyBorder="1" applyAlignment="1"/>
    <xf numFmtId="0" fontId="19" fillId="0" borderId="61" xfId="20" applyFont="1" applyBorder="1" applyAlignment="1">
      <alignment horizontal="center" vertical="center"/>
    </xf>
    <xf numFmtId="182" fontId="19" fillId="0" borderId="9" xfId="20" applyNumberFormat="1" applyFont="1" applyBorder="1" applyAlignment="1">
      <alignment horizontal="center" vertical="center"/>
    </xf>
    <xf numFmtId="183" fontId="19" fillId="0" borderId="9" xfId="20" applyNumberFormat="1" applyFont="1" applyBorder="1" applyAlignment="1">
      <alignment horizontal="center" vertical="center"/>
    </xf>
    <xf numFmtId="0" fontId="19" fillId="0" borderId="9" xfId="20" applyFont="1" applyBorder="1" applyAlignment="1">
      <alignment horizontal="center" vertical="center"/>
    </xf>
    <xf numFmtId="20" fontId="19" fillId="0" borderId="9" xfId="20" applyNumberFormat="1" applyFont="1" applyBorder="1" applyAlignment="1">
      <alignment horizontal="center" vertical="center"/>
    </xf>
    <xf numFmtId="0" fontId="19" fillId="0" borderId="55" xfId="19" applyFont="1" applyBorder="1" applyAlignment="1"/>
    <xf numFmtId="0" fontId="19" fillId="0" borderId="22" xfId="19" applyFont="1" applyBorder="1" applyAlignment="1"/>
    <xf numFmtId="184" fontId="8" fillId="0" borderId="17" xfId="2" applyNumberFormat="1" applyFont="1" applyBorder="1" applyAlignment="1">
      <alignment horizontal="center" vertical="center"/>
    </xf>
    <xf numFmtId="1" fontId="19" fillId="3" borderId="64" xfId="20" applyNumberFormat="1" applyFont="1" applyFill="1" applyBorder="1" applyAlignment="1">
      <alignment horizontal="center" vertical="center"/>
    </xf>
    <xf numFmtId="1" fontId="19" fillId="0" borderId="54" xfId="20" applyNumberFormat="1" applyFont="1" applyBorder="1" applyAlignment="1">
      <alignment horizontal="center" vertical="center"/>
    </xf>
    <xf numFmtId="179" fontId="19" fillId="0" borderId="65" xfId="20" applyNumberFormat="1" applyFont="1" applyBorder="1" applyAlignment="1">
      <alignment horizontal="center" vertical="center"/>
    </xf>
    <xf numFmtId="0" fontId="19" fillId="3" borderId="66" xfId="20" applyFont="1" applyFill="1" applyBorder="1" applyAlignment="1">
      <alignment horizontal="center" vertical="center"/>
    </xf>
    <xf numFmtId="20" fontId="8" fillId="0" borderId="17" xfId="14" applyNumberFormat="1" applyFont="1" applyBorder="1" applyAlignment="1">
      <alignment horizontal="center" vertical="center"/>
    </xf>
    <xf numFmtId="0" fontId="8" fillId="0" borderId="17" xfId="14" applyFont="1" applyBorder="1" applyAlignment="1">
      <alignment horizontal="center" vertical="center"/>
    </xf>
    <xf numFmtId="0" fontId="8" fillId="0" borderId="17" xfId="20" applyFont="1" applyBorder="1" applyAlignment="1">
      <alignment horizontal="center" vertical="center" wrapText="1"/>
    </xf>
    <xf numFmtId="179" fontId="8" fillId="0" borderId="17" xfId="14" applyNumberFormat="1" applyFont="1" applyBorder="1" applyAlignment="1">
      <alignment horizontal="center" vertical="center"/>
    </xf>
    <xf numFmtId="180" fontId="8" fillId="0" borderId="17" xfId="33" applyNumberFormat="1" applyFont="1" applyBorder="1" applyAlignment="1">
      <alignment horizontal="center" vertical="center"/>
    </xf>
    <xf numFmtId="0" fontId="8" fillId="0" borderId="0" xfId="14" applyFont="1">
      <alignment vertical="center"/>
    </xf>
    <xf numFmtId="0" fontId="19" fillId="0" borderId="2" xfId="20" applyFont="1" applyBorder="1" applyAlignment="1">
      <alignment horizontal="center"/>
    </xf>
    <xf numFmtId="0" fontId="19" fillId="0" borderId="2" xfId="19" applyFont="1" applyBorder="1" applyAlignment="1"/>
    <xf numFmtId="184" fontId="8" fillId="0" borderId="1" xfId="2" applyNumberFormat="1" applyFont="1" applyBorder="1" applyAlignment="1">
      <alignment horizontal="center" vertical="center"/>
    </xf>
    <xf numFmtId="0" fontId="8" fillId="0" borderId="1" xfId="14" applyFont="1" applyBorder="1" applyAlignment="1">
      <alignment horizontal="center" vertical="center"/>
    </xf>
    <xf numFmtId="1" fontId="8" fillId="3" borderId="1" xfId="14" applyNumberFormat="1" applyFont="1" applyFill="1" applyBorder="1" applyAlignment="1">
      <alignment horizontal="center" vertical="center"/>
    </xf>
    <xf numFmtId="1" fontId="8" fillId="0" borderId="1" xfId="14" applyNumberFormat="1" applyFont="1" applyBorder="1" applyAlignment="1">
      <alignment horizontal="center" vertical="center"/>
    </xf>
    <xf numFmtId="179" fontId="8" fillId="0" borderId="1" xfId="14" applyNumberFormat="1" applyFont="1" applyBorder="1" applyAlignment="1">
      <alignment horizontal="center" vertical="center"/>
    </xf>
    <xf numFmtId="180" fontId="19" fillId="0" borderId="30" xfId="34" applyNumberFormat="1" applyFont="1" applyBorder="1" applyAlignment="1">
      <alignment horizontal="center" vertical="center"/>
    </xf>
    <xf numFmtId="0" fontId="8" fillId="0" borderId="1" xfId="20" applyFont="1" applyBorder="1" applyAlignment="1">
      <alignment horizontal="center" vertical="center" wrapText="1"/>
    </xf>
    <xf numFmtId="180" fontId="8" fillId="0" borderId="1" xfId="33" applyNumberFormat="1" applyFont="1" applyBorder="1" applyAlignment="1">
      <alignment horizontal="center" vertical="center"/>
    </xf>
    <xf numFmtId="0" fontId="19" fillId="0" borderId="72" xfId="19" applyFont="1" applyBorder="1" applyAlignment="1">
      <alignment horizontal="center"/>
    </xf>
    <xf numFmtId="20" fontId="8" fillId="0" borderId="1" xfId="6" applyNumberFormat="1" applyFont="1" applyBorder="1" applyAlignment="1">
      <alignment horizontal="center" vertical="center"/>
    </xf>
    <xf numFmtId="20" fontId="8" fillId="0" borderId="2" xfId="6" applyNumberFormat="1" applyFont="1" applyBorder="1" applyAlignment="1">
      <alignment horizontal="center" vertical="center"/>
    </xf>
    <xf numFmtId="20" fontId="8" fillId="0" borderId="1" xfId="14" applyNumberFormat="1" applyFont="1" applyBorder="1" applyAlignment="1">
      <alignment horizontal="center" vertical="center"/>
    </xf>
    <xf numFmtId="179" fontId="8" fillId="0" borderId="7" xfId="14" applyNumberFormat="1" applyFont="1" applyBorder="1" applyAlignment="1">
      <alignment horizontal="center" vertical="center"/>
    </xf>
    <xf numFmtId="179" fontId="8" fillId="0" borderId="2" xfId="14" applyNumberFormat="1" applyFont="1" applyBorder="1" applyAlignment="1">
      <alignment horizontal="center" vertical="center"/>
    </xf>
    <xf numFmtId="182" fontId="8" fillId="0" borderId="4" xfId="14" applyNumberFormat="1" applyFont="1" applyBorder="1" applyAlignment="1">
      <alignment horizontal="center" vertical="center"/>
    </xf>
    <xf numFmtId="0" fontId="19" fillId="0" borderId="74" xfId="20" applyFont="1" applyBorder="1" applyAlignment="1">
      <alignment horizontal="center" vertical="center"/>
    </xf>
    <xf numFmtId="43" fontId="8" fillId="0" borderId="1" xfId="24" applyFont="1" applyBorder="1" applyAlignment="1">
      <alignment horizontal="center" vertical="center"/>
    </xf>
    <xf numFmtId="181" fontId="8" fillId="0" borderId="11" xfId="14" applyNumberFormat="1" applyFont="1" applyBorder="1" applyAlignment="1">
      <alignment horizontal="center" vertical="center"/>
    </xf>
    <xf numFmtId="0" fontId="19" fillId="0" borderId="62" xfId="20" applyFont="1" applyBorder="1" applyAlignment="1">
      <alignment horizontal="center" vertical="center"/>
    </xf>
    <xf numFmtId="181" fontId="8" fillId="0" borderId="1" xfId="14" applyNumberFormat="1" applyFont="1" applyBorder="1" applyAlignment="1">
      <alignment horizontal="center" vertical="center"/>
    </xf>
    <xf numFmtId="0" fontId="19" fillId="0" borderId="76" xfId="20" applyFont="1" applyBorder="1" applyAlignment="1">
      <alignment horizontal="center"/>
    </xf>
    <xf numFmtId="184" fontId="19" fillId="11" borderId="50" xfId="20" applyNumberFormat="1" applyFont="1" applyFill="1" applyBorder="1" applyAlignment="1">
      <alignment horizontal="center" vertical="center"/>
    </xf>
    <xf numFmtId="182" fontId="19" fillId="0" borderId="77" xfId="20" applyNumberFormat="1" applyFont="1" applyBorder="1" applyAlignment="1">
      <alignment horizontal="center" vertical="center"/>
    </xf>
    <xf numFmtId="183" fontId="19" fillId="0" borderId="78" xfId="20" applyNumberFormat="1" applyFont="1" applyBorder="1" applyAlignment="1">
      <alignment horizontal="center" vertical="center"/>
    </xf>
    <xf numFmtId="180" fontId="19" fillId="0" borderId="78" xfId="34" applyNumberFormat="1" applyFont="1" applyFill="1" applyBorder="1" applyAlignment="1">
      <alignment horizontal="center" vertical="center"/>
    </xf>
    <xf numFmtId="181" fontId="19" fillId="0" borderId="78" xfId="20" applyNumberFormat="1" applyFont="1" applyBorder="1" applyAlignment="1">
      <alignment horizontal="center" vertical="center"/>
    </xf>
    <xf numFmtId="0" fontId="19" fillId="0" borderId="78" xfId="20" applyFont="1" applyBorder="1" applyAlignment="1">
      <alignment horizontal="center" vertical="center"/>
    </xf>
    <xf numFmtId="0" fontId="8" fillId="0" borderId="50" xfId="20" applyFont="1" applyBorder="1" applyAlignment="1">
      <alignment horizontal="center" vertical="center" wrapText="1"/>
    </xf>
    <xf numFmtId="20" fontId="19" fillId="0" borderId="78" xfId="20" applyNumberFormat="1" applyFont="1" applyBorder="1" applyAlignment="1">
      <alignment horizontal="center" vertical="center"/>
    </xf>
    <xf numFmtId="1" fontId="8" fillId="0" borderId="17" xfId="14" applyNumberFormat="1" applyFont="1" applyBorder="1" applyAlignment="1">
      <alignment horizontal="center" vertical="center"/>
    </xf>
    <xf numFmtId="182" fontId="19" fillId="0" borderId="49" xfId="20" applyNumberFormat="1" applyFont="1" applyBorder="1" applyAlignment="1">
      <alignment horizontal="center" vertical="center"/>
    </xf>
    <xf numFmtId="183" fontId="19" fillId="0" borderId="21" xfId="20" applyNumberFormat="1" applyFont="1" applyBorder="1" applyAlignment="1">
      <alignment horizontal="center" vertical="center"/>
    </xf>
    <xf numFmtId="43" fontId="19" fillId="0" borderId="34" xfId="24" applyFont="1" applyBorder="1" applyAlignment="1">
      <alignment horizontal="center" vertical="center"/>
    </xf>
    <xf numFmtId="0" fontId="19" fillId="0" borderId="34" xfId="20" applyFont="1" applyBorder="1" applyAlignment="1">
      <alignment horizontal="center" vertical="center"/>
    </xf>
    <xf numFmtId="0" fontId="19" fillId="3" borderId="60" xfId="20" applyFont="1" applyFill="1" applyBorder="1" applyAlignment="1">
      <alignment horizontal="center" vertical="center"/>
    </xf>
    <xf numFmtId="1" fontId="19" fillId="0" borderId="34" xfId="20" applyNumberFormat="1" applyFont="1" applyBorder="1" applyAlignment="1">
      <alignment horizontal="center" vertical="center"/>
    </xf>
    <xf numFmtId="179" fontId="19" fillId="0" borderId="34" xfId="20" applyNumberFormat="1" applyFont="1" applyBorder="1" applyAlignment="1">
      <alignment horizontal="center" vertical="center"/>
    </xf>
    <xf numFmtId="0" fontId="19" fillId="6" borderId="13" xfId="20" applyFont="1" applyFill="1" applyBorder="1" applyAlignment="1">
      <alignment horizontal="center" vertical="center" wrapText="1"/>
    </xf>
    <xf numFmtId="0" fontId="19" fillId="6" borderId="13" xfId="20" applyFont="1" applyFill="1" applyBorder="1" applyAlignment="1">
      <alignment horizontal="center" vertical="center"/>
    </xf>
    <xf numFmtId="179" fontId="19" fillId="0" borderId="14" xfId="20" applyNumberFormat="1" applyFont="1" applyBorder="1" applyAlignment="1">
      <alignment horizontal="center" vertical="center"/>
    </xf>
    <xf numFmtId="0" fontId="19" fillId="0" borderId="44" xfId="20" applyFont="1" applyBorder="1" applyAlignment="1">
      <alignment horizontal="center"/>
    </xf>
    <xf numFmtId="1" fontId="19" fillId="11" borderId="78" xfId="20" applyNumberFormat="1" applyFont="1" applyFill="1" applyBorder="1" applyAlignment="1">
      <alignment horizontal="center" vertical="center"/>
    </xf>
    <xf numFmtId="181" fontId="8" fillId="0" borderId="83" xfId="14" applyNumberFormat="1" applyFont="1" applyBorder="1" applyAlignment="1">
      <alignment horizontal="center" vertical="center"/>
    </xf>
    <xf numFmtId="1" fontId="19" fillId="0" borderId="44" xfId="20" applyNumberFormat="1" applyFont="1" applyBorder="1" applyAlignment="1">
      <alignment horizontal="center" vertical="center"/>
    </xf>
    <xf numFmtId="43" fontId="19" fillId="0" borderId="21" xfId="24" applyFont="1" applyBorder="1" applyAlignment="1">
      <alignment horizontal="center" vertical="center"/>
    </xf>
    <xf numFmtId="0" fontId="19" fillId="3" borderId="21" xfId="20" applyFont="1" applyFill="1" applyBorder="1" applyAlignment="1">
      <alignment horizontal="center" vertical="center"/>
    </xf>
    <xf numFmtId="20" fontId="19" fillId="0" borderId="21" xfId="20" applyNumberFormat="1" applyFont="1" applyBorder="1" applyAlignment="1">
      <alignment horizontal="center" vertical="center"/>
    </xf>
    <xf numFmtId="180" fontId="19" fillId="0" borderId="54" xfId="34" applyNumberFormat="1" applyFont="1" applyBorder="1" applyAlignment="1">
      <alignment horizontal="center" vertical="center"/>
    </xf>
    <xf numFmtId="180" fontId="19" fillId="0" borderId="34" xfId="34" applyNumberFormat="1" applyFont="1" applyBorder="1" applyAlignment="1">
      <alignment horizontal="center" vertical="center"/>
    </xf>
    <xf numFmtId="0" fontId="19" fillId="0" borderId="34" xfId="20" applyFont="1" applyBorder="1" applyAlignment="1">
      <alignment horizontal="center" vertical="center" wrapText="1"/>
    </xf>
    <xf numFmtId="180" fontId="19" fillId="0" borderId="12" xfId="34" applyNumberFormat="1" applyFont="1" applyBorder="1" applyAlignment="1">
      <alignment horizontal="center" vertical="center"/>
    </xf>
    <xf numFmtId="0" fontId="19" fillId="0" borderId="9" xfId="19" applyFont="1" applyBorder="1" applyAlignment="1">
      <alignment horizontal="center"/>
    </xf>
    <xf numFmtId="0" fontId="19" fillId="0" borderId="40" xfId="20" applyFont="1" applyBorder="1" applyAlignment="1">
      <alignment horizontal="center"/>
    </xf>
    <xf numFmtId="0" fontId="19" fillId="0" borderId="37" xfId="19" applyFont="1" applyBorder="1" applyAlignment="1"/>
    <xf numFmtId="0" fontId="19" fillId="0" borderId="40" xfId="19" applyFont="1" applyBorder="1" applyAlignment="1"/>
    <xf numFmtId="43" fontId="19" fillId="0" borderId="14" xfId="24" applyFont="1" applyBorder="1" applyAlignment="1">
      <alignment horizontal="center" vertical="center"/>
    </xf>
    <xf numFmtId="183" fontId="19" fillId="0" borderId="14" xfId="20" applyNumberFormat="1" applyFont="1" applyBorder="1" applyAlignment="1">
      <alignment horizontal="center" vertical="center"/>
    </xf>
    <xf numFmtId="0" fontId="19" fillId="0" borderId="87" xfId="20" applyFont="1" applyBorder="1" applyAlignment="1">
      <alignment horizontal="center" vertical="center" wrapText="1"/>
    </xf>
    <xf numFmtId="0" fontId="19" fillId="0" borderId="88" xfId="19" applyFont="1" applyBorder="1" applyAlignment="1"/>
    <xf numFmtId="0" fontId="19" fillId="0" borderId="89" xfId="19" applyFont="1" applyBorder="1" applyAlignment="1">
      <alignment horizontal="center"/>
    </xf>
    <xf numFmtId="0" fontId="19" fillId="0" borderId="73" xfId="19" applyFont="1" applyBorder="1" applyAlignment="1"/>
    <xf numFmtId="0" fontId="19" fillId="0" borderId="31" xfId="20" applyFont="1" applyBorder="1" applyAlignment="1">
      <alignment horizontal="center" vertical="center"/>
    </xf>
    <xf numFmtId="20" fontId="19" fillId="0" borderId="13" xfId="19" applyNumberFormat="1" applyFont="1" applyBorder="1" applyAlignment="1">
      <alignment horizontal="center" vertical="center"/>
    </xf>
    <xf numFmtId="180" fontId="19" fillId="0" borderId="27" xfId="34" applyNumberFormat="1" applyFont="1" applyBorder="1" applyAlignment="1">
      <alignment horizontal="center" vertical="center"/>
    </xf>
    <xf numFmtId="181" fontId="19" fillId="0" borderId="13" xfId="20" applyNumberFormat="1" applyFont="1" applyBorder="1" applyAlignment="1">
      <alignment horizontal="center" vertical="center"/>
    </xf>
    <xf numFmtId="0" fontId="19" fillId="0" borderId="3" xfId="20" applyFont="1" applyBorder="1" applyAlignment="1">
      <alignment horizontal="center" vertical="center"/>
    </xf>
    <xf numFmtId="1" fontId="19" fillId="0" borderId="90" xfId="20" applyNumberFormat="1" applyFont="1" applyBorder="1" applyAlignment="1">
      <alignment horizontal="center" vertical="center"/>
    </xf>
    <xf numFmtId="179" fontId="19" fillId="0" borderId="91" xfId="20" applyNumberFormat="1" applyFont="1" applyBorder="1" applyAlignment="1">
      <alignment horizontal="center" vertical="center"/>
    </xf>
    <xf numFmtId="0" fontId="19" fillId="11" borderId="78" xfId="20" applyFont="1" applyFill="1" applyBorder="1" applyAlignment="1">
      <alignment horizontal="center" vertical="center"/>
    </xf>
    <xf numFmtId="179" fontId="19" fillId="11" borderId="78" xfId="20" applyNumberFormat="1" applyFont="1" applyFill="1" applyBorder="1" applyAlignment="1">
      <alignment horizontal="center" vertical="center"/>
    </xf>
    <xf numFmtId="182" fontId="19" fillId="0" borderId="78" xfId="20" applyNumberFormat="1" applyFont="1" applyBorder="1" applyAlignment="1">
      <alignment horizontal="center" vertical="center"/>
    </xf>
    <xf numFmtId="20" fontId="19" fillId="0" borderId="54" xfId="20" applyNumberFormat="1" applyFont="1" applyBorder="1" applyAlignment="1">
      <alignment horizontal="center" vertical="center"/>
    </xf>
    <xf numFmtId="20" fontId="19" fillId="0" borderId="85" xfId="20" applyNumberFormat="1" applyFont="1" applyBorder="1" applyAlignment="1">
      <alignment horizontal="center" vertical="center"/>
    </xf>
    <xf numFmtId="20" fontId="19" fillId="0" borderId="34" xfId="20" applyNumberFormat="1" applyFont="1" applyBorder="1" applyAlignment="1">
      <alignment horizontal="center" vertical="center"/>
    </xf>
    <xf numFmtId="184" fontId="19" fillId="0" borderId="9" xfId="20" applyNumberFormat="1" applyFont="1" applyBorder="1" applyAlignment="1">
      <alignment horizontal="center" vertical="center"/>
    </xf>
    <xf numFmtId="1" fontId="19" fillId="3" borderId="27" xfId="20" applyNumberFormat="1" applyFont="1" applyFill="1" applyBorder="1" applyAlignment="1">
      <alignment horizontal="center" vertical="center"/>
    </xf>
    <xf numFmtId="1" fontId="19" fillId="3" borderId="9" xfId="20" applyNumberFormat="1" applyFont="1" applyFill="1" applyBorder="1" applyAlignment="1">
      <alignment horizontal="center" vertical="center"/>
    </xf>
    <xf numFmtId="1" fontId="19" fillId="0" borderId="9" xfId="20" applyNumberFormat="1" applyFont="1" applyBorder="1" applyAlignment="1">
      <alignment horizontal="center" vertical="center"/>
    </xf>
    <xf numFmtId="179" fontId="19" fillId="0" borderId="9" xfId="20" applyNumberFormat="1" applyFont="1" applyBorder="1" applyAlignment="1">
      <alignment horizontal="center" vertical="center"/>
    </xf>
    <xf numFmtId="180" fontId="19" fillId="0" borderId="39" xfId="34" applyNumberFormat="1" applyFont="1" applyBorder="1" applyAlignment="1">
      <alignment horizontal="center" vertical="center"/>
    </xf>
    <xf numFmtId="20" fontId="19" fillId="0" borderId="87" xfId="20" applyNumberFormat="1" applyFont="1" applyBorder="1" applyAlignment="1">
      <alignment horizontal="center" vertical="center"/>
    </xf>
    <xf numFmtId="180" fontId="19" fillId="0" borderId="94" xfId="34" applyNumberFormat="1" applyFont="1" applyBorder="1" applyAlignment="1">
      <alignment horizontal="center" vertical="center"/>
    </xf>
    <xf numFmtId="20" fontId="19" fillId="0" borderId="14" xfId="19" applyNumberFormat="1" applyFont="1" applyBorder="1" applyAlignment="1">
      <alignment horizontal="center" vertical="center"/>
    </xf>
    <xf numFmtId="43" fontId="19" fillId="11" borderId="78" xfId="24" applyFont="1" applyFill="1" applyBorder="1" applyAlignment="1">
      <alignment horizontal="center" vertical="center"/>
    </xf>
    <xf numFmtId="0" fontId="19" fillId="0" borderId="0" xfId="20" applyFont="1" applyAlignment="1">
      <alignment vertical="center" wrapText="1"/>
    </xf>
    <xf numFmtId="0" fontId="19" fillId="0" borderId="1" xfId="20" applyFont="1" applyBorder="1">
      <alignment vertical="center"/>
    </xf>
    <xf numFmtId="0" fontId="19" fillId="0" borderId="0" xfId="19" applyFont="1" applyAlignment="1">
      <alignment horizontal="center"/>
    </xf>
    <xf numFmtId="0" fontId="19" fillId="0" borderId="0" xfId="2" applyFont="1" applyAlignment="1">
      <alignment horizontal="center" vertical="center"/>
    </xf>
    <xf numFmtId="0" fontId="8" fillId="0" borderId="0" xfId="14" applyFont="1" applyAlignment="1">
      <alignment horizontal="center"/>
    </xf>
    <xf numFmtId="20" fontId="19" fillId="0" borderId="58" xfId="20" applyNumberFormat="1" applyFont="1" applyBorder="1" applyAlignment="1">
      <alignment horizontal="center" vertical="center"/>
    </xf>
    <xf numFmtId="20" fontId="19" fillId="0" borderId="41" xfId="20" applyNumberFormat="1" applyFont="1" applyBorder="1" applyAlignment="1">
      <alignment horizontal="center" vertical="center"/>
    </xf>
    <xf numFmtId="0" fontId="19" fillId="0" borderId="48" xfId="20" applyFont="1" applyBorder="1" applyAlignment="1">
      <alignment horizontal="center" vertical="center"/>
    </xf>
    <xf numFmtId="20" fontId="19" fillId="0" borderId="27" xfId="19" applyNumberFormat="1" applyFont="1" applyBorder="1" applyAlignment="1">
      <alignment horizontal="center" vertical="center"/>
    </xf>
    <xf numFmtId="20" fontId="19" fillId="0" borderId="55" xfId="20" applyNumberFormat="1" applyFont="1" applyBorder="1" applyAlignment="1">
      <alignment horizontal="center" vertical="center"/>
    </xf>
    <xf numFmtId="20" fontId="19" fillId="0" borderId="70" xfId="20" applyNumberFormat="1" applyFont="1" applyBorder="1" applyAlignment="1">
      <alignment horizontal="center" vertical="center"/>
    </xf>
    <xf numFmtId="0" fontId="19" fillId="0" borderId="14" xfId="20" applyFont="1" applyBorder="1" applyAlignment="1">
      <alignment horizontal="center" vertical="center" wrapText="1"/>
    </xf>
    <xf numFmtId="179" fontId="19" fillId="0" borderId="76" xfId="20" applyNumberFormat="1" applyFont="1" applyBorder="1" applyAlignment="1">
      <alignment horizontal="center" vertical="center"/>
    </xf>
    <xf numFmtId="179" fontId="19" fillId="0" borderId="67" xfId="20" applyNumberFormat="1" applyFont="1" applyBorder="1" applyAlignment="1">
      <alignment horizontal="center" vertical="center"/>
    </xf>
    <xf numFmtId="20" fontId="19" fillId="0" borderId="2" xfId="20" applyNumberFormat="1" applyFont="1" applyBorder="1" applyAlignment="1">
      <alignment horizontal="center" vertical="center"/>
    </xf>
    <xf numFmtId="0" fontId="19" fillId="0" borderId="2" xfId="20" applyFont="1" applyBorder="1" applyAlignment="1">
      <alignment horizontal="center" vertical="center"/>
    </xf>
    <xf numFmtId="179" fontId="19" fillId="0" borderId="99" xfId="20" applyNumberFormat="1" applyFont="1" applyBorder="1" applyAlignment="1">
      <alignment horizontal="center" vertical="center"/>
    </xf>
    <xf numFmtId="0" fontId="19" fillId="0" borderId="67" xfId="20" applyFont="1" applyBorder="1" applyAlignment="1">
      <alignment horizontal="center" vertical="center"/>
    </xf>
    <xf numFmtId="20" fontId="19" fillId="0" borderId="2" xfId="19" applyNumberFormat="1" applyFont="1" applyBorder="1" applyAlignment="1">
      <alignment horizontal="center" vertical="center"/>
    </xf>
    <xf numFmtId="179" fontId="8" fillId="0" borderId="100" xfId="14" applyNumberFormat="1" applyFont="1" applyBorder="1" applyAlignment="1">
      <alignment horizontal="center" vertical="center"/>
    </xf>
    <xf numFmtId="20" fontId="19" fillId="0" borderId="101" xfId="20" applyNumberFormat="1" applyFont="1" applyBorder="1" applyAlignment="1">
      <alignment horizontal="center" vertical="center"/>
    </xf>
    <xf numFmtId="20" fontId="19" fillId="0" borderId="37" xfId="20" applyNumberFormat="1" applyFont="1" applyBorder="1" applyAlignment="1">
      <alignment horizontal="center" vertical="center"/>
    </xf>
    <xf numFmtId="179" fontId="19" fillId="0" borderId="58" xfId="20" applyNumberFormat="1" applyFont="1" applyBorder="1" applyAlignment="1">
      <alignment horizontal="center" vertical="center"/>
    </xf>
    <xf numFmtId="20" fontId="19" fillId="0" borderId="41" xfId="19" applyNumberFormat="1" applyFont="1" applyBorder="1" applyAlignment="1">
      <alignment horizontal="center" vertical="center"/>
    </xf>
    <xf numFmtId="182" fontId="19" fillId="0" borderId="30" xfId="20" applyNumberFormat="1" applyFont="1" applyBorder="1" applyAlignment="1">
      <alignment horizontal="center" vertical="center"/>
    </xf>
    <xf numFmtId="182" fontId="19" fillId="0" borderId="39" xfId="20" applyNumberFormat="1" applyFont="1" applyBorder="1" applyAlignment="1">
      <alignment horizontal="center" vertical="center"/>
    </xf>
    <xf numFmtId="182" fontId="19" fillId="0" borderId="43" xfId="20" applyNumberFormat="1" applyFont="1" applyBorder="1" applyAlignment="1">
      <alignment horizontal="center" vertical="center"/>
    </xf>
    <xf numFmtId="182" fontId="19" fillId="0" borderId="46" xfId="20" applyNumberFormat="1" applyFont="1" applyBorder="1" applyAlignment="1">
      <alignment horizontal="center" vertical="center"/>
    </xf>
    <xf numFmtId="182" fontId="19" fillId="0" borderId="3" xfId="20" applyNumberFormat="1" applyFont="1" applyBorder="1" applyAlignment="1">
      <alignment horizontal="center" vertical="center"/>
    </xf>
    <xf numFmtId="182" fontId="19" fillId="0" borderId="96" xfId="20" applyNumberFormat="1" applyFont="1" applyBorder="1" applyAlignment="1">
      <alignment horizontal="center" vertical="center"/>
    </xf>
    <xf numFmtId="182" fontId="8" fillId="0" borderId="102" xfId="14" applyNumberFormat="1" applyFont="1" applyBorder="1" applyAlignment="1">
      <alignment horizontal="center" vertical="center"/>
    </xf>
    <xf numFmtId="182" fontId="8" fillId="0" borderId="3" xfId="14" applyNumberFormat="1" applyFont="1" applyBorder="1" applyAlignment="1">
      <alignment horizontal="center" vertical="center"/>
    </xf>
    <xf numFmtId="182" fontId="19" fillId="0" borderId="103" xfId="20" applyNumberFormat="1" applyFont="1" applyBorder="1" applyAlignment="1">
      <alignment horizontal="center" vertical="center"/>
    </xf>
    <xf numFmtId="182" fontId="19" fillId="0" borderId="97" xfId="20" applyNumberFormat="1" applyFont="1" applyBorder="1" applyAlignment="1">
      <alignment horizontal="center" vertical="center"/>
    </xf>
    <xf numFmtId="182" fontId="19" fillId="0" borderId="60" xfId="20" applyNumberFormat="1" applyFont="1" applyBorder="1" applyAlignment="1">
      <alignment horizontal="center" vertical="center"/>
    </xf>
    <xf numFmtId="182" fontId="19" fillId="0" borderId="104" xfId="20" applyNumberFormat="1" applyFont="1" applyBorder="1" applyAlignment="1">
      <alignment horizontal="center" vertical="center"/>
    </xf>
    <xf numFmtId="20" fontId="8" fillId="6" borderId="105" xfId="14" applyNumberFormat="1" applyFont="1" applyFill="1" applyBorder="1" applyAlignment="1">
      <alignment horizontal="center" vertical="center"/>
    </xf>
    <xf numFmtId="20" fontId="8" fillId="6" borderId="98" xfId="14" applyNumberFormat="1" applyFont="1" applyFill="1" applyBorder="1" applyAlignment="1">
      <alignment horizontal="center" vertical="center"/>
    </xf>
    <xf numFmtId="20" fontId="19" fillId="0" borderId="50" xfId="20" applyNumberFormat="1" applyFont="1" applyBorder="1" applyAlignment="1">
      <alignment horizontal="center" vertical="center"/>
    </xf>
    <xf numFmtId="20" fontId="19" fillId="0" borderId="99" xfId="20" applyNumberFormat="1" applyFont="1" applyBorder="1" applyAlignment="1">
      <alignment horizontal="center" vertical="center"/>
    </xf>
    <xf numFmtId="0" fontId="19" fillId="8" borderId="50" xfId="20" applyFont="1" applyFill="1" applyBorder="1" applyAlignment="1">
      <alignment horizontal="center" vertical="center"/>
    </xf>
    <xf numFmtId="9" fontId="19" fillId="8" borderId="50" xfId="29" applyFont="1" applyFill="1" applyBorder="1" applyAlignment="1">
      <alignment horizontal="center" vertical="center"/>
    </xf>
    <xf numFmtId="0" fontId="22" fillId="0" borderId="72" xfId="20" applyFont="1" applyBorder="1" applyAlignment="1">
      <alignment horizontal="center" vertical="center" wrapText="1"/>
    </xf>
    <xf numFmtId="0" fontId="22" fillId="0" borderId="15" xfId="20" applyFont="1" applyBorder="1" applyAlignment="1">
      <alignment horizontal="center" vertical="center"/>
    </xf>
    <xf numFmtId="20" fontId="19" fillId="0" borderId="10" xfId="2" applyNumberFormat="1" applyFont="1" applyBorder="1" applyAlignment="1">
      <alignment horizontal="center" vertical="center"/>
    </xf>
    <xf numFmtId="20" fontId="8" fillId="0" borderId="10" xfId="14" applyNumberFormat="1" applyFont="1" applyBorder="1" applyAlignment="1">
      <alignment horizontal="center" vertical="center"/>
    </xf>
    <xf numFmtId="20" fontId="8" fillId="6" borderId="10" xfId="14" applyNumberFormat="1" applyFont="1" applyFill="1" applyBorder="1" applyAlignment="1">
      <alignment horizontal="center" vertical="center"/>
    </xf>
    <xf numFmtId="0" fontId="17" fillId="14" borderId="1" xfId="10" applyFont="1" applyFill="1" applyBorder="1" applyAlignment="1">
      <alignment horizontal="center" vertical="center"/>
    </xf>
    <xf numFmtId="20" fontId="19" fillId="14" borderId="1" xfId="2" applyNumberFormat="1" applyFont="1" applyFill="1" applyBorder="1" applyAlignment="1">
      <alignment horizontal="center" vertical="center"/>
    </xf>
    <xf numFmtId="20" fontId="19" fillId="14" borderId="1" xfId="20" applyNumberFormat="1" applyFont="1" applyFill="1" applyBorder="1" applyAlignment="1">
      <alignment horizontal="center" vertical="center"/>
    </xf>
    <xf numFmtId="20" fontId="8" fillId="14" borderId="1" xfId="14" applyNumberFormat="1" applyFont="1" applyFill="1" applyBorder="1" applyAlignment="1">
      <alignment horizontal="center" vertical="center"/>
    </xf>
    <xf numFmtId="184" fontId="19" fillId="8" borderId="50" xfId="20" applyNumberFormat="1" applyFont="1" applyFill="1" applyBorder="1" applyAlignment="1">
      <alignment horizontal="center" vertical="center"/>
    </xf>
    <xf numFmtId="184" fontId="19" fillId="0" borderId="1" xfId="19" applyNumberFormat="1" applyFont="1" applyBorder="1" applyAlignment="1">
      <alignment horizontal="center" vertical="center"/>
    </xf>
    <xf numFmtId="184" fontId="8" fillId="0" borderId="17" xfId="14" applyNumberFormat="1" applyFont="1" applyBorder="1" applyAlignment="1">
      <alignment horizontal="center" vertical="center"/>
    </xf>
    <xf numFmtId="184" fontId="8" fillId="0" borderId="1" xfId="6" applyNumberFormat="1" applyFont="1" applyBorder="1" applyAlignment="1">
      <alignment horizontal="center" vertical="center"/>
    </xf>
    <xf numFmtId="184" fontId="8" fillId="0" borderId="1" xfId="14" applyNumberFormat="1" applyFont="1" applyBorder="1" applyAlignment="1">
      <alignment horizontal="center" vertical="center"/>
    </xf>
    <xf numFmtId="184" fontId="23" fillId="0" borderId="14" xfId="20" applyNumberFormat="1" applyFont="1" applyBorder="1" applyAlignment="1">
      <alignment horizontal="center" vertical="center"/>
    </xf>
    <xf numFmtId="182" fontId="23" fillId="0" borderId="14" xfId="20" applyNumberFormat="1" applyFont="1" applyBorder="1" applyAlignment="1">
      <alignment horizontal="center" vertical="center"/>
    </xf>
    <xf numFmtId="0" fontId="8" fillId="0" borderId="14" xfId="20" applyFont="1" applyBorder="1" applyAlignment="1">
      <alignment horizontal="center" vertical="center"/>
    </xf>
    <xf numFmtId="0" fontId="8" fillId="8" borderId="14" xfId="20" applyFont="1" applyFill="1" applyBorder="1" applyAlignment="1">
      <alignment horizontal="center" vertical="center"/>
    </xf>
    <xf numFmtId="0" fontId="8" fillId="0" borderId="41" xfId="20" applyFont="1" applyBorder="1" applyAlignment="1">
      <alignment horizontal="center" vertical="center"/>
    </xf>
    <xf numFmtId="0" fontId="30" fillId="8" borderId="9" xfId="1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0" xfId="1" applyFont="1">
      <alignment vertical="center"/>
    </xf>
    <xf numFmtId="0" fontId="31" fillId="0" borderId="0" xfId="1" applyFont="1" applyAlignment="1">
      <alignment horizontal="center" vertical="center"/>
    </xf>
    <xf numFmtId="0" fontId="32" fillId="0" borderId="0" xfId="1" applyFont="1">
      <alignment vertical="center"/>
    </xf>
    <xf numFmtId="0" fontId="8" fillId="0" borderId="1" xfId="15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85" fontId="8" fillId="0" borderId="0" xfId="1" applyNumberFormat="1" applyFont="1">
      <alignment vertical="center"/>
    </xf>
    <xf numFmtId="0" fontId="8" fillId="0" borderId="0" xfId="1" quotePrefix="1" applyFont="1">
      <alignment vertical="center"/>
    </xf>
    <xf numFmtId="0" fontId="19" fillId="14" borderId="1" xfId="2" applyFont="1" applyFill="1" applyBorder="1" applyAlignment="1">
      <alignment horizontal="center" vertical="center"/>
    </xf>
    <xf numFmtId="0" fontId="19" fillId="14" borderId="1" xfId="20" applyFont="1" applyFill="1" applyBorder="1" applyAlignment="1">
      <alignment horizontal="center" vertical="center"/>
    </xf>
    <xf numFmtId="0" fontId="8" fillId="14" borderId="1" xfId="14" applyFont="1" applyFill="1" applyBorder="1" applyAlignment="1">
      <alignment horizontal="center" vertical="center"/>
    </xf>
    <xf numFmtId="1" fontId="19" fillId="0" borderId="62" xfId="20" applyNumberFormat="1" applyFont="1" applyBorder="1" applyAlignment="1">
      <alignment horizontal="center" vertical="center"/>
    </xf>
    <xf numFmtId="0" fontId="19" fillId="0" borderId="0" xfId="20" applyFont="1" applyAlignment="1">
      <alignment horizontal="center" vertical="center"/>
    </xf>
    <xf numFmtId="0" fontId="19" fillId="0" borderId="7" xfId="19" applyFont="1" applyBorder="1" applyAlignment="1">
      <alignment horizontal="center"/>
    </xf>
    <xf numFmtId="180" fontId="19" fillId="0" borderId="0" xfId="34" applyNumberFormat="1" applyFont="1" applyBorder="1" applyAlignment="1">
      <alignment horizontal="center" vertical="center"/>
    </xf>
    <xf numFmtId="1" fontId="8" fillId="0" borderId="11" xfId="14" applyNumberFormat="1" applyFont="1" applyBorder="1" applyAlignment="1">
      <alignment horizontal="center" vertical="center"/>
    </xf>
    <xf numFmtId="1" fontId="19" fillId="3" borderId="34" xfId="20" applyNumberFormat="1" applyFont="1" applyFill="1" applyBorder="1" applyAlignment="1">
      <alignment horizontal="center" vertical="center"/>
    </xf>
    <xf numFmtId="182" fontId="19" fillId="0" borderId="34" xfId="20" applyNumberFormat="1" applyFont="1" applyBorder="1" applyAlignment="1">
      <alignment horizontal="center" vertical="center"/>
    </xf>
    <xf numFmtId="43" fontId="19" fillId="0" borderId="87" xfId="24" applyFont="1" applyBorder="1" applyAlignment="1">
      <alignment horizontal="center" vertical="center"/>
    </xf>
    <xf numFmtId="1" fontId="19" fillId="3" borderId="87" xfId="20" applyNumberFormat="1" applyFont="1" applyFill="1" applyBorder="1" applyAlignment="1">
      <alignment horizontal="center" vertical="center"/>
    </xf>
    <xf numFmtId="1" fontId="19" fillId="0" borderId="87" xfId="20" applyNumberFormat="1" applyFont="1" applyBorder="1" applyAlignment="1">
      <alignment horizontal="center" vertical="center"/>
    </xf>
    <xf numFmtId="179" fontId="19" fillId="0" borderId="87" xfId="20" applyNumberFormat="1" applyFont="1" applyBorder="1" applyAlignment="1">
      <alignment horizontal="center" vertical="center"/>
    </xf>
    <xf numFmtId="0" fontId="19" fillId="3" borderId="87" xfId="20" applyFont="1" applyFill="1" applyBorder="1" applyAlignment="1">
      <alignment horizontal="center" vertical="center"/>
    </xf>
    <xf numFmtId="182" fontId="19" fillId="0" borderId="87" xfId="20" applyNumberFormat="1" applyFont="1" applyBorder="1" applyAlignment="1">
      <alignment horizontal="center" vertical="center"/>
    </xf>
    <xf numFmtId="0" fontId="19" fillId="0" borderId="102" xfId="19" applyFont="1" applyBorder="1" applyAlignment="1"/>
    <xf numFmtId="0" fontId="19" fillId="0" borderId="85" xfId="20" applyFont="1" applyBorder="1" applyAlignment="1">
      <alignment horizontal="center" vertical="center"/>
    </xf>
    <xf numFmtId="0" fontId="19" fillId="0" borderId="109" xfId="20" applyFont="1" applyBorder="1" applyAlignment="1">
      <alignment horizontal="center" vertical="center"/>
    </xf>
    <xf numFmtId="182" fontId="19" fillId="0" borderId="110" xfId="20" applyNumberFormat="1" applyFont="1" applyBorder="1" applyAlignment="1">
      <alignment horizontal="center" vertical="center"/>
    </xf>
    <xf numFmtId="180" fontId="19" fillId="0" borderId="110" xfId="34" applyNumberFormat="1" applyFont="1" applyBorder="1" applyAlignment="1">
      <alignment horizontal="center" vertical="center"/>
    </xf>
    <xf numFmtId="180" fontId="19" fillId="0" borderId="23" xfId="34" applyNumberFormat="1" applyFont="1" applyBorder="1" applyAlignment="1">
      <alignment horizontal="center" vertical="center"/>
    </xf>
    <xf numFmtId="180" fontId="19" fillId="0" borderId="57" xfId="34" applyNumberFormat="1" applyFont="1" applyBorder="1" applyAlignment="1">
      <alignment horizontal="center" vertical="center"/>
    </xf>
    <xf numFmtId="180" fontId="19" fillId="0" borderId="32" xfId="34" applyNumberFormat="1" applyFont="1" applyBorder="1" applyAlignment="1">
      <alignment horizontal="center" vertical="center"/>
    </xf>
    <xf numFmtId="180" fontId="19" fillId="0" borderId="36" xfId="34" applyNumberFormat="1" applyFont="1" applyBorder="1" applyAlignment="1">
      <alignment horizontal="center" vertical="center"/>
    </xf>
    <xf numFmtId="180" fontId="19" fillId="0" borderId="45" xfId="34" applyNumberFormat="1" applyFont="1" applyBorder="1" applyAlignment="1">
      <alignment horizontal="center" vertical="center"/>
    </xf>
    <xf numFmtId="0" fontId="8" fillId="0" borderId="1" xfId="14" applyFont="1" applyBorder="1" applyAlignment="1">
      <alignment horizontal="center" vertical="center"/>
    </xf>
    <xf numFmtId="0" fontId="19" fillId="0" borderId="1" xfId="20" applyFont="1" applyBorder="1" applyAlignment="1">
      <alignment horizontal="center" vertical="center"/>
    </xf>
    <xf numFmtId="0" fontId="19" fillId="0" borderId="50" xfId="20" applyFont="1" applyBorder="1" applyAlignment="1">
      <alignment horizontal="center" vertical="center"/>
    </xf>
    <xf numFmtId="0" fontId="19" fillId="11" borderId="44" xfId="20" applyFont="1" applyFill="1" applyBorder="1" applyAlignment="1"/>
    <xf numFmtId="0" fontId="19" fillId="13" borderId="92" xfId="20" applyFont="1" applyFill="1" applyBorder="1" applyAlignment="1">
      <alignment horizontal="center" vertical="center" wrapText="1"/>
    </xf>
    <xf numFmtId="0" fontId="19" fillId="13" borderId="93" xfId="20" applyFont="1" applyFill="1" applyBorder="1" applyAlignment="1">
      <alignment horizontal="center" vertical="center" wrapText="1"/>
    </xf>
    <xf numFmtId="0" fontId="19" fillId="13" borderId="95" xfId="20" applyFont="1" applyFill="1" applyBorder="1" applyAlignment="1">
      <alignment horizontal="center" vertical="center" wrapText="1"/>
    </xf>
    <xf numFmtId="180" fontId="19" fillId="0" borderId="21" xfId="34" applyNumberFormat="1" applyFont="1" applyBorder="1" applyAlignment="1">
      <alignment horizontal="center" vertical="center"/>
    </xf>
    <xf numFmtId="180" fontId="19" fillId="0" borderId="13" xfId="34" applyNumberFormat="1" applyFont="1" applyBorder="1" applyAlignment="1">
      <alignment horizontal="center" vertical="center"/>
    </xf>
    <xf numFmtId="180" fontId="19" fillId="0" borderId="14" xfId="34" applyNumberFormat="1" applyFont="1" applyBorder="1" applyAlignment="1">
      <alignment horizontal="center" vertical="center"/>
    </xf>
    <xf numFmtId="180" fontId="19" fillId="0" borderId="39" xfId="34" applyNumberFormat="1" applyFont="1" applyBorder="1" applyAlignment="1">
      <alignment horizontal="center" vertical="center"/>
    </xf>
    <xf numFmtId="180" fontId="19" fillId="0" borderId="44" xfId="34" applyNumberFormat="1" applyFont="1" applyBorder="1" applyAlignment="1">
      <alignment horizontal="center" vertical="center"/>
    </xf>
    <xf numFmtId="0" fontId="19" fillId="0" borderId="17" xfId="20" applyFont="1" applyBorder="1" applyAlignment="1">
      <alignment horizontal="center" vertical="center"/>
    </xf>
    <xf numFmtId="0" fontId="19" fillId="10" borderId="80" xfId="20" applyFont="1" applyFill="1" applyBorder="1" applyAlignment="1">
      <alignment horizontal="center" vertical="center" wrapText="1"/>
    </xf>
    <xf numFmtId="0" fontId="19" fillId="10" borderId="84" xfId="20" applyFont="1" applyFill="1" applyBorder="1" applyAlignment="1">
      <alignment horizontal="center" vertical="center" wrapText="1"/>
    </xf>
    <xf numFmtId="0" fontId="19" fillId="10" borderId="81" xfId="20" applyFont="1" applyFill="1" applyBorder="1" applyAlignment="1">
      <alignment horizontal="center" vertical="center" wrapText="1"/>
    </xf>
    <xf numFmtId="0" fontId="19" fillId="10" borderId="82" xfId="20" applyFont="1" applyFill="1" applyBorder="1" applyAlignment="1">
      <alignment horizontal="center" vertical="center"/>
    </xf>
    <xf numFmtId="180" fontId="19" fillId="0" borderId="34" xfId="34" applyNumberFormat="1" applyFont="1" applyBorder="1" applyAlignment="1">
      <alignment horizontal="center" vertical="center"/>
    </xf>
    <xf numFmtId="180" fontId="19" fillId="0" borderId="86" xfId="34" applyNumberFormat="1" applyFont="1" applyBorder="1" applyAlignment="1">
      <alignment horizontal="center" vertical="center"/>
    </xf>
    <xf numFmtId="0" fontId="19" fillId="4" borderId="80" xfId="20" applyFont="1" applyFill="1" applyBorder="1" applyAlignment="1">
      <alignment horizontal="center" vertical="center" wrapText="1"/>
    </xf>
    <xf numFmtId="0" fontId="19" fillId="4" borderId="81" xfId="20" applyFont="1" applyFill="1" applyBorder="1" applyAlignment="1">
      <alignment horizontal="center" vertical="center"/>
    </xf>
    <xf numFmtId="0" fontId="19" fillId="4" borderId="82" xfId="20" applyFont="1" applyFill="1" applyBorder="1" applyAlignment="1">
      <alignment horizontal="center" vertical="center"/>
    </xf>
    <xf numFmtId="0" fontId="27" fillId="12" borderId="63" xfId="14" applyFont="1" applyFill="1" applyBorder="1" applyAlignment="1">
      <alignment horizontal="center" vertical="center" wrapText="1"/>
    </xf>
    <xf numFmtId="0" fontId="27" fillId="12" borderId="69" xfId="14" applyFont="1" applyFill="1" applyBorder="1" applyAlignment="1">
      <alignment horizontal="center" vertical="center" wrapText="1"/>
    </xf>
    <xf numFmtId="0" fontId="27" fillId="12" borderId="75" xfId="14" applyFont="1" applyFill="1" applyBorder="1" applyAlignment="1">
      <alignment horizontal="center" vertical="center" wrapText="1"/>
    </xf>
    <xf numFmtId="180" fontId="19" fillId="0" borderId="49" xfId="34" applyNumberFormat="1" applyFont="1" applyBorder="1" applyAlignment="1">
      <alignment horizontal="center" vertical="center"/>
    </xf>
    <xf numFmtId="180" fontId="19" fillId="0" borderId="30" xfId="34" applyNumberFormat="1" applyFont="1" applyBorder="1" applyAlignment="1">
      <alignment horizontal="center" vertical="center"/>
    </xf>
    <xf numFmtId="0" fontId="8" fillId="0" borderId="17" xfId="14" applyFont="1" applyBorder="1" applyAlignment="1">
      <alignment horizontal="center" vertical="center"/>
    </xf>
    <xf numFmtId="180" fontId="8" fillId="0" borderId="68" xfId="33" applyNumberFormat="1" applyFont="1" applyBorder="1" applyAlignment="1">
      <alignment horizontal="center" vertical="center"/>
    </xf>
    <xf numFmtId="180" fontId="8" fillId="0" borderId="71" xfId="33" applyNumberFormat="1" applyFont="1" applyBorder="1" applyAlignment="1">
      <alignment horizontal="center" vertical="center"/>
    </xf>
    <xf numFmtId="180" fontId="8" fillId="0" borderId="79" xfId="33" applyNumberFormat="1" applyFont="1" applyBorder="1" applyAlignment="1">
      <alignment horizontal="center" vertical="center"/>
    </xf>
    <xf numFmtId="180" fontId="19" fillId="0" borderId="59" xfId="34" applyNumberFormat="1" applyFont="1" applyBorder="1" applyAlignment="1">
      <alignment horizontal="center" vertical="center"/>
    </xf>
    <xf numFmtId="0" fontId="19" fillId="4" borderId="51" xfId="20" applyFont="1" applyFill="1" applyBorder="1" applyAlignment="1">
      <alignment horizontal="center" vertical="center" wrapText="1"/>
    </xf>
    <xf numFmtId="0" fontId="19" fillId="4" borderId="56" xfId="20" applyFont="1" applyFill="1" applyBorder="1" applyAlignment="1">
      <alignment horizontal="center" vertical="center"/>
    </xf>
    <xf numFmtId="0" fontId="19" fillId="4" borderId="106" xfId="20" applyFont="1" applyFill="1" applyBorder="1" applyAlignment="1">
      <alignment horizontal="center" vertical="center"/>
    </xf>
    <xf numFmtId="180" fontId="19" fillId="0" borderId="17" xfId="34" applyNumberFormat="1" applyFont="1" applyBorder="1" applyAlignment="1">
      <alignment horizontal="center" vertical="center"/>
    </xf>
    <xf numFmtId="180" fontId="19" fillId="0" borderId="1" xfId="34" applyNumberFormat="1" applyFont="1" applyBorder="1" applyAlignment="1">
      <alignment horizontal="center" vertical="center"/>
    </xf>
    <xf numFmtId="180" fontId="19" fillId="0" borderId="50" xfId="34" applyNumberFormat="1" applyFont="1" applyBorder="1" applyAlignment="1">
      <alignment horizontal="center" vertical="center"/>
    </xf>
    <xf numFmtId="0" fontId="19" fillId="11" borderId="107" xfId="20" applyFont="1" applyFill="1" applyBorder="1" applyAlignment="1"/>
    <xf numFmtId="0" fontId="19" fillId="11" borderId="108" xfId="20" applyFont="1" applyFill="1" applyBorder="1" applyAlignment="1"/>
    <xf numFmtId="9" fontId="19" fillId="0" borderId="50" xfId="29" applyFont="1" applyBorder="1" applyAlignment="1">
      <alignment horizontal="center" vertical="center"/>
    </xf>
    <xf numFmtId="0" fontId="19" fillId="10" borderId="16" xfId="20" applyFont="1" applyFill="1" applyBorder="1" applyAlignment="1">
      <alignment horizontal="center" vertical="center" wrapText="1"/>
    </xf>
    <xf numFmtId="0" fontId="19" fillId="10" borderId="24" xfId="20" applyFont="1" applyFill="1" applyBorder="1" applyAlignment="1">
      <alignment horizontal="center" vertical="center"/>
    </xf>
    <xf numFmtId="0" fontId="19" fillId="10" borderId="35" xfId="20" applyFont="1" applyFill="1" applyBorder="1" applyAlignment="1">
      <alignment horizontal="center" vertical="center"/>
    </xf>
    <xf numFmtId="0" fontId="19" fillId="10" borderId="42" xfId="20" applyFont="1" applyFill="1" applyBorder="1" applyAlignment="1">
      <alignment horizontal="center" vertical="center"/>
    </xf>
    <xf numFmtId="0" fontId="19" fillId="0" borderId="1" xfId="20" applyFont="1" applyBorder="1" applyAlignment="1">
      <alignment horizontal="center" vertical="center" wrapText="1"/>
    </xf>
    <xf numFmtId="0" fontId="8" fillId="8" borderId="13" xfId="20" applyFont="1" applyFill="1" applyBorder="1" applyAlignment="1">
      <alignment horizontal="center" vertical="center"/>
    </xf>
    <xf numFmtId="0" fontId="23" fillId="0" borderId="13" xfId="20" applyFont="1" applyBorder="1" applyAlignment="1">
      <alignment horizontal="center" vertical="center"/>
    </xf>
    <xf numFmtId="0" fontId="23" fillId="0" borderId="14" xfId="20" applyFont="1" applyBorder="1" applyAlignment="1">
      <alignment horizontal="center" vertical="center"/>
    </xf>
    <xf numFmtId="0" fontId="8" fillId="3" borderId="13" xfId="20" applyFont="1" applyFill="1" applyBorder="1" applyAlignment="1">
      <alignment horizontal="center" vertical="center"/>
    </xf>
    <xf numFmtId="0" fontId="8" fillId="3" borderId="14" xfId="20" applyFont="1" applyFill="1" applyBorder="1" applyAlignment="1">
      <alignment horizontal="center" vertical="center"/>
    </xf>
    <xf numFmtId="0" fontId="8" fillId="4" borderId="13" xfId="20" applyFont="1" applyFill="1" applyBorder="1" applyAlignment="1">
      <alignment horizontal="center" vertical="center"/>
    </xf>
    <xf numFmtId="0" fontId="8" fillId="4" borderId="14" xfId="20" applyFont="1" applyFill="1" applyBorder="1" applyAlignment="1">
      <alignment horizontal="center" vertical="center"/>
    </xf>
    <xf numFmtId="0" fontId="8" fillId="0" borderId="14" xfId="20" applyFont="1" applyBorder="1" applyAlignment="1">
      <alignment horizontal="center" vertical="center"/>
    </xf>
    <xf numFmtId="0" fontId="8" fillId="0" borderId="15" xfId="20" applyFont="1" applyBorder="1" applyAlignment="1">
      <alignment horizontal="center" vertical="center"/>
    </xf>
    <xf numFmtId="0" fontId="8" fillId="0" borderId="13" xfId="20" applyFont="1" applyBorder="1" applyAlignment="1">
      <alignment horizontal="center" vertical="center" wrapText="1"/>
    </xf>
    <xf numFmtId="0" fontId="8" fillId="0" borderId="14" xfId="20" applyFont="1" applyBorder="1" applyAlignment="1">
      <alignment horizontal="center" vertical="center" wrapText="1"/>
    </xf>
    <xf numFmtId="0" fontId="21" fillId="0" borderId="13" xfId="20" applyFont="1" applyBorder="1" applyAlignment="1">
      <alignment horizontal="center" vertical="center"/>
    </xf>
    <xf numFmtId="0" fontId="8" fillId="5" borderId="13" xfId="20" applyFont="1" applyFill="1" applyBorder="1" applyAlignment="1">
      <alignment horizontal="center" vertical="center"/>
    </xf>
    <xf numFmtId="0" fontId="8" fillId="5" borderId="14" xfId="20" applyFont="1" applyFill="1" applyBorder="1" applyAlignment="1">
      <alignment horizontal="center" vertical="center"/>
    </xf>
    <xf numFmtId="0" fontId="8" fillId="10" borderId="13" xfId="20" applyFont="1" applyFill="1" applyBorder="1" applyAlignment="1">
      <alignment horizontal="center" vertical="center" wrapText="1"/>
    </xf>
    <xf numFmtId="0" fontId="8" fillId="10" borderId="14" xfId="20" applyFont="1" applyFill="1" applyBorder="1" applyAlignment="1">
      <alignment horizontal="center" vertical="center" wrapText="1"/>
    </xf>
    <xf numFmtId="0" fontId="22" fillId="0" borderId="1" xfId="20" applyFont="1" applyBorder="1" applyAlignment="1">
      <alignment horizontal="center" vertical="center" wrapText="1"/>
    </xf>
    <xf numFmtId="0" fontId="22" fillId="0" borderId="1" xfId="20" applyFont="1" applyBorder="1" applyAlignment="1">
      <alignment horizontal="center" vertical="center"/>
    </xf>
    <xf numFmtId="0" fontId="22" fillId="0" borderId="9" xfId="20" applyFont="1" applyBorder="1" applyAlignment="1">
      <alignment horizontal="center" vertical="center"/>
    </xf>
    <xf numFmtId="0" fontId="19" fillId="9" borderId="30" xfId="20" applyFont="1" applyFill="1" applyBorder="1" applyAlignment="1">
      <alignment horizontal="center" vertical="center"/>
    </xf>
    <xf numFmtId="0" fontId="19" fillId="9" borderId="39" xfId="20" applyFont="1" applyFill="1" applyBorder="1" applyAlignment="1">
      <alignment horizontal="center" vertical="center"/>
    </xf>
    <xf numFmtId="0" fontId="30" fillId="8" borderId="1" xfId="10" applyFont="1" applyFill="1" applyBorder="1" applyAlignment="1">
      <alignment horizontal="center" vertical="center" wrapText="1"/>
    </xf>
    <xf numFmtId="0" fontId="25" fillId="8" borderId="1" xfId="10" applyFont="1" applyFill="1" applyBorder="1" applyAlignment="1">
      <alignment horizontal="center" vertical="center"/>
    </xf>
    <xf numFmtId="0" fontId="19" fillId="5" borderId="13" xfId="20" applyFont="1" applyFill="1" applyBorder="1" applyAlignment="1">
      <alignment horizontal="center" vertical="center"/>
    </xf>
    <xf numFmtId="0" fontId="19" fillId="5" borderId="14" xfId="20" applyFont="1" applyFill="1" applyBorder="1" applyAlignment="1">
      <alignment horizontal="center" vertical="center"/>
    </xf>
    <xf numFmtId="0" fontId="19" fillId="10" borderId="13" xfId="20" applyFont="1" applyFill="1" applyBorder="1" applyAlignment="1">
      <alignment horizontal="center" vertical="center" wrapText="1"/>
    </xf>
    <xf numFmtId="0" fontId="19" fillId="10" borderId="14" xfId="20" applyFont="1" applyFill="1" applyBorder="1" applyAlignment="1">
      <alignment horizontal="center" vertical="center" wrapText="1"/>
    </xf>
    <xf numFmtId="0" fontId="8" fillId="8" borderId="13" xfId="20" applyFont="1" applyFill="1" applyBorder="1" applyAlignment="1">
      <alignment horizontal="center" vertical="center" wrapText="1"/>
    </xf>
    <xf numFmtId="0" fontId="8" fillId="8" borderId="14" xfId="20" applyFont="1" applyFill="1" applyBorder="1" applyAlignment="1">
      <alignment horizontal="center" vertical="center"/>
    </xf>
    <xf numFmtId="0" fontId="8" fillId="8" borderId="27" xfId="20" applyFont="1" applyFill="1" applyBorder="1" applyAlignment="1">
      <alignment horizontal="center" vertical="center"/>
    </xf>
    <xf numFmtId="180" fontId="19" fillId="0" borderId="41" xfId="34" applyNumberFormat="1" applyFont="1" applyBorder="1" applyAlignment="1">
      <alignment horizontal="center" vertical="center"/>
    </xf>
    <xf numFmtId="14" fontId="21" fillId="0" borderId="13" xfId="20" applyNumberFormat="1" applyFont="1" applyBorder="1" applyAlignment="1">
      <alignment horizontal="left" vertical="center"/>
    </xf>
    <xf numFmtId="0" fontId="19" fillId="0" borderId="13" xfId="20" applyFont="1" applyBorder="1" applyAlignment="1">
      <alignment horizontal="center" vertical="center"/>
    </xf>
    <xf numFmtId="0" fontId="19" fillId="0" borderId="14" xfId="20" applyFont="1" applyBorder="1" applyAlignment="1">
      <alignment horizontal="center" vertical="center"/>
    </xf>
    <xf numFmtId="0" fontId="19" fillId="3" borderId="16" xfId="20" applyFont="1" applyFill="1" applyBorder="1" applyAlignment="1">
      <alignment horizontal="center" vertical="center" wrapText="1"/>
    </xf>
    <xf numFmtId="0" fontId="19" fillId="3" borderId="24" xfId="20" applyFont="1" applyFill="1" applyBorder="1" applyAlignment="1">
      <alignment horizontal="center" vertical="center"/>
    </xf>
    <xf numFmtId="0" fontId="19" fillId="3" borderId="35" xfId="20" applyFont="1" applyFill="1" applyBorder="1" applyAlignment="1">
      <alignment horizontal="center" vertical="center"/>
    </xf>
    <xf numFmtId="0" fontId="19" fillId="3" borderId="42" xfId="20" applyFont="1" applyFill="1" applyBorder="1" applyAlignment="1">
      <alignment horizontal="center" vertical="center"/>
    </xf>
    <xf numFmtId="0" fontId="8" fillId="9" borderId="13" xfId="20" applyFont="1" applyFill="1" applyBorder="1" applyAlignment="1">
      <alignment horizontal="center" vertical="center"/>
    </xf>
    <xf numFmtId="0" fontId="8" fillId="9" borderId="14" xfId="20" applyFont="1" applyFill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28" fillId="8" borderId="3" xfId="20" applyFont="1" applyFill="1" applyBorder="1" applyAlignment="1">
      <alignment horizontal="center" vertical="center"/>
    </xf>
    <xf numFmtId="0" fontId="28" fillId="8" borderId="1" xfId="20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 textRotation="255"/>
    </xf>
    <xf numFmtId="0" fontId="8" fillId="0" borderId="10" xfId="2" applyFont="1" applyBorder="1" applyAlignment="1">
      <alignment horizontal="center" vertical="center" textRotation="255"/>
    </xf>
    <xf numFmtId="0" fontId="8" fillId="0" borderId="11" xfId="2" applyFont="1" applyBorder="1" applyAlignment="1">
      <alignment horizontal="center" vertical="center" textRotation="255"/>
    </xf>
    <xf numFmtId="0" fontId="8" fillId="0" borderId="9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17" fillId="14" borderId="1" xfId="10" applyFont="1" applyFill="1" applyBorder="1" applyAlignment="1">
      <alignment horizontal="center" vertical="center" wrapText="1"/>
    </xf>
    <xf numFmtId="0" fontId="8" fillId="14" borderId="1" xfId="10" applyFont="1" applyFill="1" applyBorder="1" applyAlignment="1">
      <alignment horizontal="center" vertical="center"/>
    </xf>
    <xf numFmtId="179" fontId="12" fillId="5" borderId="1" xfId="2" applyNumberFormat="1" applyFont="1" applyFill="1" applyBorder="1" applyAlignment="1">
      <alignment horizontal="center" vertical="center"/>
    </xf>
    <xf numFmtId="179" fontId="12" fillId="5" borderId="1" xfId="28" applyNumberFormat="1" applyFont="1" applyFill="1" applyBorder="1" applyAlignment="1">
      <alignment horizontal="center" vertical="center"/>
    </xf>
    <xf numFmtId="0" fontId="29" fillId="0" borderId="3" xfId="2" applyFont="1" applyBorder="1" applyAlignment="1">
      <alignment horizontal="center" vertical="center"/>
    </xf>
    <xf numFmtId="1" fontId="29" fillId="0" borderId="1" xfId="2" applyNumberFormat="1" applyFont="1" applyBorder="1" applyAlignment="1">
      <alignment horizontal="center" vertical="center"/>
    </xf>
    <xf numFmtId="0" fontId="29" fillId="0" borderId="1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180" fontId="12" fillId="0" borderId="1" xfId="33" applyNumberFormat="1" applyFont="1" applyFill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1" xfId="10" applyFont="1" applyBorder="1" applyAlignment="1">
      <alignment horizontal="center" vertical="center"/>
    </xf>
    <xf numFmtId="178" fontId="9" fillId="3" borderId="1" xfId="28" applyNumberFormat="1" applyFont="1" applyFill="1" applyBorder="1" applyAlignment="1">
      <alignment horizontal="center" vertical="center"/>
    </xf>
    <xf numFmtId="178" fontId="9" fillId="4" borderId="1" xfId="28" applyNumberFormat="1" applyFont="1" applyFill="1" applyBorder="1" applyAlignment="1">
      <alignment horizontal="center" vertical="center"/>
    </xf>
    <xf numFmtId="179" fontId="9" fillId="0" borderId="1" xfId="2" applyNumberFormat="1" applyFont="1" applyBorder="1" applyAlignment="1">
      <alignment horizontal="center" vertical="center"/>
    </xf>
    <xf numFmtId="179" fontId="9" fillId="0" borderId="1" xfId="28" applyNumberFormat="1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176" fontId="10" fillId="2" borderId="1" xfId="10" applyNumberFormat="1" applyFont="1" applyFill="1" applyBorder="1" applyAlignment="1">
      <alignment horizontal="center" vertical="center"/>
    </xf>
    <xf numFmtId="177" fontId="9" fillId="0" borderId="1" xfId="28" applyNumberFormat="1" applyFont="1" applyBorder="1" applyAlignment="1">
      <alignment horizontal="center" vertical="center"/>
    </xf>
    <xf numFmtId="177" fontId="9" fillId="0" borderId="1" xfId="2" applyNumberFormat="1" applyFont="1" applyBorder="1" applyAlignment="1">
      <alignment horizontal="center" vertical="center"/>
    </xf>
    <xf numFmtId="0" fontId="11" fillId="0" borderId="1" xfId="10" applyFont="1" applyBorder="1" applyAlignment="1">
      <alignment horizontal="center" vertical="center"/>
    </xf>
    <xf numFmtId="186" fontId="10" fillId="2" borderId="1" xfId="10" applyNumberFormat="1" applyFont="1" applyFill="1" applyBorder="1" applyAlignment="1">
      <alignment horizontal="center" vertical="center"/>
    </xf>
    <xf numFmtId="0" fontId="19" fillId="0" borderId="17" xfId="20" applyFont="1" applyBorder="1" applyAlignment="1">
      <alignment horizontal="center" vertical="center" wrapText="1"/>
    </xf>
    <xf numFmtId="20" fontId="19" fillId="0" borderId="1" xfId="20" applyNumberFormat="1" applyFont="1" applyBorder="1" applyAlignment="1">
      <alignment horizontal="center" vertical="center"/>
    </xf>
  </cellXfs>
  <cellStyles count="35">
    <cellStyle name="一般" xfId="0" builtinId="0"/>
    <cellStyle name="一般 2" xfId="1" xr:uid="{F94DDA6A-D542-493C-90FE-7FA14B40041B}"/>
    <cellStyle name="一般 2 17 2" xfId="2" xr:uid="{00000000-0005-0000-0000-000001000000}"/>
    <cellStyle name="一般 2 17 2 2" xfId="3" xr:uid="{E01C5B43-548A-48D1-B333-4387A262A509}"/>
    <cellStyle name="一般 2 17 2 3" xfId="4" xr:uid="{CC6E623B-BD55-451E-9292-CDC43CC61256}"/>
    <cellStyle name="一般 2 17 2 4" xfId="5" xr:uid="{6854FE73-1D71-4778-B8EF-E0C70D2E3F6D}"/>
    <cellStyle name="一般 2 18" xfId="6" xr:uid="{00000000-0005-0000-0000-000002000000}"/>
    <cellStyle name="一般 2 18 2" xfId="7" xr:uid="{03161FD6-4425-4262-BB2E-6D1063ACF793}"/>
    <cellStyle name="一般 2 18 3" xfId="8" xr:uid="{31F1E51B-F9BF-4F3C-A967-B8FABF2A3A2B}"/>
    <cellStyle name="一般 2 18 4" xfId="9" xr:uid="{10281749-0702-4AA1-AE50-B7A6C8557806}"/>
    <cellStyle name="一般 2 2 2 2" xfId="10" xr:uid="{00000000-0005-0000-0000-000003000000}"/>
    <cellStyle name="一般 2 2 2 2 2" xfId="11" xr:uid="{DA50E455-3E19-4382-87FF-86AEE4927DF6}"/>
    <cellStyle name="一般 2 2 2 2 3" xfId="12" xr:uid="{804AD48E-FC35-4B36-A245-ABEA8153CA9F}"/>
    <cellStyle name="一般 2 2 2 2 4" xfId="13" xr:uid="{2FBE6B92-12E4-4011-A11A-7DA9C2D263AC}"/>
    <cellStyle name="一般 2 2 4" xfId="14" xr:uid="{00000000-0005-0000-0000-000004000000}"/>
    <cellStyle name="一般 2 2 4 2" xfId="15" xr:uid="{01302544-1802-4AFB-AC12-3C2E43DC83D6}"/>
    <cellStyle name="一般 2 2 4 3" xfId="16" xr:uid="{5CF42824-9C19-40E7-B382-3C290E62F3B6}"/>
    <cellStyle name="一般 2 2 4 4" xfId="17" xr:uid="{774F93B0-8056-4358-BD47-9DF717D8B889}"/>
    <cellStyle name="一般 2 2 4 5" xfId="18" xr:uid="{21F26EBC-C5FD-4CDE-A513-5F94663C7F1A}"/>
    <cellStyle name="一般 2 4 2" xfId="19" xr:uid="{00000000-0005-0000-0000-000005000000}"/>
    <cellStyle name="一般 2 8" xfId="20" xr:uid="{00000000-0005-0000-0000-000006000000}"/>
    <cellStyle name="一般 2 8 2" xfId="21" xr:uid="{334CB01B-E727-4275-8081-33B90D63854F}"/>
    <cellStyle name="一般 2 8 3" xfId="22" xr:uid="{F9F17BE2-5138-4A5C-8014-00D35F5AE168}"/>
    <cellStyle name="一般 2 8 4" xfId="23" xr:uid="{FEBE4050-B4EC-498B-B5E8-8E21BA208504}"/>
    <cellStyle name="千分位 2 8" xfId="24" xr:uid="{00000000-0005-0000-0000-000007000000}"/>
    <cellStyle name="千分位 2 8 2" xfId="25" xr:uid="{BB0D4EC8-904D-4466-883D-5E832DE73CA2}"/>
    <cellStyle name="千分位 2 8 3" xfId="26" xr:uid="{E1A231BD-C8F7-4A2E-B3AE-D5A9B17E8DFD}"/>
    <cellStyle name="千分位 2 8 4" xfId="27" xr:uid="{5DED1BBE-0BE6-4A43-B2E8-7C83693BF067}"/>
    <cellStyle name="千分位 9 5" xfId="28" xr:uid="{00000000-0005-0000-0000-000008000000}"/>
    <cellStyle name="百分比 2 2 2 2" xfId="29" xr:uid="{00000000-0005-0000-0000-000009000000}"/>
    <cellStyle name="百分比 2 2 2 2 2" xfId="30" xr:uid="{5BC30C65-EF5D-4641-9B4F-74412295E429}"/>
    <cellStyle name="百分比 2 2 2 2 3" xfId="31" xr:uid="{A0547F8E-D90B-4D71-A6F8-84102F8BF3BC}"/>
    <cellStyle name="百分比 2 2 2 2 4" xfId="32" xr:uid="{19100027-B114-4DBB-B02D-039F214A3907}"/>
    <cellStyle name="百分比 2 5" xfId="33" xr:uid="{00000000-0005-0000-0000-00000A000000}"/>
    <cellStyle name="百分比 7" xfId="34" xr:uid="{00000000-0005-0000-0000-00000B000000}"/>
  </cellStyles>
  <dxfs count="310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Desktop\&#29983;&#29986;&#26085;&#22577;(&#24037;&#24288;&#23492;)\&#38263;&#23478;\114.12\&#20154;&#26178;&#24615;\&#38263;&#23478;&#29983;&#29986;&#26085;&#22577;1201-12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廠價表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7F599-2E13-43BF-8E2B-E361608A8619}" name="表格1" displayName="表格1" ref="A1:E55" totalsRowShown="0">
  <autoFilter ref="A1:E55" xr:uid="{A3D7F599-2E13-43BF-8E2B-E361608A8619}"/>
  <tableColumns count="5">
    <tableColumn id="1" xr3:uid="{26251F6B-0C35-451C-8612-21B2F3237164}" name="check" dataDxfId="309"/>
    <tableColumn id="2" xr3:uid="{0EF7F6B4-9C0C-43CE-A51A-B1FB93D7A59A}" name="溫層"/>
    <tableColumn id="4" xr3:uid="{DA95F27F-5DFE-4BF9-8388-9DBA4A1DA9CF}" name="品名"/>
    <tableColumn id="3" xr3:uid="{ACECD0F5-20A8-4FF2-BD6D-4A5318DD557B}" name="類別"/>
    <tableColumn id="5" xr3:uid="{4B389BDA-C253-4F22-9D33-981427ED4D0C}" name="廠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E799-46E2-4819-9E19-4AC10DA14623}">
  <sheetPr codeName="工作表1"/>
  <dimension ref="A1:G55"/>
  <sheetViews>
    <sheetView workbookViewId="0">
      <selection activeCell="C11" sqref="C11"/>
    </sheetView>
  </sheetViews>
  <sheetFormatPr defaultColWidth="10.28515625" defaultRowHeight="15.75"/>
  <cols>
    <col min="1" max="1" width="7.5703125" style="347" customWidth="1"/>
    <col min="2" max="2" width="10.28515625" style="347" customWidth="1"/>
    <col min="3" max="3" width="37.140625" style="347" customWidth="1"/>
    <col min="4" max="6" width="10.28515625" style="347" customWidth="1"/>
    <col min="7" max="7" width="26" style="347" bestFit="1" customWidth="1"/>
    <col min="8" max="182" width="10.28515625" style="347" customWidth="1"/>
    <col min="183" max="16384" width="10.28515625" style="347"/>
  </cols>
  <sheetData>
    <row r="1" spans="1:7">
      <c r="A1" s="351" t="s">
        <v>202</v>
      </c>
      <c r="B1" s="352" t="s">
        <v>89</v>
      </c>
      <c r="C1" s="352" t="s">
        <v>19</v>
      </c>
      <c r="D1" s="352" t="s">
        <v>203</v>
      </c>
      <c r="E1" s="352" t="s">
        <v>20</v>
      </c>
    </row>
    <row r="2" spans="1:7">
      <c r="A2" s="353"/>
      <c r="B2" s="354" t="s">
        <v>204</v>
      </c>
      <c r="C2" s="75" t="s">
        <v>123</v>
      </c>
      <c r="D2" s="354" t="s">
        <v>81</v>
      </c>
      <c r="E2" s="75">
        <v>57.21</v>
      </c>
    </row>
    <row r="3" spans="1:7">
      <c r="A3" s="353"/>
      <c r="B3" s="354" t="s">
        <v>204</v>
      </c>
      <c r="C3" s="75" t="s">
        <v>113</v>
      </c>
      <c r="D3" s="354" t="s">
        <v>81</v>
      </c>
      <c r="E3" s="75">
        <v>56.87</v>
      </c>
    </row>
    <row r="4" spans="1:7">
      <c r="A4" s="353"/>
      <c r="B4" s="354" t="s">
        <v>204</v>
      </c>
      <c r="C4" s="75" t="s">
        <v>120</v>
      </c>
      <c r="D4" s="354" t="s">
        <v>81</v>
      </c>
      <c r="E4" s="75">
        <v>50.39</v>
      </c>
    </row>
    <row r="5" spans="1:7">
      <c r="A5" s="353"/>
      <c r="B5" s="354" t="s">
        <v>204</v>
      </c>
      <c r="C5" s="75" t="s">
        <v>131</v>
      </c>
      <c r="D5" s="354" t="s">
        <v>81</v>
      </c>
      <c r="E5" s="75">
        <v>49.97</v>
      </c>
    </row>
    <row r="6" spans="1:7">
      <c r="A6" s="353"/>
      <c r="B6" s="354" t="s">
        <v>204</v>
      </c>
      <c r="C6" s="75" t="s">
        <v>117</v>
      </c>
      <c r="D6" s="354" t="s">
        <v>81</v>
      </c>
      <c r="E6" s="75">
        <v>49.14</v>
      </c>
    </row>
    <row r="7" spans="1:7">
      <c r="A7" s="353"/>
      <c r="B7" s="354" t="s">
        <v>204</v>
      </c>
      <c r="C7" s="345" t="s">
        <v>116</v>
      </c>
      <c r="D7" s="354" t="s">
        <v>81</v>
      </c>
      <c r="E7" s="75">
        <v>58.17</v>
      </c>
    </row>
    <row r="8" spans="1:7">
      <c r="A8" s="353"/>
      <c r="B8" s="354" t="s">
        <v>204</v>
      </c>
      <c r="C8" s="75" t="s">
        <v>119</v>
      </c>
      <c r="D8" s="354" t="s">
        <v>81</v>
      </c>
      <c r="E8" s="75">
        <v>50.67</v>
      </c>
    </row>
    <row r="9" spans="1:7">
      <c r="A9" s="353"/>
      <c r="B9" s="354" t="s">
        <v>204</v>
      </c>
      <c r="C9" s="350" t="s">
        <v>122</v>
      </c>
      <c r="D9" s="354" t="s">
        <v>81</v>
      </c>
      <c r="E9" s="75">
        <v>49.91</v>
      </c>
    </row>
    <row r="10" spans="1:7">
      <c r="A10" s="353"/>
      <c r="B10" s="354" t="s">
        <v>204</v>
      </c>
      <c r="C10" s="75" t="s">
        <v>130</v>
      </c>
      <c r="D10" s="354" t="s">
        <v>81</v>
      </c>
      <c r="E10" s="75">
        <v>50.289000000000001</v>
      </c>
    </row>
    <row r="11" spans="1:7">
      <c r="A11" s="353"/>
      <c r="B11" s="354" t="s">
        <v>204</v>
      </c>
      <c r="C11" s="75" t="s">
        <v>194</v>
      </c>
      <c r="D11" s="354" t="s">
        <v>81</v>
      </c>
      <c r="E11" s="75">
        <v>61.65</v>
      </c>
    </row>
    <row r="12" spans="1:7">
      <c r="A12" s="353"/>
      <c r="B12" s="354" t="s">
        <v>204</v>
      </c>
      <c r="C12" s="350" t="s">
        <v>161</v>
      </c>
      <c r="D12" s="354" t="s">
        <v>81</v>
      </c>
      <c r="E12" s="75">
        <v>52.21</v>
      </c>
    </row>
    <row r="13" spans="1:7">
      <c r="A13" s="353"/>
      <c r="B13" s="354" t="s">
        <v>204</v>
      </c>
      <c r="C13" s="75" t="s">
        <v>114</v>
      </c>
      <c r="D13" s="354" t="s">
        <v>81</v>
      </c>
      <c r="E13" s="75">
        <v>50.67</v>
      </c>
      <c r="G13" s="349"/>
    </row>
    <row r="14" spans="1:7">
      <c r="A14" s="353"/>
      <c r="B14" s="354" t="s">
        <v>204</v>
      </c>
      <c r="C14" s="75" t="s">
        <v>126</v>
      </c>
      <c r="D14" s="354" t="s">
        <v>81</v>
      </c>
      <c r="E14" s="75">
        <v>45.66</v>
      </c>
    </row>
    <row r="15" spans="1:7">
      <c r="A15" s="353"/>
      <c r="B15" s="354" t="s">
        <v>204</v>
      </c>
      <c r="C15" s="75" t="s">
        <v>124</v>
      </c>
      <c r="D15" s="354" t="s">
        <v>81</v>
      </c>
      <c r="E15" s="75">
        <v>46.34</v>
      </c>
    </row>
    <row r="16" spans="1:7">
      <c r="A16" s="353"/>
      <c r="B16" s="354" t="s">
        <v>204</v>
      </c>
      <c r="C16" s="75" t="s">
        <v>128</v>
      </c>
      <c r="D16" s="354" t="s">
        <v>127</v>
      </c>
      <c r="E16" s="75">
        <v>49.91</v>
      </c>
    </row>
    <row r="17" spans="1:5">
      <c r="A17" s="353"/>
      <c r="B17" s="354" t="s">
        <v>204</v>
      </c>
      <c r="C17" s="75" t="s">
        <v>129</v>
      </c>
      <c r="D17" s="354" t="s">
        <v>127</v>
      </c>
      <c r="E17" s="75">
        <v>44.3</v>
      </c>
    </row>
    <row r="18" spans="1:5">
      <c r="A18" s="353"/>
      <c r="B18" s="354" t="s">
        <v>204</v>
      </c>
      <c r="C18" s="75" t="s">
        <v>205</v>
      </c>
      <c r="D18" s="354" t="s">
        <v>127</v>
      </c>
      <c r="E18" s="75">
        <v>49.52</v>
      </c>
    </row>
    <row r="19" spans="1:5">
      <c r="A19" s="353"/>
      <c r="B19" s="354" t="s">
        <v>204</v>
      </c>
      <c r="C19" s="75" t="s">
        <v>140</v>
      </c>
      <c r="D19" s="354" t="s">
        <v>81</v>
      </c>
      <c r="E19" s="75">
        <v>43.89</v>
      </c>
    </row>
    <row r="20" spans="1:5">
      <c r="A20" s="353"/>
      <c r="B20" s="354" t="s">
        <v>204</v>
      </c>
      <c r="C20" s="75"/>
      <c r="D20" s="354" t="s">
        <v>81</v>
      </c>
      <c r="E20" s="75"/>
    </row>
    <row r="21" spans="1:5">
      <c r="A21" s="353"/>
      <c r="B21" s="354" t="s">
        <v>204</v>
      </c>
      <c r="C21" s="75"/>
      <c r="D21" s="354" t="s">
        <v>81</v>
      </c>
      <c r="E21" s="75"/>
    </row>
    <row r="22" spans="1:5">
      <c r="A22" s="353"/>
      <c r="B22" s="354" t="s">
        <v>204</v>
      </c>
      <c r="C22" s="75"/>
      <c r="D22" s="354" t="s">
        <v>81</v>
      </c>
      <c r="E22" s="75"/>
    </row>
    <row r="23" spans="1:5">
      <c r="A23" s="353"/>
      <c r="B23" s="354" t="s">
        <v>204</v>
      </c>
      <c r="C23" s="75" t="s">
        <v>135</v>
      </c>
      <c r="D23" s="354" t="s">
        <v>132</v>
      </c>
      <c r="E23" s="75">
        <v>28.26</v>
      </c>
    </row>
    <row r="24" spans="1:5">
      <c r="A24" s="353"/>
      <c r="B24" s="354" t="s">
        <v>204</v>
      </c>
      <c r="C24" s="75" t="s">
        <v>133</v>
      </c>
      <c r="D24" s="354" t="s">
        <v>132</v>
      </c>
      <c r="E24" s="75">
        <v>26.99</v>
      </c>
    </row>
    <row r="25" spans="1:5">
      <c r="A25" s="353"/>
      <c r="B25" s="354" t="s">
        <v>204</v>
      </c>
      <c r="C25" s="75" t="s">
        <v>134</v>
      </c>
      <c r="D25" s="354" t="s">
        <v>132</v>
      </c>
      <c r="E25" s="75">
        <v>28.26</v>
      </c>
    </row>
    <row r="26" spans="1:5">
      <c r="A26" s="353"/>
      <c r="B26" s="354" t="s">
        <v>204</v>
      </c>
      <c r="C26" s="75" t="s">
        <v>136</v>
      </c>
      <c r="D26" s="354" t="s">
        <v>132</v>
      </c>
      <c r="E26" s="75">
        <v>28.26</v>
      </c>
    </row>
    <row r="27" spans="1:5">
      <c r="A27" s="353"/>
      <c r="B27" s="354"/>
      <c r="C27" s="75"/>
      <c r="D27" s="354"/>
      <c r="E27" s="75"/>
    </row>
    <row r="28" spans="1:5">
      <c r="A28" s="353"/>
      <c r="B28" s="354"/>
      <c r="C28" s="75"/>
      <c r="D28" s="354"/>
      <c r="E28" s="75"/>
    </row>
    <row r="29" spans="1:5">
      <c r="A29" s="353"/>
      <c r="B29" s="354"/>
      <c r="C29" s="75"/>
      <c r="D29" s="354"/>
      <c r="E29" s="75"/>
    </row>
    <row r="30" spans="1:5">
      <c r="A30" s="353"/>
      <c r="B30" s="354"/>
      <c r="C30" s="75"/>
      <c r="D30" s="354"/>
      <c r="E30" s="75"/>
    </row>
    <row r="31" spans="1:5">
      <c r="A31" s="353"/>
      <c r="B31" s="354"/>
      <c r="C31" s="75"/>
      <c r="D31" s="354"/>
      <c r="E31" s="75"/>
    </row>
    <row r="32" spans="1:5">
      <c r="A32" s="353"/>
      <c r="B32" s="354"/>
      <c r="C32" s="75"/>
      <c r="D32" s="354"/>
      <c r="E32" s="75"/>
    </row>
    <row r="33" spans="1:5">
      <c r="A33" s="351"/>
      <c r="B33" s="354"/>
      <c r="C33" s="75"/>
      <c r="D33" s="354"/>
      <c r="E33" s="75"/>
    </row>
    <row r="34" spans="1:5">
      <c r="A34" s="351"/>
      <c r="B34" s="354"/>
      <c r="C34" s="354"/>
      <c r="D34" s="354"/>
      <c r="E34" s="75"/>
    </row>
    <row r="35" spans="1:5">
      <c r="A35" s="351"/>
      <c r="B35" s="354"/>
      <c r="C35" s="354"/>
      <c r="D35" s="354"/>
      <c r="E35" s="354"/>
    </row>
    <row r="36" spans="1:5">
      <c r="A36" s="351"/>
      <c r="B36" s="354"/>
      <c r="C36" s="354"/>
      <c r="D36" s="354"/>
      <c r="E36" s="354"/>
    </row>
    <row r="37" spans="1:5">
      <c r="A37" s="351"/>
      <c r="B37" s="355"/>
      <c r="C37" s="354"/>
      <c r="D37" s="355"/>
      <c r="E37" s="354"/>
    </row>
    <row r="38" spans="1:5">
      <c r="A38" s="351"/>
      <c r="B38" s="355"/>
      <c r="C38" s="354"/>
      <c r="D38" s="355"/>
      <c r="E38" s="354"/>
    </row>
    <row r="39" spans="1:5">
      <c r="A39" s="351"/>
      <c r="B39" s="355"/>
      <c r="C39" s="75"/>
      <c r="D39" s="355"/>
      <c r="E39" s="75"/>
    </row>
    <row r="40" spans="1:5">
      <c r="A40" s="351"/>
      <c r="B40" s="355"/>
      <c r="C40" s="350"/>
      <c r="D40" s="355"/>
      <c r="E40" s="75"/>
    </row>
    <row r="41" spans="1:5">
      <c r="A41" s="351"/>
      <c r="B41" s="355"/>
      <c r="C41" s="354"/>
      <c r="D41" s="355"/>
      <c r="E41" s="354"/>
    </row>
    <row r="42" spans="1:5">
      <c r="A42" s="351"/>
      <c r="B42" s="356"/>
      <c r="C42" s="356"/>
      <c r="D42" s="356"/>
      <c r="E42" s="356"/>
    </row>
    <row r="43" spans="1:5">
      <c r="A43" s="351"/>
      <c r="B43" s="356"/>
      <c r="C43" s="356"/>
      <c r="D43" s="356"/>
      <c r="E43" s="356"/>
    </row>
    <row r="44" spans="1:5">
      <c r="A44" s="351"/>
      <c r="B44" s="356"/>
      <c r="C44" s="356"/>
      <c r="D44" s="356"/>
      <c r="E44" s="356"/>
    </row>
    <row r="45" spans="1:5">
      <c r="A45" s="351"/>
      <c r="B45" s="356"/>
      <c r="C45" s="356"/>
      <c r="D45" s="356"/>
      <c r="E45" s="356"/>
    </row>
    <row r="46" spans="1:5">
      <c r="A46" s="351"/>
      <c r="B46" s="354" t="s">
        <v>206</v>
      </c>
      <c r="C46" s="75" t="s">
        <v>119</v>
      </c>
      <c r="D46" s="354" t="s">
        <v>207</v>
      </c>
      <c r="E46" s="75">
        <v>29.38</v>
      </c>
    </row>
    <row r="47" spans="1:5">
      <c r="A47" s="351"/>
      <c r="B47" s="354" t="s">
        <v>206</v>
      </c>
      <c r="C47" s="75" t="s">
        <v>208</v>
      </c>
      <c r="D47" s="354" t="s">
        <v>207</v>
      </c>
      <c r="E47" s="75">
        <v>29.38</v>
      </c>
    </row>
    <row r="48" spans="1:5">
      <c r="A48" s="351"/>
      <c r="B48" s="354" t="s">
        <v>206</v>
      </c>
      <c r="C48" s="75" t="s">
        <v>209</v>
      </c>
      <c r="D48" s="354" t="s">
        <v>207</v>
      </c>
      <c r="E48" s="75">
        <v>29.38</v>
      </c>
    </row>
    <row r="49" spans="1:5">
      <c r="A49" s="351"/>
      <c r="B49" s="354" t="s">
        <v>206</v>
      </c>
      <c r="C49" s="75" t="s">
        <v>210</v>
      </c>
      <c r="D49" s="354" t="s">
        <v>207</v>
      </c>
      <c r="E49" s="75">
        <v>29.38</v>
      </c>
    </row>
    <row r="50" spans="1:5">
      <c r="A50" s="351"/>
      <c r="B50" s="354" t="s">
        <v>206</v>
      </c>
      <c r="C50" s="75" t="s">
        <v>211</v>
      </c>
      <c r="D50" s="354" t="s">
        <v>207</v>
      </c>
      <c r="E50" s="75">
        <v>29.38</v>
      </c>
    </row>
    <row r="51" spans="1:5">
      <c r="A51" s="351"/>
      <c r="B51" s="354" t="s">
        <v>206</v>
      </c>
      <c r="C51" s="75" t="s">
        <v>212</v>
      </c>
      <c r="D51" s="354" t="s">
        <v>207</v>
      </c>
      <c r="E51" s="75">
        <v>29.38</v>
      </c>
    </row>
    <row r="52" spans="1:5">
      <c r="A52" s="351"/>
      <c r="B52" s="354" t="s">
        <v>206</v>
      </c>
      <c r="C52" s="75"/>
      <c r="D52" s="354" t="s">
        <v>207</v>
      </c>
      <c r="E52" s="75"/>
    </row>
    <row r="53" spans="1:5">
      <c r="A53" s="351"/>
      <c r="B53" s="354" t="s">
        <v>206</v>
      </c>
      <c r="C53" s="354" t="s">
        <v>213</v>
      </c>
      <c r="D53" s="354" t="s">
        <v>207</v>
      </c>
      <c r="E53" s="75">
        <v>29.38</v>
      </c>
    </row>
    <row r="54" spans="1:5">
      <c r="A54" s="351"/>
      <c r="B54" s="354" t="s">
        <v>206</v>
      </c>
      <c r="C54" s="354"/>
      <c r="D54" s="354" t="s">
        <v>207</v>
      </c>
      <c r="E54" s="354"/>
    </row>
    <row r="55" spans="1:5">
      <c r="A55" s="351"/>
      <c r="B55" s="354" t="s">
        <v>206</v>
      </c>
      <c r="C55" s="354" t="s">
        <v>214</v>
      </c>
      <c r="D55" s="354" t="s">
        <v>207</v>
      </c>
      <c r="E55" s="354">
        <v>29.38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6A3F-805F-4122-980C-9A7A13A335F6}">
  <sheetPr codeName="工作表2"/>
  <dimension ref="A1:N34"/>
  <sheetViews>
    <sheetView zoomScale="115" zoomScaleNormal="115" workbookViewId="0">
      <selection activeCell="O16" sqref="O16"/>
    </sheetView>
  </sheetViews>
  <sheetFormatPr defaultColWidth="10.28515625" defaultRowHeight="15.75"/>
  <cols>
    <col min="1" max="1" width="40.5703125" style="347" customWidth="1"/>
    <col min="2" max="6" width="10.28515625" style="347" customWidth="1"/>
    <col min="7" max="7" width="26" style="347" bestFit="1" customWidth="1"/>
    <col min="8" max="182" width="10.28515625" style="347" customWidth="1"/>
    <col min="183" max="16384" width="10.28515625" style="347"/>
  </cols>
  <sheetData>
    <row r="1" spans="1:14">
      <c r="A1" s="345" t="s">
        <v>218</v>
      </c>
      <c r="B1" s="345" t="s">
        <v>24</v>
      </c>
      <c r="C1" s="345" t="s">
        <v>219</v>
      </c>
      <c r="D1" s="346"/>
      <c r="E1" s="347" t="s">
        <v>220</v>
      </c>
      <c r="F1" s="357"/>
      <c r="G1" s="347" t="s">
        <v>111</v>
      </c>
    </row>
    <row r="2" spans="1:14">
      <c r="A2" s="345" t="s">
        <v>81</v>
      </c>
      <c r="B2" s="345"/>
      <c r="C2" s="345"/>
      <c r="D2" s="346"/>
    </row>
    <row r="3" spans="1:14">
      <c r="A3" s="345" t="s">
        <v>113</v>
      </c>
      <c r="B3" s="345">
        <v>14</v>
      </c>
      <c r="C3" s="345">
        <v>2250</v>
      </c>
      <c r="D3" s="348" t="s">
        <v>106</v>
      </c>
      <c r="E3" s="347">
        <f>C3/B3</f>
        <v>160.71428571428572</v>
      </c>
      <c r="F3" s="358"/>
    </row>
    <row r="4" spans="1:14">
      <c r="A4" s="345" t="s">
        <v>221</v>
      </c>
      <c r="B4" s="345">
        <v>15</v>
      </c>
      <c r="C4" s="345">
        <v>1716</v>
      </c>
      <c r="D4" s="348" t="s">
        <v>107</v>
      </c>
      <c r="E4" s="347">
        <f t="shared" ref="E4:E22" si="0">C4/B4</f>
        <v>114.4</v>
      </c>
    </row>
    <row r="5" spans="1:14">
      <c r="A5" s="345" t="s">
        <v>119</v>
      </c>
      <c r="B5" s="345">
        <v>13</v>
      </c>
      <c r="C5" s="345">
        <v>2250</v>
      </c>
      <c r="D5" s="346"/>
      <c r="E5" s="347">
        <f t="shared" si="0"/>
        <v>173.07692307692307</v>
      </c>
      <c r="F5" s="358"/>
    </row>
    <row r="6" spans="1:14">
      <c r="A6" s="345" t="s">
        <v>222</v>
      </c>
      <c r="B6" s="345">
        <v>16</v>
      </c>
      <c r="C6" s="345">
        <v>1714</v>
      </c>
      <c r="D6" s="346"/>
      <c r="E6" s="347">
        <f t="shared" si="0"/>
        <v>107.125</v>
      </c>
      <c r="F6" s="358"/>
    </row>
    <row r="7" spans="1:14" ht="17.25" customHeight="1">
      <c r="A7" s="345" t="s">
        <v>120</v>
      </c>
      <c r="B7" s="345">
        <v>12</v>
      </c>
      <c r="C7" s="345">
        <v>2250</v>
      </c>
      <c r="D7" s="346"/>
      <c r="E7" s="347">
        <f t="shared" si="0"/>
        <v>187.5</v>
      </c>
      <c r="F7" s="358"/>
    </row>
    <row r="8" spans="1:14">
      <c r="A8" s="345" t="s">
        <v>117</v>
      </c>
      <c r="B8" s="345">
        <v>14</v>
      </c>
      <c r="C8" s="345">
        <v>2250</v>
      </c>
      <c r="D8" s="346"/>
      <c r="E8" s="347">
        <f t="shared" si="0"/>
        <v>160.71428571428572</v>
      </c>
    </row>
    <row r="9" spans="1:14">
      <c r="A9" s="345" t="s">
        <v>194</v>
      </c>
      <c r="B9" s="345">
        <v>18</v>
      </c>
      <c r="C9" s="345">
        <v>1636</v>
      </c>
      <c r="D9" s="346"/>
      <c r="E9" s="347">
        <f t="shared" si="0"/>
        <v>90.888888888888886</v>
      </c>
      <c r="F9" s="358"/>
    </row>
    <row r="10" spans="1:14">
      <c r="A10" s="345" t="s">
        <v>223</v>
      </c>
      <c r="B10" s="345">
        <v>17</v>
      </c>
      <c r="C10" s="345">
        <v>1716</v>
      </c>
      <c r="D10" s="346"/>
      <c r="E10" s="347">
        <f t="shared" si="0"/>
        <v>100.94117647058823</v>
      </c>
    </row>
    <row r="11" spans="1:14">
      <c r="A11" s="350" t="s">
        <v>161</v>
      </c>
      <c r="B11" s="345">
        <v>18</v>
      </c>
      <c r="C11" s="345">
        <v>1636</v>
      </c>
      <c r="D11" s="346"/>
      <c r="E11" s="347">
        <f t="shared" si="0"/>
        <v>90.888888888888886</v>
      </c>
    </row>
    <row r="12" spans="1:14">
      <c r="A12" s="345" t="s">
        <v>116</v>
      </c>
      <c r="B12" s="345">
        <v>13</v>
      </c>
      <c r="C12" s="345">
        <v>2250</v>
      </c>
      <c r="D12" s="346"/>
      <c r="E12" s="347">
        <f t="shared" si="0"/>
        <v>173.07692307692307</v>
      </c>
    </row>
    <row r="13" spans="1:14">
      <c r="A13" s="345" t="s">
        <v>130</v>
      </c>
      <c r="B13" s="345">
        <v>17</v>
      </c>
      <c r="C13" s="345">
        <v>1636</v>
      </c>
      <c r="D13" s="346"/>
      <c r="E13" s="347">
        <f t="shared" si="0"/>
        <v>96.235294117647058</v>
      </c>
      <c r="G13" s="349"/>
      <c r="J13" s="345" t="s">
        <v>130</v>
      </c>
      <c r="K13" s="345">
        <v>17</v>
      </c>
      <c r="L13" s="345">
        <v>1565</v>
      </c>
      <c r="M13" s="346"/>
      <c r="N13" s="347">
        <f t="shared" ref="N13:N19" si="1">L13/K13</f>
        <v>92.058823529411768</v>
      </c>
    </row>
    <row r="14" spans="1:14">
      <c r="A14" s="345" t="s">
        <v>128</v>
      </c>
      <c r="B14" s="345">
        <v>16</v>
      </c>
      <c r="C14" s="345">
        <v>1714</v>
      </c>
      <c r="D14" s="346"/>
      <c r="E14" s="347">
        <f t="shared" si="0"/>
        <v>107.125</v>
      </c>
      <c r="F14" s="358"/>
      <c r="J14" s="345" t="s">
        <v>128</v>
      </c>
      <c r="K14" s="345">
        <v>14</v>
      </c>
      <c r="L14" s="345">
        <v>1714</v>
      </c>
      <c r="M14" s="346"/>
      <c r="N14" s="347">
        <f t="shared" si="1"/>
        <v>122.42857142857143</v>
      </c>
    </row>
    <row r="15" spans="1:14">
      <c r="A15" s="345" t="s">
        <v>131</v>
      </c>
      <c r="B15" s="345">
        <v>16</v>
      </c>
      <c r="C15" s="345">
        <v>1800</v>
      </c>
      <c r="D15" s="346"/>
      <c r="E15" s="347">
        <f t="shared" si="0"/>
        <v>112.5</v>
      </c>
      <c r="F15" s="358"/>
      <c r="G15" s="347" t="s">
        <v>224</v>
      </c>
      <c r="J15" s="345" t="s">
        <v>131</v>
      </c>
      <c r="K15" s="345">
        <v>15</v>
      </c>
      <c r="L15" s="345">
        <v>1800</v>
      </c>
      <c r="M15" s="346"/>
      <c r="N15" s="347">
        <f t="shared" si="1"/>
        <v>120</v>
      </c>
    </row>
    <row r="16" spans="1:14">
      <c r="A16" s="345" t="s">
        <v>205</v>
      </c>
      <c r="B16" s="345">
        <v>17</v>
      </c>
      <c r="C16" s="345">
        <v>1800</v>
      </c>
      <c r="D16" s="346"/>
      <c r="E16" s="347">
        <f t="shared" si="0"/>
        <v>105.88235294117646</v>
      </c>
      <c r="J16" s="345" t="s">
        <v>205</v>
      </c>
      <c r="K16" s="345">
        <v>16</v>
      </c>
      <c r="L16" s="345">
        <v>1500</v>
      </c>
      <c r="M16" s="346"/>
      <c r="N16" s="347">
        <f t="shared" si="1"/>
        <v>93.75</v>
      </c>
    </row>
    <row r="17" spans="1:14">
      <c r="A17" s="345" t="s">
        <v>129</v>
      </c>
      <c r="B17" s="345">
        <v>18</v>
      </c>
      <c r="C17" s="345">
        <v>1636</v>
      </c>
      <c r="D17" s="346"/>
      <c r="E17" s="347">
        <f t="shared" si="0"/>
        <v>90.888888888888886</v>
      </c>
      <c r="J17" s="345" t="s">
        <v>129</v>
      </c>
      <c r="K17" s="345">
        <v>16</v>
      </c>
      <c r="L17" s="345">
        <v>1636</v>
      </c>
      <c r="M17" s="346"/>
      <c r="N17" s="347">
        <f t="shared" si="1"/>
        <v>102.25</v>
      </c>
    </row>
    <row r="18" spans="1:14">
      <c r="A18" s="350" t="s">
        <v>114</v>
      </c>
      <c r="B18" s="345">
        <v>17</v>
      </c>
      <c r="C18" s="345">
        <v>2250</v>
      </c>
      <c r="D18" s="346"/>
      <c r="E18" s="347">
        <f t="shared" si="0"/>
        <v>132.35294117647058</v>
      </c>
      <c r="J18" s="350" t="s">
        <v>225</v>
      </c>
      <c r="K18" s="345">
        <v>12</v>
      </c>
      <c r="L18" s="345">
        <v>1440</v>
      </c>
      <c r="M18" s="346"/>
      <c r="N18" s="347">
        <f t="shared" si="1"/>
        <v>120</v>
      </c>
    </row>
    <row r="19" spans="1:14">
      <c r="A19" s="350" t="s">
        <v>226</v>
      </c>
      <c r="B19" s="345">
        <v>14</v>
      </c>
      <c r="C19" s="345">
        <v>2250</v>
      </c>
      <c r="D19" s="346"/>
      <c r="E19" s="347">
        <f t="shared" si="0"/>
        <v>160.71428571428572</v>
      </c>
      <c r="G19" s="347" t="s">
        <v>227</v>
      </c>
      <c r="J19" s="350" t="s">
        <v>228</v>
      </c>
      <c r="K19" s="345">
        <v>16</v>
      </c>
      <c r="L19" s="345">
        <v>1565</v>
      </c>
      <c r="M19" s="346"/>
      <c r="N19" s="347">
        <f t="shared" si="1"/>
        <v>97.8125</v>
      </c>
    </row>
    <row r="20" spans="1:14">
      <c r="A20" s="350" t="s">
        <v>126</v>
      </c>
      <c r="B20" s="345">
        <v>17</v>
      </c>
      <c r="C20" s="345">
        <v>1636</v>
      </c>
      <c r="D20" s="346"/>
      <c r="E20" s="347">
        <f t="shared" si="0"/>
        <v>96.235294117647058</v>
      </c>
    </row>
    <row r="21" spans="1:14">
      <c r="A21" s="350" t="s">
        <v>124</v>
      </c>
      <c r="B21" s="345">
        <v>16</v>
      </c>
      <c r="C21" s="345">
        <v>1636</v>
      </c>
      <c r="D21" s="346"/>
      <c r="E21" s="347">
        <f t="shared" si="0"/>
        <v>102.25</v>
      </c>
    </row>
    <row r="22" spans="1:14">
      <c r="A22" s="350" t="s">
        <v>122</v>
      </c>
      <c r="B22" s="345">
        <v>18</v>
      </c>
      <c r="C22" s="345">
        <v>2250</v>
      </c>
      <c r="D22" s="346"/>
      <c r="E22" s="347">
        <f t="shared" si="0"/>
        <v>125</v>
      </c>
    </row>
    <row r="23" spans="1:14">
      <c r="A23" s="345" t="s">
        <v>123</v>
      </c>
      <c r="B23" s="345">
        <v>18</v>
      </c>
      <c r="C23" s="345">
        <v>1636</v>
      </c>
      <c r="D23" s="346"/>
    </row>
    <row r="24" spans="1:14">
      <c r="A24" s="350" t="s">
        <v>140</v>
      </c>
      <c r="B24" s="345">
        <v>13</v>
      </c>
      <c r="C24" s="345">
        <v>1565</v>
      </c>
      <c r="D24" s="346"/>
    </row>
    <row r="25" spans="1:14">
      <c r="A25" s="350"/>
      <c r="B25" s="345"/>
      <c r="C25" s="345"/>
      <c r="D25" s="346"/>
    </row>
    <row r="26" spans="1:14">
      <c r="A26" s="345" t="s">
        <v>229</v>
      </c>
      <c r="B26" s="345"/>
      <c r="C26" s="345"/>
      <c r="D26" s="346"/>
    </row>
    <row r="27" spans="1:14">
      <c r="A27" s="345" t="s">
        <v>133</v>
      </c>
      <c r="B27" s="345">
        <v>15</v>
      </c>
      <c r="C27" s="345">
        <v>1636</v>
      </c>
      <c r="D27" s="346"/>
      <c r="E27" s="347">
        <f>C27/B27</f>
        <v>109.06666666666666</v>
      </c>
      <c r="G27" s="347" t="s">
        <v>230</v>
      </c>
    </row>
    <row r="28" spans="1:14">
      <c r="A28" s="345" t="s">
        <v>134</v>
      </c>
      <c r="B28" s="345">
        <v>11</v>
      </c>
      <c r="C28" s="345">
        <v>1636</v>
      </c>
      <c r="D28" s="346"/>
      <c r="E28" s="347">
        <f>C28/B28</f>
        <v>148.72727272727272</v>
      </c>
    </row>
    <row r="29" spans="1:14">
      <c r="A29" s="345" t="s">
        <v>136</v>
      </c>
      <c r="B29" s="345">
        <v>11</v>
      </c>
      <c r="C29" s="345">
        <v>1636</v>
      </c>
      <c r="E29" s="347">
        <f>C29/B29</f>
        <v>148.72727272727272</v>
      </c>
    </row>
    <row r="30" spans="1:14">
      <c r="A30" s="345" t="s">
        <v>135</v>
      </c>
      <c r="B30" s="345">
        <v>11</v>
      </c>
      <c r="C30" s="345">
        <v>1636</v>
      </c>
      <c r="E30" s="347">
        <f>C30/B30</f>
        <v>148.72727272727272</v>
      </c>
    </row>
    <row r="31" spans="1:14">
      <c r="A31" s="345"/>
      <c r="B31" s="345"/>
      <c r="C31" s="345"/>
    </row>
    <row r="32" spans="1:14">
      <c r="A32" s="345"/>
      <c r="B32" s="345"/>
      <c r="C32" s="345"/>
    </row>
    <row r="33" spans="1:5">
      <c r="A33" s="345"/>
      <c r="B33" s="345"/>
      <c r="C33" s="345"/>
    </row>
    <row r="34" spans="1:5">
      <c r="E34" s="347" t="s">
        <v>231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3">
    <pageSetUpPr fitToPage="1"/>
  </sheetPr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4">
        <v>46015</v>
      </c>
      <c r="E3" s="504"/>
      <c r="F3" s="3" t="s">
        <v>72</v>
      </c>
      <c r="G3" s="505">
        <f>範本!E1</f>
        <v>43309</v>
      </c>
      <c r="H3" s="505"/>
      <c r="I3" s="3" t="s">
        <v>2</v>
      </c>
      <c r="J3" s="506" t="e">
        <f>範本!G1</f>
        <v>#N/A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 t="e">
        <f>AVERAGE(D13:J13)</f>
        <v>#N/A</v>
      </c>
      <c r="G6" s="501"/>
      <c r="H6" s="502" t="e">
        <f>AVERAGE(D13:H13)</f>
        <v>#N/A</v>
      </c>
      <c r="I6" s="502"/>
      <c r="J6" s="502" t="e">
        <f>AVERAGE(I13:J13)</f>
        <v>#N/A</v>
      </c>
      <c r="K6" s="502"/>
      <c r="L6" s="492">
        <f>範本!Z2</f>
        <v>0</v>
      </c>
      <c r="M6" s="493">
        <f>範本!AA2</f>
        <v>0</v>
      </c>
      <c r="N6" s="494">
        <f>範本!AD2</f>
        <v>0</v>
      </c>
      <c r="O6" s="493">
        <f>範本!AE2</f>
        <v>0</v>
      </c>
    </row>
    <row r="7" spans="2:15" s="6" customFormat="1" ht="39.6" customHeight="1">
      <c r="B7" s="497"/>
      <c r="C7" s="497"/>
      <c r="D7" s="495" t="s">
        <v>87</v>
      </c>
      <c r="E7" s="495"/>
      <c r="F7" s="490">
        <f>AVERAGE(D14:J14)</f>
        <v>116.11474837607263</v>
      </c>
      <c r="G7" s="490"/>
      <c r="H7" s="491">
        <f>AVERAGE(D14:H14)</f>
        <v>117.36074805627914</v>
      </c>
      <c r="I7" s="491"/>
      <c r="J7" s="491">
        <f>AVERAGE(I14:J14)</f>
        <v>112.99974917555633</v>
      </c>
      <c r="K7" s="491"/>
      <c r="L7" s="492"/>
      <c r="M7" s="493"/>
      <c r="N7" s="494"/>
      <c r="O7" s="493"/>
    </row>
    <row r="8" spans="2:15" s="6" customFormat="1" ht="39.6" customHeight="1">
      <c r="B8" s="497"/>
      <c r="C8" s="497"/>
      <c r="D8" s="495" t="s">
        <v>27</v>
      </c>
      <c r="E8" s="495"/>
      <c r="F8" s="496" t="e">
        <f>AVERAGE(D15:J15)</f>
        <v>#N/A</v>
      </c>
      <c r="G8" s="496"/>
      <c r="H8" s="496" t="e">
        <f>AVERAGE(D15:H15)</f>
        <v>#N/A</v>
      </c>
      <c r="I8" s="496"/>
      <c r="J8" s="496" t="e">
        <f>AVERAGE(I15:J15)</f>
        <v>#N/A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484"/>
      <c r="C14" s="12" t="s">
        <v>100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485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486" t="s">
        <v>101</v>
      </c>
      <c r="C16" s="10" t="s">
        <v>34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487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488" t="s">
        <v>102</v>
      </c>
      <c r="C18" s="330" t="s">
        <v>36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489"/>
      <c r="C19" s="330" t="s">
        <v>37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488" t="s">
        <v>103</v>
      </c>
      <c r="C20" s="330" t="s">
        <v>36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489"/>
      <c r="C21" s="330" t="s">
        <v>85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471" t="s">
        <v>104</v>
      </c>
      <c r="C22" s="472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30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4">
    <tabColor theme="9" tint="0.79998168889431442"/>
    <pageSetUpPr fitToPage="1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13</v>
      </c>
      <c r="B2" s="462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0</v>
      </c>
      <c r="AA2" s="339">
        <f>AA15+AA26+AA37+AA48+AA58+AA69+AA79</f>
        <v>0</v>
      </c>
      <c r="AB2" s="433"/>
      <c r="AC2" s="433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392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397"/>
      <c r="AC5" s="397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380" t="e">
        <f>AG15</f>
        <v>#N/A</v>
      </c>
    </row>
    <row r="6" spans="1:34" ht="15" customHeight="1">
      <c r="A6" s="466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393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0"/>
      <c r="AC6" s="430"/>
      <c r="AD6" s="149"/>
      <c r="AE6" s="149"/>
      <c r="AF6" s="307" t="e">
        <f t="shared" si="1"/>
        <v>#N/A</v>
      </c>
      <c r="AG6" s="72" t="e">
        <f t="shared" si="2"/>
        <v>#N/A</v>
      </c>
      <c r="AH6" s="382"/>
    </row>
    <row r="7" spans="1:34" ht="15" customHeight="1">
      <c r="A7" s="466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393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386"/>
      <c r="AC7" s="386"/>
      <c r="AD7" s="92"/>
      <c r="AE7" s="92"/>
      <c r="AF7" s="307" t="e">
        <f t="shared" si="1"/>
        <v>#N/A</v>
      </c>
      <c r="AG7" s="72" t="e">
        <f t="shared" si="2"/>
        <v>#N/A</v>
      </c>
      <c r="AH7" s="382"/>
    </row>
    <row r="8" spans="1:34" ht="15" customHeight="1">
      <c r="A8" s="466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93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0"/>
      <c r="AC8" s="430"/>
      <c r="AD8" s="149"/>
      <c r="AE8" s="149"/>
      <c r="AF8" s="307">
        <f t="shared" si="1"/>
        <v>0</v>
      </c>
      <c r="AG8" s="72" t="e">
        <f t="shared" si="2"/>
        <v>#DIV/0!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384"/>
    </row>
    <row r="16" spans="1:34" ht="15" customHeight="1">
      <c r="A16" s="426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20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397"/>
      <c r="AC16" s="397"/>
      <c r="AD16" s="135"/>
      <c r="AE16" s="135"/>
      <c r="AF16" s="229" t="e">
        <f>N16-K16</f>
        <v>#N/A</v>
      </c>
      <c r="AG16" s="52" t="e">
        <f>N16/K16</f>
        <v>#N/A</v>
      </c>
      <c r="AH16" s="380" t="e">
        <f>AG26</f>
        <v>#N/A</v>
      </c>
    </row>
    <row r="17" spans="1:34" ht="15" customHeight="1">
      <c r="A17" s="427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21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386"/>
      <c r="AC17" s="386"/>
      <c r="AD17" s="92"/>
      <c r="AE17" s="92"/>
      <c r="AF17" s="307" t="e">
        <f>N17-K17</f>
        <v>#N/A</v>
      </c>
      <c r="AG17" s="72" t="e">
        <f>N17/K17</f>
        <v>#N/A</v>
      </c>
      <c r="AH17" s="382"/>
    </row>
    <row r="18" spans="1:34" ht="15" customHeight="1">
      <c r="A18" s="427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21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386"/>
      <c r="AC18" s="386"/>
      <c r="AD18" s="92"/>
      <c r="AE18" s="92"/>
      <c r="AF18" s="307" t="e">
        <f>N18-K18</f>
        <v>#N/A</v>
      </c>
      <c r="AG18" s="72" t="e">
        <f>N18/K18</f>
        <v>#N/A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384"/>
    </row>
    <row r="27" spans="1:34" ht="15" customHeight="1">
      <c r="A27" s="417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20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397"/>
      <c r="AC27" s="397"/>
      <c r="AD27" s="135"/>
      <c r="AE27" s="135"/>
      <c r="AF27" s="310" t="e">
        <f t="shared" si="6"/>
        <v>#N/A</v>
      </c>
      <c r="AG27" s="172" t="e">
        <f t="shared" si="7"/>
        <v>#N/A</v>
      </c>
      <c r="AH27" s="380" t="e">
        <f>AG37</f>
        <v>#N/A</v>
      </c>
    </row>
    <row r="28" spans="1:34" ht="15" customHeight="1">
      <c r="A28" s="418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21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386"/>
      <c r="AC28" s="386"/>
      <c r="AD28" s="92"/>
      <c r="AE28" s="92"/>
      <c r="AF28" s="311" t="e">
        <f t="shared" si="6"/>
        <v>#N/A</v>
      </c>
      <c r="AG28" s="99" t="e">
        <f t="shared" si="7"/>
        <v>#N/A</v>
      </c>
      <c r="AH28" s="381"/>
    </row>
    <row r="29" spans="1:34" ht="15" customHeight="1">
      <c r="A29" s="418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21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386"/>
      <c r="AC29" s="386"/>
      <c r="AD29" s="92"/>
      <c r="AE29" s="92"/>
      <c r="AF29" s="312" t="e">
        <f t="shared" si="6"/>
        <v>#N/A</v>
      </c>
      <c r="AG29" s="99" t="e">
        <f t="shared" si="7"/>
        <v>#N/A</v>
      </c>
      <c r="AH29" s="381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386"/>
      <c r="AC30" s="386"/>
      <c r="AD30" s="92"/>
      <c r="AE30" s="92"/>
      <c r="AF30" s="312">
        <f t="shared" si="6"/>
        <v>0</v>
      </c>
      <c r="AG30" s="99" t="e">
        <f t="shared" si="7"/>
        <v>#DIV/0!</v>
      </c>
      <c r="AH30" s="416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0</v>
      </c>
      <c r="AG31" s="99" t="e">
        <f t="shared" si="7"/>
        <v>#DIV/0!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384"/>
    </row>
    <row r="38" spans="1:34" s="196" customFormat="1" ht="15" customHeight="1">
      <c r="A38" s="407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10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12"/>
      <c r="AC38" s="412"/>
      <c r="AD38" s="192"/>
      <c r="AE38" s="192"/>
      <c r="AF38" s="313" t="e">
        <f>N38-K38</f>
        <v>#N/A</v>
      </c>
      <c r="AG38" s="195" t="e">
        <f>N38/K38</f>
        <v>#N/A</v>
      </c>
      <c r="AH38" s="413" t="e">
        <f>AG48</f>
        <v>#N/A</v>
      </c>
    </row>
    <row r="39" spans="1:34" s="196" customFormat="1" ht="15" customHeight="1">
      <c r="A39" s="408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11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385"/>
      <c r="AC39" s="385"/>
      <c r="AD39" s="200"/>
      <c r="AE39" s="200"/>
      <c r="AF39" s="314" t="e">
        <f>N39-K39</f>
        <v>#N/A</v>
      </c>
      <c r="AG39" s="206" t="e">
        <f>N39/K39</f>
        <v>#N/A</v>
      </c>
      <c r="AH39" s="414"/>
    </row>
    <row r="40" spans="1:34" s="196" customFormat="1" ht="15" customHeight="1">
      <c r="A40" s="408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393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386"/>
      <c r="AC40" s="386"/>
      <c r="AD40" s="92"/>
      <c r="AE40" s="92"/>
      <c r="AF40" s="314" t="e">
        <f>N40-K40</f>
        <v>#N/A</v>
      </c>
      <c r="AG40" s="206" t="e">
        <f>N40/K40</f>
        <v>#N/A</v>
      </c>
      <c r="AH40" s="414"/>
    </row>
    <row r="41" spans="1:34" s="196" customFormat="1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s="196" customFormat="1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s="196" customFormat="1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s="196" customFormat="1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s="196" customFormat="1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s="196" customFormat="1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s="196" customFormat="1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396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15"/>
    </row>
    <row r="49" spans="1:34" ht="15" customHeight="1">
      <c r="A49" s="404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392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397"/>
      <c r="AC49" s="397"/>
      <c r="AD49" s="135"/>
      <c r="AE49" s="135"/>
      <c r="AF49" s="229" t="e">
        <f t="shared" si="11"/>
        <v>#N/A</v>
      </c>
      <c r="AG49" s="52" t="e">
        <f t="shared" si="12"/>
        <v>#N/A</v>
      </c>
      <c r="AH49" s="380" t="e">
        <f>AG58</f>
        <v>#N/A</v>
      </c>
    </row>
    <row r="50" spans="1:34" ht="15" customHeight="1">
      <c r="A50" s="405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393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386"/>
      <c r="AC50" s="386"/>
      <c r="AD50" s="92"/>
      <c r="AE50" s="92"/>
      <c r="AF50" s="307" t="e">
        <f t="shared" si="11"/>
        <v>#N/A</v>
      </c>
      <c r="AG50" s="72" t="e">
        <f t="shared" si="12"/>
        <v>#N/A</v>
      </c>
      <c r="AH50" s="382"/>
    </row>
    <row r="51" spans="1:34" ht="15" customHeight="1">
      <c r="A51" s="405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393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386"/>
      <c r="AC51" s="386"/>
      <c r="AD51" s="92"/>
      <c r="AE51" s="92"/>
      <c r="AF51" s="307" t="e">
        <f t="shared" si="11"/>
        <v>#N/A</v>
      </c>
      <c r="AG51" s="72" t="e">
        <f t="shared" si="12"/>
        <v>#N/A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386"/>
      <c r="AC52" s="386"/>
      <c r="AD52" s="92"/>
      <c r="AE52" s="92"/>
      <c r="AF52" s="307">
        <f t="shared" si="11"/>
        <v>0</v>
      </c>
      <c r="AG52" s="72" t="e">
        <f t="shared" si="12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1"/>
        <v>0</v>
      </c>
      <c r="AG53" s="72" t="e">
        <f t="shared" si="12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384"/>
    </row>
    <row r="59" spans="1:34" ht="15" customHeight="1">
      <c r="A59" s="398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392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397"/>
      <c r="AC59" s="397"/>
      <c r="AD59" s="135"/>
      <c r="AE59" s="135"/>
      <c r="AF59" s="310" t="e">
        <f>N59-K59</f>
        <v>#N/A</v>
      </c>
      <c r="AG59" s="246" t="e">
        <f>N59/K59</f>
        <v>#N/A</v>
      </c>
      <c r="AH59" s="380" t="e">
        <f>AG69</f>
        <v>#N/A</v>
      </c>
    </row>
    <row r="60" spans="1:34" ht="15" customHeight="1">
      <c r="A60" s="399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02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386"/>
      <c r="AC60" s="386"/>
      <c r="AD60" s="92"/>
      <c r="AE60" s="92"/>
      <c r="AF60" s="316" t="e">
        <f>N60-K60</f>
        <v>#N/A</v>
      </c>
      <c r="AG60" s="249" t="e">
        <f>N60/K60</f>
        <v>#N/A</v>
      </c>
      <c r="AH60" s="403"/>
    </row>
    <row r="61" spans="1:34" ht="15" customHeight="1">
      <c r="A61" s="400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393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386"/>
      <c r="AC61" s="386"/>
      <c r="AD61" s="92"/>
      <c r="AE61" s="92"/>
      <c r="AF61" s="317" t="e">
        <f>N61-K61</f>
        <v>#N/A</v>
      </c>
      <c r="AG61" s="247" t="e">
        <f>N61/K61</f>
        <v>#N/A</v>
      </c>
      <c r="AH61" s="382"/>
    </row>
    <row r="62" spans="1:34" ht="15" customHeight="1">
      <c r="A62" s="400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93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386"/>
      <c r="AC62" s="386"/>
      <c r="AD62" s="92"/>
      <c r="AE62" s="92"/>
      <c r="AF62" s="317">
        <f>N62-K62</f>
        <v>0</v>
      </c>
      <c r="AG62" s="247" t="e">
        <f>N62/K62</f>
        <v>#DIV/0!</v>
      </c>
      <c r="AH62" s="382"/>
    </row>
    <row r="63" spans="1:34" ht="15" customHeight="1">
      <c r="A63" s="4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9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384"/>
    </row>
    <row r="70" spans="1:36" ht="15" customHeight="1">
      <c r="A70" s="389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392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397"/>
      <c r="AC70" s="397"/>
      <c r="AD70" s="135"/>
      <c r="AE70" s="135"/>
      <c r="AF70" s="310" t="e">
        <f>N70-K70</f>
        <v>#N/A</v>
      </c>
      <c r="AG70" s="246" t="e">
        <f>N70/K70</f>
        <v>#N/A</v>
      </c>
      <c r="AH70" s="380" t="e">
        <f>AG79</f>
        <v>#N/A</v>
      </c>
    </row>
    <row r="71" spans="1:36" ht="15" customHeight="1">
      <c r="A71" s="390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93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307" priority="1" operator="greaterThan">
      <formula>0</formula>
    </cfRule>
  </conditionalFormatting>
  <conditionalFormatting sqref="Q5:Q79 AF5:AF79">
    <cfRule type="cellIs" dxfId="306" priority="4" operator="lessThan">
      <formula>0</formula>
    </cfRule>
  </conditionalFormatting>
  <conditionalFormatting sqref="R5:R79 AG5:AG79">
    <cfRule type="cellIs" dxfId="305" priority="2" operator="greaterThan">
      <formula>1</formula>
    </cfRule>
    <cfRule type="cellIs" dxfId="304" priority="3" operator="lessThan">
      <formula>0.8</formula>
    </cfRule>
  </conditionalFormatting>
  <conditionalFormatting sqref="S5:S10 S37:S62 AH59:AH62 S69:S76 AH69:AH76">
    <cfRule type="cellIs" dxfId="303" priority="7" operator="lessThan">
      <formula>0.8</formula>
    </cfRule>
  </conditionalFormatting>
  <conditionalFormatting sqref="S19:S25 AH19:AH25">
    <cfRule type="cellIs" dxfId="302" priority="6" operator="lessThan">
      <formula>0.8</formula>
    </cfRule>
  </conditionalFormatting>
  <conditionalFormatting sqref="S79">
    <cfRule type="cellIs" dxfId="301" priority="5" operator="lessThan">
      <formula>0.8</formula>
    </cfRule>
  </conditionalFormatting>
  <conditionalFormatting sqref="AH5:AH8 S15:S16 AH15:AH16 AH49 AH79">
    <cfRule type="cellIs" dxfId="300" priority="9" operator="lessThan">
      <formula>0.8</formula>
    </cfRule>
  </conditionalFormatting>
  <conditionalFormatting sqref="AH27 S27:S28">
    <cfRule type="cellIs" dxfId="29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58EFB-9E7A-46FC-B201-97DF4A50351C}">
  <dimension ref="B1:O26"/>
  <sheetViews>
    <sheetView topLeftCell="B1" zoomScale="70" zoomScaleNormal="70" workbookViewId="0">
      <selection activeCell="D18" sqref="D18:J2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46266</v>
      </c>
      <c r="E3" s="504"/>
      <c r="F3" s="3" t="s">
        <v>72</v>
      </c>
      <c r="G3" s="505">
        <f>'0901'!E1</f>
        <v>56325</v>
      </c>
      <c r="H3" s="505"/>
      <c r="I3" s="3" t="s">
        <v>2</v>
      </c>
      <c r="J3" s="506">
        <f>'0901'!G1</f>
        <v>2635970.6339999996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129.38590874189615</v>
      </c>
      <c r="G6" s="501"/>
      <c r="H6" s="502">
        <f>AVERAGE(D13:H13)</f>
        <v>126.46665918504155</v>
      </c>
      <c r="I6" s="502"/>
      <c r="J6" s="502">
        <f>AVERAGE(I13:J13)</f>
        <v>136.68403263403263</v>
      </c>
      <c r="K6" s="502"/>
      <c r="L6" s="492">
        <f>'0901'!Z2</f>
        <v>0</v>
      </c>
      <c r="M6" s="493">
        <f>'0901'!AA2</f>
        <v>0</v>
      </c>
      <c r="N6" s="494">
        <f>'0901'!AD2</f>
        <v>0</v>
      </c>
      <c r="O6" s="493">
        <f>'0901'!AE2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111.92003544234389</v>
      </c>
      <c r="G7" s="490"/>
      <c r="H7" s="491">
        <f>AVERAGE(D14:H14)</f>
        <v>109.772395239402</v>
      </c>
      <c r="I7" s="491"/>
      <c r="J7" s="491">
        <f>AVERAGE(I14:J14)</f>
        <v>117.28913594969866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0.86688563214662107</v>
      </c>
      <c r="G8" s="496"/>
      <c r="H8" s="496">
        <f>AVERAGE(D15:H15)</f>
        <v>0.86993221446006075</v>
      </c>
      <c r="I8" s="496"/>
      <c r="J8" s="496">
        <f>AVERAGE(I15:J15)</f>
        <v>0.85926917636302191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VALUE('0901'!L15)</f>
        <v>157.51454427925017</v>
      </c>
      <c r="E13" s="13">
        <f>VALUE('0901'!L26)</f>
        <v>176.37362637362637</v>
      </c>
      <c r="F13" s="13">
        <f>VALUE('0901'!L37)</f>
        <v>95.065767973856211</v>
      </c>
      <c r="G13" s="13">
        <f>VALUE('0901'!L48)</f>
        <v>96.300925925925924</v>
      </c>
      <c r="H13" s="13">
        <f>VALUE('0901'!L58)</f>
        <v>107.07843137254902</v>
      </c>
      <c r="I13" s="13">
        <f>VALUE('0901'!L69)</f>
        <v>138.81212121212121</v>
      </c>
      <c r="J13" s="13">
        <f>'0901'!L79</f>
        <v>134.55594405594405</v>
      </c>
    </row>
    <row r="14" spans="2:15" ht="39.950000000000003" customHeight="1">
      <c r="B14" s="484"/>
      <c r="C14" s="12" t="s">
        <v>100</v>
      </c>
      <c r="D14" s="13">
        <f>VALUE('0901'!O15)</f>
        <v>128.89227733795752</v>
      </c>
      <c r="E14" s="13">
        <f>VALUE('0901'!O26)</f>
        <v>157.35261827497183</v>
      </c>
      <c r="F14" s="13">
        <f>VALUE('0901'!O37)</f>
        <v>83.132191473828897</v>
      </c>
      <c r="G14" s="13">
        <f>VALUE('0901'!O48)</f>
        <v>84.720815612262427</v>
      </c>
      <c r="H14" s="13">
        <f>VALUE('0901'!O58)</f>
        <v>94.764073497989372</v>
      </c>
      <c r="I14" s="13">
        <f>VALUE('0901'!O69)</f>
        <v>108.8899709485917</v>
      </c>
      <c r="J14" s="13">
        <f>'0901'!O79</f>
        <v>125.68830095080563</v>
      </c>
    </row>
    <row r="15" spans="2:15" ht="39.950000000000003" customHeight="1">
      <c r="B15" s="485"/>
      <c r="C15" s="10" t="s">
        <v>26</v>
      </c>
      <c r="D15" s="14">
        <f t="shared" ref="D15:I15" si="0">D14/D13</f>
        <v>0.81828810112576289</v>
      </c>
      <c r="E15" s="14">
        <f t="shared" si="0"/>
        <v>0.8921550319640148</v>
      </c>
      <c r="F15" s="14">
        <f t="shared" si="0"/>
        <v>0.87447030877287879</v>
      </c>
      <c r="G15" s="14">
        <f t="shared" si="0"/>
        <v>0.87975078949323038</v>
      </c>
      <c r="H15" s="14">
        <f t="shared" si="0"/>
        <v>0.88499684094441644</v>
      </c>
      <c r="I15" s="14">
        <f t="shared" si="0"/>
        <v>0.78444137297055672</v>
      </c>
      <c r="J15" s="15">
        <f>'0901'!S70</f>
        <v>0.93409697975548711</v>
      </c>
    </row>
    <row r="16" spans="2:15" ht="17.25" customHeight="1">
      <c r="B16" s="486" t="s">
        <v>101</v>
      </c>
      <c r="C16" s="10" t="s">
        <v>34</v>
      </c>
      <c r="D16" s="16">
        <f>'0901'!T5</f>
        <v>0.29236111111111102</v>
      </c>
      <c r="E16" s="16">
        <f>'0901'!T16</f>
        <v>0.29166666666666702</v>
      </c>
      <c r="F16" s="16">
        <f>'0901'!T27</f>
        <v>0.29166666666666702</v>
      </c>
      <c r="G16" s="16">
        <f>'0901'!T38</f>
        <v>0.33333333333333298</v>
      </c>
      <c r="H16" s="16">
        <f>'0901'!T49</f>
        <v>0.29166666666666702</v>
      </c>
      <c r="I16" s="16">
        <f>'0901'!T59</f>
        <v>0.29166666666666702</v>
      </c>
      <c r="J16" s="17">
        <f>'0901'!T70</f>
        <v>0.390277777777778</v>
      </c>
    </row>
    <row r="17" spans="2:10" ht="17.25" customHeight="1">
      <c r="B17" s="487"/>
      <c r="C17" s="10" t="s">
        <v>35</v>
      </c>
      <c r="D17" s="16">
        <v>0.62638888888888899</v>
      </c>
      <c r="E17" s="183">
        <v>0.63194444444444398</v>
      </c>
      <c r="F17" s="19">
        <v>0.46527777777777801</v>
      </c>
      <c r="G17" s="328">
        <v>0.65972222222222199</v>
      </c>
      <c r="H17" s="19">
        <v>0.58472222222222203</v>
      </c>
      <c r="I17" s="110">
        <v>0.59027777777777801</v>
      </c>
      <c r="J17" s="22">
        <v>0.51180555555555596</v>
      </c>
    </row>
    <row r="18" spans="2:10" ht="17.25" customHeight="1">
      <c r="B18" s="488" t="s">
        <v>102</v>
      </c>
      <c r="C18" s="330" t="s">
        <v>36</v>
      </c>
      <c r="D18" s="359">
        <f>'0901'!Z15</f>
        <v>0</v>
      </c>
      <c r="E18" s="360">
        <f>'0901'!Z26</f>
        <v>0</v>
      </c>
      <c r="F18" s="360">
        <f>'0901'!Z37</f>
        <v>0</v>
      </c>
      <c r="G18" s="361">
        <f>'0901'!Z48</f>
        <v>0</v>
      </c>
      <c r="H18" s="361">
        <f>'0901'!Z58</f>
        <v>0</v>
      </c>
      <c r="I18" s="360">
        <f>'0901'!Z69</f>
        <v>0</v>
      </c>
      <c r="J18" s="360">
        <f>'0901'!AA79</f>
        <v>0</v>
      </c>
    </row>
    <row r="19" spans="2:10" ht="17.25" customHeight="1">
      <c r="B19" s="489"/>
      <c r="C19" s="330" t="s">
        <v>37</v>
      </c>
      <c r="D19" s="359">
        <f>'0901'!AA15</f>
        <v>0</v>
      </c>
      <c r="E19" s="360">
        <f>'0901'!AA26</f>
        <v>0</v>
      </c>
      <c r="F19" s="360">
        <f>'0901'!AA37</f>
        <v>0</v>
      </c>
      <c r="G19" s="361">
        <f>'0901'!AA48</f>
        <v>0</v>
      </c>
      <c r="H19" s="361">
        <f>'0901'!AA58</f>
        <v>0</v>
      </c>
      <c r="I19" s="360">
        <f>'0901'!AA69</f>
        <v>0</v>
      </c>
      <c r="J19" s="360">
        <f>'0901'!AB79</f>
        <v>0</v>
      </c>
    </row>
    <row r="20" spans="2:10" ht="17.25" customHeight="1">
      <c r="B20" s="488" t="s">
        <v>103</v>
      </c>
      <c r="C20" s="330" t="s">
        <v>36</v>
      </c>
      <c r="D20" s="359">
        <f>'0901'!AD15</f>
        <v>0</v>
      </c>
      <c r="E20" s="360">
        <f>'0901'!AD26</f>
        <v>0</v>
      </c>
      <c r="F20" s="360">
        <f>'0901'!AD37</f>
        <v>0</v>
      </c>
      <c r="G20" s="361">
        <f>'0901'!AD48</f>
        <v>0</v>
      </c>
      <c r="H20" s="361">
        <f>'0901'!AD58</f>
        <v>0</v>
      </c>
      <c r="I20" s="360">
        <f>'0901'!AD69</f>
        <v>0</v>
      </c>
      <c r="J20" s="360">
        <f>'0901'!AD79</f>
        <v>0</v>
      </c>
    </row>
    <row r="21" spans="2:10" ht="17.25" customHeight="1">
      <c r="B21" s="489"/>
      <c r="C21" s="330" t="s">
        <v>85</v>
      </c>
      <c r="D21" s="359">
        <f>'0901'!AE15</f>
        <v>0</v>
      </c>
      <c r="E21" s="360">
        <f>'0901'!AE26</f>
        <v>0</v>
      </c>
      <c r="F21" s="360">
        <f>'0901'!AE37</f>
        <v>0</v>
      </c>
      <c r="G21" s="361">
        <f>'0901'!AE48</f>
        <v>0</v>
      </c>
      <c r="H21" s="361">
        <f>'0901'!AE58</f>
        <v>0</v>
      </c>
      <c r="I21" s="360">
        <f>'0901'!AE69</f>
        <v>0</v>
      </c>
      <c r="J21" s="360">
        <f>'0901'!AE79</f>
        <v>0</v>
      </c>
    </row>
    <row r="22" spans="2:10" ht="17.25" customHeight="1">
      <c r="B22" s="471" t="s">
        <v>104</v>
      </c>
      <c r="C22" s="472"/>
      <c r="D22" s="23">
        <f>VALUE('0901'!M15)</f>
        <v>16.2</v>
      </c>
      <c r="E22" s="23">
        <f>VALUE('0901'!M26)</f>
        <v>13.6</v>
      </c>
      <c r="F22" s="23">
        <f>VALUE('0901'!M37)</f>
        <v>16.5</v>
      </c>
      <c r="G22" s="23">
        <f>VALUE('0901'!M48)</f>
        <v>17.333333333333332</v>
      </c>
      <c r="H22" s="23">
        <f>VALUE('0901'!M58)</f>
        <v>16.333333333333332</v>
      </c>
      <c r="I22" s="23">
        <f>VALUE('0901'!M69)</f>
        <v>14</v>
      </c>
      <c r="J22" s="23">
        <f>'0901'!M79</f>
        <v>8.5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29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676B7-297A-4725-BD37-A86970568021}">
  <sheetPr>
    <tabColor theme="9" tint="0.79998168889431442"/>
  </sheetPr>
  <dimension ref="A1:AJ92"/>
  <sheetViews>
    <sheetView zoomScale="69" zoomScaleNormal="69" workbookViewId="0">
      <pane xSplit="5" ySplit="4" topLeftCell="O47" activePane="bottomRight" state="frozen"/>
      <selection activeCell="G76" sqref="G76"/>
      <selection pane="topRight" activeCell="G76" sqref="G76"/>
      <selection pane="bottomLeft" activeCell="G76" sqref="G76"/>
      <selection pane="bottomRight" activeCell="U9" sqref="U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56325</v>
      </c>
      <c r="F1" s="30" t="s">
        <v>2</v>
      </c>
      <c r="G1" s="31">
        <f>SUM(H5:H79)</f>
        <v>2635970.6339999996</v>
      </c>
      <c r="H1" s="32" t="s">
        <v>3</v>
      </c>
      <c r="I1" s="33">
        <f>M15+M26+M48+M58+M69+M79+M37</f>
        <v>102.46666666666665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112</v>
      </c>
      <c r="B2" s="462"/>
      <c r="C2" s="28"/>
      <c r="D2" s="28" t="s">
        <v>14</v>
      </c>
      <c r="E2" s="35">
        <f>AVERAGE(O15,O26,O37,O48,O58,O69,O79)</f>
        <v>111.92003544234389</v>
      </c>
      <c r="F2" s="36" t="s">
        <v>15</v>
      </c>
      <c r="G2" s="37">
        <f>G1/E1</f>
        <v>46.799301091877489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0</v>
      </c>
      <c r="AA2" s="339">
        <f>AA15+AA26+AA37+AA48+AA58+AA69+AA79</f>
        <v>0</v>
      </c>
      <c r="AB2" s="433"/>
      <c r="AC2" s="433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2083</v>
      </c>
      <c r="H5" s="43">
        <f>F5*G5</f>
        <v>118460.20999999999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16</v>
      </c>
      <c r="N5" s="46">
        <f>G5/W5*60</f>
        <v>2048.8524590164006</v>
      </c>
      <c r="O5" s="47">
        <f>N5/M5</f>
        <v>128.05327868852504</v>
      </c>
      <c r="P5" s="49">
        <f>M5-J5</f>
        <v>2</v>
      </c>
      <c r="Q5" s="50">
        <f>O5-L5</f>
        <v>-32.661007025760682</v>
      </c>
      <c r="R5" s="51">
        <f>O5/L5</f>
        <v>0.79677595628415576</v>
      </c>
      <c r="S5" s="392">
        <f>R15</f>
        <v>0.81828810112576289</v>
      </c>
      <c r="T5" s="319">
        <v>0.29236111111111102</v>
      </c>
      <c r="U5" s="320">
        <v>0.33472222222222198</v>
      </c>
      <c r="V5" s="53"/>
      <c r="W5" s="54">
        <f t="shared" ref="W5:W14" si="0">(U5-T5)*24*60</f>
        <v>60.999999999999787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-201.14754098359936</v>
      </c>
      <c r="AG5" s="52">
        <f t="shared" ref="AG5:AG11" si="2">N5/K5</f>
        <v>0.91060109289617808</v>
      </c>
      <c r="AH5" s="380">
        <f>AG15</f>
        <v>0.92346240706753047</v>
      </c>
    </row>
    <row r="6" spans="1:34" ht="15" customHeight="1">
      <c r="A6" s="466"/>
      <c r="B6" s="57" t="s">
        <v>81</v>
      </c>
      <c r="C6" s="58"/>
      <c r="D6" s="59" t="s">
        <v>114</v>
      </c>
      <c r="E6" s="60"/>
      <c r="F6" s="61">
        <f>VLOOKUP(D6,廠價表!$C$1:$E$43,3,0)</f>
        <v>50.67</v>
      </c>
      <c r="G6" s="62">
        <v>1021</v>
      </c>
      <c r="H6" s="63">
        <f>F6*G6</f>
        <v>51734.07</v>
      </c>
      <c r="I6" s="64"/>
      <c r="J6" s="65">
        <f>VLOOKUP(D6,產線配置圖!$A$3:$C$40,2,0)</f>
        <v>17</v>
      </c>
      <c r="K6" s="66">
        <f>VLOOKUP(D6,產線配置圖!$A$3:$C$40,3,0)</f>
        <v>2250</v>
      </c>
      <c r="L6" s="67">
        <f>K6/J6</f>
        <v>132.35294117647058</v>
      </c>
      <c r="M6" s="68">
        <v>18</v>
      </c>
      <c r="N6" s="66">
        <f>G6/W6*60</f>
        <v>1976.1290322580408</v>
      </c>
      <c r="O6" s="67">
        <f>N6/M6</f>
        <v>109.78494623655781</v>
      </c>
      <c r="P6" s="69">
        <f>M6-J6</f>
        <v>1</v>
      </c>
      <c r="Q6" s="70">
        <f>O6-L6</f>
        <v>-22.567994939912765</v>
      </c>
      <c r="R6" s="71">
        <f>O6/L6</f>
        <v>0.82948626045399243</v>
      </c>
      <c r="S6" s="393"/>
      <c r="T6" s="16">
        <v>0.35069444444444398</v>
      </c>
      <c r="U6" s="16">
        <v>0.37222222222222201</v>
      </c>
      <c r="V6" s="30">
        <f>(T6-U5)*24*60</f>
        <v>22.99999999999968</v>
      </c>
      <c r="W6" s="73">
        <f t="shared" si="0"/>
        <v>31.000000000000369</v>
      </c>
      <c r="X6" s="22"/>
      <c r="Y6" s="84"/>
      <c r="Z6" s="90"/>
      <c r="AA6" s="90"/>
      <c r="AB6" s="430" t="s">
        <v>115</v>
      </c>
      <c r="AC6" s="430"/>
      <c r="AD6" s="149"/>
      <c r="AE6" s="149"/>
      <c r="AF6" s="307">
        <f t="shared" si="1"/>
        <v>-273.87096774195925</v>
      </c>
      <c r="AG6" s="72">
        <f t="shared" si="2"/>
        <v>0.87827956989246259</v>
      </c>
      <c r="AH6" s="382"/>
    </row>
    <row r="7" spans="1:34" ht="15" customHeight="1">
      <c r="A7" s="466"/>
      <c r="B7" s="75" t="s">
        <v>81</v>
      </c>
      <c r="C7" s="76"/>
      <c r="D7" s="59" t="s">
        <v>116</v>
      </c>
      <c r="E7" s="77"/>
      <c r="F7" s="75">
        <f>VLOOKUP(D7,廠價表!$C$1:$E$43,3,0)</f>
        <v>58.17</v>
      </c>
      <c r="G7" s="66">
        <v>2698</v>
      </c>
      <c r="H7" s="78">
        <f>F7*G7</f>
        <v>156942.66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15</v>
      </c>
      <c r="N7" s="80">
        <f>G7/W7*60</f>
        <v>2129.99999999999</v>
      </c>
      <c r="O7" s="81">
        <f>N7/M7</f>
        <v>141.99999999999935</v>
      </c>
      <c r="P7" s="74">
        <f>M7-J7</f>
        <v>2</v>
      </c>
      <c r="Q7" s="83">
        <f>O7-L7</f>
        <v>-31.07692307692372</v>
      </c>
      <c r="R7" s="72">
        <f>O7/L7</f>
        <v>0.82044444444444076</v>
      </c>
      <c r="S7" s="393"/>
      <c r="T7" s="18">
        <v>0.37777777777777799</v>
      </c>
      <c r="U7" s="18">
        <v>0.43055555555555602</v>
      </c>
      <c r="V7" s="30">
        <f>(T7-U6)*24*60</f>
        <v>8.0000000000006111</v>
      </c>
      <c r="W7" s="73">
        <f t="shared" si="0"/>
        <v>76.000000000000369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-120.00000000001</v>
      </c>
      <c r="AG7" s="72">
        <f t="shared" si="2"/>
        <v>0.94666666666666222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1971</v>
      </c>
      <c r="H8" s="78">
        <f t="shared" ref="H8:H9" si="3">F8*G8</f>
        <v>96854.94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 t="shared" ref="L8:L9" si="4">K8/J8</f>
        <v>160.71428571428572</v>
      </c>
      <c r="M8" s="82">
        <v>16</v>
      </c>
      <c r="N8" s="80">
        <f t="shared" ref="N8:N9" si="5">G8/W8*60</f>
        <v>2111.7857142857101</v>
      </c>
      <c r="O8" s="81">
        <f t="shared" ref="O8:O9" si="6">N8/M8</f>
        <v>131.98660714285688</v>
      </c>
      <c r="P8" s="74">
        <f t="shared" ref="P8:P9" si="7">M8-J8</f>
        <v>2</v>
      </c>
      <c r="Q8" s="83">
        <f t="shared" ref="Q8:Q9" si="8">O8-L8</f>
        <v>-28.727678571428839</v>
      </c>
      <c r="R8" s="72">
        <f t="shared" ref="R8:R9" si="9">O8/L8</f>
        <v>0.82124999999999837</v>
      </c>
      <c r="S8" s="393"/>
      <c r="T8" s="16">
        <v>0.4375</v>
      </c>
      <c r="U8" s="16">
        <v>0.47638888888888897</v>
      </c>
      <c r="V8" s="30">
        <f>(T8-U7)*24*60</f>
        <v>9.999999999999325</v>
      </c>
      <c r="W8" s="73">
        <f t="shared" si="0"/>
        <v>56.000000000000121</v>
      </c>
      <c r="X8" s="22">
        <v>0.48611111111111099</v>
      </c>
      <c r="Y8" s="84">
        <v>0.52777777777777801</v>
      </c>
      <c r="Z8" s="90"/>
      <c r="AA8" s="90"/>
      <c r="AB8" s="430"/>
      <c r="AC8" s="430"/>
      <c r="AD8" s="149"/>
      <c r="AE8" s="149"/>
      <c r="AF8" s="307">
        <f t="shared" si="1"/>
        <v>-138.21428571428987</v>
      </c>
      <c r="AG8" s="72">
        <f t="shared" si="2"/>
        <v>0.93857142857142672</v>
      </c>
      <c r="AH8" s="382"/>
    </row>
    <row r="9" spans="1:34" ht="15" customHeight="1">
      <c r="A9" s="467"/>
      <c r="B9" s="75" t="s">
        <v>81</v>
      </c>
      <c r="C9" s="76"/>
      <c r="D9" s="59" t="s">
        <v>117</v>
      </c>
      <c r="E9" s="77"/>
      <c r="F9" s="75">
        <f>VLOOKUP(D9,廠價表!$C$1:$E$43,3,0)</f>
        <v>49.14</v>
      </c>
      <c r="G9" s="66">
        <v>4209</v>
      </c>
      <c r="H9" s="78">
        <f t="shared" si="3"/>
        <v>206830.26</v>
      </c>
      <c r="I9" s="73"/>
      <c r="J9" s="79">
        <f>VLOOKUP(D9,產線配置圖!$A$3:$C$40,2,0)</f>
        <v>14</v>
      </c>
      <c r="K9" s="80">
        <f>VLOOKUP(D9,產線配置圖!$A$3:$C$40,3,0)</f>
        <v>2250</v>
      </c>
      <c r="L9" s="81">
        <f t="shared" si="4"/>
        <v>160.71428571428572</v>
      </c>
      <c r="M9" s="82">
        <v>16</v>
      </c>
      <c r="N9" s="80">
        <f t="shared" si="5"/>
        <v>2122.1848739495758</v>
      </c>
      <c r="O9" s="81">
        <f t="shared" si="6"/>
        <v>132.63655462184849</v>
      </c>
      <c r="P9" s="74">
        <f t="shared" si="7"/>
        <v>2</v>
      </c>
      <c r="Q9" s="83">
        <f t="shared" si="8"/>
        <v>-28.077731092437233</v>
      </c>
      <c r="R9" s="72">
        <f t="shared" si="9"/>
        <v>0.82529411764705718</v>
      </c>
      <c r="S9" s="394"/>
      <c r="T9" s="16">
        <v>0.54374999999999996</v>
      </c>
      <c r="U9" s="16">
        <v>0.62638888888888899</v>
      </c>
      <c r="V9" s="30">
        <f>(T9-U8)*24*60</f>
        <v>96.999999999999815</v>
      </c>
      <c r="W9" s="73">
        <f t="shared" si="0"/>
        <v>119.00000000000021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-127.81512605042417</v>
      </c>
      <c r="AG9" s="72">
        <f t="shared" si="2"/>
        <v>0.94319327731092262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 t="s">
        <v>118</v>
      </c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10">AVERAGE(J5:J14)</f>
        <v>14.4</v>
      </c>
      <c r="K15" s="120">
        <f t="shared" si="10"/>
        <v>2250</v>
      </c>
      <c r="L15" s="117">
        <f t="shared" si="10"/>
        <v>157.51454427925017</v>
      </c>
      <c r="M15" s="120">
        <f t="shared" si="10"/>
        <v>16.2</v>
      </c>
      <c r="N15" s="120">
        <f t="shared" si="10"/>
        <v>2077.7904159019436</v>
      </c>
      <c r="O15" s="117">
        <f t="shared" si="10"/>
        <v>128.89227733795752</v>
      </c>
      <c r="P15" s="121">
        <f>M15-J15</f>
        <v>1.7999999999999989</v>
      </c>
      <c r="Q15" s="122">
        <f>O15-L15</f>
        <v>-28.622266941292651</v>
      </c>
      <c r="R15" s="123">
        <f>O15/L15</f>
        <v>0.81828810112576289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-172.20958409805644</v>
      </c>
      <c r="AG15" s="124">
        <f>N15/K15</f>
        <v>0.92346240706753047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2451</v>
      </c>
      <c r="H16" s="134">
        <f>F16*G16</f>
        <v>139388.37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15</v>
      </c>
      <c r="N16" s="140">
        <f>G16/W16*60</f>
        <v>1909.8701298701387</v>
      </c>
      <c r="O16" s="141">
        <f>N16/M16</f>
        <v>127.32467532467591</v>
      </c>
      <c r="P16" s="142">
        <f>M16-J16</f>
        <v>1</v>
      </c>
      <c r="Q16" s="143">
        <f>O16-L16</f>
        <v>-33.389610389609814</v>
      </c>
      <c r="R16" s="144">
        <f>O16/L16</f>
        <v>0.79224242424242786</v>
      </c>
      <c r="S16" s="420">
        <f>R26</f>
        <v>0.8921550319640148</v>
      </c>
      <c r="T16" s="145">
        <v>0.29166666666666702</v>
      </c>
      <c r="U16" s="145">
        <v>0.34513888888888899</v>
      </c>
      <c r="V16" s="135"/>
      <c r="W16" s="146">
        <f t="shared" ref="W16:W78" si="11">(U16-T16)*24*60</f>
        <v>76.999999999999645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-340.12987012986127</v>
      </c>
      <c r="AG16" s="52">
        <f>N16/K16</f>
        <v>0.84883116883117282</v>
      </c>
      <c r="AH16" s="380">
        <f>AG26</f>
        <v>0.94511221294803405</v>
      </c>
    </row>
    <row r="17" spans="1:34" ht="15" customHeight="1">
      <c r="A17" s="427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2624</v>
      </c>
      <c r="H17" s="78">
        <f>F17*G17</f>
        <v>132958.08000000002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14</v>
      </c>
      <c r="N17" s="95">
        <f>G17/W17*60</f>
        <v>2099.2000000000144</v>
      </c>
      <c r="O17" s="96">
        <f>N17/M17</f>
        <v>149.94285714285817</v>
      </c>
      <c r="P17" s="97">
        <f>M17-J17</f>
        <v>1</v>
      </c>
      <c r="Q17" s="98">
        <f>O17-L17</f>
        <v>-23.134065934064893</v>
      </c>
      <c r="R17" s="99">
        <f>O17/L17</f>
        <v>0.86633650793651396</v>
      </c>
      <c r="S17" s="421"/>
      <c r="T17" s="19">
        <v>0.35555555555555601</v>
      </c>
      <c r="U17" s="19">
        <v>0.40763888888888899</v>
      </c>
      <c r="V17" s="30">
        <f>(T17-U16)*24*60</f>
        <v>15.000000000000506</v>
      </c>
      <c r="W17" s="149">
        <f t="shared" si="11"/>
        <v>74.999999999999488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-150.79999999998563</v>
      </c>
      <c r="AG17" s="72">
        <f>N17/K17</f>
        <v>0.93297777777778412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3108</v>
      </c>
      <c r="H18" s="78">
        <f>F18*G18</f>
        <v>156612.12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13</v>
      </c>
      <c r="N18" s="95">
        <f>G18/W18*60</f>
        <v>2220.0000000000141</v>
      </c>
      <c r="O18" s="96">
        <f>N18/M18</f>
        <v>170.76923076923185</v>
      </c>
      <c r="P18" s="97">
        <f>M18-J18</f>
        <v>1</v>
      </c>
      <c r="Q18" s="98">
        <f>O18-L18</f>
        <v>-16.730769230768146</v>
      </c>
      <c r="R18" s="99">
        <f>O18/L18</f>
        <v>0.91076923076923655</v>
      </c>
      <c r="S18" s="421"/>
      <c r="T18" s="19">
        <v>0.41805555555555601</v>
      </c>
      <c r="U18" s="19">
        <v>0.47638888888888897</v>
      </c>
      <c r="V18" s="30">
        <f>(T18-U17)*24*60</f>
        <v>15.000000000000506</v>
      </c>
      <c r="W18" s="149">
        <f t="shared" si="11"/>
        <v>83.99999999999946</v>
      </c>
      <c r="X18" s="22">
        <v>0.48611111111111099</v>
      </c>
      <c r="Y18" s="84">
        <v>0.52777777777777801</v>
      </c>
      <c r="Z18" s="90"/>
      <c r="AA18" s="90"/>
      <c r="AB18" s="386"/>
      <c r="AC18" s="386"/>
      <c r="AD18" s="92"/>
      <c r="AE18" s="92"/>
      <c r="AF18" s="307">
        <f>N18-K18</f>
        <v>-29.999999999985903</v>
      </c>
      <c r="AG18" s="72">
        <f>N18/K18</f>
        <v>0.98666666666667291</v>
      </c>
      <c r="AH18" s="382"/>
    </row>
    <row r="19" spans="1:34" ht="15" customHeight="1">
      <c r="A19" s="427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3062</v>
      </c>
      <c r="H19" s="78">
        <f t="shared" ref="H19:H20" si="12">F19*G19</f>
        <v>154294.18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13">K19/J19</f>
        <v>187.5</v>
      </c>
      <c r="M19" s="148">
        <v>13</v>
      </c>
      <c r="N19" s="95">
        <f t="shared" ref="N19:N20" si="14">G19/W19*60</f>
        <v>2268.1481481481474</v>
      </c>
      <c r="O19" s="96">
        <f t="shared" ref="O19:O20" si="15">N19/M19</f>
        <v>174.47293447293441</v>
      </c>
      <c r="P19" s="97">
        <f t="shared" ref="P19:P20" si="16">M19-J19</f>
        <v>1</v>
      </c>
      <c r="Q19" s="98">
        <f t="shared" ref="Q19:Q20" si="17">O19-L19</f>
        <v>-13.027065527065588</v>
      </c>
      <c r="R19" s="99">
        <f t="shared" ref="R19:R20" si="18">O19/L19</f>
        <v>0.93052231718898348</v>
      </c>
      <c r="S19" s="421"/>
      <c r="T19" s="19">
        <v>0.54166666666666696</v>
      </c>
      <c r="U19" s="19">
        <v>0.59791666666666698</v>
      </c>
      <c r="V19" s="30">
        <f>(T19-U18)*24*60</f>
        <v>94.000000000000313</v>
      </c>
      <c r="W19" s="149">
        <f t="shared" si="11"/>
        <v>81.000000000000028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18.148148148147357</v>
      </c>
      <c r="AG19" s="72">
        <f>N19/K19</f>
        <v>1.0080658436213987</v>
      </c>
      <c r="AH19" s="383"/>
    </row>
    <row r="20" spans="1:34" ht="15" customHeight="1">
      <c r="A20" s="427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1210</v>
      </c>
      <c r="H20" s="78">
        <f t="shared" si="12"/>
        <v>61310.700000000004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13"/>
        <v>173.07692307692307</v>
      </c>
      <c r="M20" s="148">
        <v>13</v>
      </c>
      <c r="N20" s="95">
        <f t="shared" si="14"/>
        <v>2135.2941176470663</v>
      </c>
      <c r="O20" s="96">
        <f t="shared" si="15"/>
        <v>164.25339366515894</v>
      </c>
      <c r="P20" s="97">
        <f t="shared" si="16"/>
        <v>0</v>
      </c>
      <c r="Q20" s="98">
        <f t="shared" si="17"/>
        <v>-8.8235294117641274</v>
      </c>
      <c r="R20" s="99">
        <f t="shared" si="18"/>
        <v>0.94901960784314054</v>
      </c>
      <c r="S20" s="421"/>
      <c r="T20" s="19">
        <v>0.60833333333333295</v>
      </c>
      <c r="U20" s="19">
        <v>0.63194444444444398</v>
      </c>
      <c r="V20" s="30">
        <f>(T20-U19)*24*60</f>
        <v>14.999999999998987</v>
      </c>
      <c r="W20" s="149">
        <f t="shared" si="11"/>
        <v>33.999999999999879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9"/>
      <c r="U21" s="19"/>
      <c r="V21" s="30"/>
      <c r="W21" s="149">
        <f t="shared" si="11"/>
        <v>0</v>
      </c>
      <c r="X21" s="92"/>
      <c r="Y21" s="298"/>
      <c r="Z21" s="90"/>
      <c r="AA21" s="90"/>
      <c r="AB21" s="386" t="s">
        <v>121</v>
      </c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11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11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11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19">AVERAGE(J16:J25)</f>
        <v>12.8</v>
      </c>
      <c r="K26" s="155">
        <f t="shared" si="19"/>
        <v>2250</v>
      </c>
      <c r="L26" s="158">
        <f t="shared" si="19"/>
        <v>176.37362637362637</v>
      </c>
      <c r="M26" s="155">
        <f t="shared" si="19"/>
        <v>13.6</v>
      </c>
      <c r="N26" s="155">
        <f t="shared" si="19"/>
        <v>2126.5024791330766</v>
      </c>
      <c r="O26" s="158">
        <f t="shared" si="19"/>
        <v>157.35261827497183</v>
      </c>
      <c r="P26" s="159">
        <f>M26-J26</f>
        <v>0.79999999999999893</v>
      </c>
      <c r="Q26" s="160">
        <f>O26-L26</f>
        <v>-19.021008098654534</v>
      </c>
      <c r="R26" s="161">
        <f>O26/L26</f>
        <v>0.8921550319640148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20">N26-K26</f>
        <v>-123.49752086692342</v>
      </c>
      <c r="AG26" s="124">
        <f t="shared" ref="AG26:AG31" si="21">N26/K26</f>
        <v>0.94511221294803405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997</v>
      </c>
      <c r="H27" s="134">
        <f>F27*G27</f>
        <v>49760.27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18</v>
      </c>
      <c r="N27" s="140">
        <f>G27/W27*60</f>
        <v>1329.3333333333333</v>
      </c>
      <c r="O27" s="141">
        <f>N27/M27</f>
        <v>73.851851851851848</v>
      </c>
      <c r="P27" s="142">
        <f>M27-J27</f>
        <v>0</v>
      </c>
      <c r="Q27" s="143">
        <f>O27-L27</f>
        <v>-17.037037037037038</v>
      </c>
      <c r="R27" s="144">
        <f>O27/L27</f>
        <v>0.8125509372453138</v>
      </c>
      <c r="S27" s="420">
        <f>R37</f>
        <v>0.87447030877287879</v>
      </c>
      <c r="T27" s="171">
        <v>0.29166666666666702</v>
      </c>
      <c r="U27" s="171">
        <v>0.32291666666666702</v>
      </c>
      <c r="V27" s="135"/>
      <c r="W27" s="146">
        <f t="shared" si="11"/>
        <v>45</v>
      </c>
      <c r="X27" s="135"/>
      <c r="Y27" s="300" t="s">
        <v>46</v>
      </c>
      <c r="Z27" s="169"/>
      <c r="AA27" s="169"/>
      <c r="AB27" s="397"/>
      <c r="AC27" s="397"/>
      <c r="AD27" s="135"/>
      <c r="AE27" s="135"/>
      <c r="AF27" s="310">
        <f t="shared" si="20"/>
        <v>-306.66666666666674</v>
      </c>
      <c r="AG27" s="172">
        <f t="shared" si="21"/>
        <v>0.81255093724531369</v>
      </c>
      <c r="AH27" s="380">
        <f>AG37</f>
        <v>0.83511457295727065</v>
      </c>
    </row>
    <row r="28" spans="1:34" ht="15" customHeight="1">
      <c r="A28" s="418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1446</v>
      </c>
      <c r="H28" s="91">
        <f>F28*G28</f>
        <v>82725.66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14</v>
      </c>
      <c r="N28" s="95">
        <f>G28/W28*60</f>
        <v>1221.9718309859047</v>
      </c>
      <c r="O28" s="96">
        <f>N28/M28</f>
        <v>87.283702213278914</v>
      </c>
      <c r="P28" s="97">
        <f>M28-J28</f>
        <v>-4</v>
      </c>
      <c r="Q28" s="98">
        <f>O28-L28</f>
        <v>-3.6051866756099713</v>
      </c>
      <c r="R28" s="99">
        <f>O28/L28</f>
        <v>0.96033413193094164</v>
      </c>
      <c r="S28" s="421"/>
      <c r="T28" s="19">
        <v>0.32986111111111099</v>
      </c>
      <c r="U28" s="19">
        <v>0.37916666666666698</v>
      </c>
      <c r="V28" s="92">
        <f>(T28-U27)*24*60</f>
        <v>9.999999999999325</v>
      </c>
      <c r="W28" s="149">
        <f t="shared" si="11"/>
        <v>71.000000000000625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20"/>
        <v>-414.02816901409528</v>
      </c>
      <c r="AG28" s="99">
        <f t="shared" si="21"/>
        <v>0.74692654705739903</v>
      </c>
      <c r="AH28" s="381"/>
    </row>
    <row r="29" spans="1:34" ht="15" customHeight="1">
      <c r="A29" s="418"/>
      <c r="B29" s="75" t="s">
        <v>81</v>
      </c>
      <c r="C29" s="173"/>
      <c r="D29" s="59" t="s">
        <v>124</v>
      </c>
      <c r="E29" s="104"/>
      <c r="F29" s="75">
        <f>VLOOKUP(D29,廠價表!$C$1:$E$43,3,0)</f>
        <v>46.34</v>
      </c>
      <c r="G29" s="90">
        <v>1273</v>
      </c>
      <c r="H29" s="91">
        <f>F29*G29</f>
        <v>58990.820000000007</v>
      </c>
      <c r="I29" s="92"/>
      <c r="J29" s="79">
        <f>VLOOKUP(D29,產線配置圖!$A$3:$C$40,2,0)</f>
        <v>16</v>
      </c>
      <c r="K29" s="80">
        <f>VLOOKUP(D29,產線配置圖!$A$3:$C$40,3,0)</f>
        <v>1636</v>
      </c>
      <c r="L29" s="93">
        <f>K29/J29</f>
        <v>102.25</v>
      </c>
      <c r="M29" s="94">
        <v>17</v>
      </c>
      <c r="N29" s="95">
        <f>G29/W29*60</f>
        <v>1558.7755102040719</v>
      </c>
      <c r="O29" s="96">
        <f>N29/M29</f>
        <v>91.692677070827756</v>
      </c>
      <c r="P29" s="97">
        <f>M29-J29</f>
        <v>1</v>
      </c>
      <c r="Q29" s="98">
        <f>O29-L29</f>
        <v>-10.557322929172244</v>
      </c>
      <c r="R29" s="99">
        <f>O29/L29</f>
        <v>0.89674989800320548</v>
      </c>
      <c r="S29" s="421"/>
      <c r="T29" s="19">
        <v>0.38611111111111102</v>
      </c>
      <c r="U29" s="19">
        <v>0.42013888888888901</v>
      </c>
      <c r="V29" s="92">
        <f>(T29-U28)*24*60</f>
        <v>9.9999999999994049</v>
      </c>
      <c r="W29" s="149">
        <f t="shared" si="11"/>
        <v>49.000000000000306</v>
      </c>
      <c r="X29" s="22"/>
      <c r="Y29" s="84"/>
      <c r="Z29" s="90"/>
      <c r="AA29" s="90"/>
      <c r="AB29" s="386" t="s">
        <v>125</v>
      </c>
      <c r="AC29" s="386"/>
      <c r="AD29" s="92"/>
      <c r="AE29" s="92"/>
      <c r="AF29" s="312">
        <f t="shared" si="20"/>
        <v>-77.224489795928093</v>
      </c>
      <c r="AG29" s="99">
        <f t="shared" si="21"/>
        <v>0.95279676662840584</v>
      </c>
      <c r="AH29" s="381"/>
    </row>
    <row r="30" spans="1:34" ht="15" customHeight="1">
      <c r="A30" s="418"/>
      <c r="B30" s="75" t="s">
        <v>81</v>
      </c>
      <c r="C30" s="88"/>
      <c r="D30" s="59" t="s">
        <v>126</v>
      </c>
      <c r="E30" s="89"/>
      <c r="F30" s="75">
        <f>VLOOKUP(D30,廠價表!$C$1:$E$43,3,0)</f>
        <v>45.66</v>
      </c>
      <c r="G30" s="90">
        <v>1242</v>
      </c>
      <c r="H30" s="91">
        <f>F30*G30</f>
        <v>56709.719999999994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>K30/J30</f>
        <v>96.235294117647058</v>
      </c>
      <c r="M30" s="94">
        <v>17</v>
      </c>
      <c r="N30" s="95">
        <f>G30/W30*60</f>
        <v>1354.9090909090701</v>
      </c>
      <c r="O30" s="96">
        <f>N30/M30</f>
        <v>79.700534759357069</v>
      </c>
      <c r="P30" s="97">
        <f>M30-J30</f>
        <v>0</v>
      </c>
      <c r="Q30" s="98">
        <f>O30-L30</f>
        <v>-16.534759358289989</v>
      </c>
      <c r="R30" s="99">
        <f>O30/L30</f>
        <v>0.82818404089796471</v>
      </c>
      <c r="S30" s="421"/>
      <c r="T30" s="19">
        <v>0.42708333333333298</v>
      </c>
      <c r="U30" s="19">
        <v>0.46527777777777801</v>
      </c>
      <c r="V30" s="92">
        <f>(T30-U29)*24*60</f>
        <v>9.999999999999325</v>
      </c>
      <c r="W30" s="149">
        <f t="shared" si="11"/>
        <v>55.000000000000846</v>
      </c>
      <c r="X30" s="174">
        <v>0.49652777777777801</v>
      </c>
      <c r="Y30" s="301">
        <v>0.53819444444444398</v>
      </c>
      <c r="Z30" s="335"/>
      <c r="AA30" s="335"/>
      <c r="AB30" s="386"/>
      <c r="AC30" s="386"/>
      <c r="AD30" s="92"/>
      <c r="AE30" s="92"/>
      <c r="AF30" s="312">
        <f t="shared" si="20"/>
        <v>-281.09090909092993</v>
      </c>
      <c r="AG30" s="99">
        <f t="shared" si="21"/>
        <v>0.8281840408979646</v>
      </c>
      <c r="AH30" s="416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11"/>
        <v>0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20"/>
        <v>0</v>
      </c>
      <c r="AG31" s="99" t="e">
        <f t="shared" si="21"/>
        <v>#DIV/0!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9"/>
      <c r="U32" s="19"/>
      <c r="V32" s="92"/>
      <c r="W32" s="149">
        <f t="shared" si="11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11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11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11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11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22">AVERAGE(J27:J36)</f>
        <v>17.25</v>
      </c>
      <c r="K37" s="155">
        <f t="shared" si="22"/>
        <v>1636</v>
      </c>
      <c r="L37" s="158">
        <f t="shared" si="22"/>
        <v>95.065767973856211</v>
      </c>
      <c r="M37" s="155">
        <f t="shared" si="22"/>
        <v>16.5</v>
      </c>
      <c r="N37" s="155">
        <f t="shared" si="22"/>
        <v>1366.2474413580949</v>
      </c>
      <c r="O37" s="158">
        <f t="shared" si="22"/>
        <v>83.132191473828897</v>
      </c>
      <c r="P37" s="159">
        <f>M37-J37</f>
        <v>-0.75</v>
      </c>
      <c r="Q37" s="160">
        <f>N37-K37</f>
        <v>-269.75255864190513</v>
      </c>
      <c r="R37" s="161">
        <f>O37/L37</f>
        <v>0.87447030877287879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-269.75255864190513</v>
      </c>
      <c r="AG37" s="124">
        <f>N37/K37</f>
        <v>0.83511457295727065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2615</v>
      </c>
      <c r="H38" s="134">
        <f>F38*G38</f>
        <v>130514.65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1568.9999999999868</v>
      </c>
      <c r="O38" s="141">
        <f>N38/M38</f>
        <v>98.062499999999176</v>
      </c>
      <c r="P38" s="142">
        <f>M38-J38</f>
        <v>0</v>
      </c>
      <c r="Q38" s="143">
        <f>O38-L38</f>
        <v>-9.0625000000008242</v>
      </c>
      <c r="R38" s="144">
        <f>O38/L38</f>
        <v>0.91540256709450807</v>
      </c>
      <c r="S38" s="410">
        <f>R48</f>
        <v>0.87975078949323038</v>
      </c>
      <c r="T38" s="191">
        <v>0.33333333333333298</v>
      </c>
      <c r="U38" s="191">
        <v>0.40277777777777801</v>
      </c>
      <c r="V38" s="192"/>
      <c r="W38" s="193">
        <f t="shared" si="11"/>
        <v>100.00000000000084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-145.00000000001319</v>
      </c>
      <c r="AG38" s="195">
        <f>N38/K38</f>
        <v>0.91540256709450807</v>
      </c>
      <c r="AH38" s="413">
        <f>AG48</f>
        <v>0.87821882131210849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2322</v>
      </c>
      <c r="H39" s="91">
        <f>F39*G39</f>
        <v>102864.59999999999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1466.5263157894553</v>
      </c>
      <c r="O39" s="203">
        <f>N39/M39</f>
        <v>81.473684210525292</v>
      </c>
      <c r="P39" s="97">
        <f>M39-J39</f>
        <v>0</v>
      </c>
      <c r="Q39" s="98">
        <f>O39-L39</f>
        <v>-9.4152046783635939</v>
      </c>
      <c r="R39" s="99">
        <f>O39/L39</f>
        <v>0.8964097284776622</v>
      </c>
      <c r="S39" s="411"/>
      <c r="T39" s="20">
        <v>0.41319444444444398</v>
      </c>
      <c r="U39" s="20">
        <v>0.47916666666666702</v>
      </c>
      <c r="V39" s="92">
        <f>(T39-U38)*24*60</f>
        <v>14.999999999998987</v>
      </c>
      <c r="W39" s="205">
        <f t="shared" si="11"/>
        <v>95.00000000000118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-169.47368421054466</v>
      </c>
      <c r="AG39" s="206">
        <f>N39/K39</f>
        <v>0.8964097284776622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3694</v>
      </c>
      <c r="H40" s="91">
        <f>F40*G40</f>
        <v>163644.19999999998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1343.2727272727309</v>
      </c>
      <c r="O40" s="203">
        <f>N40/M40</f>
        <v>74.626262626262829</v>
      </c>
      <c r="P40" s="97">
        <f>M40-J40</f>
        <v>0</v>
      </c>
      <c r="Q40" s="98">
        <f>O40-L40</f>
        <v>-16.262626262626057</v>
      </c>
      <c r="R40" s="99">
        <f>O40/L40</f>
        <v>0.82107134918871083</v>
      </c>
      <c r="S40" s="393"/>
      <c r="T40" s="20">
        <v>0.54513888888888895</v>
      </c>
      <c r="U40" s="20">
        <v>0.65972222222222199</v>
      </c>
      <c r="V40" s="92">
        <f>(T40-U39)*24*60</f>
        <v>94.999999999999588</v>
      </c>
      <c r="W40" s="205">
        <f t="shared" si="11"/>
        <v>164.99999999999957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-292.72727272726911</v>
      </c>
      <c r="AG40" s="206">
        <f>N40/K40</f>
        <v>0.82107134918871083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11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11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23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23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23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23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23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24">AVERAGE(J38:J47)</f>
        <v>17.333333333333332</v>
      </c>
      <c r="K48" s="155">
        <f t="shared" si="24"/>
        <v>1662</v>
      </c>
      <c r="L48" s="158">
        <f t="shared" si="24"/>
        <v>96.300925925925924</v>
      </c>
      <c r="M48" s="155">
        <f t="shared" si="24"/>
        <v>17.333333333333332</v>
      </c>
      <c r="N48" s="155">
        <f t="shared" si="24"/>
        <v>1459.5996810207243</v>
      </c>
      <c r="O48" s="158">
        <f t="shared" si="24"/>
        <v>84.720815612262427</v>
      </c>
      <c r="P48" s="221">
        <f>M48-J48</f>
        <v>0</v>
      </c>
      <c r="Q48" s="222">
        <f>N48-K48</f>
        <v>-202.40031897927565</v>
      </c>
      <c r="R48" s="223">
        <f>O48/L48</f>
        <v>0.87975078949323038</v>
      </c>
      <c r="S48" s="396"/>
      <c r="T48" s="224"/>
      <c r="U48" s="224"/>
      <c r="V48" s="225"/>
      <c r="W48" s="226">
        <f t="shared" si="23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25">N48-K48</f>
        <v>-202.40031897927565</v>
      </c>
      <c r="AG48" s="162">
        <f t="shared" ref="AG48:AG53" si="26">N48/K48</f>
        <v>0.87821882131210849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2296</v>
      </c>
      <c r="H49" s="134">
        <f>F49*G49</f>
        <v>115463.54400000001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1530.6666666666667</v>
      </c>
      <c r="O49" s="141">
        <f>N49/M49</f>
        <v>90.039215686274517</v>
      </c>
      <c r="P49" s="229">
        <f>M49-J49</f>
        <v>0</v>
      </c>
      <c r="Q49" s="230">
        <f>O49-L49</f>
        <v>-6.1960784313725412</v>
      </c>
      <c r="R49" s="52">
        <f>O49/L49</f>
        <v>0.93561532192339047</v>
      </c>
      <c r="S49" s="392">
        <f>R58</f>
        <v>0.88499684094441644</v>
      </c>
      <c r="T49" s="191">
        <v>0.29166666666666702</v>
      </c>
      <c r="U49" s="191">
        <v>0.35416666666666702</v>
      </c>
      <c r="V49" s="55"/>
      <c r="W49" s="193">
        <f t="shared" si="11"/>
        <v>90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25"/>
        <v>-105.33333333333326</v>
      </c>
      <c r="AG49" s="52">
        <f t="shared" si="26"/>
        <v>0.93561532192339047</v>
      </c>
      <c r="AH49" s="380">
        <f>AG58</f>
        <v>0.88592718555954242</v>
      </c>
    </row>
    <row r="50" spans="1:34" ht="15" customHeight="1">
      <c r="A50" s="405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4083</v>
      </c>
      <c r="H50" s="231">
        <f>F50*G50</f>
        <v>204027.51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1531.1250000000016</v>
      </c>
      <c r="O50" s="235">
        <f>N50/M50</f>
        <v>95.695312500000099</v>
      </c>
      <c r="P50" s="74">
        <f>M50-J50</f>
        <v>0</v>
      </c>
      <c r="Q50" s="83">
        <f>O50-L50</f>
        <v>-16.804687499999901</v>
      </c>
      <c r="R50" s="72">
        <f>O50/L50</f>
        <v>0.85062500000000085</v>
      </c>
      <c r="S50" s="393"/>
      <c r="T50" s="21">
        <v>0.36111111111111099</v>
      </c>
      <c r="U50" s="21">
        <v>0.47222222222222199</v>
      </c>
      <c r="V50" s="30">
        <f>(T50-U49)*24*60</f>
        <v>9.999999999999325</v>
      </c>
      <c r="W50" s="236">
        <f t="shared" si="11"/>
        <v>159.99999999999983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25"/>
        <v>-268.87499999999841</v>
      </c>
      <c r="AG50" s="72">
        <f t="shared" si="26"/>
        <v>0.85062500000000085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2050</v>
      </c>
      <c r="H51" s="231">
        <f>F51*G51</f>
        <v>102438.5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1576.9230769230953</v>
      </c>
      <c r="O51" s="235">
        <f>N51/M51</f>
        <v>98.557692307693458</v>
      </c>
      <c r="P51" s="74">
        <f>M51-J51</f>
        <v>0</v>
      </c>
      <c r="Q51" s="83">
        <f>O51-L51</f>
        <v>-13.942307692306542</v>
      </c>
      <c r="R51" s="72">
        <f>O51/L51</f>
        <v>0.87606837606838628</v>
      </c>
      <c r="S51" s="393"/>
      <c r="T51" s="21">
        <v>0.530555555555556</v>
      </c>
      <c r="U51" s="19">
        <v>0.58472222222222203</v>
      </c>
      <c r="V51" s="30">
        <f>(T51-U50)*24*60</f>
        <v>84.000000000000981</v>
      </c>
      <c r="W51" s="236">
        <f t="shared" si="11"/>
        <v>77.999999999999091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25"/>
        <v>-223.07692307690468</v>
      </c>
      <c r="AG51" s="72">
        <f t="shared" si="26"/>
        <v>0.87606837606838628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/>
      <c r="U52" s="21"/>
      <c r="V52" s="30"/>
      <c r="W52" s="236">
        <f t="shared" si="11"/>
        <v>0</v>
      </c>
      <c r="X52" s="22">
        <v>0.47916666666666702</v>
      </c>
      <c r="Y52" s="84">
        <v>0.52083333333333304</v>
      </c>
      <c r="Z52" s="90"/>
      <c r="AA52" s="90"/>
      <c r="AB52" s="386"/>
      <c r="AC52" s="386"/>
      <c r="AD52" s="92"/>
      <c r="AE52" s="92"/>
      <c r="AF52" s="307">
        <f t="shared" si="25"/>
        <v>0</v>
      </c>
      <c r="AG52" s="72" t="e">
        <f t="shared" si="26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11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25"/>
        <v>0</v>
      </c>
      <c r="AG53" s="72" t="e">
        <f t="shared" si="26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11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11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11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11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7">AVERAGE(J49:J57)</f>
        <v>16.333333333333332</v>
      </c>
      <c r="K58" s="120">
        <f t="shared" si="27"/>
        <v>1745.3333333333333</v>
      </c>
      <c r="L58" s="117">
        <f t="shared" si="27"/>
        <v>107.07843137254902</v>
      </c>
      <c r="M58" s="120">
        <f t="shared" si="27"/>
        <v>16.333333333333332</v>
      </c>
      <c r="N58" s="120">
        <f t="shared" si="27"/>
        <v>1546.2382478632546</v>
      </c>
      <c r="O58" s="117">
        <f t="shared" si="27"/>
        <v>94.764073497989372</v>
      </c>
      <c r="P58" s="121">
        <f>M58-J58</f>
        <v>0</v>
      </c>
      <c r="Q58" s="122">
        <f>N58-K58</f>
        <v>-199.09508547007863</v>
      </c>
      <c r="R58" s="123">
        <f>O58/L58</f>
        <v>0.88499684094441644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-199.09508547007863</v>
      </c>
      <c r="AG58" s="124">
        <f>N58/K58</f>
        <v>0.88592718555954242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3459</v>
      </c>
      <c r="H59" s="243">
        <f>F59*G59</f>
        <v>93358.409999999989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1431.3103448275929</v>
      </c>
      <c r="O59" s="138">
        <f>N59/M59</f>
        <v>95.420689655172865</v>
      </c>
      <c r="P59" s="56">
        <f>M59-J59</f>
        <v>0</v>
      </c>
      <c r="Q59" s="230">
        <f>O59-L59</f>
        <v>-13.645977011493798</v>
      </c>
      <c r="R59" s="52">
        <f>O59/L59</f>
        <v>0.87488407385549694</v>
      </c>
      <c r="S59" s="392">
        <f>R69</f>
        <v>0.78444137297055672</v>
      </c>
      <c r="T59" s="245">
        <v>0.29166666666666702</v>
      </c>
      <c r="U59" s="245">
        <v>0.39236111111111099</v>
      </c>
      <c r="V59" s="55"/>
      <c r="W59" s="54">
        <f t="shared" si="11"/>
        <v>144.99999999999932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-204.68965517240713</v>
      </c>
      <c r="AG59" s="246">
        <f>N59/K59</f>
        <v>0.87488407385549682</v>
      </c>
      <c r="AH59" s="380">
        <f>AG69</f>
        <v>0.92506779922997018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1365</v>
      </c>
      <c r="H60" s="78">
        <f>F60*G60</f>
        <v>38574.9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14</v>
      </c>
      <c r="N60" s="80">
        <f>G60/W60*60</f>
        <v>1638.0000000000111</v>
      </c>
      <c r="O60" s="81">
        <f>N60/M60</f>
        <v>117.0000000000008</v>
      </c>
      <c r="P60" s="74">
        <f>M60-J60</f>
        <v>3</v>
      </c>
      <c r="Q60" s="83">
        <f>O60-L60</f>
        <v>-31.727272727271924</v>
      </c>
      <c r="R60" s="72">
        <f>O60/L60</f>
        <v>0.78667481662592231</v>
      </c>
      <c r="S60" s="402"/>
      <c r="T60" s="22">
        <v>0.40972222222222199</v>
      </c>
      <c r="U60" s="22">
        <v>0.44444444444444398</v>
      </c>
      <c r="V60" s="30">
        <f>(T60-U59)*24*60</f>
        <v>24.999999999999829</v>
      </c>
      <c r="W60" s="248">
        <f t="shared" si="11"/>
        <v>49.999999999999659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2.0000000000111413</v>
      </c>
      <c r="AG60" s="249">
        <f>N60/K60</f>
        <v>1.0012224938875374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877</v>
      </c>
      <c r="H61" s="254">
        <f>F61*G61</f>
        <v>24784.02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14</v>
      </c>
      <c r="N61" s="107">
        <f>G61/W61*60</f>
        <v>1169.3333333333333</v>
      </c>
      <c r="O61" s="238">
        <f>N61/M61</f>
        <v>83.523809523809518</v>
      </c>
      <c r="P61" s="111">
        <f>M61-J61</f>
        <v>3</v>
      </c>
      <c r="Q61" s="255">
        <f>O61-L61</f>
        <v>-65.203463203463201</v>
      </c>
      <c r="R61" s="85">
        <f>O61/L61</f>
        <v>0.56159040633368262</v>
      </c>
      <c r="S61" s="393"/>
      <c r="T61" s="22">
        <v>0.45833333333333298</v>
      </c>
      <c r="U61" s="22">
        <v>0.48958333333333298</v>
      </c>
      <c r="V61" s="30">
        <f>(T61-U60)*24*60</f>
        <v>20.000000000000171</v>
      </c>
      <c r="W61" s="256">
        <f t="shared" si="11"/>
        <v>45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-466.66666666666674</v>
      </c>
      <c r="AG61" s="247">
        <f>N61/K61</f>
        <v>0.71475142624286869</v>
      </c>
      <c r="AH61" s="382"/>
    </row>
    <row r="62" spans="1:34" ht="15" customHeight="1">
      <c r="A62" s="400"/>
      <c r="B62" s="250" t="s">
        <v>132</v>
      </c>
      <c r="C62" s="251"/>
      <c r="D62" s="257" t="s">
        <v>136</v>
      </c>
      <c r="E62" s="253"/>
      <c r="F62" s="250">
        <f>VLOOKUP(D62,廠價表!$C$1:$E$43,3,0)</f>
        <v>28.26</v>
      </c>
      <c r="G62" s="38">
        <v>1815</v>
      </c>
      <c r="H62" s="78">
        <f>F62*G62</f>
        <v>51291.9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>K62/J62</f>
        <v>148.72727272727272</v>
      </c>
      <c r="M62" s="108">
        <v>13</v>
      </c>
      <c r="N62" s="80">
        <f>G62/W62*60</f>
        <v>1814.9999999999873</v>
      </c>
      <c r="O62" s="81">
        <f>N62/M62</f>
        <v>139.61538461538365</v>
      </c>
      <c r="P62" s="74">
        <f>M62-J62</f>
        <v>2</v>
      </c>
      <c r="Q62" s="83">
        <f>O62-L62</f>
        <v>-9.1118881118890727</v>
      </c>
      <c r="R62" s="72">
        <f>O62/L62</f>
        <v>0.93873424863644261</v>
      </c>
      <c r="S62" s="393"/>
      <c r="T62" s="22">
        <v>0.54861111111111105</v>
      </c>
      <c r="U62" s="22">
        <v>0.59027777777777801</v>
      </c>
      <c r="V62" s="30">
        <f>(T62-U61)*24*60</f>
        <v>85.000000000000412</v>
      </c>
      <c r="W62" s="248">
        <f t="shared" si="11"/>
        <v>60.000000000000426</v>
      </c>
      <c r="X62" s="22">
        <v>0.50347222222222199</v>
      </c>
      <c r="Y62" s="84">
        <v>0.54513888888888895</v>
      </c>
      <c r="Z62" s="90"/>
      <c r="AA62" s="90"/>
      <c r="AB62" s="386" t="s">
        <v>137</v>
      </c>
      <c r="AC62" s="386"/>
      <c r="AD62" s="92"/>
      <c r="AE62" s="92"/>
      <c r="AF62" s="317">
        <f>N62-K62</f>
        <v>178.99999999998727</v>
      </c>
      <c r="AG62" s="247">
        <f>N62/K62</f>
        <v>1.1094132029339776</v>
      </c>
      <c r="AH62" s="382"/>
    </row>
    <row r="63" spans="1:34" ht="15" customHeight="1">
      <c r="A63" s="4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93"/>
      <c r="T63" s="22"/>
      <c r="U63" s="22"/>
      <c r="V63" s="30"/>
      <c r="W63" s="248">
        <f t="shared" si="11"/>
        <v>0</v>
      </c>
      <c r="X63" s="261"/>
      <c r="Y63" s="291"/>
      <c r="Z63" s="335"/>
      <c r="AA63" s="335"/>
      <c r="AB63" s="386" t="s">
        <v>138</v>
      </c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11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11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11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11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11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8">AVERAGE(J59:J68)</f>
        <v>12</v>
      </c>
      <c r="K69" s="240">
        <f t="shared" si="28"/>
        <v>1636</v>
      </c>
      <c r="L69" s="268">
        <f t="shared" si="28"/>
        <v>138.81212121212121</v>
      </c>
      <c r="M69" s="240">
        <f t="shared" si="28"/>
        <v>14</v>
      </c>
      <c r="N69" s="240">
        <f t="shared" si="28"/>
        <v>1513.4109195402311</v>
      </c>
      <c r="O69" s="268">
        <f t="shared" si="28"/>
        <v>108.8899709485917</v>
      </c>
      <c r="P69" s="269">
        <f>M69-J69</f>
        <v>2</v>
      </c>
      <c r="Q69" s="222">
        <f>N69-K69</f>
        <v>-122.58908045976887</v>
      </c>
      <c r="R69" s="123">
        <f>O69/L69</f>
        <v>0.78444137297055672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-122.58908045976887</v>
      </c>
      <c r="AG69" s="124">
        <f>N69/K69</f>
        <v>0.92506779922997018</v>
      </c>
      <c r="AH69" s="384"/>
    </row>
    <row r="70" spans="1:36" ht="15" customHeight="1">
      <c r="A70" s="389" t="s">
        <v>55</v>
      </c>
      <c r="B70" s="75" t="s">
        <v>132</v>
      </c>
      <c r="C70" s="76"/>
      <c r="D70" s="59" t="s">
        <v>136</v>
      </c>
      <c r="E70" s="77"/>
      <c r="F70" s="250">
        <f>VLOOKUP(D70,廠價表!$C$1:$E$43,3,0)</f>
        <v>28.26</v>
      </c>
      <c r="G70" s="30">
        <v>1144</v>
      </c>
      <c r="H70" s="254">
        <f t="shared" ref="H70:H71" si="29">F70*G70</f>
        <v>32329.440000000002</v>
      </c>
      <c r="I70" s="182"/>
      <c r="J70" s="106">
        <f>VLOOKUP(D70,產線配置圖!$A$3:$C$40,2,0)</f>
        <v>11</v>
      </c>
      <c r="K70" s="107">
        <f>VLOOKUP(D70,產線配置圖!$A$3:$C$40,3,0)</f>
        <v>1636</v>
      </c>
      <c r="L70" s="238">
        <f t="shared" ref="L70:L71" si="30">K70/J70</f>
        <v>148.72727272727272</v>
      </c>
      <c r="M70" s="82">
        <v>6</v>
      </c>
      <c r="N70" s="107">
        <f t="shared" ref="N70:N71" si="31">G70/W70*60</f>
        <v>837.07317073171362</v>
      </c>
      <c r="O70" s="238">
        <f t="shared" ref="O70:O71" si="32">N70/M70</f>
        <v>139.51219512195226</v>
      </c>
      <c r="P70" s="111">
        <f t="shared" ref="P70:P71" si="33">M70-J70</f>
        <v>-5</v>
      </c>
      <c r="Q70" s="255">
        <f t="shared" ref="Q70:Q71" si="34">O70-L70</f>
        <v>-9.2150776053204595</v>
      </c>
      <c r="R70" s="85">
        <f t="shared" ref="R70:R71" si="35">O70/L70</f>
        <v>0.93804043174906782</v>
      </c>
      <c r="S70" s="392">
        <f>R79</f>
        <v>0.93409697975548711</v>
      </c>
      <c r="T70" s="22">
        <v>0.390277777777778</v>
      </c>
      <c r="U70" s="22">
        <v>0.44722222222222202</v>
      </c>
      <c r="V70" s="55"/>
      <c r="W70" s="54">
        <f t="shared" si="11"/>
        <v>81.999999999999389</v>
      </c>
      <c r="X70" s="270"/>
      <c r="Y70" s="292"/>
      <c r="Z70" s="169"/>
      <c r="AA70" s="169"/>
      <c r="AB70" s="397" t="s">
        <v>139</v>
      </c>
      <c r="AC70" s="397"/>
      <c r="AD70" s="135"/>
      <c r="AE70" s="135"/>
      <c r="AF70" s="310">
        <f>N70-K70</f>
        <v>-798.92682926828638</v>
      </c>
      <c r="AG70" s="246">
        <f>N70/K70</f>
        <v>0.51165841731767336</v>
      </c>
      <c r="AH70" s="380">
        <f>AG79</f>
        <v>0.64591741496656119</v>
      </c>
    </row>
    <row r="71" spans="1:36" ht="15" customHeight="1">
      <c r="A71" s="390"/>
      <c r="B71" s="75" t="s">
        <v>81</v>
      </c>
      <c r="C71" s="86"/>
      <c r="D71" s="59" t="s">
        <v>140</v>
      </c>
      <c r="E71" s="87"/>
      <c r="F71" s="250">
        <f>VLOOKUP(D71,廠價表!$C$1:$E$43,3,0)</f>
        <v>43.89</v>
      </c>
      <c r="G71" s="202">
        <v>1210</v>
      </c>
      <c r="H71" s="254">
        <f t="shared" si="29"/>
        <v>53106.9</v>
      </c>
      <c r="I71" s="182"/>
      <c r="J71" s="106">
        <f>VLOOKUP(D71,產線配置圖!$A$3:$C$40,2,0)</f>
        <v>13</v>
      </c>
      <c r="K71" s="107">
        <f>VLOOKUP(D71,產線配置圖!$A$3:$C$40,3,0)</f>
        <v>1565</v>
      </c>
      <c r="L71" s="238">
        <f t="shared" si="30"/>
        <v>120.38461538461539</v>
      </c>
      <c r="M71" s="82">
        <v>11</v>
      </c>
      <c r="N71" s="107">
        <f t="shared" si="31"/>
        <v>1230.508474576249</v>
      </c>
      <c r="O71" s="238">
        <f t="shared" si="32"/>
        <v>111.86440677965901</v>
      </c>
      <c r="P71" s="111">
        <f t="shared" si="33"/>
        <v>-2</v>
      </c>
      <c r="Q71" s="255">
        <f t="shared" si="34"/>
        <v>-8.5202086049563803</v>
      </c>
      <c r="R71" s="85">
        <f t="shared" si="35"/>
        <v>0.92922510423997895</v>
      </c>
      <c r="S71" s="393"/>
      <c r="T71" s="22">
        <v>0.47083333333333299</v>
      </c>
      <c r="U71" s="22">
        <v>0.51180555555555596</v>
      </c>
      <c r="V71" s="30">
        <f>(T71-U70)*24*60</f>
        <v>33.999999999999801</v>
      </c>
      <c r="W71" s="73">
        <f t="shared" si="11"/>
        <v>59.000000000001066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11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11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2"/>
      <c r="U74" s="22"/>
      <c r="V74" s="30"/>
      <c r="W74" s="73">
        <f t="shared" si="11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2"/>
      <c r="U75" s="22"/>
      <c r="V75" s="30"/>
      <c r="W75" s="256">
        <f t="shared" si="11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 t="s">
        <v>141</v>
      </c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2"/>
      <c r="U76" s="22"/>
      <c r="V76" s="30"/>
      <c r="W76" s="248">
        <f t="shared" si="11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11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11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36">AVERAGE(J70:J78)</f>
        <v>12</v>
      </c>
      <c r="K79" s="240">
        <f t="shared" si="36"/>
        <v>1600.5</v>
      </c>
      <c r="L79" s="268">
        <f t="shared" si="36"/>
        <v>134.55594405594405</v>
      </c>
      <c r="M79" s="240">
        <f t="shared" si="36"/>
        <v>8.5</v>
      </c>
      <c r="N79" s="240">
        <f t="shared" si="36"/>
        <v>1033.7908226539812</v>
      </c>
      <c r="O79" s="268">
        <f t="shared" si="36"/>
        <v>125.68830095080563</v>
      </c>
      <c r="P79" s="269">
        <f>M79-J79</f>
        <v>-3.5</v>
      </c>
      <c r="Q79" s="222">
        <f>N79-K79</f>
        <v>-566.70917734601881</v>
      </c>
      <c r="R79" s="223">
        <f>O79/L79</f>
        <v>0.93409697975548711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-566.70917734601881</v>
      </c>
      <c r="AG79" s="124">
        <f>N79/K79</f>
        <v>0.64591741496656119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297" priority="1" operator="greaterThan">
      <formula>0</formula>
    </cfRule>
  </conditionalFormatting>
  <conditionalFormatting sqref="Q5:Q79 AF5:AF79">
    <cfRule type="cellIs" dxfId="296" priority="4" operator="lessThan">
      <formula>0</formula>
    </cfRule>
  </conditionalFormatting>
  <conditionalFormatting sqref="R5:R79 AG5:AG79">
    <cfRule type="cellIs" dxfId="295" priority="2" operator="greaterThan">
      <formula>1</formula>
    </cfRule>
    <cfRule type="cellIs" dxfId="294" priority="3" operator="lessThan">
      <formula>0.8</formula>
    </cfRule>
  </conditionalFormatting>
  <conditionalFormatting sqref="S5:S10 S37:S62 AH59:AH62 S69:S76 AH69:AH76">
    <cfRule type="cellIs" dxfId="293" priority="7" operator="lessThan">
      <formula>0.8</formula>
    </cfRule>
  </conditionalFormatting>
  <conditionalFormatting sqref="S19:S25 AH19:AH25">
    <cfRule type="cellIs" dxfId="292" priority="6" operator="lessThan">
      <formula>0.8</formula>
    </cfRule>
  </conditionalFormatting>
  <conditionalFormatting sqref="S79">
    <cfRule type="cellIs" dxfId="291" priority="5" operator="lessThan">
      <formula>0.8</formula>
    </cfRule>
  </conditionalFormatting>
  <conditionalFormatting sqref="AH5:AH8 S15:S16 AH15:AH16 AH49 AH79">
    <cfRule type="cellIs" dxfId="290" priority="9" operator="lessThan">
      <formula>0.8</formula>
    </cfRule>
  </conditionalFormatting>
  <conditionalFormatting sqref="AH27 S27:S28">
    <cfRule type="cellIs" dxfId="28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234DB-AEB5-43CA-A12D-71DA417A8469}">
  <dimension ref="B1:O26"/>
  <sheetViews>
    <sheetView topLeftCell="B1" zoomScale="70" zoomScaleNormal="70" workbookViewId="0">
      <selection activeCell="D18" sqref="D18:J2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46267</v>
      </c>
      <c r="E3" s="504"/>
      <c r="F3" s="3" t="s">
        <v>72</v>
      </c>
      <c r="G3" s="505">
        <f>'0902'!E1</f>
        <v>51934</v>
      </c>
      <c r="H3" s="505"/>
      <c r="I3" s="3" t="s">
        <v>2</v>
      </c>
      <c r="J3" s="506">
        <f>'0902'!G1</f>
        <v>2427089.1780000008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130.24975204145375</v>
      </c>
      <c r="G6" s="501"/>
      <c r="H6" s="502">
        <f>AVERAGE(D13:H13)</f>
        <v>128.33704990543225</v>
      </c>
      <c r="I6" s="502"/>
      <c r="J6" s="502">
        <f>AVERAGE(I13:J13)</f>
        <v>135.03150738150737</v>
      </c>
      <c r="K6" s="502"/>
      <c r="L6" s="492">
        <f>'0902'!Z2</f>
        <v>0</v>
      </c>
      <c r="M6" s="493">
        <f>'0902'!AA2</f>
        <v>0</v>
      </c>
      <c r="N6" s="494">
        <f>'0902'!AD2</f>
        <v>0</v>
      </c>
      <c r="O6" s="493">
        <f>'0902'!AE2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116.81132782033943</v>
      </c>
      <c r="G7" s="490"/>
      <c r="H7" s="491">
        <f>AVERAGE(D14:H14)</f>
        <v>114.14254662085951</v>
      </c>
      <c r="I7" s="491"/>
      <c r="J7" s="491">
        <f>AVERAGE(I14:J14)</f>
        <v>123.48328081903925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0.89131713686911496</v>
      </c>
      <c r="G8" s="496"/>
      <c r="H8" s="496">
        <f>AVERAGE(D15:H15)</f>
        <v>0.88202684952090205</v>
      </c>
      <c r="I8" s="496"/>
      <c r="J8" s="496">
        <f>AVERAGE(I15:J15)</f>
        <v>0.91454285523964729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VALUE('0902'!L15)</f>
        <v>157.51454427925017</v>
      </c>
      <c r="E13" s="13">
        <f>VALUE('0902'!L26)</f>
        <v>177.19780219780219</v>
      </c>
      <c r="F13" s="13">
        <f>VALUE('0902'!L37)</f>
        <v>103.59354575163398</v>
      </c>
      <c r="G13" s="13">
        <f>VALUE('0902'!L48)</f>
        <v>96.300925925925924</v>
      </c>
      <c r="H13" s="13">
        <f>VALUE('0902'!L58)</f>
        <v>107.07843137254902</v>
      </c>
      <c r="I13" s="13">
        <f>VALUE('0902'!L69)</f>
        <v>135.50707070707071</v>
      </c>
      <c r="J13" s="13">
        <f>'0902'!L79</f>
        <v>134.55594405594405</v>
      </c>
    </row>
    <row r="14" spans="2:15" ht="39.950000000000003" customHeight="1">
      <c r="B14" s="484"/>
      <c r="C14" s="12" t="s">
        <v>100</v>
      </c>
      <c r="D14" s="13">
        <f>VALUE('0902'!O15)</f>
        <v>140.93248539256223</v>
      </c>
      <c r="E14" s="13">
        <f>VALUE('0902'!O26)</f>
        <v>165.32903112213418</v>
      </c>
      <c r="F14" s="13">
        <f>VALUE('0902'!O37)</f>
        <v>90.79917049218129</v>
      </c>
      <c r="G14" s="13">
        <f>VALUE('0902'!O48)</f>
        <v>80.528480567854601</v>
      </c>
      <c r="H14" s="13">
        <f>VALUE('0902'!O58)</f>
        <v>93.123565529565212</v>
      </c>
      <c r="I14" s="13">
        <f>VALUE('0902'!O69)</f>
        <v>121.41399711399538</v>
      </c>
      <c r="J14" s="13">
        <f>'0902'!O79</f>
        <v>125.55256452408312</v>
      </c>
    </row>
    <row r="15" spans="2:15" ht="39.950000000000003" customHeight="1">
      <c r="B15" s="485"/>
      <c r="C15" s="10" t="s">
        <v>26</v>
      </c>
      <c r="D15" s="14">
        <f t="shared" ref="D15:I15" si="0">D14/D13</f>
        <v>0.89472680784772241</v>
      </c>
      <c r="E15" s="14">
        <f t="shared" si="0"/>
        <v>0.93301964850320696</v>
      </c>
      <c r="F15" s="14">
        <f t="shared" si="0"/>
        <v>0.87649447495380395</v>
      </c>
      <c r="G15" s="14">
        <f t="shared" si="0"/>
        <v>0.83621709545966993</v>
      </c>
      <c r="H15" s="14">
        <f t="shared" si="0"/>
        <v>0.86967622084010732</v>
      </c>
      <c r="I15" s="14">
        <f t="shared" si="0"/>
        <v>0.89599750389748511</v>
      </c>
      <c r="J15" s="15">
        <f>'0902'!S70</f>
        <v>0.93308820658180947</v>
      </c>
    </row>
    <row r="16" spans="2:15" ht="17.25" customHeight="1">
      <c r="B16" s="486" t="s">
        <v>101</v>
      </c>
      <c r="C16" s="10" t="s">
        <v>34</v>
      </c>
      <c r="D16" s="16">
        <f>'0902'!T5</f>
        <v>0.29861111111111099</v>
      </c>
      <c r="E16" s="16">
        <f>'0902'!T16</f>
        <v>0.29861111111111099</v>
      </c>
      <c r="F16" s="16">
        <f>'0902'!T27</f>
        <v>0.29166666666666702</v>
      </c>
      <c r="G16" s="16">
        <f>'0902'!T38</f>
        <v>0.33541666666666697</v>
      </c>
      <c r="H16" s="16">
        <f>'0902'!T49</f>
        <v>0.29166666666666702</v>
      </c>
      <c r="I16" s="16">
        <f>'0902'!T59</f>
        <v>0.29166666666666702</v>
      </c>
      <c r="J16" s="17">
        <f>'0902'!T70</f>
        <v>0.29305555555555601</v>
      </c>
    </row>
    <row r="17" spans="2:10" ht="17.25" customHeight="1">
      <c r="B17" s="487"/>
      <c r="C17" s="10" t="s">
        <v>35</v>
      </c>
      <c r="D17" s="16">
        <v>0.62152777777777801</v>
      </c>
      <c r="E17" s="183">
        <v>0.59166666666666701</v>
      </c>
      <c r="F17" s="19">
        <v>0.593055555555556</v>
      </c>
      <c r="G17" s="328">
        <v>0.64583333333333304</v>
      </c>
      <c r="H17" s="19">
        <v>0.56944444444444398</v>
      </c>
      <c r="I17" s="110">
        <v>0.44791666666666702</v>
      </c>
      <c r="J17" s="22">
        <v>0.49305555555555602</v>
      </c>
    </row>
    <row r="18" spans="2:10" ht="17.25" customHeight="1">
      <c r="B18" s="488" t="s">
        <v>102</v>
      </c>
      <c r="C18" s="330" t="s">
        <v>36</v>
      </c>
      <c r="D18" s="359">
        <f>'0902'!Z15</f>
        <v>0</v>
      </c>
      <c r="E18" s="360">
        <f>'0902'!Z26</f>
        <v>0</v>
      </c>
      <c r="F18" s="360">
        <f>'0902'!Z37</f>
        <v>0</v>
      </c>
      <c r="G18" s="361">
        <f>'0902'!Z48</f>
        <v>0</v>
      </c>
      <c r="H18" s="361">
        <f>'0902'!Z58</f>
        <v>0</v>
      </c>
      <c r="I18" s="360">
        <f>'0902'!Z69</f>
        <v>0</v>
      </c>
      <c r="J18" s="360">
        <f>'0902'!AA79</f>
        <v>0</v>
      </c>
    </row>
    <row r="19" spans="2:10" ht="17.25" customHeight="1">
      <c r="B19" s="489"/>
      <c r="C19" s="330" t="s">
        <v>37</v>
      </c>
      <c r="D19" s="359">
        <f>'0902'!AA15</f>
        <v>0</v>
      </c>
      <c r="E19" s="360">
        <f>'0902'!AA26</f>
        <v>0</v>
      </c>
      <c r="F19" s="360">
        <f>'0902'!AA37</f>
        <v>0</v>
      </c>
      <c r="G19" s="361">
        <f>'0902'!AA48</f>
        <v>0</v>
      </c>
      <c r="H19" s="361">
        <f>'0902'!AA58</f>
        <v>0</v>
      </c>
      <c r="I19" s="360">
        <f>'0902'!AA69</f>
        <v>0</v>
      </c>
      <c r="J19" s="360">
        <f>'0902'!AB79</f>
        <v>0</v>
      </c>
    </row>
    <row r="20" spans="2:10" ht="17.25" customHeight="1">
      <c r="B20" s="488" t="s">
        <v>103</v>
      </c>
      <c r="C20" s="330" t="s">
        <v>36</v>
      </c>
      <c r="D20" s="359">
        <f>'0902'!AD15</f>
        <v>0</v>
      </c>
      <c r="E20" s="360">
        <f>'0902'!AD26</f>
        <v>0</v>
      </c>
      <c r="F20" s="360">
        <f>'0902'!AD37</f>
        <v>0</v>
      </c>
      <c r="G20" s="361">
        <f>'0902'!AD48</f>
        <v>0</v>
      </c>
      <c r="H20" s="361">
        <f>'0902'!AD58</f>
        <v>0</v>
      </c>
      <c r="I20" s="360">
        <f>'0902'!AD69</f>
        <v>0</v>
      </c>
      <c r="J20" s="360">
        <f>'0902'!AD79</f>
        <v>0</v>
      </c>
    </row>
    <row r="21" spans="2:10" ht="17.25" customHeight="1">
      <c r="B21" s="489"/>
      <c r="C21" s="330" t="s">
        <v>85</v>
      </c>
      <c r="D21" s="359">
        <f>'0902'!AE15</f>
        <v>0</v>
      </c>
      <c r="E21" s="360">
        <f>'0902'!AE26</f>
        <v>0</v>
      </c>
      <c r="F21" s="360">
        <f>'0902'!AE37</f>
        <v>0</v>
      </c>
      <c r="G21" s="361">
        <f>'0902'!AE48</f>
        <v>0</v>
      </c>
      <c r="H21" s="361">
        <f>'0902'!AE58</f>
        <v>0</v>
      </c>
      <c r="I21" s="360">
        <f>'0902'!AE69</f>
        <v>0</v>
      </c>
      <c r="J21" s="360">
        <f>'0902'!AE79</f>
        <v>0</v>
      </c>
    </row>
    <row r="22" spans="2:10" ht="17.25" customHeight="1">
      <c r="B22" s="471" t="s">
        <v>104</v>
      </c>
      <c r="C22" s="472"/>
      <c r="D22" s="23">
        <f>VALUE('0902'!M15)</f>
        <v>14.4</v>
      </c>
      <c r="E22" s="23">
        <f>VALUE('0902'!M26)</f>
        <v>12.75</v>
      </c>
      <c r="F22" s="23">
        <f>VALUE('0902'!M37)</f>
        <v>16.75</v>
      </c>
      <c r="G22" s="23">
        <f>VALUE('0902'!M48)</f>
        <v>16.666666666666668</v>
      </c>
      <c r="H22" s="23">
        <f>VALUE('0902'!M58)</f>
        <v>16.333333333333332</v>
      </c>
      <c r="I22" s="23">
        <f>VALUE('0902'!M69)</f>
        <v>12.333333333333334</v>
      </c>
      <c r="J22" s="23">
        <f>'0902'!M79</f>
        <v>7.5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28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F7553-8FD4-4C9D-A5D8-07C5C89AB571}">
  <sheetPr>
    <tabColor theme="9" tint="0.79998168889431442"/>
  </sheetPr>
  <dimension ref="A1:AJ92"/>
  <sheetViews>
    <sheetView zoomScale="69" zoomScaleNormal="69" workbookViewId="0">
      <pane xSplit="5" ySplit="4" topLeftCell="O56" activePane="bottomRight" state="frozen"/>
      <selection activeCell="G76" sqref="G76"/>
      <selection pane="topRight" activeCell="G76" sqref="G76"/>
      <selection pane="bottomLeft" activeCell="G76" sqref="G76"/>
      <selection pane="bottomRight" activeCell="AB63" sqref="AB63:AC6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51934</v>
      </c>
      <c r="F1" s="30" t="s">
        <v>2</v>
      </c>
      <c r="G1" s="31">
        <f>SUM(H5:H79)</f>
        <v>2427089.1780000008</v>
      </c>
      <c r="H1" s="32" t="s">
        <v>3</v>
      </c>
      <c r="I1" s="33">
        <f>M15+M26+M48+M58+M69+M79+M37</f>
        <v>96.73333333333332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142</v>
      </c>
      <c r="B2" s="462"/>
      <c r="C2" s="28"/>
      <c r="D2" s="28" t="s">
        <v>14</v>
      </c>
      <c r="E2" s="35">
        <f>AVERAGE(O15,O26,O37,O48,O58,O69,O79)</f>
        <v>116.81132782033943</v>
      </c>
      <c r="F2" s="36" t="s">
        <v>15</v>
      </c>
      <c r="G2" s="37">
        <f>G1/E1</f>
        <v>46.734108252782391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0</v>
      </c>
      <c r="AA2" s="339">
        <f>AA15+AA26+AA37+AA48+AA58+AA69+AA79</f>
        <v>0</v>
      </c>
      <c r="AB2" s="433"/>
      <c r="AC2" s="433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2255</v>
      </c>
      <c r="H5" s="43">
        <f>F5*G5</f>
        <v>128241.84999999999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2182.2580645161056</v>
      </c>
      <c r="O5" s="47">
        <f>N5/M5</f>
        <v>155.87557603686469</v>
      </c>
      <c r="P5" s="49">
        <f>M5-J5</f>
        <v>0</v>
      </c>
      <c r="Q5" s="50">
        <f>O5-L5</f>
        <v>-4.8387096774210363</v>
      </c>
      <c r="R5" s="51">
        <f>O5/L5</f>
        <v>0.96989247311826909</v>
      </c>
      <c r="S5" s="392">
        <f>R15</f>
        <v>0.89472680784772241</v>
      </c>
      <c r="T5" s="319">
        <v>0.29861111111111099</v>
      </c>
      <c r="U5" s="320">
        <v>0.34166666666666701</v>
      </c>
      <c r="V5" s="53"/>
      <c r="W5" s="54">
        <f t="shared" ref="W5:W14" si="0">(U5-T5)*24*60</f>
        <v>62.000000000000661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-67.741935483894395</v>
      </c>
      <c r="AG5" s="52">
        <f t="shared" ref="AG5:AG11" si="2">N5/K5</f>
        <v>0.9698924731182692</v>
      </c>
      <c r="AH5" s="380">
        <f>AG15</f>
        <v>0.89417505810442388</v>
      </c>
    </row>
    <row r="6" spans="1:34" ht="15" customHeight="1">
      <c r="A6" s="466"/>
      <c r="B6" s="57" t="s">
        <v>81</v>
      </c>
      <c r="C6" s="58"/>
      <c r="D6" s="59" t="s">
        <v>114</v>
      </c>
      <c r="E6" s="60"/>
      <c r="F6" s="61">
        <f>VLOOKUP(D6,廠價表!$C$1:$E$43,3,0)</f>
        <v>50.67</v>
      </c>
      <c r="G6" s="62">
        <v>986</v>
      </c>
      <c r="H6" s="63">
        <f>F6*G6</f>
        <v>49960.62</v>
      </c>
      <c r="I6" s="64"/>
      <c r="J6" s="65">
        <f>VLOOKUP(D6,產線配置圖!$A$3:$C$40,2,0)</f>
        <v>17</v>
      </c>
      <c r="K6" s="66">
        <f>VLOOKUP(D6,產線配置圖!$A$3:$C$40,3,0)</f>
        <v>2250</v>
      </c>
      <c r="L6" s="67">
        <f>K6/J6</f>
        <v>132.35294117647058</v>
      </c>
      <c r="M6" s="68">
        <v>17</v>
      </c>
      <c r="N6" s="66">
        <f>G6/W6*60</f>
        <v>1971.9999999999386</v>
      </c>
      <c r="O6" s="67">
        <f>N6/M6</f>
        <v>115.99999999999639</v>
      </c>
      <c r="P6" s="69">
        <f>M6-J6</f>
        <v>0</v>
      </c>
      <c r="Q6" s="70">
        <f>O6-L6</f>
        <v>-16.352941176474189</v>
      </c>
      <c r="R6" s="71">
        <f>O6/L6</f>
        <v>0.87644444444441727</v>
      </c>
      <c r="S6" s="393"/>
      <c r="T6" s="16">
        <v>0.35208333333333303</v>
      </c>
      <c r="U6" s="16">
        <v>0.37291666666666701</v>
      </c>
      <c r="V6" s="30">
        <f>(T6-U5)*24*60</f>
        <v>14.999999999999067</v>
      </c>
      <c r="W6" s="73">
        <f t="shared" si="0"/>
        <v>30.000000000000931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-278.00000000006139</v>
      </c>
      <c r="AG6" s="72">
        <f t="shared" si="2"/>
        <v>0.87644444444441716</v>
      </c>
      <c r="AH6" s="382"/>
    </row>
    <row r="7" spans="1:34" ht="15" customHeight="1">
      <c r="A7" s="466"/>
      <c r="B7" s="75" t="s">
        <v>81</v>
      </c>
      <c r="C7" s="76"/>
      <c r="D7" s="59" t="s">
        <v>116</v>
      </c>
      <c r="E7" s="77"/>
      <c r="F7" s="61">
        <f>VLOOKUP(D7,廠價表!$C$1:$E$43,3,0)</f>
        <v>58.17</v>
      </c>
      <c r="G7" s="66">
        <v>2466</v>
      </c>
      <c r="H7" s="63">
        <f t="shared" ref="H7:H9" si="3">F7*G7</f>
        <v>143447.22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80">
        <f>G7/W7*60</f>
        <v>1999.4594594594926</v>
      </c>
      <c r="O7" s="81">
        <f>N7/M7</f>
        <v>153.80457380457636</v>
      </c>
      <c r="P7" s="74">
        <f>M7-J7</f>
        <v>0</v>
      </c>
      <c r="Q7" s="83">
        <f>O7-L7</f>
        <v>-19.272349272346702</v>
      </c>
      <c r="R7" s="72">
        <f>O7/L7</f>
        <v>0.88864864864866344</v>
      </c>
      <c r="S7" s="393"/>
      <c r="T7" s="18">
        <v>0.38055555555555598</v>
      </c>
      <c r="U7" s="18">
        <v>0.43194444444444402</v>
      </c>
      <c r="V7" s="30">
        <f>(T7-U6)*24*60</f>
        <v>11.000000000000121</v>
      </c>
      <c r="W7" s="73">
        <f t="shared" si="0"/>
        <v>73.999999999998778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-250.54054054050744</v>
      </c>
      <c r="AG7" s="72">
        <f t="shared" si="2"/>
        <v>0.88864864864866333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61">
        <f>VLOOKUP(D8,廠價表!$C$1:$E$43,3,0)</f>
        <v>49.14</v>
      </c>
      <c r="G8" s="66">
        <v>1762</v>
      </c>
      <c r="H8" s="63">
        <f t="shared" si="3"/>
        <v>86584.680000000008</v>
      </c>
      <c r="I8" s="73"/>
      <c r="J8" s="79">
        <f>VLOOKUP(D8,產線配置圖!$A$3:$C$40,2,0)</f>
        <v>14</v>
      </c>
      <c r="K8" s="66">
        <f>VLOOKUP(D8,產線配置圖!$A$3:$C$40,3,0)</f>
        <v>2250</v>
      </c>
      <c r="L8" s="67">
        <f>K8/J8</f>
        <v>160.71428571428572</v>
      </c>
      <c r="M8" s="82">
        <v>14</v>
      </c>
      <c r="N8" s="66">
        <f>G8/W8*60</f>
        <v>1887.8571428571361</v>
      </c>
      <c r="O8" s="67">
        <f>N8/M8</f>
        <v>134.84693877550973</v>
      </c>
      <c r="P8" s="69">
        <f>M8-J8</f>
        <v>0</v>
      </c>
      <c r="Q8" s="70">
        <f>O8-L8</f>
        <v>-25.867346938775995</v>
      </c>
      <c r="R8" s="71">
        <f>O8/L8</f>
        <v>0.83904761904761604</v>
      </c>
      <c r="S8" s="393"/>
      <c r="T8" s="16">
        <v>0.43888888888888899</v>
      </c>
      <c r="U8" s="16">
        <v>0.47777777777777802</v>
      </c>
      <c r="V8" s="30">
        <f t="shared" ref="V8:V9" si="4">(T8-U7)*24*60</f>
        <v>10.000000000000764</v>
      </c>
      <c r="W8" s="73">
        <f t="shared" si="0"/>
        <v>56.000000000000199</v>
      </c>
      <c r="X8" s="22">
        <v>0.48611111111111099</v>
      </c>
      <c r="Y8" s="84">
        <v>0.52777777777777801</v>
      </c>
      <c r="Z8" s="90"/>
      <c r="AA8" s="90"/>
      <c r="AB8" s="430"/>
      <c r="AC8" s="430"/>
      <c r="AD8" s="149"/>
      <c r="AE8" s="149"/>
      <c r="AF8" s="307">
        <f t="shared" si="1"/>
        <v>-362.14285714286393</v>
      </c>
      <c r="AG8" s="72">
        <f t="shared" si="2"/>
        <v>0.83904761904761604</v>
      </c>
      <c r="AH8" s="382"/>
    </row>
    <row r="9" spans="1:34" ht="15" customHeight="1">
      <c r="A9" s="467"/>
      <c r="B9" s="75" t="s">
        <v>81</v>
      </c>
      <c r="C9" s="76"/>
      <c r="D9" s="59" t="s">
        <v>117</v>
      </c>
      <c r="E9" s="77"/>
      <c r="F9" s="61">
        <f>VLOOKUP(D9,廠價表!$C$1:$E$43,3,0)</f>
        <v>49.14</v>
      </c>
      <c r="G9" s="66">
        <v>3834</v>
      </c>
      <c r="H9" s="63">
        <f t="shared" si="3"/>
        <v>188402.76</v>
      </c>
      <c r="I9" s="73"/>
      <c r="J9" s="79">
        <f>VLOOKUP(D9,產線配置圖!$A$3:$C$40,2,0)</f>
        <v>14</v>
      </c>
      <c r="K9" s="80">
        <f>VLOOKUP(D9,產線配置圖!$A$3:$C$40,3,0)</f>
        <v>2250</v>
      </c>
      <c r="L9" s="81">
        <f>K9/J9</f>
        <v>160.71428571428572</v>
      </c>
      <c r="M9" s="82">
        <v>14</v>
      </c>
      <c r="N9" s="80">
        <f>G9/W9*60</f>
        <v>2017.8947368420952</v>
      </c>
      <c r="O9" s="81">
        <f>N9/M9</f>
        <v>144.13533834586394</v>
      </c>
      <c r="P9" s="74">
        <f>M9-J9</f>
        <v>0</v>
      </c>
      <c r="Q9" s="83">
        <f>O9-L9</f>
        <v>-16.57894736842178</v>
      </c>
      <c r="R9" s="72">
        <f>O9/L9</f>
        <v>0.89684210526315333</v>
      </c>
      <c r="S9" s="394"/>
      <c r="T9" s="16">
        <v>0.54236111111111096</v>
      </c>
      <c r="U9" s="16">
        <v>0.62152777777777801</v>
      </c>
      <c r="V9" s="30">
        <f t="shared" si="4"/>
        <v>92.999999999999432</v>
      </c>
      <c r="W9" s="73">
        <f t="shared" si="0"/>
        <v>114.00000000000055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-232.1052631579048</v>
      </c>
      <c r="AG9" s="72">
        <f t="shared" si="2"/>
        <v>0.89684210526315344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5">AVERAGE(J5:J14)</f>
        <v>14.4</v>
      </c>
      <c r="K15" s="120">
        <f t="shared" si="5"/>
        <v>2250</v>
      </c>
      <c r="L15" s="117">
        <f t="shared" si="5"/>
        <v>157.51454427925017</v>
      </c>
      <c r="M15" s="120">
        <f t="shared" si="5"/>
        <v>14.4</v>
      </c>
      <c r="N15" s="120">
        <f t="shared" si="5"/>
        <v>2011.8938807349537</v>
      </c>
      <c r="O15" s="117">
        <f t="shared" si="5"/>
        <v>140.93248539256223</v>
      </c>
      <c r="P15" s="121">
        <f>M15-J15</f>
        <v>0</v>
      </c>
      <c r="Q15" s="122">
        <f>O15-L15</f>
        <v>-16.582058886687946</v>
      </c>
      <c r="R15" s="123">
        <f>O15/L15</f>
        <v>0.89472680784772241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-238.10611926504635</v>
      </c>
      <c r="AG15" s="124">
        <f>N15/K15</f>
        <v>0.89417505810442388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1924</v>
      </c>
      <c r="H16" s="134">
        <f>F16*G16</f>
        <v>109417.87999999999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2098.9090909090587</v>
      </c>
      <c r="O16" s="141">
        <f>N16/M16</f>
        <v>149.92207792207563</v>
      </c>
      <c r="P16" s="142">
        <f>M16-J16</f>
        <v>0</v>
      </c>
      <c r="Q16" s="143">
        <f>O16-L16</f>
        <v>-10.792207792210093</v>
      </c>
      <c r="R16" s="144">
        <f>O16/L16</f>
        <v>0.93284848484847049</v>
      </c>
      <c r="S16" s="420">
        <f>R26</f>
        <v>0.93301964850320696</v>
      </c>
      <c r="T16" s="145">
        <v>0.29861111111111099</v>
      </c>
      <c r="U16" s="145">
        <v>0.33680555555555602</v>
      </c>
      <c r="V16" s="135"/>
      <c r="W16" s="146">
        <f t="shared" ref="W16:W78" si="6">(U16-T16)*24*60</f>
        <v>55.000000000000846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-151.0909090909413</v>
      </c>
      <c r="AG16" s="52">
        <f>N16/K16</f>
        <v>0.93284848484847049</v>
      </c>
      <c r="AH16" s="380">
        <f>AG26</f>
        <v>0.93383153372808314</v>
      </c>
    </row>
    <row r="17" spans="1:34" ht="15" customHeight="1">
      <c r="A17" s="427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3512</v>
      </c>
      <c r="H17" s="78">
        <f>F17*G17</f>
        <v>177953.04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2195.0000000000223</v>
      </c>
      <c r="O17" s="96">
        <f>N17/M17</f>
        <v>168.84615384615557</v>
      </c>
      <c r="P17" s="97">
        <f>M17-J17</f>
        <v>0</v>
      </c>
      <c r="Q17" s="98">
        <f>O17-L17</f>
        <v>-4.2307692307674927</v>
      </c>
      <c r="R17" s="99">
        <f>O17/L17</f>
        <v>0.97555555555556561</v>
      </c>
      <c r="S17" s="421"/>
      <c r="T17" s="19">
        <v>0.343055555555556</v>
      </c>
      <c r="U17" s="19">
        <v>0.40972222222222199</v>
      </c>
      <c r="V17" s="30">
        <f>(T17-U16)*24*60</f>
        <v>8.999999999999968</v>
      </c>
      <c r="W17" s="149">
        <f t="shared" si="6"/>
        <v>95.999999999999019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-54.999999999977717</v>
      </c>
      <c r="AG17" s="72">
        <f>N17/K17</f>
        <v>0.9755555555555655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2983</v>
      </c>
      <c r="H18" s="78">
        <f>F18*G18</f>
        <v>150313.37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2057.2413793103351</v>
      </c>
      <c r="O18" s="96">
        <f>N18/M18</f>
        <v>171.43678160919458</v>
      </c>
      <c r="P18" s="97">
        <f>M18-J18</f>
        <v>0</v>
      </c>
      <c r="Q18" s="98">
        <f>O18-L18</f>
        <v>-16.063218390805417</v>
      </c>
      <c r="R18" s="99">
        <f>O18/L18</f>
        <v>0.91432950191570439</v>
      </c>
      <c r="S18" s="421"/>
      <c r="T18" s="19">
        <v>0.41597222222222202</v>
      </c>
      <c r="U18" s="19">
        <v>0.47638888888888897</v>
      </c>
      <c r="V18" s="30">
        <f>(T18-U17)*24*60</f>
        <v>9.000000000000048</v>
      </c>
      <c r="W18" s="149">
        <f t="shared" si="6"/>
        <v>87.000000000000412</v>
      </c>
      <c r="X18" s="22">
        <v>0.48611111111111099</v>
      </c>
      <c r="Y18" s="84">
        <v>0.52777777777777801</v>
      </c>
      <c r="Z18" s="90"/>
      <c r="AA18" s="90"/>
      <c r="AB18" s="386"/>
      <c r="AC18" s="386"/>
      <c r="AD18" s="92"/>
      <c r="AE18" s="92"/>
      <c r="AF18" s="307">
        <f>N18-K18</f>
        <v>-192.75862068966489</v>
      </c>
      <c r="AG18" s="72">
        <f>N18/K18</f>
        <v>0.9143295019157045</v>
      </c>
      <c r="AH18" s="382"/>
    </row>
    <row r="19" spans="1:34" ht="15" customHeight="1">
      <c r="A19" s="427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2464</v>
      </c>
      <c r="H19" s="78">
        <f>F19*G19</f>
        <v>124160.96000000001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2053.3333333333317</v>
      </c>
      <c r="O19" s="96">
        <f>N19/M19</f>
        <v>171.11111111111097</v>
      </c>
      <c r="P19" s="97">
        <f>M19-J19</f>
        <v>0</v>
      </c>
      <c r="Q19" s="98">
        <f>O19-L19</f>
        <v>-16.388888888889028</v>
      </c>
      <c r="R19" s="99">
        <f>O19/L19</f>
        <v>0.91259259259259184</v>
      </c>
      <c r="S19" s="421"/>
      <c r="T19" s="19">
        <v>0.54166666666666696</v>
      </c>
      <c r="U19" s="19">
        <v>0.59166666666666701</v>
      </c>
      <c r="V19" s="30">
        <f>(T19-U18)*24*60</f>
        <v>94.000000000000313</v>
      </c>
      <c r="W19" s="149">
        <f t="shared" si="6"/>
        <v>72.000000000000057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-196.66666666666833</v>
      </c>
      <c r="AG19" s="72">
        <f>N19/K19</f>
        <v>0.91259259259259184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6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6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6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6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6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7">AVERAGE(J16:J25)</f>
        <v>12.75</v>
      </c>
      <c r="K26" s="155">
        <f t="shared" si="7"/>
        <v>2250</v>
      </c>
      <c r="L26" s="158">
        <f t="shared" si="7"/>
        <v>177.19780219780219</v>
      </c>
      <c r="M26" s="155">
        <f t="shared" si="7"/>
        <v>12.75</v>
      </c>
      <c r="N26" s="155">
        <f t="shared" si="7"/>
        <v>2101.1209508881871</v>
      </c>
      <c r="O26" s="158">
        <f t="shared" si="7"/>
        <v>165.32903112213418</v>
      </c>
      <c r="P26" s="159">
        <f>M26-J26</f>
        <v>0</v>
      </c>
      <c r="Q26" s="160">
        <f>O26-L26</f>
        <v>-11.868771075668008</v>
      </c>
      <c r="R26" s="161">
        <f>O26/L26</f>
        <v>0.93301964850320696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8">N26-K26</f>
        <v>-148.87904911181295</v>
      </c>
      <c r="AG26" s="124">
        <f t="shared" ref="AG26:AG31" si="9">N26/K26</f>
        <v>0.93383153372808314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995</v>
      </c>
      <c r="H27" s="134">
        <f>F27*G27</f>
        <v>49660.45</v>
      </c>
      <c r="I27" s="135"/>
      <c r="J27" s="136">
        <f>VLOOKUP(D27,產線配置圖!$A$3:$C$40,2,0)</f>
        <v>18</v>
      </c>
      <c r="K27" s="137">
        <f>VLOOKUP(D27,產線配置圖!$A$3:$C$40,3,0)</f>
        <v>2250</v>
      </c>
      <c r="L27" s="138">
        <f>K27/J27</f>
        <v>125</v>
      </c>
      <c r="M27" s="170">
        <v>17</v>
      </c>
      <c r="N27" s="140">
        <f>G27/W27*60</f>
        <v>1705.7142857143269</v>
      </c>
      <c r="O27" s="141">
        <f>N27/M27</f>
        <v>100.33613445378394</v>
      </c>
      <c r="P27" s="142">
        <f>M27-J27</f>
        <v>-1</v>
      </c>
      <c r="Q27" s="143">
        <f>O27-L27</f>
        <v>-24.663865546216059</v>
      </c>
      <c r="R27" s="144">
        <f>O27/L27</f>
        <v>0.80268907563027159</v>
      </c>
      <c r="S27" s="420">
        <f>R37</f>
        <v>0.87649447495380395</v>
      </c>
      <c r="T27" s="171">
        <v>0.29166666666666702</v>
      </c>
      <c r="U27" s="171">
        <v>0.31597222222222199</v>
      </c>
      <c r="V27" s="135"/>
      <c r="W27" s="146">
        <f t="shared" si="6"/>
        <v>34.999999999999154</v>
      </c>
      <c r="X27" s="135"/>
      <c r="Y27" s="300" t="s">
        <v>46</v>
      </c>
      <c r="Z27" s="169"/>
      <c r="AA27" s="169"/>
      <c r="AB27" s="397"/>
      <c r="AC27" s="397"/>
      <c r="AD27" s="135"/>
      <c r="AE27" s="135"/>
      <c r="AF27" s="310">
        <f t="shared" si="8"/>
        <v>-544.28571428567307</v>
      </c>
      <c r="AG27" s="172">
        <f t="shared" si="9"/>
        <v>0.75809523809525636</v>
      </c>
      <c r="AH27" s="380">
        <f>AG37</f>
        <v>0.84913044653890346</v>
      </c>
    </row>
    <row r="28" spans="1:34" ht="15" customHeight="1">
      <c r="A28" s="418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1363</v>
      </c>
      <c r="H28" s="91">
        <f>F28*G28</f>
        <v>77977.23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1319.0322580645345</v>
      </c>
      <c r="O28" s="96">
        <f>N28/M28</f>
        <v>77.590132827325561</v>
      </c>
      <c r="P28" s="97">
        <f>M28-J28</f>
        <v>-1</v>
      </c>
      <c r="Q28" s="98">
        <f>O28-L28</f>
        <v>-13.298756061563324</v>
      </c>
      <c r="R28" s="99">
        <f>O28/L28</f>
        <v>0.85368116802680938</v>
      </c>
      <c r="S28" s="421"/>
      <c r="T28" s="19">
        <v>0.32291666666666702</v>
      </c>
      <c r="U28" s="19">
        <v>0.36597222222222198</v>
      </c>
      <c r="V28" s="92">
        <f>(T28-U27)*24*60</f>
        <v>10.000000000000844</v>
      </c>
      <c r="W28" s="149">
        <f t="shared" si="6"/>
        <v>61.99999999999914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8"/>
        <v>-316.96774193546548</v>
      </c>
      <c r="AG28" s="99">
        <f t="shared" si="9"/>
        <v>0.80625443646976436</v>
      </c>
      <c r="AH28" s="381"/>
    </row>
    <row r="29" spans="1:34" ht="15" customHeight="1">
      <c r="A29" s="418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1160</v>
      </c>
      <c r="H29" s="91">
        <f>F29*G29</f>
        <v>52965.599999999999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1513.0434782608907</v>
      </c>
      <c r="O29" s="96">
        <f>N29/M29</f>
        <v>89.002557544758275</v>
      </c>
      <c r="P29" s="97">
        <f>M29-J29</f>
        <v>0</v>
      </c>
      <c r="Q29" s="98">
        <f>O29-L29</f>
        <v>-7.2327365728887827</v>
      </c>
      <c r="R29" s="99">
        <f>O29/L29</f>
        <v>0.92484320187096003</v>
      </c>
      <c r="S29" s="421"/>
      <c r="T29" s="19">
        <v>0.37291666666666701</v>
      </c>
      <c r="U29" s="19">
        <v>0.40486111111111101</v>
      </c>
      <c r="V29" s="92">
        <f>(T29-U28)*24*60</f>
        <v>10.000000000000844</v>
      </c>
      <c r="W29" s="149">
        <f t="shared" si="6"/>
        <v>45.999999999999361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8"/>
        <v>-122.95652173910935</v>
      </c>
      <c r="AG29" s="99">
        <f t="shared" si="9"/>
        <v>0.92484320187096003</v>
      </c>
      <c r="AH29" s="381"/>
    </row>
    <row r="30" spans="1:34" ht="15" customHeight="1">
      <c r="A30" s="418"/>
      <c r="B30" s="75" t="s">
        <v>81</v>
      </c>
      <c r="C30" s="88"/>
      <c r="D30" s="59" t="s">
        <v>124</v>
      </c>
      <c r="E30" s="89"/>
      <c r="F30" s="75">
        <f>VLOOKUP(D30,廠價表!$C$1:$E$43,3,0)</f>
        <v>46.34</v>
      </c>
      <c r="G30" s="90">
        <v>1797</v>
      </c>
      <c r="H30" s="91">
        <f>F30*G30</f>
        <v>83272.98000000001</v>
      </c>
      <c r="I30" s="92"/>
      <c r="J30" s="79">
        <f>VLOOKUP(D30,產線配置圖!$A$3:$C$40,2,0)</f>
        <v>16</v>
      </c>
      <c r="K30" s="80">
        <f>VLOOKUP(D30,產線配置圖!$A$3:$C$40,3,0)</f>
        <v>1636</v>
      </c>
      <c r="L30" s="93">
        <f>K30/J30</f>
        <v>102.25</v>
      </c>
      <c r="M30" s="94">
        <v>16</v>
      </c>
      <c r="N30" s="95">
        <f>G30/W30*60</f>
        <v>1540.2857142857181</v>
      </c>
      <c r="O30" s="96">
        <f>N30/M30</f>
        <v>96.26785714285738</v>
      </c>
      <c r="P30" s="97">
        <f>M30-J30</f>
        <v>0</v>
      </c>
      <c r="Q30" s="98">
        <f>O30-L30</f>
        <v>-5.9821428571426196</v>
      </c>
      <c r="R30" s="99">
        <f>O30/L30</f>
        <v>0.94149493538246831</v>
      </c>
      <c r="S30" s="421"/>
      <c r="T30" s="19">
        <v>0.41111111111111098</v>
      </c>
      <c r="U30" s="19">
        <v>0.45972222222222198</v>
      </c>
      <c r="V30" s="92">
        <f>(T30-U29)*24*60</f>
        <v>8.999999999999968</v>
      </c>
      <c r="W30" s="149">
        <f t="shared" si="6"/>
        <v>69.999999999999829</v>
      </c>
      <c r="X30" s="174">
        <v>0.49652777777777801</v>
      </c>
      <c r="Y30" s="301">
        <v>0.53819444444444398</v>
      </c>
      <c r="Z30" s="335"/>
      <c r="AA30" s="335"/>
      <c r="AB30" s="386"/>
      <c r="AC30" s="386"/>
      <c r="AD30" s="92"/>
      <c r="AE30" s="92"/>
      <c r="AF30" s="312">
        <f t="shared" si="8"/>
        <v>-95.714285714281914</v>
      </c>
      <c r="AG30" s="99">
        <f t="shared" si="9"/>
        <v>0.94149493538246831</v>
      </c>
      <c r="AH30" s="416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>
        <v>0.59027777777777801</v>
      </c>
      <c r="U31" s="19">
        <v>0.593055555555556</v>
      </c>
      <c r="V31" s="92"/>
      <c r="W31" s="149">
        <f t="shared" si="6"/>
        <v>4.0000000000003055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8"/>
        <v>0</v>
      </c>
      <c r="AG31" s="99" t="e">
        <f t="shared" si="9"/>
        <v>#DIV/0!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6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6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6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6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6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10">AVERAGE(J27:J36)</f>
        <v>17.25</v>
      </c>
      <c r="K37" s="155">
        <f t="shared" si="10"/>
        <v>1789.5</v>
      </c>
      <c r="L37" s="158">
        <f t="shared" si="10"/>
        <v>103.59354575163398</v>
      </c>
      <c r="M37" s="155">
        <f t="shared" si="10"/>
        <v>16.75</v>
      </c>
      <c r="N37" s="155">
        <f t="shared" si="10"/>
        <v>1519.5189340813677</v>
      </c>
      <c r="O37" s="158">
        <f t="shared" si="10"/>
        <v>90.79917049218129</v>
      </c>
      <c r="P37" s="159">
        <f>M37-J37</f>
        <v>-0.5</v>
      </c>
      <c r="Q37" s="160">
        <f>N37-K37</f>
        <v>-269.98106591863234</v>
      </c>
      <c r="R37" s="161">
        <f>O37/L37</f>
        <v>0.87649447495380395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-269.98106591863234</v>
      </c>
      <c r="AG37" s="124">
        <f>N37/K37</f>
        <v>0.84913044653890346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2135</v>
      </c>
      <c r="H38" s="134">
        <f>F38*G38</f>
        <v>106557.84999999999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1377.4193548387159</v>
      </c>
      <c r="O38" s="141">
        <f>N38/M38</f>
        <v>86.088709677419743</v>
      </c>
      <c r="P38" s="142">
        <f>M38-J38</f>
        <v>0</v>
      </c>
      <c r="Q38" s="143">
        <f>O38-L38</f>
        <v>-21.036290322580257</v>
      </c>
      <c r="R38" s="144">
        <f>O38/L38</f>
        <v>0.80362856174954256</v>
      </c>
      <c r="S38" s="410">
        <f>R48</f>
        <v>0.83621709545966993</v>
      </c>
      <c r="T38" s="191">
        <v>0.33541666666666697</v>
      </c>
      <c r="U38" s="191">
        <v>0.4</v>
      </c>
      <c r="V38" s="192"/>
      <c r="W38" s="193">
        <f t="shared" si="6"/>
        <v>92.999999999999588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-336.58064516128411</v>
      </c>
      <c r="AG38" s="195">
        <f>N38/K38</f>
        <v>0.80362856174954256</v>
      </c>
      <c r="AH38" s="413">
        <f>AG48</f>
        <v>0.80643076600143693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2447</v>
      </c>
      <c r="H39" s="91">
        <f>F39*G39</f>
        <v>108402.09999999999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1359.4444444444453</v>
      </c>
      <c r="O39" s="203">
        <f>N39/M39</f>
        <v>79.967320261437962</v>
      </c>
      <c r="P39" s="97">
        <f>M39-J39</f>
        <v>-1</v>
      </c>
      <c r="Q39" s="98">
        <f>O39-L39</f>
        <v>-10.921568627450924</v>
      </c>
      <c r="R39" s="99">
        <f>O39/L39</f>
        <v>0.8798360419962612</v>
      </c>
      <c r="S39" s="411"/>
      <c r="T39" s="20">
        <v>0.41458333333333303</v>
      </c>
      <c r="U39" s="20">
        <v>0.48958333333333298</v>
      </c>
      <c r="V39" s="92">
        <f>(T39-U38)*24*60</f>
        <v>20.999999999999524</v>
      </c>
      <c r="W39" s="205">
        <f t="shared" si="6"/>
        <v>107.99999999999994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-276.55555555555475</v>
      </c>
      <c r="AG39" s="206">
        <f>N39/K39</f>
        <v>0.83095626188535776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2996</v>
      </c>
      <c r="H40" s="91">
        <f>F40*G40</f>
        <v>132722.79999999999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1284.0000000000032</v>
      </c>
      <c r="O40" s="203">
        <f>N40/M40</f>
        <v>75.529411764706069</v>
      </c>
      <c r="P40" s="97">
        <f>M40-J40</f>
        <v>-1</v>
      </c>
      <c r="Q40" s="98">
        <f>O40-L40</f>
        <v>-15.359477124182817</v>
      </c>
      <c r="R40" s="99">
        <f>O40/L40</f>
        <v>0.83100819790018909</v>
      </c>
      <c r="S40" s="393"/>
      <c r="T40" s="20">
        <v>0.54861111111111105</v>
      </c>
      <c r="U40" s="20">
        <v>0.64583333333333304</v>
      </c>
      <c r="V40" s="92">
        <f>(T40-U39)*24*60</f>
        <v>85.000000000000412</v>
      </c>
      <c r="W40" s="205">
        <f t="shared" si="6"/>
        <v>139.99999999999966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-351.99999999999682</v>
      </c>
      <c r="AG40" s="206">
        <f>N40/K40</f>
        <v>0.78484107579462292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6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6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11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11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11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11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11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2">AVERAGE(J38:J47)</f>
        <v>17.333333333333332</v>
      </c>
      <c r="K48" s="155">
        <f t="shared" si="12"/>
        <v>1662</v>
      </c>
      <c r="L48" s="158">
        <f t="shared" si="12"/>
        <v>96.300925925925924</v>
      </c>
      <c r="M48" s="155">
        <f t="shared" si="12"/>
        <v>16.666666666666668</v>
      </c>
      <c r="N48" s="155">
        <f t="shared" si="12"/>
        <v>1340.2879330943881</v>
      </c>
      <c r="O48" s="158">
        <f t="shared" si="12"/>
        <v>80.528480567854601</v>
      </c>
      <c r="P48" s="221">
        <f>M48-J48</f>
        <v>-0.6666666666666643</v>
      </c>
      <c r="Q48" s="222">
        <f>N48-K48</f>
        <v>-321.71206690561189</v>
      </c>
      <c r="R48" s="223">
        <f>O48/L48</f>
        <v>0.83621709545966993</v>
      </c>
      <c r="S48" s="396"/>
      <c r="T48" s="224"/>
      <c r="U48" s="224"/>
      <c r="V48" s="225"/>
      <c r="W48" s="226">
        <f t="shared" si="11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3">N48-K48</f>
        <v>-321.71206690561189</v>
      </c>
      <c r="AG48" s="162">
        <f t="shared" ref="AG48:AG53" si="14">N48/K48</f>
        <v>0.80643076600143693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2182</v>
      </c>
      <c r="H49" s="134">
        <f>F49*G49</f>
        <v>109730.598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1423.0434782608672</v>
      </c>
      <c r="O49" s="141">
        <f>N49/M49</f>
        <v>83.708439897698071</v>
      </c>
      <c r="P49" s="229">
        <f>M49-J49</f>
        <v>0</v>
      </c>
      <c r="Q49" s="230">
        <f>O49-L49</f>
        <v>-12.526854219948987</v>
      </c>
      <c r="R49" s="52">
        <f>O49/L49</f>
        <v>0.86983097693207045</v>
      </c>
      <c r="S49" s="392">
        <f>R58</f>
        <v>0.86967622084010732</v>
      </c>
      <c r="T49" s="191">
        <v>0.29166666666666702</v>
      </c>
      <c r="U49" s="191">
        <v>0.35555555555555601</v>
      </c>
      <c r="V49" s="55"/>
      <c r="W49" s="193">
        <f t="shared" si="6"/>
        <v>92.000000000000156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13"/>
        <v>-212.95652173913277</v>
      </c>
      <c r="AG49" s="52">
        <f t="shared" si="14"/>
        <v>0.86983097693207045</v>
      </c>
      <c r="AH49" s="380">
        <f>AG58</f>
        <v>0.86967906518656013</v>
      </c>
    </row>
    <row r="50" spans="1:34" ht="15" customHeight="1">
      <c r="A50" s="405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3590</v>
      </c>
      <c r="H50" s="231">
        <f>F50*G50</f>
        <v>179392.3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1572.2627737226262</v>
      </c>
      <c r="O50" s="235">
        <f>N50/M50</f>
        <v>98.266423357664138</v>
      </c>
      <c r="P50" s="74">
        <f>M50-J50</f>
        <v>0</v>
      </c>
      <c r="Q50" s="83">
        <f>O50-L50</f>
        <v>-14.233576642335862</v>
      </c>
      <c r="R50" s="72">
        <f>O50/L50</f>
        <v>0.87347931873479234</v>
      </c>
      <c r="S50" s="393"/>
      <c r="T50" s="21">
        <v>0.36319444444444399</v>
      </c>
      <c r="U50" s="21">
        <v>0.45833333333333298</v>
      </c>
      <c r="V50" s="30">
        <f>(T50-U49)*24*60</f>
        <v>10.999999999998682</v>
      </c>
      <c r="W50" s="236">
        <f t="shared" si="6"/>
        <v>137.00000000000014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3"/>
        <v>-227.73722627737379</v>
      </c>
      <c r="AG50" s="72">
        <f t="shared" si="14"/>
        <v>0.87347931873479234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1870</v>
      </c>
      <c r="H51" s="231">
        <f>F51*G51</f>
        <v>93443.9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1558.3333333333353</v>
      </c>
      <c r="O51" s="235">
        <f>N51/M51</f>
        <v>97.395833333333456</v>
      </c>
      <c r="P51" s="74">
        <f>M51-J51</f>
        <v>0</v>
      </c>
      <c r="Q51" s="83">
        <f>O51-L51</f>
        <v>-15.104166666666544</v>
      </c>
      <c r="R51" s="72">
        <f>O51/L51</f>
        <v>0.86574074074074181</v>
      </c>
      <c r="S51" s="393"/>
      <c r="T51" s="21">
        <v>0.51944444444444404</v>
      </c>
      <c r="U51" s="19">
        <v>0.56944444444444398</v>
      </c>
      <c r="V51" s="30">
        <f>(T51-U50)*24*60</f>
        <v>87.999999999999929</v>
      </c>
      <c r="W51" s="236">
        <f t="shared" si="6"/>
        <v>71.999999999999901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3"/>
        <v>-241.6666666666647</v>
      </c>
      <c r="AG51" s="72">
        <f t="shared" si="14"/>
        <v>0.86574074074074181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/>
      <c r="U52" s="21"/>
      <c r="V52" s="30"/>
      <c r="W52" s="236">
        <f t="shared" si="6"/>
        <v>0</v>
      </c>
      <c r="X52" s="22">
        <v>0.47916666666666702</v>
      </c>
      <c r="Y52" s="84">
        <v>0.52083333333333304</v>
      </c>
      <c r="Z52" s="90"/>
      <c r="AA52" s="90"/>
      <c r="AB52" s="386"/>
      <c r="AC52" s="386"/>
      <c r="AD52" s="92"/>
      <c r="AE52" s="92"/>
      <c r="AF52" s="307">
        <f t="shared" si="13"/>
        <v>0</v>
      </c>
      <c r="AG52" s="72" t="e">
        <f t="shared" si="14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6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3"/>
        <v>0</v>
      </c>
      <c r="AG53" s="72" t="e">
        <f t="shared" si="14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6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6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6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6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15">AVERAGE(J49:J57)</f>
        <v>16.333333333333332</v>
      </c>
      <c r="K58" s="120">
        <f t="shared" si="15"/>
        <v>1745.3333333333333</v>
      </c>
      <c r="L58" s="117">
        <f t="shared" si="15"/>
        <v>107.07843137254902</v>
      </c>
      <c r="M58" s="120">
        <f t="shared" si="15"/>
        <v>16.333333333333332</v>
      </c>
      <c r="N58" s="120">
        <f t="shared" si="15"/>
        <v>1517.8798617722762</v>
      </c>
      <c r="O58" s="117">
        <f t="shared" si="15"/>
        <v>93.123565529565212</v>
      </c>
      <c r="P58" s="121">
        <f>M58-J58</f>
        <v>0</v>
      </c>
      <c r="Q58" s="122">
        <f>N58-K58</f>
        <v>-227.45347156105709</v>
      </c>
      <c r="R58" s="123">
        <f>O58/L58</f>
        <v>0.86967622084010732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-227.45347156105709</v>
      </c>
      <c r="AG58" s="124">
        <f>N58/K58</f>
        <v>0.86967906518656013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3083</v>
      </c>
      <c r="H59" s="243">
        <f>F59*G59</f>
        <v>83210.17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1541.5000000000066</v>
      </c>
      <c r="O59" s="138">
        <f>N59/M59</f>
        <v>102.76666666666711</v>
      </c>
      <c r="P59" s="56">
        <f>M59-J59</f>
        <v>0</v>
      </c>
      <c r="Q59" s="230">
        <f>O59-L59</f>
        <v>-6.2999999999995566</v>
      </c>
      <c r="R59" s="52">
        <f>O59/L59</f>
        <v>0.94223716381418499</v>
      </c>
      <c r="S59" s="392">
        <f>R69</f>
        <v>0.89599750389748511</v>
      </c>
      <c r="T59" s="245">
        <v>0.29166666666666702</v>
      </c>
      <c r="U59" s="245">
        <v>0.375</v>
      </c>
      <c r="V59" s="55"/>
      <c r="W59" s="54">
        <f t="shared" si="6"/>
        <v>119.99999999999949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-94.499999999993406</v>
      </c>
      <c r="AG59" s="246">
        <f>N59/K59</f>
        <v>0.94223716381418499</v>
      </c>
      <c r="AH59" s="380">
        <f>AG69</f>
        <v>0.90010769589008077</v>
      </c>
    </row>
    <row r="60" spans="1:34" ht="15" customHeight="1">
      <c r="A60" s="399"/>
      <c r="B60" s="75" t="s">
        <v>132</v>
      </c>
      <c r="C60" s="86"/>
      <c r="D60" s="175" t="s">
        <v>135</v>
      </c>
      <c r="E60" s="87"/>
      <c r="F60" s="75">
        <f>VLOOKUP(D60,廠價表!$C$1:$E$43,3,0)</f>
        <v>28.26</v>
      </c>
      <c r="G60" s="30">
        <v>800</v>
      </c>
      <c r="H60" s="78">
        <f>F60*G60</f>
        <v>22608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1371.428571428545</v>
      </c>
      <c r="O60" s="81">
        <f>N60/M60</f>
        <v>124.67532467532227</v>
      </c>
      <c r="P60" s="74">
        <f>M60-J60</f>
        <v>0</v>
      </c>
      <c r="Q60" s="83">
        <f>O60-L60</f>
        <v>-24.051948051950447</v>
      </c>
      <c r="R60" s="72">
        <f>O60/L60</f>
        <v>0.83828152287808377</v>
      </c>
      <c r="S60" s="402"/>
      <c r="T60" s="22">
        <v>0.38194444444444398</v>
      </c>
      <c r="U60" s="22">
        <v>0.40625</v>
      </c>
      <c r="V60" s="30">
        <f>(T60-U59)*24*60</f>
        <v>9.999999999999325</v>
      </c>
      <c r="W60" s="248">
        <f t="shared" si="6"/>
        <v>35.000000000000675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-264.57142857145504</v>
      </c>
      <c r="AG60" s="249">
        <f>N60/K60</f>
        <v>0.83828152287808366</v>
      </c>
      <c r="AH60" s="403"/>
    </row>
    <row r="61" spans="1:34" ht="15" customHeight="1">
      <c r="A61" s="400"/>
      <c r="B61" s="250" t="s">
        <v>132</v>
      </c>
      <c r="C61" s="251"/>
      <c r="D61" s="252" t="s">
        <v>134</v>
      </c>
      <c r="E61" s="253"/>
      <c r="F61" s="250">
        <f>VLOOKUP(D61,廠價表!$C$1:$E$43,3,0)</f>
        <v>28.26</v>
      </c>
      <c r="G61" s="38">
        <v>1254</v>
      </c>
      <c r="H61" s="254">
        <f>F61*G61</f>
        <v>35438.04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1504.7999999999645</v>
      </c>
      <c r="O61" s="238">
        <f>N61/M61</f>
        <v>136.79999999999677</v>
      </c>
      <c r="P61" s="111">
        <f>M61-J61</f>
        <v>0</v>
      </c>
      <c r="Q61" s="255">
        <f>O61-L61</f>
        <v>-11.927272727275948</v>
      </c>
      <c r="R61" s="85">
        <f>O61/L61</f>
        <v>0.91980440097797345</v>
      </c>
      <c r="S61" s="393"/>
      <c r="T61" s="22">
        <v>0.41319444444444398</v>
      </c>
      <c r="U61" s="22">
        <v>0.44791666666666702</v>
      </c>
      <c r="V61" s="30">
        <f>(T61-U60)*24*60</f>
        <v>9.999999999999325</v>
      </c>
      <c r="W61" s="256">
        <f t="shared" si="6"/>
        <v>50.00000000000118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-131.20000000003552</v>
      </c>
      <c r="AG61" s="247">
        <f>N61/K61</f>
        <v>0.91980440097797345</v>
      </c>
      <c r="AH61" s="382"/>
    </row>
    <row r="62" spans="1:34" ht="15" customHeight="1">
      <c r="A62" s="400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93"/>
      <c r="T62" s="22"/>
      <c r="U62" s="22"/>
      <c r="V62" s="30"/>
      <c r="W62" s="248">
        <f t="shared" si="6"/>
        <v>0</v>
      </c>
      <c r="X62" s="22">
        <v>0.50347222222222199</v>
      </c>
      <c r="Y62" s="84">
        <v>0.54513888888888895</v>
      </c>
      <c r="Z62" s="90"/>
      <c r="AA62" s="90"/>
      <c r="AB62" s="386"/>
      <c r="AC62" s="386"/>
      <c r="AD62" s="92"/>
      <c r="AE62" s="92"/>
      <c r="AF62" s="317">
        <f>N62-K62</f>
        <v>0</v>
      </c>
      <c r="AG62" s="247" t="e">
        <f>N62/K62</f>
        <v>#DIV/0!</v>
      </c>
      <c r="AH62" s="382"/>
    </row>
    <row r="63" spans="1:34" ht="15" customHeight="1">
      <c r="A63" s="4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93"/>
      <c r="T63" s="22"/>
      <c r="U63" s="22"/>
      <c r="V63" s="30"/>
      <c r="W63" s="248">
        <f t="shared" si="6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6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6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6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6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6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16">AVERAGE(J59:J68)</f>
        <v>12.333333333333334</v>
      </c>
      <c r="K69" s="240">
        <f t="shared" si="16"/>
        <v>1636</v>
      </c>
      <c r="L69" s="268">
        <f t="shared" si="16"/>
        <v>135.50707070707071</v>
      </c>
      <c r="M69" s="240">
        <f t="shared" si="16"/>
        <v>12.333333333333334</v>
      </c>
      <c r="N69" s="240">
        <f t="shared" si="16"/>
        <v>1472.5761904761721</v>
      </c>
      <c r="O69" s="268">
        <f t="shared" si="16"/>
        <v>121.41399711399538</v>
      </c>
      <c r="P69" s="269">
        <f>M69-J69</f>
        <v>0</v>
      </c>
      <c r="Q69" s="222">
        <f>N69-K69</f>
        <v>-163.42380952382791</v>
      </c>
      <c r="R69" s="123">
        <f>O69/L69</f>
        <v>0.89599750389748511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-163.42380952382791</v>
      </c>
      <c r="AG69" s="124">
        <f>N69/K69</f>
        <v>0.90010769589008077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1154</v>
      </c>
      <c r="H70" s="243">
        <f>F70*G70</f>
        <v>50649.06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7</v>
      </c>
      <c r="N70" s="137">
        <f>G70/W70*60</f>
        <v>786.81818181818323</v>
      </c>
      <c r="O70" s="138">
        <f>N70/M70</f>
        <v>112.40259740259761</v>
      </c>
      <c r="P70" s="56">
        <f>M70-J70</f>
        <v>-6</v>
      </c>
      <c r="Q70" s="230">
        <f>O70-L70</f>
        <v>-7.9820179820177799</v>
      </c>
      <c r="R70" s="52">
        <f>O70/L70</f>
        <v>0.93369569727397372</v>
      </c>
      <c r="S70" s="392">
        <f>R79</f>
        <v>0.93308820658180947</v>
      </c>
      <c r="T70" s="245">
        <v>0.29305555555555601</v>
      </c>
      <c r="U70" s="245">
        <v>0.35416666666666702</v>
      </c>
      <c r="V70" s="55"/>
      <c r="W70" s="54">
        <f t="shared" si="6"/>
        <v>87.999999999999844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-778.18181818181677</v>
      </c>
      <c r="AG70" s="246">
        <f>N70/K70</f>
        <v>0.50275922160906272</v>
      </c>
      <c r="AH70" s="380">
        <f>AG79</f>
        <v>0.59245186972281549</v>
      </c>
    </row>
    <row r="71" spans="1:36" ht="15" customHeight="1">
      <c r="A71" s="390"/>
      <c r="B71" s="75" t="s">
        <v>132</v>
      </c>
      <c r="C71" s="76"/>
      <c r="D71" s="59" t="s">
        <v>136</v>
      </c>
      <c r="E71" s="77"/>
      <c r="F71" s="250">
        <f>VLOOKUP(D71,廠價表!$C$1:$E$43,3,0)</f>
        <v>28.26</v>
      </c>
      <c r="G71" s="30">
        <v>2922</v>
      </c>
      <c r="H71" s="254">
        <f>F71*G71</f>
        <v>82575.72</v>
      </c>
      <c r="I71" s="182"/>
      <c r="J71" s="106">
        <f>VLOOKUP(D71,產線配置圖!$A$3:$C$40,2,0)</f>
        <v>11</v>
      </c>
      <c r="K71" s="107">
        <f>VLOOKUP(D71,產線配置圖!$A$3:$C$40,3,0)</f>
        <v>1636</v>
      </c>
      <c r="L71" s="238">
        <f>K71/J71</f>
        <v>148.72727272727272</v>
      </c>
      <c r="M71" s="82">
        <v>8</v>
      </c>
      <c r="N71" s="107">
        <f>G71/W71*60</f>
        <v>1109.620253164549</v>
      </c>
      <c r="O71" s="238">
        <f>N71/M71</f>
        <v>138.70253164556863</v>
      </c>
      <c r="P71" s="111">
        <f>M71-J71</f>
        <v>-3</v>
      </c>
      <c r="Q71" s="255">
        <f>O71-L71</f>
        <v>-10.024741081704093</v>
      </c>
      <c r="R71" s="85">
        <f>O71/L71</f>
        <v>0.93259648416947127</v>
      </c>
      <c r="S71" s="393"/>
      <c r="T71" s="22">
        <v>0.38333333333333303</v>
      </c>
      <c r="U71" s="22">
        <v>0.49305555555555602</v>
      </c>
      <c r="V71" s="30">
        <f>(T71-U70)*24*60</f>
        <v>41.999999999999048</v>
      </c>
      <c r="W71" s="73">
        <f t="shared" si="6"/>
        <v>158.00000000000111</v>
      </c>
      <c r="X71" s="271"/>
      <c r="Y71" s="293"/>
      <c r="Z71" s="90"/>
      <c r="AA71" s="90"/>
      <c r="AB71" s="385" t="s">
        <v>143</v>
      </c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6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6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6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6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6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6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6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17">AVERAGE(J70:J78)</f>
        <v>12</v>
      </c>
      <c r="K79" s="240">
        <f t="shared" si="17"/>
        <v>1600.5</v>
      </c>
      <c r="L79" s="268">
        <f t="shared" si="17"/>
        <v>134.55594405594405</v>
      </c>
      <c r="M79" s="240">
        <f t="shared" si="17"/>
        <v>7.5</v>
      </c>
      <c r="N79" s="240">
        <f t="shared" si="17"/>
        <v>948.21921749136618</v>
      </c>
      <c r="O79" s="268">
        <f t="shared" si="17"/>
        <v>125.55256452408312</v>
      </c>
      <c r="P79" s="269">
        <f>M79-J79</f>
        <v>-4.5</v>
      </c>
      <c r="Q79" s="222">
        <f>N79-K79</f>
        <v>-652.28078250863382</v>
      </c>
      <c r="R79" s="223">
        <f>O79/L79</f>
        <v>0.93308820658180947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-652.28078250863382</v>
      </c>
      <c r="AG79" s="124">
        <f>N79/K79</f>
        <v>0.59245186972281549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287" priority="1" operator="greaterThan">
      <formula>0</formula>
    </cfRule>
  </conditionalFormatting>
  <conditionalFormatting sqref="Q5:Q79 AF5:AF79">
    <cfRule type="cellIs" dxfId="286" priority="4" operator="lessThan">
      <formula>0</formula>
    </cfRule>
  </conditionalFormatting>
  <conditionalFormatting sqref="R5:R79 AG5:AG79">
    <cfRule type="cellIs" dxfId="285" priority="2" operator="greaterThan">
      <formula>1</formula>
    </cfRule>
    <cfRule type="cellIs" dxfId="284" priority="3" operator="lessThan">
      <formula>0.8</formula>
    </cfRule>
  </conditionalFormatting>
  <conditionalFormatting sqref="S5:S10 S37:S62 AH59:AH62 S69:S76 AH69:AH76">
    <cfRule type="cellIs" dxfId="283" priority="7" operator="lessThan">
      <formula>0.8</formula>
    </cfRule>
  </conditionalFormatting>
  <conditionalFormatting sqref="S19:S25 AH19:AH25">
    <cfRule type="cellIs" dxfId="282" priority="6" operator="lessThan">
      <formula>0.8</formula>
    </cfRule>
  </conditionalFormatting>
  <conditionalFormatting sqref="S79">
    <cfRule type="cellIs" dxfId="281" priority="5" operator="lessThan">
      <formula>0.8</formula>
    </cfRule>
  </conditionalFormatting>
  <conditionalFormatting sqref="AH5:AH8 S15:S16 AH15:AH16 AH49 AH79">
    <cfRule type="cellIs" dxfId="280" priority="9" operator="lessThan">
      <formula>0.8</formula>
    </cfRule>
  </conditionalFormatting>
  <conditionalFormatting sqref="AH27 S27:S28">
    <cfRule type="cellIs" dxfId="27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09AE-D678-4D0E-A150-FFAA3B175F6A}">
  <dimension ref="B1:O26"/>
  <sheetViews>
    <sheetView topLeftCell="B59" zoomScale="70" zoomScaleNormal="70" workbookViewId="0">
      <selection activeCell="J7" sqref="J7:K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46268</v>
      </c>
      <c r="E3" s="504"/>
      <c r="F3" s="3" t="s">
        <v>72</v>
      </c>
      <c r="G3" s="505">
        <f>'0903'!E1</f>
        <v>44607</v>
      </c>
      <c r="H3" s="505"/>
      <c r="I3" s="3" t="s">
        <v>2</v>
      </c>
      <c r="J3" s="506">
        <f>'0903'!G1</f>
        <v>2072932.145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AVERAGE(D13:I13)</f>
        <v>127.40298345717463</v>
      </c>
      <c r="G6" s="501"/>
      <c r="H6" s="502">
        <f>AVERAGE(D13:H13)</f>
        <v>124.72454984557926</v>
      </c>
      <c r="I6" s="502"/>
      <c r="J6" s="502">
        <f>AVERAGE(I13)</f>
        <v>140.79515151515153</v>
      </c>
      <c r="K6" s="502"/>
      <c r="L6" s="492">
        <f>'0903'!Z2</f>
        <v>4</v>
      </c>
      <c r="M6" s="493">
        <f>'0903'!AA2</f>
        <v>50</v>
      </c>
      <c r="N6" s="494">
        <f>'0903'!AD2</f>
        <v>0</v>
      </c>
      <c r="O6" s="493">
        <f>'0903'!AE2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AVERAGE(D14:I14)</f>
        <v>110.15841474891506</v>
      </c>
      <c r="G7" s="490"/>
      <c r="H7" s="491">
        <f>AVERAGE(D14:H14)</f>
        <v>107.04518937117692</v>
      </c>
      <c r="I7" s="491"/>
      <c r="J7" s="491">
        <f>AVERAGE(I14)</f>
        <v>125.72454163760581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AVERAGE(D15:I15)</f>
        <v>0.86735402801896955</v>
      </c>
      <c r="G8" s="496"/>
      <c r="H8" s="496">
        <f>AVERAGE(D15:H15)</f>
        <v>0.86223268711113299</v>
      </c>
      <c r="I8" s="496"/>
      <c r="J8" s="496">
        <f>AVERAGE(I15)</f>
        <v>0.89296073255815267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VALUE('0903'!L15)</f>
        <v>149.22173382173384</v>
      </c>
      <c r="E13" s="13">
        <f>VALUE('0903'!L26)</f>
        <v>174.10714285714286</v>
      </c>
      <c r="F13" s="13">
        <f>VALUE('0903'!L37)</f>
        <v>96.919281045751632</v>
      </c>
      <c r="G13" s="13">
        <f>VALUE('0903'!L48)</f>
        <v>99.006944444444443</v>
      </c>
      <c r="H13" s="13">
        <f>VALUE('0903'!L58)</f>
        <v>104.36764705882354</v>
      </c>
      <c r="I13" s="13">
        <f>VALUE('0903'!L69)</f>
        <v>140.79515151515153</v>
      </c>
      <c r="J13" s="13">
        <f>'0903'!L79</f>
        <v>0</v>
      </c>
    </row>
    <row r="14" spans="2:15" ht="39.950000000000003" customHeight="1">
      <c r="B14" s="484"/>
      <c r="C14" s="12" t="s">
        <v>100</v>
      </c>
      <c r="D14" s="13">
        <f>VALUE('0903'!O15)</f>
        <v>120.37078552496754</v>
      </c>
      <c r="E14" s="13">
        <f>VALUE('0903'!O26)</f>
        <v>150.41860233856286</v>
      </c>
      <c r="F14" s="13">
        <f>VALUE('0903'!O37)</f>
        <v>86.67939002086186</v>
      </c>
      <c r="G14" s="13">
        <f>VALUE('0903'!O48)</f>
        <v>82.952185792349553</v>
      </c>
      <c r="H14" s="13">
        <f>VALUE('0903'!O58)</f>
        <v>94.804983179142766</v>
      </c>
      <c r="I14" s="13">
        <f>VALUE('0903'!O69)</f>
        <v>125.72454163760581</v>
      </c>
      <c r="J14" s="13">
        <f>'0903'!O79</f>
        <v>0</v>
      </c>
    </row>
    <row r="15" spans="2:15" ht="39.950000000000003" customHeight="1">
      <c r="B15" s="485"/>
      <c r="C15" s="10" t="s">
        <v>26</v>
      </c>
      <c r="D15" s="14">
        <f t="shared" ref="D15:I15" si="0">D14/D13</f>
        <v>0.80665719692526305</v>
      </c>
      <c r="E15" s="14">
        <f t="shared" si="0"/>
        <v>0.8639427416368739</v>
      </c>
      <c r="F15" s="14">
        <f t="shared" si="0"/>
        <v>0.89434619288956618</v>
      </c>
      <c r="G15" s="14">
        <f t="shared" si="0"/>
        <v>0.83784209539863475</v>
      </c>
      <c r="H15" s="14">
        <f t="shared" si="0"/>
        <v>0.90837520870532729</v>
      </c>
      <c r="I15" s="14">
        <f t="shared" si="0"/>
        <v>0.89296073255815267</v>
      </c>
      <c r="J15" s="15">
        <f>'0903'!S70</f>
        <v>0</v>
      </c>
    </row>
    <row r="16" spans="2:15" ht="17.25" customHeight="1">
      <c r="B16" s="486" t="s">
        <v>101</v>
      </c>
      <c r="C16" s="10" t="s">
        <v>34</v>
      </c>
      <c r="D16" s="16">
        <f>'0903'!T5</f>
        <v>0.30555555555555602</v>
      </c>
      <c r="E16" s="16">
        <f>'0903'!T16</f>
        <v>0.29861111111111099</v>
      </c>
      <c r="F16" s="16">
        <f>'0903'!T27</f>
        <v>0.29166666666666702</v>
      </c>
      <c r="G16" s="16">
        <f>'0903'!T38</f>
        <v>0.33333333333333298</v>
      </c>
      <c r="H16" s="16">
        <f>'0903'!T49</f>
        <v>0.29166666666666702</v>
      </c>
      <c r="I16" s="16">
        <f>'0903'!T59</f>
        <v>0.29166666666666702</v>
      </c>
      <c r="J16" s="17">
        <f>'0903'!T70</f>
        <v>0</v>
      </c>
    </row>
    <row r="17" spans="2:10" ht="17.25" customHeight="1">
      <c r="B17" s="487"/>
      <c r="C17" s="10" t="s">
        <v>35</v>
      </c>
      <c r="D17" s="327">
        <v>0.61250000000000004</v>
      </c>
      <c r="E17" s="19">
        <v>0.61111111111111105</v>
      </c>
      <c r="F17" s="183">
        <v>0.5</v>
      </c>
      <c r="G17" s="20">
        <v>0.49583333333333302</v>
      </c>
      <c r="H17" s="329">
        <v>0.45486111111111099</v>
      </c>
      <c r="I17" s="22">
        <v>0.59861111111111098</v>
      </c>
      <c r="J17" s="17">
        <f>'0903'!T71</f>
        <v>0</v>
      </c>
    </row>
    <row r="18" spans="2:10" ht="17.25" customHeight="1">
      <c r="B18" s="488" t="s">
        <v>102</v>
      </c>
      <c r="C18" s="330" t="s">
        <v>36</v>
      </c>
      <c r="D18" s="359">
        <f>'0903'!Z15</f>
        <v>2</v>
      </c>
      <c r="E18" s="360">
        <f>'0903'!Z26</f>
        <v>2</v>
      </c>
      <c r="F18" s="360">
        <f>'0903'!Z37</f>
        <v>0</v>
      </c>
      <c r="G18" s="361">
        <f>'0903'!Z48</f>
        <v>0</v>
      </c>
      <c r="H18" s="361">
        <f>'0903'!Z58</f>
        <v>0</v>
      </c>
      <c r="I18" s="360">
        <f>'0903'!Z69</f>
        <v>0</v>
      </c>
      <c r="J18" s="360">
        <f>'0903'!AA79</f>
        <v>0</v>
      </c>
    </row>
    <row r="19" spans="2:10" ht="17.25" customHeight="1">
      <c r="B19" s="489"/>
      <c r="C19" s="330" t="s">
        <v>37</v>
      </c>
      <c r="D19" s="359">
        <f>'0903'!AA15</f>
        <v>25</v>
      </c>
      <c r="E19" s="360">
        <f>'0903'!AA26</f>
        <v>25</v>
      </c>
      <c r="F19" s="360">
        <f>'0903'!AA37</f>
        <v>0</v>
      </c>
      <c r="G19" s="361">
        <f>'0903'!AA48</f>
        <v>0</v>
      </c>
      <c r="H19" s="361">
        <f>'0903'!AA58</f>
        <v>0</v>
      </c>
      <c r="I19" s="360">
        <f>'0903'!AA69</f>
        <v>0</v>
      </c>
      <c r="J19" s="360">
        <f>'0903'!AB79</f>
        <v>0</v>
      </c>
    </row>
    <row r="20" spans="2:10" ht="17.25" customHeight="1">
      <c r="B20" s="488" t="s">
        <v>103</v>
      </c>
      <c r="C20" s="330" t="s">
        <v>36</v>
      </c>
      <c r="D20" s="359">
        <f>'0903'!AD15</f>
        <v>0</v>
      </c>
      <c r="E20" s="360">
        <f>'0903'!AD26</f>
        <v>0</v>
      </c>
      <c r="F20" s="360">
        <f>'0903'!AD37</f>
        <v>0</v>
      </c>
      <c r="G20" s="361">
        <f>'0903'!AD48</f>
        <v>0</v>
      </c>
      <c r="H20" s="361">
        <f>'0903'!AD58</f>
        <v>0</v>
      </c>
      <c r="I20" s="360">
        <f>'0903'!AD69</f>
        <v>0</v>
      </c>
      <c r="J20" s="360">
        <f>'0903'!AD79</f>
        <v>0</v>
      </c>
    </row>
    <row r="21" spans="2:10" ht="17.25" customHeight="1">
      <c r="B21" s="489"/>
      <c r="C21" s="330" t="s">
        <v>85</v>
      </c>
      <c r="D21" s="359">
        <f>'0903'!AE15</f>
        <v>0</v>
      </c>
      <c r="E21" s="360">
        <f>'0903'!AE26</f>
        <v>0</v>
      </c>
      <c r="F21" s="360">
        <f>'0903'!AE37</f>
        <v>0</v>
      </c>
      <c r="G21" s="361">
        <f>'0903'!AE48</f>
        <v>0</v>
      </c>
      <c r="H21" s="361">
        <f>'0903'!AE58</f>
        <v>0</v>
      </c>
      <c r="I21" s="360">
        <f>'0903'!AE69</f>
        <v>0</v>
      </c>
      <c r="J21" s="360">
        <f>'0903'!AE79</f>
        <v>0</v>
      </c>
    </row>
    <row r="22" spans="2:10" ht="17.25" customHeight="1">
      <c r="B22" s="471" t="s">
        <v>104</v>
      </c>
      <c r="C22" s="472"/>
      <c r="D22" s="23">
        <f>VALUE('0903'!M15)</f>
        <v>14.6</v>
      </c>
      <c r="E22" s="23">
        <f>VALUE('0903'!M26)</f>
        <v>13</v>
      </c>
      <c r="F22" s="23">
        <f>VALUE('0903'!M37)</f>
        <v>16.399999999999999</v>
      </c>
      <c r="G22" s="23">
        <f>VALUE('0903'!M48)</f>
        <v>16.5</v>
      </c>
      <c r="H22" s="23">
        <f>VALUE('0903'!M58)</f>
        <v>16.5</v>
      </c>
      <c r="I22" s="23">
        <f>VALUE('0903'!M69)</f>
        <v>11.8</v>
      </c>
      <c r="J22" s="23">
        <f>'0903'!M79</f>
        <v>0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27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0FD37-CBEA-4D68-B509-7F029DE1007E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U19" sqref="U1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44607</v>
      </c>
      <c r="F1" s="30" t="s">
        <v>2</v>
      </c>
      <c r="G1" s="31">
        <f>SUM(H5:H79)</f>
        <v>2072932.145</v>
      </c>
      <c r="H1" s="32" t="s">
        <v>3</v>
      </c>
      <c r="I1" s="33">
        <f>M15+M26+M48+M58+M69+M79+M37</f>
        <v>88.800000000000011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144</v>
      </c>
      <c r="B2" s="462"/>
      <c r="C2" s="28"/>
      <c r="D2" s="28" t="s">
        <v>14</v>
      </c>
      <c r="E2" s="35">
        <f>AVERAGE(O15,O26,O37,O48,O58,O69,O79)</f>
        <v>110.15841474891506</v>
      </c>
      <c r="F2" s="36" t="s">
        <v>15</v>
      </c>
      <c r="G2" s="37">
        <f>G1/E1</f>
        <v>46.471005559665521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4</v>
      </c>
      <c r="AA2" s="339">
        <f>AA15+AA26+AA37+AA48+AA58+AA69+AA79</f>
        <v>50</v>
      </c>
      <c r="AB2" s="433"/>
      <c r="AC2" s="433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1905</v>
      </c>
      <c r="H5" s="43">
        <f>F5*G5</f>
        <v>108337.34999999999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1465.3846153846341</v>
      </c>
      <c r="O5" s="47">
        <f>N5/M5</f>
        <v>104.67032967033101</v>
      </c>
      <c r="P5" s="49">
        <f>M5-J5</f>
        <v>0</v>
      </c>
      <c r="Q5" s="50">
        <f>O5-L5</f>
        <v>-56.043956043954708</v>
      </c>
      <c r="R5" s="51">
        <f>O5/L5</f>
        <v>0.65128205128205963</v>
      </c>
      <c r="S5" s="392">
        <f>R15</f>
        <v>0.80665719692526305</v>
      </c>
      <c r="T5" s="319">
        <v>0.30555555555555602</v>
      </c>
      <c r="U5" s="16">
        <v>0.359722222222222</v>
      </c>
      <c r="V5" s="53"/>
      <c r="W5" s="54">
        <f t="shared" ref="W5:W14" si="0">(U5-T5)*24*60</f>
        <v>77.999999999999005</v>
      </c>
      <c r="X5" s="55"/>
      <c r="Y5" s="290"/>
      <c r="Z5" s="169">
        <v>2</v>
      </c>
      <c r="AA5" s="169">
        <v>25</v>
      </c>
      <c r="AB5" s="397" t="s">
        <v>145</v>
      </c>
      <c r="AC5" s="397"/>
      <c r="AD5" s="135"/>
      <c r="AE5" s="135"/>
      <c r="AF5" s="229">
        <f t="shared" ref="AF5:AF11" si="1">N5-K5</f>
        <v>-784.61538461536588</v>
      </c>
      <c r="AG5" s="52">
        <f t="shared" ref="AG5:AG11" si="2">N5/K5</f>
        <v>0.65128205128205963</v>
      </c>
      <c r="AH5" s="380">
        <f>AG15</f>
        <v>0.80665063777067758</v>
      </c>
    </row>
    <row r="6" spans="1:34" ht="15" customHeight="1">
      <c r="A6" s="466"/>
      <c r="B6" s="75" t="s">
        <v>81</v>
      </c>
      <c r="C6" s="76"/>
      <c r="D6" s="59" t="s">
        <v>116</v>
      </c>
      <c r="E6" s="77"/>
      <c r="F6" s="75">
        <f>VLOOKUP(D6,廠價表!$C$1:$E$43,3,0)</f>
        <v>58.17</v>
      </c>
      <c r="G6" s="66">
        <v>2280</v>
      </c>
      <c r="H6" s="78">
        <f t="shared" ref="H6:H9" si="3">F6*G6</f>
        <v>132627.6</v>
      </c>
      <c r="I6" s="73"/>
      <c r="J6" s="79">
        <f>VLOOKUP(D6,產線配置圖!$A$3:$C$40,2,0)</f>
        <v>13</v>
      </c>
      <c r="K6" s="80">
        <f>VLOOKUP(D6,產線配置圖!$A$3:$C$40,3,0)</f>
        <v>2250</v>
      </c>
      <c r="L6" s="81">
        <f t="shared" ref="L6:L9" si="4">K6/J6</f>
        <v>173.07692307692307</v>
      </c>
      <c r="M6" s="82">
        <v>13</v>
      </c>
      <c r="N6" s="66">
        <f t="shared" ref="N6:N9" si="5">G6/W6*60</f>
        <v>1824.0000000000125</v>
      </c>
      <c r="O6" s="67">
        <f t="shared" ref="O6:O9" si="6">N6/M6</f>
        <v>140.30769230769326</v>
      </c>
      <c r="P6" s="69">
        <f t="shared" ref="P6:P9" si="7">M6-J6</f>
        <v>0</v>
      </c>
      <c r="Q6" s="70">
        <f t="shared" ref="Q6:Q9" si="8">O6-L6</f>
        <v>-32.769230769229807</v>
      </c>
      <c r="R6" s="71">
        <f t="shared" ref="R6:R9" si="9">O6/L6</f>
        <v>0.8106666666666722</v>
      </c>
      <c r="S6" s="393"/>
      <c r="T6" s="16">
        <v>0.36805555555555602</v>
      </c>
      <c r="U6" s="16">
        <v>0.42013888888888901</v>
      </c>
      <c r="V6" s="30">
        <f>(T6-U5)*24*60</f>
        <v>12.000000000000997</v>
      </c>
      <c r="W6" s="73">
        <f t="shared" si="0"/>
        <v>74.999999999999488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-425.99999999998749</v>
      </c>
      <c r="AG6" s="72">
        <f t="shared" si="2"/>
        <v>0.8106666666666722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2476</v>
      </c>
      <c r="H7" s="78">
        <f t="shared" si="3"/>
        <v>121670.64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 t="shared" si="4"/>
        <v>160.71428571428572</v>
      </c>
      <c r="M7" s="82">
        <v>14</v>
      </c>
      <c r="N7" s="80">
        <f t="shared" si="5"/>
        <v>2122.2857142857169</v>
      </c>
      <c r="O7" s="81">
        <f t="shared" si="6"/>
        <v>151.59183673469406</v>
      </c>
      <c r="P7" s="74">
        <f t="shared" si="7"/>
        <v>0</v>
      </c>
      <c r="Q7" s="83">
        <f t="shared" si="8"/>
        <v>-9.1224489795916668</v>
      </c>
      <c r="R7" s="72">
        <f t="shared" si="9"/>
        <v>0.94323809523809632</v>
      </c>
      <c r="S7" s="393"/>
      <c r="T7" s="16">
        <v>0.42847222222222198</v>
      </c>
      <c r="U7" s="16">
        <v>0.47708333333333303</v>
      </c>
      <c r="V7" s="30">
        <f t="shared" ref="V7:V9" si="10">(T7-U6)*24*60</f>
        <v>11.999999999999478</v>
      </c>
      <c r="W7" s="73">
        <f t="shared" si="0"/>
        <v>69.999999999999915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-127.71428571428305</v>
      </c>
      <c r="AG7" s="72">
        <f t="shared" si="2"/>
        <v>0.94323809523809643</v>
      </c>
      <c r="AH7" s="382"/>
    </row>
    <row r="8" spans="1:34" ht="15" customHeight="1">
      <c r="A8" s="466"/>
      <c r="B8" s="75" t="s">
        <v>81</v>
      </c>
      <c r="C8" s="86"/>
      <c r="D8" s="59" t="s">
        <v>117</v>
      </c>
      <c r="E8" s="87"/>
      <c r="F8" s="75">
        <f>VLOOKUP(D8,廠價表!$C$1:$E$43,3,0)</f>
        <v>49.14</v>
      </c>
      <c r="G8" s="62">
        <v>1261</v>
      </c>
      <c r="H8" s="78">
        <f t="shared" si="3"/>
        <v>61965.54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 t="shared" si="4"/>
        <v>160.71428571428572</v>
      </c>
      <c r="M8" s="82">
        <v>14</v>
      </c>
      <c r="N8" s="66">
        <f t="shared" si="5"/>
        <v>1845.3658536585503</v>
      </c>
      <c r="O8" s="67">
        <f t="shared" si="6"/>
        <v>131.81184668989644</v>
      </c>
      <c r="P8" s="69">
        <f t="shared" si="7"/>
        <v>0</v>
      </c>
      <c r="Q8" s="70">
        <f t="shared" si="8"/>
        <v>-28.902439024389281</v>
      </c>
      <c r="R8" s="71">
        <f t="shared" si="9"/>
        <v>0.82016260162602228</v>
      </c>
      <c r="S8" s="393"/>
      <c r="T8" s="22">
        <v>0.54374999999999996</v>
      </c>
      <c r="U8" s="22">
        <v>0.57222222222222197</v>
      </c>
      <c r="V8" s="30">
        <f t="shared" si="10"/>
        <v>96.000000000000384</v>
      </c>
      <c r="W8" s="73">
        <f t="shared" si="0"/>
        <v>40.999999999999694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-404.63414634144965</v>
      </c>
      <c r="AG8" s="72">
        <f t="shared" si="2"/>
        <v>0.82016260162602239</v>
      </c>
      <c r="AH8" s="382"/>
    </row>
    <row r="9" spans="1:34" ht="15" customHeight="1">
      <c r="A9" s="467"/>
      <c r="B9" s="101" t="s">
        <v>127</v>
      </c>
      <c r="C9" s="102"/>
      <c r="D9" s="103" t="s">
        <v>129</v>
      </c>
      <c r="E9" s="104"/>
      <c r="F9" s="75">
        <f>VLOOKUP(D9,廠價表!$C$1:$E$43,3,0)</f>
        <v>44.3</v>
      </c>
      <c r="G9" s="62">
        <v>1058</v>
      </c>
      <c r="H9" s="78">
        <f t="shared" si="3"/>
        <v>46869.399999999994</v>
      </c>
      <c r="I9" s="73"/>
      <c r="J9" s="79">
        <f>VLOOKUP(D9,產線配置圖!$A$3:$C$40,2,0)</f>
        <v>18</v>
      </c>
      <c r="K9" s="80">
        <f>VLOOKUP(D9,產線配置圖!$A$3:$C$40,3,0)</f>
        <v>1636</v>
      </c>
      <c r="L9" s="81">
        <f t="shared" si="4"/>
        <v>90.888888888888886</v>
      </c>
      <c r="M9" s="108">
        <v>18</v>
      </c>
      <c r="N9" s="80">
        <f t="shared" si="5"/>
        <v>1322.5000000000134</v>
      </c>
      <c r="O9" s="81">
        <f t="shared" si="6"/>
        <v>73.472222222222968</v>
      </c>
      <c r="P9" s="74">
        <f t="shared" si="7"/>
        <v>0</v>
      </c>
      <c r="Q9" s="83">
        <f t="shared" si="8"/>
        <v>-17.416666666665918</v>
      </c>
      <c r="R9" s="72">
        <f t="shared" si="9"/>
        <v>0.80837408312959258</v>
      </c>
      <c r="S9" s="394"/>
      <c r="T9" s="110">
        <v>0.57916666666666705</v>
      </c>
      <c r="U9" s="110">
        <v>0.61250000000000004</v>
      </c>
      <c r="V9" s="30">
        <f t="shared" si="10"/>
        <v>10.000000000000924</v>
      </c>
      <c r="W9" s="73">
        <f t="shared" si="0"/>
        <v>47.99999999999951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-313.49999999998658</v>
      </c>
      <c r="AG9" s="72">
        <f t="shared" si="2"/>
        <v>0.80837408312959258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66"/>
      <c r="O10" s="67"/>
      <c r="P10" s="69"/>
      <c r="Q10" s="70"/>
      <c r="R10" s="71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101"/>
      <c r="C11" s="102"/>
      <c r="D11" s="103"/>
      <c r="E11" s="104"/>
      <c r="F11" s="75"/>
      <c r="G11" s="62"/>
      <c r="H11" s="78"/>
      <c r="I11" s="73"/>
      <c r="J11" s="79"/>
      <c r="K11" s="80"/>
      <c r="L11" s="81"/>
      <c r="M11" s="108"/>
      <c r="N11" s="80"/>
      <c r="O11" s="81"/>
      <c r="P11" s="74"/>
      <c r="Q11" s="83"/>
      <c r="R11" s="72"/>
      <c r="S11" s="394"/>
      <c r="T11" s="110"/>
      <c r="U11" s="110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10"/>
      <c r="U12" s="110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11">AVERAGE(J5:J14)</f>
        <v>14.6</v>
      </c>
      <c r="K15" s="120">
        <f t="shared" si="11"/>
        <v>2127.1999999999998</v>
      </c>
      <c r="L15" s="117">
        <f t="shared" si="11"/>
        <v>149.22173382173384</v>
      </c>
      <c r="M15" s="120">
        <f t="shared" si="11"/>
        <v>14.6</v>
      </c>
      <c r="N15" s="120">
        <f t="shared" si="11"/>
        <v>1715.9072366657851</v>
      </c>
      <c r="O15" s="117">
        <f t="shared" si="11"/>
        <v>120.37078552496754</v>
      </c>
      <c r="P15" s="121">
        <f>M15-J15</f>
        <v>0</v>
      </c>
      <c r="Q15" s="122">
        <f>O15-L15</f>
        <v>-28.85094829676629</v>
      </c>
      <c r="R15" s="123">
        <f>O15/L15</f>
        <v>0.80665719692526305</v>
      </c>
      <c r="S15" s="396"/>
      <c r="T15" s="125"/>
      <c r="U15" s="125"/>
      <c r="V15" s="126"/>
      <c r="W15" s="127"/>
      <c r="X15" s="128"/>
      <c r="Y15" s="295"/>
      <c r="Z15" s="334">
        <f>SUM(Z5:Z14)</f>
        <v>2</v>
      </c>
      <c r="AA15" s="334">
        <f>SUM(AA5:AA14)</f>
        <v>25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-411.29276333421467</v>
      </c>
      <c r="AG15" s="124">
        <f>N15/K15</f>
        <v>0.80665063777067758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2003</v>
      </c>
      <c r="H16" s="134">
        <f>F16*G16</f>
        <v>113910.61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1465.6097560975463</v>
      </c>
      <c r="O16" s="141">
        <f>N16/M16</f>
        <v>104.68641114982474</v>
      </c>
      <c r="P16" s="142">
        <f>M16-J16</f>
        <v>0</v>
      </c>
      <c r="Q16" s="143">
        <f>O16-L16</f>
        <v>-56.027874564460987</v>
      </c>
      <c r="R16" s="144">
        <f>O16/L16</f>
        <v>0.65138211382113165</v>
      </c>
      <c r="S16" s="420">
        <f>R26</f>
        <v>0.8639427416368739</v>
      </c>
      <c r="T16" s="145">
        <v>0.29861111111111099</v>
      </c>
      <c r="U16" s="19">
        <v>0.35555555555555601</v>
      </c>
      <c r="V16" s="135"/>
      <c r="W16" s="146">
        <f t="shared" ref="W16:W78" si="12">(U16-T16)*24*60</f>
        <v>82.000000000000824</v>
      </c>
      <c r="X16" s="141"/>
      <c r="Y16" s="296"/>
      <c r="Z16" s="169">
        <v>2</v>
      </c>
      <c r="AA16" s="169">
        <v>25</v>
      </c>
      <c r="AB16" s="397" t="s">
        <v>145</v>
      </c>
      <c r="AC16" s="397"/>
      <c r="AD16" s="135"/>
      <c r="AE16" s="135"/>
      <c r="AF16" s="229">
        <f>N16-K16</f>
        <v>-784.39024390245368</v>
      </c>
      <c r="AG16" s="52">
        <f>N16/K16</f>
        <v>0.65138211382113165</v>
      </c>
      <c r="AH16" s="380">
        <f>AG26</f>
        <v>0.86022064430623635</v>
      </c>
    </row>
    <row r="17" spans="1:34" ht="15" customHeight="1">
      <c r="A17" s="427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3245</v>
      </c>
      <c r="H17" s="78">
        <f t="shared" ref="H17:H19" si="13">F17*G17</f>
        <v>164424.15</v>
      </c>
      <c r="I17" s="73"/>
      <c r="J17" s="79">
        <v>14</v>
      </c>
      <c r="K17" s="80">
        <f>VLOOKUP(D17,產線配置圖!$A$3:$C$40,3,0)</f>
        <v>2250</v>
      </c>
      <c r="L17" s="81">
        <f t="shared" ref="L17:L19" si="14">K17/J17</f>
        <v>160.71428571428572</v>
      </c>
      <c r="M17" s="148">
        <v>14</v>
      </c>
      <c r="N17" s="80">
        <f t="shared" ref="N17:N19" si="15">G17/W17*60</f>
        <v>2187.6404494382218</v>
      </c>
      <c r="O17" s="81">
        <f t="shared" ref="O17:O19" si="16">N17/M17</f>
        <v>156.26003210273012</v>
      </c>
      <c r="P17" s="74">
        <f t="shared" ref="P17:P19" si="17">M17-J17</f>
        <v>0</v>
      </c>
      <c r="Q17" s="83">
        <f t="shared" ref="Q17:Q19" si="18">O17-L17</f>
        <v>-4.4542536115556004</v>
      </c>
      <c r="R17" s="72">
        <f t="shared" ref="R17:R19" si="19">O17/L17</f>
        <v>0.97228464419476512</v>
      </c>
      <c r="S17" s="421"/>
      <c r="T17" s="19">
        <v>0.36388888888888898</v>
      </c>
      <c r="U17" s="19">
        <v>0.42569444444444399</v>
      </c>
      <c r="V17" s="30">
        <f>(T17-U16)*24*60</f>
        <v>11.999999999999478</v>
      </c>
      <c r="W17" s="149">
        <f t="shared" si="12"/>
        <v>88.999999999999204</v>
      </c>
      <c r="X17" s="19"/>
      <c r="Y17" s="297"/>
      <c r="Z17" s="90"/>
      <c r="AA17" s="90"/>
      <c r="AB17" s="386" t="s">
        <v>146</v>
      </c>
      <c r="AC17" s="386"/>
      <c r="AD17" s="92"/>
      <c r="AE17" s="92"/>
      <c r="AF17" s="307">
        <f>N17-K17</f>
        <v>-62.359550561778178</v>
      </c>
      <c r="AG17" s="72">
        <f>N17/K17</f>
        <v>0.97228464419476524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2014</v>
      </c>
      <c r="H18" s="78">
        <f t="shared" si="13"/>
        <v>101485.46</v>
      </c>
      <c r="I18" s="73"/>
      <c r="J18" s="79">
        <f>VLOOKUP(D18,產線配置圖!$A$3:$C$40,2,0)</f>
        <v>12</v>
      </c>
      <c r="K18" s="80">
        <f>VLOOKUP(D18,產線配置圖!$A$3:$C$40,3,0)</f>
        <v>2250</v>
      </c>
      <c r="L18" s="81">
        <f t="shared" si="14"/>
        <v>187.5</v>
      </c>
      <c r="M18" s="148">
        <v>12</v>
      </c>
      <c r="N18" s="80">
        <f t="shared" si="15"/>
        <v>2048.1355932203492</v>
      </c>
      <c r="O18" s="81">
        <f t="shared" si="16"/>
        <v>170.67796610169577</v>
      </c>
      <c r="P18" s="74">
        <f t="shared" si="17"/>
        <v>0</v>
      </c>
      <c r="Q18" s="83">
        <f t="shared" si="18"/>
        <v>-16.822033898304227</v>
      </c>
      <c r="R18" s="72">
        <f t="shared" si="19"/>
        <v>0.91028248587571081</v>
      </c>
      <c r="S18" s="421"/>
      <c r="T18" s="19">
        <v>0.43611111111111101</v>
      </c>
      <c r="U18" s="19">
        <v>0.47708333333333303</v>
      </c>
      <c r="V18" s="30">
        <f>(T18-U17)*24*60</f>
        <v>15.000000000000506</v>
      </c>
      <c r="W18" s="149">
        <f t="shared" si="12"/>
        <v>58.999999999999709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-201.86440677965084</v>
      </c>
      <c r="AG18" s="72">
        <f>N18/K18</f>
        <v>0.9102824858757107</v>
      </c>
      <c r="AH18" s="382"/>
    </row>
    <row r="19" spans="1:34" ht="15" customHeight="1">
      <c r="A19" s="427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3401</v>
      </c>
      <c r="H19" s="78">
        <f t="shared" si="13"/>
        <v>171376.39</v>
      </c>
      <c r="I19" s="73"/>
      <c r="J19" s="79">
        <f>VLOOKUP(D19,產線配置圖!$A$3:$C$40,2,0)</f>
        <v>12</v>
      </c>
      <c r="K19" s="80">
        <f>VLOOKUP(D19,產線配置圖!$A$3:$C$40,3,0)</f>
        <v>2250</v>
      </c>
      <c r="L19" s="81">
        <f t="shared" si="14"/>
        <v>187.5</v>
      </c>
      <c r="M19" s="148">
        <v>12</v>
      </c>
      <c r="N19" s="80">
        <f t="shared" si="15"/>
        <v>2040.6000000000106</v>
      </c>
      <c r="O19" s="81">
        <f t="shared" si="16"/>
        <v>170.05000000000089</v>
      </c>
      <c r="P19" s="74">
        <f t="shared" si="17"/>
        <v>0</v>
      </c>
      <c r="Q19" s="83">
        <f t="shared" si="18"/>
        <v>-17.449999999999108</v>
      </c>
      <c r="R19" s="72">
        <f t="shared" si="19"/>
        <v>0.90693333333333814</v>
      </c>
      <c r="S19" s="421"/>
      <c r="T19" s="19">
        <v>0.54166666666666696</v>
      </c>
      <c r="U19" s="19">
        <v>0.61111111111111105</v>
      </c>
      <c r="V19" s="30">
        <f>(T19-U18)*24*60</f>
        <v>93.000000000000867</v>
      </c>
      <c r="W19" s="149">
        <f t="shared" si="12"/>
        <v>99.999999999999488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-209.3999999999894</v>
      </c>
      <c r="AG19" s="72">
        <f>N19/K19</f>
        <v>0.90693333333333803</v>
      </c>
      <c r="AH19" s="383"/>
    </row>
    <row r="20" spans="1:34" ht="15" customHeight="1">
      <c r="A20" s="427"/>
      <c r="B20" s="30"/>
      <c r="C20" s="151"/>
      <c r="D20" s="59"/>
      <c r="E20" s="87"/>
      <c r="F20" s="105"/>
      <c r="G20" s="95"/>
      <c r="H20" s="78"/>
      <c r="I20" s="149"/>
      <c r="J20" s="148"/>
      <c r="K20" s="95"/>
      <c r="L20" s="96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12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9"/>
      <c r="U21" s="19"/>
      <c r="V21" s="30"/>
      <c r="W21" s="149">
        <f t="shared" si="12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9"/>
      <c r="U22" s="19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9"/>
      <c r="U23" s="19"/>
      <c r="W23" s="149">
        <f t="shared" si="12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/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9"/>
      <c r="U24" s="19"/>
      <c r="V24" s="92"/>
      <c r="W24" s="149">
        <f t="shared" si="12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20">AVERAGE(J16:J25)</f>
        <v>13</v>
      </c>
      <c r="K26" s="155">
        <f t="shared" si="20"/>
        <v>2250</v>
      </c>
      <c r="L26" s="158">
        <f t="shared" si="20"/>
        <v>174.10714285714286</v>
      </c>
      <c r="M26" s="155">
        <f t="shared" si="20"/>
        <v>13</v>
      </c>
      <c r="N26" s="155">
        <f t="shared" si="20"/>
        <v>1935.4964496890318</v>
      </c>
      <c r="O26" s="158">
        <f t="shared" si="20"/>
        <v>150.41860233856286</v>
      </c>
      <c r="P26" s="159">
        <f>M26-J26</f>
        <v>0</v>
      </c>
      <c r="Q26" s="160">
        <f>O26-L26</f>
        <v>-23.688540518579998</v>
      </c>
      <c r="R26" s="161">
        <f>O26/L26</f>
        <v>0.8639427416368739</v>
      </c>
      <c r="S26" s="422"/>
      <c r="T26" s="163"/>
      <c r="U26" s="163"/>
      <c r="V26" s="164"/>
      <c r="W26" s="165"/>
      <c r="X26" s="166"/>
      <c r="Y26" s="299"/>
      <c r="Z26" s="334">
        <f>SUM(Z16:Z25)</f>
        <v>2</v>
      </c>
      <c r="AA26" s="334">
        <f>SUM(AA16:AA25)</f>
        <v>25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21">N26-K26</f>
        <v>-314.50355031096819</v>
      </c>
      <c r="AG26" s="124">
        <f t="shared" ref="AG26:AG31" si="22">N26/K26</f>
        <v>0.86022064430623635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1004</v>
      </c>
      <c r="H27" s="134">
        <f>F27*G27</f>
        <v>50109.64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17</v>
      </c>
      <c r="N27" s="140">
        <f>G27/W27*60</f>
        <v>1434.2857142857467</v>
      </c>
      <c r="O27" s="141">
        <f>N27/M27</f>
        <v>84.369747899161567</v>
      </c>
      <c r="P27" s="142">
        <f>M27-J27</f>
        <v>-1</v>
      </c>
      <c r="Q27" s="143">
        <f>O27-L27</f>
        <v>-6.5191409897273189</v>
      </c>
      <c r="R27" s="144">
        <f>O27/L27</f>
        <v>0.92827350989297575</v>
      </c>
      <c r="S27" s="420">
        <f>R37</f>
        <v>0.89434619288956618</v>
      </c>
      <c r="T27" s="171">
        <v>0.29166666666666702</v>
      </c>
      <c r="U27" s="171">
        <v>0.32083333333333303</v>
      </c>
      <c r="V27" s="135"/>
      <c r="W27" s="146">
        <f t="shared" si="12"/>
        <v>41.999999999999048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21"/>
        <v>-201.71428571425326</v>
      </c>
      <c r="AG27" s="172">
        <f t="shared" si="22"/>
        <v>0.87670275934336594</v>
      </c>
      <c r="AH27" s="380">
        <f>AG37</f>
        <v>0.87414000663813041</v>
      </c>
    </row>
    <row r="28" spans="1:34" ht="15" customHeight="1">
      <c r="A28" s="418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1320</v>
      </c>
      <c r="H28" s="91">
        <f>F28*G28</f>
        <v>75517.2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1365.517241379302</v>
      </c>
      <c r="O28" s="96">
        <f>N28/M28</f>
        <v>80.324543610547181</v>
      </c>
      <c r="P28" s="97">
        <f>M28-J28</f>
        <v>-1</v>
      </c>
      <c r="Q28" s="98">
        <f>O28-L28</f>
        <v>-10.564345278341705</v>
      </c>
      <c r="R28" s="99">
        <f>O28/L28</f>
        <v>0.88376637224318422</v>
      </c>
      <c r="S28" s="421"/>
      <c r="T28" s="19">
        <v>0.327777777777778</v>
      </c>
      <c r="U28" s="19">
        <v>0.36805555555555602</v>
      </c>
      <c r="V28" s="92">
        <f>(T28-U27)*24*60</f>
        <v>10.000000000000764</v>
      </c>
      <c r="W28" s="149">
        <f t="shared" si="12"/>
        <v>58.000000000000355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21"/>
        <v>-270.48275862069795</v>
      </c>
      <c r="AG28" s="99">
        <f t="shared" si="22"/>
        <v>0.83466824045189614</v>
      </c>
      <c r="AH28" s="381"/>
    </row>
    <row r="29" spans="1:34" ht="15" customHeight="1">
      <c r="A29" s="418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1204</v>
      </c>
      <c r="H29" s="91">
        <f>F29*G29</f>
        <v>54974.64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1389.2307692307741</v>
      </c>
      <c r="O29" s="96">
        <f>N29/M29</f>
        <v>81.719457013574939</v>
      </c>
      <c r="P29" s="97">
        <f>M29-J29</f>
        <v>0</v>
      </c>
      <c r="Q29" s="98">
        <f>O29-L29</f>
        <v>-14.515837104072119</v>
      </c>
      <c r="R29" s="99">
        <f>O29/L29</f>
        <v>0.84916306187700119</v>
      </c>
      <c r="S29" s="421"/>
      <c r="T29" s="19">
        <v>0.37361111111111101</v>
      </c>
      <c r="U29" s="19">
        <v>0.40972222222222199</v>
      </c>
      <c r="V29" s="92">
        <f>(T29-U28)*24*60</f>
        <v>7.9999999999991722</v>
      </c>
      <c r="W29" s="149">
        <f t="shared" si="12"/>
        <v>51.999999999999815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21"/>
        <v>-246.76923076922594</v>
      </c>
      <c r="AG29" s="99">
        <f t="shared" si="22"/>
        <v>0.8491630618770013</v>
      </c>
      <c r="AH29" s="381"/>
    </row>
    <row r="30" spans="1:34" ht="15" customHeight="1">
      <c r="A30" s="418"/>
      <c r="B30" s="75" t="s">
        <v>81</v>
      </c>
      <c r="C30" s="88"/>
      <c r="D30" s="59" t="s">
        <v>140</v>
      </c>
      <c r="E30" s="89"/>
      <c r="F30" s="75">
        <f>VLOOKUP(D30,廠價表!$C$1:$E$43,3,0)</f>
        <v>43.89</v>
      </c>
      <c r="G30" s="90">
        <v>1016</v>
      </c>
      <c r="H30" s="91">
        <f t="shared" ref="H30:H31" si="23">F30*G30</f>
        <v>44592.24</v>
      </c>
      <c r="I30" s="92"/>
      <c r="J30" s="79">
        <v>15</v>
      </c>
      <c r="K30" s="80">
        <f>VLOOKUP(D30,產線配置圖!$A$3:$C$40,3,0)</f>
        <v>1565</v>
      </c>
      <c r="L30" s="93">
        <f t="shared" ref="L30:L31" si="24">K30/J30</f>
        <v>104.33333333333333</v>
      </c>
      <c r="M30" s="94">
        <v>15</v>
      </c>
      <c r="N30" s="95">
        <f t="shared" ref="N30:N31" si="25">G30/W30*60</f>
        <v>1385.4545454545253</v>
      </c>
      <c r="O30" s="96">
        <f t="shared" ref="O30:O31" si="26">N30/M30</f>
        <v>92.363636363635024</v>
      </c>
      <c r="P30" s="97">
        <f t="shared" ref="P30:P31" si="27">M30-J30</f>
        <v>0</v>
      </c>
      <c r="Q30" s="98">
        <f t="shared" ref="Q30:Q31" si="28">O30-L30</f>
        <v>-11.969696969698305</v>
      </c>
      <c r="R30" s="99">
        <f t="shared" ref="R30:R31" si="29">O30/L30</f>
        <v>0.88527446993899384</v>
      </c>
      <c r="S30" s="421"/>
      <c r="T30" s="19">
        <v>0.41597222222222202</v>
      </c>
      <c r="U30" s="19">
        <v>0.44652777777777802</v>
      </c>
      <c r="V30" s="92">
        <f>(T30-U29)*24*60</f>
        <v>9.000000000000048</v>
      </c>
      <c r="W30" s="149">
        <f t="shared" si="12"/>
        <v>44.000000000000639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21"/>
        <v>-179.54545454547474</v>
      </c>
      <c r="AG30" s="99">
        <f t="shared" si="22"/>
        <v>0.88527446993899372</v>
      </c>
      <c r="AH30" s="416"/>
    </row>
    <row r="31" spans="1:34" ht="15" customHeight="1">
      <c r="A31" s="418"/>
      <c r="B31" s="75" t="s">
        <v>81</v>
      </c>
      <c r="C31" s="88"/>
      <c r="D31" s="59" t="s">
        <v>124</v>
      </c>
      <c r="E31" s="89"/>
      <c r="F31" s="75">
        <f>VLOOKUP(D31,廠價表!$C$1:$E$43,3,0)</f>
        <v>46.34</v>
      </c>
      <c r="G31" s="90">
        <v>1741</v>
      </c>
      <c r="H31" s="91">
        <f t="shared" si="23"/>
        <v>80677.94</v>
      </c>
      <c r="I31" s="92"/>
      <c r="J31" s="79">
        <f>VLOOKUP(D31,產線配置圖!$A$3:$C$40,2,0)</f>
        <v>16</v>
      </c>
      <c r="K31" s="80">
        <f>VLOOKUP(D31,產線配置圖!$A$3:$C$40,3,0)</f>
        <v>1636</v>
      </c>
      <c r="L31" s="93">
        <f t="shared" si="24"/>
        <v>102.25</v>
      </c>
      <c r="M31" s="94">
        <v>16</v>
      </c>
      <c r="N31" s="95">
        <f t="shared" si="25"/>
        <v>1513.9130434782505</v>
      </c>
      <c r="O31" s="96">
        <f t="shared" si="26"/>
        <v>94.619565217390658</v>
      </c>
      <c r="P31" s="97">
        <f t="shared" si="27"/>
        <v>0</v>
      </c>
      <c r="Q31" s="98">
        <f t="shared" si="28"/>
        <v>-7.6304347826093419</v>
      </c>
      <c r="R31" s="99">
        <f t="shared" si="29"/>
        <v>0.92537472095247586</v>
      </c>
      <c r="S31" s="421"/>
      <c r="T31" s="19">
        <v>0.452083333333333</v>
      </c>
      <c r="U31" s="19">
        <v>0.5</v>
      </c>
      <c r="V31" s="92">
        <f>(T31-U30)*24*60</f>
        <v>7.9999999999991722</v>
      </c>
      <c r="W31" s="149">
        <f t="shared" si="12"/>
        <v>69.000000000000469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21"/>
        <v>-122.08695652174947</v>
      </c>
      <c r="AG31" s="99">
        <f t="shared" si="22"/>
        <v>0.92537472095247586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9"/>
      <c r="U32" s="19"/>
      <c r="V32" s="92"/>
      <c r="W32" s="149">
        <f t="shared" si="12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9"/>
      <c r="U33" s="19"/>
      <c r="V33" s="92"/>
      <c r="W33" s="149">
        <f t="shared" si="12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30">AVERAGE(J27:J36)</f>
        <v>16.8</v>
      </c>
      <c r="K37" s="155">
        <f t="shared" si="30"/>
        <v>1621.8</v>
      </c>
      <c r="L37" s="158">
        <f t="shared" si="30"/>
        <v>96.919281045751632</v>
      </c>
      <c r="M37" s="155">
        <f t="shared" si="30"/>
        <v>16.399999999999999</v>
      </c>
      <c r="N37" s="155">
        <f t="shared" si="30"/>
        <v>1417.6802627657198</v>
      </c>
      <c r="O37" s="158">
        <f t="shared" si="30"/>
        <v>86.67939002086186</v>
      </c>
      <c r="P37" s="159">
        <f>M37-J37</f>
        <v>-0.40000000000000213</v>
      </c>
      <c r="Q37" s="160">
        <f>N37-K37</f>
        <v>-204.11973723428014</v>
      </c>
      <c r="R37" s="161">
        <f>O37/L37</f>
        <v>0.89434619288956618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-204.11973723428014</v>
      </c>
      <c r="AG37" s="124">
        <f>N37/K37</f>
        <v>0.87414000663813041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2204</v>
      </c>
      <c r="H38" s="134">
        <f>F38*G38</f>
        <v>110001.64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15</v>
      </c>
      <c r="N38" s="140">
        <f>G38/W38*60</f>
        <v>1377.4999999999923</v>
      </c>
      <c r="O38" s="141">
        <f>N38/M38</f>
        <v>91.833333333332817</v>
      </c>
      <c r="P38" s="142">
        <f>M38-J38</f>
        <v>-1</v>
      </c>
      <c r="Q38" s="143">
        <f>O38-L38</f>
        <v>-15.291666666667183</v>
      </c>
      <c r="R38" s="144">
        <f>O38/L38</f>
        <v>0.85725398677556885</v>
      </c>
      <c r="S38" s="410">
        <f>R48</f>
        <v>0.83784209539863475</v>
      </c>
      <c r="T38" s="191">
        <v>0.33333333333333298</v>
      </c>
      <c r="U38" s="20">
        <v>0.4</v>
      </c>
      <c r="V38" s="192"/>
      <c r="W38" s="193">
        <f t="shared" si="12"/>
        <v>96.00000000000054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-336.50000000000773</v>
      </c>
      <c r="AG38" s="195">
        <f>N38/K38</f>
        <v>0.80367561260209586</v>
      </c>
      <c r="AH38" s="413">
        <f>AG48</f>
        <v>0.80918766821629406</v>
      </c>
    </row>
    <row r="39" spans="1:34" ht="15" customHeight="1">
      <c r="A39" s="408"/>
      <c r="B39" s="75" t="s">
        <v>127</v>
      </c>
      <c r="C39" s="207"/>
      <c r="D39" s="198" t="s">
        <v>129</v>
      </c>
      <c r="E39" s="178"/>
      <c r="F39" s="75">
        <f>VLOOKUP(D39,廠價表!$C$1:$E$43,3,0)</f>
        <v>44.3</v>
      </c>
      <c r="G39" s="199">
        <v>2711</v>
      </c>
      <c r="H39" s="91">
        <f>F39*G39</f>
        <v>120097.29999999999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1333.278688524593</v>
      </c>
      <c r="O39" s="203">
        <f>N39/M39</f>
        <v>74.071038251366275</v>
      </c>
      <c r="P39" s="97">
        <f>M39-J39</f>
        <v>0</v>
      </c>
      <c r="Q39" s="98">
        <f>O39-L39</f>
        <v>-16.817850637522611</v>
      </c>
      <c r="R39" s="99">
        <f>O39/L39</f>
        <v>0.81496252354803977</v>
      </c>
      <c r="S39" s="411"/>
      <c r="T39" s="20">
        <v>0.41111111111111098</v>
      </c>
      <c r="U39" s="20">
        <v>0.49583333333333302</v>
      </c>
      <c r="V39" s="92">
        <f>(T39-U38)*24*60</f>
        <v>15.999999999999783</v>
      </c>
      <c r="W39" s="205">
        <f t="shared" si="12"/>
        <v>121.99999999999973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-302.72131147540699</v>
      </c>
      <c r="AG39" s="206">
        <f>N39/K39</f>
        <v>0.81496252354803977</v>
      </c>
      <c r="AH39" s="414"/>
    </row>
    <row r="40" spans="1:34" ht="15" customHeight="1">
      <c r="A40" s="408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393"/>
      <c r="T40" s="20"/>
      <c r="U40" s="20"/>
      <c r="V40" s="92"/>
      <c r="W40" s="205">
        <f t="shared" si="12"/>
        <v>0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0</v>
      </c>
      <c r="AG40" s="206" t="e">
        <f>N40/K40</f>
        <v>#DIV/0!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31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31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31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31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31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32">AVERAGE(J38:J47)</f>
        <v>17</v>
      </c>
      <c r="K48" s="155">
        <f t="shared" si="32"/>
        <v>1675</v>
      </c>
      <c r="L48" s="158">
        <f t="shared" si="32"/>
        <v>99.006944444444443</v>
      </c>
      <c r="M48" s="155">
        <f t="shared" si="32"/>
        <v>16.5</v>
      </c>
      <c r="N48" s="155">
        <f t="shared" si="32"/>
        <v>1355.3893442622925</v>
      </c>
      <c r="O48" s="158">
        <f t="shared" si="32"/>
        <v>82.952185792349553</v>
      </c>
      <c r="P48" s="221">
        <f>M48-J48</f>
        <v>-0.5</v>
      </c>
      <c r="Q48" s="222">
        <f>N48-K48</f>
        <v>-319.61065573770748</v>
      </c>
      <c r="R48" s="223">
        <f>O48/L48</f>
        <v>0.83784209539863475</v>
      </c>
      <c r="S48" s="396"/>
      <c r="T48" s="224"/>
      <c r="U48" s="224"/>
      <c r="V48" s="225"/>
      <c r="W48" s="226">
        <f t="shared" si="31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33">N48-K48</f>
        <v>-319.61065573770748</v>
      </c>
      <c r="AG48" s="162">
        <f t="shared" ref="AG48:AG53" si="34">N48/K48</f>
        <v>0.80918766821629406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2125</v>
      </c>
      <c r="H49" s="134">
        <f>F49*G49</f>
        <v>106864.125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1554.8780487805011</v>
      </c>
      <c r="O49" s="141">
        <f>N49/M49</f>
        <v>91.463414634147128</v>
      </c>
      <c r="P49" s="229">
        <f>M49-J49</f>
        <v>0</v>
      </c>
      <c r="Q49" s="230">
        <f>O49-L49</f>
        <v>-4.7718794834999301</v>
      </c>
      <c r="R49" s="52">
        <f>O49/L49</f>
        <v>0.95041445524480517</v>
      </c>
      <c r="S49" s="392">
        <f>R58</f>
        <v>0.90837520870532729</v>
      </c>
      <c r="T49" s="191">
        <v>0.29166666666666702</v>
      </c>
      <c r="U49" s="191">
        <v>0.34861111111111098</v>
      </c>
      <c r="V49" s="55"/>
      <c r="W49" s="193">
        <f t="shared" si="12"/>
        <v>81.999999999999304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33"/>
        <v>-81.121951219498897</v>
      </c>
      <c r="AG49" s="52">
        <f t="shared" si="34"/>
        <v>0.95041445524480506</v>
      </c>
      <c r="AH49" s="380">
        <f>AG58</f>
        <v>0.90955264155026638</v>
      </c>
    </row>
    <row r="50" spans="1:34" ht="15" customHeight="1">
      <c r="A50" s="405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3795</v>
      </c>
      <c r="H50" s="231">
        <f>F50*G50</f>
        <v>189636.15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1570.3448275862143</v>
      </c>
      <c r="O50" s="235">
        <f>N50/M50</f>
        <v>98.146551724138391</v>
      </c>
      <c r="P50" s="74">
        <f>M50-J50</f>
        <v>0</v>
      </c>
      <c r="Q50" s="83">
        <f>O50-L50</f>
        <v>-14.353448275861609</v>
      </c>
      <c r="R50" s="72">
        <f>O50/L50</f>
        <v>0.87241379310345235</v>
      </c>
      <c r="S50" s="393"/>
      <c r="T50" s="21">
        <v>0.35416666666666702</v>
      </c>
      <c r="U50" s="21">
        <v>0.45486111111111099</v>
      </c>
      <c r="V50" s="30">
        <f>(T50-U49)*24*60</f>
        <v>8.000000000000691</v>
      </c>
      <c r="W50" s="236">
        <f t="shared" si="12"/>
        <v>144.99999999999932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33"/>
        <v>-229.65517241378575</v>
      </c>
      <c r="AG50" s="72">
        <f t="shared" si="34"/>
        <v>0.87241379310345235</v>
      </c>
      <c r="AH50" s="382"/>
    </row>
    <row r="51" spans="1:34" ht="15" customHeight="1">
      <c r="A51" s="405"/>
      <c r="B51" s="75"/>
      <c r="C51" s="76"/>
      <c r="D51" s="59"/>
      <c r="E51" s="77"/>
      <c r="F51" s="75"/>
      <c r="G51" s="202"/>
      <c r="H51" s="231"/>
      <c r="I51" s="232"/>
      <c r="J51" s="79"/>
      <c r="K51" s="80"/>
      <c r="L51" s="81"/>
      <c r="M51" s="233"/>
      <c r="N51" s="234"/>
      <c r="O51" s="235"/>
      <c r="P51" s="74"/>
      <c r="Q51" s="83"/>
      <c r="R51" s="72"/>
      <c r="S51" s="393"/>
      <c r="T51" s="21"/>
      <c r="U51" s="19"/>
      <c r="V51" s="30"/>
      <c r="W51" s="236">
        <f t="shared" si="12"/>
        <v>0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33"/>
        <v>0</v>
      </c>
      <c r="AG51" s="72" t="e">
        <f t="shared" si="34"/>
        <v>#DIV/0!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/>
      <c r="U52" s="21"/>
      <c r="V52" s="30"/>
      <c r="W52" s="236">
        <f t="shared" si="12"/>
        <v>0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33"/>
        <v>0</v>
      </c>
      <c r="AG52" s="72" t="e">
        <f t="shared" si="34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33"/>
        <v>0</v>
      </c>
      <c r="AG53" s="72" t="e">
        <f t="shared" si="34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35">AVERAGE(J49:J57)</f>
        <v>16.5</v>
      </c>
      <c r="K58" s="120">
        <f t="shared" si="35"/>
        <v>1718</v>
      </c>
      <c r="L58" s="117">
        <f t="shared" si="35"/>
        <v>104.36764705882354</v>
      </c>
      <c r="M58" s="120">
        <f t="shared" si="35"/>
        <v>16.5</v>
      </c>
      <c r="N58" s="120">
        <f t="shared" si="35"/>
        <v>1562.6114381833577</v>
      </c>
      <c r="O58" s="117">
        <f t="shared" si="35"/>
        <v>94.804983179142766</v>
      </c>
      <c r="P58" s="121">
        <f>M58-J58</f>
        <v>0</v>
      </c>
      <c r="Q58" s="122">
        <f>N58-K58</f>
        <v>-155.38856181664232</v>
      </c>
      <c r="R58" s="123">
        <f>O58/L58</f>
        <v>0.90837520870532729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-155.38856181664232</v>
      </c>
      <c r="AG58" s="124">
        <f>N58/K58</f>
        <v>0.90955264155026638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3053</v>
      </c>
      <c r="H59" s="243">
        <f>F59*G59</f>
        <v>82400.47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1409.0769230769361</v>
      </c>
      <c r="O59" s="138">
        <f>N59/M59</f>
        <v>93.938461538462406</v>
      </c>
      <c r="P59" s="56">
        <f>M59-J59</f>
        <v>0</v>
      </c>
      <c r="Q59" s="230">
        <f>O59-L59</f>
        <v>-15.128205128204257</v>
      </c>
      <c r="R59" s="52">
        <f>O59/L59</f>
        <v>0.86129396276096337</v>
      </c>
      <c r="S59" s="392">
        <f>R69</f>
        <v>0.89296073255815267</v>
      </c>
      <c r="T59" s="245">
        <v>0.29166666666666702</v>
      </c>
      <c r="U59" s="245">
        <v>0.38194444444444398</v>
      </c>
      <c r="V59" s="55"/>
      <c r="W59" s="54">
        <f t="shared" si="12"/>
        <v>129.99999999999881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-226.92307692306395</v>
      </c>
      <c r="AG59" s="246">
        <f>N59/K59</f>
        <v>0.86129396276096337</v>
      </c>
      <c r="AH59" s="380">
        <f>AG69</f>
        <v>0.89127183816896927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1184</v>
      </c>
      <c r="H60" s="78">
        <f>F60*G60</f>
        <v>33459.840000000004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1511.4893617021226</v>
      </c>
      <c r="O60" s="81">
        <f>N60/M60</f>
        <v>137.40812379110204</v>
      </c>
      <c r="P60" s="74">
        <f>M60-J60</f>
        <v>0</v>
      </c>
      <c r="Q60" s="83">
        <f>O60-L60</f>
        <v>-11.319148936170677</v>
      </c>
      <c r="R60" s="72">
        <f>O60/L60</f>
        <v>0.92389325287415802</v>
      </c>
      <c r="S60" s="402"/>
      <c r="T60" s="22">
        <v>0.38888888888888901</v>
      </c>
      <c r="U60" s="22">
        <v>0.421527777777778</v>
      </c>
      <c r="V60" s="30">
        <f>(T60-U59)*24*60</f>
        <v>10.000000000000844</v>
      </c>
      <c r="W60" s="248">
        <f t="shared" si="12"/>
        <v>47.000000000000156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-124.51063829787745</v>
      </c>
      <c r="AG60" s="249">
        <f>N60/K60</f>
        <v>0.92389325287415802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732</v>
      </c>
      <c r="H61" s="254">
        <f>F61*G61</f>
        <v>20686.32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1416.7741935483702</v>
      </c>
      <c r="O61" s="238">
        <f>N61/M61</f>
        <v>128.79765395894276</v>
      </c>
      <c r="P61" s="111">
        <f>M61-J61</f>
        <v>0</v>
      </c>
      <c r="Q61" s="255">
        <f>O61-L61</f>
        <v>-19.929618768329959</v>
      </c>
      <c r="R61" s="85">
        <f>O61/L61</f>
        <v>0.86599889581196232</v>
      </c>
      <c r="S61" s="393"/>
      <c r="T61" s="22">
        <v>0.42847222222222198</v>
      </c>
      <c r="U61" s="22">
        <v>0.45</v>
      </c>
      <c r="V61" s="30">
        <f>(T61-U60)*24*60</f>
        <v>9.999999999999325</v>
      </c>
      <c r="W61" s="256">
        <f t="shared" si="12"/>
        <v>31.000000000000369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-219.22580645162975</v>
      </c>
      <c r="AG61" s="247">
        <f>N61/K61</f>
        <v>0.86599889581196221</v>
      </c>
      <c r="AH61" s="382"/>
    </row>
    <row r="62" spans="1:34" ht="15" customHeight="1">
      <c r="A62" s="400"/>
      <c r="B62" s="258" t="s">
        <v>132</v>
      </c>
      <c r="C62" s="58"/>
      <c r="D62" s="259" t="s">
        <v>136</v>
      </c>
      <c r="E62" s="60"/>
      <c r="F62" s="250">
        <f>VLOOKUP(D62,廠價表!$C$1:$E$43,3,0)</f>
        <v>28.26</v>
      </c>
      <c r="G62" s="260">
        <v>1388</v>
      </c>
      <c r="H62" s="254">
        <f t="shared" ref="H62:H63" si="36">F62*G62</f>
        <v>39224.880000000005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37">K62/J62</f>
        <v>148.72727272727272</v>
      </c>
      <c r="M62" s="68">
        <v>11</v>
      </c>
      <c r="N62" s="107">
        <f t="shared" ref="N62:N63" si="38">G62/W62*60</f>
        <v>1387.9999999999882</v>
      </c>
      <c r="O62" s="238">
        <f t="shared" ref="O62:O63" si="39">N62/M62</f>
        <v>126.18181818181711</v>
      </c>
      <c r="P62" s="111">
        <f t="shared" ref="P62:P63" si="40">M62-J62</f>
        <v>0</v>
      </c>
      <c r="Q62" s="255">
        <f t="shared" ref="Q62:Q63" si="41">O62-L62</f>
        <v>-22.545454545455613</v>
      </c>
      <c r="R62" s="85">
        <f t="shared" ref="R62:R63" si="42">O62/L62</f>
        <v>0.84841075794620313</v>
      </c>
      <c r="S62" s="393"/>
      <c r="T62" s="22">
        <v>0.45833333333333298</v>
      </c>
      <c r="U62" s="22">
        <v>0.5</v>
      </c>
      <c r="V62" s="30">
        <f>(T62-U61)*24*60</f>
        <v>11.999999999999478</v>
      </c>
      <c r="W62" s="248">
        <f t="shared" si="12"/>
        <v>60.000000000000504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-248.00000000001182</v>
      </c>
      <c r="AG62" s="247">
        <f>N62/K62</f>
        <v>0.84841075794620302</v>
      </c>
      <c r="AH62" s="382"/>
    </row>
    <row r="63" spans="1:34" ht="15" customHeight="1">
      <c r="A63" s="400"/>
      <c r="B63" s="258" t="s">
        <v>132</v>
      </c>
      <c r="C63" s="58"/>
      <c r="D63" s="259" t="s">
        <v>136</v>
      </c>
      <c r="E63" s="60"/>
      <c r="F63" s="250">
        <f>VLOOKUP(D63,廠價表!$C$1:$E$43,3,0)</f>
        <v>28.26</v>
      </c>
      <c r="G63" s="30">
        <v>1487</v>
      </c>
      <c r="H63" s="254">
        <f t="shared" si="36"/>
        <v>42022.62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37"/>
        <v>148.72727272727272</v>
      </c>
      <c r="M63" s="68">
        <v>11</v>
      </c>
      <c r="N63" s="107">
        <f t="shared" si="38"/>
        <v>1565.2631578947512</v>
      </c>
      <c r="O63" s="238">
        <f t="shared" si="39"/>
        <v>142.29665071770467</v>
      </c>
      <c r="P63" s="111">
        <f t="shared" si="40"/>
        <v>0</v>
      </c>
      <c r="Q63" s="255">
        <f t="shared" si="41"/>
        <v>-6.4306220095680544</v>
      </c>
      <c r="R63" s="85">
        <f t="shared" si="42"/>
        <v>0.95676232145155948</v>
      </c>
      <c r="S63" s="393"/>
      <c r="T63" s="22">
        <v>0.55902777777777801</v>
      </c>
      <c r="U63" s="22">
        <v>0.59861111111111098</v>
      </c>
      <c r="V63" s="30">
        <f>(T63-U62)*24*60</f>
        <v>85.000000000000341</v>
      </c>
      <c r="W63" s="248">
        <f t="shared" si="12"/>
        <v>56.999999999999474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43">AVERAGE(J59:J68)</f>
        <v>11.8</v>
      </c>
      <c r="K69" s="240">
        <f t="shared" si="43"/>
        <v>1636</v>
      </c>
      <c r="L69" s="268">
        <f t="shared" si="43"/>
        <v>140.79515151515153</v>
      </c>
      <c r="M69" s="240">
        <f t="shared" si="43"/>
        <v>11.8</v>
      </c>
      <c r="N69" s="240">
        <f t="shared" si="43"/>
        <v>1458.1207272444337</v>
      </c>
      <c r="O69" s="268">
        <f t="shared" si="43"/>
        <v>125.72454163760581</v>
      </c>
      <c r="P69" s="269">
        <f>M69-J69</f>
        <v>0</v>
      </c>
      <c r="Q69" s="222">
        <f>N69-K69</f>
        <v>-177.87927275556626</v>
      </c>
      <c r="R69" s="123">
        <f>O69/L69</f>
        <v>0.89296073255815267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-177.87927275556626</v>
      </c>
      <c r="AG69" s="124">
        <f>N69/K69</f>
        <v>0.89127183816896927</v>
      </c>
      <c r="AH69" s="384"/>
    </row>
    <row r="70" spans="1:36" ht="15" customHeight="1">
      <c r="A70" s="389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392">
        <f>R79</f>
        <v>0</v>
      </c>
      <c r="T70" s="245"/>
      <c r="U70" s="245"/>
      <c r="V70" s="55"/>
      <c r="W70" s="54">
        <f t="shared" si="12"/>
        <v>0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0</v>
      </c>
      <c r="AG70" s="246" t="e">
        <f>N70/K70</f>
        <v>#DIV/0!</v>
      </c>
      <c r="AH70" s="380" t="e">
        <f>AG79</f>
        <v>#DIV/0!</v>
      </c>
    </row>
    <row r="71" spans="1:36" ht="15" customHeight="1">
      <c r="A71" s="390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93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/>
      <c r="D79" s="388"/>
      <c r="E79" s="388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277" priority="1" operator="greaterThan">
      <formula>0</formula>
    </cfRule>
  </conditionalFormatting>
  <conditionalFormatting sqref="Q5:Q79 AF5:AF79">
    <cfRule type="cellIs" dxfId="276" priority="4" operator="lessThan">
      <formula>0</formula>
    </cfRule>
  </conditionalFormatting>
  <conditionalFormatting sqref="R5:R79 AG5:AG79">
    <cfRule type="cellIs" dxfId="275" priority="2" operator="greaterThan">
      <formula>1</formula>
    </cfRule>
    <cfRule type="cellIs" dxfId="274" priority="3" operator="lessThan">
      <formula>0.8</formula>
    </cfRule>
  </conditionalFormatting>
  <conditionalFormatting sqref="S5:S10 S37:S62 AH59:AH62 S69:S76 AH69:AH76">
    <cfRule type="cellIs" dxfId="273" priority="7" operator="lessThan">
      <formula>0.8</formula>
    </cfRule>
  </conditionalFormatting>
  <conditionalFormatting sqref="S19:S25 AH19:AH25">
    <cfRule type="cellIs" dxfId="272" priority="6" operator="lessThan">
      <formula>0.8</formula>
    </cfRule>
  </conditionalFormatting>
  <conditionalFormatting sqref="S79">
    <cfRule type="cellIs" dxfId="271" priority="5" operator="lessThan">
      <formula>0.8</formula>
    </cfRule>
  </conditionalFormatting>
  <conditionalFormatting sqref="AH5:AH8 S15:S16 AH15:AH16 AH49 AH79">
    <cfRule type="cellIs" dxfId="270" priority="9" operator="lessThan">
      <formula>0.8</formula>
    </cfRule>
  </conditionalFormatting>
  <conditionalFormatting sqref="AH27 S27:S28">
    <cfRule type="cellIs" dxfId="26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8D52-5086-488F-94E2-F8A68CF55D84}">
  <dimension ref="B1:O26"/>
  <sheetViews>
    <sheetView topLeftCell="B1" zoomScale="70" zoomScaleNormal="70" workbookViewId="0">
      <selection activeCell="J17" sqref="J1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46269</v>
      </c>
      <c r="E3" s="504"/>
      <c r="F3" s="3" t="s">
        <v>72</v>
      </c>
      <c r="G3" s="505">
        <f>'0904'!E1</f>
        <v>34349</v>
      </c>
      <c r="H3" s="505"/>
      <c r="I3" s="3" t="s">
        <v>2</v>
      </c>
      <c r="J3" s="506">
        <f>'0904'!G1</f>
        <v>1576746.325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127.41119654544023</v>
      </c>
      <c r="G6" s="501"/>
      <c r="H6" s="502">
        <f>AVERAGE(D13:H13)</f>
        <v>125.68509241303359</v>
      </c>
      <c r="I6" s="502"/>
      <c r="J6" s="502">
        <f>AVERAGE(I13:J13)</f>
        <v>131.72645687645687</v>
      </c>
      <c r="K6" s="502"/>
      <c r="L6" s="492">
        <f>'0904'!Z2</f>
        <v>0</v>
      </c>
      <c r="M6" s="493">
        <f>'0904'!AA2</f>
        <v>0</v>
      </c>
      <c r="N6" s="494">
        <f>'0904'!AD2</f>
        <v>1</v>
      </c>
      <c r="O6" s="493">
        <f>'0904'!AE2</f>
        <v>1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112.72404252144831</v>
      </c>
      <c r="G7" s="490"/>
      <c r="H7" s="491">
        <f>AVERAGE(D14:H14)</f>
        <v>110.15933280412214</v>
      </c>
      <c r="I7" s="491"/>
      <c r="J7" s="491">
        <f>AVERAGE(I14:J14)</f>
        <v>119.13581681476381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0.88406809177312617</v>
      </c>
      <c r="G8" s="496"/>
      <c r="H8" s="496">
        <f>AVERAGE(D15:H15)</f>
        <v>0.87623840024174382</v>
      </c>
      <c r="I8" s="496"/>
      <c r="J8" s="496">
        <f>AVERAGE(I15:J15)</f>
        <v>0.90364232060158223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VALUE('0904'!L15)</f>
        <v>164.83516483516482</v>
      </c>
      <c r="E13" s="13">
        <f>VALUE('0904'!L26)</f>
        <v>169.64285714285714</v>
      </c>
      <c r="F13" s="13">
        <f>VALUE('0904'!L37)</f>
        <v>95.065767973856211</v>
      </c>
      <c r="G13" s="13">
        <f>VALUE('0904'!L48)</f>
        <v>99.006944444444443</v>
      </c>
      <c r="H13" s="13">
        <f>VALUE('0904'!L58)</f>
        <v>99.874727668845324</v>
      </c>
      <c r="I13" s="13">
        <f>VALUE('0904'!L69)</f>
        <v>128.89696969696968</v>
      </c>
      <c r="J13" s="13">
        <f>'0904'!L79</f>
        <v>134.55594405594405</v>
      </c>
    </row>
    <row r="14" spans="2:15" ht="39.950000000000003" customHeight="1">
      <c r="B14" s="484"/>
      <c r="C14" s="12" t="s">
        <v>100</v>
      </c>
      <c r="D14" s="13">
        <f>VALUE('0904'!O15)</f>
        <v>143.60592185592193</v>
      </c>
      <c r="E14" s="13">
        <f>VALUE('0904'!O26)</f>
        <v>149.60030661247708</v>
      </c>
      <c r="F14" s="13">
        <f>VALUE('0904'!O37)</f>
        <v>81.274108507038846</v>
      </c>
      <c r="G14" s="13">
        <f>VALUE('0904'!O48)</f>
        <v>89.204126094882156</v>
      </c>
      <c r="H14" s="13">
        <f>VALUE('0904'!O58)</f>
        <v>87.112200950290685</v>
      </c>
      <c r="I14" s="13">
        <f>VALUE('0904'!O69)</f>
        <v>111.82033492822954</v>
      </c>
      <c r="J14" s="13">
        <f>'0904'!O79</f>
        <v>126.45129870129807</v>
      </c>
    </row>
    <row r="15" spans="2:15" ht="39.950000000000003" customHeight="1">
      <c r="B15" s="485"/>
      <c r="C15" s="10" t="s">
        <v>26</v>
      </c>
      <c r="D15" s="14">
        <f t="shared" ref="D15:I15" si="0">D14/D13</f>
        <v>0.87120925925925985</v>
      </c>
      <c r="E15" s="14">
        <f t="shared" si="0"/>
        <v>0.88185443897881233</v>
      </c>
      <c r="F15" s="14">
        <f t="shared" si="0"/>
        <v>0.85492507176073962</v>
      </c>
      <c r="G15" s="14">
        <f t="shared" si="0"/>
        <v>0.90098857807834964</v>
      </c>
      <c r="H15" s="14">
        <f t="shared" si="0"/>
        <v>0.87221465313155744</v>
      </c>
      <c r="I15" s="14">
        <f t="shared" si="0"/>
        <v>0.86751717430684017</v>
      </c>
      <c r="J15" s="15">
        <f>'0904'!S70</f>
        <v>0.93976746689632429</v>
      </c>
    </row>
    <row r="16" spans="2:15" ht="17.25" customHeight="1">
      <c r="B16" s="486" t="s">
        <v>101</v>
      </c>
      <c r="C16" s="10" t="s">
        <v>34</v>
      </c>
      <c r="D16" s="16">
        <f>'0904'!T5</f>
        <v>0.29513888888888901</v>
      </c>
      <c r="E16" s="16">
        <f>'0904'!T16</f>
        <v>0.29861111111111099</v>
      </c>
      <c r="F16" s="16">
        <f>'0904'!T27</f>
        <v>0.29513888888888901</v>
      </c>
      <c r="G16" s="16">
        <f>'0904'!T38</f>
        <v>0.33611111111111103</v>
      </c>
      <c r="H16" s="16">
        <f>'0904'!T49</f>
        <v>0.29166666666666702</v>
      </c>
      <c r="I16" s="16">
        <f>'0904'!T59</f>
        <v>0.29166666666666702</v>
      </c>
      <c r="J16" s="17">
        <f>'0904'!T70</f>
        <v>0.29861111111111099</v>
      </c>
    </row>
    <row r="17" spans="2:10" ht="17.25" customHeight="1">
      <c r="B17" s="487"/>
      <c r="C17" s="10" t="s">
        <v>35</v>
      </c>
      <c r="D17" s="18">
        <v>0.44444444444444398</v>
      </c>
      <c r="E17" s="183">
        <v>0.468055555555556</v>
      </c>
      <c r="F17" s="19">
        <v>0.43402777777777801</v>
      </c>
      <c r="G17" s="328">
        <v>0.47430555555555598</v>
      </c>
      <c r="H17" s="19">
        <v>0.55555555555555602</v>
      </c>
      <c r="I17" s="110">
        <v>0.59722222222222199</v>
      </c>
      <c r="J17" s="22">
        <v>0.45486111111111099</v>
      </c>
    </row>
    <row r="18" spans="2:10" ht="17.25" customHeight="1">
      <c r="B18" s="488" t="s">
        <v>102</v>
      </c>
      <c r="C18" s="330" t="s">
        <v>36</v>
      </c>
      <c r="D18" s="359">
        <f>'0904'!Z15</f>
        <v>0</v>
      </c>
      <c r="E18" s="360">
        <f>'0904'!Z26</f>
        <v>0</v>
      </c>
      <c r="F18" s="360">
        <f>'0904'!Z37</f>
        <v>0</v>
      </c>
      <c r="G18" s="361">
        <f>'0904'!Z48</f>
        <v>0</v>
      </c>
      <c r="H18" s="361">
        <f>'0904'!Z58</f>
        <v>0</v>
      </c>
      <c r="I18" s="360">
        <f>'0904'!Z69</f>
        <v>0</v>
      </c>
      <c r="J18" s="360">
        <f>'0904'!AA79</f>
        <v>0</v>
      </c>
    </row>
    <row r="19" spans="2:10" ht="17.25" customHeight="1">
      <c r="B19" s="489"/>
      <c r="C19" s="330" t="s">
        <v>37</v>
      </c>
      <c r="D19" s="359">
        <f>'0904'!AA15</f>
        <v>0</v>
      </c>
      <c r="E19" s="360">
        <f>'0904'!AA26</f>
        <v>0</v>
      </c>
      <c r="F19" s="360">
        <f>'0904'!AA37</f>
        <v>0</v>
      </c>
      <c r="G19" s="361">
        <f>'0904'!AA48</f>
        <v>0</v>
      </c>
      <c r="H19" s="361">
        <f>'0904'!AA58</f>
        <v>0</v>
      </c>
      <c r="I19" s="360">
        <f>'0904'!AA69</f>
        <v>0</v>
      </c>
      <c r="J19" s="360">
        <f>'0904'!AB79</f>
        <v>0</v>
      </c>
    </row>
    <row r="20" spans="2:10" ht="17.25" customHeight="1">
      <c r="B20" s="488" t="s">
        <v>103</v>
      </c>
      <c r="C20" s="330" t="s">
        <v>36</v>
      </c>
      <c r="D20" s="359">
        <f>'0904'!AD15</f>
        <v>0</v>
      </c>
      <c r="E20" s="360">
        <f>'0904'!AD26</f>
        <v>0</v>
      </c>
      <c r="F20" s="360">
        <f>'0904'!AD37</f>
        <v>1</v>
      </c>
      <c r="G20" s="361">
        <f>'0904'!AD48</f>
        <v>0</v>
      </c>
      <c r="H20" s="361">
        <f>'0904'!AD58</f>
        <v>0</v>
      </c>
      <c r="I20" s="360">
        <f>'0904'!AD69</f>
        <v>0</v>
      </c>
      <c r="J20" s="360">
        <f>'0904'!AD79</f>
        <v>0</v>
      </c>
    </row>
    <row r="21" spans="2:10" ht="17.25" customHeight="1">
      <c r="B21" s="489"/>
      <c r="C21" s="330" t="s">
        <v>85</v>
      </c>
      <c r="D21" s="359">
        <f>'0904'!AE15</f>
        <v>0</v>
      </c>
      <c r="E21" s="360">
        <f>'0904'!AE26</f>
        <v>0</v>
      </c>
      <c r="F21" s="360">
        <f>'0904'!AE37</f>
        <v>1</v>
      </c>
      <c r="G21" s="361">
        <f>'0904'!AE48</f>
        <v>0</v>
      </c>
      <c r="H21" s="361">
        <f>'0904'!AE58</f>
        <v>0</v>
      </c>
      <c r="I21" s="360">
        <f>'0904'!AE69</f>
        <v>0</v>
      </c>
      <c r="J21" s="360">
        <f>'0904'!AE79</f>
        <v>0</v>
      </c>
    </row>
    <row r="22" spans="2:10" ht="17.25" customHeight="1">
      <c r="B22" s="471" t="s">
        <v>104</v>
      </c>
      <c r="C22" s="472"/>
      <c r="D22" s="23">
        <f>VALUE('0904'!M15)</f>
        <v>13.666666666666666</v>
      </c>
      <c r="E22" s="23">
        <f>VALUE('0904'!M26)</f>
        <v>13.333333333333334</v>
      </c>
      <c r="F22" s="23">
        <f>VALUE('0904'!M37)</f>
        <v>16</v>
      </c>
      <c r="G22" s="23">
        <f>VALUE('0904'!M48)</f>
        <v>15.5</v>
      </c>
      <c r="H22" s="23">
        <f>VALUE('0904'!M58)</f>
        <v>16.333333333333332</v>
      </c>
      <c r="I22" s="23">
        <f>VALUE('0904'!M69)</f>
        <v>12</v>
      </c>
      <c r="J22" s="23">
        <f>'0904'!M79</f>
        <v>8.5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26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B6F1C-249B-4B56-B8DA-967E4652AE58}">
  <sheetPr>
    <tabColor theme="9" tint="0.79998168889431442"/>
  </sheetPr>
  <dimension ref="A1:AJ92"/>
  <sheetViews>
    <sheetView zoomScale="69" zoomScaleNormal="69" workbookViewId="0">
      <pane xSplit="5" ySplit="4" topLeftCell="H53" activePane="bottomRight" state="frozen"/>
      <selection activeCell="G76" sqref="G76"/>
      <selection pane="topRight" activeCell="G76" sqref="G76"/>
      <selection pane="bottomLeft" activeCell="G76" sqref="G76"/>
      <selection pane="bottomRight" activeCell="Z61" sqref="Z6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34349</v>
      </c>
      <c r="F1" s="30" t="s">
        <v>2</v>
      </c>
      <c r="G1" s="31">
        <f>SUM(H5:H79)</f>
        <v>1576746.325</v>
      </c>
      <c r="H1" s="32" t="s">
        <v>3</v>
      </c>
      <c r="I1" s="33">
        <f>M15+M26+M48+M58+M69+M79+M37</f>
        <v>95.333333333333329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147</v>
      </c>
      <c r="B2" s="462"/>
      <c r="C2" s="28"/>
      <c r="D2" s="28" t="s">
        <v>14</v>
      </c>
      <c r="E2" s="35">
        <f>AVERAGE(O15,O26,O37,O48,O58,O69,O79)</f>
        <v>112.72404252144831</v>
      </c>
      <c r="F2" s="36" t="s">
        <v>15</v>
      </c>
      <c r="G2" s="37">
        <f>G1/E1</f>
        <v>45.90370389239861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0</v>
      </c>
      <c r="AA2" s="339">
        <f>AA15+AA26+AA37+AA48+AA58+AA69+AA79</f>
        <v>0</v>
      </c>
      <c r="AB2" s="433"/>
      <c r="AC2" s="433"/>
      <c r="AD2" s="340">
        <f>AD15+AD26+AD37+AD48+AD58+AD69+AD79</f>
        <v>1</v>
      </c>
      <c r="AE2" s="340">
        <f>AE15+AE26+AE37+AE48+AE58+AE69+AE79</f>
        <v>1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1289</v>
      </c>
      <c r="H5" s="43">
        <f>F5*G5</f>
        <v>73305.429999999993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1933.4999999999834</v>
      </c>
      <c r="O5" s="47">
        <f>N5/M5</f>
        <v>138.10714285714167</v>
      </c>
      <c r="P5" s="49">
        <f>M5-J5</f>
        <v>0</v>
      </c>
      <c r="Q5" s="50">
        <f>O5-L5</f>
        <v>-22.607142857144055</v>
      </c>
      <c r="R5" s="51">
        <f>O5/L5</f>
        <v>0.85933333333332584</v>
      </c>
      <c r="S5" s="392">
        <f>R15</f>
        <v>0.87120925925925985</v>
      </c>
      <c r="T5" s="319">
        <v>0.29513888888888901</v>
      </c>
      <c r="U5" s="320">
        <v>0.32291666666666702</v>
      </c>
      <c r="V5" s="53"/>
      <c r="W5" s="54">
        <f t="shared" ref="W5:W14" si="0">(U5-T5)*24*60</f>
        <v>40.000000000000341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-316.5000000000166</v>
      </c>
      <c r="AG5" s="52">
        <f t="shared" ref="AG5:AG11" si="2">N5/K5</f>
        <v>0.85933333333332595</v>
      </c>
      <c r="AH5" s="380">
        <f>AG15</f>
        <v>0.87172839506172883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1436</v>
      </c>
      <c r="H6" s="63">
        <f>F6*G6</f>
        <v>83532.12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1914.6666666666667</v>
      </c>
      <c r="O6" s="67">
        <f>N6/M6</f>
        <v>147.2820512820513</v>
      </c>
      <c r="P6" s="69">
        <f>M6-J6</f>
        <v>0</v>
      </c>
      <c r="Q6" s="70">
        <f>O6-L6</f>
        <v>-25.794871794871767</v>
      </c>
      <c r="R6" s="71">
        <f>O6/L6</f>
        <v>0.85096296296296314</v>
      </c>
      <c r="S6" s="393"/>
      <c r="T6" s="16">
        <v>0.33333333333333298</v>
      </c>
      <c r="U6" s="16">
        <v>0.36458333333333298</v>
      </c>
      <c r="V6" s="30">
        <f>(T6-U5)*24*60</f>
        <v>14.999999999998987</v>
      </c>
      <c r="W6" s="73">
        <f t="shared" si="0"/>
        <v>45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-335.33333333333326</v>
      </c>
      <c r="AG6" s="72">
        <f t="shared" si="2"/>
        <v>0.85096296296296303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3563</v>
      </c>
      <c r="H7" s="78">
        <f>F7*G7</f>
        <v>175085.82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2036.0000000000193</v>
      </c>
      <c r="O7" s="81">
        <f>N7/M7</f>
        <v>145.42857142857281</v>
      </c>
      <c r="P7" s="74">
        <f>M7-J7</f>
        <v>0</v>
      </c>
      <c r="Q7" s="83">
        <f>O7-L7</f>
        <v>-15.285714285712913</v>
      </c>
      <c r="R7" s="72">
        <f>O7/L7</f>
        <v>0.9048888888888974</v>
      </c>
      <c r="S7" s="393"/>
      <c r="T7" s="18">
        <v>0.37152777777777801</v>
      </c>
      <c r="U7" s="18">
        <v>0.44444444444444398</v>
      </c>
      <c r="V7" s="30">
        <f>(T7-U6)*24*60</f>
        <v>10.000000000000844</v>
      </c>
      <c r="W7" s="73">
        <f t="shared" si="0"/>
        <v>104.99999999999899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-213.99999999998067</v>
      </c>
      <c r="AG7" s="72">
        <f t="shared" si="2"/>
        <v>0.90488888888889751</v>
      </c>
      <c r="AH7" s="382"/>
    </row>
    <row r="8" spans="1:34" ht="15" customHeight="1">
      <c r="A8" s="466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93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0</v>
      </c>
      <c r="AG8" s="72" t="e">
        <f t="shared" si="2"/>
        <v>#DIV/0!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13.666666666666666</v>
      </c>
      <c r="K15" s="120">
        <f t="shared" si="3"/>
        <v>2250</v>
      </c>
      <c r="L15" s="117">
        <f t="shared" si="3"/>
        <v>164.83516483516482</v>
      </c>
      <c r="M15" s="120">
        <f t="shared" si="3"/>
        <v>13.666666666666666</v>
      </c>
      <c r="N15" s="120">
        <f t="shared" si="3"/>
        <v>1961.3888888888898</v>
      </c>
      <c r="O15" s="117">
        <f t="shared" si="3"/>
        <v>143.60592185592193</v>
      </c>
      <c r="P15" s="121">
        <f>M15-J15</f>
        <v>0</v>
      </c>
      <c r="Q15" s="122">
        <f>O15-L15</f>
        <v>-21.229242979242883</v>
      </c>
      <c r="R15" s="123">
        <f>O15/L15</f>
        <v>0.87120925925925985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-288.61111111111018</v>
      </c>
      <c r="AG15" s="124">
        <f>N15/K15</f>
        <v>0.87172839506172883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1336</v>
      </c>
      <c r="H16" s="134">
        <f>F16*G16</f>
        <v>75978.319999999992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2055.3846153846393</v>
      </c>
      <c r="O16" s="141">
        <f>N16/M16</f>
        <v>146.81318681318854</v>
      </c>
      <c r="P16" s="142">
        <f>M16-J16</f>
        <v>0</v>
      </c>
      <c r="Q16" s="143">
        <f>O16-L16</f>
        <v>-13.901098901097185</v>
      </c>
      <c r="R16" s="144">
        <f>O16/L16</f>
        <v>0.9135042735042842</v>
      </c>
      <c r="S16" s="420">
        <f>R26</f>
        <v>0.88185443897881233</v>
      </c>
      <c r="T16" s="145">
        <v>0.29861111111111099</v>
      </c>
      <c r="U16" s="145">
        <v>0.32569444444444401</v>
      </c>
      <c r="V16" s="135"/>
      <c r="W16" s="146">
        <f t="shared" ref="W16:W78" si="4">(U16-T16)*24*60</f>
        <v>38.999999999999545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-194.61538461536065</v>
      </c>
      <c r="AG16" s="52">
        <f>N16/K16</f>
        <v>0.9135042735042842</v>
      </c>
      <c r="AH16" s="380">
        <f>AG26</f>
        <v>0.88233209086758868</v>
      </c>
    </row>
    <row r="17" spans="1:34" ht="15" customHeight="1">
      <c r="A17" s="427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2742</v>
      </c>
      <c r="H17" s="78">
        <f>F17*G17</f>
        <v>138937.14000000001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1935.5294117646981</v>
      </c>
      <c r="O17" s="96">
        <f>N17/M17</f>
        <v>138.25210084033557</v>
      </c>
      <c r="P17" s="97">
        <f>M17-J17</f>
        <v>0</v>
      </c>
      <c r="Q17" s="98">
        <f>O17-L17</f>
        <v>-22.46218487395015</v>
      </c>
      <c r="R17" s="99">
        <f>O17/L17</f>
        <v>0.86023529411764355</v>
      </c>
      <c r="S17" s="421"/>
      <c r="T17" s="19">
        <v>0.33402777777777798</v>
      </c>
      <c r="U17" s="19">
        <v>0.39305555555555599</v>
      </c>
      <c r="V17" s="30">
        <f>(T17-U16)*24*60</f>
        <v>12.000000000000917</v>
      </c>
      <c r="W17" s="149">
        <f t="shared" si="4"/>
        <v>85.000000000000341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-314.47058823530188</v>
      </c>
      <c r="AG17" s="72">
        <f>N17/K17</f>
        <v>0.86023529411764366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2849</v>
      </c>
      <c r="H18" s="78">
        <f>F18*G18</f>
        <v>143561.11000000002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1964.8275862068858</v>
      </c>
      <c r="O18" s="96">
        <f>N18/M18</f>
        <v>163.73563218390714</v>
      </c>
      <c r="P18" s="97">
        <f>M18-J18</f>
        <v>0</v>
      </c>
      <c r="Q18" s="98">
        <f>O18-L18</f>
        <v>-23.764367816092857</v>
      </c>
      <c r="R18" s="99">
        <f>O18/L18</f>
        <v>0.87325670498083807</v>
      </c>
      <c r="S18" s="421"/>
      <c r="T18" s="19">
        <v>0.40763888888888899</v>
      </c>
      <c r="U18" s="19">
        <v>0.468055555555556</v>
      </c>
      <c r="V18" s="30">
        <f>(T18-U17)*24*60</f>
        <v>20.999999999999524</v>
      </c>
      <c r="W18" s="149">
        <f t="shared" si="4"/>
        <v>87.000000000000483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-285.17241379311417</v>
      </c>
      <c r="AG18" s="72">
        <f>N18/K18</f>
        <v>0.87325670498083818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13.333333333333334</v>
      </c>
      <c r="K26" s="155">
        <f t="shared" si="5"/>
        <v>2250</v>
      </c>
      <c r="L26" s="158">
        <f t="shared" si="5"/>
        <v>169.64285714285714</v>
      </c>
      <c r="M26" s="155">
        <f t="shared" si="5"/>
        <v>13.333333333333334</v>
      </c>
      <c r="N26" s="155">
        <f t="shared" si="5"/>
        <v>1985.2472044520746</v>
      </c>
      <c r="O26" s="158">
        <f t="shared" si="5"/>
        <v>149.60030661247708</v>
      </c>
      <c r="P26" s="159">
        <f>M26-J26</f>
        <v>0</v>
      </c>
      <c r="Q26" s="160">
        <f>O26-L26</f>
        <v>-20.042550530380055</v>
      </c>
      <c r="R26" s="161">
        <f>O26/L26</f>
        <v>0.88185443897881233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-264.75279554792542</v>
      </c>
      <c r="AG26" s="124">
        <f t="shared" ref="AG26:AG31" si="7">N26/K26</f>
        <v>0.88233209086758868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627</v>
      </c>
      <c r="H27" s="134">
        <f>F27*G27</f>
        <v>31293.569999999996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16</v>
      </c>
      <c r="N27" s="140">
        <f>G27/W27*60</f>
        <v>1254.0000000000209</v>
      </c>
      <c r="O27" s="141">
        <f>N27/M27</f>
        <v>78.375000000001307</v>
      </c>
      <c r="P27" s="142">
        <f>M27-J27</f>
        <v>-2</v>
      </c>
      <c r="Q27" s="143">
        <f>O27-L27</f>
        <v>-12.513888888887578</v>
      </c>
      <c r="R27" s="144">
        <f>O27/L27</f>
        <v>0.86231662591688485</v>
      </c>
      <c r="S27" s="420">
        <f>R37</f>
        <v>0.85492507176073962</v>
      </c>
      <c r="T27" s="171">
        <v>0.29513888888888901</v>
      </c>
      <c r="U27" s="171">
        <v>0.31597222222222199</v>
      </c>
      <c r="V27" s="135"/>
      <c r="W27" s="146">
        <f t="shared" si="4"/>
        <v>29.999999999999496</v>
      </c>
      <c r="X27" s="135"/>
      <c r="Y27" s="300"/>
      <c r="Z27" s="169"/>
      <c r="AA27" s="169"/>
      <c r="AB27" s="397" t="s">
        <v>137</v>
      </c>
      <c r="AC27" s="397"/>
      <c r="AD27" s="135"/>
      <c r="AE27" s="135"/>
      <c r="AF27" s="310">
        <f t="shared" si="6"/>
        <v>-381.99999999997908</v>
      </c>
      <c r="AG27" s="172">
        <f t="shared" si="7"/>
        <v>0.76650366748167542</v>
      </c>
      <c r="AH27" s="380">
        <f>AG37</f>
        <v>0.79828533991947181</v>
      </c>
    </row>
    <row r="28" spans="1:34" ht="15" customHeight="1">
      <c r="A28" s="418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827</v>
      </c>
      <c r="H28" s="91">
        <f>F28*G28</f>
        <v>47312.67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15</v>
      </c>
      <c r="N28" s="95">
        <f>G28/W28*60</f>
        <v>1012.6530612244836</v>
      </c>
      <c r="O28" s="96">
        <f>N28/M28</f>
        <v>67.510204081632239</v>
      </c>
      <c r="P28" s="97">
        <f>M28-J28</f>
        <v>-3</v>
      </c>
      <c r="Q28" s="98">
        <f>O28-L28</f>
        <v>-23.378684807256647</v>
      </c>
      <c r="R28" s="99">
        <f>O28/L28</f>
        <v>0.7427773065216261</v>
      </c>
      <c r="S28" s="421"/>
      <c r="T28" s="19">
        <v>0.32152777777777802</v>
      </c>
      <c r="U28" s="19">
        <v>0.35555555555555601</v>
      </c>
      <c r="V28" s="92">
        <f>(T28-U27)*24*60</f>
        <v>8.000000000000691</v>
      </c>
      <c r="W28" s="149">
        <f t="shared" si="4"/>
        <v>49.000000000000306</v>
      </c>
      <c r="X28" s="174"/>
      <c r="Y28" s="301"/>
      <c r="Z28" s="335"/>
      <c r="AA28" s="335"/>
      <c r="AB28" s="386" t="s">
        <v>148</v>
      </c>
      <c r="AC28" s="386"/>
      <c r="AD28" s="92">
        <v>1</v>
      </c>
      <c r="AE28" s="92">
        <v>1</v>
      </c>
      <c r="AF28" s="311">
        <f t="shared" si="6"/>
        <v>-623.34693877551638</v>
      </c>
      <c r="AG28" s="99">
        <f t="shared" si="7"/>
        <v>0.61898108876802183</v>
      </c>
      <c r="AH28" s="381"/>
    </row>
    <row r="29" spans="1:34" ht="15" customHeight="1">
      <c r="A29" s="418"/>
      <c r="B29" s="75" t="s">
        <v>81</v>
      </c>
      <c r="C29" s="173"/>
      <c r="D29" s="59" t="s">
        <v>124</v>
      </c>
      <c r="E29" s="104"/>
      <c r="F29" s="75">
        <f>VLOOKUP(D29,廠價表!$C$1:$E$43,3,0)</f>
        <v>46.34</v>
      </c>
      <c r="G29" s="90">
        <v>1214</v>
      </c>
      <c r="H29" s="91">
        <f>F29*G29</f>
        <v>56256.76</v>
      </c>
      <c r="I29" s="92"/>
      <c r="J29" s="79">
        <f>VLOOKUP(D29,產線配置圖!$A$3:$C$40,2,0)</f>
        <v>16</v>
      </c>
      <c r="K29" s="80">
        <f>VLOOKUP(D29,產線配置圖!$A$3:$C$40,3,0)</f>
        <v>1636</v>
      </c>
      <c r="L29" s="93">
        <f>K29/J29</f>
        <v>102.25</v>
      </c>
      <c r="M29" s="94">
        <v>16</v>
      </c>
      <c r="N29" s="95">
        <f>G29/W29*60</f>
        <v>1428.2352941176343</v>
      </c>
      <c r="O29" s="96">
        <f>N29/M29</f>
        <v>89.264705882352146</v>
      </c>
      <c r="P29" s="97">
        <f>M29-J29</f>
        <v>0</v>
      </c>
      <c r="Q29" s="98">
        <f>O29-L29</f>
        <v>-12.985294117647854</v>
      </c>
      <c r="R29" s="99">
        <f>O29/L29</f>
        <v>0.8730044585071115</v>
      </c>
      <c r="S29" s="421"/>
      <c r="T29" s="19">
        <v>0.36111111111111099</v>
      </c>
      <c r="U29" s="19">
        <v>0.39652777777777798</v>
      </c>
      <c r="V29" s="92">
        <f>(T29-U28)*24*60</f>
        <v>7.9999999999991722</v>
      </c>
      <c r="W29" s="149">
        <f t="shared" si="4"/>
        <v>51.000000000000455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-207.76470588236566</v>
      </c>
      <c r="AG29" s="99">
        <f t="shared" si="7"/>
        <v>0.8730044585071115</v>
      </c>
      <c r="AH29" s="381"/>
    </row>
    <row r="30" spans="1:34" ht="15" customHeight="1">
      <c r="A30" s="418"/>
      <c r="B30" s="75" t="s">
        <v>81</v>
      </c>
      <c r="C30" s="88"/>
      <c r="D30" s="59" t="s">
        <v>126</v>
      </c>
      <c r="E30" s="89"/>
      <c r="F30" s="75">
        <f>VLOOKUP(D30,廠價表!$C$1:$E$43,3,0)</f>
        <v>45.66</v>
      </c>
      <c r="G30" s="90">
        <v>841</v>
      </c>
      <c r="H30" s="91">
        <f>F30*G30</f>
        <v>38400.06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>K30/J30</f>
        <v>96.235294117647058</v>
      </c>
      <c r="M30" s="94">
        <v>17</v>
      </c>
      <c r="N30" s="95">
        <f>G30/W30*60</f>
        <v>1529.0909090908847</v>
      </c>
      <c r="O30" s="96">
        <f>N30/M30</f>
        <v>89.946524064169694</v>
      </c>
      <c r="P30" s="97">
        <f>M30-J30</f>
        <v>0</v>
      </c>
      <c r="Q30" s="98">
        <f>O30-L30</f>
        <v>-6.2887700534773643</v>
      </c>
      <c r="R30" s="99">
        <f>O30/L30</f>
        <v>0.93465214492107873</v>
      </c>
      <c r="S30" s="421"/>
      <c r="T30" s="19">
        <v>0.41111111111111098</v>
      </c>
      <c r="U30" s="19">
        <v>0.43402777777777801</v>
      </c>
      <c r="V30" s="92">
        <f>(T30-U29)*24*60</f>
        <v>20.999999999999524</v>
      </c>
      <c r="W30" s="149">
        <f t="shared" si="4"/>
        <v>33.000000000000526</v>
      </c>
      <c r="X30" s="174"/>
      <c r="Y30" s="301"/>
      <c r="Z30" s="335"/>
      <c r="AA30" s="335"/>
      <c r="AB30" s="386" t="s">
        <v>149</v>
      </c>
      <c r="AC30" s="386"/>
      <c r="AD30" s="92"/>
      <c r="AE30" s="92"/>
      <c r="AF30" s="312">
        <f t="shared" si="6"/>
        <v>-106.90909090911532</v>
      </c>
      <c r="AG30" s="99">
        <f t="shared" si="7"/>
        <v>0.93465214492107862</v>
      </c>
      <c r="AH30" s="416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0</v>
      </c>
      <c r="AG31" s="99" t="e">
        <f t="shared" si="7"/>
        <v>#DIV/0!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8">AVERAGE(J27:J36)</f>
        <v>17.25</v>
      </c>
      <c r="K37" s="155">
        <f t="shared" si="8"/>
        <v>1636</v>
      </c>
      <c r="L37" s="158">
        <f t="shared" si="8"/>
        <v>95.065767973856211</v>
      </c>
      <c r="M37" s="155">
        <f t="shared" si="8"/>
        <v>16</v>
      </c>
      <c r="N37" s="155">
        <f t="shared" si="8"/>
        <v>1305.9948161082559</v>
      </c>
      <c r="O37" s="158">
        <f t="shared" si="8"/>
        <v>81.274108507038846</v>
      </c>
      <c r="P37" s="159">
        <f>M37-J37</f>
        <v>-1.25</v>
      </c>
      <c r="Q37" s="160">
        <f>N37-K37</f>
        <v>-330.00518389174408</v>
      </c>
      <c r="R37" s="161">
        <f>O37/L37</f>
        <v>0.85492507176073962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1</v>
      </c>
      <c r="AE37" s="324">
        <f>SUM(AE27:AE36)</f>
        <v>1</v>
      </c>
      <c r="AF37" s="309">
        <f>N37-K37</f>
        <v>-330.00518389174408</v>
      </c>
      <c r="AG37" s="124">
        <f>N37/K37</f>
        <v>0.79828533991947181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1837</v>
      </c>
      <c r="H38" s="134">
        <f>F38*G38</f>
        <v>91684.67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14</v>
      </c>
      <c r="N38" s="140">
        <f>G38/W38*60</f>
        <v>1360.7407407407413</v>
      </c>
      <c r="O38" s="141">
        <f>N38/M38</f>
        <v>97.195767195767232</v>
      </c>
      <c r="P38" s="142">
        <f>M38-J38</f>
        <v>-2</v>
      </c>
      <c r="Q38" s="143">
        <f>O38-L38</f>
        <v>-9.9292328042327682</v>
      </c>
      <c r="R38" s="144">
        <f>O38/L38</f>
        <v>0.90731171244590181</v>
      </c>
      <c r="S38" s="410">
        <f>R48</f>
        <v>0.90098857807834964</v>
      </c>
      <c r="T38" s="191">
        <v>0.33611111111111103</v>
      </c>
      <c r="U38" s="191">
        <v>0.39236111111111099</v>
      </c>
      <c r="V38" s="192"/>
      <c r="W38" s="193">
        <f t="shared" si="4"/>
        <v>80.999999999999957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-353.25925925925867</v>
      </c>
      <c r="AG38" s="195">
        <f>N38/K38</f>
        <v>0.79389774839016414</v>
      </c>
      <c r="AH38" s="413">
        <f>AG48</f>
        <v>0.81831432407125126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2255</v>
      </c>
      <c r="H39" s="91">
        <f>F39*G39</f>
        <v>99896.5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1380.6122448979504</v>
      </c>
      <c r="O39" s="203">
        <f>N39/M39</f>
        <v>81.21248499399708</v>
      </c>
      <c r="P39" s="97">
        <f>M39-J39</f>
        <v>-1</v>
      </c>
      <c r="Q39" s="98">
        <f>O39-L39</f>
        <v>-9.6764038948918056</v>
      </c>
      <c r="R39" s="99">
        <f>O39/L39</f>
        <v>0.89353589846696058</v>
      </c>
      <c r="S39" s="411"/>
      <c r="T39" s="20">
        <v>0.40625</v>
      </c>
      <c r="U39" s="20">
        <v>0.47430555555555598</v>
      </c>
      <c r="V39" s="92">
        <f>(T39-U38)*24*60</f>
        <v>20.000000000000171</v>
      </c>
      <c r="W39" s="205">
        <f t="shared" si="4"/>
        <v>98.000000000000611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-255.3877551020496</v>
      </c>
      <c r="AG39" s="206">
        <f>N39/K39</f>
        <v>0.84389501521879606</v>
      </c>
      <c r="AH39" s="414"/>
    </row>
    <row r="40" spans="1:34" ht="15" customHeight="1">
      <c r="A40" s="408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393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0</v>
      </c>
      <c r="AG40" s="206" t="e">
        <f>N40/K40</f>
        <v>#DIV/0!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0">AVERAGE(J38:J47)</f>
        <v>17</v>
      </c>
      <c r="K48" s="155">
        <f t="shared" si="10"/>
        <v>1675</v>
      </c>
      <c r="L48" s="158">
        <f t="shared" si="10"/>
        <v>99.006944444444443</v>
      </c>
      <c r="M48" s="155">
        <f t="shared" si="10"/>
        <v>15.5</v>
      </c>
      <c r="N48" s="155">
        <f t="shared" si="10"/>
        <v>1370.6764928193459</v>
      </c>
      <c r="O48" s="158">
        <f t="shared" si="10"/>
        <v>89.204126094882156</v>
      </c>
      <c r="P48" s="221">
        <f>M48-J48</f>
        <v>-1.5</v>
      </c>
      <c r="Q48" s="222">
        <f>N48-K48</f>
        <v>-304.32350718065413</v>
      </c>
      <c r="R48" s="223">
        <f>O48/L48</f>
        <v>0.90098857807834964</v>
      </c>
      <c r="S48" s="396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1">N48-K48</f>
        <v>-304.32350718065413</v>
      </c>
      <c r="AG48" s="162">
        <f t="shared" ref="AG48:AG53" si="12">N48/K48</f>
        <v>0.81831432407125126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1605</v>
      </c>
      <c r="H49" s="134">
        <f>F49*G49</f>
        <v>80713.845000000001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1605.0000000000271</v>
      </c>
      <c r="O49" s="141">
        <f>N49/M49</f>
        <v>94.41176470588394</v>
      </c>
      <c r="P49" s="229">
        <f>M49-J49</f>
        <v>0</v>
      </c>
      <c r="Q49" s="230">
        <f>O49-L49</f>
        <v>-1.8235294117631184</v>
      </c>
      <c r="R49" s="52">
        <f>O49/L49</f>
        <v>0.98105134474329281</v>
      </c>
      <c r="S49" s="392">
        <f>R58</f>
        <v>0.87221465313155744</v>
      </c>
      <c r="T49" s="191">
        <v>0.29166666666666702</v>
      </c>
      <c r="U49" s="191">
        <v>0.33333333333333298</v>
      </c>
      <c r="V49" s="55"/>
      <c r="W49" s="193">
        <f t="shared" si="4"/>
        <v>59.999999999998991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11"/>
        <v>-30.999999999972943</v>
      </c>
      <c r="AG49" s="52">
        <f t="shared" si="12"/>
        <v>0.98105134474329281</v>
      </c>
      <c r="AH49" s="380">
        <f>AG58</f>
        <v>0.83895122331017524</v>
      </c>
    </row>
    <row r="50" spans="1:34" ht="15" customHeight="1">
      <c r="A50" s="405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3423</v>
      </c>
      <c r="H50" s="231">
        <f>F50*G50</f>
        <v>171047.31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15</v>
      </c>
      <c r="N50" s="234">
        <f>G50/W50*60</f>
        <v>1406.712328767122</v>
      </c>
      <c r="O50" s="235">
        <f>N50/M50</f>
        <v>93.78082191780814</v>
      </c>
      <c r="P50" s="74">
        <f>M50-J50</f>
        <v>-1</v>
      </c>
      <c r="Q50" s="83">
        <f>O50-L50</f>
        <v>-18.71917808219186</v>
      </c>
      <c r="R50" s="72">
        <f>O50/L50</f>
        <v>0.83360730593607235</v>
      </c>
      <c r="S50" s="393"/>
      <c r="T50" s="21">
        <v>0.33888888888888902</v>
      </c>
      <c r="U50" s="21">
        <v>0.44027777777777799</v>
      </c>
      <c r="V50" s="30">
        <f>(T50-U49)*24*60</f>
        <v>8.000000000000691</v>
      </c>
      <c r="W50" s="236">
        <f t="shared" si="4"/>
        <v>146.00000000000011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1"/>
        <v>-393.28767123287798</v>
      </c>
      <c r="AG50" s="72">
        <f t="shared" si="12"/>
        <v>0.78150684931506775</v>
      </c>
      <c r="AH50" s="382"/>
    </row>
    <row r="51" spans="1:34" ht="15" customHeight="1">
      <c r="A51" s="405"/>
      <c r="B51" s="75" t="s">
        <v>127</v>
      </c>
      <c r="C51" s="76"/>
      <c r="D51" s="59" t="s">
        <v>129</v>
      </c>
      <c r="E51" s="77"/>
      <c r="F51" s="75">
        <f>VLOOKUP(D51,廠價表!$C$1:$E$43,3,0)</f>
        <v>44.3</v>
      </c>
      <c r="G51" s="202">
        <v>1202</v>
      </c>
      <c r="H51" s="231">
        <f>F51*G51</f>
        <v>53248.6</v>
      </c>
      <c r="I51" s="232"/>
      <c r="J51" s="79">
        <f>VLOOKUP(D51,產線配置圖!$A$3:$C$40,2,0)</f>
        <v>18</v>
      </c>
      <c r="K51" s="80">
        <f>VLOOKUP(D51,產線配置圖!$A$3:$C$40,3,0)</f>
        <v>1636</v>
      </c>
      <c r="L51" s="81">
        <f>K51/J51</f>
        <v>90.888888888888886</v>
      </c>
      <c r="M51" s="233">
        <v>17</v>
      </c>
      <c r="N51" s="234">
        <f>G51/W51*60</f>
        <v>1243.4482758620597</v>
      </c>
      <c r="O51" s="235">
        <f>N51/M51</f>
        <v>73.144016227179989</v>
      </c>
      <c r="P51" s="74">
        <f>M51-J51</f>
        <v>-1</v>
      </c>
      <c r="Q51" s="83">
        <f>O51-L51</f>
        <v>-17.744872661708897</v>
      </c>
      <c r="R51" s="72">
        <f>O51/L51</f>
        <v>0.8047630147244742</v>
      </c>
      <c r="S51" s="393"/>
      <c r="T51" s="21">
        <v>0.51527777777777795</v>
      </c>
      <c r="U51" s="19">
        <v>0.55555555555555602</v>
      </c>
      <c r="V51" s="30">
        <f>(T51-U50)*24*60</f>
        <v>107.99999999999994</v>
      </c>
      <c r="W51" s="236">
        <f t="shared" si="4"/>
        <v>58.000000000000433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1"/>
        <v>-392.55172413794025</v>
      </c>
      <c r="AG51" s="72">
        <f t="shared" si="12"/>
        <v>0.76005395835089229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/>
      <c r="U52" s="21"/>
      <c r="V52" s="30"/>
      <c r="W52" s="236">
        <f t="shared" si="4"/>
        <v>0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1"/>
        <v>0</v>
      </c>
      <c r="AG52" s="72" t="e">
        <f t="shared" si="12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1"/>
        <v>0</v>
      </c>
      <c r="AG53" s="72" t="e">
        <f t="shared" si="12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13">AVERAGE(J49:J57)</f>
        <v>17</v>
      </c>
      <c r="K58" s="120">
        <f t="shared" si="13"/>
        <v>1690.6666666666667</v>
      </c>
      <c r="L58" s="117">
        <f t="shared" si="13"/>
        <v>99.874727668845324</v>
      </c>
      <c r="M58" s="120">
        <f t="shared" si="13"/>
        <v>16.333333333333332</v>
      </c>
      <c r="N58" s="120">
        <f t="shared" si="13"/>
        <v>1418.3868682097363</v>
      </c>
      <c r="O58" s="117">
        <f t="shared" si="13"/>
        <v>87.112200950290685</v>
      </c>
      <c r="P58" s="121">
        <f>M58-J58</f>
        <v>-0.66666666666666785</v>
      </c>
      <c r="Q58" s="122">
        <f>N58-K58</f>
        <v>-272.27979845693039</v>
      </c>
      <c r="R58" s="123">
        <f>O58/L58</f>
        <v>0.87221465313155744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-272.27979845693039</v>
      </c>
      <c r="AG58" s="124">
        <f>N58/K58</f>
        <v>0.83895122331017524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2139</v>
      </c>
      <c r="H59" s="243">
        <f>F59*G59</f>
        <v>57731.609999999993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1350.9473684210575</v>
      </c>
      <c r="O59" s="138">
        <f>N59/M59</f>
        <v>90.063157894737159</v>
      </c>
      <c r="P59" s="56">
        <f>M59-J59</f>
        <v>0</v>
      </c>
      <c r="Q59" s="230">
        <f>O59-L59</f>
        <v>-19.003508771929503</v>
      </c>
      <c r="R59" s="52">
        <f>O59/L59</f>
        <v>0.82576245013512073</v>
      </c>
      <c r="S59" s="392">
        <f>R69</f>
        <v>0.86751717430684017</v>
      </c>
      <c r="T59" s="245">
        <v>0.29166666666666702</v>
      </c>
      <c r="U59" s="245">
        <v>0.35763888888888901</v>
      </c>
      <c r="V59" s="55"/>
      <c r="W59" s="54">
        <f t="shared" si="4"/>
        <v>94.999999999999659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-285.05263157894251</v>
      </c>
      <c r="AG59" s="246">
        <f>N59/K59</f>
        <v>0.82576245013512073</v>
      </c>
      <c r="AH59" s="380">
        <f>AG69</f>
        <v>0.80689904774160293</v>
      </c>
    </row>
    <row r="60" spans="1:34" ht="15" customHeight="1">
      <c r="A60" s="399"/>
      <c r="B60" s="250" t="s">
        <v>132</v>
      </c>
      <c r="C60" s="251"/>
      <c r="D60" s="252" t="s">
        <v>134</v>
      </c>
      <c r="E60" s="253"/>
      <c r="F60" s="250">
        <f>VLOOKUP(D60,廠價表!$C$1:$E$43,3,0)</f>
        <v>28.26</v>
      </c>
      <c r="G60" s="38">
        <v>998</v>
      </c>
      <c r="H60" s="254">
        <f>F60*G60</f>
        <v>28203.480000000003</v>
      </c>
      <c r="I60" s="182"/>
      <c r="J60" s="106">
        <f>VLOOKUP(D60,產線配置圖!$A$3:$C$40,2,0)</f>
        <v>11</v>
      </c>
      <c r="K60" s="107">
        <f>VLOOKUP(D60,產線配置圖!$A$3:$C$40,3,0)</f>
        <v>1636</v>
      </c>
      <c r="L60" s="238">
        <f>K60/J60</f>
        <v>148.72727272727272</v>
      </c>
      <c r="M60" s="108">
        <v>11</v>
      </c>
      <c r="N60" s="107">
        <f>G60/W60*60</f>
        <v>1496.9999999999873</v>
      </c>
      <c r="O60" s="238">
        <f>N60/M60</f>
        <v>136.09090909090793</v>
      </c>
      <c r="P60" s="111">
        <f>M60-J60</f>
        <v>0</v>
      </c>
      <c r="Q60" s="255">
        <f>O60-L60</f>
        <v>-12.636363636364791</v>
      </c>
      <c r="R60" s="85">
        <f>O60/L60</f>
        <v>0.9150366748166181</v>
      </c>
      <c r="S60" s="402"/>
      <c r="T60" s="22">
        <v>0.36458333333333298</v>
      </c>
      <c r="U60" s="22">
        <v>0.39236111111111099</v>
      </c>
      <c r="V60" s="30">
        <f>(T60-U59)*24*60</f>
        <v>9.999999999999325</v>
      </c>
      <c r="W60" s="248">
        <f t="shared" si="4"/>
        <v>40.000000000000341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-139.00000000001273</v>
      </c>
      <c r="AG60" s="249">
        <f>N60/K60</f>
        <v>0.9150366748166181</v>
      </c>
      <c r="AH60" s="403"/>
    </row>
    <row r="61" spans="1:34" ht="15" customHeight="1">
      <c r="A61" s="400"/>
      <c r="B61" s="250" t="s">
        <v>132</v>
      </c>
      <c r="C61" s="251"/>
      <c r="D61" s="257" t="s">
        <v>135</v>
      </c>
      <c r="E61" s="253"/>
      <c r="F61" s="250">
        <f>VLOOKUP(D61,廠價表!$C$1:$E$43,3,0)</f>
        <v>28.26</v>
      </c>
      <c r="G61" s="38">
        <v>546</v>
      </c>
      <c r="H61" s="254">
        <f>F61*G61</f>
        <v>15429.960000000001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1310.400000000009</v>
      </c>
      <c r="O61" s="238">
        <f>N61/M61</f>
        <v>119.12727272727354</v>
      </c>
      <c r="P61" s="111">
        <f>M61-J61</f>
        <v>0</v>
      </c>
      <c r="Q61" s="255">
        <f>O61-L61</f>
        <v>-29.599999999999184</v>
      </c>
      <c r="R61" s="85">
        <f>O61/L61</f>
        <v>0.80097799511002987</v>
      </c>
      <c r="S61" s="393"/>
      <c r="T61" s="22">
        <v>0.44791666666666702</v>
      </c>
      <c r="U61" s="22">
        <v>0.46527777777777801</v>
      </c>
      <c r="V61" s="30">
        <f>(T61-U60)*24*60</f>
        <v>80.000000000000682</v>
      </c>
      <c r="W61" s="256">
        <f t="shared" si="4"/>
        <v>24.999999999999829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-325.59999999999104</v>
      </c>
      <c r="AG61" s="247">
        <f>N61/K61</f>
        <v>0.80097799511002987</v>
      </c>
      <c r="AH61" s="382"/>
    </row>
    <row r="62" spans="1:34" ht="15" customHeight="1">
      <c r="A62" s="400"/>
      <c r="B62" s="258" t="s">
        <v>132</v>
      </c>
      <c r="C62" s="58"/>
      <c r="D62" s="259" t="s">
        <v>133</v>
      </c>
      <c r="E62" s="60"/>
      <c r="F62" s="250">
        <f>VLOOKUP(D62,廠價表!$C$1:$E$43,3,0)</f>
        <v>26.99</v>
      </c>
      <c r="G62" s="260">
        <v>374</v>
      </c>
      <c r="H62" s="254">
        <f>F62*G62</f>
        <v>10094.26</v>
      </c>
      <c r="I62" s="182"/>
      <c r="J62" s="106">
        <f>VLOOKUP(D62,產線配置圖!$A$3:$C$40,2,0)</f>
        <v>15</v>
      </c>
      <c r="K62" s="107">
        <f>VLOOKUP(D62,產線配置圖!$A$3:$C$40,3,0)</f>
        <v>1636</v>
      </c>
      <c r="L62" s="238">
        <f>K62/J62</f>
        <v>109.06666666666666</v>
      </c>
      <c r="M62" s="68">
        <v>11</v>
      </c>
      <c r="N62" s="107">
        <f>G62/W62*60</f>
        <v>1121.999999999995</v>
      </c>
      <c r="O62" s="238">
        <f>N62/M62</f>
        <v>101.99999999999955</v>
      </c>
      <c r="P62" s="111">
        <f>M62-J62</f>
        <v>-4</v>
      </c>
      <c r="Q62" s="255">
        <f>O62-L62</f>
        <v>-7.0666666666671176</v>
      </c>
      <c r="R62" s="85">
        <f>O62/L62</f>
        <v>0.93520782396087609</v>
      </c>
      <c r="S62" s="393"/>
      <c r="T62" s="22">
        <v>0.58333333333333304</v>
      </c>
      <c r="U62" s="22">
        <v>0.59722222222222199</v>
      </c>
      <c r="V62" s="30">
        <f>(T62-U61)*24*60</f>
        <v>169.99999999999923</v>
      </c>
      <c r="W62" s="248">
        <f t="shared" si="4"/>
        <v>20.000000000000089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-514.000000000005</v>
      </c>
      <c r="AG62" s="247">
        <f>N62/K62</f>
        <v>0.68581907090464245</v>
      </c>
      <c r="AH62" s="382"/>
    </row>
    <row r="63" spans="1:34" ht="15" customHeight="1">
      <c r="A63" s="400"/>
      <c r="B63" s="258"/>
      <c r="C63" s="58"/>
      <c r="D63" s="259"/>
      <c r="E63" s="60"/>
      <c r="F63" s="250"/>
      <c r="G63" s="260"/>
      <c r="H63" s="254"/>
      <c r="I63" s="182"/>
      <c r="J63" s="106"/>
      <c r="K63" s="107"/>
      <c r="L63" s="238"/>
      <c r="M63" s="68"/>
      <c r="N63" s="107"/>
      <c r="O63" s="238"/>
      <c r="P63" s="111"/>
      <c r="Q63" s="255"/>
      <c r="R63" s="85"/>
      <c r="S63" s="39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14">AVERAGE(J59:J68)</f>
        <v>13</v>
      </c>
      <c r="K69" s="240">
        <f t="shared" si="14"/>
        <v>1636</v>
      </c>
      <c r="L69" s="268">
        <f t="shared" si="14"/>
        <v>128.89696969696968</v>
      </c>
      <c r="M69" s="240">
        <f t="shared" si="14"/>
        <v>12</v>
      </c>
      <c r="N69" s="240">
        <f t="shared" si="14"/>
        <v>1320.0868421052623</v>
      </c>
      <c r="O69" s="268">
        <f t="shared" si="14"/>
        <v>111.82033492822954</v>
      </c>
      <c r="P69" s="269">
        <f>M69-J69</f>
        <v>-1</v>
      </c>
      <c r="Q69" s="222">
        <f>N69-K69</f>
        <v>-315.91315789473765</v>
      </c>
      <c r="R69" s="123">
        <f>O69/L69</f>
        <v>0.86751717430684017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-315.91315789473765</v>
      </c>
      <c r="AG69" s="124">
        <f>N69/K69</f>
        <v>0.80689904774160293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851</v>
      </c>
      <c r="H70" s="243">
        <f>F70*G70</f>
        <v>37350.39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11</v>
      </c>
      <c r="N70" s="137">
        <f>G70/W70*60</f>
        <v>1276.4999999999891</v>
      </c>
      <c r="O70" s="138">
        <f>N70/M70</f>
        <v>116.04545454545355</v>
      </c>
      <c r="P70" s="56">
        <f>M70-J70</f>
        <v>-2</v>
      </c>
      <c r="Q70" s="230">
        <f>O70-L70</f>
        <v>-4.3391608391618348</v>
      </c>
      <c r="R70" s="52">
        <f>O70/L70</f>
        <v>0.96395585245424675</v>
      </c>
      <c r="S70" s="392">
        <f>R79</f>
        <v>0.93976746689632429</v>
      </c>
      <c r="T70" s="245">
        <v>0.29861111111111099</v>
      </c>
      <c r="U70" s="245">
        <v>0.32638888888888901</v>
      </c>
      <c r="V70" s="55"/>
      <c r="W70" s="54">
        <f t="shared" si="4"/>
        <v>40.000000000000341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-288.50000000001091</v>
      </c>
      <c r="AG70" s="246">
        <f>N70/K70</f>
        <v>0.81565495207667038</v>
      </c>
      <c r="AH70" s="380">
        <f>AG79</f>
        <v>0.65530860891685239</v>
      </c>
    </row>
    <row r="71" spans="1:36" ht="15" customHeight="1">
      <c r="A71" s="390"/>
      <c r="B71" s="75" t="s">
        <v>132</v>
      </c>
      <c r="C71" s="76"/>
      <c r="D71" s="59" t="s">
        <v>136</v>
      </c>
      <c r="E71" s="77"/>
      <c r="F71" s="250">
        <f>VLOOKUP(D71,廠價表!$C$1:$E$43,3,0)</f>
        <v>28.26</v>
      </c>
      <c r="G71" s="30">
        <v>2395</v>
      </c>
      <c r="H71" s="254">
        <f>F71*G71</f>
        <v>67682.7</v>
      </c>
      <c r="I71" s="182"/>
      <c r="J71" s="106">
        <f>VLOOKUP(D71,產線配置圖!$A$3:$C$40,2,0)</f>
        <v>11</v>
      </c>
      <c r="K71" s="107">
        <f>VLOOKUP(D71,產線配置圖!$A$3:$C$40,3,0)</f>
        <v>1636</v>
      </c>
      <c r="L71" s="238">
        <f>K71/J71</f>
        <v>148.72727272727272</v>
      </c>
      <c r="M71" s="82">
        <v>6</v>
      </c>
      <c r="N71" s="107">
        <f>G71/W71*60</f>
        <v>821.14285714285552</v>
      </c>
      <c r="O71" s="238">
        <f>N71/M71</f>
        <v>136.85714285714258</v>
      </c>
      <c r="P71" s="111">
        <f>M71-J71</f>
        <v>-5</v>
      </c>
      <c r="Q71" s="255">
        <f>O71-L71</f>
        <v>-11.870129870130143</v>
      </c>
      <c r="R71" s="85">
        <f>O71/L71</f>
        <v>0.92018861334264579</v>
      </c>
      <c r="S71" s="393"/>
      <c r="T71" s="22">
        <v>0.33333333333333298</v>
      </c>
      <c r="U71" s="22">
        <v>0.45486111111111099</v>
      </c>
      <c r="V71" s="30">
        <f>(T71-U70)*24*60</f>
        <v>9.999999999999325</v>
      </c>
      <c r="W71" s="73">
        <f t="shared" si="4"/>
        <v>175.00000000000034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15">AVERAGE(J70:J78)</f>
        <v>12</v>
      </c>
      <c r="K79" s="240">
        <f t="shared" si="15"/>
        <v>1600.5</v>
      </c>
      <c r="L79" s="268">
        <f t="shared" si="15"/>
        <v>134.55594405594405</v>
      </c>
      <c r="M79" s="240">
        <f t="shared" si="15"/>
        <v>8.5</v>
      </c>
      <c r="N79" s="240">
        <f t="shared" si="15"/>
        <v>1048.8214285714223</v>
      </c>
      <c r="O79" s="268">
        <f t="shared" si="15"/>
        <v>126.45129870129807</v>
      </c>
      <c r="P79" s="269">
        <f>M79-J79</f>
        <v>-3.5</v>
      </c>
      <c r="Q79" s="222">
        <f>N79-K79</f>
        <v>-551.6785714285777</v>
      </c>
      <c r="R79" s="223">
        <f>O79/L79</f>
        <v>0.93976746689632429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-551.6785714285777</v>
      </c>
      <c r="AG79" s="124">
        <f>N79/K79</f>
        <v>0.65530860891685239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267" priority="1" operator="greaterThan">
      <formula>0</formula>
    </cfRule>
  </conditionalFormatting>
  <conditionalFormatting sqref="Q5:Q79 AF5:AF79">
    <cfRule type="cellIs" dxfId="266" priority="4" operator="lessThan">
      <formula>0</formula>
    </cfRule>
  </conditionalFormatting>
  <conditionalFormatting sqref="R5:R79 AG5:AG79">
    <cfRule type="cellIs" dxfId="265" priority="2" operator="greaterThan">
      <formula>1</formula>
    </cfRule>
    <cfRule type="cellIs" dxfId="264" priority="3" operator="lessThan">
      <formula>0.8</formula>
    </cfRule>
  </conditionalFormatting>
  <conditionalFormatting sqref="S5:S10 S37:S62 AH59:AH62 S69:S76 AH69:AH76">
    <cfRule type="cellIs" dxfId="263" priority="7" operator="lessThan">
      <formula>0.8</formula>
    </cfRule>
  </conditionalFormatting>
  <conditionalFormatting sqref="S19:S25 AH19:AH25">
    <cfRule type="cellIs" dxfId="262" priority="6" operator="lessThan">
      <formula>0.8</formula>
    </cfRule>
  </conditionalFormatting>
  <conditionalFormatting sqref="S79">
    <cfRule type="cellIs" dxfId="261" priority="5" operator="lessThan">
      <formula>0.8</formula>
    </cfRule>
  </conditionalFormatting>
  <conditionalFormatting sqref="AH5:AH8 S15:S16 AH15:AH16 AH49 AH79">
    <cfRule type="cellIs" dxfId="260" priority="9" operator="lessThan">
      <formula>0.8</formula>
    </cfRule>
  </conditionalFormatting>
  <conditionalFormatting sqref="AH27 S27:S28">
    <cfRule type="cellIs" dxfId="25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7D8A-01AB-4B40-8564-E86D89E36E65}">
  <dimension ref="B1:O26"/>
  <sheetViews>
    <sheetView topLeftCell="B1" zoomScale="70" zoomScaleNormal="70" workbookViewId="0">
      <selection activeCell="N17" sqref="N1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46270</v>
      </c>
      <c r="E3" s="504"/>
      <c r="F3" s="3" t="s">
        <v>72</v>
      </c>
      <c r="G3" s="505">
        <f>'0905'!E1</f>
        <v>40593</v>
      </c>
      <c r="H3" s="505"/>
      <c r="I3" s="3" t="s">
        <v>2</v>
      </c>
      <c r="J3" s="506">
        <f>'0905'!G1</f>
        <v>1874479.3120000002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127.97948793581146</v>
      </c>
      <c r="G6" s="501"/>
      <c r="H6" s="502">
        <f>AVERAGE(D13:H13)</f>
        <v>126.93532973018266</v>
      </c>
      <c r="I6" s="502"/>
      <c r="J6" s="502">
        <f>AVERAGE(I13:J13)</f>
        <v>130.58988344988347</v>
      </c>
      <c r="K6" s="502"/>
      <c r="L6" s="492">
        <f>'0905'!Z2</f>
        <v>5</v>
      </c>
      <c r="M6" s="493">
        <f>'0905'!AA2</f>
        <v>59</v>
      </c>
      <c r="N6" s="494">
        <f>'0905'!AD2</f>
        <v>0</v>
      </c>
      <c r="O6" s="493">
        <f>'0905'!AE2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109.71025026033362</v>
      </c>
      <c r="G7" s="490"/>
      <c r="H7" s="491">
        <f>AVERAGE(D14:H14)</f>
        <v>106.98491763719377</v>
      </c>
      <c r="I7" s="491"/>
      <c r="J7" s="491">
        <f>AVERAGE(I14:J14)</f>
        <v>116.52358181818323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0.86466918152990668</v>
      </c>
      <c r="G8" s="496"/>
      <c r="H8" s="496">
        <f>AVERAGE(D15:H15)</f>
        <v>0.8531809573073007</v>
      </c>
      <c r="I8" s="496"/>
      <c r="J8" s="496">
        <f>AVERAGE(I15:J15)</f>
        <v>0.89338974208642141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VALUE('0905'!L15)</f>
        <v>164.83516483516482</v>
      </c>
      <c r="E13" s="13">
        <f>VALUE('0905'!L26)</f>
        <v>174.10714285714286</v>
      </c>
      <c r="F13" s="13">
        <f>VALUE('0905'!L37)</f>
        <v>95.065767973856211</v>
      </c>
      <c r="G13" s="13">
        <f>VALUE('0905'!L48)</f>
        <v>96.300925925925924</v>
      </c>
      <c r="H13" s="13">
        <f>VALUE('0905'!L58)</f>
        <v>104.36764705882354</v>
      </c>
      <c r="I13" s="13">
        <f>VALUE('0905'!L69)</f>
        <v>140.79515151515153</v>
      </c>
      <c r="J13" s="13">
        <f>'0905'!L79</f>
        <v>120.38461538461539</v>
      </c>
    </row>
    <row r="14" spans="2:15" ht="39.950000000000003" customHeight="1">
      <c r="B14" s="484"/>
      <c r="C14" s="12" t="s">
        <v>100</v>
      </c>
      <c r="D14" s="13">
        <f>VALUE('0905'!O15)</f>
        <v>140.35617355354134</v>
      </c>
      <c r="E14" s="13">
        <f>VALUE('0905'!O26)</f>
        <v>133.57460612143271</v>
      </c>
      <c r="F14" s="13">
        <f>VALUE('0905'!O37)</f>
        <v>84.05212848297262</v>
      </c>
      <c r="G14" s="13">
        <f>VALUE('0905'!O48)</f>
        <v>84.34646157313486</v>
      </c>
      <c r="H14" s="13">
        <f>VALUE('0905'!O58)</f>
        <v>92.595218454887316</v>
      </c>
      <c r="I14" s="13">
        <f>VALUE('0905'!O69)</f>
        <v>123.79716363636535</v>
      </c>
      <c r="J14" s="13">
        <f>'0905'!O79</f>
        <v>109.25000000000111</v>
      </c>
    </row>
    <row r="15" spans="2:15" ht="39.950000000000003" customHeight="1">
      <c r="B15" s="485"/>
      <c r="C15" s="10" t="s">
        <v>26</v>
      </c>
      <c r="D15" s="14">
        <f t="shared" ref="D15:I15" si="0">D14/D13</f>
        <v>0.85149411955815091</v>
      </c>
      <c r="E15" s="14">
        <f t="shared" si="0"/>
        <v>0.76719773772310063</v>
      </c>
      <c r="F15" s="14">
        <f t="shared" si="0"/>
        <v>0.88414715700910951</v>
      </c>
      <c r="G15" s="14">
        <f t="shared" si="0"/>
        <v>0.87586345367035867</v>
      </c>
      <c r="H15" s="14">
        <f t="shared" si="0"/>
        <v>0.88720231857578369</v>
      </c>
      <c r="I15" s="14">
        <f t="shared" si="0"/>
        <v>0.87927149695238649</v>
      </c>
      <c r="J15" s="15">
        <f>'0905'!S70</f>
        <v>0.90750798722045645</v>
      </c>
    </row>
    <row r="16" spans="2:15" ht="17.25" customHeight="1">
      <c r="B16" s="486" t="s">
        <v>101</v>
      </c>
      <c r="C16" s="10" t="s">
        <v>34</v>
      </c>
      <c r="D16" s="16">
        <f>'0905'!T5</f>
        <v>0.29375000000000001</v>
      </c>
      <c r="E16" s="16">
        <f>'0905'!T16</f>
        <v>0.29375000000000001</v>
      </c>
      <c r="F16" s="16">
        <f>'0905'!T27</f>
        <v>0.29166666666666702</v>
      </c>
      <c r="G16" s="16">
        <f>'0905'!T38</f>
        <v>0.33333333333333298</v>
      </c>
      <c r="H16" s="16">
        <f>'0905'!T49</f>
        <v>0.29166666666666702</v>
      </c>
      <c r="I16" s="16">
        <f>'0905'!T59</f>
        <v>0.29166666666666702</v>
      </c>
      <c r="J16" s="17">
        <f>'0905'!T70</f>
        <v>0.29166666666666702</v>
      </c>
    </row>
    <row r="17" spans="2:10" ht="17.25" customHeight="1">
      <c r="B17" s="487"/>
      <c r="C17" s="10" t="s">
        <v>35</v>
      </c>
      <c r="D17" s="16">
        <v>0.47916666666666702</v>
      </c>
      <c r="E17" s="183">
        <v>0.57291666666666696</v>
      </c>
      <c r="F17" s="19">
        <v>0.41249999999999998</v>
      </c>
      <c r="G17" s="328">
        <v>0.59722222222222199</v>
      </c>
      <c r="H17" s="21">
        <v>0.47361111111111098</v>
      </c>
      <c r="I17" s="22">
        <v>0.58333333333333304</v>
      </c>
      <c r="J17" s="110">
        <v>0.32500000000000001</v>
      </c>
    </row>
    <row r="18" spans="2:10" ht="17.25" customHeight="1">
      <c r="B18" s="488" t="s">
        <v>102</v>
      </c>
      <c r="C18" s="330" t="s">
        <v>36</v>
      </c>
      <c r="D18" s="359">
        <f>'0905'!Z15</f>
        <v>1</v>
      </c>
      <c r="E18" s="360">
        <f>'0905'!Z26</f>
        <v>4</v>
      </c>
      <c r="F18" s="360">
        <f>'0905'!Z37</f>
        <v>0</v>
      </c>
      <c r="G18" s="361">
        <f>'0905'!Z48</f>
        <v>0</v>
      </c>
      <c r="H18" s="361">
        <f>'0905'!Z58</f>
        <v>0</v>
      </c>
      <c r="I18" s="360">
        <f>'0905'!Z69</f>
        <v>0</v>
      </c>
      <c r="J18" s="360">
        <f>'0905'!AA79</f>
        <v>0</v>
      </c>
    </row>
    <row r="19" spans="2:10" ht="17.25" customHeight="1">
      <c r="B19" s="489"/>
      <c r="C19" s="330" t="s">
        <v>37</v>
      </c>
      <c r="D19" s="359">
        <f>'0905'!AA15</f>
        <v>27</v>
      </c>
      <c r="E19" s="360">
        <f>'0905'!AA26</f>
        <v>32</v>
      </c>
      <c r="F19" s="360">
        <f>'0905'!AA37</f>
        <v>0</v>
      </c>
      <c r="G19" s="361">
        <f>'0905'!AA48</f>
        <v>0</v>
      </c>
      <c r="H19" s="361">
        <f>'0905'!AA58</f>
        <v>0</v>
      </c>
      <c r="I19" s="360">
        <f>'0905'!AA69</f>
        <v>0</v>
      </c>
      <c r="J19" s="360">
        <f>'0905'!AB79</f>
        <v>0</v>
      </c>
    </row>
    <row r="20" spans="2:10" ht="17.25" customHeight="1">
      <c r="B20" s="488" t="s">
        <v>103</v>
      </c>
      <c r="C20" s="330" t="s">
        <v>36</v>
      </c>
      <c r="D20" s="359">
        <f>'0905'!AD15</f>
        <v>0</v>
      </c>
      <c r="E20" s="360">
        <f>'0905'!AD26</f>
        <v>0</v>
      </c>
      <c r="F20" s="360">
        <f>'0905'!AD37</f>
        <v>0</v>
      </c>
      <c r="G20" s="361">
        <f>'0905'!AD48</f>
        <v>0</v>
      </c>
      <c r="H20" s="361">
        <f>'0905'!AD58</f>
        <v>0</v>
      </c>
      <c r="I20" s="360">
        <f>'0905'!AD69</f>
        <v>0</v>
      </c>
      <c r="J20" s="360">
        <f>'0905'!AD79</f>
        <v>0</v>
      </c>
    </row>
    <row r="21" spans="2:10" ht="17.25" customHeight="1">
      <c r="B21" s="489"/>
      <c r="C21" s="330" t="s">
        <v>85</v>
      </c>
      <c r="D21" s="359">
        <f>'0905'!AE15</f>
        <v>0</v>
      </c>
      <c r="E21" s="360">
        <f>'0905'!AE26</f>
        <v>0</v>
      </c>
      <c r="F21" s="360">
        <f>'0905'!AE37</f>
        <v>0</v>
      </c>
      <c r="G21" s="361">
        <f>'0905'!AE48</f>
        <v>0</v>
      </c>
      <c r="H21" s="361">
        <f>'0905'!AE58</f>
        <v>0</v>
      </c>
      <c r="I21" s="360">
        <f>'0905'!AE69</f>
        <v>0</v>
      </c>
      <c r="J21" s="360">
        <f>'0905'!AE79</f>
        <v>0</v>
      </c>
    </row>
    <row r="22" spans="2:10" ht="17.25" customHeight="1">
      <c r="B22" s="471" t="s">
        <v>104</v>
      </c>
      <c r="C22" s="472"/>
      <c r="D22" s="23">
        <f>VALUE('0905'!M15)</f>
        <v>13.666666666666666</v>
      </c>
      <c r="E22" s="23">
        <f>VALUE('0905'!M26)</f>
        <v>13</v>
      </c>
      <c r="F22" s="23">
        <f>VALUE('0905'!M37)</f>
        <v>16.75</v>
      </c>
      <c r="G22" s="23">
        <f>VALUE('0905'!M48)</f>
        <v>17.333333333333332</v>
      </c>
      <c r="H22" s="23">
        <f>VALUE('0905'!M58)</f>
        <v>16.5</v>
      </c>
      <c r="I22" s="23">
        <f>VALUE('0905'!M69)</f>
        <v>11.8</v>
      </c>
      <c r="J22" s="23">
        <f>'0905'!M79</f>
        <v>10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25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F37D9-1156-4931-9140-048B5163019B}">
  <sheetPr>
    <tabColor theme="9" tint="0.79998168889431442"/>
  </sheetPr>
  <dimension ref="A1:AJ92"/>
  <sheetViews>
    <sheetView zoomScale="69" zoomScaleNormal="69" workbookViewId="0">
      <pane xSplit="5" ySplit="4" topLeftCell="F47" activePane="bottomRight" state="frozen"/>
      <selection activeCell="G76" sqref="G76"/>
      <selection pane="topRight" activeCell="G76" sqref="G76"/>
      <selection pane="bottomLeft" activeCell="G76" sqref="G76"/>
      <selection pane="bottomRight" activeCell="U7" sqref="U7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40593</v>
      </c>
      <c r="F1" s="30" t="s">
        <v>2</v>
      </c>
      <c r="G1" s="31">
        <f>SUM(H5:H79)</f>
        <v>1874479.3120000002</v>
      </c>
      <c r="H1" s="32" t="s">
        <v>3</v>
      </c>
      <c r="I1" s="33">
        <f>M15+M26+M48+M58+M69+M79+M37</f>
        <v>99.05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150</v>
      </c>
      <c r="B2" s="462"/>
      <c r="C2" s="28"/>
      <c r="D2" s="28" t="s">
        <v>14</v>
      </c>
      <c r="E2" s="35">
        <f>AVERAGE(O15,O26,O37,O48,O58,O69,O79)</f>
        <v>109.71025026033362</v>
      </c>
      <c r="F2" s="36" t="s">
        <v>15</v>
      </c>
      <c r="G2" s="37">
        <f>G1/E1</f>
        <v>46.177402803439023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5</v>
      </c>
      <c r="AA2" s="339">
        <f>AA15+AA26+AA37+AA48+AA58+AA69+AA79</f>
        <v>59</v>
      </c>
      <c r="AB2" s="433"/>
      <c r="AC2" s="433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1531</v>
      </c>
      <c r="H5" s="43">
        <f>F5*G5</f>
        <v>87067.97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1611.578947368436</v>
      </c>
      <c r="O5" s="47">
        <f>N5/M5</f>
        <v>115.11278195488829</v>
      </c>
      <c r="P5" s="49">
        <f>M5-J5</f>
        <v>0</v>
      </c>
      <c r="Q5" s="50">
        <f>O5-L5</f>
        <v>-45.601503759397431</v>
      </c>
      <c r="R5" s="51">
        <f>O5/L5</f>
        <v>0.71625730994152714</v>
      </c>
      <c r="S5" s="392">
        <f>R15</f>
        <v>0.85149411955815091</v>
      </c>
      <c r="T5" s="319">
        <v>0.29375000000000001</v>
      </c>
      <c r="U5" s="16">
        <v>0.33333333333333298</v>
      </c>
      <c r="V5" s="53"/>
      <c r="W5" s="54">
        <f t="shared" ref="W5:W14" si="0">(U5-T5)*24*60</f>
        <v>56.999999999999474</v>
      </c>
      <c r="X5" s="55"/>
      <c r="Y5" s="290"/>
      <c r="Z5" s="169">
        <v>1</v>
      </c>
      <c r="AA5" s="169">
        <v>27</v>
      </c>
      <c r="AB5" s="397" t="s">
        <v>151</v>
      </c>
      <c r="AC5" s="397"/>
      <c r="AD5" s="135"/>
      <c r="AE5" s="135"/>
      <c r="AF5" s="229">
        <f t="shared" ref="AF5:AF11" si="1">N5-K5</f>
        <v>-638.42105263156395</v>
      </c>
      <c r="AG5" s="52">
        <f t="shared" ref="AG5:AG11" si="2">N5/K5</f>
        <v>0.71625730994152714</v>
      </c>
      <c r="AH5" s="380">
        <f>AG15</f>
        <v>0.85080593458955667</v>
      </c>
    </row>
    <row r="6" spans="1:34" ht="15" customHeight="1">
      <c r="A6" s="466"/>
      <c r="B6" s="75" t="s">
        <v>81</v>
      </c>
      <c r="C6" s="76"/>
      <c r="D6" s="59" t="s">
        <v>116</v>
      </c>
      <c r="E6" s="77"/>
      <c r="F6" s="75">
        <f>VLOOKUP(D6,廠價表!$C$1:$E$43,3,0)</f>
        <v>58.17</v>
      </c>
      <c r="G6" s="66">
        <v>1581</v>
      </c>
      <c r="H6" s="78">
        <f>F6*G6</f>
        <v>91966.77</v>
      </c>
      <c r="I6" s="73"/>
      <c r="J6" s="79">
        <f>VLOOKUP(D6,產線配置圖!$A$3:$C$40,2,0)</f>
        <v>13</v>
      </c>
      <c r="K6" s="80">
        <f>VLOOKUP(D6,產線配置圖!$A$3:$C$40,3,0)</f>
        <v>2250</v>
      </c>
      <c r="L6" s="81">
        <f>K6/J6</f>
        <v>173.07692307692307</v>
      </c>
      <c r="M6" s="82">
        <v>13</v>
      </c>
      <c r="N6" s="80">
        <f>G6/W6*60</f>
        <v>1976.2499999999609</v>
      </c>
      <c r="O6" s="81">
        <f>N6/M6</f>
        <v>152.01923076922776</v>
      </c>
      <c r="P6" s="74">
        <f>M6-J6</f>
        <v>0</v>
      </c>
      <c r="Q6" s="83">
        <f>O6-L6</f>
        <v>-21.057692307695305</v>
      </c>
      <c r="R6" s="72">
        <f>O6/L6</f>
        <v>0.87833333333331598</v>
      </c>
      <c r="S6" s="393"/>
      <c r="T6" s="18">
        <v>0.344444444444444</v>
      </c>
      <c r="U6" s="18">
        <v>0.37777777777777799</v>
      </c>
      <c r="V6" s="30">
        <f>(T6-U5)*24*60</f>
        <v>15.999999999999863</v>
      </c>
      <c r="W6" s="73">
        <f t="shared" si="0"/>
        <v>48.000000000000952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-273.75000000003911</v>
      </c>
      <c r="AG6" s="72">
        <f t="shared" si="2"/>
        <v>0.87833333333331598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4849</v>
      </c>
      <c r="H7" s="78">
        <f>F7*G7</f>
        <v>238279.86000000002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2155.1111111111109</v>
      </c>
      <c r="O7" s="81">
        <f>N7/M7</f>
        <v>153.93650793650792</v>
      </c>
      <c r="P7" s="74">
        <f>M7-J7</f>
        <v>0</v>
      </c>
      <c r="Q7" s="83">
        <f>O7-L7</f>
        <v>-6.7777777777777999</v>
      </c>
      <c r="R7" s="72">
        <f>O7/L7</f>
        <v>0.95782716049382699</v>
      </c>
      <c r="S7" s="393"/>
      <c r="T7" s="16">
        <v>0.38541666666666702</v>
      </c>
      <c r="U7" s="16">
        <v>0.47916666666666702</v>
      </c>
      <c r="V7" s="30">
        <f>(T7-U6)*24*60</f>
        <v>11.000000000000201</v>
      </c>
      <c r="W7" s="73">
        <f t="shared" si="0"/>
        <v>135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-94.888888888889142</v>
      </c>
      <c r="AG7" s="72">
        <f t="shared" si="2"/>
        <v>0.9578271604938271</v>
      </c>
      <c r="AH7" s="382"/>
    </row>
    <row r="8" spans="1:34" ht="15" customHeight="1">
      <c r="A8" s="466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93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0</v>
      </c>
      <c r="AG8" s="72" t="e">
        <f t="shared" si="2"/>
        <v>#DIV/0!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13.666666666666666</v>
      </c>
      <c r="K15" s="120">
        <f t="shared" si="3"/>
        <v>2250</v>
      </c>
      <c r="L15" s="117">
        <f t="shared" si="3"/>
        <v>164.83516483516482</v>
      </c>
      <c r="M15" s="120">
        <f t="shared" si="3"/>
        <v>13.666666666666666</v>
      </c>
      <c r="N15" s="120">
        <f t="shared" si="3"/>
        <v>1914.3133528265025</v>
      </c>
      <c r="O15" s="117">
        <f t="shared" si="3"/>
        <v>140.35617355354134</v>
      </c>
      <c r="P15" s="121">
        <f>M15-J15</f>
        <v>0</v>
      </c>
      <c r="Q15" s="122">
        <f>O15-L15</f>
        <v>-24.478991281623479</v>
      </c>
      <c r="R15" s="123">
        <f>O15/L15</f>
        <v>0.85149411955815091</v>
      </c>
      <c r="S15" s="396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27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-335.68664717349748</v>
      </c>
      <c r="AG15" s="124">
        <f>N15/K15</f>
        <v>0.85080593458955667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1300</v>
      </c>
      <c r="H16" s="134">
        <f>F16*G16</f>
        <v>73931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1368.4210526315917</v>
      </c>
      <c r="O16" s="141">
        <f>N16/M16</f>
        <v>97.744360902256545</v>
      </c>
      <c r="P16" s="142">
        <f>M16-J16</f>
        <v>0</v>
      </c>
      <c r="Q16" s="143">
        <f>O16-L16</f>
        <v>-62.969924812029177</v>
      </c>
      <c r="R16" s="144">
        <f>O16/L16</f>
        <v>0.6081871345029296</v>
      </c>
      <c r="S16" s="420">
        <f>R26</f>
        <v>0.76719773772310063</v>
      </c>
      <c r="T16" s="145">
        <v>0.29375000000000001</v>
      </c>
      <c r="U16" s="19">
        <v>0.33333333333333298</v>
      </c>
      <c r="V16" s="135"/>
      <c r="W16" s="146">
        <f t="shared" ref="W16:W78" si="4">(U16-T16)*24*60</f>
        <v>56.999999999999474</v>
      </c>
      <c r="X16" s="141"/>
      <c r="Y16" s="296"/>
      <c r="Z16" s="169">
        <v>1</v>
      </c>
      <c r="AA16" s="169">
        <v>27</v>
      </c>
      <c r="AB16" s="397" t="s">
        <v>151</v>
      </c>
      <c r="AC16" s="397"/>
      <c r="AD16" s="135"/>
      <c r="AE16" s="135"/>
      <c r="AF16" s="229">
        <f>N16-K16</f>
        <v>-881.57894736840831</v>
      </c>
      <c r="AG16" s="52">
        <f>N16/K16</f>
        <v>0.6081871345029296</v>
      </c>
      <c r="AH16" s="380">
        <f>AG26</f>
        <v>0.76701264129747126</v>
      </c>
    </row>
    <row r="17" spans="1:34" ht="15" customHeight="1">
      <c r="A17" s="427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3143</v>
      </c>
      <c r="H17" s="78">
        <f>F17*G17</f>
        <v>159255.81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2072.3076923077069</v>
      </c>
      <c r="O17" s="96">
        <f>N17/M17</f>
        <v>148.02197802197907</v>
      </c>
      <c r="P17" s="97">
        <f>M17-J17</f>
        <v>0</v>
      </c>
      <c r="Q17" s="98">
        <f>O17-L17</f>
        <v>-12.692307692306656</v>
      </c>
      <c r="R17" s="99">
        <f>O17/L17</f>
        <v>0.92102564102564743</v>
      </c>
      <c r="S17" s="421"/>
      <c r="T17" s="19">
        <v>0.34375</v>
      </c>
      <c r="U17" s="19">
        <v>0.406944444444444</v>
      </c>
      <c r="V17" s="30">
        <f>(T17-U16)*24*60</f>
        <v>15.000000000000506</v>
      </c>
      <c r="W17" s="149">
        <f t="shared" si="4"/>
        <v>90.999999999999361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-177.69230769229307</v>
      </c>
      <c r="AG17" s="72">
        <f>N17/K17</f>
        <v>0.92102564102564755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3093</v>
      </c>
      <c r="H18" s="78">
        <f>F18*G18</f>
        <v>155856.26999999999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2183.2941176470522</v>
      </c>
      <c r="O18" s="96">
        <f>N18/M18</f>
        <v>181.94117647058769</v>
      </c>
      <c r="P18" s="97">
        <f>M18-J18</f>
        <v>0</v>
      </c>
      <c r="Q18" s="98">
        <f>O18-L18</f>
        <v>-5.5588235294123081</v>
      </c>
      <c r="R18" s="99">
        <f>O18/L18</f>
        <v>0.97035294117646764</v>
      </c>
      <c r="S18" s="421"/>
      <c r="T18" s="19">
        <v>0.41736111111111102</v>
      </c>
      <c r="U18" s="19">
        <v>0.47638888888888897</v>
      </c>
      <c r="V18" s="30">
        <f>(T18-U17)*24*60</f>
        <v>15.000000000000506</v>
      </c>
      <c r="W18" s="149">
        <f t="shared" si="4"/>
        <v>85.000000000000256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-66.70588235294781</v>
      </c>
      <c r="AG18" s="72">
        <f>N18/K18</f>
        <v>0.97035294117646764</v>
      </c>
      <c r="AH18" s="382"/>
    </row>
    <row r="19" spans="1:34" ht="15" customHeight="1">
      <c r="A19" s="427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938</v>
      </c>
      <c r="H19" s="78">
        <f>F19*G19</f>
        <v>47265.82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1279.0909090908904</v>
      </c>
      <c r="O19" s="96">
        <f>N19/M19</f>
        <v>106.59090909090753</v>
      </c>
      <c r="P19" s="97">
        <f>M19-J19</f>
        <v>0</v>
      </c>
      <c r="Q19" s="98">
        <f>O19-L19</f>
        <v>-80.90909090909247</v>
      </c>
      <c r="R19" s="99">
        <f>O19/L19</f>
        <v>0.56848484848484016</v>
      </c>
      <c r="S19" s="421"/>
      <c r="T19" s="19">
        <v>0.54236111111111096</v>
      </c>
      <c r="U19" s="19">
        <v>0.57291666666666696</v>
      </c>
      <c r="V19" s="30">
        <f>(T19-U18)*24*60</f>
        <v>94.999999999999659</v>
      </c>
      <c r="W19" s="149">
        <f t="shared" si="4"/>
        <v>44.000000000000639</v>
      </c>
      <c r="X19" s="22"/>
      <c r="Y19" s="84"/>
      <c r="Z19" s="90">
        <v>3</v>
      </c>
      <c r="AA19" s="90">
        <v>5</v>
      </c>
      <c r="AB19" s="430" t="s">
        <v>152</v>
      </c>
      <c r="AC19" s="430"/>
      <c r="AD19" s="149"/>
      <c r="AE19" s="149"/>
      <c r="AF19" s="307">
        <f>N19-K19</f>
        <v>-970.90909090910964</v>
      </c>
      <c r="AG19" s="72">
        <f>N19/K19</f>
        <v>0.56848484848484016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/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174.10714285714286</v>
      </c>
      <c r="M26" s="155">
        <f t="shared" si="5"/>
        <v>13</v>
      </c>
      <c r="N26" s="155">
        <f t="shared" si="5"/>
        <v>1725.7784429193102</v>
      </c>
      <c r="O26" s="158">
        <f t="shared" si="5"/>
        <v>133.57460612143271</v>
      </c>
      <c r="P26" s="159">
        <f>M26-J26</f>
        <v>0</v>
      </c>
      <c r="Q26" s="160">
        <f>O26-L26</f>
        <v>-40.532536735710153</v>
      </c>
      <c r="R26" s="161">
        <f>O26/L26</f>
        <v>0.76719773772310063</v>
      </c>
      <c r="S26" s="422"/>
      <c r="T26" s="163"/>
      <c r="U26" s="163"/>
      <c r="V26" s="164"/>
      <c r="W26" s="165"/>
      <c r="X26" s="166"/>
      <c r="Y26" s="299"/>
      <c r="Z26" s="334">
        <f>SUM(Z16:Z25)</f>
        <v>4</v>
      </c>
      <c r="AA26" s="334">
        <f>SUM(AA16:AA25)</f>
        <v>32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-524.22155708068976</v>
      </c>
      <c r="AG26" s="124">
        <f t="shared" ref="AG26:AG31" si="7">N26/K26</f>
        <v>0.76701264129747126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609</v>
      </c>
      <c r="H27" s="134">
        <f>F27*G27</f>
        <v>30395.19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17</v>
      </c>
      <c r="N27" s="140">
        <f>G27/W27*60</f>
        <v>1461.6000000000099</v>
      </c>
      <c r="O27" s="141">
        <f>N27/M27</f>
        <v>85.976470588235884</v>
      </c>
      <c r="P27" s="142">
        <f>M27-J27</f>
        <v>-1</v>
      </c>
      <c r="Q27" s="143">
        <f>O27-L27</f>
        <v>-4.9124183006530018</v>
      </c>
      <c r="R27" s="144">
        <f>O27/L27</f>
        <v>0.94595138789012589</v>
      </c>
      <c r="S27" s="420">
        <f>R37</f>
        <v>0.88414715700910951</v>
      </c>
      <c r="T27" s="171">
        <v>0.29166666666666702</v>
      </c>
      <c r="U27" s="171">
        <v>0.30902777777777801</v>
      </c>
      <c r="V27" s="135"/>
      <c r="W27" s="146">
        <f t="shared" si="4"/>
        <v>24.999999999999829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6"/>
        <v>-174.39999999999009</v>
      </c>
      <c r="AG27" s="172">
        <f t="shared" si="7"/>
        <v>0.89339853300734107</v>
      </c>
      <c r="AH27" s="380">
        <f>AG37</f>
        <v>0.86031398790374969</v>
      </c>
    </row>
    <row r="28" spans="1:34" ht="15" customHeight="1">
      <c r="A28" s="418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917</v>
      </c>
      <c r="H28" s="91">
        <f>F28*G28</f>
        <v>52461.57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1447.8947368420982</v>
      </c>
      <c r="O28" s="96">
        <f>N28/M28</f>
        <v>85.17027863777048</v>
      </c>
      <c r="P28" s="97">
        <f>M28-J28</f>
        <v>-1</v>
      </c>
      <c r="Q28" s="98">
        <f>O28-L28</f>
        <v>-5.718610251118406</v>
      </c>
      <c r="R28" s="99">
        <f>O28/L28</f>
        <v>0.93708130530554323</v>
      </c>
      <c r="S28" s="421"/>
      <c r="T28" s="19">
        <v>0.31527777777777799</v>
      </c>
      <c r="U28" s="19">
        <v>0.34166666666666701</v>
      </c>
      <c r="V28" s="92">
        <f>(T28-U27)*24*60</f>
        <v>8.999999999999968</v>
      </c>
      <c r="W28" s="149">
        <f t="shared" si="4"/>
        <v>38.000000000000185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6"/>
        <v>-188.10526315790185</v>
      </c>
      <c r="AG28" s="99">
        <f t="shared" si="7"/>
        <v>0.88502123278856859</v>
      </c>
      <c r="AH28" s="381"/>
    </row>
    <row r="29" spans="1:34" ht="15" customHeight="1">
      <c r="A29" s="418"/>
      <c r="B29" s="75" t="s">
        <v>81</v>
      </c>
      <c r="C29" s="173"/>
      <c r="D29" s="59" t="s">
        <v>124</v>
      </c>
      <c r="E29" s="104"/>
      <c r="F29" s="75">
        <f>VLOOKUP(D29,廠價表!$C$1:$E$43,3,0)</f>
        <v>46.34</v>
      </c>
      <c r="G29" s="90">
        <v>1142</v>
      </c>
      <c r="H29" s="91">
        <f>F29*G29</f>
        <v>52920.280000000006</v>
      </c>
      <c r="I29" s="92"/>
      <c r="J29" s="79">
        <f>VLOOKUP(D29,產線配置圖!$A$3:$C$40,2,0)</f>
        <v>16</v>
      </c>
      <c r="K29" s="80">
        <f>VLOOKUP(D29,產線配置圖!$A$3:$C$40,3,0)</f>
        <v>1636</v>
      </c>
      <c r="L29" s="93">
        <f>K29/J29</f>
        <v>102.25</v>
      </c>
      <c r="M29" s="94">
        <v>16</v>
      </c>
      <c r="N29" s="95">
        <f>G29/W29*60</f>
        <v>1370.4000000000069</v>
      </c>
      <c r="O29" s="96">
        <f>N29/M29</f>
        <v>85.650000000000432</v>
      </c>
      <c r="P29" s="97">
        <f>M29-J29</f>
        <v>0</v>
      </c>
      <c r="Q29" s="98">
        <f>O29-L29</f>
        <v>-16.599999999999568</v>
      </c>
      <c r="R29" s="99">
        <f>O29/L29</f>
        <v>0.83765281173594552</v>
      </c>
      <c r="S29" s="421"/>
      <c r="T29" s="19">
        <v>0.34861111111111098</v>
      </c>
      <c r="U29" s="19">
        <v>0.38333333333333303</v>
      </c>
      <c r="V29" s="92">
        <f>(T29-U28)*24*60</f>
        <v>9.999999999999325</v>
      </c>
      <c r="W29" s="149">
        <f t="shared" si="4"/>
        <v>49.999999999999744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-265.59999999999309</v>
      </c>
      <c r="AG29" s="99">
        <f t="shared" si="7"/>
        <v>0.83765281173594552</v>
      </c>
      <c r="AH29" s="381"/>
    </row>
    <row r="30" spans="1:34" ht="15" customHeight="1">
      <c r="A30" s="418"/>
      <c r="B30" s="75" t="s">
        <v>81</v>
      </c>
      <c r="C30" s="88"/>
      <c r="D30" s="59" t="s">
        <v>126</v>
      </c>
      <c r="E30" s="89"/>
      <c r="F30" s="75">
        <f>VLOOKUP(D30,廠價表!$C$1:$E$43,3,0)</f>
        <v>45.66</v>
      </c>
      <c r="G30" s="90">
        <v>675</v>
      </c>
      <c r="H30" s="91">
        <f>F30*G30</f>
        <v>30820.499999999996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>K30/J30</f>
        <v>96.235294117647058</v>
      </c>
      <c r="M30" s="94">
        <v>17</v>
      </c>
      <c r="N30" s="95">
        <f>G30/W30*60</f>
        <v>1350.0000000000225</v>
      </c>
      <c r="O30" s="96">
        <f>N30/M30</f>
        <v>79.411764705883684</v>
      </c>
      <c r="P30" s="97">
        <f>M30-J30</f>
        <v>0</v>
      </c>
      <c r="Q30" s="98">
        <f>O30-L30</f>
        <v>-16.823529411763374</v>
      </c>
      <c r="R30" s="99">
        <f>O30/L30</f>
        <v>0.82518337408314346</v>
      </c>
      <c r="S30" s="421"/>
      <c r="T30" s="19">
        <v>0.391666666666667</v>
      </c>
      <c r="U30" s="19">
        <v>0.41249999999999998</v>
      </c>
      <c r="V30" s="92">
        <f>(T30-U29)*24*60</f>
        <v>12.000000000000917</v>
      </c>
      <c r="W30" s="149">
        <f t="shared" si="4"/>
        <v>29.999999999999496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-285.99999999997749</v>
      </c>
      <c r="AG30" s="99">
        <f t="shared" si="7"/>
        <v>0.82518337408314335</v>
      </c>
      <c r="AH30" s="416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0</v>
      </c>
      <c r="AG31" s="99" t="e">
        <f t="shared" si="7"/>
        <v>#DIV/0!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8">AVERAGE(J27:J36)</f>
        <v>17.25</v>
      </c>
      <c r="K37" s="155">
        <f t="shared" si="8"/>
        <v>1636</v>
      </c>
      <c r="L37" s="158">
        <f t="shared" si="8"/>
        <v>95.065767973856211</v>
      </c>
      <c r="M37" s="155">
        <f t="shared" si="8"/>
        <v>16.75</v>
      </c>
      <c r="N37" s="155">
        <f t="shared" si="8"/>
        <v>1407.4736842105344</v>
      </c>
      <c r="O37" s="158">
        <f t="shared" si="8"/>
        <v>84.05212848297262</v>
      </c>
      <c r="P37" s="159">
        <f>M37-J37</f>
        <v>-0.5</v>
      </c>
      <c r="Q37" s="160">
        <f>N37-K37</f>
        <v>-228.52631578946557</v>
      </c>
      <c r="R37" s="161">
        <f>O37/L37</f>
        <v>0.88414715700910951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-228.52631578946557</v>
      </c>
      <c r="AG37" s="124">
        <f>N37/K37</f>
        <v>0.86031398790374969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2025</v>
      </c>
      <c r="H38" s="134">
        <f>F38*G38</f>
        <v>101067.75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1429.4117647058765</v>
      </c>
      <c r="O38" s="141">
        <f>N38/M38</f>
        <v>89.338235294117283</v>
      </c>
      <c r="P38" s="142">
        <f>M38-J38</f>
        <v>0</v>
      </c>
      <c r="Q38" s="143">
        <f>O38-L38</f>
        <v>-17.786764705882717</v>
      </c>
      <c r="R38" s="144">
        <f>O38/L38</f>
        <v>0.83396252316562225</v>
      </c>
      <c r="S38" s="410">
        <f>R48</f>
        <v>0.87586345367035867</v>
      </c>
      <c r="T38" s="191">
        <v>0.33333333333333298</v>
      </c>
      <c r="U38" s="191">
        <v>0.39236111111111099</v>
      </c>
      <c r="V38" s="192"/>
      <c r="W38" s="193">
        <f t="shared" si="4"/>
        <v>85.000000000000341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-284.58823529412348</v>
      </c>
      <c r="AG38" s="195">
        <f>N38/K38</f>
        <v>0.83396252316562225</v>
      </c>
      <c r="AH38" s="413">
        <f>AG48</f>
        <v>0.87766394993201913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2646</v>
      </c>
      <c r="H39" s="91">
        <f>F39*G39</f>
        <v>117217.79999999999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1368.6206896551651</v>
      </c>
      <c r="O39" s="203">
        <f>N39/M39</f>
        <v>76.034482758620285</v>
      </c>
      <c r="P39" s="97">
        <f>M39-J39</f>
        <v>0</v>
      </c>
      <c r="Q39" s="98">
        <f>O39-L39</f>
        <v>-14.8544061302686</v>
      </c>
      <c r="R39" s="99">
        <f>O39/L39</f>
        <v>0.83656521372565107</v>
      </c>
      <c r="S39" s="411"/>
      <c r="T39" s="20">
        <v>0.39861111111111103</v>
      </c>
      <c r="U39" s="20">
        <v>0.47916666666666702</v>
      </c>
      <c r="V39" s="92">
        <f>(T39-U38)*24*60</f>
        <v>9.000000000000048</v>
      </c>
      <c r="W39" s="205">
        <f t="shared" si="4"/>
        <v>116.00000000000063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-267.37931034483495</v>
      </c>
      <c r="AG39" s="206">
        <f>N39/K39</f>
        <v>0.83656521372565096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1841</v>
      </c>
      <c r="H40" s="91">
        <f>F40*G40</f>
        <v>81556.299999999988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1578.0000000000059</v>
      </c>
      <c r="O40" s="203">
        <f>N40/M40</f>
        <v>87.666666666666998</v>
      </c>
      <c r="P40" s="97">
        <f>M40-J40</f>
        <v>0</v>
      </c>
      <c r="Q40" s="98">
        <f>O40-L40</f>
        <v>-3.2222222222218875</v>
      </c>
      <c r="R40" s="99">
        <f>O40/L40</f>
        <v>0.96454767726161739</v>
      </c>
      <c r="S40" s="393"/>
      <c r="T40" s="20">
        <v>0.54861111111111105</v>
      </c>
      <c r="U40" s="20">
        <v>0.59722222222222199</v>
      </c>
      <c r="V40" s="92">
        <f>(T40-U39)*24*60</f>
        <v>99.999999999999403</v>
      </c>
      <c r="W40" s="205">
        <f t="shared" si="4"/>
        <v>69.999999999999744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-57.999999999994088</v>
      </c>
      <c r="AG40" s="206">
        <f>N40/K40</f>
        <v>0.96454767726161728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0">AVERAGE(J38:J47)</f>
        <v>17.333333333333332</v>
      </c>
      <c r="K48" s="155">
        <f t="shared" si="10"/>
        <v>1662</v>
      </c>
      <c r="L48" s="158">
        <f t="shared" si="10"/>
        <v>96.300925925925924</v>
      </c>
      <c r="M48" s="155">
        <f t="shared" si="10"/>
        <v>17.333333333333332</v>
      </c>
      <c r="N48" s="155">
        <f t="shared" si="10"/>
        <v>1458.6774847870158</v>
      </c>
      <c r="O48" s="158">
        <f t="shared" si="10"/>
        <v>84.34646157313486</v>
      </c>
      <c r="P48" s="221">
        <f>M48-J48</f>
        <v>0</v>
      </c>
      <c r="Q48" s="222">
        <f>N48-K48</f>
        <v>-203.32251521298417</v>
      </c>
      <c r="R48" s="223">
        <f>O48/L48</f>
        <v>0.87586345367035867</v>
      </c>
      <c r="S48" s="396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1">N48-K48</f>
        <v>-203.32251521298417</v>
      </c>
      <c r="AG48" s="162">
        <f t="shared" ref="AG48:AG53" si="12">N48/K48</f>
        <v>0.87766394993201913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1698</v>
      </c>
      <c r="H49" s="134">
        <f>F49*G49</f>
        <v>85390.722000000009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1543.6363636363747</v>
      </c>
      <c r="O49" s="141">
        <f>N49/M49</f>
        <v>90.802139037433804</v>
      </c>
      <c r="P49" s="229">
        <f>M49-J49</f>
        <v>0</v>
      </c>
      <c r="Q49" s="230">
        <f>O49-L49</f>
        <v>-5.433155080213254</v>
      </c>
      <c r="R49" s="52">
        <f>O49/L49</f>
        <v>0.94354300955768622</v>
      </c>
      <c r="S49" s="392">
        <f>R58</f>
        <v>0.88720231857578369</v>
      </c>
      <c r="T49" s="191">
        <v>0.29166666666666702</v>
      </c>
      <c r="U49" s="191">
        <v>0.33750000000000002</v>
      </c>
      <c r="V49" s="55"/>
      <c r="W49" s="193">
        <f t="shared" si="4"/>
        <v>65.999999999999531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11"/>
        <v>-92.363636363625346</v>
      </c>
      <c r="AG49" s="52">
        <f t="shared" si="12"/>
        <v>0.94354300955768622</v>
      </c>
      <c r="AH49" s="380">
        <f>AG58</f>
        <v>0.88878030546968234</v>
      </c>
    </row>
    <row r="50" spans="1:34" ht="15" customHeight="1">
      <c r="A50" s="405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4732</v>
      </c>
      <c r="H50" s="231">
        <f>F50*G50</f>
        <v>236458.04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1510.2127659574535</v>
      </c>
      <c r="O50" s="235">
        <f>N50/M50</f>
        <v>94.388297872340843</v>
      </c>
      <c r="P50" s="74">
        <f>M50-J50</f>
        <v>0</v>
      </c>
      <c r="Q50" s="83">
        <f>O50-L50</f>
        <v>-18.111702127659157</v>
      </c>
      <c r="R50" s="72">
        <f>O50/L50</f>
        <v>0.83900709219858527</v>
      </c>
      <c r="S50" s="393"/>
      <c r="T50" s="21">
        <v>0.343055555555556</v>
      </c>
      <c r="U50" s="21">
        <v>0.47361111111111098</v>
      </c>
      <c r="V50" s="30">
        <f>(T50-U49)*24*60</f>
        <v>8.0000000000006111</v>
      </c>
      <c r="W50" s="236">
        <f t="shared" si="4"/>
        <v>187.99999999999918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1"/>
        <v>-289.78723404254652</v>
      </c>
      <c r="AG50" s="72">
        <f t="shared" si="12"/>
        <v>0.83900709219858527</v>
      </c>
      <c r="AH50" s="382"/>
    </row>
    <row r="51" spans="1:34" ht="15" customHeight="1">
      <c r="A51" s="405"/>
      <c r="B51" s="75"/>
      <c r="C51" s="76"/>
      <c r="D51" s="59"/>
      <c r="E51" s="77"/>
      <c r="F51" s="75"/>
      <c r="G51" s="202"/>
      <c r="H51" s="231"/>
      <c r="I51" s="232"/>
      <c r="J51" s="79"/>
      <c r="K51" s="80"/>
      <c r="L51" s="81"/>
      <c r="M51" s="233"/>
      <c r="N51" s="234"/>
      <c r="O51" s="235"/>
      <c r="P51" s="74"/>
      <c r="Q51" s="83"/>
      <c r="R51" s="72"/>
      <c r="S51" s="393"/>
      <c r="T51" s="21"/>
      <c r="U51" s="19"/>
      <c r="V51" s="30"/>
      <c r="W51" s="236">
        <f t="shared" si="4"/>
        <v>0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1"/>
        <v>0</v>
      </c>
      <c r="AG51" s="72" t="e">
        <f t="shared" si="12"/>
        <v>#DIV/0!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/>
      <c r="U52" s="21"/>
      <c r="V52" s="30"/>
      <c r="W52" s="236">
        <f t="shared" si="4"/>
        <v>0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1"/>
        <v>0</v>
      </c>
      <c r="AG52" s="72" t="e">
        <f t="shared" si="12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1"/>
        <v>0</v>
      </c>
      <c r="AG53" s="72" t="e">
        <f t="shared" si="12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13">AVERAGE(J49:J57)</f>
        <v>16.5</v>
      </c>
      <c r="K58" s="120">
        <f t="shared" si="13"/>
        <v>1718</v>
      </c>
      <c r="L58" s="117">
        <f t="shared" si="13"/>
        <v>104.36764705882354</v>
      </c>
      <c r="M58" s="120">
        <f t="shared" si="13"/>
        <v>16.5</v>
      </c>
      <c r="N58" s="120">
        <f t="shared" si="13"/>
        <v>1526.9245647969142</v>
      </c>
      <c r="O58" s="117">
        <f t="shared" si="13"/>
        <v>92.595218454887316</v>
      </c>
      <c r="P58" s="121">
        <f>M58-J58</f>
        <v>0</v>
      </c>
      <c r="Q58" s="122">
        <f>N58-K58</f>
        <v>-191.07543520308582</v>
      </c>
      <c r="R58" s="123">
        <f>O58/L58</f>
        <v>0.88720231857578369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-191.07543520308582</v>
      </c>
      <c r="AG58" s="124">
        <f>N58/K58</f>
        <v>0.88878030546968234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2822</v>
      </c>
      <c r="H59" s="243">
        <f>F59*G59</f>
        <v>76165.78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1354.560000000009</v>
      </c>
      <c r="O59" s="138">
        <f>N59/M59</f>
        <v>90.304000000000599</v>
      </c>
      <c r="P59" s="56">
        <f>M59-J59</f>
        <v>0</v>
      </c>
      <c r="Q59" s="230">
        <f>O59-L59</f>
        <v>-18.762666666666064</v>
      </c>
      <c r="R59" s="52">
        <f>O59/L59</f>
        <v>0.82797066014670484</v>
      </c>
      <c r="S59" s="392">
        <f>R69</f>
        <v>0.87927149695238649</v>
      </c>
      <c r="T59" s="245">
        <v>0.29166666666666702</v>
      </c>
      <c r="U59" s="245">
        <v>0.37847222222222199</v>
      </c>
      <c r="V59" s="55"/>
      <c r="W59" s="54">
        <f t="shared" si="4"/>
        <v>124.99999999999916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-281.43999999999096</v>
      </c>
      <c r="AG59" s="246">
        <f>N59/K59</f>
        <v>0.82797066014670484</v>
      </c>
      <c r="AH59" s="380">
        <f>AG69</f>
        <v>0.87653545232275021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1045</v>
      </c>
      <c r="H60" s="78">
        <f>F60*G60</f>
        <v>29531.7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1567.5000000000462</v>
      </c>
      <c r="O60" s="81">
        <f>N60/M60</f>
        <v>142.50000000000421</v>
      </c>
      <c r="P60" s="74">
        <f>M60-J60</f>
        <v>0</v>
      </c>
      <c r="Q60" s="83">
        <f>O60-L60</f>
        <v>-6.2272727272685131</v>
      </c>
      <c r="R60" s="72">
        <f>O60/L60</f>
        <v>0.9581295843521066</v>
      </c>
      <c r="S60" s="402"/>
      <c r="T60" s="22">
        <v>0.38541666666666702</v>
      </c>
      <c r="U60" s="22">
        <v>0.41319444444444398</v>
      </c>
      <c r="V60" s="30">
        <f>(T60-U59)*24*60</f>
        <v>10.000000000000844</v>
      </c>
      <c r="W60" s="248">
        <f t="shared" si="4"/>
        <v>39.99999999999882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-68.499999999953843</v>
      </c>
      <c r="AG60" s="249">
        <f>N60/K60</f>
        <v>0.95812958435210649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612</v>
      </c>
      <c r="H61" s="254">
        <f>F61*G61</f>
        <v>17295.120000000003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1224.0000000000207</v>
      </c>
      <c r="O61" s="238">
        <f>N61/M61</f>
        <v>111.27272727272916</v>
      </c>
      <c r="P61" s="111">
        <f>M61-J61</f>
        <v>0</v>
      </c>
      <c r="Q61" s="255">
        <f>O61-L61</f>
        <v>-37.454545454543563</v>
      </c>
      <c r="R61" s="85">
        <f>O61/L61</f>
        <v>0.74816625916871682</v>
      </c>
      <c r="S61" s="393"/>
      <c r="T61" s="22">
        <v>0.42013888888888901</v>
      </c>
      <c r="U61" s="22">
        <v>0.44097222222222199</v>
      </c>
      <c r="V61" s="30">
        <f>(T61-U60)*24*60</f>
        <v>10.000000000000844</v>
      </c>
      <c r="W61" s="256">
        <f t="shared" si="4"/>
        <v>29.999999999999496</v>
      </c>
      <c r="X61" s="22"/>
      <c r="Y61" s="84"/>
      <c r="Z61" s="90"/>
      <c r="AA61" s="90"/>
      <c r="AB61" s="386" t="s">
        <v>137</v>
      </c>
      <c r="AC61" s="386"/>
      <c r="AD61" s="92"/>
      <c r="AE61" s="92"/>
      <c r="AF61" s="317">
        <f>N61-K61</f>
        <v>-411.99999999997931</v>
      </c>
      <c r="AG61" s="247">
        <f>N61/K61</f>
        <v>0.74816625916871682</v>
      </c>
      <c r="AH61" s="382"/>
    </row>
    <row r="62" spans="1:34" ht="15" customHeight="1">
      <c r="A62" s="400"/>
      <c r="B62" s="250" t="s">
        <v>132</v>
      </c>
      <c r="C62" s="251"/>
      <c r="D62" s="257" t="s">
        <v>136</v>
      </c>
      <c r="E62" s="253"/>
      <c r="F62" s="250">
        <f>VLOOKUP(D62,廠價表!$C$1:$E$43,3,0)</f>
        <v>28.26</v>
      </c>
      <c r="G62" s="38">
        <v>1254</v>
      </c>
      <c r="H62" s="254">
        <f t="shared" ref="H62:H63" si="14">F62*G62</f>
        <v>35438.04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15">K62/J62</f>
        <v>148.72727272727272</v>
      </c>
      <c r="M62" s="108">
        <v>11</v>
      </c>
      <c r="N62" s="107">
        <f t="shared" ref="N62:N63" si="16">G62/W62*60</f>
        <v>1504.8000000000104</v>
      </c>
      <c r="O62" s="238">
        <f t="shared" ref="O62:O63" si="17">N62/M62</f>
        <v>136.80000000000095</v>
      </c>
      <c r="P62" s="111">
        <f t="shared" ref="P62:P63" si="18">M62-J62</f>
        <v>0</v>
      </c>
      <c r="Q62" s="255">
        <f t="shared" ref="Q62:Q63" si="19">O62-L62</f>
        <v>-11.92727272727177</v>
      </c>
      <c r="R62" s="85">
        <f t="shared" ref="R62:R63" si="20">O62/L62</f>
        <v>0.91980440097800154</v>
      </c>
      <c r="S62" s="393"/>
      <c r="T62" s="22">
        <v>0.44791666666666702</v>
      </c>
      <c r="U62" s="22">
        <v>0.48263888888888901</v>
      </c>
      <c r="V62" s="30">
        <f>(T62-U61)*24*60</f>
        <v>10.000000000000844</v>
      </c>
      <c r="W62" s="248">
        <f t="shared" si="4"/>
        <v>49.999999999999659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-131.19999999998959</v>
      </c>
      <c r="AG62" s="247">
        <f>N62/K62</f>
        <v>0.91980440097800142</v>
      </c>
      <c r="AH62" s="382"/>
    </row>
    <row r="63" spans="1:34" ht="15" customHeight="1">
      <c r="A63" s="400"/>
      <c r="B63" s="258" t="s">
        <v>132</v>
      </c>
      <c r="C63" s="58"/>
      <c r="D63" s="259" t="s">
        <v>136</v>
      </c>
      <c r="E63" s="60"/>
      <c r="F63" s="250">
        <f>VLOOKUP(D63,廠價表!$C$1:$E$43,3,0)</f>
        <v>28.26</v>
      </c>
      <c r="G63" s="260">
        <v>1266</v>
      </c>
      <c r="H63" s="254">
        <f t="shared" si="14"/>
        <v>35777.160000000003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15"/>
        <v>148.72727272727272</v>
      </c>
      <c r="M63" s="68">
        <v>11</v>
      </c>
      <c r="N63" s="107">
        <f t="shared" si="16"/>
        <v>1519.2000000000105</v>
      </c>
      <c r="O63" s="238">
        <f t="shared" si="17"/>
        <v>138.10909090909186</v>
      </c>
      <c r="P63" s="111">
        <f t="shared" si="18"/>
        <v>0</v>
      </c>
      <c r="Q63" s="255">
        <f t="shared" si="19"/>
        <v>-10.618181818180858</v>
      </c>
      <c r="R63" s="85">
        <f t="shared" si="20"/>
        <v>0.92860635696822158</v>
      </c>
      <c r="S63" s="393"/>
      <c r="T63" s="22">
        <v>0.54861111111111105</v>
      </c>
      <c r="U63" s="22">
        <v>0.58333333333333304</v>
      </c>
      <c r="V63" s="30">
        <f>(T63-U62)*24*60</f>
        <v>94.999999999999744</v>
      </c>
      <c r="W63" s="248">
        <f t="shared" si="4"/>
        <v>49.999999999999659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1">AVERAGE(J59:J68)</f>
        <v>11.8</v>
      </c>
      <c r="K69" s="240">
        <f t="shared" si="21"/>
        <v>1636</v>
      </c>
      <c r="L69" s="268">
        <f t="shared" si="21"/>
        <v>140.79515151515153</v>
      </c>
      <c r="M69" s="240">
        <f t="shared" si="21"/>
        <v>11.8</v>
      </c>
      <c r="N69" s="240">
        <f t="shared" si="21"/>
        <v>1434.0120000000193</v>
      </c>
      <c r="O69" s="268">
        <f t="shared" si="21"/>
        <v>123.79716363636535</v>
      </c>
      <c r="P69" s="269">
        <f>M69-J69</f>
        <v>0</v>
      </c>
      <c r="Q69" s="222">
        <f>N69-K69</f>
        <v>-201.98799999998073</v>
      </c>
      <c r="R69" s="123">
        <f>O69/L69</f>
        <v>0.87927149695238649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-201.98799999998073</v>
      </c>
      <c r="AG69" s="124">
        <f>N69/K69</f>
        <v>0.87653545232275021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874</v>
      </c>
      <c r="H70" s="243">
        <f>F70*G70</f>
        <v>38359.86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10</v>
      </c>
      <c r="N70" s="137">
        <f>G70/W70*60</f>
        <v>1092.5000000000111</v>
      </c>
      <c r="O70" s="138">
        <f>N70/M70</f>
        <v>109.25000000000111</v>
      </c>
      <c r="P70" s="56">
        <f>M70-J70</f>
        <v>-3</v>
      </c>
      <c r="Q70" s="230">
        <f>O70-L70</f>
        <v>-11.134615384614278</v>
      </c>
      <c r="R70" s="52">
        <f>O70/L70</f>
        <v>0.90750798722045645</v>
      </c>
      <c r="S70" s="392">
        <f>R79</f>
        <v>0.90750798722045645</v>
      </c>
      <c r="T70" s="245">
        <v>0.29166666666666702</v>
      </c>
      <c r="U70" s="245">
        <v>0.32500000000000001</v>
      </c>
      <c r="V70" s="55"/>
      <c r="W70" s="54">
        <f t="shared" si="4"/>
        <v>47.99999999999951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-472.49999999998886</v>
      </c>
      <c r="AG70" s="246">
        <f>N70/K70</f>
        <v>0.69808306709265888</v>
      </c>
      <c r="AH70" s="380">
        <f>AG79</f>
        <v>0.69808306709265888</v>
      </c>
    </row>
    <row r="71" spans="1:36" ht="15" customHeight="1">
      <c r="A71" s="390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93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22">AVERAGE(J70:J78)</f>
        <v>13</v>
      </c>
      <c r="K79" s="240">
        <f t="shared" si="22"/>
        <v>1565</v>
      </c>
      <c r="L79" s="268">
        <f t="shared" si="22"/>
        <v>120.38461538461539</v>
      </c>
      <c r="M79" s="240">
        <f t="shared" si="22"/>
        <v>10</v>
      </c>
      <c r="N79" s="240">
        <f t="shared" si="22"/>
        <v>1092.5000000000111</v>
      </c>
      <c r="O79" s="268">
        <f t="shared" si="22"/>
        <v>109.25000000000111</v>
      </c>
      <c r="P79" s="269">
        <f>M79-J79</f>
        <v>-3</v>
      </c>
      <c r="Q79" s="222">
        <f>N79-K79</f>
        <v>-472.49999999998886</v>
      </c>
      <c r="R79" s="223">
        <f>O79/L79</f>
        <v>0.90750798722045645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-472.49999999998886</v>
      </c>
      <c r="AG79" s="124">
        <f>N79/K79</f>
        <v>0.69808306709265888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257" priority="1" operator="greaterThan">
      <formula>0</formula>
    </cfRule>
  </conditionalFormatting>
  <conditionalFormatting sqref="Q5:Q79 AF5:AF79">
    <cfRule type="cellIs" dxfId="256" priority="4" operator="lessThan">
      <formula>0</formula>
    </cfRule>
  </conditionalFormatting>
  <conditionalFormatting sqref="R5:R79 AG5:AG79">
    <cfRule type="cellIs" dxfId="255" priority="2" operator="greaterThan">
      <formula>1</formula>
    </cfRule>
    <cfRule type="cellIs" dxfId="254" priority="3" operator="lessThan">
      <formula>0.8</formula>
    </cfRule>
  </conditionalFormatting>
  <conditionalFormatting sqref="S5:S10 S37:S62 AH59:AH62 S69:S76 AH69:AH76">
    <cfRule type="cellIs" dxfId="253" priority="7" operator="lessThan">
      <formula>0.8</formula>
    </cfRule>
  </conditionalFormatting>
  <conditionalFormatting sqref="S19:S25 AH19:AH25">
    <cfRule type="cellIs" dxfId="252" priority="6" operator="lessThan">
      <formula>0.8</formula>
    </cfRule>
  </conditionalFormatting>
  <conditionalFormatting sqref="S79">
    <cfRule type="cellIs" dxfId="251" priority="5" operator="lessThan">
      <formula>0.8</formula>
    </cfRule>
  </conditionalFormatting>
  <conditionalFormatting sqref="AH5:AH8 S15:S16 AH15:AH16 AH49 AH79">
    <cfRule type="cellIs" dxfId="250" priority="9" operator="lessThan">
      <formula>0.8</formula>
    </cfRule>
  </conditionalFormatting>
  <conditionalFormatting sqref="AH27 S27:S28">
    <cfRule type="cellIs" dxfId="24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00FF1-2B5C-4214-BD4A-D2A7A9FECBB5}">
  <dimension ref="B1:O26"/>
  <sheetViews>
    <sheetView topLeftCell="B1" zoomScale="70" zoomScaleNormal="70" workbookViewId="0">
      <selection activeCell="D20" sqref="D20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46271</v>
      </c>
      <c r="E3" s="504"/>
      <c r="F3" s="3" t="s">
        <v>72</v>
      </c>
      <c r="G3" s="505">
        <f>'0906'!E1</f>
        <v>56985</v>
      </c>
      <c r="H3" s="505"/>
      <c r="I3" s="3" t="s">
        <v>2</v>
      </c>
      <c r="J3" s="506">
        <f>'0906'!G1</f>
        <v>2650953.6940000001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128.98661152883844</v>
      </c>
      <c r="G6" s="501"/>
      <c r="H6" s="502">
        <f>AVERAGE(D13:H13)</f>
        <v>126.56865318777083</v>
      </c>
      <c r="I6" s="502"/>
      <c r="J6" s="502">
        <f>AVERAGE(I13:J13)</f>
        <v>135.03150738150737</v>
      </c>
      <c r="K6" s="502"/>
      <c r="L6" s="492">
        <f>'0906'!Z2</f>
        <v>0</v>
      </c>
      <c r="M6" s="493">
        <f>'0906'!AA2</f>
        <v>0</v>
      </c>
      <c r="N6" s="494">
        <f>'0906'!AD2</f>
        <v>4</v>
      </c>
      <c r="O6" s="493">
        <f>'0906'!AE2</f>
        <v>4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116.06775344261466</v>
      </c>
      <c r="G7" s="490"/>
      <c r="H7" s="491">
        <f>AVERAGE(D14:H14)</f>
        <v>112.04631105580197</v>
      </c>
      <c r="I7" s="491"/>
      <c r="J7" s="491">
        <f>AVERAGE(I14:J14)</f>
        <v>126.12135940964639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0.90248419107855149</v>
      </c>
      <c r="G8" s="496"/>
      <c r="H8" s="496">
        <f>AVERAGE(D15:H15)</f>
        <v>0.88985368836077572</v>
      </c>
      <c r="I8" s="496"/>
      <c r="J8" s="496">
        <f>AVERAGE(I15:J15)</f>
        <v>0.93406044787299092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VALUE('0906'!L15)</f>
        <v>163.80494505494505</v>
      </c>
      <c r="E13" s="13">
        <f>VALUE('0906'!L26)</f>
        <v>171.42857142857142</v>
      </c>
      <c r="F13" s="13">
        <f>VALUE('0906'!L37)</f>
        <v>94.230392156862735</v>
      </c>
      <c r="G13" s="13">
        <f>VALUE('0906'!L48)</f>
        <v>96.300925925925924</v>
      </c>
      <c r="H13" s="13">
        <f>VALUE('0906'!L58)</f>
        <v>107.07843137254902</v>
      </c>
      <c r="I13" s="13">
        <f>VALUE('0906'!L69)</f>
        <v>135.50707070707071</v>
      </c>
      <c r="J13" s="13">
        <f>'0906'!L79</f>
        <v>134.55594405594405</v>
      </c>
    </row>
    <row r="14" spans="2:15" ht="39.950000000000003" customHeight="1">
      <c r="B14" s="484"/>
      <c r="C14" s="12" t="s">
        <v>100</v>
      </c>
      <c r="D14" s="13">
        <f>VALUE('0906'!O15)</f>
        <v>146.77188209736417</v>
      </c>
      <c r="E14" s="13">
        <f>VALUE('0906'!O26)</f>
        <v>144.93042906171908</v>
      </c>
      <c r="F14" s="13">
        <f>VALUE('0906'!O37)</f>
        <v>86.227420065016588</v>
      </c>
      <c r="G14" s="13">
        <f>VALUE('0906'!O48)</f>
        <v>86.347111033882882</v>
      </c>
      <c r="H14" s="13">
        <f>VALUE('0906'!O58)</f>
        <v>95.954713021027146</v>
      </c>
      <c r="I14" s="13">
        <f>VALUE('0906'!O69)</f>
        <v>124.7963754170662</v>
      </c>
      <c r="J14" s="13">
        <f>'0906'!O79</f>
        <v>127.44634340222657</v>
      </c>
    </row>
    <row r="15" spans="2:15" ht="39.950000000000003" customHeight="1">
      <c r="B15" s="485"/>
      <c r="C15" s="10" t="s">
        <v>26</v>
      </c>
      <c r="D15" s="14">
        <f t="shared" ref="D15:I15" si="0">D14/D13</f>
        <v>0.89601618588579557</v>
      </c>
      <c r="E15" s="14">
        <f t="shared" si="0"/>
        <v>0.84542750286002799</v>
      </c>
      <c r="F15" s="14">
        <f t="shared" si="0"/>
        <v>0.9150701603944954</v>
      </c>
      <c r="G15" s="14">
        <f t="shared" si="0"/>
        <v>0.89663843004272403</v>
      </c>
      <c r="H15" s="14">
        <f t="shared" si="0"/>
        <v>0.89611616262083582</v>
      </c>
      <c r="I15" s="14">
        <f t="shared" si="0"/>
        <v>0.92095840287804531</v>
      </c>
      <c r="J15" s="15">
        <f>'0906'!S70</f>
        <v>0.94716249286793652</v>
      </c>
    </row>
    <row r="16" spans="2:15" ht="17.25" customHeight="1">
      <c r="B16" s="486" t="s">
        <v>101</v>
      </c>
      <c r="C16" s="10" t="s">
        <v>34</v>
      </c>
      <c r="D16" s="16">
        <f>'0906'!T5</f>
        <v>0.29166666666666702</v>
      </c>
      <c r="E16" s="16">
        <f>'0906'!T16</f>
        <v>0.29027777777777802</v>
      </c>
      <c r="F16" s="16">
        <f>'0906'!T27</f>
        <v>0.297222222222222</v>
      </c>
      <c r="G16" s="16">
        <f>'0906'!T38</f>
        <v>0.34027777777777801</v>
      </c>
      <c r="H16" s="16">
        <f>'0906'!T49</f>
        <v>0.29166666666666702</v>
      </c>
      <c r="I16" s="16">
        <f>'0906'!T59</f>
        <v>0.29166666666666702</v>
      </c>
      <c r="J16" s="17">
        <f>'0906'!T70</f>
        <v>0.30833333333333302</v>
      </c>
    </row>
    <row r="17" spans="2:10" ht="17.25" customHeight="1">
      <c r="B17" s="487"/>
      <c r="C17" s="10" t="s">
        <v>35</v>
      </c>
      <c r="D17" s="16">
        <v>0.61111111111111105</v>
      </c>
      <c r="E17" s="183">
        <v>0.63541666666666696</v>
      </c>
      <c r="F17" s="19">
        <v>0.55208333333333304</v>
      </c>
      <c r="G17" s="328">
        <v>0.66319444444444398</v>
      </c>
      <c r="H17" s="19">
        <v>0.59236111111111101</v>
      </c>
      <c r="I17" s="110">
        <v>0.47569444444444398</v>
      </c>
      <c r="J17" s="22">
        <v>0.50694444444444398</v>
      </c>
    </row>
    <row r="18" spans="2:10" ht="17.25" customHeight="1">
      <c r="B18" s="488" t="s">
        <v>102</v>
      </c>
      <c r="C18" s="330" t="s">
        <v>36</v>
      </c>
      <c r="D18" s="359">
        <f>'0906'!Z15</f>
        <v>0</v>
      </c>
      <c r="E18" s="360">
        <f>'0906'!Z26</f>
        <v>0</v>
      </c>
      <c r="F18" s="360">
        <f>'0906'!Z37</f>
        <v>0</v>
      </c>
      <c r="G18" s="361">
        <f>'0906'!Z48</f>
        <v>0</v>
      </c>
      <c r="H18" s="361">
        <f>'0906'!Z58</f>
        <v>0</v>
      </c>
      <c r="I18" s="360">
        <f>'0906'!Z69</f>
        <v>0</v>
      </c>
      <c r="J18" s="360">
        <f>'0906'!AA79</f>
        <v>0</v>
      </c>
    </row>
    <row r="19" spans="2:10" ht="17.25" customHeight="1">
      <c r="B19" s="489"/>
      <c r="C19" s="330" t="s">
        <v>37</v>
      </c>
      <c r="D19" s="359">
        <f>'0906'!AA15</f>
        <v>0</v>
      </c>
      <c r="E19" s="360">
        <f>'0906'!AA26</f>
        <v>0</v>
      </c>
      <c r="F19" s="360">
        <f>'0906'!AA37</f>
        <v>0</v>
      </c>
      <c r="G19" s="361">
        <f>'0906'!AA48</f>
        <v>0</v>
      </c>
      <c r="H19" s="361">
        <f>'0906'!AA58</f>
        <v>0</v>
      </c>
      <c r="I19" s="360">
        <f>'0906'!AA69</f>
        <v>0</v>
      </c>
      <c r="J19" s="360">
        <f>'0906'!AB79</f>
        <v>0</v>
      </c>
    </row>
    <row r="20" spans="2:10" ht="17.25" customHeight="1">
      <c r="B20" s="488" t="s">
        <v>103</v>
      </c>
      <c r="C20" s="330" t="s">
        <v>36</v>
      </c>
      <c r="D20" s="359">
        <f>'0906'!AD15</f>
        <v>2</v>
      </c>
      <c r="E20" s="360">
        <f>'0906'!AD26</f>
        <v>2</v>
      </c>
      <c r="F20" s="360">
        <f>'0906'!AD37</f>
        <v>0</v>
      </c>
      <c r="G20" s="361">
        <f>'0906'!AD48</f>
        <v>0</v>
      </c>
      <c r="H20" s="361">
        <f>'0906'!AD58</f>
        <v>0</v>
      </c>
      <c r="I20" s="360">
        <f>'0906'!AD69</f>
        <v>0</v>
      </c>
      <c r="J20" s="360">
        <f>'0906'!AD79</f>
        <v>0</v>
      </c>
    </row>
    <row r="21" spans="2:10" ht="17.25" customHeight="1">
      <c r="B21" s="489"/>
      <c r="C21" s="330" t="s">
        <v>85</v>
      </c>
      <c r="D21" s="359">
        <f>'0906'!AE15</f>
        <v>2</v>
      </c>
      <c r="E21" s="360">
        <f>'0906'!AE26</f>
        <v>2</v>
      </c>
      <c r="F21" s="360">
        <f>'0906'!AE37</f>
        <v>0</v>
      </c>
      <c r="G21" s="361">
        <f>'0906'!AE48</f>
        <v>0</v>
      </c>
      <c r="H21" s="361">
        <f>'0906'!AE58</f>
        <v>0</v>
      </c>
      <c r="I21" s="360">
        <f>'0906'!AE69</f>
        <v>0</v>
      </c>
      <c r="J21" s="360">
        <f>'0906'!AE79</f>
        <v>0</v>
      </c>
    </row>
    <row r="22" spans="2:10" ht="17.25" customHeight="1">
      <c r="B22" s="471" t="s">
        <v>104</v>
      </c>
      <c r="C22" s="472"/>
      <c r="D22" s="23">
        <f>VALUE('0906'!M15)</f>
        <v>13.75</v>
      </c>
      <c r="E22" s="23">
        <f>VALUE('0906'!M26)</f>
        <v>13.2</v>
      </c>
      <c r="F22" s="23">
        <f>VALUE('0906'!M37)</f>
        <v>16.399999999999999</v>
      </c>
      <c r="G22" s="23">
        <f>VALUE('0906'!M48)</f>
        <v>17.333333333333332</v>
      </c>
      <c r="H22" s="23">
        <f>VALUE('0906'!M58)</f>
        <v>16.333333333333332</v>
      </c>
      <c r="I22" s="23">
        <f>VALUE('0906'!M69)</f>
        <v>12.333333333333334</v>
      </c>
      <c r="J22" s="23">
        <f>'0906'!M79</f>
        <v>7.5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24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41016-52C4-403E-8EB0-CE4CA17C0944}">
  <sheetPr>
    <tabColor theme="9" tint="0.79998168889431442"/>
  </sheetPr>
  <dimension ref="A1:AJ92"/>
  <sheetViews>
    <sheetView zoomScale="69" zoomScaleNormal="69" workbookViewId="0">
      <pane xSplit="5" ySplit="4" topLeftCell="F32" activePane="bottomRight" state="frozen"/>
      <selection activeCell="G76" sqref="G76"/>
      <selection pane="topRight" activeCell="G76" sqref="G76"/>
      <selection pane="bottomLeft" activeCell="G76" sqref="G76"/>
      <selection pane="bottomRight" activeCell="AD2" sqref="AD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56985</v>
      </c>
      <c r="F1" s="30" t="s">
        <v>2</v>
      </c>
      <c r="G1" s="31">
        <f>SUM(H5:H79)</f>
        <v>2650953.6940000001</v>
      </c>
      <c r="H1" s="32" t="s">
        <v>3</v>
      </c>
      <c r="I1" s="33">
        <f>M15+M26+M48+M58+M69+M79+M37</f>
        <v>96.85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153</v>
      </c>
      <c r="B2" s="462"/>
      <c r="C2" s="28"/>
      <c r="D2" s="28" t="s">
        <v>14</v>
      </c>
      <c r="E2" s="35">
        <f>AVERAGE(O15,O26,O37,O48,O58,O69,O79)</f>
        <v>116.06775344261466</v>
      </c>
      <c r="F2" s="36" t="s">
        <v>15</v>
      </c>
      <c r="G2" s="37">
        <f>G1/E1</f>
        <v>46.520201702202336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0</v>
      </c>
      <c r="AA2" s="339">
        <f>AA15+AA26+AA37+AA48+AA58+AA69+AA79</f>
        <v>0</v>
      </c>
      <c r="AB2" s="433"/>
      <c r="AC2" s="433"/>
      <c r="AD2" s="340">
        <f>AD15+AD26+AD37+AD48+AD58+AD69+AD79</f>
        <v>4</v>
      </c>
      <c r="AE2" s="340">
        <f>AE15+AE26+AE37+AE48+AE58+AE69+AE79</f>
        <v>4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2324</v>
      </c>
      <c r="H5" s="43">
        <f>F5*G5</f>
        <v>132165.88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1834.7368421052911</v>
      </c>
      <c r="O5" s="47">
        <f>N5/M5</f>
        <v>131.05263157894936</v>
      </c>
      <c r="P5" s="49">
        <f>M5-J5</f>
        <v>0</v>
      </c>
      <c r="Q5" s="50">
        <f>O5-L5</f>
        <v>-29.661654135336363</v>
      </c>
      <c r="R5" s="51">
        <f>O5/L5</f>
        <v>0.8154385964912404</v>
      </c>
      <c r="S5" s="392">
        <f>R15</f>
        <v>0.89601618588579557</v>
      </c>
      <c r="T5" s="319">
        <v>0.29166666666666702</v>
      </c>
      <c r="U5" s="320">
        <v>0.344444444444444</v>
      </c>
      <c r="V5" s="53"/>
      <c r="W5" s="54">
        <f t="shared" ref="W5:W14" si="0">(U5-T5)*24*60</f>
        <v>75.999999999998849</v>
      </c>
      <c r="X5" s="55"/>
      <c r="Y5" s="290"/>
      <c r="Z5" s="169"/>
      <c r="AA5" s="169"/>
      <c r="AB5" s="509" t="s">
        <v>154</v>
      </c>
      <c r="AC5" s="397"/>
      <c r="AD5" s="135">
        <v>2</v>
      </c>
      <c r="AE5" s="135">
        <v>2</v>
      </c>
      <c r="AF5" s="229">
        <f t="shared" ref="AF5:AF11" si="1">N5-K5</f>
        <v>-415.26315789470891</v>
      </c>
      <c r="AG5" s="52">
        <f t="shared" ref="AG5:AG11" si="2">N5/K5</f>
        <v>0.81543859649124051</v>
      </c>
      <c r="AH5" s="380">
        <f>AG15</f>
        <v>0.89473444587077899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2888</v>
      </c>
      <c r="H6" s="63">
        <f>F6*G6</f>
        <v>167994.96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2165.9999999999841</v>
      </c>
      <c r="O6" s="67">
        <f>N6/M6</f>
        <v>166.61538461538339</v>
      </c>
      <c r="P6" s="69">
        <f>M6-J6</f>
        <v>0</v>
      </c>
      <c r="Q6" s="70">
        <f>O6-L6</f>
        <v>-6.4615384615396749</v>
      </c>
      <c r="R6" s="71">
        <f>O6/L6</f>
        <v>0.96266666666665968</v>
      </c>
      <c r="S6" s="393"/>
      <c r="T6" s="16">
        <v>0.35486111111111102</v>
      </c>
      <c r="U6" s="16">
        <v>0.41041666666666698</v>
      </c>
      <c r="V6" s="30">
        <f>(T6-U5)*24*60</f>
        <v>15.000000000000506</v>
      </c>
      <c r="W6" s="73">
        <f t="shared" si="0"/>
        <v>80.000000000000597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-84.000000000015916</v>
      </c>
      <c r="AG6" s="72">
        <f t="shared" si="2"/>
        <v>0.96266666666665957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2948</v>
      </c>
      <c r="H7" s="78">
        <f>F7*G7</f>
        <v>144864.72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2157.0731707317259</v>
      </c>
      <c r="O7" s="81">
        <f>N7/M7</f>
        <v>154.07665505226615</v>
      </c>
      <c r="P7" s="74">
        <f>M7-J7</f>
        <v>0</v>
      </c>
      <c r="Q7" s="83">
        <f>O7-L7</f>
        <v>-6.6376306620195749</v>
      </c>
      <c r="R7" s="72">
        <f>O7/L7</f>
        <v>0.95869918699187817</v>
      </c>
      <c r="S7" s="393"/>
      <c r="T7" s="18">
        <v>0.41875000000000001</v>
      </c>
      <c r="U7" s="18">
        <v>0.47569444444444398</v>
      </c>
      <c r="V7" s="30">
        <f>(T7-U6)*24*60</f>
        <v>11.999999999999558</v>
      </c>
      <c r="W7" s="73">
        <f t="shared" si="0"/>
        <v>81.999999999999304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-92.926829268274105</v>
      </c>
      <c r="AG7" s="72">
        <f t="shared" si="2"/>
        <v>0.95869918699187817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3158</v>
      </c>
      <c r="H8" s="63">
        <f>F8*G8</f>
        <v>155184.12</v>
      </c>
      <c r="I8" s="64"/>
      <c r="J8" s="65">
        <f>VLOOKUP(D8,產線配置圖!$A$3:$C$40,2,0)</f>
        <v>14</v>
      </c>
      <c r="K8" s="66">
        <f>VLOOKUP(D8,產線配置圖!$A$3:$C$40,3,0)</f>
        <v>2250</v>
      </c>
      <c r="L8" s="67">
        <f>K8/J8</f>
        <v>160.71428571428572</v>
      </c>
      <c r="M8" s="82">
        <v>14</v>
      </c>
      <c r="N8" s="66">
        <f>G8/W8*60</f>
        <v>1894.8000000000097</v>
      </c>
      <c r="O8" s="67">
        <f>N8/M8</f>
        <v>135.34285714285784</v>
      </c>
      <c r="P8" s="69">
        <f>M8-J8</f>
        <v>0</v>
      </c>
      <c r="Q8" s="70">
        <f>O8-L8</f>
        <v>-25.371428571427884</v>
      </c>
      <c r="R8" s="71">
        <f>O8/L8</f>
        <v>0.84213333333333762</v>
      </c>
      <c r="S8" s="393"/>
      <c r="T8" s="16">
        <v>0.54166666666666696</v>
      </c>
      <c r="U8" s="16">
        <v>0.61111111111111105</v>
      </c>
      <c r="V8" s="30">
        <f>(T8-U7)*24*60</f>
        <v>95.000000000001108</v>
      </c>
      <c r="W8" s="73">
        <f t="shared" si="0"/>
        <v>99.999999999999488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-355.19999999999027</v>
      </c>
      <c r="AG8" s="72">
        <f t="shared" si="2"/>
        <v>0.84213333333333762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13.75</v>
      </c>
      <c r="K15" s="120">
        <f t="shared" si="3"/>
        <v>2250</v>
      </c>
      <c r="L15" s="117">
        <f t="shared" si="3"/>
        <v>163.80494505494505</v>
      </c>
      <c r="M15" s="120">
        <f t="shared" si="3"/>
        <v>13.75</v>
      </c>
      <c r="N15" s="120">
        <f t="shared" si="3"/>
        <v>2013.1525032092527</v>
      </c>
      <c r="O15" s="117">
        <f t="shared" si="3"/>
        <v>146.77188209736417</v>
      </c>
      <c r="P15" s="121">
        <f>M15-J15</f>
        <v>0</v>
      </c>
      <c r="Q15" s="122">
        <f>O15-L15</f>
        <v>-17.033062957580881</v>
      </c>
      <c r="R15" s="123">
        <f>O15/L15</f>
        <v>0.89601618588579557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2</v>
      </c>
      <c r="AE15" s="323">
        <f>SUM(AE5:AE14)</f>
        <v>2</v>
      </c>
      <c r="AF15" s="309">
        <f>N15-K15</f>
        <v>-236.8474967907473</v>
      </c>
      <c r="AG15" s="124">
        <f>N15/K15</f>
        <v>0.89473444587077899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1964</v>
      </c>
      <c r="H16" s="134">
        <f>F16*G16</f>
        <v>111692.68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1758.805970149245</v>
      </c>
      <c r="O16" s="141">
        <f>N16/M16</f>
        <v>125.62899786780322</v>
      </c>
      <c r="P16" s="142">
        <f>M16-J16</f>
        <v>0</v>
      </c>
      <c r="Q16" s="143">
        <f>O16-L16</f>
        <v>-35.085287846482501</v>
      </c>
      <c r="R16" s="144">
        <f>O16/L16</f>
        <v>0.78169154228855331</v>
      </c>
      <c r="S16" s="420">
        <f>R26</f>
        <v>0.84542750286002799</v>
      </c>
      <c r="T16" s="145">
        <v>0.29027777777777802</v>
      </c>
      <c r="U16" s="145">
        <v>0.33680555555555602</v>
      </c>
      <c r="V16" s="135"/>
      <c r="W16" s="146">
        <f t="shared" ref="W16:W78" si="4">(U16-T16)*24*60</f>
        <v>67.000000000000327</v>
      </c>
      <c r="X16" s="141"/>
      <c r="Y16" s="296"/>
      <c r="Z16" s="169"/>
      <c r="AA16" s="169"/>
      <c r="AB16" s="509" t="s">
        <v>154</v>
      </c>
      <c r="AC16" s="397"/>
      <c r="AD16" s="135">
        <v>2</v>
      </c>
      <c r="AE16" s="135">
        <v>2</v>
      </c>
      <c r="AF16" s="229">
        <f>N16-K16</f>
        <v>-491.19402985075499</v>
      </c>
      <c r="AG16" s="52">
        <f>N16/K16</f>
        <v>0.78169154228855331</v>
      </c>
      <c r="AH16" s="380">
        <f>AG26</f>
        <v>0.84373704201173572</v>
      </c>
    </row>
    <row r="17" spans="1:34" ht="15" customHeight="1">
      <c r="A17" s="427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3493</v>
      </c>
      <c r="H17" s="78">
        <f>F17*G17</f>
        <v>176990.31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2054.7058823529501</v>
      </c>
      <c r="O17" s="96">
        <f>N17/M17</f>
        <v>146.76470588235358</v>
      </c>
      <c r="P17" s="97">
        <f>M17-J17</f>
        <v>0</v>
      </c>
      <c r="Q17" s="98">
        <f>O17-L17</f>
        <v>-13.949579831932141</v>
      </c>
      <c r="R17" s="99">
        <f>O17/L17</f>
        <v>0.9132026143790889</v>
      </c>
      <c r="S17" s="421"/>
      <c r="T17" s="19">
        <v>0.34375</v>
      </c>
      <c r="U17" s="19">
        <v>0.41458333333333303</v>
      </c>
      <c r="V17" s="30">
        <f>(T17-U16)*24*60</f>
        <v>9.999999999999325</v>
      </c>
      <c r="W17" s="149">
        <f t="shared" si="4"/>
        <v>101.99999999999956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-195.29411764704992</v>
      </c>
      <c r="AG17" s="72">
        <f>N17/K17</f>
        <v>0.9132026143790889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2708</v>
      </c>
      <c r="H18" s="78">
        <f>F18*G18</f>
        <v>136456.12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2110.1298701298774</v>
      </c>
      <c r="O18" s="96">
        <f>N18/M18</f>
        <v>175.84415584415646</v>
      </c>
      <c r="P18" s="97">
        <f>M18-J18</f>
        <v>0</v>
      </c>
      <c r="Q18" s="98">
        <f>O18-L18</f>
        <v>-11.655844155843539</v>
      </c>
      <c r="R18" s="99">
        <f>O18/L18</f>
        <v>0.93783549783550113</v>
      </c>
      <c r="S18" s="421"/>
      <c r="T18" s="19">
        <v>0.42499999999999999</v>
      </c>
      <c r="U18" s="19">
        <v>0.47847222222222202</v>
      </c>
      <c r="V18" s="30">
        <f>(T18-U17)*24*60</f>
        <v>15.000000000000426</v>
      </c>
      <c r="W18" s="149">
        <f t="shared" si="4"/>
        <v>76.99999999999973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-139.87012987012258</v>
      </c>
      <c r="AG18" s="72">
        <f>N18/K18</f>
        <v>0.93783549783550102</v>
      </c>
      <c r="AH18" s="382"/>
    </row>
    <row r="19" spans="1:34" ht="15" customHeight="1">
      <c r="A19" s="427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3014</v>
      </c>
      <c r="H19" s="78">
        <f t="shared" ref="H19:H20" si="5">F19*G19</f>
        <v>151875.46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6">K19/J19</f>
        <v>187.5</v>
      </c>
      <c r="M19" s="148">
        <v>12</v>
      </c>
      <c r="N19" s="95">
        <f t="shared" ref="N19:N20" si="7">G19/W19*60</f>
        <v>1808.3999999999833</v>
      </c>
      <c r="O19" s="96">
        <f t="shared" ref="O19:O20" si="8">N19/M19</f>
        <v>150.6999999999986</v>
      </c>
      <c r="P19" s="97">
        <f t="shared" ref="P19:P20" si="9">M19-J19</f>
        <v>0</v>
      </c>
      <c r="Q19" s="98">
        <f t="shared" ref="Q19:Q20" si="10">O19-L19</f>
        <v>-36.800000000001404</v>
      </c>
      <c r="R19" s="99">
        <f t="shared" ref="R19:R20" si="11">O19/L19</f>
        <v>0.80373333333332586</v>
      </c>
      <c r="S19" s="421"/>
      <c r="T19" s="19">
        <v>0.54236111111111096</v>
      </c>
      <c r="U19" s="19">
        <v>0.61180555555555605</v>
      </c>
      <c r="V19" s="30">
        <f>(T19-U18)*24*60</f>
        <v>92.000000000000071</v>
      </c>
      <c r="W19" s="149">
        <f t="shared" si="4"/>
        <v>100.00000000000092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-441.60000000001673</v>
      </c>
      <c r="AG19" s="72">
        <f>N19/K19</f>
        <v>0.80373333333332586</v>
      </c>
      <c r="AH19" s="383"/>
    </row>
    <row r="20" spans="1:34" ht="15" customHeight="1">
      <c r="A20" s="427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704</v>
      </c>
      <c r="H20" s="78">
        <f t="shared" si="5"/>
        <v>35671.68</v>
      </c>
      <c r="I20" s="30"/>
      <c r="J20" s="79">
        <v>14</v>
      </c>
      <c r="K20" s="80">
        <f>VLOOKUP(D20,產線配置圖!$A$3:$C$40,3,0)</f>
        <v>2250</v>
      </c>
      <c r="L20" s="81">
        <f t="shared" si="6"/>
        <v>160.71428571428572</v>
      </c>
      <c r="M20" s="148">
        <v>14</v>
      </c>
      <c r="N20" s="95">
        <f t="shared" si="7"/>
        <v>1759.9999999999711</v>
      </c>
      <c r="O20" s="96">
        <f t="shared" si="8"/>
        <v>125.71428571428365</v>
      </c>
      <c r="P20" s="97">
        <f t="shared" si="9"/>
        <v>0</v>
      </c>
      <c r="Q20" s="98">
        <f t="shared" si="10"/>
        <v>-35.000000000002075</v>
      </c>
      <c r="R20" s="99">
        <f t="shared" si="11"/>
        <v>0.78222222222220927</v>
      </c>
      <c r="S20" s="421"/>
      <c r="T20" s="19">
        <v>0.61875000000000002</v>
      </c>
      <c r="U20" s="19">
        <v>0.63541666666666696</v>
      </c>
      <c r="V20" s="30">
        <f>(T20-U19)*24*60</f>
        <v>9.999999999999325</v>
      </c>
      <c r="W20" s="149">
        <f t="shared" si="4"/>
        <v>24.000000000000394</v>
      </c>
      <c r="X20" s="19"/>
      <c r="Y20" s="297"/>
      <c r="Z20" s="90"/>
      <c r="AA20" s="90"/>
      <c r="AB20" s="386" t="s">
        <v>137</v>
      </c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12">AVERAGE(J16:J25)</f>
        <v>13.2</v>
      </c>
      <c r="K26" s="155">
        <f t="shared" si="12"/>
        <v>2250</v>
      </c>
      <c r="L26" s="158">
        <f t="shared" si="12"/>
        <v>171.42857142857142</v>
      </c>
      <c r="M26" s="155">
        <f t="shared" si="12"/>
        <v>13.2</v>
      </c>
      <c r="N26" s="155">
        <f t="shared" si="12"/>
        <v>1898.4083445264055</v>
      </c>
      <c r="O26" s="158">
        <f t="shared" si="12"/>
        <v>144.93042906171908</v>
      </c>
      <c r="P26" s="159">
        <f>M26-J26</f>
        <v>0</v>
      </c>
      <c r="Q26" s="160">
        <f>O26-L26</f>
        <v>-26.498142366852335</v>
      </c>
      <c r="R26" s="161">
        <f>O26/L26</f>
        <v>0.84542750286002799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2</v>
      </c>
      <c r="AE26" s="323">
        <f>SUM(AE16:AE25)</f>
        <v>2</v>
      </c>
      <c r="AF26" s="309">
        <f t="shared" ref="AF26:AF31" si="13">N26-K26</f>
        <v>-351.59165547359453</v>
      </c>
      <c r="AG26" s="124">
        <f t="shared" ref="AG26:AG31" si="14">N26/K26</f>
        <v>0.84373704201173572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985</v>
      </c>
      <c r="H27" s="134">
        <f>F27*G27</f>
        <v>49161.35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17</v>
      </c>
      <c r="N27" s="140">
        <f>G27/W27*60</f>
        <v>1407.1428571428407</v>
      </c>
      <c r="O27" s="141">
        <f>N27/M27</f>
        <v>82.77310924369651</v>
      </c>
      <c r="P27" s="142">
        <f>M27-J27</f>
        <v>-1</v>
      </c>
      <c r="Q27" s="143">
        <f>O27-L27</f>
        <v>-8.1157796451923758</v>
      </c>
      <c r="R27" s="144">
        <f>O27/L27</f>
        <v>0.91070658092086632</v>
      </c>
      <c r="S27" s="420">
        <f>R37</f>
        <v>0.9150701603944954</v>
      </c>
      <c r="T27" s="171">
        <v>0.297222222222222</v>
      </c>
      <c r="U27" s="171">
        <v>0.32638888888888901</v>
      </c>
      <c r="V27" s="135"/>
      <c r="W27" s="146">
        <f t="shared" si="4"/>
        <v>42.00000000000049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13"/>
        <v>-228.85714285715926</v>
      </c>
      <c r="AG27" s="172">
        <f t="shared" si="14"/>
        <v>0.86011177086970703</v>
      </c>
      <c r="AH27" s="380">
        <f>AG37</f>
        <v>0.86395116877736811</v>
      </c>
    </row>
    <row r="28" spans="1:34" ht="15" customHeight="1">
      <c r="A28" s="418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952</v>
      </c>
      <c r="H28" s="91">
        <f>F28*G28</f>
        <v>54463.92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1464.6153846154018</v>
      </c>
      <c r="O28" s="96">
        <f>N28/M28</f>
        <v>86.153846153847169</v>
      </c>
      <c r="P28" s="97">
        <f>M28-J28</f>
        <v>-1</v>
      </c>
      <c r="Q28" s="98">
        <f>O28-L28</f>
        <v>-4.7350427350417164</v>
      </c>
      <c r="R28" s="99">
        <f>O28/L28</f>
        <v>0.94790295279293957</v>
      </c>
      <c r="S28" s="421"/>
      <c r="T28" s="19">
        <v>0.33263888888888898</v>
      </c>
      <c r="U28" s="19">
        <v>0.359722222222222</v>
      </c>
      <c r="V28" s="92">
        <f>(T28-U27)*24*60</f>
        <v>8.999999999999968</v>
      </c>
      <c r="W28" s="149">
        <f t="shared" si="4"/>
        <v>38.999999999999545</v>
      </c>
      <c r="X28" s="174"/>
      <c r="Y28" s="301"/>
      <c r="Z28" s="335"/>
      <c r="AA28" s="335"/>
      <c r="AB28" s="386" t="s">
        <v>155</v>
      </c>
      <c r="AC28" s="386"/>
      <c r="AD28" s="92"/>
      <c r="AE28" s="92"/>
      <c r="AF28" s="311">
        <f t="shared" si="13"/>
        <v>-171.38461538459819</v>
      </c>
      <c r="AG28" s="99">
        <f t="shared" si="14"/>
        <v>0.89524167763777618</v>
      </c>
      <c r="AH28" s="381"/>
    </row>
    <row r="29" spans="1:34" ht="15" customHeight="1">
      <c r="A29" s="418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1103</v>
      </c>
      <c r="H29" s="91">
        <f>F29*G29</f>
        <v>50362.979999999996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16</v>
      </c>
      <c r="N29" s="95">
        <f>G29/W29*60</f>
        <v>1470.6666666666667</v>
      </c>
      <c r="O29" s="96">
        <f>N29/M29</f>
        <v>91.916666666666671</v>
      </c>
      <c r="P29" s="97">
        <f>M29-J29</f>
        <v>-1</v>
      </c>
      <c r="Q29" s="98">
        <f>O29-L29</f>
        <v>-4.3186274509803866</v>
      </c>
      <c r="R29" s="99">
        <f>O29/L29</f>
        <v>0.95512428687856565</v>
      </c>
      <c r="S29" s="421"/>
      <c r="T29" s="19">
        <v>0.374305555555556</v>
      </c>
      <c r="U29" s="19">
        <v>0.405555555555556</v>
      </c>
      <c r="V29" s="92">
        <f>(T29-U28)*24*60</f>
        <v>21.000000000000966</v>
      </c>
      <c r="W29" s="149">
        <f t="shared" si="4"/>
        <v>45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13"/>
        <v>-165.33333333333326</v>
      </c>
      <c r="AG29" s="99">
        <f t="shared" si="14"/>
        <v>0.8989405052974736</v>
      </c>
      <c r="AH29" s="381"/>
    </row>
    <row r="30" spans="1:34" ht="15" customHeight="1">
      <c r="A30" s="418"/>
      <c r="B30" s="75" t="s">
        <v>81</v>
      </c>
      <c r="C30" s="88"/>
      <c r="D30" s="59" t="s">
        <v>124</v>
      </c>
      <c r="E30" s="89"/>
      <c r="F30" s="75">
        <f>VLOOKUP(D30,廠價表!$C$1:$E$43,3,0)</f>
        <v>46.34</v>
      </c>
      <c r="G30" s="90">
        <v>1643</v>
      </c>
      <c r="H30" s="91">
        <f t="shared" ref="H30:H31" si="15">F30*G30</f>
        <v>76136.62000000001</v>
      </c>
      <c r="I30" s="92"/>
      <c r="J30" s="79">
        <f>VLOOKUP(D30,產線配置圖!$A$3:$C$40,2,0)</f>
        <v>16</v>
      </c>
      <c r="K30" s="80">
        <f>VLOOKUP(D30,產線配置圖!$A$3:$C$40,3,0)</f>
        <v>1636</v>
      </c>
      <c r="L30" s="93">
        <f t="shared" ref="L30:L31" si="16">K30/J30</f>
        <v>102.25</v>
      </c>
      <c r="M30" s="94">
        <v>16</v>
      </c>
      <c r="N30" s="95">
        <f t="shared" ref="N30:N31" si="17">G30/W30*60</f>
        <v>1428.695652173933</v>
      </c>
      <c r="O30" s="96">
        <f t="shared" ref="O30:O31" si="18">N30/M30</f>
        <v>89.293478260870813</v>
      </c>
      <c r="P30" s="97">
        <f t="shared" ref="P30:P31" si="19">M30-J30</f>
        <v>0</v>
      </c>
      <c r="Q30" s="98">
        <f t="shared" ref="Q30:Q31" si="20">O30-L30</f>
        <v>-12.956521739129187</v>
      </c>
      <c r="R30" s="99">
        <f t="shared" ref="R30:R31" si="21">O30/L30</f>
        <v>0.87328585096206179</v>
      </c>
      <c r="S30" s="421"/>
      <c r="T30" s="19">
        <v>0.41180555555555598</v>
      </c>
      <c r="U30" s="19">
        <v>0.45972222222222198</v>
      </c>
      <c r="V30" s="92">
        <f t="shared" ref="V30:V31" si="22">(T30-U29)*24*60</f>
        <v>8.999999999999968</v>
      </c>
      <c r="W30" s="149">
        <f t="shared" si="4"/>
        <v>68.999999999999034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13"/>
        <v>-207.30434782606699</v>
      </c>
      <c r="AG30" s="99">
        <f t="shared" si="14"/>
        <v>0.87328585096206179</v>
      </c>
      <c r="AH30" s="416"/>
    </row>
    <row r="31" spans="1:34" ht="15" customHeight="1">
      <c r="A31" s="418"/>
      <c r="B31" s="75" t="s">
        <v>81</v>
      </c>
      <c r="C31" s="88"/>
      <c r="D31" s="59" t="s">
        <v>123</v>
      </c>
      <c r="E31" s="89"/>
      <c r="F31" s="75">
        <f>VLOOKUP(D31,廠價表!$C$1:$E$43,3,0)</f>
        <v>57.21</v>
      </c>
      <c r="G31" s="90">
        <v>756</v>
      </c>
      <c r="H31" s="91">
        <f t="shared" si="15"/>
        <v>43250.76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16"/>
        <v>90.888888888888886</v>
      </c>
      <c r="M31" s="94">
        <v>16</v>
      </c>
      <c r="N31" s="95">
        <f t="shared" si="17"/>
        <v>1296.0000000000284</v>
      </c>
      <c r="O31" s="96">
        <f t="shared" si="18"/>
        <v>81.000000000001776</v>
      </c>
      <c r="P31" s="97">
        <f t="shared" si="19"/>
        <v>-2</v>
      </c>
      <c r="Q31" s="98">
        <f t="shared" si="20"/>
        <v>-9.8888888888871094</v>
      </c>
      <c r="R31" s="99">
        <f t="shared" si="21"/>
        <v>0.89119804400979952</v>
      </c>
      <c r="S31" s="421"/>
      <c r="T31" s="19">
        <v>0.52777777777777801</v>
      </c>
      <c r="U31" s="19">
        <v>0.55208333333333304</v>
      </c>
      <c r="V31" s="92">
        <f t="shared" si="22"/>
        <v>98.000000000000696</v>
      </c>
      <c r="W31" s="149">
        <f t="shared" si="4"/>
        <v>34.999999999999233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13"/>
        <v>-339.99999999997158</v>
      </c>
      <c r="AG31" s="99">
        <f t="shared" si="14"/>
        <v>0.79217603911982182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23">AVERAGE(J27:J36)</f>
        <v>17.399999999999999</v>
      </c>
      <c r="K37" s="155">
        <f t="shared" si="23"/>
        <v>1636</v>
      </c>
      <c r="L37" s="158">
        <f t="shared" si="23"/>
        <v>94.230392156862735</v>
      </c>
      <c r="M37" s="155">
        <f t="shared" si="23"/>
        <v>16.399999999999999</v>
      </c>
      <c r="N37" s="155">
        <f t="shared" si="23"/>
        <v>1413.4241121197742</v>
      </c>
      <c r="O37" s="158">
        <f t="shared" si="23"/>
        <v>86.227420065016588</v>
      </c>
      <c r="P37" s="159">
        <f>M37-J37</f>
        <v>-1</v>
      </c>
      <c r="Q37" s="160">
        <f>N37-K37</f>
        <v>-222.57588788022576</v>
      </c>
      <c r="R37" s="161">
        <f>O37/L37</f>
        <v>0.9150701603944954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-222.57588788022576</v>
      </c>
      <c r="AG37" s="124">
        <f>N37/K37</f>
        <v>0.86395116877736811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2976</v>
      </c>
      <c r="H38" s="134">
        <f>F38*G38</f>
        <v>148532.16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1580.1769911504471</v>
      </c>
      <c r="O38" s="141">
        <f>N38/M38</f>
        <v>98.761061946902942</v>
      </c>
      <c r="P38" s="142">
        <f>M38-J38</f>
        <v>0</v>
      </c>
      <c r="Q38" s="143">
        <f>O38-L38</f>
        <v>-8.3639380530970584</v>
      </c>
      <c r="R38" s="144">
        <f>O38/L38</f>
        <v>0.92192356543199949</v>
      </c>
      <c r="S38" s="410">
        <f>R48</f>
        <v>0.89663843004272403</v>
      </c>
      <c r="T38" s="191">
        <v>0.34027777777777801</v>
      </c>
      <c r="U38" s="191">
        <v>0.41875000000000001</v>
      </c>
      <c r="V38" s="192"/>
      <c r="W38" s="193">
        <f t="shared" si="4"/>
        <v>112.99999999999967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-133.82300884955293</v>
      </c>
      <c r="AG38" s="195">
        <f>N38/K38</f>
        <v>0.92192356543199949</v>
      </c>
      <c r="AH38" s="413">
        <f>AG48</f>
        <v>0.89555191976250903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2173</v>
      </c>
      <c r="H39" s="91">
        <f>F39*G39</f>
        <v>96263.9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1417.1739130434746</v>
      </c>
      <c r="O39" s="203">
        <f>N39/M39</f>
        <v>78.731884057970817</v>
      </c>
      <c r="P39" s="97">
        <f>M39-J39</f>
        <v>0</v>
      </c>
      <c r="Q39" s="98">
        <f>O39-L39</f>
        <v>-12.157004830918069</v>
      </c>
      <c r="R39" s="99">
        <f>O39/L39</f>
        <v>0.86624322313170832</v>
      </c>
      <c r="S39" s="411"/>
      <c r="T39" s="20">
        <v>0.42916666666666697</v>
      </c>
      <c r="U39" s="20">
        <v>0.49305555555555602</v>
      </c>
      <c r="V39" s="92">
        <f>(T39-U38)*24*60</f>
        <v>15.000000000000426</v>
      </c>
      <c r="W39" s="205">
        <f t="shared" si="4"/>
        <v>92.000000000000227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-218.82608695652539</v>
      </c>
      <c r="AG39" s="206">
        <f>N39/K39</f>
        <v>0.86624322313170821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3792</v>
      </c>
      <c r="H40" s="91">
        <f>F40*G40</f>
        <v>167985.59999999998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1467.8709677419486</v>
      </c>
      <c r="O40" s="203">
        <f>N40/M40</f>
        <v>81.548387096774917</v>
      </c>
      <c r="P40" s="97">
        <f>M40-J40</f>
        <v>0</v>
      </c>
      <c r="Q40" s="98">
        <f>O40-L40</f>
        <v>-9.3405017921139688</v>
      </c>
      <c r="R40" s="99">
        <f>O40/L40</f>
        <v>0.89723164287405166</v>
      </c>
      <c r="S40" s="393"/>
      <c r="T40" s="20">
        <v>0.55555555555555602</v>
      </c>
      <c r="U40" s="20">
        <v>0.66319444444444398</v>
      </c>
      <c r="V40" s="92">
        <f>(T40-U39)*24*60</f>
        <v>90</v>
      </c>
      <c r="W40" s="205">
        <f t="shared" si="4"/>
        <v>154.99999999999864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-168.12903225805144</v>
      </c>
      <c r="AG40" s="206">
        <f>N40/K40</f>
        <v>0.89723164287405166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24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24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24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24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24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25">AVERAGE(J38:J47)</f>
        <v>17.333333333333332</v>
      </c>
      <c r="K48" s="155">
        <f t="shared" si="25"/>
        <v>1662</v>
      </c>
      <c r="L48" s="158">
        <f t="shared" si="25"/>
        <v>96.300925925925924</v>
      </c>
      <c r="M48" s="155">
        <f t="shared" si="25"/>
        <v>17.333333333333332</v>
      </c>
      <c r="N48" s="155">
        <f t="shared" si="25"/>
        <v>1488.40729064529</v>
      </c>
      <c r="O48" s="158">
        <f t="shared" si="25"/>
        <v>86.347111033882882</v>
      </c>
      <c r="P48" s="221">
        <f>M48-J48</f>
        <v>0</v>
      </c>
      <c r="Q48" s="222">
        <f>N48-K48</f>
        <v>-173.59270935471</v>
      </c>
      <c r="R48" s="223">
        <f>O48/L48</f>
        <v>0.89663843004272403</v>
      </c>
      <c r="S48" s="396"/>
      <c r="T48" s="224"/>
      <c r="U48" s="224"/>
      <c r="V48" s="225"/>
      <c r="W48" s="226">
        <f t="shared" si="24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26">N48-K48</f>
        <v>-173.59270935471</v>
      </c>
      <c r="AG48" s="162">
        <f t="shared" ref="AG48:AG53" si="27">N48/K48</f>
        <v>0.89555191976250903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2566</v>
      </c>
      <c r="H49" s="134">
        <f>F49*G49</f>
        <v>129041.57400000001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1539.6000000000104</v>
      </c>
      <c r="O49" s="141">
        <f>N49/M49</f>
        <v>90.56470588235355</v>
      </c>
      <c r="P49" s="229">
        <f>M49-J49</f>
        <v>0</v>
      </c>
      <c r="Q49" s="230">
        <f>O49-L49</f>
        <v>-5.6705882352935078</v>
      </c>
      <c r="R49" s="52">
        <f>O49/L49</f>
        <v>0.94107579462103319</v>
      </c>
      <c r="S49" s="392">
        <f>R58</f>
        <v>0.89611616262083582</v>
      </c>
      <c r="T49" s="191">
        <v>0.29166666666666702</v>
      </c>
      <c r="U49" s="191">
        <v>0.36111111111111099</v>
      </c>
      <c r="V49" s="55"/>
      <c r="W49" s="193">
        <f t="shared" si="4"/>
        <v>99.999999999999318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26"/>
        <v>-96.399999999989632</v>
      </c>
      <c r="AG49" s="52">
        <f t="shared" si="27"/>
        <v>0.94107579462103319</v>
      </c>
      <c r="AH49" s="380">
        <f>AG58</f>
        <v>0.89694250017029364</v>
      </c>
    </row>
    <row r="50" spans="1:34" ht="15" customHeight="1">
      <c r="A50" s="405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3410</v>
      </c>
      <c r="H50" s="231">
        <f>F50*G50</f>
        <v>170397.69999999998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1471.9424460431612</v>
      </c>
      <c r="O50" s="235">
        <f>N50/M50</f>
        <v>91.996402877697577</v>
      </c>
      <c r="P50" s="74">
        <f>M50-J50</f>
        <v>0</v>
      </c>
      <c r="Q50" s="83">
        <f>O50-L50</f>
        <v>-20.503597122302423</v>
      </c>
      <c r="R50" s="72">
        <f>O50/L50</f>
        <v>0.81774580335731184</v>
      </c>
      <c r="S50" s="393"/>
      <c r="T50" s="21">
        <v>0.36597222222222198</v>
      </c>
      <c r="U50" s="21">
        <v>0.46250000000000002</v>
      </c>
      <c r="V50" s="30">
        <f>(T50-U49)*24*60</f>
        <v>6.9999999999998153</v>
      </c>
      <c r="W50" s="236">
        <f t="shared" si="4"/>
        <v>139.0000000000004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26"/>
        <v>-328.05755395683877</v>
      </c>
      <c r="AG50" s="72">
        <f t="shared" si="27"/>
        <v>0.81774580335731184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2780</v>
      </c>
      <c r="H51" s="231">
        <f>F51*G51</f>
        <v>138916.6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1684.8484848484854</v>
      </c>
      <c r="O51" s="235">
        <f>N51/M51</f>
        <v>105.30303030303034</v>
      </c>
      <c r="P51" s="74">
        <f>M51-J51</f>
        <v>0</v>
      </c>
      <c r="Q51" s="83">
        <f>O51-L51</f>
        <v>-7.1969696969696599</v>
      </c>
      <c r="R51" s="72">
        <f>O51/L51</f>
        <v>0.93602693602693632</v>
      </c>
      <c r="S51" s="393"/>
      <c r="T51" s="21">
        <v>0.52361111111111103</v>
      </c>
      <c r="U51" s="19">
        <v>0.59236111111111101</v>
      </c>
      <c r="V51" s="30">
        <f>(T51-U50)*24*60</f>
        <v>87.999999999999844</v>
      </c>
      <c r="W51" s="236">
        <f t="shared" si="4"/>
        <v>98.999999999999972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26"/>
        <v>-115.15151515151456</v>
      </c>
      <c r="AG51" s="72">
        <f t="shared" si="27"/>
        <v>0.93602693602693632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/>
      <c r="U52" s="21"/>
      <c r="V52" s="30"/>
      <c r="W52" s="236">
        <f t="shared" si="4"/>
        <v>0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26"/>
        <v>0</v>
      </c>
      <c r="AG52" s="72" t="e">
        <f t="shared" si="27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26"/>
        <v>0</v>
      </c>
      <c r="AG53" s="72" t="e">
        <f t="shared" si="27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8">AVERAGE(J49:J57)</f>
        <v>16.333333333333332</v>
      </c>
      <c r="K58" s="120">
        <f t="shared" si="28"/>
        <v>1745.3333333333333</v>
      </c>
      <c r="L58" s="117">
        <f t="shared" si="28"/>
        <v>107.07843137254902</v>
      </c>
      <c r="M58" s="120">
        <f t="shared" si="28"/>
        <v>16.333333333333332</v>
      </c>
      <c r="N58" s="120">
        <f t="shared" si="28"/>
        <v>1565.4636436305525</v>
      </c>
      <c r="O58" s="117">
        <f t="shared" si="28"/>
        <v>95.954713021027146</v>
      </c>
      <c r="P58" s="121">
        <f>M58-J58</f>
        <v>0</v>
      </c>
      <c r="Q58" s="122">
        <f>N58-K58</f>
        <v>-179.86968970278076</v>
      </c>
      <c r="R58" s="123">
        <f>O58/L58</f>
        <v>0.89611616262083582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-179.86968970278076</v>
      </c>
      <c r="AG58" s="124">
        <f>N58/K58</f>
        <v>0.89694250017029364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3862</v>
      </c>
      <c r="H59" s="243">
        <f>F59*G59</f>
        <v>104235.37999999999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1565.6756756756879</v>
      </c>
      <c r="O59" s="138">
        <f>N59/M59</f>
        <v>104.3783783783792</v>
      </c>
      <c r="P59" s="56">
        <f>M59-J59</f>
        <v>0</v>
      </c>
      <c r="Q59" s="230">
        <f>O59-L59</f>
        <v>-4.6882882882874668</v>
      </c>
      <c r="R59" s="52">
        <f>O59/L59</f>
        <v>0.9570144716844059</v>
      </c>
      <c r="S59" s="392">
        <f>R69</f>
        <v>0.92095840287804531</v>
      </c>
      <c r="T59" s="245">
        <v>0.29166666666666702</v>
      </c>
      <c r="U59" s="245">
        <v>0.39444444444444399</v>
      </c>
      <c r="V59" s="55"/>
      <c r="W59" s="54">
        <f t="shared" si="4"/>
        <v>147.99999999999883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-70.324324324312101</v>
      </c>
      <c r="AG59" s="246">
        <f>N59/K59</f>
        <v>0.95701447168440579</v>
      </c>
      <c r="AH59" s="380">
        <f>AG69</f>
        <v>0.9241633867719441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1441</v>
      </c>
      <c r="H60" s="78">
        <f>F60*G60</f>
        <v>40722.660000000003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1490.6896551724067</v>
      </c>
      <c r="O60" s="81">
        <f>N60/M60</f>
        <v>135.5172413793097</v>
      </c>
      <c r="P60" s="74">
        <f>M60-J60</f>
        <v>0</v>
      </c>
      <c r="Q60" s="83">
        <f>O60-L60</f>
        <v>-13.210031347963024</v>
      </c>
      <c r="R60" s="72">
        <f>O60/L60</f>
        <v>0.91117949582665447</v>
      </c>
      <c r="S60" s="402"/>
      <c r="T60" s="22">
        <v>0.40277777777777801</v>
      </c>
      <c r="U60" s="22">
        <v>0.44305555555555598</v>
      </c>
      <c r="V60" s="30">
        <f>(T60-U59)*24*60</f>
        <v>12.000000000000997</v>
      </c>
      <c r="W60" s="248">
        <f t="shared" si="4"/>
        <v>58.00000000000027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-145.31034482759333</v>
      </c>
      <c r="AG60" s="249">
        <f>N60/K60</f>
        <v>0.91117949582665447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863</v>
      </c>
      <c r="H61" s="254">
        <f>F61*G61</f>
        <v>24388.38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1479.428571428607</v>
      </c>
      <c r="O61" s="238">
        <f>N61/M61</f>
        <v>134.49350649350973</v>
      </c>
      <c r="P61" s="111">
        <f>M61-J61</f>
        <v>0</v>
      </c>
      <c r="Q61" s="255">
        <f>O61-L61</f>
        <v>-14.233766233762992</v>
      </c>
      <c r="R61" s="85">
        <f>O61/L61</f>
        <v>0.90429619280477203</v>
      </c>
      <c r="S61" s="393"/>
      <c r="T61" s="22">
        <v>0.45138888888888901</v>
      </c>
      <c r="U61" s="22">
        <v>0.47569444444444398</v>
      </c>
      <c r="V61" s="30">
        <f>(T61-U60)*24*60</f>
        <v>11.999999999999558</v>
      </c>
      <c r="W61" s="256">
        <f t="shared" si="4"/>
        <v>34.999999999999154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-156.57142857139297</v>
      </c>
      <c r="AG61" s="247">
        <f>N61/K61</f>
        <v>0.90429619280477203</v>
      </c>
      <c r="AH61" s="382"/>
    </row>
    <row r="62" spans="1:34" ht="15" customHeight="1">
      <c r="A62" s="400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93"/>
      <c r="T62" s="22"/>
      <c r="U62" s="22"/>
      <c r="V62" s="30"/>
      <c r="W62" s="248">
        <f t="shared" si="4"/>
        <v>0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0</v>
      </c>
      <c r="AG62" s="247" t="e">
        <f>N62/K62</f>
        <v>#DIV/0!</v>
      </c>
      <c r="AH62" s="382"/>
    </row>
    <row r="63" spans="1:34" ht="15" customHeight="1">
      <c r="A63" s="4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9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9">AVERAGE(J59:J68)</f>
        <v>12.333333333333334</v>
      </c>
      <c r="K69" s="240">
        <f t="shared" si="29"/>
        <v>1636</v>
      </c>
      <c r="L69" s="268">
        <f t="shared" si="29"/>
        <v>135.50707070707071</v>
      </c>
      <c r="M69" s="240">
        <f t="shared" si="29"/>
        <v>12.333333333333334</v>
      </c>
      <c r="N69" s="240">
        <f t="shared" si="29"/>
        <v>1511.9313007589005</v>
      </c>
      <c r="O69" s="268">
        <f t="shared" si="29"/>
        <v>124.7963754170662</v>
      </c>
      <c r="P69" s="269">
        <f>M69-J69</f>
        <v>0</v>
      </c>
      <c r="Q69" s="222">
        <f>N69-K69</f>
        <v>-124.06869924109947</v>
      </c>
      <c r="R69" s="123">
        <f>O69/L69</f>
        <v>0.92095840287804531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-124.06869924109947</v>
      </c>
      <c r="AG69" s="124">
        <f>N69/K69</f>
        <v>0.9241633867719441</v>
      </c>
      <c r="AH69" s="384"/>
    </row>
    <row r="70" spans="1:36" ht="15" customHeight="1">
      <c r="A70" s="389" t="s">
        <v>55</v>
      </c>
      <c r="B70" s="129" t="s">
        <v>132</v>
      </c>
      <c r="C70" s="129"/>
      <c r="D70" s="131" t="s">
        <v>136</v>
      </c>
      <c r="E70" s="132"/>
      <c r="F70" s="129">
        <f>VLOOKUP(D70,廠價表!$C$1:$E$43,3,0)</f>
        <v>28.26</v>
      </c>
      <c r="G70" s="55">
        <v>3360</v>
      </c>
      <c r="H70" s="243">
        <f>F70*G70</f>
        <v>94953.600000000006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7</v>
      </c>
      <c r="N70" s="137">
        <f>G70/W70*60</f>
        <v>988.23529411764457</v>
      </c>
      <c r="O70" s="138">
        <f>N70/M70</f>
        <v>141.17647058823493</v>
      </c>
      <c r="P70" s="56">
        <f>M70-J70</f>
        <v>-4</v>
      </c>
      <c r="Q70" s="230">
        <f>O70-L70</f>
        <v>-7.5508021390377849</v>
      </c>
      <c r="R70" s="52">
        <f>O70/L70</f>
        <v>0.94923054796490491</v>
      </c>
      <c r="S70" s="392">
        <f>R79</f>
        <v>0.94716249286793652</v>
      </c>
      <c r="T70" s="245">
        <v>0.30833333333333302</v>
      </c>
      <c r="U70" s="245">
        <v>0.45</v>
      </c>
      <c r="V70" s="55"/>
      <c r="W70" s="54">
        <f t="shared" si="4"/>
        <v>204.00000000000048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-647.76470588235543</v>
      </c>
      <c r="AG70" s="246">
        <f>N70/K70</f>
        <v>0.60405580325039399</v>
      </c>
      <c r="AH70" s="380">
        <f>AG79</f>
        <v>0.59292877970865054</v>
      </c>
    </row>
    <row r="71" spans="1:36" ht="15" customHeight="1">
      <c r="A71" s="390"/>
      <c r="B71" s="75" t="s">
        <v>81</v>
      </c>
      <c r="C71" s="76"/>
      <c r="D71" s="59" t="s">
        <v>140</v>
      </c>
      <c r="E71" s="77"/>
      <c r="F71" s="75">
        <f>VLOOKUP(D71,廠價表!$C$1:$E$43,3,0)</f>
        <v>43.89</v>
      </c>
      <c r="G71" s="30">
        <v>1122</v>
      </c>
      <c r="H71" s="254">
        <f>F71*G71</f>
        <v>49244.58</v>
      </c>
      <c r="I71" s="182"/>
      <c r="J71" s="106">
        <f>VLOOKUP(D71,產線配置圖!$A$3:$C$40,2,0)</f>
        <v>13</v>
      </c>
      <c r="K71" s="107">
        <f>VLOOKUP(D71,產線配置圖!$A$3:$C$40,3,0)</f>
        <v>1565</v>
      </c>
      <c r="L71" s="238">
        <f>K71/J71</f>
        <v>120.38461538461539</v>
      </c>
      <c r="M71" s="82">
        <v>8</v>
      </c>
      <c r="N71" s="107">
        <f>G71/W71*60</f>
        <v>909.72972972974583</v>
      </c>
      <c r="O71" s="238">
        <f>N71/M71</f>
        <v>113.71621621621823</v>
      </c>
      <c r="P71" s="111">
        <f>M71-J71</f>
        <v>-5</v>
      </c>
      <c r="Q71" s="255">
        <f>O71-L71</f>
        <v>-6.6683991683971584</v>
      </c>
      <c r="R71" s="85">
        <f>O71/L71</f>
        <v>0.94460754684398529</v>
      </c>
      <c r="S71" s="393"/>
      <c r="T71" s="22">
        <v>0.45555555555555599</v>
      </c>
      <c r="U71" s="22">
        <v>0.50694444444444398</v>
      </c>
      <c r="V71" s="30">
        <f>(T71-U70)*24*60</f>
        <v>8.0000000000006111</v>
      </c>
      <c r="W71" s="73">
        <f t="shared" si="4"/>
        <v>73.999999999998693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30">AVERAGE(J70:J78)</f>
        <v>12</v>
      </c>
      <c r="K79" s="240">
        <f t="shared" si="30"/>
        <v>1600.5</v>
      </c>
      <c r="L79" s="268">
        <f t="shared" si="30"/>
        <v>134.55594405594405</v>
      </c>
      <c r="M79" s="240">
        <f t="shared" si="30"/>
        <v>7.5</v>
      </c>
      <c r="N79" s="240">
        <f t="shared" si="30"/>
        <v>948.98251192369526</v>
      </c>
      <c r="O79" s="268">
        <f t="shared" si="30"/>
        <v>127.44634340222657</v>
      </c>
      <c r="P79" s="269">
        <f>M79-J79</f>
        <v>-4.5</v>
      </c>
      <c r="Q79" s="222">
        <f>N79-K79</f>
        <v>-651.51748807630474</v>
      </c>
      <c r="R79" s="223">
        <f>O79/L79</f>
        <v>0.94716249286793652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-651.51748807630474</v>
      </c>
      <c r="AG79" s="124">
        <f>N79/K79</f>
        <v>0.59292877970865054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247" priority="1" operator="greaterThan">
      <formula>0</formula>
    </cfRule>
  </conditionalFormatting>
  <conditionalFormatting sqref="Q5:Q79 AF5:AF79">
    <cfRule type="cellIs" dxfId="246" priority="4" operator="lessThan">
      <formula>0</formula>
    </cfRule>
  </conditionalFormatting>
  <conditionalFormatting sqref="R5:R79 AG5:AG79">
    <cfRule type="cellIs" dxfId="245" priority="2" operator="greaterThan">
      <formula>1</formula>
    </cfRule>
    <cfRule type="cellIs" dxfId="244" priority="3" operator="lessThan">
      <formula>0.8</formula>
    </cfRule>
  </conditionalFormatting>
  <conditionalFormatting sqref="S5:S10 S37:S62 AH59:AH62 S69:S76 AH69:AH76">
    <cfRule type="cellIs" dxfId="243" priority="7" operator="lessThan">
      <formula>0.8</formula>
    </cfRule>
  </conditionalFormatting>
  <conditionalFormatting sqref="S19:S25 AH19:AH25">
    <cfRule type="cellIs" dxfId="242" priority="6" operator="lessThan">
      <formula>0.8</formula>
    </cfRule>
  </conditionalFormatting>
  <conditionalFormatting sqref="S79">
    <cfRule type="cellIs" dxfId="241" priority="5" operator="lessThan">
      <formula>0.8</formula>
    </cfRule>
  </conditionalFormatting>
  <conditionalFormatting sqref="AH5:AH8 S15:S16 AH15:AH16 AH49 AH79">
    <cfRule type="cellIs" dxfId="240" priority="9" operator="lessThan">
      <formula>0.8</formula>
    </cfRule>
  </conditionalFormatting>
  <conditionalFormatting sqref="AH27 S27:S28">
    <cfRule type="cellIs" dxfId="23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EDE6F-0053-47AE-88A6-E11EBE26467D}">
  <dimension ref="B1:O26"/>
  <sheetViews>
    <sheetView topLeftCell="B1" zoomScale="70" zoomScaleNormal="70" workbookViewId="0">
      <selection activeCell="N23" sqref="N2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46272</v>
      </c>
      <c r="E3" s="504"/>
      <c r="F3" s="3" t="s">
        <v>72</v>
      </c>
      <c r="G3" s="505">
        <f>'0907'!E1</f>
        <v>61066</v>
      </c>
      <c r="H3" s="505"/>
      <c r="I3" s="3" t="s">
        <v>2</v>
      </c>
      <c r="J3" s="506">
        <f>'0907'!G1</f>
        <v>2833451.1180000002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129.41152593904695</v>
      </c>
      <c r="G6" s="501"/>
      <c r="H6" s="502">
        <f>AVERAGE(D13:H13)</f>
        <v>127.16353336206278</v>
      </c>
      <c r="I6" s="502"/>
      <c r="J6" s="502">
        <f>AVERAGE(I13:J13)</f>
        <v>135.03150738150737</v>
      </c>
      <c r="K6" s="502"/>
      <c r="L6" s="492">
        <f>'0907'!Z2</f>
        <v>0</v>
      </c>
      <c r="M6" s="493">
        <f>'0907'!AA2</f>
        <v>0</v>
      </c>
      <c r="N6" s="494">
        <f>'0907'!AD2</f>
        <v>0</v>
      </c>
      <c r="O6" s="493">
        <f>'0907'!AE2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118.89874797030794</v>
      </c>
      <c r="G7" s="490"/>
      <c r="H7" s="491">
        <f>AVERAGE(D14:H14)</f>
        <v>117.4123885725725</v>
      </c>
      <c r="I7" s="491"/>
      <c r="J7" s="491">
        <f>AVERAGE(I14:J14)</f>
        <v>122.61464646464657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0.9173074825241665</v>
      </c>
      <c r="G8" s="496"/>
      <c r="H8" s="496">
        <f>AVERAGE(D15:H15)</f>
        <v>0.92097233115810506</v>
      </c>
      <c r="I8" s="496"/>
      <c r="J8" s="496">
        <f>AVERAGE(I15:J15)</f>
        <v>0.90814536093932019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VALUE('0907'!L15)</f>
        <v>163.80494505494505</v>
      </c>
      <c r="E13" s="13">
        <f>VALUE('0907'!L26)</f>
        <v>171.42857142857142</v>
      </c>
      <c r="F13" s="13">
        <f>VALUE('0907'!L37)</f>
        <v>101.25217864923748</v>
      </c>
      <c r="G13" s="13">
        <f>VALUE('0907'!L48)</f>
        <v>96.300925925925924</v>
      </c>
      <c r="H13" s="13">
        <f>VALUE('0907'!L58)</f>
        <v>103.031045751634</v>
      </c>
      <c r="I13" s="13">
        <f>VALUE('0907'!L69)</f>
        <v>135.50707070707071</v>
      </c>
      <c r="J13" s="13">
        <f>'0907'!L79</f>
        <v>134.55594405594405</v>
      </c>
    </row>
    <row r="14" spans="2:15" ht="39.950000000000003" customHeight="1">
      <c r="B14" s="484"/>
      <c r="C14" s="12" t="s">
        <v>100</v>
      </c>
      <c r="D14" s="13">
        <f>VALUE('0907'!O15)</f>
        <v>155.08578536725378</v>
      </c>
      <c r="E14" s="13">
        <f>VALUE('0907'!O26)</f>
        <v>157.68940070190948</v>
      </c>
      <c r="F14" s="13">
        <f>VALUE('0907'!O37)</f>
        <v>91.833828849265444</v>
      </c>
      <c r="G14" s="13">
        <f>VALUE('0907'!O48)</f>
        <v>89.04651162790708</v>
      </c>
      <c r="H14" s="13">
        <f>VALUE('0907'!O58)</f>
        <v>93.406416316526673</v>
      </c>
      <c r="I14" s="13">
        <f>VALUE('0907'!O69)</f>
        <v>119.18762626262617</v>
      </c>
      <c r="J14" s="13">
        <f>'0907'!O79</f>
        <v>126.04166666666697</v>
      </c>
    </row>
    <row r="15" spans="2:15" ht="39.950000000000003" customHeight="1">
      <c r="B15" s="485"/>
      <c r="C15" s="10" t="s">
        <v>26</v>
      </c>
      <c r="D15" s="14">
        <f t="shared" ref="D15:I15" si="0">D14/D13</f>
        <v>0.94677108383531028</v>
      </c>
      <c r="E15" s="14">
        <f t="shared" si="0"/>
        <v>0.91985483742780538</v>
      </c>
      <c r="F15" s="14">
        <f t="shared" si="0"/>
        <v>0.90698126276769286</v>
      </c>
      <c r="G15" s="14">
        <f t="shared" si="0"/>
        <v>0.924669319341759</v>
      </c>
      <c r="H15" s="14">
        <f t="shared" si="0"/>
        <v>0.90658515241795767</v>
      </c>
      <c r="I15" s="14">
        <f t="shared" si="0"/>
        <v>0.87956758005844049</v>
      </c>
      <c r="J15" s="15">
        <f>'0907'!S70</f>
        <v>0.93672314182019989</v>
      </c>
    </row>
    <row r="16" spans="2:15" ht="17.25" customHeight="1">
      <c r="B16" s="486" t="s">
        <v>101</v>
      </c>
      <c r="C16" s="10" t="s">
        <v>34</v>
      </c>
      <c r="D16" s="16">
        <f>'0907'!T5</f>
        <v>0.29861111111111099</v>
      </c>
      <c r="E16" s="16">
        <f>'0907'!T16</f>
        <v>0.296527777777778</v>
      </c>
      <c r="F16" s="16">
        <f>'0907'!T27</f>
        <v>0.29166666666666702</v>
      </c>
      <c r="G16" s="16">
        <f>'0907'!T38</f>
        <v>0.33333333333333298</v>
      </c>
      <c r="H16" s="16">
        <f>'0907'!T49</f>
        <v>0.29166666666666702</v>
      </c>
      <c r="I16" s="16">
        <f>'0907'!T59</f>
        <v>0.29166666666666702</v>
      </c>
      <c r="J16" s="17">
        <f>'0907'!T70</f>
        <v>0.29166666666666702</v>
      </c>
    </row>
    <row r="17" spans="2:10" ht="17.25" customHeight="1">
      <c r="B17" s="487"/>
      <c r="C17" s="10" t="s">
        <v>35</v>
      </c>
      <c r="D17" s="16">
        <v>0.61111111111111105</v>
      </c>
      <c r="E17" s="183">
        <v>0.64236111111111105</v>
      </c>
      <c r="F17" s="19">
        <v>0.56597222222222199</v>
      </c>
      <c r="G17" s="328">
        <v>0.59722222222222199</v>
      </c>
      <c r="H17" s="21">
        <v>0.67013888888888895</v>
      </c>
      <c r="I17" s="110">
        <v>0.49305555555555602</v>
      </c>
      <c r="J17" s="22">
        <v>0.48958333333333298</v>
      </c>
    </row>
    <row r="18" spans="2:10" ht="17.25" customHeight="1">
      <c r="B18" s="488" t="s">
        <v>102</v>
      </c>
      <c r="C18" s="330" t="s">
        <v>36</v>
      </c>
      <c r="D18" s="359">
        <f>'0907'!Z15</f>
        <v>0</v>
      </c>
      <c r="E18" s="360">
        <f>'0907'!Z26</f>
        <v>0</v>
      </c>
      <c r="F18" s="360">
        <f>'0907'!Z37</f>
        <v>0</v>
      </c>
      <c r="G18" s="361">
        <f>'0907'!Z48</f>
        <v>0</v>
      </c>
      <c r="H18" s="361">
        <f>'0907'!Z58</f>
        <v>0</v>
      </c>
      <c r="I18" s="360">
        <f>'0907'!Z69</f>
        <v>0</v>
      </c>
      <c r="J18" s="360">
        <f>'0907'!AA79</f>
        <v>0</v>
      </c>
    </row>
    <row r="19" spans="2:10" ht="17.25" customHeight="1">
      <c r="B19" s="489"/>
      <c r="C19" s="330" t="s">
        <v>37</v>
      </c>
      <c r="D19" s="359">
        <f>'0907'!AA15</f>
        <v>0</v>
      </c>
      <c r="E19" s="360">
        <f>'0907'!AA26</f>
        <v>0</v>
      </c>
      <c r="F19" s="360">
        <f>'0907'!AA37</f>
        <v>0</v>
      </c>
      <c r="G19" s="361">
        <f>'0907'!AA48</f>
        <v>0</v>
      </c>
      <c r="H19" s="361">
        <f>'0907'!AA58</f>
        <v>0</v>
      </c>
      <c r="I19" s="360">
        <f>'0907'!AA69</f>
        <v>0</v>
      </c>
      <c r="J19" s="360">
        <f>'0907'!AB79</f>
        <v>0</v>
      </c>
    </row>
    <row r="20" spans="2:10" ht="17.25" customHeight="1">
      <c r="B20" s="488" t="s">
        <v>103</v>
      </c>
      <c r="C20" s="330" t="s">
        <v>36</v>
      </c>
      <c r="D20" s="359">
        <f>'0907'!AD15</f>
        <v>0</v>
      </c>
      <c r="E20" s="360">
        <f>'0907'!AD26</f>
        <v>0</v>
      </c>
      <c r="F20" s="360">
        <f>'0907'!AD37</f>
        <v>0</v>
      </c>
      <c r="G20" s="361">
        <f>'0907'!AD48</f>
        <v>0</v>
      </c>
      <c r="H20" s="361">
        <f>'0907'!AD58</f>
        <v>0</v>
      </c>
      <c r="I20" s="360">
        <f>'0907'!AD69</f>
        <v>0</v>
      </c>
      <c r="J20" s="360">
        <f>'0907'!AD79</f>
        <v>0</v>
      </c>
    </row>
    <row r="21" spans="2:10" ht="17.25" customHeight="1">
      <c r="B21" s="489"/>
      <c r="C21" s="330" t="s">
        <v>85</v>
      </c>
      <c r="D21" s="359">
        <f>'0907'!AE15</f>
        <v>0</v>
      </c>
      <c r="E21" s="360">
        <f>'0907'!AE26</f>
        <v>0</v>
      </c>
      <c r="F21" s="360">
        <f>'0907'!AE37</f>
        <v>0</v>
      </c>
      <c r="G21" s="361">
        <f>'0907'!AE48</f>
        <v>0</v>
      </c>
      <c r="H21" s="361">
        <f>'0907'!AE58</f>
        <v>0</v>
      </c>
      <c r="I21" s="360">
        <f>'0907'!AE69</f>
        <v>0</v>
      </c>
      <c r="J21" s="360">
        <f>'0907'!AE79</f>
        <v>0</v>
      </c>
    </row>
    <row r="22" spans="2:10" ht="17.25" customHeight="1">
      <c r="B22" s="471" t="s">
        <v>104</v>
      </c>
      <c r="C22" s="472"/>
      <c r="D22" s="23">
        <f>VALUE('0907'!M15)</f>
        <v>13.75</v>
      </c>
      <c r="E22" s="23">
        <f>VALUE('0907'!M26)</f>
        <v>13</v>
      </c>
      <c r="F22" s="23">
        <f>VALUE('0907'!M37)</f>
        <v>17</v>
      </c>
      <c r="G22" s="23">
        <f>VALUE('0907'!M48)</f>
        <v>17.333333333333332</v>
      </c>
      <c r="H22" s="23">
        <f>VALUE('0907'!M58)</f>
        <v>16.75</v>
      </c>
      <c r="I22" s="23">
        <f>VALUE('0907'!M69)</f>
        <v>12.333333333333334</v>
      </c>
      <c r="J22" s="23">
        <f>'0907'!M79</f>
        <v>8.5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23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B3A2B-1396-4391-BA52-418B6A668A9F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Y65" sqref="X7:Y65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61066</v>
      </c>
      <c r="F1" s="30" t="s">
        <v>2</v>
      </c>
      <c r="G1" s="31">
        <f>SUM(H5:H79)</f>
        <v>2833451.1180000002</v>
      </c>
      <c r="H1" s="32" t="s">
        <v>3</v>
      </c>
      <c r="I1" s="33">
        <f>M15+M26+M48+M58+M69+M79+M37</f>
        <v>98.666666666666657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156</v>
      </c>
      <c r="B2" s="462"/>
      <c r="C2" s="28"/>
      <c r="D2" s="28" t="s">
        <v>14</v>
      </c>
      <c r="E2" s="35">
        <f>AVERAGE(O15,O26,O37,O48,O58,O69,O79)</f>
        <v>118.89874797030794</v>
      </c>
      <c r="F2" s="36" t="s">
        <v>15</v>
      </c>
      <c r="G2" s="37">
        <f>G1/E1</f>
        <v>46.399815249074777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0</v>
      </c>
      <c r="AA2" s="339">
        <f>AA15+AA26+AA37+AA48+AA58+AA69+AA79</f>
        <v>0</v>
      </c>
      <c r="AB2" s="433"/>
      <c r="AC2" s="433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2395</v>
      </c>
      <c r="H5" s="43">
        <f>F5*G5</f>
        <v>136203.65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2144.7761194029749</v>
      </c>
      <c r="O5" s="47">
        <f>N5/M5</f>
        <v>153.19829424306963</v>
      </c>
      <c r="P5" s="49">
        <f>M5-J5</f>
        <v>0</v>
      </c>
      <c r="Q5" s="50">
        <f>O5-L5</f>
        <v>-7.5159914712160969</v>
      </c>
      <c r="R5" s="51">
        <f>O5/L5</f>
        <v>0.95323383084576652</v>
      </c>
      <c r="S5" s="392">
        <f>R15</f>
        <v>0.94677108383531028</v>
      </c>
      <c r="T5" s="319">
        <v>0.29861111111111099</v>
      </c>
      <c r="U5" s="320">
        <v>0.34513888888888899</v>
      </c>
      <c r="V5" s="53"/>
      <c r="W5" s="54">
        <f t="shared" ref="W5:W14" si="0">(U5-T5)*24*60</f>
        <v>67.000000000000327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-105.22388059702507</v>
      </c>
      <c r="AG5" s="52">
        <f t="shared" ref="AG5:AG11" si="2">N5/K5</f>
        <v>0.95323383084576663</v>
      </c>
      <c r="AH5" s="380">
        <f>AG15</f>
        <v>0.94652918941876008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2950</v>
      </c>
      <c r="H6" s="63">
        <f>F6*G6</f>
        <v>171601.5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2158.5365853658336</v>
      </c>
      <c r="O6" s="67">
        <f>N6/M6</f>
        <v>166.04127579737181</v>
      </c>
      <c r="P6" s="69">
        <f>M6-J6</f>
        <v>0</v>
      </c>
      <c r="Q6" s="70">
        <f>O6-L6</f>
        <v>-7.0356472795512559</v>
      </c>
      <c r="R6" s="71">
        <f>O6/L6</f>
        <v>0.95934959349592608</v>
      </c>
      <c r="S6" s="393"/>
      <c r="T6" s="16">
        <v>0.35486111111111102</v>
      </c>
      <c r="U6" s="16">
        <v>0.41180555555555598</v>
      </c>
      <c r="V6" s="30">
        <f>(T6-U5)*24*60</f>
        <v>13.99999999999971</v>
      </c>
      <c r="W6" s="73">
        <f t="shared" si="0"/>
        <v>82.000000000000753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-91.463414634166384</v>
      </c>
      <c r="AG6" s="72">
        <f t="shared" si="2"/>
        <v>0.95934959349592608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2751</v>
      </c>
      <c r="H7" s="78">
        <f>F7*G7</f>
        <v>135184.14000000001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2063.2500000000214</v>
      </c>
      <c r="O7" s="81">
        <f>N7/M7</f>
        <v>147.37500000000153</v>
      </c>
      <c r="P7" s="74">
        <f>M7-J7</f>
        <v>0</v>
      </c>
      <c r="Q7" s="83">
        <f>O7-L7</f>
        <v>-13.339285714284188</v>
      </c>
      <c r="R7" s="72">
        <f>O7/L7</f>
        <v>0.91700000000000947</v>
      </c>
      <c r="S7" s="393"/>
      <c r="T7" s="18">
        <v>0.42013888888888901</v>
      </c>
      <c r="U7" s="18">
        <v>0.47569444444444398</v>
      </c>
      <c r="V7" s="30">
        <f>(T7-U6)*24*60</f>
        <v>11.999999999999558</v>
      </c>
      <c r="W7" s="73">
        <f t="shared" si="0"/>
        <v>79.999999999999162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-186.74999999997863</v>
      </c>
      <c r="AG7" s="72">
        <f t="shared" si="2"/>
        <v>0.91700000000000947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3587</v>
      </c>
      <c r="H8" s="63">
        <f>F8*G8</f>
        <v>176265.18</v>
      </c>
      <c r="I8" s="64"/>
      <c r="J8" s="65">
        <f>VLOOKUP(D8,產線配置圖!$A$3:$C$40,2,0)</f>
        <v>14</v>
      </c>
      <c r="K8" s="66">
        <f>VLOOKUP(D8,產線配置圖!$A$3:$C$40,3,0)</f>
        <v>2250</v>
      </c>
      <c r="L8" s="67">
        <f>K8/J8</f>
        <v>160.71428571428572</v>
      </c>
      <c r="M8" s="82">
        <v>14</v>
      </c>
      <c r="N8" s="66">
        <f>G8/W8*60</f>
        <v>2152.2000000000107</v>
      </c>
      <c r="O8" s="67">
        <f>N8/M8</f>
        <v>153.7285714285722</v>
      </c>
      <c r="P8" s="69">
        <f>M8-J8</f>
        <v>0</v>
      </c>
      <c r="Q8" s="70">
        <f>O8-L8</f>
        <v>-6.9857142857135273</v>
      </c>
      <c r="R8" s="71">
        <f>O8/L8</f>
        <v>0.95653333333333801</v>
      </c>
      <c r="S8" s="393"/>
      <c r="T8" s="16">
        <v>0.54166666666666696</v>
      </c>
      <c r="U8" s="16">
        <v>0.61111111111111105</v>
      </c>
      <c r="V8" s="30">
        <f>(T8-U7)*24*60</f>
        <v>95.000000000001108</v>
      </c>
      <c r="W8" s="73">
        <f t="shared" si="0"/>
        <v>99.999999999999488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-97.799999999989268</v>
      </c>
      <c r="AG8" s="72">
        <f t="shared" si="2"/>
        <v>0.95653333333333812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13.75</v>
      </c>
      <c r="K15" s="120">
        <f t="shared" si="3"/>
        <v>2250</v>
      </c>
      <c r="L15" s="117">
        <f t="shared" si="3"/>
        <v>163.80494505494505</v>
      </c>
      <c r="M15" s="120">
        <f t="shared" si="3"/>
        <v>13.75</v>
      </c>
      <c r="N15" s="120">
        <f t="shared" si="3"/>
        <v>2129.69067619221</v>
      </c>
      <c r="O15" s="117">
        <f t="shared" si="3"/>
        <v>155.08578536725378</v>
      </c>
      <c r="P15" s="121">
        <f t="shared" ref="P15:P20" si="4">M15-J15</f>
        <v>0</v>
      </c>
      <c r="Q15" s="122">
        <f t="shared" ref="Q15:Q20" si="5">O15-L15</f>
        <v>-8.719159687691274</v>
      </c>
      <c r="R15" s="123">
        <f t="shared" ref="R15:R20" si="6">O15/L15</f>
        <v>0.94677108383531028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-120.30932380778995</v>
      </c>
      <c r="AG15" s="124">
        <f>N15/K15</f>
        <v>0.94652918941876008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2195</v>
      </c>
      <c r="H16" s="134">
        <f>F16*G16</f>
        <v>124829.65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1965.6716417910352</v>
      </c>
      <c r="O16" s="141">
        <f>N16/M16</f>
        <v>140.40511727078822</v>
      </c>
      <c r="P16" s="142">
        <f t="shared" si="4"/>
        <v>0</v>
      </c>
      <c r="Q16" s="143">
        <f t="shared" si="5"/>
        <v>-20.309168443497498</v>
      </c>
      <c r="R16" s="144">
        <f t="shared" si="6"/>
        <v>0.87363184079601552</v>
      </c>
      <c r="S16" s="420">
        <f>R26</f>
        <v>0.91985483742780538</v>
      </c>
      <c r="T16" s="145">
        <v>0.296527777777778</v>
      </c>
      <c r="U16" s="145">
        <v>0.343055555555556</v>
      </c>
      <c r="V16" s="135"/>
      <c r="W16" s="146">
        <f t="shared" ref="W16:W78" si="7">(U16-T16)*24*60</f>
        <v>67.000000000000327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-284.3283582089648</v>
      </c>
      <c r="AG16" s="52">
        <f>N16/K16</f>
        <v>0.87363184079601564</v>
      </c>
      <c r="AH16" s="380">
        <f>AG26</f>
        <v>0.90587151967435198</v>
      </c>
    </row>
    <row r="17" spans="1:34" ht="15" customHeight="1">
      <c r="A17" s="427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3624</v>
      </c>
      <c r="H17" s="78">
        <f>F17*G17</f>
        <v>183628.08000000002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2174.3999999999833</v>
      </c>
      <c r="O17" s="96">
        <f>N17/M17</f>
        <v>155.31428571428452</v>
      </c>
      <c r="P17" s="97">
        <f t="shared" si="4"/>
        <v>0</v>
      </c>
      <c r="Q17" s="98">
        <f t="shared" si="5"/>
        <v>-5.4000000000011994</v>
      </c>
      <c r="R17" s="99">
        <f t="shared" si="6"/>
        <v>0.96639999999999249</v>
      </c>
      <c r="S17" s="421"/>
      <c r="T17" s="19">
        <v>0.35208333333333303</v>
      </c>
      <c r="U17" s="19">
        <v>0.421527777777778</v>
      </c>
      <c r="V17" s="30">
        <f>(T17-U16)*24*60</f>
        <v>12.999999999998915</v>
      </c>
      <c r="W17" s="149">
        <f t="shared" si="7"/>
        <v>100.00000000000077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-75.600000000016735</v>
      </c>
      <c r="AG17" s="72">
        <f>N17/K17</f>
        <v>0.9663999999999926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2185</v>
      </c>
      <c r="H18" s="78">
        <f>F18*G18</f>
        <v>110102.15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2048.4375000000227</v>
      </c>
      <c r="O18" s="96">
        <f>N18/M18</f>
        <v>170.7031250000019</v>
      </c>
      <c r="P18" s="97">
        <f t="shared" si="4"/>
        <v>0</v>
      </c>
      <c r="Q18" s="98">
        <f t="shared" si="5"/>
        <v>-16.796874999998096</v>
      </c>
      <c r="R18" s="99">
        <f t="shared" si="6"/>
        <v>0.91041666666667687</v>
      </c>
      <c r="S18" s="421"/>
      <c r="T18" s="19">
        <v>0.43125000000000002</v>
      </c>
      <c r="U18" s="19">
        <v>0.47569444444444398</v>
      </c>
      <c r="V18" s="30">
        <f>(T18-U17)*24*60</f>
        <v>13.99999999999971</v>
      </c>
      <c r="W18" s="149">
        <f t="shared" si="7"/>
        <v>63.999999999999289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-201.56249999997726</v>
      </c>
      <c r="AG18" s="72">
        <f>N18/K18</f>
        <v>0.91041666666667675</v>
      </c>
      <c r="AH18" s="382"/>
    </row>
    <row r="19" spans="1:34" ht="15" customHeight="1">
      <c r="A19" s="427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4043</v>
      </c>
      <c r="H19" s="78">
        <f>F19*G19</f>
        <v>203726.77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2205.2727272727225</v>
      </c>
      <c r="O19" s="96">
        <f>N19/M19</f>
        <v>183.77272727272688</v>
      </c>
      <c r="P19" s="97">
        <f t="shared" si="4"/>
        <v>0</v>
      </c>
      <c r="Q19" s="98">
        <f t="shared" si="5"/>
        <v>-3.7272727272731174</v>
      </c>
      <c r="R19" s="99">
        <f t="shared" si="6"/>
        <v>0.98012121212121006</v>
      </c>
      <c r="S19" s="421"/>
      <c r="T19" s="19">
        <v>0.54166666666666696</v>
      </c>
      <c r="U19" s="19">
        <v>0.61805555555555602</v>
      </c>
      <c r="V19" s="30">
        <f>(T19-U18)*24*60</f>
        <v>95.000000000001108</v>
      </c>
      <c r="W19" s="149">
        <f t="shared" si="7"/>
        <v>110.00000000000026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-44.727272727277523</v>
      </c>
      <c r="AG19" s="72">
        <f>N19/K19</f>
        <v>0.98012121212120995</v>
      </c>
      <c r="AH19" s="383"/>
    </row>
    <row r="20" spans="1:34" ht="15" customHeight="1">
      <c r="A20" s="427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659</v>
      </c>
      <c r="H20" s="78">
        <f>F20*G20</f>
        <v>33391.53</v>
      </c>
      <c r="I20" s="30"/>
      <c r="J20" s="79">
        <v>14</v>
      </c>
      <c r="K20" s="80">
        <f>VLOOKUP(D20,產線配置圖!$A$3:$C$40,3,0)</f>
        <v>2250</v>
      </c>
      <c r="L20" s="81">
        <f>K20/J20</f>
        <v>160.71428571428572</v>
      </c>
      <c r="M20" s="148">
        <v>13</v>
      </c>
      <c r="N20" s="95">
        <f>G20/W20*60</f>
        <v>1797.2727272726945</v>
      </c>
      <c r="O20" s="96">
        <f>N20/M20</f>
        <v>138.25174825174574</v>
      </c>
      <c r="P20" s="97">
        <f t="shared" si="4"/>
        <v>-1</v>
      </c>
      <c r="Q20" s="98">
        <f t="shared" si="5"/>
        <v>-22.462537462539984</v>
      </c>
      <c r="R20" s="99">
        <f t="shared" si="6"/>
        <v>0.86023310023308452</v>
      </c>
      <c r="S20" s="421"/>
      <c r="T20" s="19">
        <v>0.62708333333333299</v>
      </c>
      <c r="U20" s="19">
        <v>0.64236111111111105</v>
      </c>
      <c r="V20" s="30">
        <f>(T20-U19)*24*60</f>
        <v>12.999999999998835</v>
      </c>
      <c r="W20" s="149">
        <f t="shared" si="7"/>
        <v>22.000000000000401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9"/>
      <c r="U21" s="19"/>
      <c r="V21" s="30"/>
      <c r="W21" s="149">
        <f t="shared" si="7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7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7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7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8">AVERAGE(J16:J25)</f>
        <v>13.2</v>
      </c>
      <c r="K26" s="155">
        <f t="shared" si="8"/>
        <v>2250</v>
      </c>
      <c r="L26" s="158">
        <f t="shared" si="8"/>
        <v>171.42857142857142</v>
      </c>
      <c r="M26" s="155">
        <f t="shared" si="8"/>
        <v>13</v>
      </c>
      <c r="N26" s="155">
        <f t="shared" si="8"/>
        <v>2038.210919267292</v>
      </c>
      <c r="O26" s="158">
        <f t="shared" si="8"/>
        <v>157.68940070190948</v>
      </c>
      <c r="P26" s="159">
        <f>M26-J26</f>
        <v>-0.19999999999999929</v>
      </c>
      <c r="Q26" s="160">
        <f>O26-L26</f>
        <v>-13.739170726661939</v>
      </c>
      <c r="R26" s="161">
        <f>O26/L26</f>
        <v>0.91985483742780538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9">N26-K26</f>
        <v>-211.78908073270804</v>
      </c>
      <c r="AG26" s="124">
        <f t="shared" ref="AG26:AG31" si="10">N26/K26</f>
        <v>0.90587151967435198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1193</v>
      </c>
      <c r="H27" s="134">
        <f>F27*G27</f>
        <v>59542.63</v>
      </c>
      <c r="I27" s="135"/>
      <c r="J27" s="136">
        <f>VLOOKUP(D27,產線配置圖!$A$3:$C$40,2,0)</f>
        <v>18</v>
      </c>
      <c r="K27" s="137">
        <f>VLOOKUP(D27,產線配置圖!$A$3:$C$40,3,0)</f>
        <v>2250</v>
      </c>
      <c r="L27" s="138">
        <f>K27/J27</f>
        <v>125</v>
      </c>
      <c r="M27" s="170">
        <v>17</v>
      </c>
      <c r="N27" s="140">
        <f>G27/W27*60</f>
        <v>1835.3846153846409</v>
      </c>
      <c r="O27" s="141">
        <f>N27/M27</f>
        <v>107.96380090497888</v>
      </c>
      <c r="P27" s="142">
        <f>M27-J27</f>
        <v>-1</v>
      </c>
      <c r="Q27" s="143">
        <f>O27-L27</f>
        <v>-17.036199095021118</v>
      </c>
      <c r="R27" s="144">
        <f>O27/L27</f>
        <v>0.86371040723983106</v>
      </c>
      <c r="S27" s="420">
        <f>R37</f>
        <v>0.90698126276769286</v>
      </c>
      <c r="T27" s="171">
        <v>0.29166666666666702</v>
      </c>
      <c r="U27" s="171">
        <v>0.31874999999999998</v>
      </c>
      <c r="V27" s="135"/>
      <c r="W27" s="146">
        <f t="shared" si="7"/>
        <v>38.99999999999946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9"/>
        <v>-414.61538461535906</v>
      </c>
      <c r="AG27" s="172">
        <f t="shared" si="10"/>
        <v>0.81572649572650713</v>
      </c>
      <c r="AH27" s="380">
        <f>AG37</f>
        <v>0.89618251575666608</v>
      </c>
    </row>
    <row r="28" spans="1:34" ht="15" customHeight="1">
      <c r="A28" s="418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1345</v>
      </c>
      <c r="H28" s="91">
        <f>F28*G28</f>
        <v>76947.45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1441.0714285714255</v>
      </c>
      <c r="O28" s="96">
        <f>N28/M28</f>
        <v>80.05952380952364</v>
      </c>
      <c r="P28" s="97">
        <f>M28-J28</f>
        <v>0</v>
      </c>
      <c r="Q28" s="98">
        <f>O28-L28</f>
        <v>-10.829365079365246</v>
      </c>
      <c r="R28" s="99">
        <f>O28/L28</f>
        <v>0.88085050646175156</v>
      </c>
      <c r="S28" s="421"/>
      <c r="T28" s="19">
        <v>0.32569444444444401</v>
      </c>
      <c r="U28" s="19">
        <v>0.36458333333333298</v>
      </c>
      <c r="V28" s="92">
        <f>(T28-U27)*24*60</f>
        <v>9.9999999999994049</v>
      </c>
      <c r="W28" s="149">
        <f t="shared" si="7"/>
        <v>56.000000000000121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9"/>
        <v>-194.92857142857451</v>
      </c>
      <c r="AG28" s="99">
        <f t="shared" si="10"/>
        <v>0.88085050646175156</v>
      </c>
      <c r="AH28" s="381"/>
    </row>
    <row r="29" spans="1:34" ht="15" customHeight="1">
      <c r="A29" s="418"/>
      <c r="B29" s="75" t="s">
        <v>81</v>
      </c>
      <c r="C29" s="173"/>
      <c r="D29" s="59" t="s">
        <v>124</v>
      </c>
      <c r="E29" s="104"/>
      <c r="F29" s="75">
        <f>VLOOKUP(D29,廠價表!$C$1:$E$43,3,0)</f>
        <v>46.34</v>
      </c>
      <c r="G29" s="90">
        <v>1149</v>
      </c>
      <c r="H29" s="91">
        <f>F29*G29</f>
        <v>53244.66</v>
      </c>
      <c r="I29" s="92"/>
      <c r="J29" s="79">
        <f>VLOOKUP(D29,產線配置圖!$A$3:$C$40,2,0)</f>
        <v>16</v>
      </c>
      <c r="K29" s="80">
        <f>VLOOKUP(D29,產線配置圖!$A$3:$C$40,3,0)</f>
        <v>1636</v>
      </c>
      <c r="L29" s="93">
        <f>K29/J29</f>
        <v>102.25</v>
      </c>
      <c r="M29" s="94">
        <v>16</v>
      </c>
      <c r="N29" s="95">
        <f t="shared" ref="N29:N32" si="11">G29/W29*60</f>
        <v>1406.9387755101955</v>
      </c>
      <c r="O29" s="96">
        <f t="shared" ref="O29:O32" si="12">N29/M29</f>
        <v>87.933673469387216</v>
      </c>
      <c r="P29" s="97">
        <f t="shared" ref="P29:P32" si="13">M29-J29</f>
        <v>0</v>
      </c>
      <c r="Q29" s="98">
        <f t="shared" ref="Q29:Q32" si="14">O29-L29</f>
        <v>-14.316326530612784</v>
      </c>
      <c r="R29" s="99">
        <f t="shared" ref="R29:R32" si="15">O29/L29</f>
        <v>0.85998702659547399</v>
      </c>
      <c r="S29" s="421"/>
      <c r="T29" s="19">
        <v>0.37083333333333302</v>
      </c>
      <c r="U29" s="19">
        <v>0.40486111111111101</v>
      </c>
      <c r="V29" s="92">
        <f>(T29-U28)*24*60</f>
        <v>9.000000000000048</v>
      </c>
      <c r="W29" s="149">
        <f t="shared" si="7"/>
        <v>49.000000000000306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9"/>
        <v>-229.06122448980454</v>
      </c>
      <c r="AG29" s="99">
        <f t="shared" si="10"/>
        <v>0.85998702659547399</v>
      </c>
      <c r="AH29" s="381"/>
    </row>
    <row r="30" spans="1:34" ht="15" customHeight="1">
      <c r="A30" s="418"/>
      <c r="B30" s="75" t="s">
        <v>81</v>
      </c>
      <c r="C30" s="88"/>
      <c r="D30" s="59" t="s">
        <v>126</v>
      </c>
      <c r="E30" s="89"/>
      <c r="F30" s="75">
        <f>VLOOKUP(D30,廠價表!$C$1:$E$43,3,0)</f>
        <v>45.66</v>
      </c>
      <c r="G30" s="90">
        <v>1450</v>
      </c>
      <c r="H30" s="91">
        <f t="shared" ref="H30:H32" si="16">F30*G30</f>
        <v>66207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2" si="17">K30/J30</f>
        <v>96.235294117647058</v>
      </c>
      <c r="M30" s="94">
        <v>17</v>
      </c>
      <c r="N30" s="95">
        <f t="shared" si="11"/>
        <v>1553.571428571423</v>
      </c>
      <c r="O30" s="96">
        <f t="shared" si="12"/>
        <v>91.386554621848404</v>
      </c>
      <c r="P30" s="97">
        <f t="shared" si="13"/>
        <v>0</v>
      </c>
      <c r="Q30" s="98">
        <f t="shared" si="14"/>
        <v>-4.8487394957986538</v>
      </c>
      <c r="R30" s="99">
        <f t="shared" si="15"/>
        <v>0.94961578763534404</v>
      </c>
      <c r="S30" s="421"/>
      <c r="T30" s="19">
        <v>0.41111111111111098</v>
      </c>
      <c r="U30" s="19">
        <v>0.45</v>
      </c>
      <c r="V30" s="92">
        <f>(T30-U29)*24*60</f>
        <v>8.999999999999968</v>
      </c>
      <c r="W30" s="149">
        <f t="shared" si="7"/>
        <v>56.000000000000199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9"/>
        <v>-82.428571428577015</v>
      </c>
      <c r="AG30" s="99">
        <f t="shared" si="10"/>
        <v>0.94961578763534416</v>
      </c>
      <c r="AH30" s="416"/>
    </row>
    <row r="31" spans="1:34" ht="15" customHeight="1">
      <c r="A31" s="418"/>
      <c r="B31" s="75" t="s">
        <v>81</v>
      </c>
      <c r="C31" s="102"/>
      <c r="D31" s="175" t="s">
        <v>124</v>
      </c>
      <c r="E31" s="176"/>
      <c r="F31" s="75">
        <f>VLOOKUP(D31,廠價表!$C$1:$E$43,3,0)</f>
        <v>46.34</v>
      </c>
      <c r="G31" s="90">
        <v>1200</v>
      </c>
      <c r="H31" s="91">
        <f t="shared" si="16"/>
        <v>55608.000000000007</v>
      </c>
      <c r="I31" s="92"/>
      <c r="J31" s="79">
        <f>VLOOKUP(D31,產線配置圖!$A$3:$C$40,2,0)</f>
        <v>16</v>
      </c>
      <c r="K31" s="80">
        <f>VLOOKUP(D31,產線配置圖!$A$3:$C$40,3,0)</f>
        <v>1636</v>
      </c>
      <c r="L31" s="93">
        <f t="shared" si="17"/>
        <v>102.25</v>
      </c>
      <c r="M31" s="94">
        <v>16</v>
      </c>
      <c r="N31" s="95">
        <f t="shared" si="11"/>
        <v>1565.2173913043207</v>
      </c>
      <c r="O31" s="96">
        <f t="shared" si="12"/>
        <v>97.826086956520044</v>
      </c>
      <c r="P31" s="97">
        <f t="shared" si="13"/>
        <v>0</v>
      </c>
      <c r="Q31" s="98">
        <f t="shared" si="14"/>
        <v>-4.4239130434799563</v>
      </c>
      <c r="R31" s="99">
        <f t="shared" si="15"/>
        <v>0.95673434676303226</v>
      </c>
      <c r="S31" s="421"/>
      <c r="T31" s="19">
        <v>0.51736111111111105</v>
      </c>
      <c r="U31" s="19">
        <v>0.54930555555555605</v>
      </c>
      <c r="V31" s="92">
        <f>(T31-U30)*24*60</f>
        <v>96.999999999999901</v>
      </c>
      <c r="W31" s="149">
        <f t="shared" si="7"/>
        <v>46.000000000000796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9"/>
        <v>-70.782608695679301</v>
      </c>
      <c r="AG31" s="99">
        <f t="shared" si="10"/>
        <v>0.95673434676303226</v>
      </c>
      <c r="AH31" s="383"/>
    </row>
    <row r="32" spans="1:34" ht="15" customHeight="1">
      <c r="A32" s="418"/>
      <c r="B32" s="75" t="s">
        <v>81</v>
      </c>
      <c r="C32" s="177"/>
      <c r="D32" s="59" t="s">
        <v>123</v>
      </c>
      <c r="E32" s="178"/>
      <c r="F32" s="75">
        <f>VLOOKUP(D32,廠價表!$C$1:$E$43,3,0)</f>
        <v>57.21</v>
      </c>
      <c r="G32" s="90">
        <v>412</v>
      </c>
      <c r="H32" s="91">
        <f t="shared" si="16"/>
        <v>23570.52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17"/>
        <v>90.888888888888886</v>
      </c>
      <c r="M32" s="94">
        <v>18</v>
      </c>
      <c r="N32" s="95">
        <f t="shared" si="11"/>
        <v>1545.0000000000209</v>
      </c>
      <c r="O32" s="96">
        <f t="shared" si="12"/>
        <v>85.833333333334494</v>
      </c>
      <c r="P32" s="97">
        <f t="shared" si="13"/>
        <v>0</v>
      </c>
      <c r="Q32" s="98">
        <f t="shared" si="14"/>
        <v>-5.0555555555543918</v>
      </c>
      <c r="R32" s="99">
        <f t="shared" si="15"/>
        <v>0.94437652811737216</v>
      </c>
      <c r="S32" s="421"/>
      <c r="T32" s="19">
        <v>0.55486111111111103</v>
      </c>
      <c r="U32" s="19">
        <v>0.56597222222222199</v>
      </c>
      <c r="V32" s="92">
        <f>(T32-U31)*24*60</f>
        <v>7.9999999999991722</v>
      </c>
      <c r="W32" s="149">
        <f t="shared" si="7"/>
        <v>15.999999999999783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9"/>
      <c r="U33" s="19"/>
      <c r="V33" s="92"/>
      <c r="W33" s="149">
        <f t="shared" si="7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9"/>
      <c r="U34" s="19"/>
      <c r="V34" s="92"/>
      <c r="W34" s="149">
        <f t="shared" si="7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7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7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18">AVERAGE(J27:J36)</f>
        <v>17.166666666666668</v>
      </c>
      <c r="K37" s="155">
        <f t="shared" si="18"/>
        <v>1738.3333333333333</v>
      </c>
      <c r="L37" s="158">
        <f t="shared" si="18"/>
        <v>101.25217864923748</v>
      </c>
      <c r="M37" s="155">
        <f t="shared" si="18"/>
        <v>17</v>
      </c>
      <c r="N37" s="155">
        <f t="shared" si="18"/>
        <v>1557.8639398903379</v>
      </c>
      <c r="O37" s="158">
        <f t="shared" si="18"/>
        <v>91.833828849265444</v>
      </c>
      <c r="P37" s="159">
        <f>M37-J37</f>
        <v>-0.16666666666666785</v>
      </c>
      <c r="Q37" s="160">
        <f>N37-K37</f>
        <v>-180.4693934429954</v>
      </c>
      <c r="R37" s="161">
        <f>O37/L37</f>
        <v>0.90698126276769286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-180.4693934429954</v>
      </c>
      <c r="AG37" s="124">
        <f>N37/K37</f>
        <v>0.89618251575666608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3274</v>
      </c>
      <c r="H38" s="134">
        <f>F38*G38</f>
        <v>163405.34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1455.1111111111113</v>
      </c>
      <c r="O38" s="141">
        <f>N38/M38</f>
        <v>90.944444444444457</v>
      </c>
      <c r="P38" s="142">
        <f>M38-J38</f>
        <v>0</v>
      </c>
      <c r="Q38" s="143">
        <f>O38-L38</f>
        <v>-16.180555555555543</v>
      </c>
      <c r="R38" s="144">
        <f>O38/L38</f>
        <v>0.8489563075327371</v>
      </c>
      <c r="S38" s="410">
        <f>R48</f>
        <v>0.924669319341759</v>
      </c>
      <c r="T38" s="191">
        <v>0.33333333333333298</v>
      </c>
      <c r="U38" s="191">
        <v>0.42708333333333298</v>
      </c>
      <c r="V38" s="192"/>
      <c r="W38" s="193">
        <f t="shared" si="7"/>
        <v>135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-258.88888888888869</v>
      </c>
      <c r="AG38" s="195">
        <f>N38/K38</f>
        <v>0.8489563075327371</v>
      </c>
      <c r="AH38" s="413">
        <f>AG48</f>
        <v>0.92792273145168347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2274</v>
      </c>
      <c r="H39" s="91">
        <f>F39*G39</f>
        <v>100738.2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1586.5116279069557</v>
      </c>
      <c r="O39" s="203">
        <f>N39/M39</f>
        <v>88.139534883719762</v>
      </c>
      <c r="P39" s="97">
        <f>M39-J39</f>
        <v>0</v>
      </c>
      <c r="Q39" s="98">
        <f>O39-L39</f>
        <v>-2.7493540051691241</v>
      </c>
      <c r="R39" s="99">
        <f>O39/L39</f>
        <v>0.96975038380620771</v>
      </c>
      <c r="S39" s="411"/>
      <c r="T39" s="20">
        <v>0.43333333333333302</v>
      </c>
      <c r="U39" s="20">
        <v>0.49305555555555602</v>
      </c>
      <c r="V39" s="92">
        <f>(T39-U38)*24*60</f>
        <v>9.000000000000048</v>
      </c>
      <c r="W39" s="205">
        <f t="shared" si="7"/>
        <v>86.000000000001137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-49.488372093044291</v>
      </c>
      <c r="AG39" s="206">
        <f>N39/K39</f>
        <v>0.96975038380620759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1585</v>
      </c>
      <c r="H40" s="91">
        <f>F40*G40</f>
        <v>70215.5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1585.0000000000268</v>
      </c>
      <c r="O40" s="203">
        <f>N40/M40</f>
        <v>88.055555555557049</v>
      </c>
      <c r="P40" s="97">
        <f>M40-J40</f>
        <v>0</v>
      </c>
      <c r="Q40" s="98">
        <f>O40-L40</f>
        <v>-2.8333333333318365</v>
      </c>
      <c r="R40" s="99">
        <f>O40/L40</f>
        <v>0.96882640586798718</v>
      </c>
      <c r="S40" s="393"/>
      <c r="T40" s="20">
        <v>0.55555555555555602</v>
      </c>
      <c r="U40" s="20">
        <v>0.59722222222222199</v>
      </c>
      <c r="V40" s="92">
        <f>(T40-U39)*24*60</f>
        <v>90</v>
      </c>
      <c r="W40" s="205">
        <f t="shared" si="7"/>
        <v>59.999999999998991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-50.99999999997317</v>
      </c>
      <c r="AG40" s="206">
        <f>N40/K40</f>
        <v>0.96882640586798707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7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7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19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19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19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19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19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20">AVERAGE(J38:J47)</f>
        <v>17.333333333333332</v>
      </c>
      <c r="K48" s="155">
        <f t="shared" si="20"/>
        <v>1662</v>
      </c>
      <c r="L48" s="158">
        <f t="shared" si="20"/>
        <v>96.300925925925924</v>
      </c>
      <c r="M48" s="155">
        <f t="shared" si="20"/>
        <v>17.333333333333332</v>
      </c>
      <c r="N48" s="155">
        <f t="shared" si="20"/>
        <v>1542.2075796726979</v>
      </c>
      <c r="O48" s="158">
        <f t="shared" si="20"/>
        <v>89.04651162790708</v>
      </c>
      <c r="P48" s="221">
        <f>M48-J48</f>
        <v>0</v>
      </c>
      <c r="Q48" s="222">
        <f>N48-K48</f>
        <v>-119.79242032730212</v>
      </c>
      <c r="R48" s="223">
        <f>O48/L48</f>
        <v>0.924669319341759</v>
      </c>
      <c r="S48" s="396"/>
      <c r="T48" s="224"/>
      <c r="U48" s="224"/>
      <c r="V48" s="225"/>
      <c r="W48" s="226">
        <f t="shared" si="19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21">N48-K48</f>
        <v>-119.79242032730212</v>
      </c>
      <c r="AG48" s="162">
        <f t="shared" ref="AG48:AG53" si="22">N48/K48</f>
        <v>0.92792273145168347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2632</v>
      </c>
      <c r="H49" s="134">
        <f>F49*G49</f>
        <v>132360.64800000002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1579.2000000000107</v>
      </c>
      <c r="O49" s="141">
        <f>N49/M49</f>
        <v>92.89411764705946</v>
      </c>
      <c r="P49" s="229">
        <f>M49-J49</f>
        <v>0</v>
      </c>
      <c r="Q49" s="230">
        <f>O49-L49</f>
        <v>-3.3411764705875981</v>
      </c>
      <c r="R49" s="52">
        <f>O49/L49</f>
        <v>0.96528117359413868</v>
      </c>
      <c r="S49" s="392">
        <f>R58</f>
        <v>0.90658515241795767</v>
      </c>
      <c r="T49" s="191">
        <v>0.29166666666666702</v>
      </c>
      <c r="U49" s="191">
        <v>0.36111111111111099</v>
      </c>
      <c r="V49" s="55"/>
      <c r="W49" s="193">
        <f t="shared" si="7"/>
        <v>99.999999999999318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21"/>
        <v>-56.799999999989268</v>
      </c>
      <c r="AG49" s="52">
        <f t="shared" si="22"/>
        <v>0.96528117359413856</v>
      </c>
      <c r="AH49" s="380">
        <f>AG58</f>
        <v>0.90587477132878802</v>
      </c>
    </row>
    <row r="50" spans="1:34" ht="15" customHeight="1">
      <c r="A50" s="405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3639</v>
      </c>
      <c r="H50" s="231">
        <f>F50*G50</f>
        <v>181840.83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1559.5714285714314</v>
      </c>
      <c r="O50" s="235">
        <f>N50/M50</f>
        <v>97.473214285714462</v>
      </c>
      <c r="P50" s="74">
        <f>M50-J50</f>
        <v>0</v>
      </c>
      <c r="Q50" s="83">
        <f>O50-L50</f>
        <v>-15.026785714285538</v>
      </c>
      <c r="R50" s="72">
        <f>O50/L50</f>
        <v>0.86642857142857299</v>
      </c>
      <c r="S50" s="393"/>
      <c r="T50" s="21">
        <v>0.36666666666666697</v>
      </c>
      <c r="U50" s="21">
        <v>0.46388888888888902</v>
      </c>
      <c r="V50" s="30">
        <f>(T50-U49)*24*60</f>
        <v>8.0000000000006111</v>
      </c>
      <c r="W50" s="236">
        <f t="shared" si="7"/>
        <v>139.99999999999974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21"/>
        <v>-240.4285714285686</v>
      </c>
      <c r="AG50" s="72">
        <f t="shared" si="22"/>
        <v>0.86642857142857299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2547</v>
      </c>
      <c r="H51" s="231">
        <f>F51*G51</f>
        <v>127273.59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1698</v>
      </c>
      <c r="O51" s="235">
        <f>N51/M51</f>
        <v>106.125</v>
      </c>
      <c r="P51" s="74">
        <f>M51-J51</f>
        <v>0</v>
      </c>
      <c r="Q51" s="83">
        <f>O51-L51</f>
        <v>-6.375</v>
      </c>
      <c r="R51" s="72">
        <f>O51/L51</f>
        <v>0.94333333333333336</v>
      </c>
      <c r="S51" s="393"/>
      <c r="T51" s="21">
        <v>0.52430555555555602</v>
      </c>
      <c r="U51" s="19">
        <v>0.58680555555555602</v>
      </c>
      <c r="V51" s="30">
        <f>(T51-U50)*24*60</f>
        <v>87.000000000000483</v>
      </c>
      <c r="W51" s="236">
        <f t="shared" si="7"/>
        <v>90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21"/>
        <v>-102</v>
      </c>
      <c r="AG51" s="72">
        <f t="shared" si="22"/>
        <v>0.94333333333333336</v>
      </c>
      <c r="AH51" s="382"/>
    </row>
    <row r="52" spans="1:34" ht="15" customHeight="1">
      <c r="A52" s="405"/>
      <c r="B52" s="75" t="s">
        <v>127</v>
      </c>
      <c r="C52" s="86"/>
      <c r="D52" s="59" t="s">
        <v>129</v>
      </c>
      <c r="E52" s="87"/>
      <c r="F52" s="75">
        <f>VLOOKUP(D52,廠價表!$C$1:$E$43,3,0)</f>
        <v>44.3</v>
      </c>
      <c r="G52" s="202">
        <v>2314</v>
      </c>
      <c r="H52" s="231">
        <f>F52*G52</f>
        <v>102510.2</v>
      </c>
      <c r="I52" s="232"/>
      <c r="J52" s="79">
        <f>VLOOKUP(D52,產線配置圖!$A$3:$C$40,2,0)</f>
        <v>18</v>
      </c>
      <c r="K52" s="80">
        <f>VLOOKUP(D52,產線配置圖!$A$3:$C$40,3,0)</f>
        <v>1636</v>
      </c>
      <c r="L52" s="81">
        <f>K52/J52</f>
        <v>90.888888888888886</v>
      </c>
      <c r="M52" s="233">
        <v>18</v>
      </c>
      <c r="N52" s="234">
        <f>G52/W52*60</f>
        <v>1388.3999999999894</v>
      </c>
      <c r="O52" s="235">
        <f>N52/M52</f>
        <v>77.133333333332743</v>
      </c>
      <c r="P52" s="74">
        <f>M52-J52</f>
        <v>0</v>
      </c>
      <c r="Q52" s="83">
        <f>O52-L52</f>
        <v>-13.755555555556143</v>
      </c>
      <c r="R52" s="72">
        <f>O52/L52</f>
        <v>0.84865525672370989</v>
      </c>
      <c r="S52" s="393"/>
      <c r="T52" s="21">
        <v>0.60069444444444398</v>
      </c>
      <c r="U52" s="21">
        <v>0.67013888888888895</v>
      </c>
      <c r="V52" s="30">
        <f>(T52-U51)*24*60</f>
        <v>19.99999999999865</v>
      </c>
      <c r="W52" s="236">
        <f t="shared" si="7"/>
        <v>100.00000000000077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21"/>
        <v>-247.6000000000106</v>
      </c>
      <c r="AG52" s="72">
        <f t="shared" si="22"/>
        <v>0.84865525672370989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7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21"/>
        <v>0</v>
      </c>
      <c r="AG53" s="72" t="e">
        <f t="shared" si="22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7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7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7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7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3">AVERAGE(J49:J57)</f>
        <v>16.75</v>
      </c>
      <c r="K58" s="120">
        <f t="shared" si="23"/>
        <v>1718</v>
      </c>
      <c r="L58" s="117">
        <f t="shared" si="23"/>
        <v>103.031045751634</v>
      </c>
      <c r="M58" s="120">
        <f t="shared" si="23"/>
        <v>16.75</v>
      </c>
      <c r="N58" s="120">
        <f t="shared" si="23"/>
        <v>1556.2928571428579</v>
      </c>
      <c r="O58" s="117">
        <f t="shared" si="23"/>
        <v>93.406416316526673</v>
      </c>
      <c r="P58" s="121">
        <f>M58-J58</f>
        <v>0</v>
      </c>
      <c r="Q58" s="122">
        <f>N58-K58</f>
        <v>-161.70714285714212</v>
      </c>
      <c r="R58" s="123">
        <f>O58/L58</f>
        <v>0.90658515241795767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-161.70714285714212</v>
      </c>
      <c r="AG58" s="124">
        <f>N58/K58</f>
        <v>0.90587477132878802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4111</v>
      </c>
      <c r="H59" s="243">
        <f>F59*G59</f>
        <v>110955.89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1541.6250000000016</v>
      </c>
      <c r="O59" s="138">
        <f>N59/M59</f>
        <v>102.77500000000011</v>
      </c>
      <c r="P59" s="56">
        <f>M59-J59</f>
        <v>0</v>
      </c>
      <c r="Q59" s="230">
        <f>O59-L59</f>
        <v>-6.2916666666665577</v>
      </c>
      <c r="R59" s="52">
        <f>O59/L59</f>
        <v>0.94231356968215263</v>
      </c>
      <c r="S59" s="392">
        <f>R69</f>
        <v>0.87956758005844049</v>
      </c>
      <c r="T59" s="245">
        <v>0.29166666666666702</v>
      </c>
      <c r="U59" s="245">
        <v>0.40277777777777801</v>
      </c>
      <c r="V59" s="55"/>
      <c r="W59" s="54">
        <f t="shared" si="7"/>
        <v>159.99999999999983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-94.374999999998408</v>
      </c>
      <c r="AG59" s="246">
        <f>N59/K59</f>
        <v>0.94231356968215252</v>
      </c>
      <c r="AH59" s="380">
        <f>AG69</f>
        <v>0.88514500135832608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1612</v>
      </c>
      <c r="H60" s="78">
        <f>F60*G60</f>
        <v>45555.12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1487.9999999999959</v>
      </c>
      <c r="O60" s="81">
        <f>N60/M60</f>
        <v>135.27272727272691</v>
      </c>
      <c r="P60" s="74">
        <f>M60-J60</f>
        <v>0</v>
      </c>
      <c r="Q60" s="83">
        <f>O60-L60</f>
        <v>-13.454545454545809</v>
      </c>
      <c r="R60" s="72">
        <f>O60/L60</f>
        <v>0.90953545232273603</v>
      </c>
      <c r="S60" s="402"/>
      <c r="T60" s="22">
        <v>0.40972222222222199</v>
      </c>
      <c r="U60" s="22">
        <v>0.45486111111111099</v>
      </c>
      <c r="V60" s="30">
        <f>(T60-U59)*24*60</f>
        <v>9.999999999999325</v>
      </c>
      <c r="W60" s="248">
        <f t="shared" si="7"/>
        <v>65.000000000000171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-148.00000000000409</v>
      </c>
      <c r="AG60" s="249">
        <f>N60/K60</f>
        <v>0.90953545232273592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986</v>
      </c>
      <c r="H61" s="254">
        <f>F61*G61</f>
        <v>27864.36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1314.6666666666667</v>
      </c>
      <c r="O61" s="238">
        <f>N61/M61</f>
        <v>119.51515151515152</v>
      </c>
      <c r="P61" s="111">
        <f>M61-J61</f>
        <v>0</v>
      </c>
      <c r="Q61" s="255">
        <f>O61-L61</f>
        <v>-29.212121212121204</v>
      </c>
      <c r="R61" s="85">
        <f>O61/L61</f>
        <v>0.80358598207008969</v>
      </c>
      <c r="S61" s="393"/>
      <c r="T61" s="22">
        <v>0.46180555555555602</v>
      </c>
      <c r="U61" s="22">
        <v>0.49305555555555602</v>
      </c>
      <c r="V61" s="30">
        <f>(T61-U60)*24*60</f>
        <v>10.000000000000844</v>
      </c>
      <c r="W61" s="256">
        <f t="shared" si="7"/>
        <v>45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-321.33333333333326</v>
      </c>
      <c r="AG61" s="247">
        <f>N61/K61</f>
        <v>0.80358598207008969</v>
      </c>
      <c r="AH61" s="382"/>
    </row>
    <row r="62" spans="1:34" ht="15" customHeight="1">
      <c r="A62" s="400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93"/>
      <c r="T62" s="22"/>
      <c r="U62" s="22"/>
      <c r="V62" s="30"/>
      <c r="W62" s="248">
        <f t="shared" si="7"/>
        <v>0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0</v>
      </c>
      <c r="AG62" s="247" t="e">
        <f>N62/K62</f>
        <v>#DIV/0!</v>
      </c>
      <c r="AH62" s="382"/>
    </row>
    <row r="63" spans="1:34" ht="15" customHeight="1">
      <c r="A63" s="4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93"/>
      <c r="T63" s="22"/>
      <c r="U63" s="22"/>
      <c r="V63" s="30"/>
      <c r="W63" s="248">
        <f t="shared" si="7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7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7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7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7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7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4">AVERAGE(J59:J68)</f>
        <v>12.333333333333334</v>
      </c>
      <c r="K69" s="240">
        <f t="shared" si="24"/>
        <v>1636</v>
      </c>
      <c r="L69" s="268">
        <f t="shared" si="24"/>
        <v>135.50707070707071</v>
      </c>
      <c r="M69" s="240">
        <f t="shared" si="24"/>
        <v>12.333333333333334</v>
      </c>
      <c r="N69" s="240">
        <f t="shared" si="24"/>
        <v>1448.0972222222215</v>
      </c>
      <c r="O69" s="268">
        <f t="shared" si="24"/>
        <v>119.18762626262617</v>
      </c>
      <c r="P69" s="269">
        <f>M69-J69</f>
        <v>0</v>
      </c>
      <c r="Q69" s="222">
        <f>N69-K69</f>
        <v>-187.90277777777851</v>
      </c>
      <c r="R69" s="123">
        <f>O69/L69</f>
        <v>0.87956758005844049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-187.90277777777851</v>
      </c>
      <c r="AG69" s="124">
        <f>N69/K69</f>
        <v>0.88514500135832608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1323</v>
      </c>
      <c r="H70" s="243">
        <f>F70*G70</f>
        <v>58066.47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9</v>
      </c>
      <c r="N70" s="137">
        <f>G70/W70*60</f>
        <v>1030.9090909090958</v>
      </c>
      <c r="O70" s="138">
        <f>N70/M70</f>
        <v>114.54545454545509</v>
      </c>
      <c r="P70" s="56">
        <f>M70-J70</f>
        <v>-4</v>
      </c>
      <c r="Q70" s="230">
        <f>O70-L70</f>
        <v>-5.8391608391603</v>
      </c>
      <c r="R70" s="52">
        <f>O70/L70</f>
        <v>0.95149578855649586</v>
      </c>
      <c r="S70" s="392">
        <f>R79</f>
        <v>0.93672314182019989</v>
      </c>
      <c r="T70" s="245">
        <v>0.29166666666666702</v>
      </c>
      <c r="U70" s="245">
        <v>0.34513888888888899</v>
      </c>
      <c r="V70" s="55"/>
      <c r="W70" s="54">
        <f t="shared" si="7"/>
        <v>76.999999999999645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-534.09090909090423</v>
      </c>
      <c r="AG70" s="246">
        <f>N70/K70</f>
        <v>0.65872785361603559</v>
      </c>
      <c r="AH70" s="380">
        <f>AG79</f>
        <v>0.66579572671419129</v>
      </c>
    </row>
    <row r="71" spans="1:36" ht="15" customHeight="1">
      <c r="A71" s="390"/>
      <c r="B71" s="75" t="s">
        <v>132</v>
      </c>
      <c r="C71" s="76"/>
      <c r="D71" s="59" t="s">
        <v>136</v>
      </c>
      <c r="E71" s="77"/>
      <c r="F71" s="75">
        <f>VLOOKUP(D71,廠價表!$C$1:$E$43,3,0)</f>
        <v>28.26</v>
      </c>
      <c r="G71" s="30">
        <v>3631</v>
      </c>
      <c r="H71" s="78">
        <f>F71*G71</f>
        <v>102612.06000000001</v>
      </c>
      <c r="I71" s="30"/>
      <c r="J71" s="79">
        <f>VLOOKUP(D71,產線配置圖!$A$3:$C$40,2,0)</f>
        <v>11</v>
      </c>
      <c r="K71" s="80">
        <f>VLOOKUP(D71,產線配置圖!$A$3:$C$40,3,0)</f>
        <v>1636</v>
      </c>
      <c r="L71" s="81">
        <f>K71/J71</f>
        <v>148.72727272727272</v>
      </c>
      <c r="M71" s="82">
        <v>8</v>
      </c>
      <c r="N71" s="80">
        <f>G71/W71*60</f>
        <v>1100.3030303030307</v>
      </c>
      <c r="O71" s="81">
        <f>N71/M71</f>
        <v>137.53787878787884</v>
      </c>
      <c r="P71" s="74">
        <f>M71-J71</f>
        <v>-3</v>
      </c>
      <c r="Q71" s="83">
        <f>O71-L71</f>
        <v>-11.189393939393881</v>
      </c>
      <c r="R71" s="72">
        <f>O71/L71</f>
        <v>0.92476568867155706</v>
      </c>
      <c r="S71" s="393"/>
      <c r="T71" s="22">
        <v>0.35208333333333303</v>
      </c>
      <c r="U71" s="22">
        <v>0.48958333333333298</v>
      </c>
      <c r="V71" s="30">
        <f>(T71-U70)*24*60</f>
        <v>9.9999999999994049</v>
      </c>
      <c r="W71" s="73">
        <f t="shared" si="7"/>
        <v>197.99999999999994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250"/>
      <c r="G72" s="202"/>
      <c r="H72" s="254"/>
      <c r="I72" s="182"/>
      <c r="J72" s="106"/>
      <c r="K72" s="107"/>
      <c r="L72" s="238"/>
      <c r="M72" s="82"/>
      <c r="N72" s="107"/>
      <c r="O72" s="238"/>
      <c r="P72" s="111"/>
      <c r="Q72" s="255"/>
      <c r="R72" s="85"/>
      <c r="S72" s="393"/>
      <c r="T72" s="22"/>
      <c r="U72" s="22"/>
      <c r="V72" s="30"/>
      <c r="W72" s="73">
        <f t="shared" si="7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7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7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7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7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7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7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25">AVERAGE(J70:J78)</f>
        <v>12</v>
      </c>
      <c r="K79" s="240">
        <f t="shared" si="25"/>
        <v>1600.5</v>
      </c>
      <c r="L79" s="268">
        <f t="shared" si="25"/>
        <v>134.55594405594405</v>
      </c>
      <c r="M79" s="240">
        <f t="shared" si="25"/>
        <v>8.5</v>
      </c>
      <c r="N79" s="240">
        <f t="shared" si="25"/>
        <v>1065.6060606060632</v>
      </c>
      <c r="O79" s="268">
        <f t="shared" si="25"/>
        <v>126.04166666666697</v>
      </c>
      <c r="P79" s="269">
        <f>M79-J79</f>
        <v>-3.5</v>
      </c>
      <c r="Q79" s="222">
        <f>N79-K79</f>
        <v>-534.89393939393676</v>
      </c>
      <c r="R79" s="223">
        <f>O79/L79</f>
        <v>0.93672314182019989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-534.89393939393676</v>
      </c>
      <c r="AG79" s="124">
        <f>N79/K79</f>
        <v>0.66579572671419129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237" priority="1" operator="greaterThan">
      <formula>0</formula>
    </cfRule>
  </conditionalFormatting>
  <conditionalFormatting sqref="Q5:Q79 AF5:AF79">
    <cfRule type="cellIs" dxfId="236" priority="4" operator="lessThan">
      <formula>0</formula>
    </cfRule>
  </conditionalFormatting>
  <conditionalFormatting sqref="R5:R79 AG5:AG79">
    <cfRule type="cellIs" dxfId="235" priority="2" operator="greaterThan">
      <formula>1</formula>
    </cfRule>
    <cfRule type="cellIs" dxfId="234" priority="3" operator="lessThan">
      <formula>0.8</formula>
    </cfRule>
  </conditionalFormatting>
  <conditionalFormatting sqref="S5:S10 S37:S62 AH59:AH62 S69:S76 AH69:AH76">
    <cfRule type="cellIs" dxfId="233" priority="7" operator="lessThan">
      <formula>0.8</formula>
    </cfRule>
  </conditionalFormatting>
  <conditionalFormatting sqref="S19:S25 AH19:AH25">
    <cfRule type="cellIs" dxfId="232" priority="6" operator="lessThan">
      <formula>0.8</formula>
    </cfRule>
  </conditionalFormatting>
  <conditionalFormatting sqref="S79">
    <cfRule type="cellIs" dxfId="231" priority="5" operator="lessThan">
      <formula>0.8</formula>
    </cfRule>
  </conditionalFormatting>
  <conditionalFormatting sqref="AH5:AH8 S15:S16 AH15:AH16 AH49 AH79">
    <cfRule type="cellIs" dxfId="230" priority="9" operator="lessThan">
      <formula>0.8</formula>
    </cfRule>
  </conditionalFormatting>
  <conditionalFormatting sqref="AH27 S27:S28">
    <cfRule type="cellIs" dxfId="22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82A95-6BAF-4094-9655-A94B9E389D46}">
  <dimension ref="B1:O26"/>
  <sheetViews>
    <sheetView topLeftCell="B1" zoomScale="70" zoomScaleNormal="70" workbookViewId="0">
      <selection activeCell="Q31" sqref="Q3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46273</v>
      </c>
      <c r="E3" s="504"/>
      <c r="F3" s="3" t="s">
        <v>72</v>
      </c>
      <c r="G3" s="505">
        <f>'0908'!E1</f>
        <v>64351</v>
      </c>
      <c r="H3" s="505"/>
      <c r="I3" s="3" t="s">
        <v>2</v>
      </c>
      <c r="J3" s="506">
        <f>'0908'!G1</f>
        <v>3047356.5580000002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125.26828196702147</v>
      </c>
      <c r="G6" s="501"/>
      <c r="H6" s="502">
        <f>AVERAGE(D13:H13)</f>
        <v>128.13002106825635</v>
      </c>
      <c r="I6" s="502"/>
      <c r="J6" s="502">
        <f>AVERAGE(I13:J13)</f>
        <v>118.11393421393421</v>
      </c>
      <c r="K6" s="502"/>
      <c r="L6" s="492">
        <f>'0908'!Z2</f>
        <v>1</v>
      </c>
      <c r="M6" s="493">
        <f>'0908'!AA2</f>
        <v>52</v>
      </c>
      <c r="N6" s="494">
        <f>'0908'!AD2</f>
        <v>0</v>
      </c>
      <c r="O6" s="493">
        <f>'0908'!AE2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110.7275461413785</v>
      </c>
      <c r="G7" s="490"/>
      <c r="H7" s="491">
        <f>AVERAGE(D14:H14)</f>
        <v>112.15325121476045</v>
      </c>
      <c r="I7" s="491"/>
      <c r="J7" s="491">
        <f>AVERAGE(I14:J14)</f>
        <v>107.16328345792367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0.88762042456991874</v>
      </c>
      <c r="G8" s="496"/>
      <c r="H8" s="496">
        <f>AVERAGE(D15:H15)</f>
        <v>0.88173215011469153</v>
      </c>
      <c r="I8" s="496"/>
      <c r="J8" s="496">
        <f>AVERAGE(I15:J15)</f>
        <v>0.90234111070798639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VALUE('0908'!L15)</f>
        <v>163.80494505494505</v>
      </c>
      <c r="E13" s="13">
        <f>VALUE('0908'!L26)</f>
        <v>174.10714285714286</v>
      </c>
      <c r="F13" s="13">
        <f>VALUE('0908'!L37)</f>
        <v>99.358660130718945</v>
      </c>
      <c r="G13" s="13">
        <f>VALUE('0908'!L48)</f>
        <v>96.300925925925924</v>
      </c>
      <c r="H13" s="13">
        <f>VALUE('0908'!L58)</f>
        <v>107.07843137254902</v>
      </c>
      <c r="I13" s="13">
        <f>VALUE('0908'!L69)</f>
        <v>135.50707070707071</v>
      </c>
      <c r="J13" s="13">
        <f>'0908'!L79</f>
        <v>100.72079772079773</v>
      </c>
    </row>
    <row r="14" spans="2:15" ht="39.950000000000003" customHeight="1">
      <c r="B14" s="484"/>
      <c r="C14" s="12" t="s">
        <v>100</v>
      </c>
      <c r="D14" s="13">
        <f>VALUE('0908'!O15)</f>
        <v>151.83785525071517</v>
      </c>
      <c r="E14" s="13">
        <f>VALUE('0908'!O26)</f>
        <v>136.38985869744431</v>
      </c>
      <c r="F14" s="13">
        <f>VALUE('0908'!O37)</f>
        <v>90.287224242707467</v>
      </c>
      <c r="G14" s="13">
        <f>VALUE('0908'!O48)</f>
        <v>83.828175618073146</v>
      </c>
      <c r="H14" s="13">
        <f>VALUE('0908'!O58)</f>
        <v>98.423142264862136</v>
      </c>
      <c r="I14" s="13">
        <f>VALUE('0908'!O69)</f>
        <v>126.82520072519917</v>
      </c>
      <c r="J14" s="13">
        <f>'0908'!O79</f>
        <v>87.50136619064817</v>
      </c>
    </row>
    <row r="15" spans="2:15" ht="39.950000000000003" customHeight="1">
      <c r="B15" s="485"/>
      <c r="C15" s="10" t="s">
        <v>26</v>
      </c>
      <c r="D15" s="14">
        <f t="shared" ref="D15:I15" si="0">D14/D13</f>
        <v>0.92694304924545612</v>
      </c>
      <c r="E15" s="14">
        <f t="shared" si="0"/>
        <v>0.78336739354429552</v>
      </c>
      <c r="F15" s="14">
        <f t="shared" si="0"/>
        <v>0.90870009845063482</v>
      </c>
      <c r="G15" s="14">
        <f t="shared" si="0"/>
        <v>0.87048151211498481</v>
      </c>
      <c r="H15" s="14">
        <f t="shared" si="0"/>
        <v>0.91916869721808625</v>
      </c>
      <c r="I15" s="14">
        <f t="shared" si="0"/>
        <v>0.93593050210169937</v>
      </c>
      <c r="J15" s="15">
        <f>'0908'!S70</f>
        <v>0.86875171931427331</v>
      </c>
    </row>
    <row r="16" spans="2:15" ht="17.25" customHeight="1">
      <c r="B16" s="486" t="s">
        <v>101</v>
      </c>
      <c r="C16" s="10" t="s">
        <v>34</v>
      </c>
      <c r="D16" s="16">
        <f>'0908'!T5</f>
        <v>0.28819444444444398</v>
      </c>
      <c r="E16" s="16">
        <f>'0908'!T16</f>
        <v>0.29027777777777802</v>
      </c>
      <c r="F16" s="16">
        <f>'0908'!T27</f>
        <v>0.29166666666666702</v>
      </c>
      <c r="G16" s="16">
        <f>'0908'!T38</f>
        <v>0.33333333333333298</v>
      </c>
      <c r="H16" s="16">
        <f>'0908'!T49</f>
        <v>0.29166666666666702</v>
      </c>
      <c r="I16" s="16">
        <f>'0908'!T59</f>
        <v>0.29861111111111099</v>
      </c>
      <c r="J16" s="17">
        <f>'0908'!T70</f>
        <v>0.30416666666666697</v>
      </c>
    </row>
    <row r="17" spans="2:10" ht="17.25" customHeight="1">
      <c r="B17" s="487"/>
      <c r="C17" s="10" t="s">
        <v>35</v>
      </c>
      <c r="D17" s="16">
        <v>0.61597222222222203</v>
      </c>
      <c r="E17" s="19">
        <v>0.64097222222222205</v>
      </c>
      <c r="F17" s="19">
        <v>0.64027777777777795</v>
      </c>
      <c r="G17" s="20">
        <v>0.64930555555555602</v>
      </c>
      <c r="H17" s="19">
        <v>0.57638888888888895</v>
      </c>
      <c r="I17" s="110">
        <v>0.63541666666666696</v>
      </c>
      <c r="J17" s="22">
        <v>0.63749999999999996</v>
      </c>
    </row>
    <row r="18" spans="2:10" ht="17.25" customHeight="1">
      <c r="B18" s="488" t="s">
        <v>102</v>
      </c>
      <c r="C18" s="330" t="s">
        <v>36</v>
      </c>
      <c r="D18" s="359">
        <f>'0908'!Z15</f>
        <v>0</v>
      </c>
      <c r="E18" s="360">
        <f>'0908'!Z26</f>
        <v>1</v>
      </c>
      <c r="F18" s="360">
        <f>'0908'!Z37</f>
        <v>0</v>
      </c>
      <c r="G18" s="361">
        <f>'0908'!Z48</f>
        <v>0</v>
      </c>
      <c r="H18" s="361">
        <f>'0908'!Z58</f>
        <v>0</v>
      </c>
      <c r="I18" s="360">
        <f>'0908'!Z69</f>
        <v>0</v>
      </c>
      <c r="J18" s="360">
        <f>'0908'!AA79</f>
        <v>0</v>
      </c>
    </row>
    <row r="19" spans="2:10" ht="17.25" customHeight="1">
      <c r="B19" s="489"/>
      <c r="C19" s="330" t="s">
        <v>37</v>
      </c>
      <c r="D19" s="359">
        <f>'0908'!AA15</f>
        <v>0</v>
      </c>
      <c r="E19" s="360">
        <f>'0908'!AA26</f>
        <v>52</v>
      </c>
      <c r="F19" s="360">
        <f>'0908'!AA37</f>
        <v>0</v>
      </c>
      <c r="G19" s="361">
        <f>'0908'!AA48</f>
        <v>0</v>
      </c>
      <c r="H19" s="361">
        <f>'0908'!AA58</f>
        <v>0</v>
      </c>
      <c r="I19" s="360">
        <f>'0908'!AA69</f>
        <v>0</v>
      </c>
      <c r="J19" s="360">
        <f>'0908'!AB79</f>
        <v>0</v>
      </c>
    </row>
    <row r="20" spans="2:10" ht="17.25" customHeight="1">
      <c r="B20" s="488" t="s">
        <v>103</v>
      </c>
      <c r="C20" s="330" t="s">
        <v>36</v>
      </c>
      <c r="D20" s="359">
        <f>'0908'!AD15</f>
        <v>0</v>
      </c>
      <c r="E20" s="360">
        <f>'0908'!AD26</f>
        <v>0</v>
      </c>
      <c r="F20" s="360">
        <f>'0908'!AD37</f>
        <v>0</v>
      </c>
      <c r="G20" s="361">
        <f>'0908'!AD48</f>
        <v>0</v>
      </c>
      <c r="H20" s="361">
        <f>'0908'!AD58</f>
        <v>0</v>
      </c>
      <c r="I20" s="360">
        <f>'0908'!AD69</f>
        <v>0</v>
      </c>
      <c r="J20" s="360">
        <f>'0908'!AD79</f>
        <v>0</v>
      </c>
    </row>
    <row r="21" spans="2:10" ht="17.25" customHeight="1">
      <c r="B21" s="489"/>
      <c r="C21" s="330" t="s">
        <v>85</v>
      </c>
      <c r="D21" s="359">
        <f>'0908'!AE15</f>
        <v>0</v>
      </c>
      <c r="E21" s="360">
        <f>'0908'!AE26</f>
        <v>0</v>
      </c>
      <c r="F21" s="360">
        <f>'0908'!AE37</f>
        <v>0</v>
      </c>
      <c r="G21" s="361">
        <f>'0908'!AE48</f>
        <v>0</v>
      </c>
      <c r="H21" s="361">
        <f>'0908'!AE58</f>
        <v>0</v>
      </c>
      <c r="I21" s="360">
        <f>'0908'!AE69</f>
        <v>0</v>
      </c>
      <c r="J21" s="360">
        <f>'0908'!AE79</f>
        <v>0</v>
      </c>
    </row>
    <row r="22" spans="2:10" ht="17.25" customHeight="1">
      <c r="B22" s="471" t="s">
        <v>104</v>
      </c>
      <c r="C22" s="472"/>
      <c r="D22" s="23">
        <f>VALUE('0908'!M15)</f>
        <v>13.75</v>
      </c>
      <c r="E22" s="23">
        <f>VALUE('0908'!M26)</f>
        <v>13</v>
      </c>
      <c r="F22" s="23">
        <f>VALUE('0908'!M37)</f>
        <v>16.833333333333332</v>
      </c>
      <c r="G22" s="23">
        <f>VALUE('0908'!M48)</f>
        <v>17.333333333333332</v>
      </c>
      <c r="H22" s="23">
        <f>VALUE('0908'!M58)</f>
        <v>16.333333333333332</v>
      </c>
      <c r="I22" s="23">
        <f>VALUE('0908'!M69)</f>
        <v>12.333333333333334</v>
      </c>
      <c r="J22" s="23">
        <f>'0908'!M79</f>
        <v>14.666666666666666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22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E068-03E2-4C21-9E93-A05F88840FB0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U8" sqref="U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64351</v>
      </c>
      <c r="F1" s="30" t="s">
        <v>2</v>
      </c>
      <c r="G1" s="31">
        <f>SUM(H5:H79)</f>
        <v>3047356.5580000002</v>
      </c>
      <c r="H1" s="32" t="s">
        <v>3</v>
      </c>
      <c r="I1" s="33">
        <f>M15+M26+M48+M58+M69+M79+M37</f>
        <v>104.24999999999999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157</v>
      </c>
      <c r="B2" s="462"/>
      <c r="C2" s="28"/>
      <c r="D2" s="28" t="s">
        <v>14</v>
      </c>
      <c r="E2" s="35">
        <f>AVERAGE(O15,O26,O37,O48,O58,O69,O79)</f>
        <v>110.7275461413785</v>
      </c>
      <c r="F2" s="36" t="s">
        <v>15</v>
      </c>
      <c r="G2" s="37">
        <f>G1/E1</f>
        <v>47.355232366241395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1</v>
      </c>
      <c r="AA2" s="339">
        <f>AA15+AA26+AA37+AA48+AA58+AA69+AA79</f>
        <v>52</v>
      </c>
      <c r="AB2" s="433"/>
      <c r="AC2" s="433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3190</v>
      </c>
      <c r="H5" s="43">
        <f>F5*G5</f>
        <v>181415.3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2126.6666666666665</v>
      </c>
      <c r="O5" s="47">
        <f>N5/M5</f>
        <v>151.9047619047619</v>
      </c>
      <c r="P5" s="49">
        <f>M5-J5</f>
        <v>0</v>
      </c>
      <c r="Q5" s="50">
        <f>O5-L5</f>
        <v>-8.8095238095238244</v>
      </c>
      <c r="R5" s="51">
        <f>O5/L5</f>
        <v>0.94518518518518513</v>
      </c>
      <c r="S5" s="392">
        <f>R15</f>
        <v>0.92694304924545612</v>
      </c>
      <c r="T5" s="319">
        <v>0.28819444444444398</v>
      </c>
      <c r="U5" s="320">
        <v>0.35069444444444398</v>
      </c>
      <c r="V5" s="53"/>
      <c r="W5" s="54">
        <f t="shared" ref="W5:W14" si="0">(U5-T5)*24*60</f>
        <v>90</v>
      </c>
      <c r="X5" s="55"/>
      <c r="Y5" s="290"/>
      <c r="Z5" s="169"/>
      <c r="AA5" s="169"/>
      <c r="AB5" s="397" t="s">
        <v>158</v>
      </c>
      <c r="AC5" s="397"/>
      <c r="AD5" s="135"/>
      <c r="AE5" s="135"/>
      <c r="AF5" s="229">
        <f t="shared" ref="AF5:AF11" si="1">N5-K5</f>
        <v>-123.33333333333348</v>
      </c>
      <c r="AG5" s="52">
        <f t="shared" ref="AG5:AG11" si="2">N5/K5</f>
        <v>0.94518518518518513</v>
      </c>
      <c r="AH5" s="380">
        <f>AG15</f>
        <v>0.92680507621058372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2382</v>
      </c>
      <c r="H6" s="63">
        <f>F6*G6</f>
        <v>138560.94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2101.7647058823627</v>
      </c>
      <c r="O6" s="67">
        <f>N6/M6</f>
        <v>161.67420814479712</v>
      </c>
      <c r="P6" s="69">
        <f>M6-J6</f>
        <v>0</v>
      </c>
      <c r="Q6" s="70">
        <f>O6-L6</f>
        <v>-11.402714932125946</v>
      </c>
      <c r="R6" s="71">
        <f>O6/L6</f>
        <v>0.93411764705882783</v>
      </c>
      <c r="S6" s="393"/>
      <c r="T6" s="16">
        <v>0.35763888888888901</v>
      </c>
      <c r="U6" s="16">
        <v>0.40486111111111101</v>
      </c>
      <c r="V6" s="30">
        <f>(T6-U5)*24*60</f>
        <v>10.000000000000844</v>
      </c>
      <c r="W6" s="73">
        <f t="shared" si="0"/>
        <v>67.999999999999673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-148.2352941176373</v>
      </c>
      <c r="AG6" s="72">
        <f t="shared" si="2"/>
        <v>0.93411764705882783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61">
        <f>VLOOKUP(D7,廠價表!$C$1:$E$43,3,0)</f>
        <v>49.14</v>
      </c>
      <c r="G7" s="66">
        <v>3100</v>
      </c>
      <c r="H7" s="78">
        <f>F7*G7</f>
        <v>152334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1978.7234042553112</v>
      </c>
      <c r="O7" s="81">
        <f>N7/M7</f>
        <v>141.33738601823651</v>
      </c>
      <c r="P7" s="74">
        <f>M7-J7</f>
        <v>0</v>
      </c>
      <c r="Q7" s="83">
        <f>O7-L7</f>
        <v>-19.376899696049207</v>
      </c>
      <c r="R7" s="72">
        <f>O7/L7</f>
        <v>0.87943262411347156</v>
      </c>
      <c r="S7" s="393"/>
      <c r="T7" s="18">
        <v>0.41388888888888897</v>
      </c>
      <c r="U7" s="18">
        <v>0.47916666666666702</v>
      </c>
      <c r="V7" s="30">
        <f>(T7-U6)*24*60</f>
        <v>13.000000000000274</v>
      </c>
      <c r="W7" s="73">
        <f t="shared" si="0"/>
        <v>94.000000000000384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-271.27659574468885</v>
      </c>
      <c r="AG7" s="72">
        <f t="shared" si="2"/>
        <v>0.87943262411347167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61">
        <f>VLOOKUP(D8,廠價表!$C$1:$E$43,3,0)</f>
        <v>49.14</v>
      </c>
      <c r="G8" s="66">
        <v>3130</v>
      </c>
      <c r="H8" s="78">
        <f>F8*G8</f>
        <v>153808.20000000001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66">
        <f>G8/W8*60</f>
        <v>2134.0909090909131</v>
      </c>
      <c r="O8" s="67">
        <f>N8/M8</f>
        <v>152.43506493506521</v>
      </c>
      <c r="P8" s="69">
        <f>M8-J8</f>
        <v>0</v>
      </c>
      <c r="Q8" s="70">
        <f>O8-L8</f>
        <v>-8.279220779220509</v>
      </c>
      <c r="R8" s="71">
        <f>O8/L8</f>
        <v>0.94848484848485015</v>
      </c>
      <c r="S8" s="393"/>
      <c r="T8" s="16">
        <v>0.55486111111111103</v>
      </c>
      <c r="U8" s="16">
        <v>0.61597222222222203</v>
      </c>
      <c r="V8" s="30">
        <f>(T8-U7)*24*60</f>
        <v>108.99999999999937</v>
      </c>
      <c r="W8" s="73">
        <f t="shared" si="0"/>
        <v>87.999999999999844</v>
      </c>
      <c r="X8" s="22">
        <v>0.48611111111111099</v>
      </c>
      <c r="Y8" s="84">
        <v>0.52777777777777801</v>
      </c>
      <c r="Z8" s="90"/>
      <c r="AA8" s="90"/>
      <c r="AB8" s="430"/>
      <c r="AC8" s="430"/>
      <c r="AD8" s="149"/>
      <c r="AE8" s="149"/>
      <c r="AF8" s="307">
        <f t="shared" si="1"/>
        <v>-115.9090909090869</v>
      </c>
      <c r="AG8" s="72">
        <f t="shared" si="2"/>
        <v>0.94848484848485026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13.75</v>
      </c>
      <c r="K15" s="120">
        <f t="shared" si="3"/>
        <v>2250</v>
      </c>
      <c r="L15" s="117">
        <f t="shared" si="3"/>
        <v>163.80494505494505</v>
      </c>
      <c r="M15" s="120">
        <f t="shared" si="3"/>
        <v>13.75</v>
      </c>
      <c r="N15" s="120">
        <f t="shared" si="3"/>
        <v>2085.3114214738134</v>
      </c>
      <c r="O15" s="117">
        <f t="shared" si="3"/>
        <v>151.83785525071517</v>
      </c>
      <c r="P15" s="121">
        <f>M15-J15</f>
        <v>0</v>
      </c>
      <c r="Q15" s="122">
        <f>O15-L15</f>
        <v>-11.967089804229886</v>
      </c>
      <c r="R15" s="123">
        <f>O15/L15</f>
        <v>0.92694304924545612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-164.68857852618657</v>
      </c>
      <c r="AG15" s="124">
        <f>N15/K15</f>
        <v>0.92680507621058372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1073</v>
      </c>
      <c r="H16" s="134">
        <f>F16*G16</f>
        <v>61021.509999999995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677.68421052631822</v>
      </c>
      <c r="O16" s="141">
        <f>N16/M16</f>
        <v>48.406015037594159</v>
      </c>
      <c r="P16" s="142">
        <f>M16-J16</f>
        <v>0</v>
      </c>
      <c r="Q16" s="143">
        <f>O16-L16</f>
        <v>-112.30827067669156</v>
      </c>
      <c r="R16" s="144">
        <f>O16/L16</f>
        <v>0.3011929824561414</v>
      </c>
      <c r="S16" s="420">
        <f>R26</f>
        <v>0.78336739354429552</v>
      </c>
      <c r="T16" s="145">
        <v>0.29027777777777802</v>
      </c>
      <c r="U16" s="145">
        <v>0.35625000000000001</v>
      </c>
      <c r="V16" s="135"/>
      <c r="W16" s="146">
        <f t="shared" ref="W16:W78" si="4">(U16-T16)*24*60</f>
        <v>94.999999999999659</v>
      </c>
      <c r="X16" s="141"/>
      <c r="Y16" s="296"/>
      <c r="Z16" s="169">
        <v>1</v>
      </c>
      <c r="AA16" s="169">
        <v>52</v>
      </c>
      <c r="AB16" s="397" t="s">
        <v>159</v>
      </c>
      <c r="AC16" s="397"/>
      <c r="AD16" s="135"/>
      <c r="AE16" s="135"/>
      <c r="AF16" s="229">
        <f>N16-K16</f>
        <v>-1572.3157894736819</v>
      </c>
      <c r="AG16" s="52">
        <f>N16/K16</f>
        <v>0.30119298245614146</v>
      </c>
      <c r="AH16" s="380">
        <f>AG26</f>
        <v>0.77194841472004816</v>
      </c>
    </row>
    <row r="17" spans="1:34" ht="15" customHeight="1">
      <c r="A17" s="427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3866</v>
      </c>
      <c r="H17" s="78">
        <f>F17*G17</f>
        <v>195890.22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2128.073394495425</v>
      </c>
      <c r="O17" s="96">
        <f>N17/M17</f>
        <v>152.00524246395892</v>
      </c>
      <c r="P17" s="97">
        <f>M17-J17</f>
        <v>0</v>
      </c>
      <c r="Q17" s="98">
        <f>O17-L17</f>
        <v>-8.7090432503268005</v>
      </c>
      <c r="R17" s="99">
        <f>O17/L17</f>
        <v>0.94581039755352214</v>
      </c>
      <c r="S17" s="421"/>
      <c r="T17" s="19">
        <v>0.36388888888888898</v>
      </c>
      <c r="U17" s="19">
        <v>0.43958333333333299</v>
      </c>
      <c r="V17" s="30">
        <f>(T17-U16)*24*60</f>
        <v>11.000000000000121</v>
      </c>
      <c r="W17" s="149">
        <f t="shared" si="4"/>
        <v>108.99999999999937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-121.92660550457504</v>
      </c>
      <c r="AG17" s="72">
        <f>N17/K17</f>
        <v>0.94581039755352225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2068</v>
      </c>
      <c r="H18" s="78">
        <f>F18*G18</f>
        <v>104206.52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2001.2903225806263</v>
      </c>
      <c r="O18" s="96">
        <f>N18/M18</f>
        <v>166.77419354838551</v>
      </c>
      <c r="P18" s="97">
        <f>M18-J18</f>
        <v>0</v>
      </c>
      <c r="Q18" s="98">
        <f>O18-L18</f>
        <v>-20.725806451614488</v>
      </c>
      <c r="R18" s="99">
        <f>O18/L18</f>
        <v>0.88946236559138936</v>
      </c>
      <c r="S18" s="421"/>
      <c r="T18" s="19">
        <v>0.44861111111111102</v>
      </c>
      <c r="U18" s="19">
        <v>0.49166666666666697</v>
      </c>
      <c r="V18" s="30">
        <f>(T18-U17)*24*60</f>
        <v>13.000000000000353</v>
      </c>
      <c r="W18" s="149">
        <f t="shared" si="4"/>
        <v>62.000000000000583</v>
      </c>
      <c r="X18" s="22">
        <v>0.48611111111111099</v>
      </c>
      <c r="Y18" s="84">
        <v>0.52777777777777801</v>
      </c>
      <c r="Z18" s="90"/>
      <c r="AA18" s="90"/>
      <c r="AB18" s="386"/>
      <c r="AC18" s="386"/>
      <c r="AD18" s="92"/>
      <c r="AE18" s="92"/>
      <c r="AF18" s="307">
        <f>N18-K18</f>
        <v>-248.70967741937375</v>
      </c>
      <c r="AG18" s="72">
        <f>N18/K18</f>
        <v>0.88946236559138947</v>
      </c>
      <c r="AH18" s="382"/>
    </row>
    <row r="19" spans="1:34" ht="15" customHeight="1">
      <c r="A19" s="427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4388</v>
      </c>
      <c r="H19" s="78">
        <f>F19*G19</f>
        <v>221111.32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2140.4878048780643</v>
      </c>
      <c r="O19" s="96">
        <f>N19/M19</f>
        <v>178.37398373983868</v>
      </c>
      <c r="P19" s="97">
        <f>M19-J19</f>
        <v>0</v>
      </c>
      <c r="Q19" s="98">
        <f>O19-L19</f>
        <v>-9.1260162601613217</v>
      </c>
      <c r="R19" s="99">
        <f>O19/L19</f>
        <v>0.95132791327913957</v>
      </c>
      <c r="S19" s="421"/>
      <c r="T19" s="19">
        <v>0.55555555555555602</v>
      </c>
      <c r="U19" s="19">
        <v>0.64097222222222205</v>
      </c>
      <c r="V19" s="30">
        <f>(T19-U18)*24*60</f>
        <v>92.000000000000227</v>
      </c>
      <c r="W19" s="149">
        <f t="shared" si="4"/>
        <v>122.99999999999909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-109.51219512193575</v>
      </c>
      <c r="AG19" s="72">
        <f>N19/K19</f>
        <v>0.95132791327913968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 t="s">
        <v>160</v>
      </c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174.10714285714286</v>
      </c>
      <c r="M26" s="155">
        <f t="shared" si="5"/>
        <v>13</v>
      </c>
      <c r="N26" s="155">
        <f t="shared" si="5"/>
        <v>1736.8839331201084</v>
      </c>
      <c r="O26" s="158">
        <f t="shared" si="5"/>
        <v>136.38985869744431</v>
      </c>
      <c r="P26" s="159">
        <f>M26-J26</f>
        <v>0</v>
      </c>
      <c r="Q26" s="160">
        <f>O26-L26</f>
        <v>-37.717284159698551</v>
      </c>
      <c r="R26" s="161">
        <f>O26/L26</f>
        <v>0.78336739354429552</v>
      </c>
      <c r="S26" s="422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52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-513.1160668798916</v>
      </c>
      <c r="AG26" s="124">
        <f t="shared" ref="AG26:AG31" si="7">N26/K26</f>
        <v>0.77194841472004816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812</v>
      </c>
      <c r="H27" s="134">
        <f>F27*G27</f>
        <v>40526.92</v>
      </c>
      <c r="I27" s="135"/>
      <c r="J27" s="136">
        <f>VLOOKUP(D27,產線配置圖!$A$3:$C$40,2,0)</f>
        <v>18</v>
      </c>
      <c r="K27" s="137">
        <f>VLOOKUP(D27,產線配置圖!$A$3:$C$40,3,0)</f>
        <v>2250</v>
      </c>
      <c r="L27" s="138">
        <f>K27/J27</f>
        <v>125</v>
      </c>
      <c r="M27" s="170">
        <v>17</v>
      </c>
      <c r="N27" s="140">
        <f>G27/W27*60</f>
        <v>1804.4444444444455</v>
      </c>
      <c r="O27" s="141">
        <f>N27/M27</f>
        <v>106.14379084967327</v>
      </c>
      <c r="P27" s="142">
        <f>M27-J27</f>
        <v>-1</v>
      </c>
      <c r="Q27" s="143">
        <f>O27-L27</f>
        <v>-18.856209150326734</v>
      </c>
      <c r="R27" s="144">
        <f>O27/L27</f>
        <v>0.84915032679738611</v>
      </c>
      <c r="S27" s="420">
        <f>R37</f>
        <v>0.90870009845063482</v>
      </c>
      <c r="T27" s="171">
        <v>0.29166666666666702</v>
      </c>
      <c r="U27" s="171">
        <v>0.31041666666666701</v>
      </c>
      <c r="V27" s="135"/>
      <c r="W27" s="146">
        <f t="shared" si="4"/>
        <v>26.999999999999986</v>
      </c>
      <c r="X27" s="135"/>
      <c r="Y27" s="300" t="s">
        <v>46</v>
      </c>
      <c r="Z27" s="169"/>
      <c r="AA27" s="169"/>
      <c r="AB27" s="397"/>
      <c r="AC27" s="397"/>
      <c r="AD27" s="135"/>
      <c r="AE27" s="135"/>
      <c r="AF27" s="310">
        <f t="shared" si="6"/>
        <v>-445.55555555555452</v>
      </c>
      <c r="AG27" s="172">
        <f t="shared" si="7"/>
        <v>0.80197530864197575</v>
      </c>
      <c r="AH27" s="380">
        <f>AG37</f>
        <v>0.87386658213840163</v>
      </c>
    </row>
    <row r="28" spans="1:34" ht="15" customHeight="1">
      <c r="A28" s="418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1485</v>
      </c>
      <c r="H28" s="91">
        <f>F28*G28</f>
        <v>84956.85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1392.1875000000136</v>
      </c>
      <c r="O28" s="96">
        <f>N28/M28</f>
        <v>81.893382352941984</v>
      </c>
      <c r="P28" s="97">
        <f>M28-J28</f>
        <v>-1</v>
      </c>
      <c r="Q28" s="98">
        <f>O28-L28</f>
        <v>-8.9955065359469017</v>
      </c>
      <c r="R28" s="99">
        <f>O28/L28</f>
        <v>0.90102743420107323</v>
      </c>
      <c r="S28" s="421"/>
      <c r="T28" s="19">
        <v>0.31666666666666698</v>
      </c>
      <c r="U28" s="19">
        <v>0.36111111111111099</v>
      </c>
      <c r="V28" s="92">
        <f>(T28-U27)*24*60</f>
        <v>8.999999999999968</v>
      </c>
      <c r="W28" s="149">
        <f t="shared" si="4"/>
        <v>63.999999999999375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6"/>
        <v>-243.81249999998636</v>
      </c>
      <c r="AG28" s="99">
        <f t="shared" si="7"/>
        <v>0.85097035452323577</v>
      </c>
      <c r="AH28" s="381"/>
    </row>
    <row r="29" spans="1:34" ht="15" customHeight="1">
      <c r="A29" s="418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903</v>
      </c>
      <c r="H29" s="91">
        <f>F29*G29</f>
        <v>41230.979999999996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1548.0000000000373</v>
      </c>
      <c r="O29" s="96">
        <f>N29/M29</f>
        <v>91.058823529413957</v>
      </c>
      <c r="P29" s="97">
        <f>M29-J29</f>
        <v>0</v>
      </c>
      <c r="Q29" s="98">
        <f>O29-L29</f>
        <v>-5.1764705882331015</v>
      </c>
      <c r="R29" s="99">
        <f>O29/L29</f>
        <v>0.94621026894867799</v>
      </c>
      <c r="S29" s="421"/>
      <c r="T29" s="19">
        <v>0.36805555555555602</v>
      </c>
      <c r="U29" s="19">
        <v>0.39236111111111099</v>
      </c>
      <c r="V29" s="92">
        <f>(T29-U28)*24*60</f>
        <v>10.000000000000844</v>
      </c>
      <c r="W29" s="149">
        <f t="shared" si="4"/>
        <v>34.999999999999154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-87.999999999962711</v>
      </c>
      <c r="AG29" s="99">
        <f t="shared" si="7"/>
        <v>0.9462102689486781</v>
      </c>
      <c r="AH29" s="381"/>
    </row>
    <row r="30" spans="1:34" ht="15" customHeight="1">
      <c r="A30" s="418"/>
      <c r="B30" s="75" t="s">
        <v>81</v>
      </c>
      <c r="C30" s="88"/>
      <c r="D30" s="59" t="s">
        <v>124</v>
      </c>
      <c r="E30" s="89"/>
      <c r="F30" s="75">
        <f>VLOOKUP(D30,廠價表!$C$1:$E$43,3,0)</f>
        <v>46.34</v>
      </c>
      <c r="G30" s="90">
        <v>1442</v>
      </c>
      <c r="H30" s="91">
        <f t="shared" ref="H30:H31" si="8">F30*G30</f>
        <v>66822.28</v>
      </c>
      <c r="I30" s="92"/>
      <c r="J30" s="79">
        <f>VLOOKUP(D30,產線配置圖!$A$3:$C$40,2,0)</f>
        <v>16</v>
      </c>
      <c r="K30" s="80">
        <f>VLOOKUP(D30,產線配置圖!$A$3:$C$40,3,0)</f>
        <v>1636</v>
      </c>
      <c r="L30" s="93">
        <f t="shared" ref="L30:L31" si="9">K30/J30</f>
        <v>102.25</v>
      </c>
      <c r="M30" s="94">
        <v>16</v>
      </c>
      <c r="N30" s="95">
        <f t="shared" ref="N30:N31" si="10">G30/W30*60</f>
        <v>1517.8947368421193</v>
      </c>
      <c r="O30" s="96">
        <f t="shared" ref="O30:O31" si="11">N30/M30</f>
        <v>94.868421052632456</v>
      </c>
      <c r="P30" s="97">
        <f t="shared" ref="P30:P31" si="12">M30-J30</f>
        <v>0</v>
      </c>
      <c r="Q30" s="98">
        <f t="shared" ref="Q30:Q31" si="13">O30-L30</f>
        <v>-7.3815789473675437</v>
      </c>
      <c r="R30" s="99">
        <f t="shared" ref="R30:R31" si="14">O30/L30</f>
        <v>0.92780851885215121</v>
      </c>
      <c r="S30" s="421"/>
      <c r="T30" s="19">
        <v>0.40486111111111101</v>
      </c>
      <c r="U30" s="19">
        <v>0.44444444444444398</v>
      </c>
      <c r="V30" s="92">
        <f>(T30-U29)*24*60</f>
        <v>18.000000000000014</v>
      </c>
      <c r="W30" s="149">
        <f t="shared" si="4"/>
        <v>56.999999999999474</v>
      </c>
      <c r="X30" s="174">
        <v>0.49652777777777801</v>
      </c>
      <c r="Y30" s="301">
        <v>0.53819444444444398</v>
      </c>
      <c r="Z30" s="335"/>
      <c r="AA30" s="335"/>
      <c r="AB30" s="386"/>
      <c r="AC30" s="386"/>
      <c r="AD30" s="92"/>
      <c r="AE30" s="92"/>
      <c r="AF30" s="312">
        <f t="shared" si="6"/>
        <v>-118.1052631578807</v>
      </c>
      <c r="AG30" s="99">
        <f t="shared" si="7"/>
        <v>0.92780851885215121</v>
      </c>
      <c r="AH30" s="416"/>
    </row>
    <row r="31" spans="1:34" ht="15" customHeight="1">
      <c r="A31" s="418"/>
      <c r="B31" s="75" t="s">
        <v>81</v>
      </c>
      <c r="C31" s="88"/>
      <c r="D31" s="59" t="s">
        <v>161</v>
      </c>
      <c r="E31" s="89"/>
      <c r="F31" s="75">
        <f>VLOOKUP(D31,廠價表!$C$1:$E$43,3,0)</f>
        <v>52.21</v>
      </c>
      <c r="G31" s="90">
        <v>2345</v>
      </c>
      <c r="H31" s="91">
        <f t="shared" si="8"/>
        <v>122432.45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9"/>
        <v>90.888888888888886</v>
      </c>
      <c r="M31" s="94">
        <v>17</v>
      </c>
      <c r="N31" s="95">
        <f t="shared" si="10"/>
        <v>1366.0194174757246</v>
      </c>
      <c r="O31" s="96">
        <f t="shared" si="11"/>
        <v>80.354083380924976</v>
      </c>
      <c r="P31" s="97">
        <f t="shared" si="12"/>
        <v>-1</v>
      </c>
      <c r="Q31" s="98">
        <f t="shared" si="13"/>
        <v>-10.53480550796391</v>
      </c>
      <c r="R31" s="99">
        <f t="shared" si="14"/>
        <v>0.88409138194171732</v>
      </c>
      <c r="S31" s="421"/>
      <c r="T31" s="19">
        <v>0.52083333333333304</v>
      </c>
      <c r="U31" s="19">
        <v>0.59236111111111101</v>
      </c>
      <c r="V31" s="92">
        <f>(T31-U30)*24*60</f>
        <v>110.00000000000026</v>
      </c>
      <c r="W31" s="149">
        <f t="shared" si="4"/>
        <v>103.00000000000027</v>
      </c>
      <c r="X31" s="174"/>
      <c r="Y31" s="301"/>
      <c r="Z31" s="335"/>
      <c r="AA31" s="335"/>
      <c r="AB31" s="385" t="s">
        <v>162</v>
      </c>
      <c r="AC31" s="385"/>
      <c r="AD31" s="92"/>
      <c r="AE31" s="92"/>
      <c r="AF31" s="312">
        <f t="shared" si="6"/>
        <v>-269.98058252427541</v>
      </c>
      <c r="AG31" s="99">
        <f t="shared" si="7"/>
        <v>0.83497519405606635</v>
      </c>
      <c r="AH31" s="383"/>
    </row>
    <row r="32" spans="1:34" ht="15" customHeight="1">
      <c r="A32" s="418"/>
      <c r="B32" s="75" t="s">
        <v>81</v>
      </c>
      <c r="C32" s="177"/>
      <c r="D32" s="59" t="s">
        <v>161</v>
      </c>
      <c r="E32" s="178"/>
      <c r="F32" s="75">
        <f>VLOOKUP(D32,廠價表!$C$1:$E$43,3,0)</f>
        <v>52.21</v>
      </c>
      <c r="G32" s="90">
        <v>842</v>
      </c>
      <c r="H32" s="91">
        <f>F32*G32</f>
        <v>43960.82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>K32/J32</f>
        <v>90.888888888888886</v>
      </c>
      <c r="M32" s="94">
        <v>17</v>
      </c>
      <c r="N32" s="95">
        <f>G32/W32*60</f>
        <v>1485.8823529411889</v>
      </c>
      <c r="O32" s="96">
        <f>N32/M32</f>
        <v>87.404844290658161</v>
      </c>
      <c r="P32" s="97">
        <f>M32-J32</f>
        <v>-1</v>
      </c>
      <c r="Q32" s="98">
        <f>O32-L32</f>
        <v>-3.4840445982307244</v>
      </c>
      <c r="R32" s="99">
        <f>O32/L32</f>
        <v>0.96166699097301156</v>
      </c>
      <c r="S32" s="421"/>
      <c r="T32" s="19">
        <v>0.61666666666666703</v>
      </c>
      <c r="U32" s="19">
        <v>0.64027777777777795</v>
      </c>
      <c r="V32" s="92">
        <f>(T32-U31)*24*60</f>
        <v>35.000000000000675</v>
      </c>
      <c r="W32" s="149">
        <f t="shared" si="4"/>
        <v>33.999999999999716</v>
      </c>
      <c r="X32" s="174"/>
      <c r="Y32" s="301"/>
      <c r="Z32" s="335"/>
      <c r="AA32" s="335"/>
      <c r="AB32" s="385" t="s">
        <v>162</v>
      </c>
      <c r="AC32" s="385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15">AVERAGE(J27:J36)</f>
        <v>17.5</v>
      </c>
      <c r="K37" s="155">
        <f t="shared" si="15"/>
        <v>1738.3333333333333</v>
      </c>
      <c r="L37" s="158">
        <f t="shared" si="15"/>
        <v>99.358660130718945</v>
      </c>
      <c r="M37" s="155">
        <f t="shared" si="15"/>
        <v>16.833333333333332</v>
      </c>
      <c r="N37" s="155">
        <f t="shared" si="15"/>
        <v>1519.0714086172547</v>
      </c>
      <c r="O37" s="158">
        <f t="shared" si="15"/>
        <v>90.287224242707467</v>
      </c>
      <c r="P37" s="159">
        <f>M37-J37</f>
        <v>-0.66666666666666785</v>
      </c>
      <c r="Q37" s="160">
        <f>N37-K37</f>
        <v>-219.26192471607851</v>
      </c>
      <c r="R37" s="161">
        <f>O37/L37</f>
        <v>0.90870009845063482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-219.26192471607851</v>
      </c>
      <c r="AG37" s="124">
        <f>N37/K37</f>
        <v>0.87386658213840163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2803</v>
      </c>
      <c r="H38" s="134">
        <f>F38*G38</f>
        <v>139897.72999999998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1462.4347826086978</v>
      </c>
      <c r="O38" s="141">
        <f>N38/M38</f>
        <v>91.402173913043612</v>
      </c>
      <c r="P38" s="142">
        <f>M38-J38</f>
        <v>0</v>
      </c>
      <c r="Q38" s="143">
        <f>O38-L38</f>
        <v>-15.722826086956388</v>
      </c>
      <c r="R38" s="144">
        <f>O38/L38</f>
        <v>0.85322916138197069</v>
      </c>
      <c r="S38" s="410">
        <f>R48</f>
        <v>0.87048151211498481</v>
      </c>
      <c r="T38" s="191">
        <v>0.33333333333333298</v>
      </c>
      <c r="U38" s="191">
        <v>0.41319444444444398</v>
      </c>
      <c r="V38" s="192"/>
      <c r="W38" s="193">
        <f t="shared" si="4"/>
        <v>114.99999999999983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-251.56521739130221</v>
      </c>
      <c r="AG38" s="195">
        <f>N38/K38</f>
        <v>0.85322916138197069</v>
      </c>
      <c r="AH38" s="413">
        <f>AG48</f>
        <v>0.87122285109303299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2088</v>
      </c>
      <c r="H39" s="91">
        <f>F39*G39</f>
        <v>92498.4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1473.8823529411707</v>
      </c>
      <c r="O39" s="203">
        <f>N39/M39</f>
        <v>81.882352941176151</v>
      </c>
      <c r="P39" s="97">
        <f>M39-J39</f>
        <v>0</v>
      </c>
      <c r="Q39" s="98">
        <f>O39-L39</f>
        <v>-9.0065359477127345</v>
      </c>
      <c r="R39" s="99">
        <f>O39/L39</f>
        <v>0.90090608370487213</v>
      </c>
      <c r="S39" s="411"/>
      <c r="T39" s="20">
        <v>0.42361111111111099</v>
      </c>
      <c r="U39" s="20">
        <v>0.48263888888888901</v>
      </c>
      <c r="V39" s="92">
        <f>(T39-U38)*24*60</f>
        <v>15.000000000000506</v>
      </c>
      <c r="W39" s="205">
        <f t="shared" si="4"/>
        <v>85.000000000000341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-162.11764705882933</v>
      </c>
      <c r="AG39" s="206">
        <f>N39/K39</f>
        <v>0.90090608370487202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3519</v>
      </c>
      <c r="H40" s="91">
        <f>F40*G40</f>
        <v>155891.69999999998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1407.5999999999942</v>
      </c>
      <c r="O40" s="203">
        <f>N40/M40</f>
        <v>78.199999999999676</v>
      </c>
      <c r="P40" s="97">
        <f>M40-J40</f>
        <v>0</v>
      </c>
      <c r="Q40" s="98">
        <f>O40-L40</f>
        <v>-12.68888888888921</v>
      </c>
      <c r="R40" s="99">
        <f>O40/L40</f>
        <v>0.86039119804400621</v>
      </c>
      <c r="S40" s="393"/>
      <c r="T40" s="20">
        <v>0.54513888888888895</v>
      </c>
      <c r="U40" s="20">
        <v>0.64930555555555602</v>
      </c>
      <c r="V40" s="92">
        <f>(T40-U39)*24*60</f>
        <v>89.999999999999915</v>
      </c>
      <c r="W40" s="205">
        <f t="shared" si="4"/>
        <v>150.0000000000006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-228.40000000000578</v>
      </c>
      <c r="AG40" s="206">
        <f>N40/K40</f>
        <v>0.86039119804400621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16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16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16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16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16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7">AVERAGE(J38:J47)</f>
        <v>17.333333333333332</v>
      </c>
      <c r="K48" s="155">
        <f t="shared" si="17"/>
        <v>1662</v>
      </c>
      <c r="L48" s="158">
        <f t="shared" si="17"/>
        <v>96.300925925925924</v>
      </c>
      <c r="M48" s="155">
        <f t="shared" si="17"/>
        <v>17.333333333333332</v>
      </c>
      <c r="N48" s="155">
        <f t="shared" si="17"/>
        <v>1447.9723785166209</v>
      </c>
      <c r="O48" s="158">
        <f t="shared" si="17"/>
        <v>83.828175618073146</v>
      </c>
      <c r="P48" s="221">
        <f>M48-J48</f>
        <v>0</v>
      </c>
      <c r="Q48" s="222">
        <f>N48-K48</f>
        <v>-214.02762148337911</v>
      </c>
      <c r="R48" s="223">
        <f>O48/L48</f>
        <v>0.87048151211498481</v>
      </c>
      <c r="S48" s="396"/>
      <c r="T48" s="224"/>
      <c r="U48" s="224"/>
      <c r="V48" s="225"/>
      <c r="W48" s="226">
        <f t="shared" si="16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8">N48-K48</f>
        <v>-214.02762148337911</v>
      </c>
      <c r="AG48" s="162">
        <f t="shared" ref="AG48:AG53" si="19">N48/K48</f>
        <v>0.87122285109303299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2222</v>
      </c>
      <c r="H49" s="134">
        <f>F49*G49</f>
        <v>111742.15800000001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1550.2325581395419</v>
      </c>
      <c r="O49" s="141">
        <f>N49/M49</f>
        <v>91.190150478796582</v>
      </c>
      <c r="P49" s="229">
        <f>M49-J49</f>
        <v>0</v>
      </c>
      <c r="Q49" s="230">
        <f>O49-L49</f>
        <v>-5.045143638850476</v>
      </c>
      <c r="R49" s="52">
        <f>O49/L49</f>
        <v>0.94757491328822852</v>
      </c>
      <c r="S49" s="392">
        <f>R58</f>
        <v>0.91916869721808625</v>
      </c>
      <c r="T49" s="191">
        <v>0.29166666666666702</v>
      </c>
      <c r="U49" s="191">
        <v>0.35138888888888897</v>
      </c>
      <c r="V49" s="55"/>
      <c r="W49" s="193">
        <f t="shared" si="4"/>
        <v>85.999999999999616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18"/>
        <v>-85.767441860458121</v>
      </c>
      <c r="AG49" s="52">
        <f t="shared" si="19"/>
        <v>0.94757491328822852</v>
      </c>
      <c r="AH49" s="380">
        <f>AG58</f>
        <v>0.91969079052562641</v>
      </c>
    </row>
    <row r="50" spans="1:34" ht="15" customHeight="1">
      <c r="A50" s="405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4091</v>
      </c>
      <c r="H50" s="231">
        <f>F50*G50</f>
        <v>204427.27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1614.8684210526246</v>
      </c>
      <c r="O50" s="235">
        <f>N50/M50</f>
        <v>100.92927631578904</v>
      </c>
      <c r="P50" s="74">
        <f>M50-J50</f>
        <v>0</v>
      </c>
      <c r="Q50" s="83">
        <f>O50-L50</f>
        <v>-11.570723684210961</v>
      </c>
      <c r="R50" s="72">
        <f>O50/L50</f>
        <v>0.89714912280701364</v>
      </c>
      <c r="S50" s="393"/>
      <c r="T50" s="21">
        <v>0.358333333333333</v>
      </c>
      <c r="U50" s="21">
        <v>0.46388888888888902</v>
      </c>
      <c r="V50" s="30">
        <f>(T50-U49)*24*60</f>
        <v>9.9999999999994049</v>
      </c>
      <c r="W50" s="236">
        <f t="shared" si="4"/>
        <v>152.00000000000065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8"/>
        <v>-185.13157894737537</v>
      </c>
      <c r="AG50" s="72">
        <f t="shared" si="19"/>
        <v>0.89714912280701364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2063</v>
      </c>
      <c r="H51" s="231">
        <f>F51*G51</f>
        <v>103088.11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1650.4000000000128</v>
      </c>
      <c r="O51" s="235">
        <f>N51/M51</f>
        <v>103.1500000000008</v>
      </c>
      <c r="P51" s="74">
        <f>M51-J51</f>
        <v>0</v>
      </c>
      <c r="Q51" s="83">
        <f>O51-L51</f>
        <v>-9.3499999999991985</v>
      </c>
      <c r="R51" s="72">
        <f>O51/L51</f>
        <v>0.91688888888889597</v>
      </c>
      <c r="S51" s="393"/>
      <c r="T51" s="21">
        <v>0.52430555555555602</v>
      </c>
      <c r="U51" s="19">
        <v>0.57638888888888895</v>
      </c>
      <c r="V51" s="30">
        <f>(T51-U50)*24*60</f>
        <v>87.000000000000483</v>
      </c>
      <c r="W51" s="236">
        <f t="shared" si="4"/>
        <v>74.999999999999417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8"/>
        <v>-149.59999999998718</v>
      </c>
      <c r="AG51" s="72">
        <f t="shared" si="19"/>
        <v>0.91688888888889597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/>
      <c r="U52" s="21"/>
      <c r="V52" s="30"/>
      <c r="W52" s="236">
        <f t="shared" si="4"/>
        <v>0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8"/>
        <v>0</v>
      </c>
      <c r="AG52" s="72" t="e">
        <f t="shared" si="19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8"/>
        <v>0</v>
      </c>
      <c r="AG53" s="72" t="e">
        <f t="shared" si="19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0">AVERAGE(J49:J57)</f>
        <v>16.333333333333332</v>
      </c>
      <c r="K58" s="120">
        <f t="shared" si="20"/>
        <v>1745.3333333333333</v>
      </c>
      <c r="L58" s="117">
        <f t="shared" si="20"/>
        <v>107.07843137254902</v>
      </c>
      <c r="M58" s="120">
        <f t="shared" si="20"/>
        <v>16.333333333333332</v>
      </c>
      <c r="N58" s="120">
        <f t="shared" si="20"/>
        <v>1605.1669930640599</v>
      </c>
      <c r="O58" s="117">
        <f t="shared" si="20"/>
        <v>98.423142264862136</v>
      </c>
      <c r="P58" s="121">
        <f>M58-J58</f>
        <v>0</v>
      </c>
      <c r="Q58" s="122">
        <f>N58-K58</f>
        <v>-140.16634026927341</v>
      </c>
      <c r="R58" s="123">
        <f>O58/L58</f>
        <v>0.91916869721808625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-140.16634026927341</v>
      </c>
      <c r="AG58" s="124">
        <f>N58/K58</f>
        <v>0.91969079052562641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2362</v>
      </c>
      <c r="H59" s="243">
        <f>F59*G59</f>
        <v>63750.38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1574.6666666666665</v>
      </c>
      <c r="O59" s="138">
        <f>N59/M59</f>
        <v>104.97777777777777</v>
      </c>
      <c r="P59" s="56">
        <f>M59-J59</f>
        <v>0</v>
      </c>
      <c r="Q59" s="230">
        <f>O59-L59</f>
        <v>-4.0888888888888886</v>
      </c>
      <c r="R59" s="52">
        <f>O59/L59</f>
        <v>0.9625101874490628</v>
      </c>
      <c r="S59" s="392">
        <f>R69</f>
        <v>0.93593050210169937</v>
      </c>
      <c r="T59" s="245">
        <v>0.29861111111111099</v>
      </c>
      <c r="U59" s="245">
        <v>0.36111111111111099</v>
      </c>
      <c r="V59" s="55"/>
      <c r="W59" s="54">
        <f t="shared" si="4"/>
        <v>90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-61.333333333333485</v>
      </c>
      <c r="AG59" s="246">
        <f>N59/K59</f>
        <v>0.96251018744906269</v>
      </c>
      <c r="AH59" s="380">
        <f>AG69</f>
        <v>0.93567198218786363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1367</v>
      </c>
      <c r="H60" s="78">
        <f>F60*G60</f>
        <v>38631.420000000006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1577.3076923076978</v>
      </c>
      <c r="O60" s="81">
        <f>N60/M60</f>
        <v>143.39160839160888</v>
      </c>
      <c r="P60" s="74">
        <f>M60-J60</f>
        <v>0</v>
      </c>
      <c r="Q60" s="83">
        <f>O60-L60</f>
        <v>-5.3356643356638358</v>
      </c>
      <c r="R60" s="72">
        <f>O60/L60</f>
        <v>0.9641245063005488</v>
      </c>
      <c r="S60" s="402"/>
      <c r="T60" s="22">
        <v>0.36805555555555602</v>
      </c>
      <c r="U60" s="22">
        <v>0.40416666666666701</v>
      </c>
      <c r="V60" s="30">
        <f>(T60-U59)*24*60</f>
        <v>10.000000000000844</v>
      </c>
      <c r="W60" s="248">
        <f t="shared" si="4"/>
        <v>51.999999999999815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-58.692307692302165</v>
      </c>
      <c r="AG60" s="249">
        <f>N60/K60</f>
        <v>0.9641245063005488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774</v>
      </c>
      <c r="H61" s="254">
        <f>F61*G61</f>
        <v>21873.24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1547.9999999999477</v>
      </c>
      <c r="O61" s="238">
        <f>N61/M61</f>
        <v>140.72727272726797</v>
      </c>
      <c r="P61" s="111">
        <f>M61-J61</f>
        <v>0</v>
      </c>
      <c r="Q61" s="255">
        <f>O61-L61</f>
        <v>-8.0000000000047464</v>
      </c>
      <c r="R61" s="85">
        <f>O61/L61</f>
        <v>0.94621026894862337</v>
      </c>
      <c r="S61" s="393"/>
      <c r="T61" s="22">
        <v>0.41319444444444398</v>
      </c>
      <c r="U61" s="22">
        <v>0.43402777777777801</v>
      </c>
      <c r="V61" s="30">
        <f>(T61-U60)*24*60</f>
        <v>12.999999999998835</v>
      </c>
      <c r="W61" s="256">
        <f t="shared" si="4"/>
        <v>30.000000000001013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-88.000000000052296</v>
      </c>
      <c r="AG61" s="247">
        <f>N61/K61</f>
        <v>0.94621026894862326</v>
      </c>
      <c r="AH61" s="382"/>
    </row>
    <row r="62" spans="1:34" ht="15" customHeight="1">
      <c r="A62" s="400"/>
      <c r="B62" s="250" t="s">
        <v>132</v>
      </c>
      <c r="C62" s="251"/>
      <c r="D62" s="257" t="s">
        <v>136</v>
      </c>
      <c r="E62" s="253"/>
      <c r="F62" s="250">
        <f>VLOOKUP(D62,廠價表!$C$1:$E$43,3,0)</f>
        <v>28.26</v>
      </c>
      <c r="G62" s="38">
        <v>1943</v>
      </c>
      <c r="H62" s="254">
        <f t="shared" ref="H62:H64" si="21">F62*G62</f>
        <v>54909.18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4" si="22">K62/J62</f>
        <v>148.72727272727272</v>
      </c>
      <c r="M62" s="108">
        <v>11</v>
      </c>
      <c r="N62" s="107">
        <f t="shared" ref="N62:N64" si="23">G62/W62*60</f>
        <v>1554.3999999999792</v>
      </c>
      <c r="O62" s="238">
        <f t="shared" ref="O62:O64" si="24">N62/M62</f>
        <v>141.30909090908901</v>
      </c>
      <c r="P62" s="111">
        <f t="shared" ref="P62:P64" si="25">M62-J62</f>
        <v>0</v>
      </c>
      <c r="Q62" s="255">
        <f t="shared" ref="Q62:Q64" si="26">O62-L62</f>
        <v>-7.4181818181837116</v>
      </c>
      <c r="R62" s="85">
        <f t="shared" ref="R62:R64" si="27">O62/L62</f>
        <v>0.95012224938874035</v>
      </c>
      <c r="S62" s="393"/>
      <c r="T62" s="22">
        <v>0.44097222222222199</v>
      </c>
      <c r="U62" s="22">
        <v>0.49305555555555602</v>
      </c>
      <c r="V62" s="30">
        <f t="shared" ref="V62:V64" si="28">(T62-U61)*24*60</f>
        <v>9.999999999999325</v>
      </c>
      <c r="W62" s="248">
        <f t="shared" si="4"/>
        <v>75.000000000001009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-81.600000000020827</v>
      </c>
      <c r="AG62" s="247">
        <f>N62/K62</f>
        <v>0.95012224938874035</v>
      </c>
      <c r="AH62" s="382"/>
    </row>
    <row r="63" spans="1:34" ht="15" customHeight="1">
      <c r="A63" s="400"/>
      <c r="B63" s="258" t="s">
        <v>132</v>
      </c>
      <c r="C63" s="58"/>
      <c r="D63" s="259" t="s">
        <v>136</v>
      </c>
      <c r="E63" s="60"/>
      <c r="F63" s="250">
        <f>VLOOKUP(D63,廠價表!$C$1:$E$43,3,0)</f>
        <v>28.26</v>
      </c>
      <c r="G63" s="260">
        <v>1331</v>
      </c>
      <c r="H63" s="254">
        <f t="shared" si="21"/>
        <v>37614.060000000005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22"/>
        <v>148.72727272727272</v>
      </c>
      <c r="M63" s="68">
        <v>11</v>
      </c>
      <c r="N63" s="107">
        <f t="shared" si="23"/>
        <v>1451.9999999999798</v>
      </c>
      <c r="O63" s="238">
        <f t="shared" si="24"/>
        <v>131.99999999999815</v>
      </c>
      <c r="P63" s="111">
        <f t="shared" si="25"/>
        <v>0</v>
      </c>
      <c r="Q63" s="255">
        <f t="shared" si="26"/>
        <v>-16.727272727274567</v>
      </c>
      <c r="R63" s="85">
        <f t="shared" si="27"/>
        <v>0.88753056234717587</v>
      </c>
      <c r="S63" s="393"/>
      <c r="T63" s="22">
        <v>0.54861111111111105</v>
      </c>
      <c r="U63" s="22">
        <v>0.58680555555555602</v>
      </c>
      <c r="V63" s="30">
        <f t="shared" si="28"/>
        <v>79.999999999999233</v>
      </c>
      <c r="W63" s="248">
        <f t="shared" si="4"/>
        <v>55.000000000000767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 t="s">
        <v>132</v>
      </c>
      <c r="C64" s="76"/>
      <c r="D64" s="175" t="s">
        <v>133</v>
      </c>
      <c r="E64" s="77"/>
      <c r="F64" s="250">
        <f>VLOOKUP(D64,廠價表!$C$1:$E$43,3,0)</f>
        <v>26.99</v>
      </c>
      <c r="G64" s="30">
        <v>1355</v>
      </c>
      <c r="H64" s="254">
        <f t="shared" si="21"/>
        <v>36571.449999999997</v>
      </c>
      <c r="I64" s="182"/>
      <c r="J64" s="106">
        <f>VLOOKUP(D64,產線配置圖!$A$3:$C$40,2,0)</f>
        <v>15</v>
      </c>
      <c r="K64" s="107">
        <f>VLOOKUP(D64,產線配置圖!$A$3:$C$40,3,0)</f>
        <v>1636</v>
      </c>
      <c r="L64" s="238">
        <f t="shared" si="22"/>
        <v>109.06666666666666</v>
      </c>
      <c r="M64" s="82">
        <v>15</v>
      </c>
      <c r="N64" s="107">
        <f t="shared" si="23"/>
        <v>1478.1818181817976</v>
      </c>
      <c r="O64" s="238">
        <f t="shared" si="24"/>
        <v>98.545454545453168</v>
      </c>
      <c r="P64" s="111">
        <f t="shared" si="25"/>
        <v>0</v>
      </c>
      <c r="Q64" s="255">
        <f t="shared" si="26"/>
        <v>-10.521212121213495</v>
      </c>
      <c r="R64" s="85">
        <f t="shared" si="27"/>
        <v>0.90353411869303035</v>
      </c>
      <c r="S64" s="393"/>
      <c r="T64" s="22">
        <v>0.59722222222222199</v>
      </c>
      <c r="U64" s="22">
        <v>0.63541666666666696</v>
      </c>
      <c r="V64" s="30">
        <f t="shared" si="28"/>
        <v>14.999999999998987</v>
      </c>
      <c r="W64" s="73">
        <f t="shared" si="4"/>
        <v>55.000000000000767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9">AVERAGE(J59:J68)</f>
        <v>12.333333333333334</v>
      </c>
      <c r="K69" s="240">
        <f t="shared" si="29"/>
        <v>1636</v>
      </c>
      <c r="L69" s="268">
        <f t="shared" si="29"/>
        <v>135.50707070707071</v>
      </c>
      <c r="M69" s="240">
        <f t="shared" si="29"/>
        <v>12.333333333333334</v>
      </c>
      <c r="N69" s="240">
        <f t="shared" si="29"/>
        <v>1530.7593628593449</v>
      </c>
      <c r="O69" s="268">
        <f t="shared" si="29"/>
        <v>126.82520072519917</v>
      </c>
      <c r="P69" s="269">
        <f>M69-J69</f>
        <v>0</v>
      </c>
      <c r="Q69" s="222">
        <f>N69-K69</f>
        <v>-105.24063714065505</v>
      </c>
      <c r="R69" s="123">
        <f>O69/L69</f>
        <v>0.93593050210169937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-105.24063714065505</v>
      </c>
      <c r="AG69" s="124">
        <f>N69/K69</f>
        <v>0.93567198218786363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1026</v>
      </c>
      <c r="H70" s="243">
        <f>F70*G70</f>
        <v>45031.14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10</v>
      </c>
      <c r="N70" s="137">
        <f>G70/W70*60</f>
        <v>1139.9999999999989</v>
      </c>
      <c r="O70" s="138">
        <f>N70/M70</f>
        <v>113.99999999999989</v>
      </c>
      <c r="P70" s="56">
        <f>M70-J70</f>
        <v>-3</v>
      </c>
      <c r="Q70" s="230">
        <f>O70-L70</f>
        <v>-6.3846153846155005</v>
      </c>
      <c r="R70" s="52">
        <f>O70/L70</f>
        <v>0.94696485623003102</v>
      </c>
      <c r="S70" s="392">
        <f>R79</f>
        <v>0.86875171931427331</v>
      </c>
      <c r="T70" s="245">
        <v>0.30416666666666697</v>
      </c>
      <c r="U70" s="245">
        <v>0.34166666666666701</v>
      </c>
      <c r="V70" s="55"/>
      <c r="W70" s="54">
        <f t="shared" si="4"/>
        <v>54.00000000000005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-425.00000000000114</v>
      </c>
      <c r="AG70" s="246">
        <f>N70/K70</f>
        <v>0.72843450479233152</v>
      </c>
      <c r="AH70" s="380">
        <f>AG79</f>
        <v>0.75761208925430179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75">
        <f>VLOOKUP(D71,廠價表!$C$1:$E$43,3,0)</f>
        <v>52.21</v>
      </c>
      <c r="G71" s="30">
        <v>2906</v>
      </c>
      <c r="H71" s="78">
        <f>F71*G71</f>
        <v>151722.26</v>
      </c>
      <c r="I71" s="30"/>
      <c r="J71" s="79">
        <f>VLOOKUP(D71,產線配置圖!$A$3:$C$40,2,0)</f>
        <v>18</v>
      </c>
      <c r="K71" s="80">
        <f>VLOOKUP(D71,產線配置圖!$A$3:$C$40,3,0)</f>
        <v>1636</v>
      </c>
      <c r="L71" s="81">
        <f>K71/J71</f>
        <v>90.888888888888886</v>
      </c>
      <c r="M71" s="82">
        <v>17</v>
      </c>
      <c r="N71" s="80">
        <f>G71/W71*60</f>
        <v>1245.4285714285743</v>
      </c>
      <c r="O71" s="81">
        <f>N71/M71</f>
        <v>73.260504201680845</v>
      </c>
      <c r="P71" s="74">
        <f>M71-J71</f>
        <v>-1</v>
      </c>
      <c r="Q71" s="83">
        <f>O71-L71</f>
        <v>-17.62838468720804</v>
      </c>
      <c r="R71" s="72">
        <f>O71/L71</f>
        <v>0.80604466725565727</v>
      </c>
      <c r="S71" s="393"/>
      <c r="T71" s="22">
        <v>0.34722222222222199</v>
      </c>
      <c r="U71" s="22">
        <v>0.44444444444444398</v>
      </c>
      <c r="V71" s="30">
        <f t="shared" ref="V71:V72" si="30">(T71-U70)*24*60</f>
        <v>7.9999999999991722</v>
      </c>
      <c r="W71" s="73">
        <f t="shared" si="4"/>
        <v>139.99999999999966</v>
      </c>
      <c r="X71" s="271"/>
      <c r="Y71" s="293"/>
      <c r="Z71" s="90"/>
      <c r="AA71" s="90"/>
      <c r="AB71" s="385" t="s">
        <v>162</v>
      </c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 t="s">
        <v>81</v>
      </c>
      <c r="C72" s="76"/>
      <c r="D72" s="59" t="s">
        <v>161</v>
      </c>
      <c r="E72" s="77"/>
      <c r="F72" s="250">
        <f>VLOOKUP(D72,廠價表!$C$1:$E$43,3,0)</f>
        <v>52.21</v>
      </c>
      <c r="G72" s="202">
        <v>3475</v>
      </c>
      <c r="H72" s="254">
        <f>F72*G72</f>
        <v>181429.75</v>
      </c>
      <c r="I72" s="182"/>
      <c r="J72" s="106">
        <f>VLOOKUP(D72,產線配置圖!$A$3:$C$40,2,0)</f>
        <v>18</v>
      </c>
      <c r="K72" s="107">
        <f>VLOOKUP(D72,產線配置圖!$A$3:$C$40,3,0)</f>
        <v>1636</v>
      </c>
      <c r="L72" s="238">
        <f>K72/J72</f>
        <v>90.888888888888886</v>
      </c>
      <c r="M72" s="82">
        <v>17</v>
      </c>
      <c r="N72" s="107">
        <f>G72/W72*60</f>
        <v>1279.1411042944842</v>
      </c>
      <c r="O72" s="238">
        <f>N72/M72</f>
        <v>75.243594370263779</v>
      </c>
      <c r="P72" s="111">
        <f>M72-J72</f>
        <v>-1</v>
      </c>
      <c r="Q72" s="255">
        <f>O72-L72</f>
        <v>-15.645294518625107</v>
      </c>
      <c r="R72" s="85">
        <f>O72/L72</f>
        <v>0.82786350774128858</v>
      </c>
      <c r="S72" s="393"/>
      <c r="T72" s="22">
        <v>0.52430555555555602</v>
      </c>
      <c r="U72" s="22">
        <v>0.63749999999999996</v>
      </c>
      <c r="V72" s="30">
        <f t="shared" si="30"/>
        <v>115.00000000000135</v>
      </c>
      <c r="W72" s="73">
        <f t="shared" si="4"/>
        <v>162.99999999999926</v>
      </c>
      <c r="X72" s="272"/>
      <c r="Y72" s="288"/>
      <c r="Z72" s="90"/>
      <c r="AA72" s="90"/>
      <c r="AB72" s="385" t="s">
        <v>162</v>
      </c>
      <c r="AC72" s="385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31">AVERAGE(J70:J78)</f>
        <v>16.333333333333332</v>
      </c>
      <c r="K79" s="240">
        <f t="shared" si="31"/>
        <v>1612.3333333333333</v>
      </c>
      <c r="L79" s="268">
        <f t="shared" si="31"/>
        <v>100.72079772079773</v>
      </c>
      <c r="M79" s="240">
        <f t="shared" si="31"/>
        <v>14.666666666666666</v>
      </c>
      <c r="N79" s="240">
        <f t="shared" si="31"/>
        <v>1221.5232252410192</v>
      </c>
      <c r="O79" s="268">
        <f t="shared" si="31"/>
        <v>87.50136619064817</v>
      </c>
      <c r="P79" s="269">
        <f>M79-J79</f>
        <v>-1.6666666666666661</v>
      </c>
      <c r="Q79" s="222">
        <f>N79-K79</f>
        <v>-390.81010809231407</v>
      </c>
      <c r="R79" s="223">
        <f>O79/L79</f>
        <v>0.86875171931427331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-390.81010809231407</v>
      </c>
      <c r="AG79" s="124">
        <f>N79/K79</f>
        <v>0.75761208925430179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227" priority="1" operator="greaterThan">
      <formula>0</formula>
    </cfRule>
  </conditionalFormatting>
  <conditionalFormatting sqref="Q5:Q79 AF5:AF79">
    <cfRule type="cellIs" dxfId="226" priority="4" operator="lessThan">
      <formula>0</formula>
    </cfRule>
  </conditionalFormatting>
  <conditionalFormatting sqref="R5:R79 AG5:AG79">
    <cfRule type="cellIs" dxfId="225" priority="2" operator="greaterThan">
      <formula>1</formula>
    </cfRule>
    <cfRule type="cellIs" dxfId="224" priority="3" operator="lessThan">
      <formula>0.8</formula>
    </cfRule>
  </conditionalFormatting>
  <conditionalFormatting sqref="S5:S10 S37:S62 AH59:AH62 S69:S76 AH69:AH76">
    <cfRule type="cellIs" dxfId="223" priority="7" operator="lessThan">
      <formula>0.8</formula>
    </cfRule>
  </conditionalFormatting>
  <conditionalFormatting sqref="S19:S25 AH19:AH25">
    <cfRule type="cellIs" dxfId="222" priority="6" operator="lessThan">
      <formula>0.8</formula>
    </cfRule>
  </conditionalFormatting>
  <conditionalFormatting sqref="S79">
    <cfRule type="cellIs" dxfId="221" priority="5" operator="lessThan">
      <formula>0.8</formula>
    </cfRule>
  </conditionalFormatting>
  <conditionalFormatting sqref="AH5:AH8 S15:S16 AH15:AH16 AH49 AH79">
    <cfRule type="cellIs" dxfId="220" priority="9" operator="lessThan">
      <formula>0.8</formula>
    </cfRule>
  </conditionalFormatting>
  <conditionalFormatting sqref="AH27 S27:S28">
    <cfRule type="cellIs" dxfId="21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B62F6-3F1A-4220-8032-79A0812ACF94}">
  <dimension ref="B1:O26"/>
  <sheetViews>
    <sheetView topLeftCell="B1" zoomScale="70" zoomScaleNormal="70" workbookViewId="0">
      <selection activeCell="D18" sqref="D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46274</v>
      </c>
      <c r="E3" s="504"/>
      <c r="F3" s="3" t="s">
        <v>72</v>
      </c>
      <c r="G3" s="505">
        <f>'0909'!E1</f>
        <v>53919</v>
      </c>
      <c r="H3" s="505"/>
      <c r="I3" s="3" t="s">
        <v>2</v>
      </c>
      <c r="J3" s="506">
        <f>'0909'!G1</f>
        <v>2525715.7060000002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130.37084451690546</v>
      </c>
      <c r="G6" s="501"/>
      <c r="H6" s="502">
        <f>AVERAGE(D13:H13)</f>
        <v>128.88384432832964</v>
      </c>
      <c r="I6" s="502"/>
      <c r="J6" s="502">
        <f>AVERAGE(I13:J13)</f>
        <v>134.088344988345</v>
      </c>
      <c r="K6" s="502"/>
      <c r="L6" s="492">
        <f>'0909'!Z2</f>
        <v>0</v>
      </c>
      <c r="M6" s="493">
        <f>'0909'!AA2</f>
        <v>0</v>
      </c>
      <c r="N6" s="494">
        <f>'0909'!AD2</f>
        <v>3</v>
      </c>
      <c r="O6" s="493">
        <f>'0909'!AE2</f>
        <v>3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108.61635358917819</v>
      </c>
      <c r="G7" s="490"/>
      <c r="H7" s="491">
        <f>AVERAGE(D14:H14)</f>
        <v>104.8785681953793</v>
      </c>
      <c r="I7" s="491"/>
      <c r="J7" s="491">
        <f>AVERAGE(I14:J14)</f>
        <v>117.9608170736754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0.84771284542267022</v>
      </c>
      <c r="G8" s="496"/>
      <c r="H8" s="496">
        <f>AVERAGE(D15:H15)</f>
        <v>0.83547968202530076</v>
      </c>
      <c r="I8" s="496"/>
      <c r="J8" s="496">
        <f>AVERAGE(I15:J15)</f>
        <v>0.87829575391609394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VALUE('0909'!L15)</f>
        <v>163.1868131868132</v>
      </c>
      <c r="E13" s="13">
        <f>VALUE('0909'!L26)</f>
        <v>182.69230769230771</v>
      </c>
      <c r="F13" s="13">
        <f>VALUE('0909'!L37)</f>
        <v>93.673474945533769</v>
      </c>
      <c r="G13" s="13">
        <f>VALUE('0909'!L48)</f>
        <v>97.788194444444443</v>
      </c>
      <c r="H13" s="13">
        <f>VALUE('0909'!L58)</f>
        <v>107.07843137254902</v>
      </c>
      <c r="I13" s="13">
        <f>VALUE('0909'!L69)</f>
        <v>128.89696969696968</v>
      </c>
      <c r="J13" s="13">
        <f>'0909'!L79</f>
        <v>139.27972027972029</v>
      </c>
    </row>
    <row r="14" spans="2:15" ht="39.950000000000003" customHeight="1">
      <c r="B14" s="484"/>
      <c r="C14" s="12" t="s">
        <v>100</v>
      </c>
      <c r="D14" s="13">
        <f>VALUE('0909'!O15)</f>
        <v>146.9154734920258</v>
      </c>
      <c r="E14" s="13">
        <f>VALUE('0909'!O26)</f>
        <v>113.69573283859067</v>
      </c>
      <c r="F14" s="13">
        <f>VALUE('0909'!O37)</f>
        <v>85.463897538152381</v>
      </c>
      <c r="G14" s="13">
        <f>VALUE('0909'!O48)</f>
        <v>86.914905785323072</v>
      </c>
      <c r="H14" s="13">
        <f>VALUE('0909'!O58)</f>
        <v>91.40283132280463</v>
      </c>
      <c r="I14" s="13">
        <f>VALUE('0909'!O69)</f>
        <v>108.4525865283031</v>
      </c>
      <c r="J14" s="13">
        <f>'0909'!O79</f>
        <v>127.46904761904769</v>
      </c>
    </row>
    <row r="15" spans="2:15" ht="39.950000000000003" customHeight="1">
      <c r="B15" s="485"/>
      <c r="C15" s="10" t="s">
        <v>26</v>
      </c>
      <c r="D15" s="14">
        <f t="shared" ref="D15:I15" si="0">D14/D13</f>
        <v>0.90029010692083145</v>
      </c>
      <c r="E15" s="14">
        <f t="shared" si="0"/>
        <v>0.6223345376428121</v>
      </c>
      <c r="F15" s="14">
        <f t="shared" si="0"/>
        <v>0.912359636362857</v>
      </c>
      <c r="G15" s="14">
        <f t="shared" si="0"/>
        <v>0.88880775720530647</v>
      </c>
      <c r="H15" s="14">
        <f t="shared" si="0"/>
        <v>0.85360637199469624</v>
      </c>
      <c r="I15" s="14">
        <f t="shared" si="0"/>
        <v>0.84138972997790173</v>
      </c>
      <c r="J15" s="15">
        <f>'0909'!S70</f>
        <v>0.91520177785428614</v>
      </c>
    </row>
    <row r="16" spans="2:15" ht="17.25" customHeight="1">
      <c r="B16" s="486" t="s">
        <v>101</v>
      </c>
      <c r="C16" s="10" t="s">
        <v>34</v>
      </c>
      <c r="D16" s="16">
        <f>'0909'!T5</f>
        <v>0.29166666666666702</v>
      </c>
      <c r="E16" s="16">
        <f>'0909'!T16</f>
        <v>0.36527777777777798</v>
      </c>
      <c r="F16" s="16">
        <f>'0909'!T27</f>
        <v>0.29166666666666702</v>
      </c>
      <c r="G16" s="16">
        <f>'0909'!T38</f>
        <v>0.33333333333333298</v>
      </c>
      <c r="H16" s="16">
        <f>'0909'!T49</f>
        <v>0.29166666666666702</v>
      </c>
      <c r="I16" s="16">
        <f>'0909'!T59</f>
        <v>0.29166666666666702</v>
      </c>
      <c r="J16" s="17">
        <f>'0909'!T70</f>
        <v>0.30694444444444402</v>
      </c>
    </row>
    <row r="17" spans="2:10" ht="17.25" customHeight="1">
      <c r="B17" s="487"/>
      <c r="C17" s="10" t="s">
        <v>35</v>
      </c>
      <c r="D17" s="327">
        <v>0.62708333333333299</v>
      </c>
      <c r="E17" s="19">
        <v>0.62361111111111101</v>
      </c>
      <c r="F17" s="19">
        <v>0.66944444444444395</v>
      </c>
      <c r="G17" s="328">
        <v>0.67013888888888895</v>
      </c>
      <c r="H17" s="19">
        <v>0.55486111111111103</v>
      </c>
      <c r="I17" s="110">
        <v>0.48611111111111099</v>
      </c>
      <c r="J17" s="22">
        <v>0.5625</v>
      </c>
    </row>
    <row r="18" spans="2:10" ht="17.25" customHeight="1">
      <c r="B18" s="488" t="s">
        <v>102</v>
      </c>
      <c r="C18" s="330" t="s">
        <v>36</v>
      </c>
      <c r="D18" s="359">
        <f>'0909'!Z15</f>
        <v>0</v>
      </c>
      <c r="E18" s="360">
        <f>'0909'!Z26</f>
        <v>0</v>
      </c>
      <c r="F18" s="360">
        <f>'0909'!Z37</f>
        <v>0</v>
      </c>
      <c r="G18" s="361">
        <f>'0909'!Z48</f>
        <v>0</v>
      </c>
      <c r="H18" s="361">
        <f>'0909'!Z58</f>
        <v>0</v>
      </c>
      <c r="I18" s="360">
        <f>'0909'!Z69</f>
        <v>0</v>
      </c>
      <c r="J18" s="360">
        <f>'0909'!AA79</f>
        <v>0</v>
      </c>
    </row>
    <row r="19" spans="2:10" ht="17.25" customHeight="1">
      <c r="B19" s="489"/>
      <c r="C19" s="330" t="s">
        <v>37</v>
      </c>
      <c r="D19" s="359">
        <f>'0909'!AA15</f>
        <v>0</v>
      </c>
      <c r="E19" s="360">
        <f>'0909'!AA26</f>
        <v>0</v>
      </c>
      <c r="F19" s="360">
        <f>'0909'!AA37</f>
        <v>0</v>
      </c>
      <c r="G19" s="361">
        <f>'0909'!AA48</f>
        <v>0</v>
      </c>
      <c r="H19" s="361">
        <f>'0909'!AA58</f>
        <v>0</v>
      </c>
      <c r="I19" s="360">
        <f>'0909'!AA69</f>
        <v>0</v>
      </c>
      <c r="J19" s="360">
        <f>'0909'!AB79</f>
        <v>0</v>
      </c>
    </row>
    <row r="20" spans="2:10" ht="17.25" customHeight="1">
      <c r="B20" s="488" t="s">
        <v>103</v>
      </c>
      <c r="C20" s="330" t="s">
        <v>36</v>
      </c>
      <c r="D20" s="359">
        <f>'0909'!AD15</f>
        <v>3</v>
      </c>
      <c r="E20" s="360">
        <f>'0909'!AD26</f>
        <v>0</v>
      </c>
      <c r="F20" s="360">
        <f>'0909'!AD37</f>
        <v>0</v>
      </c>
      <c r="G20" s="361">
        <f>'0909'!AD48</f>
        <v>0</v>
      </c>
      <c r="H20" s="361">
        <f>'0909'!AD58</f>
        <v>0</v>
      </c>
      <c r="I20" s="360">
        <f>'0909'!AD69</f>
        <v>0</v>
      </c>
      <c r="J20" s="360">
        <f>'0909'!AD79</f>
        <v>0</v>
      </c>
    </row>
    <row r="21" spans="2:10" ht="17.25" customHeight="1">
      <c r="B21" s="489"/>
      <c r="C21" s="330" t="s">
        <v>85</v>
      </c>
      <c r="D21" s="359">
        <f>'0909'!AE15</f>
        <v>3</v>
      </c>
      <c r="E21" s="360">
        <f>'0909'!AE26</f>
        <v>0</v>
      </c>
      <c r="F21" s="360">
        <f>'0909'!AE37</f>
        <v>0</v>
      </c>
      <c r="G21" s="361">
        <f>'0909'!AE48</f>
        <v>0</v>
      </c>
      <c r="H21" s="361">
        <f>'0909'!AE58</f>
        <v>0</v>
      </c>
      <c r="I21" s="360">
        <f>'0909'!AE69</f>
        <v>0</v>
      </c>
      <c r="J21" s="360">
        <f>'0909'!AE79</f>
        <v>0</v>
      </c>
    </row>
    <row r="22" spans="2:10" ht="17.25" customHeight="1">
      <c r="B22" s="471" t="s">
        <v>104</v>
      </c>
      <c r="C22" s="472"/>
      <c r="D22" s="23">
        <f>VALUE('0909'!M15)</f>
        <v>13.8</v>
      </c>
      <c r="E22" s="23">
        <f>VALUE('0909'!M26)</f>
        <v>16</v>
      </c>
      <c r="F22" s="23">
        <f>VALUE('0909'!M37)</f>
        <v>16.833333333333332</v>
      </c>
      <c r="G22" s="23">
        <f>VALUE('0909'!M48)</f>
        <v>16</v>
      </c>
      <c r="H22" s="23">
        <f>VALUE('0909'!M58)</f>
        <v>16.333333333333332</v>
      </c>
      <c r="I22" s="23">
        <f>VALUE('0909'!M69)</f>
        <v>13</v>
      </c>
      <c r="J22" s="23">
        <f>'0909'!M79</f>
        <v>7.666666666666667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21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285F7-B120-4149-9E35-1187968E3069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W28" sqref="W2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53919</v>
      </c>
      <c r="F1" s="30" t="s">
        <v>2</v>
      </c>
      <c r="G1" s="31">
        <f>SUM(H5:H79)</f>
        <v>2525715.7060000002</v>
      </c>
      <c r="H1" s="32" t="s">
        <v>3</v>
      </c>
      <c r="I1" s="33">
        <f>M15+M26+M48+M58+M69+M79+M37</f>
        <v>99.633333333333326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163</v>
      </c>
      <c r="B2" s="462"/>
      <c r="C2" s="28"/>
      <c r="D2" s="28" t="s">
        <v>14</v>
      </c>
      <c r="E2" s="35">
        <f>AVERAGE(O15,O26,O37,O48,O58,O69,O79)</f>
        <v>108.61635358917819</v>
      </c>
      <c r="F2" s="36" t="s">
        <v>15</v>
      </c>
      <c r="G2" s="37">
        <f>G1/E1</f>
        <v>46.84277723993398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0</v>
      </c>
      <c r="AA2" s="339">
        <f>AA15+AA26+AA37+AA48+AA58+AA69+AA79</f>
        <v>0</v>
      </c>
      <c r="AB2" s="433"/>
      <c r="AC2" s="433"/>
      <c r="AD2" s="340">
        <f>AD15+AD26+AD37+AD48+AD58+AD69+AD79</f>
        <v>3</v>
      </c>
      <c r="AE2" s="340">
        <f>AE15+AE26+AE37+AE48+AE58+AE69+AE79</f>
        <v>3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3866</v>
      </c>
      <c r="H5" s="43">
        <f>F5*G5</f>
        <v>219859.41999999998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1999.6551724138069</v>
      </c>
      <c r="O5" s="47">
        <f>N5/M5</f>
        <v>142.83251231527191</v>
      </c>
      <c r="P5" s="49">
        <f>M5-J5</f>
        <v>0</v>
      </c>
      <c r="Q5" s="50">
        <f>O5-L5</f>
        <v>-17.881773399013809</v>
      </c>
      <c r="R5" s="51">
        <f>O5/L5</f>
        <v>0.88873563218391405</v>
      </c>
      <c r="S5" s="392">
        <f>R15</f>
        <v>0.90029010692083145</v>
      </c>
      <c r="T5" s="319">
        <v>0.29166666666666702</v>
      </c>
      <c r="U5" s="320">
        <v>0.37222222222222201</v>
      </c>
      <c r="V5" s="53"/>
      <c r="W5" s="54">
        <f t="shared" ref="W5:W14" si="0">(U5-T5)*24*60</f>
        <v>115.99999999999919</v>
      </c>
      <c r="X5" s="55"/>
      <c r="Y5" s="290"/>
      <c r="Z5" s="169"/>
      <c r="AA5" s="169"/>
      <c r="AB5" s="397" t="s">
        <v>164</v>
      </c>
      <c r="AC5" s="397"/>
      <c r="AD5" s="135">
        <v>3</v>
      </c>
      <c r="AE5" s="135">
        <v>3</v>
      </c>
      <c r="AF5" s="229">
        <f t="shared" ref="AF5:AF11" si="1">N5-K5</f>
        <v>-250.34482758619311</v>
      </c>
      <c r="AG5" s="52">
        <f t="shared" ref="AG5:AG11" si="2">N5/K5</f>
        <v>0.88873563218391416</v>
      </c>
      <c r="AH5" s="380">
        <f>AG15</f>
        <v>0.89984328805294711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2091</v>
      </c>
      <c r="H6" s="63">
        <f>F6*G6</f>
        <v>121633.47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2090.9999999999827</v>
      </c>
      <c r="O6" s="67">
        <f>N6/M6</f>
        <v>160.8461538461525</v>
      </c>
      <c r="P6" s="69">
        <f>M6-J6</f>
        <v>0</v>
      </c>
      <c r="Q6" s="70">
        <f>O6-L6</f>
        <v>-12.230769230770562</v>
      </c>
      <c r="R6" s="71">
        <f>O6/L6</f>
        <v>0.92933333333332568</v>
      </c>
      <c r="S6" s="393"/>
      <c r="T6" s="16">
        <v>0.37847222222222199</v>
      </c>
      <c r="U6" s="16">
        <v>0.42013888888888901</v>
      </c>
      <c r="V6" s="30">
        <f>(T6-U5)*24*60</f>
        <v>8.999999999999968</v>
      </c>
      <c r="W6" s="73">
        <f t="shared" si="0"/>
        <v>60.000000000000504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-159.00000000001728</v>
      </c>
      <c r="AG6" s="72">
        <f t="shared" si="2"/>
        <v>0.92933333333332568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61">
        <f>VLOOKUP(D7,廠價表!$C$1:$E$43,3,0)</f>
        <v>49.14</v>
      </c>
      <c r="G7" s="66">
        <v>2294</v>
      </c>
      <c r="H7" s="63">
        <f t="shared" ref="H7:H9" si="3">F7*G7</f>
        <v>112727.16</v>
      </c>
      <c r="I7" s="64"/>
      <c r="J7" s="65">
        <f>VLOOKUP(D7,產線配置圖!$A$3:$C$40,2,0)</f>
        <v>14</v>
      </c>
      <c r="K7" s="66">
        <f>VLOOKUP(D7,產線配置圖!$A$3:$C$40,3,0)</f>
        <v>2250</v>
      </c>
      <c r="L7" s="67">
        <f t="shared" ref="L7:L9" si="4">K7/J7</f>
        <v>160.71428571428572</v>
      </c>
      <c r="M7" s="82">
        <v>14</v>
      </c>
      <c r="N7" s="66">
        <f t="shared" ref="N7:N9" si="5">G7/W7*60</f>
        <v>1835.1999999999753</v>
      </c>
      <c r="O7" s="67">
        <f t="shared" ref="O7:O9" si="6">N7/M7</f>
        <v>131.08571428571253</v>
      </c>
      <c r="P7" s="69">
        <f t="shared" ref="P7:P9" si="7">M7-J7</f>
        <v>0</v>
      </c>
      <c r="Q7" s="70">
        <f t="shared" ref="Q7:Q9" si="8">O7-L7</f>
        <v>-29.628571428573196</v>
      </c>
      <c r="R7" s="71">
        <f t="shared" ref="R7:R9" si="9">O7/L7</f>
        <v>0.81564444444443351</v>
      </c>
      <c r="S7" s="393"/>
      <c r="T7" s="18">
        <v>0.42708333333333298</v>
      </c>
      <c r="U7" s="18">
        <v>0.47916666666666702</v>
      </c>
      <c r="V7" s="30">
        <f>(T7-U6)*24*60</f>
        <v>9.999999999999325</v>
      </c>
      <c r="W7" s="73">
        <f t="shared" si="0"/>
        <v>75.000000000001009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-414.80000000002474</v>
      </c>
      <c r="AG7" s="72">
        <f t="shared" si="2"/>
        <v>0.8156444444444334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61">
        <f>VLOOKUP(D8,廠價表!$C$1:$E$43,3,0)</f>
        <v>49.14</v>
      </c>
      <c r="G8" s="66">
        <v>2599</v>
      </c>
      <c r="H8" s="63">
        <f t="shared" si="3"/>
        <v>127714.86</v>
      </c>
      <c r="I8" s="64"/>
      <c r="J8" s="65">
        <f>VLOOKUP(D8,產線配置圖!$A$3:$C$40,2,0)</f>
        <v>14</v>
      </c>
      <c r="K8" s="66">
        <f>VLOOKUP(D8,產線配置圖!$A$3:$C$40,3,0)</f>
        <v>2250</v>
      </c>
      <c r="L8" s="67">
        <f t="shared" si="4"/>
        <v>160.71428571428572</v>
      </c>
      <c r="M8" s="82">
        <v>14</v>
      </c>
      <c r="N8" s="66">
        <f t="shared" si="5"/>
        <v>2079.2000000000116</v>
      </c>
      <c r="O8" s="67">
        <f t="shared" si="6"/>
        <v>148.51428571428656</v>
      </c>
      <c r="P8" s="69">
        <f t="shared" si="7"/>
        <v>0</v>
      </c>
      <c r="Q8" s="70">
        <f t="shared" si="8"/>
        <v>-12.199999999999164</v>
      </c>
      <c r="R8" s="71">
        <f t="shared" si="9"/>
        <v>0.92408888888889407</v>
      </c>
      <c r="S8" s="393"/>
      <c r="T8" s="16">
        <v>0.54166666666666696</v>
      </c>
      <c r="U8" s="16">
        <v>0.59375</v>
      </c>
      <c r="V8" s="30">
        <f t="shared" ref="V8:V9" si="10">(T8-U7)*24*60</f>
        <v>89.999999999999915</v>
      </c>
      <c r="W8" s="73">
        <f t="shared" si="0"/>
        <v>74.999999999999574</v>
      </c>
      <c r="X8" s="22">
        <v>0.48611111111111099</v>
      </c>
      <c r="Y8" s="84">
        <v>0.52777777777777801</v>
      </c>
      <c r="Z8" s="90"/>
      <c r="AA8" s="90"/>
      <c r="AB8" s="430"/>
      <c r="AC8" s="430"/>
      <c r="AD8" s="149"/>
      <c r="AE8" s="149"/>
      <c r="AF8" s="307">
        <f t="shared" si="1"/>
        <v>-170.79999999998836</v>
      </c>
      <c r="AG8" s="72">
        <f t="shared" si="2"/>
        <v>0.92408888888889407</v>
      </c>
      <c r="AH8" s="382"/>
    </row>
    <row r="9" spans="1:34" ht="15" customHeight="1">
      <c r="A9" s="467"/>
      <c r="B9" s="75" t="s">
        <v>81</v>
      </c>
      <c r="C9" s="86"/>
      <c r="D9" s="59" t="s">
        <v>119</v>
      </c>
      <c r="E9" s="87"/>
      <c r="F9" s="61">
        <f>VLOOKUP(D9,廠價表!$C$1:$E$43,3,0)</f>
        <v>50.67</v>
      </c>
      <c r="G9" s="62">
        <v>1165</v>
      </c>
      <c r="H9" s="63">
        <f t="shared" si="3"/>
        <v>59030.55</v>
      </c>
      <c r="I9" s="64"/>
      <c r="J9" s="65">
        <v>14</v>
      </c>
      <c r="K9" s="66">
        <f>VLOOKUP(D9,產線配置圖!$A$3:$C$40,3,0)</f>
        <v>2250</v>
      </c>
      <c r="L9" s="67">
        <f t="shared" si="4"/>
        <v>160.71428571428572</v>
      </c>
      <c r="M9" s="82">
        <v>14</v>
      </c>
      <c r="N9" s="66">
        <f t="shared" si="5"/>
        <v>2118.1818181818771</v>
      </c>
      <c r="O9" s="67">
        <f t="shared" si="6"/>
        <v>151.29870129870551</v>
      </c>
      <c r="P9" s="69">
        <f t="shared" si="7"/>
        <v>0</v>
      </c>
      <c r="Q9" s="70">
        <f t="shared" si="8"/>
        <v>-9.4155844155802129</v>
      </c>
      <c r="R9" s="71">
        <f t="shared" si="9"/>
        <v>0.94141414141416757</v>
      </c>
      <c r="S9" s="394"/>
      <c r="T9" s="22">
        <v>0.60416666666666696</v>
      </c>
      <c r="U9" s="22">
        <v>0.62708333333333299</v>
      </c>
      <c r="V9" s="30">
        <f t="shared" si="10"/>
        <v>15.000000000000426</v>
      </c>
      <c r="W9" s="73">
        <f t="shared" si="0"/>
        <v>32.999999999999083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-131.81818181812287</v>
      </c>
      <c r="AG9" s="72">
        <f t="shared" si="2"/>
        <v>0.94141414141416757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11">AVERAGE(J5:J14)</f>
        <v>13.8</v>
      </c>
      <c r="K15" s="120">
        <f t="shared" si="11"/>
        <v>2250</v>
      </c>
      <c r="L15" s="117">
        <f t="shared" si="11"/>
        <v>163.1868131868132</v>
      </c>
      <c r="M15" s="120">
        <f t="shared" si="11"/>
        <v>13.8</v>
      </c>
      <c r="N15" s="120">
        <f t="shared" si="11"/>
        <v>2024.6473981191309</v>
      </c>
      <c r="O15" s="117">
        <f t="shared" si="11"/>
        <v>146.9154734920258</v>
      </c>
      <c r="P15" s="121">
        <f>M15-J15</f>
        <v>0</v>
      </c>
      <c r="Q15" s="122">
        <f>O15-L15</f>
        <v>-16.2713396947874</v>
      </c>
      <c r="R15" s="123">
        <f>O15/L15</f>
        <v>0.90029010692083145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3</v>
      </c>
      <c r="AE15" s="323">
        <f>SUM(AE5:AE14)</f>
        <v>3</v>
      </c>
      <c r="AF15" s="309">
        <f>N15-K15</f>
        <v>-225.35260188086909</v>
      </c>
      <c r="AG15" s="124">
        <f>N15/K15</f>
        <v>0.89984328805294711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2208</v>
      </c>
      <c r="H16" s="134">
        <f>F16*G16</f>
        <v>111879.36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18</v>
      </c>
      <c r="N16" s="140">
        <f>G16/W16*60</f>
        <v>1472</v>
      </c>
      <c r="O16" s="141">
        <f>N16/M16</f>
        <v>81.777777777777771</v>
      </c>
      <c r="P16" s="142">
        <f>M16-J16</f>
        <v>5</v>
      </c>
      <c r="Q16" s="143">
        <f>O16-L16</f>
        <v>-91.299145299145295</v>
      </c>
      <c r="R16" s="144">
        <f>O16/L16</f>
        <v>0.47249382716049382</v>
      </c>
      <c r="S16" s="420">
        <f>R26</f>
        <v>0.6223345376428121</v>
      </c>
      <c r="T16" s="145">
        <v>0.36527777777777798</v>
      </c>
      <c r="U16" s="145">
        <v>0.42777777777777798</v>
      </c>
      <c r="V16" s="135"/>
      <c r="W16" s="146">
        <f t="shared" ref="W16:W78" si="12">(U16-T16)*24*60</f>
        <v>90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-778</v>
      </c>
      <c r="AG16" s="52">
        <f>N16/K16</f>
        <v>0.65422222222222226</v>
      </c>
      <c r="AH16" s="380">
        <f>AG26</f>
        <v>0.75700350443208009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1736</v>
      </c>
      <c r="H17" s="78">
        <f>F17*G17</f>
        <v>87477.040000000008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18</v>
      </c>
      <c r="N17" s="95">
        <f>G17/W17*60</f>
        <v>1578.1818181818294</v>
      </c>
      <c r="O17" s="96">
        <f>N17/M17</f>
        <v>87.676767676768293</v>
      </c>
      <c r="P17" s="97">
        <f>M17-J17</f>
        <v>6</v>
      </c>
      <c r="Q17" s="98">
        <f>O17-L17</f>
        <v>-99.823232323231707</v>
      </c>
      <c r="R17" s="99">
        <f>O17/L17</f>
        <v>0.46760942760943092</v>
      </c>
      <c r="S17" s="421"/>
      <c r="T17" s="19">
        <v>0.4375</v>
      </c>
      <c r="U17" s="19">
        <v>0.483333333333333</v>
      </c>
      <c r="V17" s="30">
        <f>(T17-U16)*24*60</f>
        <v>13.99999999999971</v>
      </c>
      <c r="W17" s="149">
        <f t="shared" si="12"/>
        <v>65.999999999999531</v>
      </c>
      <c r="X17" s="19"/>
      <c r="Y17" s="297"/>
      <c r="Z17" s="90"/>
      <c r="AA17" s="90"/>
      <c r="AB17" s="386" t="s">
        <v>165</v>
      </c>
      <c r="AC17" s="386"/>
      <c r="AD17" s="92"/>
      <c r="AE17" s="92"/>
      <c r="AF17" s="307">
        <f>N17-K17</f>
        <v>-671.81818181817061</v>
      </c>
      <c r="AG17" s="72">
        <f>N17/K17</f>
        <v>0.70141414141414637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3364</v>
      </c>
      <c r="H18" s="78">
        <f>F18*G18</f>
        <v>169511.96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2059.5918367347113</v>
      </c>
      <c r="O18" s="96">
        <f>N18/M18</f>
        <v>171.63265306122594</v>
      </c>
      <c r="P18" s="97">
        <f>M18-J18</f>
        <v>0</v>
      </c>
      <c r="Q18" s="98">
        <f>O18-L18</f>
        <v>-15.867346938774062</v>
      </c>
      <c r="R18" s="99">
        <f>O18/L18</f>
        <v>0.91537414965987163</v>
      </c>
      <c r="S18" s="421"/>
      <c r="T18" s="19">
        <v>0.55555555555555602</v>
      </c>
      <c r="U18" s="19">
        <v>0.62361111111111101</v>
      </c>
      <c r="V18" s="30">
        <f>(T18-U17)*24*60</f>
        <v>104.00000000000115</v>
      </c>
      <c r="W18" s="149">
        <f t="shared" si="12"/>
        <v>97.999999999999176</v>
      </c>
      <c r="X18" s="22">
        <v>0.48611111111111099</v>
      </c>
      <c r="Y18" s="84">
        <v>0.52777777777777801</v>
      </c>
      <c r="Z18" s="90"/>
      <c r="AA18" s="90"/>
      <c r="AB18" s="386"/>
      <c r="AC18" s="386"/>
      <c r="AD18" s="92"/>
      <c r="AE18" s="92"/>
      <c r="AF18" s="307">
        <f>N18-K18</f>
        <v>-190.40816326528875</v>
      </c>
      <c r="AG18" s="72">
        <f>N18/K18</f>
        <v>0.91537414965987163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12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12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12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13">AVERAGE(J16:J25)</f>
        <v>12.333333333333334</v>
      </c>
      <c r="K26" s="155">
        <f t="shared" si="13"/>
        <v>2250</v>
      </c>
      <c r="L26" s="158">
        <f t="shared" si="13"/>
        <v>182.69230769230771</v>
      </c>
      <c r="M26" s="155">
        <f t="shared" si="13"/>
        <v>16</v>
      </c>
      <c r="N26" s="155">
        <f t="shared" si="13"/>
        <v>1703.2578849721801</v>
      </c>
      <c r="O26" s="158">
        <f t="shared" si="13"/>
        <v>113.69573283859067</v>
      </c>
      <c r="P26" s="159">
        <f>M26-J26</f>
        <v>3.6666666666666661</v>
      </c>
      <c r="Q26" s="160">
        <f>O26-L26</f>
        <v>-68.996574853717036</v>
      </c>
      <c r="R26" s="161">
        <f>O26/L26</f>
        <v>0.6223345376428121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14">N26-K26</f>
        <v>-546.74211502781986</v>
      </c>
      <c r="AG26" s="124">
        <f t="shared" ref="AG26:AG31" si="15">N26/K26</f>
        <v>0.75700350443208009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797</v>
      </c>
      <c r="H27" s="134">
        <f>F27*G27</f>
        <v>39778.269999999997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18</v>
      </c>
      <c r="N27" s="140">
        <f>G27/W27*60</f>
        <v>1494.3750000000166</v>
      </c>
      <c r="O27" s="141">
        <f>N27/M27</f>
        <v>83.020833333334252</v>
      </c>
      <c r="P27" s="142">
        <f>M27-J27</f>
        <v>0</v>
      </c>
      <c r="Q27" s="143">
        <f>O27-L27</f>
        <v>-7.8680555555546334</v>
      </c>
      <c r="R27" s="144">
        <f>O27/L27</f>
        <v>0.91343215158925217</v>
      </c>
      <c r="S27" s="420">
        <f>R37</f>
        <v>0.912359636362857</v>
      </c>
      <c r="T27" s="171">
        <v>0.29166666666666702</v>
      </c>
      <c r="U27" s="171">
        <v>0.31388888888888899</v>
      </c>
      <c r="V27" s="135"/>
      <c r="W27" s="146">
        <f t="shared" si="12"/>
        <v>31.999999999999645</v>
      </c>
      <c r="X27" s="135"/>
      <c r="Y27" s="300" t="s">
        <v>46</v>
      </c>
      <c r="Z27" s="169"/>
      <c r="AA27" s="169"/>
      <c r="AB27" s="397"/>
      <c r="AC27" s="397"/>
      <c r="AD27" s="135"/>
      <c r="AE27" s="135"/>
      <c r="AF27" s="310">
        <f t="shared" si="14"/>
        <v>-141.6249999999834</v>
      </c>
      <c r="AG27" s="172">
        <f t="shared" si="15"/>
        <v>0.91343215158925217</v>
      </c>
      <c r="AH27" s="380">
        <f>AG37</f>
        <v>0.87875240802319987</v>
      </c>
    </row>
    <row r="28" spans="1:34" ht="15" customHeight="1">
      <c r="A28" s="418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1337</v>
      </c>
      <c r="H28" s="91">
        <f>F28*G28</f>
        <v>76489.77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1485.5555555555563</v>
      </c>
      <c r="O28" s="96">
        <f>N28/M28</f>
        <v>82.530864197530903</v>
      </c>
      <c r="P28" s="97">
        <f>M28-J28</f>
        <v>0</v>
      </c>
      <c r="Q28" s="98">
        <f>O28-L28</f>
        <v>-8.3580246913579828</v>
      </c>
      <c r="R28" s="99">
        <f>O28/L28</f>
        <v>0.90804129312686821</v>
      </c>
      <c r="S28" s="421"/>
      <c r="T28" s="19">
        <v>0.32083333333333303</v>
      </c>
      <c r="U28" s="19">
        <v>0.358333333333333</v>
      </c>
      <c r="V28" s="92">
        <f>(T28-U27)*24*60</f>
        <v>9.9999999999994049</v>
      </c>
      <c r="W28" s="149">
        <f t="shared" si="12"/>
        <v>53.999999999999972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14"/>
        <v>-150.44444444444366</v>
      </c>
      <c r="AG28" s="99">
        <f t="shared" si="15"/>
        <v>0.90804129312686821</v>
      </c>
      <c r="AH28" s="381"/>
    </row>
    <row r="29" spans="1:34" ht="15" customHeight="1">
      <c r="A29" s="418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920</v>
      </c>
      <c r="H29" s="91">
        <f>F29*G29</f>
        <v>42007.199999999997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1533.3333333333321</v>
      </c>
      <c r="O29" s="96">
        <f>N29/M29</f>
        <v>90.196078431372484</v>
      </c>
      <c r="P29" s="97">
        <f>M29-J29</f>
        <v>0</v>
      </c>
      <c r="Q29" s="98">
        <f>O29-L29</f>
        <v>-6.0392156862745736</v>
      </c>
      <c r="R29" s="99">
        <f>O29/L29</f>
        <v>0.93724531377343046</v>
      </c>
      <c r="S29" s="421"/>
      <c r="T29" s="19">
        <v>0.36388888888888898</v>
      </c>
      <c r="U29" s="19">
        <v>0.38888888888888901</v>
      </c>
      <c r="V29" s="92">
        <f>(T29-U28)*24*60</f>
        <v>8.0000000000006111</v>
      </c>
      <c r="W29" s="149">
        <f t="shared" si="12"/>
        <v>36.000000000000028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14"/>
        <v>-102.66666666666788</v>
      </c>
      <c r="AG29" s="99">
        <f t="shared" si="15"/>
        <v>0.93724531377343034</v>
      </c>
      <c r="AH29" s="381"/>
    </row>
    <row r="30" spans="1:34" ht="15" customHeight="1">
      <c r="A30" s="418"/>
      <c r="B30" s="75" t="s">
        <v>81</v>
      </c>
      <c r="C30" s="88"/>
      <c r="D30" s="59" t="s">
        <v>124</v>
      </c>
      <c r="E30" s="89"/>
      <c r="F30" s="75">
        <f>VLOOKUP(D30,廠價表!$C$1:$E$43,3,0)</f>
        <v>46.34</v>
      </c>
      <c r="G30" s="90">
        <v>810</v>
      </c>
      <c r="H30" s="91">
        <f t="shared" ref="H30:H32" si="16">F30*G30</f>
        <v>37535.4</v>
      </c>
      <c r="I30" s="92"/>
      <c r="J30" s="79">
        <f>VLOOKUP(D30,產線配置圖!$A$3:$C$40,2,0)</f>
        <v>16</v>
      </c>
      <c r="K30" s="80">
        <f>VLOOKUP(D30,產線配置圖!$A$3:$C$40,3,0)</f>
        <v>1636</v>
      </c>
      <c r="L30" s="93">
        <f t="shared" ref="L30:L32" si="17">K30/J30</f>
        <v>102.25</v>
      </c>
      <c r="M30" s="94">
        <v>16</v>
      </c>
      <c r="N30" s="95">
        <f t="shared" ref="N30:N32" si="18">G30/W30*60</f>
        <v>1518.750000000013</v>
      </c>
      <c r="O30" s="96">
        <f t="shared" ref="O30:O32" si="19">N30/M30</f>
        <v>94.92187500000081</v>
      </c>
      <c r="P30" s="97">
        <f t="shared" ref="P30:P32" si="20">M30-J30</f>
        <v>0</v>
      </c>
      <c r="Q30" s="98">
        <f t="shared" ref="Q30:Q32" si="21">O30-L30</f>
        <v>-7.32812499999919</v>
      </c>
      <c r="R30" s="99">
        <f t="shared" ref="R30:R32" si="22">O30/L30</f>
        <v>0.92833129584352869</v>
      </c>
      <c r="S30" s="421"/>
      <c r="T30" s="19">
        <v>0.39374999999999999</v>
      </c>
      <c r="U30" s="19">
        <v>0.41597222222222202</v>
      </c>
      <c r="V30" s="92">
        <f>(T30-U29)*24*60</f>
        <v>6.9999999999998153</v>
      </c>
      <c r="W30" s="149">
        <f t="shared" si="12"/>
        <v>31.999999999999726</v>
      </c>
      <c r="X30" s="174">
        <v>0.49652777777777801</v>
      </c>
      <c r="Y30" s="301">
        <v>0.53819444444444398</v>
      </c>
      <c r="Z30" s="335"/>
      <c r="AA30" s="335"/>
      <c r="AB30" s="386"/>
      <c r="AC30" s="386"/>
      <c r="AD30" s="92"/>
      <c r="AE30" s="92"/>
      <c r="AF30" s="312">
        <f t="shared" si="14"/>
        <v>-117.24999999998704</v>
      </c>
      <c r="AG30" s="99">
        <f t="shared" si="15"/>
        <v>0.92833129584352869</v>
      </c>
      <c r="AH30" s="416"/>
    </row>
    <row r="31" spans="1:34" ht="15" customHeight="1">
      <c r="A31" s="418"/>
      <c r="B31" s="75" t="s">
        <v>81</v>
      </c>
      <c r="C31" s="88"/>
      <c r="D31" s="59" t="s">
        <v>161</v>
      </c>
      <c r="E31" s="89"/>
      <c r="F31" s="75">
        <f>VLOOKUP(D31,廠價表!$C$1:$E$43,3,0)</f>
        <v>52.21</v>
      </c>
      <c r="G31" s="90">
        <v>1687</v>
      </c>
      <c r="H31" s="91">
        <f t="shared" si="16"/>
        <v>88078.27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17"/>
        <v>90.888888888888886</v>
      </c>
      <c r="M31" s="94">
        <v>16</v>
      </c>
      <c r="N31" s="95">
        <f t="shared" si="18"/>
        <v>1219.5180722891539</v>
      </c>
      <c r="O31" s="96">
        <f t="shared" si="19"/>
        <v>76.219879518072119</v>
      </c>
      <c r="P31" s="97">
        <f t="shared" si="20"/>
        <v>-2</v>
      </c>
      <c r="Q31" s="98">
        <f t="shared" si="21"/>
        <v>-14.669009370816767</v>
      </c>
      <c r="R31" s="99">
        <f t="shared" si="22"/>
        <v>0.8386050313724317</v>
      </c>
      <c r="S31" s="421"/>
      <c r="T31" s="19">
        <v>0.422916666666667</v>
      </c>
      <c r="U31" s="19">
        <v>0.48055555555555601</v>
      </c>
      <c r="V31" s="92">
        <f>(T31-U30)*24*60</f>
        <v>10.000000000000764</v>
      </c>
      <c r="W31" s="149">
        <f t="shared" si="12"/>
        <v>83.000000000000185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14"/>
        <v>-416.48192771084609</v>
      </c>
      <c r="AG31" s="99">
        <f t="shared" si="15"/>
        <v>0.7454266945532726</v>
      </c>
      <c r="AH31" s="383"/>
    </row>
    <row r="32" spans="1:34" ht="15" customHeight="1">
      <c r="A32" s="418"/>
      <c r="B32" s="75" t="s">
        <v>81</v>
      </c>
      <c r="C32" s="102"/>
      <c r="D32" s="175" t="s">
        <v>161</v>
      </c>
      <c r="E32" s="176"/>
      <c r="F32" s="75">
        <f>VLOOKUP(D32,廠價表!$C$1:$E$43,3,0)</f>
        <v>52.21</v>
      </c>
      <c r="G32" s="90">
        <v>4100</v>
      </c>
      <c r="H32" s="91">
        <f t="shared" si="16"/>
        <v>214061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17"/>
        <v>90.888888888888886</v>
      </c>
      <c r="M32" s="94">
        <v>16</v>
      </c>
      <c r="N32" s="95">
        <f t="shared" si="18"/>
        <v>1374.3016759776597</v>
      </c>
      <c r="O32" s="96">
        <f t="shared" si="19"/>
        <v>85.893854748603729</v>
      </c>
      <c r="P32" s="97">
        <f t="shared" si="20"/>
        <v>-2</v>
      </c>
      <c r="Q32" s="98">
        <f t="shared" si="21"/>
        <v>-4.9950341402851564</v>
      </c>
      <c r="R32" s="99">
        <f t="shared" si="22"/>
        <v>0.94504241165945424</v>
      </c>
      <c r="S32" s="421"/>
      <c r="T32" s="19">
        <v>0.54513888888888895</v>
      </c>
      <c r="U32" s="19">
        <v>0.66944444444444395</v>
      </c>
      <c r="V32" s="92">
        <f>(T32-U31)*24*60</f>
        <v>92.999999999999432</v>
      </c>
      <c r="W32" s="149">
        <f t="shared" si="12"/>
        <v>178.9999999999992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23">AVERAGE(J27:J36)</f>
        <v>17.5</v>
      </c>
      <c r="K37" s="155">
        <f t="shared" si="23"/>
        <v>1636</v>
      </c>
      <c r="L37" s="158">
        <f t="shared" si="23"/>
        <v>93.673474945533769</v>
      </c>
      <c r="M37" s="155">
        <f t="shared" si="23"/>
        <v>16.833333333333332</v>
      </c>
      <c r="N37" s="155">
        <f t="shared" si="23"/>
        <v>1437.638939525955</v>
      </c>
      <c r="O37" s="158">
        <f t="shared" si="23"/>
        <v>85.463897538152381</v>
      </c>
      <c r="P37" s="159">
        <f>M37-J37</f>
        <v>-0.66666666666666785</v>
      </c>
      <c r="Q37" s="160">
        <f>N37-K37</f>
        <v>-198.36106047404496</v>
      </c>
      <c r="R37" s="161">
        <f>O37/L37</f>
        <v>0.912359636362857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-198.36106047404496</v>
      </c>
      <c r="AG37" s="124">
        <f>N37/K37</f>
        <v>0.87875240802319987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2416</v>
      </c>
      <c r="H38" s="134">
        <f>F38*G38</f>
        <v>120582.56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1610.6666666666667</v>
      </c>
      <c r="O38" s="141">
        <f>N38/M38</f>
        <v>100.66666666666667</v>
      </c>
      <c r="P38" s="142">
        <f>M38-J38</f>
        <v>0</v>
      </c>
      <c r="Q38" s="143">
        <f>O38-L38</f>
        <v>-6.4583333333333286</v>
      </c>
      <c r="R38" s="144">
        <f>O38/L38</f>
        <v>0.93971217425126419</v>
      </c>
      <c r="S38" s="410">
        <f>R48</f>
        <v>0.88880775720530647</v>
      </c>
      <c r="T38" s="191">
        <v>0.33333333333333298</v>
      </c>
      <c r="U38" s="191">
        <v>0.39583333333333298</v>
      </c>
      <c r="V38" s="192"/>
      <c r="W38" s="193">
        <f t="shared" si="12"/>
        <v>90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-103.33333333333326</v>
      </c>
      <c r="AG38" s="195">
        <f>N38/K38</f>
        <v>0.93971217425126419</v>
      </c>
      <c r="AH38" s="413">
        <f>AG48</f>
        <v>0.83459525579555371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2437</v>
      </c>
      <c r="H39" s="91">
        <f>F39*G39</f>
        <v>107959.09999999999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1293.9823008849428</v>
      </c>
      <c r="O39" s="203">
        <f>N39/M39</f>
        <v>76.116605934408398</v>
      </c>
      <c r="P39" s="97">
        <f>M39-J39</f>
        <v>-1</v>
      </c>
      <c r="Q39" s="98">
        <f>O39-L39</f>
        <v>-14.772282954480488</v>
      </c>
      <c r="R39" s="99">
        <f>O39/L39</f>
        <v>0.83746876944948123</v>
      </c>
      <c r="S39" s="411"/>
      <c r="T39" s="20">
        <v>0.40208333333333302</v>
      </c>
      <c r="U39" s="20">
        <v>0.48055555555555601</v>
      </c>
      <c r="V39" s="92">
        <f>(T39-U38)*24*60</f>
        <v>9.000000000000048</v>
      </c>
      <c r="W39" s="205">
        <f t="shared" si="12"/>
        <v>113.00000000000112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-342.01769911505721</v>
      </c>
      <c r="AG39" s="206">
        <f>N39/K39</f>
        <v>0.79094272670228771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3190</v>
      </c>
      <c r="H40" s="91">
        <f>F40*G40</f>
        <v>141317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1302.0408163265338</v>
      </c>
      <c r="O40" s="203">
        <f>N40/M40</f>
        <v>76.590636254501987</v>
      </c>
      <c r="P40" s="97">
        <f>M40-J40</f>
        <v>-1</v>
      </c>
      <c r="Q40" s="98">
        <f>O40-L40</f>
        <v>-14.298252634386898</v>
      </c>
      <c r="R40" s="99">
        <f>O40/L40</f>
        <v>0.84268426196884827</v>
      </c>
      <c r="S40" s="393"/>
      <c r="T40" s="20">
        <v>0.54374999999999996</v>
      </c>
      <c r="U40" s="20">
        <v>0.64583333333333304</v>
      </c>
      <c r="V40" s="92">
        <f>(T40-U39)*24*60</f>
        <v>90.999999999999275</v>
      </c>
      <c r="W40" s="205">
        <f t="shared" si="12"/>
        <v>146.99999999999963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-333.95918367346621</v>
      </c>
      <c r="AG40" s="206">
        <f>N40/K40</f>
        <v>0.79586846963724556</v>
      </c>
      <c r="AH40" s="414"/>
    </row>
    <row r="41" spans="1:34" ht="15" customHeight="1">
      <c r="A41" s="408"/>
      <c r="B41" s="75" t="s">
        <v>81</v>
      </c>
      <c r="C41" s="207"/>
      <c r="D41" s="198" t="s">
        <v>124</v>
      </c>
      <c r="E41" s="178"/>
      <c r="F41" s="75">
        <f>VLOOKUP(D41,廠價表!$C$1:$E$43,3,0)</f>
        <v>46.34</v>
      </c>
      <c r="G41" s="199">
        <v>550</v>
      </c>
      <c r="H41" s="91">
        <f>F41*G41</f>
        <v>25487.000000000004</v>
      </c>
      <c r="I41" s="200"/>
      <c r="J41" s="148">
        <f>VLOOKUP(D41,產線配置圖!$A$3:$C$40,2,0)</f>
        <v>16</v>
      </c>
      <c r="K41" s="95">
        <f>VLOOKUP(D41,產線配置圖!$A$3:$C$40,3,0)</f>
        <v>1636</v>
      </c>
      <c r="L41" s="96">
        <f>K41/J41</f>
        <v>102.25</v>
      </c>
      <c r="M41" s="201">
        <v>14</v>
      </c>
      <c r="N41" s="202">
        <f>G41/W41*60</f>
        <v>1320.0000000000132</v>
      </c>
      <c r="O41" s="203">
        <f>N41/M41</f>
        <v>94.28571428571523</v>
      </c>
      <c r="P41" s="97">
        <f>M41-J41</f>
        <v>-2</v>
      </c>
      <c r="Q41" s="98">
        <f>O41-L41</f>
        <v>-7.9642857142847703</v>
      </c>
      <c r="R41" s="99">
        <f>O41/L41</f>
        <v>0.92210967516591913</v>
      </c>
      <c r="S41" s="393"/>
      <c r="T41" s="20">
        <v>0.65277777777777801</v>
      </c>
      <c r="U41" s="210">
        <v>0.67013888888888895</v>
      </c>
      <c r="V41" s="92">
        <f>(T41-U40)*24*60</f>
        <v>10.000000000000764</v>
      </c>
      <c r="W41" s="205">
        <f t="shared" si="12"/>
        <v>24.999999999999751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-315.99999999998681</v>
      </c>
      <c r="AG41" s="206">
        <f>N41/K41</f>
        <v>0.8068459657701792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24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24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24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24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24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25">AVERAGE(J38:J47)</f>
        <v>17</v>
      </c>
      <c r="K48" s="155">
        <f t="shared" si="25"/>
        <v>1655.5</v>
      </c>
      <c r="L48" s="158">
        <f t="shared" si="25"/>
        <v>97.788194444444443</v>
      </c>
      <c r="M48" s="155">
        <f t="shared" si="25"/>
        <v>16</v>
      </c>
      <c r="N48" s="155">
        <f t="shared" si="25"/>
        <v>1381.6724459695392</v>
      </c>
      <c r="O48" s="158">
        <f t="shared" si="25"/>
        <v>86.914905785323072</v>
      </c>
      <c r="P48" s="221">
        <f>M48-J48</f>
        <v>-1</v>
      </c>
      <c r="Q48" s="222">
        <f>N48-K48</f>
        <v>-273.82755403046076</v>
      </c>
      <c r="R48" s="223">
        <f>O48/L48</f>
        <v>0.88880775720530647</v>
      </c>
      <c r="S48" s="396"/>
      <c r="T48" s="224"/>
      <c r="U48" s="224"/>
      <c r="V48" s="225"/>
      <c r="W48" s="226">
        <f t="shared" si="24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26">N48-K48</f>
        <v>-273.82755403046076</v>
      </c>
      <c r="AG48" s="162">
        <f t="shared" ref="AG48:AG53" si="27">N48/K48</f>
        <v>0.83459525579555371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2084</v>
      </c>
      <c r="H49" s="134">
        <f>F49*G49</f>
        <v>104802.276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1453.9534883720994</v>
      </c>
      <c r="O49" s="141">
        <f>N49/M49</f>
        <v>85.526675786594083</v>
      </c>
      <c r="P49" s="229">
        <f>M49-J49</f>
        <v>0</v>
      </c>
      <c r="Q49" s="230">
        <f>O49-L49</f>
        <v>-10.708618331052975</v>
      </c>
      <c r="R49" s="52">
        <f>O49/L49</f>
        <v>0.88872462614431502</v>
      </c>
      <c r="S49" s="392">
        <f>R58</f>
        <v>0.85360637199469624</v>
      </c>
      <c r="T49" s="191">
        <v>0.29166666666666702</v>
      </c>
      <c r="U49" s="191">
        <v>0.35138888888888897</v>
      </c>
      <c r="V49" s="55"/>
      <c r="W49" s="193">
        <f t="shared" si="12"/>
        <v>85.999999999999616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26"/>
        <v>-182.0465116279006</v>
      </c>
      <c r="AG49" s="52">
        <f t="shared" si="27"/>
        <v>0.88872462614431502</v>
      </c>
      <c r="AH49" s="380">
        <f>AG58</f>
        <v>0.85425182950367029</v>
      </c>
    </row>
    <row r="50" spans="1:34" ht="15" customHeight="1">
      <c r="A50" s="405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3990</v>
      </c>
      <c r="H50" s="231">
        <f>F50*G50</f>
        <v>199380.3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1450.9090909090955</v>
      </c>
      <c r="O50" s="235">
        <f>N50/M50</f>
        <v>90.681818181818471</v>
      </c>
      <c r="P50" s="74">
        <f>M50-J50</f>
        <v>0</v>
      </c>
      <c r="Q50" s="83">
        <f>O50-L50</f>
        <v>-21.818181818181529</v>
      </c>
      <c r="R50" s="72">
        <f>O50/L50</f>
        <v>0.80606060606060859</v>
      </c>
      <c r="S50" s="393"/>
      <c r="T50" s="21">
        <v>0.35763888888888901</v>
      </c>
      <c r="U50" s="21">
        <v>0.47222222222222199</v>
      </c>
      <c r="V50" s="30">
        <f>(T50-U49)*24*60</f>
        <v>9.000000000000048</v>
      </c>
      <c r="W50" s="236">
        <f t="shared" si="12"/>
        <v>164.99999999999949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26"/>
        <v>-349.09090909090446</v>
      </c>
      <c r="AG50" s="72">
        <f t="shared" si="27"/>
        <v>0.80606060606060859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784</v>
      </c>
      <c r="H51" s="231">
        <f>F51*G51</f>
        <v>39176.479999999996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1568.0000000000223</v>
      </c>
      <c r="O51" s="235">
        <f>N51/M51</f>
        <v>98.000000000001393</v>
      </c>
      <c r="P51" s="74">
        <f>M51-J51</f>
        <v>0</v>
      </c>
      <c r="Q51" s="83">
        <f>O51-L51</f>
        <v>-14.499999999998607</v>
      </c>
      <c r="R51" s="72">
        <f>O51/L51</f>
        <v>0.87111111111112349</v>
      </c>
      <c r="S51" s="393"/>
      <c r="T51" s="21">
        <v>0.53402777777777799</v>
      </c>
      <c r="U51" s="19">
        <v>0.55486111111111103</v>
      </c>
      <c r="V51" s="30">
        <f>(T51-U50)*24*60</f>
        <v>89.000000000000639</v>
      </c>
      <c r="W51" s="236">
        <f t="shared" si="12"/>
        <v>29.999999999999574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26"/>
        <v>-231.99999999997772</v>
      </c>
      <c r="AG51" s="72">
        <f t="shared" si="27"/>
        <v>0.87111111111112349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/>
      <c r="U52" s="21"/>
      <c r="V52" s="30"/>
      <c r="W52" s="236">
        <f t="shared" si="12"/>
        <v>0</v>
      </c>
      <c r="X52" s="22">
        <v>0.47916666666666702</v>
      </c>
      <c r="Y52" s="84">
        <v>0.52083333333333304</v>
      </c>
      <c r="Z52" s="90"/>
      <c r="AA52" s="90"/>
      <c r="AB52" s="386"/>
      <c r="AC52" s="386"/>
      <c r="AD52" s="92"/>
      <c r="AE52" s="92"/>
      <c r="AF52" s="307">
        <f t="shared" si="26"/>
        <v>0</v>
      </c>
      <c r="AG52" s="72" t="e">
        <f t="shared" si="27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26"/>
        <v>0</v>
      </c>
      <c r="AG53" s="72" t="e">
        <f t="shared" si="27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8">AVERAGE(J49:J57)</f>
        <v>16.333333333333332</v>
      </c>
      <c r="K58" s="120">
        <f t="shared" si="28"/>
        <v>1745.3333333333333</v>
      </c>
      <c r="L58" s="117">
        <f t="shared" si="28"/>
        <v>107.07843137254902</v>
      </c>
      <c r="M58" s="120">
        <f t="shared" si="28"/>
        <v>16.333333333333332</v>
      </c>
      <c r="N58" s="120">
        <f t="shared" si="28"/>
        <v>1490.9541930937391</v>
      </c>
      <c r="O58" s="117">
        <f t="shared" si="28"/>
        <v>91.40283132280463</v>
      </c>
      <c r="P58" s="121">
        <f>M58-J58</f>
        <v>0</v>
      </c>
      <c r="Q58" s="122">
        <f>N58-K58</f>
        <v>-254.37914023959411</v>
      </c>
      <c r="R58" s="123">
        <f>O58/L58</f>
        <v>0.85360637199469624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-254.37914023959411</v>
      </c>
      <c r="AG58" s="124">
        <f>N58/K58</f>
        <v>0.85425182950367029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2452</v>
      </c>
      <c r="H59" s="243">
        <f>F59*G59</f>
        <v>66179.48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1548.631578947374</v>
      </c>
      <c r="O59" s="138">
        <f>N59/M59</f>
        <v>103.24210526315827</v>
      </c>
      <c r="P59" s="56">
        <f>M59-J59</f>
        <v>0</v>
      </c>
      <c r="Q59" s="230">
        <f>O59-L59</f>
        <v>-5.8245614035083975</v>
      </c>
      <c r="R59" s="52">
        <f>O59/L59</f>
        <v>0.94659631964998414</v>
      </c>
      <c r="S59" s="392">
        <f>R69</f>
        <v>0.84138972997790173</v>
      </c>
      <c r="T59" s="245">
        <v>0.29166666666666702</v>
      </c>
      <c r="U59" s="245">
        <v>0.35763888888888901</v>
      </c>
      <c r="V59" s="55"/>
      <c r="W59" s="54">
        <f t="shared" si="12"/>
        <v>94.999999999999659</v>
      </c>
      <c r="X59" s="55"/>
      <c r="Y59" s="290"/>
      <c r="Z59" s="169"/>
      <c r="AA59" s="169"/>
      <c r="AB59" s="397" t="s">
        <v>166</v>
      </c>
      <c r="AC59" s="397"/>
      <c r="AD59" s="135"/>
      <c r="AE59" s="135"/>
      <c r="AF59" s="310">
        <f>N59-K59</f>
        <v>-87.36842105262599</v>
      </c>
      <c r="AG59" s="246">
        <f>N59/K59</f>
        <v>0.94659631964998414</v>
      </c>
      <c r="AH59" s="380">
        <f>AG69</f>
        <v>0.84848444808954249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8">
        <v>1217</v>
      </c>
      <c r="H60" s="78">
        <f>F60*G60</f>
        <v>34392.420000000006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1327.6363636363433</v>
      </c>
      <c r="O60" s="81">
        <f>N60/M60</f>
        <v>120.69421487603121</v>
      </c>
      <c r="P60" s="74">
        <f>M60-J60</f>
        <v>0</v>
      </c>
      <c r="Q60" s="83">
        <f>O60-L60</f>
        <v>-28.033057851241509</v>
      </c>
      <c r="R60" s="72">
        <f>O60/L60</f>
        <v>0.81151366970436634</v>
      </c>
      <c r="S60" s="402"/>
      <c r="T60" s="22">
        <v>0.38194444444444398</v>
      </c>
      <c r="U60" s="22">
        <v>0.42013888888888901</v>
      </c>
      <c r="V60" s="30">
        <f>(T60-U59)*24*60</f>
        <v>34.999999999999154</v>
      </c>
      <c r="W60" s="248">
        <f t="shared" si="12"/>
        <v>55.000000000000846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-308.36363636365672</v>
      </c>
      <c r="AG60" s="249">
        <f>N60/K60</f>
        <v>0.81151366970436634</v>
      </c>
      <c r="AH60" s="403"/>
    </row>
    <row r="61" spans="1:34" ht="15" customHeight="1">
      <c r="A61" s="400"/>
      <c r="B61" s="250" t="s">
        <v>132</v>
      </c>
      <c r="C61" s="251"/>
      <c r="D61" s="257" t="s">
        <v>135</v>
      </c>
      <c r="E61" s="253"/>
      <c r="F61" s="250">
        <f>VLOOKUP(D61,廠價表!$C$1:$E$43,3,0)</f>
        <v>28.26</v>
      </c>
      <c r="G61" s="38">
        <v>757</v>
      </c>
      <c r="H61" s="254">
        <f t="shared" ref="H61:H62" si="29">F61*G61</f>
        <v>21392.82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 t="shared" ref="L61:L62" si="30">K61/J61</f>
        <v>148.72727272727272</v>
      </c>
      <c r="M61" s="108">
        <v>11</v>
      </c>
      <c r="N61" s="107">
        <f>G61/W61*60</f>
        <v>1297.7142857142605</v>
      </c>
      <c r="O61" s="238">
        <f>N61/M61</f>
        <v>117.97402597402369</v>
      </c>
      <c r="P61" s="111">
        <f>M61-J61</f>
        <v>0</v>
      </c>
      <c r="Q61" s="255">
        <f>O61-L61</f>
        <v>-30.75324675324903</v>
      </c>
      <c r="R61" s="85">
        <f>O61/L61</f>
        <v>0.79322389102338675</v>
      </c>
      <c r="S61" s="393"/>
      <c r="T61" s="22">
        <v>0.42708333333333298</v>
      </c>
      <c r="U61" s="22">
        <v>0.45138888888888901</v>
      </c>
      <c r="V61" s="30">
        <f>(T61-U60)*24*60</f>
        <v>9.999999999999325</v>
      </c>
      <c r="W61" s="256">
        <f t="shared" si="12"/>
        <v>35.000000000000675</v>
      </c>
      <c r="X61" s="22"/>
      <c r="Y61" s="84"/>
      <c r="Z61" s="90"/>
      <c r="AA61" s="90"/>
      <c r="AB61" s="386" t="s">
        <v>137</v>
      </c>
      <c r="AC61" s="386"/>
      <c r="AD61" s="92"/>
      <c r="AE61" s="92"/>
      <c r="AF61" s="317">
        <f>N61-K61</f>
        <v>-338.28571428573946</v>
      </c>
      <c r="AG61" s="247">
        <f>N61/K61</f>
        <v>0.79322389102338664</v>
      </c>
      <c r="AH61" s="382"/>
    </row>
    <row r="62" spans="1:34" ht="15" customHeight="1">
      <c r="A62" s="400"/>
      <c r="B62" s="258" t="s">
        <v>132</v>
      </c>
      <c r="C62" s="58"/>
      <c r="D62" s="259" t="s">
        <v>133</v>
      </c>
      <c r="E62" s="60"/>
      <c r="F62" s="250">
        <f>VLOOKUP(D62,廠價表!$C$1:$E$43,3,0)</f>
        <v>26.99</v>
      </c>
      <c r="G62" s="260">
        <v>919</v>
      </c>
      <c r="H62" s="254">
        <f t="shared" si="29"/>
        <v>24803.809999999998</v>
      </c>
      <c r="I62" s="182"/>
      <c r="J62" s="106">
        <f>VLOOKUP(D62,產線配置圖!$A$3:$C$40,2,0)</f>
        <v>15</v>
      </c>
      <c r="K62" s="107">
        <f>VLOOKUP(D62,產線配置圖!$A$3:$C$40,3,0)</f>
        <v>1636</v>
      </c>
      <c r="L62" s="238">
        <f t="shared" si="30"/>
        <v>109.06666666666666</v>
      </c>
      <c r="M62" s="68">
        <v>15</v>
      </c>
      <c r="N62" s="107">
        <f>G62/W62*60</f>
        <v>1378.4999999999882</v>
      </c>
      <c r="O62" s="238">
        <f>N62/M62</f>
        <v>91.89999999999921</v>
      </c>
      <c r="P62" s="111">
        <f>M62-J62</f>
        <v>0</v>
      </c>
      <c r="Q62" s="255">
        <f>O62-L62</f>
        <v>-17.166666666667453</v>
      </c>
      <c r="R62" s="85">
        <f>O62/L62</f>
        <v>0.84260391198043283</v>
      </c>
      <c r="S62" s="393"/>
      <c r="T62" s="22">
        <v>0.45833333333333298</v>
      </c>
      <c r="U62" s="22">
        <v>0.48611111111111099</v>
      </c>
      <c r="V62" s="30">
        <f>(T62-U61)*24*60</f>
        <v>9.999999999999325</v>
      </c>
      <c r="W62" s="248">
        <f t="shared" si="12"/>
        <v>40.000000000000341</v>
      </c>
      <c r="X62" s="22">
        <v>0.50347222222222199</v>
      </c>
      <c r="Y62" s="84">
        <v>0.54513888888888895</v>
      </c>
      <c r="Z62" s="90"/>
      <c r="AA62" s="90"/>
      <c r="AB62" s="386"/>
      <c r="AC62" s="386"/>
      <c r="AD62" s="92"/>
      <c r="AE62" s="92"/>
      <c r="AF62" s="317">
        <f>N62-K62</f>
        <v>-257.50000000001182</v>
      </c>
      <c r="AG62" s="247">
        <f>N62/K62</f>
        <v>0.84260391198043283</v>
      </c>
      <c r="AH62" s="382"/>
    </row>
    <row r="63" spans="1:34" ht="15" customHeight="1">
      <c r="A63" s="400"/>
      <c r="B63" s="258"/>
      <c r="C63" s="58"/>
      <c r="D63" s="259"/>
      <c r="E63" s="60"/>
      <c r="F63" s="250"/>
      <c r="G63" s="260"/>
      <c r="H63" s="254"/>
      <c r="I63" s="182"/>
      <c r="J63" s="106"/>
      <c r="K63" s="107"/>
      <c r="L63" s="238"/>
      <c r="M63" s="68"/>
      <c r="N63" s="107"/>
      <c r="O63" s="238"/>
      <c r="P63" s="111"/>
      <c r="Q63" s="255"/>
      <c r="R63" s="85"/>
      <c r="S63" s="393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31">AVERAGE(J59:J68)</f>
        <v>13</v>
      </c>
      <c r="K69" s="240">
        <f t="shared" si="31"/>
        <v>1636</v>
      </c>
      <c r="L69" s="268">
        <f t="shared" si="31"/>
        <v>128.89696969696968</v>
      </c>
      <c r="M69" s="240">
        <f t="shared" si="31"/>
        <v>13</v>
      </c>
      <c r="N69" s="240">
        <f t="shared" si="31"/>
        <v>1388.1205570744914</v>
      </c>
      <c r="O69" s="268">
        <f t="shared" si="31"/>
        <v>108.4525865283031</v>
      </c>
      <c r="P69" s="269">
        <f>M69-J69</f>
        <v>0</v>
      </c>
      <c r="Q69" s="222">
        <f>N69-K69</f>
        <v>-247.87944292550856</v>
      </c>
      <c r="R69" s="123">
        <f>O69/L69</f>
        <v>0.84138972997790173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-247.87944292550856</v>
      </c>
      <c r="AG69" s="124">
        <f>N69/K69</f>
        <v>0.84848444808954249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973</v>
      </c>
      <c r="H70" s="243">
        <f>F70*G70</f>
        <v>42704.97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8</v>
      </c>
      <c r="N70" s="137">
        <f>G70/W70*60</f>
        <v>833.99999999998488</v>
      </c>
      <c r="O70" s="138">
        <f>N70/M70</f>
        <v>104.24999999999811</v>
      </c>
      <c r="P70" s="56">
        <f>M70-J70</f>
        <v>-5</v>
      </c>
      <c r="Q70" s="230">
        <f>O70-L70</f>
        <v>-16.134615384617277</v>
      </c>
      <c r="R70" s="52">
        <f>O70/L70</f>
        <v>0.865974440894553</v>
      </c>
      <c r="S70" s="392">
        <f>R79</f>
        <v>0.91520177785428614</v>
      </c>
      <c r="T70" s="245">
        <v>0.30694444444444402</v>
      </c>
      <c r="U70" s="245">
        <v>0.35555555555555601</v>
      </c>
      <c r="V70" s="55"/>
      <c r="W70" s="54">
        <f t="shared" si="12"/>
        <v>70.000000000001265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-731.00000000001512</v>
      </c>
      <c r="AG70" s="246">
        <f>N70/K70</f>
        <v>0.53290734824280184</v>
      </c>
      <c r="AH70" s="380">
        <f>AG79</f>
        <v>0.60418795593490682</v>
      </c>
    </row>
    <row r="71" spans="1:36" ht="15" customHeight="1">
      <c r="A71" s="390"/>
      <c r="B71" s="75" t="s">
        <v>132</v>
      </c>
      <c r="C71" s="76"/>
      <c r="D71" s="59" t="s">
        <v>136</v>
      </c>
      <c r="E71" s="77"/>
      <c r="F71" s="250">
        <f>VLOOKUP(D71,廠價表!$C$1:$E$43,3,0)</f>
        <v>28.26</v>
      </c>
      <c r="G71" s="30">
        <v>1979</v>
      </c>
      <c r="H71" s="254">
        <f t="shared" ref="H71:H72" si="32">F71*G71</f>
        <v>55926.54</v>
      </c>
      <c r="I71" s="182"/>
      <c r="J71" s="106">
        <f>VLOOKUP(D71,產線配置圖!$A$3:$C$40,2,0)</f>
        <v>11</v>
      </c>
      <c r="K71" s="107">
        <f>VLOOKUP(D71,產線配置圖!$A$3:$C$40,3,0)</f>
        <v>1636</v>
      </c>
      <c r="L71" s="238">
        <f t="shared" ref="L71:L72" si="33">K71/J71</f>
        <v>148.72727272727272</v>
      </c>
      <c r="M71" s="82">
        <v>8</v>
      </c>
      <c r="N71" s="107">
        <f t="shared" ref="N71:N72" si="34">G71/W71*60</f>
        <v>1130.8571428571538</v>
      </c>
      <c r="O71" s="238">
        <f t="shared" ref="O71:O72" si="35">N71/M71</f>
        <v>141.35714285714423</v>
      </c>
      <c r="P71" s="111">
        <f t="shared" ref="P71:P72" si="36">M71-J71</f>
        <v>-3</v>
      </c>
      <c r="Q71" s="255">
        <f t="shared" ref="Q71:Q72" si="37">O71-L71</f>
        <v>-7.3701298701284941</v>
      </c>
      <c r="R71" s="85">
        <f t="shared" ref="R71:R72" si="38">O71/L71</f>
        <v>0.95044533705903822</v>
      </c>
      <c r="S71" s="393"/>
      <c r="T71" s="22">
        <v>0.38541666666666702</v>
      </c>
      <c r="U71" s="22">
        <v>0.45833333333333298</v>
      </c>
      <c r="V71" s="30">
        <f t="shared" ref="V71:V72" si="39">(T71-U70)*24*60</f>
        <v>42.999999999999844</v>
      </c>
      <c r="W71" s="73">
        <f t="shared" si="12"/>
        <v>104.99999999999899</v>
      </c>
      <c r="X71" s="271"/>
      <c r="Y71" s="293"/>
      <c r="Z71" s="90"/>
      <c r="AA71" s="90"/>
      <c r="AB71" s="385" t="s">
        <v>167</v>
      </c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 t="s">
        <v>132</v>
      </c>
      <c r="C72" s="76"/>
      <c r="D72" s="59" t="s">
        <v>136</v>
      </c>
      <c r="E72" s="77"/>
      <c r="F72" s="250">
        <f>VLOOKUP(D72,廠價表!$C$1:$E$43,3,0)</f>
        <v>28.26</v>
      </c>
      <c r="G72" s="202">
        <v>1197</v>
      </c>
      <c r="H72" s="254">
        <f t="shared" si="32"/>
        <v>33827.22</v>
      </c>
      <c r="I72" s="182"/>
      <c r="J72" s="106">
        <f>VLOOKUP(D72,產線配置圖!$A$3:$C$40,2,0)</f>
        <v>11</v>
      </c>
      <c r="K72" s="107">
        <f>VLOOKUP(D72,產線配置圖!$A$3:$C$40,3,0)</f>
        <v>1636</v>
      </c>
      <c r="L72" s="238">
        <f t="shared" si="33"/>
        <v>148.72727272727272</v>
      </c>
      <c r="M72" s="82">
        <v>7</v>
      </c>
      <c r="N72" s="107">
        <f t="shared" si="34"/>
        <v>957.60000000000548</v>
      </c>
      <c r="O72" s="238">
        <f t="shared" si="35"/>
        <v>136.80000000000078</v>
      </c>
      <c r="P72" s="111">
        <f t="shared" si="36"/>
        <v>-4</v>
      </c>
      <c r="Q72" s="255">
        <f t="shared" si="37"/>
        <v>-11.927272727271941</v>
      </c>
      <c r="R72" s="85">
        <f t="shared" si="38"/>
        <v>0.91980440097800042</v>
      </c>
      <c r="S72" s="393"/>
      <c r="T72" s="22">
        <v>0.51041666666666696</v>
      </c>
      <c r="U72" s="22">
        <v>0.5625</v>
      </c>
      <c r="V72" s="30">
        <f t="shared" si="39"/>
        <v>75.000000000000938</v>
      </c>
      <c r="W72" s="73">
        <f t="shared" si="12"/>
        <v>74.999999999999574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40">AVERAGE(J70:J78)</f>
        <v>11.666666666666666</v>
      </c>
      <c r="K79" s="240">
        <f t="shared" si="40"/>
        <v>1612.3333333333333</v>
      </c>
      <c r="L79" s="268">
        <f t="shared" si="40"/>
        <v>139.27972027972029</v>
      </c>
      <c r="M79" s="240">
        <f t="shared" si="40"/>
        <v>7.666666666666667</v>
      </c>
      <c r="N79" s="240">
        <f t="shared" si="40"/>
        <v>974.15238095238135</v>
      </c>
      <c r="O79" s="268">
        <f t="shared" si="40"/>
        <v>127.46904761904769</v>
      </c>
      <c r="P79" s="269">
        <f>M79-J79</f>
        <v>-3.9999999999999991</v>
      </c>
      <c r="Q79" s="222">
        <f>N79-K79</f>
        <v>-638.18095238095191</v>
      </c>
      <c r="R79" s="223">
        <f>O79/L79</f>
        <v>0.91520177785428614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-638.18095238095191</v>
      </c>
      <c r="AG79" s="124">
        <f>N79/K79</f>
        <v>0.60418795593490682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217" priority="1" operator="greaterThan">
      <formula>0</formula>
    </cfRule>
  </conditionalFormatting>
  <conditionalFormatting sqref="Q5:Q79 AF5:AF79">
    <cfRule type="cellIs" dxfId="216" priority="4" operator="lessThan">
      <formula>0</formula>
    </cfRule>
  </conditionalFormatting>
  <conditionalFormatting sqref="R5:R79 AG5:AG79">
    <cfRule type="cellIs" dxfId="215" priority="2" operator="greaterThan">
      <formula>1</formula>
    </cfRule>
    <cfRule type="cellIs" dxfId="214" priority="3" operator="lessThan">
      <formula>0.8</formula>
    </cfRule>
  </conditionalFormatting>
  <conditionalFormatting sqref="S5:S10 S37:S62 AH59:AH62 S69:S76 AH69:AH76">
    <cfRule type="cellIs" dxfId="213" priority="7" operator="lessThan">
      <formula>0.8</formula>
    </cfRule>
  </conditionalFormatting>
  <conditionalFormatting sqref="S19:S25 AH19:AH25">
    <cfRule type="cellIs" dxfId="212" priority="6" operator="lessThan">
      <formula>0.8</formula>
    </cfRule>
  </conditionalFormatting>
  <conditionalFormatting sqref="S79">
    <cfRule type="cellIs" dxfId="211" priority="5" operator="lessThan">
      <formula>0.8</formula>
    </cfRule>
  </conditionalFormatting>
  <conditionalFormatting sqref="AH5:AH8 S15:S16 AH15:AH16 AH49 AH79">
    <cfRule type="cellIs" dxfId="210" priority="9" operator="lessThan">
      <formula>0.8</formula>
    </cfRule>
  </conditionalFormatting>
  <conditionalFormatting sqref="AH27 S27:S28">
    <cfRule type="cellIs" dxfId="20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364F-1B4B-43A1-87E4-6120FB9244DA}">
  <dimension ref="B1:O26"/>
  <sheetViews>
    <sheetView topLeftCell="B1" zoomScale="70" zoomScaleNormal="70" workbookViewId="0">
      <selection activeCell="J18" sqref="J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46275</v>
      </c>
      <c r="E3" s="504"/>
      <c r="F3" s="3" t="s">
        <v>72</v>
      </c>
      <c r="G3" s="505">
        <f>'0910'!E1</f>
        <v>51693</v>
      </c>
      <c r="H3" s="505"/>
      <c r="I3" s="3" t="s">
        <v>2</v>
      </c>
      <c r="J3" s="506">
        <f>'0910'!G1</f>
        <v>2422250.5380000002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125.94885581116675</v>
      </c>
      <c r="G6" s="501"/>
      <c r="H6" s="502">
        <f>AVERAGE(D13:H13)</f>
        <v>127.04201740525271</v>
      </c>
      <c r="I6" s="502"/>
      <c r="J6" s="502">
        <f>AVERAGE(I13:J13)</f>
        <v>123.21595182595183</v>
      </c>
      <c r="K6" s="502"/>
      <c r="L6" s="492">
        <f>'0910'!Z2</f>
        <v>0</v>
      </c>
      <c r="M6" s="493">
        <f>'0910'!AA2</f>
        <v>0</v>
      </c>
      <c r="N6" s="494">
        <f>'0910'!AD2</f>
        <v>1</v>
      </c>
      <c r="O6" s="493">
        <f>'0910'!AE2</f>
        <v>1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111.90552921602611</v>
      </c>
      <c r="G7" s="490"/>
      <c r="H7" s="491">
        <f>AVERAGE(D14:H14)</f>
        <v>113.03471717987058</v>
      </c>
      <c r="I7" s="491"/>
      <c r="J7" s="491">
        <f>AVERAGE(I14:J14)</f>
        <v>109.08255930641491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0.8855024670755457</v>
      </c>
      <c r="G8" s="496"/>
      <c r="H8" s="496">
        <f>AVERAGE(D15:H15)</f>
        <v>0.8879715825677984</v>
      </c>
      <c r="I8" s="496"/>
      <c r="J8" s="496">
        <f>AVERAGE(I15:J15)</f>
        <v>0.87932967834491405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VALUE('0910'!L15)</f>
        <v>164.83516483516482</v>
      </c>
      <c r="E13" s="13">
        <f>VALUE('0910'!L26)</f>
        <v>171.42857142857142</v>
      </c>
      <c r="F13" s="13">
        <f>VALUE('0910'!L37)</f>
        <v>95.566993464052288</v>
      </c>
      <c r="G13" s="13">
        <f>VALUE('0910'!L48)</f>
        <v>96.300925925925924</v>
      </c>
      <c r="H13" s="13">
        <f>VALUE('0910'!L58)</f>
        <v>107.07843137254902</v>
      </c>
      <c r="I13" s="13">
        <f>VALUE('0910'!L69)</f>
        <v>140.79515151515153</v>
      </c>
      <c r="J13" s="13">
        <f>'0910'!L79</f>
        <v>105.63675213675214</v>
      </c>
    </row>
    <row r="14" spans="2:15" ht="39.950000000000003" customHeight="1">
      <c r="B14" s="484"/>
      <c r="C14" s="12" t="s">
        <v>100</v>
      </c>
      <c r="D14" s="13">
        <f>VALUE('0910'!O15)</f>
        <v>151.4573965179296</v>
      </c>
      <c r="E14" s="13">
        <f>VALUE('0910'!O26)</f>
        <v>151.31639546994057</v>
      </c>
      <c r="F14" s="13">
        <f>VALUE('0910'!O37)</f>
        <v>83.433677992115022</v>
      </c>
      <c r="G14" s="13">
        <f>VALUE('0910'!O48)</f>
        <v>89.883555308916229</v>
      </c>
      <c r="H14" s="13">
        <f>VALUE('0910'!O58)</f>
        <v>89.082560610451523</v>
      </c>
      <c r="I14" s="13">
        <f>VALUE('0910'!O69)</f>
        <v>129.69303922163272</v>
      </c>
      <c r="J14" s="13">
        <f>'0910'!O79</f>
        <v>88.472079391197099</v>
      </c>
    </row>
    <row r="15" spans="2:15" ht="39.950000000000003" customHeight="1">
      <c r="B15" s="485"/>
      <c r="C15" s="10" t="s">
        <v>26</v>
      </c>
      <c r="D15" s="14">
        <f t="shared" ref="D15:I15" si="0">D14/D13</f>
        <v>0.91884153887543962</v>
      </c>
      <c r="E15" s="14">
        <f t="shared" si="0"/>
        <v>0.88267897357465341</v>
      </c>
      <c r="F15" s="14">
        <f t="shared" si="0"/>
        <v>0.87303863988876829</v>
      </c>
      <c r="G15" s="14">
        <f t="shared" si="0"/>
        <v>0.93336127814652692</v>
      </c>
      <c r="H15" s="14">
        <f t="shared" si="0"/>
        <v>0.83193748235360332</v>
      </c>
      <c r="I15" s="14">
        <f t="shared" si="0"/>
        <v>0.92114705532083563</v>
      </c>
      <c r="J15" s="15">
        <f>'0910'!S70</f>
        <v>0.83751230136899235</v>
      </c>
    </row>
    <row r="16" spans="2:15" ht="17.25" customHeight="1">
      <c r="B16" s="486" t="s">
        <v>101</v>
      </c>
      <c r="C16" s="10" t="s">
        <v>34</v>
      </c>
      <c r="D16" s="16">
        <f>'0910'!T5</f>
        <v>0.29236111111111102</v>
      </c>
      <c r="E16" s="16">
        <f>'0910'!T16</f>
        <v>0.29861111111111099</v>
      </c>
      <c r="F16" s="16">
        <f>'0910'!T27</f>
        <v>0.29166666666666702</v>
      </c>
      <c r="G16" s="16">
        <f>'0910'!T38</f>
        <v>0.33333333333333298</v>
      </c>
      <c r="H16" s="16">
        <f>'0910'!T49</f>
        <v>0.29166666666666702</v>
      </c>
      <c r="I16" s="16">
        <f>'0910'!T59</f>
        <v>0.29513888888888901</v>
      </c>
      <c r="J16" s="17">
        <f>'0910'!T70</f>
        <v>0.29513888888888901</v>
      </c>
    </row>
    <row r="17" spans="2:10" ht="17.25" customHeight="1">
      <c r="B17" s="487"/>
      <c r="C17" s="10" t="s">
        <v>35</v>
      </c>
      <c r="D17" s="18">
        <v>0.47430555555555598</v>
      </c>
      <c r="E17" s="19">
        <v>0.63333333333333297</v>
      </c>
      <c r="F17" s="183">
        <v>0.625694444444444</v>
      </c>
      <c r="G17" s="20">
        <v>0.60069444444444398</v>
      </c>
      <c r="H17" s="329">
        <v>0.55208333333333304</v>
      </c>
      <c r="I17" s="22">
        <v>0.60416666666666696</v>
      </c>
      <c r="J17" s="110">
        <v>0.45</v>
      </c>
    </row>
    <row r="18" spans="2:10" ht="17.25" customHeight="1">
      <c r="B18" s="488" t="s">
        <v>102</v>
      </c>
      <c r="C18" s="330" t="s">
        <v>36</v>
      </c>
      <c r="D18" s="359">
        <f>'0910'!Z15</f>
        <v>0</v>
      </c>
      <c r="E18" s="360">
        <f>'0910'!Z26</f>
        <v>0</v>
      </c>
      <c r="F18" s="360">
        <f>'0910'!Z37</f>
        <v>0</v>
      </c>
      <c r="G18" s="361">
        <f>'0910'!Z48</f>
        <v>0</v>
      </c>
      <c r="H18" s="361">
        <f>'0910'!Z58</f>
        <v>0</v>
      </c>
      <c r="I18" s="360">
        <f>'0910'!Z69</f>
        <v>0</v>
      </c>
      <c r="J18" s="360">
        <f>'0910'!AA79</f>
        <v>0</v>
      </c>
    </row>
    <row r="19" spans="2:10" ht="17.25" customHeight="1">
      <c r="B19" s="489"/>
      <c r="C19" s="330" t="s">
        <v>37</v>
      </c>
      <c r="D19" s="359">
        <f>'0910'!AA15</f>
        <v>0</v>
      </c>
      <c r="E19" s="360">
        <f>'0910'!AA26</f>
        <v>0</v>
      </c>
      <c r="F19" s="360">
        <f>'0910'!AA37</f>
        <v>0</v>
      </c>
      <c r="G19" s="361">
        <f>'0910'!AA48</f>
        <v>0</v>
      </c>
      <c r="H19" s="361">
        <f>'0910'!AA58</f>
        <v>0</v>
      </c>
      <c r="I19" s="360">
        <f>'0910'!AA69</f>
        <v>0</v>
      </c>
      <c r="J19" s="360">
        <f>'0910'!AB79</f>
        <v>0</v>
      </c>
    </row>
    <row r="20" spans="2:10" ht="17.25" customHeight="1">
      <c r="B20" s="488" t="s">
        <v>103</v>
      </c>
      <c r="C20" s="330" t="s">
        <v>36</v>
      </c>
      <c r="D20" s="359">
        <f>'0910'!AD15</f>
        <v>0</v>
      </c>
      <c r="E20" s="360">
        <f>'0910'!AD26</f>
        <v>1</v>
      </c>
      <c r="F20" s="360">
        <f>'0910'!AD37</f>
        <v>0</v>
      </c>
      <c r="G20" s="361">
        <f>'0910'!AD48</f>
        <v>0</v>
      </c>
      <c r="H20" s="361">
        <f>'0910'!AD58</f>
        <v>0</v>
      </c>
      <c r="I20" s="360">
        <f>'0910'!AD69</f>
        <v>0</v>
      </c>
      <c r="J20" s="360">
        <f>'0910'!AD79</f>
        <v>0</v>
      </c>
    </row>
    <row r="21" spans="2:10" ht="17.25" customHeight="1">
      <c r="B21" s="489"/>
      <c r="C21" s="330" t="s">
        <v>85</v>
      </c>
      <c r="D21" s="359">
        <f>'0910'!AE15</f>
        <v>0</v>
      </c>
      <c r="E21" s="360">
        <f>'0910'!AE26</f>
        <v>1</v>
      </c>
      <c r="F21" s="360">
        <f>'0910'!AE37</f>
        <v>0</v>
      </c>
      <c r="G21" s="361">
        <f>'0910'!AE48</f>
        <v>0</v>
      </c>
      <c r="H21" s="361">
        <f>'0910'!AE58</f>
        <v>0</v>
      </c>
      <c r="I21" s="360">
        <f>'0910'!AE69</f>
        <v>0</v>
      </c>
      <c r="J21" s="360">
        <f>'0910'!AE79</f>
        <v>0</v>
      </c>
    </row>
    <row r="22" spans="2:10" ht="17.25" customHeight="1">
      <c r="B22" s="471" t="s">
        <v>104</v>
      </c>
      <c r="C22" s="472"/>
      <c r="D22" s="23">
        <f>VALUE('0910'!M15)</f>
        <v>13.666666666666666</v>
      </c>
      <c r="E22" s="23">
        <f>VALUE('0910'!M26)</f>
        <v>13.2</v>
      </c>
      <c r="F22" s="23">
        <f>VALUE('0910'!M37)</f>
        <v>16.5</v>
      </c>
      <c r="G22" s="23">
        <f>VALUE('0910'!M48)</f>
        <v>16.666666666666668</v>
      </c>
      <c r="H22" s="23">
        <f>VALUE('0910'!M58)</f>
        <v>16.333333333333332</v>
      </c>
      <c r="I22" s="23">
        <f>VALUE('0910'!M69)</f>
        <v>11.8</v>
      </c>
      <c r="J22" s="23">
        <f>'0910'!M79</f>
        <v>10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20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80F66-D340-4A6E-A209-AC1127B69D40}">
  <sheetPr>
    <tabColor theme="9" tint="0.79998168889431442"/>
  </sheetPr>
  <dimension ref="A1:AJ92"/>
  <sheetViews>
    <sheetView zoomScale="69" zoomScaleNormal="69" workbookViewId="0">
      <pane xSplit="5" ySplit="4" topLeftCell="H47" activePane="bottomRight" state="frozen"/>
      <selection activeCell="G76" sqref="G76"/>
      <selection pane="topRight" activeCell="G76" sqref="G76"/>
      <selection pane="bottomLeft" activeCell="G76" sqref="G76"/>
      <selection pane="bottomRight" activeCell="U63" sqref="U6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51693</v>
      </c>
      <c r="F1" s="30" t="s">
        <v>2</v>
      </c>
      <c r="G1" s="31">
        <f>SUM(H5:H79)</f>
        <v>2422250.5380000002</v>
      </c>
      <c r="H1" s="32" t="s">
        <v>3</v>
      </c>
      <c r="I1" s="33">
        <f>M15+M26+M48+M58+M69+M79+M37</f>
        <v>98.166666666666657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168</v>
      </c>
      <c r="B2" s="462"/>
      <c r="C2" s="28"/>
      <c r="D2" s="28" t="s">
        <v>14</v>
      </c>
      <c r="E2" s="35">
        <f>AVERAGE(O15,O26,O37,O48,O58,O69,O79)</f>
        <v>111.90552921602611</v>
      </c>
      <c r="F2" s="36" t="s">
        <v>15</v>
      </c>
      <c r="G2" s="37">
        <f>G1/E1</f>
        <v>46.858385816261389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0</v>
      </c>
      <c r="AA2" s="339">
        <f>AA15+AA26+AA37+AA48+AA58+AA69+AA79</f>
        <v>0</v>
      </c>
      <c r="AB2" s="433"/>
      <c r="AC2" s="433"/>
      <c r="AD2" s="340">
        <f>AD15+AD26+AD37+AD48+AD58+AD69+AD79</f>
        <v>1</v>
      </c>
      <c r="AE2" s="340">
        <f>AE15+AE26+AE37+AE48+AE58+AE69+AE79</f>
        <v>1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1884</v>
      </c>
      <c r="H5" s="43">
        <f>F5*G5</f>
        <v>107143.08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2093.3333333333344</v>
      </c>
      <c r="O5" s="47">
        <f>N5/M5</f>
        <v>149.5238095238096</v>
      </c>
      <c r="P5" s="49">
        <f>M5-J5</f>
        <v>0</v>
      </c>
      <c r="Q5" s="50">
        <f>O5-L5</f>
        <v>-11.190476190476119</v>
      </c>
      <c r="R5" s="51">
        <f>O5/L5</f>
        <v>0.93037037037037085</v>
      </c>
      <c r="S5" s="392">
        <f>R15</f>
        <v>0.91884153887543962</v>
      </c>
      <c r="T5" s="319">
        <v>0.29236111111111102</v>
      </c>
      <c r="U5" s="320">
        <v>0.32986111111111099</v>
      </c>
      <c r="V5" s="53"/>
      <c r="W5" s="54">
        <f t="shared" ref="W5:W14" si="0">(U5-T5)*24*60</f>
        <v>53.999999999999972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-156.66666666666561</v>
      </c>
      <c r="AG5" s="52">
        <f t="shared" ref="AG5:AG11" si="2">N5/K5</f>
        <v>0.93037037037037085</v>
      </c>
      <c r="AH5" s="380">
        <f>AG15</f>
        <v>0.91950139000986686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1976</v>
      </c>
      <c r="H6" s="63">
        <f>F6*G6</f>
        <v>114943.92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2009.4915254237415</v>
      </c>
      <c r="O6" s="67">
        <f>N6/M6</f>
        <v>154.57627118644166</v>
      </c>
      <c r="P6" s="69">
        <f>M6-J6</f>
        <v>0</v>
      </c>
      <c r="Q6" s="70">
        <f>O6-L6</f>
        <v>-18.500651890481407</v>
      </c>
      <c r="R6" s="71">
        <f>O6/L6</f>
        <v>0.89310734463277408</v>
      </c>
      <c r="S6" s="393"/>
      <c r="T6" s="16">
        <v>0.33750000000000002</v>
      </c>
      <c r="U6" s="16">
        <v>0.37847222222222199</v>
      </c>
      <c r="V6" s="30">
        <f>(T6-U5)*24*60</f>
        <v>11.000000000000201</v>
      </c>
      <c r="W6" s="73">
        <f t="shared" si="0"/>
        <v>58.999999999999631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-240.50847457625855</v>
      </c>
      <c r="AG6" s="72">
        <f t="shared" si="2"/>
        <v>0.89310734463277397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4418</v>
      </c>
      <c r="H7" s="78">
        <f>F7*G7</f>
        <v>217100.52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2103.8095238095248</v>
      </c>
      <c r="O7" s="81">
        <f>N7/M7</f>
        <v>150.2721088435375</v>
      </c>
      <c r="P7" s="74">
        <f>M7-J7</f>
        <v>0</v>
      </c>
      <c r="Q7" s="83">
        <f>O7-L7</f>
        <v>-10.442176870748227</v>
      </c>
      <c r="R7" s="72">
        <f>O7/L7</f>
        <v>0.93502645502645543</v>
      </c>
      <c r="S7" s="393"/>
      <c r="T7" s="18">
        <v>0.38680555555555601</v>
      </c>
      <c r="U7" s="18">
        <v>0.47430555555555598</v>
      </c>
      <c r="V7" s="30">
        <f>(T7-U6)*24*60</f>
        <v>12.000000000000997</v>
      </c>
      <c r="W7" s="73">
        <f t="shared" si="0"/>
        <v>125.99999999999996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-146.19047619047524</v>
      </c>
      <c r="AG7" s="72">
        <f t="shared" si="2"/>
        <v>0.93502645502645543</v>
      </c>
      <c r="AH7" s="382"/>
    </row>
    <row r="8" spans="1:34" ht="15" customHeight="1">
      <c r="A8" s="466"/>
      <c r="B8" s="75" t="s">
        <v>81</v>
      </c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93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0</v>
      </c>
      <c r="AG8" s="72" t="e">
        <f t="shared" si="2"/>
        <v>#DIV/0!</v>
      </c>
      <c r="AH8" s="382"/>
    </row>
    <row r="9" spans="1:34" ht="15" customHeight="1">
      <c r="A9" s="467"/>
      <c r="B9" s="75" t="s">
        <v>81</v>
      </c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13.666666666666666</v>
      </c>
      <c r="K15" s="120">
        <f t="shared" si="3"/>
        <v>2250</v>
      </c>
      <c r="L15" s="117">
        <f t="shared" si="3"/>
        <v>164.83516483516482</v>
      </c>
      <c r="M15" s="120">
        <f t="shared" si="3"/>
        <v>13.666666666666666</v>
      </c>
      <c r="N15" s="120">
        <f t="shared" si="3"/>
        <v>2068.8781275222004</v>
      </c>
      <c r="O15" s="117">
        <f t="shared" si="3"/>
        <v>151.4573965179296</v>
      </c>
      <c r="P15" s="121">
        <f>M15-J15</f>
        <v>0</v>
      </c>
      <c r="Q15" s="122">
        <f>O15-L15</f>
        <v>-13.377768317235223</v>
      </c>
      <c r="R15" s="123">
        <f>O15/L15</f>
        <v>0.91884153887543962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-181.12187247779957</v>
      </c>
      <c r="AG15" s="124">
        <f>N15/K15</f>
        <v>0.91950139000986686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1541</v>
      </c>
      <c r="H16" s="134">
        <f>F16*G16</f>
        <v>87636.67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1849.2000000000126</v>
      </c>
      <c r="O16" s="141">
        <f>N16/M16</f>
        <v>132.08571428571517</v>
      </c>
      <c r="P16" s="142">
        <f>M16-J16</f>
        <v>0</v>
      </c>
      <c r="Q16" s="143">
        <f>O16-L16</f>
        <v>-28.628571428570552</v>
      </c>
      <c r="R16" s="144">
        <f>O16/L16</f>
        <v>0.82186666666667207</v>
      </c>
      <c r="S16" s="420">
        <f>R26</f>
        <v>0.88267897357465341</v>
      </c>
      <c r="T16" s="145">
        <v>0.29861111111111099</v>
      </c>
      <c r="U16" s="19">
        <v>0.33333333333333298</v>
      </c>
      <c r="V16" s="135"/>
      <c r="W16" s="146">
        <f t="shared" ref="W16:W78" si="4">(U16-T16)*24*60</f>
        <v>49.999999999999659</v>
      </c>
      <c r="X16" s="141"/>
      <c r="Y16" s="296"/>
      <c r="Z16" s="169"/>
      <c r="AA16" s="169"/>
      <c r="AB16" s="397" t="s">
        <v>169</v>
      </c>
      <c r="AC16" s="397"/>
      <c r="AD16" s="135">
        <v>1</v>
      </c>
      <c r="AE16" s="135">
        <v>1</v>
      </c>
      <c r="AF16" s="229">
        <f>N16-K16</f>
        <v>-400.79999999998745</v>
      </c>
      <c r="AG16" s="52">
        <f>N16/K16</f>
        <v>0.8218666666666723</v>
      </c>
      <c r="AH16" s="380">
        <f>AG26</f>
        <v>0.88344020978690529</v>
      </c>
    </row>
    <row r="17" spans="1:34" ht="15" customHeight="1">
      <c r="A17" s="427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4049</v>
      </c>
      <c r="H17" s="78">
        <f>F17*G17</f>
        <v>205162.83000000002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2149.9115044247851</v>
      </c>
      <c r="O17" s="96">
        <f>N17/M17</f>
        <v>153.56510745891322</v>
      </c>
      <c r="P17" s="97">
        <f>M17-J17</f>
        <v>0</v>
      </c>
      <c r="Q17" s="98">
        <f>O17-L17</f>
        <v>-7.1491782553725045</v>
      </c>
      <c r="R17" s="99">
        <f>O17/L17</f>
        <v>0.95551622418879334</v>
      </c>
      <c r="S17" s="421"/>
      <c r="T17" s="19">
        <v>0.34166666666666701</v>
      </c>
      <c r="U17" s="19">
        <v>0.42013888888888901</v>
      </c>
      <c r="V17" s="30">
        <f>(T17-U16)*24*60</f>
        <v>12.000000000000997</v>
      </c>
      <c r="W17" s="149">
        <f t="shared" si="4"/>
        <v>112.99999999999967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-100.08849557521489</v>
      </c>
      <c r="AG17" s="72">
        <f>N17/K17</f>
        <v>0.95551622418879334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2217</v>
      </c>
      <c r="H18" s="78">
        <f t="shared" ref="H18:H20" si="5">F18*G18</f>
        <v>111714.63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 t="shared" ref="L18:L20" si="6">K18/J18</f>
        <v>187.5</v>
      </c>
      <c r="M18" s="148">
        <v>12</v>
      </c>
      <c r="N18" s="95">
        <f t="shared" ref="N18:N20" si="7">G18/W18*60</f>
        <v>2015.4545454545623</v>
      </c>
      <c r="O18" s="96">
        <f t="shared" ref="O18:O20" si="8">N18/M18</f>
        <v>167.95454545454686</v>
      </c>
      <c r="P18" s="97">
        <f t="shared" ref="P18:P20" si="9">M18-J18</f>
        <v>0</v>
      </c>
      <c r="Q18" s="98">
        <f t="shared" ref="Q18:Q20" si="10">O18-L18</f>
        <v>-19.54545454545314</v>
      </c>
      <c r="R18" s="99">
        <f t="shared" ref="R18:R20" si="11">O18/L18</f>
        <v>0.8957575757575833</v>
      </c>
      <c r="S18" s="421"/>
      <c r="T18" s="19">
        <v>0.43055555555555602</v>
      </c>
      <c r="U18" s="19">
        <v>0.47638888888888897</v>
      </c>
      <c r="V18" s="30">
        <f>(T18-U17)*24*60</f>
        <v>15.000000000000506</v>
      </c>
      <c r="W18" s="149">
        <f t="shared" si="4"/>
        <v>65.999999999999446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-234.54545454543768</v>
      </c>
      <c r="AG18" s="72">
        <f>N18/K18</f>
        <v>0.8957575757575833</v>
      </c>
      <c r="AH18" s="382"/>
    </row>
    <row r="19" spans="1:34" ht="15" customHeight="1">
      <c r="A19" s="427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2191</v>
      </c>
      <c r="H19" s="78">
        <f t="shared" si="5"/>
        <v>110404.49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si="6"/>
        <v>187.5</v>
      </c>
      <c r="M19" s="148">
        <v>12</v>
      </c>
      <c r="N19" s="95">
        <f t="shared" si="7"/>
        <v>1905.2173913043721</v>
      </c>
      <c r="O19" s="96">
        <f t="shared" si="8"/>
        <v>158.76811594203102</v>
      </c>
      <c r="P19" s="97">
        <f t="shared" si="9"/>
        <v>0</v>
      </c>
      <c r="Q19" s="98">
        <f t="shared" si="10"/>
        <v>-28.731884057968983</v>
      </c>
      <c r="R19" s="99">
        <f t="shared" si="11"/>
        <v>0.84676328502416542</v>
      </c>
      <c r="S19" s="421"/>
      <c r="T19" s="19">
        <v>0.54166666666666696</v>
      </c>
      <c r="U19" s="19">
        <v>0.58958333333333302</v>
      </c>
      <c r="V19" s="30">
        <f>(T19-U18)*24*60</f>
        <v>94.000000000000313</v>
      </c>
      <c r="W19" s="149">
        <f t="shared" si="4"/>
        <v>68.999999999999119</v>
      </c>
      <c r="X19" s="22"/>
      <c r="Y19" s="84"/>
      <c r="Z19" s="90"/>
      <c r="AA19" s="90"/>
      <c r="AB19" s="430" t="s">
        <v>170</v>
      </c>
      <c r="AC19" s="430"/>
      <c r="AD19" s="149"/>
      <c r="AE19" s="149"/>
      <c r="AF19" s="307">
        <f>N19-K19</f>
        <v>-344.78260869562791</v>
      </c>
      <c r="AG19" s="72">
        <f>N19/K19</f>
        <v>0.84676328502416542</v>
      </c>
      <c r="AH19" s="383"/>
    </row>
    <row r="20" spans="1:34" ht="15" customHeight="1">
      <c r="A20" s="427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1245</v>
      </c>
      <c r="H20" s="78">
        <f t="shared" si="5"/>
        <v>63084.15</v>
      </c>
      <c r="I20" s="30"/>
      <c r="J20" s="79">
        <v>14</v>
      </c>
      <c r="K20" s="80">
        <f>VLOOKUP(D20,產線配置圖!$A$3:$C$40,3,0)</f>
        <v>2250</v>
      </c>
      <c r="L20" s="81">
        <f t="shared" si="6"/>
        <v>160.71428571428572</v>
      </c>
      <c r="M20" s="148">
        <v>14</v>
      </c>
      <c r="N20" s="95">
        <f t="shared" si="7"/>
        <v>2018.9189189189524</v>
      </c>
      <c r="O20" s="96">
        <f t="shared" si="8"/>
        <v>144.2084942084966</v>
      </c>
      <c r="P20" s="97">
        <f t="shared" si="9"/>
        <v>0</v>
      </c>
      <c r="Q20" s="98">
        <f t="shared" si="10"/>
        <v>-16.505791505789119</v>
      </c>
      <c r="R20" s="99">
        <f t="shared" si="11"/>
        <v>0.89729729729731211</v>
      </c>
      <c r="S20" s="421"/>
      <c r="T20" s="19">
        <v>0.60763888888888895</v>
      </c>
      <c r="U20" s="19">
        <v>0.63333333333333297</v>
      </c>
      <c r="V20" s="30">
        <f>(T20-U19)*24*60</f>
        <v>26.000000000000547</v>
      </c>
      <c r="W20" s="149">
        <f t="shared" si="4"/>
        <v>36.999999999999389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12">AVERAGE(J16:J25)</f>
        <v>13.2</v>
      </c>
      <c r="K26" s="155">
        <f t="shared" si="12"/>
        <v>2250</v>
      </c>
      <c r="L26" s="158">
        <f t="shared" si="12"/>
        <v>171.42857142857142</v>
      </c>
      <c r="M26" s="155">
        <f t="shared" si="12"/>
        <v>13.2</v>
      </c>
      <c r="N26" s="155">
        <f t="shared" si="12"/>
        <v>1987.740472020537</v>
      </c>
      <c r="O26" s="158">
        <f t="shared" si="12"/>
        <v>151.31639546994057</v>
      </c>
      <c r="P26" s="159">
        <f>M26-J26</f>
        <v>0</v>
      </c>
      <c r="Q26" s="160">
        <f>O26-L26</f>
        <v>-20.112175958630843</v>
      </c>
      <c r="R26" s="161">
        <f>O26/L26</f>
        <v>0.88267897357465341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1</v>
      </c>
      <c r="AE26" s="323">
        <f>SUM(AE16:AE25)</f>
        <v>1</v>
      </c>
      <c r="AF26" s="309">
        <f t="shared" ref="AF26:AF31" si="13">N26-K26</f>
        <v>-262.25952797946297</v>
      </c>
      <c r="AG26" s="124">
        <f t="shared" ref="AG26:AG31" si="14">N26/K26</f>
        <v>0.88344020978690529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772</v>
      </c>
      <c r="H27" s="134">
        <f>F27*G27</f>
        <v>38530.519999999997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17</v>
      </c>
      <c r="N27" s="140">
        <f>G27/W27*60</f>
        <v>1323.4285714286034</v>
      </c>
      <c r="O27" s="141">
        <f>N27/M27</f>
        <v>77.848739495800203</v>
      </c>
      <c r="P27" s="142">
        <f>M27-J27</f>
        <v>-1</v>
      </c>
      <c r="Q27" s="143">
        <f>O27-L27</f>
        <v>-13.040149393088683</v>
      </c>
      <c r="R27" s="144">
        <f>O27/L27</f>
        <v>0.85652647367017343</v>
      </c>
      <c r="S27" s="420">
        <f>R37</f>
        <v>0.87303863988876829</v>
      </c>
      <c r="T27" s="171">
        <v>0.29166666666666702</v>
      </c>
      <c r="U27" s="171">
        <v>0.31597222222222199</v>
      </c>
      <c r="V27" s="135"/>
      <c r="W27" s="146">
        <f t="shared" si="4"/>
        <v>34.999999999999154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13"/>
        <v>-312.57142857139661</v>
      </c>
      <c r="AG27" s="172">
        <f t="shared" si="14"/>
        <v>0.80894166957738589</v>
      </c>
      <c r="AH27" s="380">
        <f>AG37</f>
        <v>0.83881050102087362</v>
      </c>
    </row>
    <row r="28" spans="1:34" ht="15" customHeight="1">
      <c r="A28" s="418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1141</v>
      </c>
      <c r="H28" s="91">
        <f>F28*G28</f>
        <v>65276.61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1316.5384615384662</v>
      </c>
      <c r="O28" s="96">
        <f>N28/M28</f>
        <v>73.141025641025905</v>
      </c>
      <c r="P28" s="97">
        <f>M28-J28</f>
        <v>0</v>
      </c>
      <c r="Q28" s="98">
        <f>O28-L28</f>
        <v>-17.747863247862981</v>
      </c>
      <c r="R28" s="99">
        <f>O28/L28</f>
        <v>0.80473011096483271</v>
      </c>
      <c r="S28" s="421"/>
      <c r="T28" s="19">
        <v>0.32222222222222202</v>
      </c>
      <c r="U28" s="19">
        <v>0.358333333333333</v>
      </c>
      <c r="V28" s="92">
        <f>(T28-U27)*24*60</f>
        <v>9.000000000000048</v>
      </c>
      <c r="W28" s="149">
        <f t="shared" si="4"/>
        <v>51.999999999999815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13"/>
        <v>-319.46153846153379</v>
      </c>
      <c r="AG28" s="99">
        <f t="shared" si="14"/>
        <v>0.8047301109648326</v>
      </c>
      <c r="AH28" s="381"/>
    </row>
    <row r="29" spans="1:34" ht="15" customHeight="1">
      <c r="A29" s="418"/>
      <c r="B29" s="75" t="s">
        <v>81</v>
      </c>
      <c r="C29" s="173"/>
      <c r="D29" s="59" t="s">
        <v>124</v>
      </c>
      <c r="E29" s="104"/>
      <c r="F29" s="75">
        <f>VLOOKUP(D29,廠價表!$C$1:$E$43,3,0)</f>
        <v>46.34</v>
      </c>
      <c r="G29" s="90">
        <v>958</v>
      </c>
      <c r="H29" s="91">
        <f>F29*G29</f>
        <v>44393.72</v>
      </c>
      <c r="I29" s="92"/>
      <c r="J29" s="79">
        <f>VLOOKUP(D29,產線配置圖!$A$3:$C$40,2,0)</f>
        <v>16</v>
      </c>
      <c r="K29" s="80">
        <f>VLOOKUP(D29,產線配置圖!$A$3:$C$40,3,0)</f>
        <v>1636</v>
      </c>
      <c r="L29" s="93">
        <f>K29/J29</f>
        <v>102.25</v>
      </c>
      <c r="M29" s="94">
        <v>16</v>
      </c>
      <c r="N29" s="95">
        <f t="shared" ref="N29:N32" si="15">G29/W29*60</f>
        <v>1512.631578947361</v>
      </c>
      <c r="O29" s="96">
        <f t="shared" ref="O29:O32" si="16">N29/M29</f>
        <v>94.539473684210066</v>
      </c>
      <c r="P29" s="97">
        <f t="shared" ref="P29:P32" si="17">M29-J29</f>
        <v>0</v>
      </c>
      <c r="Q29" s="98">
        <f t="shared" ref="Q29:Q32" si="18">O29-L29</f>
        <v>-7.7105263157899344</v>
      </c>
      <c r="R29" s="99">
        <f t="shared" ref="R29:R32" si="19">O29/L29</f>
        <v>0.92459142967442609</v>
      </c>
      <c r="S29" s="421"/>
      <c r="T29" s="19">
        <v>0.36666666666666697</v>
      </c>
      <c r="U29" s="19">
        <v>0.39305555555555599</v>
      </c>
      <c r="V29" s="92">
        <f>(T29-U28)*24*60</f>
        <v>12.000000000000917</v>
      </c>
      <c r="W29" s="149">
        <f t="shared" si="4"/>
        <v>38.000000000000185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13"/>
        <v>-123.36842105263895</v>
      </c>
      <c r="AG29" s="99">
        <f t="shared" si="14"/>
        <v>0.92459142967442609</v>
      </c>
      <c r="AH29" s="381"/>
    </row>
    <row r="30" spans="1:34" ht="15" customHeight="1">
      <c r="A30" s="418"/>
      <c r="B30" s="75" t="s">
        <v>81</v>
      </c>
      <c r="C30" s="88"/>
      <c r="D30" s="59" t="s">
        <v>126</v>
      </c>
      <c r="E30" s="89"/>
      <c r="F30" s="75">
        <f>VLOOKUP(D30,廠價表!$C$1:$E$43,3,0)</f>
        <v>45.66</v>
      </c>
      <c r="G30" s="90">
        <v>848</v>
      </c>
      <c r="H30" s="91">
        <f t="shared" ref="H30:H32" si="20">F30*G30</f>
        <v>38719.68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2" si="21">K30/J30</f>
        <v>96.235294117647058</v>
      </c>
      <c r="M30" s="94">
        <v>16</v>
      </c>
      <c r="N30" s="95">
        <f t="shared" si="15"/>
        <v>1453.7142857143176</v>
      </c>
      <c r="O30" s="96">
        <f t="shared" si="16"/>
        <v>90.857142857144851</v>
      </c>
      <c r="P30" s="97">
        <f t="shared" si="17"/>
        <v>-1</v>
      </c>
      <c r="Q30" s="98">
        <f t="shared" si="18"/>
        <v>-5.3781512605022073</v>
      </c>
      <c r="R30" s="99">
        <f t="shared" si="19"/>
        <v>0.94411456514148073</v>
      </c>
      <c r="S30" s="421"/>
      <c r="T30" s="19">
        <v>0.39791666666666697</v>
      </c>
      <c r="U30" s="19">
        <v>0.422222222222222</v>
      </c>
      <c r="V30" s="92">
        <f>(T30-U29)*24*60</f>
        <v>6.9999999999998153</v>
      </c>
      <c r="W30" s="149">
        <f t="shared" si="4"/>
        <v>34.999999999999233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13"/>
        <v>-182.28571428568239</v>
      </c>
      <c r="AG30" s="99">
        <f t="shared" si="14"/>
        <v>0.88857841425080542</v>
      </c>
      <c r="AH30" s="416"/>
    </row>
    <row r="31" spans="1:34" ht="15" customHeight="1">
      <c r="A31" s="418"/>
      <c r="B31" s="75" t="s">
        <v>81</v>
      </c>
      <c r="C31" s="88"/>
      <c r="D31" s="59" t="s">
        <v>124</v>
      </c>
      <c r="E31" s="89"/>
      <c r="F31" s="75">
        <f>VLOOKUP(D31,廠價表!$C$1:$E$43,3,0)</f>
        <v>46.34</v>
      </c>
      <c r="G31" s="90">
        <v>460</v>
      </c>
      <c r="H31" s="91">
        <f t="shared" si="20"/>
        <v>21316.400000000001</v>
      </c>
      <c r="I31" s="92"/>
      <c r="J31" s="79">
        <f>VLOOKUP(D31,產線配置圖!$A$3:$C$40,2,0)</f>
        <v>16</v>
      </c>
      <c r="K31" s="80">
        <f>VLOOKUP(D31,產線配置圖!$A$3:$C$40,3,0)</f>
        <v>1636</v>
      </c>
      <c r="L31" s="93">
        <f t="shared" si="21"/>
        <v>102.25</v>
      </c>
      <c r="M31" s="94">
        <v>16</v>
      </c>
      <c r="N31" s="95">
        <f t="shared" si="15"/>
        <v>1379.9999999999882</v>
      </c>
      <c r="O31" s="96">
        <f t="shared" si="16"/>
        <v>86.249999999999261</v>
      </c>
      <c r="P31" s="97">
        <f t="shared" si="17"/>
        <v>0</v>
      </c>
      <c r="Q31" s="98">
        <f t="shared" si="18"/>
        <v>-16.000000000000739</v>
      </c>
      <c r="R31" s="99">
        <f t="shared" si="19"/>
        <v>0.84352078239608075</v>
      </c>
      <c r="S31" s="421"/>
      <c r="T31" s="19">
        <v>0.42916666666666697</v>
      </c>
      <c r="U31" s="19">
        <v>0.44305555555555598</v>
      </c>
      <c r="V31" s="92">
        <f t="shared" ref="V31:V32" si="22">(T31-U30)*24*60</f>
        <v>10.000000000000764</v>
      </c>
      <c r="W31" s="149">
        <f t="shared" si="4"/>
        <v>20.000000000000171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13"/>
        <v>-256.00000000001182</v>
      </c>
      <c r="AG31" s="99">
        <f t="shared" si="14"/>
        <v>0.84352078239608075</v>
      </c>
      <c r="AH31" s="383"/>
    </row>
    <row r="32" spans="1:34" ht="15" customHeight="1">
      <c r="A32" s="418"/>
      <c r="B32" s="75" t="s">
        <v>81</v>
      </c>
      <c r="C32" s="173"/>
      <c r="D32" s="59" t="s">
        <v>161</v>
      </c>
      <c r="E32" s="176"/>
      <c r="F32" s="75">
        <f>VLOOKUP(D32,廠價表!$C$1:$E$43,3,0)</f>
        <v>52.21</v>
      </c>
      <c r="G32" s="90">
        <v>3181</v>
      </c>
      <c r="H32" s="91">
        <f t="shared" si="20"/>
        <v>166080.01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21"/>
        <v>90.888888888888886</v>
      </c>
      <c r="M32" s="94">
        <v>16</v>
      </c>
      <c r="N32" s="95">
        <f t="shared" si="15"/>
        <v>1247.4509803921574</v>
      </c>
      <c r="O32" s="96">
        <f t="shared" si="16"/>
        <v>77.965686274509835</v>
      </c>
      <c r="P32" s="97">
        <f t="shared" si="17"/>
        <v>-2</v>
      </c>
      <c r="Q32" s="98">
        <f t="shared" si="18"/>
        <v>-12.923202614379051</v>
      </c>
      <c r="R32" s="99">
        <f t="shared" si="19"/>
        <v>0.8578131741694236</v>
      </c>
      <c r="S32" s="421"/>
      <c r="T32" s="19">
        <v>0.51944444444444404</v>
      </c>
      <c r="U32" s="19">
        <v>0.625694444444444</v>
      </c>
      <c r="V32" s="92">
        <f t="shared" si="22"/>
        <v>109.99999999999881</v>
      </c>
      <c r="W32" s="149">
        <f t="shared" si="4"/>
        <v>152.99999999999994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23">AVERAGE(J27:J36)</f>
        <v>17.166666666666668</v>
      </c>
      <c r="K37" s="155">
        <f t="shared" si="23"/>
        <v>1636</v>
      </c>
      <c r="L37" s="158">
        <f t="shared" si="23"/>
        <v>95.566993464052288</v>
      </c>
      <c r="M37" s="155">
        <f t="shared" si="23"/>
        <v>16.5</v>
      </c>
      <c r="N37" s="155">
        <f t="shared" si="23"/>
        <v>1372.2939796701492</v>
      </c>
      <c r="O37" s="158">
        <f t="shared" si="23"/>
        <v>83.433677992115022</v>
      </c>
      <c r="P37" s="159">
        <f>M37-J37</f>
        <v>-0.66666666666666785</v>
      </c>
      <c r="Q37" s="160">
        <f>N37-K37</f>
        <v>-263.70602032985084</v>
      </c>
      <c r="R37" s="161">
        <f>O37/L37</f>
        <v>0.87303863988876829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-263.70602032985084</v>
      </c>
      <c r="AG37" s="124">
        <f>N37/K37</f>
        <v>0.83881050102087362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2235</v>
      </c>
      <c r="H38" s="134">
        <f>F38*G38</f>
        <v>111548.84999999999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1577.6470588235231</v>
      </c>
      <c r="O38" s="141">
        <f>N38/M38</f>
        <v>98.602941176470196</v>
      </c>
      <c r="P38" s="142">
        <f>M38-J38</f>
        <v>0</v>
      </c>
      <c r="Q38" s="143">
        <f>O38-L38</f>
        <v>-8.5220588235298038</v>
      </c>
      <c r="R38" s="144">
        <f>O38/L38</f>
        <v>0.92044752556798315</v>
      </c>
      <c r="S38" s="410">
        <f>R48</f>
        <v>0.93336127814652692</v>
      </c>
      <c r="T38" s="191">
        <v>0.33333333333333298</v>
      </c>
      <c r="U38" s="191">
        <v>0.39236111111111099</v>
      </c>
      <c r="V38" s="192"/>
      <c r="W38" s="193">
        <f t="shared" si="4"/>
        <v>85.000000000000341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-136.35294117647686</v>
      </c>
      <c r="AG38" s="195">
        <f>N38/K38</f>
        <v>0.92044752556798315</v>
      </c>
      <c r="AH38" s="413">
        <f>AG48</f>
        <v>0.8996105855552059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2579</v>
      </c>
      <c r="H39" s="91">
        <f>F39*G39</f>
        <v>114249.7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1459.8113207547199</v>
      </c>
      <c r="O39" s="203">
        <f>N39/M39</f>
        <v>85.871254162042348</v>
      </c>
      <c r="P39" s="97">
        <f>M39-J39</f>
        <v>-1</v>
      </c>
      <c r="Q39" s="98">
        <f>O39-L39</f>
        <v>-5.0176347268465378</v>
      </c>
      <c r="R39" s="99">
        <f>O39/L39</f>
        <v>0.94479374994912124</v>
      </c>
      <c r="S39" s="411"/>
      <c r="T39" s="20">
        <v>0.39861111111111103</v>
      </c>
      <c r="U39" s="20">
        <v>0.47222222222222199</v>
      </c>
      <c r="V39" s="92">
        <f>(T39-U38)*24*60</f>
        <v>9.000000000000048</v>
      </c>
      <c r="W39" s="205">
        <f t="shared" si="4"/>
        <v>105.99999999999979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-176.18867924528013</v>
      </c>
      <c r="AG39" s="206">
        <f>N39/K39</f>
        <v>0.89230520828528115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2534</v>
      </c>
      <c r="H40" s="91">
        <f>F40*G40</f>
        <v>112256.2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1448.0000000000139</v>
      </c>
      <c r="O40" s="203">
        <f>N40/M40</f>
        <v>85.176470588236114</v>
      </c>
      <c r="P40" s="97">
        <f>M40-J40</f>
        <v>-1</v>
      </c>
      <c r="Q40" s="98">
        <f>O40-L40</f>
        <v>-5.7124183006527716</v>
      </c>
      <c r="R40" s="99">
        <f>O40/L40</f>
        <v>0.9371494318999084</v>
      </c>
      <c r="S40" s="393"/>
      <c r="T40" s="20">
        <v>0.52777777777777801</v>
      </c>
      <c r="U40" s="20">
        <v>0.60069444444444398</v>
      </c>
      <c r="V40" s="92">
        <f>(T40-U39)*24*60</f>
        <v>80.000000000000682</v>
      </c>
      <c r="W40" s="205">
        <f t="shared" si="4"/>
        <v>104.99999999999899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-187.99999999998613</v>
      </c>
      <c r="AG40" s="206">
        <f>N40/K40</f>
        <v>0.88508557457213566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24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24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24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24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24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25">AVERAGE(J38:J47)</f>
        <v>17.333333333333332</v>
      </c>
      <c r="K48" s="155">
        <f t="shared" si="25"/>
        <v>1662</v>
      </c>
      <c r="L48" s="158">
        <f t="shared" si="25"/>
        <v>96.300925925925924</v>
      </c>
      <c r="M48" s="155">
        <f t="shared" si="25"/>
        <v>16.666666666666668</v>
      </c>
      <c r="N48" s="155">
        <f t="shared" si="25"/>
        <v>1495.1527931927521</v>
      </c>
      <c r="O48" s="158">
        <f t="shared" si="25"/>
        <v>89.883555308916229</v>
      </c>
      <c r="P48" s="221">
        <f>M48-J48</f>
        <v>-0.6666666666666643</v>
      </c>
      <c r="Q48" s="222">
        <f>N48-K48</f>
        <v>-166.84720680724786</v>
      </c>
      <c r="R48" s="223">
        <f>O48/L48</f>
        <v>0.93336127814652692</v>
      </c>
      <c r="S48" s="396"/>
      <c r="T48" s="224"/>
      <c r="U48" s="224"/>
      <c r="V48" s="225"/>
      <c r="W48" s="226">
        <f t="shared" si="24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26">N48-K48</f>
        <v>-166.84720680724786</v>
      </c>
      <c r="AG48" s="162">
        <f t="shared" ref="AG48:AG53" si="27">N48/K48</f>
        <v>0.8996105855552059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1922</v>
      </c>
      <c r="H49" s="134">
        <f>F49*G49</f>
        <v>96655.457999999999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1372.8571428571518</v>
      </c>
      <c r="O49" s="141">
        <f>N49/M49</f>
        <v>80.756302521008934</v>
      </c>
      <c r="P49" s="229">
        <f>M49-J49</f>
        <v>0</v>
      </c>
      <c r="Q49" s="230">
        <f>O49-L49</f>
        <v>-15.478991596638124</v>
      </c>
      <c r="R49" s="52">
        <f>O49/L49</f>
        <v>0.83915473279777009</v>
      </c>
      <c r="S49" s="392">
        <f>R58</f>
        <v>0.83193748235360332</v>
      </c>
      <c r="T49" s="191">
        <v>0.29166666666666702</v>
      </c>
      <c r="U49" s="191">
        <v>0.35</v>
      </c>
      <c r="V49" s="55"/>
      <c r="W49" s="193">
        <f t="shared" si="4"/>
        <v>83.99999999999946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26"/>
        <v>-263.14285714284824</v>
      </c>
      <c r="AG49" s="52">
        <f t="shared" si="27"/>
        <v>0.83915473279776998</v>
      </c>
      <c r="AH49" s="380">
        <f>AG58</f>
        <v>0.83207013212809045</v>
      </c>
    </row>
    <row r="50" spans="1:34" ht="15" customHeight="1">
      <c r="A50" s="405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2921</v>
      </c>
      <c r="H50" s="231">
        <f>F50*G50</f>
        <v>145962.37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1510.862068965509</v>
      </c>
      <c r="O50" s="235">
        <f>N50/M50</f>
        <v>94.428879310344314</v>
      </c>
      <c r="P50" s="74">
        <f>M50-J50</f>
        <v>0</v>
      </c>
      <c r="Q50" s="83">
        <f>O50-L50</f>
        <v>-18.071120689655686</v>
      </c>
      <c r="R50" s="72">
        <f>O50/L50</f>
        <v>0.83936781609194944</v>
      </c>
      <c r="S50" s="393"/>
      <c r="T50" s="21">
        <v>0.35694444444444401</v>
      </c>
      <c r="U50" s="21">
        <v>0.4375</v>
      </c>
      <c r="V50" s="30">
        <f>(T50-U49)*24*60</f>
        <v>9.9999999999994049</v>
      </c>
      <c r="W50" s="236">
        <f t="shared" si="4"/>
        <v>116.00000000000063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26"/>
        <v>-289.13793103449098</v>
      </c>
      <c r="AG50" s="72">
        <f t="shared" si="27"/>
        <v>0.83936781609194944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1473</v>
      </c>
      <c r="H51" s="231">
        <f>F51*G51</f>
        <v>73605.81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1473.0000000000209</v>
      </c>
      <c r="O51" s="235">
        <f>N51/M51</f>
        <v>92.062500000001307</v>
      </c>
      <c r="P51" s="74">
        <f>M51-J51</f>
        <v>0</v>
      </c>
      <c r="Q51" s="83">
        <f>O51-L51</f>
        <v>-20.437499999998693</v>
      </c>
      <c r="R51" s="72">
        <f>O51/L51</f>
        <v>0.8183333333333449</v>
      </c>
      <c r="S51" s="393"/>
      <c r="T51" s="21">
        <v>0.51041666666666696</v>
      </c>
      <c r="U51" s="19">
        <v>0.55208333333333304</v>
      </c>
      <c r="V51" s="30">
        <f>(T51-U50)*24*60</f>
        <v>105.00000000000043</v>
      </c>
      <c r="W51" s="236">
        <f t="shared" si="4"/>
        <v>59.999999999999147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26"/>
        <v>-326.99999999997908</v>
      </c>
      <c r="AG51" s="72">
        <f t="shared" si="27"/>
        <v>0.8183333333333449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/>
      <c r="U52" s="21"/>
      <c r="V52" s="30"/>
      <c r="W52" s="236">
        <f t="shared" si="4"/>
        <v>0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26"/>
        <v>0</v>
      </c>
      <c r="AG52" s="72" t="e">
        <f t="shared" si="27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26"/>
        <v>0</v>
      </c>
      <c r="AG53" s="72" t="e">
        <f t="shared" si="27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8">AVERAGE(J49:J57)</f>
        <v>16.333333333333332</v>
      </c>
      <c r="K58" s="120">
        <f t="shared" si="28"/>
        <v>1745.3333333333333</v>
      </c>
      <c r="L58" s="117">
        <f t="shared" si="28"/>
        <v>107.07843137254902</v>
      </c>
      <c r="M58" s="120">
        <f t="shared" si="28"/>
        <v>16.333333333333332</v>
      </c>
      <c r="N58" s="120">
        <f t="shared" si="28"/>
        <v>1452.2397372742271</v>
      </c>
      <c r="O58" s="117">
        <f t="shared" si="28"/>
        <v>89.082560610451523</v>
      </c>
      <c r="P58" s="121">
        <f>M58-J58</f>
        <v>0</v>
      </c>
      <c r="Q58" s="122">
        <f>N58-K58</f>
        <v>-293.09359605910618</v>
      </c>
      <c r="R58" s="123">
        <f t="shared" ref="R58:R63" si="29">O58/L58</f>
        <v>0.83193748235360332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-293.09359605910618</v>
      </c>
      <c r="AG58" s="124">
        <f>N58/K58</f>
        <v>0.83207013212809045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3193</v>
      </c>
      <c r="H59" s="243">
        <f>F59*G59</f>
        <v>86179.069999999992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1557.5609756097504</v>
      </c>
      <c r="O59" s="138">
        <f>N59/M59</f>
        <v>103.83739837398336</v>
      </c>
      <c r="P59" s="56">
        <f>M59-J59</f>
        <v>0</v>
      </c>
      <c r="Q59" s="230">
        <f>O59-L59</f>
        <v>-5.229268292683301</v>
      </c>
      <c r="R59" s="52">
        <f t="shared" si="29"/>
        <v>0.95205438606952963</v>
      </c>
      <c r="S59" s="392">
        <f>R69</f>
        <v>0.92114705532083563</v>
      </c>
      <c r="T59" s="245">
        <v>0.29513888888888901</v>
      </c>
      <c r="U59" s="245">
        <v>0.38055555555555598</v>
      </c>
      <c r="V59" s="55"/>
      <c r="W59" s="54">
        <f t="shared" si="4"/>
        <v>123.00000000000044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-78.439024390249642</v>
      </c>
      <c r="AG59" s="246">
        <f>N59/K59</f>
        <v>0.95205438606952952</v>
      </c>
      <c r="AH59" s="380">
        <f>AG69</f>
        <v>0.92279544629409938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1201</v>
      </c>
      <c r="H60" s="78">
        <f>F60*G60</f>
        <v>33940.26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1533.191489361697</v>
      </c>
      <c r="O60" s="81">
        <f>N60/M60</f>
        <v>139.381044487427</v>
      </c>
      <c r="P60" s="74">
        <f>M60-J60</f>
        <v>0</v>
      </c>
      <c r="Q60" s="83">
        <f>O60-L60</f>
        <v>-9.3462282398457148</v>
      </c>
      <c r="R60" s="72">
        <f t="shared" si="29"/>
        <v>0.93715861207927698</v>
      </c>
      <c r="S60" s="402"/>
      <c r="T60" s="22">
        <v>0.38888888888888901</v>
      </c>
      <c r="U60" s="22">
        <v>0.421527777777778</v>
      </c>
      <c r="V60" s="30">
        <f>(T60-U59)*24*60</f>
        <v>11.999999999999558</v>
      </c>
      <c r="W60" s="248">
        <f t="shared" si="4"/>
        <v>47.000000000000156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-102.80851063830301</v>
      </c>
      <c r="AG60" s="249">
        <f>N60/K60</f>
        <v>0.93715861207927686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75">
        <f>VLOOKUP(D61,廠價表!$C$1:$E$43,3,0)</f>
        <v>28.26</v>
      </c>
      <c r="G61" s="38">
        <v>756</v>
      </c>
      <c r="H61" s="254">
        <f>F61*G61</f>
        <v>21364.560000000001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1417.5000000000157</v>
      </c>
      <c r="O61" s="238">
        <f>N61/M61</f>
        <v>128.8636363636378</v>
      </c>
      <c r="P61" s="111">
        <f>M61-J61</f>
        <v>0</v>
      </c>
      <c r="Q61" s="255">
        <f>O61-L61</f>
        <v>-19.863636363634924</v>
      </c>
      <c r="R61" s="85">
        <f t="shared" si="29"/>
        <v>0.86644254278729571</v>
      </c>
      <c r="S61" s="393"/>
      <c r="T61" s="22">
        <v>0.43055555555555602</v>
      </c>
      <c r="U61" s="22">
        <v>0.452777777777778</v>
      </c>
      <c r="V61" s="30">
        <f t="shared" ref="V61:V63" si="30">(T61-U60)*24*60</f>
        <v>13.000000000000353</v>
      </c>
      <c r="W61" s="256">
        <f t="shared" si="4"/>
        <v>31.999999999999645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-218.49999999998431</v>
      </c>
      <c r="AG61" s="247">
        <f>N61/K61</f>
        <v>0.8664425427872956</v>
      </c>
      <c r="AH61" s="382"/>
    </row>
    <row r="62" spans="1:34" ht="15" customHeight="1">
      <c r="A62" s="400"/>
      <c r="B62" s="258" t="s">
        <v>132</v>
      </c>
      <c r="C62" s="58"/>
      <c r="D62" s="259" t="s">
        <v>136</v>
      </c>
      <c r="E62" s="60"/>
      <c r="F62" s="75">
        <f>VLOOKUP(D62,廠價表!$C$1:$E$43,3,0)</f>
        <v>28.26</v>
      </c>
      <c r="G62" s="260">
        <v>1389</v>
      </c>
      <c r="H62" s="78">
        <f>F62*G62</f>
        <v>39253.14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>K62/J62</f>
        <v>148.72727272727272</v>
      </c>
      <c r="M62" s="68">
        <v>11</v>
      </c>
      <c r="N62" s="80">
        <f>G62/W62*60</f>
        <v>1488.2142857142805</v>
      </c>
      <c r="O62" s="81">
        <f>N62/M62</f>
        <v>135.29220779220734</v>
      </c>
      <c r="P62" s="74">
        <f>M62-J62</f>
        <v>0</v>
      </c>
      <c r="Q62" s="83">
        <f>O62-L62</f>
        <v>-13.435064935065384</v>
      </c>
      <c r="R62" s="72">
        <f t="shared" si="29"/>
        <v>0.90966643381068502</v>
      </c>
      <c r="S62" s="393"/>
      <c r="T62" s="22">
        <v>0.45972222222222198</v>
      </c>
      <c r="U62" s="22">
        <v>0.49861111111111101</v>
      </c>
      <c r="V62" s="30">
        <f t="shared" si="30"/>
        <v>9.999999999999325</v>
      </c>
      <c r="W62" s="248">
        <f t="shared" si="4"/>
        <v>56.000000000000199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-147.78571428571945</v>
      </c>
      <c r="AG62" s="247">
        <f>N62/K62</f>
        <v>0.9096664338106849</v>
      </c>
      <c r="AH62" s="382"/>
    </row>
    <row r="63" spans="1:34" ht="15" customHeight="1">
      <c r="A63" s="400"/>
      <c r="B63" s="75" t="s">
        <v>132</v>
      </c>
      <c r="C63" s="76"/>
      <c r="D63" s="175" t="s">
        <v>136</v>
      </c>
      <c r="E63" s="77"/>
      <c r="F63" s="75">
        <f>VLOOKUP(D63,廠價表!$C$1:$E$43,3,0)</f>
        <v>28.26</v>
      </c>
      <c r="G63" s="30">
        <v>1552</v>
      </c>
      <c r="H63" s="254">
        <f>F63*G63</f>
        <v>43859.520000000004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>K63/J63</f>
        <v>148.72727272727272</v>
      </c>
      <c r="M63" s="82">
        <v>11</v>
      </c>
      <c r="N63" s="107">
        <f>G63/W63*60</f>
        <v>1551.9999999999889</v>
      </c>
      <c r="O63" s="238">
        <f>N63/M63</f>
        <v>141.09090909090807</v>
      </c>
      <c r="P63" s="111">
        <f>M63-J63</f>
        <v>0</v>
      </c>
      <c r="Q63" s="255">
        <f>O63-L63</f>
        <v>-7.6363636363646492</v>
      </c>
      <c r="R63" s="85">
        <f t="shared" si="29"/>
        <v>0.94865525672370954</v>
      </c>
      <c r="S63" s="393"/>
      <c r="T63" s="22">
        <v>0.5625</v>
      </c>
      <c r="U63" s="22">
        <v>0.60416666666666696</v>
      </c>
      <c r="V63" s="30">
        <f t="shared" si="30"/>
        <v>92.000000000000156</v>
      </c>
      <c r="W63" s="248">
        <f t="shared" si="4"/>
        <v>60.000000000000426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31">AVERAGE(J59:J68)</f>
        <v>11.8</v>
      </c>
      <c r="K69" s="240">
        <f t="shared" si="31"/>
        <v>1636</v>
      </c>
      <c r="L69" s="268">
        <f t="shared" si="31"/>
        <v>140.79515151515153</v>
      </c>
      <c r="M69" s="240">
        <f t="shared" si="31"/>
        <v>11.8</v>
      </c>
      <c r="N69" s="240">
        <f t="shared" si="31"/>
        <v>1509.6933501371466</v>
      </c>
      <c r="O69" s="268">
        <f t="shared" si="31"/>
        <v>129.69303922163272</v>
      </c>
      <c r="P69" s="269">
        <f>M69-J69</f>
        <v>0</v>
      </c>
      <c r="Q69" s="222">
        <f>N69-K69</f>
        <v>-126.30664986285342</v>
      </c>
      <c r="R69" s="123">
        <f>O69/L69</f>
        <v>0.92114705532083563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-126.30664986285342</v>
      </c>
      <c r="AG69" s="124">
        <f>N69/K69</f>
        <v>0.92279544629409938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930</v>
      </c>
      <c r="H70" s="243">
        <f>F70*G70</f>
        <v>40817.699999999997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8</v>
      </c>
      <c r="N70" s="137">
        <f>G70/W70*60</f>
        <v>820.58823529412155</v>
      </c>
      <c r="O70" s="138">
        <f>N70/M70</f>
        <v>102.57352941176519</v>
      </c>
      <c r="P70" s="56">
        <f>M70-J70</f>
        <v>-5</v>
      </c>
      <c r="Q70" s="230">
        <f>O70-L70</f>
        <v>-17.811085972850194</v>
      </c>
      <c r="R70" s="52">
        <f>O70/L70</f>
        <v>0.85204848712648407</v>
      </c>
      <c r="S70" s="392">
        <f>R79</f>
        <v>0.83751230136899235</v>
      </c>
      <c r="T70" s="245">
        <v>0.29513888888888901</v>
      </c>
      <c r="U70" s="245">
        <v>0.34236111111111101</v>
      </c>
      <c r="V70" s="55"/>
      <c r="W70" s="54">
        <f t="shared" si="4"/>
        <v>67.999999999999673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-744.41176470587845</v>
      </c>
      <c r="AG70" s="246">
        <f>N70/K70</f>
        <v>0.52433753053937482</v>
      </c>
      <c r="AH70" s="380">
        <f>AG79</f>
        <v>0.53515644727949696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75">
        <f>VLOOKUP(D71,廠價表!$C$1:$E$43,3,0)</f>
        <v>52.21</v>
      </c>
      <c r="G71" s="30">
        <v>2127</v>
      </c>
      <c r="H71" s="254">
        <f>F71*G71</f>
        <v>111050.67</v>
      </c>
      <c r="I71" s="182"/>
      <c r="J71" s="106">
        <f>VLOOKUP(D71,產線配置圖!$A$3:$C$40,2,0)</f>
        <v>18</v>
      </c>
      <c r="K71" s="107">
        <f>VLOOKUP(D71,產線配置圖!$A$3:$C$40,3,0)</f>
        <v>1636</v>
      </c>
      <c r="L71" s="238">
        <f>K71/J71</f>
        <v>90.888888888888886</v>
      </c>
      <c r="M71" s="82">
        <v>12</v>
      </c>
      <c r="N71" s="107">
        <f>G71/W71*60</f>
        <v>892.44755244754822</v>
      </c>
      <c r="O71" s="238">
        <f>N71/M71</f>
        <v>74.370629370629018</v>
      </c>
      <c r="P71" s="111">
        <f>M71-J71</f>
        <v>-6</v>
      </c>
      <c r="Q71" s="255">
        <f>O71-L71</f>
        <v>-16.518259518259867</v>
      </c>
      <c r="R71" s="85">
        <f>O71/L71</f>
        <v>0.81825875835655404</v>
      </c>
      <c r="S71" s="393"/>
      <c r="T71" s="22">
        <v>0.35069444444444398</v>
      </c>
      <c r="U71" s="22">
        <v>0.45</v>
      </c>
      <c r="V71" s="30">
        <f>(T71-U70)*24*60</f>
        <v>11.999999999999478</v>
      </c>
      <c r="W71" s="73">
        <f t="shared" si="4"/>
        <v>143.00000000000068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32">AVERAGE(J70:J78)</f>
        <v>15.5</v>
      </c>
      <c r="K79" s="240">
        <f t="shared" si="32"/>
        <v>1600.5</v>
      </c>
      <c r="L79" s="268">
        <f t="shared" si="32"/>
        <v>105.63675213675214</v>
      </c>
      <c r="M79" s="240">
        <f t="shared" si="32"/>
        <v>10</v>
      </c>
      <c r="N79" s="240">
        <f t="shared" si="32"/>
        <v>856.51789387083488</v>
      </c>
      <c r="O79" s="268">
        <f t="shared" si="32"/>
        <v>88.472079391197099</v>
      </c>
      <c r="P79" s="269">
        <f>M79-J79</f>
        <v>-5.5</v>
      </c>
      <c r="Q79" s="222">
        <f>N79-K79</f>
        <v>-743.98210612916512</v>
      </c>
      <c r="R79" s="223">
        <f>O79/L79</f>
        <v>0.83751230136899235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-743.98210612916512</v>
      </c>
      <c r="AG79" s="124">
        <f>N79/K79</f>
        <v>0.53515644727949696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207" priority="1" operator="greaterThan">
      <formula>0</formula>
    </cfRule>
  </conditionalFormatting>
  <conditionalFormatting sqref="Q5:Q79 AF5:AF79">
    <cfRule type="cellIs" dxfId="206" priority="4" operator="lessThan">
      <formula>0</formula>
    </cfRule>
  </conditionalFormatting>
  <conditionalFormatting sqref="R5:R79 AG5:AG79">
    <cfRule type="cellIs" dxfId="205" priority="2" operator="greaterThan">
      <formula>1</formula>
    </cfRule>
    <cfRule type="cellIs" dxfId="204" priority="3" operator="lessThan">
      <formula>0.8</formula>
    </cfRule>
  </conditionalFormatting>
  <conditionalFormatting sqref="S5:S10 S37:S62 AH59:AH62 S69:S76 AH69:AH76">
    <cfRule type="cellIs" dxfId="203" priority="7" operator="lessThan">
      <formula>0.8</formula>
    </cfRule>
  </conditionalFormatting>
  <conditionalFormatting sqref="S19:S25 AH19:AH25">
    <cfRule type="cellIs" dxfId="202" priority="6" operator="lessThan">
      <formula>0.8</formula>
    </cfRule>
  </conditionalFormatting>
  <conditionalFormatting sqref="S79">
    <cfRule type="cellIs" dxfId="201" priority="5" operator="lessThan">
      <formula>0.8</formula>
    </cfRule>
  </conditionalFormatting>
  <conditionalFormatting sqref="AH5:AH8 S15:S16 AH15:AH16 AH49 AH79">
    <cfRule type="cellIs" dxfId="200" priority="9" operator="lessThan">
      <formula>0.8</formula>
    </cfRule>
  </conditionalFormatting>
  <conditionalFormatting sqref="AH27 S27:S28">
    <cfRule type="cellIs" dxfId="19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ED0A3-7D0F-4E25-8FEA-75879D542F07}">
  <dimension ref="B1:O26"/>
  <sheetViews>
    <sheetView topLeftCell="B1" zoomScale="70" zoomScaleNormal="70" workbookViewId="0">
      <selection activeCell="N14" sqref="N1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46276</v>
      </c>
      <c r="E3" s="504"/>
      <c r="F3" s="3" t="s">
        <v>72</v>
      </c>
      <c r="G3" s="505">
        <f>'0911'!E1</f>
        <v>39794</v>
      </c>
      <c r="H3" s="505"/>
      <c r="I3" s="3" t="s">
        <v>2</v>
      </c>
      <c r="J3" s="506">
        <f>'0911'!G1</f>
        <v>1854225.4160000007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121.93605580149701</v>
      </c>
      <c r="G6" s="501"/>
      <c r="H6" s="502">
        <f>AVERAGE(D13:H13)</f>
        <v>121.82070345232111</v>
      </c>
      <c r="I6" s="502"/>
      <c r="J6" s="502">
        <f>AVERAGE(I13:J13)</f>
        <v>122.22443667443667</v>
      </c>
      <c r="K6" s="502"/>
      <c r="L6" s="492">
        <f>'0911'!Z2</f>
        <v>0</v>
      </c>
      <c r="M6" s="493">
        <f>'0911'!AA2</f>
        <v>0</v>
      </c>
      <c r="N6" s="494">
        <f>'0911'!AD2</f>
        <v>0</v>
      </c>
      <c r="O6" s="493">
        <f>'0911'!AE2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109.17008625805811</v>
      </c>
      <c r="G7" s="490"/>
      <c r="H7" s="491">
        <f>AVERAGE(D14:H14)</f>
        <v>111.03648187067033</v>
      </c>
      <c r="I7" s="491"/>
      <c r="J7" s="491">
        <f>AVERAGE(I14:J14)</f>
        <v>104.50409722652756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0.89422292337552078</v>
      </c>
      <c r="G8" s="496"/>
      <c r="H8" s="496">
        <f>AVERAGE(D15:H15)</f>
        <v>0.90972896117503554</v>
      </c>
      <c r="I8" s="496"/>
      <c r="J8" s="496">
        <f>AVERAGE(I15:J15)</f>
        <v>0.85545782887673361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VALUE('0911'!L15)</f>
        <v>146.34859584859583</v>
      </c>
      <c r="E13" s="13">
        <f>VALUE('0911'!L26)</f>
        <v>169.64285714285714</v>
      </c>
      <c r="F13" s="13">
        <f>VALUE('0911'!L37)</f>
        <v>94.230392156862735</v>
      </c>
      <c r="G13" s="13">
        <f>VALUE('0911'!L48)</f>
        <v>99.006944444444443</v>
      </c>
      <c r="H13" s="13">
        <f>VALUE('0911'!L58)</f>
        <v>99.874727668845324</v>
      </c>
      <c r="I13" s="13">
        <f>VALUE('0911'!L69)</f>
        <v>138.81212121212121</v>
      </c>
      <c r="J13" s="13">
        <f>'0911'!L79</f>
        <v>105.63675213675214</v>
      </c>
    </row>
    <row r="14" spans="2:15" ht="39.950000000000003" customHeight="1">
      <c r="B14" s="484"/>
      <c r="C14" s="12" t="s">
        <v>100</v>
      </c>
      <c r="D14" s="13">
        <f>VALUE('0911'!O15)</f>
        <v>137.01973443223523</v>
      </c>
      <c r="E14" s="13">
        <f>VALUE('0911'!O26)</f>
        <v>153.45414027680064</v>
      </c>
      <c r="F14" s="13">
        <f>VALUE('0911'!O37)</f>
        <v>82.066718011316809</v>
      </c>
      <c r="G14" s="13">
        <f>VALUE('0911'!O48)</f>
        <v>93.352805930930515</v>
      </c>
      <c r="H14" s="13">
        <f>VALUE('0911'!O58)</f>
        <v>89.289010702068481</v>
      </c>
      <c r="I14" s="13">
        <f>VALUE('0911'!O69)</f>
        <v>118.29808164080667</v>
      </c>
      <c r="J14" s="13">
        <f>'0911'!O79</f>
        <v>90.71011281224844</v>
      </c>
    </row>
    <row r="15" spans="2:15" ht="39.950000000000003" customHeight="1">
      <c r="B15" s="485"/>
      <c r="C15" s="10" t="s">
        <v>26</v>
      </c>
      <c r="D15" s="14">
        <f t="shared" ref="D15:I15" si="0">D14/D13</f>
        <v>0.93625588710115315</v>
      </c>
      <c r="E15" s="14">
        <f t="shared" si="0"/>
        <v>0.90457177426324598</v>
      </c>
      <c r="F15" s="14">
        <f t="shared" si="0"/>
        <v>0.87091559456425272</v>
      </c>
      <c r="G15" s="14">
        <f t="shared" si="0"/>
        <v>0.94289149569011677</v>
      </c>
      <c r="H15" s="14">
        <f t="shared" si="0"/>
        <v>0.894010054256409</v>
      </c>
      <c r="I15" s="14">
        <f t="shared" si="0"/>
        <v>0.85221723151995721</v>
      </c>
      <c r="J15" s="15">
        <f>'0911'!S70</f>
        <v>0.85869842623351</v>
      </c>
    </row>
    <row r="16" spans="2:15" ht="17.25" customHeight="1">
      <c r="B16" s="486" t="s">
        <v>101</v>
      </c>
      <c r="C16" s="10" t="s">
        <v>34</v>
      </c>
      <c r="D16" s="16">
        <f>'0911'!T5</f>
        <v>0.29166666666666702</v>
      </c>
      <c r="E16" s="16">
        <f>'0911'!T16</f>
        <v>0.29027777777777802</v>
      </c>
      <c r="F16" s="16">
        <f>'0911'!T27</f>
        <v>0.29166666666666702</v>
      </c>
      <c r="G16" s="16">
        <f>'0911'!T38</f>
        <v>0.33333333333333298</v>
      </c>
      <c r="H16" s="16">
        <f>'0911'!T49</f>
        <v>0.29166666666666702</v>
      </c>
      <c r="I16" s="16">
        <f>'0911'!T59</f>
        <v>0.29513888888888901</v>
      </c>
      <c r="J16" s="17">
        <f>'0911'!T70</f>
        <v>0.29166666666666702</v>
      </c>
    </row>
    <row r="17" spans="2:10" ht="17.25" customHeight="1">
      <c r="B17" s="487"/>
      <c r="C17" s="10" t="s">
        <v>35</v>
      </c>
      <c r="D17" s="16">
        <v>0.5625</v>
      </c>
      <c r="E17" s="183">
        <v>0.454166666666667</v>
      </c>
      <c r="F17" s="19">
        <v>0.420833333333333</v>
      </c>
      <c r="G17" s="328">
        <v>0.46666666666666701</v>
      </c>
      <c r="H17" s="19">
        <v>0.48194444444444401</v>
      </c>
      <c r="I17" s="110">
        <v>0.5</v>
      </c>
      <c r="J17" s="22">
        <v>0.42430555555555599</v>
      </c>
    </row>
    <row r="18" spans="2:10" ht="17.25" customHeight="1">
      <c r="B18" s="488" t="s">
        <v>102</v>
      </c>
      <c r="C18" s="330" t="s">
        <v>36</v>
      </c>
      <c r="D18" s="359">
        <f>'0911'!Z15</f>
        <v>0</v>
      </c>
      <c r="E18" s="360">
        <f>'0911'!Z26</f>
        <v>0</v>
      </c>
      <c r="F18" s="360">
        <f>'0911'!Z37</f>
        <v>0</v>
      </c>
      <c r="G18" s="361">
        <f>'0911'!Z48</f>
        <v>0</v>
      </c>
      <c r="H18" s="361">
        <f>'0911'!Z58</f>
        <v>0</v>
      </c>
      <c r="I18" s="360">
        <f>'0911'!Z69</f>
        <v>0</v>
      </c>
      <c r="J18" s="360">
        <f>'0911'!AA79</f>
        <v>0</v>
      </c>
    </row>
    <row r="19" spans="2:10" ht="17.25" customHeight="1">
      <c r="B19" s="489"/>
      <c r="C19" s="330" t="s">
        <v>37</v>
      </c>
      <c r="D19" s="359">
        <f>'0911'!AA15</f>
        <v>0</v>
      </c>
      <c r="E19" s="360">
        <f>'0911'!AA26</f>
        <v>0</v>
      </c>
      <c r="F19" s="360">
        <f>'0911'!AA37</f>
        <v>0</v>
      </c>
      <c r="G19" s="361">
        <f>'0911'!AA48</f>
        <v>0</v>
      </c>
      <c r="H19" s="361">
        <f>'0911'!AA58</f>
        <v>0</v>
      </c>
      <c r="I19" s="360">
        <f>'0911'!AA69</f>
        <v>0</v>
      </c>
      <c r="J19" s="360">
        <f>'0911'!AB79</f>
        <v>0</v>
      </c>
    </row>
    <row r="20" spans="2:10" ht="17.25" customHeight="1">
      <c r="B20" s="488" t="s">
        <v>103</v>
      </c>
      <c r="C20" s="330" t="s">
        <v>36</v>
      </c>
      <c r="D20" s="359">
        <f>'0911'!AD15</f>
        <v>0</v>
      </c>
      <c r="E20" s="360">
        <f>'0911'!AD26</f>
        <v>0</v>
      </c>
      <c r="F20" s="360">
        <f>'0911'!AD37</f>
        <v>0</v>
      </c>
      <c r="G20" s="361">
        <f>'0911'!AD48</f>
        <v>0</v>
      </c>
      <c r="H20" s="361">
        <f>'0911'!AD58</f>
        <v>0</v>
      </c>
      <c r="I20" s="360">
        <f>'0911'!AD69</f>
        <v>0</v>
      </c>
      <c r="J20" s="360">
        <f>'0911'!AD79</f>
        <v>0</v>
      </c>
    </row>
    <row r="21" spans="2:10" ht="17.25" customHeight="1">
      <c r="B21" s="489"/>
      <c r="C21" s="330" t="s">
        <v>85</v>
      </c>
      <c r="D21" s="359">
        <f>'0911'!AE15</f>
        <v>0</v>
      </c>
      <c r="E21" s="360">
        <f>'0911'!AE26</f>
        <v>0</v>
      </c>
      <c r="F21" s="360">
        <f>'0911'!AE37</f>
        <v>0</v>
      </c>
      <c r="G21" s="361">
        <f>'0911'!AE48</f>
        <v>0</v>
      </c>
      <c r="H21" s="361">
        <f>'0911'!AE58</f>
        <v>0</v>
      </c>
      <c r="I21" s="360">
        <f>'0911'!AE69</f>
        <v>0</v>
      </c>
      <c r="J21" s="360">
        <f>'0911'!AE79</f>
        <v>0</v>
      </c>
    </row>
    <row r="22" spans="2:10" ht="17.25" customHeight="1">
      <c r="B22" s="471" t="s">
        <v>104</v>
      </c>
      <c r="C22" s="472"/>
      <c r="D22" s="23">
        <f>VALUE('0911'!M15)</f>
        <v>13.5</v>
      </c>
      <c r="E22" s="23">
        <f>VALUE('0911'!M26)</f>
        <v>13.333333333333334</v>
      </c>
      <c r="F22" s="23">
        <f>VALUE('0911'!M37)</f>
        <v>17</v>
      </c>
      <c r="G22" s="23">
        <f>VALUE('0911'!M48)</f>
        <v>17</v>
      </c>
      <c r="H22" s="23">
        <f>VALUE('0911'!M58)</f>
        <v>16.666666666666668</v>
      </c>
      <c r="I22" s="23">
        <f>VALUE('0911'!M69)</f>
        <v>12</v>
      </c>
      <c r="J22" s="23">
        <f>'0911'!M79</f>
        <v>12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19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DCA3-C553-4931-B70C-E9BF408A92FA}">
  <sheetPr>
    <tabColor theme="9" tint="0.79998168889431442"/>
  </sheetPr>
  <dimension ref="A1:AJ92"/>
  <sheetViews>
    <sheetView zoomScale="69" zoomScaleNormal="69" workbookViewId="0">
      <pane xSplit="5" ySplit="4" topLeftCell="F29" activePane="bottomRight" state="frozen"/>
      <selection activeCell="G76" sqref="G76"/>
      <selection pane="topRight" activeCell="G76" sqref="G76"/>
      <selection pane="bottomLeft" activeCell="G76" sqref="G76"/>
      <selection pane="bottomRight" activeCell="T29" sqref="T2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39794</v>
      </c>
      <c r="F1" s="30" t="s">
        <v>2</v>
      </c>
      <c r="G1" s="31">
        <f>SUM(H5:H79)</f>
        <v>1854225.4160000007</v>
      </c>
      <c r="H1" s="32" t="s">
        <v>3</v>
      </c>
      <c r="I1" s="33">
        <f>M15+M26+M48+M58+M69+M79+M37</f>
        <v>101.5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171</v>
      </c>
      <c r="B2" s="462"/>
      <c r="C2" s="28"/>
      <c r="D2" s="28" t="s">
        <v>14</v>
      </c>
      <c r="E2" s="35">
        <f>AVERAGE(O15,O26,O37,O48,O58,O69,O79)</f>
        <v>109.17008625805811</v>
      </c>
      <c r="F2" s="36" t="s">
        <v>15</v>
      </c>
      <c r="G2" s="37">
        <f>G1/E1</f>
        <v>46.595602754184064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0</v>
      </c>
      <c r="AA2" s="339">
        <f>AA15+AA26+AA37+AA48+AA58+AA69+AA79</f>
        <v>0</v>
      </c>
      <c r="AB2" s="433"/>
      <c r="AC2" s="433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1459</v>
      </c>
      <c r="H5" s="43">
        <f>F5*G5</f>
        <v>82973.33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2188.5000000000646</v>
      </c>
      <c r="O5" s="47">
        <f>N5/M5</f>
        <v>156.32142857143319</v>
      </c>
      <c r="P5" s="49">
        <f>M5-J5</f>
        <v>0</v>
      </c>
      <c r="Q5" s="50">
        <f>O5-L5</f>
        <v>-4.3928571428525345</v>
      </c>
      <c r="R5" s="51">
        <f>O5/L5</f>
        <v>0.97266666666669532</v>
      </c>
      <c r="S5" s="392">
        <f>R15</f>
        <v>0.93625588710115315</v>
      </c>
      <c r="T5" s="319">
        <v>0.29166666666666702</v>
      </c>
      <c r="U5" s="320">
        <v>0.31944444444444398</v>
      </c>
      <c r="V5" s="53"/>
      <c r="W5" s="54">
        <f t="shared" ref="W5:W14" si="0">(U5-T5)*24*60</f>
        <v>39.99999999999882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-61.499999999935426</v>
      </c>
      <c r="AG5" s="52">
        <f t="shared" ref="AG5:AG11" si="2">N5/K5</f>
        <v>0.97266666666669532</v>
      </c>
      <c r="AH5" s="380">
        <f>AG15</f>
        <v>0.86766208987769278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1509</v>
      </c>
      <c r="H6" s="63">
        <f>F6*G6</f>
        <v>87778.53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2155.7142857142608</v>
      </c>
      <c r="O6" s="67">
        <f>N6/M6</f>
        <v>165.82417582417389</v>
      </c>
      <c r="P6" s="69">
        <f>M6-J6</f>
        <v>0</v>
      </c>
      <c r="Q6" s="70">
        <f>O6-L6</f>
        <v>-7.2527472527491739</v>
      </c>
      <c r="R6" s="71">
        <f>O6/L6</f>
        <v>0.95809523809522701</v>
      </c>
      <c r="S6" s="393"/>
      <c r="T6" s="16">
        <v>0.32569444444444401</v>
      </c>
      <c r="U6" s="16">
        <v>0.35486111111111102</v>
      </c>
      <c r="V6" s="30">
        <f>(T6-U5)*24*60</f>
        <v>9.000000000000048</v>
      </c>
      <c r="W6" s="73">
        <f t="shared" si="0"/>
        <v>42.00000000000049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-94.285714285739232</v>
      </c>
      <c r="AG6" s="72">
        <f t="shared" si="2"/>
        <v>0.95809523809522701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3656</v>
      </c>
      <c r="H7" s="78">
        <f>F7*G7</f>
        <v>179655.84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12</v>
      </c>
      <c r="N7" s="80">
        <f>G7/W7*60</f>
        <v>1828.0000000000077</v>
      </c>
      <c r="O7" s="81">
        <f>N7/M7</f>
        <v>152.33333333333397</v>
      </c>
      <c r="P7" s="74">
        <f>M7-J7</f>
        <v>-2</v>
      </c>
      <c r="Q7" s="83">
        <f>O7-L7</f>
        <v>-8.3809523809517543</v>
      </c>
      <c r="R7" s="72">
        <f>O7/L7</f>
        <v>0.94785185185185572</v>
      </c>
      <c r="S7" s="393"/>
      <c r="T7" s="18">
        <v>0.36111111111111099</v>
      </c>
      <c r="U7" s="18">
        <v>0.44444444444444398</v>
      </c>
      <c r="V7" s="30">
        <f>(T7-U6)*24*60</f>
        <v>8.999999999999968</v>
      </c>
      <c r="W7" s="73">
        <f t="shared" si="0"/>
        <v>119.99999999999949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-421.99999999999227</v>
      </c>
      <c r="AG7" s="72">
        <f t="shared" si="2"/>
        <v>0.81244444444444786</v>
      </c>
      <c r="AH7" s="382"/>
    </row>
    <row r="8" spans="1:34" ht="15" customHeight="1">
      <c r="A8" s="466"/>
      <c r="B8" s="75" t="s">
        <v>127</v>
      </c>
      <c r="C8" s="76"/>
      <c r="D8" s="59" t="s">
        <v>129</v>
      </c>
      <c r="E8" s="77"/>
      <c r="F8" s="75">
        <f>VLOOKUP(D8,廠價表!$C$1:$E$43,3,0)</f>
        <v>44.3</v>
      </c>
      <c r="G8" s="66">
        <v>1196</v>
      </c>
      <c r="H8" s="78">
        <f>F8*G8</f>
        <v>52982.799999999996</v>
      </c>
      <c r="I8" s="73"/>
      <c r="J8" s="79">
        <f>VLOOKUP(D8,產線配置圖!$A$3:$C$40,2,0)</f>
        <v>18</v>
      </c>
      <c r="K8" s="80">
        <f>VLOOKUP(D8,產線配置圖!$A$3:$C$40,3,0)</f>
        <v>1636</v>
      </c>
      <c r="L8" s="81">
        <f>K8/J8</f>
        <v>90.888888888888886</v>
      </c>
      <c r="M8" s="82">
        <v>15</v>
      </c>
      <c r="N8" s="80">
        <f>G8/W8*60</f>
        <v>1103.9999999999986</v>
      </c>
      <c r="O8" s="81">
        <f>N8/M8</f>
        <v>73.599999999999909</v>
      </c>
      <c r="P8" s="74">
        <f>M8-J8</f>
        <v>-3</v>
      </c>
      <c r="Q8" s="83">
        <f>O8-L8</f>
        <v>-17.288888888888977</v>
      </c>
      <c r="R8" s="72">
        <f>O8/L8</f>
        <v>0.80977995110024348</v>
      </c>
      <c r="S8" s="393"/>
      <c r="T8" s="16">
        <v>0.51736111111111105</v>
      </c>
      <c r="U8" s="16">
        <v>0.5625</v>
      </c>
      <c r="V8" s="30">
        <f>(T8-U7)*24*60</f>
        <v>105.00000000000058</v>
      </c>
      <c r="W8" s="73">
        <f t="shared" si="0"/>
        <v>65.000000000000085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-532.00000000000136</v>
      </c>
      <c r="AG8" s="72">
        <f t="shared" si="2"/>
        <v>0.67481662591686953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14.75</v>
      </c>
      <c r="K15" s="120">
        <f t="shared" si="3"/>
        <v>2096.5</v>
      </c>
      <c r="L15" s="117">
        <f t="shared" si="3"/>
        <v>146.34859584859583</v>
      </c>
      <c r="M15" s="120">
        <f t="shared" si="3"/>
        <v>13.5</v>
      </c>
      <c r="N15" s="120">
        <f t="shared" si="3"/>
        <v>1819.0535714285829</v>
      </c>
      <c r="O15" s="117">
        <f t="shared" si="3"/>
        <v>137.01973443223523</v>
      </c>
      <c r="P15" s="121">
        <f>M15-J15</f>
        <v>-1.25</v>
      </c>
      <c r="Q15" s="122">
        <f>O15-L15</f>
        <v>-9.3288614163606098</v>
      </c>
      <c r="R15" s="123">
        <f>O15/L15</f>
        <v>0.93625588710115315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-277.44642857141707</v>
      </c>
      <c r="AG15" s="124">
        <f>N15/K15</f>
        <v>0.86766208987769278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1172</v>
      </c>
      <c r="H16" s="134">
        <f>F16*G16</f>
        <v>66651.64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2009.1428571429058</v>
      </c>
      <c r="O16" s="141">
        <f>N16/M16</f>
        <v>143.51020408163612</v>
      </c>
      <c r="P16" s="142">
        <f>M16-J16</f>
        <v>0</v>
      </c>
      <c r="Q16" s="143">
        <f>O16-L16</f>
        <v>-17.204081632649604</v>
      </c>
      <c r="R16" s="144">
        <f>O16/L16</f>
        <v>0.89295238095240248</v>
      </c>
      <c r="S16" s="420">
        <f>R26</f>
        <v>0.90457177426324598</v>
      </c>
      <c r="T16" s="145">
        <v>0.29027777777777802</v>
      </c>
      <c r="U16" s="145">
        <v>0.31458333333333299</v>
      </c>
      <c r="V16" s="135"/>
      <c r="W16" s="146">
        <f t="shared" ref="W16:W78" si="4">(U16-T16)*24*60</f>
        <v>34.999999999999154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-240.85714285709423</v>
      </c>
      <c r="AG16" s="52">
        <f>N16/K16</f>
        <v>0.89295238095240259</v>
      </c>
      <c r="AH16" s="380">
        <f>AG26</f>
        <v>0.90238131727787119</v>
      </c>
    </row>
    <row r="17" spans="1:34" ht="15" customHeight="1">
      <c r="A17" s="427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2839</v>
      </c>
      <c r="H17" s="78">
        <f>F17*G17</f>
        <v>143852.13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1957.9310344827495</v>
      </c>
      <c r="O17" s="96">
        <f>N17/M17</f>
        <v>139.85221674876783</v>
      </c>
      <c r="P17" s="97">
        <f>M17-J17</f>
        <v>0</v>
      </c>
      <c r="Q17" s="98">
        <f>O17-L17</f>
        <v>-20.862068965517892</v>
      </c>
      <c r="R17" s="99">
        <f>O17/L17</f>
        <v>0.87019157088122201</v>
      </c>
      <c r="S17" s="421"/>
      <c r="T17" s="19">
        <v>0.32222222222222202</v>
      </c>
      <c r="U17" s="19">
        <v>0.38263888888888897</v>
      </c>
      <c r="V17" s="30">
        <f>(T17-U16)*24*60</f>
        <v>11.000000000000201</v>
      </c>
      <c r="W17" s="149">
        <f t="shared" si="4"/>
        <v>87.000000000000412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-292.06896551725049</v>
      </c>
      <c r="AG17" s="72">
        <f>N17/K17</f>
        <v>0.87019157088122201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3363</v>
      </c>
      <c r="H18" s="78">
        <f>F18*G18</f>
        <v>169461.57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2123.999999999975</v>
      </c>
      <c r="O18" s="96">
        <f>N18/M18</f>
        <v>176.99999999999793</v>
      </c>
      <c r="P18" s="97">
        <f>M18-J18</f>
        <v>0</v>
      </c>
      <c r="Q18" s="98">
        <f>O18-L18</f>
        <v>-10.500000000002075</v>
      </c>
      <c r="R18" s="99">
        <f>O18/L18</f>
        <v>0.94399999999998896</v>
      </c>
      <c r="S18" s="421"/>
      <c r="T18" s="19">
        <v>0.38819444444444401</v>
      </c>
      <c r="U18" s="19">
        <v>0.454166666666667</v>
      </c>
      <c r="V18" s="30">
        <f>(T18-U17)*24*60</f>
        <v>7.9999999999992522</v>
      </c>
      <c r="W18" s="149">
        <f t="shared" si="4"/>
        <v>95.000000000001108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-126.00000000002501</v>
      </c>
      <c r="AG18" s="72">
        <f>N18/K18</f>
        <v>0.94399999999998885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13.333333333333334</v>
      </c>
      <c r="K26" s="155">
        <f t="shared" si="5"/>
        <v>2250</v>
      </c>
      <c r="L26" s="158">
        <f t="shared" si="5"/>
        <v>169.64285714285714</v>
      </c>
      <c r="M26" s="155">
        <f t="shared" si="5"/>
        <v>13.333333333333334</v>
      </c>
      <c r="N26" s="155">
        <f t="shared" si="5"/>
        <v>2030.3579638752101</v>
      </c>
      <c r="O26" s="158">
        <f t="shared" si="5"/>
        <v>153.45414027680064</v>
      </c>
      <c r="P26" s="159">
        <f>M26-J26</f>
        <v>0</v>
      </c>
      <c r="Q26" s="160">
        <f>O26-L26</f>
        <v>-16.188716866056495</v>
      </c>
      <c r="R26" s="161">
        <f>O26/L26</f>
        <v>0.90457177426324598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-219.64203612478991</v>
      </c>
      <c r="AG26" s="124">
        <f t="shared" ref="AG26:AG31" si="7">N26/K26</f>
        <v>0.90238131727787119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494</v>
      </c>
      <c r="H27" s="134">
        <f>F27*G27</f>
        <v>24655.539999999997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17</v>
      </c>
      <c r="N27" s="140">
        <f>G27/W27*60</f>
        <v>1288.695652173931</v>
      </c>
      <c r="O27" s="141">
        <f>N27/M27</f>
        <v>75.805626598466532</v>
      </c>
      <c r="P27" s="142">
        <f>M27-J27</f>
        <v>-1</v>
      </c>
      <c r="Q27" s="143">
        <f>O27-L27</f>
        <v>-15.083262290422354</v>
      </c>
      <c r="R27" s="144">
        <f>O27/L27</f>
        <v>0.83404723641344602</v>
      </c>
      <c r="S27" s="420">
        <f>R37</f>
        <v>0.87091559456425272</v>
      </c>
      <c r="T27" s="171">
        <v>0.29166666666666702</v>
      </c>
      <c r="U27" s="171">
        <v>0.30763888888888902</v>
      </c>
      <c r="V27" s="135"/>
      <c r="W27" s="146">
        <f t="shared" si="4"/>
        <v>22.99999999999968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6"/>
        <v>-347.30434782606903</v>
      </c>
      <c r="AG27" s="172">
        <f t="shared" si="7"/>
        <v>0.78771127883492109</v>
      </c>
      <c r="AH27" s="380">
        <f>AG37</f>
        <v>0.85256402531055742</v>
      </c>
    </row>
    <row r="28" spans="1:34" ht="15" customHeight="1">
      <c r="A28" s="418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872</v>
      </c>
      <c r="H28" s="91">
        <f>F28*G28</f>
        <v>49887.12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1538.8235294117701</v>
      </c>
      <c r="O28" s="96">
        <f>N28/M28</f>
        <v>85.490196078431666</v>
      </c>
      <c r="P28" s="97">
        <f>M28-J28</f>
        <v>0</v>
      </c>
      <c r="Q28" s="98">
        <f>O28-L28</f>
        <v>-5.39869281045722</v>
      </c>
      <c r="R28" s="99">
        <f>O28/L28</f>
        <v>0.94060117934704768</v>
      </c>
      <c r="S28" s="421"/>
      <c r="T28" s="19">
        <v>0.3125</v>
      </c>
      <c r="U28" s="19">
        <v>0.33611111111111103</v>
      </c>
      <c r="V28" s="92">
        <f>(T28-U27)*24*60</f>
        <v>6.9999999999998153</v>
      </c>
      <c r="W28" s="149">
        <f t="shared" si="4"/>
        <v>33.999999999999879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6"/>
        <v>-97.176470588229904</v>
      </c>
      <c r="AG28" s="99">
        <f t="shared" si="7"/>
        <v>0.94060117934704779</v>
      </c>
      <c r="AH28" s="381"/>
    </row>
    <row r="29" spans="1:34" ht="15" customHeight="1">
      <c r="A29" s="418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462</v>
      </c>
      <c r="H29" s="91">
        <f>F29*G29</f>
        <v>21094.92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 t="shared" ref="N29:N31" si="8">G29/W29*60</f>
        <v>1386.0000000000882</v>
      </c>
      <c r="O29" s="96">
        <f t="shared" ref="O29:O31" si="9">N29/M29</f>
        <v>81.529411764711071</v>
      </c>
      <c r="P29" s="97">
        <f t="shared" ref="P29:P31" si="10">M29-J29</f>
        <v>0</v>
      </c>
      <c r="Q29" s="98">
        <f t="shared" ref="Q29:Q31" si="11">O29-L29</f>
        <v>-14.705882352935987</v>
      </c>
      <c r="R29" s="99">
        <f t="shared" ref="R29:R31" si="12">O29/L29</f>
        <v>0.8471882640587336</v>
      </c>
      <c r="S29" s="421"/>
      <c r="T29" s="19">
        <v>0.343055555555556</v>
      </c>
      <c r="U29" s="19">
        <v>0.35694444444444401</v>
      </c>
      <c r="V29" s="92">
        <f>(T29-U28)*24*60</f>
        <v>10.000000000000764</v>
      </c>
      <c r="W29" s="149">
        <f t="shared" si="4"/>
        <v>19.999999999998728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-249.99999999991178</v>
      </c>
      <c r="AG29" s="99">
        <f t="shared" si="7"/>
        <v>0.8471882640587336</v>
      </c>
      <c r="AH29" s="381"/>
    </row>
    <row r="30" spans="1:34" ht="15" customHeight="1">
      <c r="A30" s="418"/>
      <c r="B30" s="75" t="s">
        <v>81</v>
      </c>
      <c r="C30" s="88"/>
      <c r="D30" s="59" t="s">
        <v>124</v>
      </c>
      <c r="E30" s="89"/>
      <c r="F30" s="75">
        <f>VLOOKUP(D30,廠價表!$C$1:$E$43,3,0)</f>
        <v>46.34</v>
      </c>
      <c r="G30" s="90">
        <v>930</v>
      </c>
      <c r="H30" s="91">
        <f t="shared" ref="H30:H31" si="13">F30*G30</f>
        <v>43096.200000000004</v>
      </c>
      <c r="I30" s="92"/>
      <c r="J30" s="79">
        <f>VLOOKUP(D30,產線配置圖!$A$3:$C$40,2,0)</f>
        <v>16</v>
      </c>
      <c r="K30" s="80">
        <f>VLOOKUP(D30,產線配置圖!$A$3:$C$40,3,0)</f>
        <v>1636</v>
      </c>
      <c r="L30" s="93">
        <f t="shared" ref="L30:L31" si="14">K30/J30</f>
        <v>102.25</v>
      </c>
      <c r="M30" s="94">
        <v>16</v>
      </c>
      <c r="N30" s="95">
        <f t="shared" si="8"/>
        <v>1394.9999999999882</v>
      </c>
      <c r="O30" s="96">
        <f t="shared" si="9"/>
        <v>87.187499999999261</v>
      </c>
      <c r="P30" s="97">
        <f t="shared" si="10"/>
        <v>0</v>
      </c>
      <c r="Q30" s="98">
        <f t="shared" si="11"/>
        <v>-15.062500000000739</v>
      </c>
      <c r="R30" s="99">
        <f t="shared" si="12"/>
        <v>0.85268948655256005</v>
      </c>
      <c r="S30" s="421"/>
      <c r="T30" s="19">
        <v>0.36388888888888898</v>
      </c>
      <c r="U30" s="19">
        <v>0.391666666666667</v>
      </c>
      <c r="V30" s="92">
        <f>(T30-U29)*24*60</f>
        <v>10.000000000000764</v>
      </c>
      <c r="W30" s="149">
        <f t="shared" si="4"/>
        <v>40.000000000000341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-241.00000000001182</v>
      </c>
      <c r="AG30" s="99">
        <f t="shared" si="7"/>
        <v>0.85268948655256005</v>
      </c>
      <c r="AH30" s="416"/>
    </row>
    <row r="31" spans="1:34" ht="15" customHeight="1">
      <c r="A31" s="418"/>
      <c r="B31" s="75" t="s">
        <v>81</v>
      </c>
      <c r="C31" s="88"/>
      <c r="D31" s="59" t="s">
        <v>161</v>
      </c>
      <c r="E31" s="89"/>
      <c r="F31" s="75">
        <f>VLOOKUP(D31,廠價表!$C$1:$E$43,3,0)</f>
        <v>52.21</v>
      </c>
      <c r="G31" s="90">
        <v>751</v>
      </c>
      <c r="H31" s="91">
        <f t="shared" si="13"/>
        <v>39209.71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14"/>
        <v>90.888888888888886</v>
      </c>
      <c r="M31" s="94">
        <v>17</v>
      </c>
      <c r="N31" s="95">
        <f t="shared" si="8"/>
        <v>1365.4545454545835</v>
      </c>
      <c r="O31" s="96">
        <f t="shared" si="9"/>
        <v>80.3208556149755</v>
      </c>
      <c r="P31" s="97">
        <f t="shared" si="10"/>
        <v>-1</v>
      </c>
      <c r="Q31" s="98">
        <f t="shared" si="11"/>
        <v>-10.568033273913386</v>
      </c>
      <c r="R31" s="99">
        <f t="shared" si="12"/>
        <v>0.88372579527479156</v>
      </c>
      <c r="S31" s="421"/>
      <c r="T31" s="19">
        <v>0.39791666666666697</v>
      </c>
      <c r="U31" s="19">
        <v>0.420833333333333</v>
      </c>
      <c r="V31" s="92">
        <f>(T31-U30)*24*60</f>
        <v>8.999999999999968</v>
      </c>
      <c r="W31" s="149">
        <f t="shared" si="4"/>
        <v>32.999999999999083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-270.54545454541653</v>
      </c>
      <c r="AG31" s="99">
        <f t="shared" si="7"/>
        <v>0.83462991775952533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15">AVERAGE(J27:J36)</f>
        <v>17.399999999999999</v>
      </c>
      <c r="K37" s="155">
        <f t="shared" si="15"/>
        <v>1636</v>
      </c>
      <c r="L37" s="158">
        <f t="shared" si="15"/>
        <v>94.230392156862735</v>
      </c>
      <c r="M37" s="155">
        <f t="shared" si="15"/>
        <v>17</v>
      </c>
      <c r="N37" s="155">
        <f t="shared" si="15"/>
        <v>1394.794745408072</v>
      </c>
      <c r="O37" s="158">
        <f t="shared" si="15"/>
        <v>82.066718011316809</v>
      </c>
      <c r="P37" s="159">
        <f>M37-J37</f>
        <v>-0.39999999999999858</v>
      </c>
      <c r="Q37" s="160">
        <f>N37-K37</f>
        <v>-241.205254591928</v>
      </c>
      <c r="R37" s="161">
        <f>O37/L37</f>
        <v>0.87091559456425272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-241.205254591928</v>
      </c>
      <c r="AG37" s="124">
        <f>N37/K37</f>
        <v>0.85256402531055742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1949</v>
      </c>
      <c r="H38" s="134">
        <f>F38*G38</f>
        <v>97274.59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1624.1666666666654</v>
      </c>
      <c r="O38" s="141">
        <f>N38/M38</f>
        <v>101.51041666666659</v>
      </c>
      <c r="P38" s="142">
        <f>M38-J38</f>
        <v>0</v>
      </c>
      <c r="Q38" s="143">
        <f>O38-L38</f>
        <v>-5.6145833333334139</v>
      </c>
      <c r="R38" s="144">
        <f>O38/L38</f>
        <v>0.94758848697004983</v>
      </c>
      <c r="S38" s="410">
        <f>R48</f>
        <v>0.94289149569011677</v>
      </c>
      <c r="T38" s="191">
        <v>0.33333333333333298</v>
      </c>
      <c r="U38" s="191">
        <v>0.38333333333333303</v>
      </c>
      <c r="V38" s="192"/>
      <c r="W38" s="193">
        <f t="shared" si="4"/>
        <v>72.000000000000057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-89.833333333334622</v>
      </c>
      <c r="AG38" s="195">
        <f>N38/K38</f>
        <v>0.94758848697004983</v>
      </c>
      <c r="AH38" s="413">
        <f>AG48</f>
        <v>0.94259109856124346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2837</v>
      </c>
      <c r="H39" s="91">
        <f>F39*G39</f>
        <v>125679.09999999999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1533.5135135135001</v>
      </c>
      <c r="O39" s="203">
        <f>N39/M39</f>
        <v>85.195195195194458</v>
      </c>
      <c r="P39" s="97">
        <f>M39-J39</f>
        <v>0</v>
      </c>
      <c r="Q39" s="98">
        <f>O39-L39</f>
        <v>-5.6936936936944278</v>
      </c>
      <c r="R39" s="99">
        <f>O39/L39</f>
        <v>0.93735544835788531</v>
      </c>
      <c r="S39" s="411"/>
      <c r="T39" s="20">
        <v>0.389583333333333</v>
      </c>
      <c r="U39" s="20">
        <v>0.46666666666666701</v>
      </c>
      <c r="V39" s="92">
        <f>(T39-U38)*24*60</f>
        <v>8.999999999999968</v>
      </c>
      <c r="W39" s="205">
        <f t="shared" si="4"/>
        <v>111.00000000000097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-102.48648648649987</v>
      </c>
      <c r="AG39" s="206">
        <f>N39/K39</f>
        <v>0.9373554483578852</v>
      </c>
      <c r="AH39" s="414"/>
    </row>
    <row r="40" spans="1:34" ht="15" customHeight="1">
      <c r="A40" s="408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393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0</v>
      </c>
      <c r="AG40" s="206" t="e">
        <f>N40/K40</f>
        <v>#DIV/0!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16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16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16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16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16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7">AVERAGE(J38:J47)</f>
        <v>17</v>
      </c>
      <c r="K48" s="155">
        <f t="shared" si="17"/>
        <v>1675</v>
      </c>
      <c r="L48" s="158">
        <f t="shared" si="17"/>
        <v>99.006944444444443</v>
      </c>
      <c r="M48" s="155">
        <f t="shared" si="17"/>
        <v>17</v>
      </c>
      <c r="N48" s="155">
        <f t="shared" si="17"/>
        <v>1578.8400900900829</v>
      </c>
      <c r="O48" s="158">
        <f t="shared" si="17"/>
        <v>93.352805930930515</v>
      </c>
      <c r="P48" s="221">
        <f>M48-J48</f>
        <v>0</v>
      </c>
      <c r="Q48" s="222">
        <f>N48-K48</f>
        <v>-96.159909909917133</v>
      </c>
      <c r="R48" s="223">
        <f>O48/L48</f>
        <v>0.94289149569011677</v>
      </c>
      <c r="S48" s="396"/>
      <c r="T48" s="224"/>
      <c r="U48" s="224"/>
      <c r="V48" s="225"/>
      <c r="W48" s="226">
        <f t="shared" si="16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8">N48-K48</f>
        <v>-96.159909909917133</v>
      </c>
      <c r="AG48" s="162">
        <f t="shared" ref="AG48:AG53" si="19">N48/K48</f>
        <v>0.94259109856124346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1514</v>
      </c>
      <c r="H49" s="134">
        <f>F49*G49</f>
        <v>76137.546000000002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1566.2068965517556</v>
      </c>
      <c r="O49" s="141">
        <f>N49/M49</f>
        <v>92.129817444220919</v>
      </c>
      <c r="P49" s="229">
        <f>M49-J49</f>
        <v>0</v>
      </c>
      <c r="Q49" s="230">
        <f>O49-L49</f>
        <v>-4.1054766734261392</v>
      </c>
      <c r="R49" s="52">
        <f>O49/L49</f>
        <v>0.95733917882136654</v>
      </c>
      <c r="S49" s="392">
        <f>R58</f>
        <v>0.894010054256409</v>
      </c>
      <c r="T49" s="191">
        <v>0.29166666666666702</v>
      </c>
      <c r="U49" s="191">
        <v>0.33194444444444399</v>
      </c>
      <c r="V49" s="55"/>
      <c r="W49" s="193">
        <f t="shared" si="4"/>
        <v>57.999999999998835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18"/>
        <v>-69.793103448244437</v>
      </c>
      <c r="AG49" s="52">
        <f t="shared" si="19"/>
        <v>0.95733917882136643</v>
      </c>
      <c r="AH49" s="380">
        <f>AG58</f>
        <v>0.87807747413063231</v>
      </c>
    </row>
    <row r="50" spans="1:34" ht="15" customHeight="1">
      <c r="A50" s="405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3578</v>
      </c>
      <c r="H50" s="231">
        <f>F50*G50</f>
        <v>178792.66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1602.0895522387993</v>
      </c>
      <c r="O50" s="235">
        <f>N50/M50</f>
        <v>100.13059701492496</v>
      </c>
      <c r="P50" s="74">
        <f>M50-J50</f>
        <v>0</v>
      </c>
      <c r="Q50" s="83">
        <f>O50-L50</f>
        <v>-12.369402985075041</v>
      </c>
      <c r="R50" s="72">
        <f>O50/L50</f>
        <v>0.89004975124377739</v>
      </c>
      <c r="S50" s="393"/>
      <c r="T50" s="21">
        <v>0.33611111111111103</v>
      </c>
      <c r="U50" s="21">
        <v>0.42916666666666697</v>
      </c>
      <c r="V50" s="30">
        <f>(T50-U49)*24*60</f>
        <v>6.0000000000005382</v>
      </c>
      <c r="W50" s="236">
        <f t="shared" si="4"/>
        <v>134.00000000000057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8"/>
        <v>-197.91044776120066</v>
      </c>
      <c r="AG50" s="72">
        <f t="shared" si="19"/>
        <v>0.89004975124377739</v>
      </c>
      <c r="AH50" s="382"/>
    </row>
    <row r="51" spans="1:34" ht="15" customHeight="1">
      <c r="A51" s="405"/>
      <c r="B51" s="75" t="s">
        <v>81</v>
      </c>
      <c r="C51" s="76"/>
      <c r="D51" s="59" t="s">
        <v>161</v>
      </c>
      <c r="E51" s="77"/>
      <c r="F51" s="75">
        <f>VLOOKUP(D51,廠價表!$C$1:$E$43,3,0)</f>
        <v>52.21</v>
      </c>
      <c r="G51" s="202">
        <v>1371</v>
      </c>
      <c r="H51" s="231">
        <f>F51*G51</f>
        <v>71579.91</v>
      </c>
      <c r="I51" s="232"/>
      <c r="J51" s="79">
        <f>VLOOKUP(D51,產線配置圖!$A$3:$C$40,2,0)</f>
        <v>18</v>
      </c>
      <c r="K51" s="80">
        <f>VLOOKUP(D51,產線配置圖!$A$3:$C$40,3,0)</f>
        <v>1636</v>
      </c>
      <c r="L51" s="81">
        <f>K51/J51</f>
        <v>90.888888888888886</v>
      </c>
      <c r="M51" s="233">
        <v>17</v>
      </c>
      <c r="N51" s="234">
        <f>G51/W51*60</f>
        <v>1285.3125000000125</v>
      </c>
      <c r="O51" s="235">
        <f>N51/M51</f>
        <v>75.606617647059565</v>
      </c>
      <c r="P51" s="74">
        <f>M51-J51</f>
        <v>-1</v>
      </c>
      <c r="Q51" s="83">
        <f>O51-L51</f>
        <v>-15.282271241829321</v>
      </c>
      <c r="R51" s="72">
        <f>O51/L51</f>
        <v>0.83185765137351597</v>
      </c>
      <c r="S51" s="393"/>
      <c r="T51" s="21">
        <v>0.4375</v>
      </c>
      <c r="U51" s="19">
        <v>0.48194444444444401</v>
      </c>
      <c r="V51" s="30">
        <f>(T51-U50)*24*60</f>
        <v>11.999999999999558</v>
      </c>
      <c r="W51" s="236">
        <f t="shared" si="4"/>
        <v>63.999999999999375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8"/>
        <v>-350.68749999998749</v>
      </c>
      <c r="AG51" s="72">
        <f t="shared" si="19"/>
        <v>0.7856433374083206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/>
      <c r="U52" s="21"/>
      <c r="V52" s="30"/>
      <c r="W52" s="236">
        <f t="shared" si="4"/>
        <v>0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8"/>
        <v>0</v>
      </c>
      <c r="AG52" s="72" t="e">
        <f t="shared" si="19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8"/>
        <v>0</v>
      </c>
      <c r="AG53" s="72" t="e">
        <f t="shared" si="19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0">AVERAGE(J49:J57)</f>
        <v>17</v>
      </c>
      <c r="K58" s="120">
        <f t="shared" si="20"/>
        <v>1690.6666666666667</v>
      </c>
      <c r="L58" s="117">
        <f t="shared" si="20"/>
        <v>99.874727668845324</v>
      </c>
      <c r="M58" s="120">
        <f t="shared" si="20"/>
        <v>16.666666666666668</v>
      </c>
      <c r="N58" s="120">
        <f t="shared" si="20"/>
        <v>1484.5363162635224</v>
      </c>
      <c r="O58" s="117">
        <f t="shared" si="20"/>
        <v>89.289010702068481</v>
      </c>
      <c r="P58" s="121">
        <f>M58-J58</f>
        <v>-0.33333333333333215</v>
      </c>
      <c r="Q58" s="122">
        <f>N58-K58</f>
        <v>-206.13035040314435</v>
      </c>
      <c r="R58" s="123">
        <f>O58/L58</f>
        <v>0.894010054256409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-206.13035040314435</v>
      </c>
      <c r="AG58" s="124">
        <f>N58/K58</f>
        <v>0.87807747413063231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2589</v>
      </c>
      <c r="H59" s="243">
        <f>F59*G59</f>
        <v>69877.11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1508.1553398058213</v>
      </c>
      <c r="O59" s="138">
        <f>N59/M59</f>
        <v>100.54368932038808</v>
      </c>
      <c r="P59" s="56">
        <f>M59-J59</f>
        <v>0</v>
      </c>
      <c r="Q59" s="230">
        <f>O59-L59</f>
        <v>-8.5229773462785801</v>
      </c>
      <c r="R59" s="52">
        <f>O59/L59</f>
        <v>0.92185534217959741</v>
      </c>
      <c r="S59" s="392">
        <f>R69</f>
        <v>0.85221723151995721</v>
      </c>
      <c r="T59" s="245">
        <v>0.29513888888888901</v>
      </c>
      <c r="U59" s="245">
        <v>0.36666666666666697</v>
      </c>
      <c r="V59" s="55"/>
      <c r="W59" s="54">
        <f t="shared" si="4"/>
        <v>103.00000000000027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-127.84466019417869</v>
      </c>
      <c r="AG59" s="246">
        <f>N59/K59</f>
        <v>0.92185534217959741</v>
      </c>
      <c r="AH59" s="380">
        <f>AG69</f>
        <v>0.85685977223059995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1083</v>
      </c>
      <c r="H60" s="78">
        <f>F60*G60</f>
        <v>30605.58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1382.5531914893995</v>
      </c>
      <c r="O60" s="81">
        <f>N60/M60</f>
        <v>125.68665377176359</v>
      </c>
      <c r="P60" s="74">
        <f>M60-J60</f>
        <v>0</v>
      </c>
      <c r="Q60" s="83">
        <f>O60-L60</f>
        <v>-23.040618955509132</v>
      </c>
      <c r="R60" s="72">
        <f>O60/L60</f>
        <v>0.84508141289083105</v>
      </c>
      <c r="S60" s="402"/>
      <c r="T60" s="22">
        <v>0.374305555555556</v>
      </c>
      <c r="U60" s="22">
        <v>0.406944444444444</v>
      </c>
      <c r="V60" s="30">
        <f>(T60-U59)*24*60</f>
        <v>11.000000000000201</v>
      </c>
      <c r="W60" s="248">
        <f t="shared" si="4"/>
        <v>46.999999999998714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-253.44680851060048</v>
      </c>
      <c r="AG60" s="249">
        <f>N60/K60</f>
        <v>0.84508141289083105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75">
        <f>VLOOKUP(D61,廠價表!$C$1:$E$43,3,0)</f>
        <v>28.26</v>
      </c>
      <c r="G61" s="38">
        <v>561</v>
      </c>
      <c r="H61" s="254">
        <f>F61*G61</f>
        <v>15853.86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1346.4000000000092</v>
      </c>
      <c r="O61" s="238">
        <f>N61/M61</f>
        <v>122.40000000000083</v>
      </c>
      <c r="P61" s="111">
        <f>M61-J61</f>
        <v>0</v>
      </c>
      <c r="Q61" s="255">
        <f>O61-L61</f>
        <v>-26.32727272727189</v>
      </c>
      <c r="R61" s="85">
        <f>O61/L61</f>
        <v>0.82298288508558015</v>
      </c>
      <c r="S61" s="393"/>
      <c r="T61" s="22">
        <v>0.41666666666666702</v>
      </c>
      <c r="U61" s="22">
        <v>0.43402777777777801</v>
      </c>
      <c r="V61" s="30">
        <f>(T61-U60)*24*60</f>
        <v>14.000000000001149</v>
      </c>
      <c r="W61" s="256">
        <f t="shared" si="4"/>
        <v>24.999999999999829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-289.59999999999081</v>
      </c>
      <c r="AG61" s="247">
        <f>N61/K61</f>
        <v>0.82298288508558015</v>
      </c>
      <c r="AH61" s="382"/>
    </row>
    <row r="62" spans="1:34" ht="15" customHeight="1">
      <c r="A62" s="400"/>
      <c r="B62" s="250" t="s">
        <v>132</v>
      </c>
      <c r="C62" s="251"/>
      <c r="D62" s="257" t="s">
        <v>136</v>
      </c>
      <c r="E62" s="253"/>
      <c r="F62" s="75">
        <f>VLOOKUP(D62,廠價表!$C$1:$E$43,3,0)</f>
        <v>28.26</v>
      </c>
      <c r="G62" s="38">
        <v>2512</v>
      </c>
      <c r="H62" s="78">
        <f>F62*G62</f>
        <v>70989.12000000001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>K62/J62</f>
        <v>148.72727272727272</v>
      </c>
      <c r="M62" s="108">
        <v>11</v>
      </c>
      <c r="N62" s="107">
        <f>G62/W62*60</f>
        <v>1370.181818181816</v>
      </c>
      <c r="O62" s="238">
        <f>N62/M62</f>
        <v>124.56198347107419</v>
      </c>
      <c r="P62" s="111">
        <f>M62-J62</f>
        <v>0</v>
      </c>
      <c r="Q62" s="255">
        <f>O62-L62</f>
        <v>-24.165289256198534</v>
      </c>
      <c r="R62" s="85">
        <f>O62/L62</f>
        <v>0.83751944876639128</v>
      </c>
      <c r="S62" s="393"/>
      <c r="T62" s="22">
        <v>0.42361111111111099</v>
      </c>
      <c r="U62" s="22">
        <v>0.5</v>
      </c>
      <c r="V62" s="30"/>
      <c r="W62" s="248">
        <f t="shared" si="4"/>
        <v>110.00000000000017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-265.81818181818403</v>
      </c>
      <c r="AG62" s="247">
        <f>N62/K62</f>
        <v>0.83751944876639117</v>
      </c>
      <c r="AH62" s="382"/>
    </row>
    <row r="63" spans="1:34" ht="15" customHeight="1">
      <c r="A63" s="4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9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1">AVERAGE(J59:J68)</f>
        <v>12</v>
      </c>
      <c r="K69" s="240">
        <f t="shared" si="21"/>
        <v>1636</v>
      </c>
      <c r="L69" s="268">
        <f t="shared" si="21"/>
        <v>138.81212121212121</v>
      </c>
      <c r="M69" s="240">
        <f t="shared" si="21"/>
        <v>12</v>
      </c>
      <c r="N69" s="240">
        <f t="shared" si="21"/>
        <v>1401.8225873692616</v>
      </c>
      <c r="O69" s="268">
        <f t="shared" si="21"/>
        <v>118.29808164080667</v>
      </c>
      <c r="P69" s="269">
        <f>M69-J69</f>
        <v>0</v>
      </c>
      <c r="Q69" s="222">
        <f>N69-K69</f>
        <v>-234.17741263073844</v>
      </c>
      <c r="R69" s="123">
        <f>O69/L69</f>
        <v>0.85221723151995721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-234.17741263073844</v>
      </c>
      <c r="AG69" s="124">
        <f>N69/K69</f>
        <v>0.85685977223059995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668</v>
      </c>
      <c r="H70" s="243">
        <f>F70*G70</f>
        <v>29318.52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12</v>
      </c>
      <c r="N70" s="137">
        <f>G70/W70*60</f>
        <v>1178.8235294117717</v>
      </c>
      <c r="O70" s="138">
        <f>N70/M70</f>
        <v>98.235294117647641</v>
      </c>
      <c r="P70" s="56">
        <f>M70-J70</f>
        <v>-1</v>
      </c>
      <c r="Q70" s="230">
        <f>O70-L70</f>
        <v>-22.149321266967746</v>
      </c>
      <c r="R70" s="52">
        <f>O70/L70</f>
        <v>0.81601202781432547</v>
      </c>
      <c r="S70" s="392">
        <f>R79</f>
        <v>0.85869842623351</v>
      </c>
      <c r="T70" s="245">
        <v>0.29166666666666702</v>
      </c>
      <c r="U70" s="245">
        <v>0.31527777777777799</v>
      </c>
      <c r="V70" s="55"/>
      <c r="W70" s="54">
        <f t="shared" si="4"/>
        <v>33.999999999999801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-386.17647058822831</v>
      </c>
      <c r="AG70" s="246">
        <f>N70/K70</f>
        <v>0.75324187182860813</v>
      </c>
      <c r="AH70" s="380">
        <f>AG79</f>
        <v>0.6801133106822751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75">
        <f>VLOOKUP(D71,廠價表!$C$1:$E$43,3,0)</f>
        <v>52.21</v>
      </c>
      <c r="G71" s="30">
        <v>2429</v>
      </c>
      <c r="H71" s="78">
        <f>F71*G71</f>
        <v>126818.09</v>
      </c>
      <c r="I71" s="30"/>
      <c r="J71" s="79">
        <f>VLOOKUP(D71,產線配置圖!$A$3:$C$40,2,0)</f>
        <v>18</v>
      </c>
      <c r="K71" s="80">
        <f>VLOOKUP(D71,產線配置圖!$A$3:$C$40,3,0)</f>
        <v>1636</v>
      </c>
      <c r="L71" s="81">
        <f>K71/J71</f>
        <v>90.888888888888886</v>
      </c>
      <c r="M71" s="82">
        <v>12</v>
      </c>
      <c r="N71" s="107">
        <f>G71/W71*60</f>
        <v>998.21917808219087</v>
      </c>
      <c r="O71" s="238">
        <f>N71/M71</f>
        <v>83.184931506849239</v>
      </c>
      <c r="P71" s="111">
        <f>M71-J71</f>
        <v>-6</v>
      </c>
      <c r="Q71" s="255">
        <f>O71-L71</f>
        <v>-7.703957382039647</v>
      </c>
      <c r="R71" s="85">
        <f>O71/L71</f>
        <v>0.91523763271594516</v>
      </c>
      <c r="S71" s="393"/>
      <c r="T71" s="22">
        <v>0.32291666666666702</v>
      </c>
      <c r="U71" s="22">
        <v>0.42430555555555599</v>
      </c>
      <c r="V71" s="30">
        <f>(T71-U70)*24*60</f>
        <v>11.000000000000201</v>
      </c>
      <c r="W71" s="73">
        <f t="shared" si="4"/>
        <v>146.00000000000011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22">AVERAGE(J70:J78)</f>
        <v>15.5</v>
      </c>
      <c r="K79" s="240">
        <f t="shared" si="22"/>
        <v>1600.5</v>
      </c>
      <c r="L79" s="268">
        <f t="shared" si="22"/>
        <v>105.63675213675214</v>
      </c>
      <c r="M79" s="240">
        <f t="shared" si="22"/>
        <v>12</v>
      </c>
      <c r="N79" s="240">
        <f t="shared" si="22"/>
        <v>1088.5213537469813</v>
      </c>
      <c r="O79" s="268">
        <f t="shared" si="22"/>
        <v>90.71011281224844</v>
      </c>
      <c r="P79" s="269">
        <f>M79-J79</f>
        <v>-3.5</v>
      </c>
      <c r="Q79" s="222">
        <f>N79-K79</f>
        <v>-511.97864625301872</v>
      </c>
      <c r="R79" s="223">
        <f>O79/L79</f>
        <v>0.85869842623351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-511.97864625301872</v>
      </c>
      <c r="AG79" s="124">
        <f>N79/K79</f>
        <v>0.6801133106822751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197" priority="1" operator="greaterThan">
      <formula>0</formula>
    </cfRule>
  </conditionalFormatting>
  <conditionalFormatting sqref="Q5:Q79 AF5:AF79">
    <cfRule type="cellIs" dxfId="196" priority="4" operator="lessThan">
      <formula>0</formula>
    </cfRule>
  </conditionalFormatting>
  <conditionalFormatting sqref="R5:R79 AG5:AG79">
    <cfRule type="cellIs" dxfId="195" priority="2" operator="greaterThan">
      <formula>1</formula>
    </cfRule>
    <cfRule type="cellIs" dxfId="194" priority="3" operator="lessThan">
      <formula>0.8</formula>
    </cfRule>
  </conditionalFormatting>
  <conditionalFormatting sqref="S5:S10 S37:S62 AH59:AH62 S69:S76 AH69:AH76">
    <cfRule type="cellIs" dxfId="193" priority="7" operator="lessThan">
      <formula>0.8</formula>
    </cfRule>
  </conditionalFormatting>
  <conditionalFormatting sqref="S19:S25 AH19:AH25">
    <cfRule type="cellIs" dxfId="192" priority="6" operator="lessThan">
      <formula>0.8</formula>
    </cfRule>
  </conditionalFormatting>
  <conditionalFormatting sqref="S79">
    <cfRule type="cellIs" dxfId="191" priority="5" operator="lessThan">
      <formula>0.8</formula>
    </cfRule>
  </conditionalFormatting>
  <conditionalFormatting sqref="AH5:AH8 S15:S16 AH15:AH16 AH49 AH79">
    <cfRule type="cellIs" dxfId="190" priority="9" operator="lessThan">
      <formula>0.8</formula>
    </cfRule>
  </conditionalFormatting>
  <conditionalFormatting sqref="AH27 S27:S28">
    <cfRule type="cellIs" dxfId="18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7FC1-556E-4F98-B0FE-C83CB4B11E06}">
  <dimension ref="B1:O26"/>
  <sheetViews>
    <sheetView topLeftCell="B1" zoomScale="70" zoomScaleNormal="70" workbookViewId="0">
      <selection activeCell="F17" sqref="F1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46277</v>
      </c>
      <c r="E3" s="504"/>
      <c r="F3" s="3" t="s">
        <v>72</v>
      </c>
      <c r="G3" s="505">
        <f>'0912'!E1</f>
        <v>46536</v>
      </c>
      <c r="H3" s="505"/>
      <c r="I3" s="3" t="s">
        <v>2</v>
      </c>
      <c r="J3" s="506">
        <f>'0912'!G1</f>
        <v>2177218.8670000001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125.74274560640109</v>
      </c>
      <c r="G6" s="501"/>
      <c r="H6" s="502">
        <f>AVERAGE(D13:H13)</f>
        <v>124.97681354593121</v>
      </c>
      <c r="I6" s="502"/>
      <c r="J6" s="502">
        <f>AVERAGE(I13:J13)</f>
        <v>127.65757575757576</v>
      </c>
      <c r="K6" s="502"/>
      <c r="L6" s="492">
        <f>'0912'!Z2</f>
        <v>0</v>
      </c>
      <c r="M6" s="493">
        <f>'0912'!AA2</f>
        <v>0</v>
      </c>
      <c r="N6" s="494">
        <f>'0912'!AD2</f>
        <v>0</v>
      </c>
      <c r="O6" s="493">
        <f>'0912'!AE2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112.87739367549648</v>
      </c>
      <c r="G7" s="490"/>
      <c r="H7" s="491">
        <f>AVERAGE(D14:H14)</f>
        <v>116.34835114569489</v>
      </c>
      <c r="I7" s="491"/>
      <c r="J7" s="491">
        <f>AVERAGE(I14:J14)</f>
        <v>104.20000000000046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0.89779765993822391</v>
      </c>
      <c r="G8" s="496"/>
      <c r="H8" s="496">
        <f>AVERAGE(D15:H15)</f>
        <v>0.93005904649846394</v>
      </c>
      <c r="I8" s="496"/>
      <c r="J8" s="496">
        <f>AVERAGE(I15:J15)</f>
        <v>0.81714419353762402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VALUE('0912'!L15)</f>
        <v>164.83516483516482</v>
      </c>
      <c r="E13" s="13">
        <f>VALUE('0912'!L26)</f>
        <v>169.64285714285714</v>
      </c>
      <c r="F13" s="13">
        <f>VALUE('0912'!L37)</f>
        <v>94.230392156862735</v>
      </c>
      <c r="G13" s="13">
        <f>VALUE('0912'!L48)</f>
        <v>96.300925925925924</v>
      </c>
      <c r="H13" s="13">
        <f>VALUE('0912'!L58)</f>
        <v>99.874727668845324</v>
      </c>
      <c r="I13" s="13">
        <f>VALUE('0912'!L69)</f>
        <v>135.50707070707071</v>
      </c>
      <c r="J13" s="13">
        <f>'0912'!L79</f>
        <v>119.8080808080808</v>
      </c>
    </row>
    <row r="14" spans="2:15" ht="39.950000000000003" customHeight="1">
      <c r="B14" s="484"/>
      <c r="C14" s="12" t="s">
        <v>100</v>
      </c>
      <c r="D14" s="13">
        <f>VALUE('0912'!O15)</f>
        <v>152.55882034576499</v>
      </c>
      <c r="E14" s="13">
        <f>VALUE('0912'!O26)</f>
        <v>159.64155833273472</v>
      </c>
      <c r="F14" s="13">
        <f>VALUE('0912'!O37)</f>
        <v>84.969000780640414</v>
      </c>
      <c r="G14" s="13">
        <f>VALUE('0912'!O48)</f>
        <v>91.42868589743567</v>
      </c>
      <c r="H14" s="13">
        <f>VALUE('0912'!O58)</f>
        <v>93.143690371898671</v>
      </c>
      <c r="I14" s="13">
        <f>VALUE('0912'!O69)</f>
        <v>108.74965034965129</v>
      </c>
      <c r="J14" s="13">
        <f>'0912'!O79</f>
        <v>99.650349650349625</v>
      </c>
    </row>
    <row r="15" spans="2:15" ht="39.950000000000003" customHeight="1">
      <c r="B15" s="485"/>
      <c r="C15" s="10" t="s">
        <v>26</v>
      </c>
      <c r="D15" s="14">
        <f t="shared" ref="D15:I15" si="0">D14/D13</f>
        <v>0.925523510097641</v>
      </c>
      <c r="E15" s="14">
        <f t="shared" si="0"/>
        <v>0.94104497543506782</v>
      </c>
      <c r="F15" s="14">
        <f t="shared" si="0"/>
        <v>0.90171545332417657</v>
      </c>
      <c r="G15" s="14">
        <f t="shared" si="0"/>
        <v>0.94940609364194539</v>
      </c>
      <c r="H15" s="14">
        <f t="shared" si="0"/>
        <v>0.93260519999348823</v>
      </c>
      <c r="I15" s="14">
        <f t="shared" si="0"/>
        <v>0.80253856704450754</v>
      </c>
      <c r="J15" s="15">
        <f>'0912'!S70</f>
        <v>0.83174982003074049</v>
      </c>
    </row>
    <row r="16" spans="2:15" ht="17.25" customHeight="1">
      <c r="B16" s="486" t="s">
        <v>101</v>
      </c>
      <c r="C16" s="10" t="s">
        <v>34</v>
      </c>
      <c r="D16" s="16">
        <f>'0912'!T5</f>
        <v>0.29166666666666702</v>
      </c>
      <c r="E16" s="16">
        <f>'0912'!T16</f>
        <v>0.29166666666666702</v>
      </c>
      <c r="F16" s="16">
        <f>'0912'!T27</f>
        <v>0.30277777777777798</v>
      </c>
      <c r="G16" s="16">
        <f>'0912'!T38</f>
        <v>0.33333333333333298</v>
      </c>
      <c r="H16" s="16">
        <f>'0912'!T49</f>
        <v>0.29166666666666702</v>
      </c>
      <c r="I16" s="16">
        <f>'0912'!T59</f>
        <v>0.29166666666666702</v>
      </c>
      <c r="J16" s="17">
        <f>'0912'!T70</f>
        <v>0.3125</v>
      </c>
    </row>
    <row r="17" spans="2:10" ht="17.25" customHeight="1">
      <c r="B17" s="487"/>
      <c r="C17" s="10" t="s">
        <v>35</v>
      </c>
      <c r="D17" s="18">
        <v>0.46250000000000002</v>
      </c>
      <c r="E17" s="183">
        <v>0.46458333333333302</v>
      </c>
      <c r="F17" s="19">
        <v>0.45902777777777798</v>
      </c>
      <c r="G17" s="328">
        <v>0.594444444444444</v>
      </c>
      <c r="H17" s="21">
        <v>0.63055555555555598</v>
      </c>
      <c r="I17" s="110">
        <v>0.45486111111111099</v>
      </c>
      <c r="J17" s="22">
        <v>0.47222222222222199</v>
      </c>
    </row>
    <row r="18" spans="2:10" ht="17.25" customHeight="1">
      <c r="B18" s="488" t="s">
        <v>102</v>
      </c>
      <c r="C18" s="330" t="s">
        <v>36</v>
      </c>
      <c r="D18" s="359">
        <f>'0912'!Z15</f>
        <v>0</v>
      </c>
      <c r="E18" s="360">
        <f>'0912'!Z26</f>
        <v>0</v>
      </c>
      <c r="F18" s="360">
        <f>'0912'!Z37</f>
        <v>0</v>
      </c>
      <c r="G18" s="361">
        <f>'0912'!Z48</f>
        <v>0</v>
      </c>
      <c r="H18" s="361">
        <f>'0912'!Z58</f>
        <v>0</v>
      </c>
      <c r="I18" s="360">
        <f>'0912'!Z69</f>
        <v>0</v>
      </c>
      <c r="J18" s="360">
        <f>'0912'!AA79</f>
        <v>0</v>
      </c>
    </row>
    <row r="19" spans="2:10" ht="17.25" customHeight="1">
      <c r="B19" s="489"/>
      <c r="C19" s="330" t="s">
        <v>37</v>
      </c>
      <c r="D19" s="359">
        <f>'0912'!AA15</f>
        <v>0</v>
      </c>
      <c r="E19" s="360">
        <f>'0912'!AA26</f>
        <v>0</v>
      </c>
      <c r="F19" s="360">
        <f>'0912'!AA37</f>
        <v>0</v>
      </c>
      <c r="G19" s="361">
        <f>'0912'!AA48</f>
        <v>0</v>
      </c>
      <c r="H19" s="361">
        <f>'0912'!AA58</f>
        <v>0</v>
      </c>
      <c r="I19" s="360">
        <f>'0912'!AA69</f>
        <v>0</v>
      </c>
      <c r="J19" s="360">
        <f>'0912'!AB79</f>
        <v>0</v>
      </c>
    </row>
    <row r="20" spans="2:10" ht="17.25" customHeight="1">
      <c r="B20" s="488" t="s">
        <v>103</v>
      </c>
      <c r="C20" s="330" t="s">
        <v>36</v>
      </c>
      <c r="D20" s="359">
        <f>'0912'!AD15</f>
        <v>0</v>
      </c>
      <c r="E20" s="360">
        <f>'0912'!AD26</f>
        <v>0</v>
      </c>
      <c r="F20" s="360">
        <f>'0912'!AD37</f>
        <v>0</v>
      </c>
      <c r="G20" s="361">
        <f>'0912'!AD48</f>
        <v>0</v>
      </c>
      <c r="H20" s="361">
        <f>'0912'!AD58</f>
        <v>0</v>
      </c>
      <c r="I20" s="360">
        <f>'0912'!AD69</f>
        <v>0</v>
      </c>
      <c r="J20" s="360">
        <f>'0912'!AD79</f>
        <v>0</v>
      </c>
    </row>
    <row r="21" spans="2:10" ht="17.25" customHeight="1">
      <c r="B21" s="489"/>
      <c r="C21" s="330" t="s">
        <v>85</v>
      </c>
      <c r="D21" s="359">
        <f>'0912'!AE15</f>
        <v>0</v>
      </c>
      <c r="E21" s="360">
        <f>'0912'!AE26</f>
        <v>0</v>
      </c>
      <c r="F21" s="360">
        <f>'0912'!AE37</f>
        <v>0</v>
      </c>
      <c r="G21" s="361">
        <f>'0912'!AE48</f>
        <v>0</v>
      </c>
      <c r="H21" s="361">
        <f>'0912'!AE58</f>
        <v>0</v>
      </c>
      <c r="I21" s="360">
        <f>'0912'!AE69</f>
        <v>0</v>
      </c>
      <c r="J21" s="360">
        <f>'0912'!AE79</f>
        <v>0</v>
      </c>
    </row>
    <row r="22" spans="2:10" ht="17.25" customHeight="1">
      <c r="B22" s="471" t="s">
        <v>104</v>
      </c>
      <c r="C22" s="472"/>
      <c r="D22" s="23">
        <f>VALUE('0912'!M15)</f>
        <v>13.666666666666666</v>
      </c>
      <c r="E22" s="23">
        <f>VALUE('0912'!M26)</f>
        <v>13.333333333333334</v>
      </c>
      <c r="F22" s="23">
        <f>VALUE('0912'!M37)</f>
        <v>17.2</v>
      </c>
      <c r="G22" s="23">
        <f>VALUE('0912'!M48)</f>
        <v>17.333333333333332</v>
      </c>
      <c r="H22" s="23">
        <f>VALUE('0912'!M58)</f>
        <v>16.666666666666668</v>
      </c>
      <c r="I22" s="23">
        <f>VALUE('0912'!M69)</f>
        <v>12.333333333333334</v>
      </c>
      <c r="J22" s="23">
        <f>'0912'!M79</f>
        <v>10.5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18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30E97-D9E1-40C0-B20C-EA2D3AE55B1A}">
  <sheetPr>
    <tabColor theme="9" tint="0.79998168889431442"/>
  </sheetPr>
  <dimension ref="A1:AJ92"/>
  <sheetViews>
    <sheetView zoomScale="69" zoomScaleNormal="69" workbookViewId="0">
      <pane xSplit="5" ySplit="4" topLeftCell="F17" activePane="bottomRight" state="frozen"/>
      <selection activeCell="G76" sqref="G76"/>
      <selection pane="topRight" activeCell="G76" sqref="G76"/>
      <selection pane="bottomLeft" activeCell="G76" sqref="G76"/>
      <selection pane="bottomRight" activeCell="U31" sqref="U3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46536</v>
      </c>
      <c r="F1" s="30" t="s">
        <v>2</v>
      </c>
      <c r="G1" s="31">
        <f>SUM(H5:H79)</f>
        <v>2177218.8670000001</v>
      </c>
      <c r="H1" s="32" t="s">
        <v>3</v>
      </c>
      <c r="I1" s="33">
        <f>M15+M26+M48+M58+M69+M79+M37</f>
        <v>101.03333333333333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172</v>
      </c>
      <c r="B2" s="462"/>
      <c r="C2" s="28"/>
      <c r="D2" s="28" t="s">
        <v>14</v>
      </c>
      <c r="E2" s="35">
        <f>AVERAGE(O15,O26,O37,O48,O58,O69,O79)</f>
        <v>112.87739367549648</v>
      </c>
      <c r="F2" s="36" t="s">
        <v>15</v>
      </c>
      <c r="G2" s="37">
        <f>G1/E1</f>
        <v>46.785689938971977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0</v>
      </c>
      <c r="AA2" s="339">
        <f>AA15+AA26+AA37+AA48+AA58+AA69+AA79</f>
        <v>0</v>
      </c>
      <c r="AB2" s="433"/>
      <c r="AC2" s="433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1499</v>
      </c>
      <c r="H5" s="43">
        <f>F5*G5</f>
        <v>85248.12999999999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2091.6279069767515</v>
      </c>
      <c r="O5" s="47">
        <f>N5/M5</f>
        <v>149.40199335548226</v>
      </c>
      <c r="P5" s="49">
        <f>M5-J5</f>
        <v>0</v>
      </c>
      <c r="Q5" s="50">
        <f>O5-L5</f>
        <v>-11.312292358803461</v>
      </c>
      <c r="R5" s="51">
        <f>O5/L5</f>
        <v>0.92961240310077842</v>
      </c>
      <c r="S5" s="392">
        <f>R15</f>
        <v>0.925523510097641</v>
      </c>
      <c r="T5" s="319">
        <v>0.29166666666666702</v>
      </c>
      <c r="U5" s="320">
        <v>0.32152777777777802</v>
      </c>
      <c r="V5" s="53"/>
      <c r="W5" s="54">
        <f t="shared" ref="W5:W14" si="0">(U5-T5)*24*60</f>
        <v>42.999999999999844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-158.37209302324845</v>
      </c>
      <c r="AG5" s="52">
        <f t="shared" ref="AG5:AG11" si="2">N5/K5</f>
        <v>0.92961240310077842</v>
      </c>
      <c r="AH5" s="380">
        <f>AG15</f>
        <v>0.92642263814271164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1703</v>
      </c>
      <c r="H6" s="63">
        <f>F6*G6</f>
        <v>99063.510000000009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2003.5294117647445</v>
      </c>
      <c r="O6" s="67">
        <f>N6/M6</f>
        <v>154.11764705882649</v>
      </c>
      <c r="P6" s="69">
        <f>M6-J6</f>
        <v>0</v>
      </c>
      <c r="Q6" s="70">
        <f>O6-L6</f>
        <v>-18.959276018096574</v>
      </c>
      <c r="R6" s="71">
        <f>O6/L6</f>
        <v>0.89045751633988646</v>
      </c>
      <c r="S6" s="393"/>
      <c r="T6" s="16">
        <v>0.327777777777778</v>
      </c>
      <c r="U6" s="16">
        <v>0.36319444444444399</v>
      </c>
      <c r="V6" s="30">
        <f>(T6-U5)*24*60</f>
        <v>8.999999999999968</v>
      </c>
      <c r="W6" s="73">
        <f t="shared" si="0"/>
        <v>50.999999999999019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-246.47058823525549</v>
      </c>
      <c r="AG6" s="72">
        <f t="shared" si="2"/>
        <v>0.89045751633988646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4784</v>
      </c>
      <c r="H7" s="78">
        <f>F7*G7</f>
        <v>235085.76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2158.1954887218071</v>
      </c>
      <c r="O7" s="81">
        <f>N7/M7</f>
        <v>154.15682062298623</v>
      </c>
      <c r="P7" s="74">
        <f>M7-J7</f>
        <v>0</v>
      </c>
      <c r="Q7" s="83">
        <f>O7-L7</f>
        <v>-6.5574650912994912</v>
      </c>
      <c r="R7" s="72">
        <f>O7/L7</f>
        <v>0.95919799498746983</v>
      </c>
      <c r="S7" s="393"/>
      <c r="T7" s="18">
        <v>0.37013888888888902</v>
      </c>
      <c r="U7" s="18">
        <v>0.46250000000000002</v>
      </c>
      <c r="V7" s="30">
        <f>(T7-U6)*24*60</f>
        <v>10.000000000000844</v>
      </c>
      <c r="W7" s="73">
        <f t="shared" si="0"/>
        <v>132.99999999999986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-91.804511278192876</v>
      </c>
      <c r="AG7" s="72">
        <f t="shared" si="2"/>
        <v>0.95919799498746983</v>
      </c>
      <c r="AH7" s="382"/>
    </row>
    <row r="8" spans="1:34" ht="15" customHeight="1">
      <c r="A8" s="466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93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0</v>
      </c>
      <c r="AG8" s="72" t="e">
        <f t="shared" si="2"/>
        <v>#DIV/0!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13.666666666666666</v>
      </c>
      <c r="K15" s="120">
        <f t="shared" si="3"/>
        <v>2250</v>
      </c>
      <c r="L15" s="117">
        <f t="shared" si="3"/>
        <v>164.83516483516482</v>
      </c>
      <c r="M15" s="120">
        <f t="shared" si="3"/>
        <v>13.666666666666666</v>
      </c>
      <c r="N15" s="120">
        <f t="shared" si="3"/>
        <v>2084.4509358211012</v>
      </c>
      <c r="O15" s="117">
        <f t="shared" si="3"/>
        <v>152.55882034576499</v>
      </c>
      <c r="P15" s="121">
        <f>M15-J15</f>
        <v>0</v>
      </c>
      <c r="Q15" s="122">
        <f>O15-L15</f>
        <v>-12.276344489399833</v>
      </c>
      <c r="R15" s="123">
        <f>O15/L15</f>
        <v>0.925523510097641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-165.54906417889879</v>
      </c>
      <c r="AG15" s="124">
        <f>N15/K15</f>
        <v>0.92642263814271164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1169</v>
      </c>
      <c r="H16" s="134">
        <f>F16*G16</f>
        <v>66481.03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2062.9411764706001</v>
      </c>
      <c r="O16" s="141">
        <f>N16/M16</f>
        <v>147.35294117647143</v>
      </c>
      <c r="P16" s="142">
        <f>M16-J16</f>
        <v>0</v>
      </c>
      <c r="Q16" s="143">
        <f>O16-L16</f>
        <v>-13.36134453781429</v>
      </c>
      <c r="R16" s="144">
        <f>O16/L16</f>
        <v>0.91686274509804444</v>
      </c>
      <c r="S16" s="420">
        <f>R26</f>
        <v>0.94104497543506782</v>
      </c>
      <c r="T16" s="145">
        <v>0.29166666666666702</v>
      </c>
      <c r="U16" s="145">
        <v>0.31527777777777799</v>
      </c>
      <c r="V16" s="135"/>
      <c r="W16" s="146">
        <f t="shared" ref="W16:W78" si="4">(U16-T16)*24*60</f>
        <v>33.999999999999801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-187.05882352939989</v>
      </c>
      <c r="AG16" s="52">
        <f>N16/K16</f>
        <v>0.91686274509804444</v>
      </c>
      <c r="AH16" s="380">
        <f>AG26</f>
        <v>0.9407643148427457</v>
      </c>
    </row>
    <row r="17" spans="1:34" ht="15" customHeight="1">
      <c r="A17" s="427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2878</v>
      </c>
      <c r="H17" s="78">
        <f>F17*G17</f>
        <v>145828.26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2158.4999999999841</v>
      </c>
      <c r="O17" s="96">
        <f>N17/M17</f>
        <v>154.17857142857028</v>
      </c>
      <c r="P17" s="97">
        <f>M17-J17</f>
        <v>0</v>
      </c>
      <c r="Q17" s="98">
        <f>O17-L17</f>
        <v>-6.5357142857154429</v>
      </c>
      <c r="R17" s="99">
        <f>O17/L17</f>
        <v>0.95933333333332615</v>
      </c>
      <c r="S17" s="421"/>
      <c r="T17" s="19">
        <v>0.32222222222222202</v>
      </c>
      <c r="U17" s="19">
        <v>0.37777777777777799</v>
      </c>
      <c r="V17" s="30">
        <f>(T17-U16)*24*60</f>
        <v>9.9999999999994049</v>
      </c>
      <c r="W17" s="149">
        <f t="shared" si="4"/>
        <v>80.000000000000597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-91.500000000015916</v>
      </c>
      <c r="AG17" s="72">
        <f>N17/K17</f>
        <v>0.95933333333332627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4151</v>
      </c>
      <c r="H18" s="78">
        <f>F18*G18</f>
        <v>209168.89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2128.7179487179492</v>
      </c>
      <c r="O18" s="96">
        <f>N18/M18</f>
        <v>177.39316239316244</v>
      </c>
      <c r="P18" s="97">
        <f>M18-J18</f>
        <v>0</v>
      </c>
      <c r="Q18" s="98">
        <f>O18-L18</f>
        <v>-10.106837606837558</v>
      </c>
      <c r="R18" s="99">
        <f>O18/L18</f>
        <v>0.94609686609686638</v>
      </c>
      <c r="S18" s="421"/>
      <c r="T18" s="19">
        <v>0.38333333333333303</v>
      </c>
      <c r="U18" s="19">
        <v>0.46458333333333302</v>
      </c>
      <c r="V18" s="30">
        <f>(T18-U17)*24*60</f>
        <v>7.9999999999992522</v>
      </c>
      <c r="W18" s="149">
        <f t="shared" si="4"/>
        <v>116.99999999999999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-121.28205128205082</v>
      </c>
      <c r="AG18" s="72">
        <f>N18/K18</f>
        <v>0.94609686609686627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13.333333333333334</v>
      </c>
      <c r="K26" s="155">
        <f t="shared" si="5"/>
        <v>2250</v>
      </c>
      <c r="L26" s="158">
        <f t="shared" si="5"/>
        <v>169.64285714285714</v>
      </c>
      <c r="M26" s="155">
        <f t="shared" si="5"/>
        <v>13.333333333333334</v>
      </c>
      <c r="N26" s="155">
        <f t="shared" si="5"/>
        <v>2116.7197083961778</v>
      </c>
      <c r="O26" s="158">
        <f t="shared" si="5"/>
        <v>159.64155833273472</v>
      </c>
      <c r="P26" s="159">
        <f>M26-J26</f>
        <v>0</v>
      </c>
      <c r="Q26" s="160">
        <f>O26-L26</f>
        <v>-10.001298810122421</v>
      </c>
      <c r="R26" s="161">
        <f>O26/L26</f>
        <v>0.94104497543506782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-133.28029160382221</v>
      </c>
      <c r="AG26" s="124">
        <f t="shared" ref="AG26:AG31" si="7">N26/K26</f>
        <v>0.9407643148427457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57.21</v>
      </c>
      <c r="G27" s="169">
        <v>1032</v>
      </c>
      <c r="H27" s="134">
        <f>F27*G27</f>
        <v>59040.72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18</v>
      </c>
      <c r="N27" s="140">
        <f>G27/W27*60</f>
        <v>1547.9999999999868</v>
      </c>
      <c r="O27" s="141">
        <f>N27/M27</f>
        <v>85.999999999999261</v>
      </c>
      <c r="P27" s="142">
        <f>M27-J27</f>
        <v>0</v>
      </c>
      <c r="Q27" s="143">
        <f>O27-L27</f>
        <v>-4.8888888888896247</v>
      </c>
      <c r="R27" s="144">
        <f>O27/L27</f>
        <v>0.94621026894864713</v>
      </c>
      <c r="S27" s="420">
        <f>R37</f>
        <v>0.90171545332417657</v>
      </c>
      <c r="T27" s="171">
        <v>0.30277777777777798</v>
      </c>
      <c r="U27" s="171">
        <v>0.33055555555555599</v>
      </c>
      <c r="V27" s="135"/>
      <c r="W27" s="146">
        <f t="shared" si="4"/>
        <v>40.000000000000341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6"/>
        <v>-88.000000000013188</v>
      </c>
      <c r="AG27" s="172">
        <f t="shared" si="7"/>
        <v>0.94621026894864724</v>
      </c>
      <c r="AH27" s="380">
        <f>AG37</f>
        <v>0.88999249898364374</v>
      </c>
    </row>
    <row r="28" spans="1:34" ht="15" customHeight="1">
      <c r="A28" s="418"/>
      <c r="B28" s="75" t="s">
        <v>81</v>
      </c>
      <c r="C28" s="173"/>
      <c r="D28" s="59" t="s">
        <v>124</v>
      </c>
      <c r="E28" s="104"/>
      <c r="F28" s="75">
        <f>VLOOKUP(D28,廠價表!$C$1:$E$43,3,0)</f>
        <v>46.34</v>
      </c>
      <c r="G28" s="90">
        <v>866</v>
      </c>
      <c r="H28" s="91">
        <f>F28*G28</f>
        <v>40130.44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16</v>
      </c>
      <c r="N28" s="95">
        <f>G28/W28*60</f>
        <v>1484.5714285714644</v>
      </c>
      <c r="O28" s="96">
        <f>N28/M28</f>
        <v>92.785714285716523</v>
      </c>
      <c r="P28" s="97">
        <f>M28-J28</f>
        <v>0</v>
      </c>
      <c r="Q28" s="98">
        <f>O28-L28</f>
        <v>-9.4642857142834771</v>
      </c>
      <c r="R28" s="99">
        <f>O28/L28</f>
        <v>0.90743974851556497</v>
      </c>
      <c r="S28" s="421"/>
      <c r="T28" s="19">
        <v>0.33680555555555602</v>
      </c>
      <c r="U28" s="19">
        <v>0.36111111111111099</v>
      </c>
      <c r="V28" s="92">
        <f>(T28-U27)*24*60</f>
        <v>9.000000000000048</v>
      </c>
      <c r="W28" s="149">
        <f t="shared" si="4"/>
        <v>34.999999999999154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6"/>
        <v>-151.42857142853563</v>
      </c>
      <c r="AG28" s="99">
        <f t="shared" si="7"/>
        <v>0.90743974851556497</v>
      </c>
      <c r="AH28" s="381"/>
    </row>
    <row r="29" spans="1:34" ht="15" customHeight="1">
      <c r="A29" s="418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484</v>
      </c>
      <c r="H29" s="91">
        <f t="shared" ref="H29:H31" si="8">F29*G29</f>
        <v>22099.439999999999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 t="shared" ref="L29:L31" si="9">K29/J29</f>
        <v>96.235294117647058</v>
      </c>
      <c r="M29" s="94">
        <v>16</v>
      </c>
      <c r="N29" s="95">
        <f>G29/W29*60</f>
        <v>1451.9999999999875</v>
      </c>
      <c r="O29" s="96">
        <f>N29/M29</f>
        <v>90.749999999999218</v>
      </c>
      <c r="P29" s="97">
        <f>M29-J29</f>
        <v>-1</v>
      </c>
      <c r="Q29" s="98">
        <f>O29-L29</f>
        <v>-5.4852941176478396</v>
      </c>
      <c r="R29" s="99">
        <f>O29/L29</f>
        <v>0.94300122249387941</v>
      </c>
      <c r="S29" s="421"/>
      <c r="T29" s="19">
        <v>0.36944444444444402</v>
      </c>
      <c r="U29" s="19">
        <v>0.38333333333333303</v>
      </c>
      <c r="V29" s="92">
        <f>(T29-U28)*24*60</f>
        <v>11.999999999999558</v>
      </c>
      <c r="W29" s="149">
        <f t="shared" si="4"/>
        <v>20.000000000000171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-184.00000000001251</v>
      </c>
      <c r="AG29" s="99">
        <f t="shared" si="7"/>
        <v>0.88753056234718064</v>
      </c>
      <c r="AH29" s="381"/>
    </row>
    <row r="30" spans="1:34" ht="15" customHeight="1">
      <c r="A30" s="418"/>
      <c r="B30" s="75" t="s">
        <v>81</v>
      </c>
      <c r="C30" s="88"/>
      <c r="D30" s="59" t="s">
        <v>161</v>
      </c>
      <c r="E30" s="89"/>
      <c r="F30" s="75">
        <f>VLOOKUP(D30,廠價表!$C$1:$E$43,3,0)</f>
        <v>52.21</v>
      </c>
      <c r="G30" s="90">
        <v>1466</v>
      </c>
      <c r="H30" s="91">
        <f t="shared" si="8"/>
        <v>76539.86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si="9"/>
        <v>90.888888888888886</v>
      </c>
      <c r="M30" s="94">
        <v>18</v>
      </c>
      <c r="N30" s="95">
        <f t="shared" ref="N30:N31" si="10">G30/W30*60</f>
        <v>1441.9672131147572</v>
      </c>
      <c r="O30" s="96">
        <f t="shared" ref="O30:O31" si="11">N30/M30</f>
        <v>80.10928961748651</v>
      </c>
      <c r="P30" s="97">
        <f t="shared" ref="P30:P31" si="12">M30-J30</f>
        <v>0</v>
      </c>
      <c r="Q30" s="98">
        <f t="shared" ref="Q30:Q31" si="13">O30-L30</f>
        <v>-10.779599271402375</v>
      </c>
      <c r="R30" s="99">
        <f t="shared" ref="R30:R31" si="14">O30/L30</f>
        <v>0.88139805202613519</v>
      </c>
      <c r="S30" s="421"/>
      <c r="T30" s="19">
        <v>0.391666666666667</v>
      </c>
      <c r="U30" s="19">
        <v>0.43402777777777801</v>
      </c>
      <c r="V30" s="92">
        <f>(T30-U29)*24*60</f>
        <v>12.000000000000917</v>
      </c>
      <c r="W30" s="149">
        <f t="shared" si="4"/>
        <v>60.999999999999865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-194.03278688524279</v>
      </c>
      <c r="AG30" s="99">
        <f t="shared" si="7"/>
        <v>0.88139805202613519</v>
      </c>
      <c r="AH30" s="416"/>
    </row>
    <row r="31" spans="1:34" ht="15" customHeight="1">
      <c r="A31" s="418"/>
      <c r="B31" s="75" t="s">
        <v>81</v>
      </c>
      <c r="C31" s="88"/>
      <c r="D31" s="59" t="s">
        <v>122</v>
      </c>
      <c r="E31" s="89"/>
      <c r="F31" s="75">
        <f>VLOOKUP(D31,廠價表!$C$1:$E$43,3,0)</f>
        <v>49.91</v>
      </c>
      <c r="G31" s="90">
        <v>564</v>
      </c>
      <c r="H31" s="91">
        <f t="shared" si="8"/>
        <v>28149.239999999998</v>
      </c>
      <c r="I31" s="92"/>
      <c r="J31" s="79">
        <f>VLOOKUP(D31,產線配置圖!$A$3:$C$40,2,0)</f>
        <v>18</v>
      </c>
      <c r="K31" s="80">
        <v>1636</v>
      </c>
      <c r="L31" s="93">
        <f t="shared" si="9"/>
        <v>90.888888888888886</v>
      </c>
      <c r="M31" s="94">
        <v>18</v>
      </c>
      <c r="N31" s="95">
        <f t="shared" si="10"/>
        <v>1353.6000000000092</v>
      </c>
      <c r="O31" s="96">
        <f t="shared" si="11"/>
        <v>75.200000000000514</v>
      </c>
      <c r="P31" s="97">
        <f t="shared" si="12"/>
        <v>0</v>
      </c>
      <c r="Q31" s="98">
        <f t="shared" si="13"/>
        <v>-15.688888888888371</v>
      </c>
      <c r="R31" s="99">
        <f t="shared" si="14"/>
        <v>0.82738386308069034</v>
      </c>
      <c r="S31" s="421"/>
      <c r="T31" s="19">
        <v>0.44166666666666698</v>
      </c>
      <c r="U31" s="19">
        <v>0.45902777777777798</v>
      </c>
      <c r="V31" s="92">
        <f>(T31-U30)*24*60</f>
        <v>11.000000000000121</v>
      </c>
      <c r="W31" s="149">
        <f t="shared" si="4"/>
        <v>24.999999999999829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-282.39999999999077</v>
      </c>
      <c r="AG31" s="99">
        <f t="shared" si="7"/>
        <v>0.82738386308069023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15">AVERAGE(J27:J36)</f>
        <v>17.399999999999999</v>
      </c>
      <c r="K37" s="155">
        <f t="shared" si="15"/>
        <v>1636</v>
      </c>
      <c r="L37" s="158">
        <f t="shared" si="15"/>
        <v>94.230392156862735</v>
      </c>
      <c r="M37" s="155">
        <f t="shared" si="15"/>
        <v>17.2</v>
      </c>
      <c r="N37" s="155">
        <f t="shared" si="15"/>
        <v>1456.0277283372411</v>
      </c>
      <c r="O37" s="158">
        <f t="shared" si="15"/>
        <v>84.969000780640414</v>
      </c>
      <c r="P37" s="159">
        <f>M37-J37</f>
        <v>-0.19999999999999929</v>
      </c>
      <c r="Q37" s="160">
        <f>N37-K37</f>
        <v>-179.97227166275889</v>
      </c>
      <c r="R37" s="161">
        <f>O37/L37</f>
        <v>0.90171545332417657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-179.97227166275889</v>
      </c>
      <c r="AG37" s="124">
        <f>N37/K37</f>
        <v>0.88999249898364374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2146</v>
      </c>
      <c r="H38" s="134">
        <f>F38*G38</f>
        <v>107106.85999999999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1609.4999999999864</v>
      </c>
      <c r="O38" s="141">
        <f>N38/M38</f>
        <v>100.59374999999915</v>
      </c>
      <c r="P38" s="142">
        <f>M38-J38</f>
        <v>0</v>
      </c>
      <c r="Q38" s="143">
        <f>O38-L38</f>
        <v>-6.5312500000008527</v>
      </c>
      <c r="R38" s="144">
        <f>O38/L38</f>
        <v>0.9390315052508672</v>
      </c>
      <c r="S38" s="410">
        <f>R48</f>
        <v>0.94940609364194539</v>
      </c>
      <c r="T38" s="191">
        <v>0.33333333333333298</v>
      </c>
      <c r="U38" s="191">
        <v>0.38888888888888901</v>
      </c>
      <c r="V38" s="192"/>
      <c r="W38" s="193">
        <f t="shared" si="4"/>
        <v>80.000000000000682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-104.50000000001364</v>
      </c>
      <c r="AG38" s="195">
        <f>N38/K38</f>
        <v>0.9390315052508672</v>
      </c>
      <c r="AH38" s="413">
        <f>AG48</f>
        <v>0.94985189299268513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2754</v>
      </c>
      <c r="H39" s="91">
        <f>F39*G39</f>
        <v>122002.2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1573.714285714278</v>
      </c>
      <c r="O39" s="203">
        <f>N39/M39</f>
        <v>87.428571428571004</v>
      </c>
      <c r="P39" s="97">
        <f>M39-J39</f>
        <v>0</v>
      </c>
      <c r="Q39" s="98">
        <f>O39-L39</f>
        <v>-3.4603174603178815</v>
      </c>
      <c r="R39" s="99">
        <f>O39/L39</f>
        <v>0.96192804750261496</v>
      </c>
      <c r="S39" s="411"/>
      <c r="T39" s="20">
        <v>0.39583333333333298</v>
      </c>
      <c r="U39" s="20">
        <v>0.46875</v>
      </c>
      <c r="V39" s="92">
        <f>(T39-U38)*24*60</f>
        <v>9.999999999999325</v>
      </c>
      <c r="W39" s="205">
        <f t="shared" si="4"/>
        <v>105.00000000000051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-62.285714285721951</v>
      </c>
      <c r="AG39" s="206">
        <f>N39/K39</f>
        <v>0.96192804750261496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2355</v>
      </c>
      <c r="H40" s="91">
        <f>F40*G40</f>
        <v>104326.5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1552.7472527472637</v>
      </c>
      <c r="O40" s="203">
        <f>N40/M40</f>
        <v>86.263736263736874</v>
      </c>
      <c r="P40" s="97">
        <f>M40-J40</f>
        <v>0</v>
      </c>
      <c r="Q40" s="98">
        <f>O40-L40</f>
        <v>-4.6251526251520119</v>
      </c>
      <c r="R40" s="99">
        <f>O40/L40</f>
        <v>0.94911201268170153</v>
      </c>
      <c r="S40" s="393"/>
      <c r="T40" s="20">
        <v>0.53125</v>
      </c>
      <c r="U40" s="20">
        <v>0.594444444444444</v>
      </c>
      <c r="V40" s="92">
        <f>(T40-U39)*24*60</f>
        <v>90</v>
      </c>
      <c r="W40" s="205">
        <f t="shared" si="4"/>
        <v>90.999999999999361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-83.252747252736299</v>
      </c>
      <c r="AG40" s="206">
        <f>N40/K40</f>
        <v>0.94911201268170153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16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16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16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16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16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7">AVERAGE(J38:J47)</f>
        <v>17.333333333333332</v>
      </c>
      <c r="K48" s="155">
        <f t="shared" si="17"/>
        <v>1662</v>
      </c>
      <c r="L48" s="158">
        <f t="shared" si="17"/>
        <v>96.300925925925924</v>
      </c>
      <c r="M48" s="155">
        <f t="shared" si="17"/>
        <v>17.333333333333332</v>
      </c>
      <c r="N48" s="155">
        <f t="shared" si="17"/>
        <v>1578.6538461538428</v>
      </c>
      <c r="O48" s="158">
        <f t="shared" si="17"/>
        <v>91.42868589743567</v>
      </c>
      <c r="P48" s="221">
        <f>M48-J48</f>
        <v>0</v>
      </c>
      <c r="Q48" s="222">
        <f>N48-K48</f>
        <v>-83.346153846157222</v>
      </c>
      <c r="R48" s="223">
        <f>O48/L48</f>
        <v>0.94940609364194539</v>
      </c>
      <c r="S48" s="396"/>
      <c r="T48" s="224"/>
      <c r="U48" s="224"/>
      <c r="V48" s="225"/>
      <c r="W48" s="226">
        <f t="shared" si="16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8">N48-K48</f>
        <v>-83.346153846157222</v>
      </c>
      <c r="AG48" s="162">
        <f t="shared" ref="AG48:AG53" si="19">N48/K48</f>
        <v>0.94985189299268513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1763</v>
      </c>
      <c r="H49" s="134">
        <f>F49*G49</f>
        <v>88659.506999999998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1578.8059701492803</v>
      </c>
      <c r="O49" s="141">
        <f>N49/M49</f>
        <v>92.870939420545895</v>
      </c>
      <c r="P49" s="229">
        <f>M49-J49</f>
        <v>0</v>
      </c>
      <c r="Q49" s="230">
        <f>O49-L49</f>
        <v>-3.3643546971011631</v>
      </c>
      <c r="R49" s="52">
        <f>O49/L49</f>
        <v>0.96504032405212725</v>
      </c>
      <c r="S49" s="392">
        <f>R58</f>
        <v>0.93260519999348823</v>
      </c>
      <c r="T49" s="191">
        <v>0.29166666666666702</v>
      </c>
      <c r="U49" s="191">
        <v>0.33819444444444402</v>
      </c>
      <c r="V49" s="55"/>
      <c r="W49" s="193">
        <f t="shared" si="4"/>
        <v>66.999999999998877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18"/>
        <v>-57.194029850719744</v>
      </c>
      <c r="AG49" s="52">
        <f t="shared" si="19"/>
        <v>0.96504032405212725</v>
      </c>
      <c r="AH49" s="380">
        <f>AG58</f>
        <v>0.91664200843263</v>
      </c>
    </row>
    <row r="50" spans="1:34" ht="15" customHeight="1">
      <c r="A50" s="405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4665</v>
      </c>
      <c r="H50" s="231">
        <f>F50*G50</f>
        <v>233110.05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1617.9190751445203</v>
      </c>
      <c r="O50" s="235">
        <f>N50/M50</f>
        <v>101.11994219653252</v>
      </c>
      <c r="P50" s="74">
        <f>M50-J50</f>
        <v>0</v>
      </c>
      <c r="Q50" s="83">
        <f>O50-L50</f>
        <v>-11.38005780346748</v>
      </c>
      <c r="R50" s="72">
        <f>O50/L50</f>
        <v>0.89884393063584467</v>
      </c>
      <c r="S50" s="393"/>
      <c r="T50" s="21">
        <v>0.343055555555556</v>
      </c>
      <c r="U50" s="21">
        <v>0.46319444444444402</v>
      </c>
      <c r="V50" s="30">
        <f>(T50-U49)*24*60</f>
        <v>7.0000000000012541</v>
      </c>
      <c r="W50" s="236">
        <f t="shared" si="4"/>
        <v>172.99999999999875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8"/>
        <v>-182.08092485547968</v>
      </c>
      <c r="AG50" s="72">
        <f t="shared" si="19"/>
        <v>0.89884393063584467</v>
      </c>
      <c r="AH50" s="382"/>
    </row>
    <row r="51" spans="1:34" ht="15" customHeight="1">
      <c r="A51" s="405"/>
      <c r="B51" s="75" t="s">
        <v>81</v>
      </c>
      <c r="C51" s="86"/>
      <c r="D51" s="59" t="s">
        <v>161</v>
      </c>
      <c r="E51" s="87"/>
      <c r="F51" s="75">
        <f>VLOOKUP(D51,廠價表!$C$1:$E$43,3,0)</f>
        <v>52.21</v>
      </c>
      <c r="G51" s="202">
        <v>3607</v>
      </c>
      <c r="H51" s="231">
        <f>F51*G51</f>
        <v>188321.47</v>
      </c>
      <c r="I51" s="232"/>
      <c r="J51" s="79">
        <f>VLOOKUP(D51,產線配置圖!$A$3:$C$40,2,0)</f>
        <v>18</v>
      </c>
      <c r="K51" s="80">
        <f>VLOOKUP(D51,產線配置圖!$A$3:$C$40,3,0)</f>
        <v>1636</v>
      </c>
      <c r="L51" s="81">
        <f>K51/J51</f>
        <v>90.888888888888886</v>
      </c>
      <c r="M51" s="233">
        <v>17</v>
      </c>
      <c r="N51" s="234">
        <f>G51/W51*60</f>
        <v>1452.4832214764995</v>
      </c>
      <c r="O51" s="235">
        <f>N51/M51</f>
        <v>85.440189498617613</v>
      </c>
      <c r="P51" s="74">
        <f>M51-J51</f>
        <v>-1</v>
      </c>
      <c r="Q51" s="83">
        <f>O51-L51</f>
        <v>-5.4486993902712726</v>
      </c>
      <c r="R51" s="72">
        <f>O51/L51</f>
        <v>0.94005098470361681</v>
      </c>
      <c r="S51" s="393"/>
      <c r="T51" s="21">
        <v>0.52708333333333302</v>
      </c>
      <c r="U51" s="21">
        <v>0.63055555555555598</v>
      </c>
      <c r="V51" s="30">
        <f>(T51-U50)*24*60</f>
        <v>92.000000000000156</v>
      </c>
      <c r="W51" s="236">
        <f t="shared" si="4"/>
        <v>149.00000000000108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8"/>
        <v>-183.51677852350053</v>
      </c>
      <c r="AG51" s="72">
        <f t="shared" si="19"/>
        <v>0.88782592999786036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/>
      <c r="U52" s="21"/>
      <c r="V52" s="30"/>
      <c r="W52" s="236">
        <f t="shared" si="4"/>
        <v>0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8"/>
        <v>0</v>
      </c>
      <c r="AG52" s="72" t="e">
        <f t="shared" si="19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8"/>
        <v>0</v>
      </c>
      <c r="AG53" s="72" t="e">
        <f t="shared" si="19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0">AVERAGE(J49:J57)</f>
        <v>17</v>
      </c>
      <c r="K58" s="120">
        <f t="shared" si="20"/>
        <v>1690.6666666666667</v>
      </c>
      <c r="L58" s="117">
        <f t="shared" si="20"/>
        <v>99.874727668845324</v>
      </c>
      <c r="M58" s="120">
        <f t="shared" si="20"/>
        <v>16.666666666666668</v>
      </c>
      <c r="N58" s="120">
        <f t="shared" si="20"/>
        <v>1549.7360889234333</v>
      </c>
      <c r="O58" s="117">
        <f t="shared" si="20"/>
        <v>93.143690371898671</v>
      </c>
      <c r="P58" s="121">
        <f>M58-J58</f>
        <v>-0.33333333333333215</v>
      </c>
      <c r="Q58" s="122">
        <f>N58-K58</f>
        <v>-140.93057774323347</v>
      </c>
      <c r="R58" s="123">
        <f>O58/L58</f>
        <v>0.93260519999348823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-140.93057774323347</v>
      </c>
      <c r="AG58" s="124">
        <f>N58/K58</f>
        <v>0.91664200843263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3100</v>
      </c>
      <c r="H59" s="243">
        <f>F59*G59</f>
        <v>83669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1488.00000000001</v>
      </c>
      <c r="O59" s="138">
        <f>N59/M59</f>
        <v>99.200000000000671</v>
      </c>
      <c r="P59" s="56">
        <f>M59-J59</f>
        <v>0</v>
      </c>
      <c r="Q59" s="230">
        <f>O59-L59</f>
        <v>-9.8666666666659921</v>
      </c>
      <c r="R59" s="52">
        <f>O59/L59</f>
        <v>0.90953545232274458</v>
      </c>
      <c r="S59" s="392">
        <f>R69</f>
        <v>0.80253856704450754</v>
      </c>
      <c r="T59" s="245">
        <v>0.29166666666666702</v>
      </c>
      <c r="U59" s="245">
        <v>0.37847222222222199</v>
      </c>
      <c r="V59" s="55"/>
      <c r="W59" s="54">
        <f t="shared" si="4"/>
        <v>124.99999999999916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-147.99999999999</v>
      </c>
      <c r="AG59" s="246">
        <f>N59/K59</f>
        <v>0.90953545232274446</v>
      </c>
      <c r="AH59" s="380">
        <f>AG69</f>
        <v>0.81204940129146208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1180</v>
      </c>
      <c r="H60" s="78">
        <f>F60*G60</f>
        <v>33346.800000000003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1361.5384615384662</v>
      </c>
      <c r="O60" s="81">
        <f>N60/M60</f>
        <v>123.7762237762242</v>
      </c>
      <c r="P60" s="74">
        <f>M60-J60</f>
        <v>0</v>
      </c>
      <c r="Q60" s="83">
        <f>O60-L60</f>
        <v>-24.95104895104852</v>
      </c>
      <c r="R60" s="72">
        <f>O60/L60</f>
        <v>0.83223622343427028</v>
      </c>
      <c r="S60" s="402"/>
      <c r="T60" s="22">
        <v>0.38888888888888901</v>
      </c>
      <c r="U60" s="22">
        <v>0.42499999999999999</v>
      </c>
      <c r="V60" s="30">
        <f>(T60-U59)*24*60</f>
        <v>15.000000000000506</v>
      </c>
      <c r="W60" s="248">
        <f t="shared" si="4"/>
        <v>51.999999999999815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-274.46153846153379</v>
      </c>
      <c r="AG60" s="249">
        <f>N60/K60</f>
        <v>0.83223622343427028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568</v>
      </c>
      <c r="H61" s="254">
        <f>F61*G61</f>
        <v>16051.68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1136.0000000000191</v>
      </c>
      <c r="O61" s="238">
        <f>N61/M61</f>
        <v>103.27272727272901</v>
      </c>
      <c r="P61" s="111">
        <f>M61-J61</f>
        <v>0</v>
      </c>
      <c r="Q61" s="255">
        <f>O61-L61</f>
        <v>-45.454545454543705</v>
      </c>
      <c r="R61" s="85">
        <f>O61/L61</f>
        <v>0.69437652811737116</v>
      </c>
      <c r="S61" s="393"/>
      <c r="T61" s="22">
        <v>0.43402777777777801</v>
      </c>
      <c r="U61" s="22">
        <v>0.45486111111111099</v>
      </c>
      <c r="V61" s="30">
        <f>(T61-U60)*24*60</f>
        <v>13.000000000000353</v>
      </c>
      <c r="W61" s="256">
        <f t="shared" si="4"/>
        <v>29.999999999999496</v>
      </c>
      <c r="X61" s="22"/>
      <c r="Y61" s="84"/>
      <c r="Z61" s="90"/>
      <c r="AA61" s="90"/>
      <c r="AB61" s="386" t="s">
        <v>137</v>
      </c>
      <c r="AC61" s="386"/>
      <c r="AD61" s="92"/>
      <c r="AE61" s="92"/>
      <c r="AF61" s="317">
        <f>N61-K61</f>
        <v>-499.9999999999809</v>
      </c>
      <c r="AG61" s="247">
        <f>N61/K61</f>
        <v>0.69437652811737105</v>
      </c>
      <c r="AH61" s="382"/>
    </row>
    <row r="62" spans="1:34" ht="15" customHeight="1">
      <c r="A62" s="400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93"/>
      <c r="T62" s="22"/>
      <c r="U62" s="22"/>
      <c r="V62" s="30"/>
      <c r="W62" s="248">
        <f t="shared" si="4"/>
        <v>0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0</v>
      </c>
      <c r="AG62" s="247" t="e">
        <f>N62/K62</f>
        <v>#DIV/0!</v>
      </c>
      <c r="AH62" s="382"/>
    </row>
    <row r="63" spans="1:34" ht="15" customHeight="1">
      <c r="A63" s="4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9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1">AVERAGE(J59:J68)</f>
        <v>12.333333333333334</v>
      </c>
      <c r="K69" s="240">
        <f t="shared" si="21"/>
        <v>1636</v>
      </c>
      <c r="L69" s="268">
        <f t="shared" si="21"/>
        <v>135.50707070707071</v>
      </c>
      <c r="M69" s="240">
        <f t="shared" si="21"/>
        <v>12.333333333333334</v>
      </c>
      <c r="N69" s="240">
        <f t="shared" si="21"/>
        <v>1328.5128205128319</v>
      </c>
      <c r="O69" s="268">
        <f t="shared" si="21"/>
        <v>108.74965034965129</v>
      </c>
      <c r="P69" s="269">
        <f>M69-J69</f>
        <v>0</v>
      </c>
      <c r="Q69" s="222">
        <f>N69-K69</f>
        <v>-307.48717948716808</v>
      </c>
      <c r="R69" s="123">
        <f>O69/L69</f>
        <v>0.80253856704450754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-307.48717948716808</v>
      </c>
      <c r="AG69" s="124">
        <f>N69/K69</f>
        <v>0.81204940129146208</v>
      </c>
      <c r="AH69" s="384"/>
    </row>
    <row r="70" spans="1:36" ht="15" customHeight="1">
      <c r="A70" s="389" t="s">
        <v>55</v>
      </c>
      <c r="B70" s="129" t="s">
        <v>132</v>
      </c>
      <c r="C70" s="129"/>
      <c r="D70" s="131" t="s">
        <v>136</v>
      </c>
      <c r="E70" s="132"/>
      <c r="F70" s="129">
        <f>VLOOKUP(D70,廠價表!$C$1:$E$43,3,0)</f>
        <v>28.26</v>
      </c>
      <c r="G70" s="55">
        <v>2702</v>
      </c>
      <c r="H70" s="243">
        <f>F70*G70</f>
        <v>76358.52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9</v>
      </c>
      <c r="N70" s="137">
        <f>G70/W70*60</f>
        <v>1133.7062937062888</v>
      </c>
      <c r="O70" s="138">
        <f>N70/M70</f>
        <v>125.96736596736542</v>
      </c>
      <c r="P70" s="56">
        <f>M70-J70</f>
        <v>-2</v>
      </c>
      <c r="Q70" s="230">
        <f>O70-L70</f>
        <v>-22.759906759907295</v>
      </c>
      <c r="R70" s="52">
        <f>O70/L70</f>
        <v>0.84696884207886292</v>
      </c>
      <c r="S70" s="392">
        <f>R79</f>
        <v>0.83174982003074049</v>
      </c>
      <c r="T70" s="245">
        <v>0.3125</v>
      </c>
      <c r="U70" s="245">
        <v>0.41180555555555598</v>
      </c>
      <c r="V70" s="55"/>
      <c r="W70" s="54">
        <f t="shared" si="4"/>
        <v>143.00000000000063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-502.29370629371124</v>
      </c>
      <c r="AG70" s="246">
        <f>N70/K70</f>
        <v>0.69297450715543318</v>
      </c>
      <c r="AH70" s="380">
        <f>AG79</f>
        <v>0.6154359088344421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250">
        <f>VLOOKUP(D71,廠價表!$C$1:$E$43,3,0)</f>
        <v>52.21</v>
      </c>
      <c r="G71" s="30">
        <v>1100</v>
      </c>
      <c r="H71" s="254">
        <f>F71*G71</f>
        <v>57431</v>
      </c>
      <c r="I71" s="182"/>
      <c r="J71" s="106">
        <f>VLOOKUP(D71,產線配置圖!$A$3:$C$40,2,0)</f>
        <v>18</v>
      </c>
      <c r="K71" s="107">
        <f>VLOOKUP(D71,產線配置圖!$A$3:$C$40,3,0)</f>
        <v>1636</v>
      </c>
      <c r="L71" s="238">
        <f>K71/J71</f>
        <v>90.888888888888886</v>
      </c>
      <c r="M71" s="82">
        <v>12</v>
      </c>
      <c r="N71" s="107">
        <f>G71/W71*60</f>
        <v>880.00000000000603</v>
      </c>
      <c r="O71" s="238">
        <f>N71/M71</f>
        <v>73.33333333333384</v>
      </c>
      <c r="P71" s="111">
        <f>M71-J71</f>
        <v>-6</v>
      </c>
      <c r="Q71" s="255">
        <f>O71-L71</f>
        <v>-17.555555555555046</v>
      </c>
      <c r="R71" s="85">
        <f>O71/L71</f>
        <v>0.80684596577017675</v>
      </c>
      <c r="S71" s="393"/>
      <c r="T71" s="22">
        <v>0.42013888888888901</v>
      </c>
      <c r="U71" s="22">
        <v>0.47222222222222199</v>
      </c>
      <c r="V71" s="30">
        <f>(T71-U70)*24*60</f>
        <v>11.999999999999558</v>
      </c>
      <c r="W71" s="73">
        <f t="shared" si="4"/>
        <v>74.999999999999488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22">AVERAGE(J70:J78)</f>
        <v>14.5</v>
      </c>
      <c r="K79" s="240">
        <f t="shared" si="22"/>
        <v>1636</v>
      </c>
      <c r="L79" s="268">
        <f t="shared" si="22"/>
        <v>119.8080808080808</v>
      </c>
      <c r="M79" s="240">
        <f t="shared" si="22"/>
        <v>10.5</v>
      </c>
      <c r="N79" s="240">
        <f t="shared" si="22"/>
        <v>1006.8531468531473</v>
      </c>
      <c r="O79" s="268">
        <f t="shared" si="22"/>
        <v>99.650349650349625</v>
      </c>
      <c r="P79" s="269">
        <f>M79-J79</f>
        <v>-4</v>
      </c>
      <c r="Q79" s="222">
        <f>N79-K79</f>
        <v>-629.14685314685266</v>
      </c>
      <c r="R79" s="223">
        <f>O79/L79</f>
        <v>0.83174982003074049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-629.14685314685266</v>
      </c>
      <c r="AG79" s="124">
        <f>N79/K79</f>
        <v>0.6154359088344421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187" priority="1" operator="greaterThan">
      <formula>0</formula>
    </cfRule>
  </conditionalFormatting>
  <conditionalFormatting sqref="Q5:Q79 AF5:AF79">
    <cfRule type="cellIs" dxfId="186" priority="4" operator="lessThan">
      <formula>0</formula>
    </cfRule>
  </conditionalFormatting>
  <conditionalFormatting sqref="R5:R79 AG5:AG79">
    <cfRule type="cellIs" dxfId="185" priority="2" operator="greaterThan">
      <formula>1</formula>
    </cfRule>
    <cfRule type="cellIs" dxfId="184" priority="3" operator="lessThan">
      <formula>0.8</formula>
    </cfRule>
  </conditionalFormatting>
  <conditionalFormatting sqref="S5:S10 S37:S62 AH59:AH62 S69:S76 AH69:AH76">
    <cfRule type="cellIs" dxfId="183" priority="7" operator="lessThan">
      <formula>0.8</formula>
    </cfRule>
  </conditionalFormatting>
  <conditionalFormatting sqref="S19:S25 AH19:AH25">
    <cfRule type="cellIs" dxfId="182" priority="6" operator="lessThan">
      <formula>0.8</formula>
    </cfRule>
  </conditionalFormatting>
  <conditionalFormatting sqref="S79">
    <cfRule type="cellIs" dxfId="181" priority="5" operator="lessThan">
      <formula>0.8</formula>
    </cfRule>
  </conditionalFormatting>
  <conditionalFormatting sqref="AH5:AH8 S15:S16 AH15:AH16 AH49 AH79">
    <cfRule type="cellIs" dxfId="180" priority="9" operator="lessThan">
      <formula>0.8</formula>
    </cfRule>
  </conditionalFormatting>
  <conditionalFormatting sqref="AH27 S27:S28">
    <cfRule type="cellIs" dxfId="17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D63B4-7615-43E2-89AF-38E33C993CB8}">
  <dimension ref="B1:O26"/>
  <sheetViews>
    <sheetView topLeftCell="B1" zoomScale="70" zoomScaleNormal="70" workbookViewId="0">
      <selection activeCell="P15" sqref="P15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46278</v>
      </c>
      <c r="E3" s="504"/>
      <c r="F3" s="3" t="s">
        <v>72</v>
      </c>
      <c r="G3" s="505">
        <f>'0913'!E1</f>
        <v>68586</v>
      </c>
      <c r="H3" s="505"/>
      <c r="I3" s="3" t="s">
        <v>2</v>
      </c>
      <c r="J3" s="506">
        <f>'0913'!G1</f>
        <v>3251660.8069999996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125.88651506445626</v>
      </c>
      <c r="G6" s="501"/>
      <c r="H6" s="502">
        <f>AVERAGE(D13:H13)</f>
        <v>126.44502681414448</v>
      </c>
      <c r="I6" s="502"/>
      <c r="J6" s="502">
        <f>AVERAGE(I13:J13)</f>
        <v>124.49023569023569</v>
      </c>
      <c r="K6" s="502"/>
      <c r="L6" s="492">
        <f>'0913'!Z2</f>
        <v>0</v>
      </c>
      <c r="M6" s="493">
        <f>'0913'!AA2</f>
        <v>0</v>
      </c>
      <c r="N6" s="494">
        <f>'0913'!AD2</f>
        <v>0</v>
      </c>
      <c r="O6" s="493">
        <f>'0913'!AE2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113.37106182244113</v>
      </c>
      <c r="G7" s="490"/>
      <c r="H7" s="491">
        <f>AVERAGE(D14:H14)</f>
        <v>114.20014727792082</v>
      </c>
      <c r="I7" s="491"/>
      <c r="J7" s="491">
        <f>AVERAGE(I14:J14)</f>
        <v>111.29834818374198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0.89766950629730846</v>
      </c>
      <c r="G8" s="496"/>
      <c r="H8" s="496">
        <f>AVERAGE(D15:H15)</f>
        <v>0.89770796161409483</v>
      </c>
      <c r="I8" s="496"/>
      <c r="J8" s="496">
        <f>AVERAGE(I15:J15)</f>
        <v>0.89757336800534238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VALUE('0913'!L15)</f>
        <v>163.1868131868132</v>
      </c>
      <c r="E13" s="13">
        <f>VALUE('0913'!L26)</f>
        <v>171.42857142857142</v>
      </c>
      <c r="F13" s="13">
        <f>VALUE('0913'!L37)</f>
        <v>94.230392156862735</v>
      </c>
      <c r="G13" s="13">
        <f>VALUE('0913'!L48)</f>
        <v>96.300925925925924</v>
      </c>
      <c r="H13" s="13">
        <f>VALUE('0913'!L58)</f>
        <v>107.07843137254902</v>
      </c>
      <c r="I13" s="13">
        <f>VALUE('0913'!L69)</f>
        <v>138.81212121212121</v>
      </c>
      <c r="J13" s="13">
        <f>'0913'!L79</f>
        <v>110.16835016835016</v>
      </c>
    </row>
    <row r="14" spans="2:15" ht="39.950000000000003" customHeight="1">
      <c r="B14" s="484"/>
      <c r="C14" s="12" t="s">
        <v>100</v>
      </c>
      <c r="D14" s="13">
        <f>VALUE('0913'!O15)</f>
        <v>152.17358095642848</v>
      </c>
      <c r="E14" s="13">
        <f>VALUE('0913'!O26)</f>
        <v>156.59503998825986</v>
      </c>
      <c r="F14" s="13">
        <f>VALUE('0913'!O37)</f>
        <v>81.562857728231123</v>
      </c>
      <c r="G14" s="13">
        <f>VALUE('0913'!O48)</f>
        <v>85.850168350168474</v>
      </c>
      <c r="H14" s="13">
        <f>VALUE('0913'!O58)</f>
        <v>94.81908936651611</v>
      </c>
      <c r="I14" s="13">
        <f>VALUE('0913'!O69)</f>
        <v>120.32196580911878</v>
      </c>
      <c r="J14" s="13">
        <f>'0913'!O79</f>
        <v>102.27473055836519</v>
      </c>
    </row>
    <row r="15" spans="2:15" ht="39.950000000000003" customHeight="1">
      <c r="B15" s="485"/>
      <c r="C15" s="10" t="s">
        <v>26</v>
      </c>
      <c r="D15" s="14">
        <f t="shared" ref="D15:I15" si="0">D14/D13</f>
        <v>0.93251150619764245</v>
      </c>
      <c r="E15" s="14">
        <f t="shared" si="0"/>
        <v>0.91347106659818256</v>
      </c>
      <c r="F15" s="14">
        <f t="shared" si="0"/>
        <v>0.8655684844487932</v>
      </c>
      <c r="G15" s="14">
        <f t="shared" si="0"/>
        <v>0.89147811949600453</v>
      </c>
      <c r="H15" s="14">
        <f t="shared" si="0"/>
        <v>0.88551063132985197</v>
      </c>
      <c r="I15" s="14">
        <f t="shared" si="0"/>
        <v>0.86679725630914239</v>
      </c>
      <c r="J15" s="15">
        <f>'0913'!S70</f>
        <v>0.92834947970154236</v>
      </c>
    </row>
    <row r="16" spans="2:15" ht="17.25" customHeight="1">
      <c r="B16" s="486" t="s">
        <v>101</v>
      </c>
      <c r="C16" s="10" t="s">
        <v>34</v>
      </c>
      <c r="D16" s="16">
        <f>'0913'!T5</f>
        <v>0.29861111111111099</v>
      </c>
      <c r="E16" s="16">
        <f>'0913'!T16</f>
        <v>0.3</v>
      </c>
      <c r="F16" s="16">
        <f>'0913'!T27</f>
        <v>0.29166666666666702</v>
      </c>
      <c r="G16" s="16">
        <f>'0913'!T38</f>
        <v>0.33333333333333298</v>
      </c>
      <c r="H16" s="16">
        <f>'0913'!T49</f>
        <v>0.29166666666666702</v>
      </c>
      <c r="I16" s="16">
        <f>'0913'!T59</f>
        <v>0.29375000000000001</v>
      </c>
      <c r="J16" s="17">
        <f>'0913'!T70</f>
        <v>0.29166666666666702</v>
      </c>
    </row>
    <row r="17" spans="2:10" ht="17.25" customHeight="1">
      <c r="B17" s="487"/>
      <c r="C17" s="10" t="s">
        <v>35</v>
      </c>
      <c r="D17" s="22">
        <v>0.64305555555555605</v>
      </c>
      <c r="E17" s="183">
        <v>0.67500000000000004</v>
      </c>
      <c r="F17" s="19">
        <v>0.57291666666666696</v>
      </c>
      <c r="G17" s="328">
        <v>0.67361111111111105</v>
      </c>
      <c r="H17" s="19">
        <v>0.60972222222222205</v>
      </c>
      <c r="I17" s="110">
        <v>0.59375</v>
      </c>
      <c r="J17" s="22">
        <v>0.65277777777777801</v>
      </c>
    </row>
    <row r="18" spans="2:10" ht="17.25" customHeight="1">
      <c r="B18" s="488" t="s">
        <v>102</v>
      </c>
      <c r="C18" s="330" t="s">
        <v>36</v>
      </c>
      <c r="D18" s="359">
        <f>'0913'!Z15</f>
        <v>0</v>
      </c>
      <c r="E18" s="360">
        <f>'0913'!Z26</f>
        <v>0</v>
      </c>
      <c r="F18" s="360">
        <f>'0913'!Z37</f>
        <v>0</v>
      </c>
      <c r="G18" s="361">
        <f>'0913'!Z48</f>
        <v>0</v>
      </c>
      <c r="H18" s="361">
        <f>'0913'!Z58</f>
        <v>0</v>
      </c>
      <c r="I18" s="360">
        <f>'0913'!Z69</f>
        <v>0</v>
      </c>
      <c r="J18" s="360">
        <f>'0913'!AA79</f>
        <v>0</v>
      </c>
    </row>
    <row r="19" spans="2:10" ht="17.25" customHeight="1">
      <c r="B19" s="489"/>
      <c r="C19" s="330" t="s">
        <v>37</v>
      </c>
      <c r="D19" s="359">
        <f>'0913'!AA15</f>
        <v>0</v>
      </c>
      <c r="E19" s="360">
        <f>'0913'!AA26</f>
        <v>0</v>
      </c>
      <c r="F19" s="360">
        <f>'0913'!AA37</f>
        <v>0</v>
      </c>
      <c r="G19" s="361">
        <f>'0913'!AA48</f>
        <v>0</v>
      </c>
      <c r="H19" s="361">
        <f>'0913'!AA58</f>
        <v>0</v>
      </c>
      <c r="I19" s="360">
        <f>'0913'!AA69</f>
        <v>0</v>
      </c>
      <c r="J19" s="360">
        <f>'0913'!AB79</f>
        <v>0</v>
      </c>
    </row>
    <row r="20" spans="2:10" ht="17.25" customHeight="1">
      <c r="B20" s="488" t="s">
        <v>103</v>
      </c>
      <c r="C20" s="330" t="s">
        <v>36</v>
      </c>
      <c r="D20" s="359">
        <f>'0913'!AD15</f>
        <v>0</v>
      </c>
      <c r="E20" s="360">
        <f>'0913'!AD26</f>
        <v>0</v>
      </c>
      <c r="F20" s="360">
        <f>'0913'!AD37</f>
        <v>0</v>
      </c>
      <c r="G20" s="361">
        <f>'0913'!AD48</f>
        <v>0</v>
      </c>
      <c r="H20" s="361">
        <f>'0913'!AD58</f>
        <v>0</v>
      </c>
      <c r="I20" s="360">
        <f>'0913'!AD69</f>
        <v>0</v>
      </c>
      <c r="J20" s="360">
        <f>'0913'!AD79</f>
        <v>0</v>
      </c>
    </row>
    <row r="21" spans="2:10" ht="17.25" customHeight="1">
      <c r="B21" s="489"/>
      <c r="C21" s="330" t="s">
        <v>85</v>
      </c>
      <c r="D21" s="359">
        <f>'0913'!AE15</f>
        <v>0</v>
      </c>
      <c r="E21" s="360">
        <f>'0913'!AE26</f>
        <v>0</v>
      </c>
      <c r="F21" s="360">
        <f>'0913'!AE37</f>
        <v>0</v>
      </c>
      <c r="G21" s="361">
        <f>'0913'!AE48</f>
        <v>0</v>
      </c>
      <c r="H21" s="361">
        <f>'0913'!AE58</f>
        <v>0</v>
      </c>
      <c r="I21" s="360">
        <f>'0913'!AE69</f>
        <v>0</v>
      </c>
      <c r="J21" s="360">
        <f>'0913'!AE79</f>
        <v>0</v>
      </c>
    </row>
    <row r="22" spans="2:10" ht="17.25" customHeight="1">
      <c r="B22" s="471" t="s">
        <v>104</v>
      </c>
      <c r="C22" s="472"/>
      <c r="D22" s="23">
        <f>VALUE('0913'!M15)</f>
        <v>13.8</v>
      </c>
      <c r="E22" s="23">
        <f>VALUE('0913'!M26)</f>
        <v>13.2</v>
      </c>
      <c r="F22" s="23">
        <f>VALUE('0913'!M37)</f>
        <v>16.399999999999999</v>
      </c>
      <c r="G22" s="23">
        <f>VALUE('0913'!M48)</f>
        <v>17.333333333333332</v>
      </c>
      <c r="H22" s="23">
        <f>VALUE('0913'!M58)</f>
        <v>16.333333333333332</v>
      </c>
      <c r="I22" s="23">
        <f>VALUE('0913'!M69)</f>
        <v>12</v>
      </c>
      <c r="J22" s="23">
        <f>'0913'!M79</f>
        <v>13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17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8191-CEB1-4FC7-B028-4B705AF5CA98}">
  <sheetPr>
    <tabColor theme="9" tint="0.79998168889431442"/>
  </sheetPr>
  <dimension ref="A1:AJ92"/>
  <sheetViews>
    <sheetView zoomScale="69" zoomScaleNormal="69" workbookViewId="0">
      <pane xSplit="5" ySplit="4" topLeftCell="H20" activePane="bottomRight" state="frozen"/>
      <selection activeCell="G76" sqref="G76"/>
      <selection pane="topRight" activeCell="G76" sqref="G76"/>
      <selection pane="bottomLeft" activeCell="G76" sqref="G76"/>
      <selection pane="bottomRight" activeCell="AB29" sqref="AB29:AC2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68586</v>
      </c>
      <c r="F1" s="30" t="s">
        <v>2</v>
      </c>
      <c r="G1" s="31">
        <f>SUM(H5:H79)</f>
        <v>3251660.8069999996</v>
      </c>
      <c r="H1" s="32" t="s">
        <v>3</v>
      </c>
      <c r="I1" s="33">
        <f>M15+M26+M48+M58+M69+M79+M37</f>
        <v>102.06666666666666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173</v>
      </c>
      <c r="B2" s="462"/>
      <c r="C2" s="28"/>
      <c r="D2" s="28" t="s">
        <v>14</v>
      </c>
      <c r="E2" s="35">
        <f>AVERAGE(O15,O26,O37,O48,O58,O69,O79)</f>
        <v>113.37106182244113</v>
      </c>
      <c r="F2" s="36" t="s">
        <v>15</v>
      </c>
      <c r="G2" s="37">
        <f>G1/E1</f>
        <v>47.409978814918489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0</v>
      </c>
      <c r="AA2" s="339">
        <f>AA15+AA26+AA37+AA48+AA58+AA69+AA79</f>
        <v>0</v>
      </c>
      <c r="AB2" s="433"/>
      <c r="AC2" s="433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2414</v>
      </c>
      <c r="H5" s="43">
        <f>F5*G5</f>
        <v>137284.18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2161.7910447761087</v>
      </c>
      <c r="O5" s="47">
        <f>N5/M5</f>
        <v>154.41364605543635</v>
      </c>
      <c r="P5" s="49">
        <f>M5-J5</f>
        <v>0</v>
      </c>
      <c r="Q5" s="50">
        <f>O5-L5</f>
        <v>-6.3006396588493772</v>
      </c>
      <c r="R5" s="51">
        <f>O5/L5</f>
        <v>0.96079601990049279</v>
      </c>
      <c r="S5" s="392">
        <f>R15</f>
        <v>0.93251150619764245</v>
      </c>
      <c r="T5" s="319">
        <v>0.29861111111111099</v>
      </c>
      <c r="U5" s="320">
        <v>0.34513888888888899</v>
      </c>
      <c r="V5" s="53"/>
      <c r="W5" s="54">
        <f t="shared" ref="W5:W14" si="0">(U5-T5)*24*60</f>
        <v>67.000000000000327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0" si="1">N5-K5</f>
        <v>-88.20895522389128</v>
      </c>
      <c r="AG5" s="52">
        <f t="shared" ref="AG5:AG10" si="2">N5/K5</f>
        <v>0.96079601990049279</v>
      </c>
      <c r="AH5" s="380">
        <f>AG15</f>
        <v>0.93249886270324711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2800</v>
      </c>
      <c r="H6" s="63">
        <f>F6*G6</f>
        <v>162876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2099.9999999999841</v>
      </c>
      <c r="O6" s="67">
        <f>N6/M6</f>
        <v>161.53846153846033</v>
      </c>
      <c r="P6" s="69">
        <f>M6-J6</f>
        <v>0</v>
      </c>
      <c r="Q6" s="70">
        <f>O6-L6</f>
        <v>-11.538461538462741</v>
      </c>
      <c r="R6" s="71">
        <f>O6/L6</f>
        <v>0.93333333333332635</v>
      </c>
      <c r="S6" s="393"/>
      <c r="T6" s="16">
        <v>0.35208333333333303</v>
      </c>
      <c r="U6" s="16">
        <v>0.40763888888888899</v>
      </c>
      <c r="V6" s="30">
        <f>(T6-U5)*24*60</f>
        <v>9.9999999999994049</v>
      </c>
      <c r="W6" s="73">
        <f t="shared" si="0"/>
        <v>80.000000000000597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-150.00000000001592</v>
      </c>
      <c r="AG6" s="72">
        <f t="shared" si="2"/>
        <v>0.93333333333332624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3203</v>
      </c>
      <c r="H7" s="63">
        <f t="shared" ref="H7:H9" si="3">F7*G7</f>
        <v>157395.42000000001</v>
      </c>
      <c r="I7" s="64"/>
      <c r="J7" s="65">
        <f>VLOOKUP(D7,產線配置圖!$A$3:$C$40,2,0)</f>
        <v>14</v>
      </c>
      <c r="K7" s="66">
        <f>VLOOKUP(D7,產線配置圖!$A$3:$C$40,3,0)</f>
        <v>2250</v>
      </c>
      <c r="L7" s="67">
        <f t="shared" ref="L7:L9" si="4">K7/J7</f>
        <v>160.71428571428572</v>
      </c>
      <c r="M7" s="82">
        <v>14</v>
      </c>
      <c r="N7" s="80">
        <f>G7/W7*60</f>
        <v>2183.8636363636419</v>
      </c>
      <c r="O7" s="81">
        <f>N7/M7</f>
        <v>155.99025974026014</v>
      </c>
      <c r="P7" s="74">
        <f>M7-J7</f>
        <v>0</v>
      </c>
      <c r="Q7" s="83">
        <f>O7-L7</f>
        <v>-4.7240259740255794</v>
      </c>
      <c r="R7" s="72">
        <f>O7/L7</f>
        <v>0.97060606060606303</v>
      </c>
      <c r="S7" s="393"/>
      <c r="T7" s="18">
        <v>0.41458333333333303</v>
      </c>
      <c r="U7" s="18">
        <v>0.47569444444444398</v>
      </c>
      <c r="V7" s="30">
        <f t="shared" ref="V7:V9" si="5">(T7-U6)*24*60</f>
        <v>9.9999999999994049</v>
      </c>
      <c r="W7" s="73">
        <f t="shared" si="0"/>
        <v>87.999999999999773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-66.136363636358055</v>
      </c>
      <c r="AG7" s="72">
        <f t="shared" si="2"/>
        <v>0.97060606060606314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3709</v>
      </c>
      <c r="H8" s="63">
        <f t="shared" si="3"/>
        <v>182260.26</v>
      </c>
      <c r="I8" s="64"/>
      <c r="J8" s="65">
        <f>VLOOKUP(D8,產線配置圖!$A$3:$C$40,2,0)</f>
        <v>14</v>
      </c>
      <c r="K8" s="66">
        <f>VLOOKUP(D8,產線配置圖!$A$3:$C$40,3,0)</f>
        <v>2250</v>
      </c>
      <c r="L8" s="67">
        <f t="shared" si="4"/>
        <v>160.71428571428572</v>
      </c>
      <c r="M8" s="82">
        <v>14</v>
      </c>
      <c r="N8" s="80">
        <f t="shared" ref="N8:N9" si="6">G8/W8*60</f>
        <v>2160.5825242718656</v>
      </c>
      <c r="O8" s="81">
        <f t="shared" ref="O8:O9" si="7">N8/M8</f>
        <v>154.32732316227612</v>
      </c>
      <c r="P8" s="74">
        <f t="shared" ref="P8:P9" si="8">M8-J8</f>
        <v>0</v>
      </c>
      <c r="Q8" s="83">
        <f t="shared" ref="Q8:Q9" si="9">O8-L8</f>
        <v>-6.3869625520096065</v>
      </c>
      <c r="R8" s="72">
        <f t="shared" ref="R8:R9" si="10">O8/L8</f>
        <v>0.96025889967638467</v>
      </c>
      <c r="S8" s="393"/>
      <c r="T8" s="16">
        <v>0.54305555555555596</v>
      </c>
      <c r="U8" s="16">
        <v>0.61458333333333304</v>
      </c>
      <c r="V8" s="30">
        <f t="shared" si="5"/>
        <v>97.000000000001251</v>
      </c>
      <c r="W8" s="73">
        <f t="shared" si="0"/>
        <v>102.99999999999899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-89.417475728134377</v>
      </c>
      <c r="AG8" s="72">
        <f t="shared" si="2"/>
        <v>0.96025889967638467</v>
      </c>
      <c r="AH8" s="382"/>
    </row>
    <row r="9" spans="1:34" ht="15" customHeight="1">
      <c r="A9" s="467"/>
      <c r="B9" s="75" t="s">
        <v>81</v>
      </c>
      <c r="C9" s="86"/>
      <c r="D9" s="59" t="s">
        <v>119</v>
      </c>
      <c r="E9" s="87"/>
      <c r="F9" s="75">
        <f>VLOOKUP(D9,廠價表!$C$1:$E$43,3,0)</f>
        <v>50.67</v>
      </c>
      <c r="G9" s="62">
        <v>1005</v>
      </c>
      <c r="H9" s="63">
        <f t="shared" si="3"/>
        <v>50923.35</v>
      </c>
      <c r="I9" s="64"/>
      <c r="J9" s="65">
        <v>14</v>
      </c>
      <c r="K9" s="66">
        <f>VLOOKUP(D9,產線配置圖!$A$3:$C$40,3,0)</f>
        <v>2250</v>
      </c>
      <c r="L9" s="67">
        <f t="shared" si="4"/>
        <v>160.71428571428572</v>
      </c>
      <c r="M9" s="82">
        <v>14</v>
      </c>
      <c r="N9" s="80">
        <f t="shared" si="6"/>
        <v>1884.3749999999313</v>
      </c>
      <c r="O9" s="81">
        <f t="shared" si="7"/>
        <v>134.59821428570939</v>
      </c>
      <c r="P9" s="74">
        <f t="shared" si="8"/>
        <v>0</v>
      </c>
      <c r="Q9" s="83">
        <f t="shared" si="9"/>
        <v>-26.116071428576333</v>
      </c>
      <c r="R9" s="72">
        <f t="shared" si="10"/>
        <v>0.83749999999996949</v>
      </c>
      <c r="S9" s="394"/>
      <c r="T9" s="22">
        <v>0.62083333333333302</v>
      </c>
      <c r="U9" s="22">
        <v>0.64305555555555605</v>
      </c>
      <c r="V9" s="30">
        <f t="shared" si="5"/>
        <v>8.999999999999968</v>
      </c>
      <c r="W9" s="73">
        <f t="shared" si="0"/>
        <v>32.000000000001165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-365.62500000006867</v>
      </c>
      <c r="AG9" s="72">
        <f t="shared" si="2"/>
        <v>0.83749999999996949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285"/>
      <c r="C11" s="251"/>
      <c r="D11" s="103"/>
      <c r="E11" s="104"/>
      <c r="F11" s="285"/>
      <c r="G11" s="362"/>
      <c r="H11" s="78"/>
      <c r="I11" s="294"/>
      <c r="J11" s="106"/>
      <c r="K11" s="107"/>
      <c r="L11" s="81"/>
      <c r="M11" s="108"/>
      <c r="N11" s="62"/>
      <c r="O11" s="81"/>
      <c r="P11" s="74"/>
      <c r="Q11" s="83"/>
      <c r="R11" s="72"/>
      <c r="S11" s="394"/>
      <c r="T11" s="110"/>
      <c r="U11" s="110"/>
      <c r="V11" s="38"/>
      <c r="W11" s="73">
        <f t="shared" si="0"/>
        <v>0</v>
      </c>
      <c r="X11" s="110"/>
      <c r="Y11" s="289"/>
      <c r="Z11" s="90"/>
      <c r="AA11" s="90"/>
      <c r="AB11" s="92"/>
      <c r="AC11" s="92"/>
      <c r="AD11" s="92"/>
      <c r="AE11" s="92"/>
      <c r="AF11" s="308"/>
      <c r="AG11" s="85"/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73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11">AVERAGE(J5:J14)</f>
        <v>13.8</v>
      </c>
      <c r="K15" s="120">
        <f t="shared" si="11"/>
        <v>2250</v>
      </c>
      <c r="L15" s="117">
        <f t="shared" si="11"/>
        <v>163.1868131868132</v>
      </c>
      <c r="M15" s="120">
        <f t="shared" si="11"/>
        <v>13.8</v>
      </c>
      <c r="N15" s="120">
        <f t="shared" si="11"/>
        <v>2098.1224410823061</v>
      </c>
      <c r="O15" s="117">
        <f t="shared" si="11"/>
        <v>152.17358095642848</v>
      </c>
      <c r="P15" s="121">
        <f>M15-J15</f>
        <v>0</v>
      </c>
      <c r="Q15" s="122">
        <f>O15-L15</f>
        <v>-11.013232230384716</v>
      </c>
      <c r="R15" s="123">
        <f>O15/L15</f>
        <v>0.93251150619764245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-151.87755891769393</v>
      </c>
      <c r="AG15" s="124">
        <f>N15/K15</f>
        <v>0.93249886270324711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2134</v>
      </c>
      <c r="H16" s="134">
        <f>F16*G16</f>
        <v>121360.58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2133.9999999999818</v>
      </c>
      <c r="O16" s="141">
        <f>N16/M16</f>
        <v>152.42857142857014</v>
      </c>
      <c r="P16" s="142">
        <f>M16-J16</f>
        <v>0</v>
      </c>
      <c r="Q16" s="143">
        <f>O16-L16</f>
        <v>-8.285714285715585</v>
      </c>
      <c r="R16" s="144">
        <f>O16/L16</f>
        <v>0.94844444444443632</v>
      </c>
      <c r="S16" s="420">
        <f>R26</f>
        <v>0.91347106659818256</v>
      </c>
      <c r="T16" s="145">
        <v>0.3</v>
      </c>
      <c r="U16" s="145">
        <v>0.34166666666666701</v>
      </c>
      <c r="V16" s="135"/>
      <c r="W16" s="146">
        <f t="shared" ref="W16:W78" si="12">(U16-T16)*24*60</f>
        <v>60.000000000000504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-116.00000000001819</v>
      </c>
      <c r="AG16" s="52">
        <f>N16/K16</f>
        <v>0.94844444444443632</v>
      </c>
      <c r="AH16" s="380">
        <f>AG26</f>
        <v>0.91353891456941994</v>
      </c>
    </row>
    <row r="17" spans="1:34" ht="15" customHeight="1">
      <c r="A17" s="427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3845</v>
      </c>
      <c r="H17" s="78">
        <f>F17*G17</f>
        <v>194826.15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2097.2727272727243</v>
      </c>
      <c r="O17" s="96">
        <f>N17/M17</f>
        <v>149.80519480519459</v>
      </c>
      <c r="P17" s="97">
        <f>M17-J17</f>
        <v>0</v>
      </c>
      <c r="Q17" s="98">
        <f>O17-L17</f>
        <v>-10.909090909091134</v>
      </c>
      <c r="R17" s="99">
        <f>O17/L17</f>
        <v>0.93212121212121068</v>
      </c>
      <c r="S17" s="421"/>
      <c r="T17" s="19">
        <v>0.35069444444444398</v>
      </c>
      <c r="U17" s="19">
        <v>0.42708333333333298</v>
      </c>
      <c r="V17" s="30">
        <f>(T17-U16)*24*60</f>
        <v>12.999999999998835</v>
      </c>
      <c r="W17" s="149">
        <f t="shared" si="12"/>
        <v>110.00000000000017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-152.7272727272757</v>
      </c>
      <c r="AG17" s="72">
        <f>N17/K17</f>
        <v>0.9321212121212108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2003</v>
      </c>
      <c r="H18" s="78">
        <f>F18*G18</f>
        <v>100931.17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2036.9491525423855</v>
      </c>
      <c r="O18" s="96">
        <f>N18/M18</f>
        <v>169.74576271186547</v>
      </c>
      <c r="P18" s="97">
        <f>M18-J18</f>
        <v>0</v>
      </c>
      <c r="Q18" s="98">
        <f>O18-L18</f>
        <v>-17.754237288134533</v>
      </c>
      <c r="R18" s="99">
        <f>O18/L18</f>
        <v>0.90531073446328247</v>
      </c>
      <c r="S18" s="421"/>
      <c r="T18" s="19">
        <v>0.43541666666666701</v>
      </c>
      <c r="U18" s="19">
        <v>0.47638888888888897</v>
      </c>
      <c r="V18" s="30">
        <f>(T18-U17)*24*60</f>
        <v>12.000000000000997</v>
      </c>
      <c r="W18" s="149">
        <f t="shared" si="12"/>
        <v>58.999999999999631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-213.05084745761451</v>
      </c>
      <c r="AG18" s="72">
        <f>N18/K18</f>
        <v>0.90531073446328247</v>
      </c>
      <c r="AH18" s="382"/>
    </row>
    <row r="19" spans="1:34" ht="15" customHeight="1">
      <c r="A19" s="427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4552</v>
      </c>
      <c r="H19" s="78">
        <f>F19*G19</f>
        <v>229375.28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 t="shared" ref="N19:N20" si="13">G19/W19*60</f>
        <v>2069.090909090904</v>
      </c>
      <c r="O19" s="96">
        <f t="shared" ref="O19:O20" si="14">N19/M19</f>
        <v>172.42424242424201</v>
      </c>
      <c r="P19" s="97">
        <f t="shared" ref="P19:P20" si="15">M19-J19</f>
        <v>0</v>
      </c>
      <c r="Q19" s="98">
        <f t="shared" ref="Q19:Q20" si="16">O19-L19</f>
        <v>-15.07575757575799</v>
      </c>
      <c r="R19" s="99">
        <f t="shared" ref="R19:R20" si="17">O19/L19</f>
        <v>0.91959595959595741</v>
      </c>
      <c r="S19" s="421"/>
      <c r="T19" s="19">
        <v>0.54861111111111105</v>
      </c>
      <c r="U19" s="19">
        <v>0.64027777777777795</v>
      </c>
      <c r="V19" s="30">
        <f>(T19-U18)*24*60</f>
        <v>103.99999999999979</v>
      </c>
      <c r="W19" s="149">
        <f t="shared" si="12"/>
        <v>132.00000000000034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-180.90909090909599</v>
      </c>
      <c r="AG19" s="72">
        <f>N19/K19</f>
        <v>0.9195959595959573</v>
      </c>
      <c r="AH19" s="383"/>
    </row>
    <row r="20" spans="1:34" ht="15" customHeight="1">
      <c r="A20" s="427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1358</v>
      </c>
      <c r="H20" s="78">
        <f>F20*G20</f>
        <v>68809.86</v>
      </c>
      <c r="I20" s="30"/>
      <c r="J20" s="79">
        <v>14</v>
      </c>
      <c r="K20" s="80">
        <f>VLOOKUP(D20,產線配置圖!$A$3:$C$40,3,0)</f>
        <v>2250</v>
      </c>
      <c r="L20" s="81">
        <f>K20/J20</f>
        <v>160.71428571428572</v>
      </c>
      <c r="M20" s="148">
        <v>14</v>
      </c>
      <c r="N20" s="95">
        <f t="shared" si="13"/>
        <v>1939.9999999999775</v>
      </c>
      <c r="O20" s="96">
        <f t="shared" si="14"/>
        <v>138.57142857142696</v>
      </c>
      <c r="P20" s="97">
        <f t="shared" si="15"/>
        <v>0</v>
      </c>
      <c r="Q20" s="98">
        <f t="shared" si="16"/>
        <v>-22.142857142858759</v>
      </c>
      <c r="R20" s="99">
        <f t="shared" si="17"/>
        <v>0.86222222222221212</v>
      </c>
      <c r="S20" s="421"/>
      <c r="T20" s="19">
        <v>0.64583333333333304</v>
      </c>
      <c r="U20" s="19">
        <v>0.67500000000000004</v>
      </c>
      <c r="V20" s="30">
        <f>(T20-U19)*24*60</f>
        <v>7.9999999999993321</v>
      </c>
      <c r="W20" s="149">
        <f t="shared" si="12"/>
        <v>42.00000000000049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285"/>
      <c r="C21" s="76"/>
      <c r="D21" s="59"/>
      <c r="E21" s="77"/>
      <c r="F21" s="285"/>
      <c r="G21" s="147"/>
      <c r="H21" s="78"/>
      <c r="I21" s="363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9"/>
      <c r="U21" s="19"/>
      <c r="V21" s="363"/>
      <c r="W21" s="149"/>
      <c r="X21" s="19"/>
      <c r="Y21" s="297"/>
      <c r="Z21" s="90"/>
      <c r="AA21" s="90"/>
      <c r="AB21" s="92"/>
      <c r="AC21" s="92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12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18">AVERAGE(J16:J25)</f>
        <v>13.2</v>
      </c>
      <c r="K26" s="155">
        <f t="shared" si="18"/>
        <v>2250</v>
      </c>
      <c r="L26" s="158">
        <f t="shared" si="18"/>
        <v>171.42857142857142</v>
      </c>
      <c r="M26" s="155">
        <f t="shared" si="18"/>
        <v>13.2</v>
      </c>
      <c r="N26" s="155">
        <f t="shared" si="18"/>
        <v>2055.4625577811948</v>
      </c>
      <c r="O26" s="158">
        <f t="shared" si="18"/>
        <v>156.59503998825986</v>
      </c>
      <c r="P26" s="159">
        <f t="shared" ref="P26:P31" si="19">M26-J26</f>
        <v>0</v>
      </c>
      <c r="Q26" s="160">
        <f t="shared" ref="Q26:Q31" si="20">O26-L26</f>
        <v>-14.83353144031156</v>
      </c>
      <c r="R26" s="161">
        <f t="shared" ref="R26:R31" si="21">O26/L26</f>
        <v>0.91347106659818256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22">N26-K26</f>
        <v>-194.53744221880515</v>
      </c>
      <c r="AG26" s="124">
        <f t="shared" ref="AG26:AG31" si="23">N26/K26</f>
        <v>0.91353891456941994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888</v>
      </c>
      <c r="H27" s="134">
        <f>F27*G27</f>
        <v>44320.079999999994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17</v>
      </c>
      <c r="N27" s="140">
        <f>G27/W27*60</f>
        <v>1268.5714285714573</v>
      </c>
      <c r="O27" s="141">
        <f>N27/M27</f>
        <v>74.621848739497494</v>
      </c>
      <c r="P27" s="142">
        <f t="shared" si="19"/>
        <v>-1</v>
      </c>
      <c r="Q27" s="143">
        <f t="shared" si="20"/>
        <v>-16.267040149391391</v>
      </c>
      <c r="R27" s="144">
        <f t="shared" si="21"/>
        <v>0.82102278564239295</v>
      </c>
      <c r="S27" s="420">
        <f>R37</f>
        <v>0.8655684844487932</v>
      </c>
      <c r="T27" s="171">
        <v>0.29166666666666702</v>
      </c>
      <c r="U27" s="171">
        <v>0.32083333333333303</v>
      </c>
      <c r="V27" s="135"/>
      <c r="W27" s="146">
        <f t="shared" si="12"/>
        <v>41.999999999999048</v>
      </c>
      <c r="X27" s="135"/>
      <c r="Y27" s="300" t="s">
        <v>46</v>
      </c>
      <c r="Z27" s="169"/>
      <c r="AA27" s="169"/>
      <c r="AB27" s="397"/>
      <c r="AC27" s="397"/>
      <c r="AD27" s="135"/>
      <c r="AE27" s="135"/>
      <c r="AF27" s="310">
        <f t="shared" si="22"/>
        <v>-367.42857142854268</v>
      </c>
      <c r="AG27" s="172">
        <f t="shared" si="23"/>
        <v>0.77541040866225996</v>
      </c>
      <c r="AH27" s="380">
        <f>AG37</f>
        <v>0.81589452921820371</v>
      </c>
    </row>
    <row r="28" spans="1:34" ht="15" customHeight="1">
      <c r="A28" s="418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1791</v>
      </c>
      <c r="H28" s="91">
        <f>F28*G28</f>
        <v>102463.11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1264.2352941176418</v>
      </c>
      <c r="O28" s="96">
        <f>N28/M28</f>
        <v>74.366782006920104</v>
      </c>
      <c r="P28" s="97">
        <f t="shared" si="19"/>
        <v>-1</v>
      </c>
      <c r="Q28" s="98">
        <f t="shared" si="20"/>
        <v>-16.522106881968782</v>
      </c>
      <c r="R28" s="99">
        <f t="shared" si="21"/>
        <v>0.81821642794899874</v>
      </c>
      <c r="S28" s="421"/>
      <c r="T28" s="19">
        <v>0.327083333333333</v>
      </c>
      <c r="U28" s="19">
        <v>0.38611111111111102</v>
      </c>
      <c r="V28" s="92">
        <f>(T28-U27)*24*60</f>
        <v>8.999999999999968</v>
      </c>
      <c r="W28" s="149">
        <f t="shared" si="12"/>
        <v>85.000000000000341</v>
      </c>
      <c r="X28" s="174"/>
      <c r="Y28" s="301"/>
      <c r="Z28" s="335"/>
      <c r="AA28" s="335"/>
      <c r="AB28" s="386" t="s">
        <v>174</v>
      </c>
      <c r="AC28" s="386"/>
      <c r="AD28" s="92"/>
      <c r="AE28" s="92"/>
      <c r="AF28" s="311">
        <f t="shared" si="22"/>
        <v>-371.76470588235816</v>
      </c>
      <c r="AG28" s="99">
        <f t="shared" si="23"/>
        <v>0.77275995972960998</v>
      </c>
      <c r="AH28" s="381"/>
    </row>
    <row r="29" spans="1:34" ht="15" customHeight="1">
      <c r="A29" s="418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858</v>
      </c>
      <c r="H29" s="91">
        <f>F29*G29</f>
        <v>39176.28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16</v>
      </c>
      <c r="N29" s="95">
        <f>G29/W29*60</f>
        <v>1287.000000000038</v>
      </c>
      <c r="O29" s="96">
        <f>N29/M29</f>
        <v>80.437500000002373</v>
      </c>
      <c r="P29" s="97">
        <f t="shared" si="19"/>
        <v>-1</v>
      </c>
      <c r="Q29" s="98">
        <f t="shared" si="20"/>
        <v>-15.797794117644685</v>
      </c>
      <c r="R29" s="99">
        <f t="shared" si="21"/>
        <v>0.83584199266506132</v>
      </c>
      <c r="S29" s="421"/>
      <c r="T29" s="19">
        <v>0.39930555555555602</v>
      </c>
      <c r="U29" s="19">
        <v>0.42708333333333298</v>
      </c>
      <c r="V29" s="92">
        <f>(T29-U28)*24*60</f>
        <v>19.00000000000081</v>
      </c>
      <c r="W29" s="149">
        <f t="shared" si="12"/>
        <v>39.99999999999882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22"/>
        <v>-348.99999999996203</v>
      </c>
      <c r="AG29" s="99">
        <f t="shared" si="23"/>
        <v>0.78667481662594008</v>
      </c>
      <c r="AH29" s="381"/>
    </row>
    <row r="30" spans="1:34" ht="15" customHeight="1">
      <c r="A30" s="418"/>
      <c r="B30" s="75" t="s">
        <v>81</v>
      </c>
      <c r="C30" s="88"/>
      <c r="D30" s="59" t="s">
        <v>124</v>
      </c>
      <c r="E30" s="89"/>
      <c r="F30" s="75">
        <f>VLOOKUP(D30,廠價表!$C$1:$E$43,3,0)</f>
        <v>46.34</v>
      </c>
      <c r="G30" s="90">
        <v>1395</v>
      </c>
      <c r="H30" s="91">
        <f>F30*G30</f>
        <v>64644.3</v>
      </c>
      <c r="I30" s="92"/>
      <c r="J30" s="79">
        <f>VLOOKUP(D30,產線配置圖!$A$3:$C$40,2,0)</f>
        <v>16</v>
      </c>
      <c r="K30" s="80">
        <f>VLOOKUP(D30,產線配置圖!$A$3:$C$40,3,0)</f>
        <v>1636</v>
      </c>
      <c r="L30" s="93">
        <f>K30/J30</f>
        <v>102.25</v>
      </c>
      <c r="M30" s="94">
        <v>16</v>
      </c>
      <c r="N30" s="95">
        <f>G30/W30*60</f>
        <v>1550.0000000000007</v>
      </c>
      <c r="O30" s="96">
        <f>N30/M30</f>
        <v>96.875000000000043</v>
      </c>
      <c r="P30" s="97">
        <f t="shared" si="19"/>
        <v>0</v>
      </c>
      <c r="Q30" s="98">
        <f t="shared" si="20"/>
        <v>-5.3749999999999574</v>
      </c>
      <c r="R30" s="99">
        <f t="shared" si="21"/>
        <v>0.94743276283618627</v>
      </c>
      <c r="S30" s="421"/>
      <c r="T30" s="19">
        <v>0.43333333333333302</v>
      </c>
      <c r="U30" s="19">
        <v>0.47083333333333299</v>
      </c>
      <c r="V30" s="92">
        <f>(T30-U29)*24*60</f>
        <v>9.000000000000048</v>
      </c>
      <c r="W30" s="149">
        <f t="shared" si="12"/>
        <v>53.999999999999972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22"/>
        <v>-85.999999999999318</v>
      </c>
      <c r="AG30" s="99">
        <f t="shared" si="23"/>
        <v>0.94743276283618627</v>
      </c>
      <c r="AH30" s="416"/>
    </row>
    <row r="31" spans="1:34" ht="15" customHeight="1">
      <c r="A31" s="418"/>
      <c r="B31" s="75" t="s">
        <v>81</v>
      </c>
      <c r="C31" s="173"/>
      <c r="D31" s="59" t="s">
        <v>161</v>
      </c>
      <c r="E31" s="104"/>
      <c r="F31" s="75">
        <f>VLOOKUP(D31,廠價表!$C$1:$E$43,3,0)</f>
        <v>52.21</v>
      </c>
      <c r="G31" s="90">
        <v>1239</v>
      </c>
      <c r="H31" s="91">
        <f>F31*G31</f>
        <v>64688.19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>K31/J31</f>
        <v>90.888888888888886</v>
      </c>
      <c r="M31" s="94">
        <v>16</v>
      </c>
      <c r="N31" s="95">
        <f>G31/W31*60</f>
        <v>1304.2105263157687</v>
      </c>
      <c r="O31" s="96">
        <f>N31/M31</f>
        <v>81.513157894735542</v>
      </c>
      <c r="P31" s="97">
        <f t="shared" si="19"/>
        <v>-2</v>
      </c>
      <c r="Q31" s="98">
        <f t="shared" si="20"/>
        <v>-9.3757309941533435</v>
      </c>
      <c r="R31" s="99">
        <f t="shared" si="21"/>
        <v>0.89684403551665026</v>
      </c>
      <c r="S31" s="421"/>
      <c r="T31" s="19">
        <v>0.53333333333333299</v>
      </c>
      <c r="U31" s="19">
        <v>0.57291666666666696</v>
      </c>
      <c r="V31" s="92">
        <f>(T31-U30)*24*60</f>
        <v>90</v>
      </c>
      <c r="W31" s="149">
        <f t="shared" si="12"/>
        <v>57.000000000000917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22"/>
        <v>-331.78947368423133</v>
      </c>
      <c r="AG31" s="99">
        <f t="shared" si="23"/>
        <v>0.79719469823702238</v>
      </c>
      <c r="AH31" s="383"/>
    </row>
    <row r="32" spans="1:34" ht="15" customHeight="1">
      <c r="A32" s="418"/>
      <c r="B32" s="364"/>
      <c r="C32" s="251"/>
      <c r="D32" s="103"/>
      <c r="E32" s="104"/>
      <c r="F32" s="285"/>
      <c r="G32" s="90"/>
      <c r="H32" s="91"/>
      <c r="I32" s="92"/>
      <c r="J32" s="79"/>
      <c r="K32" s="80"/>
      <c r="L32" s="81"/>
      <c r="M32" s="148"/>
      <c r="N32" s="95"/>
      <c r="O32" s="96"/>
      <c r="P32" s="97"/>
      <c r="Q32" s="98"/>
      <c r="R32" s="99"/>
      <c r="S32" s="421"/>
      <c r="T32" s="19"/>
      <c r="U32" s="19"/>
      <c r="V32" s="92"/>
      <c r="W32" s="149"/>
      <c r="X32" s="174"/>
      <c r="Y32" s="301"/>
      <c r="Z32" s="335"/>
      <c r="AA32" s="335"/>
      <c r="AB32" s="92"/>
      <c r="AC32" s="92"/>
      <c r="AD32" s="92"/>
      <c r="AE32" s="92"/>
      <c r="AF32" s="312"/>
      <c r="AG32" s="365"/>
      <c r="AH32" s="383"/>
    </row>
    <row r="33" spans="1:34" ht="15" customHeight="1">
      <c r="A33" s="418"/>
      <c r="B33" s="364"/>
      <c r="C33" s="251"/>
      <c r="D33" s="103"/>
      <c r="E33" s="104"/>
      <c r="F33" s="105"/>
      <c r="G33" s="90"/>
      <c r="H33" s="91"/>
      <c r="I33" s="92"/>
      <c r="J33" s="148"/>
      <c r="K33" s="95"/>
      <c r="L33" s="96"/>
      <c r="M33" s="148"/>
      <c r="N33" s="95"/>
      <c r="O33" s="96"/>
      <c r="P33" s="97"/>
      <c r="Q33" s="98"/>
      <c r="R33" s="99"/>
      <c r="S33" s="421"/>
      <c r="T33" s="19"/>
      <c r="U33" s="19"/>
      <c r="V33" s="92"/>
      <c r="W33" s="149"/>
      <c r="X33" s="174"/>
      <c r="Y33" s="301"/>
      <c r="Z33" s="335"/>
      <c r="AA33" s="335"/>
      <c r="AB33" s="92"/>
      <c r="AC33" s="92"/>
      <c r="AD33" s="92"/>
      <c r="AE33" s="92"/>
      <c r="AF33" s="312"/>
      <c r="AG33" s="365"/>
      <c r="AH33" s="383"/>
    </row>
    <row r="34" spans="1:34" ht="15" customHeight="1">
      <c r="A34" s="418"/>
      <c r="B34" s="364"/>
      <c r="C34" s="251"/>
      <c r="D34" s="103"/>
      <c r="E34" s="104"/>
      <c r="F34" s="75"/>
      <c r="G34" s="90"/>
      <c r="H34" s="91"/>
      <c r="I34" s="92"/>
      <c r="J34" s="79"/>
      <c r="K34" s="80"/>
      <c r="L34" s="81"/>
      <c r="M34" s="148"/>
      <c r="N34" s="95"/>
      <c r="O34" s="96"/>
      <c r="P34" s="97"/>
      <c r="Q34" s="98"/>
      <c r="R34" s="99"/>
      <c r="S34" s="421"/>
      <c r="T34" s="19"/>
      <c r="U34" s="19"/>
      <c r="V34" s="92"/>
      <c r="W34" s="149"/>
      <c r="X34" s="174"/>
      <c r="Y34" s="301"/>
      <c r="Z34" s="335"/>
      <c r="AA34" s="335"/>
      <c r="AB34" s="92"/>
      <c r="AC34" s="92"/>
      <c r="AD34" s="92"/>
      <c r="AE34" s="92"/>
      <c r="AF34" s="312"/>
      <c r="AG34" s="365"/>
      <c r="AH34" s="383"/>
    </row>
    <row r="35" spans="1:34" ht="15" customHeight="1">
      <c r="A35" s="418"/>
      <c r="B35" s="364"/>
      <c r="C35" s="251"/>
      <c r="D35" s="103"/>
      <c r="E35" s="104"/>
      <c r="F35" s="105"/>
      <c r="G35" s="90"/>
      <c r="H35" s="91"/>
      <c r="I35" s="92"/>
      <c r="J35" s="79"/>
      <c r="K35" s="80"/>
      <c r="L35" s="81"/>
      <c r="M35" s="148"/>
      <c r="N35" s="95"/>
      <c r="O35" s="96"/>
      <c r="P35" s="97"/>
      <c r="Q35" s="98"/>
      <c r="R35" s="99"/>
      <c r="S35" s="421"/>
      <c r="T35" s="19"/>
      <c r="U35" s="19"/>
      <c r="V35" s="92"/>
      <c r="W35" s="149"/>
      <c r="X35" s="174"/>
      <c r="Y35" s="301"/>
      <c r="Z35" s="335"/>
      <c r="AA35" s="335"/>
      <c r="AB35" s="92"/>
      <c r="AC35" s="92"/>
      <c r="AD35" s="92"/>
      <c r="AE35" s="92"/>
      <c r="AF35" s="312"/>
      <c r="AG35" s="365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24">AVERAGE(J27:J36)</f>
        <v>17.399999999999999</v>
      </c>
      <c r="K37" s="155">
        <f t="shared" si="24"/>
        <v>1636</v>
      </c>
      <c r="L37" s="158">
        <f t="shared" si="24"/>
        <v>94.230392156862735</v>
      </c>
      <c r="M37" s="155">
        <f t="shared" si="24"/>
        <v>16.399999999999999</v>
      </c>
      <c r="N37" s="155">
        <f t="shared" si="24"/>
        <v>1334.8034498009813</v>
      </c>
      <c r="O37" s="158">
        <f t="shared" si="24"/>
        <v>81.562857728231123</v>
      </c>
      <c r="P37" s="159">
        <f>M37-J37</f>
        <v>-1</v>
      </c>
      <c r="Q37" s="160">
        <f>N37-K37</f>
        <v>-301.1965501990187</v>
      </c>
      <c r="R37" s="161">
        <f>O37/L37</f>
        <v>0.8655684844487932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-301.1965501990187</v>
      </c>
      <c r="AG37" s="124">
        <f>N37/K37</f>
        <v>0.81589452921820371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3000</v>
      </c>
      <c r="H38" s="134">
        <f>F38*G38</f>
        <v>149730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1636.3636363636338</v>
      </c>
      <c r="O38" s="141">
        <f>N38/M38</f>
        <v>102.27272727272711</v>
      </c>
      <c r="P38" s="142">
        <f>M38-J38</f>
        <v>0</v>
      </c>
      <c r="Q38" s="143">
        <f>O38-L38</f>
        <v>-4.8522727272728901</v>
      </c>
      <c r="R38" s="144">
        <f>O38/L38</f>
        <v>0.9547045719741154</v>
      </c>
      <c r="S38" s="410">
        <f>R48</f>
        <v>0.89147811949600453</v>
      </c>
      <c r="T38" s="191">
        <v>0.33333333333333298</v>
      </c>
      <c r="U38" s="191">
        <v>0.40972222222222199</v>
      </c>
      <c r="V38" s="192"/>
      <c r="W38" s="193">
        <f t="shared" si="12"/>
        <v>110.00000000000017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-77.636363636366241</v>
      </c>
      <c r="AG38" s="195">
        <f>N38/K38</f>
        <v>0.9547045719741154</v>
      </c>
      <c r="AH38" s="413">
        <f>AG48</f>
        <v>0.88876125879736134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2270</v>
      </c>
      <c r="H39" s="91">
        <f>F39*G39</f>
        <v>100561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1362.0000000000093</v>
      </c>
      <c r="O39" s="203">
        <f>N39/M39</f>
        <v>75.666666666667183</v>
      </c>
      <c r="P39" s="97">
        <f>M39-J39</f>
        <v>0</v>
      </c>
      <c r="Q39" s="98">
        <f>O39-L39</f>
        <v>-15.222222222221703</v>
      </c>
      <c r="R39" s="99">
        <f>O39/L39</f>
        <v>0.83251833740831871</v>
      </c>
      <c r="S39" s="411"/>
      <c r="T39" s="20">
        <v>0.42013888888888901</v>
      </c>
      <c r="U39" s="20">
        <v>0.48958333333333298</v>
      </c>
      <c r="V39" s="92">
        <f>(T39-U38)*24*60</f>
        <v>15.000000000000506</v>
      </c>
      <c r="W39" s="205">
        <f t="shared" si="12"/>
        <v>99.999999999999318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-273.99999999999068</v>
      </c>
      <c r="AG39" s="206">
        <f>N39/K39</f>
        <v>0.83251833740831871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4299</v>
      </c>
      <c r="H40" s="91">
        <f>F40*G40</f>
        <v>190445.69999999998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1433</v>
      </c>
      <c r="O40" s="203">
        <f>N40/M40</f>
        <v>79.611111111111114</v>
      </c>
      <c r="P40" s="97">
        <f>M40-J40</f>
        <v>0</v>
      </c>
      <c r="Q40" s="98">
        <f>O40-L40</f>
        <v>-11.277777777777771</v>
      </c>
      <c r="R40" s="99">
        <f>O40/L40</f>
        <v>0.87591687041564803</v>
      </c>
      <c r="S40" s="393"/>
      <c r="T40" s="20">
        <v>0.54861111111111105</v>
      </c>
      <c r="U40" s="20">
        <v>0.67361111111111105</v>
      </c>
      <c r="V40" s="92">
        <f>(T40-U39)*24*60</f>
        <v>85.000000000000412</v>
      </c>
      <c r="W40" s="205">
        <f t="shared" si="12"/>
        <v>180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-203</v>
      </c>
      <c r="AG40" s="206">
        <f>N40/K40</f>
        <v>0.87591687041564792</v>
      </c>
      <c r="AH40" s="414"/>
    </row>
    <row r="41" spans="1:34" ht="15" customHeight="1">
      <c r="A41" s="408"/>
      <c r="B41" s="364"/>
      <c r="C41" s="251"/>
      <c r="D41" s="103"/>
      <c r="E41" s="104"/>
      <c r="F41" s="285"/>
      <c r="G41" s="90"/>
      <c r="H41" s="91"/>
      <c r="I41" s="92"/>
      <c r="J41" s="79"/>
      <c r="K41" s="80"/>
      <c r="L41" s="81"/>
      <c r="M41" s="148"/>
      <c r="N41" s="95"/>
      <c r="O41" s="96"/>
      <c r="P41" s="97"/>
      <c r="Q41" s="98"/>
      <c r="R41" s="99"/>
      <c r="S41" s="393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364"/>
      <c r="C42" s="251"/>
      <c r="D42" s="103"/>
      <c r="E42" s="104"/>
      <c r="F42" s="105"/>
      <c r="G42" s="90"/>
      <c r="H42" s="91"/>
      <c r="I42" s="92"/>
      <c r="J42" s="148"/>
      <c r="K42" s="95"/>
      <c r="L42" s="96"/>
      <c r="M42" s="148"/>
      <c r="N42" s="95"/>
      <c r="O42" s="96"/>
      <c r="P42" s="97"/>
      <c r="Q42" s="98"/>
      <c r="R42" s="99"/>
      <c r="S42" s="393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364"/>
      <c r="C43" s="251"/>
      <c r="D43" s="103"/>
      <c r="E43" s="104"/>
      <c r="F43" s="75"/>
      <c r="G43" s="90"/>
      <c r="H43" s="91"/>
      <c r="I43" s="92"/>
      <c r="J43" s="79"/>
      <c r="K43" s="80"/>
      <c r="L43" s="81"/>
      <c r="M43" s="148"/>
      <c r="N43" s="95"/>
      <c r="O43" s="96"/>
      <c r="P43" s="97"/>
      <c r="Q43" s="98"/>
      <c r="R43" s="99"/>
      <c r="S43" s="393"/>
      <c r="T43" s="210"/>
      <c r="U43" s="210"/>
      <c r="V43" s="92"/>
      <c r="W43" s="205">
        <f t="shared" ref="W43:W48" si="25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364"/>
      <c r="C44" s="251"/>
      <c r="D44" s="103"/>
      <c r="E44" s="104"/>
      <c r="F44" s="105"/>
      <c r="G44" s="90"/>
      <c r="H44" s="91"/>
      <c r="I44" s="92"/>
      <c r="J44" s="79"/>
      <c r="K44" s="80"/>
      <c r="L44" s="81"/>
      <c r="M44" s="148"/>
      <c r="N44" s="95"/>
      <c r="O44" s="96"/>
      <c r="P44" s="97"/>
      <c r="Q44" s="98"/>
      <c r="R44" s="99"/>
      <c r="S44" s="393"/>
      <c r="T44" s="210"/>
      <c r="U44" s="210"/>
      <c r="V44" s="92"/>
      <c r="W44" s="205">
        <f t="shared" si="25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25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25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25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26">AVERAGE(J38:J47)</f>
        <v>17.333333333333332</v>
      </c>
      <c r="K48" s="155">
        <f t="shared" si="26"/>
        <v>1662</v>
      </c>
      <c r="L48" s="158">
        <f t="shared" si="26"/>
        <v>96.300925925925924</v>
      </c>
      <c r="M48" s="155">
        <f t="shared" si="26"/>
        <v>17.333333333333332</v>
      </c>
      <c r="N48" s="155">
        <f t="shared" si="26"/>
        <v>1477.1212121212145</v>
      </c>
      <c r="O48" s="158">
        <f t="shared" si="26"/>
        <v>85.850168350168474</v>
      </c>
      <c r="P48" s="221">
        <f>M48-J48</f>
        <v>0</v>
      </c>
      <c r="Q48" s="222">
        <f>N48-K48</f>
        <v>-184.87878787878549</v>
      </c>
      <c r="R48" s="223">
        <f>O48/L48</f>
        <v>0.89147811949600453</v>
      </c>
      <c r="S48" s="396"/>
      <c r="T48" s="224"/>
      <c r="U48" s="224"/>
      <c r="V48" s="225"/>
      <c r="W48" s="226">
        <f t="shared" si="25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27">N48-K48</f>
        <v>-184.87878787878549</v>
      </c>
      <c r="AG48" s="162">
        <f t="shared" ref="AG48:AG53" si="28">N48/K48</f>
        <v>0.88876125879736134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2563</v>
      </c>
      <c r="H49" s="134">
        <f>F49*G49</f>
        <v>128890.70700000001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1537.8000000000104</v>
      </c>
      <c r="O49" s="141">
        <f>N49/M49</f>
        <v>90.458823529412371</v>
      </c>
      <c r="P49" s="229">
        <f>M49-J49</f>
        <v>0</v>
      </c>
      <c r="Q49" s="230">
        <f>O49-L49</f>
        <v>-5.7764705882346874</v>
      </c>
      <c r="R49" s="52">
        <f>O49/L49</f>
        <v>0.93997555012225564</v>
      </c>
      <c r="S49" s="392">
        <f>R58</f>
        <v>0.88551063132985197</v>
      </c>
      <c r="T49" s="191">
        <v>0.29166666666666702</v>
      </c>
      <c r="U49" s="191">
        <v>0.36111111111111099</v>
      </c>
      <c r="V49" s="55"/>
      <c r="W49" s="193">
        <f t="shared" si="12"/>
        <v>99.999999999999318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27"/>
        <v>-98.199999999989586</v>
      </c>
      <c r="AG49" s="52">
        <f t="shared" si="28"/>
        <v>0.93997555012225575</v>
      </c>
      <c r="AH49" s="380">
        <f>AG58</f>
        <v>0.88651167171928691</v>
      </c>
    </row>
    <row r="50" spans="1:34" ht="15" customHeight="1">
      <c r="A50" s="405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3507</v>
      </c>
      <c r="H50" s="231">
        <f>F50*G50</f>
        <v>175244.79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1547.2058823529485</v>
      </c>
      <c r="O50" s="235">
        <f>N50/M50</f>
        <v>96.700367647059281</v>
      </c>
      <c r="P50" s="74">
        <f>M50-J50</f>
        <v>0</v>
      </c>
      <c r="Q50" s="83">
        <f>O50-L50</f>
        <v>-15.799632352940719</v>
      </c>
      <c r="R50" s="72">
        <f>O50/L50</f>
        <v>0.85955882352941582</v>
      </c>
      <c r="S50" s="393"/>
      <c r="T50" s="21">
        <v>0.36805555555555602</v>
      </c>
      <c r="U50" s="21">
        <v>0.46250000000000002</v>
      </c>
      <c r="V50" s="30">
        <f>(T50-U49)*24*60</f>
        <v>10.000000000000844</v>
      </c>
      <c r="W50" s="236">
        <f t="shared" si="12"/>
        <v>135.99999999999935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27"/>
        <v>-252.79411764705151</v>
      </c>
      <c r="AG50" s="72">
        <f t="shared" si="28"/>
        <v>0.85955882352941582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3373</v>
      </c>
      <c r="H51" s="231">
        <f>F51*G51</f>
        <v>168548.81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1556.7692307692266</v>
      </c>
      <c r="O51" s="235">
        <f>N51/M51</f>
        <v>97.298076923076664</v>
      </c>
      <c r="P51" s="74">
        <f>M51-J51</f>
        <v>0</v>
      </c>
      <c r="Q51" s="83">
        <f>O51-L51</f>
        <v>-15.201923076923336</v>
      </c>
      <c r="R51" s="72">
        <f>O51/L51</f>
        <v>0.86487179487179255</v>
      </c>
      <c r="S51" s="393"/>
      <c r="T51" s="21">
        <v>0.51944444444444404</v>
      </c>
      <c r="U51" s="19">
        <v>0.60972222222222205</v>
      </c>
      <c r="V51" s="30">
        <f>(T51-U50)*24*60</f>
        <v>81.999999999999389</v>
      </c>
      <c r="W51" s="236">
        <f t="shared" si="12"/>
        <v>130.00000000000034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27"/>
        <v>-243.23076923077338</v>
      </c>
      <c r="AG51" s="72">
        <f t="shared" si="28"/>
        <v>0.86487179487179255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/>
      <c r="U52" s="21"/>
      <c r="V52" s="30"/>
      <c r="W52" s="236">
        <f t="shared" si="12"/>
        <v>0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27"/>
        <v>0</v>
      </c>
      <c r="AG52" s="72" t="e">
        <f t="shared" si="28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27"/>
        <v>0</v>
      </c>
      <c r="AG53" s="72" t="e">
        <f t="shared" si="28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9">AVERAGE(J49:J57)</f>
        <v>16.333333333333332</v>
      </c>
      <c r="K58" s="120">
        <f t="shared" si="29"/>
        <v>1745.3333333333333</v>
      </c>
      <c r="L58" s="117">
        <f t="shared" si="29"/>
        <v>107.07843137254902</v>
      </c>
      <c r="M58" s="120">
        <f t="shared" si="29"/>
        <v>16.333333333333332</v>
      </c>
      <c r="N58" s="120">
        <f t="shared" si="29"/>
        <v>1547.2583710407287</v>
      </c>
      <c r="O58" s="117">
        <f t="shared" si="29"/>
        <v>94.81908936651611</v>
      </c>
      <c r="P58" s="121">
        <f>M58-J58</f>
        <v>0</v>
      </c>
      <c r="Q58" s="122">
        <f>N58-K58</f>
        <v>-198.0749622926046</v>
      </c>
      <c r="R58" s="123">
        <f>O58/L58</f>
        <v>0.88551063132985197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-198.0749622926046</v>
      </c>
      <c r="AG58" s="124">
        <f>N58/K58</f>
        <v>0.88651167171928691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4048</v>
      </c>
      <c r="H59" s="243">
        <f>F59*G59</f>
        <v>109255.51999999999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1566.9677419354823</v>
      </c>
      <c r="O59" s="138">
        <f>N59/M59</f>
        <v>104.46451612903215</v>
      </c>
      <c r="P59" s="56">
        <f>M59-J59</f>
        <v>0</v>
      </c>
      <c r="Q59" s="230">
        <f>O59-L59</f>
        <v>-4.6021505376345146</v>
      </c>
      <c r="R59" s="52">
        <f>O59/L59</f>
        <v>0.95780424323684732</v>
      </c>
      <c r="S59" s="392">
        <f>R69</f>
        <v>0.86679725630914239</v>
      </c>
      <c r="T59" s="245">
        <v>0.29375000000000001</v>
      </c>
      <c r="U59" s="245">
        <v>0.40138888888888902</v>
      </c>
      <c r="V59" s="55"/>
      <c r="W59" s="54">
        <f t="shared" si="12"/>
        <v>155.00000000000017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-69.032258064517691</v>
      </c>
      <c r="AG59" s="246">
        <f>N59/K59</f>
        <v>0.95780424323684743</v>
      </c>
      <c r="AH59" s="380">
        <f>AG69</f>
        <v>0.87286438877098937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217">
        <v>1505</v>
      </c>
      <c r="H60" s="78">
        <f>F60*G60</f>
        <v>42531.3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1368.1818181818278</v>
      </c>
      <c r="O60" s="81">
        <f>N60/M60</f>
        <v>124.38016528925708</v>
      </c>
      <c r="P60" s="74">
        <f>M60-J60</f>
        <v>0</v>
      </c>
      <c r="Q60" s="83">
        <f>O60-L60</f>
        <v>-24.347107438015641</v>
      </c>
      <c r="R60" s="72">
        <f>O60/L60</f>
        <v>0.8362969548788679</v>
      </c>
      <c r="S60" s="402"/>
      <c r="T60" s="22">
        <v>0.40763888888888899</v>
      </c>
      <c r="U60" s="22">
        <v>0.453472222222222</v>
      </c>
      <c r="V60" s="30">
        <f>(T60-U59)*24*60</f>
        <v>8.999999999999968</v>
      </c>
      <c r="W60" s="248">
        <f t="shared" si="12"/>
        <v>65.999999999999531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-267.81818181817221</v>
      </c>
      <c r="AG60" s="249">
        <f>N60/K60</f>
        <v>0.83629695487886779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214">
        <v>840</v>
      </c>
      <c r="H61" s="254">
        <f>F61*G61</f>
        <v>23738.400000000001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1200.0000000000273</v>
      </c>
      <c r="O61" s="238">
        <f>N61/M61</f>
        <v>109.09090909091157</v>
      </c>
      <c r="P61" s="111">
        <f>M61-J61</f>
        <v>0</v>
      </c>
      <c r="Q61" s="255">
        <f>O61-L61</f>
        <v>-39.636363636361153</v>
      </c>
      <c r="R61" s="85">
        <f>O61/L61</f>
        <v>0.73349633251835411</v>
      </c>
      <c r="S61" s="393"/>
      <c r="T61" s="22">
        <v>0.46041666666666697</v>
      </c>
      <c r="U61" s="22">
        <v>0.48958333333333298</v>
      </c>
      <c r="V61" s="30">
        <f>(T61-U60)*24*60</f>
        <v>10.000000000000764</v>
      </c>
      <c r="W61" s="256">
        <f t="shared" si="12"/>
        <v>41.999999999999048</v>
      </c>
      <c r="X61" s="22"/>
      <c r="Y61" s="84"/>
      <c r="Z61" s="90"/>
      <c r="AA61" s="90"/>
      <c r="AB61" s="386" t="s">
        <v>137</v>
      </c>
      <c r="AC61" s="386"/>
      <c r="AD61" s="92"/>
      <c r="AE61" s="92"/>
      <c r="AF61" s="317">
        <f>N61-K61</f>
        <v>-435.99999999997272</v>
      </c>
      <c r="AG61" s="247">
        <f>N61/K61</f>
        <v>0.73349633251835411</v>
      </c>
      <c r="AH61" s="382"/>
    </row>
    <row r="62" spans="1:34" ht="15" customHeight="1">
      <c r="A62" s="400"/>
      <c r="B62" s="250" t="s">
        <v>132</v>
      </c>
      <c r="C62" s="251"/>
      <c r="D62" s="257" t="s">
        <v>136</v>
      </c>
      <c r="E62" s="253"/>
      <c r="F62" s="250">
        <f>VLOOKUP(D62,廠價表!$C$1:$E$43,3,0)</f>
        <v>28.26</v>
      </c>
      <c r="G62" s="179">
        <v>1682</v>
      </c>
      <c r="H62" s="369">
        <f>F62*G62</f>
        <v>47533.32</v>
      </c>
      <c r="I62" s="92"/>
      <c r="J62" s="370">
        <f>VLOOKUP(D62,產線配置圖!$A$3:$C$40,2,0)</f>
        <v>11</v>
      </c>
      <c r="K62" s="371">
        <f>VLOOKUP(D62,產線配置圖!$A$3:$C$40,3,0)</f>
        <v>1636</v>
      </c>
      <c r="L62" s="372">
        <f>K62/J62</f>
        <v>148.72727272727272</v>
      </c>
      <c r="M62" s="373">
        <v>11</v>
      </c>
      <c r="N62" s="371">
        <f>G62/W62*60</f>
        <v>1576.8750000000175</v>
      </c>
      <c r="O62" s="372">
        <f>N62/M62</f>
        <v>143.35227272727431</v>
      </c>
      <c r="P62" s="374">
        <f>M62-J62</f>
        <v>0</v>
      </c>
      <c r="Q62" s="255">
        <f>O62-L62</f>
        <v>-5.3749999999984084</v>
      </c>
      <c r="R62" s="85">
        <f>O62/L62</f>
        <v>0.9638600244498885</v>
      </c>
      <c r="S62" s="393"/>
      <c r="T62" s="22">
        <v>0.54930555555555605</v>
      </c>
      <c r="U62" s="22">
        <v>0.59375</v>
      </c>
      <c r="V62" s="30">
        <f>(T62-U61)*24*60</f>
        <v>86.000000000001208</v>
      </c>
      <c r="W62" s="248">
        <f t="shared" si="12"/>
        <v>63.999999999999289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-59.124999999982492</v>
      </c>
      <c r="AG62" s="247">
        <f>N62/K62</f>
        <v>0.9638600244498885</v>
      </c>
      <c r="AH62" s="382"/>
    </row>
    <row r="63" spans="1:34" ht="15" customHeight="1">
      <c r="A63" s="400"/>
      <c r="B63" s="75"/>
      <c r="C63" s="86"/>
      <c r="D63" s="59"/>
      <c r="E63" s="87"/>
      <c r="F63" s="75"/>
      <c r="G63" s="366"/>
      <c r="H63" s="231"/>
      <c r="I63" s="232"/>
      <c r="J63" s="367"/>
      <c r="K63" s="234"/>
      <c r="L63" s="235"/>
      <c r="M63" s="233"/>
      <c r="N63" s="234"/>
      <c r="O63" s="235"/>
      <c r="P63" s="368"/>
      <c r="Q63" s="83"/>
      <c r="R63" s="72"/>
      <c r="S63" s="393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101"/>
      <c r="C64" s="102"/>
      <c r="D64" s="103"/>
      <c r="E64" s="104"/>
      <c r="F64" s="75"/>
      <c r="G64" s="202"/>
      <c r="H64" s="78"/>
      <c r="I64" s="30"/>
      <c r="J64" s="79"/>
      <c r="K64" s="80"/>
      <c r="L64" s="81"/>
      <c r="M64" s="108"/>
      <c r="N64" s="234"/>
      <c r="O64" s="235"/>
      <c r="P64" s="74"/>
      <c r="Q64" s="83"/>
      <c r="R64" s="72"/>
      <c r="S64" s="393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101"/>
      <c r="C65" s="102"/>
      <c r="D65" s="103"/>
      <c r="E65" s="104"/>
      <c r="F65" s="75"/>
      <c r="G65" s="202"/>
      <c r="H65" s="78"/>
      <c r="I65" s="30"/>
      <c r="J65" s="79"/>
      <c r="K65" s="80"/>
      <c r="L65" s="81"/>
      <c r="M65" s="108"/>
      <c r="N65" s="234"/>
      <c r="O65" s="235"/>
      <c r="P65" s="74"/>
      <c r="Q65" s="83"/>
      <c r="R65" s="72"/>
      <c r="S65" s="393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30"/>
      <c r="J66" s="79"/>
      <c r="K66" s="80"/>
      <c r="L66" s="81"/>
      <c r="M66" s="108"/>
      <c r="N66" s="234"/>
      <c r="O66" s="96"/>
      <c r="P66" s="97"/>
      <c r="Q66" s="98"/>
      <c r="R66" s="204"/>
      <c r="S66" s="393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108"/>
      <c r="N67" s="234"/>
      <c r="O67" s="96"/>
      <c r="P67" s="97"/>
      <c r="Q67" s="98"/>
      <c r="R67" s="204"/>
      <c r="S67" s="393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30">AVERAGE(J59:J68)</f>
        <v>12</v>
      </c>
      <c r="K69" s="240">
        <f t="shared" si="30"/>
        <v>1636</v>
      </c>
      <c r="L69" s="268">
        <f t="shared" si="30"/>
        <v>138.81212121212121</v>
      </c>
      <c r="M69" s="240">
        <f t="shared" si="30"/>
        <v>12</v>
      </c>
      <c r="N69" s="240">
        <f t="shared" si="30"/>
        <v>1428.0061400293387</v>
      </c>
      <c r="O69" s="268">
        <f t="shared" si="30"/>
        <v>120.32196580911878</v>
      </c>
      <c r="P69" s="269">
        <f>M69-J69</f>
        <v>0</v>
      </c>
      <c r="Q69" s="222">
        <f>N69-K69</f>
        <v>-207.99385997066133</v>
      </c>
      <c r="R69" s="123">
        <f>O69/L69</f>
        <v>0.86679725630914239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-207.99385997066133</v>
      </c>
      <c r="AG69" s="124">
        <f>N69/K69</f>
        <v>0.87286438877098937</v>
      </c>
      <c r="AH69" s="384"/>
    </row>
    <row r="70" spans="1:36" ht="15" customHeight="1">
      <c r="A70" s="389" t="s">
        <v>55</v>
      </c>
      <c r="B70" s="129" t="s">
        <v>132</v>
      </c>
      <c r="C70" s="129"/>
      <c r="D70" s="131" t="s">
        <v>136</v>
      </c>
      <c r="E70" s="132"/>
      <c r="F70" s="129">
        <f>VLOOKUP(D70,廠價表!$C$1:$E$43,3,0)</f>
        <v>28.26</v>
      </c>
      <c r="G70" s="55">
        <v>1660</v>
      </c>
      <c r="H70" s="243">
        <f>F70*G70</f>
        <v>46911.600000000006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10</v>
      </c>
      <c r="N70" s="137">
        <f>G70/W70*60</f>
        <v>1443.4782608695855</v>
      </c>
      <c r="O70" s="138">
        <f>N70/M70</f>
        <v>144.34782608695855</v>
      </c>
      <c r="P70" s="56">
        <f>M70-J70</f>
        <v>-1</v>
      </c>
      <c r="Q70" s="230">
        <f>O70-L70</f>
        <v>-4.3794466403141712</v>
      </c>
      <c r="R70" s="52">
        <f>O70/L70</f>
        <v>0.97055384288297319</v>
      </c>
      <c r="S70" s="392">
        <f>R79</f>
        <v>0.92834947970154236</v>
      </c>
      <c r="T70" s="245">
        <v>0.29166666666666702</v>
      </c>
      <c r="U70" s="245">
        <v>0.33958333333333302</v>
      </c>
      <c r="V70" s="55"/>
      <c r="W70" s="54">
        <f t="shared" si="12"/>
        <v>68.999999999999034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-192.52173913041452</v>
      </c>
      <c r="AG70" s="246">
        <f>N70/K70</f>
        <v>0.88232167534815742</v>
      </c>
      <c r="AH70" s="380">
        <f>AG79</f>
        <v>0.77438445902766351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250">
        <f>VLOOKUP(D71,廠價表!$C$1:$E$43,3,0)</f>
        <v>52.21</v>
      </c>
      <c r="G71" s="30">
        <v>3204</v>
      </c>
      <c r="H71" s="254">
        <f t="shared" ref="H71:H72" si="31">F71*G71</f>
        <v>167280.84</v>
      </c>
      <c r="I71" s="182"/>
      <c r="J71" s="106">
        <f>VLOOKUP(D71,產線配置圖!$A$3:$C$40,2,0)</f>
        <v>18</v>
      </c>
      <c r="K71" s="107">
        <f>VLOOKUP(D71,產線配置圖!$A$3:$C$40,3,0)</f>
        <v>1636</v>
      </c>
      <c r="L71" s="238">
        <f t="shared" ref="L71:L72" si="32">K71/J71</f>
        <v>90.888888888888886</v>
      </c>
      <c r="M71" s="82">
        <v>13</v>
      </c>
      <c r="N71" s="107">
        <f t="shared" ref="N71:N72" si="33">G71/W71*60</f>
        <v>1050.4918032786913</v>
      </c>
      <c r="O71" s="238">
        <f t="shared" ref="O71:O72" si="34">N71/M71</f>
        <v>80.80706179066857</v>
      </c>
      <c r="P71" s="111">
        <f t="shared" ref="P71:P72" si="35">M71-J71</f>
        <v>-5</v>
      </c>
      <c r="Q71" s="255">
        <f t="shared" ref="Q71:Q72" si="36">O71-L71</f>
        <v>-10.081827098220316</v>
      </c>
      <c r="R71" s="85">
        <f t="shared" ref="R71:R72" si="37">O71/L71</f>
        <v>0.88907525197557113</v>
      </c>
      <c r="S71" s="393"/>
      <c r="T71" s="22">
        <v>0.35763888888888901</v>
      </c>
      <c r="U71" s="22">
        <v>0.484722222222222</v>
      </c>
      <c r="V71" s="30">
        <f t="shared" ref="V71:V72" si="38">(T71-U70)*24*60</f>
        <v>26.000000000000625</v>
      </c>
      <c r="W71" s="73">
        <f t="shared" si="12"/>
        <v>182.99999999999952</v>
      </c>
      <c r="X71" s="271"/>
      <c r="Y71" s="293"/>
      <c r="Z71" s="90"/>
      <c r="AA71" s="90"/>
      <c r="AB71" s="385" t="s">
        <v>175</v>
      </c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 t="s">
        <v>81</v>
      </c>
      <c r="C72" s="76"/>
      <c r="D72" s="59" t="s">
        <v>161</v>
      </c>
      <c r="E72" s="77"/>
      <c r="F72" s="250">
        <f>VLOOKUP(D72,廠價表!$C$1:$E$43,3,0)</f>
        <v>52.21</v>
      </c>
      <c r="G72" s="202">
        <v>3441</v>
      </c>
      <c r="H72" s="254">
        <f t="shared" si="31"/>
        <v>179654.61000000002</v>
      </c>
      <c r="I72" s="182"/>
      <c r="J72" s="106">
        <f>VLOOKUP(D72,產線配置圖!$A$3:$C$40,2,0)</f>
        <v>18</v>
      </c>
      <c r="K72" s="107">
        <f>VLOOKUP(D72,產線配置圖!$A$3:$C$40,3,0)</f>
        <v>1636</v>
      </c>
      <c r="L72" s="238">
        <f t="shared" si="32"/>
        <v>90.888888888888886</v>
      </c>
      <c r="M72" s="82">
        <v>16</v>
      </c>
      <c r="N72" s="107">
        <f t="shared" si="33"/>
        <v>1306.7088607594956</v>
      </c>
      <c r="O72" s="238">
        <f t="shared" si="34"/>
        <v>81.669303797468473</v>
      </c>
      <c r="P72" s="111">
        <f t="shared" si="35"/>
        <v>-2</v>
      </c>
      <c r="Q72" s="255">
        <f t="shared" si="36"/>
        <v>-9.2195850914204129</v>
      </c>
      <c r="R72" s="85">
        <f t="shared" si="37"/>
        <v>0.89856202222153581</v>
      </c>
      <c r="S72" s="393"/>
      <c r="T72" s="22">
        <v>0.54305555555555596</v>
      </c>
      <c r="U72" s="22">
        <v>0.65277777777777801</v>
      </c>
      <c r="V72" s="30">
        <f t="shared" si="38"/>
        <v>84.000000000000895</v>
      </c>
      <c r="W72" s="73">
        <f t="shared" si="12"/>
        <v>157.99999999999977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39">AVERAGE(J70:J78)</f>
        <v>15.666666666666666</v>
      </c>
      <c r="K79" s="240">
        <f t="shared" si="39"/>
        <v>1636</v>
      </c>
      <c r="L79" s="268">
        <f t="shared" si="39"/>
        <v>110.16835016835016</v>
      </c>
      <c r="M79" s="240">
        <f t="shared" si="39"/>
        <v>13</v>
      </c>
      <c r="N79" s="240">
        <f t="shared" si="39"/>
        <v>1266.8929749692575</v>
      </c>
      <c r="O79" s="268">
        <f t="shared" si="39"/>
        <v>102.27473055836519</v>
      </c>
      <c r="P79" s="269">
        <f>M79-J79</f>
        <v>-2.6666666666666661</v>
      </c>
      <c r="Q79" s="222">
        <f>N79-K79</f>
        <v>-369.10702503074253</v>
      </c>
      <c r="R79" s="223">
        <f>O79/L79</f>
        <v>0.92834947970154236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-369.10702503074253</v>
      </c>
      <c r="AG79" s="124">
        <f>N79/K79</f>
        <v>0.77438445902766351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1">
    <mergeCell ref="J1:L2"/>
    <mergeCell ref="M1:O2"/>
    <mergeCell ref="A2:B2"/>
    <mergeCell ref="A3:A4"/>
    <mergeCell ref="B3:B4"/>
    <mergeCell ref="D3:E4"/>
    <mergeCell ref="F3:F4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16:AH26"/>
    <mergeCell ref="AB24:AC24"/>
    <mergeCell ref="AH27:AH37"/>
    <mergeCell ref="AB28:AC28"/>
    <mergeCell ref="AB29:AC29"/>
    <mergeCell ref="AB30:AC30"/>
    <mergeCell ref="AB31:AC31"/>
    <mergeCell ref="AB36:AC36"/>
    <mergeCell ref="S5:S15"/>
    <mergeCell ref="AH5:AH15"/>
    <mergeCell ref="AB6:AC6"/>
    <mergeCell ref="AB7:AC7"/>
    <mergeCell ref="AB8:AC8"/>
    <mergeCell ref="AB9:AC9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B17:AC17"/>
    <mergeCell ref="AB18:AC18"/>
    <mergeCell ref="AB19:AC19"/>
    <mergeCell ref="AB20:AC20"/>
    <mergeCell ref="AB22:AC22"/>
    <mergeCell ref="AB13:AC13"/>
    <mergeCell ref="AB14:AC14"/>
    <mergeCell ref="AB15:AC15"/>
    <mergeCell ref="AB10:AC10"/>
    <mergeCell ref="AB5:AC5"/>
    <mergeCell ref="A5:A15"/>
    <mergeCell ref="AB23:AC23"/>
    <mergeCell ref="AB25:AC25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B12:AC12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177" priority="1" operator="greaterThan">
      <formula>0</formula>
    </cfRule>
  </conditionalFormatting>
  <conditionalFormatting sqref="Q5:Q79 AF5:AF79">
    <cfRule type="cellIs" dxfId="176" priority="4" operator="lessThan">
      <formula>0</formula>
    </cfRule>
  </conditionalFormatting>
  <conditionalFormatting sqref="R5:R79 AG5:AG79">
    <cfRule type="cellIs" dxfId="175" priority="2" operator="greaterThan">
      <formula>1</formula>
    </cfRule>
    <cfRule type="cellIs" dxfId="174" priority="3" operator="lessThan">
      <formula>0.8</formula>
    </cfRule>
  </conditionalFormatting>
  <conditionalFormatting sqref="S5:S11 S19:S25 AH19:AH25 S37:S62 AH59:AH62 S69:S76 AH69:AH76">
    <cfRule type="cellIs" dxfId="173" priority="7" operator="lessThan">
      <formula>0.8</formula>
    </cfRule>
  </conditionalFormatting>
  <conditionalFormatting sqref="S79">
    <cfRule type="cellIs" dxfId="172" priority="5" operator="lessThan">
      <formula>0.8</formula>
    </cfRule>
  </conditionalFormatting>
  <conditionalFormatting sqref="AH5:AH8 S15:S16 AH15:AH16 AH49 AH79">
    <cfRule type="cellIs" dxfId="171" priority="9" operator="lessThan">
      <formula>0.8</formula>
    </cfRule>
  </conditionalFormatting>
  <conditionalFormatting sqref="AH27 S27:S28">
    <cfRule type="cellIs" dxfId="1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E736-F6C5-4B17-83E9-7C899A5F3340}">
  <dimension ref="B1:O26"/>
  <sheetViews>
    <sheetView topLeftCell="B1" zoomScale="70" zoomScaleNormal="70" workbookViewId="0">
      <selection activeCell="N16" sqref="N1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46279</v>
      </c>
      <c r="E3" s="504"/>
      <c r="F3" s="3" t="s">
        <v>72</v>
      </c>
      <c r="G3" s="505">
        <f>'0914'!E1</f>
        <v>61422</v>
      </c>
      <c r="H3" s="505"/>
      <c r="I3" s="3" t="s">
        <v>2</v>
      </c>
      <c r="J3" s="506">
        <f>'0914'!G1</f>
        <v>2843462.0829999996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128.9894880096561</v>
      </c>
      <c r="G6" s="501"/>
      <c r="H6" s="502">
        <f>AVERAGE(D13:H13)</f>
        <v>127.59430678254209</v>
      </c>
      <c r="I6" s="502"/>
      <c r="J6" s="502">
        <f>AVERAGE(I13:J13)</f>
        <v>132.47744107744109</v>
      </c>
      <c r="K6" s="502"/>
      <c r="L6" s="492">
        <f>'0914'!Z2</f>
        <v>0</v>
      </c>
      <c r="M6" s="493">
        <f>'0914'!AA2</f>
        <v>0</v>
      </c>
      <c r="N6" s="494">
        <f>'0914'!AD2</f>
        <v>0</v>
      </c>
      <c r="O6" s="493">
        <f>'0914'!AE2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117.45332702413548</v>
      </c>
      <c r="G7" s="490"/>
      <c r="H7" s="491">
        <f>AVERAGE(D14:H14)</f>
        <v>117.25536960272753</v>
      </c>
      <c r="I7" s="491"/>
      <c r="J7" s="491">
        <f>AVERAGE(I14:J14)</f>
        <v>117.94822057765535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0.91138767817534405</v>
      </c>
      <c r="G8" s="496"/>
      <c r="H8" s="496">
        <f>AVERAGE(D15:H15)</f>
        <v>0.92027283297576301</v>
      </c>
      <c r="I8" s="496"/>
      <c r="J8" s="496">
        <f>AVERAGE(I15:J15)</f>
        <v>0.88917479117429654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VALUE('0914'!L15)</f>
        <v>163.80494505494505</v>
      </c>
      <c r="E13" s="13">
        <f>VALUE('0914'!L26)</f>
        <v>171.42857142857142</v>
      </c>
      <c r="F13" s="13">
        <f>VALUE('0914'!L37)</f>
        <v>99.358660130718945</v>
      </c>
      <c r="G13" s="13">
        <f>VALUE('0914'!L48)</f>
        <v>96.300925925925924</v>
      </c>
      <c r="H13" s="13">
        <f>VALUE('0914'!L58)</f>
        <v>107.07843137254902</v>
      </c>
      <c r="I13" s="13">
        <f>VALUE('0914'!L69)</f>
        <v>135.50707070707071</v>
      </c>
      <c r="J13" s="13">
        <f>'0914'!L79</f>
        <v>129.44781144781143</v>
      </c>
    </row>
    <row r="14" spans="2:15" ht="39.950000000000003" customHeight="1">
      <c r="B14" s="484"/>
      <c r="C14" s="12" t="s">
        <v>100</v>
      </c>
      <c r="D14" s="13">
        <f>VALUE('0914'!O15)</f>
        <v>147.87168740501573</v>
      </c>
      <c r="E14" s="13">
        <f>VALUE('0914'!O26)</f>
        <v>158.15049986534424</v>
      </c>
      <c r="F14" s="13">
        <f>VALUE('0914'!O37)</f>
        <v>89.461419213237036</v>
      </c>
      <c r="G14" s="13">
        <f>VALUE('0914'!O48)</f>
        <v>89.834620136790917</v>
      </c>
      <c r="H14" s="13">
        <f>VALUE('0914'!O58)</f>
        <v>100.95862139324964</v>
      </c>
      <c r="I14" s="13">
        <f>VALUE('0914'!O69)</f>
        <v>127.31572853312069</v>
      </c>
      <c r="J14" s="13">
        <f>'0914'!O79</f>
        <v>108.58071262219001</v>
      </c>
    </row>
    <row r="15" spans="2:15" ht="39.950000000000003" customHeight="1">
      <c r="B15" s="485"/>
      <c r="C15" s="10" t="s">
        <v>26</v>
      </c>
      <c r="D15" s="14">
        <f t="shared" ref="D15:I15" si="0">D14/D13</f>
        <v>0.90273030130693044</v>
      </c>
      <c r="E15" s="14">
        <f t="shared" si="0"/>
        <v>0.92254458254784144</v>
      </c>
      <c r="F15" s="14">
        <f t="shared" si="0"/>
        <v>0.90038874412697567</v>
      </c>
      <c r="G15" s="14">
        <f t="shared" si="0"/>
        <v>0.93285312963544242</v>
      </c>
      <c r="H15" s="14">
        <f t="shared" si="0"/>
        <v>0.94284740726162453</v>
      </c>
      <c r="I15" s="14">
        <f t="shared" si="0"/>
        <v>0.93955044462840276</v>
      </c>
      <c r="J15" s="15">
        <f>'0914'!S70</f>
        <v>0.83879913772019032</v>
      </c>
    </row>
    <row r="16" spans="2:15" ht="17.25" customHeight="1">
      <c r="B16" s="486" t="s">
        <v>101</v>
      </c>
      <c r="C16" s="10" t="s">
        <v>34</v>
      </c>
      <c r="D16" s="16">
        <f>'0914'!T5</f>
        <v>0.29861111111111099</v>
      </c>
      <c r="E16" s="16">
        <f>'0914'!T16</f>
        <v>0.29861111111111099</v>
      </c>
      <c r="F16" s="16">
        <f>'0914'!T27</f>
        <v>0.29166666666666702</v>
      </c>
      <c r="G16" s="16">
        <f>'0914'!T38</f>
        <v>0.33472222222222198</v>
      </c>
      <c r="H16" s="16">
        <f>'0914'!T49</f>
        <v>0.29166666666666702</v>
      </c>
      <c r="I16" s="16">
        <f>'0914'!T59</f>
        <v>0.29513888888888901</v>
      </c>
      <c r="J16" s="17">
        <f>'0914'!T70</f>
        <v>0.3125</v>
      </c>
    </row>
    <row r="17" spans="2:10" ht="17.25" customHeight="1">
      <c r="B17" s="487"/>
      <c r="C17" s="10" t="s">
        <v>35</v>
      </c>
      <c r="D17" s="16">
        <v>0.57777777777777795</v>
      </c>
      <c r="E17" s="183">
        <v>0.64861111111111103</v>
      </c>
      <c r="F17" s="19">
        <v>0.65763888888888899</v>
      </c>
      <c r="G17" s="328">
        <v>0.69722222222222197</v>
      </c>
      <c r="H17" s="19">
        <v>0.59375</v>
      </c>
      <c r="I17" s="110">
        <v>0.49444444444444402</v>
      </c>
      <c r="J17" s="22">
        <v>0.64722222222222203</v>
      </c>
    </row>
    <row r="18" spans="2:10" ht="17.25" customHeight="1">
      <c r="B18" s="488" t="s">
        <v>102</v>
      </c>
      <c r="C18" s="330" t="s">
        <v>36</v>
      </c>
      <c r="D18" s="359">
        <f>'0914'!Z15</f>
        <v>0</v>
      </c>
      <c r="E18" s="360">
        <f>'0914'!Z26</f>
        <v>0</v>
      </c>
      <c r="F18" s="360">
        <f>'0914'!Z37</f>
        <v>0</v>
      </c>
      <c r="G18" s="361">
        <f>'0914'!Z48</f>
        <v>0</v>
      </c>
      <c r="H18" s="361">
        <f>'0914'!Z58</f>
        <v>0</v>
      </c>
      <c r="I18" s="360">
        <f>'0914'!Z69</f>
        <v>0</v>
      </c>
      <c r="J18" s="360">
        <f>'0914'!AA79</f>
        <v>0</v>
      </c>
    </row>
    <row r="19" spans="2:10" ht="17.25" customHeight="1">
      <c r="B19" s="489"/>
      <c r="C19" s="330" t="s">
        <v>37</v>
      </c>
      <c r="D19" s="359">
        <f>'0914'!AA15</f>
        <v>0</v>
      </c>
      <c r="E19" s="360">
        <f>'0914'!AA26</f>
        <v>0</v>
      </c>
      <c r="F19" s="360">
        <f>'0914'!AA37</f>
        <v>0</v>
      </c>
      <c r="G19" s="361">
        <f>'0914'!AA48</f>
        <v>0</v>
      </c>
      <c r="H19" s="361">
        <f>'0914'!AA58</f>
        <v>0</v>
      </c>
      <c r="I19" s="360">
        <f>'0914'!AA69</f>
        <v>0</v>
      </c>
      <c r="J19" s="360">
        <f>'0914'!AB79</f>
        <v>0</v>
      </c>
    </row>
    <row r="20" spans="2:10" ht="17.25" customHeight="1">
      <c r="B20" s="488" t="s">
        <v>103</v>
      </c>
      <c r="C20" s="330" t="s">
        <v>36</v>
      </c>
      <c r="D20" s="359">
        <f>'0914'!AD15</f>
        <v>0</v>
      </c>
      <c r="E20" s="360">
        <f>'0914'!AD26</f>
        <v>0</v>
      </c>
      <c r="F20" s="360">
        <f>'0914'!AD37</f>
        <v>0</v>
      </c>
      <c r="G20" s="361">
        <f>'0914'!AD48</f>
        <v>0</v>
      </c>
      <c r="H20" s="361">
        <f>'0914'!AD58</f>
        <v>0</v>
      </c>
      <c r="I20" s="360">
        <f>'0914'!AD69</f>
        <v>0</v>
      </c>
      <c r="J20" s="360">
        <f>'0914'!AD79</f>
        <v>0</v>
      </c>
    </row>
    <row r="21" spans="2:10" ht="17.25" customHeight="1">
      <c r="B21" s="489"/>
      <c r="C21" s="330" t="s">
        <v>85</v>
      </c>
      <c r="D21" s="359">
        <f>'0914'!AE15</f>
        <v>0</v>
      </c>
      <c r="E21" s="360">
        <f>'0914'!AE26</f>
        <v>0</v>
      </c>
      <c r="F21" s="360">
        <f>'0914'!AE37</f>
        <v>0</v>
      </c>
      <c r="G21" s="361">
        <f>'0914'!AE48</f>
        <v>0</v>
      </c>
      <c r="H21" s="361">
        <f>'0914'!AE58</f>
        <v>0</v>
      </c>
      <c r="I21" s="360">
        <f>'0914'!AE69</f>
        <v>0</v>
      </c>
      <c r="J21" s="360">
        <f>'0914'!AE79</f>
        <v>0</v>
      </c>
    </row>
    <row r="22" spans="2:10" ht="17.25" customHeight="1">
      <c r="B22" s="471" t="s">
        <v>104</v>
      </c>
      <c r="C22" s="472"/>
      <c r="D22" s="23">
        <f>VALUE('0914'!M15)</f>
        <v>13.75</v>
      </c>
      <c r="E22" s="23">
        <f>VALUE('0914'!M26)</f>
        <v>13.2</v>
      </c>
      <c r="F22" s="23">
        <f>VALUE('0914'!M37)</f>
        <v>17</v>
      </c>
      <c r="G22" s="23">
        <f>VALUE('0914'!M48)</f>
        <v>14.666666666666666</v>
      </c>
      <c r="H22" s="23">
        <f>VALUE('0914'!M58)</f>
        <v>15.333333333333334</v>
      </c>
      <c r="I22" s="23">
        <f>VALUE('0914'!M69)</f>
        <v>12.333333333333334</v>
      </c>
      <c r="J22" s="23">
        <f>'0914'!M79</f>
        <v>8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1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40FE-189A-4E2B-8C60-126E3C400479}">
  <sheetPr>
    <tabColor theme="9" tint="0.79998168889431442"/>
  </sheetPr>
  <dimension ref="A1:AJ92"/>
  <sheetViews>
    <sheetView zoomScale="69" zoomScaleNormal="69" workbookViewId="0">
      <pane xSplit="5" ySplit="4" topLeftCell="F7" activePane="bottomRight" state="frozen"/>
      <selection activeCell="N16" sqref="N16"/>
      <selection pane="topRight" activeCell="N16" sqref="N16"/>
      <selection pane="bottomLeft" activeCell="N16" sqref="N16"/>
      <selection pane="bottomRight" activeCell="N16" sqref="N1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61422</v>
      </c>
      <c r="F1" s="30" t="s">
        <v>2</v>
      </c>
      <c r="G1" s="31">
        <f>SUM(H5:H79)</f>
        <v>2843462.0829999996</v>
      </c>
      <c r="H1" s="32" t="s">
        <v>3</v>
      </c>
      <c r="I1" s="33">
        <f>M15+M26+M48+M58+M69+M79+M37</f>
        <v>94.283333333333331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176</v>
      </c>
      <c r="B2" s="462"/>
      <c r="C2" s="28"/>
      <c r="D2" s="28" t="s">
        <v>14</v>
      </c>
      <c r="E2" s="35">
        <f>AVERAGE(O15,O26,O37,O48,O58,O69,O79)</f>
        <v>117.45332702413548</v>
      </c>
      <c r="F2" s="36" t="s">
        <v>15</v>
      </c>
      <c r="G2" s="37">
        <f>G1/E1</f>
        <v>46.293869997720684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0</v>
      </c>
      <c r="AA2" s="339">
        <f>AA15+AA26+AA37+AA48+AA58+AA69+AA79</f>
        <v>0</v>
      </c>
      <c r="AB2" s="433"/>
      <c r="AC2" s="433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1643</v>
      </c>
      <c r="H5" s="43">
        <f>F5*G5</f>
        <v>93437.409999999989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2053.7500000000214</v>
      </c>
      <c r="O5" s="47">
        <f>N5/M5</f>
        <v>146.69642857143009</v>
      </c>
      <c r="P5" s="49">
        <f>M5-J5</f>
        <v>0</v>
      </c>
      <c r="Q5" s="50">
        <f>O5-L5</f>
        <v>-14.017857142855632</v>
      </c>
      <c r="R5" s="51">
        <f>O5/L5</f>
        <v>0.91277777777778712</v>
      </c>
      <c r="S5" s="392">
        <f>R15</f>
        <v>0.90273030130693044</v>
      </c>
      <c r="T5" s="319">
        <v>0.29861111111111099</v>
      </c>
      <c r="U5" s="320">
        <v>0.33194444444444399</v>
      </c>
      <c r="V5" s="53"/>
      <c r="W5" s="54">
        <f t="shared" ref="W5:W14" si="0">(U5-T5)*24*60</f>
        <v>47.99999999999951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-196.24999999997863</v>
      </c>
      <c r="AG5" s="52">
        <f t="shared" ref="AG5:AG11" si="2">N5/K5</f>
        <v>0.91277777777778724</v>
      </c>
      <c r="AH5" s="380">
        <f>AG15</f>
        <v>0.90456966607565337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1937</v>
      </c>
      <c r="H6" s="63">
        <f>F6*G6</f>
        <v>112675.29000000001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1815.9375000000177</v>
      </c>
      <c r="O6" s="67">
        <f>N6/M6</f>
        <v>139.68750000000136</v>
      </c>
      <c r="P6" s="69">
        <f>M6-J6</f>
        <v>0</v>
      </c>
      <c r="Q6" s="70">
        <f>O6-L6</f>
        <v>-33.389423076921702</v>
      </c>
      <c r="R6" s="71">
        <f>O6/L6</f>
        <v>0.80708333333334126</v>
      </c>
      <c r="S6" s="393"/>
      <c r="T6" s="16">
        <v>0.34027777777777801</v>
      </c>
      <c r="U6" s="16">
        <v>0.38472222222222202</v>
      </c>
      <c r="V6" s="30">
        <f>(T6-U5)*24*60</f>
        <v>12.000000000000997</v>
      </c>
      <c r="W6" s="73">
        <f t="shared" si="0"/>
        <v>63.999999999999375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-434.06249999998226</v>
      </c>
      <c r="AG6" s="72">
        <f t="shared" si="2"/>
        <v>0.80708333333334126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4597</v>
      </c>
      <c r="H7" s="78">
        <f>F7*G7</f>
        <v>225896.58000000002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2154.8437499999968</v>
      </c>
      <c r="O7" s="81">
        <f>N7/M7</f>
        <v>153.9174107142855</v>
      </c>
      <c r="P7" s="74">
        <f>M7-J7</f>
        <v>0</v>
      </c>
      <c r="Q7" s="83">
        <f>O7-L7</f>
        <v>-6.7968750000002274</v>
      </c>
      <c r="R7" s="72">
        <f>O7/L7</f>
        <v>0.95770833333333194</v>
      </c>
      <c r="S7" s="393"/>
      <c r="T7" s="18">
        <v>0.390277777777778</v>
      </c>
      <c r="U7" s="18">
        <v>0.47916666666666702</v>
      </c>
      <c r="V7" s="30">
        <f>(T7-U6)*24*60</f>
        <v>8.0000000000006111</v>
      </c>
      <c r="W7" s="73">
        <f t="shared" si="0"/>
        <v>128.00000000000017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-95.156250000003183</v>
      </c>
      <c r="AG7" s="72">
        <f t="shared" si="2"/>
        <v>0.95770833333333194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1658</v>
      </c>
      <c r="H8" s="78">
        <f>F8*G8</f>
        <v>81474.12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2116.5957446808438</v>
      </c>
      <c r="O8" s="81">
        <f>N8/M8</f>
        <v>151.18541033434599</v>
      </c>
      <c r="P8" s="74">
        <f>M8-J8</f>
        <v>0</v>
      </c>
      <c r="Q8" s="83">
        <f>O8-L8</f>
        <v>-9.5288753799397341</v>
      </c>
      <c r="R8" s="72">
        <f>O8/L8</f>
        <v>0.94070921985815281</v>
      </c>
      <c r="S8" s="393"/>
      <c r="T8" s="16">
        <v>0.54513888888888895</v>
      </c>
      <c r="U8" s="16">
        <v>0.57777777777777795</v>
      </c>
      <c r="V8" s="30">
        <f>(T8-U7)*24*60</f>
        <v>94.999999999999588</v>
      </c>
      <c r="W8" s="73">
        <f t="shared" si="0"/>
        <v>47.000000000000156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-133.40425531915616</v>
      </c>
      <c r="AG8" s="72">
        <f t="shared" si="2"/>
        <v>0.94070921985815281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13.75</v>
      </c>
      <c r="K15" s="120">
        <f t="shared" si="3"/>
        <v>2250</v>
      </c>
      <c r="L15" s="117">
        <f t="shared" si="3"/>
        <v>163.80494505494505</v>
      </c>
      <c r="M15" s="120">
        <f t="shared" si="3"/>
        <v>13.75</v>
      </c>
      <c r="N15" s="120">
        <f t="shared" si="3"/>
        <v>2035.2817486702202</v>
      </c>
      <c r="O15" s="117">
        <f t="shared" si="3"/>
        <v>147.87168740501573</v>
      </c>
      <c r="P15" s="121">
        <f>M15-J15</f>
        <v>0</v>
      </c>
      <c r="Q15" s="122">
        <f>O15-L15</f>
        <v>-15.933257649929317</v>
      </c>
      <c r="R15" s="123">
        <f>O15/L15</f>
        <v>0.90273030130693044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-214.71825132977983</v>
      </c>
      <c r="AG15" s="124">
        <f>N15/K15</f>
        <v>0.90456966607565337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1336</v>
      </c>
      <c r="H16" s="134">
        <f>F16*G16</f>
        <v>75978.319999999992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2109.4736842105158</v>
      </c>
      <c r="O16" s="141">
        <f>N16/M16</f>
        <v>150.67669172932256</v>
      </c>
      <c r="P16" s="142">
        <f>M16-J16</f>
        <v>0</v>
      </c>
      <c r="Q16" s="143">
        <f>O16-L16</f>
        <v>-10.037593984963166</v>
      </c>
      <c r="R16" s="144">
        <f>O16/L16</f>
        <v>0.93754385964911813</v>
      </c>
      <c r="S16" s="420">
        <f>R26</f>
        <v>0.92254458254784144</v>
      </c>
      <c r="T16" s="145">
        <v>0.29861111111111099</v>
      </c>
      <c r="U16" s="145">
        <v>0.32500000000000001</v>
      </c>
      <c r="V16" s="135"/>
      <c r="W16" s="146">
        <f t="shared" ref="W16:W78" si="4">(U16-T16)*24*60</f>
        <v>38.000000000000185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-140.52631578948422</v>
      </c>
      <c r="AG16" s="52">
        <f>N16/K16</f>
        <v>0.93754385964911813</v>
      </c>
      <c r="AH16" s="380">
        <f>AG26</f>
        <v>0.92311553603580854</v>
      </c>
    </row>
    <row r="17" spans="1:34" ht="15" customHeight="1">
      <c r="A17" s="427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3761</v>
      </c>
      <c r="H17" s="78">
        <f>F17*G17</f>
        <v>190569.87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2169.8076923076983</v>
      </c>
      <c r="O17" s="96">
        <f>N17/M17</f>
        <v>154.98626373626416</v>
      </c>
      <c r="P17" s="97">
        <f>M17-J17</f>
        <v>0</v>
      </c>
      <c r="Q17" s="98">
        <f>O17-L17</f>
        <v>-5.7280219780215589</v>
      </c>
      <c r="R17" s="99">
        <f>O17/L17</f>
        <v>0.96435897435897699</v>
      </c>
      <c r="S17" s="421"/>
      <c r="T17" s="19">
        <v>0.33541666666666697</v>
      </c>
      <c r="U17" s="19">
        <v>0.40763888888888899</v>
      </c>
      <c r="V17" s="30">
        <f>(T17-U16)*24*60</f>
        <v>15.000000000000426</v>
      </c>
      <c r="W17" s="149">
        <f t="shared" si="4"/>
        <v>103.99999999999972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-80.192307692301711</v>
      </c>
      <c r="AG17" s="72">
        <f>N17/K17</f>
        <v>0.96435897435897699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2826</v>
      </c>
      <c r="H18" s="78">
        <f>F18*G18</f>
        <v>142402.14000000001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2067.8048780487984</v>
      </c>
      <c r="O18" s="96">
        <f>N18/M18</f>
        <v>172.31707317073321</v>
      </c>
      <c r="P18" s="97">
        <f>M18-J18</f>
        <v>0</v>
      </c>
      <c r="Q18" s="98">
        <f>O18-L18</f>
        <v>-15.18292682926679</v>
      </c>
      <c r="R18" s="99">
        <f>O18/L18</f>
        <v>0.91902439024391047</v>
      </c>
      <c r="S18" s="421"/>
      <c r="T18" s="19">
        <v>0.41875000000000001</v>
      </c>
      <c r="U18" s="19">
        <v>0.47569444444444398</v>
      </c>
      <c r="V18" s="30">
        <f>(T18-U17)*24*60</f>
        <v>15.999999999999863</v>
      </c>
      <c r="W18" s="149">
        <f t="shared" si="4"/>
        <v>81.999999999999304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-182.1951219512016</v>
      </c>
      <c r="AG18" s="72">
        <f>N18/K18</f>
        <v>0.91902439024391036</v>
      </c>
      <c r="AH18" s="382"/>
    </row>
    <row r="19" spans="1:34" ht="15" customHeight="1">
      <c r="A19" s="427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3204</v>
      </c>
      <c r="H19" s="78">
        <f>F19*G19</f>
        <v>161449.56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 t="shared" ref="N19:N20" si="5">G19/W19*60</f>
        <v>2045.1063829787131</v>
      </c>
      <c r="O19" s="96">
        <f t="shared" ref="O19:O20" si="6">N19/M19</f>
        <v>170.42553191489276</v>
      </c>
      <c r="P19" s="97">
        <f t="shared" ref="P19:P20" si="7">M19-J19</f>
        <v>0</v>
      </c>
      <c r="Q19" s="98">
        <f t="shared" ref="Q19:Q20" si="8">O19-L19</f>
        <v>-17.074468085107242</v>
      </c>
      <c r="R19" s="99">
        <f t="shared" ref="R19:R20" si="9">O19/L19</f>
        <v>0.90893617021276141</v>
      </c>
      <c r="S19" s="421"/>
      <c r="T19" s="19">
        <v>0.54513888888888895</v>
      </c>
      <c r="U19" s="19">
        <v>0.61041666666666705</v>
      </c>
      <c r="V19" s="30">
        <f>(T19-U18)*24*60</f>
        <v>100.00000000000077</v>
      </c>
      <c r="W19" s="149">
        <f t="shared" si="4"/>
        <v>94.000000000000469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-204.8936170212869</v>
      </c>
      <c r="AG19" s="72">
        <f>N19/K19</f>
        <v>0.90893617021276141</v>
      </c>
      <c r="AH19" s="383"/>
    </row>
    <row r="20" spans="1:34" ht="15" customHeight="1">
      <c r="A20" s="427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1395</v>
      </c>
      <c r="H20" s="78">
        <f>F20*G20</f>
        <v>70684.650000000009</v>
      </c>
      <c r="I20" s="30"/>
      <c r="J20" s="79">
        <v>14</v>
      </c>
      <c r="K20" s="80">
        <f>VLOOKUP(D20,產線配置圖!$A$3:$C$40,3,0)</f>
        <v>2250</v>
      </c>
      <c r="L20" s="81">
        <f>K20/J20</f>
        <v>160.71428571428572</v>
      </c>
      <c r="M20" s="148">
        <v>14</v>
      </c>
      <c r="N20" s="95">
        <f t="shared" si="5"/>
        <v>1992.8571428571195</v>
      </c>
      <c r="O20" s="96">
        <f t="shared" si="6"/>
        <v>142.34693877550853</v>
      </c>
      <c r="P20" s="97">
        <f t="shared" si="7"/>
        <v>0</v>
      </c>
      <c r="Q20" s="98">
        <f t="shared" si="8"/>
        <v>-18.367346938777189</v>
      </c>
      <c r="R20" s="99">
        <f t="shared" si="9"/>
        <v>0.88571428571427524</v>
      </c>
      <c r="S20" s="421"/>
      <c r="T20" s="19">
        <v>0.61944444444444402</v>
      </c>
      <c r="U20" s="19">
        <v>0.64861111111111103</v>
      </c>
      <c r="V20" s="30">
        <f>(T20-U19)*24*60</f>
        <v>12.999999999998835</v>
      </c>
      <c r="W20" s="149">
        <f t="shared" si="4"/>
        <v>42.00000000000049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10">AVERAGE(J16:J25)</f>
        <v>13.2</v>
      </c>
      <c r="K26" s="155">
        <f t="shared" si="10"/>
        <v>2250</v>
      </c>
      <c r="L26" s="158">
        <f t="shared" si="10"/>
        <v>171.42857142857142</v>
      </c>
      <c r="M26" s="155">
        <f t="shared" si="10"/>
        <v>13.2</v>
      </c>
      <c r="N26" s="155">
        <f t="shared" si="10"/>
        <v>2077.0099560805693</v>
      </c>
      <c r="O26" s="158">
        <f t="shared" si="10"/>
        <v>158.15049986534424</v>
      </c>
      <c r="P26" s="159">
        <f>M26-J26</f>
        <v>0</v>
      </c>
      <c r="Q26" s="160">
        <f>O26-L26</f>
        <v>-13.278071563227172</v>
      </c>
      <c r="R26" s="161">
        <f>O26/L26</f>
        <v>0.92254458254784144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11">N26-K26</f>
        <v>-172.99004391943072</v>
      </c>
      <c r="AG26" s="124">
        <f t="shared" ref="AG26:AG31" si="12">N26/K26</f>
        <v>0.92311553603580854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49.91</v>
      </c>
      <c r="G27" s="169">
        <v>1083</v>
      </c>
      <c r="H27" s="134">
        <f>F27*G27</f>
        <v>54052.53</v>
      </c>
      <c r="I27" s="135"/>
      <c r="J27" s="136">
        <f>VLOOKUP(D27,產線配置圖!$A$3:$C$40,2,0)</f>
        <v>18</v>
      </c>
      <c r="K27" s="137">
        <f>VLOOKUP(D27,產線配置圖!$A$3:$C$40,3,0)</f>
        <v>2250</v>
      </c>
      <c r="L27" s="138">
        <f>K27/J27</f>
        <v>125</v>
      </c>
      <c r="M27" s="170">
        <v>17</v>
      </c>
      <c r="N27" s="140">
        <f>G27/W27*60</f>
        <v>1756.2162162162488</v>
      </c>
      <c r="O27" s="141">
        <f>N27/M27</f>
        <v>103.30683624801463</v>
      </c>
      <c r="P27" s="142">
        <f>M27-J27</f>
        <v>-1</v>
      </c>
      <c r="Q27" s="143">
        <f>O27-L27</f>
        <v>-21.693163751985367</v>
      </c>
      <c r="R27" s="144">
        <f>O27/L27</f>
        <v>0.82645468998411709</v>
      </c>
      <c r="S27" s="420">
        <f>R37</f>
        <v>0.90038874412697567</v>
      </c>
      <c r="T27" s="171">
        <v>0.29166666666666702</v>
      </c>
      <c r="U27" s="171">
        <v>0.31736111111111098</v>
      </c>
      <c r="V27" s="135"/>
      <c r="W27" s="146">
        <f t="shared" si="4"/>
        <v>36.999999999999311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11"/>
        <v>-493.78378378375123</v>
      </c>
      <c r="AG27" s="172">
        <f t="shared" si="12"/>
        <v>0.78054054054055499</v>
      </c>
      <c r="AH27" s="380">
        <f>AG37</f>
        <v>0.8735436493107378</v>
      </c>
    </row>
    <row r="28" spans="1:34" ht="15" customHeight="1">
      <c r="A28" s="418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1257</v>
      </c>
      <c r="H28" s="91">
        <f>F28*G28</f>
        <v>71912.97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1257.0000000000211</v>
      </c>
      <c r="O28" s="96">
        <f>N28/M28</f>
        <v>73.941176470589483</v>
      </c>
      <c r="P28" s="97">
        <f>M28-J28</f>
        <v>-1</v>
      </c>
      <c r="Q28" s="98">
        <f>O28-L28</f>
        <v>-16.947712418299403</v>
      </c>
      <c r="R28" s="99">
        <f>O28/L28</f>
        <v>0.81353372644902855</v>
      </c>
      <c r="S28" s="421"/>
      <c r="T28" s="19">
        <v>0.32291666666666702</v>
      </c>
      <c r="U28" s="19">
        <v>0.36458333333333298</v>
      </c>
      <c r="V28" s="92">
        <f>(T28-U27)*24*60</f>
        <v>8.000000000000691</v>
      </c>
      <c r="W28" s="149">
        <f t="shared" si="4"/>
        <v>59.999999999998991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11"/>
        <v>-378.99999999997885</v>
      </c>
      <c r="AG28" s="99">
        <f t="shared" si="12"/>
        <v>0.76833740831297137</v>
      </c>
      <c r="AH28" s="381"/>
    </row>
    <row r="29" spans="1:34" ht="15" customHeight="1">
      <c r="A29" s="418"/>
      <c r="B29" s="75" t="s">
        <v>81</v>
      </c>
      <c r="C29" s="88"/>
      <c r="D29" s="59" t="s">
        <v>126</v>
      </c>
      <c r="E29" s="89"/>
      <c r="F29" s="75">
        <f>VLOOKUP(D29,廠價表!$C$1:$E$43,3,0)</f>
        <v>45.66</v>
      </c>
      <c r="G29" s="90">
        <v>1211</v>
      </c>
      <c r="H29" s="91">
        <f t="shared" ref="H29:H32" si="13">F29*G29</f>
        <v>55294.259999999995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 t="shared" ref="L29:L32" si="14">K29/J29</f>
        <v>96.235294117647058</v>
      </c>
      <c r="M29" s="94">
        <v>16</v>
      </c>
      <c r="N29" s="95">
        <f>G29/W29*60</f>
        <v>1453.20000000001</v>
      </c>
      <c r="O29" s="96">
        <f>N29/M29</f>
        <v>90.825000000000628</v>
      </c>
      <c r="P29" s="97">
        <f>M29-J29</f>
        <v>-1</v>
      </c>
      <c r="Q29" s="98">
        <f>O29-L29</f>
        <v>-5.4102941176464299</v>
      </c>
      <c r="R29" s="99">
        <f>O29/L29</f>
        <v>0.94378056234719476</v>
      </c>
      <c r="S29" s="421"/>
      <c r="T29" s="19">
        <v>0.37013888888888902</v>
      </c>
      <c r="U29" s="19">
        <v>0.40486111111111101</v>
      </c>
      <c r="V29" s="92">
        <f>(T29-U28)*24*60</f>
        <v>8.000000000000691</v>
      </c>
      <c r="W29" s="149">
        <f t="shared" si="4"/>
        <v>49.999999999999659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11"/>
        <v>-182.79999999998995</v>
      </c>
      <c r="AG29" s="99">
        <f t="shared" si="12"/>
        <v>0.8882640586797127</v>
      </c>
      <c r="AH29" s="381"/>
    </row>
    <row r="30" spans="1:34" ht="15" customHeight="1">
      <c r="A30" s="418"/>
      <c r="B30" s="75" t="s">
        <v>81</v>
      </c>
      <c r="C30" s="88"/>
      <c r="D30" s="59" t="s">
        <v>124</v>
      </c>
      <c r="E30" s="89"/>
      <c r="F30" s="75">
        <f>VLOOKUP(D30,廠價表!$C$1:$E$43,3,0)</f>
        <v>46.34</v>
      </c>
      <c r="G30" s="90">
        <v>1842</v>
      </c>
      <c r="H30" s="91">
        <f t="shared" si="13"/>
        <v>85358.280000000013</v>
      </c>
      <c r="I30" s="92"/>
      <c r="J30" s="79">
        <f>VLOOKUP(D30,產線配置圖!$A$3:$C$40,2,0)</f>
        <v>16</v>
      </c>
      <c r="K30" s="80">
        <f>VLOOKUP(D30,產線配置圖!$A$3:$C$40,3,0)</f>
        <v>1636</v>
      </c>
      <c r="L30" s="93">
        <f t="shared" si="14"/>
        <v>102.25</v>
      </c>
      <c r="M30" s="94">
        <v>16</v>
      </c>
      <c r="N30" s="95">
        <f t="shared" ref="N30:N32" si="15">G30/W30*60</f>
        <v>1534.9999999999989</v>
      </c>
      <c r="O30" s="96">
        <f t="shared" ref="O30:O32" si="16">N30/M30</f>
        <v>95.937499999999929</v>
      </c>
      <c r="P30" s="97">
        <f t="shared" ref="P30:P32" si="17">M30-J30</f>
        <v>0</v>
      </c>
      <c r="Q30" s="98">
        <f t="shared" ref="Q30:Q32" si="18">O30-L30</f>
        <v>-6.3125000000000711</v>
      </c>
      <c r="R30" s="99">
        <f t="shared" ref="R30:R32" si="19">O30/L30</f>
        <v>0.93826405867970586</v>
      </c>
      <c r="S30" s="421"/>
      <c r="T30" s="19">
        <v>0.41111111111111098</v>
      </c>
      <c r="U30" s="19">
        <v>0.46111111111111103</v>
      </c>
      <c r="V30" s="92">
        <f t="shared" ref="V30:V32" si="20">(T30-U29)*24*60</f>
        <v>8.999999999999968</v>
      </c>
      <c r="W30" s="149">
        <f t="shared" si="4"/>
        <v>72.000000000000057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11"/>
        <v>-101.00000000000114</v>
      </c>
      <c r="AG30" s="99">
        <f t="shared" si="12"/>
        <v>0.93826405867970586</v>
      </c>
      <c r="AH30" s="416"/>
    </row>
    <row r="31" spans="1:34" ht="15" customHeight="1">
      <c r="A31" s="418"/>
      <c r="B31" s="75" t="s">
        <v>81</v>
      </c>
      <c r="C31" s="177"/>
      <c r="D31" s="59" t="s">
        <v>161</v>
      </c>
      <c r="E31" s="178"/>
      <c r="F31" s="75">
        <f>VLOOKUP(D31,廠價表!$C$1:$E$43,3,0)</f>
        <v>52.21</v>
      </c>
      <c r="G31" s="90">
        <v>1826</v>
      </c>
      <c r="H31" s="91">
        <f t="shared" si="13"/>
        <v>95335.46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14"/>
        <v>90.888888888888886</v>
      </c>
      <c r="M31" s="94">
        <v>18</v>
      </c>
      <c r="N31" s="95">
        <f t="shared" si="15"/>
        <v>1543.098591549284</v>
      </c>
      <c r="O31" s="96">
        <f t="shared" si="16"/>
        <v>85.727699530515778</v>
      </c>
      <c r="P31" s="97">
        <f t="shared" si="17"/>
        <v>0</v>
      </c>
      <c r="Q31" s="98">
        <f t="shared" si="18"/>
        <v>-5.1611893583731074</v>
      </c>
      <c r="R31" s="99">
        <f t="shared" si="19"/>
        <v>0.94321429801300982</v>
      </c>
      <c r="S31" s="421"/>
      <c r="T31" s="19">
        <v>0.52361111111111103</v>
      </c>
      <c r="U31" s="19">
        <v>0.57291666666666696</v>
      </c>
      <c r="V31" s="92">
        <f t="shared" si="20"/>
        <v>90</v>
      </c>
      <c r="W31" s="149">
        <f t="shared" si="4"/>
        <v>71.00000000000054</v>
      </c>
      <c r="X31" s="174"/>
      <c r="Y31" s="301"/>
      <c r="Z31" s="335"/>
      <c r="AA31" s="335"/>
      <c r="AB31" s="386" t="s">
        <v>177</v>
      </c>
      <c r="AC31" s="386"/>
      <c r="AD31" s="92"/>
      <c r="AE31" s="92"/>
      <c r="AF31" s="312">
        <f t="shared" si="11"/>
        <v>-92.901408450715962</v>
      </c>
      <c r="AG31" s="99">
        <f t="shared" si="12"/>
        <v>0.94321429801300982</v>
      </c>
      <c r="AH31" s="383"/>
    </row>
    <row r="32" spans="1:34" ht="15" customHeight="1">
      <c r="A32" s="418"/>
      <c r="B32" s="75" t="s">
        <v>81</v>
      </c>
      <c r="C32" s="173"/>
      <c r="D32" s="59" t="s">
        <v>161</v>
      </c>
      <c r="E32" s="104"/>
      <c r="F32" s="75">
        <f>VLOOKUP(D32,廠價表!$C$1:$E$43,3,0)</f>
        <v>52.21</v>
      </c>
      <c r="G32" s="90">
        <v>1436</v>
      </c>
      <c r="H32" s="91">
        <f t="shared" si="13"/>
        <v>74973.56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14"/>
        <v>90.888888888888886</v>
      </c>
      <c r="M32" s="94">
        <v>18</v>
      </c>
      <c r="N32" s="95">
        <f t="shared" si="15"/>
        <v>1566.5454545454327</v>
      </c>
      <c r="O32" s="96">
        <f t="shared" si="16"/>
        <v>87.030303030301809</v>
      </c>
      <c r="P32" s="97">
        <f t="shared" si="17"/>
        <v>0</v>
      </c>
      <c r="Q32" s="98">
        <f t="shared" si="18"/>
        <v>-3.8585858585870767</v>
      </c>
      <c r="R32" s="99">
        <f t="shared" si="19"/>
        <v>0.95754612136028894</v>
      </c>
      <c r="S32" s="421"/>
      <c r="T32" s="19">
        <v>0.61944444444444402</v>
      </c>
      <c r="U32" s="19">
        <v>0.65763888888888899</v>
      </c>
      <c r="V32" s="92">
        <f t="shared" si="20"/>
        <v>66.999999999998963</v>
      </c>
      <c r="W32" s="149">
        <f t="shared" si="4"/>
        <v>55.000000000000767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76"/>
      <c r="D33" s="59"/>
      <c r="E33" s="77"/>
      <c r="F33" s="75"/>
      <c r="G33" s="147"/>
      <c r="H33" s="78"/>
      <c r="I33" s="30"/>
      <c r="J33" s="79"/>
      <c r="K33" s="80"/>
      <c r="L33" s="81"/>
      <c r="M33" s="148"/>
      <c r="N33" s="95"/>
      <c r="O33" s="96"/>
      <c r="P33" s="97"/>
      <c r="Q33" s="98"/>
      <c r="R33" s="99"/>
      <c r="S33" s="421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30"/>
      <c r="C34" s="151"/>
      <c r="D34" s="59"/>
      <c r="E34" s="87"/>
      <c r="F34" s="105"/>
      <c r="G34" s="95"/>
      <c r="H34" s="78"/>
      <c r="I34" s="149"/>
      <c r="J34" s="148"/>
      <c r="K34" s="95"/>
      <c r="L34" s="96"/>
      <c r="M34" s="148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86"/>
      <c r="D35" s="59"/>
      <c r="E35" s="87"/>
      <c r="F35" s="75"/>
      <c r="G35" s="147"/>
      <c r="H35" s="78"/>
      <c r="I35" s="30"/>
      <c r="J35" s="79"/>
      <c r="K35" s="80"/>
      <c r="L35" s="81"/>
      <c r="M35" s="148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01"/>
      <c r="C36" s="102"/>
      <c r="D36" s="103"/>
      <c r="E36" s="104"/>
      <c r="F36" s="105"/>
      <c r="G36" s="95"/>
      <c r="H36" s="78">
        <f>F36*G36</f>
        <v>0</v>
      </c>
      <c r="I36" s="149"/>
      <c r="J36" s="148"/>
      <c r="K36" s="95"/>
      <c r="L36" s="96"/>
      <c r="M36" s="148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21">AVERAGE(J27:J36)</f>
        <v>17.5</v>
      </c>
      <c r="K37" s="155">
        <f t="shared" si="21"/>
        <v>1738.3333333333333</v>
      </c>
      <c r="L37" s="158">
        <f t="shared" si="21"/>
        <v>99.358660130718945</v>
      </c>
      <c r="M37" s="155">
        <f t="shared" si="21"/>
        <v>17</v>
      </c>
      <c r="N37" s="155">
        <f t="shared" si="21"/>
        <v>1518.5100437184992</v>
      </c>
      <c r="O37" s="158">
        <f t="shared" si="21"/>
        <v>89.461419213237036</v>
      </c>
      <c r="P37" s="159">
        <f>M37-J37</f>
        <v>-0.5</v>
      </c>
      <c r="Q37" s="160">
        <f>N37-K37</f>
        <v>-219.82328961483404</v>
      </c>
      <c r="R37" s="161">
        <f>O37/L37</f>
        <v>0.90038874412697567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-219.82328961483404</v>
      </c>
      <c r="AG37" s="124">
        <f>N37/K37</f>
        <v>0.8735436493107378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3115</v>
      </c>
      <c r="H38" s="134">
        <f>F38*G38</f>
        <v>155469.65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14</v>
      </c>
      <c r="N38" s="140">
        <f>G38/W38*60</f>
        <v>1405.2631578947385</v>
      </c>
      <c r="O38" s="141">
        <f>N38/M38</f>
        <v>100.37593984962417</v>
      </c>
      <c r="P38" s="142">
        <f>M38-J38</f>
        <v>-2</v>
      </c>
      <c r="Q38" s="143">
        <f>O38-L38</f>
        <v>-6.7490601503758256</v>
      </c>
      <c r="R38" s="144">
        <f>O38/L38</f>
        <v>0.93699827164176597</v>
      </c>
      <c r="S38" s="410">
        <f>R48</f>
        <v>0.93285312963544242</v>
      </c>
      <c r="T38" s="191">
        <v>0.33472222222222198</v>
      </c>
      <c r="U38" s="191">
        <v>0.42708333333333298</v>
      </c>
      <c r="V38" s="192"/>
      <c r="W38" s="193">
        <f t="shared" si="4"/>
        <v>132.99999999999986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-308.73684210526153</v>
      </c>
      <c r="AG38" s="195">
        <f>N38/K38</f>
        <v>0.81987348768654522</v>
      </c>
      <c r="AH38" s="413">
        <f>AG48</f>
        <v>0.79065021386000145</v>
      </c>
    </row>
    <row r="39" spans="1:34" ht="15" customHeight="1">
      <c r="A39" s="408"/>
      <c r="B39" s="75" t="s">
        <v>127</v>
      </c>
      <c r="C39" s="207"/>
      <c r="D39" s="198" t="s">
        <v>129</v>
      </c>
      <c r="E39" s="178"/>
      <c r="F39" s="75">
        <f>VLOOKUP(D39,廠價表!$C$1:$E$43,3,0)</f>
        <v>44.3</v>
      </c>
      <c r="G39" s="199">
        <v>2222</v>
      </c>
      <c r="H39" s="91">
        <f>F39*G39</f>
        <v>98434.599999999991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15</v>
      </c>
      <c r="N39" s="202">
        <f>G39/W39*60</f>
        <v>1245.9813084112247</v>
      </c>
      <c r="O39" s="203">
        <f>N39/M39</f>
        <v>83.065420560748322</v>
      </c>
      <c r="P39" s="97">
        <f>M39-J39</f>
        <v>-3</v>
      </c>
      <c r="Q39" s="98">
        <f>O39-L39</f>
        <v>-7.8234683281405637</v>
      </c>
      <c r="R39" s="99">
        <f>O39/L39</f>
        <v>0.91392272010603293</v>
      </c>
      <c r="S39" s="393"/>
      <c r="T39" s="20">
        <v>0.43263888888888902</v>
      </c>
      <c r="U39" s="20">
        <v>0.50694444444444398</v>
      </c>
      <c r="V39" s="92">
        <f t="shared" ref="V39:V40" si="22">(T39-U38)*24*60</f>
        <v>8.000000000000691</v>
      </c>
      <c r="W39" s="205">
        <f t="shared" si="4"/>
        <v>106.99999999999915</v>
      </c>
      <c r="X39" s="208"/>
      <c r="Y39" s="209"/>
      <c r="Z39" s="337"/>
      <c r="AA39" s="337"/>
      <c r="AB39" s="386"/>
      <c r="AC39" s="386"/>
      <c r="AD39" s="92"/>
      <c r="AE39" s="92"/>
      <c r="AF39" s="314">
        <f>N39-K39</f>
        <v>-390.01869158877525</v>
      </c>
      <c r="AG39" s="206">
        <f>N39/K39</f>
        <v>0.7616022667550274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4131</v>
      </c>
      <c r="H40" s="91">
        <f>F40*G40</f>
        <v>183003.3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15</v>
      </c>
      <c r="N40" s="202">
        <f>G40/W40*60</f>
        <v>1290.9375000000034</v>
      </c>
      <c r="O40" s="203">
        <f>N40/M40</f>
        <v>86.062500000000227</v>
      </c>
      <c r="P40" s="97">
        <f>M40-J40</f>
        <v>-3</v>
      </c>
      <c r="Q40" s="98">
        <f>O40-L40</f>
        <v>-4.8263888888886584</v>
      </c>
      <c r="R40" s="99">
        <f>O40/L40</f>
        <v>0.94689792176039378</v>
      </c>
      <c r="S40" s="393"/>
      <c r="T40" s="20">
        <v>0.56388888888888899</v>
      </c>
      <c r="U40" s="210">
        <v>0.69722222222222197</v>
      </c>
      <c r="V40" s="92">
        <f t="shared" si="22"/>
        <v>82.000000000000824</v>
      </c>
      <c r="W40" s="205">
        <f t="shared" si="4"/>
        <v>191.99999999999949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-345.06249999999659</v>
      </c>
      <c r="AG40" s="206">
        <f>N40/K40</f>
        <v>0.7890816014669948</v>
      </c>
      <c r="AH40" s="414"/>
    </row>
    <row r="41" spans="1:34" ht="15" customHeight="1">
      <c r="A41" s="408"/>
      <c r="B41" s="75"/>
      <c r="C41" s="102"/>
      <c r="D41" s="198"/>
      <c r="E41" s="104"/>
      <c r="F41" s="75"/>
      <c r="G41" s="202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10"/>
      <c r="U41" s="210"/>
      <c r="V41" s="92"/>
      <c r="W41" s="205">
        <f t="shared" ref="W41:W48" si="23">(U41-T41)*24*60</f>
        <v>0</v>
      </c>
      <c r="X41" s="208"/>
      <c r="Y41" s="212"/>
      <c r="Z41" s="338"/>
      <c r="AA41" s="338"/>
      <c r="AB41" s="386"/>
      <c r="AC41" s="386"/>
      <c r="AD41" s="92"/>
      <c r="AE41" s="92"/>
      <c r="AF41" s="213"/>
      <c r="AG41" s="206"/>
      <c r="AH41" s="414"/>
    </row>
    <row r="42" spans="1:34" ht="15" customHeight="1">
      <c r="A42" s="408"/>
      <c r="B42" s="75"/>
      <c r="C42" s="102"/>
      <c r="D42" s="198"/>
      <c r="E42" s="104"/>
      <c r="F42" s="75"/>
      <c r="G42" s="202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/>
      <c r="X42" s="208"/>
      <c r="Y42" s="212"/>
      <c r="Z42" s="338"/>
      <c r="AA42" s="338"/>
      <c r="AB42" s="386"/>
      <c r="AC42" s="386"/>
      <c r="AD42" s="92"/>
      <c r="AE42" s="92"/>
      <c r="AF42" s="213"/>
      <c r="AG42" s="206"/>
      <c r="AH42" s="414"/>
    </row>
    <row r="43" spans="1:34" ht="15" customHeight="1">
      <c r="A43" s="408"/>
      <c r="B43" s="75"/>
      <c r="C43" s="86"/>
      <c r="D43" s="198"/>
      <c r="E43" s="87"/>
      <c r="F43" s="75"/>
      <c r="G43" s="199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si="23"/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/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23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23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23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24">AVERAGE(J38:J47)</f>
        <v>17.333333333333332</v>
      </c>
      <c r="K48" s="155">
        <f t="shared" si="24"/>
        <v>1662</v>
      </c>
      <c r="L48" s="158">
        <f t="shared" si="24"/>
        <v>96.300925925925924</v>
      </c>
      <c r="M48" s="155">
        <f t="shared" si="24"/>
        <v>14.666666666666666</v>
      </c>
      <c r="N48" s="155">
        <f t="shared" si="24"/>
        <v>1314.0606554353224</v>
      </c>
      <c r="O48" s="158">
        <f t="shared" si="24"/>
        <v>89.834620136790917</v>
      </c>
      <c r="P48" s="221">
        <f>M48-J48</f>
        <v>-2.6666666666666661</v>
      </c>
      <c r="Q48" s="222">
        <f>N48-K48</f>
        <v>-347.93934456467764</v>
      </c>
      <c r="R48" s="223">
        <f>O48/L48</f>
        <v>0.93285312963544242</v>
      </c>
      <c r="S48" s="396"/>
      <c r="T48" s="224"/>
      <c r="U48" s="224"/>
      <c r="V48" s="225"/>
      <c r="W48" s="226">
        <f t="shared" si="23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25">N48-K48</f>
        <v>-347.93934456467764</v>
      </c>
      <c r="AG48" s="162">
        <f t="shared" ref="AG48:AG53" si="26">N48/K48</f>
        <v>0.79065021386000145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VLOOKUP(D49,廠價表!$C$1:$E$43,3,0)</f>
        <v>50.289000000000001</v>
      </c>
      <c r="G49" s="228">
        <v>2637</v>
      </c>
      <c r="H49" s="134">
        <f>F49*G49</f>
        <v>132612.09299999999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16</v>
      </c>
      <c r="N49" s="140">
        <f>G49/W49*60</f>
        <v>1492.6415094339652</v>
      </c>
      <c r="O49" s="141">
        <f>N49/M49</f>
        <v>93.290094339622826</v>
      </c>
      <c r="P49" s="229">
        <f>M49-J49</f>
        <v>-1</v>
      </c>
      <c r="Q49" s="230">
        <f>O49-L49</f>
        <v>-2.9451997780242323</v>
      </c>
      <c r="R49" s="52">
        <f>O49/L49</f>
        <v>0.96939584582737659</v>
      </c>
      <c r="S49" s="392">
        <f>R58</f>
        <v>0.94284740726162453</v>
      </c>
      <c r="T49" s="191">
        <v>0.29166666666666702</v>
      </c>
      <c r="U49" s="191">
        <v>0.36527777777777798</v>
      </c>
      <c r="V49" s="55"/>
      <c r="W49" s="193">
        <f t="shared" si="4"/>
        <v>105.99999999999979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25"/>
        <v>-143.35849056603479</v>
      </c>
      <c r="AG49" s="52">
        <f t="shared" si="26"/>
        <v>0.91237256077870732</v>
      </c>
      <c r="AH49" s="380">
        <f>AG58</f>
        <v>0.88549046161876555</v>
      </c>
    </row>
    <row r="50" spans="1:34" ht="15" customHeight="1">
      <c r="A50" s="405"/>
      <c r="B50" s="75" t="s">
        <v>81</v>
      </c>
      <c r="C50" s="76"/>
      <c r="D50" s="59" t="s">
        <v>131</v>
      </c>
      <c r="E50" s="77"/>
      <c r="F50" s="75">
        <f>VLOOKUP(D50,廠價表!$C$1:$E$43,3,0)</f>
        <v>49.97</v>
      </c>
      <c r="G50" s="202">
        <v>3343</v>
      </c>
      <c r="H50" s="231">
        <f>F50*G50</f>
        <v>167049.71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15</v>
      </c>
      <c r="N50" s="234">
        <f>G50/W50*60</f>
        <v>1531.1450381679256</v>
      </c>
      <c r="O50" s="235">
        <f>N50/M50</f>
        <v>102.07633587786171</v>
      </c>
      <c r="P50" s="74">
        <f>M50-J50</f>
        <v>-1</v>
      </c>
      <c r="Q50" s="83">
        <f>O50-L50</f>
        <v>-10.423664122138291</v>
      </c>
      <c r="R50" s="72">
        <f>O50/L50</f>
        <v>0.90734520780321515</v>
      </c>
      <c r="S50" s="393"/>
      <c r="T50" s="21">
        <v>0.37083333333333302</v>
      </c>
      <c r="U50" s="21">
        <v>0.46180555555555602</v>
      </c>
      <c r="V50" s="30">
        <f>(T50-U49)*24*60</f>
        <v>7.9999999999992522</v>
      </c>
      <c r="W50" s="236">
        <f t="shared" si="4"/>
        <v>131.00000000000114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25"/>
        <v>-268.85496183207442</v>
      </c>
      <c r="AG50" s="72">
        <f t="shared" si="26"/>
        <v>0.85063613231551416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2849</v>
      </c>
      <c r="H51" s="231">
        <f>F51*G51</f>
        <v>142364.53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15</v>
      </c>
      <c r="N51" s="234">
        <f>G51/W51*60</f>
        <v>1612.6415094339654</v>
      </c>
      <c r="O51" s="235">
        <f>N51/M51</f>
        <v>107.50943396226437</v>
      </c>
      <c r="P51" s="74">
        <f>M51-J51</f>
        <v>-1</v>
      </c>
      <c r="Q51" s="83">
        <f>O51-L51</f>
        <v>-4.9905660377356327</v>
      </c>
      <c r="R51" s="72">
        <f>O51/L51</f>
        <v>0.95563941299790545</v>
      </c>
      <c r="S51" s="393"/>
      <c r="T51" s="21">
        <v>0.52013888888888904</v>
      </c>
      <c r="U51" s="19">
        <v>0.59375</v>
      </c>
      <c r="V51" s="30">
        <f>(T51-U50)*24*60</f>
        <v>83.999999999999545</v>
      </c>
      <c r="W51" s="236">
        <f t="shared" si="4"/>
        <v>105.99999999999979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25"/>
        <v>-187.35849056603456</v>
      </c>
      <c r="AG51" s="72">
        <f t="shared" si="26"/>
        <v>0.89591194968553634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/>
      <c r="U52" s="21"/>
      <c r="V52" s="30"/>
      <c r="W52" s="236">
        <f t="shared" si="4"/>
        <v>0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25"/>
        <v>0</v>
      </c>
      <c r="AG52" s="72" t="e">
        <f t="shared" si="26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25"/>
        <v>0</v>
      </c>
      <c r="AG53" s="72" t="e">
        <f t="shared" si="26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7">AVERAGE(J49:J57)</f>
        <v>16.333333333333332</v>
      </c>
      <c r="K58" s="120">
        <f t="shared" si="27"/>
        <v>1745.3333333333333</v>
      </c>
      <c r="L58" s="117">
        <f t="shared" si="27"/>
        <v>107.07843137254902</v>
      </c>
      <c r="M58" s="120">
        <f t="shared" si="27"/>
        <v>15.333333333333334</v>
      </c>
      <c r="N58" s="120">
        <f t="shared" si="27"/>
        <v>1545.4760190119521</v>
      </c>
      <c r="O58" s="117">
        <f t="shared" si="27"/>
        <v>100.95862139324964</v>
      </c>
      <c r="P58" s="121">
        <f>M58-J58</f>
        <v>-0.99999999999999822</v>
      </c>
      <c r="Q58" s="122">
        <f>N58-K58</f>
        <v>-199.85731432138118</v>
      </c>
      <c r="R58" s="123">
        <f>O58/L58</f>
        <v>0.94284740726162453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-199.85731432138118</v>
      </c>
      <c r="AG58" s="124">
        <f>N58/K58</f>
        <v>0.88549046161876555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4174</v>
      </c>
      <c r="H59" s="243">
        <f>F59*G59</f>
        <v>112656.26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1555.5279503105669</v>
      </c>
      <c r="O59" s="138">
        <f>N59/M59</f>
        <v>103.7018633540378</v>
      </c>
      <c r="P59" s="56">
        <f>M59-J59</f>
        <v>0</v>
      </c>
      <c r="Q59" s="230">
        <f>O59-L59</f>
        <v>-5.3648033126288652</v>
      </c>
      <c r="R59" s="52">
        <f>O59/L59</f>
        <v>0.95081170556880623</v>
      </c>
      <c r="S59" s="392">
        <f>R69</f>
        <v>0.93955044462840276</v>
      </c>
      <c r="T59" s="245">
        <v>0.29513888888888901</v>
      </c>
      <c r="U59" s="245">
        <v>0.406944444444444</v>
      </c>
      <c r="V59" s="55"/>
      <c r="W59" s="54">
        <f t="shared" si="4"/>
        <v>160.99999999999918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-80.472049689433106</v>
      </c>
      <c r="AG59" s="246">
        <f>N59/K59</f>
        <v>0.95081170556880612</v>
      </c>
      <c r="AH59" s="380">
        <f>AG69</f>
        <v>0.940551445600883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1624</v>
      </c>
      <c r="H60" s="78">
        <f>F60*G60</f>
        <v>45894.240000000005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1499.0769230769192</v>
      </c>
      <c r="O60" s="81">
        <f>N60/M60</f>
        <v>136.27972027971992</v>
      </c>
      <c r="P60" s="74">
        <f>M60-J60</f>
        <v>0</v>
      </c>
      <c r="Q60" s="83">
        <f>O60-L60</f>
        <v>-12.447552447552795</v>
      </c>
      <c r="R60" s="72">
        <f>O60/L60</f>
        <v>0.91630618769982841</v>
      </c>
      <c r="S60" s="402"/>
      <c r="T60" s="22">
        <v>0.41319444444444398</v>
      </c>
      <c r="U60" s="22">
        <v>0.45833333333333298</v>
      </c>
      <c r="V60" s="30">
        <f>(T60-U59)*24*60</f>
        <v>8.999999999999968</v>
      </c>
      <c r="W60" s="248">
        <f t="shared" si="4"/>
        <v>65.000000000000171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-136.92307692308077</v>
      </c>
      <c r="AG60" s="249">
        <f>N60/K60</f>
        <v>0.91630618769982841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963</v>
      </c>
      <c r="H61" s="254">
        <f>F61*G61</f>
        <v>27214.38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1561.6216216216476</v>
      </c>
      <c r="O61" s="238">
        <f>N61/M61</f>
        <v>141.96560196560432</v>
      </c>
      <c r="P61" s="111">
        <f>M61-J61</f>
        <v>0</v>
      </c>
      <c r="Q61" s="255">
        <f>O61-L61</f>
        <v>-6.7616707616683982</v>
      </c>
      <c r="R61" s="85">
        <f>O61/L61</f>
        <v>0.95453644353401446</v>
      </c>
      <c r="S61" s="393"/>
      <c r="T61" s="22">
        <v>0.46875</v>
      </c>
      <c r="U61" s="22">
        <v>0.49444444444444402</v>
      </c>
      <c r="V61" s="30">
        <f>(T61-U60)*24*60</f>
        <v>15.000000000000506</v>
      </c>
      <c r="W61" s="256">
        <f t="shared" si="4"/>
        <v>36.999999999999389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-74.378378378352409</v>
      </c>
      <c r="AG61" s="247">
        <f>N61/K61</f>
        <v>0.95453644353401446</v>
      </c>
      <c r="AH61" s="382"/>
    </row>
    <row r="62" spans="1:34" ht="15" customHeight="1">
      <c r="A62" s="400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93"/>
      <c r="T62" s="22"/>
      <c r="U62" s="22"/>
      <c r="V62" s="30"/>
      <c r="W62" s="248">
        <f t="shared" si="4"/>
        <v>0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0</v>
      </c>
      <c r="AG62" s="247" t="e">
        <f>N62/K62</f>
        <v>#DIV/0!</v>
      </c>
      <c r="AH62" s="382"/>
    </row>
    <row r="63" spans="1:34" ht="15" customHeight="1">
      <c r="A63" s="4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9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8">AVERAGE(J59:J68)</f>
        <v>12.333333333333334</v>
      </c>
      <c r="K69" s="240">
        <f t="shared" si="28"/>
        <v>1636</v>
      </c>
      <c r="L69" s="268">
        <f t="shared" si="28"/>
        <v>135.50707070707071</v>
      </c>
      <c r="M69" s="240">
        <f t="shared" si="28"/>
        <v>12.333333333333334</v>
      </c>
      <c r="N69" s="240">
        <f t="shared" si="28"/>
        <v>1538.7421650030446</v>
      </c>
      <c r="O69" s="268">
        <f t="shared" si="28"/>
        <v>127.31572853312069</v>
      </c>
      <c r="P69" s="269">
        <f>M69-J69</f>
        <v>0</v>
      </c>
      <c r="Q69" s="222">
        <f>N69-K69</f>
        <v>-97.257834996955353</v>
      </c>
      <c r="R69" s="123">
        <f>O69/L69</f>
        <v>0.93955044462840276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-97.257834996955353</v>
      </c>
      <c r="AG69" s="124">
        <f>N69/K69</f>
        <v>0.940551445600883</v>
      </c>
      <c r="AH69" s="384"/>
    </row>
    <row r="70" spans="1:36" ht="15" customHeight="1">
      <c r="A70" s="389" t="s">
        <v>55</v>
      </c>
      <c r="B70" s="129" t="s">
        <v>132</v>
      </c>
      <c r="C70" s="129"/>
      <c r="D70" s="131" t="s">
        <v>136</v>
      </c>
      <c r="E70" s="132"/>
      <c r="F70" s="129">
        <f>VLOOKUP(D70,廠價表!$C$1:$E$43,3,0)</f>
        <v>28.26</v>
      </c>
      <c r="G70" s="55">
        <v>1809</v>
      </c>
      <c r="H70" s="243">
        <f>F70*G70</f>
        <v>51122.340000000004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7</v>
      </c>
      <c r="N70" s="137">
        <f>G70/W70*60</f>
        <v>854.64566929134276</v>
      </c>
      <c r="O70" s="138">
        <f>N70/M70</f>
        <v>122.09223847019182</v>
      </c>
      <c r="P70" s="56">
        <f>M70-J70</f>
        <v>-4</v>
      </c>
      <c r="Q70" s="230">
        <f>O70-L70</f>
        <v>-26.635034257080903</v>
      </c>
      <c r="R70" s="52">
        <f>O70/L70</f>
        <v>0.82091358384603308</v>
      </c>
      <c r="S70" s="392">
        <f>R79</f>
        <v>0.83879913772019032</v>
      </c>
      <c r="T70" s="245">
        <v>0.3125</v>
      </c>
      <c r="U70" s="245">
        <v>0.40069444444444402</v>
      </c>
      <c r="V70" s="55"/>
      <c r="W70" s="54">
        <f t="shared" si="4"/>
        <v>126.99999999999939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-781.35433070865724</v>
      </c>
      <c r="AG70" s="246">
        <f>N70/K70</f>
        <v>0.52239955335656652</v>
      </c>
      <c r="AH70" s="380">
        <f>AG79</f>
        <v>0.5138364406642778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75">
        <f>VLOOKUP(D71,廠價表!$C$1:$E$43,3,0)</f>
        <v>52.21</v>
      </c>
      <c r="G71" s="30">
        <v>1504</v>
      </c>
      <c r="H71" s="78">
        <f>F71*G71</f>
        <v>78523.839999999997</v>
      </c>
      <c r="I71" s="30"/>
      <c r="J71" s="79">
        <f>VLOOKUP(D71,產線配置圖!$A$3:$C$40,2,0)</f>
        <v>18</v>
      </c>
      <c r="K71" s="80">
        <f>VLOOKUP(D71,產線配置圖!$A$3:$C$40,3,0)</f>
        <v>1636</v>
      </c>
      <c r="L71" s="81">
        <f>K71/J71</f>
        <v>90.888888888888886</v>
      </c>
      <c r="M71" s="82">
        <v>10</v>
      </c>
      <c r="N71" s="80">
        <f>G71/W71*60</f>
        <v>805.71428571428339</v>
      </c>
      <c r="O71" s="81">
        <f>N71/M71</f>
        <v>80.571428571428342</v>
      </c>
      <c r="P71" s="74">
        <f>M71-J71</f>
        <v>-8</v>
      </c>
      <c r="Q71" s="83">
        <f>O71-L71</f>
        <v>-10.317460317460544</v>
      </c>
      <c r="R71" s="72">
        <f>O71/L71</f>
        <v>0.88648271044358817</v>
      </c>
      <c r="S71" s="393"/>
      <c r="T71" s="22">
        <v>0.41111111111111098</v>
      </c>
      <c r="U71" s="22">
        <v>0.48888888888888898</v>
      </c>
      <c r="V71" s="30">
        <f>(T71-U70)*24*60</f>
        <v>15.000000000000426</v>
      </c>
      <c r="W71" s="73">
        <f t="shared" si="4"/>
        <v>112.00000000000033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 t="s">
        <v>132</v>
      </c>
      <c r="C72" s="76"/>
      <c r="D72" s="59" t="s">
        <v>136</v>
      </c>
      <c r="E72" s="77"/>
      <c r="F72" s="250">
        <f>VLOOKUP(D72,廠價表!$C$1:$E$43,3,0)</f>
        <v>28.26</v>
      </c>
      <c r="G72" s="202">
        <v>2039</v>
      </c>
      <c r="H72" s="254">
        <f>F72*G72</f>
        <v>57622.140000000007</v>
      </c>
      <c r="I72" s="182"/>
      <c r="J72" s="106">
        <f>VLOOKUP(D72,產線配置圖!$A$3:$C$40,2,0)</f>
        <v>11</v>
      </c>
      <c r="K72" s="107">
        <f>VLOOKUP(D72,產線配置圖!$A$3:$C$40,3,0)</f>
        <v>1636</v>
      </c>
      <c r="L72" s="238">
        <f>K72/J72</f>
        <v>148.72727272727272</v>
      </c>
      <c r="M72" s="82">
        <v>7</v>
      </c>
      <c r="N72" s="107">
        <f>G72/W72*60</f>
        <v>861.54929577464895</v>
      </c>
      <c r="O72" s="238">
        <f>N72/M72</f>
        <v>123.07847082494985</v>
      </c>
      <c r="P72" s="111">
        <f>M72-J72</f>
        <v>-4</v>
      </c>
      <c r="Q72" s="255">
        <f>O72-L72</f>
        <v>-25.648801902322873</v>
      </c>
      <c r="R72" s="85">
        <f>O72/L72</f>
        <v>0.82754473048560417</v>
      </c>
      <c r="S72" s="393"/>
      <c r="T72" s="22">
        <v>0.54861111111111105</v>
      </c>
      <c r="U72" s="22">
        <v>0.64722222222222203</v>
      </c>
      <c r="V72" s="30">
        <f>(T72-U71)*24*60</f>
        <v>85.999999999999773</v>
      </c>
      <c r="W72" s="73">
        <f t="shared" si="4"/>
        <v>141.99999999999983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 t="s">
        <v>46</v>
      </c>
      <c r="V73" s="30"/>
      <c r="W73" s="73" t="e">
        <f t="shared" si="4"/>
        <v>#VALUE!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29">AVERAGE(J70:J78)</f>
        <v>13.333333333333334</v>
      </c>
      <c r="K79" s="240">
        <f t="shared" si="29"/>
        <v>1636</v>
      </c>
      <c r="L79" s="268">
        <f t="shared" si="29"/>
        <v>129.44781144781143</v>
      </c>
      <c r="M79" s="240">
        <f t="shared" si="29"/>
        <v>8</v>
      </c>
      <c r="N79" s="240">
        <f t="shared" si="29"/>
        <v>840.63641692675844</v>
      </c>
      <c r="O79" s="268">
        <f t="shared" si="29"/>
        <v>108.58071262219001</v>
      </c>
      <c r="P79" s="269">
        <f>M79-J79</f>
        <v>-5.3333333333333339</v>
      </c>
      <c r="Q79" s="222">
        <f>N79-K79</f>
        <v>-795.36358307324156</v>
      </c>
      <c r="R79" s="223">
        <f>O79/L79</f>
        <v>0.83879913772019032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-795.36358307324156</v>
      </c>
      <c r="AG79" s="124">
        <f>N79/K79</f>
        <v>0.5138364406642778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27:A37"/>
    <mergeCell ref="S5:S15"/>
    <mergeCell ref="P3:P4"/>
    <mergeCell ref="Q3:Q4"/>
    <mergeCell ref="A5:A15"/>
    <mergeCell ref="A16:A26"/>
    <mergeCell ref="S16:S26"/>
    <mergeCell ref="AB16:AC16"/>
    <mergeCell ref="D26:E26"/>
    <mergeCell ref="D37:E37"/>
    <mergeCell ref="S27:S37"/>
    <mergeCell ref="AB7:AC7"/>
    <mergeCell ref="AH16:AH26"/>
    <mergeCell ref="AB17:AC17"/>
    <mergeCell ref="AB5:AC5"/>
    <mergeCell ref="D15:E15"/>
    <mergeCell ref="G3:G4"/>
    <mergeCell ref="H3:H4"/>
    <mergeCell ref="I3:I4"/>
    <mergeCell ref="J3:J4"/>
    <mergeCell ref="AB8:AC8"/>
    <mergeCell ref="AB10:AC10"/>
    <mergeCell ref="AB20:AC20"/>
    <mergeCell ref="AB21:AC21"/>
    <mergeCell ref="AB22:AC22"/>
    <mergeCell ref="J1:L2"/>
    <mergeCell ref="M1:O2"/>
    <mergeCell ref="K3:K4"/>
    <mergeCell ref="O3:O4"/>
    <mergeCell ref="L3:L4"/>
    <mergeCell ref="M3:M4"/>
    <mergeCell ref="N3:N4"/>
    <mergeCell ref="AB9:AC9"/>
    <mergeCell ref="AB11:AC11"/>
    <mergeCell ref="AB12:AC12"/>
    <mergeCell ref="AB13:AC13"/>
    <mergeCell ref="AB14:AC14"/>
    <mergeCell ref="AB15:AC15"/>
    <mergeCell ref="A2:B2"/>
    <mergeCell ref="A3:A4"/>
    <mergeCell ref="B3:B4"/>
    <mergeCell ref="D3:E4"/>
    <mergeCell ref="F3:F4"/>
    <mergeCell ref="AB18:AC18"/>
    <mergeCell ref="AB19:AC19"/>
    <mergeCell ref="AH38:AH48"/>
    <mergeCell ref="AB39:AC39"/>
    <mergeCell ref="AB40:AC40"/>
    <mergeCell ref="AB41:AC41"/>
    <mergeCell ref="AB43:AC43"/>
    <mergeCell ref="AB45:AC45"/>
    <mergeCell ref="AB46:AC46"/>
    <mergeCell ref="AB47:AC47"/>
    <mergeCell ref="AB23:AC23"/>
    <mergeCell ref="AB24:AC24"/>
    <mergeCell ref="AB25:AC25"/>
    <mergeCell ref="AB26:AC26"/>
    <mergeCell ref="AH27:AH37"/>
    <mergeCell ref="AB28:AC28"/>
    <mergeCell ref="AB34:AC34"/>
    <mergeCell ref="AB35:AC35"/>
    <mergeCell ref="AB36:AC36"/>
    <mergeCell ref="AB27:AC27"/>
    <mergeCell ref="AB37:AC37"/>
    <mergeCell ref="AB29:AC29"/>
    <mergeCell ref="AB30:AC30"/>
    <mergeCell ref="AB31:AC31"/>
    <mergeCell ref="AB32:AC32"/>
    <mergeCell ref="AB33:AC33"/>
    <mergeCell ref="A49:A58"/>
    <mergeCell ref="S49:S58"/>
    <mergeCell ref="AB49:AC49"/>
    <mergeCell ref="D58:E58"/>
    <mergeCell ref="A38:A48"/>
    <mergeCell ref="S38:S48"/>
    <mergeCell ref="AB38:AC38"/>
    <mergeCell ref="AB42:AC42"/>
    <mergeCell ref="AB44:AC44"/>
    <mergeCell ref="D48:E48"/>
    <mergeCell ref="AB48:AC4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168" priority="1" operator="greaterThan">
      <formula>0</formula>
    </cfRule>
  </conditionalFormatting>
  <conditionalFormatting sqref="Q5:Q79 AF5:AF79">
    <cfRule type="cellIs" dxfId="167" priority="4" operator="lessThan">
      <formula>0</formula>
    </cfRule>
  </conditionalFormatting>
  <conditionalFormatting sqref="R5:R79 AG5:AG79">
    <cfRule type="cellIs" dxfId="166" priority="2" operator="greaterThan">
      <formula>1</formula>
    </cfRule>
    <cfRule type="cellIs" dxfId="165" priority="3" operator="lessThan">
      <formula>0.8</formula>
    </cfRule>
  </conditionalFormatting>
  <conditionalFormatting sqref="S5:S10 S37:S62 AH59:AH62 S69:S76 AH69:AH76">
    <cfRule type="cellIs" dxfId="164" priority="7" operator="lessThan">
      <formula>0.8</formula>
    </cfRule>
  </conditionalFormatting>
  <conditionalFormatting sqref="S19:S25 AH19:AH25">
    <cfRule type="cellIs" dxfId="163" priority="6" operator="lessThan">
      <formula>0.8</formula>
    </cfRule>
  </conditionalFormatting>
  <conditionalFormatting sqref="S79">
    <cfRule type="cellIs" dxfId="162" priority="5" operator="lessThan">
      <formula>0.8</formula>
    </cfRule>
  </conditionalFormatting>
  <conditionalFormatting sqref="AH5:AH8 S15:S16 AH15:AH16 AH49 AH79">
    <cfRule type="cellIs" dxfId="161" priority="9" operator="lessThan">
      <formula>0.8</formula>
    </cfRule>
  </conditionalFormatting>
  <conditionalFormatting sqref="AH27 S27:S28">
    <cfRule type="cellIs" dxfId="1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EFAA1-B09F-428F-8927-67B4348D205B}">
  <dimension ref="B1:O26"/>
  <sheetViews>
    <sheetView topLeftCell="B1" zoomScale="70" zoomScaleNormal="70" workbookViewId="0">
      <selection activeCell="L24" sqref="L2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46280</v>
      </c>
      <c r="E3" s="504"/>
      <c r="F3" s="3" t="s">
        <v>72</v>
      </c>
      <c r="G3" s="505">
        <f>'0915'!E1</f>
        <v>64251</v>
      </c>
      <c r="H3" s="505"/>
      <c r="I3" s="3" t="s">
        <v>2</v>
      </c>
      <c r="J3" s="506">
        <f>'0915'!G1</f>
        <v>2950919.2310000001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129.52331978634498</v>
      </c>
      <c r="G6" s="501"/>
      <c r="H6" s="502">
        <f>AVERAGE(D13:H13)</f>
        <v>127.60378989202518</v>
      </c>
      <c r="I6" s="502"/>
      <c r="J6" s="502">
        <f>AVERAGE(I13:J13)</f>
        <v>134.32214452214453</v>
      </c>
      <c r="K6" s="502"/>
      <c r="L6" s="492">
        <f>'0915'!Z2</f>
        <v>0</v>
      </c>
      <c r="M6" s="493">
        <f>'0915'!AA2</f>
        <v>0</v>
      </c>
      <c r="N6" s="494">
        <f>'0915'!AD2</f>
        <v>0</v>
      </c>
      <c r="O6" s="493">
        <f>'0915'!AE2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113.2112741504645</v>
      </c>
      <c r="G7" s="490"/>
      <c r="H7" s="491">
        <f>AVERAGE(D14:H14)</f>
        <v>112.47135564896141</v>
      </c>
      <c r="I7" s="491"/>
      <c r="J7" s="491">
        <f>AVERAGE(I14:J14)</f>
        <v>115.06107040422222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0.87186507474742936</v>
      </c>
      <c r="G8" s="496"/>
      <c r="H8" s="496">
        <f>AVERAGE(D15:H15)</f>
        <v>0.87813700255551996</v>
      </c>
      <c r="I8" s="496"/>
      <c r="J8" s="496">
        <f>AVERAGE(I15:J15)</f>
        <v>0.85618525522720301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VALUE('0915'!L15)</f>
        <v>163.80494505494505</v>
      </c>
      <c r="E13" s="13">
        <f>VALUE('0915'!L26)</f>
        <v>173.76373626373626</v>
      </c>
      <c r="F13" s="13">
        <f>VALUE('0915'!L37)</f>
        <v>93.673474945533769</v>
      </c>
      <c r="G13" s="13">
        <f>VALUE('0915'!L48)</f>
        <v>96.300925925925924</v>
      </c>
      <c r="H13" s="13">
        <f>VALUE('0915'!L58)</f>
        <v>110.47586726998492</v>
      </c>
      <c r="I13" s="13">
        <f>VALUE('0915'!L69)</f>
        <v>138.81212121212121</v>
      </c>
      <c r="J13" s="13">
        <f>'0915'!L79</f>
        <v>129.83216783216781</v>
      </c>
    </row>
    <row r="14" spans="2:15" ht="39.950000000000003" customHeight="1">
      <c r="B14" s="484"/>
      <c r="C14" s="12" t="s">
        <v>100</v>
      </c>
      <c r="D14" s="13">
        <f>VALUE('0915'!O15)</f>
        <v>145.790877645975</v>
      </c>
      <c r="E14" s="13">
        <f>VALUE('0915'!O26)</f>
        <v>155.23526434658706</v>
      </c>
      <c r="F14" s="13">
        <f>VALUE('0915'!O37)</f>
        <v>80.220282747640809</v>
      </c>
      <c r="G14" s="13">
        <f>VALUE('0915'!O48)</f>
        <v>83.715866311870158</v>
      </c>
      <c r="H14" s="13">
        <f>VALUE('0915'!O58)</f>
        <v>97.394487192734019</v>
      </c>
      <c r="I14" s="13">
        <f>VALUE('0915'!O69)</f>
        <v>120.59350649350711</v>
      </c>
      <c r="J14" s="13">
        <f>'0915'!O79</f>
        <v>109.52863431493735</v>
      </c>
    </row>
    <row r="15" spans="2:15" ht="39.950000000000003" customHeight="1">
      <c r="B15" s="485"/>
      <c r="C15" s="10" t="s">
        <v>26</v>
      </c>
      <c r="D15" s="14">
        <f t="shared" ref="D15:I15" si="0">D14/D13</f>
        <v>0.8900273285221787</v>
      </c>
      <c r="E15" s="14">
        <f t="shared" si="0"/>
        <v>0.89336974264280933</v>
      </c>
      <c r="F15" s="14">
        <f t="shared" si="0"/>
        <v>0.85638205259583577</v>
      </c>
      <c r="G15" s="14">
        <f t="shared" si="0"/>
        <v>0.86931527923484231</v>
      </c>
      <c r="H15" s="14">
        <f t="shared" si="0"/>
        <v>0.88159060978193415</v>
      </c>
      <c r="I15" s="14">
        <f t="shared" si="0"/>
        <v>0.86875343046754594</v>
      </c>
      <c r="J15" s="15">
        <f>'0915'!S70</f>
        <v>0.84361707998686009</v>
      </c>
    </row>
    <row r="16" spans="2:15" ht="17.25" customHeight="1">
      <c r="B16" s="486" t="s">
        <v>101</v>
      </c>
      <c r="C16" s="10" t="s">
        <v>34</v>
      </c>
      <c r="D16" s="16">
        <f>'0915'!T5</f>
        <v>0.29375000000000001</v>
      </c>
      <c r="E16" s="16">
        <f>'0915'!T16</f>
        <v>0.29097222222222202</v>
      </c>
      <c r="F16" s="16">
        <f>'0915'!T27</f>
        <v>0.29513888888888901</v>
      </c>
      <c r="G16" s="16">
        <f>'0915'!T38</f>
        <v>0.33333333333333298</v>
      </c>
      <c r="H16" s="16">
        <f>'0915'!T49</f>
        <v>0.29166666666666702</v>
      </c>
      <c r="I16" s="16">
        <f>'0915'!T59</f>
        <v>0.29166666666666702</v>
      </c>
      <c r="J16" s="17">
        <f>'0915'!T70</f>
        <v>0.30138888888888898</v>
      </c>
    </row>
    <row r="17" spans="2:10" ht="17.25" customHeight="1">
      <c r="B17" s="487"/>
      <c r="C17" s="10" t="s">
        <v>35</v>
      </c>
      <c r="D17" s="16">
        <v>0.57777777777777795</v>
      </c>
      <c r="E17" s="183">
        <v>0.64861111111111103</v>
      </c>
      <c r="F17" s="19">
        <v>0.65763888888888899</v>
      </c>
      <c r="G17" s="328">
        <v>0.69722222222222197</v>
      </c>
      <c r="H17" s="19">
        <v>0.59375</v>
      </c>
      <c r="I17" s="110">
        <v>0.49444444444444402</v>
      </c>
      <c r="J17" s="22">
        <v>0.64722222222222203</v>
      </c>
    </row>
    <row r="18" spans="2:10" ht="17.25" customHeight="1">
      <c r="B18" s="488" t="s">
        <v>102</v>
      </c>
      <c r="C18" s="330" t="s">
        <v>36</v>
      </c>
      <c r="D18" s="359">
        <f>'0915'!Z15</f>
        <v>0</v>
      </c>
      <c r="E18" s="360">
        <f>'0915'!Z26</f>
        <v>0</v>
      </c>
      <c r="F18" s="360">
        <f>'0915'!Z37</f>
        <v>0</v>
      </c>
      <c r="G18" s="361">
        <f>'0915'!Z48</f>
        <v>0</v>
      </c>
      <c r="H18" s="361">
        <f>'0915'!Z58</f>
        <v>0</v>
      </c>
      <c r="I18" s="360">
        <f>'0915'!Z69</f>
        <v>0</v>
      </c>
      <c r="J18" s="360">
        <f>'0915'!AA79</f>
        <v>0</v>
      </c>
    </row>
    <row r="19" spans="2:10" ht="17.25" customHeight="1">
      <c r="B19" s="489"/>
      <c r="C19" s="330" t="s">
        <v>37</v>
      </c>
      <c r="D19" s="359">
        <f>'0915'!AA15</f>
        <v>0</v>
      </c>
      <c r="E19" s="360">
        <f>'0915'!AA26</f>
        <v>0</v>
      </c>
      <c r="F19" s="360">
        <f>'0915'!AA37</f>
        <v>0</v>
      </c>
      <c r="G19" s="361">
        <f>'0915'!AA48</f>
        <v>0</v>
      </c>
      <c r="H19" s="361">
        <f>'0915'!AA58</f>
        <v>0</v>
      </c>
      <c r="I19" s="360">
        <f>'0915'!AA69</f>
        <v>0</v>
      </c>
      <c r="J19" s="360">
        <f>'0915'!AB79</f>
        <v>0</v>
      </c>
    </row>
    <row r="20" spans="2:10" ht="17.25" customHeight="1">
      <c r="B20" s="488" t="s">
        <v>103</v>
      </c>
      <c r="C20" s="330" t="s">
        <v>36</v>
      </c>
      <c r="D20" s="359">
        <f>'0915'!AD15</f>
        <v>0</v>
      </c>
      <c r="E20" s="360">
        <f>'0915'!AD26</f>
        <v>0</v>
      </c>
      <c r="F20" s="360">
        <f>'0915'!AD37</f>
        <v>0</v>
      </c>
      <c r="G20" s="361">
        <f>'0915'!AD48</f>
        <v>0</v>
      </c>
      <c r="H20" s="361">
        <f>'0915'!AD58</f>
        <v>0</v>
      </c>
      <c r="I20" s="360">
        <f>'0915'!AD69</f>
        <v>0</v>
      </c>
      <c r="J20" s="360">
        <f>'0915'!AD79</f>
        <v>0</v>
      </c>
    </row>
    <row r="21" spans="2:10" ht="17.25" customHeight="1">
      <c r="B21" s="489"/>
      <c r="C21" s="330" t="s">
        <v>85</v>
      </c>
      <c r="D21" s="359">
        <f>'0915'!AE15</f>
        <v>0</v>
      </c>
      <c r="E21" s="360">
        <f>'0915'!AE26</f>
        <v>0</v>
      </c>
      <c r="F21" s="360">
        <f>'0915'!AE37</f>
        <v>0</v>
      </c>
      <c r="G21" s="361">
        <f>'0915'!AE48</f>
        <v>0</v>
      </c>
      <c r="H21" s="361">
        <f>'0915'!AE58</f>
        <v>0</v>
      </c>
      <c r="I21" s="360">
        <f>'0915'!AE69</f>
        <v>0</v>
      </c>
      <c r="J21" s="360">
        <f>'0915'!AE79</f>
        <v>0</v>
      </c>
    </row>
    <row r="22" spans="2:10" ht="17.25" customHeight="1">
      <c r="B22" s="471" t="s">
        <v>104</v>
      </c>
      <c r="C22" s="472"/>
      <c r="D22" s="23">
        <f>VALUE('0915'!M15)</f>
        <v>13.75</v>
      </c>
      <c r="E22" s="23">
        <f>VALUE('0915'!M26)</f>
        <v>13</v>
      </c>
      <c r="F22" s="23">
        <f>VALUE('0915'!M37)</f>
        <v>17.5</v>
      </c>
      <c r="G22" s="23">
        <f>VALUE('0915'!M48)</f>
        <v>17.333333333333332</v>
      </c>
      <c r="H22" s="23">
        <f>VALUE('0915'!M58)</f>
        <v>15.5</v>
      </c>
      <c r="I22" s="23">
        <f>VALUE('0915'!M69)</f>
        <v>12</v>
      </c>
      <c r="J22" s="23">
        <f>'0915'!M79</f>
        <v>12.333333333333334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8AF4-0BBA-4633-A8C9-CC1C22CF5851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L24" sqref="L24"/>
      <selection pane="topRight" activeCell="L24" sqref="L24"/>
      <selection pane="bottomLeft" activeCell="L24" sqref="L24"/>
      <selection pane="bottomRight" activeCell="L24" sqref="L2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64251</v>
      </c>
      <c r="F1" s="30" t="s">
        <v>2</v>
      </c>
      <c r="G1" s="31">
        <f>SUM(H5:H79)</f>
        <v>2950919.2310000001</v>
      </c>
      <c r="H1" s="32" t="s">
        <v>3</v>
      </c>
      <c r="I1" s="33">
        <f>M15+M26+M48+M58+M69+M79+M37</f>
        <v>101.41666666666666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178</v>
      </c>
      <c r="B2" s="462"/>
      <c r="C2" s="28"/>
      <c r="D2" s="28" t="s">
        <v>14</v>
      </c>
      <c r="E2" s="35">
        <f>AVERAGE(O15,O26,O37,O48,O58,O69,O79)</f>
        <v>113.2112741504645</v>
      </c>
      <c r="F2" s="36" t="s">
        <v>15</v>
      </c>
      <c r="G2" s="37">
        <f>G1/E1</f>
        <v>45.927989151919817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0</v>
      </c>
      <c r="AA2" s="339">
        <f>AA15+AA26+AA37+AA48+AA58+AA69+AA79</f>
        <v>0</v>
      </c>
      <c r="AB2" s="433"/>
      <c r="AC2" s="433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f>2951+49</f>
        <v>3000</v>
      </c>
      <c r="H5" s="43">
        <f>F5*G5</f>
        <v>170610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1607.1428571428523</v>
      </c>
      <c r="O5" s="47">
        <f>N5/M5</f>
        <v>114.7959183673466</v>
      </c>
      <c r="P5" s="49">
        <f>M5-J5</f>
        <v>0</v>
      </c>
      <c r="Q5" s="50">
        <f>O5-L5</f>
        <v>-45.918367346939121</v>
      </c>
      <c r="R5" s="51">
        <f>O5/L5</f>
        <v>0.71428571428571219</v>
      </c>
      <c r="S5" s="392">
        <f>R15</f>
        <v>0.8900273285221787</v>
      </c>
      <c r="T5" s="319">
        <v>0.29375000000000001</v>
      </c>
      <c r="U5" s="320">
        <v>0.37152777777777801</v>
      </c>
      <c r="V5" s="53"/>
      <c r="W5" s="54">
        <f t="shared" ref="W5:W14" si="0">(U5-T5)*24*60</f>
        <v>112.00000000000033</v>
      </c>
      <c r="X5" s="55"/>
      <c r="Y5" s="290"/>
      <c r="Z5" s="169"/>
      <c r="AA5" s="169"/>
      <c r="AB5" s="397" t="s">
        <v>179</v>
      </c>
      <c r="AC5" s="397"/>
      <c r="AD5" s="135"/>
      <c r="AE5" s="135"/>
      <c r="AF5" s="229">
        <f t="shared" ref="AF5:AF8" si="1">N5-K5</f>
        <v>-642.85714285714766</v>
      </c>
      <c r="AG5" s="52">
        <f t="shared" ref="AG5:AG8" si="2">N5/K5</f>
        <v>0.71428571428571219</v>
      </c>
      <c r="AH5" s="380">
        <f>AG15</f>
        <v>0.8883940204246531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f>1487+12</f>
        <v>1499</v>
      </c>
      <c r="H6" s="63">
        <f>F6*G6</f>
        <v>87196.83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2193.6585365853821</v>
      </c>
      <c r="O6" s="67">
        <f>N6/M6</f>
        <v>168.74296435272169</v>
      </c>
      <c r="P6" s="69">
        <f>M6-J6</f>
        <v>0</v>
      </c>
      <c r="Q6" s="70">
        <f>O6-L6</f>
        <v>-4.3339587242013806</v>
      </c>
      <c r="R6" s="71">
        <f>O6/L6</f>
        <v>0.97495934959350317</v>
      </c>
      <c r="S6" s="393"/>
      <c r="T6" s="16">
        <v>0.38124999999999998</v>
      </c>
      <c r="U6" s="16">
        <v>0.40972222222222199</v>
      </c>
      <c r="V6" s="30">
        <f>(T6-U5)*24*60</f>
        <v>13.999999999999631</v>
      </c>
      <c r="W6" s="73">
        <f t="shared" si="0"/>
        <v>40.999999999999694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-56.34146341461792</v>
      </c>
      <c r="AG6" s="72">
        <f t="shared" si="2"/>
        <v>0.97495934959350317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2912</v>
      </c>
      <c r="H7" s="78">
        <f>F7*G7</f>
        <v>143095.67999999999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2031.6279069767534</v>
      </c>
      <c r="O7" s="81">
        <f>N7/M7</f>
        <v>145.1162790697681</v>
      </c>
      <c r="P7" s="74">
        <f>M7-J7</f>
        <v>0</v>
      </c>
      <c r="Q7" s="83">
        <f>O7-L7</f>
        <v>-15.598006644517625</v>
      </c>
      <c r="R7" s="72">
        <f>O7/L7</f>
        <v>0.90294573643411258</v>
      </c>
      <c r="S7" s="393"/>
      <c r="T7" s="18">
        <v>0.41597222222222202</v>
      </c>
      <c r="U7" s="18">
        <v>0.47569444444444398</v>
      </c>
      <c r="V7" s="30">
        <f>(T7-U6)*24*60</f>
        <v>9.000000000000048</v>
      </c>
      <c r="W7" s="73">
        <f t="shared" si="0"/>
        <v>85.999999999999616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-218.37209302324663</v>
      </c>
      <c r="AG7" s="72">
        <f t="shared" si="2"/>
        <v>0.90294573643411258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2776</v>
      </c>
      <c r="H8" s="78">
        <f>F8*G8</f>
        <v>136412.64000000001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2163.1168831168907</v>
      </c>
      <c r="O8" s="81">
        <f>N8/M8</f>
        <v>154.50834879406361</v>
      </c>
      <c r="P8" s="74">
        <f>M8-J8</f>
        <v>0</v>
      </c>
      <c r="Q8" s="83">
        <f>O8-L8</f>
        <v>-6.2059369202221148</v>
      </c>
      <c r="R8" s="72">
        <f>O8/L8</f>
        <v>0.96138528138528467</v>
      </c>
      <c r="S8" s="393"/>
      <c r="T8" s="16">
        <v>0.54166666666666696</v>
      </c>
      <c r="U8" s="16">
        <v>0.59513888888888899</v>
      </c>
      <c r="V8" s="30">
        <f>(T8-U7)*24*60</f>
        <v>95.000000000001108</v>
      </c>
      <c r="W8" s="73">
        <f t="shared" si="0"/>
        <v>76.99999999999973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-86.883116883109324</v>
      </c>
      <c r="AG8" s="72">
        <f t="shared" si="2"/>
        <v>0.96138528138528478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/>
      <c r="AG9" s="72"/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/>
      <c r="AG10" s="72"/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/>
      <c r="AG11" s="72"/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13.75</v>
      </c>
      <c r="K15" s="120">
        <f t="shared" si="3"/>
        <v>2250</v>
      </c>
      <c r="L15" s="117">
        <f t="shared" si="3"/>
        <v>163.80494505494505</v>
      </c>
      <c r="M15" s="120">
        <f t="shared" si="3"/>
        <v>13.75</v>
      </c>
      <c r="N15" s="120">
        <f t="shared" si="3"/>
        <v>1998.8865459554695</v>
      </c>
      <c r="O15" s="117">
        <f t="shared" si="3"/>
        <v>145.790877645975</v>
      </c>
      <c r="P15" s="121">
        <f>M15-J15</f>
        <v>0</v>
      </c>
      <c r="Q15" s="122">
        <f>O15-L15</f>
        <v>-18.01406740897005</v>
      </c>
      <c r="R15" s="123">
        <f>O15/L15</f>
        <v>0.8900273285221787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-251.1134540445305</v>
      </c>
      <c r="AG15" s="124">
        <f>N15/K15</f>
        <v>0.8883940204246531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f>4371+345</f>
        <v>4716</v>
      </c>
      <c r="H16" s="134">
        <f>F16*G16</f>
        <v>238959.72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1899.0604026845685</v>
      </c>
      <c r="O16" s="141">
        <f>N16/M16</f>
        <v>146.08156943727451</v>
      </c>
      <c r="P16" s="142">
        <f>M16-J16</f>
        <v>0</v>
      </c>
      <c r="Q16" s="143">
        <f>O16-L16</f>
        <v>-26.995353639648556</v>
      </c>
      <c r="R16" s="144">
        <f>O16/L16</f>
        <v>0.84402684563758612</v>
      </c>
      <c r="S16" s="420">
        <f>R26</f>
        <v>0.89336974264280933</v>
      </c>
      <c r="T16" s="145">
        <v>0.29097222222222202</v>
      </c>
      <c r="U16" s="145">
        <v>0.39444444444444399</v>
      </c>
      <c r="V16" s="135"/>
      <c r="W16" s="146">
        <f t="shared" ref="W16:W78" si="4">(U16-T16)*24*60</f>
        <v>148.99999999999963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-350.93959731543146</v>
      </c>
      <c r="AG16" s="52">
        <f>N16/K16</f>
        <v>0.84402684563758601</v>
      </c>
      <c r="AH16" s="380">
        <f>AG26</f>
        <v>0.89108141231398252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3008</v>
      </c>
      <c r="H17" s="78">
        <f>F17*G17</f>
        <v>151573.12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1961.73913043481</v>
      </c>
      <c r="O17" s="96">
        <f>N17/M17</f>
        <v>140.12422360248644</v>
      </c>
      <c r="P17" s="97">
        <f>M17-J17</f>
        <v>0</v>
      </c>
      <c r="Q17" s="98">
        <f>O17-L17</f>
        <v>-20.590062111799284</v>
      </c>
      <c r="R17" s="99">
        <f>O17/L17</f>
        <v>0.87188405797102664</v>
      </c>
      <c r="S17" s="421"/>
      <c r="T17" s="19">
        <v>0.41180555555555598</v>
      </c>
      <c r="U17" s="19">
        <v>0.47569444444444398</v>
      </c>
      <c r="V17" s="30">
        <f>(T17-U16)*24*60</f>
        <v>25.000000000001272</v>
      </c>
      <c r="W17" s="149">
        <f t="shared" si="4"/>
        <v>91.999999999998721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-288.26086956518998</v>
      </c>
      <c r="AG17" s="72">
        <f>N17/K17</f>
        <v>0.87188405797102664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2513</v>
      </c>
      <c r="H18" s="78">
        <f>F18*G18</f>
        <v>126630.07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2154.0000000000023</v>
      </c>
      <c r="O18" s="96">
        <f>N18/M18</f>
        <v>179.5000000000002</v>
      </c>
      <c r="P18" s="97">
        <f>M18-J18</f>
        <v>0</v>
      </c>
      <c r="Q18" s="98">
        <f>O18-L18</f>
        <v>-7.999999999999801</v>
      </c>
      <c r="R18" s="99">
        <f>O18/L18</f>
        <v>0.95733333333333437</v>
      </c>
      <c r="S18" s="421"/>
      <c r="T18" s="19">
        <v>0.54166666666666696</v>
      </c>
      <c r="U18" s="19">
        <v>0.59027777777777801</v>
      </c>
      <c r="V18" s="30">
        <f>(T18-U17)*24*60</f>
        <v>95.000000000001108</v>
      </c>
      <c r="W18" s="149">
        <f t="shared" si="4"/>
        <v>69.999999999999915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-95.999999999997726</v>
      </c>
      <c r="AG18" s="72">
        <f>N18/K18</f>
        <v>0.95733333333333437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/>
      <c r="AG19" s="72"/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173.76373626373626</v>
      </c>
      <c r="M26" s="155">
        <f t="shared" si="5"/>
        <v>13</v>
      </c>
      <c r="N26" s="155">
        <f t="shared" si="5"/>
        <v>2004.9331777064606</v>
      </c>
      <c r="O26" s="158">
        <f t="shared" si="5"/>
        <v>155.23526434658706</v>
      </c>
      <c r="P26" s="159">
        <f>M26-J26</f>
        <v>0</v>
      </c>
      <c r="Q26" s="160">
        <f>O26-L26</f>
        <v>-18.528471917149204</v>
      </c>
      <c r="R26" s="161">
        <f>O26/L26</f>
        <v>0.89336974264280933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-245.06682229353942</v>
      </c>
      <c r="AG26" s="124">
        <f t="shared" ref="AG26:AG31" si="7">N26/K26</f>
        <v>0.89108141231398252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161</v>
      </c>
      <c r="E27" s="132"/>
      <c r="F27" s="129">
        <f>VLOOKUP(D27,廠價表!$C$1:$E$43,3,0)</f>
        <v>52.21</v>
      </c>
      <c r="G27" s="169">
        <v>1274</v>
      </c>
      <c r="H27" s="134">
        <f>F27*G27</f>
        <v>66515.540000000008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18</v>
      </c>
      <c r="N27" s="140">
        <f>G27/W27*60</f>
        <v>1317.9310344827525</v>
      </c>
      <c r="O27" s="141">
        <f>N27/M27</f>
        <v>73.218390804597362</v>
      </c>
      <c r="P27" s="142">
        <f>M27-J27</f>
        <v>0</v>
      </c>
      <c r="Q27" s="143">
        <f>O27-L27</f>
        <v>-17.670498084291523</v>
      </c>
      <c r="R27" s="144">
        <f>O27/L27</f>
        <v>0.80558131692099788</v>
      </c>
      <c r="S27" s="420">
        <f>R37</f>
        <v>0.85638205259583577</v>
      </c>
      <c r="T27" s="171">
        <v>0.29513888888888901</v>
      </c>
      <c r="U27" s="171">
        <v>0.33541666666666697</v>
      </c>
      <c r="V27" s="135"/>
      <c r="W27" s="146">
        <f t="shared" si="4"/>
        <v>58.00000000000027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6"/>
        <v>-318.06896551724753</v>
      </c>
      <c r="AG27" s="172">
        <f t="shared" si="7"/>
        <v>0.80558131692099788</v>
      </c>
      <c r="AH27" s="380">
        <f>AG37</f>
        <v>0.85539269095275716</v>
      </c>
    </row>
    <row r="28" spans="1:34" ht="15" customHeight="1">
      <c r="A28" s="418"/>
      <c r="B28" s="75" t="s">
        <v>81</v>
      </c>
      <c r="C28" s="173"/>
      <c r="D28" s="59" t="s">
        <v>123</v>
      </c>
      <c r="E28" s="104"/>
      <c r="F28" s="75">
        <f>VLOOKUP(D28,廠價表!$C$1:$E$43,3,0)</f>
        <v>57.21</v>
      </c>
      <c r="G28" s="90">
        <v>991</v>
      </c>
      <c r="H28" s="91">
        <f>F28*G28</f>
        <v>56695.11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1524.6153846154025</v>
      </c>
      <c r="O28" s="96">
        <f>N28/M28</f>
        <v>84.7008547008557</v>
      </c>
      <c r="P28" s="97">
        <f>M28-J28</f>
        <v>0</v>
      </c>
      <c r="Q28" s="98">
        <f>O28-L28</f>
        <v>-6.1880341880331855</v>
      </c>
      <c r="R28" s="99">
        <f>O28/L28</f>
        <v>0.93191649426369361</v>
      </c>
      <c r="S28" s="421"/>
      <c r="T28" s="19">
        <v>0.34027777777777801</v>
      </c>
      <c r="U28" s="19">
        <v>0.36736111111111103</v>
      </c>
      <c r="V28" s="92">
        <f>(T28-U27)*24*60</f>
        <v>6.9999999999998952</v>
      </c>
      <c r="W28" s="149">
        <f t="shared" si="4"/>
        <v>38.999999999999545</v>
      </c>
      <c r="X28" s="174"/>
      <c r="Y28" s="301"/>
      <c r="Z28" s="335"/>
      <c r="AA28" s="335"/>
      <c r="AB28" s="386" t="s">
        <v>180</v>
      </c>
      <c r="AC28" s="386"/>
      <c r="AD28" s="92"/>
      <c r="AE28" s="92"/>
      <c r="AF28" s="311">
        <f t="shared" si="6"/>
        <v>-111.38461538459751</v>
      </c>
      <c r="AG28" s="99">
        <f t="shared" si="7"/>
        <v>0.9319164942636935</v>
      </c>
      <c r="AH28" s="381"/>
    </row>
    <row r="29" spans="1:34" ht="15" customHeight="1">
      <c r="A29" s="418"/>
      <c r="B29" s="75" t="s">
        <v>81</v>
      </c>
      <c r="C29" s="88"/>
      <c r="D29" s="59" t="s">
        <v>126</v>
      </c>
      <c r="E29" s="89"/>
      <c r="F29" s="75">
        <f>VLOOKUP(D29,廠價表!$C$1:$E$43,3,0)</f>
        <v>45.66</v>
      </c>
      <c r="G29" s="90">
        <f>680+64</f>
        <v>744</v>
      </c>
      <c r="H29" s="91">
        <f t="shared" ref="H29:H32" si="8">F29*G29</f>
        <v>33971.040000000001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 t="shared" ref="L29:L32" si="9">K29/J29</f>
        <v>96.235294117647058</v>
      </c>
      <c r="M29" s="94">
        <v>17</v>
      </c>
      <c r="N29" s="95">
        <f>G29/W29*60</f>
        <v>1439.9999999999866</v>
      </c>
      <c r="O29" s="96">
        <f>N29/M29</f>
        <v>84.705882352940392</v>
      </c>
      <c r="P29" s="97">
        <f>M29-J29</f>
        <v>0</v>
      </c>
      <c r="Q29" s="98">
        <f>O29-L29</f>
        <v>-11.529411764706666</v>
      </c>
      <c r="R29" s="99">
        <f>O29/L29</f>
        <v>0.88019559902199673</v>
      </c>
      <c r="S29" s="421"/>
      <c r="T29" s="19">
        <v>0.37638888888888899</v>
      </c>
      <c r="U29" s="19">
        <v>0.39791666666666697</v>
      </c>
      <c r="V29" s="92">
        <f>(T29-U28)*24*60</f>
        <v>13.000000000000274</v>
      </c>
      <c r="W29" s="149">
        <f t="shared" si="4"/>
        <v>31.000000000000291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-196.00000000001342</v>
      </c>
      <c r="AG29" s="99">
        <f t="shared" si="7"/>
        <v>0.88019559902199673</v>
      </c>
      <c r="AH29" s="381"/>
    </row>
    <row r="30" spans="1:34" ht="15" customHeight="1">
      <c r="A30" s="418"/>
      <c r="B30" s="75" t="s">
        <v>81</v>
      </c>
      <c r="C30" s="88"/>
      <c r="D30" s="59" t="s">
        <v>124</v>
      </c>
      <c r="E30" s="89"/>
      <c r="F30" s="75">
        <f>VLOOKUP(D30,廠價表!$C$1:$E$43,3,0)</f>
        <v>46.34</v>
      </c>
      <c r="G30" s="90">
        <v>1217</v>
      </c>
      <c r="H30" s="91">
        <f t="shared" si="8"/>
        <v>56395.780000000006</v>
      </c>
      <c r="I30" s="92"/>
      <c r="J30" s="79">
        <f>VLOOKUP(D30,產線配置圖!$A$3:$C$40,2,0)</f>
        <v>16</v>
      </c>
      <c r="K30" s="80">
        <f>VLOOKUP(D30,產線配置圖!$A$3:$C$40,3,0)</f>
        <v>1636</v>
      </c>
      <c r="L30" s="93">
        <f t="shared" si="9"/>
        <v>102.25</v>
      </c>
      <c r="M30" s="94">
        <v>16</v>
      </c>
      <c r="N30" s="95">
        <f t="shared" ref="N30:N32" si="10">G30/W30*60</f>
        <v>1460.4000000000101</v>
      </c>
      <c r="O30" s="96">
        <f t="shared" ref="O30:O32" si="11">N30/M30</f>
        <v>91.275000000000631</v>
      </c>
      <c r="P30" s="97">
        <f t="shared" ref="P30:P32" si="12">M30-J30</f>
        <v>0</v>
      </c>
      <c r="Q30" s="98">
        <f t="shared" ref="Q30:Q32" si="13">O30-L30</f>
        <v>-10.974999999999369</v>
      </c>
      <c r="R30" s="99">
        <f t="shared" ref="R30:R32" si="14">O30/L30</f>
        <v>0.89266503667482278</v>
      </c>
      <c r="S30" s="421"/>
      <c r="T30" s="19">
        <v>0.40416666666666701</v>
      </c>
      <c r="U30" s="19">
        <v>0.43888888888888899</v>
      </c>
      <c r="V30" s="92">
        <f t="shared" ref="V30:V32" si="15">(T30-U29)*24*60</f>
        <v>9.000000000000048</v>
      </c>
      <c r="W30" s="149">
        <f t="shared" si="4"/>
        <v>49.999999999999659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-175.5999999999899</v>
      </c>
      <c r="AG30" s="99">
        <f t="shared" si="7"/>
        <v>0.89266503667482278</v>
      </c>
      <c r="AH30" s="416"/>
    </row>
    <row r="31" spans="1:34" ht="15" customHeight="1">
      <c r="A31" s="418"/>
      <c r="B31" s="75" t="s">
        <v>81</v>
      </c>
      <c r="C31" s="177"/>
      <c r="D31" s="59" t="s">
        <v>161</v>
      </c>
      <c r="E31" s="178"/>
      <c r="F31" s="75">
        <f>VLOOKUP(D31,廠價表!$C$1:$E$43,3,0)</f>
        <v>52.21</v>
      </c>
      <c r="G31" s="90">
        <f>650+35+69</f>
        <v>754</v>
      </c>
      <c r="H31" s="91">
        <f t="shared" si="8"/>
        <v>39366.340000000004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9"/>
        <v>90.888888888888886</v>
      </c>
      <c r="M31" s="94">
        <v>18</v>
      </c>
      <c r="N31" s="95">
        <f t="shared" si="10"/>
        <v>1330.5882352941255</v>
      </c>
      <c r="O31" s="96">
        <f t="shared" si="11"/>
        <v>73.921568627451421</v>
      </c>
      <c r="P31" s="97">
        <f t="shared" si="12"/>
        <v>0</v>
      </c>
      <c r="Q31" s="98">
        <f t="shared" si="13"/>
        <v>-16.967320261437465</v>
      </c>
      <c r="R31" s="99">
        <f t="shared" si="14"/>
        <v>0.81331799223357315</v>
      </c>
      <c r="S31" s="421"/>
      <c r="T31" s="19">
        <v>0.44583333333333303</v>
      </c>
      <c r="U31" s="19">
        <v>0.469444444444444</v>
      </c>
      <c r="V31" s="92">
        <f t="shared" si="15"/>
        <v>9.9999999999994049</v>
      </c>
      <c r="W31" s="149">
        <f t="shared" si="4"/>
        <v>33.999999999999801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-305.41176470587448</v>
      </c>
      <c r="AG31" s="99">
        <f t="shared" si="7"/>
        <v>0.81331799223357304</v>
      </c>
      <c r="AH31" s="383"/>
    </row>
    <row r="32" spans="1:34" ht="15" customHeight="1">
      <c r="A32" s="418"/>
      <c r="B32" s="75" t="s">
        <v>81</v>
      </c>
      <c r="C32" s="173"/>
      <c r="D32" s="59" t="s">
        <v>161</v>
      </c>
      <c r="E32" s="104"/>
      <c r="F32" s="75">
        <f>VLOOKUP(D32,廠價表!$C$1:$E$43,3,0)</f>
        <v>52.21</v>
      </c>
      <c r="G32" s="90">
        <v>2646</v>
      </c>
      <c r="H32" s="91">
        <f t="shared" si="8"/>
        <v>138147.66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9"/>
        <v>90.888888888888886</v>
      </c>
      <c r="M32" s="94">
        <v>18</v>
      </c>
      <c r="N32" s="95">
        <f t="shared" si="10"/>
        <v>1322.9999999999889</v>
      </c>
      <c r="O32" s="96">
        <f t="shared" si="11"/>
        <v>73.499999999999375</v>
      </c>
      <c r="P32" s="97">
        <f t="shared" si="12"/>
        <v>0</v>
      </c>
      <c r="Q32" s="98">
        <f t="shared" si="13"/>
        <v>-17.388888888889511</v>
      </c>
      <c r="R32" s="99">
        <f t="shared" si="14"/>
        <v>0.80867970660146016</v>
      </c>
      <c r="S32" s="421"/>
      <c r="T32" s="19">
        <v>0.54097222222222197</v>
      </c>
      <c r="U32" s="19">
        <v>0.624305555555556</v>
      </c>
      <c r="V32" s="92">
        <f t="shared" si="15"/>
        <v>103.00000000000027</v>
      </c>
      <c r="W32" s="149">
        <f t="shared" si="4"/>
        <v>120.00000000000101</v>
      </c>
      <c r="X32" s="174"/>
      <c r="Y32" s="301"/>
      <c r="Z32" s="335"/>
      <c r="AA32" s="335"/>
      <c r="AB32" s="386" t="s">
        <v>181</v>
      </c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76"/>
      <c r="D33" s="59"/>
      <c r="E33" s="77"/>
      <c r="F33" s="75"/>
      <c r="G33" s="147"/>
      <c r="H33" s="78"/>
      <c r="I33" s="30"/>
      <c r="J33" s="79"/>
      <c r="K33" s="80"/>
      <c r="L33" s="81"/>
      <c r="M33" s="148"/>
      <c r="N33" s="95"/>
      <c r="O33" s="96"/>
      <c r="P33" s="97"/>
      <c r="Q33" s="98"/>
      <c r="R33" s="99"/>
      <c r="S33" s="421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30"/>
      <c r="C34" s="151"/>
      <c r="D34" s="59"/>
      <c r="E34" s="87"/>
      <c r="F34" s="105"/>
      <c r="G34" s="95"/>
      <c r="H34" s="78"/>
      <c r="I34" s="149"/>
      <c r="J34" s="148"/>
      <c r="K34" s="95"/>
      <c r="L34" s="96"/>
      <c r="M34" s="148"/>
      <c r="N34" s="95"/>
      <c r="O34" s="96"/>
      <c r="P34" s="97"/>
      <c r="Q34" s="98"/>
      <c r="R34" s="99"/>
      <c r="S34" s="421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86"/>
      <c r="D35" s="59"/>
      <c r="E35" s="87"/>
      <c r="F35" s="75"/>
      <c r="G35" s="147"/>
      <c r="H35" s="78"/>
      <c r="I35" s="30"/>
      <c r="J35" s="79"/>
      <c r="K35" s="80"/>
      <c r="L35" s="81"/>
      <c r="M35" s="148"/>
      <c r="N35" s="95"/>
      <c r="O35" s="96"/>
      <c r="P35" s="97"/>
      <c r="Q35" s="98"/>
      <c r="R35" s="99"/>
      <c r="S35" s="421"/>
      <c r="T35" s="19"/>
      <c r="U35" s="19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376"/>
      <c r="C36" s="102"/>
      <c r="D36" s="103"/>
      <c r="E36" s="104"/>
      <c r="F36" s="105"/>
      <c r="G36" s="95"/>
      <c r="H36" s="78">
        <f>F36*G36</f>
        <v>0</v>
      </c>
      <c r="I36" s="149"/>
      <c r="J36" s="148"/>
      <c r="K36" s="95"/>
      <c r="L36" s="96"/>
      <c r="M36" s="148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16">AVERAGE(J27:J36)</f>
        <v>17.5</v>
      </c>
      <c r="K37" s="155">
        <f t="shared" si="16"/>
        <v>1636</v>
      </c>
      <c r="L37" s="158">
        <f t="shared" si="16"/>
        <v>93.673474945533769</v>
      </c>
      <c r="M37" s="155">
        <f t="shared" si="16"/>
        <v>17.5</v>
      </c>
      <c r="N37" s="155">
        <f t="shared" si="16"/>
        <v>1399.4224423987107</v>
      </c>
      <c r="O37" s="158">
        <f t="shared" si="16"/>
        <v>80.220282747640809</v>
      </c>
      <c r="P37" s="159">
        <f>M37-J37</f>
        <v>0</v>
      </c>
      <c r="Q37" s="160">
        <f>N37-K37</f>
        <v>-236.5775576012893</v>
      </c>
      <c r="R37" s="161">
        <f>O37/L37</f>
        <v>0.85638205259583577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-236.5775576012893</v>
      </c>
      <c r="AG37" s="124">
        <f>N37/K37</f>
        <v>0.85539269095275716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375"/>
      <c r="F38" s="39">
        <f>VLOOKUP(D38,廠價表!$C$1:$E$43,3,0)</f>
        <v>49.91</v>
      </c>
      <c r="G38" s="186">
        <f>2573+36</f>
        <v>2609</v>
      </c>
      <c r="H38" s="134">
        <f>F38*G38</f>
        <v>130215.18999999999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1490.8571428571356</v>
      </c>
      <c r="O38" s="141">
        <f>N38/M38</f>
        <v>93.178571428570976</v>
      </c>
      <c r="P38" s="142">
        <f>M38-J38</f>
        <v>0</v>
      </c>
      <c r="Q38" s="143">
        <f>O38-L38</f>
        <v>-13.946428571429024</v>
      </c>
      <c r="R38" s="144">
        <f>O38/L38</f>
        <v>0.86981163527254124</v>
      </c>
      <c r="S38" s="410">
        <f>R48</f>
        <v>0.86931527923484231</v>
      </c>
      <c r="T38" s="191">
        <v>0.33333333333333298</v>
      </c>
      <c r="U38" s="191">
        <v>0.40625</v>
      </c>
      <c r="V38" s="192"/>
      <c r="W38" s="193">
        <f t="shared" si="4"/>
        <v>105.00000000000051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-223.14285714286439</v>
      </c>
      <c r="AG38" s="195">
        <f>N38/K38</f>
        <v>0.86981163527254124</v>
      </c>
      <c r="AH38" s="413">
        <f>AG48</f>
        <v>0.86929395065861337</v>
      </c>
    </row>
    <row r="39" spans="1:34" ht="15" customHeight="1">
      <c r="A39" s="408"/>
      <c r="B39" s="75" t="s">
        <v>127</v>
      </c>
      <c r="C39" s="207"/>
      <c r="D39" s="198" t="s">
        <v>129</v>
      </c>
      <c r="E39" s="178"/>
      <c r="F39" s="75">
        <f>VLOOKUP(D39,廠價表!$C$1:$E$43,3,0)</f>
        <v>44.3</v>
      </c>
      <c r="G39" s="199">
        <f>2243+36</f>
        <v>2279</v>
      </c>
      <c r="H39" s="91">
        <f>F39*G39</f>
        <v>100959.7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1439.3684210526367</v>
      </c>
      <c r="O39" s="203">
        <f>N39/M39</f>
        <v>79.964912280702038</v>
      </c>
      <c r="P39" s="97">
        <f>M39-J39</f>
        <v>0</v>
      </c>
      <c r="Q39" s="98">
        <f>O39-L39</f>
        <v>-10.923976608186848</v>
      </c>
      <c r="R39" s="99">
        <f>O39/L39</f>
        <v>0.87980954832068259</v>
      </c>
      <c r="S39" s="393"/>
      <c r="T39" s="20">
        <v>0.41666666666666702</v>
      </c>
      <c r="U39" s="20">
        <v>0.48263888888888901</v>
      </c>
      <c r="V39" s="92">
        <f t="shared" ref="V39:V40" si="17">(T39-U38)*24*60</f>
        <v>15.000000000000506</v>
      </c>
      <c r="W39" s="205">
        <f t="shared" si="4"/>
        <v>94.999999999999659</v>
      </c>
      <c r="X39" s="208"/>
      <c r="Y39" s="209"/>
      <c r="Z39" s="337"/>
      <c r="AA39" s="337"/>
      <c r="AB39" s="386"/>
      <c r="AC39" s="386"/>
      <c r="AD39" s="92"/>
      <c r="AE39" s="92"/>
      <c r="AF39" s="314">
        <f>N39-K39</f>
        <v>-196.63157894736332</v>
      </c>
      <c r="AG39" s="206">
        <f>N39/K39</f>
        <v>0.87980954832068259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f>3291+500</f>
        <v>3791</v>
      </c>
      <c r="H40" s="91">
        <f>F40*G40</f>
        <v>167941.3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1404.0740740740737</v>
      </c>
      <c r="O40" s="203">
        <f>N40/M40</f>
        <v>78.004115226337433</v>
      </c>
      <c r="P40" s="97">
        <f>M40-J40</f>
        <v>0</v>
      </c>
      <c r="Q40" s="98">
        <f>O40-L40</f>
        <v>-12.884773662551453</v>
      </c>
      <c r="R40" s="99">
        <f>O40/L40</f>
        <v>0.85823598659784461</v>
      </c>
      <c r="S40" s="393"/>
      <c r="T40" s="20">
        <v>0.54166666666666696</v>
      </c>
      <c r="U40" s="210">
        <v>0.65416666666666701</v>
      </c>
      <c r="V40" s="92">
        <f t="shared" si="17"/>
        <v>85.000000000000256</v>
      </c>
      <c r="W40" s="205">
        <f t="shared" si="4"/>
        <v>162.00000000000006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-231.92592592592632</v>
      </c>
      <c r="AG40" s="206">
        <f>N40/K40</f>
        <v>0.8582359865978445</v>
      </c>
      <c r="AH40" s="414"/>
    </row>
    <row r="41" spans="1:34" ht="15" customHeight="1">
      <c r="A41" s="408"/>
      <c r="B41" s="75"/>
      <c r="C41" s="102"/>
      <c r="D41" s="198"/>
      <c r="E41" s="104"/>
      <c r="F41" s="75"/>
      <c r="G41" s="202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10"/>
      <c r="U41" s="210"/>
      <c r="V41" s="92"/>
      <c r="W41" s="205"/>
      <c r="X41" s="208"/>
      <c r="Y41" s="212"/>
      <c r="Z41" s="338"/>
      <c r="AA41" s="338"/>
      <c r="AB41" s="386"/>
      <c r="AC41" s="386"/>
      <c r="AD41" s="92"/>
      <c r="AE41" s="92"/>
      <c r="AF41" s="213"/>
      <c r="AG41" s="206"/>
      <c r="AH41" s="414"/>
    </row>
    <row r="42" spans="1:34" ht="15" customHeight="1">
      <c r="A42" s="408"/>
      <c r="B42" s="75"/>
      <c r="C42" s="102"/>
      <c r="D42" s="198"/>
      <c r="E42" s="104"/>
      <c r="F42" s="75"/>
      <c r="G42" s="202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/>
      <c r="X42" s="208"/>
      <c r="Y42" s="212"/>
      <c r="Z42" s="338"/>
      <c r="AA42" s="338"/>
      <c r="AB42" s="386"/>
      <c r="AC42" s="386"/>
      <c r="AD42" s="92"/>
      <c r="AE42" s="92"/>
      <c r="AF42" s="213"/>
      <c r="AG42" s="206"/>
      <c r="AH42" s="414"/>
    </row>
    <row r="43" spans="1:34" ht="15" customHeight="1">
      <c r="A43" s="408"/>
      <c r="B43" s="75"/>
      <c r="C43" s="86"/>
      <c r="D43" s="198"/>
      <c r="E43" s="87"/>
      <c r="F43" s="75"/>
      <c r="G43" s="199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/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/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8">AVERAGE(J38:J47)</f>
        <v>17.333333333333332</v>
      </c>
      <c r="K48" s="155">
        <f t="shared" si="18"/>
        <v>1662</v>
      </c>
      <c r="L48" s="158">
        <f t="shared" si="18"/>
        <v>96.300925925925924</v>
      </c>
      <c r="M48" s="155">
        <f t="shared" si="18"/>
        <v>17.333333333333332</v>
      </c>
      <c r="N48" s="155">
        <f t="shared" si="18"/>
        <v>1444.7665459946154</v>
      </c>
      <c r="O48" s="158">
        <f t="shared" si="18"/>
        <v>83.715866311870158</v>
      </c>
      <c r="P48" s="221">
        <f>M48-J48</f>
        <v>0</v>
      </c>
      <c r="Q48" s="222">
        <f>N48-K48</f>
        <v>-217.2334540053846</v>
      </c>
      <c r="R48" s="223">
        <f>O48/L48</f>
        <v>0.86931527923484231</v>
      </c>
      <c r="S48" s="396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4" si="19">N48-K48</f>
        <v>-217.2334540053846</v>
      </c>
      <c r="AG48" s="162">
        <f t="shared" ref="AG48:AG54" si="20">N48/K48</f>
        <v>0.86929395065861337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f>697+6</f>
        <v>703</v>
      </c>
      <c r="H49" s="134">
        <f>F49*G49</f>
        <v>35086.729999999996</v>
      </c>
      <c r="I49" s="135"/>
      <c r="J49" s="136">
        <f>VLOOKUP(D49,產線配置圖!$A$3:$C$40,2,0)</f>
        <v>18</v>
      </c>
      <c r="K49" s="137">
        <f>VLOOKUP(D49,產線配置圖!$A$3:$C$40,3,0)</f>
        <v>2250</v>
      </c>
      <c r="L49" s="138">
        <f>K49/J49</f>
        <v>125</v>
      </c>
      <c r="M49" s="170">
        <v>16</v>
      </c>
      <c r="N49" s="140">
        <f>G49/W49*60</f>
        <v>1406.0000000000236</v>
      </c>
      <c r="O49" s="141">
        <f>N49/M49</f>
        <v>87.875000000001478</v>
      </c>
      <c r="P49" s="229">
        <f>M49-J49</f>
        <v>-2</v>
      </c>
      <c r="Q49" s="230">
        <f>O49-L49</f>
        <v>-37.124999999998522</v>
      </c>
      <c r="R49" s="52">
        <f>O49/L49</f>
        <v>0.70300000000001184</v>
      </c>
      <c r="S49" s="392">
        <f>R58</f>
        <v>0.88159060978193415</v>
      </c>
      <c r="T49" s="191">
        <v>0.29166666666666702</v>
      </c>
      <c r="U49" s="191">
        <v>0.3125</v>
      </c>
      <c r="V49" s="55"/>
      <c r="W49" s="193">
        <f t="shared" si="4"/>
        <v>29.999999999999496</v>
      </c>
      <c r="X49" s="55"/>
      <c r="Y49" s="290"/>
      <c r="Z49" s="169"/>
      <c r="AA49" s="169"/>
      <c r="AB49" s="397" t="s">
        <v>137</v>
      </c>
      <c r="AC49" s="397"/>
      <c r="AD49" s="135"/>
      <c r="AE49" s="135"/>
      <c r="AF49" s="229">
        <f t="shared" si="19"/>
        <v>-843.99999999997635</v>
      </c>
      <c r="AG49" s="52">
        <f t="shared" si="20"/>
        <v>0.62488888888889937</v>
      </c>
      <c r="AH49" s="380">
        <f>AG58</f>
        <v>0.83855652436907724</v>
      </c>
    </row>
    <row r="50" spans="1:34" ht="15" customHeight="1">
      <c r="A50" s="405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1885</v>
      </c>
      <c r="H50" s="231">
        <f>F50*G50</f>
        <v>94794.764999999999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1508.0000000000102</v>
      </c>
      <c r="O50" s="235">
        <f>N50/M50</f>
        <v>88.705882352941785</v>
      </c>
      <c r="P50" s="74">
        <f>M50-J50</f>
        <v>0</v>
      </c>
      <c r="Q50" s="83">
        <f>O50-L50</f>
        <v>-7.529411764705273</v>
      </c>
      <c r="R50" s="72">
        <f>O50/L50</f>
        <v>0.92176039119805031</v>
      </c>
      <c r="S50" s="393"/>
      <c r="T50" s="21">
        <v>0.32291666666666702</v>
      </c>
      <c r="U50" s="21">
        <v>0.375</v>
      </c>
      <c r="V50" s="30">
        <f>(T50-U49)*24*60</f>
        <v>15.000000000000506</v>
      </c>
      <c r="W50" s="236">
        <f t="shared" si="4"/>
        <v>74.999999999999488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9"/>
        <v>-127.99999999998977</v>
      </c>
      <c r="AG50" s="72">
        <f t="shared" si="20"/>
        <v>0.92176039119805031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f>2990+115</f>
        <v>3105</v>
      </c>
      <c r="H51" s="231">
        <f>F51*G51</f>
        <v>155156.85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1527.0491803278542</v>
      </c>
      <c r="O51" s="235">
        <f>N51/M51</f>
        <v>95.440573770490886</v>
      </c>
      <c r="P51" s="74">
        <f>M51-J51</f>
        <v>0</v>
      </c>
      <c r="Q51" s="83">
        <f>O51-L51</f>
        <v>-17.059426229509114</v>
      </c>
      <c r="R51" s="72">
        <f>O51/L51</f>
        <v>0.84836065573769681</v>
      </c>
      <c r="S51" s="393"/>
      <c r="T51" s="21">
        <v>0.38194444444444398</v>
      </c>
      <c r="U51" s="19">
        <v>0.46666666666666701</v>
      </c>
      <c r="V51" s="30">
        <f>(T51-U50)*24*60</f>
        <v>9.999999999999325</v>
      </c>
      <c r="W51" s="236">
        <f t="shared" si="4"/>
        <v>122.00000000000117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9"/>
        <v>-272.95081967214583</v>
      </c>
      <c r="AG51" s="72">
        <f t="shared" si="20"/>
        <v>0.84836065573769681</v>
      </c>
      <c r="AH51" s="382"/>
    </row>
    <row r="52" spans="1:34" ht="15" customHeight="1">
      <c r="A52" s="405"/>
      <c r="B52" s="101" t="s">
        <v>81</v>
      </c>
      <c r="C52" s="102"/>
      <c r="D52" s="103" t="s">
        <v>131</v>
      </c>
      <c r="E52" s="104"/>
      <c r="F52" s="75">
        <f>VLOOKUP(D52,廠價表!$C$1:$E$43,3,0)</f>
        <v>49.97</v>
      </c>
      <c r="G52" s="202">
        <f>2313+121</f>
        <v>2434</v>
      </c>
      <c r="H52" s="231">
        <f t="shared" ref="H52:H54" si="21">F52*G52</f>
        <v>121626.98</v>
      </c>
      <c r="I52" s="30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4" si="22">K52/J52</f>
        <v>112.5</v>
      </c>
      <c r="M52" s="108">
        <v>16</v>
      </c>
      <c r="N52" s="234">
        <f t="shared" ref="N52:N54" si="23">G52/W52*60</f>
        <v>1604.8351648351509</v>
      </c>
      <c r="O52" s="235">
        <f t="shared" ref="O52:O54" si="24">N52/M52</f>
        <v>100.30219780219693</v>
      </c>
      <c r="P52" s="74">
        <f t="shared" ref="P52:P54" si="25">M52-J52</f>
        <v>0</v>
      </c>
      <c r="Q52" s="83">
        <f t="shared" ref="Q52:Q54" si="26">O52-L52</f>
        <v>-12.197802197803071</v>
      </c>
      <c r="R52" s="72">
        <f t="shared" ref="R52:R54" si="27">O52/L52</f>
        <v>0.89157509157508386</v>
      </c>
      <c r="S52" s="393"/>
      <c r="T52" s="21">
        <v>0.52708333333333302</v>
      </c>
      <c r="U52" s="21">
        <v>0.59027777777777801</v>
      </c>
      <c r="V52" s="30">
        <f t="shared" ref="V52:V54" si="28">(T52-U51)*24*60</f>
        <v>86.999999999999048</v>
      </c>
      <c r="W52" s="236">
        <f t="shared" si="4"/>
        <v>91.000000000000796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9"/>
        <v>-195.16483516484914</v>
      </c>
      <c r="AG52" s="72">
        <f t="shared" si="20"/>
        <v>0.89157509157508386</v>
      </c>
      <c r="AH52" s="382"/>
    </row>
    <row r="53" spans="1:34" ht="15" customHeight="1">
      <c r="A53" s="405"/>
      <c r="B53" s="101" t="s">
        <v>81</v>
      </c>
      <c r="C53" s="102"/>
      <c r="D53" s="103" t="s">
        <v>130</v>
      </c>
      <c r="E53" s="104"/>
      <c r="F53" s="75">
        <f>VLOOKUP(D53,廠價表!$C$1:$E$43,3,0)</f>
        <v>50.289000000000001</v>
      </c>
      <c r="G53" s="202">
        <v>594</v>
      </c>
      <c r="H53" s="231">
        <f t="shared" si="21"/>
        <v>29871.666000000001</v>
      </c>
      <c r="I53" s="30"/>
      <c r="J53" s="79">
        <f>VLOOKUP(D53,產線配置圖!$A$3:$C$40,2,0)</f>
        <v>17</v>
      </c>
      <c r="K53" s="80">
        <f>VLOOKUP(D53,產線配置圖!$A$3:$C$40,3,0)</f>
        <v>1636</v>
      </c>
      <c r="L53" s="81">
        <f t="shared" si="22"/>
        <v>96.235294117647058</v>
      </c>
      <c r="M53" s="108">
        <v>16</v>
      </c>
      <c r="N53" s="234">
        <f t="shared" si="23"/>
        <v>1485.0000000000548</v>
      </c>
      <c r="O53" s="235">
        <f t="shared" si="24"/>
        <v>92.812500000003425</v>
      </c>
      <c r="P53" s="74">
        <f t="shared" si="25"/>
        <v>-1</v>
      </c>
      <c r="Q53" s="83">
        <f t="shared" si="26"/>
        <v>-3.4227941176436332</v>
      </c>
      <c r="R53" s="72">
        <f t="shared" si="27"/>
        <v>0.96443306845969334</v>
      </c>
      <c r="S53" s="393"/>
      <c r="T53" s="21">
        <v>0.60555555555555596</v>
      </c>
      <c r="U53" s="21">
        <v>0.62222222222222201</v>
      </c>
      <c r="V53" s="30">
        <f t="shared" si="28"/>
        <v>22.000000000000242</v>
      </c>
      <c r="W53" s="236">
        <f t="shared" si="4"/>
        <v>23.999999999999115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9"/>
        <v>-150.9999999999452</v>
      </c>
      <c r="AG53" s="72">
        <f t="shared" si="20"/>
        <v>0.90770171149147605</v>
      </c>
      <c r="AH53" s="382"/>
    </row>
    <row r="54" spans="1:34" ht="15" customHeight="1">
      <c r="A54" s="405"/>
      <c r="B54" s="101" t="s">
        <v>81</v>
      </c>
      <c r="C54" s="102"/>
      <c r="D54" s="103" t="s">
        <v>140</v>
      </c>
      <c r="E54" s="104"/>
      <c r="F54" s="75">
        <f>VLOOKUP(D54,廠價表!$C$1:$E$43,3,0)</f>
        <v>43.89</v>
      </c>
      <c r="G54" s="202">
        <v>1240</v>
      </c>
      <c r="H54" s="231">
        <f t="shared" si="21"/>
        <v>54423.6</v>
      </c>
      <c r="I54" s="30"/>
      <c r="J54" s="79">
        <f>VLOOKUP(D54,產線配置圖!$A$3:$C$40,2,0)</f>
        <v>13</v>
      </c>
      <c r="K54" s="80">
        <f>VLOOKUP(D54,產線配置圖!$A$3:$C$40,3,0)</f>
        <v>1565</v>
      </c>
      <c r="L54" s="81">
        <f t="shared" si="22"/>
        <v>120.38461538461539</v>
      </c>
      <c r="M54" s="108">
        <v>12</v>
      </c>
      <c r="N54" s="234">
        <f t="shared" si="23"/>
        <v>1430.7692307692359</v>
      </c>
      <c r="O54" s="235">
        <f t="shared" si="24"/>
        <v>119.23076923076967</v>
      </c>
      <c r="P54" s="74">
        <f t="shared" si="25"/>
        <v>-1</v>
      </c>
      <c r="Q54" s="83">
        <f t="shared" si="26"/>
        <v>-1.1538461538457199</v>
      </c>
      <c r="R54" s="72">
        <f t="shared" si="27"/>
        <v>0.99041533546326244</v>
      </c>
      <c r="S54" s="393"/>
      <c r="T54" s="21">
        <v>0.62986111111111098</v>
      </c>
      <c r="U54" s="21">
        <v>0.66597222222222197</v>
      </c>
      <c r="V54" s="30">
        <f t="shared" si="28"/>
        <v>11.000000000000121</v>
      </c>
      <c r="W54" s="236">
        <f t="shared" si="4"/>
        <v>51.999999999999815</v>
      </c>
      <c r="X54" s="30"/>
      <c r="Y54" s="151"/>
      <c r="Z54" s="90"/>
      <c r="AA54" s="90"/>
      <c r="AB54" s="386"/>
      <c r="AC54" s="386"/>
      <c r="AD54" s="92"/>
      <c r="AE54" s="92"/>
      <c r="AF54" s="307">
        <f t="shared" si="19"/>
        <v>-134.23076923076405</v>
      </c>
      <c r="AG54" s="72">
        <f t="shared" si="20"/>
        <v>0.91422954042762683</v>
      </c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9">AVERAGE(J49:J57)</f>
        <v>16.166666666666668</v>
      </c>
      <c r="K58" s="120">
        <f t="shared" si="29"/>
        <v>1781.1666666666667</v>
      </c>
      <c r="L58" s="117">
        <f t="shared" si="29"/>
        <v>110.47586726998492</v>
      </c>
      <c r="M58" s="120">
        <f t="shared" si="29"/>
        <v>15.5</v>
      </c>
      <c r="N58" s="120">
        <f t="shared" si="29"/>
        <v>1493.6089293220548</v>
      </c>
      <c r="O58" s="117">
        <f t="shared" si="29"/>
        <v>97.394487192734019</v>
      </c>
      <c r="P58" s="121">
        <f>M58-J58</f>
        <v>-0.66666666666666785</v>
      </c>
      <c r="Q58" s="122">
        <f>N58-K58</f>
        <v>-287.55773734461195</v>
      </c>
      <c r="R58" s="123">
        <f>O58/L58</f>
        <v>0.88159060978193415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-287.55773734461195</v>
      </c>
      <c r="AG58" s="124">
        <f>N58/K58</f>
        <v>0.83855652436907724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3809</v>
      </c>
      <c r="H59" s="243">
        <f>F59*G59</f>
        <v>102804.90999999999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1632.4285714285754</v>
      </c>
      <c r="O59" s="138">
        <f>N59/M59</f>
        <v>108.82857142857169</v>
      </c>
      <c r="P59" s="56">
        <f>M59-J59</f>
        <v>0</v>
      </c>
      <c r="Q59" s="230">
        <f>O59-L59</f>
        <v>-0.2380952380949708</v>
      </c>
      <c r="R59" s="52">
        <f>O59/L59</f>
        <v>0.99781697520084078</v>
      </c>
      <c r="S59" s="392">
        <f>R69</f>
        <v>0.86875343046754594</v>
      </c>
      <c r="T59" s="245">
        <v>0.29166666666666702</v>
      </c>
      <c r="U59" s="245">
        <v>0.38888888888888901</v>
      </c>
      <c r="V59" s="55"/>
      <c r="W59" s="54">
        <f t="shared" si="4"/>
        <v>139.99999999999966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-3.5714285714245761</v>
      </c>
      <c r="AG59" s="246">
        <f>N59/K59</f>
        <v>0.99781697520084067</v>
      </c>
      <c r="AH59" s="380">
        <f>AG69</f>
        <v>0.8773576667830989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1388</v>
      </c>
      <c r="H60" s="78">
        <f>F60*G60</f>
        <v>39224.880000000005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1387.9999999999882</v>
      </c>
      <c r="O60" s="81">
        <f>N60/M60</f>
        <v>126.18181818181711</v>
      </c>
      <c r="P60" s="74">
        <f>M60-J60</f>
        <v>0</v>
      </c>
      <c r="Q60" s="83">
        <f>O60-L60</f>
        <v>-22.545454545455613</v>
      </c>
      <c r="R60" s="72">
        <f>O60/L60</f>
        <v>0.84841075794620313</v>
      </c>
      <c r="S60" s="402"/>
      <c r="T60" s="22">
        <v>0.40625</v>
      </c>
      <c r="U60" s="22">
        <v>0.44791666666666702</v>
      </c>
      <c r="V60" s="30">
        <f>(T60-U59)*24*60</f>
        <v>24.999999999999829</v>
      </c>
      <c r="W60" s="248">
        <f t="shared" si="4"/>
        <v>60.000000000000504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-248.00000000001182</v>
      </c>
      <c r="AG60" s="249">
        <f>N60/K60</f>
        <v>0.84841075794620302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f>729+15</f>
        <v>744</v>
      </c>
      <c r="H61" s="254">
        <f>F61*G61</f>
        <v>21025.440000000002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1116.000000000033</v>
      </c>
      <c r="O61" s="238">
        <f>N61/M61</f>
        <v>101.45454545454845</v>
      </c>
      <c r="P61" s="111">
        <f>M61-J61</f>
        <v>0</v>
      </c>
      <c r="Q61" s="255">
        <f>O61-L61</f>
        <v>-47.272727272724268</v>
      </c>
      <c r="R61" s="85">
        <f>O61/L61</f>
        <v>0.68215158924207397</v>
      </c>
      <c r="S61" s="393"/>
      <c r="T61" s="22">
        <v>0.46180555555555602</v>
      </c>
      <c r="U61" s="22">
        <v>0.48958333333333298</v>
      </c>
      <c r="V61" s="30">
        <f>(T61-U60)*24*60</f>
        <v>20.000000000000171</v>
      </c>
      <c r="W61" s="256">
        <f t="shared" si="4"/>
        <v>39.99999999999882</v>
      </c>
      <c r="X61" s="22"/>
      <c r="Y61" s="84"/>
      <c r="Z61" s="90"/>
      <c r="AA61" s="90"/>
      <c r="AB61" s="386" t="s">
        <v>137</v>
      </c>
      <c r="AC61" s="386"/>
      <c r="AD61" s="92"/>
      <c r="AE61" s="92"/>
      <c r="AF61" s="317">
        <f>N61-K61</f>
        <v>-519.99999999996703</v>
      </c>
      <c r="AG61" s="247">
        <f>N61/K61</f>
        <v>0.68215158924207397</v>
      </c>
      <c r="AH61" s="382"/>
    </row>
    <row r="62" spans="1:34" ht="15" customHeight="1">
      <c r="A62" s="400"/>
      <c r="B62" s="250" t="s">
        <v>132</v>
      </c>
      <c r="C62" s="251"/>
      <c r="D62" s="257" t="s">
        <v>136</v>
      </c>
      <c r="E62" s="253"/>
      <c r="F62" s="250">
        <f>VLOOKUP(D62,廠價表!$C$1:$E$43,3,0)</f>
        <v>28.26</v>
      </c>
      <c r="G62" s="38">
        <v>2354</v>
      </c>
      <c r="H62" s="254">
        <f>F62*G62</f>
        <v>66524.040000000008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1605.0000000000027</v>
      </c>
      <c r="O62" s="238">
        <f>N62/M62</f>
        <v>145.90909090909116</v>
      </c>
      <c r="P62" s="111">
        <f>M62-J62</f>
        <v>0</v>
      </c>
      <c r="Q62" s="255">
        <f>O62-L62</f>
        <v>-2.8181818181815572</v>
      </c>
      <c r="R62" s="85">
        <f>O62/L62</f>
        <v>0.98105134474327804</v>
      </c>
      <c r="S62" s="393"/>
      <c r="T62" s="22">
        <v>0.54166666666666696</v>
      </c>
      <c r="U62" s="22">
        <v>0.60277777777777797</v>
      </c>
      <c r="V62" s="30">
        <f>(T62-U61)*24*60</f>
        <v>75.000000000000938</v>
      </c>
      <c r="W62" s="248">
        <f t="shared" si="4"/>
        <v>87.999999999999844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-30.999999999997272</v>
      </c>
      <c r="AG62" s="247">
        <f>N62/K62</f>
        <v>0.98105134474327793</v>
      </c>
      <c r="AH62" s="382"/>
    </row>
    <row r="63" spans="1:34" ht="15" customHeight="1">
      <c r="A63" s="4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9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30">AVERAGE(J59:J68)</f>
        <v>12</v>
      </c>
      <c r="K69" s="240">
        <f t="shared" si="30"/>
        <v>1636</v>
      </c>
      <c r="L69" s="268">
        <f t="shared" si="30"/>
        <v>138.81212121212121</v>
      </c>
      <c r="M69" s="240">
        <f t="shared" si="30"/>
        <v>12</v>
      </c>
      <c r="N69" s="240">
        <f t="shared" si="30"/>
        <v>1435.3571428571497</v>
      </c>
      <c r="O69" s="268">
        <f t="shared" si="30"/>
        <v>120.59350649350711</v>
      </c>
      <c r="P69" s="269">
        <f>M69-J69</f>
        <v>0</v>
      </c>
      <c r="Q69" s="222">
        <f>N69-K69</f>
        <v>-200.64285714285029</v>
      </c>
      <c r="R69" s="123">
        <f>O69/L69</f>
        <v>0.86875343046754594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-200.64285714285029</v>
      </c>
      <c r="AG69" s="124">
        <f>N69/K69</f>
        <v>0.8773576667830989</v>
      </c>
      <c r="AH69" s="384"/>
    </row>
    <row r="70" spans="1:36" ht="15" customHeight="1">
      <c r="A70" s="389" t="s">
        <v>55</v>
      </c>
      <c r="B70" s="129" t="s">
        <v>132</v>
      </c>
      <c r="C70" s="129"/>
      <c r="D70" s="131" t="s">
        <v>136</v>
      </c>
      <c r="E70" s="132"/>
      <c r="F70" s="129">
        <f>VLOOKUP(D70,廠價表!$C$1:$E$43,3,0)</f>
        <v>28.26</v>
      </c>
      <c r="G70" s="55">
        <v>1343</v>
      </c>
      <c r="H70" s="243">
        <f>F70*G70</f>
        <v>37953.18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11</v>
      </c>
      <c r="N70" s="137">
        <f>G70/W70*60</f>
        <v>1320.98360655738</v>
      </c>
      <c r="O70" s="138">
        <f>N70/M70</f>
        <v>120.08941877794364</v>
      </c>
      <c r="P70" s="56">
        <f>M70-J70</f>
        <v>0</v>
      </c>
      <c r="Q70" s="230">
        <f>O70-L70</f>
        <v>-28.637853949329084</v>
      </c>
      <c r="R70" s="52">
        <f>O70/L70</f>
        <v>0.80744719227223716</v>
      </c>
      <c r="S70" s="392">
        <f>R79</f>
        <v>0.84361707998686009</v>
      </c>
      <c r="T70" s="245">
        <v>0.30138888888888898</v>
      </c>
      <c r="U70" s="245">
        <v>0.34375</v>
      </c>
      <c r="V70" s="55"/>
      <c r="W70" s="54">
        <f t="shared" si="4"/>
        <v>60.999999999999865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-315.01639344262003</v>
      </c>
      <c r="AG70" s="246">
        <f>N70/K70</f>
        <v>0.80744719227223716</v>
      </c>
      <c r="AH70" s="380">
        <f>AG79</f>
        <v>0.8458745070765149</v>
      </c>
    </row>
    <row r="71" spans="1:36" ht="15" customHeight="1">
      <c r="A71" s="390"/>
      <c r="B71" s="75" t="s">
        <v>81</v>
      </c>
      <c r="C71" s="76"/>
      <c r="D71" s="59" t="s">
        <v>140</v>
      </c>
      <c r="E71" s="77"/>
      <c r="F71" s="250">
        <f>VLOOKUP(D71,廠價表!$C$1:$E$43,3,0)</f>
        <v>43.89</v>
      </c>
      <c r="G71" s="202">
        <f>4017+121</f>
        <v>4138</v>
      </c>
      <c r="H71" s="254">
        <f>F71*G71</f>
        <v>181616.82</v>
      </c>
      <c r="I71" s="182"/>
      <c r="J71" s="106">
        <f>VLOOKUP(D71,產線配置圖!$A$3:$C$40,2,0)</f>
        <v>13</v>
      </c>
      <c r="K71" s="107">
        <f>VLOOKUP(D71,產線配置圖!$A$3:$C$40,3,0)</f>
        <v>1565</v>
      </c>
      <c r="L71" s="238">
        <f>K71/J71</f>
        <v>120.38461538461539</v>
      </c>
      <c r="M71" s="82">
        <v>13</v>
      </c>
      <c r="N71" s="107">
        <f>G71/W71*60</f>
        <v>1299.8952879581143</v>
      </c>
      <c r="O71" s="238">
        <f>N71/M71</f>
        <v>99.991945227547248</v>
      </c>
      <c r="P71" s="111">
        <f>M71-J71</f>
        <v>0</v>
      </c>
      <c r="Q71" s="255">
        <f>O71-L71</f>
        <v>-20.392670157068139</v>
      </c>
      <c r="R71" s="85">
        <f>O71/L71</f>
        <v>0.83060401786460969</v>
      </c>
      <c r="S71" s="393"/>
      <c r="T71" s="22">
        <v>0.359027777777778</v>
      </c>
      <c r="U71" s="22">
        <v>0.49166666666666697</v>
      </c>
      <c r="V71" s="30">
        <f>(T71-U70)*24*60</f>
        <v>22.00000000000032</v>
      </c>
      <c r="W71" s="73">
        <f t="shared" si="4"/>
        <v>191.00000000000011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30" t="s">
        <v>81</v>
      </c>
      <c r="C72" s="151"/>
      <c r="D72" s="59" t="s">
        <v>140</v>
      </c>
      <c r="E72" s="87"/>
      <c r="F72" s="250">
        <f>VLOOKUP(D72,廠價表!$C$1:$E$43,3,0)</f>
        <v>43.89</v>
      </c>
      <c r="G72" s="30">
        <f>3722+63</f>
        <v>3785</v>
      </c>
      <c r="H72" s="78">
        <f>F72*G72</f>
        <v>166123.65</v>
      </c>
      <c r="I72" s="377"/>
      <c r="J72" s="106">
        <f>VLOOKUP(D72,產線配置圖!$A$3:$C$40,2,0)</f>
        <v>13</v>
      </c>
      <c r="K72" s="107">
        <f>VLOOKUP(D72,產線配置圖!$A$3:$C$40,3,0)</f>
        <v>1565</v>
      </c>
      <c r="L72" s="238">
        <f>K72/J72</f>
        <v>120.38461538461539</v>
      </c>
      <c r="M72" s="108">
        <v>13</v>
      </c>
      <c r="N72" s="107">
        <f>G72/W72*60</f>
        <v>1410.5590062111753</v>
      </c>
      <c r="O72" s="238">
        <f>N72/M72</f>
        <v>108.50453893932118</v>
      </c>
      <c r="P72" s="111">
        <f>M72-J72</f>
        <v>0</v>
      </c>
      <c r="Q72" s="255">
        <f>O72-L72</f>
        <v>-11.880076445294208</v>
      </c>
      <c r="R72" s="85">
        <f>O72/L72</f>
        <v>0.90131565892087884</v>
      </c>
      <c r="S72" s="393"/>
      <c r="T72" s="22">
        <v>0.55208333333333304</v>
      </c>
      <c r="U72" s="22">
        <v>0.66388888888888897</v>
      </c>
      <c r="V72" s="30">
        <f>(T72-U71)*24*60</f>
        <v>86.999999999999133</v>
      </c>
      <c r="W72" s="73">
        <f t="shared" si="4"/>
        <v>161.00000000000054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2"/>
      <c r="U76" s="22"/>
      <c r="V76" s="30"/>
      <c r="W76" s="256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2"/>
      <c r="U77" s="22"/>
      <c r="V77" s="30"/>
      <c r="W77" s="256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31">AVERAGE(J70:J78)</f>
        <v>12.333333333333334</v>
      </c>
      <c r="K79" s="240">
        <f t="shared" si="31"/>
        <v>1588.6666666666667</v>
      </c>
      <c r="L79" s="268">
        <f t="shared" si="31"/>
        <v>129.83216783216781</v>
      </c>
      <c r="M79" s="240">
        <f t="shared" si="31"/>
        <v>12.333333333333334</v>
      </c>
      <c r="N79" s="240">
        <f t="shared" si="31"/>
        <v>1343.8126335755567</v>
      </c>
      <c r="O79" s="268">
        <f t="shared" si="31"/>
        <v>109.52863431493735</v>
      </c>
      <c r="P79" s="269">
        <f>M79-J79</f>
        <v>0</v>
      </c>
      <c r="Q79" s="222">
        <f>N79-K79</f>
        <v>-244.85403309111007</v>
      </c>
      <c r="R79" s="223">
        <f>O79/L79</f>
        <v>0.84361707998686009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-244.85403309111007</v>
      </c>
      <c r="AG79" s="124">
        <f>N79/K79</f>
        <v>0.8458745070765149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38:A48"/>
    <mergeCell ref="S38:S48"/>
    <mergeCell ref="AB38:AC38"/>
    <mergeCell ref="D48:E48"/>
    <mergeCell ref="AB48:AC4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27:A37"/>
    <mergeCell ref="S27:S37"/>
    <mergeCell ref="AB27:AC27"/>
    <mergeCell ref="D37:E37"/>
    <mergeCell ref="A16:A26"/>
    <mergeCell ref="AB21:AC21"/>
    <mergeCell ref="AB22:AC22"/>
    <mergeCell ref="AB23:AC23"/>
    <mergeCell ref="AB24:AC24"/>
    <mergeCell ref="AB20:AC20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H3:AH4"/>
    <mergeCell ref="D15:E15"/>
    <mergeCell ref="AB15:AC15"/>
    <mergeCell ref="S16:S26"/>
    <mergeCell ref="AB16:AC16"/>
    <mergeCell ref="D26:E26"/>
    <mergeCell ref="AB26:AC26"/>
    <mergeCell ref="Z3:AA3"/>
    <mergeCell ref="T3:U3"/>
    <mergeCell ref="P3:P4"/>
    <mergeCell ref="Q3:Q4"/>
    <mergeCell ref="R3:R4"/>
    <mergeCell ref="AB3:AC4"/>
    <mergeCell ref="AB13:AC13"/>
    <mergeCell ref="AD3:AE3"/>
    <mergeCell ref="AB25:AC25"/>
    <mergeCell ref="AG3:AG4"/>
    <mergeCell ref="AF3:AF4"/>
    <mergeCell ref="AB6:AC6"/>
    <mergeCell ref="AB7:AC7"/>
    <mergeCell ref="AB8:AC8"/>
    <mergeCell ref="A2:B2"/>
    <mergeCell ref="A3:A4"/>
    <mergeCell ref="B3:B4"/>
    <mergeCell ref="D3:E4"/>
    <mergeCell ref="F3:F4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O3:O4"/>
    <mergeCell ref="AB1:AC2"/>
    <mergeCell ref="V3:V4"/>
    <mergeCell ref="W3:W4"/>
    <mergeCell ref="X3:Y3"/>
    <mergeCell ref="J3:J4"/>
    <mergeCell ref="K3:K4"/>
    <mergeCell ref="AB5:AC5"/>
    <mergeCell ref="AH16:AH26"/>
    <mergeCell ref="AB17:AC17"/>
    <mergeCell ref="AB18:AC18"/>
    <mergeCell ref="AB19:AC19"/>
    <mergeCell ref="AH5:AH15"/>
    <mergeCell ref="AB11:AC11"/>
    <mergeCell ref="AB12:AC12"/>
    <mergeCell ref="AB14:AC14"/>
    <mergeCell ref="AB9:AC9"/>
    <mergeCell ref="AB10:AC10"/>
    <mergeCell ref="L3:L4"/>
    <mergeCell ref="M3:M4"/>
    <mergeCell ref="N3:N4"/>
    <mergeCell ref="A5:A15"/>
    <mergeCell ref="S5:S15"/>
  </mergeCells>
  <phoneticPr fontId="0" type="noConversion"/>
  <conditionalFormatting sqref="P5:P79">
    <cfRule type="cellIs" dxfId="158" priority="1" operator="greaterThan">
      <formula>0</formula>
    </cfRule>
  </conditionalFormatting>
  <conditionalFormatting sqref="Q5:Q79 AF5:AF79">
    <cfRule type="cellIs" dxfId="157" priority="4" operator="lessThan">
      <formula>0</formula>
    </cfRule>
  </conditionalFormatting>
  <conditionalFormatting sqref="R5:R79 AG5:AG79">
    <cfRule type="cellIs" dxfId="156" priority="2" operator="greaterThan">
      <formula>1</formula>
    </cfRule>
    <cfRule type="cellIs" dxfId="155" priority="3" operator="lessThan">
      <formula>0.8</formula>
    </cfRule>
  </conditionalFormatting>
  <conditionalFormatting sqref="S5:S10 S37:S62 AH59:AH62 S69:S76 AH69:AH76">
    <cfRule type="cellIs" dxfId="154" priority="7" operator="lessThan">
      <formula>0.8</formula>
    </cfRule>
  </conditionalFormatting>
  <conditionalFormatting sqref="S19:S25 AH19:AH25">
    <cfRule type="cellIs" dxfId="153" priority="6" operator="lessThan">
      <formula>0.8</formula>
    </cfRule>
  </conditionalFormatting>
  <conditionalFormatting sqref="S79">
    <cfRule type="cellIs" dxfId="152" priority="5" operator="lessThan">
      <formula>0.8</formula>
    </cfRule>
  </conditionalFormatting>
  <conditionalFormatting sqref="AH5:AH8 S15:S16 AH15:AH16 AH49 AH79">
    <cfRule type="cellIs" dxfId="151" priority="9" operator="lessThan">
      <formula>0.8</formula>
    </cfRule>
  </conditionalFormatting>
  <conditionalFormatting sqref="AH27 S27:S28">
    <cfRule type="cellIs" dxfId="1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650D60D-F8F5-4D32-B59D-B918971A3D17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64411-D9CB-46EB-B4BF-9CF7ACC9FCA4}">
  <dimension ref="B1:O26"/>
  <sheetViews>
    <sheetView topLeftCell="B1" zoomScale="70" zoomScaleNormal="70" workbookViewId="0">
      <selection activeCell="J18" sqref="J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46281</v>
      </c>
      <c r="E3" s="504"/>
      <c r="F3" s="3" t="s">
        <v>72</v>
      </c>
      <c r="G3" s="505">
        <f>'0916'!E1</f>
        <v>55231</v>
      </c>
      <c r="H3" s="505"/>
      <c r="I3" s="3" t="s">
        <v>2</v>
      </c>
      <c r="J3" s="506">
        <f>'0916'!G1</f>
        <v>2531399.7549999994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130.53982251020065</v>
      </c>
      <c r="G6" s="501"/>
      <c r="H6" s="502">
        <f>AVERAGE(D13:H13)</f>
        <v>128.19908484761427</v>
      </c>
      <c r="I6" s="502"/>
      <c r="J6" s="502">
        <f>AVERAGE(I13:J13)</f>
        <v>136.39166666666665</v>
      </c>
      <c r="K6" s="502"/>
      <c r="L6" s="492">
        <f>'0916'!Z2</f>
        <v>0</v>
      </c>
      <c r="M6" s="493">
        <f>'0916'!AA2</f>
        <v>0</v>
      </c>
      <c r="N6" s="494">
        <f>'0916'!AD2</f>
        <v>0</v>
      </c>
      <c r="O6" s="493">
        <f>'0916'!AE2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119.00753878374017</v>
      </c>
      <c r="G7" s="490"/>
      <c r="H7" s="491">
        <f>AVERAGE(D14:H14)</f>
        <v>116.4908152620407</v>
      </c>
      <c r="I7" s="491"/>
      <c r="J7" s="491">
        <f>AVERAGE(I14:J14)</f>
        <v>125.29934758798885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0.9096379667238732</v>
      </c>
      <c r="G8" s="496"/>
      <c r="H8" s="496">
        <f>AVERAGE(D15:H15)</f>
        <v>0.90637419062046531</v>
      </c>
      <c r="I8" s="496"/>
      <c r="J8" s="496">
        <f>AVERAGE(I15:J15)</f>
        <v>0.91779740698239254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VALUE('0916'!L15)</f>
        <v>163.80494505494505</v>
      </c>
      <c r="E13" s="13">
        <f>VALUE('0916'!L26)</f>
        <v>173.76373626373626</v>
      </c>
      <c r="F13" s="13">
        <f>VALUE('0916'!L37)</f>
        <v>95.566993464052288</v>
      </c>
      <c r="G13" s="13">
        <f>VALUE('0916'!L48)</f>
        <v>96.300925925925924</v>
      </c>
      <c r="H13" s="13">
        <f>VALUE('0916'!L58)</f>
        <v>111.55882352941177</v>
      </c>
      <c r="I13" s="13">
        <f>VALUE('0916'!L69)</f>
        <v>128.89696969696968</v>
      </c>
      <c r="J13" s="13">
        <f>'0916'!L78</f>
        <v>143.88636363636363</v>
      </c>
    </row>
    <row r="14" spans="2:15" ht="39.950000000000003" customHeight="1">
      <c r="B14" s="484"/>
      <c r="C14" s="12" t="s">
        <v>100</v>
      </c>
      <c r="D14" s="13">
        <f>VALUE('0916'!O15)</f>
        <v>153.81743830412074</v>
      </c>
      <c r="E14" s="13">
        <f>VALUE('0916'!O26)</f>
        <v>158.26414634435673</v>
      </c>
      <c r="F14" s="13">
        <f>VALUE('0916'!O37)</f>
        <v>87.868333902848079</v>
      </c>
      <c r="G14" s="13">
        <f>VALUE('0916'!O48)</f>
        <v>89.178409295216952</v>
      </c>
      <c r="H14" s="13">
        <f>VALUE('0916'!O58)</f>
        <v>93.325748463660986</v>
      </c>
      <c r="I14" s="13">
        <f>VALUE('0916'!O69)</f>
        <v>116.2473039791788</v>
      </c>
      <c r="J14" s="13">
        <f>'0916'!O78</f>
        <v>134.35139119679889</v>
      </c>
    </row>
    <row r="15" spans="2:15" ht="39.950000000000003" customHeight="1">
      <c r="B15" s="485"/>
      <c r="C15" s="10" t="s">
        <v>26</v>
      </c>
      <c r="D15" s="14">
        <f t="shared" ref="D15:I15" si="0">D14/D13</f>
        <v>0.93902805103060716</v>
      </c>
      <c r="E15" s="14">
        <f t="shared" si="0"/>
        <v>0.91080077896198974</v>
      </c>
      <c r="F15" s="14">
        <f t="shared" si="0"/>
        <v>0.91944227518154498</v>
      </c>
      <c r="G15" s="14">
        <f t="shared" si="0"/>
        <v>0.9260389600387896</v>
      </c>
      <c r="H15" s="14">
        <f t="shared" si="0"/>
        <v>0.83656088788939453</v>
      </c>
      <c r="I15" s="14">
        <f t="shared" si="0"/>
        <v>0.90186219468518447</v>
      </c>
      <c r="J15" s="15">
        <f>'0916'!S70</f>
        <v>0.93373261927960061</v>
      </c>
    </row>
    <row r="16" spans="2:15" ht="17.25" customHeight="1">
      <c r="B16" s="486" t="s">
        <v>101</v>
      </c>
      <c r="C16" s="10" t="s">
        <v>34</v>
      </c>
      <c r="D16" s="16">
        <f>'0916'!T5</f>
        <v>0.29861111111111099</v>
      </c>
      <c r="E16" s="16">
        <f>'0916'!T16</f>
        <v>0.29861111111111099</v>
      </c>
      <c r="F16" s="16">
        <f>'0916'!T27</f>
        <v>0.29166666666666702</v>
      </c>
      <c r="G16" s="16">
        <f>'0916'!T38</f>
        <v>0.33333333333333298</v>
      </c>
      <c r="H16" s="16">
        <f>'0916'!T49</f>
        <v>0.29166666666666702</v>
      </c>
      <c r="I16" s="16">
        <f>'0916'!T59</f>
        <v>0.29166666666666702</v>
      </c>
      <c r="J16" s="17">
        <f>'0916'!T70</f>
        <v>0.30555555555555602</v>
      </c>
    </row>
    <row r="17" spans="2:10" ht="17.25" customHeight="1">
      <c r="B17" s="487"/>
      <c r="C17" s="10" t="s">
        <v>35</v>
      </c>
      <c r="D17" s="16">
        <v>0.56041666666666701</v>
      </c>
      <c r="E17" s="19">
        <v>0.563194444444444</v>
      </c>
      <c r="F17" s="19">
        <v>0.58472222222222203</v>
      </c>
      <c r="G17" s="210">
        <v>0.61805555555555602</v>
      </c>
      <c r="H17" s="19">
        <v>0.56874999999999998</v>
      </c>
      <c r="I17" s="22">
        <v>0.61805555555555602</v>
      </c>
      <c r="J17" s="22">
        <v>0.67013888888888895</v>
      </c>
    </row>
    <row r="18" spans="2:10" ht="17.25" customHeight="1">
      <c r="B18" s="488" t="s">
        <v>102</v>
      </c>
      <c r="C18" s="330" t="s">
        <v>36</v>
      </c>
      <c r="D18" s="359">
        <f>'0916'!Z15</f>
        <v>0</v>
      </c>
      <c r="E18" s="360">
        <f>'0916'!Z26</f>
        <v>0</v>
      </c>
      <c r="F18" s="360">
        <f>'0916'!Z37</f>
        <v>0</v>
      </c>
      <c r="G18" s="361">
        <f>'0916'!Z48</f>
        <v>0</v>
      </c>
      <c r="H18" s="361">
        <f>'0916'!Z58</f>
        <v>0</v>
      </c>
      <c r="I18" s="360">
        <f>'0916'!Z69</f>
        <v>0</v>
      </c>
      <c r="J18" s="360">
        <f>'0916'!AA78</f>
        <v>0</v>
      </c>
    </row>
    <row r="19" spans="2:10" ht="17.25" customHeight="1">
      <c r="B19" s="489"/>
      <c r="C19" s="330" t="s">
        <v>37</v>
      </c>
      <c r="D19" s="359">
        <f>'0916'!AA15</f>
        <v>0</v>
      </c>
      <c r="E19" s="360">
        <f>'0916'!AA26</f>
        <v>0</v>
      </c>
      <c r="F19" s="360">
        <f>'0916'!AA37</f>
        <v>0</v>
      </c>
      <c r="G19" s="361">
        <f>'0916'!AA48</f>
        <v>0</v>
      </c>
      <c r="H19" s="361">
        <f>'0916'!AA58</f>
        <v>0</v>
      </c>
      <c r="I19" s="360">
        <f>'0916'!AA69</f>
        <v>0</v>
      </c>
      <c r="J19" s="360">
        <f>'0916'!AB78</f>
        <v>0</v>
      </c>
    </row>
    <row r="20" spans="2:10" ht="17.25" customHeight="1">
      <c r="B20" s="488" t="s">
        <v>103</v>
      </c>
      <c r="C20" s="330" t="s">
        <v>36</v>
      </c>
      <c r="D20" s="359">
        <f>'0916'!AD15</f>
        <v>0</v>
      </c>
      <c r="E20" s="360">
        <f>'0916'!AD26</f>
        <v>0</v>
      </c>
      <c r="F20" s="360">
        <f>'0916'!AD37</f>
        <v>0</v>
      </c>
      <c r="G20" s="361">
        <f>'0916'!AD48</f>
        <v>0</v>
      </c>
      <c r="H20" s="361">
        <f>'0916'!AD58</f>
        <v>0</v>
      </c>
      <c r="I20" s="360">
        <f>'0916'!AD69</f>
        <v>0</v>
      </c>
      <c r="J20" s="360">
        <f>'0916'!AD78</f>
        <v>0</v>
      </c>
    </row>
    <row r="21" spans="2:10" ht="17.25" customHeight="1">
      <c r="B21" s="489"/>
      <c r="C21" s="330" t="s">
        <v>85</v>
      </c>
      <c r="D21" s="359">
        <f>'0916'!AE15</f>
        <v>0</v>
      </c>
      <c r="E21" s="360">
        <f>'0916'!AE26</f>
        <v>0</v>
      </c>
      <c r="F21" s="360">
        <f>'0916'!AE37</f>
        <v>0</v>
      </c>
      <c r="G21" s="361">
        <f>'0916'!AE48</f>
        <v>0</v>
      </c>
      <c r="H21" s="361">
        <f>'0916'!AE58</f>
        <v>0</v>
      </c>
      <c r="I21" s="360">
        <f>'0916'!AE69</f>
        <v>0</v>
      </c>
      <c r="J21" s="360">
        <f>'0916'!AE78</f>
        <v>0</v>
      </c>
    </row>
    <row r="22" spans="2:10" ht="17.25" customHeight="1">
      <c r="B22" s="471" t="s">
        <v>104</v>
      </c>
      <c r="C22" s="472"/>
      <c r="D22" s="23">
        <f>VALUE('0916'!M15)</f>
        <v>13.75</v>
      </c>
      <c r="E22" s="23">
        <f>VALUE('0916'!M26)</f>
        <v>13</v>
      </c>
      <c r="F22" s="23">
        <f>VALUE('0916'!M37)</f>
        <v>16.5</v>
      </c>
      <c r="G22" s="23">
        <f>VALUE('0916'!M48)</f>
        <v>17.333333333333332</v>
      </c>
      <c r="H22" s="23">
        <f>VALUE('0916'!M58)</f>
        <v>16.75</v>
      </c>
      <c r="I22" s="23">
        <f>VALUE('0916'!M69)</f>
        <v>12.833333333333334</v>
      </c>
      <c r="J22" s="23">
        <f>'0916'!M78</f>
        <v>8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CE250-4225-429E-8751-AB358D8A8E15}">
  <sheetPr>
    <tabColor theme="9" tint="0.79998168889431442"/>
  </sheetPr>
  <dimension ref="A1:AJ91"/>
  <sheetViews>
    <sheetView zoomScale="69" zoomScaleNormal="69" workbookViewId="0">
      <pane xSplit="5" ySplit="4" topLeftCell="F5" activePane="bottomRight" state="frozen"/>
      <selection activeCell="L24" sqref="L24"/>
      <selection pane="topRight" activeCell="L24" sqref="L24"/>
      <selection pane="bottomLeft" activeCell="L24" sqref="L24"/>
      <selection pane="bottomRight" activeCell="U64" sqref="U6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SUM(G5:G78)</f>
        <v>55231</v>
      </c>
      <c r="F1" s="30" t="s">
        <v>2</v>
      </c>
      <c r="G1" s="31">
        <f>SUM(H5:H78)</f>
        <v>2531399.7549999994</v>
      </c>
      <c r="H1" s="32" t="s">
        <v>3</v>
      </c>
      <c r="I1" s="33">
        <f>M15+M26+M48+M58+M69+M78+M37</f>
        <v>98.166666666666657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182</v>
      </c>
      <c r="B2" s="462"/>
      <c r="C2" s="28"/>
      <c r="D2" s="28" t="s">
        <v>14</v>
      </c>
      <c r="E2" s="35">
        <f>AVERAGE(O15,O26,O37,O48,O58,O69,O78)</f>
        <v>119.00753878374017</v>
      </c>
      <c r="F2" s="36" t="s">
        <v>15</v>
      </c>
      <c r="G2" s="37">
        <f>G1/E1</f>
        <v>45.832951693795138</v>
      </c>
      <c r="H2" s="32" t="s">
        <v>16</v>
      </c>
      <c r="I2" s="32">
        <f>COUNT(I5:I78)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Z15+Z26+Z37+Z48+Z58+Z69+Z78</f>
        <v>0</v>
      </c>
      <c r="AA2" s="339">
        <f>AA15+AA26+AA37+AA48+AA58+AA69+AA78</f>
        <v>0</v>
      </c>
      <c r="AB2" s="433"/>
      <c r="AC2" s="433"/>
      <c r="AD2" s="340">
        <f>AD15+AD26+AD37+AD48+AD58+AD69+AD78</f>
        <v>0</v>
      </c>
      <c r="AE2" s="340">
        <f>AE15+AE26+AE37+AE48+AE58+AE69+AE78</f>
        <v>0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2558</v>
      </c>
      <c r="H5" s="43">
        <f>F5*G5</f>
        <v>145473.46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2192.5714285714339</v>
      </c>
      <c r="O5" s="47">
        <f>N5/M5</f>
        <v>156.61224489795956</v>
      </c>
      <c r="P5" s="49">
        <f>M5-J5</f>
        <v>0</v>
      </c>
      <c r="Q5" s="50">
        <f>O5-L5</f>
        <v>-4.1020408163261664</v>
      </c>
      <c r="R5" s="51">
        <f>O5/L5</f>
        <v>0.97447619047619272</v>
      </c>
      <c r="S5" s="392">
        <f>R15</f>
        <v>0.93902805103060716</v>
      </c>
      <c r="T5" s="319">
        <v>0.29861111111111099</v>
      </c>
      <c r="U5" s="320">
        <v>0.34722222222222199</v>
      </c>
      <c r="V5" s="53"/>
      <c r="W5" s="54">
        <f t="shared" ref="W5:W14" si="0">(U5-T5)*24*60</f>
        <v>69.999999999999829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8" si="1">N5-K5</f>
        <v>-57.428571428566102</v>
      </c>
      <c r="AG5" s="52">
        <f t="shared" ref="AG5:AG8" si="2">N5/K5</f>
        <v>0.97447619047619283</v>
      </c>
      <c r="AH5" s="380">
        <f>AG15</f>
        <v>0.93822280391771673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1361</v>
      </c>
      <c r="H6" s="63">
        <f>F6*G6</f>
        <v>79169.37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2207.0270270270685</v>
      </c>
      <c r="O6" s="67">
        <f>N6/M6</f>
        <v>169.77130977131296</v>
      </c>
      <c r="P6" s="69">
        <f>M6-J6</f>
        <v>0</v>
      </c>
      <c r="Q6" s="70">
        <f>O6-L6</f>
        <v>-3.3056133056101089</v>
      </c>
      <c r="R6" s="71">
        <f>O6/L6</f>
        <v>0.98090090090091941</v>
      </c>
      <c r="S6" s="393"/>
      <c r="T6" s="16">
        <v>0.35416666666666702</v>
      </c>
      <c r="U6" s="16">
        <v>0.37986111111111098</v>
      </c>
      <c r="V6" s="30">
        <f>(T6-U5)*24*60</f>
        <v>10.000000000000844</v>
      </c>
      <c r="W6" s="73">
        <f t="shared" si="0"/>
        <v>36.999999999999311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-42.97297297293153</v>
      </c>
      <c r="AG6" s="72">
        <f t="shared" si="2"/>
        <v>0.9809009009009193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3942</v>
      </c>
      <c r="H7" s="78">
        <f>F7*G7</f>
        <v>193709.88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2004.4067796610025</v>
      </c>
      <c r="O7" s="81">
        <f>N7/M7</f>
        <v>143.17191283292874</v>
      </c>
      <c r="P7" s="74">
        <f>M7-J7</f>
        <v>0</v>
      </c>
      <c r="Q7" s="83">
        <f>O7-L7</f>
        <v>-17.542372881356982</v>
      </c>
      <c r="R7" s="72">
        <f>O7/L7</f>
        <v>0.89084745762711215</v>
      </c>
      <c r="S7" s="393"/>
      <c r="T7" s="18">
        <v>0.39722222222222198</v>
      </c>
      <c r="U7" s="18">
        <v>0.47916666666666702</v>
      </c>
      <c r="V7" s="30">
        <f>(T7-U6)*24*60</f>
        <v>24.999999999999829</v>
      </c>
      <c r="W7" s="73">
        <f t="shared" si="0"/>
        <v>118.00000000000085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-245.59322033899753</v>
      </c>
      <c r="AG7" s="72">
        <f t="shared" si="2"/>
        <v>0.89084745762711226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884</v>
      </c>
      <c r="H8" s="78">
        <f>F8*G8</f>
        <v>43439.76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2039.9999999999445</v>
      </c>
      <c r="O8" s="81">
        <f>N8/M8</f>
        <v>145.71428571428174</v>
      </c>
      <c r="P8" s="74">
        <f>M8-J8</f>
        <v>0</v>
      </c>
      <c r="Q8" s="83">
        <f>O8-L8</f>
        <v>-15.000000000003979</v>
      </c>
      <c r="R8" s="72">
        <f>O8/L8</f>
        <v>0.90666666666664186</v>
      </c>
      <c r="S8" s="393"/>
      <c r="T8" s="16">
        <v>0.54236111111111096</v>
      </c>
      <c r="U8" s="16">
        <v>0.56041666666666701</v>
      </c>
      <c r="V8" s="30">
        <f>(T8-U7)*24*60</f>
        <v>90.999999999999275</v>
      </c>
      <c r="W8" s="73">
        <f t="shared" si="0"/>
        <v>26.000000000000707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-210.00000000005548</v>
      </c>
      <c r="AG8" s="72">
        <f t="shared" si="2"/>
        <v>0.90666666666664197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/>
      <c r="AG9" s="72"/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/>
      <c r="AG10" s="72"/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/>
      <c r="AG11" s="72"/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13.75</v>
      </c>
      <c r="K15" s="120">
        <f t="shared" si="3"/>
        <v>2250</v>
      </c>
      <c r="L15" s="117">
        <f t="shared" si="3"/>
        <v>163.80494505494505</v>
      </c>
      <c r="M15" s="120">
        <f t="shared" si="3"/>
        <v>13.75</v>
      </c>
      <c r="N15" s="120">
        <f t="shared" si="3"/>
        <v>2111.0013088148626</v>
      </c>
      <c r="O15" s="117">
        <f t="shared" si="3"/>
        <v>153.81743830412074</v>
      </c>
      <c r="P15" s="121">
        <f>M15-J15</f>
        <v>0</v>
      </c>
      <c r="Q15" s="122">
        <f>O15-L15</f>
        <v>-9.9875067508243092</v>
      </c>
      <c r="R15" s="123">
        <f>O15/L15</f>
        <v>0.93902805103060716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-138.99869118513743</v>
      </c>
      <c r="AG15" s="124">
        <f>N15/K15</f>
        <v>0.93822280391771673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4972</v>
      </c>
      <c r="H16" s="134">
        <f>F16*G16</f>
        <v>251931.24000000002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2161.7391304347902</v>
      </c>
      <c r="O16" s="141">
        <f>N16/M16</f>
        <v>166.2876254180608</v>
      </c>
      <c r="P16" s="142">
        <f>M16-J16</f>
        <v>0</v>
      </c>
      <c r="Q16" s="143">
        <f>O16-L16</f>
        <v>-6.7892976588622673</v>
      </c>
      <c r="R16" s="144">
        <f>O16/L16</f>
        <v>0.96077294685990688</v>
      </c>
      <c r="S16" s="420">
        <f>R26</f>
        <v>0.91080077896198974</v>
      </c>
      <c r="T16" s="145">
        <v>0.29861111111111099</v>
      </c>
      <c r="U16" s="145">
        <v>0.39444444444444399</v>
      </c>
      <c r="V16" s="135"/>
      <c r="W16" s="146">
        <f t="shared" ref="W16:W77" si="4">(U16-T16)*24*60</f>
        <v>137.99999999999952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-88.260869565209759</v>
      </c>
      <c r="AG16" s="52">
        <f>N16/K16</f>
        <v>0.96077294685990677</v>
      </c>
      <c r="AH16" s="380">
        <f>AG26</f>
        <v>0.91433692784894727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3629</v>
      </c>
      <c r="H17" s="78">
        <f>F17*G17</f>
        <v>182865.31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2155.8415841584442</v>
      </c>
      <c r="O17" s="96">
        <f>N17/M17</f>
        <v>153.988684582746</v>
      </c>
      <c r="P17" s="97">
        <f>M17-J17</f>
        <v>0</v>
      </c>
      <c r="Q17" s="98">
        <f>O17-L17</f>
        <v>-6.7256011315397188</v>
      </c>
      <c r="R17" s="99">
        <f>O17/L17</f>
        <v>0.95815181518153059</v>
      </c>
      <c r="S17" s="421"/>
      <c r="T17" s="19">
        <v>0.405555555555556</v>
      </c>
      <c r="U17" s="19">
        <v>0.47569444444444398</v>
      </c>
      <c r="V17" s="30">
        <f>(T17-U16)*24*60</f>
        <v>16.0000000000013</v>
      </c>
      <c r="W17" s="149">
        <f t="shared" si="4"/>
        <v>100.99999999999868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-94.158415841555779</v>
      </c>
      <c r="AG17" s="72">
        <f>N17/K17</f>
        <v>0.95815181518153081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958</v>
      </c>
      <c r="H18" s="78">
        <f>F18*G18</f>
        <v>48273.62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1854.1935483871607</v>
      </c>
      <c r="O18" s="96">
        <f>N18/M18</f>
        <v>154.51612903226339</v>
      </c>
      <c r="P18" s="97">
        <f>M18-J18</f>
        <v>0</v>
      </c>
      <c r="Q18" s="98">
        <f>O18-L18</f>
        <v>-32.983870967736607</v>
      </c>
      <c r="R18" s="99">
        <f>O18/L18</f>
        <v>0.82408602150540478</v>
      </c>
      <c r="S18" s="421"/>
      <c r="T18" s="19">
        <v>0.54166666666666696</v>
      </c>
      <c r="U18" s="19">
        <v>0.563194444444444</v>
      </c>
      <c r="V18" s="30">
        <f>(T18-U17)*24*60</f>
        <v>95.000000000001108</v>
      </c>
      <c r="W18" s="149">
        <f t="shared" si="4"/>
        <v>30.999999999998931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-395.80645161283928</v>
      </c>
      <c r="AG18" s="72">
        <f>N18/K18</f>
        <v>0.82408602150540478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/>
      <c r="AG19" s="72"/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173.76373626373626</v>
      </c>
      <c r="M26" s="155">
        <f t="shared" si="5"/>
        <v>13</v>
      </c>
      <c r="N26" s="155">
        <f t="shared" si="5"/>
        <v>2057.2580876601314</v>
      </c>
      <c r="O26" s="158">
        <f t="shared" si="5"/>
        <v>158.26414634435673</v>
      </c>
      <c r="P26" s="159">
        <f>M26-J26</f>
        <v>0</v>
      </c>
      <c r="Q26" s="160">
        <f>O26-L26</f>
        <v>-15.499589919379531</v>
      </c>
      <c r="R26" s="161">
        <f>O26/L26</f>
        <v>0.91080077896198974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-192.74191233986858</v>
      </c>
      <c r="AG26" s="124">
        <f t="shared" ref="AG26:AG31" si="7">N26/K26</f>
        <v>0.91433692784894727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57.21</v>
      </c>
      <c r="G27" s="169">
        <f>461+353+55</f>
        <v>869</v>
      </c>
      <c r="H27" s="134">
        <f>F27*G27</f>
        <v>49715.49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17</v>
      </c>
      <c r="N27" s="140">
        <f>G27/W27*60</f>
        <v>1303.5000000000384</v>
      </c>
      <c r="O27" s="141">
        <f>N27/M27</f>
        <v>76.676470588237549</v>
      </c>
      <c r="P27" s="142">
        <f>M27-J27</f>
        <v>-1</v>
      </c>
      <c r="Q27" s="143">
        <f>O27-L27</f>
        <v>-14.212418300651336</v>
      </c>
      <c r="R27" s="144">
        <f>O27/L27</f>
        <v>0.8436286495038362</v>
      </c>
      <c r="S27" s="420">
        <f>R37</f>
        <v>0.91944227518154498</v>
      </c>
      <c r="T27" s="171">
        <v>0.29166666666666702</v>
      </c>
      <c r="U27" s="171">
        <v>0.31944444444444398</v>
      </c>
      <c r="V27" s="135"/>
      <c r="W27" s="146">
        <f t="shared" si="4"/>
        <v>39.99999999999882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6"/>
        <v>-332.49999999996157</v>
      </c>
      <c r="AG27" s="172">
        <f t="shared" si="7"/>
        <v>0.79676039119806752</v>
      </c>
      <c r="AH27" s="380">
        <f>AG37</f>
        <v>0.88533999158510457</v>
      </c>
    </row>
    <row r="28" spans="1:34" ht="15" customHeight="1">
      <c r="A28" s="418"/>
      <c r="B28" s="75" t="s">
        <v>81</v>
      </c>
      <c r="C28" s="173"/>
      <c r="D28" s="59" t="s">
        <v>124</v>
      </c>
      <c r="E28" s="104"/>
      <c r="F28" s="75">
        <f>VLOOKUP(D28,廠價表!$C$1:$E$43,3,0)</f>
        <v>46.34</v>
      </c>
      <c r="G28" s="90">
        <v>712</v>
      </c>
      <c r="H28" s="91">
        <f>F28*G28</f>
        <v>32994.080000000002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16</v>
      </c>
      <c r="N28" s="95">
        <f>G28/W28*60</f>
        <v>1582.2222222222231</v>
      </c>
      <c r="O28" s="96">
        <f>N28/M28</f>
        <v>98.888888888888943</v>
      </c>
      <c r="P28" s="97">
        <f>M28-J28</f>
        <v>0</v>
      </c>
      <c r="Q28" s="98">
        <f>O28-L28</f>
        <v>-3.3611111111110574</v>
      </c>
      <c r="R28" s="99">
        <f>O28/L28</f>
        <v>0.96712849769084541</v>
      </c>
      <c r="S28" s="421"/>
      <c r="T28" s="19">
        <v>0.32569444444444401</v>
      </c>
      <c r="U28" s="19">
        <v>0.344444444444444</v>
      </c>
      <c r="V28" s="92">
        <f>(T28-U27)*24*60</f>
        <v>9.000000000000048</v>
      </c>
      <c r="W28" s="149">
        <f t="shared" si="4"/>
        <v>26.999999999999986</v>
      </c>
      <c r="X28" s="174"/>
      <c r="Y28" s="301"/>
      <c r="Z28" s="335"/>
      <c r="AA28" s="335"/>
      <c r="AB28" s="386" t="s">
        <v>180</v>
      </c>
      <c r="AC28" s="386"/>
      <c r="AD28" s="92"/>
      <c r="AE28" s="92"/>
      <c r="AF28" s="311">
        <f t="shared" si="6"/>
        <v>-53.777777777776919</v>
      </c>
      <c r="AG28" s="99">
        <f t="shared" si="7"/>
        <v>0.96712849769084541</v>
      </c>
      <c r="AH28" s="381"/>
    </row>
    <row r="29" spans="1:34" ht="15" customHeight="1">
      <c r="A29" s="418"/>
      <c r="B29" s="75" t="s">
        <v>81</v>
      </c>
      <c r="C29" s="88"/>
      <c r="D29" s="59" t="s">
        <v>126</v>
      </c>
      <c r="E29" s="89"/>
      <c r="F29" s="75">
        <f>VLOOKUP(D29,廠價表!$C$1:$E$43,3,0)</f>
        <v>45.66</v>
      </c>
      <c r="G29" s="90">
        <v>658</v>
      </c>
      <c r="H29" s="91">
        <f t="shared" ref="H29:H32" si="8">F29*G29</f>
        <v>30044.28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 t="shared" ref="L29:L32" si="9">K29/J29</f>
        <v>96.235294117647058</v>
      </c>
      <c r="M29" s="94">
        <v>17</v>
      </c>
      <c r="N29" s="95">
        <f>G29/W29*60</f>
        <v>1579.2000000000107</v>
      </c>
      <c r="O29" s="96">
        <f>N29/M29</f>
        <v>92.89411764705946</v>
      </c>
      <c r="P29" s="97">
        <f>M29-J29</f>
        <v>0</v>
      </c>
      <c r="Q29" s="98">
        <f>O29-L29</f>
        <v>-3.3411764705875981</v>
      </c>
      <c r="R29" s="99">
        <f>O29/L29</f>
        <v>0.96528117359413868</v>
      </c>
      <c r="S29" s="421"/>
      <c r="T29" s="19">
        <v>0.35416666666666702</v>
      </c>
      <c r="U29" s="19">
        <v>0.37152777777777801</v>
      </c>
      <c r="V29" s="92">
        <f>(T29-U28)*24*60</f>
        <v>14.000000000001149</v>
      </c>
      <c r="W29" s="149">
        <f t="shared" si="4"/>
        <v>24.999999999999829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-56.799999999989268</v>
      </c>
      <c r="AG29" s="99">
        <f t="shared" si="7"/>
        <v>0.96528117359413856</v>
      </c>
      <c r="AH29" s="381"/>
    </row>
    <row r="30" spans="1:34" ht="15" customHeight="1">
      <c r="A30" s="418"/>
      <c r="B30" s="75" t="s">
        <v>81</v>
      </c>
      <c r="C30" s="88"/>
      <c r="D30" s="59" t="s">
        <v>161</v>
      </c>
      <c r="E30" s="89"/>
      <c r="F30" s="75">
        <f>VLOOKUP(D30,廠價表!$C$1:$E$43,3,0)</f>
        <v>52.21</v>
      </c>
      <c r="G30" s="90">
        <f>1945+43</f>
        <v>1988</v>
      </c>
      <c r="H30" s="91">
        <f t="shared" si="8"/>
        <v>103793.48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si="9"/>
        <v>90.888888888888886</v>
      </c>
      <c r="M30" s="94">
        <v>17</v>
      </c>
      <c r="N30" s="95">
        <f t="shared" ref="N30:N32" si="10">G30/W30*60</f>
        <v>1454.6341463414487</v>
      </c>
      <c r="O30" s="96">
        <f t="shared" ref="O30:O32" si="11">N30/M30</f>
        <v>85.566714490673462</v>
      </c>
      <c r="P30" s="97">
        <f t="shared" ref="P30:P32" si="12">M30-J30</f>
        <v>-1</v>
      </c>
      <c r="Q30" s="98">
        <f t="shared" ref="Q30:Q32" si="13">O30-L30</f>
        <v>-5.3221743982154237</v>
      </c>
      <c r="R30" s="99">
        <f t="shared" ref="R30:R32" si="14">O30/L30</f>
        <v>0.94144306896829</v>
      </c>
      <c r="S30" s="421"/>
      <c r="T30" s="19">
        <v>0.37708333333333299</v>
      </c>
      <c r="U30" s="19">
        <v>0.43402777777777801</v>
      </c>
      <c r="V30" s="92">
        <f t="shared" ref="V30:V32" si="15">(T30-U29)*24*60</f>
        <v>7.9999999999991722</v>
      </c>
      <c r="W30" s="149">
        <f t="shared" si="4"/>
        <v>82.000000000000824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-181.36585365855126</v>
      </c>
      <c r="AG30" s="99">
        <f t="shared" si="7"/>
        <v>0.88914067624782933</v>
      </c>
      <c r="AH30" s="416"/>
    </row>
    <row r="31" spans="1:34" ht="15" customHeight="1">
      <c r="A31" s="418"/>
      <c r="B31" s="75" t="s">
        <v>81</v>
      </c>
      <c r="C31" s="177"/>
      <c r="D31" s="59" t="s">
        <v>124</v>
      </c>
      <c r="E31" s="178"/>
      <c r="F31" s="75">
        <f>VLOOKUP(D31,廠價表!$C$1:$E$43,3,0)</f>
        <v>46.34</v>
      </c>
      <c r="G31" s="90">
        <v>442</v>
      </c>
      <c r="H31" s="91">
        <f t="shared" si="8"/>
        <v>20482.280000000002</v>
      </c>
      <c r="I31" s="92"/>
      <c r="J31" s="79">
        <f>VLOOKUP(D31,產線配置圖!$A$3:$C$40,2,0)</f>
        <v>16</v>
      </c>
      <c r="K31" s="80">
        <f>VLOOKUP(D31,產線配置圖!$A$3:$C$40,3,0)</f>
        <v>1636</v>
      </c>
      <c r="L31" s="93">
        <f t="shared" si="9"/>
        <v>102.25</v>
      </c>
      <c r="M31" s="94">
        <v>16</v>
      </c>
      <c r="N31" s="95">
        <f t="shared" si="10"/>
        <v>1395.7894736841511</v>
      </c>
      <c r="O31" s="96">
        <f t="shared" si="11"/>
        <v>87.236842105259441</v>
      </c>
      <c r="P31" s="97">
        <f t="shared" si="12"/>
        <v>0</v>
      </c>
      <c r="Q31" s="98">
        <f t="shared" si="13"/>
        <v>-15.013157894740559</v>
      </c>
      <c r="R31" s="99">
        <f t="shared" si="14"/>
        <v>0.85317204992918771</v>
      </c>
      <c r="S31" s="421"/>
      <c r="T31" s="19">
        <v>0.44097222222222199</v>
      </c>
      <c r="U31" s="19">
        <v>0.454166666666667</v>
      </c>
      <c r="V31" s="92">
        <f t="shared" si="15"/>
        <v>9.999999999999325</v>
      </c>
      <c r="W31" s="149">
        <f t="shared" si="4"/>
        <v>19.00000000000081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-240.21052631584894</v>
      </c>
      <c r="AG31" s="99">
        <f t="shared" si="7"/>
        <v>0.85317204992918771</v>
      </c>
      <c r="AH31" s="383"/>
    </row>
    <row r="32" spans="1:34" ht="15" customHeight="1">
      <c r="A32" s="418"/>
      <c r="B32" s="75" t="s">
        <v>81</v>
      </c>
      <c r="C32" s="173"/>
      <c r="D32" s="59" t="s">
        <v>161</v>
      </c>
      <c r="E32" s="104"/>
      <c r="F32" s="75">
        <f>VLOOKUP(D32,廠價表!$C$1:$E$43,3,0)</f>
        <v>52.21</v>
      </c>
      <c r="G32" s="90">
        <v>2269</v>
      </c>
      <c r="H32" s="91">
        <f t="shared" si="8"/>
        <v>118464.49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9"/>
        <v>90.888888888888886</v>
      </c>
      <c r="M32" s="94">
        <v>16</v>
      </c>
      <c r="N32" s="95">
        <f t="shared" si="10"/>
        <v>1375.1515151515155</v>
      </c>
      <c r="O32" s="96">
        <f t="shared" si="11"/>
        <v>85.946969696969717</v>
      </c>
      <c r="P32" s="97">
        <f t="shared" si="12"/>
        <v>-2</v>
      </c>
      <c r="Q32" s="98">
        <f t="shared" si="13"/>
        <v>-4.941919191919169</v>
      </c>
      <c r="R32" s="99">
        <f t="shared" si="14"/>
        <v>0.94562680595687953</v>
      </c>
      <c r="S32" s="421"/>
      <c r="T32" s="19">
        <v>0.51597222222222205</v>
      </c>
      <c r="U32" s="19">
        <v>0.58472222222222203</v>
      </c>
      <c r="V32" s="92">
        <f t="shared" si="15"/>
        <v>88.999999999999289</v>
      </c>
      <c r="W32" s="149">
        <f t="shared" si="4"/>
        <v>98.999999999999972</v>
      </c>
      <c r="X32" s="174"/>
      <c r="Y32" s="301"/>
      <c r="Z32" s="335"/>
      <c r="AA32" s="335"/>
      <c r="AB32" s="386" t="s">
        <v>181</v>
      </c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76"/>
      <c r="D33" s="59"/>
      <c r="E33" s="77"/>
      <c r="F33" s="75"/>
      <c r="G33" s="147"/>
      <c r="H33" s="78"/>
      <c r="I33" s="30"/>
      <c r="J33" s="79"/>
      <c r="K33" s="80"/>
      <c r="L33" s="81"/>
      <c r="M33" s="148"/>
      <c r="N33" s="95"/>
      <c r="O33" s="96"/>
      <c r="P33" s="97"/>
      <c r="Q33" s="98"/>
      <c r="R33" s="99"/>
      <c r="S33" s="421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30"/>
      <c r="C34" s="151"/>
      <c r="D34" s="59"/>
      <c r="E34" s="87"/>
      <c r="F34" s="105"/>
      <c r="G34" s="95"/>
      <c r="H34" s="78"/>
      <c r="I34" s="149"/>
      <c r="J34" s="148"/>
      <c r="K34" s="95"/>
      <c r="L34" s="96"/>
      <c r="M34" s="148"/>
      <c r="N34" s="95"/>
      <c r="O34" s="96"/>
      <c r="P34" s="97"/>
      <c r="Q34" s="98"/>
      <c r="R34" s="99"/>
      <c r="S34" s="421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86"/>
      <c r="D35" s="59"/>
      <c r="E35" s="87"/>
      <c r="F35" s="75"/>
      <c r="G35" s="147"/>
      <c r="H35" s="78"/>
      <c r="I35" s="30"/>
      <c r="J35" s="79"/>
      <c r="K35" s="80"/>
      <c r="L35" s="81"/>
      <c r="M35" s="148"/>
      <c r="N35" s="95"/>
      <c r="O35" s="96"/>
      <c r="P35" s="97"/>
      <c r="Q35" s="98"/>
      <c r="R35" s="99"/>
      <c r="S35" s="421"/>
      <c r="T35" s="19"/>
      <c r="U35" s="19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376"/>
      <c r="C36" s="102"/>
      <c r="D36" s="103"/>
      <c r="E36" s="104"/>
      <c r="F36" s="105"/>
      <c r="G36" s="95"/>
      <c r="H36" s="78">
        <f>F36*G36</f>
        <v>0</v>
      </c>
      <c r="I36" s="149"/>
      <c r="J36" s="148"/>
      <c r="K36" s="95"/>
      <c r="L36" s="96"/>
      <c r="M36" s="148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16">AVERAGE(J27:J36)</f>
        <v>17.166666666666668</v>
      </c>
      <c r="K37" s="155">
        <f t="shared" si="16"/>
        <v>1636</v>
      </c>
      <c r="L37" s="158">
        <f t="shared" si="16"/>
        <v>95.566993464052288</v>
      </c>
      <c r="M37" s="155">
        <f t="shared" si="16"/>
        <v>16.5</v>
      </c>
      <c r="N37" s="155">
        <f t="shared" si="16"/>
        <v>1448.4162262332311</v>
      </c>
      <c r="O37" s="158">
        <f t="shared" si="16"/>
        <v>87.868333902848079</v>
      </c>
      <c r="P37" s="159">
        <f>M37-J37</f>
        <v>-0.66666666666666785</v>
      </c>
      <c r="Q37" s="160">
        <f>N37-K37</f>
        <v>-187.5837737667689</v>
      </c>
      <c r="R37" s="161">
        <f>O37/L37</f>
        <v>0.91944227518154498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-187.5837737667689</v>
      </c>
      <c r="AG37" s="124">
        <f>N37/K37</f>
        <v>0.88533999158510457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375"/>
      <c r="F38" s="39">
        <f>VLOOKUP(D38,廠價表!$C$1:$E$43,3,0)</f>
        <v>49.91</v>
      </c>
      <c r="G38" s="186">
        <v>2210</v>
      </c>
      <c r="H38" s="134">
        <f>F38*G38</f>
        <v>110301.09999999999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1657.4999999999859</v>
      </c>
      <c r="O38" s="141">
        <f>N38/M38</f>
        <v>103.59374999999912</v>
      </c>
      <c r="P38" s="142">
        <f>M38-J38</f>
        <v>0</v>
      </c>
      <c r="Q38" s="143">
        <f>O38-L38</f>
        <v>-3.5312500000008811</v>
      </c>
      <c r="R38" s="144">
        <f>O38/L38</f>
        <v>0.96703617269544107</v>
      </c>
      <c r="S38" s="410">
        <f>R48</f>
        <v>0.9260389600387896</v>
      </c>
      <c r="T38" s="191">
        <v>0.33333333333333298</v>
      </c>
      <c r="U38" s="191">
        <v>0.38888888888888901</v>
      </c>
      <c r="V38" s="192"/>
      <c r="W38" s="193">
        <f t="shared" si="4"/>
        <v>80.000000000000682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-56.500000000014097</v>
      </c>
      <c r="AG38" s="195">
        <f>N38/K38</f>
        <v>0.96703617269544107</v>
      </c>
      <c r="AH38" s="413">
        <f>AG48</f>
        <v>0.92427729681943793</v>
      </c>
    </row>
    <row r="39" spans="1:34" ht="15" customHeight="1">
      <c r="A39" s="408"/>
      <c r="B39" s="75" t="s">
        <v>127</v>
      </c>
      <c r="C39" s="207"/>
      <c r="D39" s="198" t="s">
        <v>129</v>
      </c>
      <c r="E39" s="178"/>
      <c r="F39" s="75">
        <f>VLOOKUP(D39,廠價表!$C$1:$E$43,3,0)</f>
        <v>44.3</v>
      </c>
      <c r="G39" s="199">
        <v>2538</v>
      </c>
      <c r="H39" s="91">
        <f>F39*G39</f>
        <v>112433.4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1478.4466019417437</v>
      </c>
      <c r="O39" s="203">
        <f>N39/M39</f>
        <v>82.135922330096875</v>
      </c>
      <c r="P39" s="97">
        <f>M39-J39</f>
        <v>0</v>
      </c>
      <c r="Q39" s="98">
        <f>O39-L39</f>
        <v>-8.7529665587920107</v>
      </c>
      <c r="R39" s="99">
        <f>O39/L39</f>
        <v>0.90369596695705612</v>
      </c>
      <c r="S39" s="393"/>
      <c r="T39" s="20">
        <v>0.40069444444444402</v>
      </c>
      <c r="U39" s="20">
        <v>0.47222222222222199</v>
      </c>
      <c r="V39" s="92">
        <f t="shared" ref="V39:V40" si="17">(T39-U38)*24*60</f>
        <v>16.999999999999218</v>
      </c>
      <c r="W39" s="205">
        <f t="shared" si="4"/>
        <v>103.00000000000027</v>
      </c>
      <c r="X39" s="208"/>
      <c r="Y39" s="209"/>
      <c r="Z39" s="337"/>
      <c r="AA39" s="337"/>
      <c r="AB39" s="386"/>
      <c r="AC39" s="386"/>
      <c r="AD39" s="92"/>
      <c r="AE39" s="92"/>
      <c r="AF39" s="314">
        <f>N39-K39</f>
        <v>-157.55339805825633</v>
      </c>
      <c r="AG39" s="206">
        <f>N39/K39</f>
        <v>0.90369596695705601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f>2787+158</f>
        <v>2945</v>
      </c>
      <c r="H40" s="91">
        <f>F40*G40</f>
        <v>130463.49999999999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1472.4999999999877</v>
      </c>
      <c r="O40" s="203">
        <f>N40/M40</f>
        <v>81.805555555554875</v>
      </c>
      <c r="P40" s="97">
        <f>M40-J40</f>
        <v>0</v>
      </c>
      <c r="Q40" s="98">
        <f>O40-L40</f>
        <v>-9.0833333333340107</v>
      </c>
      <c r="R40" s="99">
        <f>O40/L40</f>
        <v>0.90006112469436905</v>
      </c>
      <c r="S40" s="393"/>
      <c r="T40" s="20">
        <v>0.53472222222222199</v>
      </c>
      <c r="U40" s="210">
        <v>0.61805555555555602</v>
      </c>
      <c r="V40" s="92">
        <f t="shared" si="17"/>
        <v>90</v>
      </c>
      <c r="W40" s="205">
        <f t="shared" si="4"/>
        <v>120.00000000000101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-163.50000000001228</v>
      </c>
      <c r="AG40" s="206">
        <f>N40/K40</f>
        <v>0.90006112469436905</v>
      </c>
      <c r="AH40" s="414"/>
    </row>
    <row r="41" spans="1:34" ht="15" customHeight="1">
      <c r="A41" s="408"/>
      <c r="B41" s="75"/>
      <c r="C41" s="102"/>
      <c r="D41" s="198"/>
      <c r="E41" s="104"/>
      <c r="F41" s="75"/>
      <c r="G41" s="202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10"/>
      <c r="U41" s="210"/>
      <c r="V41" s="92"/>
      <c r="W41" s="205">
        <f t="shared" si="4"/>
        <v>0</v>
      </c>
      <c r="X41" s="208"/>
      <c r="Y41" s="212"/>
      <c r="Z41" s="338"/>
      <c r="AA41" s="338"/>
      <c r="AB41" s="386"/>
      <c r="AC41" s="386"/>
      <c r="AD41" s="92"/>
      <c r="AE41" s="92"/>
      <c r="AF41" s="213"/>
      <c r="AG41" s="206"/>
      <c r="AH41" s="414"/>
    </row>
    <row r="42" spans="1:34" ht="15" customHeight="1">
      <c r="A42" s="408"/>
      <c r="B42" s="75"/>
      <c r="C42" s="102"/>
      <c r="D42" s="198"/>
      <c r="E42" s="104"/>
      <c r="F42" s="75"/>
      <c r="G42" s="202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2"/>
      <c r="Z42" s="338"/>
      <c r="AA42" s="338"/>
      <c r="AB42" s="386"/>
      <c r="AC42" s="386"/>
      <c r="AD42" s="92"/>
      <c r="AE42" s="92"/>
      <c r="AF42" s="213"/>
      <c r="AG42" s="206"/>
      <c r="AH42" s="414"/>
    </row>
    <row r="43" spans="1:34" ht="15" customHeight="1">
      <c r="A43" s="408"/>
      <c r="B43" s="75"/>
      <c r="C43" s="86"/>
      <c r="D43" s="198"/>
      <c r="E43" s="87"/>
      <c r="F43" s="75"/>
      <c r="G43" s="199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8">AVERAGE(J38:J47)</f>
        <v>17.333333333333332</v>
      </c>
      <c r="K48" s="155">
        <f t="shared" si="18"/>
        <v>1662</v>
      </c>
      <c r="L48" s="158">
        <f t="shared" si="18"/>
        <v>96.300925925925924</v>
      </c>
      <c r="M48" s="155">
        <f t="shared" si="18"/>
        <v>17.333333333333332</v>
      </c>
      <c r="N48" s="155">
        <f t="shared" si="18"/>
        <v>1536.1488673139058</v>
      </c>
      <c r="O48" s="158">
        <f t="shared" si="18"/>
        <v>89.178409295216952</v>
      </c>
      <c r="P48" s="221">
        <f>M48-J48</f>
        <v>0</v>
      </c>
      <c r="Q48" s="222">
        <f>N48-K48</f>
        <v>-125.85113268609416</v>
      </c>
      <c r="R48" s="223">
        <f>O48/L48</f>
        <v>0.9260389600387896</v>
      </c>
      <c r="S48" s="396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4" si="19">N48-K48</f>
        <v>-125.85113268609416</v>
      </c>
      <c r="AG48" s="162">
        <f t="shared" ref="AG48:AG54" si="20">N48/K48</f>
        <v>0.92427729681943793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f>676+17</f>
        <v>693</v>
      </c>
      <c r="H49" s="134">
        <f>F49*G49</f>
        <v>34587.629999999997</v>
      </c>
      <c r="I49" s="135"/>
      <c r="J49" s="136">
        <f>VLOOKUP(D49,產線配置圖!$A$3:$C$40,2,0)</f>
        <v>18</v>
      </c>
      <c r="K49" s="137">
        <f>VLOOKUP(D49,產線配置圖!$A$3:$C$40,3,0)</f>
        <v>2250</v>
      </c>
      <c r="L49" s="138">
        <f>K49/J49</f>
        <v>125</v>
      </c>
      <c r="M49" s="170">
        <v>18</v>
      </c>
      <c r="N49" s="140">
        <f>G49/W49*60</f>
        <v>1663.2000000000114</v>
      </c>
      <c r="O49" s="141">
        <f>N49/M49</f>
        <v>92.400000000000631</v>
      </c>
      <c r="P49" s="229">
        <f>M49-J49</f>
        <v>0</v>
      </c>
      <c r="Q49" s="230">
        <f>O49-L49</f>
        <v>-32.599999999999369</v>
      </c>
      <c r="R49" s="52">
        <f>O49/L49</f>
        <v>0.73920000000000508</v>
      </c>
      <c r="S49" s="392">
        <f>R58</f>
        <v>0.83656088788939453</v>
      </c>
      <c r="T49" s="191">
        <v>0.29166666666666702</v>
      </c>
      <c r="U49" s="191">
        <v>0.30902777777777801</v>
      </c>
      <c r="V49" s="55"/>
      <c r="W49" s="193">
        <f t="shared" si="4"/>
        <v>24.999999999999829</v>
      </c>
      <c r="X49" s="55"/>
      <c r="Y49" s="290"/>
      <c r="Z49" s="169"/>
      <c r="AA49" s="169"/>
      <c r="AB49" s="397" t="s">
        <v>137</v>
      </c>
      <c r="AC49" s="397"/>
      <c r="AD49" s="135"/>
      <c r="AE49" s="135"/>
      <c r="AF49" s="229">
        <f t="shared" si="19"/>
        <v>-586.79999999998859</v>
      </c>
      <c r="AG49" s="52">
        <f t="shared" si="20"/>
        <v>0.73920000000000508</v>
      </c>
      <c r="AH49" s="380">
        <f>AG58</f>
        <v>0.83364706884876538</v>
      </c>
    </row>
    <row r="50" spans="1:34" ht="15" customHeight="1">
      <c r="A50" s="405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2235</v>
      </c>
      <c r="H50" s="231">
        <f>F50*G50</f>
        <v>112395.91500000001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1411.5789473684047</v>
      </c>
      <c r="O50" s="235">
        <f>N50/M50</f>
        <v>83.034055727553209</v>
      </c>
      <c r="P50" s="74">
        <f>M50-J50</f>
        <v>0</v>
      </c>
      <c r="Q50" s="83">
        <f>O50-L50</f>
        <v>-13.201238390093849</v>
      </c>
      <c r="R50" s="72">
        <f>O50/L50</f>
        <v>0.86282331746234997</v>
      </c>
      <c r="S50" s="393"/>
      <c r="T50" s="21">
        <v>0.31458333333333299</v>
      </c>
      <c r="U50" s="21">
        <v>0.38055555555555598</v>
      </c>
      <c r="V50" s="30">
        <f>(T50-U49)*24*60</f>
        <v>7.9999999999991722</v>
      </c>
      <c r="W50" s="236">
        <f t="shared" si="4"/>
        <v>95.000000000001108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9"/>
        <v>-224.42105263159533</v>
      </c>
      <c r="AG50" s="72">
        <f t="shared" si="20"/>
        <v>0.86282331746235008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2770</v>
      </c>
      <c r="H51" s="231">
        <f>F51*G51</f>
        <v>138416.9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1598.0769230769288</v>
      </c>
      <c r="O51" s="235">
        <f>N51/M51</f>
        <v>99.879807692308049</v>
      </c>
      <c r="P51" s="74">
        <f>M51-J51</f>
        <v>0</v>
      </c>
      <c r="Q51" s="83">
        <f>O51-L51</f>
        <v>-12.620192307691951</v>
      </c>
      <c r="R51" s="72">
        <f>O51/L51</f>
        <v>0.88782051282051599</v>
      </c>
      <c r="S51" s="393"/>
      <c r="T51" s="21">
        <v>0.38750000000000001</v>
      </c>
      <c r="U51" s="19">
        <v>0.45972222222222198</v>
      </c>
      <c r="V51" s="30">
        <f>(T51-U50)*24*60</f>
        <v>9.9999999999994049</v>
      </c>
      <c r="W51" s="236">
        <f t="shared" si="4"/>
        <v>103.99999999999963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9"/>
        <v>-201.92307692307122</v>
      </c>
      <c r="AG51" s="72">
        <f t="shared" si="20"/>
        <v>0.88782051282051599</v>
      </c>
      <c r="AH51" s="382"/>
    </row>
    <row r="52" spans="1:34" ht="15" customHeight="1">
      <c r="A52" s="405"/>
      <c r="B52" s="101" t="s">
        <v>81</v>
      </c>
      <c r="C52" s="102"/>
      <c r="D52" s="103" t="s">
        <v>131</v>
      </c>
      <c r="E52" s="104"/>
      <c r="F52" s="75">
        <f>VLOOKUP(D52,廠價表!$C$1:$E$43,3,0)</f>
        <v>49.97</v>
      </c>
      <c r="G52" s="202">
        <f>1608+195</f>
        <v>1803</v>
      </c>
      <c r="H52" s="231">
        <f>F52*G52</f>
        <v>90095.91</v>
      </c>
      <c r="I52" s="30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108">
        <v>16</v>
      </c>
      <c r="N52" s="234">
        <f>G52/W52*60</f>
        <v>1567.8260869565129</v>
      </c>
      <c r="O52" s="235">
        <f>N52/M52</f>
        <v>97.989130434782055</v>
      </c>
      <c r="P52" s="74">
        <f>M52-J52</f>
        <v>0</v>
      </c>
      <c r="Q52" s="83">
        <f>O52-L52</f>
        <v>-14.510869565217945</v>
      </c>
      <c r="R52" s="72">
        <f>O52/L52</f>
        <v>0.87101449275361831</v>
      </c>
      <c r="S52" s="393"/>
      <c r="T52" s="21">
        <v>0.52083333333333304</v>
      </c>
      <c r="U52" s="21">
        <v>0.56874999999999998</v>
      </c>
      <c r="V52" s="30">
        <f>(T52-U51)*24*60</f>
        <v>87.999999999999929</v>
      </c>
      <c r="W52" s="236">
        <f t="shared" si="4"/>
        <v>69.000000000000398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9"/>
        <v>-232.17391304348712</v>
      </c>
      <c r="AG52" s="72">
        <f t="shared" si="20"/>
        <v>0.87101449275361831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231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9"/>
        <v>0</v>
      </c>
      <c r="AG53" s="72" t="e">
        <f t="shared" si="20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231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>
        <f t="shared" si="19"/>
        <v>0</v>
      </c>
      <c r="AG54" s="72" t="e">
        <f t="shared" si="20"/>
        <v>#DIV/0!</v>
      </c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1">AVERAGE(J49:J57)</f>
        <v>16.75</v>
      </c>
      <c r="K58" s="120">
        <f t="shared" si="21"/>
        <v>1871.5</v>
      </c>
      <c r="L58" s="117">
        <f t="shared" si="21"/>
        <v>111.55882352941177</v>
      </c>
      <c r="M58" s="120">
        <f t="shared" si="21"/>
        <v>16.75</v>
      </c>
      <c r="N58" s="120">
        <f t="shared" si="21"/>
        <v>1560.1704893504643</v>
      </c>
      <c r="O58" s="117">
        <f t="shared" si="21"/>
        <v>93.325748463660986</v>
      </c>
      <c r="P58" s="121">
        <f>M58-J58</f>
        <v>0</v>
      </c>
      <c r="Q58" s="122">
        <f>N58-K58</f>
        <v>-311.32951064953568</v>
      </c>
      <c r="R58" s="123">
        <f>O58/L58</f>
        <v>0.83656088788939453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-311.32951064953568</v>
      </c>
      <c r="AG58" s="124">
        <f>N58/K58</f>
        <v>0.83364706884876538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646</v>
      </c>
      <c r="H59" s="243">
        <f>F59*G59</f>
        <v>17435.539999999997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1550.4000000000106</v>
      </c>
      <c r="O59" s="138">
        <f>N59/M59</f>
        <v>103.36000000000071</v>
      </c>
      <c r="P59" s="56">
        <f>M59-J59</f>
        <v>0</v>
      </c>
      <c r="Q59" s="230">
        <f>O59-L59</f>
        <v>-5.7066666666659529</v>
      </c>
      <c r="R59" s="52">
        <f>O59/L59</f>
        <v>0.94767726161369847</v>
      </c>
      <c r="S59" s="392">
        <f>R69</f>
        <v>0.90186219468518447</v>
      </c>
      <c r="T59" s="245">
        <v>0.29166666666666702</v>
      </c>
      <c r="U59" s="245">
        <v>0.30902777777777801</v>
      </c>
      <c r="V59" s="55"/>
      <c r="W59" s="54">
        <f t="shared" si="4"/>
        <v>24.999999999999829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-85.59999999998945</v>
      </c>
      <c r="AG59" s="246">
        <f>N59/K59</f>
        <v>0.94767726161369836</v>
      </c>
      <c r="AH59" s="380">
        <f>AG69</f>
        <v>0.88974406094284542</v>
      </c>
    </row>
    <row r="60" spans="1:34" ht="15" customHeight="1">
      <c r="A60" s="399"/>
      <c r="B60" s="75" t="s">
        <v>132</v>
      </c>
      <c r="C60" s="86"/>
      <c r="D60" s="175" t="s">
        <v>136</v>
      </c>
      <c r="E60" s="87"/>
      <c r="F60" s="75">
        <f>VLOOKUP(D60,廠價表!$C$1:$E$43,3,0)</f>
        <v>28.26</v>
      </c>
      <c r="G60" s="30">
        <v>2465</v>
      </c>
      <c r="H60" s="78">
        <f>F60*G60</f>
        <v>69660.900000000009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1524.7422680412387</v>
      </c>
      <c r="O60" s="81">
        <f>N60/M60</f>
        <v>138.61293345829444</v>
      </c>
      <c r="P60" s="74">
        <f>M60-J60</f>
        <v>0</v>
      </c>
      <c r="Q60" s="83">
        <f>O60-L60</f>
        <v>-10.114339268978284</v>
      </c>
      <c r="R60" s="72">
        <f>O60/L60</f>
        <v>0.93199405136995039</v>
      </c>
      <c r="S60" s="402"/>
      <c r="T60" s="22">
        <v>0.31805555555555598</v>
      </c>
      <c r="U60" s="22">
        <v>0.38541666666666702</v>
      </c>
      <c r="V60" s="30">
        <f>(T60-U59)*24*60</f>
        <v>13.000000000000274</v>
      </c>
      <c r="W60" s="248">
        <f t="shared" si="4"/>
        <v>96.999999999999901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-111.25773195876127</v>
      </c>
      <c r="AG60" s="249">
        <f>N60/K60</f>
        <v>0.93199405136995028</v>
      </c>
      <c r="AH60" s="403"/>
    </row>
    <row r="61" spans="1:34" ht="15" customHeight="1">
      <c r="A61" s="400"/>
      <c r="B61" s="250" t="s">
        <v>132</v>
      </c>
      <c r="C61" s="251"/>
      <c r="D61" s="252" t="s">
        <v>133</v>
      </c>
      <c r="E61" s="253"/>
      <c r="F61" s="250">
        <f>VLOOKUP(D61,廠價表!$C$1:$E$43,3,0)</f>
        <v>26.99</v>
      </c>
      <c r="G61" s="38">
        <v>872</v>
      </c>
      <c r="H61" s="254">
        <f>F61*G61</f>
        <v>23535.279999999999</v>
      </c>
      <c r="I61" s="182"/>
      <c r="J61" s="106">
        <f>VLOOKUP(D61,產線配置圖!$A$3:$C$40,2,0)</f>
        <v>15</v>
      </c>
      <c r="K61" s="107">
        <f>VLOOKUP(D61,產線配置圖!$A$3:$C$40,3,0)</f>
        <v>1636</v>
      </c>
      <c r="L61" s="238">
        <f>K61/J61</f>
        <v>109.06666666666666</v>
      </c>
      <c r="M61" s="108">
        <v>15</v>
      </c>
      <c r="N61" s="107">
        <f>G61/W61*60</f>
        <v>1538.8235294117701</v>
      </c>
      <c r="O61" s="238">
        <f>N61/M61</f>
        <v>102.58823529411801</v>
      </c>
      <c r="P61" s="111">
        <f>M61-J61</f>
        <v>0</v>
      </c>
      <c r="Q61" s="255">
        <f>O61-L61</f>
        <v>-6.4784313725486555</v>
      </c>
      <c r="R61" s="85">
        <f>O61/L61</f>
        <v>0.94060117934704779</v>
      </c>
      <c r="S61" s="393"/>
      <c r="T61" s="22">
        <v>0.39305555555555599</v>
      </c>
      <c r="U61" s="22">
        <v>0.41666666666666702</v>
      </c>
      <c r="V61" s="30">
        <f>(T61-U60)*24*60</f>
        <v>11.000000000000121</v>
      </c>
      <c r="W61" s="256">
        <f t="shared" si="4"/>
        <v>33.999999999999879</v>
      </c>
      <c r="X61" s="22"/>
      <c r="Y61" s="84"/>
      <c r="Z61" s="90"/>
      <c r="AA61" s="90"/>
      <c r="AB61" s="386" t="s">
        <v>137</v>
      </c>
      <c r="AC61" s="386"/>
      <c r="AD61" s="92"/>
      <c r="AE61" s="92"/>
      <c r="AF61" s="317">
        <f>N61-K61</f>
        <v>-97.176470588229904</v>
      </c>
      <c r="AG61" s="247">
        <f>N61/K61</f>
        <v>0.94060117934704779</v>
      </c>
      <c r="AH61" s="382"/>
    </row>
    <row r="62" spans="1:34" ht="15" customHeight="1">
      <c r="A62" s="400"/>
      <c r="B62" s="250" t="s">
        <v>132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1180</v>
      </c>
      <c r="H62" s="254">
        <f>F62*G62</f>
        <v>33346.800000000003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1475.000000000015</v>
      </c>
      <c r="O62" s="238">
        <f>N62/M62</f>
        <v>134.09090909091046</v>
      </c>
      <c r="P62" s="111">
        <f>M62-J62</f>
        <v>0</v>
      </c>
      <c r="Q62" s="255">
        <f>O62-L62</f>
        <v>-14.636363636362262</v>
      </c>
      <c r="R62" s="85">
        <f>O62/L62</f>
        <v>0.90158924205379898</v>
      </c>
      <c r="S62" s="393"/>
      <c r="T62" s="22">
        <v>0.42499999999999999</v>
      </c>
      <c r="U62" s="22">
        <v>0.45833333333333298</v>
      </c>
      <c r="V62" s="30">
        <f>(T62-U61)*24*60</f>
        <v>11.999999999999478</v>
      </c>
      <c r="W62" s="248">
        <f t="shared" si="4"/>
        <v>47.99999999999951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-160.99999999998499</v>
      </c>
      <c r="AG62" s="247">
        <f>N62/K62</f>
        <v>0.90158924205379887</v>
      </c>
      <c r="AH62" s="382"/>
    </row>
    <row r="63" spans="1:34" ht="15" customHeight="1">
      <c r="A63" s="400"/>
      <c r="B63" s="258" t="s">
        <v>132</v>
      </c>
      <c r="C63" s="58"/>
      <c r="D63" s="259" t="s">
        <v>135</v>
      </c>
      <c r="E63" s="60"/>
      <c r="F63" s="250">
        <f>VLOOKUP(D63,廠價表!$C$1:$E$43,3,0)</f>
        <v>28.26</v>
      </c>
      <c r="G63" s="260">
        <f>734+10</f>
        <v>744</v>
      </c>
      <c r="H63" s="254">
        <f t="shared" ref="H63:H64" si="22">F63*G63</f>
        <v>21025.440000000002</v>
      </c>
      <c r="I63" s="260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ref="L63:L64" si="23">K63/J63</f>
        <v>148.72727272727272</v>
      </c>
      <c r="M63" s="68">
        <v>10</v>
      </c>
      <c r="N63" s="107">
        <f t="shared" ref="N63:N64" si="24">G63/W63*60</f>
        <v>1275.4285714286023</v>
      </c>
      <c r="O63" s="238">
        <f t="shared" ref="O63:O64" si="25">N63/M63</f>
        <v>127.54285714286023</v>
      </c>
      <c r="P63" s="111">
        <f t="shared" ref="P63:P64" si="26">M63-J63</f>
        <v>-1</v>
      </c>
      <c r="Q63" s="255">
        <f t="shared" ref="Q63:Q64" si="27">O63-L63</f>
        <v>-21.184415584412491</v>
      </c>
      <c r="R63" s="85">
        <f t="shared" ref="R63:R64" si="28">O63/L63</f>
        <v>0.85756199790431697</v>
      </c>
      <c r="S63" s="393"/>
      <c r="T63" s="22">
        <v>0.46666666666666701</v>
      </c>
      <c r="U63" s="22">
        <v>0.49097222222222198</v>
      </c>
      <c r="V63" s="30">
        <f t="shared" ref="V63:V64" si="29">(T63-U62)*24*60</f>
        <v>12.000000000000997</v>
      </c>
      <c r="W63" s="248">
        <f t="shared" si="4"/>
        <v>34.999999999999154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 t="s">
        <v>132</v>
      </c>
      <c r="C64" s="76"/>
      <c r="D64" s="175" t="s">
        <v>133</v>
      </c>
      <c r="E64" s="77"/>
      <c r="F64" s="250">
        <f>VLOOKUP(D64,廠價表!$C$1:$E$43,3,0)</f>
        <v>26.99</v>
      </c>
      <c r="G64" s="30">
        <v>2054</v>
      </c>
      <c r="H64" s="254">
        <f t="shared" si="22"/>
        <v>55437.46</v>
      </c>
      <c r="I64" s="182"/>
      <c r="J64" s="106">
        <f>VLOOKUP(D64,產線配置圖!$A$3:$C$40,2,0)</f>
        <v>15</v>
      </c>
      <c r="K64" s="107">
        <f>VLOOKUP(D64,產線配置圖!$A$3:$C$40,3,0)</f>
        <v>1636</v>
      </c>
      <c r="L64" s="238">
        <f t="shared" si="23"/>
        <v>109.06666666666666</v>
      </c>
      <c r="M64" s="82">
        <v>15</v>
      </c>
      <c r="N64" s="107">
        <f t="shared" si="24"/>
        <v>1369.3333333333335</v>
      </c>
      <c r="O64" s="238">
        <f t="shared" si="25"/>
        <v>91.288888888888906</v>
      </c>
      <c r="P64" s="111">
        <f t="shared" si="26"/>
        <v>0</v>
      </c>
      <c r="Q64" s="255">
        <f t="shared" si="27"/>
        <v>-17.777777777777757</v>
      </c>
      <c r="R64" s="85">
        <f t="shared" si="28"/>
        <v>0.83700081499592516</v>
      </c>
      <c r="S64" s="393"/>
      <c r="T64" s="22">
        <v>0.55555555555555602</v>
      </c>
      <c r="U64" s="22">
        <v>0.61805555555555602</v>
      </c>
      <c r="V64" s="30">
        <f t="shared" si="29"/>
        <v>93.000000000001023</v>
      </c>
      <c r="W64" s="73">
        <f t="shared" si="4"/>
        <v>90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2"/>
      <c r="U66" s="22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30">AVERAGE(J59:J68)</f>
        <v>13</v>
      </c>
      <c r="K69" s="240">
        <f t="shared" si="30"/>
        <v>1636</v>
      </c>
      <c r="L69" s="268">
        <f t="shared" si="30"/>
        <v>128.89696969696968</v>
      </c>
      <c r="M69" s="240">
        <f t="shared" si="30"/>
        <v>12.833333333333334</v>
      </c>
      <c r="N69" s="240">
        <f t="shared" si="30"/>
        <v>1455.621283702495</v>
      </c>
      <c r="O69" s="268">
        <f t="shared" si="30"/>
        <v>116.2473039791788</v>
      </c>
      <c r="P69" s="269">
        <f>M69-J69</f>
        <v>-0.16666666666666607</v>
      </c>
      <c r="Q69" s="222">
        <f>N69-K69</f>
        <v>-180.37871629750498</v>
      </c>
      <c r="R69" s="123">
        <f>O69/L69</f>
        <v>0.90186219468518447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-180.37871629750498</v>
      </c>
      <c r="AG69" s="124">
        <f>N69/K69</f>
        <v>0.88974406094284542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683</v>
      </c>
      <c r="H70" s="243">
        <f>F70*G70</f>
        <v>29976.87</v>
      </c>
      <c r="I70" s="55"/>
      <c r="J70" s="136">
        <v>11</v>
      </c>
      <c r="K70" s="137">
        <f>VLOOKUP(D70,產線配置圖!$A$3:$C$40,3,0)</f>
        <v>1565</v>
      </c>
      <c r="L70" s="138">
        <f>K70/J70</f>
        <v>142.27272727272728</v>
      </c>
      <c r="M70" s="244">
        <v>8</v>
      </c>
      <c r="N70" s="137">
        <f>G70/W70*60</f>
        <v>1024.5000000000302</v>
      </c>
      <c r="O70" s="138">
        <f>N70/M70</f>
        <v>128.06250000000378</v>
      </c>
      <c r="P70" s="56">
        <f>M70-J70</f>
        <v>-3</v>
      </c>
      <c r="Q70" s="230">
        <f>O70-L70</f>
        <v>-14.2102272727235</v>
      </c>
      <c r="R70" s="52">
        <f>O70/L70</f>
        <v>0.90011980830673577</v>
      </c>
      <c r="S70" s="392">
        <f>R78</f>
        <v>0.93373261927960061</v>
      </c>
      <c r="T70" s="245">
        <v>0.30555555555555602</v>
      </c>
      <c r="U70" s="245">
        <v>0.33333333333333298</v>
      </c>
      <c r="V70" s="55"/>
      <c r="W70" s="54">
        <f t="shared" si="4"/>
        <v>39.99999999999882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-540.49999999996976</v>
      </c>
      <c r="AG70" s="246">
        <f>N70/K70</f>
        <v>0.65463258785944423</v>
      </c>
      <c r="AH70" s="380">
        <f>AG78</f>
        <v>0.67777957794947341</v>
      </c>
    </row>
    <row r="71" spans="1:36" ht="15" customHeight="1">
      <c r="A71" s="390"/>
      <c r="B71" s="30" t="s">
        <v>81</v>
      </c>
      <c r="C71" s="151"/>
      <c r="D71" s="59" t="s">
        <v>140</v>
      </c>
      <c r="E71" s="87"/>
      <c r="F71" s="250">
        <f>VLOOKUP(D71,廠價表!$C$1:$E$43,3,0)</f>
        <v>43.89</v>
      </c>
      <c r="G71" s="30">
        <v>2861</v>
      </c>
      <c r="H71" s="78">
        <f>F71*G71</f>
        <v>125569.29000000001</v>
      </c>
      <c r="I71" s="377"/>
      <c r="J71" s="106">
        <v>11</v>
      </c>
      <c r="K71" s="107">
        <f>VLOOKUP(D71,產線配置圖!$A$3:$C$40,3,0)</f>
        <v>1565</v>
      </c>
      <c r="L71" s="238">
        <f>K71/J71</f>
        <v>142.27272727272728</v>
      </c>
      <c r="M71" s="108">
        <v>8</v>
      </c>
      <c r="N71" s="107">
        <f>G71/W71*60</f>
        <v>1079.6226415094407</v>
      </c>
      <c r="O71" s="238">
        <f>N71/M71</f>
        <v>134.95283018868008</v>
      </c>
      <c r="P71" s="111">
        <f>M71-J71</f>
        <v>-3</v>
      </c>
      <c r="Q71" s="255">
        <f>O71-L71</f>
        <v>-7.3198970840471986</v>
      </c>
      <c r="R71" s="85">
        <f>O71/L71</f>
        <v>0.9485502441376874</v>
      </c>
      <c r="S71" s="393"/>
      <c r="T71" s="22">
        <v>0.36805555555555602</v>
      </c>
      <c r="U71" s="22">
        <v>0.47847222222222202</v>
      </c>
      <c r="V71" s="30">
        <f>(T71-U70)*24*60</f>
        <v>50.00000000000118</v>
      </c>
      <c r="W71" s="73">
        <f t="shared" si="4"/>
        <v>158.99999999999903</v>
      </c>
      <c r="X71" s="272"/>
      <c r="Y71" s="288"/>
      <c r="Z71" s="90"/>
      <c r="AA71" s="90"/>
      <c r="AB71" s="386" t="s">
        <v>183</v>
      </c>
      <c r="AC71" s="386"/>
      <c r="AD71" s="92"/>
      <c r="AE71" s="92"/>
      <c r="AF71" s="311">
        <v>-130.33333333333326</v>
      </c>
      <c r="AG71" s="99">
        <v>0.91671991480298198</v>
      </c>
      <c r="AH71" s="381"/>
    </row>
    <row r="72" spans="1:36" ht="15" customHeight="1">
      <c r="A72" s="390"/>
      <c r="B72" s="75" t="s">
        <v>132</v>
      </c>
      <c r="C72" s="58"/>
      <c r="D72" s="259" t="s">
        <v>136</v>
      </c>
      <c r="E72" s="60"/>
      <c r="F72" s="250">
        <f>VLOOKUP(D72,廠價表!$C$1:$E$43,3,0)</f>
        <v>28.26</v>
      </c>
      <c r="G72" s="273">
        <v>1154</v>
      </c>
      <c r="H72" s="78">
        <f t="shared" ref="H72:H73" si="31">F72*G72</f>
        <v>32612.04</v>
      </c>
      <c r="I72" s="377"/>
      <c r="J72" s="106">
        <f>VLOOKUP(D72,產線配置圖!$A$3:$C$40,2,0)</f>
        <v>11</v>
      </c>
      <c r="K72" s="107">
        <f>VLOOKUP(D72,產線配置圖!$A$3:$C$40,3,0)</f>
        <v>1636</v>
      </c>
      <c r="L72" s="238">
        <f t="shared" ref="L72:L73" si="32">K72/J72</f>
        <v>148.72727272727272</v>
      </c>
      <c r="M72" s="94">
        <v>7</v>
      </c>
      <c r="N72" s="107">
        <f t="shared" ref="N72:N73" si="33">G72/W72*60</f>
        <v>989.14285714285836</v>
      </c>
      <c r="O72" s="238">
        <f t="shared" ref="O72:O73" si="34">N72/M72</f>
        <v>141.30612244897978</v>
      </c>
      <c r="P72" s="111">
        <f t="shared" ref="P72:P73" si="35">M72-J72</f>
        <v>-4</v>
      </c>
      <c r="Q72" s="255">
        <f t="shared" ref="Q72:Q73" si="36">O72-L72</f>
        <v>-7.4211502782929415</v>
      </c>
      <c r="R72" s="85">
        <f t="shared" ref="R72:R73" si="37">O72/L72</f>
        <v>0.95010229030487636</v>
      </c>
      <c r="S72" s="393"/>
      <c r="T72" s="22">
        <v>0.54166666666666696</v>
      </c>
      <c r="U72" s="22">
        <v>0.59027777777777801</v>
      </c>
      <c r="V72" s="30">
        <f>(T72-U71)*24*60</f>
        <v>91.000000000000711</v>
      </c>
      <c r="W72" s="73">
        <f t="shared" si="4"/>
        <v>69.999999999999915</v>
      </c>
      <c r="X72" s="22"/>
      <c r="Y72" s="84"/>
      <c r="Z72" s="90"/>
      <c r="AA72" s="90"/>
      <c r="AB72" s="386"/>
      <c r="AC72" s="386"/>
      <c r="AD72" s="92"/>
      <c r="AE72" s="92"/>
      <c r="AF72" s="311"/>
      <c r="AG72" s="99"/>
      <c r="AH72" s="381"/>
    </row>
    <row r="73" spans="1:36" ht="15" customHeight="1">
      <c r="A73" s="390"/>
      <c r="B73" s="101" t="s">
        <v>81</v>
      </c>
      <c r="C73" s="102"/>
      <c r="D73" s="103" t="s">
        <v>140</v>
      </c>
      <c r="E73" s="104"/>
      <c r="F73" s="250">
        <f>VLOOKUP(D73,廠價表!$C$1:$E$43,3,0)</f>
        <v>43.89</v>
      </c>
      <c r="G73" s="30">
        <v>2136</v>
      </c>
      <c r="H73" s="78">
        <f t="shared" si="31"/>
        <v>93749.040000000008</v>
      </c>
      <c r="I73" s="377"/>
      <c r="J73" s="106">
        <v>11</v>
      </c>
      <c r="K73" s="107">
        <f>VLOOKUP(D73,產線配置圖!$A$3:$C$40,3,0)</f>
        <v>1565</v>
      </c>
      <c r="L73" s="238">
        <f t="shared" si="32"/>
        <v>142.27272727272728</v>
      </c>
      <c r="M73" s="108">
        <v>9</v>
      </c>
      <c r="N73" s="107">
        <f t="shared" si="33"/>
        <v>1197.7570093457878</v>
      </c>
      <c r="O73" s="238">
        <f t="shared" si="34"/>
        <v>133.08411214953196</v>
      </c>
      <c r="P73" s="111">
        <f t="shared" si="35"/>
        <v>-2</v>
      </c>
      <c r="Q73" s="255">
        <f t="shared" si="36"/>
        <v>-9.1886151231953193</v>
      </c>
      <c r="R73" s="85">
        <f t="shared" si="37"/>
        <v>0.93541548475709357</v>
      </c>
      <c r="S73" s="393"/>
      <c r="T73" s="22">
        <v>0.59583333333333299</v>
      </c>
      <c r="U73" s="22">
        <v>0.67013888888888895</v>
      </c>
      <c r="V73" s="30">
        <f>(T73-U72)*24*60</f>
        <v>7.9999999999991722</v>
      </c>
      <c r="W73" s="73">
        <f t="shared" si="4"/>
        <v>107.00000000000058</v>
      </c>
      <c r="X73" s="110"/>
      <c r="Y73" s="289"/>
      <c r="Z73" s="90"/>
      <c r="AA73" s="90"/>
      <c r="AB73" s="386"/>
      <c r="AC73" s="386"/>
      <c r="AD73" s="92"/>
      <c r="AE73" s="92"/>
      <c r="AF73" s="378"/>
      <c r="AG73" s="379"/>
      <c r="AH73" s="381"/>
    </row>
    <row r="74" spans="1:36" ht="15" customHeight="1">
      <c r="A74" s="390"/>
      <c r="B74" s="101"/>
      <c r="C74" s="102"/>
      <c r="D74" s="103"/>
      <c r="E74" s="104"/>
      <c r="F74" s="105"/>
      <c r="G74" s="151"/>
      <c r="H74" s="78"/>
      <c r="I74" s="264"/>
      <c r="J74" s="79"/>
      <c r="K74" s="80"/>
      <c r="L74" s="81"/>
      <c r="M74" s="94"/>
      <c r="N74" s="95"/>
      <c r="O74" s="96"/>
      <c r="P74" s="97"/>
      <c r="Q74" s="98"/>
      <c r="R74" s="204"/>
      <c r="S74" s="393"/>
      <c r="T74" s="22"/>
      <c r="U74" s="22"/>
      <c r="V74" s="30"/>
      <c r="W74" s="73">
        <f t="shared" si="4"/>
        <v>0</v>
      </c>
      <c r="X74" s="279"/>
      <c r="Y74" s="304"/>
      <c r="Z74" s="90"/>
      <c r="AA74" s="90"/>
      <c r="AB74" s="386"/>
      <c r="AC74" s="386"/>
      <c r="AD74" s="92"/>
      <c r="AE74" s="92"/>
      <c r="AF74" s="318"/>
      <c r="AG74" s="280"/>
      <c r="AH74" s="381"/>
    </row>
    <row r="75" spans="1:36" ht="15" customHeight="1">
      <c r="A75" s="390"/>
      <c r="B75" s="101"/>
      <c r="C75" s="102"/>
      <c r="D75" s="103"/>
      <c r="E75" s="104"/>
      <c r="F75" s="105"/>
      <c r="G75" s="151"/>
      <c r="H75" s="78"/>
      <c r="I75" s="264"/>
      <c r="J75" s="79"/>
      <c r="K75" s="80"/>
      <c r="L75" s="81"/>
      <c r="M75" s="94"/>
      <c r="N75" s="95"/>
      <c r="O75" s="96"/>
      <c r="P75" s="97"/>
      <c r="Q75" s="98"/>
      <c r="R75" s="204"/>
      <c r="S75" s="393"/>
      <c r="T75" s="22"/>
      <c r="U75" s="22"/>
      <c r="V75" s="30"/>
      <c r="W75" s="73">
        <f t="shared" si="4"/>
        <v>0</v>
      </c>
      <c r="X75" s="110"/>
      <c r="Y75" s="289"/>
      <c r="Z75" s="90"/>
      <c r="AA75" s="90"/>
      <c r="AB75" s="386"/>
      <c r="AC75" s="386"/>
      <c r="AD75" s="92"/>
      <c r="AE75" s="92"/>
      <c r="AF75" s="378"/>
      <c r="AG75" s="379"/>
      <c r="AH75" s="381"/>
    </row>
    <row r="76" spans="1:36" ht="15" customHeight="1">
      <c r="A76" s="390"/>
      <c r="B76" s="75"/>
      <c r="C76" s="86"/>
      <c r="D76" s="103"/>
      <c r="E76" s="87"/>
      <c r="F76" s="75"/>
      <c r="G76" s="30"/>
      <c r="H76" s="78"/>
      <c r="I76" s="30"/>
      <c r="J76" s="79"/>
      <c r="K76" s="80"/>
      <c r="L76" s="81"/>
      <c r="M76" s="82"/>
      <c r="N76" s="80"/>
      <c r="O76" s="81"/>
      <c r="P76" s="74"/>
      <c r="Q76" s="83"/>
      <c r="R76" s="72"/>
      <c r="S76" s="393"/>
      <c r="T76" s="22"/>
      <c r="U76" s="22"/>
      <c r="V76" s="30"/>
      <c r="W76" s="73">
        <f t="shared" si="4"/>
        <v>0</v>
      </c>
      <c r="X76" s="279"/>
      <c r="Y76" s="304"/>
      <c r="Z76" s="90"/>
      <c r="AA76" s="90"/>
      <c r="AB76" s="386"/>
      <c r="AC76" s="386"/>
      <c r="AD76" s="92"/>
      <c r="AE76" s="92"/>
      <c r="AF76" s="318"/>
      <c r="AG76" s="280"/>
      <c r="AH76" s="382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2"/>
      <c r="U77" s="22"/>
      <c r="V77" s="30"/>
      <c r="W77" s="73">
        <f t="shared" si="4"/>
        <v>0</v>
      </c>
      <c r="X77" s="235"/>
      <c r="Y77" s="305"/>
      <c r="Z77" s="90"/>
      <c r="AA77" s="90"/>
      <c r="AB77" s="386"/>
      <c r="AC77" s="386"/>
      <c r="AD77" s="92"/>
      <c r="AE77" s="92"/>
      <c r="AF77" s="317"/>
      <c r="AG77" s="247"/>
      <c r="AH77" s="383"/>
    </row>
    <row r="78" spans="1:36" ht="15" customHeight="1">
      <c r="A78" s="391"/>
      <c r="B78" s="239"/>
      <c r="C78" s="153" t="s">
        <v>56</v>
      </c>
      <c r="D78" s="388" t="s">
        <v>42</v>
      </c>
      <c r="E78" s="388"/>
      <c r="F78" s="116"/>
      <c r="G78" s="117"/>
      <c r="H78" s="282"/>
      <c r="I78" s="268"/>
      <c r="J78" s="240">
        <f t="shared" ref="J78:O78" si="38">AVERAGE(J70:J77)</f>
        <v>11</v>
      </c>
      <c r="K78" s="240">
        <f t="shared" si="38"/>
        <v>1582.75</v>
      </c>
      <c r="L78" s="268">
        <f t="shared" si="38"/>
        <v>143.88636363636363</v>
      </c>
      <c r="M78" s="240">
        <f t="shared" si="38"/>
        <v>8</v>
      </c>
      <c r="N78" s="240">
        <f t="shared" si="38"/>
        <v>1072.7556269995291</v>
      </c>
      <c r="O78" s="268">
        <f t="shared" si="38"/>
        <v>134.35139119679889</v>
      </c>
      <c r="P78" s="269">
        <f>M78-J78</f>
        <v>-3</v>
      </c>
      <c r="Q78" s="222">
        <f>N78-K78</f>
        <v>-509.99437300047089</v>
      </c>
      <c r="R78" s="223">
        <f>O78/L78</f>
        <v>0.93373261927960061</v>
      </c>
      <c r="S78" s="396"/>
      <c r="T78" s="125"/>
      <c r="U78" s="125"/>
      <c r="V78" s="126"/>
      <c r="W78" s="242"/>
      <c r="X78" s="128"/>
      <c r="Y78" s="295"/>
      <c r="Z78" s="334">
        <f>SUM(Z70:Z77)</f>
        <v>0</v>
      </c>
      <c r="AA78" s="334">
        <f>SUM(AA70:AA77)</f>
        <v>0</v>
      </c>
      <c r="AB78" s="387"/>
      <c r="AC78" s="387"/>
      <c r="AD78" s="323">
        <f>SUM(AD70:AD77)</f>
        <v>0</v>
      </c>
      <c r="AE78" s="323">
        <f>SUM(AE70:AE77)</f>
        <v>0</v>
      </c>
      <c r="AF78" s="309">
        <f>N78-K78</f>
        <v>-509.99437300047089</v>
      </c>
      <c r="AG78" s="124">
        <f>N78/K78</f>
        <v>0.67777957794947341</v>
      </c>
      <c r="AH78" s="384"/>
    </row>
    <row r="79" spans="1:36">
      <c r="AJ79" s="284" t="s">
        <v>57</v>
      </c>
    </row>
    <row r="80" spans="1:36">
      <c r="AJ80" s="284" t="s">
        <v>58</v>
      </c>
    </row>
    <row r="81" spans="4:36">
      <c r="AJ81" s="284" t="s">
        <v>59</v>
      </c>
    </row>
    <row r="82" spans="4:36">
      <c r="D82" s="285"/>
      <c r="W82" s="34"/>
      <c r="AJ82" s="284" t="s">
        <v>60</v>
      </c>
    </row>
    <row r="83" spans="4:36">
      <c r="D83" s="286"/>
      <c r="W83" s="34"/>
      <c r="AJ83" s="284" t="s">
        <v>61</v>
      </c>
    </row>
    <row r="84" spans="4:36">
      <c r="D84" s="286"/>
      <c r="W84" s="34"/>
      <c r="AJ84" s="284" t="s">
        <v>62</v>
      </c>
    </row>
    <row r="85" spans="4:36">
      <c r="D85" s="287"/>
      <c r="W85" s="34"/>
      <c r="AJ85" s="284" t="s">
        <v>63</v>
      </c>
    </row>
    <row r="86" spans="4:36">
      <c r="W86" s="34"/>
      <c r="AJ86" s="284" t="s">
        <v>64</v>
      </c>
    </row>
    <row r="87" spans="4:36">
      <c r="W87" s="34"/>
      <c r="AJ87" s="284" t="s">
        <v>65</v>
      </c>
    </row>
    <row r="88" spans="4:36">
      <c r="W88" s="34"/>
      <c r="AJ88" s="284" t="s">
        <v>66</v>
      </c>
    </row>
    <row r="89" spans="4:36">
      <c r="W89" s="34"/>
      <c r="AJ89" s="284" t="s">
        <v>67</v>
      </c>
    </row>
    <row r="90" spans="4:36">
      <c r="W90" s="34"/>
      <c r="AJ90" s="284" t="s">
        <v>68</v>
      </c>
    </row>
    <row r="91" spans="4:36">
      <c r="W91" s="34"/>
      <c r="AJ91" s="284" t="s">
        <v>69</v>
      </c>
    </row>
  </sheetData>
  <mergeCells count="136">
    <mergeCell ref="D78:E78"/>
    <mergeCell ref="AB78:AC78"/>
    <mergeCell ref="A70:A78"/>
    <mergeCell ref="S70:S78"/>
    <mergeCell ref="AB70:AC70"/>
    <mergeCell ref="AB74:AC74"/>
    <mergeCell ref="AB73:AC73"/>
    <mergeCell ref="AH70:AH78"/>
    <mergeCell ref="AB71:AC71"/>
    <mergeCell ref="AB72:AC72"/>
    <mergeCell ref="AB76:AC76"/>
    <mergeCell ref="AB77:AC77"/>
    <mergeCell ref="AB75:AC75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S16:S26"/>
    <mergeCell ref="AB16:AC16"/>
    <mergeCell ref="D26:E2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B27:AC27"/>
    <mergeCell ref="A38:A48"/>
    <mergeCell ref="S38:S48"/>
    <mergeCell ref="AB38:AC38"/>
    <mergeCell ref="D48:E48"/>
    <mergeCell ref="AB48:AC48"/>
    <mergeCell ref="D37:E37"/>
    <mergeCell ref="AB26:AC26"/>
    <mergeCell ref="A27:A37"/>
    <mergeCell ref="S27:S37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D15:E15"/>
    <mergeCell ref="AB15:AC15"/>
    <mergeCell ref="AB22:AC22"/>
    <mergeCell ref="AB23:AC23"/>
    <mergeCell ref="AB24:AC24"/>
    <mergeCell ref="AB25:AC25"/>
    <mergeCell ref="A16:A26"/>
    <mergeCell ref="A2:B2"/>
    <mergeCell ref="A3:A4"/>
    <mergeCell ref="B3:B4"/>
    <mergeCell ref="D3:E4"/>
    <mergeCell ref="F3:F4"/>
    <mergeCell ref="P3:P4"/>
    <mergeCell ref="Q3:Q4"/>
    <mergeCell ref="R3:R4"/>
    <mergeCell ref="T3:U3"/>
    <mergeCell ref="V3:V4"/>
    <mergeCell ref="Z3:AA3"/>
    <mergeCell ref="AB1:AC2"/>
    <mergeCell ref="AF1:AH2"/>
    <mergeCell ref="AD3:AE3"/>
    <mergeCell ref="AF3:AF4"/>
    <mergeCell ref="AG3:AG4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W3:W4"/>
    <mergeCell ref="X3:Y3"/>
  </mergeCells>
  <phoneticPr fontId="0" type="noConversion"/>
  <conditionalFormatting sqref="P5:P78">
    <cfRule type="cellIs" dxfId="148" priority="1" operator="greaterThan">
      <formula>0</formula>
    </cfRule>
  </conditionalFormatting>
  <conditionalFormatting sqref="Q5:Q78 AF5:AF78">
    <cfRule type="cellIs" dxfId="147" priority="4" operator="lessThan">
      <formula>0</formula>
    </cfRule>
  </conditionalFormatting>
  <conditionalFormatting sqref="R5:R78 AG5:AG78">
    <cfRule type="cellIs" dxfId="146" priority="2" operator="greaterThan">
      <formula>1</formula>
    </cfRule>
    <cfRule type="cellIs" dxfId="145" priority="3" operator="lessThan">
      <formula>0.8</formula>
    </cfRule>
  </conditionalFormatting>
  <conditionalFormatting sqref="S5:S10 S37:S62 AH59:AH62 AH69:AH78">
    <cfRule type="cellIs" dxfId="144" priority="7" operator="lessThan">
      <formula>0.8</formula>
    </cfRule>
  </conditionalFormatting>
  <conditionalFormatting sqref="S19:S25 AH19:AH25">
    <cfRule type="cellIs" dxfId="143" priority="6" operator="lessThan">
      <formula>0.8</formula>
    </cfRule>
  </conditionalFormatting>
  <conditionalFormatting sqref="S69:S78">
    <cfRule type="cellIs" dxfId="142" priority="5" operator="lessThan">
      <formula>0.8</formula>
    </cfRule>
  </conditionalFormatting>
  <conditionalFormatting sqref="AH5:AH8 S15:S16 AH15:AH16 AH49">
    <cfRule type="cellIs" dxfId="141" priority="9" operator="lessThan">
      <formula>0.8</formula>
    </cfRule>
  </conditionalFormatting>
  <conditionalFormatting sqref="AH27 S27:S28">
    <cfRule type="cellIs" dxfId="1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648EC9-0ABB-4292-B6BF-2A1B832295C1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AE618-2B1D-4ED9-A2C5-B04CA1B0E059}">
  <dimension ref="B1:O26"/>
  <sheetViews>
    <sheetView topLeftCell="B1" zoomScale="70" zoomScaleNormal="70" workbookViewId="0">
      <selection activeCell="M24" sqref="M2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46282</v>
      </c>
      <c r="E3" s="504"/>
      <c r="F3" s="3" t="s">
        <v>72</v>
      </c>
      <c r="G3" s="505">
        <f>'0917'!E1</f>
        <v>52062</v>
      </c>
      <c r="H3" s="505"/>
      <c r="I3" s="3" t="s">
        <v>2</v>
      </c>
      <c r="J3" s="506">
        <f>'0917'!G1</f>
        <v>2404117.324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131.77142285430099</v>
      </c>
      <c r="G6" s="501"/>
      <c r="H6" s="502">
        <f>AVERAGE(D13:H13)</f>
        <v>127.61756775359716</v>
      </c>
      <c r="I6" s="502"/>
      <c r="J6" s="502">
        <f>AVERAGE(I13:J13)</f>
        <v>142.15606060606061</v>
      </c>
      <c r="K6" s="502"/>
      <c r="L6" s="492">
        <f>'0917'!Z2</f>
        <v>0</v>
      </c>
      <c r="M6" s="493">
        <f>'0917'!AA2</f>
        <v>0</v>
      </c>
      <c r="N6" s="494">
        <f>'0917'!AD2</f>
        <v>0</v>
      </c>
      <c r="O6" s="493">
        <f>'0917'!AE2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120.02207610857401</v>
      </c>
      <c r="G7" s="490"/>
      <c r="H7" s="491">
        <f>AVERAGE(D14:H14)</f>
        <v>115.96374521334235</v>
      </c>
      <c r="I7" s="491"/>
      <c r="J7" s="491">
        <f>AVERAGE(I14:J14)</f>
        <v>130.16790334665316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0.90764411655589228</v>
      </c>
      <c r="G8" s="496"/>
      <c r="H8" s="496">
        <f>AVERAGE(D15:H15)</f>
        <v>0.9043975936449048</v>
      </c>
      <c r="I8" s="496"/>
      <c r="J8" s="496">
        <f>AVERAGE(I15:J15)</f>
        <v>0.91576042383336076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VALUE('0917'!L15)</f>
        <v>163.80494505494505</v>
      </c>
      <c r="E13" s="13">
        <f>VALUE('0917'!L26)</f>
        <v>178.57142857142858</v>
      </c>
      <c r="F13" s="13">
        <f>VALUE('0917'!L37)</f>
        <v>93.673474945533769</v>
      </c>
      <c r="G13" s="13">
        <f>VALUE('0917'!L48)</f>
        <v>99.006944444444443</v>
      </c>
      <c r="H13" s="13">
        <f>VALUE('0917'!L58)</f>
        <v>103.03104575163398</v>
      </c>
      <c r="I13" s="13">
        <f>VALUE('0917'!L69)</f>
        <v>138.81212121212121</v>
      </c>
      <c r="J13" s="13">
        <f>'0917'!L79</f>
        <v>145.5</v>
      </c>
    </row>
    <row r="14" spans="2:15" ht="39.950000000000003" customHeight="1">
      <c r="B14" s="484"/>
      <c r="C14" s="12" t="s">
        <v>100</v>
      </c>
      <c r="D14" s="13">
        <f>VALUE('0917'!O15)</f>
        <v>149.84773755479071</v>
      </c>
      <c r="E14" s="13">
        <f>VALUE('0917'!O26)</f>
        <v>166.49167946748673</v>
      </c>
      <c r="F14" s="13">
        <f>VALUE('0917'!O37)</f>
        <v>87.097428286401623</v>
      </c>
      <c r="G14" s="13">
        <f>VALUE('0917'!O48)</f>
        <v>83.939393939393881</v>
      </c>
      <c r="H14" s="13">
        <f>VALUE('0917'!O58)</f>
        <v>92.442486818638855</v>
      </c>
      <c r="I14" s="13">
        <f>VALUE('0917'!O69)</f>
        <v>127.6579220779218</v>
      </c>
      <c r="J14" s="13">
        <f>'0917'!O79</f>
        <v>132.67788461538453</v>
      </c>
    </row>
    <row r="15" spans="2:15" ht="39.950000000000003" customHeight="1">
      <c r="B15" s="485"/>
      <c r="C15" s="10" t="s">
        <v>26</v>
      </c>
      <c r="D15" s="14">
        <f t="shared" ref="D15:I15" si="0">D14/D13</f>
        <v>0.91479373534496977</v>
      </c>
      <c r="E15" s="14">
        <f t="shared" si="0"/>
        <v>0.93235340501792563</v>
      </c>
      <c r="F15" s="14">
        <f t="shared" si="0"/>
        <v>0.92979819887160398</v>
      </c>
      <c r="G15" s="14">
        <f t="shared" si="0"/>
        <v>0.84781319543190847</v>
      </c>
      <c r="H15" s="14">
        <f t="shared" si="0"/>
        <v>0.89722943355811569</v>
      </c>
      <c r="I15" s="14">
        <f t="shared" si="0"/>
        <v>0.91964535202833986</v>
      </c>
      <c r="J15" s="15">
        <f>'0917'!S70</f>
        <v>0.91187549563838166</v>
      </c>
    </row>
    <row r="16" spans="2:15" ht="17.25" customHeight="1">
      <c r="B16" s="486" t="s">
        <v>101</v>
      </c>
      <c r="C16" s="10" t="s">
        <v>34</v>
      </c>
      <c r="D16" s="16">
        <f>'0917'!T5</f>
        <v>0.29513888888888901</v>
      </c>
      <c r="E16" s="16">
        <f>'0917'!T16</f>
        <v>0.29166666666666702</v>
      </c>
      <c r="F16" s="16">
        <f>'0917'!T27</f>
        <v>0.29166666666666702</v>
      </c>
      <c r="G16" s="16">
        <f>'0917'!T38</f>
        <v>0.33333333333333298</v>
      </c>
      <c r="H16" s="16">
        <f>'0917'!T49</f>
        <v>0.29166666666666702</v>
      </c>
      <c r="I16" s="16">
        <f>'0917'!T59</f>
        <v>0.29166666666666702</v>
      </c>
      <c r="J16" s="17">
        <f>'0917'!T70</f>
        <v>0.29166666666666702</v>
      </c>
    </row>
    <row r="17" spans="2:10" ht="17.25" customHeight="1">
      <c r="B17" s="487"/>
      <c r="C17" s="10" t="s">
        <v>35</v>
      </c>
      <c r="D17" s="16">
        <v>0.55625000000000002</v>
      </c>
      <c r="E17" s="183">
        <v>0.56111111111111101</v>
      </c>
      <c r="F17" s="19">
        <v>0.60972222222222205</v>
      </c>
      <c r="G17" s="328">
        <v>0.47777777777777802</v>
      </c>
      <c r="H17" s="21">
        <v>0.56805555555555598</v>
      </c>
      <c r="I17" s="110">
        <v>0.59027777777777801</v>
      </c>
      <c r="J17" s="22">
        <v>0.56805555555555598</v>
      </c>
    </row>
    <row r="18" spans="2:10" ht="17.25" customHeight="1">
      <c r="B18" s="488" t="s">
        <v>102</v>
      </c>
      <c r="C18" s="330" t="s">
        <v>36</v>
      </c>
      <c r="D18" s="359">
        <f>'0917'!Z15</f>
        <v>0</v>
      </c>
      <c r="E18" s="360">
        <f>'0917'!Z26</f>
        <v>0</v>
      </c>
      <c r="F18" s="360">
        <f>'0917'!Z37</f>
        <v>0</v>
      </c>
      <c r="G18" s="361">
        <f>'0917'!Z48</f>
        <v>0</v>
      </c>
      <c r="H18" s="361">
        <f>'0917'!Z58</f>
        <v>0</v>
      </c>
      <c r="I18" s="360">
        <f>'0917'!Z69</f>
        <v>0</v>
      </c>
      <c r="J18" s="360">
        <f>'0917'!AA79</f>
        <v>0</v>
      </c>
    </row>
    <row r="19" spans="2:10" ht="17.25" customHeight="1">
      <c r="B19" s="489"/>
      <c r="C19" s="330" t="s">
        <v>37</v>
      </c>
      <c r="D19" s="359">
        <f>'0917'!AA15</f>
        <v>0</v>
      </c>
      <c r="E19" s="360">
        <f>'0917'!AA26</f>
        <v>0</v>
      </c>
      <c r="F19" s="360">
        <f>'0917'!AA37</f>
        <v>0</v>
      </c>
      <c r="G19" s="361">
        <f>'0917'!AA48</f>
        <v>0</v>
      </c>
      <c r="H19" s="361">
        <f>'0917'!AA58</f>
        <v>0</v>
      </c>
      <c r="I19" s="360">
        <f>'0917'!AA69</f>
        <v>0</v>
      </c>
      <c r="J19" s="360">
        <f>'0917'!AB79</f>
        <v>0</v>
      </c>
    </row>
    <row r="20" spans="2:10" ht="17.25" customHeight="1">
      <c r="B20" s="488" t="s">
        <v>103</v>
      </c>
      <c r="C20" s="330" t="s">
        <v>36</v>
      </c>
      <c r="D20" s="359">
        <f>'0917'!AD15</f>
        <v>0</v>
      </c>
      <c r="E20" s="360">
        <f>'0917'!AD26</f>
        <v>0</v>
      </c>
      <c r="F20" s="360">
        <f>'0917'!AD37</f>
        <v>0</v>
      </c>
      <c r="G20" s="361">
        <f>'0917'!AD48</f>
        <v>0</v>
      </c>
      <c r="H20" s="361">
        <f>'0917'!AD58</f>
        <v>0</v>
      </c>
      <c r="I20" s="360">
        <f>'0917'!AD69</f>
        <v>0</v>
      </c>
      <c r="J20" s="360">
        <f>'0917'!AD79</f>
        <v>0</v>
      </c>
    </row>
    <row r="21" spans="2:10" ht="17.25" customHeight="1">
      <c r="B21" s="489"/>
      <c r="C21" s="330" t="s">
        <v>85</v>
      </c>
      <c r="D21" s="359">
        <f>'0917'!AE15</f>
        <v>0</v>
      </c>
      <c r="E21" s="360">
        <f>'0917'!AE26</f>
        <v>0</v>
      </c>
      <c r="F21" s="360">
        <f>'0917'!AE37</f>
        <v>0</v>
      </c>
      <c r="G21" s="361">
        <f>'0917'!AE48</f>
        <v>0</v>
      </c>
      <c r="H21" s="361">
        <f>'0917'!AE58</f>
        <v>0</v>
      </c>
      <c r="I21" s="360">
        <f>'0917'!AE69</f>
        <v>0</v>
      </c>
      <c r="J21" s="360">
        <f>'0917'!AE79</f>
        <v>0</v>
      </c>
    </row>
    <row r="22" spans="2:10" ht="17.25" customHeight="1">
      <c r="B22" s="471" t="s">
        <v>104</v>
      </c>
      <c r="C22" s="472"/>
      <c r="D22" s="23">
        <f>VALUE('0917'!M15)</f>
        <v>13.75</v>
      </c>
      <c r="E22" s="23">
        <f>VALUE('0917'!M26)</f>
        <v>12.666666666666666</v>
      </c>
      <c r="F22" s="23">
        <f>VALUE('0917'!M37)</f>
        <v>17</v>
      </c>
      <c r="G22" s="23">
        <f>VALUE('0917'!M48)</f>
        <v>17</v>
      </c>
      <c r="H22" s="23">
        <f>VALUE('0917'!M58)</f>
        <v>16.5</v>
      </c>
      <c r="I22" s="23">
        <f>VALUE('0917'!M69)</f>
        <v>10.75</v>
      </c>
      <c r="J22" s="23">
        <f>'0917'!M79</f>
        <v>8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1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DE173-80BB-4DCB-9523-AC1F482D0E9B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AB6" sqref="AB6:AC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52062</v>
      </c>
      <c r="F1" s="30" t="s">
        <v>2</v>
      </c>
      <c r="G1" s="31">
        <f>SUM(H5:H79)</f>
        <v>2404117.324</v>
      </c>
      <c r="H1" s="32" t="s">
        <v>3</v>
      </c>
      <c r="I1" s="33">
        <f>M15+M26+M48+M58+M69+M79+M37</f>
        <v>95.666666666666657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184</v>
      </c>
      <c r="B2" s="462"/>
      <c r="C2" s="28"/>
      <c r="D2" s="28" t="s">
        <v>14</v>
      </c>
      <c r="E2" s="35">
        <f>AVERAGE(O15,O26,O37,O48,O58,O69,O79)</f>
        <v>120.02207610857401</v>
      </c>
      <c r="F2" s="36" t="s">
        <v>15</v>
      </c>
      <c r="G2" s="37">
        <f>G1/E1</f>
        <v>46.177967116130766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0</v>
      </c>
      <c r="AA2" s="339">
        <f>AA15+AA26+AA37+AA48+AA58+AA69+AA79</f>
        <v>0</v>
      </c>
      <c r="AB2" s="433"/>
      <c r="AC2" s="433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2826</v>
      </c>
      <c r="H5" s="43">
        <f>F5*G5</f>
        <v>160714.62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2146.3291139240559</v>
      </c>
      <c r="O5" s="47">
        <f>N5/M5</f>
        <v>153.30922242314685</v>
      </c>
      <c r="P5" s="49">
        <f>M5-J5</f>
        <v>0</v>
      </c>
      <c r="Q5" s="50">
        <f>O5-L5</f>
        <v>-7.4050632911388732</v>
      </c>
      <c r="R5" s="51">
        <f>O5/L5</f>
        <v>0.95392405063291363</v>
      </c>
      <c r="S5" s="392">
        <f>R15</f>
        <v>0.91479373534496977</v>
      </c>
      <c r="T5" s="319">
        <v>0.29513888888888901</v>
      </c>
      <c r="U5" s="320">
        <v>0.35</v>
      </c>
      <c r="V5" s="53"/>
      <c r="W5" s="54">
        <f t="shared" ref="W5:W14" si="0">(U5-T5)*24*60</f>
        <v>78.999999999999801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-103.67088607594405</v>
      </c>
      <c r="AG5" s="52">
        <f t="shared" ref="AG5:AG11" si="2">N5/K5</f>
        <v>0.95392405063291374</v>
      </c>
      <c r="AH5" s="380">
        <f>AG15</f>
        <v>0.91521213338935314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1507</v>
      </c>
      <c r="H6" s="63">
        <f>F6*G6</f>
        <v>87662.19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2009.3333333333333</v>
      </c>
      <c r="O6" s="67">
        <f>N6/M6</f>
        <v>154.56410256410257</v>
      </c>
      <c r="P6" s="69">
        <f>M6-J6</f>
        <v>0</v>
      </c>
      <c r="Q6" s="70">
        <f>O6-L6</f>
        <v>-18.512820512820497</v>
      </c>
      <c r="R6" s="71">
        <f>O6/L6</f>
        <v>0.89303703703703707</v>
      </c>
      <c r="S6" s="393"/>
      <c r="T6" s="16">
        <v>0.35625000000000001</v>
      </c>
      <c r="U6" s="16">
        <v>0.38750000000000001</v>
      </c>
      <c r="V6" s="30">
        <f>(T6-U5)*24*60</f>
        <v>9.000000000000048</v>
      </c>
      <c r="W6" s="73">
        <f t="shared" si="0"/>
        <v>45</v>
      </c>
      <c r="X6" s="22"/>
      <c r="Y6" s="84"/>
      <c r="Z6" s="90"/>
      <c r="AA6" s="90"/>
      <c r="AB6" s="430" t="s">
        <v>185</v>
      </c>
      <c r="AC6" s="430"/>
      <c r="AD6" s="149"/>
      <c r="AE6" s="149"/>
      <c r="AF6" s="307">
        <f t="shared" si="1"/>
        <v>-240.66666666666674</v>
      </c>
      <c r="AG6" s="72">
        <f t="shared" si="2"/>
        <v>0.89303703703703696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3868</v>
      </c>
      <c r="H7" s="78">
        <f>F7*G7</f>
        <v>190073.52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2109.8181818181802</v>
      </c>
      <c r="O7" s="81">
        <f>N7/M7</f>
        <v>150.70129870129858</v>
      </c>
      <c r="P7" s="74">
        <f>M7-J7</f>
        <v>0</v>
      </c>
      <c r="Q7" s="83">
        <f>O7-L7</f>
        <v>-10.012987012987139</v>
      </c>
      <c r="R7" s="72">
        <f>O7/L7</f>
        <v>0.93769696969696892</v>
      </c>
      <c r="S7" s="393"/>
      <c r="T7" s="18">
        <v>0.39861111111111103</v>
      </c>
      <c r="U7" s="18">
        <v>0.47499999999999998</v>
      </c>
      <c r="V7" s="30">
        <f t="shared" ref="V7:V8" si="3">(T7-U6)*24*60</f>
        <v>15.999999999999863</v>
      </c>
      <c r="W7" s="73">
        <f t="shared" si="0"/>
        <v>110.00000000000009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-140.18181818181984</v>
      </c>
      <c r="AG7" s="72">
        <f t="shared" si="2"/>
        <v>0.93769696969696892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690</v>
      </c>
      <c r="H8" s="78">
        <f>F8*G8</f>
        <v>33906.6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1971.4285714286084</v>
      </c>
      <c r="O8" s="81">
        <f>N8/M8</f>
        <v>140.81632653061487</v>
      </c>
      <c r="P8" s="74">
        <f>M8-J8</f>
        <v>0</v>
      </c>
      <c r="Q8" s="83">
        <f>O8-L8</f>
        <v>-19.897959183670849</v>
      </c>
      <c r="R8" s="72">
        <f>O8/L8</f>
        <v>0.87619047619049251</v>
      </c>
      <c r="S8" s="393"/>
      <c r="T8" s="16">
        <v>0.54166666666666696</v>
      </c>
      <c r="U8" s="16">
        <v>0.55625000000000002</v>
      </c>
      <c r="V8" s="30">
        <f t="shared" si="3"/>
        <v>96.000000000000455</v>
      </c>
      <c r="W8" s="73">
        <f t="shared" si="0"/>
        <v>20.999999999999606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-278.57142857139161</v>
      </c>
      <c r="AG8" s="72">
        <f t="shared" si="2"/>
        <v>0.87619047619049262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4">AVERAGE(J5:J14)</f>
        <v>13.75</v>
      </c>
      <c r="K15" s="120">
        <f t="shared" si="4"/>
        <v>2250</v>
      </c>
      <c r="L15" s="117">
        <f t="shared" si="4"/>
        <v>163.80494505494505</v>
      </c>
      <c r="M15" s="120">
        <f t="shared" si="4"/>
        <v>13.75</v>
      </c>
      <c r="N15" s="120">
        <f t="shared" si="4"/>
        <v>2059.2273001260446</v>
      </c>
      <c r="O15" s="117">
        <f t="shared" si="4"/>
        <v>149.84773755479071</v>
      </c>
      <c r="P15" s="121">
        <f>M15-J15</f>
        <v>0</v>
      </c>
      <c r="Q15" s="122">
        <f>O15-L15</f>
        <v>-13.95720750015434</v>
      </c>
      <c r="R15" s="123">
        <f>O15/L15</f>
        <v>0.91479373534496977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-190.77269987395539</v>
      </c>
      <c r="AG15" s="124">
        <f>N15/K15</f>
        <v>0.91521213338935314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5434</v>
      </c>
      <c r="H16" s="134">
        <f>F16*G16</f>
        <v>275340.78000000003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2103.4838709677397</v>
      </c>
      <c r="O16" s="141">
        <f>N16/M16</f>
        <v>150.24884792626713</v>
      </c>
      <c r="P16" s="142">
        <f>M16-J16</f>
        <v>0</v>
      </c>
      <c r="Q16" s="143">
        <f>O16-L16</f>
        <v>-10.46543778801859</v>
      </c>
      <c r="R16" s="144">
        <f>O16/L16</f>
        <v>0.93488172043010653</v>
      </c>
      <c r="S16" s="420">
        <f>R26</f>
        <v>0.93235340501792563</v>
      </c>
      <c r="T16" s="145">
        <v>0.29166666666666702</v>
      </c>
      <c r="U16" s="145">
        <v>0.39930555555555602</v>
      </c>
      <c r="V16" s="135"/>
      <c r="W16" s="146">
        <f t="shared" ref="W16:W78" si="5">(U16-T16)*24*60</f>
        <v>155.00000000000017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-146.51612903226032</v>
      </c>
      <c r="AG16" s="52">
        <f>N16/K16</f>
        <v>0.93488172043010653</v>
      </c>
      <c r="AH16" s="380">
        <f>AG26</f>
        <v>0.93247380098993438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3472</v>
      </c>
      <c r="H17" s="78">
        <f>F17*G17</f>
        <v>174954.08000000002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2169.9999999999895</v>
      </c>
      <c r="O17" s="96">
        <f>N17/M17</f>
        <v>180.83333333333246</v>
      </c>
      <c r="P17" s="97">
        <f>M17-J17</f>
        <v>0</v>
      </c>
      <c r="Q17" s="98">
        <f>O17-L17</f>
        <v>-6.6666666666675383</v>
      </c>
      <c r="R17" s="99">
        <f>O17/L17</f>
        <v>0.96444444444443977</v>
      </c>
      <c r="S17" s="421"/>
      <c r="T17" s="19">
        <v>0.40833333333333299</v>
      </c>
      <c r="U17" s="19">
        <v>0.47499999999999998</v>
      </c>
      <c r="V17" s="30">
        <f>(T17-U16)*24*60</f>
        <v>12.999999999998835</v>
      </c>
      <c r="W17" s="149">
        <f t="shared" si="5"/>
        <v>96.000000000000455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-80.000000000010459</v>
      </c>
      <c r="AG17" s="72">
        <f>N17/K17</f>
        <v>0.96444444444443977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943</v>
      </c>
      <c r="H18" s="78">
        <f>F18*G18</f>
        <v>47517.770000000004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2020.7142857143276</v>
      </c>
      <c r="O18" s="96">
        <f>N18/M18</f>
        <v>168.39285714286063</v>
      </c>
      <c r="P18" s="97">
        <f>M18-J18</f>
        <v>0</v>
      </c>
      <c r="Q18" s="98">
        <f>O18-L18</f>
        <v>-19.107142857139365</v>
      </c>
      <c r="R18" s="99">
        <f>O18/L18</f>
        <v>0.89809523809525671</v>
      </c>
      <c r="S18" s="421"/>
      <c r="T18" s="19">
        <v>0.54166666666666696</v>
      </c>
      <c r="U18" s="19">
        <v>0.56111111111111101</v>
      </c>
      <c r="V18" s="30">
        <f>(T18-U17)*24*60</f>
        <v>96.000000000000455</v>
      </c>
      <c r="W18" s="149">
        <f t="shared" si="5"/>
        <v>27.999999999999421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-229.28571428567238</v>
      </c>
      <c r="AG18" s="72">
        <f>N18/K18</f>
        <v>0.89809523809525671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5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5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5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5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5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5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6">AVERAGE(J16:J25)</f>
        <v>12.666666666666666</v>
      </c>
      <c r="K26" s="155">
        <f t="shared" si="6"/>
        <v>2250</v>
      </c>
      <c r="L26" s="158">
        <f t="shared" si="6"/>
        <v>178.57142857142858</v>
      </c>
      <c r="M26" s="155">
        <f t="shared" si="6"/>
        <v>12.666666666666666</v>
      </c>
      <c r="N26" s="155">
        <f t="shared" si="6"/>
        <v>2098.0660522273524</v>
      </c>
      <c r="O26" s="158">
        <f t="shared" si="6"/>
        <v>166.49167946748673</v>
      </c>
      <c r="P26" s="159">
        <f>M26-J26</f>
        <v>0</v>
      </c>
      <c r="Q26" s="160">
        <f>O26-L26</f>
        <v>-12.07974910394185</v>
      </c>
      <c r="R26" s="161">
        <f>O26/L26</f>
        <v>0.93235340501792563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7">N26-K26</f>
        <v>-151.93394777264757</v>
      </c>
      <c r="AG26" s="124">
        <f t="shared" ref="AG26:AG31" si="8">N26/K26</f>
        <v>0.93247380098993438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57.21</v>
      </c>
      <c r="G27" s="169">
        <v>954</v>
      </c>
      <c r="H27" s="134">
        <f>F27*G27</f>
        <v>54578.340000000004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17</v>
      </c>
      <c r="N27" s="140">
        <f>G27/W27*60</f>
        <v>1431.0000000000423</v>
      </c>
      <c r="O27" s="141">
        <f>N27/M27</f>
        <v>84.176470588237777</v>
      </c>
      <c r="P27" s="142">
        <f>M27-J27</f>
        <v>-1</v>
      </c>
      <c r="Q27" s="143">
        <f>O27-L27</f>
        <v>-6.7124183006511089</v>
      </c>
      <c r="R27" s="144">
        <f>O27/L27</f>
        <v>0.92614698691215158</v>
      </c>
      <c r="S27" s="420">
        <f>R37</f>
        <v>0.92979819887160398</v>
      </c>
      <c r="T27" s="171">
        <v>0.29166666666666702</v>
      </c>
      <c r="U27" s="171">
        <v>0.31944444444444398</v>
      </c>
      <c r="V27" s="135"/>
      <c r="W27" s="146">
        <f t="shared" si="5"/>
        <v>39.99999999999882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7"/>
        <v>-204.99999999995771</v>
      </c>
      <c r="AG27" s="172">
        <f t="shared" si="8"/>
        <v>0.87469437652814319</v>
      </c>
      <c r="AH27" s="380">
        <f>AG37</f>
        <v>0.90368925817026757</v>
      </c>
    </row>
    <row r="28" spans="1:34" ht="15" customHeight="1">
      <c r="A28" s="418"/>
      <c r="B28" s="75" t="s">
        <v>81</v>
      </c>
      <c r="C28" s="173"/>
      <c r="D28" s="59" t="s">
        <v>124</v>
      </c>
      <c r="E28" s="104"/>
      <c r="F28" s="75">
        <f>VLOOKUP(D28,廠價表!$C$1:$E$43,3,0)</f>
        <v>46.34</v>
      </c>
      <c r="G28" s="90">
        <v>1130</v>
      </c>
      <c r="H28" s="91">
        <f>F28*G28</f>
        <v>52364.200000000004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16</v>
      </c>
      <c r="N28" s="95">
        <f>G28/W28*60</f>
        <v>1506.6666666666667</v>
      </c>
      <c r="O28" s="96">
        <f>N28/M28</f>
        <v>94.166666666666671</v>
      </c>
      <c r="P28" s="97">
        <f>M28-J28</f>
        <v>0</v>
      </c>
      <c r="Q28" s="98">
        <f>O28-L28</f>
        <v>-8.0833333333333286</v>
      </c>
      <c r="R28" s="99">
        <f>O28/L28</f>
        <v>0.92094539527302366</v>
      </c>
      <c r="S28" s="421"/>
      <c r="T28" s="19">
        <v>0.32500000000000001</v>
      </c>
      <c r="U28" s="19">
        <v>0.35625000000000001</v>
      </c>
      <c r="V28" s="92">
        <f>(T28-U27)*24*60</f>
        <v>8.000000000000691</v>
      </c>
      <c r="W28" s="149">
        <f t="shared" si="5"/>
        <v>45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7"/>
        <v>-129.33333333333326</v>
      </c>
      <c r="AG28" s="99">
        <f t="shared" si="8"/>
        <v>0.92094539527302366</v>
      </c>
      <c r="AH28" s="381"/>
    </row>
    <row r="29" spans="1:34" ht="15" customHeight="1">
      <c r="A29" s="418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656</v>
      </c>
      <c r="H29" s="91">
        <f>F29*G29</f>
        <v>29952.959999999999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16</v>
      </c>
      <c r="N29" s="95">
        <f>G29/W29*60</f>
        <v>1457.7777777777785</v>
      </c>
      <c r="O29" s="96">
        <f>N29/M29</f>
        <v>91.111111111111157</v>
      </c>
      <c r="P29" s="97">
        <f>M29-J29</f>
        <v>-1</v>
      </c>
      <c r="Q29" s="98">
        <f>O29-L29</f>
        <v>-5.1241830065359011</v>
      </c>
      <c r="R29" s="99">
        <f>O29/L29</f>
        <v>0.946753599565336</v>
      </c>
      <c r="S29" s="421"/>
      <c r="T29" s="19">
        <v>0.36319444444444399</v>
      </c>
      <c r="U29" s="19">
        <v>0.38194444444444398</v>
      </c>
      <c r="V29" s="92">
        <f>(T29-U28)*24*60</f>
        <v>9.999999999999325</v>
      </c>
      <c r="W29" s="149">
        <f t="shared" si="5"/>
        <v>26.999999999999986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7"/>
        <v>-178.22222222222149</v>
      </c>
      <c r="AG29" s="99">
        <f t="shared" si="8"/>
        <v>0.89106221135561037</v>
      </c>
      <c r="AH29" s="381"/>
    </row>
    <row r="30" spans="1:34" ht="15" customHeight="1">
      <c r="A30" s="418"/>
      <c r="B30" s="75" t="s">
        <v>81</v>
      </c>
      <c r="C30" s="88"/>
      <c r="D30" s="59" t="s">
        <v>161</v>
      </c>
      <c r="E30" s="89"/>
      <c r="F30" s="75">
        <f>VLOOKUP(D30,廠價表!$C$1:$E$43,3,0)</f>
        <v>52.21</v>
      </c>
      <c r="G30" s="90">
        <v>2254</v>
      </c>
      <c r="H30" s="91">
        <f t="shared" ref="H30:H32" si="9">F30*G30</f>
        <v>117681.34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2" si="10">K30/J30</f>
        <v>90.888888888888886</v>
      </c>
      <c r="M30" s="94">
        <v>17</v>
      </c>
      <c r="N30" s="95">
        <f t="shared" ref="N30:N32" si="11">G30/W30*60</f>
        <v>1380.0000000000116</v>
      </c>
      <c r="O30" s="96">
        <f t="shared" ref="O30:O32" si="12">N30/M30</f>
        <v>81.176470588235972</v>
      </c>
      <c r="P30" s="97">
        <f t="shared" ref="P30:P32" si="13">M30-J30</f>
        <v>-1</v>
      </c>
      <c r="Q30" s="98">
        <f t="shared" ref="Q30:Q32" si="14">O30-L30</f>
        <v>-9.7124183006529137</v>
      </c>
      <c r="R30" s="99">
        <f t="shared" ref="R30:R32" si="15">O30/L30</f>
        <v>0.89313965194880662</v>
      </c>
      <c r="S30" s="421"/>
      <c r="T30" s="19">
        <v>0.38888888888888901</v>
      </c>
      <c r="U30" s="19">
        <v>0.45694444444444399</v>
      </c>
      <c r="V30" s="92">
        <f>(T30-U29)*24*60</f>
        <v>10.000000000000844</v>
      </c>
      <c r="W30" s="149">
        <f t="shared" si="5"/>
        <v>97.999999999999176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7"/>
        <v>-255.9999999999884</v>
      </c>
      <c r="AG30" s="99">
        <f t="shared" si="8"/>
        <v>0.84352078239609507</v>
      </c>
      <c r="AH30" s="416"/>
    </row>
    <row r="31" spans="1:34" ht="15" customHeight="1">
      <c r="A31" s="418"/>
      <c r="B31" s="75" t="s">
        <v>81</v>
      </c>
      <c r="C31" s="88"/>
      <c r="D31" s="59" t="s">
        <v>161</v>
      </c>
      <c r="E31" s="89"/>
      <c r="F31" s="75">
        <f>VLOOKUP(D31,廠價表!$C$1:$E$43,3,0)</f>
        <v>52.21</v>
      </c>
      <c r="G31" s="90">
        <v>1800</v>
      </c>
      <c r="H31" s="91">
        <f t="shared" si="9"/>
        <v>93978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10"/>
        <v>90.888888888888886</v>
      </c>
      <c r="M31" s="94">
        <v>18</v>
      </c>
      <c r="N31" s="95">
        <f t="shared" si="11"/>
        <v>1521.1267605633686</v>
      </c>
      <c r="O31" s="96">
        <f t="shared" si="12"/>
        <v>84.507042253520481</v>
      </c>
      <c r="P31" s="97">
        <f t="shared" si="13"/>
        <v>0</v>
      </c>
      <c r="Q31" s="98">
        <f t="shared" si="14"/>
        <v>-6.3818466353684045</v>
      </c>
      <c r="R31" s="99">
        <f t="shared" si="15"/>
        <v>0.9297840834739417</v>
      </c>
      <c r="S31" s="421"/>
      <c r="T31" s="19">
        <v>0.52083333333333304</v>
      </c>
      <c r="U31" s="19">
        <v>0.57013888888888897</v>
      </c>
      <c r="V31" s="92">
        <f t="shared" ref="V31:V32" si="16">(T31-U30)*24*60</f>
        <v>92.000000000000227</v>
      </c>
      <c r="W31" s="149">
        <f t="shared" si="5"/>
        <v>71.00000000000054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7"/>
        <v>-114.87323943663137</v>
      </c>
      <c r="AG31" s="99">
        <f t="shared" si="8"/>
        <v>0.9297840834739417</v>
      </c>
      <c r="AH31" s="383"/>
    </row>
    <row r="32" spans="1:34" ht="15" customHeight="1">
      <c r="A32" s="418"/>
      <c r="B32" s="75" t="s">
        <v>127</v>
      </c>
      <c r="C32" s="102"/>
      <c r="D32" s="175" t="s">
        <v>129</v>
      </c>
      <c r="E32" s="176"/>
      <c r="F32" s="75">
        <f>VLOOKUP(D32,廠價表!$C$1:$E$43,3,0)</f>
        <v>44.3</v>
      </c>
      <c r="G32" s="90">
        <v>1233</v>
      </c>
      <c r="H32" s="91">
        <f t="shared" si="9"/>
        <v>54621.899999999994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10"/>
        <v>90.888888888888886</v>
      </c>
      <c r="M32" s="94">
        <v>18</v>
      </c>
      <c r="N32" s="95">
        <f t="shared" si="11"/>
        <v>1574.0425531914789</v>
      </c>
      <c r="O32" s="96">
        <f t="shared" si="12"/>
        <v>87.446808510637709</v>
      </c>
      <c r="P32" s="97">
        <f t="shared" si="13"/>
        <v>0</v>
      </c>
      <c r="Q32" s="98">
        <f t="shared" si="14"/>
        <v>-3.4420803782511769</v>
      </c>
      <c r="R32" s="99">
        <f t="shared" si="15"/>
        <v>0.96212869999479145</v>
      </c>
      <c r="S32" s="421"/>
      <c r="T32" s="19">
        <v>0.57708333333333295</v>
      </c>
      <c r="U32" s="19">
        <v>0.60972222222222205</v>
      </c>
      <c r="V32" s="92">
        <f t="shared" si="16"/>
        <v>9.999999999999325</v>
      </c>
      <c r="W32" s="149">
        <f t="shared" si="5"/>
        <v>47.000000000000313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86"/>
      <c r="D33" s="59"/>
      <c r="E33" s="87"/>
      <c r="F33" s="75"/>
      <c r="G33" s="147"/>
      <c r="H33" s="78"/>
      <c r="I33" s="30"/>
      <c r="J33" s="79"/>
      <c r="K33" s="80"/>
      <c r="L33" s="81"/>
      <c r="M33" s="148"/>
      <c r="N33" s="95"/>
      <c r="O33" s="96"/>
      <c r="P33" s="97"/>
      <c r="Q33" s="98"/>
      <c r="R33" s="99"/>
      <c r="S33" s="421"/>
      <c r="T33" s="150"/>
      <c r="U33" s="150"/>
      <c r="W33" s="149">
        <f t="shared" si="5"/>
        <v>0</v>
      </c>
      <c r="X33" s="92"/>
      <c r="Y33" s="298"/>
      <c r="Z33" s="90"/>
      <c r="AA33" s="90"/>
      <c r="AB33" s="386"/>
      <c r="AC33" s="386"/>
      <c r="AD33" s="92"/>
      <c r="AE33" s="92"/>
      <c r="AF33" s="308"/>
      <c r="AG33" s="85"/>
      <c r="AH33" s="383"/>
    </row>
    <row r="34" spans="1:34" ht="15" customHeight="1">
      <c r="A34" s="418"/>
      <c r="B34" s="30"/>
      <c r="C34" s="151"/>
      <c r="D34" s="59"/>
      <c r="E34" s="87"/>
      <c r="F34" s="105"/>
      <c r="G34" s="95"/>
      <c r="H34" s="78"/>
      <c r="I34" s="149"/>
      <c r="J34" s="148"/>
      <c r="K34" s="95"/>
      <c r="L34" s="96"/>
      <c r="M34" s="148"/>
      <c r="N34" s="95"/>
      <c r="O34" s="96"/>
      <c r="P34" s="97"/>
      <c r="Q34" s="98"/>
      <c r="R34" s="99"/>
      <c r="S34" s="421"/>
      <c r="T34" s="150"/>
      <c r="U34" s="150"/>
      <c r="V34" s="92"/>
      <c r="W34" s="149">
        <v>0</v>
      </c>
      <c r="X34" s="92"/>
      <c r="Y34" s="298"/>
      <c r="Z34" s="90"/>
      <c r="AA34" s="90"/>
      <c r="AB34" s="386"/>
      <c r="AC34" s="386"/>
      <c r="AD34" s="92"/>
      <c r="AE34" s="92"/>
      <c r="AF34" s="308"/>
      <c r="AG34" s="85"/>
      <c r="AH34" s="383"/>
    </row>
    <row r="35" spans="1:34" ht="15" customHeight="1">
      <c r="A35" s="418"/>
      <c r="B35" s="75"/>
      <c r="C35" s="86"/>
      <c r="D35" s="59"/>
      <c r="E35" s="87"/>
      <c r="F35" s="75"/>
      <c r="G35" s="147"/>
      <c r="H35" s="78"/>
      <c r="I35" s="30"/>
      <c r="J35" s="79"/>
      <c r="K35" s="80"/>
      <c r="L35" s="81"/>
      <c r="M35" s="148"/>
      <c r="N35" s="95"/>
      <c r="O35" s="96"/>
      <c r="P35" s="97"/>
      <c r="Q35" s="98"/>
      <c r="R35" s="99"/>
      <c r="S35" s="421"/>
      <c r="T35" s="150"/>
      <c r="U35" s="150"/>
      <c r="W35" s="149">
        <f>(U35-T35)*24*60</f>
        <v>0</v>
      </c>
      <c r="X35" s="92"/>
      <c r="Y35" s="298"/>
      <c r="Z35" s="90"/>
      <c r="AA35" s="90"/>
      <c r="AB35" s="386"/>
      <c r="AC35" s="386"/>
      <c r="AD35" s="92"/>
      <c r="AE35" s="92"/>
      <c r="AF35" s="308"/>
      <c r="AG35" s="85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5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17">AVERAGE(J27:J36)</f>
        <v>17.5</v>
      </c>
      <c r="K37" s="155">
        <f t="shared" si="17"/>
        <v>1636</v>
      </c>
      <c r="L37" s="158">
        <f t="shared" si="17"/>
        <v>93.673474945533769</v>
      </c>
      <c r="M37" s="155">
        <f t="shared" si="17"/>
        <v>17</v>
      </c>
      <c r="N37" s="155">
        <f t="shared" si="17"/>
        <v>1478.4356263665577</v>
      </c>
      <c r="O37" s="158">
        <f t="shared" si="17"/>
        <v>87.097428286401623</v>
      </c>
      <c r="P37" s="159">
        <f>M37-J37</f>
        <v>-0.5</v>
      </c>
      <c r="Q37" s="160">
        <f>N37-K37</f>
        <v>-157.5643736334423</v>
      </c>
      <c r="R37" s="161">
        <f>O37/L37</f>
        <v>0.92979819887160398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-157.5643736334423</v>
      </c>
      <c r="AG37" s="124">
        <f>N37/K37</f>
        <v>0.90368925817026757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2192</v>
      </c>
      <c r="H38" s="134">
        <f>F38*G38</f>
        <v>109402.71999999999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1461.3333333333333</v>
      </c>
      <c r="O38" s="141">
        <f>N38/M38</f>
        <v>91.333333333333329</v>
      </c>
      <c r="P38" s="142">
        <f>M38-J38</f>
        <v>0</v>
      </c>
      <c r="Q38" s="143">
        <f>O38-L38</f>
        <v>-15.791666666666671</v>
      </c>
      <c r="R38" s="144">
        <f>O38/L38</f>
        <v>0.852586542201478</v>
      </c>
      <c r="S38" s="410">
        <f>R48</f>
        <v>0.84781319543190847</v>
      </c>
      <c r="T38" s="191">
        <v>0.33333333333333298</v>
      </c>
      <c r="U38" s="191">
        <v>0.39583333333333298</v>
      </c>
      <c r="V38" s="192"/>
      <c r="W38" s="193">
        <f t="shared" si="5"/>
        <v>90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-252.66666666666674</v>
      </c>
      <c r="AG38" s="195">
        <f>N38/K38</f>
        <v>0.852586542201478</v>
      </c>
      <c r="AH38" s="413">
        <f>AG48</f>
        <v>0.84750791497060096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2526</v>
      </c>
      <c r="H39" s="91">
        <f>F39*G39</f>
        <v>111901.79999999999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1377.8181818181797</v>
      </c>
      <c r="O39" s="203">
        <f>N39/M39</f>
        <v>76.545454545454433</v>
      </c>
      <c r="P39" s="97">
        <f>M39-J39</f>
        <v>0</v>
      </c>
      <c r="Q39" s="98">
        <f>O39-L39</f>
        <v>-14.343434343434453</v>
      </c>
      <c r="R39" s="99">
        <f>O39/L39</f>
        <v>0.84218715270059896</v>
      </c>
      <c r="S39" s="411"/>
      <c r="T39" s="20">
        <v>0.40138888888888902</v>
      </c>
      <c r="U39" s="20">
        <v>0.47777777777777802</v>
      </c>
      <c r="V39" s="92">
        <f>(T39-U38)*24*60</f>
        <v>8.000000000000691</v>
      </c>
      <c r="W39" s="205">
        <f t="shared" si="5"/>
        <v>110.00000000000017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-258.18181818182029</v>
      </c>
      <c r="AG39" s="206">
        <f>N39/K39</f>
        <v>0.84218715270059885</v>
      </c>
      <c r="AH39" s="414"/>
    </row>
    <row r="40" spans="1:34" ht="15" customHeight="1">
      <c r="A40" s="408"/>
      <c r="B40" s="75"/>
      <c r="C40" s="86"/>
      <c r="D40" s="59"/>
      <c r="E40" s="87"/>
      <c r="F40" s="75"/>
      <c r="G40" s="147"/>
      <c r="H40" s="78"/>
      <c r="I40" s="30"/>
      <c r="J40" s="79"/>
      <c r="K40" s="80"/>
      <c r="L40" s="81"/>
      <c r="M40" s="148"/>
      <c r="N40" s="95"/>
      <c r="O40" s="96"/>
      <c r="P40" s="97"/>
      <c r="Q40" s="98"/>
      <c r="R40" s="99"/>
      <c r="S40" s="393"/>
      <c r="T40" s="20"/>
      <c r="U40" s="20"/>
      <c r="V40" s="92"/>
      <c r="W40" s="205">
        <f t="shared" si="5"/>
        <v>0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0</v>
      </c>
      <c r="AG40" s="206" t="e">
        <f>N40/K40</f>
        <v>#DIV/0!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5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5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86"/>
      <c r="D43" s="198"/>
      <c r="E43" s="87"/>
      <c r="F43" s="75"/>
      <c r="G43" s="199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18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18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18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18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18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9">AVERAGE(J38:J47)</f>
        <v>17</v>
      </c>
      <c r="K48" s="155">
        <f t="shared" si="19"/>
        <v>1675</v>
      </c>
      <c r="L48" s="158">
        <f t="shared" si="19"/>
        <v>99.006944444444443</v>
      </c>
      <c r="M48" s="155">
        <f t="shared" si="19"/>
        <v>17</v>
      </c>
      <c r="N48" s="155">
        <f t="shared" si="19"/>
        <v>1419.5757575757566</v>
      </c>
      <c r="O48" s="158">
        <f t="shared" si="19"/>
        <v>83.939393939393881</v>
      </c>
      <c r="P48" s="221">
        <f>M48-J48</f>
        <v>0</v>
      </c>
      <c r="Q48" s="222">
        <f>N48-K48</f>
        <v>-255.4242424242434</v>
      </c>
      <c r="R48" s="223">
        <f>O48/L48</f>
        <v>0.84781319543190847</v>
      </c>
      <c r="S48" s="396"/>
      <c r="T48" s="224"/>
      <c r="U48" s="224"/>
      <c r="V48" s="225"/>
      <c r="W48" s="226">
        <f t="shared" si="18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2" si="20">N48-K48</f>
        <v>-255.4242424242434</v>
      </c>
      <c r="AG48" s="162">
        <f t="shared" ref="AG48:AG52" si="21">N48/K48</f>
        <v>0.84750791497060096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v>732</v>
      </c>
      <c r="H49" s="134">
        <f>F49*G49</f>
        <v>36534.119999999995</v>
      </c>
      <c r="I49" s="135"/>
      <c r="J49" s="136">
        <f>VLOOKUP(D49,產線配置圖!$A$3:$C$40,2,0)</f>
        <v>18</v>
      </c>
      <c r="K49" s="137">
        <v>1636</v>
      </c>
      <c r="L49" s="138">
        <f>K49/J49</f>
        <v>90.888888888888886</v>
      </c>
      <c r="M49" s="170">
        <v>18</v>
      </c>
      <c r="N49" s="140">
        <f>G49/W49*60</f>
        <v>1568.5714285714657</v>
      </c>
      <c r="O49" s="141">
        <f>N49/M49</f>
        <v>87.142857142859214</v>
      </c>
      <c r="P49" s="229">
        <f>M49-J49</f>
        <v>0</v>
      </c>
      <c r="Q49" s="230">
        <f>O49-L49</f>
        <v>-3.7460317460296721</v>
      </c>
      <c r="R49" s="52">
        <f>O49/L49</f>
        <v>0.95878449179184955</v>
      </c>
      <c r="S49" s="392">
        <f>R58</f>
        <v>0.89722943355811569</v>
      </c>
      <c r="T49" s="191">
        <v>0.29166666666666702</v>
      </c>
      <c r="U49" s="191">
        <v>0.31111111111111101</v>
      </c>
      <c r="V49" s="55"/>
      <c r="W49" s="193">
        <f t="shared" si="5"/>
        <v>27.999999999999339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20"/>
        <v>-67.428571428534269</v>
      </c>
      <c r="AG49" s="52">
        <f t="shared" si="21"/>
        <v>0.95878449179184944</v>
      </c>
      <c r="AH49" s="380">
        <f>AG58</f>
        <v>0.88518803559233439</v>
      </c>
    </row>
    <row r="50" spans="1:34" ht="15" customHeight="1">
      <c r="A50" s="405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2116</v>
      </c>
      <c r="H50" s="231">
        <f>F50*G50</f>
        <v>106411.524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1529.6385542168641</v>
      </c>
      <c r="O50" s="235">
        <f>N50/M50</f>
        <v>89.978738483344955</v>
      </c>
      <c r="P50" s="74">
        <f>M50-J50</f>
        <v>0</v>
      </c>
      <c r="Q50" s="83">
        <f>O50-L50</f>
        <v>-6.2565556343021029</v>
      </c>
      <c r="R50" s="72">
        <f>O50/L50</f>
        <v>0.93498689133060164</v>
      </c>
      <c r="S50" s="393"/>
      <c r="T50" s="21">
        <v>0.31736111111111098</v>
      </c>
      <c r="U50" s="21">
        <v>0.375</v>
      </c>
      <c r="V50" s="30">
        <f>(T50-U49)*24*60</f>
        <v>8.999999999999968</v>
      </c>
      <c r="W50" s="236">
        <f t="shared" si="5"/>
        <v>83.000000000000185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20"/>
        <v>-106.36144578313588</v>
      </c>
      <c r="AG50" s="72">
        <f t="shared" si="21"/>
        <v>0.93498689133060153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2732</v>
      </c>
      <c r="H51" s="231">
        <f>F51*G51</f>
        <v>136518.04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15</v>
      </c>
      <c r="N51" s="234">
        <f>G51/W51*60</f>
        <v>1463.5714285714243</v>
      </c>
      <c r="O51" s="235">
        <f>N51/M51</f>
        <v>97.571428571428285</v>
      </c>
      <c r="P51" s="74">
        <f>M51-J51</f>
        <v>-1</v>
      </c>
      <c r="Q51" s="83">
        <f>O51-L51</f>
        <v>-14.928571428571715</v>
      </c>
      <c r="R51" s="72">
        <f>O51/L51</f>
        <v>0.8673015873015848</v>
      </c>
      <c r="S51" s="393"/>
      <c r="T51" s="21">
        <v>0.38194444444444398</v>
      </c>
      <c r="U51" s="19">
        <v>0.45972222222222198</v>
      </c>
      <c r="V51" s="30">
        <f>(T51-U50)*24*60</f>
        <v>9.999999999999325</v>
      </c>
      <c r="W51" s="236">
        <f t="shared" si="5"/>
        <v>112.00000000000033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20"/>
        <v>-336.42857142857565</v>
      </c>
      <c r="AG51" s="72">
        <f t="shared" si="21"/>
        <v>0.81309523809523576</v>
      </c>
      <c r="AH51" s="382"/>
    </row>
    <row r="52" spans="1:34" ht="15" customHeight="1">
      <c r="A52" s="405"/>
      <c r="B52" s="75" t="s">
        <v>81</v>
      </c>
      <c r="C52" s="86"/>
      <c r="D52" s="59" t="s">
        <v>131</v>
      </c>
      <c r="E52" s="87"/>
      <c r="F52" s="75">
        <f>VLOOKUP(D52,廠價表!$C$1:$E$43,3,0)</f>
        <v>49.97</v>
      </c>
      <c r="G52" s="202">
        <v>1648</v>
      </c>
      <c r="H52" s="231">
        <f>F52*G52</f>
        <v>82350.559999999998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1521.2307692307672</v>
      </c>
      <c r="O52" s="235">
        <f>N52/M52</f>
        <v>95.076923076922952</v>
      </c>
      <c r="P52" s="74">
        <f>M52-J52</f>
        <v>0</v>
      </c>
      <c r="Q52" s="83">
        <f>O52-L52</f>
        <v>-17.423076923077048</v>
      </c>
      <c r="R52" s="72">
        <f>O52/L52</f>
        <v>0.84512820512820397</v>
      </c>
      <c r="S52" s="393"/>
      <c r="T52" s="21">
        <v>0.52291666666666703</v>
      </c>
      <c r="U52" s="21">
        <v>0.56805555555555598</v>
      </c>
      <c r="V52" s="30">
        <f>(T52-U51)*24*60</f>
        <v>91.000000000000881</v>
      </c>
      <c r="W52" s="236">
        <f t="shared" si="5"/>
        <v>65.000000000000085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20"/>
        <v>-278.76923076923276</v>
      </c>
      <c r="AG52" s="72">
        <f t="shared" si="21"/>
        <v>0.84512820512820397</v>
      </c>
      <c r="AH52" s="382"/>
    </row>
    <row r="53" spans="1:34" ht="15" customHeight="1">
      <c r="A53" s="405"/>
      <c r="B53" s="75"/>
      <c r="C53" s="102"/>
      <c r="D53" s="198"/>
      <c r="E53" s="104"/>
      <c r="F53" s="75"/>
      <c r="G53" s="202"/>
      <c r="H53" s="91"/>
      <c r="I53" s="200"/>
      <c r="J53" s="148"/>
      <c r="K53" s="95"/>
      <c r="L53" s="96"/>
      <c r="M53" s="201"/>
      <c r="N53" s="202"/>
      <c r="O53" s="203"/>
      <c r="P53" s="97"/>
      <c r="Q53" s="98"/>
      <c r="R53" s="99"/>
      <c r="S53" s="393"/>
      <c r="T53" s="21"/>
      <c r="U53" s="21"/>
      <c r="V53" s="30"/>
      <c r="W53" s="236">
        <f t="shared" si="5"/>
        <v>0</v>
      </c>
      <c r="X53" s="30"/>
      <c r="Y53" s="151"/>
      <c r="Z53" s="90"/>
      <c r="AA53" s="90"/>
      <c r="AB53" s="386"/>
      <c r="AC53" s="386"/>
      <c r="AD53" s="92"/>
      <c r="AE53" s="92"/>
      <c r="AF53" s="307" t="e">
        <f>#REF!-#REF!</f>
        <v>#REF!</v>
      </c>
      <c r="AG53" s="72" t="e">
        <f>#REF!/#REF!</f>
        <v>#REF!</v>
      </c>
      <c r="AH53" s="382"/>
    </row>
    <row r="54" spans="1:34" ht="15" customHeight="1">
      <c r="A54" s="405"/>
      <c r="B54" s="75"/>
      <c r="C54" s="86"/>
      <c r="D54" s="198"/>
      <c r="E54" s="87"/>
      <c r="F54" s="75"/>
      <c r="G54" s="199"/>
      <c r="H54" s="91"/>
      <c r="I54" s="200"/>
      <c r="J54" s="148"/>
      <c r="K54" s="95"/>
      <c r="L54" s="96"/>
      <c r="M54" s="201"/>
      <c r="N54" s="202"/>
      <c r="O54" s="203"/>
      <c r="P54" s="97"/>
      <c r="Q54" s="98"/>
      <c r="R54" s="99"/>
      <c r="S54" s="393"/>
      <c r="T54" s="21"/>
      <c r="U54" s="21"/>
      <c r="V54" s="30"/>
      <c r="W54" s="236">
        <f t="shared" si="5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75"/>
      <c r="C55" s="86"/>
      <c r="D55" s="198"/>
      <c r="E55" s="87"/>
      <c r="F55" s="75"/>
      <c r="G55" s="199"/>
      <c r="H55" s="91"/>
      <c r="I55" s="200"/>
      <c r="J55" s="148"/>
      <c r="K55" s="95"/>
      <c r="L55" s="96"/>
      <c r="M55" s="201"/>
      <c r="N55" s="202"/>
      <c r="O55" s="203"/>
      <c r="P55" s="97"/>
      <c r="Q55" s="98"/>
      <c r="R55" s="99"/>
      <c r="S55" s="393"/>
      <c r="T55" s="21"/>
      <c r="U55" s="21"/>
      <c r="V55" s="237"/>
      <c r="W55" s="236">
        <f t="shared" si="5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5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5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2">AVERAGE(J49:J57)</f>
        <v>16.75</v>
      </c>
      <c r="K58" s="120">
        <f t="shared" si="22"/>
        <v>1718</v>
      </c>
      <c r="L58" s="117">
        <f t="shared" si="22"/>
        <v>103.03104575163398</v>
      </c>
      <c r="M58" s="120">
        <f t="shared" si="22"/>
        <v>16.5</v>
      </c>
      <c r="N58" s="120">
        <f t="shared" si="22"/>
        <v>1520.7530451476305</v>
      </c>
      <c r="O58" s="117">
        <f t="shared" si="22"/>
        <v>92.442486818638855</v>
      </c>
      <c r="P58" s="121">
        <f>M58-J58</f>
        <v>-0.25</v>
      </c>
      <c r="Q58" s="122">
        <f>N58-K58</f>
        <v>-197.24695485236953</v>
      </c>
      <c r="R58" s="123">
        <f>O58/L58</f>
        <v>0.89722943355811569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-197.24695485236953</v>
      </c>
      <c r="AG58" s="124">
        <f>N58/K58</f>
        <v>0.88518803559233439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3375</v>
      </c>
      <c r="H59" s="243">
        <f>F59*G59</f>
        <v>91091.25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1500</v>
      </c>
      <c r="O59" s="138">
        <f>N59/M59</f>
        <v>100</v>
      </c>
      <c r="P59" s="56">
        <f>M59-J59</f>
        <v>0</v>
      </c>
      <c r="Q59" s="230">
        <f>O59-L59</f>
        <v>-9.0666666666666629</v>
      </c>
      <c r="R59" s="52">
        <f>O59/L59</f>
        <v>0.91687041564792182</v>
      </c>
      <c r="S59" s="392">
        <f>R69</f>
        <v>0.91964535202833986</v>
      </c>
      <c r="T59" s="245">
        <v>0.29166666666666702</v>
      </c>
      <c r="U59" s="245">
        <v>0.38541666666666702</v>
      </c>
      <c r="V59" s="55"/>
      <c r="W59" s="54">
        <f t="shared" si="5"/>
        <v>135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-136</v>
      </c>
      <c r="AG59" s="246">
        <f>N59/K59</f>
        <v>0.91687041564792171</v>
      </c>
      <c r="AH59" s="380">
        <f>AG69</f>
        <v>0.82098614506927292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1178</v>
      </c>
      <c r="H60" s="78">
        <f>F60*G60</f>
        <v>33290.28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1570.6666666666665</v>
      </c>
      <c r="O60" s="81">
        <f>N60/M60</f>
        <v>142.78787878787878</v>
      </c>
      <c r="P60" s="74">
        <f>M60-J60</f>
        <v>0</v>
      </c>
      <c r="Q60" s="83">
        <f>O60-L60</f>
        <v>-5.9393939393939377</v>
      </c>
      <c r="R60" s="72">
        <f>O60/L60</f>
        <v>0.96006519967400161</v>
      </c>
      <c r="S60" s="402"/>
      <c r="T60" s="22">
        <v>0.39583333333333298</v>
      </c>
      <c r="U60" s="22">
        <v>0.42708333333333298</v>
      </c>
      <c r="V60" s="30">
        <f>(T60-U59)*24*60</f>
        <v>14.999999999998987</v>
      </c>
      <c r="W60" s="248">
        <f t="shared" si="5"/>
        <v>45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-65.333333333333485</v>
      </c>
      <c r="AG60" s="249">
        <f>N60/K60</f>
        <v>0.9600651996740015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659</v>
      </c>
      <c r="H61" s="254">
        <f>F61*G61</f>
        <v>18623.34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7</v>
      </c>
      <c r="N61" s="107">
        <f>G61/W61*60</f>
        <v>878.66666666666663</v>
      </c>
      <c r="O61" s="238">
        <f>N61/M61</f>
        <v>125.52380952380952</v>
      </c>
      <c r="P61" s="111">
        <f>M61-J61</f>
        <v>-4</v>
      </c>
      <c r="Q61" s="255">
        <f>O61-L61</f>
        <v>-23.203463203463201</v>
      </c>
      <c r="R61" s="85">
        <f>O61/L61</f>
        <v>0.84398649435324258</v>
      </c>
      <c r="S61" s="393"/>
      <c r="T61" s="22">
        <v>0.4375</v>
      </c>
      <c r="U61" s="22">
        <v>0.46875</v>
      </c>
      <c r="V61" s="30">
        <f>(T61-U60)*24*60</f>
        <v>15.000000000000506</v>
      </c>
      <c r="W61" s="256">
        <f t="shared" si="5"/>
        <v>45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-757.33333333333337</v>
      </c>
      <c r="AG61" s="247">
        <f>N61/K61</f>
        <v>0.53708231458842703</v>
      </c>
      <c r="AH61" s="382"/>
    </row>
    <row r="62" spans="1:34" ht="15" customHeight="1">
      <c r="A62" s="400"/>
      <c r="B62" s="250" t="s">
        <v>132</v>
      </c>
      <c r="C62" s="251"/>
      <c r="D62" s="257" t="s">
        <v>136</v>
      </c>
      <c r="E62" s="253"/>
      <c r="F62" s="250">
        <f>VLOOKUP(D62,廠價表!$C$1:$E$43,3,0)</f>
        <v>28.26</v>
      </c>
      <c r="G62" s="38">
        <v>2372</v>
      </c>
      <c r="H62" s="254">
        <f>F62*G62</f>
        <v>67032.72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10</v>
      </c>
      <c r="N62" s="80">
        <f>G62/W62*60</f>
        <v>1423.1999999999891</v>
      </c>
      <c r="O62" s="81">
        <f>N62/M62</f>
        <v>142.31999999999891</v>
      </c>
      <c r="P62" s="74">
        <f>M62-J62</f>
        <v>-1</v>
      </c>
      <c r="Q62" s="83">
        <f>O62-L62</f>
        <v>-6.4072727272738064</v>
      </c>
      <c r="R62" s="72">
        <f>O62/L62</f>
        <v>0.95691931540341568</v>
      </c>
      <c r="S62" s="393"/>
      <c r="T62" s="22">
        <v>0.52083333333333304</v>
      </c>
      <c r="U62" s="22">
        <v>0.59027777777777801</v>
      </c>
      <c r="V62" s="30">
        <f>(T62-U61)*24*60</f>
        <v>74.999999999999574</v>
      </c>
      <c r="W62" s="248">
        <f t="shared" si="5"/>
        <v>100.00000000000077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-212.80000000001087</v>
      </c>
      <c r="AG62" s="247">
        <f>N62/K62</f>
        <v>0.86992665036674155</v>
      </c>
      <c r="AH62" s="382"/>
    </row>
    <row r="63" spans="1:34" ht="15" customHeight="1">
      <c r="A63" s="400"/>
      <c r="B63" s="75"/>
      <c r="C63" s="102"/>
      <c r="D63" s="198"/>
      <c r="E63" s="104"/>
      <c r="F63" s="75"/>
      <c r="G63" s="202"/>
      <c r="H63" s="91"/>
      <c r="I63" s="200"/>
      <c r="J63" s="148"/>
      <c r="K63" s="95"/>
      <c r="L63" s="96"/>
      <c r="M63" s="201"/>
      <c r="N63" s="202"/>
      <c r="O63" s="203"/>
      <c r="P63" s="97"/>
      <c r="Q63" s="98"/>
      <c r="R63" s="99"/>
      <c r="S63" s="393"/>
      <c r="T63" s="22"/>
      <c r="U63" s="22"/>
      <c r="V63" s="30"/>
      <c r="W63" s="248">
        <f t="shared" si="5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5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5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5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5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5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3">AVERAGE(J59:J68)</f>
        <v>12</v>
      </c>
      <c r="K69" s="240">
        <f t="shared" si="23"/>
        <v>1636</v>
      </c>
      <c r="L69" s="268">
        <f t="shared" si="23"/>
        <v>138.81212121212121</v>
      </c>
      <c r="M69" s="240">
        <f t="shared" si="23"/>
        <v>10.75</v>
      </c>
      <c r="N69" s="240">
        <f t="shared" si="23"/>
        <v>1343.1333333333305</v>
      </c>
      <c r="O69" s="268">
        <f t="shared" si="23"/>
        <v>127.6579220779218</v>
      </c>
      <c r="P69" s="269">
        <f>M69-J69</f>
        <v>-1.25</v>
      </c>
      <c r="Q69" s="222">
        <f>N69-K69</f>
        <v>-292.86666666666952</v>
      </c>
      <c r="R69" s="123">
        <f>O69/L69</f>
        <v>0.91964535202833986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-292.86666666666952</v>
      </c>
      <c r="AG69" s="124">
        <f>N69/K69</f>
        <v>0.82098614506927292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4779</v>
      </c>
      <c r="H70" s="243">
        <f>F70*G70</f>
        <v>209750.31</v>
      </c>
      <c r="I70" s="55"/>
      <c r="J70" s="136">
        <v>11</v>
      </c>
      <c r="K70" s="137">
        <f>VLOOKUP(D70,產線配置圖!$A$3:$C$40,3,0)</f>
        <v>1565</v>
      </c>
      <c r="L70" s="138">
        <f>K70/J70</f>
        <v>142.27272727272728</v>
      </c>
      <c r="M70" s="244">
        <v>8</v>
      </c>
      <c r="N70" s="137">
        <f>G70/W70*60</f>
        <v>1102.8461538461572</v>
      </c>
      <c r="O70" s="138">
        <f>N70/M70</f>
        <v>137.85576923076965</v>
      </c>
      <c r="P70" s="56">
        <f>M70-J70</f>
        <v>-3</v>
      </c>
      <c r="Q70" s="230">
        <f>O70-L70</f>
        <v>-4.4169580419576278</v>
      </c>
      <c r="R70" s="52">
        <f>O70/L70</f>
        <v>0.96895428852298149</v>
      </c>
      <c r="S70" s="392">
        <f>R79</f>
        <v>0.91187549563838166</v>
      </c>
      <c r="T70" s="245">
        <v>0.29166666666666702</v>
      </c>
      <c r="U70" s="245">
        <v>0.47222222222222199</v>
      </c>
      <c r="V70" s="55"/>
      <c r="W70" s="54">
        <f t="shared" si="5"/>
        <v>259.9999999999992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-462.15384615384278</v>
      </c>
      <c r="AG70" s="246">
        <f>N70/K70</f>
        <v>0.70469402801671388</v>
      </c>
      <c r="AH70" s="380">
        <f>AG79</f>
        <v>0.66318217864609574</v>
      </c>
    </row>
    <row r="71" spans="1:36" ht="15" customHeight="1">
      <c r="A71" s="390"/>
      <c r="B71" s="75" t="s">
        <v>132</v>
      </c>
      <c r="C71" s="76"/>
      <c r="D71" s="59" t="s">
        <v>136</v>
      </c>
      <c r="E71" s="77"/>
      <c r="F71" s="250">
        <f>VLOOKUP(D71,廠價表!$C$1:$E$43,3,0)</f>
        <v>28.26</v>
      </c>
      <c r="G71" s="30">
        <v>986</v>
      </c>
      <c r="H71" s="254">
        <f>F71*G71</f>
        <v>27864.36</v>
      </c>
      <c r="I71" s="182"/>
      <c r="J71" s="106">
        <f>VLOOKUP(D71,產線配置圖!$A$3:$C$40,2,0)</f>
        <v>11</v>
      </c>
      <c r="K71" s="107">
        <f>VLOOKUP(D71,產線配置圖!$A$3:$C$40,3,0)</f>
        <v>1636</v>
      </c>
      <c r="L71" s="238">
        <f>K71/J71</f>
        <v>148.72727272727272</v>
      </c>
      <c r="M71" s="82">
        <v>8</v>
      </c>
      <c r="N71" s="80">
        <f>G71/W71*60</f>
        <v>1019.9999999999953</v>
      </c>
      <c r="O71" s="81">
        <f>N71/M71</f>
        <v>127.49999999999942</v>
      </c>
      <c r="P71" s="74">
        <f>M71-J71</f>
        <v>-3</v>
      </c>
      <c r="Q71" s="83">
        <f>O71-L71</f>
        <v>-21.227272727273302</v>
      </c>
      <c r="R71" s="72">
        <f>O71/L71</f>
        <v>0.85727383863080298</v>
      </c>
      <c r="S71" s="393"/>
      <c r="T71" s="22">
        <v>0.52777777777777801</v>
      </c>
      <c r="U71" s="22">
        <v>0.56805555555555598</v>
      </c>
      <c r="V71" s="30">
        <f>(T71-U70)*24*60</f>
        <v>80.000000000000682</v>
      </c>
      <c r="W71" s="73">
        <f t="shared" si="5"/>
        <v>58.00000000000027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5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5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5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5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5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5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5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24">AVERAGE(J70:J78)</f>
        <v>11</v>
      </c>
      <c r="K79" s="240">
        <f t="shared" si="24"/>
        <v>1600.5</v>
      </c>
      <c r="L79" s="268">
        <f t="shared" si="24"/>
        <v>145.5</v>
      </c>
      <c r="M79" s="240">
        <f t="shared" si="24"/>
        <v>8</v>
      </c>
      <c r="N79" s="240">
        <f t="shared" si="24"/>
        <v>1061.4230769230762</v>
      </c>
      <c r="O79" s="268">
        <f t="shared" si="24"/>
        <v>132.67788461538453</v>
      </c>
      <c r="P79" s="269">
        <f>M79-J79</f>
        <v>-3</v>
      </c>
      <c r="Q79" s="222">
        <f>N79-K79</f>
        <v>-539.07692307692378</v>
      </c>
      <c r="R79" s="223">
        <f>O79/L79</f>
        <v>0.91187549563838166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-539.07692307692378</v>
      </c>
      <c r="AG79" s="124">
        <f>N79/K79</f>
        <v>0.66318217864609574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6:AC36"/>
    <mergeCell ref="AB35:AC35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138" priority="2" operator="greaterThan">
      <formula>0</formula>
    </cfRule>
  </conditionalFormatting>
  <conditionalFormatting sqref="Q5:Q79 AF5:AF79">
    <cfRule type="cellIs" dxfId="137" priority="5" operator="lessThan">
      <formula>0</formula>
    </cfRule>
  </conditionalFormatting>
  <conditionalFormatting sqref="R5:R79 AG5:AG79">
    <cfRule type="cellIs" dxfId="136" priority="3" operator="greaterThan">
      <formula>1</formula>
    </cfRule>
    <cfRule type="cellIs" dxfId="135" priority="4" operator="lessThan">
      <formula>0.8</formula>
    </cfRule>
  </conditionalFormatting>
  <conditionalFormatting sqref="S5:S10 S37:S62 AH59:AH62 S69:S76 AH69:AH76">
    <cfRule type="cellIs" dxfId="134" priority="8" operator="lessThan">
      <formula>0.8</formula>
    </cfRule>
  </conditionalFormatting>
  <conditionalFormatting sqref="S19:S25 AH19:AH25">
    <cfRule type="cellIs" dxfId="133" priority="7" operator="lessThan">
      <formula>0.8</formula>
    </cfRule>
  </conditionalFormatting>
  <conditionalFormatting sqref="S33:S35 AH33:AH35">
    <cfRule type="cellIs" dxfId="132" priority="1" operator="lessThan">
      <formula>0.8</formula>
    </cfRule>
  </conditionalFormatting>
  <conditionalFormatting sqref="S79">
    <cfRule type="cellIs" dxfId="131" priority="6" operator="lessThan">
      <formula>0.8</formula>
    </cfRule>
  </conditionalFormatting>
  <conditionalFormatting sqref="AH5:AH8 S15:S16 AH15:AH16 AH49 AH79">
    <cfRule type="cellIs" dxfId="130" priority="10" operator="lessThan">
      <formula>0.8</formula>
    </cfRule>
  </conditionalFormatting>
  <conditionalFormatting sqref="AH27 S27:S28">
    <cfRule type="cellIs" dxfId="129" priority="9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7BFA6-4865-4ED5-8927-F6090D827B25}">
  <dimension ref="B1:O26"/>
  <sheetViews>
    <sheetView topLeftCell="B1" zoomScale="70" zoomScaleNormal="70" workbookViewId="0">
      <selection activeCell="F9" sqref="F9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46283</v>
      </c>
      <c r="E3" s="504"/>
      <c r="F3" s="3" t="s">
        <v>72</v>
      </c>
      <c r="G3" s="505">
        <f>'0918'!E1</f>
        <v>41117</v>
      </c>
      <c r="H3" s="505"/>
      <c r="I3" s="3" t="s">
        <v>2</v>
      </c>
      <c r="J3" s="506">
        <f>'0918'!G1</f>
        <v>1901111.1859999998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AVERAGE(D13:I13)</f>
        <v>131.05464924509042</v>
      </c>
      <c r="G6" s="501"/>
      <c r="H6" s="502">
        <f>AVERAGE(D13:H13)</f>
        <v>129.50315485168426</v>
      </c>
      <c r="I6" s="502"/>
      <c r="J6" s="502">
        <f>AVERAGE(I13:I13)</f>
        <v>138.81212121212121</v>
      </c>
      <c r="K6" s="502"/>
      <c r="L6" s="492">
        <f>'0918'!Z2</f>
        <v>0</v>
      </c>
      <c r="M6" s="493">
        <f>'0918'!AA2</f>
        <v>0</v>
      </c>
      <c r="N6" s="494">
        <f>'0918'!AD2</f>
        <v>0</v>
      </c>
      <c r="O6" s="493">
        <f>'0918'!AE2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AVERAGE(D14:I14)</f>
        <v>119.0629037564939</v>
      </c>
      <c r="G7" s="490"/>
      <c r="H7" s="491">
        <f>AVERAGE(D14:H14)</f>
        <v>118.77634615169231</v>
      </c>
      <c r="I7" s="491"/>
      <c r="J7" s="491">
        <f>AVERAGE(I14:I14)</f>
        <v>120.49569178050177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AVERAGE(D15:I15)</f>
        <v>0.9068637882479812</v>
      </c>
      <c r="G8" s="496"/>
      <c r="H8" s="496">
        <f>AVERAGE(D15:H15)</f>
        <v>0.91462679088724919</v>
      </c>
      <c r="I8" s="496"/>
      <c r="J8" s="496">
        <f>AVERAGE(I15:I15)</f>
        <v>0.86804877505164135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VALUE('0918'!L15)</f>
        <v>164.83516483516482</v>
      </c>
      <c r="E13" s="13">
        <f>VALUE('0918'!L26)</f>
        <v>174.10714285714286</v>
      </c>
      <c r="F13" s="13">
        <f>VALUE('0918'!L37)</f>
        <v>95.065767973856197</v>
      </c>
      <c r="G13" s="13">
        <f>VALUE('0918'!L48)</f>
        <v>99.006944444444443</v>
      </c>
      <c r="H13" s="13">
        <f>VALUE('0918'!L58)</f>
        <v>114.50075414781297</v>
      </c>
      <c r="I13" s="13">
        <f>VALUE('0918'!L69)</f>
        <v>138.81212121212121</v>
      </c>
      <c r="J13" s="13">
        <f>'0918'!L79</f>
        <v>0</v>
      </c>
    </row>
    <row r="14" spans="2:15" ht="39.950000000000003" customHeight="1">
      <c r="B14" s="484"/>
      <c r="C14" s="12" t="s">
        <v>100</v>
      </c>
      <c r="D14" s="13">
        <f>VALUE('0918'!O15)</f>
        <v>149.95894945782024</v>
      </c>
      <c r="E14" s="13">
        <f>VALUE('0918'!O26)</f>
        <v>166.57422646477889</v>
      </c>
      <c r="F14" s="13">
        <f>VALUE('0918'!O37)</f>
        <v>87.240866391603817</v>
      </c>
      <c r="G14" s="13">
        <f>VALUE('0918'!O48)</f>
        <v>94.122991806210649</v>
      </c>
      <c r="H14" s="13">
        <f>VALUE('0918'!O58)</f>
        <v>95.984696638048021</v>
      </c>
      <c r="I14" s="13">
        <f>VALUE('0918'!O69)</f>
        <v>120.49569178050177</v>
      </c>
      <c r="J14" s="13">
        <f>'0918'!O79</f>
        <v>0</v>
      </c>
    </row>
    <row r="15" spans="2:15" ht="39.950000000000003" customHeight="1">
      <c r="B15" s="485"/>
      <c r="C15" s="10" t="s">
        <v>26</v>
      </c>
      <c r="D15" s="14">
        <f t="shared" ref="D15:I15" si="0">D14/D13</f>
        <v>0.90975096004410949</v>
      </c>
      <c r="E15" s="14">
        <f t="shared" si="0"/>
        <v>0.95673401866949925</v>
      </c>
      <c r="F15" s="14">
        <f t="shared" si="0"/>
        <v>0.91768959795912775</v>
      </c>
      <c r="G15" s="14">
        <f t="shared" si="0"/>
        <v>0.95067060532330316</v>
      </c>
      <c r="H15" s="14">
        <f t="shared" si="0"/>
        <v>0.8382887724402065</v>
      </c>
      <c r="I15" s="14">
        <f t="shared" si="0"/>
        <v>0.86804877505164135</v>
      </c>
      <c r="J15" s="15">
        <f>'0918'!S70</f>
        <v>0</v>
      </c>
    </row>
    <row r="16" spans="2:15" ht="17.25" customHeight="1">
      <c r="B16" s="486" t="s">
        <v>101</v>
      </c>
      <c r="C16" s="10" t="s">
        <v>34</v>
      </c>
      <c r="D16" s="16">
        <f>'0918'!T5</f>
        <v>0.29930555555555599</v>
      </c>
      <c r="E16" s="16">
        <f>'0918'!T16</f>
        <v>0.29861111111111099</v>
      </c>
      <c r="F16" s="16">
        <f>'0918'!T27</f>
        <v>0.29166666666666702</v>
      </c>
      <c r="G16" s="16">
        <f>'0918'!T38</f>
        <v>0.33333333333333298</v>
      </c>
      <c r="H16" s="16">
        <f>'0918'!T49</f>
        <v>0.29166666666666702</v>
      </c>
      <c r="I16" s="16">
        <f>'0918'!T59</f>
        <v>0.295833333333333</v>
      </c>
      <c r="J16" s="17">
        <f>'0918'!T70</f>
        <v>0</v>
      </c>
    </row>
    <row r="17" spans="2:10" ht="17.25" customHeight="1">
      <c r="B17" s="487"/>
      <c r="C17" s="10" t="s">
        <v>35</v>
      </c>
      <c r="D17" s="327">
        <v>0.46527777777777801</v>
      </c>
      <c r="E17" s="19">
        <v>0.46388888888888902</v>
      </c>
      <c r="F17" s="19">
        <v>0.46458333333333302</v>
      </c>
      <c r="G17" s="328">
        <v>0.48263888888888901</v>
      </c>
      <c r="H17" s="20">
        <v>0.48263888888888901</v>
      </c>
      <c r="I17" s="110">
        <v>0.60555555555555596</v>
      </c>
      <c r="J17" s="22">
        <v>0</v>
      </c>
    </row>
    <row r="18" spans="2:10" ht="17.25" customHeight="1">
      <c r="B18" s="488" t="s">
        <v>102</v>
      </c>
      <c r="C18" s="330" t="s">
        <v>36</v>
      </c>
      <c r="D18" s="359">
        <f>'0918'!Z15</f>
        <v>0</v>
      </c>
      <c r="E18" s="360">
        <f>'0918'!Z26</f>
        <v>0</v>
      </c>
      <c r="F18" s="360">
        <f>'0918'!Z37</f>
        <v>0</v>
      </c>
      <c r="G18" s="361">
        <f>'0918'!Z48</f>
        <v>0</v>
      </c>
      <c r="H18" s="361">
        <f>'0918'!Z58</f>
        <v>0</v>
      </c>
      <c r="I18" s="360">
        <f>'0918'!Z69</f>
        <v>0</v>
      </c>
      <c r="J18" s="360">
        <f>'0918'!AA79</f>
        <v>0</v>
      </c>
    </row>
    <row r="19" spans="2:10" ht="17.25" customHeight="1">
      <c r="B19" s="489"/>
      <c r="C19" s="330" t="s">
        <v>37</v>
      </c>
      <c r="D19" s="359">
        <f>'0918'!AA15</f>
        <v>0</v>
      </c>
      <c r="E19" s="360">
        <f>'0918'!AA26</f>
        <v>0</v>
      </c>
      <c r="F19" s="360">
        <f>'0918'!AA37</f>
        <v>0</v>
      </c>
      <c r="G19" s="361">
        <f>'0918'!AA48</f>
        <v>0</v>
      </c>
      <c r="H19" s="361">
        <f>'0918'!AA58</f>
        <v>0</v>
      </c>
      <c r="I19" s="360">
        <f>'0918'!AA69</f>
        <v>0</v>
      </c>
      <c r="J19" s="360">
        <f>'0918'!AB79</f>
        <v>0</v>
      </c>
    </row>
    <row r="20" spans="2:10" ht="17.25" customHeight="1">
      <c r="B20" s="488" t="s">
        <v>103</v>
      </c>
      <c r="C20" s="330" t="s">
        <v>36</v>
      </c>
      <c r="D20" s="359">
        <f>'0918'!AD15</f>
        <v>0</v>
      </c>
      <c r="E20" s="360">
        <f>'0918'!AD26</f>
        <v>0</v>
      </c>
      <c r="F20" s="360">
        <f>'0918'!AD37</f>
        <v>0</v>
      </c>
      <c r="G20" s="361">
        <f>'0918'!AD48</f>
        <v>0</v>
      </c>
      <c r="H20" s="361">
        <f>'0918'!AD58</f>
        <v>0</v>
      </c>
      <c r="I20" s="360">
        <f>'0918'!AD69</f>
        <v>0</v>
      </c>
      <c r="J20" s="360">
        <f>'0918'!AD79</f>
        <v>0</v>
      </c>
    </row>
    <row r="21" spans="2:10" ht="17.25" customHeight="1">
      <c r="B21" s="489"/>
      <c r="C21" s="330" t="s">
        <v>85</v>
      </c>
      <c r="D21" s="359">
        <f>'0918'!AE15</f>
        <v>0</v>
      </c>
      <c r="E21" s="360">
        <f>'0918'!AE26</f>
        <v>0</v>
      </c>
      <c r="F21" s="360">
        <f>'0918'!AE37</f>
        <v>0</v>
      </c>
      <c r="G21" s="361">
        <f>'0918'!AE48</f>
        <v>0</v>
      </c>
      <c r="H21" s="361">
        <f>'0918'!AE58</f>
        <v>0</v>
      </c>
      <c r="I21" s="360">
        <f>'0918'!AE69</f>
        <v>0</v>
      </c>
      <c r="J21" s="360">
        <f>'0918'!AE79</f>
        <v>0</v>
      </c>
    </row>
    <row r="22" spans="2:10" ht="17.25" customHeight="1">
      <c r="B22" s="471" t="s">
        <v>104</v>
      </c>
      <c r="C22" s="472"/>
      <c r="D22" s="23">
        <f>VALUE('0918'!M15)</f>
        <v>13.666666666666666</v>
      </c>
      <c r="E22" s="23">
        <f>VALUE('0918'!M26)</f>
        <v>13</v>
      </c>
      <c r="F22" s="23">
        <f>VALUE('0918'!M37)</f>
        <v>17.25</v>
      </c>
      <c r="G22" s="23">
        <f>VALUE('0918'!M48)</f>
        <v>17</v>
      </c>
      <c r="H22" s="23">
        <f>VALUE('0918'!M58)</f>
        <v>15.333333333333334</v>
      </c>
      <c r="I22" s="23">
        <f>VALUE('0918'!M69)</f>
        <v>12</v>
      </c>
      <c r="J22" s="23">
        <f>'0918'!M79</f>
        <v>0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12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B339F-F7F7-4D0E-9DFF-479FA94C3EFC}">
  <sheetPr>
    <tabColor theme="9" tint="0.79998168889431442"/>
  </sheetPr>
  <dimension ref="A1:AJ92"/>
  <sheetViews>
    <sheetView zoomScale="69" zoomScaleNormal="69" workbookViewId="0">
      <pane xSplit="5" ySplit="4" topLeftCell="F26" activePane="bottomRight" state="frozen"/>
      <selection activeCell="G76" sqref="G76"/>
      <selection pane="topRight" activeCell="G76" sqref="G76"/>
      <selection pane="bottomLeft" activeCell="G76" sqref="G76"/>
      <selection pane="bottomRight" activeCell="P40" sqref="P40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41117</v>
      </c>
      <c r="F1" s="30" t="s">
        <v>2</v>
      </c>
      <c r="G1" s="31">
        <f>SUM(H5:H79)</f>
        <v>1901111.1859999998</v>
      </c>
      <c r="H1" s="32" t="s">
        <v>3</v>
      </c>
      <c r="I1" s="33">
        <f>M15+M26+M48+M58+M69+M79+M37</f>
        <v>88.25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186</v>
      </c>
      <c r="B2" s="462"/>
      <c r="C2" s="28"/>
      <c r="D2" s="28" t="s">
        <v>14</v>
      </c>
      <c r="E2" s="35">
        <f>AVERAGE(O15,O26,O37,O48,O58,O69,O79)</f>
        <v>119.0629037564939</v>
      </c>
      <c r="F2" s="36" t="s">
        <v>15</v>
      </c>
      <c r="G2" s="37">
        <f>G1/E1</f>
        <v>46.236621981175666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0</v>
      </c>
      <c r="AA2" s="339">
        <f>AA15+AA26+AA37+AA48+AA58+AA69+AA79</f>
        <v>0</v>
      </c>
      <c r="AB2" s="433"/>
      <c r="AC2" s="433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2192</v>
      </c>
      <c r="H5" s="43">
        <f>F5*G5</f>
        <v>124659.04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2156.0655737704965</v>
      </c>
      <c r="O5" s="47">
        <f>N5/M5</f>
        <v>154.00468384074975</v>
      </c>
      <c r="P5" s="49">
        <f>M5-J5</f>
        <v>0</v>
      </c>
      <c r="Q5" s="50">
        <f>O5-L5</f>
        <v>-6.7096018735359735</v>
      </c>
      <c r="R5" s="51">
        <f>O5/L5</f>
        <v>0.95825136612022066</v>
      </c>
      <c r="S5" s="392">
        <f>R15</f>
        <v>0.90975096004410949</v>
      </c>
      <c r="T5" s="319">
        <v>0.29930555555555599</v>
      </c>
      <c r="U5" s="320">
        <v>0.34166666666666701</v>
      </c>
      <c r="V5" s="53"/>
      <c r="W5" s="54">
        <f t="shared" ref="W5:W14" si="0">(U5-T5)*24*60</f>
        <v>60.999999999999865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-93.934426229503515</v>
      </c>
      <c r="AG5" s="52">
        <f t="shared" ref="AG5:AG11" si="2">N5/K5</f>
        <v>0.95825136612022066</v>
      </c>
      <c r="AH5" s="380">
        <f>AG15</f>
        <v>0.91115849381813474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1122</v>
      </c>
      <c r="H6" s="63">
        <f>F6*G6</f>
        <v>65266.740000000005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1923.4285714285343</v>
      </c>
      <c r="O6" s="67">
        <f>N6/M6</f>
        <v>147.9560439560411</v>
      </c>
      <c r="P6" s="69">
        <f>M6-J6</f>
        <v>0</v>
      </c>
      <c r="Q6" s="70">
        <f>O6-L6</f>
        <v>-25.120879120881966</v>
      </c>
      <c r="R6" s="71">
        <f>O6/L6</f>
        <v>0.85485714285712644</v>
      </c>
      <c r="S6" s="393"/>
      <c r="T6" s="16">
        <v>0.34861111111111098</v>
      </c>
      <c r="U6" s="16">
        <v>0.37291666666666701</v>
      </c>
      <c r="V6" s="30">
        <f>(T6-U5)*24*60</f>
        <v>9.999999999999325</v>
      </c>
      <c r="W6" s="73">
        <f t="shared" si="0"/>
        <v>35.000000000000675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-326.57142857146573</v>
      </c>
      <c r="AG6" s="72">
        <f t="shared" si="2"/>
        <v>0.85485714285712633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3762</v>
      </c>
      <c r="H7" s="78">
        <f>F7*G7</f>
        <v>184864.68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2070.8256880733788</v>
      </c>
      <c r="O7" s="81">
        <f>N7/M7</f>
        <v>147.91612057666993</v>
      </c>
      <c r="P7" s="74">
        <f>M7-J7</f>
        <v>0</v>
      </c>
      <c r="Q7" s="83">
        <f>O7-L7</f>
        <v>-12.798165137615797</v>
      </c>
      <c r="R7" s="72">
        <f>O7/L7</f>
        <v>0.92036697247705723</v>
      </c>
      <c r="S7" s="393"/>
      <c r="T7" s="18">
        <v>0.389583333333333</v>
      </c>
      <c r="U7" s="18">
        <v>0.46527777777777801</v>
      </c>
      <c r="V7" s="30">
        <f>(T7-U6)*24*60</f>
        <v>23.999999999999034</v>
      </c>
      <c r="W7" s="73">
        <f t="shared" si="0"/>
        <v>109.00000000000081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-179.17431192662116</v>
      </c>
      <c r="AG7" s="72">
        <f t="shared" si="2"/>
        <v>0.92036697247705723</v>
      </c>
      <c r="AH7" s="382"/>
    </row>
    <row r="8" spans="1:34" ht="15" customHeight="1">
      <c r="A8" s="466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93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0</v>
      </c>
      <c r="AG8" s="72" t="e">
        <f t="shared" si="2"/>
        <v>#DIV/0!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13.666666666666666</v>
      </c>
      <c r="K15" s="120">
        <f t="shared" si="3"/>
        <v>2250</v>
      </c>
      <c r="L15" s="117">
        <f t="shared" si="3"/>
        <v>164.83516483516482</v>
      </c>
      <c r="M15" s="120">
        <f t="shared" si="3"/>
        <v>13.666666666666666</v>
      </c>
      <c r="N15" s="120">
        <f t="shared" si="3"/>
        <v>2050.1066110908032</v>
      </c>
      <c r="O15" s="117">
        <f t="shared" si="3"/>
        <v>149.95894945782024</v>
      </c>
      <c r="P15" s="121">
        <f>M15-J15</f>
        <v>0</v>
      </c>
      <c r="Q15" s="122">
        <f>O15-L15</f>
        <v>-14.876215377344579</v>
      </c>
      <c r="R15" s="123">
        <f>O15/L15</f>
        <v>0.90975096004410949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-199.8933889091968</v>
      </c>
      <c r="AG15" s="124">
        <f>N15/K15</f>
        <v>0.91115849381813474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4468</v>
      </c>
      <c r="H16" s="134">
        <f>F16*G16</f>
        <v>226393.56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2161.9354838709696</v>
      </c>
      <c r="O16" s="141">
        <f>N16/M16</f>
        <v>154.42396313364068</v>
      </c>
      <c r="P16" s="142">
        <f>M16-J16</f>
        <v>0</v>
      </c>
      <c r="Q16" s="143">
        <f>O16-L16</f>
        <v>-6.2903225806450394</v>
      </c>
      <c r="R16" s="144">
        <f>O16/L16</f>
        <v>0.96086021505376418</v>
      </c>
      <c r="S16" s="420">
        <f>R26</f>
        <v>0.95673401866949925</v>
      </c>
      <c r="T16" s="145">
        <v>0.29861111111111099</v>
      </c>
      <c r="U16" s="145">
        <v>0.38472222222222202</v>
      </c>
      <c r="V16" s="135"/>
      <c r="W16" s="146">
        <f t="shared" ref="W16:W78" si="4">(U16-T16)*24*60</f>
        <v>123.99999999999989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-88.06451612903038</v>
      </c>
      <c r="AG16" s="52">
        <f>N16/K16</f>
        <v>0.96086021505376429</v>
      </c>
      <c r="AH16" s="380">
        <f>AG26</f>
        <v>0.95702874698266105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3503</v>
      </c>
      <c r="H17" s="78">
        <f>F17*G17</f>
        <v>176516.17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2144.6938775510052</v>
      </c>
      <c r="O17" s="96">
        <f>N17/M17</f>
        <v>178.72448979591709</v>
      </c>
      <c r="P17" s="97">
        <f>M17-J17</f>
        <v>0</v>
      </c>
      <c r="Q17" s="98">
        <f>O17-L17</f>
        <v>-8.7755102040829058</v>
      </c>
      <c r="R17" s="99">
        <f>O17/L17</f>
        <v>0.95319727891155781</v>
      </c>
      <c r="S17" s="421"/>
      <c r="T17" s="19">
        <v>0.39583333333333298</v>
      </c>
      <c r="U17" s="19">
        <v>0.46388888888888902</v>
      </c>
      <c r="V17" s="30">
        <f>(T17-U16)*24*60</f>
        <v>15.999999999999783</v>
      </c>
      <c r="W17" s="149">
        <f t="shared" si="4"/>
        <v>98.000000000000696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-105.30612244899476</v>
      </c>
      <c r="AG17" s="72">
        <f>N17/K17</f>
        <v>0.95319727891155792</v>
      </c>
      <c r="AH17" s="382"/>
    </row>
    <row r="18" spans="1:34" ht="15" customHeight="1">
      <c r="A18" s="427"/>
      <c r="B18" s="75"/>
      <c r="C18" s="88"/>
      <c r="D18" s="59"/>
      <c r="E18" s="89"/>
      <c r="F18" s="75"/>
      <c r="G18" s="90"/>
      <c r="H18" s="91"/>
      <c r="I18" s="92"/>
      <c r="J18" s="79"/>
      <c r="K18" s="80"/>
      <c r="L18" s="93"/>
      <c r="M18" s="94"/>
      <c r="N18" s="95"/>
      <c r="O18" s="96"/>
      <c r="P18" s="97"/>
      <c r="Q18" s="98"/>
      <c r="R18" s="99"/>
      <c r="S18" s="421"/>
      <c r="T18" s="19"/>
      <c r="U18" s="19"/>
      <c r="V18" s="30"/>
      <c r="W18" s="149">
        <f t="shared" si="4"/>
        <v>0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0</v>
      </c>
      <c r="AG18" s="72" t="e">
        <f>N18/K18</f>
        <v>#DIV/0!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174.10714285714286</v>
      </c>
      <c r="M26" s="155">
        <f t="shared" si="5"/>
        <v>13</v>
      </c>
      <c r="N26" s="155">
        <f t="shared" si="5"/>
        <v>2153.3146807109874</v>
      </c>
      <c r="O26" s="158">
        <f t="shared" si="5"/>
        <v>166.57422646477889</v>
      </c>
      <c r="P26" s="159">
        <f>M26-J26</f>
        <v>0</v>
      </c>
      <c r="Q26" s="160">
        <f>O26-L26</f>
        <v>-7.5329163923639726</v>
      </c>
      <c r="R26" s="161">
        <f>O26/L26</f>
        <v>0.95673401866949925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-96.685319289012568</v>
      </c>
      <c r="AG26" s="124">
        <f t="shared" ref="AG26:AG31" si="7">N26/K26</f>
        <v>0.95702874698266105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57.21</v>
      </c>
      <c r="G27" s="169">
        <v>701</v>
      </c>
      <c r="H27" s="134">
        <f>F27*G27</f>
        <v>40104.21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18</v>
      </c>
      <c r="N27" s="140">
        <f>G27/W27*60</f>
        <v>1502.1428571428926</v>
      </c>
      <c r="O27" s="141">
        <f>N27/M27</f>
        <v>83.452380952382924</v>
      </c>
      <c r="P27" s="142">
        <f>M27-J27</f>
        <v>0</v>
      </c>
      <c r="Q27" s="143">
        <f>O27-L27</f>
        <v>-7.4365079365059614</v>
      </c>
      <c r="R27" s="144">
        <f>O27/L27</f>
        <v>0.91818023052744047</v>
      </c>
      <c r="S27" s="420">
        <f>R37</f>
        <v>0.91768959795912775</v>
      </c>
      <c r="T27" s="171">
        <v>0.29166666666666702</v>
      </c>
      <c r="U27" s="171">
        <v>0.31111111111111101</v>
      </c>
      <c r="V27" s="135"/>
      <c r="W27" s="146">
        <f t="shared" si="4"/>
        <v>27.999999999999339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6"/>
        <v>-133.85714285710742</v>
      </c>
      <c r="AG27" s="172">
        <f t="shared" si="7"/>
        <v>0.91818023052744047</v>
      </c>
      <c r="AH27" s="380">
        <f>AG37</f>
        <v>0.91855023028619409</v>
      </c>
    </row>
    <row r="28" spans="1:34" ht="15" customHeight="1">
      <c r="A28" s="418"/>
      <c r="B28" s="75" t="s">
        <v>81</v>
      </c>
      <c r="C28" s="173"/>
      <c r="D28" s="59" t="s">
        <v>124</v>
      </c>
      <c r="E28" s="104"/>
      <c r="F28" s="75">
        <f>VLOOKUP(D28,廠價表!$C$1:$E$43,3,0)</f>
        <v>46.34</v>
      </c>
      <c r="G28" s="90">
        <v>659</v>
      </c>
      <c r="H28" s="91">
        <f>F28*G28</f>
        <v>30538.06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16</v>
      </c>
      <c r="N28" s="95">
        <f>G28/W28*60</f>
        <v>1464.4444444444453</v>
      </c>
      <c r="O28" s="96">
        <f>N28/M28</f>
        <v>91.527777777777828</v>
      </c>
      <c r="P28" s="97">
        <f>M28-J28</f>
        <v>0</v>
      </c>
      <c r="Q28" s="98">
        <f>O28-L28</f>
        <v>-10.722222222222172</v>
      </c>
      <c r="R28" s="99">
        <f>O28/L28</f>
        <v>0.89513719098071221</v>
      </c>
      <c r="S28" s="421"/>
      <c r="T28" s="19">
        <v>0.31666666666666698</v>
      </c>
      <c r="U28" s="19">
        <v>0.33541666666666697</v>
      </c>
      <c r="V28" s="92">
        <f>(T28-U27)*24*60</f>
        <v>8.0000000000006111</v>
      </c>
      <c r="W28" s="149">
        <f t="shared" si="4"/>
        <v>26.999999999999986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6"/>
        <v>-171.55555555555475</v>
      </c>
      <c r="AG28" s="99">
        <f t="shared" si="7"/>
        <v>0.89513719098071221</v>
      </c>
      <c r="AH28" s="381"/>
    </row>
    <row r="29" spans="1:34" ht="15" customHeight="1">
      <c r="A29" s="418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371</v>
      </c>
      <c r="H29" s="91">
        <f>F29*G29</f>
        <v>16939.859999999997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1484.0000000001003</v>
      </c>
      <c r="O29" s="96">
        <f>N29/M29</f>
        <v>87.294117647064724</v>
      </c>
      <c r="P29" s="97">
        <f>M29-J29</f>
        <v>0</v>
      </c>
      <c r="Q29" s="98">
        <f>O29-L29</f>
        <v>-8.9411764705823344</v>
      </c>
      <c r="R29" s="99">
        <f>O29/L29</f>
        <v>0.90709046454773856</v>
      </c>
      <c r="S29" s="421"/>
      <c r="T29" s="19">
        <v>0.34027777777777801</v>
      </c>
      <c r="U29" s="19">
        <v>0.35069444444444398</v>
      </c>
      <c r="V29" s="92">
        <f>(T29-U28)*24*60</f>
        <v>6.9999999999998952</v>
      </c>
      <c r="W29" s="149">
        <f t="shared" si="4"/>
        <v>14.999999999998987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-151.99999999989973</v>
      </c>
      <c r="AG29" s="99">
        <f t="shared" si="7"/>
        <v>0.90709046454773856</v>
      </c>
      <c r="AH29" s="381"/>
    </row>
    <row r="30" spans="1:34" ht="15" customHeight="1">
      <c r="A30" s="418"/>
      <c r="B30" s="75" t="s">
        <v>81</v>
      </c>
      <c r="C30" s="88"/>
      <c r="D30" s="59" t="s">
        <v>161</v>
      </c>
      <c r="E30" s="89"/>
      <c r="F30" s="75">
        <f>VLOOKUP(D30,廠價表!$C$1:$E$43,3,0)</f>
        <v>52.21</v>
      </c>
      <c r="G30" s="90">
        <v>3849</v>
      </c>
      <c r="H30" s="91">
        <f>F30*G30</f>
        <v>200956.29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>K30/J30</f>
        <v>90.888888888888886</v>
      </c>
      <c r="M30" s="94">
        <v>18</v>
      </c>
      <c r="N30" s="95">
        <f>G30/W30*60</f>
        <v>1560.4054054054168</v>
      </c>
      <c r="O30" s="96">
        <f>N30/M30</f>
        <v>86.689189189189818</v>
      </c>
      <c r="P30" s="97">
        <f>M30-J30</f>
        <v>0</v>
      </c>
      <c r="Q30" s="98">
        <f>O30-L30</f>
        <v>-4.1996996996990674</v>
      </c>
      <c r="R30" s="99">
        <f>O30/L30</f>
        <v>0.95379303508888558</v>
      </c>
      <c r="S30" s="421"/>
      <c r="T30" s="19">
        <v>0.36180555555555599</v>
      </c>
      <c r="U30" s="19">
        <v>0.46458333333333302</v>
      </c>
      <c r="V30" s="92">
        <f>(T30-U29)*24*60</f>
        <v>16.0000000000013</v>
      </c>
      <c r="W30" s="149">
        <f t="shared" si="4"/>
        <v>147.99999999999892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-75.594594594583214</v>
      </c>
      <c r="AG30" s="99">
        <f t="shared" si="7"/>
        <v>0.95379303508888558</v>
      </c>
      <c r="AH30" s="416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0</v>
      </c>
      <c r="AG31" s="99" t="e">
        <f t="shared" si="7"/>
        <v>#DIV/0!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8">AVERAGE(J27:J36)</f>
        <v>17.25</v>
      </c>
      <c r="K37" s="155">
        <f t="shared" si="8"/>
        <v>1636</v>
      </c>
      <c r="L37" s="158">
        <f t="shared" si="8"/>
        <v>95.065767973856197</v>
      </c>
      <c r="M37" s="155">
        <f t="shared" si="8"/>
        <v>17.25</v>
      </c>
      <c r="N37" s="155">
        <f t="shared" si="8"/>
        <v>1502.7481767482136</v>
      </c>
      <c r="O37" s="158">
        <f t="shared" si="8"/>
        <v>87.240866391603817</v>
      </c>
      <c r="P37" s="159">
        <f>M37-J37</f>
        <v>0</v>
      </c>
      <c r="Q37" s="160">
        <f>N37-K37</f>
        <v>-133.25182325178639</v>
      </c>
      <c r="R37" s="161">
        <f>O37/L37</f>
        <v>0.91768959795912775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-133.25182325178639</v>
      </c>
      <c r="AG37" s="124">
        <f>N37/K37</f>
        <v>0.91855023028619409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1823</v>
      </c>
      <c r="H38" s="134">
        <f>F38*G38</f>
        <v>90985.93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1608.5294117646793</v>
      </c>
      <c r="O38" s="141">
        <f>N38/M38</f>
        <v>100.53308823529245</v>
      </c>
      <c r="P38" s="142">
        <f>M38-J38</f>
        <v>0</v>
      </c>
      <c r="Q38" s="143">
        <f>O38-L38</f>
        <v>-6.5919117647075467</v>
      </c>
      <c r="R38" s="144">
        <f>O38/L38</f>
        <v>0.93846523440179652</v>
      </c>
      <c r="S38" s="410">
        <f>R48</f>
        <v>0.95067060532330316</v>
      </c>
      <c r="T38" s="191">
        <v>0.33333333333333298</v>
      </c>
      <c r="U38" s="191">
        <v>0.38055555555555598</v>
      </c>
      <c r="V38" s="192"/>
      <c r="W38" s="193">
        <f t="shared" si="4"/>
        <v>68.000000000001123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-105.47058823532075</v>
      </c>
      <c r="AG38" s="195">
        <f>N38/K38</f>
        <v>0.93846523440179652</v>
      </c>
      <c r="AH38" s="413">
        <f>AG48</f>
        <v>0.95145120255313387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3605</v>
      </c>
      <c r="H39" s="91">
        <f>F39*G39</f>
        <v>159701.5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1578.8321167883196</v>
      </c>
      <c r="O39" s="203">
        <f>N39/M39</f>
        <v>87.712895377128859</v>
      </c>
      <c r="P39" s="97">
        <f>M39-J39</f>
        <v>0</v>
      </c>
      <c r="Q39" s="98">
        <f>O39-L39</f>
        <v>-3.1759935117600264</v>
      </c>
      <c r="R39" s="99">
        <f>O39/L39</f>
        <v>0.96505630610532978</v>
      </c>
      <c r="S39" s="411"/>
      <c r="T39" s="20">
        <v>0.38750000000000001</v>
      </c>
      <c r="U39" s="20">
        <v>0.48263888888888901</v>
      </c>
      <c r="V39" s="92">
        <f>(T39-U38)*24*60</f>
        <v>9.9999999999994049</v>
      </c>
      <c r="W39" s="205">
        <f t="shared" si="4"/>
        <v>137.00000000000014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-57.167883211680419</v>
      </c>
      <c r="AG39" s="206">
        <f>N39/K39</f>
        <v>0.96505630610532978</v>
      </c>
      <c r="AH39" s="414"/>
    </row>
    <row r="40" spans="1:34" ht="15" customHeight="1">
      <c r="A40" s="408"/>
      <c r="B40" s="75"/>
      <c r="C40" s="177"/>
      <c r="D40" s="59"/>
      <c r="E40" s="178"/>
      <c r="F40" s="75"/>
      <c r="G40" s="90"/>
      <c r="H40" s="91"/>
      <c r="I40" s="92"/>
      <c r="J40" s="79"/>
      <c r="K40" s="80"/>
      <c r="L40" s="93"/>
      <c r="M40" s="94"/>
      <c r="N40" s="95"/>
      <c r="O40" s="96"/>
      <c r="P40" s="97"/>
      <c r="Q40" s="98"/>
      <c r="R40" s="99"/>
      <c r="S40" s="393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0</v>
      </c>
      <c r="AG40" s="206" t="e">
        <f>N40/K40</f>
        <v>#DIV/0!</v>
      </c>
      <c r="AH40" s="414"/>
    </row>
    <row r="41" spans="1:34" ht="15" customHeight="1">
      <c r="A41" s="408"/>
      <c r="B41" s="75"/>
      <c r="C41" s="173"/>
      <c r="D41" s="59"/>
      <c r="E41" s="104"/>
      <c r="F41" s="75"/>
      <c r="G41" s="90"/>
      <c r="H41" s="91"/>
      <c r="I41" s="92"/>
      <c r="J41" s="79"/>
      <c r="K41" s="80"/>
      <c r="L41" s="93"/>
      <c r="M41" s="94"/>
      <c r="N41" s="95"/>
      <c r="O41" s="96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0">AVERAGE(J38:J47)</f>
        <v>17</v>
      </c>
      <c r="K48" s="155">
        <f t="shared" si="10"/>
        <v>1675</v>
      </c>
      <c r="L48" s="158">
        <f t="shared" si="10"/>
        <v>99.006944444444443</v>
      </c>
      <c r="M48" s="155">
        <f t="shared" si="10"/>
        <v>17</v>
      </c>
      <c r="N48" s="155">
        <f t="shared" si="10"/>
        <v>1593.6807642764993</v>
      </c>
      <c r="O48" s="158">
        <f t="shared" si="10"/>
        <v>94.122991806210649</v>
      </c>
      <c r="P48" s="221">
        <f>M48-J48</f>
        <v>0</v>
      </c>
      <c r="Q48" s="222">
        <f>N48-K48</f>
        <v>-81.319235723500697</v>
      </c>
      <c r="R48" s="223">
        <f>O48/L48</f>
        <v>0.95067060532330316</v>
      </c>
      <c r="S48" s="396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1">N48-K48</f>
        <v>-81.319235723500697</v>
      </c>
      <c r="AG48" s="162">
        <f t="shared" ref="AG48:AG53" si="12">N48/K48</f>
        <v>0.95145120255313387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v>443</v>
      </c>
      <c r="H49" s="134">
        <f>F49*G49</f>
        <v>22110.129999999997</v>
      </c>
      <c r="I49" s="135"/>
      <c r="J49" s="136">
        <f>VLOOKUP(D49,產線配置圖!$A$3:$C$40,2,0)</f>
        <v>18</v>
      </c>
      <c r="K49" s="137">
        <f>VLOOKUP(D49,產線配置圖!$A$3:$C$40,3,0)</f>
        <v>2250</v>
      </c>
      <c r="L49" s="138">
        <f>K49/J49</f>
        <v>125</v>
      </c>
      <c r="M49" s="170">
        <v>17</v>
      </c>
      <c r="N49" s="140">
        <f>G49/W49*60</f>
        <v>1208.1818181818794</v>
      </c>
      <c r="O49" s="141">
        <f>N49/M49</f>
        <v>71.069518716581143</v>
      </c>
      <c r="P49" s="229">
        <f>M49-J49</f>
        <v>-1</v>
      </c>
      <c r="Q49" s="230">
        <f>O49-L49</f>
        <v>-53.930481283418857</v>
      </c>
      <c r="R49" s="52">
        <f>O49/L49</f>
        <v>0.56855614973264912</v>
      </c>
      <c r="S49" s="392">
        <f>R58</f>
        <v>0.8382887724402065</v>
      </c>
      <c r="T49" s="191">
        <v>0.29166666666666702</v>
      </c>
      <c r="U49" s="191">
        <v>0.30694444444444402</v>
      </c>
      <c r="V49" s="55"/>
      <c r="W49" s="193">
        <f t="shared" si="4"/>
        <v>21.999999999998884</v>
      </c>
      <c r="X49" s="55"/>
      <c r="Y49" s="290"/>
      <c r="Z49" s="169"/>
      <c r="AA49" s="169"/>
      <c r="AB49" s="397" t="s">
        <v>137</v>
      </c>
      <c r="AC49" s="397"/>
      <c r="AD49" s="135"/>
      <c r="AE49" s="135"/>
      <c r="AF49" s="229">
        <f t="shared" si="11"/>
        <v>-1041.8181818181206</v>
      </c>
      <c r="AG49" s="52">
        <f t="shared" si="12"/>
        <v>0.53696969696972419</v>
      </c>
      <c r="AH49" s="380">
        <f>AG58</f>
        <v>0.82020732661155205</v>
      </c>
    </row>
    <row r="50" spans="1:34" ht="15" customHeight="1">
      <c r="A50" s="405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1534</v>
      </c>
      <c r="H50" s="231">
        <f>F50*G50</f>
        <v>77143.326000000001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1484.5161290322424</v>
      </c>
      <c r="O50" s="235">
        <f>N50/M50</f>
        <v>87.324478178367201</v>
      </c>
      <c r="P50" s="74">
        <f>M50-J50</f>
        <v>0</v>
      </c>
      <c r="Q50" s="83">
        <f>O50-L50</f>
        <v>-8.9108159392798569</v>
      </c>
      <c r="R50" s="72">
        <f>O50/L50</f>
        <v>0.907405946841224</v>
      </c>
      <c r="S50" s="393"/>
      <c r="T50" s="21">
        <v>0.3125</v>
      </c>
      <c r="U50" s="21">
        <v>0.35555555555555601</v>
      </c>
      <c r="V50" s="30">
        <f>(T50-U49)*24*60</f>
        <v>8.0000000000006111</v>
      </c>
      <c r="W50" s="236">
        <f t="shared" si="4"/>
        <v>62.000000000000661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1"/>
        <v>-151.48387096775764</v>
      </c>
      <c r="AG50" s="72">
        <f t="shared" si="12"/>
        <v>0.90740594684122389</v>
      </c>
      <c r="AH50" s="382"/>
    </row>
    <row r="51" spans="1:34" ht="15" customHeight="1">
      <c r="A51" s="405"/>
      <c r="B51" s="75" t="s">
        <v>81</v>
      </c>
      <c r="C51" s="76"/>
      <c r="D51" s="59" t="s">
        <v>140</v>
      </c>
      <c r="E51" s="77"/>
      <c r="F51" s="75">
        <f>VLOOKUP(D51,廠價表!$C$1:$E$43,3,0)</f>
        <v>43.89</v>
      </c>
      <c r="G51" s="202">
        <v>1810</v>
      </c>
      <c r="H51" s="231">
        <f>F51*G51</f>
        <v>79440.899999999994</v>
      </c>
      <c r="I51" s="232"/>
      <c r="J51" s="79">
        <f>VLOOKUP(D51,產線配置圖!$A$3:$C$40,2,0)</f>
        <v>13</v>
      </c>
      <c r="K51" s="80">
        <f>VLOOKUP(D51,產線配置圖!$A$3:$C$40,3,0)</f>
        <v>1565</v>
      </c>
      <c r="L51" s="81">
        <f>K51/J51</f>
        <v>120.38461538461539</v>
      </c>
      <c r="M51" s="233">
        <v>13</v>
      </c>
      <c r="N51" s="234">
        <f>G51/W51*60</f>
        <v>1374.6835443037994</v>
      </c>
      <c r="O51" s="235">
        <f>N51/M51</f>
        <v>105.74488802336919</v>
      </c>
      <c r="P51" s="74">
        <f>M51-J51</f>
        <v>0</v>
      </c>
      <c r="Q51" s="83">
        <f>O51-L51</f>
        <v>-14.639727361246202</v>
      </c>
      <c r="R51" s="72">
        <f>O51/L51</f>
        <v>0.87839204108868973</v>
      </c>
      <c r="S51" s="393"/>
      <c r="T51" s="21">
        <v>0.360416666666667</v>
      </c>
      <c r="U51" s="19">
        <v>0.41527777777777802</v>
      </c>
      <c r="V51" s="30">
        <f>(T51-U50)*24*60</f>
        <v>6.9999999999998153</v>
      </c>
      <c r="W51" s="236">
        <f t="shared" si="4"/>
        <v>78.999999999999886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1"/>
        <v>-190.31645569620059</v>
      </c>
      <c r="AG51" s="72">
        <f t="shared" si="12"/>
        <v>0.87839204108868973</v>
      </c>
      <c r="AH51" s="382"/>
    </row>
    <row r="52" spans="1:34" ht="15" customHeight="1">
      <c r="A52" s="405"/>
      <c r="B52" s="75" t="s">
        <v>81</v>
      </c>
      <c r="C52" s="86"/>
      <c r="D52" s="59" t="s">
        <v>131</v>
      </c>
      <c r="E52" s="87"/>
      <c r="F52" s="75">
        <f>VLOOKUP(D52,廠價表!$C$1:$E$43,3,0)</f>
        <v>49.97</v>
      </c>
      <c r="G52" s="202">
        <v>1804</v>
      </c>
      <c r="H52" s="231">
        <f t="shared" ref="H52:H54" si="13">F52*G52</f>
        <v>90145.88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4" si="14">K52/J52</f>
        <v>112.5</v>
      </c>
      <c r="M52" s="233">
        <v>16</v>
      </c>
      <c r="N52" s="234">
        <f t="shared" ref="N52:N54" si="15">G52/W52*60</f>
        <v>1568.6956521739348</v>
      </c>
      <c r="O52" s="235">
        <f t="shared" ref="O52:O54" si="16">N52/M52</f>
        <v>98.043478260870927</v>
      </c>
      <c r="P52" s="74">
        <f t="shared" ref="P52:P54" si="17">M52-J52</f>
        <v>0</v>
      </c>
      <c r="Q52" s="83">
        <f t="shared" ref="Q52:Q54" si="18">O52-L52</f>
        <v>-14.456521739129073</v>
      </c>
      <c r="R52" s="72">
        <f t="shared" ref="R52:R54" si="19">O52/L52</f>
        <v>0.87149758454107495</v>
      </c>
      <c r="S52" s="393"/>
      <c r="T52" s="21">
        <v>0.421527777777778</v>
      </c>
      <c r="U52" s="21">
        <v>0.469444444444444</v>
      </c>
      <c r="V52" s="30">
        <f>(T52-U51)*24*60</f>
        <v>8.999999999999968</v>
      </c>
      <c r="W52" s="236">
        <f t="shared" si="4"/>
        <v>68.999999999999034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1"/>
        <v>-231.30434782606517</v>
      </c>
      <c r="AG52" s="72">
        <f t="shared" si="12"/>
        <v>0.87149758454107495</v>
      </c>
      <c r="AH52" s="382"/>
    </row>
    <row r="53" spans="1:34" ht="15" customHeight="1">
      <c r="A53" s="405"/>
      <c r="B53" s="101" t="s">
        <v>81</v>
      </c>
      <c r="C53" s="102"/>
      <c r="D53" s="103" t="s">
        <v>131</v>
      </c>
      <c r="E53" s="104"/>
      <c r="F53" s="75">
        <f>VLOOKUP(D53,廠價表!$C$1:$E$43,3,0)</f>
        <v>49.97</v>
      </c>
      <c r="G53" s="202">
        <v>1900</v>
      </c>
      <c r="H53" s="231">
        <f t="shared" si="13"/>
        <v>94943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14"/>
        <v>112.5</v>
      </c>
      <c r="M53" s="108">
        <v>16</v>
      </c>
      <c r="N53" s="234">
        <f t="shared" si="15"/>
        <v>1561.6438356164508</v>
      </c>
      <c r="O53" s="235">
        <f t="shared" si="16"/>
        <v>97.602739726028176</v>
      </c>
      <c r="P53" s="74">
        <f t="shared" si="17"/>
        <v>0</v>
      </c>
      <c r="Q53" s="83">
        <f t="shared" si="18"/>
        <v>-14.897260273971824</v>
      </c>
      <c r="R53" s="72">
        <f t="shared" si="19"/>
        <v>0.86757990867580603</v>
      </c>
      <c r="S53" s="393"/>
      <c r="T53" s="21">
        <v>0.53125</v>
      </c>
      <c r="U53" s="21">
        <v>0.58194444444444404</v>
      </c>
      <c r="V53" s="30">
        <f t="shared" ref="V53:V54" si="20">(T53-U52)*24*60</f>
        <v>89.000000000000639</v>
      </c>
      <c r="W53" s="236">
        <f t="shared" si="4"/>
        <v>72.999999999999417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1"/>
        <v>-238.35616438354919</v>
      </c>
      <c r="AG53" s="72">
        <f t="shared" si="12"/>
        <v>0.86757990867580603</v>
      </c>
      <c r="AH53" s="382"/>
    </row>
    <row r="54" spans="1:34" ht="15" customHeight="1">
      <c r="A54" s="405"/>
      <c r="B54" s="101" t="s">
        <v>81</v>
      </c>
      <c r="C54" s="102"/>
      <c r="D54" s="103" t="s">
        <v>140</v>
      </c>
      <c r="E54" s="104"/>
      <c r="F54" s="75">
        <f>VLOOKUP(D54,廠價表!$C$1:$E$43,3,0)</f>
        <v>43.89</v>
      </c>
      <c r="G54" s="202">
        <v>629</v>
      </c>
      <c r="H54" s="231">
        <f t="shared" si="13"/>
        <v>27606.81</v>
      </c>
      <c r="I54" s="232"/>
      <c r="J54" s="79">
        <f>VLOOKUP(D54,產線配置圖!$A$3:$C$40,2,0)</f>
        <v>13</v>
      </c>
      <c r="K54" s="80">
        <f>VLOOKUP(D54,產線配置圖!$A$3:$C$40,3,0)</f>
        <v>1565</v>
      </c>
      <c r="L54" s="81">
        <f t="shared" si="14"/>
        <v>120.38461538461539</v>
      </c>
      <c r="M54" s="108">
        <v>13</v>
      </c>
      <c r="N54" s="234">
        <f t="shared" si="15"/>
        <v>1509.5999999999281</v>
      </c>
      <c r="O54" s="235">
        <f t="shared" si="16"/>
        <v>116.12307692307139</v>
      </c>
      <c r="P54" s="74">
        <f t="shared" si="17"/>
        <v>0</v>
      </c>
      <c r="Q54" s="83">
        <f t="shared" si="18"/>
        <v>-4.2615384615439922</v>
      </c>
      <c r="R54" s="72">
        <f t="shared" si="19"/>
        <v>0.96460063897758985</v>
      </c>
      <c r="S54" s="393"/>
      <c r="T54" s="21">
        <v>0.58819444444444402</v>
      </c>
      <c r="U54" s="21">
        <v>0.60555555555555596</v>
      </c>
      <c r="V54" s="30">
        <f t="shared" si="20"/>
        <v>8.999999999999968</v>
      </c>
      <c r="W54" s="236">
        <f t="shared" si="4"/>
        <v>25.00000000000119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75"/>
      <c r="C55" s="86"/>
      <c r="D55" s="198"/>
      <c r="E55" s="87"/>
      <c r="F55" s="75"/>
      <c r="G55" s="199"/>
      <c r="H55" s="91"/>
      <c r="I55" s="200"/>
      <c r="J55" s="148"/>
      <c r="K55" s="95"/>
      <c r="L55" s="96"/>
      <c r="M55" s="201"/>
      <c r="N55" s="202"/>
      <c r="O55" s="203"/>
      <c r="P55" s="97"/>
      <c r="Q55" s="98"/>
      <c r="R55" s="99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75"/>
      <c r="C56" s="102"/>
      <c r="D56" s="198"/>
      <c r="E56" s="104"/>
      <c r="F56" s="75"/>
      <c r="G56" s="202"/>
      <c r="H56" s="91"/>
      <c r="I56" s="200"/>
      <c r="J56" s="148"/>
      <c r="K56" s="95"/>
      <c r="L56" s="96"/>
      <c r="M56" s="201"/>
      <c r="N56" s="202"/>
      <c r="O56" s="203"/>
      <c r="P56" s="97"/>
      <c r="Q56" s="98"/>
      <c r="R56" s="99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1">AVERAGE(J49:J57)</f>
        <v>15.5</v>
      </c>
      <c r="K58" s="120">
        <f t="shared" si="21"/>
        <v>1769.3333333333333</v>
      </c>
      <c r="L58" s="117">
        <f t="shared" si="21"/>
        <v>114.50075414781297</v>
      </c>
      <c r="M58" s="120">
        <f t="shared" si="21"/>
        <v>15.333333333333334</v>
      </c>
      <c r="N58" s="120">
        <f t="shared" si="21"/>
        <v>1451.2201632180393</v>
      </c>
      <c r="O58" s="117">
        <f t="shared" si="21"/>
        <v>95.984696638048021</v>
      </c>
      <c r="P58" s="121">
        <f>M58-J58</f>
        <v>-0.16666666666666607</v>
      </c>
      <c r="Q58" s="122">
        <f>N58-K58</f>
        <v>-318.113170115294</v>
      </c>
      <c r="R58" s="123">
        <f>O58/L58</f>
        <v>0.8382887724402065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-318.113170115294</v>
      </c>
      <c r="AG58" s="124">
        <f>N58/K58</f>
        <v>0.82020732661155205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2666</v>
      </c>
      <c r="H59" s="243">
        <f>F59*G59</f>
        <v>71955.34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1538.076923076906</v>
      </c>
      <c r="O59" s="138">
        <f>N59/M59</f>
        <v>102.5384615384604</v>
      </c>
      <c r="P59" s="56">
        <f>M59-J59</f>
        <v>0</v>
      </c>
      <c r="Q59" s="230">
        <f>O59-L59</f>
        <v>-6.5282051282062667</v>
      </c>
      <c r="R59" s="52">
        <f>O59/L59</f>
        <v>0.9401448185066662</v>
      </c>
      <c r="S59" s="392">
        <f>R69</f>
        <v>0.86804877505164135</v>
      </c>
      <c r="T59" s="245">
        <v>0.295833333333333</v>
      </c>
      <c r="U59" s="245">
        <v>0.36805555555555602</v>
      </c>
      <c r="V59" s="55"/>
      <c r="W59" s="54">
        <f t="shared" si="4"/>
        <v>104.00000000000115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-97.923076923093959</v>
      </c>
      <c r="AG59" s="246">
        <f>N59/K59</f>
        <v>0.94014481850666631</v>
      </c>
      <c r="AH59" s="380">
        <f>AG69</f>
        <v>0.87285517794864298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1000</v>
      </c>
      <c r="H60" s="78">
        <f>F60*G60</f>
        <v>28260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1463.4146341463525</v>
      </c>
      <c r="O60" s="81">
        <f>N60/M60</f>
        <v>133.03769401330476</v>
      </c>
      <c r="P60" s="74">
        <f>M60-J60</f>
        <v>0</v>
      </c>
      <c r="Q60" s="83">
        <f>O60-L60</f>
        <v>-15.689578713967961</v>
      </c>
      <c r="R60" s="72">
        <f>O60/L60</f>
        <v>0.89450772258334499</v>
      </c>
      <c r="S60" s="402"/>
      <c r="T60" s="22">
        <v>0.375</v>
      </c>
      <c r="U60" s="22">
        <v>0.40347222222222201</v>
      </c>
      <c r="V60" s="30">
        <f>(T60-U59)*24*60</f>
        <v>9.999999999999325</v>
      </c>
      <c r="W60" s="248">
        <f t="shared" si="4"/>
        <v>40.999999999999694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-172.58536585364755</v>
      </c>
      <c r="AG60" s="249">
        <f>N60/K60</f>
        <v>0.89450772258334499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498</v>
      </c>
      <c r="H61" s="254">
        <f>F61*G61</f>
        <v>14073.480000000001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1195.1999999999355</v>
      </c>
      <c r="O61" s="238">
        <f>N61/M61</f>
        <v>108.65454545453959</v>
      </c>
      <c r="P61" s="111">
        <f>M61-J61</f>
        <v>0</v>
      </c>
      <c r="Q61" s="255">
        <f>O61-L61</f>
        <v>-40.072727272733133</v>
      </c>
      <c r="R61" s="85">
        <f>O61/L61</f>
        <v>0.73056234718822466</v>
      </c>
      <c r="S61" s="393"/>
      <c r="T61" s="22">
        <v>0.41319444444444398</v>
      </c>
      <c r="U61" s="22">
        <v>0.43055555555555602</v>
      </c>
      <c r="V61" s="30">
        <f t="shared" ref="V61:V62" si="22">(T61-U60)*24*60</f>
        <v>13.999999999999631</v>
      </c>
      <c r="W61" s="256">
        <f t="shared" si="4"/>
        <v>25.00000000000135</v>
      </c>
      <c r="X61" s="22"/>
      <c r="Y61" s="84"/>
      <c r="Z61" s="90"/>
      <c r="AA61" s="90"/>
      <c r="AB61" s="386" t="s">
        <v>137</v>
      </c>
      <c r="AC61" s="386"/>
      <c r="AD61" s="92"/>
      <c r="AE61" s="92"/>
      <c r="AF61" s="317">
        <f>N61-K61</f>
        <v>-440.80000000006453</v>
      </c>
      <c r="AG61" s="247">
        <f>N61/K61</f>
        <v>0.73056234718822466</v>
      </c>
      <c r="AH61" s="382"/>
    </row>
    <row r="62" spans="1:34" ht="15" customHeight="1">
      <c r="A62" s="400"/>
      <c r="B62" s="250" t="s">
        <v>132</v>
      </c>
      <c r="C62" s="251"/>
      <c r="D62" s="257" t="s">
        <v>136</v>
      </c>
      <c r="E62" s="253"/>
      <c r="F62" s="250">
        <f>VLOOKUP(D62,廠價表!$C$1:$E$43,3,0)</f>
        <v>28.26</v>
      </c>
      <c r="G62" s="38">
        <v>2778</v>
      </c>
      <c r="H62" s="254">
        <f>F62*G62</f>
        <v>78506.28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80">
        <f>G62/W62*60</f>
        <v>1515.2727272727261</v>
      </c>
      <c r="O62" s="81">
        <f>N62/M62</f>
        <v>137.75206611570238</v>
      </c>
      <c r="P62" s="74">
        <f>M62-J62</f>
        <v>0</v>
      </c>
      <c r="Q62" s="83">
        <f>O62-L62</f>
        <v>-10.975206611570343</v>
      </c>
      <c r="R62" s="72">
        <f>O62/L62</f>
        <v>0.92620582351633629</v>
      </c>
      <c r="S62" s="393"/>
      <c r="T62" s="22">
        <v>0.4375</v>
      </c>
      <c r="U62" s="22">
        <v>0.51388888888888895</v>
      </c>
      <c r="V62" s="30">
        <f t="shared" si="22"/>
        <v>9.999999999999325</v>
      </c>
      <c r="W62" s="248">
        <f t="shared" si="4"/>
        <v>110.00000000000009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-120.72727272727388</v>
      </c>
      <c r="AG62" s="247">
        <f>N62/K62</f>
        <v>0.92620582351633629</v>
      </c>
      <c r="AH62" s="382"/>
    </row>
    <row r="63" spans="1:34" ht="15" customHeight="1">
      <c r="A63" s="400"/>
      <c r="B63" s="75"/>
      <c r="C63" s="86"/>
      <c r="D63" s="198"/>
      <c r="E63" s="87"/>
      <c r="F63" s="75"/>
      <c r="G63" s="199"/>
      <c r="H63" s="91"/>
      <c r="I63" s="200"/>
      <c r="J63" s="148"/>
      <c r="K63" s="95"/>
      <c r="L63" s="96"/>
      <c r="M63" s="201"/>
      <c r="N63" s="202"/>
      <c r="O63" s="238"/>
      <c r="P63" s="111"/>
      <c r="Q63" s="255"/>
      <c r="R63" s="85"/>
      <c r="S63" s="39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3">AVERAGE(J59:J68)</f>
        <v>12</v>
      </c>
      <c r="K69" s="240">
        <f t="shared" si="23"/>
        <v>1636</v>
      </c>
      <c r="L69" s="268">
        <f t="shared" si="23"/>
        <v>138.81212121212121</v>
      </c>
      <c r="M69" s="240">
        <f t="shared" si="23"/>
        <v>12</v>
      </c>
      <c r="N69" s="240">
        <f t="shared" si="23"/>
        <v>1427.99107112398</v>
      </c>
      <c r="O69" s="268">
        <f t="shared" si="23"/>
        <v>120.49569178050177</v>
      </c>
      <c r="P69" s="269">
        <f>M69-J69</f>
        <v>0</v>
      </c>
      <c r="Q69" s="222">
        <f>N69-K69</f>
        <v>-208.00892887602004</v>
      </c>
      <c r="R69" s="123">
        <f>O69/L69</f>
        <v>0.86804877505164135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-208.00892887602004</v>
      </c>
      <c r="AG69" s="124">
        <f>N69/K69</f>
        <v>0.87285517794864298</v>
      </c>
      <c r="AH69" s="384"/>
    </row>
    <row r="70" spans="1:36" ht="15" customHeight="1">
      <c r="A70" s="389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392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0</v>
      </c>
      <c r="AG70" s="246" t="e">
        <f>N70/K70</f>
        <v>#DIV/0!</v>
      </c>
      <c r="AH70" s="380" t="e">
        <f>AG79</f>
        <v>#DIV/0!</v>
      </c>
    </row>
    <row r="71" spans="1:36" ht="15" customHeight="1">
      <c r="A71" s="390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93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127" priority="1" operator="greaterThan">
      <formula>0</formula>
    </cfRule>
  </conditionalFormatting>
  <conditionalFormatting sqref="Q5:Q79 AF5:AF79">
    <cfRule type="cellIs" dxfId="126" priority="4" operator="lessThan">
      <formula>0</formula>
    </cfRule>
  </conditionalFormatting>
  <conditionalFormatting sqref="R5:R79 AG5:AG79">
    <cfRule type="cellIs" dxfId="125" priority="2" operator="greaterThan">
      <formula>1</formula>
    </cfRule>
    <cfRule type="cellIs" dxfId="124" priority="3" operator="lessThan">
      <formula>0.8</formula>
    </cfRule>
  </conditionalFormatting>
  <conditionalFormatting sqref="S5:S10 S37:S62 AH59:AH62 S69:S76 AH69:AH76">
    <cfRule type="cellIs" dxfId="123" priority="7" operator="lessThan">
      <formula>0.8</formula>
    </cfRule>
  </conditionalFormatting>
  <conditionalFormatting sqref="S19:S25 AH19:AH25">
    <cfRule type="cellIs" dxfId="122" priority="6" operator="lessThan">
      <formula>0.8</formula>
    </cfRule>
  </conditionalFormatting>
  <conditionalFormatting sqref="S79">
    <cfRule type="cellIs" dxfId="121" priority="5" operator="lessThan">
      <formula>0.8</formula>
    </cfRule>
  </conditionalFormatting>
  <conditionalFormatting sqref="AH5:AH8 S15:S16 AH15:AH16 AH49 AH79">
    <cfRule type="cellIs" dxfId="120" priority="9" operator="lessThan">
      <formula>0.8</formula>
    </cfRule>
  </conditionalFormatting>
  <conditionalFormatting sqref="AH27 S27:S28">
    <cfRule type="cellIs" dxfId="11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00422-E038-4AE6-BBDF-90299252F6CF}">
  <dimension ref="B1:O26"/>
  <sheetViews>
    <sheetView topLeftCell="B1" zoomScale="70" zoomScaleNormal="70" workbookViewId="0">
      <selection activeCell="O19" sqref="O19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46284</v>
      </c>
      <c r="E3" s="504"/>
      <c r="F3" s="3" t="s">
        <v>72</v>
      </c>
      <c r="G3" s="505">
        <f>'0919'!E1</f>
        <v>47530</v>
      </c>
      <c r="H3" s="505"/>
      <c r="I3" s="3" t="s">
        <v>2</v>
      </c>
      <c r="J3" s="506">
        <f>'0919'!G1</f>
        <v>2205767.6430000002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130.74624816904227</v>
      </c>
      <c r="G6" s="501"/>
      <c r="H6" s="502">
        <f>AVERAGE(D13:H13)</f>
        <v>126.18232319423494</v>
      </c>
      <c r="I6" s="502"/>
      <c r="J6" s="502">
        <f>AVERAGE(I13:J13)</f>
        <v>142.15606060606061</v>
      </c>
      <c r="K6" s="502"/>
      <c r="L6" s="492">
        <f>'0919'!Z2</f>
        <v>0</v>
      </c>
      <c r="M6" s="493">
        <f>'0919'!AA2</f>
        <v>0</v>
      </c>
      <c r="N6" s="494">
        <f>'0919'!AD2</f>
        <v>0</v>
      </c>
      <c r="O6" s="493">
        <f>'0919'!AE2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116.85805734823025</v>
      </c>
      <c r="G7" s="490"/>
      <c r="H7" s="491">
        <f>AVERAGE(D14:H14)</f>
        <v>114.9029009412825</v>
      </c>
      <c r="I7" s="491"/>
      <c r="J7" s="491">
        <f>AVERAGE(I14:J14)</f>
        <v>121.74594836559962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0.8884563309215715</v>
      </c>
      <c r="G8" s="496"/>
      <c r="H8" s="496">
        <f>AVERAGE(D15:H15)</f>
        <v>0.90187464211246948</v>
      </c>
      <c r="I8" s="496"/>
      <c r="J8" s="496">
        <f>AVERAGE(I15:J15)</f>
        <v>0.85491055294432661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VALUE('0919'!L15)</f>
        <v>164.83516483516482</v>
      </c>
      <c r="E13" s="13">
        <f>VALUE('0919'!L26)</f>
        <v>174.10714285714286</v>
      </c>
      <c r="F13" s="13">
        <f>VALUE('0919'!L37)</f>
        <v>95.065767973856197</v>
      </c>
      <c r="G13" s="13">
        <f>VALUE('0919'!L48)</f>
        <v>96.300925925925924</v>
      </c>
      <c r="H13" s="13">
        <f>VALUE('0919'!L58)</f>
        <v>100.60261437908495</v>
      </c>
      <c r="I13" s="13">
        <f>VALUE('0919'!L69)</f>
        <v>138.81212121212121</v>
      </c>
      <c r="J13" s="13">
        <f>'0919'!L79</f>
        <v>145.5</v>
      </c>
    </row>
    <row r="14" spans="2:15" ht="39.950000000000003" customHeight="1">
      <c r="B14" s="484"/>
      <c r="C14" s="12" t="s">
        <v>100</v>
      </c>
      <c r="D14" s="13">
        <f>VALUE('0919'!O15)</f>
        <v>150.82449530365105</v>
      </c>
      <c r="E14" s="13">
        <f>VALUE('0919'!O26)</f>
        <v>167.73878722999885</v>
      </c>
      <c r="F14" s="13">
        <f>VALUE('0919'!O37)</f>
        <v>85.029963195350149</v>
      </c>
      <c r="G14" s="13">
        <f>VALUE('0919'!O48)</f>
        <v>84.548941798941584</v>
      </c>
      <c r="H14" s="13">
        <f>VALUE('0919'!O58)</f>
        <v>86.372317178470823</v>
      </c>
      <c r="I14" s="13">
        <f>VALUE('0919'!O69)</f>
        <v>109.73733295689836</v>
      </c>
      <c r="J14" s="13">
        <f>'0919'!O79</f>
        <v>133.75456377430089</v>
      </c>
    </row>
    <row r="15" spans="2:15" ht="39.950000000000003" customHeight="1">
      <c r="B15" s="485"/>
      <c r="C15" s="10" t="s">
        <v>26</v>
      </c>
      <c r="D15" s="14">
        <f t="shared" ref="D15:I15" si="0">D14/D13</f>
        <v>0.91500193817548314</v>
      </c>
      <c r="E15" s="14">
        <f t="shared" si="0"/>
        <v>0.96342277793640363</v>
      </c>
      <c r="F15" s="14">
        <f t="shared" si="0"/>
        <v>0.89443303312643552</v>
      </c>
      <c r="G15" s="14">
        <f t="shared" si="0"/>
        <v>0.87796603185286204</v>
      </c>
      <c r="H15" s="14">
        <f t="shared" si="0"/>
        <v>0.85854942947116319</v>
      </c>
      <c r="I15" s="14">
        <f t="shared" si="0"/>
        <v>0.79054575348795975</v>
      </c>
      <c r="J15" s="15">
        <f>'0919'!S70</f>
        <v>0.91927535240069336</v>
      </c>
    </row>
    <row r="16" spans="2:15" ht="17.25" customHeight="1">
      <c r="B16" s="486" t="s">
        <v>101</v>
      </c>
      <c r="C16" s="10" t="s">
        <v>34</v>
      </c>
      <c r="D16" s="16">
        <f>'0919'!T5</f>
        <v>0.29166666666666702</v>
      </c>
      <c r="E16" s="16">
        <f>'0919'!T16</f>
        <v>0.29097222222222202</v>
      </c>
      <c r="F16" s="16">
        <f>'0919'!T27</f>
        <v>0.295833333333333</v>
      </c>
      <c r="G16" s="16">
        <f>'0919'!T38</f>
        <v>0.33333333333333298</v>
      </c>
      <c r="H16" s="16">
        <f>'0919'!T49</f>
        <v>0.29166666666666702</v>
      </c>
      <c r="I16" s="16">
        <f>'0919'!T59</f>
        <v>0.29166666666666702</v>
      </c>
      <c r="J16" s="17">
        <f>'0919'!T70</f>
        <v>0.29166666666666702</v>
      </c>
    </row>
    <row r="17" spans="2:10" ht="17.25" customHeight="1">
      <c r="B17" s="487"/>
      <c r="C17" s="10" t="s">
        <v>35</v>
      </c>
      <c r="D17" s="16">
        <v>0.48611111111111099</v>
      </c>
      <c r="E17" s="183">
        <v>0.46736111111111101</v>
      </c>
      <c r="F17" s="19">
        <v>0.452083333333333</v>
      </c>
      <c r="G17" s="328">
        <v>0.59027777777777801</v>
      </c>
      <c r="H17" s="21">
        <v>0.60416666666666696</v>
      </c>
      <c r="I17" s="110">
        <v>0.49652777777777801</v>
      </c>
      <c r="J17" s="22">
        <v>0.453472222222222</v>
      </c>
    </row>
    <row r="18" spans="2:10" ht="17.25" customHeight="1">
      <c r="B18" s="488" t="s">
        <v>102</v>
      </c>
      <c r="C18" s="330" t="s">
        <v>36</v>
      </c>
      <c r="D18" s="359">
        <f>'0919'!Z15</f>
        <v>0</v>
      </c>
      <c r="E18" s="360">
        <f>'0919'!Z26</f>
        <v>0</v>
      </c>
      <c r="F18" s="360">
        <f>'0919'!Z37</f>
        <v>0</v>
      </c>
      <c r="G18" s="361">
        <f>'0919'!Z48</f>
        <v>0</v>
      </c>
      <c r="H18" s="361">
        <f>'0919'!Z58</f>
        <v>0</v>
      </c>
      <c r="I18" s="360">
        <f>'0919'!Z69</f>
        <v>0</v>
      </c>
      <c r="J18" s="360">
        <f>'0919'!AA79</f>
        <v>0</v>
      </c>
    </row>
    <row r="19" spans="2:10" ht="17.25" customHeight="1">
      <c r="B19" s="489"/>
      <c r="C19" s="330" t="s">
        <v>37</v>
      </c>
      <c r="D19" s="359">
        <f>'0919'!AA15</f>
        <v>0</v>
      </c>
      <c r="E19" s="360">
        <f>'0919'!AA26</f>
        <v>0</v>
      </c>
      <c r="F19" s="360">
        <f>'0919'!AA37</f>
        <v>0</v>
      </c>
      <c r="G19" s="361">
        <f>'0919'!AA48</f>
        <v>0</v>
      </c>
      <c r="H19" s="361">
        <f>'0919'!AA58</f>
        <v>0</v>
      </c>
      <c r="I19" s="360">
        <f>'0919'!AA69</f>
        <v>0</v>
      </c>
      <c r="J19" s="360">
        <f>'0919'!AB79</f>
        <v>0</v>
      </c>
    </row>
    <row r="20" spans="2:10" ht="17.25" customHeight="1">
      <c r="B20" s="488" t="s">
        <v>103</v>
      </c>
      <c r="C20" s="330" t="s">
        <v>36</v>
      </c>
      <c r="D20" s="359">
        <f>'0919'!AD15</f>
        <v>0</v>
      </c>
      <c r="E20" s="360">
        <f>'0919'!AD26</f>
        <v>0</v>
      </c>
      <c r="F20" s="360">
        <f>'0919'!AD37</f>
        <v>0</v>
      </c>
      <c r="G20" s="361">
        <f>'0919'!AD48</f>
        <v>0</v>
      </c>
      <c r="H20" s="361">
        <f>'0919'!AD58</f>
        <v>0</v>
      </c>
      <c r="I20" s="360">
        <f>'0919'!AD69</f>
        <v>0</v>
      </c>
      <c r="J20" s="360">
        <f>'0919'!AD79</f>
        <v>0</v>
      </c>
    </row>
    <row r="21" spans="2:10" ht="17.25" customHeight="1">
      <c r="B21" s="489"/>
      <c r="C21" s="330" t="s">
        <v>85</v>
      </c>
      <c r="D21" s="359">
        <f>'0919'!AE15</f>
        <v>0</v>
      </c>
      <c r="E21" s="360">
        <f>'0919'!AE26</f>
        <v>0</v>
      </c>
      <c r="F21" s="360">
        <f>'0919'!AE37</f>
        <v>0</v>
      </c>
      <c r="G21" s="361">
        <f>'0919'!AE48</f>
        <v>0</v>
      </c>
      <c r="H21" s="361">
        <f>'0919'!AE58</f>
        <v>0</v>
      </c>
      <c r="I21" s="360">
        <f>'0919'!AE69</f>
        <v>0</v>
      </c>
      <c r="J21" s="360">
        <f>'0919'!AE79</f>
        <v>0</v>
      </c>
    </row>
    <row r="22" spans="2:10" ht="17.25" customHeight="1">
      <c r="B22" s="471" t="s">
        <v>104</v>
      </c>
      <c r="C22" s="472"/>
      <c r="D22" s="23">
        <f>VALUE('0919'!M15)</f>
        <v>13.666666666666666</v>
      </c>
      <c r="E22" s="23">
        <f>VALUE('0919'!M26)</f>
        <v>13</v>
      </c>
      <c r="F22" s="23">
        <f>VALUE('0919'!M37)</f>
        <v>16.75</v>
      </c>
      <c r="G22" s="23">
        <f>VALUE('0919'!M48)</f>
        <v>17.333333333333332</v>
      </c>
      <c r="H22" s="23">
        <f>VALUE('0919'!M58)</f>
        <v>17</v>
      </c>
      <c r="I22" s="23">
        <f>VALUE('0919'!M69)</f>
        <v>12</v>
      </c>
      <c r="J22" s="23">
        <f>'0919'!M79</f>
        <v>9.5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11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2124C-332B-4A51-B82F-C5C250D16ED1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U7" sqref="U7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47530</v>
      </c>
      <c r="F1" s="30" t="s">
        <v>2</v>
      </c>
      <c r="G1" s="31">
        <f>SUM(H5:H79)</f>
        <v>2205767.6430000002</v>
      </c>
      <c r="H1" s="32" t="s">
        <v>3</v>
      </c>
      <c r="I1" s="33">
        <f>M15+M26+M48+M58+M69+M79+M37</f>
        <v>99.25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187</v>
      </c>
      <c r="B2" s="462"/>
      <c r="C2" s="28"/>
      <c r="D2" s="28" t="s">
        <v>14</v>
      </c>
      <c r="E2" s="35">
        <f>AVERAGE(O15,O26,O37,O48,O58,O69,O79)</f>
        <v>116.85805734823025</v>
      </c>
      <c r="F2" s="36" t="s">
        <v>15</v>
      </c>
      <c r="G2" s="37">
        <f>G1/E1</f>
        <v>46.407903282137603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0</v>
      </c>
      <c r="AA2" s="339">
        <f>AA15+AA26+AA37+AA48+AA58+AA69+AA79</f>
        <v>0</v>
      </c>
      <c r="AB2" s="433"/>
      <c r="AC2" s="433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2600</v>
      </c>
      <c r="H5" s="43">
        <f>F5*G5</f>
        <v>147862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2136.9863013698819</v>
      </c>
      <c r="O5" s="47">
        <f>N5/M5</f>
        <v>152.64187866927728</v>
      </c>
      <c r="P5" s="49">
        <f>M5-J5</f>
        <v>0</v>
      </c>
      <c r="Q5" s="50">
        <f>O5-L5</f>
        <v>-8.0724070450084469</v>
      </c>
      <c r="R5" s="51">
        <f>O5/L5</f>
        <v>0.94977168949772517</v>
      </c>
      <c r="S5" s="392">
        <f>R15</f>
        <v>0.91500193817548314</v>
      </c>
      <c r="T5" s="319">
        <v>0.29166666666666702</v>
      </c>
      <c r="U5" s="320">
        <v>0.34236111111111101</v>
      </c>
      <c r="V5" s="53"/>
      <c r="W5" s="54">
        <f t="shared" ref="W5:W14" si="0">(U5-T5)*24*60</f>
        <v>72.999999999999346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-113.01369863011814</v>
      </c>
      <c r="AG5" s="52">
        <f t="shared" ref="AG5:AG11" si="2">N5/K5</f>
        <v>0.94977168949772528</v>
      </c>
      <c r="AH5" s="380">
        <f>AG15</f>
        <v>0.91521566308596591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1190</v>
      </c>
      <c r="H6" s="63">
        <f>F6*G6</f>
        <v>69222.3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2039.9999999999609</v>
      </c>
      <c r="O6" s="67">
        <f>N6/M6</f>
        <v>156.92307692307392</v>
      </c>
      <c r="P6" s="69">
        <f>M6-J6</f>
        <v>0</v>
      </c>
      <c r="Q6" s="70">
        <f>O6-L6</f>
        <v>-16.153846153849145</v>
      </c>
      <c r="R6" s="71">
        <f>O6/L6</f>
        <v>0.90666666666664941</v>
      </c>
      <c r="S6" s="393"/>
      <c r="T6" s="16">
        <v>0.34861111111111098</v>
      </c>
      <c r="U6" s="16">
        <v>0.37291666666666701</v>
      </c>
      <c r="V6" s="30">
        <f>(T6-U5)*24*60</f>
        <v>8.999999999999968</v>
      </c>
      <c r="W6" s="73">
        <f t="shared" si="0"/>
        <v>35.000000000000675</v>
      </c>
      <c r="X6" s="22"/>
      <c r="Y6" s="84"/>
      <c r="Z6" s="90"/>
      <c r="AA6" s="90"/>
      <c r="AB6" s="430" t="s">
        <v>188</v>
      </c>
      <c r="AC6" s="430"/>
      <c r="AD6" s="149"/>
      <c r="AE6" s="149"/>
      <c r="AF6" s="307">
        <f t="shared" si="1"/>
        <v>-210.00000000003911</v>
      </c>
      <c r="AG6" s="72">
        <f t="shared" si="2"/>
        <v>0.9066666666666493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61">
        <f>VLOOKUP(D7,廠價表!$C$1:$E$43,3,0)</f>
        <v>49.14</v>
      </c>
      <c r="G7" s="66">
        <v>4635</v>
      </c>
      <c r="H7" s="63">
        <f>F7*G7</f>
        <v>227763.9</v>
      </c>
      <c r="I7" s="64"/>
      <c r="J7" s="65">
        <f>VLOOKUP(D7,產線配置圖!$A$3:$C$40,2,0)</f>
        <v>14</v>
      </c>
      <c r="K7" s="66">
        <f>VLOOKUP(D7,產線配置圖!$A$3:$C$40,3,0)</f>
        <v>2250</v>
      </c>
      <c r="L7" s="67">
        <f>K7/J7</f>
        <v>160.71428571428572</v>
      </c>
      <c r="M7" s="82">
        <v>14</v>
      </c>
      <c r="N7" s="66">
        <f>G7/W7*60</f>
        <v>2000.7194244604273</v>
      </c>
      <c r="O7" s="67">
        <f>N7/M7</f>
        <v>142.90853031860195</v>
      </c>
      <c r="P7" s="69">
        <f>M7-J7</f>
        <v>0</v>
      </c>
      <c r="Q7" s="70">
        <f>O7-L7</f>
        <v>-17.805755395683775</v>
      </c>
      <c r="R7" s="71">
        <f>O7/L7</f>
        <v>0.88920863309352316</v>
      </c>
      <c r="S7" s="393"/>
      <c r="T7" s="16">
        <v>0.389583333333333</v>
      </c>
      <c r="U7" s="16">
        <v>0.48611111111111099</v>
      </c>
      <c r="V7" s="30">
        <f>(T7-U6)*24*60</f>
        <v>23.999999999999034</v>
      </c>
      <c r="W7" s="73">
        <f t="shared" si="0"/>
        <v>139.00000000000031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-249.28057553957274</v>
      </c>
      <c r="AG7" s="72">
        <f t="shared" si="2"/>
        <v>0.88920863309352327</v>
      </c>
      <c r="AH7" s="382"/>
    </row>
    <row r="8" spans="1:34" ht="15" customHeight="1">
      <c r="A8" s="466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93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0</v>
      </c>
      <c r="AG8" s="72" t="e">
        <f t="shared" si="2"/>
        <v>#DIV/0!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13.666666666666666</v>
      </c>
      <c r="K15" s="120">
        <f t="shared" si="3"/>
        <v>2250</v>
      </c>
      <c r="L15" s="117">
        <f t="shared" si="3"/>
        <v>164.83516483516482</v>
      </c>
      <c r="M15" s="120">
        <f t="shared" si="3"/>
        <v>13.666666666666666</v>
      </c>
      <c r="N15" s="120">
        <f t="shared" si="3"/>
        <v>2059.2352419434233</v>
      </c>
      <c r="O15" s="117">
        <f t="shared" si="3"/>
        <v>150.82449530365105</v>
      </c>
      <c r="P15" s="121">
        <f>M15-J15</f>
        <v>0</v>
      </c>
      <c r="Q15" s="122">
        <f>O15-L15</f>
        <v>-14.01066953151377</v>
      </c>
      <c r="R15" s="123">
        <f>O15/L15</f>
        <v>0.91500193817548314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-190.76475805657674</v>
      </c>
      <c r="AG15" s="124">
        <f>N15/K15</f>
        <v>0.91521566308596591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4601</v>
      </c>
      <c r="H16" s="134">
        <f>F16*G16</f>
        <v>233132.67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2107.3282442748155</v>
      </c>
      <c r="O16" s="141">
        <f>N16/M16</f>
        <v>150.52344601962969</v>
      </c>
      <c r="P16" s="142">
        <f>M16-J16</f>
        <v>0</v>
      </c>
      <c r="Q16" s="143">
        <f>O16-L16</f>
        <v>-10.190839694656034</v>
      </c>
      <c r="R16" s="144">
        <f>O16/L16</f>
        <v>0.93659033078880694</v>
      </c>
      <c r="S16" s="420">
        <f>R26</f>
        <v>0.96342277793640363</v>
      </c>
      <c r="T16" s="145">
        <v>0.29097222222222202</v>
      </c>
      <c r="U16" s="145">
        <v>0.38194444444444398</v>
      </c>
      <c r="V16" s="135"/>
      <c r="W16" s="146">
        <f t="shared" ref="W16:W78" si="4">(U16-T16)*24*60</f>
        <v>130.9999999999996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-142.67175572518454</v>
      </c>
      <c r="AG16" s="52">
        <f>N16/K16</f>
        <v>0.93659033078880682</v>
      </c>
      <c r="AH16" s="380">
        <f>AG26</f>
        <v>0.96150617456871823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4032</v>
      </c>
      <c r="H17" s="78">
        <f>F17*G17</f>
        <v>203172.48000000001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2219.4495412844162</v>
      </c>
      <c r="O17" s="96">
        <f>N17/M17</f>
        <v>184.95412844036801</v>
      </c>
      <c r="P17" s="97">
        <f>M17-J17</f>
        <v>0</v>
      </c>
      <c r="Q17" s="98">
        <f>O17-L17</f>
        <v>-2.5458715596319905</v>
      </c>
      <c r="R17" s="99">
        <f>O17/L17</f>
        <v>0.98642201834862941</v>
      </c>
      <c r="S17" s="421"/>
      <c r="T17" s="19">
        <v>0.391666666666667</v>
      </c>
      <c r="U17" s="19">
        <v>0.46736111111111101</v>
      </c>
      <c r="V17" s="30">
        <f>(T17-U16)*24*60</f>
        <v>14.000000000001149</v>
      </c>
      <c r="W17" s="149">
        <f t="shared" si="4"/>
        <v>108.99999999999937</v>
      </c>
      <c r="X17" s="19"/>
      <c r="Y17" s="297"/>
      <c r="Z17" s="90"/>
      <c r="AA17" s="90"/>
      <c r="AB17" s="430" t="s">
        <v>188</v>
      </c>
      <c r="AC17" s="430"/>
      <c r="AD17" s="92"/>
      <c r="AE17" s="92"/>
      <c r="AF17" s="307">
        <f>N17-K17</f>
        <v>-30.550458715583773</v>
      </c>
      <c r="AG17" s="72">
        <f>N17/K17</f>
        <v>0.98642201834862941</v>
      </c>
      <c r="AH17" s="382"/>
    </row>
    <row r="18" spans="1:34" ht="15" customHeight="1">
      <c r="A18" s="427"/>
      <c r="B18" s="75"/>
      <c r="C18" s="76"/>
      <c r="D18" s="59"/>
      <c r="E18" s="77"/>
      <c r="F18" s="75"/>
      <c r="G18" s="147"/>
      <c r="H18" s="78"/>
      <c r="I18" s="30"/>
      <c r="J18" s="79"/>
      <c r="K18" s="80"/>
      <c r="L18" s="81"/>
      <c r="M18" s="148"/>
      <c r="N18" s="95"/>
      <c r="O18" s="96"/>
      <c r="P18" s="97"/>
      <c r="Q18" s="98"/>
      <c r="R18" s="99"/>
      <c r="S18" s="421"/>
      <c r="T18" s="19"/>
      <c r="U18" s="19"/>
      <c r="V18" s="30"/>
      <c r="W18" s="149">
        <f t="shared" si="4"/>
        <v>0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0</v>
      </c>
      <c r="AG18" s="72" t="e">
        <f>N18/K18</f>
        <v>#DIV/0!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174.10714285714286</v>
      </c>
      <c r="M26" s="155">
        <f t="shared" si="5"/>
        <v>13</v>
      </c>
      <c r="N26" s="155">
        <f t="shared" si="5"/>
        <v>2163.3888927796161</v>
      </c>
      <c r="O26" s="158">
        <f t="shared" si="5"/>
        <v>167.73878722999885</v>
      </c>
      <c r="P26" s="159">
        <f>M26-J26</f>
        <v>0</v>
      </c>
      <c r="Q26" s="160">
        <f>O26-L26</f>
        <v>-6.3683556271440125</v>
      </c>
      <c r="R26" s="161">
        <f>O26/L26</f>
        <v>0.96342277793640363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-86.611107220383929</v>
      </c>
      <c r="AG26" s="124">
        <f t="shared" ref="AG26:AG31" si="7">N26/K26</f>
        <v>0.96150617456871823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57.21</v>
      </c>
      <c r="G27" s="169">
        <v>748</v>
      </c>
      <c r="H27" s="134">
        <f>F27*G27</f>
        <v>42793.08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17</v>
      </c>
      <c r="N27" s="140">
        <f>G27/W27*60</f>
        <v>1402.4999999999523</v>
      </c>
      <c r="O27" s="141">
        <f>N27/M27</f>
        <v>82.499999999997186</v>
      </c>
      <c r="P27" s="142">
        <f>M27-J27</f>
        <v>-1</v>
      </c>
      <c r="Q27" s="143">
        <f>O27-L27</f>
        <v>-8.3888888888916995</v>
      </c>
      <c r="R27" s="144">
        <f>O27/L27</f>
        <v>0.90770171149141166</v>
      </c>
      <c r="S27" s="420">
        <f>R37</f>
        <v>0.89443303312643552</v>
      </c>
      <c r="T27" s="171">
        <v>0.295833333333333</v>
      </c>
      <c r="U27" s="171">
        <v>0.31805555555555598</v>
      </c>
      <c r="V27" s="135"/>
      <c r="W27" s="146">
        <f t="shared" si="4"/>
        <v>32.000000000001087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6"/>
        <v>-233.50000000004775</v>
      </c>
      <c r="AG27" s="172">
        <f t="shared" si="7"/>
        <v>0.85727383863077766</v>
      </c>
      <c r="AH27" s="380">
        <f>AG37</f>
        <v>0.87083861964979892</v>
      </c>
    </row>
    <row r="28" spans="1:34" ht="15" customHeight="1">
      <c r="A28" s="418"/>
      <c r="B28" s="75" t="s">
        <v>81</v>
      </c>
      <c r="C28" s="173"/>
      <c r="D28" s="59" t="s">
        <v>126</v>
      </c>
      <c r="E28" s="104"/>
      <c r="F28" s="75">
        <f>VLOOKUP(D28,廠價表!$C$1:$E$43,3,0)</f>
        <v>45.66</v>
      </c>
      <c r="G28" s="90">
        <v>334</v>
      </c>
      <c r="H28" s="91">
        <f>F28*G28</f>
        <v>15250.439999999999</v>
      </c>
      <c r="I28" s="92"/>
      <c r="J28" s="79">
        <f>VLOOKUP(D28,產線配置圖!$A$3:$C$40,2,0)</f>
        <v>17</v>
      </c>
      <c r="K28" s="80">
        <f>VLOOKUP(D28,產線配置圖!$A$3:$C$40,3,0)</f>
        <v>1636</v>
      </c>
      <c r="L28" s="93">
        <f>K28/J28</f>
        <v>96.235294117647058</v>
      </c>
      <c r="M28" s="94">
        <v>16</v>
      </c>
      <c r="N28" s="95">
        <f>G28/W28*60</f>
        <v>1252.5000000000107</v>
      </c>
      <c r="O28" s="96">
        <f>N28/M28</f>
        <v>78.281250000000668</v>
      </c>
      <c r="P28" s="97">
        <f>M28-J28</f>
        <v>-1</v>
      </c>
      <c r="Q28" s="98">
        <f>O28-L28</f>
        <v>-17.95404411764639</v>
      </c>
      <c r="R28" s="99">
        <f>O28/L28</f>
        <v>0.81343597188264749</v>
      </c>
      <c r="S28" s="421"/>
      <c r="T28" s="19">
        <v>0.327083333333333</v>
      </c>
      <c r="U28" s="19">
        <v>0.33819444444444402</v>
      </c>
      <c r="V28" s="92">
        <f>(T28-U27)*24*60</f>
        <v>12.999999999998915</v>
      </c>
      <c r="W28" s="149">
        <f t="shared" si="4"/>
        <v>15.999999999999863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6"/>
        <v>-383.49999999998931</v>
      </c>
      <c r="AG28" s="99">
        <f t="shared" si="7"/>
        <v>0.76558679706602117</v>
      </c>
      <c r="AH28" s="381"/>
    </row>
    <row r="29" spans="1:34" ht="15" customHeight="1">
      <c r="A29" s="418"/>
      <c r="B29" s="75" t="s">
        <v>81</v>
      </c>
      <c r="C29" s="173"/>
      <c r="D29" s="59" t="s">
        <v>124</v>
      </c>
      <c r="E29" s="104"/>
      <c r="F29" s="75">
        <f>VLOOKUP(D29,廠價表!$C$1:$E$43,3,0)</f>
        <v>46.34</v>
      </c>
      <c r="G29" s="90">
        <v>639</v>
      </c>
      <c r="H29" s="91">
        <f>F29*G29</f>
        <v>29611.260000000002</v>
      </c>
      <c r="I29" s="92"/>
      <c r="J29" s="79">
        <f>VLOOKUP(D29,產線配置圖!$A$3:$C$40,2,0)</f>
        <v>16</v>
      </c>
      <c r="K29" s="80">
        <f>VLOOKUP(D29,產線配置圖!$A$3:$C$40,3,0)</f>
        <v>1636</v>
      </c>
      <c r="L29" s="93">
        <f>K29/J29</f>
        <v>102.25</v>
      </c>
      <c r="M29" s="94">
        <v>16</v>
      </c>
      <c r="N29" s="95">
        <f>G29/W29*60</f>
        <v>1474.6153846154307</v>
      </c>
      <c r="O29" s="96">
        <f>N29/M29</f>
        <v>92.163461538464418</v>
      </c>
      <c r="P29" s="97">
        <f>M29-J29</f>
        <v>0</v>
      </c>
      <c r="Q29" s="98">
        <f>O29-L29</f>
        <v>-10.086538461535582</v>
      </c>
      <c r="R29" s="99">
        <f>O29/L29</f>
        <v>0.90135414707544659</v>
      </c>
      <c r="S29" s="421"/>
      <c r="T29" s="19">
        <v>0.34652777777777799</v>
      </c>
      <c r="U29" s="19">
        <v>0.36458333333333298</v>
      </c>
      <c r="V29" s="92">
        <f>(T29-U28)*24*60</f>
        <v>12.000000000000917</v>
      </c>
      <c r="W29" s="149">
        <f t="shared" si="4"/>
        <v>25.99999999999919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-161.38461538456932</v>
      </c>
      <c r="AG29" s="99">
        <f t="shared" si="7"/>
        <v>0.90135414707544659</v>
      </c>
      <c r="AH29" s="381"/>
    </row>
    <row r="30" spans="1:34" ht="15" customHeight="1">
      <c r="A30" s="418"/>
      <c r="B30" s="75" t="s">
        <v>81</v>
      </c>
      <c r="C30" s="88"/>
      <c r="D30" s="59" t="s">
        <v>161</v>
      </c>
      <c r="E30" s="89"/>
      <c r="F30" s="75">
        <f>VLOOKUP(D30,廠價表!$C$1:$E$43,3,0)</f>
        <v>52.21</v>
      </c>
      <c r="G30" s="90">
        <v>3086</v>
      </c>
      <c r="H30" s="91">
        <f>F30*G30</f>
        <v>161120.06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>K30/J30</f>
        <v>90.888888888888886</v>
      </c>
      <c r="M30" s="94">
        <v>18</v>
      </c>
      <c r="N30" s="95">
        <f>G30/W30*60</f>
        <v>1569.1525423728901</v>
      </c>
      <c r="O30" s="96">
        <f>N30/M30</f>
        <v>87.175141242938338</v>
      </c>
      <c r="P30" s="97">
        <f>M30-J30</f>
        <v>0</v>
      </c>
      <c r="Q30" s="98">
        <f>O30-L30</f>
        <v>-3.7137476459505478</v>
      </c>
      <c r="R30" s="99">
        <f>O30/L30</f>
        <v>0.95913969582694991</v>
      </c>
      <c r="S30" s="421"/>
      <c r="T30" s="19">
        <v>0.37013888888888902</v>
      </c>
      <c r="U30" s="19">
        <v>0.452083333333333</v>
      </c>
      <c r="V30" s="92">
        <f>(T30-U29)*24*60</f>
        <v>8.000000000000691</v>
      </c>
      <c r="W30" s="149">
        <f t="shared" si="4"/>
        <v>117.99999999999935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-66.847457627109861</v>
      </c>
      <c r="AG30" s="99">
        <f t="shared" si="7"/>
        <v>0.95913969582694991</v>
      </c>
      <c r="AH30" s="416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0</v>
      </c>
      <c r="AG31" s="99" t="e">
        <f t="shared" si="7"/>
        <v>#DIV/0!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8">AVERAGE(J27:J36)</f>
        <v>17.25</v>
      </c>
      <c r="K37" s="155">
        <f t="shared" si="8"/>
        <v>1636</v>
      </c>
      <c r="L37" s="158">
        <f t="shared" si="8"/>
        <v>95.065767973856197</v>
      </c>
      <c r="M37" s="155">
        <f t="shared" si="8"/>
        <v>16.75</v>
      </c>
      <c r="N37" s="155">
        <f t="shared" si="8"/>
        <v>1424.6919817470709</v>
      </c>
      <c r="O37" s="158">
        <f t="shared" si="8"/>
        <v>85.029963195350149</v>
      </c>
      <c r="P37" s="159">
        <f>M37-J37</f>
        <v>-0.5</v>
      </c>
      <c r="Q37" s="160">
        <f>N37-K37</f>
        <v>-211.30801825292906</v>
      </c>
      <c r="R37" s="161">
        <f>O37/L37</f>
        <v>0.89443303312643552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-211.30801825292906</v>
      </c>
      <c r="AG37" s="124">
        <f>N37/K37</f>
        <v>0.87083861964979892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1936</v>
      </c>
      <c r="H38" s="134">
        <f>F38*G38</f>
        <v>96625.76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1451.9999999999875</v>
      </c>
      <c r="O38" s="141">
        <f>N38/M38</f>
        <v>90.749999999999218</v>
      </c>
      <c r="P38" s="142">
        <f>M38-J38</f>
        <v>0</v>
      </c>
      <c r="Q38" s="143">
        <f>O38-L38</f>
        <v>-16.375000000000782</v>
      </c>
      <c r="R38" s="144">
        <f>O38/L38</f>
        <v>0.8471411901983591</v>
      </c>
      <c r="S38" s="410">
        <f>R48</f>
        <v>0.87796603185286204</v>
      </c>
      <c r="T38" s="191">
        <v>0.33333333333333298</v>
      </c>
      <c r="U38" s="191">
        <v>0.38888888888888901</v>
      </c>
      <c r="V38" s="192"/>
      <c r="W38" s="193">
        <f t="shared" si="4"/>
        <v>80.000000000000682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-262.00000000001251</v>
      </c>
      <c r="AG38" s="195">
        <f>N38/K38</f>
        <v>0.8471411901983591</v>
      </c>
      <c r="AH38" s="413">
        <f>AG48</f>
        <v>0.8792905850667565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2690</v>
      </c>
      <c r="H39" s="91">
        <f>F39*G39</f>
        <v>119166.99999999999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1537.1428571428719</v>
      </c>
      <c r="O39" s="203">
        <f>N39/M39</f>
        <v>85.396825396826216</v>
      </c>
      <c r="P39" s="97">
        <f>M39-J39</f>
        <v>0</v>
      </c>
      <c r="Q39" s="98">
        <f>O39-L39</f>
        <v>-5.4920634920626696</v>
      </c>
      <c r="R39" s="99">
        <f>O39/L39</f>
        <v>0.93957387355921262</v>
      </c>
      <c r="S39" s="411"/>
      <c r="T39" s="20">
        <v>0.39930555555555602</v>
      </c>
      <c r="U39" s="20">
        <v>0.47222222222222199</v>
      </c>
      <c r="V39" s="92">
        <f>(T39-U38)*24*60</f>
        <v>15.000000000000506</v>
      </c>
      <c r="W39" s="205">
        <f t="shared" si="4"/>
        <v>104.99999999999899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-98.85714285712811</v>
      </c>
      <c r="AG39" s="206">
        <f>N39/K39</f>
        <v>0.93957387355921262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1860</v>
      </c>
      <c r="H40" s="91">
        <f>F40*G40</f>
        <v>82398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1394.9999999999882</v>
      </c>
      <c r="O40" s="203">
        <f>N40/M40</f>
        <v>77.499999999999346</v>
      </c>
      <c r="P40" s="97">
        <f>M40-J40</f>
        <v>0</v>
      </c>
      <c r="Q40" s="98">
        <f>O40-L40</f>
        <v>-13.388888888889539</v>
      </c>
      <c r="R40" s="99">
        <f>O40/L40</f>
        <v>0.85268948655256005</v>
      </c>
      <c r="S40" s="393"/>
      <c r="T40" s="20">
        <v>0.53472222222222199</v>
      </c>
      <c r="U40" s="20">
        <v>0.59027777777777801</v>
      </c>
      <c r="V40" s="92">
        <f>(T40-U39)*24*60</f>
        <v>90</v>
      </c>
      <c r="W40" s="205">
        <f t="shared" si="4"/>
        <v>80.000000000000682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-241.00000000001182</v>
      </c>
      <c r="AG40" s="206">
        <f>N40/K40</f>
        <v>0.85268948655256005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0">AVERAGE(J38:J47)</f>
        <v>17.333333333333332</v>
      </c>
      <c r="K48" s="155">
        <f t="shared" si="10"/>
        <v>1662</v>
      </c>
      <c r="L48" s="158">
        <f t="shared" si="10"/>
        <v>96.300925925925924</v>
      </c>
      <c r="M48" s="155">
        <f t="shared" si="10"/>
        <v>17.333333333333332</v>
      </c>
      <c r="N48" s="155">
        <f t="shared" si="10"/>
        <v>1461.3809523809493</v>
      </c>
      <c r="O48" s="158">
        <f t="shared" si="10"/>
        <v>84.548941798941584</v>
      </c>
      <c r="P48" s="221">
        <f>M48-J48</f>
        <v>0</v>
      </c>
      <c r="Q48" s="222">
        <f>N48-K48</f>
        <v>-200.61904761905066</v>
      </c>
      <c r="R48" s="223">
        <f t="shared" ref="R48:R53" si="11">O48/L48</f>
        <v>0.87796603185286204</v>
      </c>
      <c r="S48" s="396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2">N48-K48</f>
        <v>-200.61904761905066</v>
      </c>
      <c r="AG48" s="162">
        <f t="shared" ref="AG48:AG53" si="13">N48/K48</f>
        <v>0.8792905850667565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v>443</v>
      </c>
      <c r="H49" s="134">
        <f>F49*G49</f>
        <v>22110.129999999997</v>
      </c>
      <c r="I49" s="135"/>
      <c r="J49" s="136">
        <f>VLOOKUP(D49,產線配置圖!$A$3:$C$40,2,0)</f>
        <v>18</v>
      </c>
      <c r="K49" s="137">
        <v>1636</v>
      </c>
      <c r="L49" s="138">
        <f>K49/J49</f>
        <v>90.888888888888886</v>
      </c>
      <c r="M49" s="170">
        <v>18</v>
      </c>
      <c r="N49" s="140">
        <f>G49/W49*60</f>
        <v>1328.9999999999886</v>
      </c>
      <c r="O49" s="141">
        <f>N49/M49</f>
        <v>73.833333333332703</v>
      </c>
      <c r="P49" s="229">
        <f>M49-J49</f>
        <v>0</v>
      </c>
      <c r="Q49" s="230">
        <f>O49-L49</f>
        <v>-17.055555555556182</v>
      </c>
      <c r="R49" s="52">
        <f t="shared" si="11"/>
        <v>0.81234718826405172</v>
      </c>
      <c r="S49" s="392">
        <f>R58</f>
        <v>0.85854942947116319</v>
      </c>
      <c r="T49" s="191">
        <v>0.29166666666666702</v>
      </c>
      <c r="U49" s="191">
        <v>0.30555555555555602</v>
      </c>
      <c r="V49" s="55"/>
      <c r="W49" s="193">
        <f t="shared" si="4"/>
        <v>20.000000000000171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12"/>
        <v>-307.00000000001137</v>
      </c>
      <c r="AG49" s="52">
        <f t="shared" si="13"/>
        <v>0.81234718826405172</v>
      </c>
      <c r="AH49" s="380">
        <f>AG58</f>
        <v>0.85882051200523546</v>
      </c>
    </row>
    <row r="50" spans="1:34" ht="15" customHeight="1">
      <c r="A50" s="405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1707</v>
      </c>
      <c r="H50" s="231">
        <f>F50*G50</f>
        <v>85843.323000000004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1551.8181818181929</v>
      </c>
      <c r="O50" s="235">
        <f>N50/M50</f>
        <v>91.2834224598937</v>
      </c>
      <c r="P50" s="74">
        <f>M50-J50</f>
        <v>0</v>
      </c>
      <c r="Q50" s="83">
        <f>O50-L50</f>
        <v>-4.9518716577533581</v>
      </c>
      <c r="R50" s="72">
        <f t="shared" si="11"/>
        <v>0.94854412091576579</v>
      </c>
      <c r="S50" s="393"/>
      <c r="T50" s="21">
        <v>0.31111111111111101</v>
      </c>
      <c r="U50" s="21">
        <v>0.35694444444444401</v>
      </c>
      <c r="V50" s="30">
        <f>(T50-U49)*24*60</f>
        <v>7.9999999999991722</v>
      </c>
      <c r="W50" s="236">
        <f t="shared" si="4"/>
        <v>65.999999999999531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2"/>
        <v>-84.181818181807103</v>
      </c>
      <c r="AG50" s="72">
        <f t="shared" si="13"/>
        <v>0.94854412091576579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3537</v>
      </c>
      <c r="H51" s="231">
        <f t="shared" ref="H51:H52" si="14">F51*G51</f>
        <v>176743.88999999998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 t="shared" ref="L51:L52" si="15">K51/J51</f>
        <v>112.5</v>
      </c>
      <c r="M51" s="233">
        <v>16</v>
      </c>
      <c r="N51" s="234">
        <f>G51/W51*60</f>
        <v>1526.762589928054</v>
      </c>
      <c r="O51" s="235">
        <f>N51/M51</f>
        <v>95.422661870503376</v>
      </c>
      <c r="P51" s="74">
        <f>M51-J51</f>
        <v>0</v>
      </c>
      <c r="Q51" s="83">
        <f>O51-L51</f>
        <v>-17.077338129496624</v>
      </c>
      <c r="R51" s="72">
        <f t="shared" si="11"/>
        <v>0.84820143884891885</v>
      </c>
      <c r="S51" s="393"/>
      <c r="T51" s="21">
        <v>0.36249999999999999</v>
      </c>
      <c r="U51" s="19">
        <v>0.45902777777777798</v>
      </c>
      <c r="V51" s="30">
        <f>(T51-U50)*24*60</f>
        <v>8.0000000000006111</v>
      </c>
      <c r="W51" s="236">
        <f t="shared" si="4"/>
        <v>139.00000000000031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2"/>
        <v>-273.23741007194599</v>
      </c>
      <c r="AG51" s="72">
        <f t="shared" si="13"/>
        <v>0.84820143884891885</v>
      </c>
      <c r="AH51" s="382"/>
    </row>
    <row r="52" spans="1:34" ht="15" customHeight="1">
      <c r="A52" s="405"/>
      <c r="B52" s="75" t="s">
        <v>81</v>
      </c>
      <c r="C52" s="86"/>
      <c r="D52" s="59" t="s">
        <v>131</v>
      </c>
      <c r="E52" s="87"/>
      <c r="F52" s="75">
        <f>VLOOKUP(D52,廠價表!$C$1:$E$43,3,0)</f>
        <v>49.97</v>
      </c>
      <c r="G52" s="202">
        <v>1058</v>
      </c>
      <c r="H52" s="231">
        <f t="shared" si="14"/>
        <v>52868.26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si="15"/>
        <v>112.5</v>
      </c>
      <c r="M52" s="233">
        <v>16</v>
      </c>
      <c r="N52" s="234">
        <f>G52/W52*60</f>
        <v>1476.2790697674473</v>
      </c>
      <c r="O52" s="235">
        <f>N52/M52</f>
        <v>92.267441860465453</v>
      </c>
      <c r="P52" s="74">
        <f>M52-J52</f>
        <v>0</v>
      </c>
      <c r="Q52" s="83">
        <f>O52-L52</f>
        <v>-20.232558139534547</v>
      </c>
      <c r="R52" s="72">
        <f t="shared" si="11"/>
        <v>0.82015503875969287</v>
      </c>
      <c r="S52" s="393"/>
      <c r="T52" s="21">
        <v>0.52083333333333304</v>
      </c>
      <c r="U52" s="21">
        <v>0.55069444444444404</v>
      </c>
      <c r="V52" s="30">
        <f>(T52-U51)*24*60</f>
        <v>88.999999999999289</v>
      </c>
      <c r="W52" s="236">
        <f t="shared" si="4"/>
        <v>42.999999999999844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2"/>
        <v>-323.72093023255275</v>
      </c>
      <c r="AG52" s="72">
        <f t="shared" si="13"/>
        <v>0.82015503875969287</v>
      </c>
      <c r="AH52" s="382"/>
    </row>
    <row r="53" spans="1:34" ht="15" customHeight="1">
      <c r="A53" s="405"/>
      <c r="B53" s="101" t="s">
        <v>81</v>
      </c>
      <c r="C53" s="102"/>
      <c r="D53" s="103" t="s">
        <v>161</v>
      </c>
      <c r="E53" s="104"/>
      <c r="F53" s="75">
        <f>VLOOKUP(D53,廠價表!$C$1:$E$43,3,0)</f>
        <v>52.21</v>
      </c>
      <c r="G53" s="202">
        <v>1589</v>
      </c>
      <c r="H53" s="231">
        <f>F53*G53</f>
        <v>82961.69</v>
      </c>
      <c r="I53" s="232"/>
      <c r="J53" s="79">
        <f>VLOOKUP(D53,產線配置圖!$A$3:$C$40,2,0)</f>
        <v>18</v>
      </c>
      <c r="K53" s="80">
        <f>VLOOKUP(D53,產線配置圖!$A$3:$C$40,3,0)</f>
        <v>1636</v>
      </c>
      <c r="L53" s="81">
        <f>K53/J53</f>
        <v>90.888888888888886</v>
      </c>
      <c r="M53" s="108">
        <v>18</v>
      </c>
      <c r="N53" s="234">
        <f>G53/W53*60</f>
        <v>1422.9850746268605</v>
      </c>
      <c r="O53" s="235">
        <f>N53/M53</f>
        <v>79.054726368158924</v>
      </c>
      <c r="P53" s="74">
        <f>M53-J53</f>
        <v>0</v>
      </c>
      <c r="Q53" s="83">
        <f>O53-L53</f>
        <v>-11.834162520729961</v>
      </c>
      <c r="R53" s="72">
        <f t="shared" si="11"/>
        <v>0.86979527788927913</v>
      </c>
      <c r="S53" s="393"/>
      <c r="T53" s="21">
        <v>0.55763888888888902</v>
      </c>
      <c r="U53" s="21">
        <v>0.60416666666666696</v>
      </c>
      <c r="V53" s="30">
        <f>(T53-U52)*24*60</f>
        <v>10.000000000000764</v>
      </c>
      <c r="W53" s="236">
        <f t="shared" si="4"/>
        <v>67.000000000000242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2"/>
        <v>-213.01492537313948</v>
      </c>
      <c r="AG53" s="72">
        <f t="shared" si="13"/>
        <v>0.86979527788927902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16">AVERAGE(J49:J57)</f>
        <v>17</v>
      </c>
      <c r="K58" s="120">
        <f t="shared" si="16"/>
        <v>1701.6</v>
      </c>
      <c r="L58" s="117">
        <f t="shared" si="16"/>
        <v>100.60261437908495</v>
      </c>
      <c r="M58" s="120">
        <f t="shared" si="16"/>
        <v>17</v>
      </c>
      <c r="N58" s="120">
        <f t="shared" si="16"/>
        <v>1461.3689832281086</v>
      </c>
      <c r="O58" s="117">
        <f t="shared" si="16"/>
        <v>86.372317178470823</v>
      </c>
      <c r="P58" s="121">
        <f>M58-J58</f>
        <v>0</v>
      </c>
      <c r="Q58" s="122">
        <f>N58-K58</f>
        <v>-240.23101677189129</v>
      </c>
      <c r="R58" s="123">
        <f>O58/L58</f>
        <v>0.85854942947116319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-240.23101677189129</v>
      </c>
      <c r="AG58" s="124">
        <f>N58/K58</f>
        <v>0.85882051200523546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2941</v>
      </c>
      <c r="H59" s="243">
        <f>F59*G59</f>
        <v>79377.59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1534.434782608698</v>
      </c>
      <c r="O59" s="138">
        <f>N59/M59</f>
        <v>102.2956521739132</v>
      </c>
      <c r="P59" s="56">
        <f>M59-J59</f>
        <v>0</v>
      </c>
      <c r="Q59" s="230">
        <f>O59-L59</f>
        <v>-6.7710144927534657</v>
      </c>
      <c r="R59" s="52">
        <f>O59/L59</f>
        <v>0.9379185712767103</v>
      </c>
      <c r="S59" s="392">
        <f>R69</f>
        <v>0.79054575348795975</v>
      </c>
      <c r="T59" s="245">
        <v>0.29166666666666702</v>
      </c>
      <c r="U59" s="245">
        <v>0.37152777777777801</v>
      </c>
      <c r="V59" s="55"/>
      <c r="W59" s="54">
        <f t="shared" si="4"/>
        <v>114.99999999999983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-101.56521739130199</v>
      </c>
      <c r="AG59" s="246">
        <f>N59/K59</f>
        <v>0.9379185712767103</v>
      </c>
      <c r="AH59" s="380">
        <f>AG69</f>
        <v>0.80037060800720972</v>
      </c>
    </row>
    <row r="60" spans="1:34" ht="15" customHeight="1">
      <c r="A60" s="399"/>
      <c r="B60" s="75" t="s">
        <v>132</v>
      </c>
      <c r="C60" s="86"/>
      <c r="D60" s="175" t="s">
        <v>135</v>
      </c>
      <c r="E60" s="87"/>
      <c r="F60" s="75">
        <f>VLOOKUP(D60,廠價表!$C$1:$E$43,3,0)</f>
        <v>28.26</v>
      </c>
      <c r="G60" s="30">
        <v>522</v>
      </c>
      <c r="H60" s="78">
        <f>F60*G60</f>
        <v>14751.720000000001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894.85714285712561</v>
      </c>
      <c r="O60" s="81">
        <f>N60/M60</f>
        <v>81.350649350647785</v>
      </c>
      <c r="P60" s="74">
        <f>M60-J60</f>
        <v>0</v>
      </c>
      <c r="Q60" s="83">
        <f>O60-L60</f>
        <v>-67.376623376624934</v>
      </c>
      <c r="R60" s="72">
        <f>O60/L60</f>
        <v>0.54697869367794971</v>
      </c>
      <c r="S60" s="402"/>
      <c r="T60" s="22">
        <v>0.38194444444444398</v>
      </c>
      <c r="U60" s="22">
        <v>0.40625</v>
      </c>
      <c r="V60" s="30">
        <f>(T60-U59)*24*60</f>
        <v>14.999999999998987</v>
      </c>
      <c r="W60" s="248">
        <f t="shared" si="4"/>
        <v>35.000000000000675</v>
      </c>
      <c r="X60" s="232"/>
      <c r="Y60" s="177"/>
      <c r="Z60" s="90"/>
      <c r="AA60" s="90"/>
      <c r="AB60" s="386" t="s">
        <v>137</v>
      </c>
      <c r="AC60" s="386"/>
      <c r="AD60" s="92"/>
      <c r="AE60" s="92"/>
      <c r="AF60" s="316">
        <f>N60-K60</f>
        <v>-741.14285714287439</v>
      </c>
      <c r="AG60" s="249">
        <f>N60/K60</f>
        <v>0.5469786936779496</v>
      </c>
      <c r="AH60" s="403"/>
    </row>
    <row r="61" spans="1:34" ht="15" customHeight="1">
      <c r="A61" s="400"/>
      <c r="B61" s="250" t="s">
        <v>132</v>
      </c>
      <c r="C61" s="251"/>
      <c r="D61" s="252" t="s">
        <v>136</v>
      </c>
      <c r="E61" s="253"/>
      <c r="F61" s="250">
        <f>VLOOKUP(D61,廠價表!$C$1:$E$43,3,0)</f>
        <v>28.26</v>
      </c>
      <c r="G61" s="38">
        <v>1407</v>
      </c>
      <c r="H61" s="254">
        <f>F61*G61</f>
        <v>39761.82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1407.0000000000236</v>
      </c>
      <c r="O61" s="238">
        <f>N61/M61</f>
        <v>127.90909090909305</v>
      </c>
      <c r="P61" s="111">
        <f>M61-J61</f>
        <v>0</v>
      </c>
      <c r="Q61" s="255">
        <f>O61-L61</f>
        <v>-20.818181818179667</v>
      </c>
      <c r="R61" s="85">
        <f>O61/L61</f>
        <v>0.86002444987776505</v>
      </c>
      <c r="S61" s="393"/>
      <c r="T61" s="22">
        <v>0.41666666666666702</v>
      </c>
      <c r="U61" s="22">
        <v>0.45833333333333298</v>
      </c>
      <c r="V61" s="30">
        <f>(T61-U60)*24*60</f>
        <v>15.000000000000506</v>
      </c>
      <c r="W61" s="256">
        <f t="shared" si="4"/>
        <v>59.999999999998991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-228.99999999997635</v>
      </c>
      <c r="AG61" s="247">
        <f>N61/K61</f>
        <v>0.86002444987776505</v>
      </c>
      <c r="AH61" s="382"/>
    </row>
    <row r="62" spans="1:34" ht="15" customHeight="1">
      <c r="A62" s="400"/>
      <c r="B62" s="250" t="s">
        <v>132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1051</v>
      </c>
      <c r="H62" s="254">
        <f>F62*G62</f>
        <v>29701.260000000002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1401.3333333333333</v>
      </c>
      <c r="O62" s="238">
        <f>N62/M62</f>
        <v>127.39393939393939</v>
      </c>
      <c r="P62" s="111">
        <f>M62-J62</f>
        <v>0</v>
      </c>
      <c r="Q62" s="255">
        <f>O62-L62</f>
        <v>-21.333333333333329</v>
      </c>
      <c r="R62" s="85">
        <f>O62/L62</f>
        <v>0.85656071719641402</v>
      </c>
      <c r="S62" s="393"/>
      <c r="T62" s="22">
        <v>0.46527777777777801</v>
      </c>
      <c r="U62" s="22">
        <v>0.49652777777777801</v>
      </c>
      <c r="V62" s="30">
        <f>(T62-U61)*24*60</f>
        <v>10.000000000000844</v>
      </c>
      <c r="W62" s="248">
        <f t="shared" si="4"/>
        <v>45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-234.66666666666674</v>
      </c>
      <c r="AG62" s="247">
        <f>N62/K62</f>
        <v>0.85656071719641402</v>
      </c>
      <c r="AH62" s="382"/>
    </row>
    <row r="63" spans="1:34" ht="15" customHeight="1">
      <c r="A63" s="4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9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17">AVERAGE(J59:J68)</f>
        <v>12</v>
      </c>
      <c r="K69" s="240">
        <f t="shared" si="17"/>
        <v>1636</v>
      </c>
      <c r="L69" s="268">
        <f t="shared" si="17"/>
        <v>138.81212121212121</v>
      </c>
      <c r="M69" s="240">
        <f t="shared" si="17"/>
        <v>12</v>
      </c>
      <c r="N69" s="240">
        <f t="shared" si="17"/>
        <v>1309.4063146997951</v>
      </c>
      <c r="O69" s="268">
        <f t="shared" si="17"/>
        <v>109.73733295689836</v>
      </c>
      <c r="P69" s="269">
        <f>M69-J69</f>
        <v>0</v>
      </c>
      <c r="Q69" s="222">
        <f>N69-K69</f>
        <v>-326.59368530020492</v>
      </c>
      <c r="R69" s="123">
        <f>O69/L69</f>
        <v>0.79054575348795975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-326.59368530020492</v>
      </c>
      <c r="AG69" s="124">
        <f>N69/K69</f>
        <v>0.80037060800720972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3479</v>
      </c>
      <c r="H70" s="243">
        <f>F70*G70</f>
        <v>152693.31</v>
      </c>
      <c r="I70" s="55"/>
      <c r="J70" s="136">
        <v>11</v>
      </c>
      <c r="K70" s="137">
        <f>VLOOKUP(D70,產線配置圖!$A$3:$C$40,3,0)</f>
        <v>1565</v>
      </c>
      <c r="L70" s="138">
        <f>K70/J70</f>
        <v>142.27272727272728</v>
      </c>
      <c r="M70" s="244">
        <v>10</v>
      </c>
      <c r="N70" s="137">
        <f>G70/W70*60</f>
        <v>1373.2894736842181</v>
      </c>
      <c r="O70" s="138">
        <f>N70/M70</f>
        <v>137.32894736842181</v>
      </c>
      <c r="P70" s="56">
        <f>M70-J70</f>
        <v>-1</v>
      </c>
      <c r="Q70" s="230">
        <f>O70-L70</f>
        <v>-4.9437799043054724</v>
      </c>
      <c r="R70" s="52">
        <f>O70/L70</f>
        <v>0.96525138725408299</v>
      </c>
      <c r="S70" s="392">
        <f>R79</f>
        <v>0.91927535240069336</v>
      </c>
      <c r="T70" s="245">
        <v>0.29166666666666702</v>
      </c>
      <c r="U70" s="245">
        <v>0.39722222222222198</v>
      </c>
      <c r="V70" s="55"/>
      <c r="W70" s="54">
        <f t="shared" si="4"/>
        <v>151.99999999999915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-191.71052631578186</v>
      </c>
      <c r="AG70" s="246">
        <f>N70/K70</f>
        <v>0.87750126114007554</v>
      </c>
      <c r="AH70" s="380">
        <f>AG79</f>
        <v>0.79503626844918385</v>
      </c>
    </row>
    <row r="71" spans="1:36" ht="15" customHeight="1">
      <c r="A71" s="390"/>
      <c r="B71" s="75" t="s">
        <v>132</v>
      </c>
      <c r="C71" s="76"/>
      <c r="D71" s="59" t="s">
        <v>136</v>
      </c>
      <c r="E71" s="77"/>
      <c r="F71" s="250">
        <f>VLOOKUP(D71,廠價表!$C$1:$E$43,3,0)</f>
        <v>28.26</v>
      </c>
      <c r="G71" s="30">
        <v>1445</v>
      </c>
      <c r="H71" s="254">
        <f>F71*G71</f>
        <v>40835.700000000004</v>
      </c>
      <c r="I71" s="182"/>
      <c r="J71" s="106">
        <f>VLOOKUP(D71,產線配置圖!$A$3:$C$40,2,0)</f>
        <v>11</v>
      </c>
      <c r="K71" s="107">
        <f>VLOOKUP(D71,產線配置圖!$A$3:$C$40,3,0)</f>
        <v>1636</v>
      </c>
      <c r="L71" s="238">
        <f>K71/J71</f>
        <v>148.72727272727272</v>
      </c>
      <c r="M71" s="82">
        <v>9</v>
      </c>
      <c r="N71" s="107">
        <f>G71/W71*60</f>
        <v>1171.6216216216194</v>
      </c>
      <c r="O71" s="238">
        <f>N71/M71</f>
        <v>130.18018018017995</v>
      </c>
      <c r="P71" s="111">
        <f>M71-J71</f>
        <v>-2</v>
      </c>
      <c r="Q71" s="255">
        <f>O71-L71</f>
        <v>-18.547092547092774</v>
      </c>
      <c r="R71" s="85">
        <f>O71/L71</f>
        <v>0.87529461001343489</v>
      </c>
      <c r="S71" s="393"/>
      <c r="T71" s="22">
        <v>0.40208333333333302</v>
      </c>
      <c r="U71" s="22">
        <v>0.453472222222222</v>
      </c>
      <c r="V71" s="30">
        <f>(T71-U70)*24*60</f>
        <v>6.9999999999998952</v>
      </c>
      <c r="W71" s="73">
        <f t="shared" si="4"/>
        <v>74.000000000000142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18">AVERAGE(J70:J78)</f>
        <v>11</v>
      </c>
      <c r="K79" s="240">
        <f t="shared" si="18"/>
        <v>1600.5</v>
      </c>
      <c r="L79" s="268">
        <f t="shared" si="18"/>
        <v>145.5</v>
      </c>
      <c r="M79" s="240">
        <f t="shared" si="18"/>
        <v>9.5</v>
      </c>
      <c r="N79" s="240">
        <f t="shared" si="18"/>
        <v>1272.4555476529188</v>
      </c>
      <c r="O79" s="268">
        <f t="shared" si="18"/>
        <v>133.75456377430089</v>
      </c>
      <c r="P79" s="269">
        <f>M79-J79</f>
        <v>-1.5</v>
      </c>
      <c r="Q79" s="222">
        <f>N79-K79</f>
        <v>-328.04445234708123</v>
      </c>
      <c r="R79" s="223">
        <f>O79/L79</f>
        <v>0.91927535240069336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-328.04445234708123</v>
      </c>
      <c r="AG79" s="124">
        <f>N79/K79</f>
        <v>0.79503626844918385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117" priority="1" operator="greaterThan">
      <formula>0</formula>
    </cfRule>
  </conditionalFormatting>
  <conditionalFormatting sqref="Q5:Q79 AF5:AF79">
    <cfRule type="cellIs" dxfId="116" priority="4" operator="lessThan">
      <formula>0</formula>
    </cfRule>
  </conditionalFormatting>
  <conditionalFormatting sqref="R5:R79 AG5:AG79">
    <cfRule type="cellIs" dxfId="115" priority="2" operator="greaterThan">
      <formula>1</formula>
    </cfRule>
    <cfRule type="cellIs" dxfId="114" priority="3" operator="lessThan">
      <formula>0.8</formula>
    </cfRule>
  </conditionalFormatting>
  <conditionalFormatting sqref="S5:S10 S37:S62 AH59:AH62 S69:S76 AH69:AH76">
    <cfRule type="cellIs" dxfId="113" priority="7" operator="lessThan">
      <formula>0.8</formula>
    </cfRule>
  </conditionalFormatting>
  <conditionalFormatting sqref="S19:S25 AH19:AH25">
    <cfRule type="cellIs" dxfId="112" priority="6" operator="lessThan">
      <formula>0.8</formula>
    </cfRule>
  </conditionalFormatting>
  <conditionalFormatting sqref="S79">
    <cfRule type="cellIs" dxfId="111" priority="5" operator="lessThan">
      <formula>0.8</formula>
    </cfRule>
  </conditionalFormatting>
  <conditionalFormatting sqref="AH5:AH8 S15:S16 AH15:AH16 AH49 AH79">
    <cfRule type="cellIs" dxfId="110" priority="9" operator="lessThan">
      <formula>0.8</formula>
    </cfRule>
  </conditionalFormatting>
  <conditionalFormatting sqref="AH27 S27:S28">
    <cfRule type="cellIs" dxfId="10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C870-184A-4153-8794-39D3E0F91504}">
  <dimension ref="B1:O26"/>
  <sheetViews>
    <sheetView topLeftCell="B1" zoomScale="70" zoomScaleNormal="70" workbookViewId="0">
      <selection activeCell="R16" sqref="R1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46285</v>
      </c>
      <c r="E3" s="504"/>
      <c r="F3" s="3" t="s">
        <v>72</v>
      </c>
      <c r="G3" s="505">
        <f>'0920'!E1</f>
        <v>67696</v>
      </c>
      <c r="H3" s="505"/>
      <c r="I3" s="3" t="s">
        <v>2</v>
      </c>
      <c r="J3" s="506">
        <f>'0920'!G1</f>
        <v>3161467.2189999991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126.22319007634135</v>
      </c>
      <c r="G6" s="501"/>
      <c r="H6" s="502">
        <f>AVERAGE(D13:H13)</f>
        <v>126.29489034930214</v>
      </c>
      <c r="I6" s="502"/>
      <c r="J6" s="502">
        <f>AVERAGE(I13:J13)</f>
        <v>126.0439393939394</v>
      </c>
      <c r="K6" s="502"/>
      <c r="L6" s="492">
        <f>'0920'!Z2</f>
        <v>0</v>
      </c>
      <c r="M6" s="493">
        <f>'0920'!AA2</f>
        <v>0</v>
      </c>
      <c r="N6" s="494">
        <f>'0920'!AD2</f>
        <v>0</v>
      </c>
      <c r="O6" s="493">
        <f>'0920'!AE2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115.15818713517297</v>
      </c>
      <c r="G7" s="490"/>
      <c r="H7" s="491">
        <f>AVERAGE(D14:H14)</f>
        <v>114.79527909910823</v>
      </c>
      <c r="I7" s="491"/>
      <c r="J7" s="491">
        <f>AVERAGE(I14:J14)</f>
        <v>116.06545722533481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0.91157969465619959</v>
      </c>
      <c r="G8" s="496"/>
      <c r="H8" s="496">
        <f>AVERAGE(D15:H15)</f>
        <v>0.90728872712814435</v>
      </c>
      <c r="I8" s="496"/>
      <c r="J8" s="496">
        <f>AVERAGE(I15:J15)</f>
        <v>0.92230711347633765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VALUE('0920'!L15)</f>
        <v>163.80494505494505</v>
      </c>
      <c r="E13" s="13">
        <f>VALUE('0920'!L26)</f>
        <v>174.10714285714289</v>
      </c>
      <c r="F13" s="13">
        <f>VALUE('0920'!L37)</f>
        <v>94.230392156862735</v>
      </c>
      <c r="G13" s="13">
        <f>VALUE('0920'!L48)</f>
        <v>96.300925925925924</v>
      </c>
      <c r="H13" s="13">
        <f>VALUE('0920'!L58)</f>
        <v>103.03104575163398</v>
      </c>
      <c r="I13" s="13">
        <f>VALUE('0920'!L69)</f>
        <v>135.50707070707071</v>
      </c>
      <c r="J13" s="13">
        <f>'0920'!L79</f>
        <v>116.58080808080808</v>
      </c>
    </row>
    <row r="14" spans="2:15" ht="39.950000000000003" customHeight="1">
      <c r="B14" s="484"/>
      <c r="C14" s="12" t="s">
        <v>100</v>
      </c>
      <c r="D14" s="13">
        <f>VALUE('0920'!O15)</f>
        <v>148.53952679973116</v>
      </c>
      <c r="E14" s="13">
        <f>VALUE('0920'!O26)</f>
        <v>160.12934257198376</v>
      </c>
      <c r="F14" s="13">
        <f>VALUE('0920'!O37)</f>
        <v>85.653838882697968</v>
      </c>
      <c r="G14" s="13">
        <f>VALUE('0920'!O48)</f>
        <v>84.4030543530545</v>
      </c>
      <c r="H14" s="13">
        <f>VALUE('0920'!O58)</f>
        <v>95.250632888073852</v>
      </c>
      <c r="I14" s="13">
        <f>VALUE('0920'!O69)</f>
        <v>122.3190824603098</v>
      </c>
      <c r="J14" s="13">
        <f>'0920'!O79</f>
        <v>109.81183199035982</v>
      </c>
    </row>
    <row r="15" spans="2:15" ht="39.950000000000003" customHeight="1">
      <c r="B15" s="485"/>
      <c r="C15" s="10" t="s">
        <v>26</v>
      </c>
      <c r="D15" s="14">
        <f t="shared" ref="D15:I15" si="0">D14/D13</f>
        <v>0.90680734180464817</v>
      </c>
      <c r="E15" s="14">
        <f t="shared" si="0"/>
        <v>0.9197172496442142</v>
      </c>
      <c r="F15" s="14">
        <f t="shared" si="0"/>
        <v>0.90898315206109281</v>
      </c>
      <c r="G15" s="14">
        <f t="shared" si="0"/>
        <v>0.87645111967019718</v>
      </c>
      <c r="H15" s="14">
        <f t="shared" si="0"/>
        <v>0.92448477246056937</v>
      </c>
      <c r="I15" s="14">
        <f t="shared" si="0"/>
        <v>0.90267675201045605</v>
      </c>
      <c r="J15" s="15">
        <f>'0920'!S70</f>
        <v>0.94193747494221913</v>
      </c>
    </row>
    <row r="16" spans="2:15" ht="17.25" customHeight="1">
      <c r="B16" s="486" t="s">
        <v>101</v>
      </c>
      <c r="C16" s="10" t="s">
        <v>34</v>
      </c>
      <c r="D16" s="16">
        <f>'0920'!T5</f>
        <v>0.29166666666666702</v>
      </c>
      <c r="E16" s="16">
        <f>'0920'!T16</f>
        <v>0.29236111111111102</v>
      </c>
      <c r="F16" s="16">
        <f>'0920'!T27</f>
        <v>0.29166666666666702</v>
      </c>
      <c r="G16" s="16">
        <f>'0920'!T38</f>
        <v>0.33333333333333298</v>
      </c>
      <c r="H16" s="16">
        <f>'0920'!T49</f>
        <v>0.29166666666666702</v>
      </c>
      <c r="I16" s="16">
        <f>'0920'!T59</f>
        <v>0.29166666666666702</v>
      </c>
      <c r="J16" s="17">
        <f>'0920'!T70</f>
        <v>0.28819444444444398</v>
      </c>
    </row>
    <row r="17" spans="2:10" ht="17.25" customHeight="1">
      <c r="B17" s="487"/>
      <c r="C17" s="10" t="s">
        <v>35</v>
      </c>
      <c r="D17" s="16">
        <v>0.59722222222222199</v>
      </c>
      <c r="E17" s="183">
        <v>0.62013888888888902</v>
      </c>
      <c r="F17" s="19">
        <v>0.64166666666666705</v>
      </c>
      <c r="G17" s="328">
        <v>0.65277777777777801</v>
      </c>
      <c r="H17" s="21">
        <v>0.60416666666666696</v>
      </c>
      <c r="I17" s="110">
        <v>0.64930555555555602</v>
      </c>
      <c r="J17" s="22">
        <v>0.62847222222222199</v>
      </c>
    </row>
    <row r="18" spans="2:10" ht="17.25" customHeight="1">
      <c r="B18" s="488" t="s">
        <v>102</v>
      </c>
      <c r="C18" s="330" t="s">
        <v>36</v>
      </c>
      <c r="D18" s="359">
        <f>'0920'!Z15</f>
        <v>0</v>
      </c>
      <c r="E18" s="360">
        <f>'0920'!Z26</f>
        <v>0</v>
      </c>
      <c r="F18" s="360">
        <f>'0920'!Z37</f>
        <v>0</v>
      </c>
      <c r="G18" s="361">
        <f>'0920'!Z48</f>
        <v>0</v>
      </c>
      <c r="H18" s="361">
        <f>'0920'!Z58</f>
        <v>0</v>
      </c>
      <c r="I18" s="360">
        <f>'0920'!Z69</f>
        <v>0</v>
      </c>
      <c r="J18" s="360">
        <f>'0920'!AA79</f>
        <v>0</v>
      </c>
    </row>
    <row r="19" spans="2:10" ht="17.25" customHeight="1">
      <c r="B19" s="489"/>
      <c r="C19" s="330" t="s">
        <v>37</v>
      </c>
      <c r="D19" s="359">
        <f>'0920'!AA15</f>
        <v>0</v>
      </c>
      <c r="E19" s="360">
        <f>'0920'!AA26</f>
        <v>0</v>
      </c>
      <c r="F19" s="360">
        <f>'0920'!AA37</f>
        <v>0</v>
      </c>
      <c r="G19" s="361">
        <f>'0920'!AA48</f>
        <v>0</v>
      </c>
      <c r="H19" s="361">
        <f>'0920'!AA58</f>
        <v>0</v>
      </c>
      <c r="I19" s="360">
        <f>'0920'!AA69</f>
        <v>0</v>
      </c>
      <c r="J19" s="360">
        <f>'0920'!AB79</f>
        <v>0</v>
      </c>
    </row>
    <row r="20" spans="2:10" ht="17.25" customHeight="1">
      <c r="B20" s="488" t="s">
        <v>103</v>
      </c>
      <c r="C20" s="330" t="s">
        <v>36</v>
      </c>
      <c r="D20" s="359">
        <f>'0920'!AD15</f>
        <v>0</v>
      </c>
      <c r="E20" s="360">
        <f>'0920'!AD26</f>
        <v>0</v>
      </c>
      <c r="F20" s="360">
        <f>'0920'!AD37</f>
        <v>0</v>
      </c>
      <c r="G20" s="361">
        <f>'0920'!AD48</f>
        <v>0</v>
      </c>
      <c r="H20" s="361">
        <f>'0920'!AD58</f>
        <v>0</v>
      </c>
      <c r="I20" s="360">
        <f>'0920'!AD69</f>
        <v>0</v>
      </c>
      <c r="J20" s="360">
        <f>'0920'!AD79</f>
        <v>0</v>
      </c>
    </row>
    <row r="21" spans="2:10" ht="17.25" customHeight="1">
      <c r="B21" s="489"/>
      <c r="C21" s="330" t="s">
        <v>85</v>
      </c>
      <c r="D21" s="359">
        <f>'0920'!AE15</f>
        <v>0</v>
      </c>
      <c r="E21" s="360">
        <f>'0920'!AE26</f>
        <v>0</v>
      </c>
      <c r="F21" s="360">
        <f>'0920'!AE37</f>
        <v>0</v>
      </c>
      <c r="G21" s="361">
        <f>'0920'!AE48</f>
        <v>0</v>
      </c>
      <c r="H21" s="361">
        <f>'0920'!AE58</f>
        <v>0</v>
      </c>
      <c r="I21" s="360">
        <f>'0920'!AE69</f>
        <v>0</v>
      </c>
      <c r="J21" s="360">
        <f>'0920'!AE79</f>
        <v>0</v>
      </c>
    </row>
    <row r="22" spans="2:10" ht="17.25" customHeight="1">
      <c r="B22" s="471" t="s">
        <v>104</v>
      </c>
      <c r="C22" s="472"/>
      <c r="D22" s="23">
        <f>VALUE('0920'!M15)</f>
        <v>13.75</v>
      </c>
      <c r="E22" s="23">
        <f>VALUE('0920'!M26)</f>
        <v>13</v>
      </c>
      <c r="F22" s="23">
        <f>VALUE('0920'!M37)</f>
        <v>16.600000000000001</v>
      </c>
      <c r="G22" s="23">
        <f>VALUE('0920'!M48)</f>
        <v>17.333333333333332</v>
      </c>
      <c r="H22" s="23">
        <f>VALUE('0920'!M58)</f>
        <v>16.75</v>
      </c>
      <c r="I22" s="23">
        <f>VALUE('0920'!M69)</f>
        <v>12.333333333333334</v>
      </c>
      <c r="J22" s="23">
        <f>'0920'!M79</f>
        <v>10.5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10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9D1A0-6AAC-4BEF-9097-BF1A4C9DC693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U8" sqref="U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67696</v>
      </c>
      <c r="F1" s="30" t="s">
        <v>2</v>
      </c>
      <c r="G1" s="31">
        <f>SUM(H5:H79)</f>
        <v>3161467.2189999991</v>
      </c>
      <c r="H1" s="32" t="s">
        <v>3</v>
      </c>
      <c r="I1" s="33">
        <f>M15+M26+M48+M58+M69+M79+M37</f>
        <v>100.26666666666665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189</v>
      </c>
      <c r="B2" s="462"/>
      <c r="C2" s="28"/>
      <c r="D2" s="28" t="s">
        <v>14</v>
      </c>
      <c r="E2" s="35">
        <f>AVERAGE(O15,O26,O37,O48,O58,O69,O79)</f>
        <v>115.15818713517297</v>
      </c>
      <c r="F2" s="36" t="s">
        <v>15</v>
      </c>
      <c r="G2" s="37">
        <f>G1/E1</f>
        <v>46.700945683644512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0</v>
      </c>
      <c r="AA2" s="339">
        <f>AA15+AA26+AA37+AA48+AA58+AA69+AA79</f>
        <v>0</v>
      </c>
      <c r="AB2" s="433"/>
      <c r="AC2" s="433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3538</v>
      </c>
      <c r="H5" s="43">
        <f>F5*G5</f>
        <v>201206.06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2166.12244897961</v>
      </c>
      <c r="O5" s="47">
        <f>N5/M5</f>
        <v>154.72303206997213</v>
      </c>
      <c r="P5" s="49">
        <f>M5-J5</f>
        <v>0</v>
      </c>
      <c r="Q5" s="50">
        <f>O5-L5</f>
        <v>-5.9912536443135878</v>
      </c>
      <c r="R5" s="51">
        <f>O5/L5</f>
        <v>0.96272108843538218</v>
      </c>
      <c r="S5" s="392">
        <f>R15</f>
        <v>0.90680734180464817</v>
      </c>
      <c r="T5" s="319">
        <v>0.29166666666666702</v>
      </c>
      <c r="U5" s="320">
        <v>0.359722222222222</v>
      </c>
      <c r="V5" s="53"/>
      <c r="W5" s="54">
        <f t="shared" ref="W5:W14" si="0">(U5-T5)*24*60</f>
        <v>97.999999999999176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-83.877551020390001</v>
      </c>
      <c r="AG5" s="52">
        <f t="shared" ref="AG5:AG11" si="2">N5/K5</f>
        <v>0.96272108843538218</v>
      </c>
      <c r="AH5" s="380">
        <f>AG15</f>
        <v>0.90758843537415168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1819</v>
      </c>
      <c r="H6" s="63">
        <f>F6*G6</f>
        <v>105811.23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1948.9285714285645</v>
      </c>
      <c r="O6" s="67">
        <f>N6/M6</f>
        <v>149.91758241758188</v>
      </c>
      <c r="P6" s="69">
        <f>M6-J6</f>
        <v>0</v>
      </c>
      <c r="Q6" s="70">
        <f>O6-L6</f>
        <v>-23.159340659341183</v>
      </c>
      <c r="R6" s="71">
        <f>O6/L6</f>
        <v>0.86619047619047318</v>
      </c>
      <c r="S6" s="393"/>
      <c r="T6" s="16">
        <v>0.36527777777777798</v>
      </c>
      <c r="U6" s="16">
        <v>0.40416666666666701</v>
      </c>
      <c r="V6" s="30">
        <f>(T6-U5)*24*60</f>
        <v>8.0000000000006111</v>
      </c>
      <c r="W6" s="73">
        <f t="shared" si="0"/>
        <v>56.000000000000199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-301.07142857143549</v>
      </c>
      <c r="AG6" s="72">
        <f t="shared" si="2"/>
        <v>0.86619047619047307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61">
        <f>VLOOKUP(D7,廠價表!$C$1:$E$43,3,0)</f>
        <v>49.14</v>
      </c>
      <c r="G7" s="66">
        <v>3205</v>
      </c>
      <c r="H7" s="78">
        <f>F7*G7</f>
        <v>157493.70000000001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1962.2448979591697</v>
      </c>
      <c r="O7" s="81">
        <f>N7/M7</f>
        <v>140.16034985422641</v>
      </c>
      <c r="P7" s="74">
        <f>M7-J7</f>
        <v>0</v>
      </c>
      <c r="Q7" s="83">
        <f>O7-L7</f>
        <v>-20.553935860059312</v>
      </c>
      <c r="R7" s="72">
        <f>O7/L7</f>
        <v>0.8721088435374087</v>
      </c>
      <c r="S7" s="393"/>
      <c r="T7" s="18">
        <v>0.41111111111111098</v>
      </c>
      <c r="U7" s="18">
        <v>0.47916666666666702</v>
      </c>
      <c r="V7" s="30">
        <f>(T7-U6)*24*60</f>
        <v>9.999999999999325</v>
      </c>
      <c r="W7" s="73">
        <f t="shared" si="0"/>
        <v>98.000000000000696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-287.75510204083025</v>
      </c>
      <c r="AG7" s="72">
        <f t="shared" si="2"/>
        <v>0.87210884353740881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61">
        <f>VLOOKUP(D8,廠價表!$C$1:$E$43,3,0)</f>
        <v>49.14</v>
      </c>
      <c r="G8" s="66">
        <v>2788</v>
      </c>
      <c r="H8" s="78">
        <f>F8*G8</f>
        <v>137002.32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2091.00000000002</v>
      </c>
      <c r="O8" s="81">
        <f>N8/M8</f>
        <v>149.35714285714428</v>
      </c>
      <c r="P8" s="74">
        <f>M8-J8</f>
        <v>0</v>
      </c>
      <c r="Q8" s="83">
        <f>O8-L8</f>
        <v>-11.35714285714144</v>
      </c>
      <c r="R8" s="72">
        <f>O8/L8</f>
        <v>0.92933333333334212</v>
      </c>
      <c r="S8" s="393"/>
      <c r="T8" s="16">
        <v>0.54166666666666696</v>
      </c>
      <c r="U8" s="16">
        <v>0.59722222222222199</v>
      </c>
      <c r="V8" s="30">
        <f>(T8-U7)*24*60</f>
        <v>89.999999999999915</v>
      </c>
      <c r="W8" s="73">
        <f t="shared" si="0"/>
        <v>79.999999999999233</v>
      </c>
      <c r="X8" s="22">
        <v>0.48611111111111099</v>
      </c>
      <c r="Y8" s="84">
        <v>0.52777777777777801</v>
      </c>
      <c r="Z8" s="90"/>
      <c r="AA8" s="90"/>
      <c r="AB8" s="430"/>
      <c r="AC8" s="430"/>
      <c r="AD8" s="149"/>
      <c r="AE8" s="149"/>
      <c r="AF8" s="307">
        <f t="shared" si="1"/>
        <v>-158.99999999997999</v>
      </c>
      <c r="AG8" s="72">
        <f t="shared" si="2"/>
        <v>0.92933333333334223</v>
      </c>
      <c r="AH8" s="382"/>
    </row>
    <row r="9" spans="1:34" ht="15" customHeight="1">
      <c r="A9" s="467"/>
      <c r="B9" s="75"/>
      <c r="C9" s="86"/>
      <c r="D9" s="59"/>
      <c r="E9" s="87"/>
      <c r="F9" s="75"/>
      <c r="G9" s="62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13.75</v>
      </c>
      <c r="K15" s="120">
        <f t="shared" si="3"/>
        <v>2250</v>
      </c>
      <c r="L15" s="117">
        <f t="shared" si="3"/>
        <v>163.80494505494505</v>
      </c>
      <c r="M15" s="120">
        <f t="shared" si="3"/>
        <v>13.75</v>
      </c>
      <c r="N15" s="120">
        <f t="shared" si="3"/>
        <v>2042.0739795918412</v>
      </c>
      <c r="O15" s="117">
        <f t="shared" si="3"/>
        <v>148.53952679973116</v>
      </c>
      <c r="P15" s="121">
        <f>M15-J15</f>
        <v>0</v>
      </c>
      <c r="Q15" s="122">
        <f>O15-L15</f>
        <v>-15.265418255213888</v>
      </c>
      <c r="R15" s="123">
        <f>O15/L15</f>
        <v>0.90680734180464817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-207.92602040815882</v>
      </c>
      <c r="AG15" s="124">
        <f>N15/K15</f>
        <v>0.90758843537415168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5229</v>
      </c>
      <c r="H16" s="134">
        <f>F16*G16</f>
        <v>264953.43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2178.7500000000005</v>
      </c>
      <c r="O16" s="141">
        <f>N16/M16</f>
        <v>155.62500000000003</v>
      </c>
      <c r="P16" s="142">
        <f>M16-J16</f>
        <v>0</v>
      </c>
      <c r="Q16" s="143">
        <f>O16-L16</f>
        <v>-5.089285714285694</v>
      </c>
      <c r="R16" s="144">
        <f>O16/L16</f>
        <v>0.96833333333333349</v>
      </c>
      <c r="S16" s="420">
        <f>R26</f>
        <v>0.9197172496442142</v>
      </c>
      <c r="T16" s="145">
        <v>0.29236111111111102</v>
      </c>
      <c r="U16" s="145">
        <v>0.39236111111111099</v>
      </c>
      <c r="V16" s="135"/>
      <c r="W16" s="146">
        <f t="shared" ref="W16:W78" si="4">(U16-T16)*24*60</f>
        <v>143.99999999999997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-71.249999999999545</v>
      </c>
      <c r="AG16" s="52">
        <f>N16/K16</f>
        <v>0.96833333333333349</v>
      </c>
      <c r="AH16" s="380">
        <f>AG26</f>
        <v>0.92316998578073795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3209</v>
      </c>
      <c r="H17" s="78">
        <f>F17*G17</f>
        <v>161701.51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2115.8241758241575</v>
      </c>
      <c r="O17" s="96">
        <f>N17/M17</f>
        <v>176.31868131867978</v>
      </c>
      <c r="P17" s="97">
        <f>M17-J17</f>
        <v>0</v>
      </c>
      <c r="Q17" s="98">
        <f>O17-L17</f>
        <v>-11.181318681320221</v>
      </c>
      <c r="R17" s="99">
        <f>O17/L17</f>
        <v>0.94036630036629221</v>
      </c>
      <c r="S17" s="421"/>
      <c r="T17" s="19">
        <v>0.41319444444444398</v>
      </c>
      <c r="U17" s="19">
        <v>0.47638888888888897</v>
      </c>
      <c r="V17" s="30">
        <f>(T17-U16)*24*60</f>
        <v>29.999999999999496</v>
      </c>
      <c r="W17" s="149">
        <f t="shared" si="4"/>
        <v>91.000000000000796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-134.17582417584254</v>
      </c>
      <c r="AG17" s="72">
        <f>N17/K17</f>
        <v>0.94036630036629221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2418</v>
      </c>
      <c r="H18" s="78">
        <f>F18*G18</f>
        <v>121843.02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1836.4556962025342</v>
      </c>
      <c r="O18" s="96">
        <f>N18/M18</f>
        <v>153.03797468354452</v>
      </c>
      <c r="P18" s="97">
        <f>M18-J18</f>
        <v>0</v>
      </c>
      <c r="Q18" s="98">
        <f>O18-L18</f>
        <v>-34.462025316455481</v>
      </c>
      <c r="R18" s="99">
        <f>O18/L18</f>
        <v>0.81620253164557077</v>
      </c>
      <c r="S18" s="421"/>
      <c r="T18" s="19">
        <v>0.54166666666666696</v>
      </c>
      <c r="U18" s="19">
        <v>0.59652777777777799</v>
      </c>
      <c r="V18" s="30">
        <f>(T18-U17)*24*60</f>
        <v>94.000000000000313</v>
      </c>
      <c r="W18" s="149">
        <f t="shared" si="4"/>
        <v>78.999999999999886</v>
      </c>
      <c r="X18" s="22">
        <v>0.48611111111111099</v>
      </c>
      <c r="Y18" s="84">
        <v>0.52777777777777801</v>
      </c>
      <c r="Z18" s="90"/>
      <c r="AA18" s="90"/>
      <c r="AB18" s="386"/>
      <c r="AC18" s="386"/>
      <c r="AD18" s="92"/>
      <c r="AE18" s="92"/>
      <c r="AF18" s="307">
        <f>N18-K18</f>
        <v>-413.54430379746577</v>
      </c>
      <c r="AG18" s="72">
        <f>N18/K18</f>
        <v>0.81620253164557077</v>
      </c>
      <c r="AH18" s="382"/>
    </row>
    <row r="19" spans="1:34" ht="15" customHeight="1">
      <c r="A19" s="427"/>
      <c r="B19" s="75" t="s">
        <v>81</v>
      </c>
      <c r="C19" s="76"/>
      <c r="D19" s="59" t="s">
        <v>119</v>
      </c>
      <c r="E19" s="77"/>
      <c r="F19" s="75">
        <f>VLOOKUP(D19,廠價表!$C$1:$E$43,3,0)</f>
        <v>50.67</v>
      </c>
      <c r="G19" s="147">
        <v>871</v>
      </c>
      <c r="H19" s="78">
        <f>F19*G19</f>
        <v>44133.57</v>
      </c>
      <c r="I19" s="30"/>
      <c r="J19" s="79">
        <v>14</v>
      </c>
      <c r="K19" s="80">
        <f>VLOOKUP(D19,產線配置圖!$A$3:$C$40,3,0)</f>
        <v>2250</v>
      </c>
      <c r="L19" s="81">
        <f>K19/J19</f>
        <v>160.71428571428572</v>
      </c>
      <c r="M19" s="148">
        <v>14</v>
      </c>
      <c r="N19" s="95">
        <f>G19/W19*60</f>
        <v>2177.4999999999495</v>
      </c>
      <c r="O19" s="96">
        <f>N19/M19</f>
        <v>155.53571428571067</v>
      </c>
      <c r="P19" s="97">
        <f>M19-J19</f>
        <v>0</v>
      </c>
      <c r="Q19" s="98">
        <f>O19-L19</f>
        <v>-5.1785714285750544</v>
      </c>
      <c r="R19" s="99">
        <f>O19/L19</f>
        <v>0.9677777777777552</v>
      </c>
      <c r="S19" s="421"/>
      <c r="T19" s="19">
        <v>0.60347222222222197</v>
      </c>
      <c r="U19" s="19">
        <v>0.62013888888888902</v>
      </c>
      <c r="V19" s="30">
        <f>(T19-U18)*24*60</f>
        <v>9.999999999999325</v>
      </c>
      <c r="W19" s="149">
        <f t="shared" si="4"/>
        <v>24.000000000000554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-72.500000000050477</v>
      </c>
      <c r="AG19" s="72">
        <f>N19/K19</f>
        <v>0.96777777777775531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174.10714285714289</v>
      </c>
      <c r="M26" s="155">
        <f t="shared" si="5"/>
        <v>13</v>
      </c>
      <c r="N26" s="155">
        <f t="shared" si="5"/>
        <v>2077.1324680066605</v>
      </c>
      <c r="O26" s="158">
        <f t="shared" si="5"/>
        <v>160.12934257198376</v>
      </c>
      <c r="P26" s="159">
        <f t="shared" ref="P26:P31" si="6">M26-J26</f>
        <v>0</v>
      </c>
      <c r="Q26" s="160">
        <f t="shared" ref="Q26:Q31" si="7">O26-L26</f>
        <v>-13.977800285159134</v>
      </c>
      <c r="R26" s="161">
        <f t="shared" ref="R26:R31" si="8">O26/L26</f>
        <v>0.9197172496442142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9">N26-K26</f>
        <v>-172.86753199333953</v>
      </c>
      <c r="AG26" s="124">
        <f t="shared" ref="AG26:AG31" si="10">N26/K26</f>
        <v>0.92316998578073795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57.21</v>
      </c>
      <c r="G27" s="169">
        <v>1143</v>
      </c>
      <c r="H27" s="134">
        <f>F27*G27</f>
        <v>65391.03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17</v>
      </c>
      <c r="N27" s="140">
        <f>G27/W27*60</f>
        <v>1490.8695652174122</v>
      </c>
      <c r="O27" s="141">
        <f>N27/M27</f>
        <v>87.698209718671308</v>
      </c>
      <c r="P27" s="142">
        <f t="shared" si="6"/>
        <v>-1</v>
      </c>
      <c r="Q27" s="143">
        <f t="shared" si="7"/>
        <v>-3.1906791702175781</v>
      </c>
      <c r="R27" s="144">
        <f t="shared" si="8"/>
        <v>0.96489472795604136</v>
      </c>
      <c r="S27" s="420">
        <f>R37</f>
        <v>0.90898315206109281</v>
      </c>
      <c r="T27" s="171">
        <v>0.29166666666666702</v>
      </c>
      <c r="U27" s="171">
        <v>0.32361111111111102</v>
      </c>
      <c r="V27" s="135"/>
      <c r="W27" s="146">
        <f t="shared" si="4"/>
        <v>45.999999999999361</v>
      </c>
      <c r="X27" s="135"/>
      <c r="Y27" s="300" t="s">
        <v>46</v>
      </c>
      <c r="Z27" s="169"/>
      <c r="AA27" s="169"/>
      <c r="AB27" s="397"/>
      <c r="AC27" s="397"/>
      <c r="AD27" s="135"/>
      <c r="AE27" s="135"/>
      <c r="AF27" s="310">
        <f t="shared" si="9"/>
        <v>-145.13043478258783</v>
      </c>
      <c r="AG27" s="172">
        <f t="shared" si="10"/>
        <v>0.91128946529181676</v>
      </c>
      <c r="AH27" s="380">
        <f>AG37</f>
        <v>0.86935318626528324</v>
      </c>
    </row>
    <row r="28" spans="1:34" ht="15" customHeight="1">
      <c r="A28" s="418"/>
      <c r="B28" s="75" t="s">
        <v>81</v>
      </c>
      <c r="C28" s="173"/>
      <c r="D28" s="59" t="s">
        <v>124</v>
      </c>
      <c r="E28" s="104"/>
      <c r="F28" s="75">
        <f>VLOOKUP(D28,廠價表!$C$1:$E$43,3,0)</f>
        <v>46.34</v>
      </c>
      <c r="G28" s="90">
        <v>1008</v>
      </c>
      <c r="H28" s="91">
        <f>F28*G28</f>
        <v>46710.720000000001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16</v>
      </c>
      <c r="N28" s="95">
        <f>G28/W28*60</f>
        <v>1440.0000000000325</v>
      </c>
      <c r="O28" s="96">
        <f>N28/M28</f>
        <v>90.000000000002032</v>
      </c>
      <c r="P28" s="97">
        <f t="shared" si="6"/>
        <v>0</v>
      </c>
      <c r="Q28" s="98">
        <f t="shared" si="7"/>
        <v>-12.249999999997968</v>
      </c>
      <c r="R28" s="99">
        <f t="shared" si="8"/>
        <v>0.88019559902202471</v>
      </c>
      <c r="S28" s="421"/>
      <c r="T28" s="19">
        <v>0.329166666666667</v>
      </c>
      <c r="U28" s="19">
        <v>0.358333333333333</v>
      </c>
      <c r="V28" s="92">
        <f>(T28-U27)*24*60</f>
        <v>8.0000000000006111</v>
      </c>
      <c r="W28" s="149">
        <f t="shared" si="4"/>
        <v>41.999999999999048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9"/>
        <v>-195.99999999996749</v>
      </c>
      <c r="AG28" s="99">
        <f t="shared" si="10"/>
        <v>0.88019559902202471</v>
      </c>
      <c r="AH28" s="381"/>
    </row>
    <row r="29" spans="1:34" ht="15" customHeight="1">
      <c r="A29" s="418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613</v>
      </c>
      <c r="H29" s="91">
        <f t="shared" ref="H29:H31" si="11">F29*G29</f>
        <v>27989.579999999998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 t="shared" ref="L29:L31" si="12">K29/J29</f>
        <v>96.235294117647058</v>
      </c>
      <c r="M29" s="94">
        <v>16</v>
      </c>
      <c r="N29" s="95">
        <f>G29/W29*60</f>
        <v>1268.275862068956</v>
      </c>
      <c r="O29" s="96">
        <f>N29/M29</f>
        <v>79.267241379309752</v>
      </c>
      <c r="P29" s="97">
        <f t="shared" si="6"/>
        <v>-1</v>
      </c>
      <c r="Q29" s="98">
        <f t="shared" si="7"/>
        <v>-16.968052738337306</v>
      </c>
      <c r="R29" s="99">
        <f t="shared" si="8"/>
        <v>0.82368160357473463</v>
      </c>
      <c r="S29" s="421"/>
      <c r="T29" s="19">
        <v>0.36458333333333298</v>
      </c>
      <c r="U29" s="19">
        <v>0.38472222222222202</v>
      </c>
      <c r="V29" s="92">
        <f>(T29-U28)*24*60</f>
        <v>8.999999999999968</v>
      </c>
      <c r="W29" s="149">
        <f t="shared" si="4"/>
        <v>29.000000000000217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9"/>
        <v>-367.72413793104397</v>
      </c>
      <c r="AG29" s="99">
        <f t="shared" si="10"/>
        <v>0.77522974454092664</v>
      </c>
      <c r="AH29" s="381"/>
    </row>
    <row r="30" spans="1:34" ht="15" customHeight="1">
      <c r="A30" s="418"/>
      <c r="B30" s="75" t="s">
        <v>81</v>
      </c>
      <c r="C30" s="88"/>
      <c r="D30" s="59" t="s">
        <v>161</v>
      </c>
      <c r="E30" s="89"/>
      <c r="F30" s="75">
        <f>VLOOKUP(D30,廠價表!$C$1:$E$43,3,0)</f>
        <v>52.21</v>
      </c>
      <c r="G30" s="90">
        <v>2373</v>
      </c>
      <c r="H30" s="91">
        <f t="shared" si="11"/>
        <v>123894.33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si="12"/>
        <v>90.888888888888886</v>
      </c>
      <c r="M30" s="94">
        <v>17</v>
      </c>
      <c r="N30" s="95">
        <f>G30/W30*60</f>
        <v>1423.7999999999881</v>
      </c>
      <c r="O30" s="96">
        <f>N30/M30</f>
        <v>83.752941176469889</v>
      </c>
      <c r="P30" s="97">
        <f t="shared" si="6"/>
        <v>-1</v>
      </c>
      <c r="Q30" s="98">
        <f t="shared" si="7"/>
        <v>-7.1359477124189965</v>
      </c>
      <c r="R30" s="99">
        <f t="shared" si="8"/>
        <v>0.92148712785847064</v>
      </c>
      <c r="S30" s="421"/>
      <c r="T30" s="19">
        <v>0.39236111111111099</v>
      </c>
      <c r="U30" s="19">
        <v>0.46180555555555602</v>
      </c>
      <c r="V30" s="92">
        <f>(T30-U29)*24*60</f>
        <v>11.000000000000121</v>
      </c>
      <c r="W30" s="149">
        <f t="shared" si="4"/>
        <v>100.00000000000084</v>
      </c>
      <c r="X30" s="174">
        <v>0.49652777777777801</v>
      </c>
      <c r="Y30" s="301">
        <v>0.53819444444444398</v>
      </c>
      <c r="Z30" s="335"/>
      <c r="AA30" s="335"/>
      <c r="AB30" s="386"/>
      <c r="AC30" s="386"/>
      <c r="AD30" s="92"/>
      <c r="AE30" s="92"/>
      <c r="AF30" s="312">
        <f t="shared" si="9"/>
        <v>-212.20000000001187</v>
      </c>
      <c r="AG30" s="99">
        <f t="shared" si="10"/>
        <v>0.87029339853300003</v>
      </c>
      <c r="AH30" s="416"/>
    </row>
    <row r="31" spans="1:34" ht="15" customHeight="1">
      <c r="A31" s="418"/>
      <c r="B31" s="75" t="s">
        <v>81</v>
      </c>
      <c r="C31" s="88"/>
      <c r="D31" s="59" t="s">
        <v>161</v>
      </c>
      <c r="E31" s="89"/>
      <c r="F31" s="75">
        <f>VLOOKUP(D31,廠價表!$C$1:$E$43,3,0)</f>
        <v>52.21</v>
      </c>
      <c r="G31" s="90">
        <v>4093</v>
      </c>
      <c r="H31" s="91">
        <f t="shared" si="11"/>
        <v>213695.53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12"/>
        <v>90.888888888888886</v>
      </c>
      <c r="M31" s="94">
        <v>17</v>
      </c>
      <c r="N31" s="95">
        <f>G31/W31*60</f>
        <v>1488.3636363636272</v>
      </c>
      <c r="O31" s="96">
        <f>N31/M31</f>
        <v>87.55080213903689</v>
      </c>
      <c r="P31" s="97">
        <f t="shared" si="6"/>
        <v>-1</v>
      </c>
      <c r="Q31" s="98">
        <f t="shared" si="7"/>
        <v>-3.3380867498519962</v>
      </c>
      <c r="R31" s="99">
        <f t="shared" si="8"/>
        <v>0.96327288417033252</v>
      </c>
      <c r="S31" s="421"/>
      <c r="T31" s="19">
        <v>0.52708333333333302</v>
      </c>
      <c r="U31" s="19">
        <v>0.64166666666666705</v>
      </c>
      <c r="V31" s="92">
        <f>(T31-U30)*24*60</f>
        <v>93.999999999998863</v>
      </c>
      <c r="W31" s="149">
        <f t="shared" si="4"/>
        <v>165.00000000000102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9"/>
        <v>-147.63636363637283</v>
      </c>
      <c r="AG31" s="99">
        <f t="shared" si="10"/>
        <v>0.9097577239386474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13">AVERAGE(J27:J36)</f>
        <v>17.399999999999999</v>
      </c>
      <c r="K37" s="155">
        <f t="shared" si="13"/>
        <v>1636</v>
      </c>
      <c r="L37" s="158">
        <f t="shared" si="13"/>
        <v>94.230392156862735</v>
      </c>
      <c r="M37" s="155">
        <f t="shared" si="13"/>
        <v>16.600000000000001</v>
      </c>
      <c r="N37" s="155">
        <f t="shared" si="13"/>
        <v>1422.2618127300034</v>
      </c>
      <c r="O37" s="158">
        <f t="shared" si="13"/>
        <v>85.653838882697968</v>
      </c>
      <c r="P37" s="159">
        <f>M37-J37</f>
        <v>-0.79999999999999716</v>
      </c>
      <c r="Q37" s="160">
        <f>N37-K37</f>
        <v>-213.73818726999662</v>
      </c>
      <c r="R37" s="161">
        <f>O37/L37</f>
        <v>0.90898315206109281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-213.73818726999662</v>
      </c>
      <c r="AG37" s="124">
        <f>N37/K37</f>
        <v>0.86935318626528324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2782</v>
      </c>
      <c r="H38" s="134">
        <f>F38*G38</f>
        <v>138849.62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1517.454545454543</v>
      </c>
      <c r="O38" s="141">
        <f>N38/M38</f>
        <v>94.840909090908937</v>
      </c>
      <c r="P38" s="142">
        <f>M38-J38</f>
        <v>0</v>
      </c>
      <c r="Q38" s="143">
        <f>O38-L38</f>
        <v>-12.284090909091063</v>
      </c>
      <c r="R38" s="144">
        <f>O38/L38</f>
        <v>0.88532937307732962</v>
      </c>
      <c r="S38" s="410">
        <f>R48</f>
        <v>0.87645111967019718</v>
      </c>
      <c r="T38" s="191">
        <v>0.33333333333333298</v>
      </c>
      <c r="U38" s="191">
        <v>0.40972222222222199</v>
      </c>
      <c r="V38" s="192"/>
      <c r="W38" s="193">
        <f t="shared" si="4"/>
        <v>110.00000000000017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-196.54545454545701</v>
      </c>
      <c r="AG38" s="195">
        <f>N38/K38</f>
        <v>0.88532937307732962</v>
      </c>
      <c r="AH38" s="413">
        <f>AG48</f>
        <v>0.87606961830788699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2638</v>
      </c>
      <c r="H39" s="91">
        <f>F39*G39</f>
        <v>116863.4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1507.4285714285859</v>
      </c>
      <c r="O39" s="203">
        <f>N39/M39</f>
        <v>83.746031746032543</v>
      </c>
      <c r="P39" s="97">
        <f>M39-J39</f>
        <v>0</v>
      </c>
      <c r="Q39" s="98">
        <f>O39-L39</f>
        <v>-7.142857142856343</v>
      </c>
      <c r="R39" s="99">
        <f>O39/L39</f>
        <v>0.92141110723018693</v>
      </c>
      <c r="S39" s="411"/>
      <c r="T39" s="20">
        <v>0.41666666666666702</v>
      </c>
      <c r="U39" s="20">
        <v>0.48958333333333298</v>
      </c>
      <c r="V39" s="92">
        <f>(T39-U38)*24*60</f>
        <v>10.000000000000844</v>
      </c>
      <c r="W39" s="205">
        <f t="shared" si="4"/>
        <v>104.99999999999899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-128.57142857141412</v>
      </c>
      <c r="AG39" s="206">
        <f>N39/K39</f>
        <v>0.92141110723018693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3358</v>
      </c>
      <c r="H40" s="91">
        <f>F40*G40</f>
        <v>148759.4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1343.1999999999962</v>
      </c>
      <c r="O40" s="203">
        <f>N40/M40</f>
        <v>74.622222222222007</v>
      </c>
      <c r="P40" s="97">
        <f>M40-J40</f>
        <v>0</v>
      </c>
      <c r="Q40" s="98">
        <f>O40-L40</f>
        <v>-16.266666666666879</v>
      </c>
      <c r="R40" s="99">
        <f>O40/L40</f>
        <v>0.82102689486552338</v>
      </c>
      <c r="S40" s="393"/>
      <c r="T40" s="20">
        <v>0.54861111111111105</v>
      </c>
      <c r="U40" s="20">
        <v>0.65277777777777801</v>
      </c>
      <c r="V40" s="92">
        <f>(T40-U39)*24*60</f>
        <v>85.000000000000412</v>
      </c>
      <c r="W40" s="205">
        <f t="shared" si="4"/>
        <v>150.00000000000043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-292.80000000000382</v>
      </c>
      <c r="AG40" s="206">
        <f>N40/K40</f>
        <v>0.82102689486552338</v>
      </c>
      <c r="AH40" s="414"/>
    </row>
    <row r="41" spans="1:34" ht="15" customHeight="1">
      <c r="A41" s="408"/>
      <c r="B41" s="75"/>
      <c r="C41" s="173"/>
      <c r="D41" s="59"/>
      <c r="E41" s="104"/>
      <c r="F41" s="75"/>
      <c r="G41" s="90"/>
      <c r="H41" s="91"/>
      <c r="I41" s="92"/>
      <c r="J41" s="79"/>
      <c r="K41" s="80"/>
      <c r="L41" s="93"/>
      <c r="M41" s="94"/>
      <c r="N41" s="95"/>
      <c r="O41" s="96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14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14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14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14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14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5">AVERAGE(J38:J47)</f>
        <v>17.333333333333332</v>
      </c>
      <c r="K48" s="155">
        <f t="shared" si="15"/>
        <v>1662</v>
      </c>
      <c r="L48" s="158">
        <f t="shared" si="15"/>
        <v>96.300925925925924</v>
      </c>
      <c r="M48" s="155">
        <f t="shared" si="15"/>
        <v>17.333333333333332</v>
      </c>
      <c r="N48" s="155">
        <f t="shared" si="15"/>
        <v>1456.0277056277082</v>
      </c>
      <c r="O48" s="158">
        <f t="shared" si="15"/>
        <v>84.4030543530545</v>
      </c>
      <c r="P48" s="221">
        <f>M48-J48</f>
        <v>0</v>
      </c>
      <c r="Q48" s="222">
        <f>N48-K48</f>
        <v>-205.9722943722918</v>
      </c>
      <c r="R48" s="223">
        <f>O48/L48</f>
        <v>0.87645111967019718</v>
      </c>
      <c r="S48" s="396"/>
      <c r="T48" s="224"/>
      <c r="U48" s="224"/>
      <c r="V48" s="225"/>
      <c r="W48" s="226">
        <f t="shared" si="14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6">N48-K48</f>
        <v>-205.9722943722918</v>
      </c>
      <c r="AG48" s="162">
        <f t="shared" ref="AG48:AG53" si="17">N48/K48</f>
        <v>0.87606961830788699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v>708</v>
      </c>
      <c r="H49" s="134">
        <f>F49*G49</f>
        <v>35336.28</v>
      </c>
      <c r="I49" s="135"/>
      <c r="J49" s="136">
        <f>VLOOKUP(D49,產線配置圖!$A$3:$C$40,2,0)</f>
        <v>18</v>
      </c>
      <c r="K49" s="137">
        <v>1636</v>
      </c>
      <c r="L49" s="138">
        <f>K49/J49</f>
        <v>90.888888888888886</v>
      </c>
      <c r="M49" s="170">
        <v>18</v>
      </c>
      <c r="N49" s="140">
        <f>G49/W49*60</f>
        <v>1517.1428571428928</v>
      </c>
      <c r="O49" s="141">
        <f>N49/M49</f>
        <v>84.285714285716267</v>
      </c>
      <c r="P49" s="229">
        <f>M49-J49</f>
        <v>0</v>
      </c>
      <c r="Q49" s="230">
        <f>O49-L49</f>
        <v>-6.6031746031726186</v>
      </c>
      <c r="R49" s="52">
        <f>O49/L49</f>
        <v>0.92734893468391988</v>
      </c>
      <c r="S49" s="392">
        <f>R58</f>
        <v>0.92448477246056937</v>
      </c>
      <c r="T49" s="191">
        <v>0.29166666666666702</v>
      </c>
      <c r="U49" s="191">
        <v>0.31111111111111101</v>
      </c>
      <c r="V49" s="55"/>
      <c r="W49" s="193">
        <f t="shared" si="4"/>
        <v>27.999999999999339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16"/>
        <v>-118.85714285710719</v>
      </c>
      <c r="AG49" s="52">
        <f t="shared" si="17"/>
        <v>0.92734893468391977</v>
      </c>
      <c r="AH49" s="380">
        <f>AG58</f>
        <v>0.92343580783778489</v>
      </c>
    </row>
    <row r="50" spans="1:34" ht="15" customHeight="1">
      <c r="A50" s="405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2601</v>
      </c>
      <c r="H50" s="231">
        <f>F50*G50</f>
        <v>130801.689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1381.061946902659</v>
      </c>
      <c r="O50" s="235">
        <f>N50/M50</f>
        <v>81.238938053097584</v>
      </c>
      <c r="P50" s="74">
        <f>M50-J50</f>
        <v>0</v>
      </c>
      <c r="Q50" s="83">
        <f>O50-L50</f>
        <v>-14.996356064549474</v>
      </c>
      <c r="R50" s="72">
        <f>O50/L50</f>
        <v>0.84416989419477928</v>
      </c>
      <c r="S50" s="393"/>
      <c r="T50" s="21">
        <v>0.31736111111111098</v>
      </c>
      <c r="U50" s="21">
        <v>0.39583333333333298</v>
      </c>
      <c r="V50" s="30">
        <f>(T50-U49)*24*60</f>
        <v>8.999999999999968</v>
      </c>
      <c r="W50" s="236">
        <f t="shared" si="4"/>
        <v>112.99999999999967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6"/>
        <v>-254.93805309734103</v>
      </c>
      <c r="AG50" s="72">
        <f t="shared" si="17"/>
        <v>0.84416989419477928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2556</v>
      </c>
      <c r="H51" s="231">
        <f>F51*G51</f>
        <v>127723.31999999999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1723.1460674157179</v>
      </c>
      <c r="O51" s="235">
        <f>N51/M51</f>
        <v>107.69662921348237</v>
      </c>
      <c r="P51" s="74">
        <f>M51-J51</f>
        <v>0</v>
      </c>
      <c r="Q51" s="83">
        <f>O51-L51</f>
        <v>-4.8033707865176325</v>
      </c>
      <c r="R51" s="72">
        <f>O51/L51</f>
        <v>0.95730337078650996</v>
      </c>
      <c r="S51" s="393"/>
      <c r="T51" s="21">
        <v>0.40208333333333302</v>
      </c>
      <c r="U51" s="19">
        <v>0.46388888888888902</v>
      </c>
      <c r="V51" s="30">
        <f>(T51-U50)*24*60</f>
        <v>9.000000000000048</v>
      </c>
      <c r="W51" s="236">
        <f t="shared" si="4"/>
        <v>89.000000000000639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6"/>
        <v>-76.85393258428212</v>
      </c>
      <c r="AG51" s="72">
        <f t="shared" si="17"/>
        <v>0.95730337078650996</v>
      </c>
      <c r="AH51" s="382"/>
    </row>
    <row r="52" spans="1:34" ht="15" customHeight="1">
      <c r="A52" s="405"/>
      <c r="B52" s="75" t="s">
        <v>81</v>
      </c>
      <c r="C52" s="86"/>
      <c r="D52" s="59" t="s">
        <v>131</v>
      </c>
      <c r="E52" s="87"/>
      <c r="F52" s="75">
        <f>VLOOKUP(D52,廠價表!$C$1:$E$43,3,0)</f>
        <v>49.97</v>
      </c>
      <c r="G52" s="202">
        <v>3449</v>
      </c>
      <c r="H52" s="231">
        <f>F52*G52</f>
        <v>172346.53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1724.4999999999877</v>
      </c>
      <c r="O52" s="235">
        <f>N52/M52</f>
        <v>107.78124999999923</v>
      </c>
      <c r="P52" s="74">
        <f>M52-J52</f>
        <v>0</v>
      </c>
      <c r="Q52" s="83">
        <f>O52-L52</f>
        <v>-4.7187500000007674</v>
      </c>
      <c r="R52" s="72">
        <f>O52/L52</f>
        <v>0.95805555555554878</v>
      </c>
      <c r="S52" s="393"/>
      <c r="T52" s="21">
        <v>0.52083333333333304</v>
      </c>
      <c r="U52" s="21">
        <v>0.60416666666666696</v>
      </c>
      <c r="V52" s="30">
        <f>(T52-U51)*24*60</f>
        <v>81.999999999999389</v>
      </c>
      <c r="W52" s="236">
        <f t="shared" si="4"/>
        <v>120.00000000000085</v>
      </c>
      <c r="X52" s="22">
        <v>0.47916666666666702</v>
      </c>
      <c r="Y52" s="84">
        <v>0.52083333333333304</v>
      </c>
      <c r="Z52" s="90"/>
      <c r="AA52" s="90"/>
      <c r="AB52" s="386"/>
      <c r="AC52" s="386"/>
      <c r="AD52" s="92"/>
      <c r="AE52" s="92"/>
      <c r="AF52" s="307">
        <f t="shared" si="16"/>
        <v>-75.500000000012278</v>
      </c>
      <c r="AG52" s="72">
        <f t="shared" si="17"/>
        <v>0.95805555555554878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6"/>
        <v>0</v>
      </c>
      <c r="AG53" s="72" t="e">
        <f t="shared" si="17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18">AVERAGE(J49:J57)</f>
        <v>16.75</v>
      </c>
      <c r="K58" s="120">
        <f t="shared" si="18"/>
        <v>1718</v>
      </c>
      <c r="L58" s="117">
        <f t="shared" si="18"/>
        <v>103.03104575163398</v>
      </c>
      <c r="M58" s="120">
        <f t="shared" si="18"/>
        <v>16.75</v>
      </c>
      <c r="N58" s="120">
        <f t="shared" si="18"/>
        <v>1586.4627178653145</v>
      </c>
      <c r="O58" s="117">
        <f t="shared" si="18"/>
        <v>95.250632888073852</v>
      </c>
      <c r="P58" s="121">
        <f>M58-J58</f>
        <v>0</v>
      </c>
      <c r="Q58" s="122">
        <f>N58-K58</f>
        <v>-131.53728213468548</v>
      </c>
      <c r="R58" s="123">
        <f>O58/L58</f>
        <v>0.92448477246056937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-131.53728213468548</v>
      </c>
      <c r="AG58" s="124">
        <f>N58/K58</f>
        <v>0.92343580783778489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2468</v>
      </c>
      <c r="H59" s="243">
        <f>F59*G59</f>
        <v>66611.319999999992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1558.7368421052688</v>
      </c>
      <c r="O59" s="138">
        <f>N59/M59</f>
        <v>103.91578947368458</v>
      </c>
      <c r="P59" s="56">
        <f>M59-J59</f>
        <v>0</v>
      </c>
      <c r="Q59" s="230">
        <f>O59-L59</f>
        <v>-5.1508771929820796</v>
      </c>
      <c r="R59" s="52">
        <f>O59/L59</f>
        <v>0.9527731308711912</v>
      </c>
      <c r="S59" s="392">
        <f>R69</f>
        <v>0.90267675201045605</v>
      </c>
      <c r="T59" s="245">
        <v>0.29166666666666702</v>
      </c>
      <c r="U59" s="245">
        <v>0.35763888888888901</v>
      </c>
      <c r="V59" s="55"/>
      <c r="W59" s="54">
        <f t="shared" si="4"/>
        <v>94.999999999999659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-77.263157894731194</v>
      </c>
      <c r="AG59" s="246">
        <f>N59/K59</f>
        <v>0.9527731308711912</v>
      </c>
      <c r="AH59" s="380">
        <f>AG69</f>
        <v>0.90568454801875575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1447</v>
      </c>
      <c r="H60" s="78">
        <f>F60*G60</f>
        <v>40892.22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1496.8965517241286</v>
      </c>
      <c r="O60" s="81">
        <f>N60/M60</f>
        <v>136.08150470219351</v>
      </c>
      <c r="P60" s="74">
        <f>M60-J60</f>
        <v>0</v>
      </c>
      <c r="Q60" s="83">
        <f>O60-L60</f>
        <v>-12.645768025079207</v>
      </c>
      <c r="R60" s="72">
        <f>O60/L60</f>
        <v>0.91497344237416178</v>
      </c>
      <c r="S60" s="402"/>
      <c r="T60" s="22">
        <v>0.36458333333333298</v>
      </c>
      <c r="U60" s="22">
        <v>0.40486111111111101</v>
      </c>
      <c r="V60" s="30">
        <f>(T60-U59)*24*60</f>
        <v>9.999999999999325</v>
      </c>
      <c r="W60" s="248">
        <f t="shared" si="4"/>
        <v>58.000000000000355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-139.10344827587141</v>
      </c>
      <c r="AG60" s="249">
        <f>N60/K60</f>
        <v>0.91497344237416167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728</v>
      </c>
      <c r="H61" s="254">
        <f>F61*G61</f>
        <v>20573.280000000002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80">
        <f t="shared" ref="N61:N64" si="19">G61/W61*60</f>
        <v>1323.6363636364003</v>
      </c>
      <c r="O61" s="81">
        <f t="shared" ref="O61:O64" si="20">N61/M61</f>
        <v>120.33057851240004</v>
      </c>
      <c r="P61" s="74">
        <f t="shared" ref="P61:P64" si="21">M61-J61</f>
        <v>0</v>
      </c>
      <c r="Q61" s="83">
        <f t="shared" ref="Q61:Q64" si="22">O61-L61</f>
        <v>-28.396694214872682</v>
      </c>
      <c r="R61" s="72">
        <f t="shared" ref="R61:R64" si="23">O61/L61</f>
        <v>0.80906868192934012</v>
      </c>
      <c r="S61" s="393"/>
      <c r="T61" s="22">
        <v>0.41180555555555598</v>
      </c>
      <c r="U61" s="22">
        <v>0.43472222222222201</v>
      </c>
      <c r="V61" s="30">
        <f>(T61-U60)*24*60</f>
        <v>10.000000000000764</v>
      </c>
      <c r="W61" s="256">
        <f t="shared" si="4"/>
        <v>32.999999999999083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-312.36363636359965</v>
      </c>
      <c r="AG61" s="247">
        <f>N61/K61</f>
        <v>0.80906868192934012</v>
      </c>
      <c r="AH61" s="382"/>
    </row>
    <row r="62" spans="1:34" ht="15" customHeight="1">
      <c r="A62" s="400"/>
      <c r="B62" s="250" t="s">
        <v>132</v>
      </c>
      <c r="C62" s="251"/>
      <c r="D62" s="257" t="s">
        <v>136</v>
      </c>
      <c r="E62" s="253"/>
      <c r="F62" s="250">
        <f>VLOOKUP(D62,廠價表!$C$1:$E$43,3,0)</f>
        <v>28.26</v>
      </c>
      <c r="G62" s="38">
        <v>1745</v>
      </c>
      <c r="H62" s="254">
        <f t="shared" ref="H62:H64" si="24">F62*G62</f>
        <v>49313.700000000004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4" si="25">K62/J62</f>
        <v>148.72727272727272</v>
      </c>
      <c r="M62" s="108">
        <v>11</v>
      </c>
      <c r="N62" s="80">
        <f t="shared" si="19"/>
        <v>1517.3913043478474</v>
      </c>
      <c r="O62" s="81">
        <f t="shared" si="20"/>
        <v>137.94466403162249</v>
      </c>
      <c r="P62" s="74">
        <f t="shared" si="21"/>
        <v>0</v>
      </c>
      <c r="Q62" s="83">
        <f t="shared" si="22"/>
        <v>-10.782608695650225</v>
      </c>
      <c r="R62" s="72">
        <f t="shared" si="23"/>
        <v>0.92750079727863544</v>
      </c>
      <c r="S62" s="393"/>
      <c r="T62" s="22">
        <v>0.44166666666666698</v>
      </c>
      <c r="U62" s="22">
        <v>0.48958333333333298</v>
      </c>
      <c r="V62" s="30">
        <f t="shared" ref="V62:V64" si="26">(T62-U61)*24*60</f>
        <v>10.000000000000764</v>
      </c>
      <c r="W62" s="248">
        <f t="shared" si="4"/>
        <v>68.999999999999034</v>
      </c>
      <c r="X62" s="22">
        <v>0.50347222222222199</v>
      </c>
      <c r="Y62" s="84">
        <v>0.54513888888888895</v>
      </c>
      <c r="Z62" s="90"/>
      <c r="AA62" s="90"/>
      <c r="AB62" s="386"/>
      <c r="AC62" s="386"/>
      <c r="AD62" s="92"/>
      <c r="AE62" s="92"/>
      <c r="AF62" s="317">
        <f>N62-K62</f>
        <v>-118.60869565215262</v>
      </c>
      <c r="AG62" s="247">
        <f>N62/K62</f>
        <v>0.92750079727863532</v>
      </c>
      <c r="AH62" s="382"/>
    </row>
    <row r="63" spans="1:34" ht="15" customHeight="1">
      <c r="A63" s="400"/>
      <c r="B63" s="258" t="s">
        <v>132</v>
      </c>
      <c r="C63" s="58"/>
      <c r="D63" s="259" t="s">
        <v>136</v>
      </c>
      <c r="E63" s="60"/>
      <c r="F63" s="250">
        <f>VLOOKUP(D63,廠價表!$C$1:$E$43,3,0)</f>
        <v>28.26</v>
      </c>
      <c r="G63" s="260">
        <v>1736</v>
      </c>
      <c r="H63" s="254">
        <f t="shared" si="24"/>
        <v>49059.360000000001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25"/>
        <v>148.72727272727272</v>
      </c>
      <c r="M63" s="68">
        <v>11</v>
      </c>
      <c r="N63" s="80">
        <f t="shared" si="19"/>
        <v>1488.0000000000055</v>
      </c>
      <c r="O63" s="81">
        <f t="shared" si="20"/>
        <v>135.27272727272776</v>
      </c>
      <c r="P63" s="74">
        <f t="shared" si="21"/>
        <v>0</v>
      </c>
      <c r="Q63" s="83">
        <f t="shared" si="22"/>
        <v>-13.454545454544956</v>
      </c>
      <c r="R63" s="72">
        <f t="shared" si="23"/>
        <v>0.90953545232274169</v>
      </c>
      <c r="S63" s="393"/>
      <c r="T63" s="22">
        <v>0.54861111111111105</v>
      </c>
      <c r="U63" s="22">
        <v>0.59722222222222199</v>
      </c>
      <c r="V63" s="30">
        <f t="shared" si="26"/>
        <v>85.000000000000412</v>
      </c>
      <c r="W63" s="248">
        <f t="shared" si="4"/>
        <v>69.999999999999744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 t="s">
        <v>132</v>
      </c>
      <c r="C64" s="76"/>
      <c r="D64" s="175" t="s">
        <v>133</v>
      </c>
      <c r="E64" s="77"/>
      <c r="F64" s="250">
        <f>VLOOKUP(D64,廠價表!$C$1:$E$43,3,0)</f>
        <v>26.99</v>
      </c>
      <c r="G64" s="30">
        <v>1631</v>
      </c>
      <c r="H64" s="254">
        <f t="shared" si="24"/>
        <v>44020.689999999995</v>
      </c>
      <c r="I64" s="182"/>
      <c r="J64" s="106">
        <f>VLOOKUP(D64,產線配置圖!$A$3:$C$40,2,0)</f>
        <v>15</v>
      </c>
      <c r="K64" s="107">
        <f>VLOOKUP(D64,產線配置圖!$A$3:$C$40,3,0)</f>
        <v>1636</v>
      </c>
      <c r="L64" s="238">
        <f t="shared" si="25"/>
        <v>109.06666666666666</v>
      </c>
      <c r="M64" s="82">
        <v>15</v>
      </c>
      <c r="N64" s="80">
        <f t="shared" si="19"/>
        <v>1505.5384615384555</v>
      </c>
      <c r="O64" s="81">
        <f t="shared" si="20"/>
        <v>100.36923076923037</v>
      </c>
      <c r="P64" s="74">
        <f t="shared" si="21"/>
        <v>0</v>
      </c>
      <c r="Q64" s="83">
        <f t="shared" si="22"/>
        <v>-8.6974358974362929</v>
      </c>
      <c r="R64" s="72">
        <f t="shared" si="23"/>
        <v>0.92025578333646429</v>
      </c>
      <c r="S64" s="393"/>
      <c r="T64" s="22">
        <v>0.60416666666666696</v>
      </c>
      <c r="U64" s="22">
        <v>0.64930555555555602</v>
      </c>
      <c r="V64" s="30">
        <f t="shared" si="26"/>
        <v>10.000000000000764</v>
      </c>
      <c r="W64" s="73">
        <f t="shared" si="4"/>
        <v>65.000000000000256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101"/>
      <c r="C65" s="102"/>
      <c r="D65" s="103"/>
      <c r="E65" s="104"/>
      <c r="F65" s="75"/>
      <c r="G65" s="202"/>
      <c r="H65" s="78"/>
      <c r="I65" s="30"/>
      <c r="J65" s="79"/>
      <c r="K65" s="80"/>
      <c r="L65" s="81"/>
      <c r="M65" s="108"/>
      <c r="N65" s="234"/>
      <c r="O65" s="235"/>
      <c r="P65" s="74"/>
      <c r="Q65" s="83"/>
      <c r="R65" s="72"/>
      <c r="S65" s="393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7">AVERAGE(J59:J68)</f>
        <v>12.333333333333334</v>
      </c>
      <c r="K69" s="240">
        <f t="shared" si="27"/>
        <v>1636</v>
      </c>
      <c r="L69" s="268">
        <f t="shared" si="27"/>
        <v>135.50707070707071</v>
      </c>
      <c r="M69" s="240">
        <f t="shared" si="27"/>
        <v>12.333333333333334</v>
      </c>
      <c r="N69" s="240">
        <f t="shared" si="27"/>
        <v>1481.6999205586844</v>
      </c>
      <c r="O69" s="268">
        <f t="shared" si="27"/>
        <v>122.3190824603098</v>
      </c>
      <c r="P69" s="269">
        <f>M69-J69</f>
        <v>0</v>
      </c>
      <c r="Q69" s="222">
        <f>N69-K69</f>
        <v>-154.30007944131557</v>
      </c>
      <c r="R69" s="123">
        <f>O69/L69</f>
        <v>0.90267675201045605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-154.30007944131557</v>
      </c>
      <c r="AG69" s="124">
        <f>N69/K69</f>
        <v>0.90568454801875575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4272</v>
      </c>
      <c r="H70" s="243">
        <f>F70*G70</f>
        <v>187498.08000000002</v>
      </c>
      <c r="I70" s="55"/>
      <c r="J70" s="136">
        <v>11</v>
      </c>
      <c r="K70" s="137">
        <f>VLOOKUP(D70,產線配置圖!$A$3:$C$40,3,0)</f>
        <v>1565</v>
      </c>
      <c r="L70" s="138">
        <f>K70/J70</f>
        <v>142.27272727272728</v>
      </c>
      <c r="M70" s="244">
        <v>9</v>
      </c>
      <c r="N70" s="137">
        <f>G70/W70*60</f>
        <v>1238.260869565217</v>
      </c>
      <c r="O70" s="138">
        <f>N70/M70</f>
        <v>137.58454106280189</v>
      </c>
      <c r="P70" s="56">
        <f>M70-J70</f>
        <v>-2</v>
      </c>
      <c r="Q70" s="230">
        <f>O70-L70</f>
        <v>-4.6881862099253908</v>
      </c>
      <c r="R70" s="52">
        <f>O70/L70</f>
        <v>0.96704789245419853</v>
      </c>
      <c r="S70" s="392">
        <f>R79</f>
        <v>0.94193747494221913</v>
      </c>
      <c r="T70" s="245">
        <v>0.28819444444444398</v>
      </c>
      <c r="U70" s="245">
        <v>0.43194444444444402</v>
      </c>
      <c r="V70" s="55"/>
      <c r="W70" s="54">
        <f t="shared" si="4"/>
        <v>207.00000000000006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-326.73913043478296</v>
      </c>
      <c r="AG70" s="246">
        <f>N70/K70</f>
        <v>0.79122100291707154</v>
      </c>
      <c r="AH70" s="380">
        <f>AG79</f>
        <v>0.70445673673771947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250">
        <f>VLOOKUP(D71,廠價表!$C$1:$E$43,3,0)</f>
        <v>52.21</v>
      </c>
      <c r="G71" s="30">
        <v>1070</v>
      </c>
      <c r="H71" s="254">
        <f t="shared" ref="H71:H73" si="28">F71*G71</f>
        <v>55864.700000000004</v>
      </c>
      <c r="I71" s="182"/>
      <c r="J71" s="106">
        <f>VLOOKUP(D71,產線配置圖!$A$3:$C$40,2,0)</f>
        <v>18</v>
      </c>
      <c r="K71" s="107">
        <f>VLOOKUP(D71,產線配置圖!$A$3:$C$40,3,0)</f>
        <v>1636</v>
      </c>
      <c r="L71" s="238">
        <f t="shared" ref="L71:L73" si="29">K71/J71</f>
        <v>90.888888888888886</v>
      </c>
      <c r="M71" s="82">
        <v>11</v>
      </c>
      <c r="N71" s="80">
        <f t="shared" ref="N71:N73" si="30">G71/W71*60</f>
        <v>917.14285714285938</v>
      </c>
      <c r="O71" s="81">
        <f t="shared" ref="O71:O73" si="31">N71/M71</f>
        <v>83.376623376623584</v>
      </c>
      <c r="P71" s="74">
        <f t="shared" ref="P71:P73" si="32">M71-J71</f>
        <v>-7</v>
      </c>
      <c r="Q71" s="83">
        <f t="shared" ref="Q71:Q73" si="33">O71-L71</f>
        <v>-7.5122655122653015</v>
      </c>
      <c r="R71" s="72">
        <f t="shared" ref="R71:R73" si="34">O71/L71</f>
        <v>0.9173467119677412</v>
      </c>
      <c r="S71" s="393"/>
      <c r="T71" s="22">
        <v>0.4375</v>
      </c>
      <c r="U71" s="22">
        <v>0.48611111111111099</v>
      </c>
      <c r="V71" s="30">
        <f t="shared" ref="V71:V73" si="35">(T71-U70)*24*60</f>
        <v>8.0000000000006111</v>
      </c>
      <c r="W71" s="73">
        <f t="shared" si="4"/>
        <v>69.999999999999829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 t="s">
        <v>81</v>
      </c>
      <c r="C72" s="76"/>
      <c r="D72" s="59" t="s">
        <v>161</v>
      </c>
      <c r="E72" s="77"/>
      <c r="F72" s="250">
        <f>VLOOKUP(D72,廠價表!$C$1:$E$43,3,0)</f>
        <v>52.21</v>
      </c>
      <c r="G72" s="202">
        <v>1030</v>
      </c>
      <c r="H72" s="254">
        <f t="shared" si="28"/>
        <v>53776.3</v>
      </c>
      <c r="I72" s="182"/>
      <c r="J72" s="106">
        <f>VLOOKUP(D72,產線配置圖!$A$3:$C$40,2,0)</f>
        <v>18</v>
      </c>
      <c r="K72" s="107">
        <f>VLOOKUP(D72,產線配置圖!$A$3:$C$40,3,0)</f>
        <v>1636</v>
      </c>
      <c r="L72" s="238">
        <f t="shared" si="29"/>
        <v>90.888888888888886</v>
      </c>
      <c r="M72" s="82">
        <v>12</v>
      </c>
      <c r="N72" s="80">
        <f t="shared" si="30"/>
        <v>1029.99999999999</v>
      </c>
      <c r="O72" s="81">
        <f t="shared" si="31"/>
        <v>85.833333333332504</v>
      </c>
      <c r="P72" s="74">
        <f t="shared" si="32"/>
        <v>-6</v>
      </c>
      <c r="Q72" s="83">
        <f t="shared" si="33"/>
        <v>-5.0555555555563814</v>
      </c>
      <c r="R72" s="72">
        <f t="shared" si="34"/>
        <v>0.94437652811735029</v>
      </c>
      <c r="S72" s="393"/>
      <c r="T72" s="22">
        <v>0.54513888888888895</v>
      </c>
      <c r="U72" s="22">
        <v>0.58680555555555602</v>
      </c>
      <c r="V72" s="30">
        <f t="shared" si="35"/>
        <v>85.000000000000256</v>
      </c>
      <c r="W72" s="73">
        <f t="shared" si="4"/>
        <v>60.000000000000583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 t="s">
        <v>81</v>
      </c>
      <c r="C73" s="86"/>
      <c r="D73" s="59" t="s">
        <v>140</v>
      </c>
      <c r="E73" s="87"/>
      <c r="F73" s="250">
        <f>VLOOKUP(D73,廠價表!$C$1:$E$43,3,0)</f>
        <v>43.89</v>
      </c>
      <c r="G73" s="202">
        <v>1170</v>
      </c>
      <c r="H73" s="254">
        <f t="shared" si="28"/>
        <v>51351.3</v>
      </c>
      <c r="I73" s="182"/>
      <c r="J73" s="106">
        <v>11</v>
      </c>
      <c r="K73" s="107">
        <f>VLOOKUP(D73,產線配置圖!$A$3:$C$40,3,0)</f>
        <v>1565</v>
      </c>
      <c r="L73" s="238">
        <f t="shared" si="29"/>
        <v>142.27272727272728</v>
      </c>
      <c r="M73" s="82">
        <v>10</v>
      </c>
      <c r="N73" s="80">
        <f t="shared" si="30"/>
        <v>1324.5283018868129</v>
      </c>
      <c r="O73" s="81">
        <f t="shared" si="31"/>
        <v>132.45283018868128</v>
      </c>
      <c r="P73" s="74">
        <f t="shared" si="32"/>
        <v>-1</v>
      </c>
      <c r="Q73" s="83">
        <f t="shared" si="33"/>
        <v>-9.8198970840460049</v>
      </c>
      <c r="R73" s="72">
        <f t="shared" si="34"/>
        <v>0.93097835915367022</v>
      </c>
      <c r="S73" s="393"/>
      <c r="T73" s="22">
        <v>0.59166666666666701</v>
      </c>
      <c r="U73" s="22">
        <v>0.62847222222222199</v>
      </c>
      <c r="V73" s="30">
        <f t="shared" si="35"/>
        <v>6.9999999999998153</v>
      </c>
      <c r="W73" s="73">
        <f t="shared" si="4"/>
        <v>52.999999999999176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36">AVERAGE(J70:J78)</f>
        <v>14.5</v>
      </c>
      <c r="K79" s="240">
        <f t="shared" si="36"/>
        <v>1600.5</v>
      </c>
      <c r="L79" s="268">
        <f t="shared" si="36"/>
        <v>116.58080808080808</v>
      </c>
      <c r="M79" s="240">
        <f t="shared" si="36"/>
        <v>10.5</v>
      </c>
      <c r="N79" s="240">
        <f t="shared" si="36"/>
        <v>1127.4830071487199</v>
      </c>
      <c r="O79" s="268">
        <f t="shared" si="36"/>
        <v>109.81183199035982</v>
      </c>
      <c r="P79" s="269">
        <f>M79-J79</f>
        <v>-4</v>
      </c>
      <c r="Q79" s="222">
        <f>N79-K79</f>
        <v>-473.01699285128007</v>
      </c>
      <c r="R79" s="223">
        <f>O79/L79</f>
        <v>0.94193747494221913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-473.01699285128007</v>
      </c>
      <c r="AG79" s="124">
        <f>N79/K79</f>
        <v>0.70445673673771947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107" priority="1" operator="greaterThan">
      <formula>0</formula>
    </cfRule>
  </conditionalFormatting>
  <conditionalFormatting sqref="Q5:Q79 AF5:AF79">
    <cfRule type="cellIs" dxfId="106" priority="4" operator="lessThan">
      <formula>0</formula>
    </cfRule>
  </conditionalFormatting>
  <conditionalFormatting sqref="R5:R79 AG5:AG79">
    <cfRule type="cellIs" dxfId="105" priority="2" operator="greaterThan">
      <formula>1</formula>
    </cfRule>
    <cfRule type="cellIs" dxfId="104" priority="3" operator="lessThan">
      <formula>0.8</formula>
    </cfRule>
  </conditionalFormatting>
  <conditionalFormatting sqref="S5:S10 S37:S62 AH59:AH62 S69:S76 AH69:AH76">
    <cfRule type="cellIs" dxfId="103" priority="7" operator="lessThan">
      <formula>0.8</formula>
    </cfRule>
  </conditionalFormatting>
  <conditionalFormatting sqref="S19:S25 AH19:AH25">
    <cfRule type="cellIs" dxfId="102" priority="6" operator="lessThan">
      <formula>0.8</formula>
    </cfRule>
  </conditionalFormatting>
  <conditionalFormatting sqref="S79">
    <cfRule type="cellIs" dxfId="101" priority="5" operator="lessThan">
      <formula>0.8</formula>
    </cfRule>
  </conditionalFormatting>
  <conditionalFormatting sqref="AH5:AH8 S15:S16 AH15:AH16 AH49 AH79">
    <cfRule type="cellIs" dxfId="100" priority="9" operator="lessThan">
      <formula>0.8</formula>
    </cfRule>
  </conditionalFormatting>
  <conditionalFormatting sqref="AH27 S27:S28">
    <cfRule type="cellIs" dxfId="9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EF44-4486-4D9C-A3D0-2DB2E176B7B5}">
  <dimension ref="B1:O26"/>
  <sheetViews>
    <sheetView topLeftCell="B1" zoomScale="70" zoomScaleNormal="70" workbookViewId="0">
      <selection activeCell="N28" sqref="N2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46286</v>
      </c>
      <c r="E3" s="504"/>
      <c r="F3" s="3" t="s">
        <v>72</v>
      </c>
      <c r="G3" s="505">
        <f>'0921'!E1</f>
        <v>63159</v>
      </c>
      <c r="H3" s="505"/>
      <c r="I3" s="3" t="s">
        <v>2</v>
      </c>
      <c r="J3" s="506">
        <f>'0921'!G1</f>
        <v>2937070.7120000008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130.61453825197523</v>
      </c>
      <c r="G6" s="501"/>
      <c r="H6" s="502">
        <f>AVERAGE(D13:H13)</f>
        <v>127.18774749215925</v>
      </c>
      <c r="I6" s="502"/>
      <c r="J6" s="502">
        <f>AVERAGE(I13:J13)</f>
        <v>139.18151515151516</v>
      </c>
      <c r="K6" s="502"/>
      <c r="L6" s="492">
        <f>'0921'!Z2</f>
        <v>0</v>
      </c>
      <c r="M6" s="493">
        <f>'0921'!AA2</f>
        <v>0</v>
      </c>
      <c r="N6" s="494">
        <f>'0921'!AD2</f>
        <v>0</v>
      </c>
      <c r="O6" s="493">
        <f>'0921'!AE2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119.24982588958019</v>
      </c>
      <c r="G7" s="490"/>
      <c r="H7" s="491">
        <f>AVERAGE(D14:H14)</f>
        <v>115.55559453702867</v>
      </c>
      <c r="I7" s="491"/>
      <c r="J7" s="491">
        <f>AVERAGE(I14:J14)</f>
        <v>128.48540427095901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0.91022370448317813</v>
      </c>
      <c r="G8" s="496"/>
      <c r="H8" s="496">
        <f>AVERAGE(D15:H15)</f>
        <v>0.90553905268777402</v>
      </c>
      <c r="I8" s="496"/>
      <c r="J8" s="496">
        <f>AVERAGE(I15:J15)</f>
        <v>0.92193533397168825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VALUE('0921'!L15)</f>
        <v>163.80494505494505</v>
      </c>
      <c r="E13" s="13">
        <f>VALUE('0921'!L26)</f>
        <v>178.57142857142858</v>
      </c>
      <c r="F13" s="13">
        <f>VALUE('0921'!L37)</f>
        <v>94.230392156862735</v>
      </c>
      <c r="G13" s="13">
        <f>VALUE('0921'!L48)</f>
        <v>96.300925925925924</v>
      </c>
      <c r="H13" s="13">
        <f>VALUE('0921'!L58)</f>
        <v>103.03104575163398</v>
      </c>
      <c r="I13" s="13">
        <f>VALUE('0921'!L69)</f>
        <v>132.86303030303029</v>
      </c>
      <c r="J13" s="13">
        <f>'0921'!L79</f>
        <v>145.5</v>
      </c>
    </row>
    <row r="14" spans="2:15" ht="39.950000000000003" customHeight="1">
      <c r="B14" s="484"/>
      <c r="C14" s="12" t="s">
        <v>100</v>
      </c>
      <c r="D14" s="13">
        <f>VALUE('0921'!O15)</f>
        <v>151.23468652222883</v>
      </c>
      <c r="E14" s="13">
        <f>VALUE('0921'!O26)</f>
        <v>164.22861572208467</v>
      </c>
      <c r="F14" s="13">
        <f>VALUE('0921'!O37)</f>
        <v>86.507776097841969</v>
      </c>
      <c r="G14" s="13">
        <f>VALUE('0921'!O48)</f>
        <v>88.986815751152264</v>
      </c>
      <c r="H14" s="13">
        <f>VALUE('0921'!O58)</f>
        <v>86.820078591835596</v>
      </c>
      <c r="I14" s="13">
        <f>VALUE('0921'!O69)</f>
        <v>118.9364442807491</v>
      </c>
      <c r="J14" s="13">
        <f>'0921'!O79</f>
        <v>138.03436426116889</v>
      </c>
    </row>
    <row r="15" spans="2:15" ht="39.950000000000003" customHeight="1">
      <c r="B15" s="485"/>
      <c r="C15" s="10" t="s">
        <v>26</v>
      </c>
      <c r="D15" s="14">
        <f t="shared" ref="D15:I15" si="0">D14/D13</f>
        <v>0.92326081164094409</v>
      </c>
      <c r="E15" s="14">
        <f t="shared" si="0"/>
        <v>0.9196802480436741</v>
      </c>
      <c r="F15" s="14">
        <f t="shared" si="0"/>
        <v>0.91804537917909601</v>
      </c>
      <c r="G15" s="14">
        <f t="shared" si="0"/>
        <v>0.9240494304239647</v>
      </c>
      <c r="H15" s="14">
        <f t="shared" si="0"/>
        <v>0.84265939415119162</v>
      </c>
      <c r="I15" s="14">
        <f t="shared" si="0"/>
        <v>0.89518087920682066</v>
      </c>
      <c r="J15" s="15">
        <f>'0921'!S70</f>
        <v>0.94868978873655596</v>
      </c>
    </row>
    <row r="16" spans="2:15" ht="17.25" customHeight="1">
      <c r="B16" s="486" t="s">
        <v>101</v>
      </c>
      <c r="C16" s="10" t="s">
        <v>34</v>
      </c>
      <c r="D16" s="16">
        <f>'0921'!T5</f>
        <v>0.29166666666666702</v>
      </c>
      <c r="E16" s="16">
        <f>'0921'!T16</f>
        <v>0.29097222222222202</v>
      </c>
      <c r="F16" s="16">
        <f>'0921'!T27</f>
        <v>0.29166666666666702</v>
      </c>
      <c r="G16" s="16">
        <f>'0921'!T38</f>
        <v>0.33402777777777798</v>
      </c>
      <c r="H16" s="16">
        <f>'0921'!T49</f>
        <v>0.29166666666666702</v>
      </c>
      <c r="I16" s="16">
        <f>'0921'!T59</f>
        <v>0.29513888888888901</v>
      </c>
      <c r="J16" s="17">
        <f>'0921'!T70</f>
        <v>0.29305555555555601</v>
      </c>
    </row>
    <row r="17" spans="2:10" ht="17.25" customHeight="1">
      <c r="B17" s="487"/>
      <c r="C17" s="10" t="s">
        <v>35</v>
      </c>
      <c r="D17" s="327">
        <v>0.60208333333333297</v>
      </c>
      <c r="E17" s="19">
        <v>0.59236111111111101</v>
      </c>
      <c r="F17" s="183">
        <v>0.64097222222222205</v>
      </c>
      <c r="G17" s="20">
        <v>0.64722222222222203</v>
      </c>
      <c r="H17" s="329">
        <v>0.65277777777777801</v>
      </c>
      <c r="I17" s="22">
        <v>0.60277777777777797</v>
      </c>
      <c r="J17" s="22">
        <v>0.51388888888888895</v>
      </c>
    </row>
    <row r="18" spans="2:10" ht="17.25" customHeight="1">
      <c r="B18" s="488" t="s">
        <v>102</v>
      </c>
      <c r="C18" s="330" t="s">
        <v>36</v>
      </c>
      <c r="D18" s="359">
        <f>'0921'!Z15</f>
        <v>0</v>
      </c>
      <c r="E18" s="360">
        <f>'0921'!Z26</f>
        <v>0</v>
      </c>
      <c r="F18" s="360">
        <f>'0921'!Z37</f>
        <v>0</v>
      </c>
      <c r="G18" s="361">
        <f>'0921'!Z48</f>
        <v>0</v>
      </c>
      <c r="H18" s="361">
        <f>'0921'!Z58</f>
        <v>0</v>
      </c>
      <c r="I18" s="360">
        <f>'0921'!Z69</f>
        <v>0</v>
      </c>
      <c r="J18" s="360">
        <f>'0921'!AA79</f>
        <v>0</v>
      </c>
    </row>
    <row r="19" spans="2:10" ht="17.25" customHeight="1">
      <c r="B19" s="489"/>
      <c r="C19" s="330" t="s">
        <v>37</v>
      </c>
      <c r="D19" s="359">
        <f>'0921'!AA15</f>
        <v>0</v>
      </c>
      <c r="E19" s="360">
        <f>'0921'!AA26</f>
        <v>0</v>
      </c>
      <c r="F19" s="360">
        <f>'0921'!AA37</f>
        <v>0</v>
      </c>
      <c r="G19" s="361">
        <f>'0921'!AA48</f>
        <v>0</v>
      </c>
      <c r="H19" s="361">
        <f>'0921'!AA58</f>
        <v>0</v>
      </c>
      <c r="I19" s="360">
        <f>'0921'!AA69</f>
        <v>0</v>
      </c>
      <c r="J19" s="360">
        <f>'0921'!AB79</f>
        <v>0</v>
      </c>
    </row>
    <row r="20" spans="2:10" ht="17.25" customHeight="1">
      <c r="B20" s="488" t="s">
        <v>103</v>
      </c>
      <c r="C20" s="330" t="s">
        <v>36</v>
      </c>
      <c r="D20" s="359">
        <f>'0921'!AD15</f>
        <v>0</v>
      </c>
      <c r="E20" s="360">
        <f>'0921'!AD26</f>
        <v>0</v>
      </c>
      <c r="F20" s="360">
        <f>'0921'!AD37</f>
        <v>0</v>
      </c>
      <c r="G20" s="361">
        <f>'0921'!AD48</f>
        <v>0</v>
      </c>
      <c r="H20" s="361">
        <f>'0921'!AD58</f>
        <v>0</v>
      </c>
      <c r="I20" s="360">
        <f>'0921'!AD69</f>
        <v>0</v>
      </c>
      <c r="J20" s="360">
        <f>'0921'!AD79</f>
        <v>0</v>
      </c>
    </row>
    <row r="21" spans="2:10" ht="17.25" customHeight="1">
      <c r="B21" s="489"/>
      <c r="C21" s="330" t="s">
        <v>85</v>
      </c>
      <c r="D21" s="359">
        <f>'0921'!AE15</f>
        <v>0</v>
      </c>
      <c r="E21" s="360">
        <f>'0921'!AE26</f>
        <v>0</v>
      </c>
      <c r="F21" s="360">
        <f>'0921'!AE37</f>
        <v>0</v>
      </c>
      <c r="G21" s="361">
        <f>'0921'!AE48</f>
        <v>0</v>
      </c>
      <c r="H21" s="361">
        <f>'0921'!AE58</f>
        <v>0</v>
      </c>
      <c r="I21" s="360">
        <f>'0921'!AE69</f>
        <v>0</v>
      </c>
      <c r="J21" s="360">
        <f>'0921'!AE79</f>
        <v>0</v>
      </c>
    </row>
    <row r="22" spans="2:10" ht="17.25" customHeight="1">
      <c r="B22" s="471" t="s">
        <v>104</v>
      </c>
      <c r="C22" s="472"/>
      <c r="D22" s="23">
        <f>VALUE('0921'!M15)</f>
        <v>13.75</v>
      </c>
      <c r="E22" s="23">
        <f>VALUE('0921'!M26)</f>
        <v>12.666666666666666</v>
      </c>
      <c r="F22" s="23">
        <f>VALUE('0921'!M37)</f>
        <v>17.2</v>
      </c>
      <c r="G22" s="23">
        <f>VALUE('0921'!M48)</f>
        <v>17.333333333333332</v>
      </c>
      <c r="H22" s="23">
        <f>VALUE('0921'!M58)</f>
        <v>15.75</v>
      </c>
      <c r="I22" s="23">
        <f>VALUE('0921'!M69)</f>
        <v>12.4</v>
      </c>
      <c r="J22" s="23">
        <f>'0921'!M79</f>
        <v>9.5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9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CA1A-B145-4867-A394-D735C6D0CE76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N28" sqref="N2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63159</v>
      </c>
      <c r="F1" s="30" t="s">
        <v>2</v>
      </c>
      <c r="G1" s="31">
        <f>SUM(H5:H79)</f>
        <v>2937070.7120000008</v>
      </c>
      <c r="H1" s="32" t="s">
        <v>3</v>
      </c>
      <c r="I1" s="33">
        <f>M15+M26+M48+M58+M69+M79+M37</f>
        <v>98.600000000000009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190</v>
      </c>
      <c r="B2" s="462"/>
      <c r="C2" s="28"/>
      <c r="D2" s="28" t="s">
        <v>14</v>
      </c>
      <c r="E2" s="35">
        <f>AVERAGE(O15,O26,O37,O48,O58,O69,O79)</f>
        <v>119.24982588958019</v>
      </c>
      <c r="F2" s="36" t="s">
        <v>15</v>
      </c>
      <c r="G2" s="37">
        <f>G1/E1</f>
        <v>46.502805807565046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0</v>
      </c>
      <c r="AA2" s="339">
        <f>AA15+AA26+AA37+AA48+AA58+AA69+AA79</f>
        <v>0</v>
      </c>
      <c r="AB2" s="433"/>
      <c r="AC2" s="433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3571</v>
      </c>
      <c r="H5" s="43">
        <f>F5*G5</f>
        <v>203082.77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2164.2424242424249</v>
      </c>
      <c r="O5" s="47">
        <f>N5/M5</f>
        <v>154.58874458874465</v>
      </c>
      <c r="P5" s="49">
        <f>M5-J5</f>
        <v>0</v>
      </c>
      <c r="Q5" s="50">
        <f>O5-L5</f>
        <v>-6.1255411255410763</v>
      </c>
      <c r="R5" s="51">
        <f>O5/L5</f>
        <v>0.96188552188552223</v>
      </c>
      <c r="S5" s="392">
        <f>R15</f>
        <v>0.92326081164094409</v>
      </c>
      <c r="T5" s="319">
        <v>0.29166666666666702</v>
      </c>
      <c r="U5" s="320">
        <v>0.360416666666667</v>
      </c>
      <c r="V5" s="53"/>
      <c r="W5" s="54">
        <f t="shared" ref="W5:W14" si="0">(U5-T5)*24*60</f>
        <v>98.999999999999972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-85.757575757575069</v>
      </c>
      <c r="AG5" s="52">
        <f t="shared" ref="AG5:AG11" si="2">N5/K5</f>
        <v>0.96188552188552223</v>
      </c>
      <c r="AH5" s="380">
        <f>AG15</f>
        <v>0.92273144496504145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1961</v>
      </c>
      <c r="H6" s="63">
        <f>F6*G6</f>
        <v>114071.37000000001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2139.2727272727534</v>
      </c>
      <c r="O6" s="67">
        <f>N6/M6</f>
        <v>164.55944055944258</v>
      </c>
      <c r="P6" s="69">
        <f>M6-J6</f>
        <v>0</v>
      </c>
      <c r="Q6" s="70">
        <f>O6-L6</f>
        <v>-8.517482517480488</v>
      </c>
      <c r="R6" s="71">
        <f>O6/L6</f>
        <v>0.95078787878789051</v>
      </c>
      <c r="S6" s="393"/>
      <c r="T6" s="16">
        <v>0.36805555555555602</v>
      </c>
      <c r="U6" s="16">
        <v>0.40625</v>
      </c>
      <c r="V6" s="30">
        <f>(T6-U5)*24*60</f>
        <v>11.000000000000201</v>
      </c>
      <c r="W6" s="73">
        <f t="shared" si="0"/>
        <v>54.999999999999325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-110.7272727272466</v>
      </c>
      <c r="AG6" s="72">
        <f t="shared" si="2"/>
        <v>0.95078787878789039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2828</v>
      </c>
      <c r="H7" s="78">
        <f>F7*G7</f>
        <v>138967.92000000001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1824.5161290322394</v>
      </c>
      <c r="O7" s="81">
        <f>N7/M7</f>
        <v>130.32258064515995</v>
      </c>
      <c r="P7" s="74">
        <f>M7-J7</f>
        <v>0</v>
      </c>
      <c r="Q7" s="83">
        <f>O7-L7</f>
        <v>-30.391705069125777</v>
      </c>
      <c r="R7" s="72">
        <f>O7/L7</f>
        <v>0.81089605734766179</v>
      </c>
      <c r="S7" s="393"/>
      <c r="T7" s="18">
        <v>0.41458333333333303</v>
      </c>
      <c r="U7" s="18">
        <v>0.47916666666666702</v>
      </c>
      <c r="V7" s="30">
        <f>(T7-U6)*24*60</f>
        <v>11.999999999999558</v>
      </c>
      <c r="W7" s="73">
        <f t="shared" si="0"/>
        <v>93.000000000000952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-425.48387096776059</v>
      </c>
      <c r="AG7" s="72">
        <f t="shared" si="2"/>
        <v>0.8108960573476619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3156</v>
      </c>
      <c r="H8" s="78">
        <f>F8*G8</f>
        <v>155085.84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2176.5517241379548</v>
      </c>
      <c r="O8" s="81">
        <f>N8/M8</f>
        <v>155.4679802955682</v>
      </c>
      <c r="P8" s="74">
        <f>M8-J8</f>
        <v>0</v>
      </c>
      <c r="Q8" s="83">
        <f>O8-L8</f>
        <v>-5.246305418717526</v>
      </c>
      <c r="R8" s="72">
        <f>O8/L8</f>
        <v>0.96735632183909093</v>
      </c>
      <c r="S8" s="393"/>
      <c r="T8" s="16">
        <v>0.54166666666666696</v>
      </c>
      <c r="U8" s="16">
        <v>0.60208333333333297</v>
      </c>
      <c r="V8" s="30">
        <f>(T8-U7)*24*60</f>
        <v>89.999999999999915</v>
      </c>
      <c r="W8" s="73">
        <f t="shared" si="0"/>
        <v>86.999999999999048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-73.448275862045193</v>
      </c>
      <c r="AG8" s="72">
        <f t="shared" si="2"/>
        <v>0.96735632183909104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13.75</v>
      </c>
      <c r="K15" s="120">
        <f t="shared" si="3"/>
        <v>2250</v>
      </c>
      <c r="L15" s="117">
        <f t="shared" si="3"/>
        <v>163.80494505494505</v>
      </c>
      <c r="M15" s="120">
        <f t="shared" si="3"/>
        <v>13.75</v>
      </c>
      <c r="N15" s="120">
        <f t="shared" si="3"/>
        <v>2076.1457511713434</v>
      </c>
      <c r="O15" s="117">
        <f t="shared" si="3"/>
        <v>151.23468652222883</v>
      </c>
      <c r="P15" s="121">
        <f>M15-J15</f>
        <v>0</v>
      </c>
      <c r="Q15" s="122">
        <f>O15-L15</f>
        <v>-12.570258532716224</v>
      </c>
      <c r="R15" s="123">
        <f>O15/L15</f>
        <v>0.92326081164094409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-173.85424882865664</v>
      </c>
      <c r="AG15" s="124">
        <f>N15/K15</f>
        <v>0.92273144496504145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5164</v>
      </c>
      <c r="H16" s="134">
        <f>F16*G16</f>
        <v>261659.88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2079.4630872483272</v>
      </c>
      <c r="O16" s="141">
        <f>N16/M16</f>
        <v>148.53307766059478</v>
      </c>
      <c r="P16" s="142">
        <f>M16-J16</f>
        <v>0</v>
      </c>
      <c r="Q16" s="143">
        <f>O16-L16</f>
        <v>-12.181208053690938</v>
      </c>
      <c r="R16" s="144">
        <f>O16/L16</f>
        <v>0.92420581655481193</v>
      </c>
      <c r="S16" s="420">
        <f>R26</f>
        <v>0.9196802480436741</v>
      </c>
      <c r="T16" s="145">
        <v>0.29097222222222202</v>
      </c>
      <c r="U16" s="145">
        <v>0.39444444444444399</v>
      </c>
      <c r="V16" s="135"/>
      <c r="W16" s="146">
        <f t="shared" ref="W16:W78" si="4">(U16-T16)*24*60</f>
        <v>148.99999999999963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-170.53691275167284</v>
      </c>
      <c r="AG16" s="52">
        <f>N16/K16</f>
        <v>0.92420581655481204</v>
      </c>
      <c r="AH16" s="380">
        <f>AG26</f>
        <v>0.91989575130610945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3062</v>
      </c>
      <c r="H17" s="78">
        <f>F17*G17</f>
        <v>154294.18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1996.9565217391269</v>
      </c>
      <c r="O17" s="96">
        <f>N17/M17</f>
        <v>166.41304347826056</v>
      </c>
      <c r="P17" s="97">
        <f>M17-J17</f>
        <v>0</v>
      </c>
      <c r="Q17" s="98">
        <f>O17-L17</f>
        <v>-21.086956521739438</v>
      </c>
      <c r="R17" s="99">
        <f>O17/L17</f>
        <v>0.88753623188405628</v>
      </c>
      <c r="S17" s="421"/>
      <c r="T17" s="19">
        <v>0.41249999999999998</v>
      </c>
      <c r="U17" s="19">
        <v>0.47638888888888897</v>
      </c>
      <c r="V17" s="30">
        <f>(T17-U16)*24*60</f>
        <v>26.000000000000625</v>
      </c>
      <c r="W17" s="149">
        <f t="shared" si="4"/>
        <v>92.000000000000156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-253.04347826087314</v>
      </c>
      <c r="AG17" s="72">
        <f>N17/K17</f>
        <v>0.88753623188405639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2595</v>
      </c>
      <c r="H18" s="78">
        <f>F18*G18</f>
        <v>130762.05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2132.8767123287839</v>
      </c>
      <c r="O18" s="96">
        <f>N18/M18</f>
        <v>177.73972602739866</v>
      </c>
      <c r="P18" s="97">
        <f>M18-J18</f>
        <v>0</v>
      </c>
      <c r="Q18" s="98">
        <f>O18-L18</f>
        <v>-9.7602739726013397</v>
      </c>
      <c r="R18" s="99">
        <f>O18/L18</f>
        <v>0.94794520547945949</v>
      </c>
      <c r="S18" s="421"/>
      <c r="T18" s="19">
        <v>0.54166666666666696</v>
      </c>
      <c r="U18" s="19">
        <v>0.59236111111111101</v>
      </c>
      <c r="V18" s="30">
        <f>(T18-U17)*24*60</f>
        <v>94.000000000000313</v>
      </c>
      <c r="W18" s="149">
        <f t="shared" si="4"/>
        <v>72.999999999999417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-117.12328767121608</v>
      </c>
      <c r="AG18" s="72">
        <f>N18/K18</f>
        <v>0.94794520547945949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12.666666666666666</v>
      </c>
      <c r="K26" s="155">
        <f t="shared" si="5"/>
        <v>2250</v>
      </c>
      <c r="L26" s="158">
        <f t="shared" si="5"/>
        <v>178.57142857142858</v>
      </c>
      <c r="M26" s="155">
        <f t="shared" si="5"/>
        <v>12.666666666666666</v>
      </c>
      <c r="N26" s="155">
        <f t="shared" si="5"/>
        <v>2069.7654404387463</v>
      </c>
      <c r="O26" s="158">
        <f t="shared" si="5"/>
        <v>164.22861572208467</v>
      </c>
      <c r="P26" s="159">
        <f>M26-J26</f>
        <v>0</v>
      </c>
      <c r="Q26" s="160">
        <f>O26-L26</f>
        <v>-14.342812849343915</v>
      </c>
      <c r="R26" s="161">
        <f>O26/L26</f>
        <v>0.9196802480436741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-180.23455956125372</v>
      </c>
      <c r="AG26" s="124">
        <f t="shared" ref="AG26:AG31" si="7">N26/K26</f>
        <v>0.91989575130610945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57.21</v>
      </c>
      <c r="G27" s="169">
        <v>1277</v>
      </c>
      <c r="H27" s="134">
        <f>F27*G27</f>
        <v>73057.17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17</v>
      </c>
      <c r="N27" s="140">
        <f>G27/W27*60</f>
        <v>1445.660377358513</v>
      </c>
      <c r="O27" s="141">
        <f>N27/M27</f>
        <v>85.038845726971346</v>
      </c>
      <c r="P27" s="142">
        <f>M27-J27</f>
        <v>-1</v>
      </c>
      <c r="Q27" s="143">
        <f>O27-L27</f>
        <v>-5.8500431619175401</v>
      </c>
      <c r="R27" s="144">
        <f>O27/L27</f>
        <v>0.93563522193489257</v>
      </c>
      <c r="S27" s="420">
        <f>R37</f>
        <v>0.91804537917909601</v>
      </c>
      <c r="T27" s="171">
        <v>0.29166666666666702</v>
      </c>
      <c r="U27" s="171">
        <v>0.328472222222222</v>
      </c>
      <c r="V27" s="135"/>
      <c r="W27" s="146">
        <f t="shared" si="4"/>
        <v>52.999999999999176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6"/>
        <v>-190.33962264148704</v>
      </c>
      <c r="AG27" s="172">
        <f t="shared" si="7"/>
        <v>0.88365548738295419</v>
      </c>
      <c r="AH27" s="380">
        <f>AG37</f>
        <v>0.90776599068922004</v>
      </c>
    </row>
    <row r="28" spans="1:34" ht="15" customHeight="1">
      <c r="A28" s="418"/>
      <c r="B28" s="75" t="s">
        <v>81</v>
      </c>
      <c r="C28" s="173"/>
      <c r="D28" s="59" t="s">
        <v>161</v>
      </c>
      <c r="E28" s="104"/>
      <c r="F28" s="75">
        <f>VLOOKUP(D28,廠價表!$C$1:$E$43,3,0)</f>
        <v>52.21</v>
      </c>
      <c r="G28" s="90">
        <v>1917</v>
      </c>
      <c r="H28" s="91">
        <f>F28*G28</f>
        <v>100086.57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1419.9999999999995</v>
      </c>
      <c r="O28" s="96">
        <f>N28/M28</f>
        <v>78.888888888888857</v>
      </c>
      <c r="P28" s="97">
        <f>M28-J28</f>
        <v>0</v>
      </c>
      <c r="Q28" s="98">
        <f>O28-L28</f>
        <v>-12.000000000000028</v>
      </c>
      <c r="R28" s="99">
        <f>O28/L28</f>
        <v>0.86797066014669899</v>
      </c>
      <c r="S28" s="421"/>
      <c r="T28" s="19">
        <v>0.33402777777777798</v>
      </c>
      <c r="U28" s="19">
        <v>0.390277777777778</v>
      </c>
      <c r="V28" s="92">
        <f>(T28-U27)*24*60</f>
        <v>8.0000000000006111</v>
      </c>
      <c r="W28" s="149">
        <f t="shared" si="4"/>
        <v>81.000000000000028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6"/>
        <v>-216.00000000000045</v>
      </c>
      <c r="AG28" s="99">
        <f t="shared" si="7"/>
        <v>0.86797066014669899</v>
      </c>
      <c r="AH28" s="381"/>
    </row>
    <row r="29" spans="1:34" ht="15" customHeight="1">
      <c r="A29" s="418"/>
      <c r="B29" s="75" t="s">
        <v>81</v>
      </c>
      <c r="C29" s="173"/>
      <c r="D29" s="59" t="s">
        <v>124</v>
      </c>
      <c r="E29" s="104"/>
      <c r="F29" s="75">
        <f>VLOOKUP(D29,廠價表!$C$1:$E$43,3,0)</f>
        <v>46.34</v>
      </c>
      <c r="G29" s="90">
        <v>1511</v>
      </c>
      <c r="H29" s="91">
        <f>F29*G29</f>
        <v>70019.740000000005</v>
      </c>
      <c r="I29" s="92"/>
      <c r="J29" s="79">
        <f>VLOOKUP(D29,產線配置圖!$A$3:$C$40,2,0)</f>
        <v>16</v>
      </c>
      <c r="K29" s="80">
        <f>VLOOKUP(D29,產線配置圖!$A$3:$C$40,3,0)</f>
        <v>1636</v>
      </c>
      <c r="L29" s="93">
        <f>K29/J29</f>
        <v>102.25</v>
      </c>
      <c r="M29" s="94">
        <v>16</v>
      </c>
      <c r="N29" s="95">
        <f>G29/W29*60</f>
        <v>1462.2580645161136</v>
      </c>
      <c r="O29" s="96">
        <f>N29/M29</f>
        <v>91.391129032257098</v>
      </c>
      <c r="P29" s="97">
        <f>M29-J29</f>
        <v>0</v>
      </c>
      <c r="Q29" s="98">
        <f>O29-L29</f>
        <v>-10.858870967742902</v>
      </c>
      <c r="R29" s="99">
        <f>O29/L29</f>
        <v>0.89380077293160975</v>
      </c>
      <c r="S29" s="421"/>
      <c r="T29" s="19">
        <v>0.39583333333333298</v>
      </c>
      <c r="U29" s="19">
        <v>0.43888888888888899</v>
      </c>
      <c r="V29" s="92">
        <f>(T29-U28)*24*60</f>
        <v>7.9999999999991722</v>
      </c>
      <c r="W29" s="149">
        <f t="shared" si="4"/>
        <v>62.000000000000661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-173.74193548388644</v>
      </c>
      <c r="AG29" s="99">
        <f t="shared" si="7"/>
        <v>0.89380077293160975</v>
      </c>
      <c r="AH29" s="381"/>
    </row>
    <row r="30" spans="1:34" ht="15" customHeight="1">
      <c r="A30" s="418"/>
      <c r="B30" s="75" t="s">
        <v>81</v>
      </c>
      <c r="C30" s="88"/>
      <c r="D30" s="59" t="s">
        <v>126</v>
      </c>
      <c r="E30" s="89"/>
      <c r="F30" s="75">
        <f>VLOOKUP(D30,廠價表!$C$1:$E$43,3,0)</f>
        <v>45.66</v>
      </c>
      <c r="G30" s="90">
        <v>942</v>
      </c>
      <c r="H30" s="91">
        <f t="shared" ref="H30:H31" si="8">F30*G30</f>
        <v>43011.719999999994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1" si="9">K30/J30</f>
        <v>96.235294117647058</v>
      </c>
      <c r="M30" s="94">
        <v>17</v>
      </c>
      <c r="N30" s="95">
        <f t="shared" ref="N30:N31" si="10">G30/W30*60</f>
        <v>1569.9999999999989</v>
      </c>
      <c r="O30" s="96">
        <f t="shared" ref="O30:O31" si="11">N30/M30</f>
        <v>92.352941176470523</v>
      </c>
      <c r="P30" s="97">
        <f t="shared" ref="P30:P31" si="12">M30-J30</f>
        <v>0</v>
      </c>
      <c r="Q30" s="98">
        <f t="shared" ref="Q30:Q31" si="13">O30-L30</f>
        <v>-3.882352941176535</v>
      </c>
      <c r="R30" s="99">
        <f t="shared" ref="R30:R31" si="14">O30/L30</f>
        <v>0.95965770171149078</v>
      </c>
      <c r="S30" s="421"/>
      <c r="T30" s="19">
        <v>0.44444444444444398</v>
      </c>
      <c r="U30" s="19">
        <v>0.469444444444444</v>
      </c>
      <c r="V30" s="92">
        <f>(T30-U29)*24*60</f>
        <v>7.9999999999991722</v>
      </c>
      <c r="W30" s="149">
        <f t="shared" si="4"/>
        <v>36.000000000000028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-66.000000000001137</v>
      </c>
      <c r="AG30" s="99">
        <f t="shared" si="7"/>
        <v>0.95965770171149078</v>
      </c>
      <c r="AH30" s="416"/>
    </row>
    <row r="31" spans="1:34" ht="15" customHeight="1">
      <c r="A31" s="418"/>
      <c r="B31" s="75" t="s">
        <v>81</v>
      </c>
      <c r="C31" s="88"/>
      <c r="D31" s="59" t="s">
        <v>161</v>
      </c>
      <c r="E31" s="89"/>
      <c r="F31" s="75">
        <f>VLOOKUP(D31,廠價表!$C$1:$E$43,3,0)</f>
        <v>52.21</v>
      </c>
      <c r="G31" s="90">
        <v>4150</v>
      </c>
      <c r="H31" s="91">
        <f t="shared" si="8"/>
        <v>216671.5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9"/>
        <v>90.888888888888886</v>
      </c>
      <c r="M31" s="94">
        <v>18</v>
      </c>
      <c r="N31" s="95">
        <f t="shared" si="10"/>
        <v>1527.6073619631954</v>
      </c>
      <c r="O31" s="96">
        <f t="shared" si="11"/>
        <v>84.867075664621964</v>
      </c>
      <c r="P31" s="97">
        <f t="shared" si="12"/>
        <v>0</v>
      </c>
      <c r="Q31" s="98">
        <f t="shared" si="13"/>
        <v>-6.0218132242669213</v>
      </c>
      <c r="R31" s="99">
        <f t="shared" si="14"/>
        <v>0.9337453312733468</v>
      </c>
      <c r="S31" s="421"/>
      <c r="T31" s="19">
        <v>0.52777777777777801</v>
      </c>
      <c r="U31" s="19">
        <v>0.64097222222222205</v>
      </c>
      <c r="V31" s="92">
        <f>(T31-U30)*24*60</f>
        <v>84.000000000000981</v>
      </c>
      <c r="W31" s="149">
        <f t="shared" si="4"/>
        <v>162.99999999999943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-108.39263803680456</v>
      </c>
      <c r="AG31" s="99">
        <f t="shared" si="7"/>
        <v>0.9337453312733468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15">AVERAGE(J27:J36)</f>
        <v>17.399999999999999</v>
      </c>
      <c r="K37" s="155">
        <f t="shared" si="15"/>
        <v>1636</v>
      </c>
      <c r="L37" s="158">
        <f t="shared" si="15"/>
        <v>94.230392156862735</v>
      </c>
      <c r="M37" s="155">
        <f t="shared" si="15"/>
        <v>17.2</v>
      </c>
      <c r="N37" s="155">
        <f t="shared" si="15"/>
        <v>1485.105160767564</v>
      </c>
      <c r="O37" s="158">
        <f t="shared" si="15"/>
        <v>86.507776097841969</v>
      </c>
      <c r="P37" s="159">
        <f>M37-J37</f>
        <v>-0.19999999999999929</v>
      </c>
      <c r="Q37" s="160">
        <f>N37-K37</f>
        <v>-150.89483923243597</v>
      </c>
      <c r="R37" s="161">
        <f>O37/L37</f>
        <v>0.91804537917909601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-150.89483923243597</v>
      </c>
      <c r="AG37" s="124">
        <f>N37/K37</f>
        <v>0.90776599068922004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2982</v>
      </c>
      <c r="H38" s="134">
        <f>F38*G38</f>
        <v>148831.62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1641.4678899082664</v>
      </c>
      <c r="O38" s="141">
        <f>N38/M38</f>
        <v>102.59174311926665</v>
      </c>
      <c r="P38" s="142">
        <f>M38-J38</f>
        <v>0</v>
      </c>
      <c r="Q38" s="143">
        <f>O38-L38</f>
        <v>-4.5332568807333473</v>
      </c>
      <c r="R38" s="144">
        <f>O38/L38</f>
        <v>0.95768254953807841</v>
      </c>
      <c r="S38" s="410">
        <f>R48</f>
        <v>0.9240494304239647</v>
      </c>
      <c r="T38" s="191">
        <v>0.33402777777777798</v>
      </c>
      <c r="U38" s="191">
        <v>0.40972222222222199</v>
      </c>
      <c r="V38" s="192"/>
      <c r="W38" s="193">
        <f t="shared" si="4"/>
        <v>108.99999999999937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-72.532110091733557</v>
      </c>
      <c r="AG38" s="195">
        <f>N38/K38</f>
        <v>0.95768254953807841</v>
      </c>
      <c r="AH38" s="413">
        <f>AG48</f>
        <v>0.92260420463772341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2673</v>
      </c>
      <c r="H39" s="91">
        <f>F39*G39</f>
        <v>118413.9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1557.0873786407726</v>
      </c>
      <c r="O39" s="203">
        <f>N39/M39</f>
        <v>86.504854368931817</v>
      </c>
      <c r="P39" s="97">
        <f>M39-J39</f>
        <v>0</v>
      </c>
      <c r="Q39" s="98">
        <f>O39-L39</f>
        <v>-4.3840345199570692</v>
      </c>
      <c r="R39" s="99">
        <f>O39/L39</f>
        <v>0.95176490136966552</v>
      </c>
      <c r="S39" s="411"/>
      <c r="T39" s="20">
        <v>0.42013888888888901</v>
      </c>
      <c r="U39" s="20">
        <v>0.49166666666666697</v>
      </c>
      <c r="V39" s="92">
        <f>(T39-U38)*24*60</f>
        <v>15.000000000000506</v>
      </c>
      <c r="W39" s="205">
        <f t="shared" si="4"/>
        <v>103.00000000000027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-78.912621359227387</v>
      </c>
      <c r="AG39" s="206">
        <f>N39/K39</f>
        <v>0.95176490136966541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3317</v>
      </c>
      <c r="H40" s="91">
        <f>F40*G40</f>
        <v>146943.09999999998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1401.5492957746496</v>
      </c>
      <c r="O40" s="203">
        <f>N40/M40</f>
        <v>77.863849765258308</v>
      </c>
      <c r="P40" s="97">
        <f>M40-J40</f>
        <v>0</v>
      </c>
      <c r="Q40" s="98">
        <f>O40-L40</f>
        <v>-13.025039123630577</v>
      </c>
      <c r="R40" s="99">
        <f>O40/L40</f>
        <v>0.85669272357863668</v>
      </c>
      <c r="S40" s="393"/>
      <c r="T40" s="20">
        <v>0.54861111111111105</v>
      </c>
      <c r="U40" s="20">
        <v>0.64722222222222203</v>
      </c>
      <c r="V40" s="92">
        <f>(T40-U39)*24*60</f>
        <v>81.999999999999474</v>
      </c>
      <c r="W40" s="205">
        <f t="shared" si="4"/>
        <v>141.99999999999983</v>
      </c>
      <c r="X40" s="208"/>
      <c r="Y40" s="209"/>
      <c r="Z40" s="337"/>
      <c r="AA40" s="337"/>
      <c r="AB40" s="510"/>
      <c r="AC40" s="386"/>
      <c r="AD40" s="92"/>
      <c r="AE40" s="92"/>
      <c r="AF40" s="314">
        <f>N40-K40</f>
        <v>-234.45070422535036</v>
      </c>
      <c r="AG40" s="206">
        <f>N40/K40</f>
        <v>0.85669272357863668</v>
      </c>
      <c r="AH40" s="414"/>
    </row>
    <row r="41" spans="1:34" ht="15" customHeight="1">
      <c r="A41" s="408"/>
      <c r="B41" s="75"/>
      <c r="C41" s="86"/>
      <c r="D41" s="198"/>
      <c r="E41" s="87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1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16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16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16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16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16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7">AVERAGE(J38:J47)</f>
        <v>17.333333333333332</v>
      </c>
      <c r="K48" s="155">
        <f t="shared" si="17"/>
        <v>1662</v>
      </c>
      <c r="L48" s="158">
        <f t="shared" si="17"/>
        <v>96.300925925925924</v>
      </c>
      <c r="M48" s="155">
        <f t="shared" si="17"/>
        <v>17.333333333333332</v>
      </c>
      <c r="N48" s="155">
        <f t="shared" si="17"/>
        <v>1533.3681881078962</v>
      </c>
      <c r="O48" s="158">
        <f t="shared" si="17"/>
        <v>88.986815751152264</v>
      </c>
      <c r="P48" s="221">
        <f>M48-J48</f>
        <v>0</v>
      </c>
      <c r="Q48" s="222">
        <f>N48-K48</f>
        <v>-128.63181189210377</v>
      </c>
      <c r="R48" s="223">
        <f>O48/L48</f>
        <v>0.9240494304239647</v>
      </c>
      <c r="S48" s="396"/>
      <c r="T48" s="224"/>
      <c r="U48" s="224"/>
      <c r="V48" s="225"/>
      <c r="W48" s="226">
        <f t="shared" si="16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8">N48-K48</f>
        <v>-128.63181189210377</v>
      </c>
      <c r="AG48" s="162">
        <f t="shared" ref="AG48:AG53" si="19">N48/K48</f>
        <v>0.92260420463772341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v>879</v>
      </c>
      <c r="H49" s="134">
        <f>F49*G49</f>
        <v>43870.89</v>
      </c>
      <c r="I49" s="135"/>
      <c r="J49" s="136">
        <f>VLOOKUP(D49,產線配置圖!$A$3:$C$40,2,0)</f>
        <v>18</v>
      </c>
      <c r="K49" s="137">
        <v>1636</v>
      </c>
      <c r="L49" s="138">
        <f>K49/J49</f>
        <v>90.888888888888886</v>
      </c>
      <c r="M49" s="170">
        <v>17</v>
      </c>
      <c r="N49" s="140">
        <f>G49/W49*60</f>
        <v>1318.5000000000389</v>
      </c>
      <c r="O49" s="141">
        <f>N49/M49</f>
        <v>77.558823529414056</v>
      </c>
      <c r="P49" s="229">
        <f>M49-J49</f>
        <v>-1</v>
      </c>
      <c r="Q49" s="230">
        <f>O49-L49</f>
        <v>-13.33006535947483</v>
      </c>
      <c r="R49" s="52">
        <f>O49/L49</f>
        <v>0.85333668919893224</v>
      </c>
      <c r="S49" s="392">
        <f>R58</f>
        <v>0.84265939415119162</v>
      </c>
      <c r="T49" s="191">
        <v>0.29166666666666702</v>
      </c>
      <c r="U49" s="191">
        <v>0.31944444444444398</v>
      </c>
      <c r="V49" s="55"/>
      <c r="W49" s="193">
        <f t="shared" si="4"/>
        <v>39.99999999999882</v>
      </c>
      <c r="X49" s="55"/>
      <c r="Y49" s="290"/>
      <c r="Z49" s="169"/>
      <c r="AA49" s="169"/>
      <c r="AB49" s="397" t="s">
        <v>137</v>
      </c>
      <c r="AC49" s="397"/>
      <c r="AD49" s="135"/>
      <c r="AE49" s="135"/>
      <c r="AF49" s="229">
        <f t="shared" si="18"/>
        <v>-317.49999999996112</v>
      </c>
      <c r="AG49" s="52">
        <f t="shared" si="19"/>
        <v>0.80592909535454704</v>
      </c>
      <c r="AH49" s="380">
        <f>AG58</f>
        <v>0.79185736192380551</v>
      </c>
    </row>
    <row r="50" spans="1:34" ht="15" customHeight="1">
      <c r="A50" s="405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2598</v>
      </c>
      <c r="H50" s="231">
        <f>F50*G50</f>
        <v>130650.822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16</v>
      </c>
      <c r="N50" s="234">
        <f>G50/W50*60</f>
        <v>1237.1428571428576</v>
      </c>
      <c r="O50" s="235">
        <f>N50/M50</f>
        <v>77.321428571428598</v>
      </c>
      <c r="P50" s="74">
        <f>M50-J50</f>
        <v>-1</v>
      </c>
      <c r="Q50" s="83">
        <f>O50-L50</f>
        <v>-18.91386554621846</v>
      </c>
      <c r="R50" s="72">
        <f>O50/L50</f>
        <v>0.8034622773314708</v>
      </c>
      <c r="S50" s="393"/>
      <c r="T50" s="21">
        <v>0.32500000000000001</v>
      </c>
      <c r="U50" s="21">
        <v>0.41249999999999998</v>
      </c>
      <c r="V50" s="30">
        <f>(T50-U49)*24*60</f>
        <v>8.000000000000691</v>
      </c>
      <c r="W50" s="236">
        <f t="shared" si="4"/>
        <v>125.99999999999996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8"/>
        <v>-398.85714285714243</v>
      </c>
      <c r="AG50" s="72">
        <f t="shared" si="19"/>
        <v>0.75619979042961949</v>
      </c>
      <c r="AH50" s="382"/>
    </row>
    <row r="51" spans="1:34" ht="15" customHeight="1">
      <c r="A51" s="405"/>
      <c r="B51" s="75" t="s">
        <v>81</v>
      </c>
      <c r="C51" s="76"/>
      <c r="D51" s="59" t="s">
        <v>131</v>
      </c>
      <c r="E51" s="77"/>
      <c r="F51" s="75">
        <f>VLOOKUP(D51,廠價表!$C$1:$E$43,3,0)</f>
        <v>49.97</v>
      </c>
      <c r="G51" s="202">
        <v>1807</v>
      </c>
      <c r="H51" s="231">
        <f>F51*G51</f>
        <v>90295.79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15</v>
      </c>
      <c r="N51" s="234">
        <f>G51/W51*60</f>
        <v>1485.2054794520388</v>
      </c>
      <c r="O51" s="235">
        <f>N51/M51</f>
        <v>99.01369863013592</v>
      </c>
      <c r="P51" s="74">
        <f>M51-J51</f>
        <v>-1</v>
      </c>
      <c r="Q51" s="83">
        <f>O51-L51</f>
        <v>-13.48630136986408</v>
      </c>
      <c r="R51" s="72">
        <f>O51/L51</f>
        <v>0.88012176560120814</v>
      </c>
      <c r="S51" s="393"/>
      <c r="T51" s="21">
        <v>0.41944444444444401</v>
      </c>
      <c r="U51" s="19">
        <v>0.47013888888888899</v>
      </c>
      <c r="V51" s="30">
        <f>(T51-U50)*24*60</f>
        <v>9.9999999999994049</v>
      </c>
      <c r="W51" s="236">
        <f t="shared" si="4"/>
        <v>73.000000000000782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8"/>
        <v>-314.79452054796116</v>
      </c>
      <c r="AG51" s="72">
        <f t="shared" si="19"/>
        <v>0.82511415525113274</v>
      </c>
      <c r="AH51" s="382"/>
    </row>
    <row r="52" spans="1:34" ht="15" customHeight="1">
      <c r="A52" s="405"/>
      <c r="B52" s="75" t="s">
        <v>81</v>
      </c>
      <c r="C52" s="86"/>
      <c r="D52" s="59" t="s">
        <v>131</v>
      </c>
      <c r="E52" s="87"/>
      <c r="F52" s="75">
        <f>VLOOKUP(D52,廠價表!$C$1:$E$43,3,0)</f>
        <v>49.97</v>
      </c>
      <c r="G52" s="202">
        <v>4109</v>
      </c>
      <c r="H52" s="231">
        <f>F52*G52</f>
        <v>205326.72999999998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15</v>
      </c>
      <c r="N52" s="234">
        <f>G52/W52*60</f>
        <v>1400.795454545457</v>
      </c>
      <c r="O52" s="235">
        <f>N52/M52</f>
        <v>93.386363636363797</v>
      </c>
      <c r="P52" s="74">
        <f>M52-J52</f>
        <v>-1</v>
      </c>
      <c r="Q52" s="83">
        <f>O52-L52</f>
        <v>-19.113636363636203</v>
      </c>
      <c r="R52" s="72">
        <f>O52/L52</f>
        <v>0.83010101010101156</v>
      </c>
      <c r="S52" s="393"/>
      <c r="T52" s="21">
        <v>0.530555555555556</v>
      </c>
      <c r="U52" s="21">
        <v>0.65277777777777801</v>
      </c>
      <c r="V52" s="30">
        <f>(T52-U51)*24*60</f>
        <v>87.000000000000483</v>
      </c>
      <c r="W52" s="236">
        <f t="shared" si="4"/>
        <v>175.99999999999969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8"/>
        <v>-399.20454545454299</v>
      </c>
      <c r="AG52" s="72">
        <f t="shared" si="19"/>
        <v>0.77821969696969828</v>
      </c>
      <c r="AH52" s="382"/>
    </row>
    <row r="53" spans="1:34" ht="15" customHeight="1">
      <c r="A53" s="405"/>
      <c r="B53" s="75"/>
      <c r="C53" s="86"/>
      <c r="D53" s="198"/>
      <c r="E53" s="87"/>
      <c r="F53" s="75"/>
      <c r="G53" s="199"/>
      <c r="H53" s="91"/>
      <c r="I53" s="200"/>
      <c r="J53" s="148"/>
      <c r="K53" s="95"/>
      <c r="L53" s="96"/>
      <c r="M53" s="201"/>
      <c r="N53" s="202"/>
      <c r="O53" s="203"/>
      <c r="P53" s="97"/>
      <c r="Q53" s="98"/>
      <c r="R53" s="99"/>
      <c r="S53" s="39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8"/>
        <v>0</v>
      </c>
      <c r="AG53" s="72" t="e">
        <f t="shared" si="19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0">AVERAGE(J49:J57)</f>
        <v>16.75</v>
      </c>
      <c r="K58" s="120">
        <f t="shared" si="20"/>
        <v>1718</v>
      </c>
      <c r="L58" s="117">
        <f t="shared" si="20"/>
        <v>103.03104575163398</v>
      </c>
      <c r="M58" s="120">
        <f t="shared" si="20"/>
        <v>15.75</v>
      </c>
      <c r="N58" s="120">
        <f t="shared" si="20"/>
        <v>1360.410947785098</v>
      </c>
      <c r="O58" s="117">
        <f t="shared" si="20"/>
        <v>86.820078591835596</v>
      </c>
      <c r="P58" s="121">
        <f>M58-J58</f>
        <v>-1</v>
      </c>
      <c r="Q58" s="122">
        <f>N58-K58</f>
        <v>-357.58905221490204</v>
      </c>
      <c r="R58" s="123">
        <f>O58/L58</f>
        <v>0.84265939415119162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-357.58905221490204</v>
      </c>
      <c r="AG58" s="124">
        <f>N58/K58</f>
        <v>0.79185736192380551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2411</v>
      </c>
      <c r="H59" s="243">
        <f>F59*G59</f>
        <v>65072.89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1555.4838709677501</v>
      </c>
      <c r="O59" s="138">
        <f>N59/M59</f>
        <v>103.69892473118334</v>
      </c>
      <c r="P59" s="56">
        <f>M59-J59</f>
        <v>0</v>
      </c>
      <c r="Q59" s="230">
        <f>O59-L59</f>
        <v>-5.3677419354833233</v>
      </c>
      <c r="R59" s="52">
        <f>O59/L59</f>
        <v>0.95078476220522623</v>
      </c>
      <c r="S59" s="392">
        <f>R69</f>
        <v>0.89518087920682066</v>
      </c>
      <c r="T59" s="245">
        <v>0.29513888888888901</v>
      </c>
      <c r="U59" s="245">
        <v>0.359722222222222</v>
      </c>
      <c r="V59" s="55"/>
      <c r="W59" s="54">
        <f t="shared" si="4"/>
        <v>92.999999999999517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-80.516129032249864</v>
      </c>
      <c r="AG59" s="246">
        <f>N59/K59</f>
        <v>0.95078476220522623</v>
      </c>
      <c r="AH59" s="380">
        <f>AG69</f>
        <v>0.88123214644197401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1582</v>
      </c>
      <c r="H60" s="78">
        <f>F60*G60</f>
        <v>44707.32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1530.9677419355032</v>
      </c>
      <c r="O60" s="81">
        <f>N60/M60</f>
        <v>139.1788856305003</v>
      </c>
      <c r="P60" s="74">
        <f>M60-J60</f>
        <v>0</v>
      </c>
      <c r="Q60" s="83">
        <f>O60-L60</f>
        <v>-9.5483870967724158</v>
      </c>
      <c r="R60" s="72">
        <f>O60/L60</f>
        <v>0.93579935326131014</v>
      </c>
      <c r="S60" s="402"/>
      <c r="T60" s="22">
        <v>0.36527777777777798</v>
      </c>
      <c r="U60" s="22">
        <v>0.40833333333333299</v>
      </c>
      <c r="V60" s="30">
        <f>(T60-U59)*24*60</f>
        <v>8.0000000000006111</v>
      </c>
      <c r="W60" s="248">
        <f t="shared" si="4"/>
        <v>61.999999999999218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-105.03225806449677</v>
      </c>
      <c r="AG60" s="249">
        <f>N60/K60</f>
        <v>0.93579935326131003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75">
        <f>VLOOKUP(D61,廠價表!$C$1:$E$43,3,0)</f>
        <v>28.26</v>
      </c>
      <c r="G61" s="38">
        <v>849</v>
      </c>
      <c r="H61" s="254">
        <f>F61*G61</f>
        <v>23992.74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1376.7567567567824</v>
      </c>
      <c r="O61" s="238">
        <f>N61/M61</f>
        <v>125.15970515970749</v>
      </c>
      <c r="P61" s="111">
        <f>M61-J61</f>
        <v>0</v>
      </c>
      <c r="Q61" s="255">
        <f>O61-L61</f>
        <v>-23.567567567565234</v>
      </c>
      <c r="R61" s="85">
        <f>O61/L61</f>
        <v>0.84153835987578385</v>
      </c>
      <c r="S61" s="393"/>
      <c r="T61" s="22">
        <v>0.41527777777777802</v>
      </c>
      <c r="U61" s="22">
        <v>0.44097222222222199</v>
      </c>
      <c r="V61" s="30">
        <f>(T61-U60)*24*60</f>
        <v>10.000000000000844</v>
      </c>
      <c r="W61" s="256">
        <f t="shared" si="4"/>
        <v>36.999999999999311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-259.24324324321765</v>
      </c>
      <c r="AG61" s="247">
        <f>N61/K61</f>
        <v>0.84153835987578385</v>
      </c>
      <c r="AH61" s="382"/>
    </row>
    <row r="62" spans="1:34" ht="15" customHeight="1">
      <c r="A62" s="400"/>
      <c r="B62" s="250" t="s">
        <v>132</v>
      </c>
      <c r="C62" s="251"/>
      <c r="D62" s="257" t="s">
        <v>136</v>
      </c>
      <c r="E62" s="253"/>
      <c r="F62" s="75">
        <f>VLOOKUP(D62,廠價表!$C$1:$E$43,3,0)</f>
        <v>28.26</v>
      </c>
      <c r="G62" s="38">
        <v>1636</v>
      </c>
      <c r="H62" s="78">
        <f>F62*G62</f>
        <v>46233.36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>K62/J62</f>
        <v>148.72727272727272</v>
      </c>
      <c r="M62" s="108">
        <v>10</v>
      </c>
      <c r="N62" s="107">
        <f t="shared" ref="N62:N63" si="21">G62/W62*60</f>
        <v>1308.8000000000088</v>
      </c>
      <c r="O62" s="238">
        <f t="shared" ref="O62:O63" si="22">N62/M62</f>
        <v>130.88000000000088</v>
      </c>
      <c r="P62" s="111">
        <f t="shared" ref="P62:P63" si="23">M62-J62</f>
        <v>-1</v>
      </c>
      <c r="Q62" s="255">
        <f t="shared" ref="Q62:Q63" si="24">O62-L62</f>
        <v>-17.847272727271843</v>
      </c>
      <c r="R62" s="85">
        <f t="shared" ref="R62:R63" si="25">O62/L62</f>
        <v>0.88000000000000589</v>
      </c>
      <c r="S62" s="393"/>
      <c r="T62" s="22">
        <v>0.44791666666666702</v>
      </c>
      <c r="U62" s="22">
        <v>0.5</v>
      </c>
      <c r="V62" s="30">
        <f t="shared" ref="V62:V63" si="26">(T62-U61)*24*60</f>
        <v>10.000000000000844</v>
      </c>
      <c r="W62" s="248">
        <f t="shared" si="4"/>
        <v>74.999999999999488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-327.19999999999118</v>
      </c>
      <c r="AG62" s="247">
        <f>N62/K62</f>
        <v>0.80000000000000537</v>
      </c>
      <c r="AH62" s="382"/>
    </row>
    <row r="63" spans="1:34" ht="15" customHeight="1">
      <c r="A63" s="400"/>
      <c r="B63" s="258" t="s">
        <v>132</v>
      </c>
      <c r="C63" s="58"/>
      <c r="D63" s="259" t="s">
        <v>133</v>
      </c>
      <c r="E63" s="60"/>
      <c r="F63" s="75">
        <f>VLOOKUP(D63,廠價表!$C$1:$E$43,3,0)</f>
        <v>26.99</v>
      </c>
      <c r="G63" s="260">
        <v>1628</v>
      </c>
      <c r="H63" s="254">
        <f>F63*G63</f>
        <v>43939.719999999994</v>
      </c>
      <c r="I63" s="182"/>
      <c r="J63" s="106">
        <f>VLOOKUP(D63,產線配置圖!$A$3:$C$40,2,0)</f>
        <v>15</v>
      </c>
      <c r="K63" s="107">
        <f>VLOOKUP(D63,產線配置圖!$A$3:$C$40,3,0)</f>
        <v>1636</v>
      </c>
      <c r="L63" s="238">
        <f>K63/J63</f>
        <v>109.06666666666666</v>
      </c>
      <c r="M63" s="68">
        <v>15</v>
      </c>
      <c r="N63" s="107">
        <f t="shared" si="21"/>
        <v>1436.4705882353023</v>
      </c>
      <c r="O63" s="238">
        <f t="shared" si="22"/>
        <v>95.764705882353482</v>
      </c>
      <c r="P63" s="111">
        <f t="shared" si="23"/>
        <v>0</v>
      </c>
      <c r="Q63" s="255">
        <f t="shared" si="24"/>
        <v>-13.301960784313181</v>
      </c>
      <c r="R63" s="85">
        <f t="shared" si="25"/>
        <v>0.87803825686754422</v>
      </c>
      <c r="S63" s="393"/>
      <c r="T63" s="22">
        <v>0.55555555555555602</v>
      </c>
      <c r="U63" s="22">
        <v>0.60277777777777797</v>
      </c>
      <c r="V63" s="30">
        <f t="shared" si="26"/>
        <v>80.000000000000682</v>
      </c>
      <c r="W63" s="248">
        <f t="shared" si="4"/>
        <v>67.999999999999602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101"/>
      <c r="C64" s="102"/>
      <c r="D64" s="103"/>
      <c r="E64" s="104"/>
      <c r="F64" s="75"/>
      <c r="G64" s="202"/>
      <c r="H64" s="78"/>
      <c r="I64" s="30"/>
      <c r="J64" s="79"/>
      <c r="K64" s="80"/>
      <c r="L64" s="81"/>
      <c r="M64" s="108"/>
      <c r="N64" s="234"/>
      <c r="O64" s="235"/>
      <c r="P64" s="74"/>
      <c r="Q64" s="83"/>
      <c r="R64" s="72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101"/>
      <c r="C65" s="102"/>
      <c r="D65" s="103"/>
      <c r="E65" s="104"/>
      <c r="F65" s="75"/>
      <c r="G65" s="202"/>
      <c r="H65" s="78"/>
      <c r="I65" s="30"/>
      <c r="J65" s="79"/>
      <c r="K65" s="80"/>
      <c r="L65" s="81"/>
      <c r="M65" s="108"/>
      <c r="N65" s="234"/>
      <c r="O65" s="235"/>
      <c r="P65" s="74"/>
      <c r="Q65" s="83"/>
      <c r="R65" s="72"/>
      <c r="S65" s="393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75"/>
      <c r="G66" s="202"/>
      <c r="H66" s="78"/>
      <c r="I66" s="30"/>
      <c r="J66" s="79"/>
      <c r="K66" s="80"/>
      <c r="L66" s="81"/>
      <c r="M66" s="108"/>
      <c r="N66" s="234"/>
      <c r="O66" s="235"/>
      <c r="P66" s="74"/>
      <c r="Q66" s="83"/>
      <c r="R66" s="72"/>
      <c r="S66" s="393"/>
      <c r="T66" s="22"/>
      <c r="U66" s="22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7">AVERAGE(J59:J68)</f>
        <v>12.6</v>
      </c>
      <c r="K69" s="240">
        <f t="shared" si="27"/>
        <v>1636</v>
      </c>
      <c r="L69" s="268">
        <f t="shared" si="27"/>
        <v>132.86303030303029</v>
      </c>
      <c r="M69" s="240">
        <f t="shared" si="27"/>
        <v>12.4</v>
      </c>
      <c r="N69" s="240">
        <f t="shared" si="27"/>
        <v>1441.6957915790695</v>
      </c>
      <c r="O69" s="268">
        <f t="shared" si="27"/>
        <v>118.9364442807491</v>
      </c>
      <c r="P69" s="269">
        <f>M69-J69</f>
        <v>-0.19999999999999929</v>
      </c>
      <c r="Q69" s="222">
        <f>N69-K69</f>
        <v>-194.30420842093054</v>
      </c>
      <c r="R69" s="123">
        <f>O69/L69</f>
        <v>0.89518087920682066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-194.30420842093054</v>
      </c>
      <c r="AG69" s="124">
        <f>N69/K69</f>
        <v>0.88123214644197401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2516</v>
      </c>
      <c r="H70" s="243">
        <f>F70*G70</f>
        <v>110427.24</v>
      </c>
      <c r="I70" s="55"/>
      <c r="J70" s="136">
        <v>11</v>
      </c>
      <c r="K70" s="137">
        <f>VLOOKUP(D70,產線配置圖!$A$3:$C$40,3,0)</f>
        <v>1565</v>
      </c>
      <c r="L70" s="138">
        <f>K70/J70</f>
        <v>142.27272727272728</v>
      </c>
      <c r="M70" s="244">
        <v>10</v>
      </c>
      <c r="N70" s="137">
        <f>G70/W70*60</f>
        <v>1360.0000000000059</v>
      </c>
      <c r="O70" s="138">
        <f>N70/M70</f>
        <v>136.0000000000006</v>
      </c>
      <c r="P70" s="56">
        <f>M70-J70</f>
        <v>-1</v>
      </c>
      <c r="Q70" s="230">
        <f>O70-L70</f>
        <v>-6.2727272727266836</v>
      </c>
      <c r="R70" s="52">
        <f>O70/L70</f>
        <v>0.95591054313099455</v>
      </c>
      <c r="S70" s="392">
        <f>R79</f>
        <v>0.94868978873655596</v>
      </c>
      <c r="T70" s="245">
        <v>0.29305555555555601</v>
      </c>
      <c r="U70" s="245">
        <v>0.37013888888888902</v>
      </c>
      <c r="V70" s="55"/>
      <c r="W70" s="54">
        <f t="shared" si="4"/>
        <v>110.99999999999953</v>
      </c>
      <c r="X70" s="270"/>
      <c r="Y70" s="292"/>
      <c r="Z70" s="169"/>
      <c r="AA70" s="169"/>
      <c r="AB70" s="397" t="s">
        <v>191</v>
      </c>
      <c r="AC70" s="397"/>
      <c r="AD70" s="135"/>
      <c r="AE70" s="135"/>
      <c r="AF70" s="310">
        <f>N70-K70</f>
        <v>-204.99999999999409</v>
      </c>
      <c r="AG70" s="246">
        <f>N70/K70</f>
        <v>0.86900958466454048</v>
      </c>
      <c r="AH70" s="380">
        <f>AG79</f>
        <v>0.81868745913809438</v>
      </c>
    </row>
    <row r="71" spans="1:36" ht="15" customHeight="1">
      <c r="A71" s="390"/>
      <c r="B71" s="75" t="s">
        <v>132</v>
      </c>
      <c r="C71" s="76"/>
      <c r="D71" s="59" t="s">
        <v>136</v>
      </c>
      <c r="E71" s="77"/>
      <c r="F71" s="75">
        <f>VLOOKUP(D71,廠價表!$C$1:$E$43,3,0)</f>
        <v>28.26</v>
      </c>
      <c r="G71" s="30">
        <v>2038</v>
      </c>
      <c r="H71" s="254">
        <f>F71*G71</f>
        <v>57593.880000000005</v>
      </c>
      <c r="I71" s="182"/>
      <c r="J71" s="106">
        <f>VLOOKUP(D71,產線配置圖!$A$3:$C$40,2,0)</f>
        <v>11</v>
      </c>
      <c r="K71" s="107">
        <f>VLOOKUP(D71,產線配置圖!$A$3:$C$40,3,0)</f>
        <v>1636</v>
      </c>
      <c r="L71" s="238">
        <f>K71/J71</f>
        <v>148.72727272727272</v>
      </c>
      <c r="M71" s="82">
        <v>9</v>
      </c>
      <c r="N71" s="107">
        <f>G71/W71*60</f>
        <v>1260.6185567010343</v>
      </c>
      <c r="O71" s="238">
        <f>N71/M71</f>
        <v>140.06872852233715</v>
      </c>
      <c r="P71" s="111">
        <f>M71-J71</f>
        <v>-2</v>
      </c>
      <c r="Q71" s="255">
        <f>O71-L71</f>
        <v>-8.6585442049355663</v>
      </c>
      <c r="R71" s="85">
        <f>O71/L71</f>
        <v>0.94178240449004202</v>
      </c>
      <c r="S71" s="393"/>
      <c r="T71" s="22">
        <v>0.44652777777777802</v>
      </c>
      <c r="U71" s="22">
        <v>0.51388888888888895</v>
      </c>
      <c r="V71" s="30">
        <f>(T71-U70)*24*60</f>
        <v>110.00000000000017</v>
      </c>
      <c r="W71" s="73">
        <f t="shared" si="4"/>
        <v>96.99999999999973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28">AVERAGE(J70:J78)</f>
        <v>11</v>
      </c>
      <c r="K79" s="240">
        <f t="shared" si="28"/>
        <v>1600.5</v>
      </c>
      <c r="L79" s="268">
        <f t="shared" si="28"/>
        <v>145.5</v>
      </c>
      <c r="M79" s="240">
        <f t="shared" si="28"/>
        <v>9.5</v>
      </c>
      <c r="N79" s="240">
        <f t="shared" si="28"/>
        <v>1310.3092783505201</v>
      </c>
      <c r="O79" s="268">
        <f t="shared" si="28"/>
        <v>138.03436426116889</v>
      </c>
      <c r="P79" s="269">
        <f>M79-J79</f>
        <v>-1.5</v>
      </c>
      <c r="Q79" s="222">
        <f>N79-K79</f>
        <v>-290.19072164947988</v>
      </c>
      <c r="R79" s="223">
        <f>O79/L79</f>
        <v>0.94868978873655596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-290.19072164947988</v>
      </c>
      <c r="AG79" s="124">
        <f>N79/K79</f>
        <v>0.81868745913809438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97" priority="1" operator="greaterThan">
      <formula>0</formula>
    </cfRule>
  </conditionalFormatting>
  <conditionalFormatting sqref="Q5:Q79 AF5:AF79">
    <cfRule type="cellIs" dxfId="96" priority="4" operator="lessThan">
      <formula>0</formula>
    </cfRule>
  </conditionalFormatting>
  <conditionalFormatting sqref="R5:R79 AG5:AG79">
    <cfRule type="cellIs" dxfId="95" priority="2" operator="greaterThan">
      <formula>1</formula>
    </cfRule>
    <cfRule type="cellIs" dxfId="94" priority="3" operator="lessThan">
      <formula>0.8</formula>
    </cfRule>
  </conditionalFormatting>
  <conditionalFormatting sqref="S5:S10 S37:S62 AH59:AH62 S69:S76 AH69:AH76">
    <cfRule type="cellIs" dxfId="93" priority="7" operator="lessThan">
      <formula>0.8</formula>
    </cfRule>
  </conditionalFormatting>
  <conditionalFormatting sqref="S19:S25 AH19:AH25">
    <cfRule type="cellIs" dxfId="92" priority="6" operator="lessThan">
      <formula>0.8</formula>
    </cfRule>
  </conditionalFormatting>
  <conditionalFormatting sqref="S79">
    <cfRule type="cellIs" dxfId="91" priority="5" operator="lessThan">
      <formula>0.8</formula>
    </cfRule>
  </conditionalFormatting>
  <conditionalFormatting sqref="AH5:AH8 S15:S16 AH15:AH16 AH49 AH79">
    <cfRule type="cellIs" dxfId="90" priority="9" operator="lessThan">
      <formula>0.8</formula>
    </cfRule>
  </conditionalFormatting>
  <conditionalFormatting sqref="AH27 S27:S28">
    <cfRule type="cellIs" dxfId="8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071C7-797D-47A2-9666-96A693768BEE}">
  <dimension ref="B1:O26"/>
  <sheetViews>
    <sheetView topLeftCell="B1" zoomScale="70" zoomScaleNormal="70" workbookViewId="0">
      <selection activeCell="L14" sqref="L1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46287</v>
      </c>
      <c r="E3" s="504"/>
      <c r="F3" s="3" t="s">
        <v>72</v>
      </c>
      <c r="G3" s="505">
        <f>'0922'!E1</f>
        <v>61011</v>
      </c>
      <c r="H3" s="505"/>
      <c r="I3" s="3" t="s">
        <v>2</v>
      </c>
      <c r="J3" s="506">
        <f>'0922'!G1</f>
        <v>2963425.6230000006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122.68417578375561</v>
      </c>
      <c r="G6" s="501"/>
      <c r="H6" s="502">
        <f>AVERAGE(D13:H13)</f>
        <v>123.05306495247672</v>
      </c>
      <c r="I6" s="502"/>
      <c r="J6" s="502">
        <f>AVERAGE(I13:J13)</f>
        <v>121.76195286195286</v>
      </c>
      <c r="K6" s="502"/>
      <c r="L6" s="492">
        <f>'0922'!Z2</f>
        <v>0</v>
      </c>
      <c r="M6" s="493">
        <f>'0922'!AA2</f>
        <v>0</v>
      </c>
      <c r="N6" s="494">
        <f>'0922'!AD2</f>
        <v>0</v>
      </c>
      <c r="O6" s="493">
        <f>'0922'!AE2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111.70499468378412</v>
      </c>
      <c r="G7" s="490"/>
      <c r="H7" s="491">
        <f>AVERAGE(D14:H14)</f>
        <v>111.95244848004279</v>
      </c>
      <c r="I7" s="491"/>
      <c r="J7" s="491">
        <f>AVERAGE(I14:J14)</f>
        <v>111.08636019313742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0.9118768172859617</v>
      </c>
      <c r="G8" s="496"/>
      <c r="H8" s="496">
        <f>AVERAGE(D15:H15)</f>
        <v>0.9109976996501592</v>
      </c>
      <c r="I8" s="496"/>
      <c r="J8" s="496">
        <f>AVERAGE(I15:J15)</f>
        <v>0.91407461137546808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VALUE('0922'!L15)</f>
        <v>149.18887362637361</v>
      </c>
      <c r="E13" s="13">
        <f>VALUE('0922'!L26)</f>
        <v>174.10714285714286</v>
      </c>
      <c r="F13" s="13">
        <f>VALUE('0922'!L37)</f>
        <v>95.065767973856225</v>
      </c>
      <c r="G13" s="13">
        <f>VALUE('0922'!L48)</f>
        <v>96.300925925925924</v>
      </c>
      <c r="H13" s="13">
        <f>VALUE('0922'!L58)</f>
        <v>100.60261437908495</v>
      </c>
      <c r="I13" s="13">
        <f>VALUE('0922'!L69)</f>
        <v>135.50707070707071</v>
      </c>
      <c r="J13" s="13">
        <f>'0922'!L79</f>
        <v>108.01683501683503</v>
      </c>
    </row>
    <row r="14" spans="2:15" ht="39.950000000000003" customHeight="1">
      <c r="B14" s="484"/>
      <c r="C14" s="12" t="s">
        <v>100</v>
      </c>
      <c r="D14" s="13">
        <f>VALUE('0922'!O15)</f>
        <v>133.06619941386487</v>
      </c>
      <c r="E14" s="13">
        <f>VALUE('0922'!O26)</f>
        <v>159.55796252927408</v>
      </c>
      <c r="F14" s="13">
        <f>VALUE('0922'!O37)</f>
        <v>89.411848185860208</v>
      </c>
      <c r="G14" s="13">
        <f>VALUE('0922'!O48)</f>
        <v>88.913863936378903</v>
      </c>
      <c r="H14" s="13">
        <f>VALUE('0922'!O58)</f>
        <v>88.812368334835895</v>
      </c>
      <c r="I14" s="13">
        <f>VALUE('0922'!O69)</f>
        <v>121.76222534603569</v>
      </c>
      <c r="J14" s="13">
        <f>'0922'!O79</f>
        <v>100.41049504023916</v>
      </c>
    </row>
    <row r="15" spans="2:15" ht="39.950000000000003" customHeight="1">
      <c r="B15" s="485"/>
      <c r="C15" s="10" t="s">
        <v>26</v>
      </c>
      <c r="D15" s="14">
        <f t="shared" ref="D15:I15" si="0">D14/D13</f>
        <v>0.8919311218014413</v>
      </c>
      <c r="E15" s="14">
        <f t="shared" si="0"/>
        <v>0.9164354770912152</v>
      </c>
      <c r="F15" s="14">
        <f t="shared" si="0"/>
        <v>0.94052622822601206</v>
      </c>
      <c r="G15" s="14">
        <f t="shared" si="0"/>
        <v>0.92329189030613157</v>
      </c>
      <c r="H15" s="14">
        <f t="shared" si="0"/>
        <v>0.88280378082599587</v>
      </c>
      <c r="I15" s="14">
        <f t="shared" si="0"/>
        <v>0.89856731985043337</v>
      </c>
      <c r="J15" s="15">
        <f>'0922'!S70</f>
        <v>0.92958190290050269</v>
      </c>
    </row>
    <row r="16" spans="2:15" ht="17.25" customHeight="1">
      <c r="B16" s="486" t="s">
        <v>101</v>
      </c>
      <c r="C16" s="10" t="s">
        <v>34</v>
      </c>
      <c r="D16" s="16">
        <f>'0922'!T5</f>
        <v>0.29166666666666702</v>
      </c>
      <c r="E16" s="16">
        <f>'0922'!T16</f>
        <v>0.29027777777777802</v>
      </c>
      <c r="F16" s="16">
        <f>'0922'!T27</f>
        <v>0.29166666666666702</v>
      </c>
      <c r="G16" s="16">
        <f>'0922'!T38</f>
        <v>0.33472222222222198</v>
      </c>
      <c r="H16" s="16">
        <f>'0922'!T49</f>
        <v>0.29166666666666702</v>
      </c>
      <c r="I16" s="16">
        <f>'0922'!T59</f>
        <v>0.29166666666666702</v>
      </c>
      <c r="J16" s="17">
        <f>'0922'!T70</f>
        <v>0.33194444444444399</v>
      </c>
    </row>
    <row r="17" spans="2:10" ht="17.25" customHeight="1">
      <c r="B17" s="487"/>
      <c r="C17" s="10" t="s">
        <v>35</v>
      </c>
      <c r="D17" s="16">
        <v>0.57638888888888895</v>
      </c>
      <c r="E17" s="19">
        <v>0.49027777777777798</v>
      </c>
      <c r="F17" s="19">
        <v>0.68055555555555602</v>
      </c>
      <c r="G17" s="20">
        <v>0.62361111111111101</v>
      </c>
      <c r="H17" s="21">
        <v>0.62013888888888902</v>
      </c>
      <c r="I17" s="22">
        <v>0.62847222222222199</v>
      </c>
      <c r="J17" s="22">
        <v>0.65416666666666701</v>
      </c>
    </row>
    <row r="18" spans="2:10" ht="17.25" customHeight="1">
      <c r="B18" s="488" t="s">
        <v>102</v>
      </c>
      <c r="C18" s="330" t="s">
        <v>36</v>
      </c>
      <c r="D18" s="359">
        <f>'0922'!Z15</f>
        <v>0</v>
      </c>
      <c r="E18" s="360">
        <f>'0922'!Z26</f>
        <v>0</v>
      </c>
      <c r="F18" s="360">
        <f>'0922'!Z37</f>
        <v>0</v>
      </c>
      <c r="G18" s="361">
        <f>'0922'!Z48</f>
        <v>0</v>
      </c>
      <c r="H18" s="361">
        <f>'0922'!Z58</f>
        <v>0</v>
      </c>
      <c r="I18" s="360">
        <f>'0922'!Z69</f>
        <v>0</v>
      </c>
      <c r="J18" s="360">
        <f>'0922'!AA79</f>
        <v>0</v>
      </c>
    </row>
    <row r="19" spans="2:10" ht="17.25" customHeight="1">
      <c r="B19" s="489"/>
      <c r="C19" s="330" t="s">
        <v>37</v>
      </c>
      <c r="D19" s="359">
        <f>'0922'!AA15</f>
        <v>0</v>
      </c>
      <c r="E19" s="360">
        <f>'0922'!AA26</f>
        <v>0</v>
      </c>
      <c r="F19" s="360">
        <f>'0922'!AA37</f>
        <v>0</v>
      </c>
      <c r="G19" s="361">
        <f>'0922'!AA48</f>
        <v>0</v>
      </c>
      <c r="H19" s="361">
        <f>'0922'!AA58</f>
        <v>0</v>
      </c>
      <c r="I19" s="360">
        <f>'0922'!AA69</f>
        <v>0</v>
      </c>
      <c r="J19" s="360">
        <f>'0922'!AB79</f>
        <v>0</v>
      </c>
    </row>
    <row r="20" spans="2:10" ht="17.25" customHeight="1">
      <c r="B20" s="488" t="s">
        <v>103</v>
      </c>
      <c r="C20" s="330" t="s">
        <v>36</v>
      </c>
      <c r="D20" s="359">
        <f>'0922'!AD15</f>
        <v>0</v>
      </c>
      <c r="E20" s="360">
        <f>'0922'!AD26</f>
        <v>0</v>
      </c>
      <c r="F20" s="360">
        <f>'0922'!AD37</f>
        <v>0</v>
      </c>
      <c r="G20" s="361">
        <f>'0922'!AD48</f>
        <v>0</v>
      </c>
      <c r="H20" s="361">
        <f>'0922'!AD58</f>
        <v>0</v>
      </c>
      <c r="I20" s="360">
        <f>'0922'!AD69</f>
        <v>0</v>
      </c>
      <c r="J20" s="360">
        <f>'0922'!AD79</f>
        <v>0</v>
      </c>
    </row>
    <row r="21" spans="2:10" ht="17.25" customHeight="1">
      <c r="B21" s="489"/>
      <c r="C21" s="330" t="s">
        <v>85</v>
      </c>
      <c r="D21" s="359">
        <f>'0922'!AE15</f>
        <v>0</v>
      </c>
      <c r="E21" s="360">
        <f>'0922'!AE26</f>
        <v>0</v>
      </c>
      <c r="F21" s="360">
        <f>'0922'!AE37</f>
        <v>0</v>
      </c>
      <c r="G21" s="361">
        <f>'0922'!AE48</f>
        <v>0</v>
      </c>
      <c r="H21" s="361">
        <f>'0922'!AE58</f>
        <v>0</v>
      </c>
      <c r="I21" s="360">
        <f>'0922'!AE69</f>
        <v>0</v>
      </c>
      <c r="J21" s="360">
        <f>'0922'!AE79</f>
        <v>0</v>
      </c>
    </row>
    <row r="22" spans="2:10" ht="17.25" customHeight="1">
      <c r="B22" s="471" t="s">
        <v>104</v>
      </c>
      <c r="C22" s="472"/>
      <c r="D22" s="23">
        <f>VALUE('0922'!M15)</f>
        <v>13.5</v>
      </c>
      <c r="E22" s="23">
        <f>VALUE('0922'!M26)</f>
        <v>13</v>
      </c>
      <c r="F22" s="23">
        <f>VALUE('0922'!M37)</f>
        <v>16.25</v>
      </c>
      <c r="G22" s="23">
        <f>VALUE('0922'!M48)</f>
        <v>16.333333333333332</v>
      </c>
      <c r="H22" s="23">
        <f>VALUE('0922'!M58)</f>
        <v>16.600000000000001</v>
      </c>
      <c r="I22" s="23">
        <f>VALUE('0922'!M69)</f>
        <v>12.333333333333334</v>
      </c>
      <c r="J22" s="23">
        <f>'0922'!M79</f>
        <v>10.333333333333334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8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6F5FB-C5F8-4509-91BA-D6E7DC66A2D5}">
  <sheetPr>
    <tabColor theme="9" tint="0.79998168889431442"/>
  </sheetPr>
  <dimension ref="A1:AJ92"/>
  <sheetViews>
    <sheetView zoomScale="69" zoomScaleNormal="69" workbookViewId="0">
      <pane xSplit="5" ySplit="4" topLeftCell="H5" activePane="bottomRight" state="frozen"/>
      <selection activeCell="I26" sqref="I26"/>
      <selection pane="topRight" activeCell="I26" sqref="I26"/>
      <selection pane="bottomLeft" activeCell="I26" sqref="I26"/>
      <selection pane="bottomRight" activeCell="U8" sqref="U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61011</v>
      </c>
      <c r="F1" s="30" t="s">
        <v>2</v>
      </c>
      <c r="G1" s="31">
        <f>SUM(H5:H79)</f>
        <v>2963425.6230000006</v>
      </c>
      <c r="H1" s="32" t="s">
        <v>3</v>
      </c>
      <c r="I1" s="33">
        <f>M15+M26+M48+M58+M69+M79+M37</f>
        <v>98.35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192</v>
      </c>
      <c r="B2" s="462"/>
      <c r="C2" s="28"/>
      <c r="D2" s="28" t="s">
        <v>14</v>
      </c>
      <c r="E2" s="35">
        <f>AVERAGE(O15,O26,O37,O48,O58,O69,O79)</f>
        <v>111.70499468378412</v>
      </c>
      <c r="F2" s="36" t="s">
        <v>15</v>
      </c>
      <c r="G2" s="37">
        <f>G1/E1</f>
        <v>48.571989034764236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0</v>
      </c>
      <c r="AA2" s="339">
        <f>AA15+AA26+AA37+AA48+AA58+AA69+AA79</f>
        <v>0</v>
      </c>
      <c r="AB2" s="433"/>
      <c r="AC2" s="433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2906</v>
      </c>
      <c r="H5" s="43">
        <f>F5*G5</f>
        <v>165264.22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2179.5000000000227</v>
      </c>
      <c r="O5" s="47">
        <f>N5/M5</f>
        <v>155.67857142857306</v>
      </c>
      <c r="P5" s="49">
        <f>M5-J5</f>
        <v>0</v>
      </c>
      <c r="Q5" s="50">
        <f>O5-L5</f>
        <v>-5.0357142857126576</v>
      </c>
      <c r="R5" s="51">
        <f>O5/L5</f>
        <v>0.96866666666667678</v>
      </c>
      <c r="S5" s="392">
        <f>R15</f>
        <v>0.8919311218014413</v>
      </c>
      <c r="T5" s="319">
        <v>0.29166666666666702</v>
      </c>
      <c r="U5" s="320">
        <v>0.34722222222222199</v>
      </c>
      <c r="V5" s="53"/>
      <c r="W5" s="54">
        <f t="shared" ref="W5:W14" si="0">(U5-T5)*24*60</f>
        <v>79.999999999999162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-70.499999999977263</v>
      </c>
      <c r="AG5" s="52">
        <f t="shared" ref="AG5:AG11" si="2">N5/K5</f>
        <v>0.96866666666667678</v>
      </c>
      <c r="AH5" s="380">
        <f>AG15</f>
        <v>0.86080116201242329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1425</v>
      </c>
      <c r="H6" s="63">
        <f>F6*G6</f>
        <v>82892.25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1988.3720930232628</v>
      </c>
      <c r="O6" s="67">
        <f>N6/M6</f>
        <v>152.95169946332791</v>
      </c>
      <c r="P6" s="69">
        <f>M6-J6</f>
        <v>0</v>
      </c>
      <c r="Q6" s="70">
        <f>O6-L6</f>
        <v>-20.125223613595153</v>
      </c>
      <c r="R6" s="71">
        <f>O6/L6</f>
        <v>0.88372093023256137</v>
      </c>
      <c r="S6" s="393"/>
      <c r="T6" s="16">
        <v>0.35347222222222202</v>
      </c>
      <c r="U6" s="16">
        <v>0.38333333333333303</v>
      </c>
      <c r="V6" s="30">
        <f>(T6-U5)*24*60</f>
        <v>9.000000000000048</v>
      </c>
      <c r="W6" s="73">
        <f t="shared" si="0"/>
        <v>42.999999999999844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-261.62790697673722</v>
      </c>
      <c r="AG6" s="72">
        <f t="shared" si="2"/>
        <v>0.88372093023256126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5192</v>
      </c>
      <c r="H7" s="78">
        <f>F7*G7</f>
        <v>255134.88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2009.8064516129009</v>
      </c>
      <c r="O7" s="81">
        <f>N7/M7</f>
        <v>143.55760368663579</v>
      </c>
      <c r="P7" s="74">
        <f>M7-J7</f>
        <v>0</v>
      </c>
      <c r="Q7" s="83">
        <f>O7-L7</f>
        <v>-17.156682027649936</v>
      </c>
      <c r="R7" s="72">
        <f>O7/L7</f>
        <v>0.89324731182795591</v>
      </c>
      <c r="S7" s="393"/>
      <c r="T7" s="18">
        <v>0.38888888888888901</v>
      </c>
      <c r="U7" s="18">
        <v>0.49652777777777801</v>
      </c>
      <c r="V7" s="30">
        <f>(T7-U6)*24*60</f>
        <v>8.0000000000006111</v>
      </c>
      <c r="W7" s="73">
        <f t="shared" si="0"/>
        <v>155.00000000000017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-240.1935483870991</v>
      </c>
      <c r="AG7" s="72">
        <f t="shared" si="2"/>
        <v>0.89324731182795591</v>
      </c>
      <c r="AH7" s="382"/>
    </row>
    <row r="8" spans="1:34" ht="15" customHeight="1">
      <c r="A8" s="467"/>
      <c r="B8" s="75" t="s">
        <v>81</v>
      </c>
      <c r="C8" s="76"/>
      <c r="D8" s="59" t="s">
        <v>124</v>
      </c>
      <c r="E8" s="77"/>
      <c r="F8" s="75">
        <f>VLOOKUP(D8,廠價表!$C$1:$E$43,3,0)</f>
        <v>46.34</v>
      </c>
      <c r="G8" s="66">
        <v>347</v>
      </c>
      <c r="H8" s="78">
        <f>F8*G8</f>
        <v>16079.980000000001</v>
      </c>
      <c r="I8" s="73"/>
      <c r="J8" s="79">
        <f>VLOOKUP(D8,產線配置圖!$A$3:$C$40,2,0)</f>
        <v>16</v>
      </c>
      <c r="K8" s="80">
        <f>VLOOKUP(D8,產線配置圖!$A$3:$C$40,3,0)</f>
        <v>1636</v>
      </c>
      <c r="L8" s="81">
        <f>K8/J8</f>
        <v>102.25</v>
      </c>
      <c r="M8" s="82">
        <v>13</v>
      </c>
      <c r="N8" s="80">
        <f>G8/W8*60</f>
        <v>1040.9999999999955</v>
      </c>
      <c r="O8" s="81">
        <f>N8/M8</f>
        <v>80.076923076922725</v>
      </c>
      <c r="P8" s="74">
        <f>M8-J8</f>
        <v>-3</v>
      </c>
      <c r="Q8" s="83">
        <f>O8-L8</f>
        <v>-22.173076923077275</v>
      </c>
      <c r="R8" s="72">
        <f>O8/L8</f>
        <v>0.78314839195034447</v>
      </c>
      <c r="S8" s="394"/>
      <c r="T8" s="16">
        <v>0.5625</v>
      </c>
      <c r="U8" s="16">
        <v>0.57638888888888895</v>
      </c>
      <c r="V8" s="30">
        <f>(T8-U7)*24*60</f>
        <v>94.999999999999659</v>
      </c>
      <c r="W8" s="73">
        <f t="shared" si="0"/>
        <v>20.000000000000089</v>
      </c>
      <c r="X8" s="22"/>
      <c r="Y8" s="84"/>
      <c r="Z8" s="90"/>
      <c r="AA8" s="90"/>
      <c r="AB8" s="430" t="s">
        <v>193</v>
      </c>
      <c r="AC8" s="430"/>
      <c r="AD8" s="149"/>
      <c r="AE8" s="149"/>
      <c r="AF8" s="307">
        <f t="shared" si="1"/>
        <v>-595.00000000000455</v>
      </c>
      <c r="AG8" s="72">
        <f t="shared" si="2"/>
        <v>0.63630806845965493</v>
      </c>
      <c r="AH8" s="383"/>
    </row>
    <row r="9" spans="1:34" ht="15" customHeight="1">
      <c r="A9" s="467"/>
      <c r="B9" s="75"/>
      <c r="C9" s="86"/>
      <c r="D9" s="59"/>
      <c r="E9" s="87"/>
      <c r="F9" s="75"/>
      <c r="G9" s="62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22"/>
      <c r="U9" s="22"/>
      <c r="V9" s="30"/>
      <c r="W9" s="73">
        <f t="shared" si="0"/>
        <v>0</v>
      </c>
      <c r="X9" s="22"/>
      <c r="Y9" s="84"/>
      <c r="Z9" s="90"/>
      <c r="AA9" s="90"/>
      <c r="AB9" s="386"/>
      <c r="AC9" s="386"/>
      <c r="AD9" s="92"/>
      <c r="AE9" s="92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8"/>
      <c r="D10" s="59"/>
      <c r="E10" s="89"/>
      <c r="F10" s="75"/>
      <c r="G10" s="90"/>
      <c r="H10" s="91"/>
      <c r="I10" s="92"/>
      <c r="J10" s="79"/>
      <c r="K10" s="80"/>
      <c r="L10" s="93"/>
      <c r="M10" s="94"/>
      <c r="N10" s="95"/>
      <c r="O10" s="96"/>
      <c r="P10" s="97"/>
      <c r="Q10" s="98"/>
      <c r="R10" s="99"/>
      <c r="S10" s="394"/>
      <c r="T10" s="22"/>
      <c r="U10" s="22"/>
      <c r="V10" s="30"/>
      <c r="W10" s="100">
        <f>(U10-T10)*24*60</f>
        <v>0</v>
      </c>
      <c r="X10" s="22"/>
      <c r="Y10" s="84"/>
      <c r="Z10" s="90"/>
      <c r="AA10" s="90"/>
      <c r="AB10" s="430"/>
      <c r="AC10" s="430"/>
      <c r="AD10" s="149"/>
      <c r="AE10" s="149"/>
      <c r="AF10" s="307">
        <f>N10-K10</f>
        <v>0</v>
      </c>
      <c r="AG10" s="72" t="e">
        <f>N10/K10</f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14.25</v>
      </c>
      <c r="K15" s="120">
        <f t="shared" si="3"/>
        <v>2096.5</v>
      </c>
      <c r="L15" s="117">
        <f t="shared" si="3"/>
        <v>149.18887362637361</v>
      </c>
      <c r="M15" s="120">
        <f t="shared" si="3"/>
        <v>13.5</v>
      </c>
      <c r="N15" s="120">
        <f t="shared" si="3"/>
        <v>1804.6696361590455</v>
      </c>
      <c r="O15" s="117">
        <f t="shared" si="3"/>
        <v>133.06619941386487</v>
      </c>
      <c r="P15" s="121">
        <f>M15-J15</f>
        <v>-0.75</v>
      </c>
      <c r="Q15" s="122">
        <f>O15-L15</f>
        <v>-16.122674212508741</v>
      </c>
      <c r="R15" s="123">
        <f>O15/L15</f>
        <v>0.8919311218014413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-291.83036384095453</v>
      </c>
      <c r="AG15" s="124">
        <f>N15/K15</f>
        <v>0.86080116201242329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4316</v>
      </c>
      <c r="H16" s="134">
        <f>F16*G16</f>
        <v>218691.72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2122.6229508196784</v>
      </c>
      <c r="O16" s="141">
        <f>N16/M16</f>
        <v>151.61592505854847</v>
      </c>
      <c r="P16" s="142">
        <f>M16-J16</f>
        <v>0</v>
      </c>
      <c r="Q16" s="143">
        <f>O16-L16</f>
        <v>-9.0983606557372525</v>
      </c>
      <c r="R16" s="144">
        <f>O16/L16</f>
        <v>0.94338797814207931</v>
      </c>
      <c r="S16" s="420">
        <f>R26</f>
        <v>0.9164354770912152</v>
      </c>
      <c r="T16" s="145">
        <v>0.29027777777777802</v>
      </c>
      <c r="U16" s="145">
        <v>0.375</v>
      </c>
      <c r="V16" s="135"/>
      <c r="W16" s="146">
        <f t="shared" ref="W16:W78" si="4">(U16-T16)*24*60</f>
        <v>121.99999999999964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-127.37704918032159</v>
      </c>
      <c r="AG16" s="52">
        <f>N16/K16</f>
        <v>0.94338797814207931</v>
      </c>
      <c r="AH16" s="380">
        <f>AG26</f>
        <v>0.91836065573770553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4958</v>
      </c>
      <c r="H17" s="78">
        <f>F17*G17</f>
        <v>249833.62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2009.9999999999961</v>
      </c>
      <c r="O17" s="96">
        <f>N17/M17</f>
        <v>167.49999999999969</v>
      </c>
      <c r="P17" s="97">
        <f>M17-J17</f>
        <v>0</v>
      </c>
      <c r="Q17" s="98">
        <f>O17-L17</f>
        <v>-20.000000000000313</v>
      </c>
      <c r="R17" s="99">
        <f>O17/L17</f>
        <v>0.89333333333333165</v>
      </c>
      <c r="S17" s="421"/>
      <c r="T17" s="19">
        <v>0.38750000000000001</v>
      </c>
      <c r="U17" s="19">
        <v>0.49027777777777798</v>
      </c>
      <c r="V17" s="30">
        <f>(T17-U16)*24*60</f>
        <v>18.000000000000014</v>
      </c>
      <c r="W17" s="149">
        <f t="shared" si="4"/>
        <v>148.00000000000028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-240.00000000000387</v>
      </c>
      <c r="AG17" s="72">
        <f>N17/K17</f>
        <v>0.89333333333333165</v>
      </c>
      <c r="AH17" s="382"/>
    </row>
    <row r="18" spans="1:34" ht="15" customHeight="1">
      <c r="A18" s="427"/>
      <c r="B18" s="75"/>
      <c r="C18" s="76"/>
      <c r="D18" s="59"/>
      <c r="E18" s="77"/>
      <c r="F18" s="75"/>
      <c r="G18" s="147"/>
      <c r="H18" s="78"/>
      <c r="I18" s="30"/>
      <c r="J18" s="79"/>
      <c r="K18" s="80"/>
      <c r="L18" s="81"/>
      <c r="M18" s="148"/>
      <c r="N18" s="95"/>
      <c r="O18" s="96"/>
      <c r="P18" s="97"/>
      <c r="Q18" s="98"/>
      <c r="R18" s="99"/>
      <c r="S18" s="421"/>
      <c r="T18" s="19"/>
      <c r="U18" s="19"/>
      <c r="V18" s="30"/>
      <c r="W18" s="149">
        <f t="shared" si="4"/>
        <v>0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0</v>
      </c>
      <c r="AG18" s="72" t="e">
        <f>N18/K18</f>
        <v>#DIV/0!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174.10714285714286</v>
      </c>
      <c r="M26" s="155">
        <f t="shared" si="5"/>
        <v>13</v>
      </c>
      <c r="N26" s="155">
        <f t="shared" si="5"/>
        <v>2066.3114754098374</v>
      </c>
      <c r="O26" s="158">
        <f t="shared" si="5"/>
        <v>159.55796252927408</v>
      </c>
      <c r="P26" s="159">
        <f>M26-J26</f>
        <v>0</v>
      </c>
      <c r="Q26" s="160">
        <f>O26-L26</f>
        <v>-14.549180327868783</v>
      </c>
      <c r="R26" s="161">
        <f>O26/L26</f>
        <v>0.9164354770912152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0" si="6">N26-K26</f>
        <v>-183.68852459016261</v>
      </c>
      <c r="AG26" s="124">
        <f t="shared" ref="AG26:AG30" si="7">N26/K26</f>
        <v>0.91836065573770553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124</v>
      </c>
      <c r="E27" s="132"/>
      <c r="F27" s="129">
        <f>VLOOKUP(D27,廠價表!$C$1:$E$43,3,0)</f>
        <v>46.34</v>
      </c>
      <c r="G27" s="169">
        <v>522</v>
      </c>
      <c r="H27" s="134">
        <f>F27*G27</f>
        <v>24189.480000000003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1565.9999999999866</v>
      </c>
      <c r="O27" s="141">
        <f>N27/M27</f>
        <v>97.874999999999162</v>
      </c>
      <c r="P27" s="142">
        <f>M27-J27</f>
        <v>0</v>
      </c>
      <c r="Q27" s="143">
        <f>O27-L27</f>
        <v>-4.3750000000008384</v>
      </c>
      <c r="R27" s="144">
        <f>O27/L27</f>
        <v>0.95721271393642215</v>
      </c>
      <c r="S27" s="420">
        <f>R37</f>
        <v>0.94052622822601206</v>
      </c>
      <c r="T27" s="171">
        <v>0.29166666666666702</v>
      </c>
      <c r="U27" s="171">
        <v>0.30555555555555602</v>
      </c>
      <c r="V27" s="135"/>
      <c r="W27" s="146">
        <f t="shared" si="4"/>
        <v>20.000000000000171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6"/>
        <v>-70.000000000013415</v>
      </c>
      <c r="AG27" s="172">
        <f t="shared" si="7"/>
        <v>0.95721271393642215</v>
      </c>
      <c r="AH27" s="380">
        <f>AG37</f>
        <v>0.88721038293981358</v>
      </c>
    </row>
    <row r="28" spans="1:34" ht="15" customHeight="1">
      <c r="A28" s="418"/>
      <c r="B28" s="75" t="s">
        <v>81</v>
      </c>
      <c r="C28" s="173"/>
      <c r="D28" s="59" t="s">
        <v>126</v>
      </c>
      <c r="E28" s="104"/>
      <c r="F28" s="75">
        <f>VLOOKUP(D28,廠價表!$C$1:$E$43,3,0)</f>
        <v>45.66</v>
      </c>
      <c r="G28" s="90">
        <v>467</v>
      </c>
      <c r="H28" s="91">
        <f>F28*G28</f>
        <v>21323.219999999998</v>
      </c>
      <c r="I28" s="92"/>
      <c r="J28" s="79">
        <f>VLOOKUP(D28,產線配置圖!$A$3:$C$40,2,0)</f>
        <v>17</v>
      </c>
      <c r="K28" s="80">
        <f>VLOOKUP(D28,產線配置圖!$A$3:$C$40,3,0)</f>
        <v>1636</v>
      </c>
      <c r="L28" s="93">
        <f>K28/J28</f>
        <v>96.235294117647058</v>
      </c>
      <c r="M28" s="94">
        <v>16</v>
      </c>
      <c r="N28" s="95">
        <f>G28/W28*60</f>
        <v>1474.7368421052001</v>
      </c>
      <c r="O28" s="96">
        <f>N28/M28</f>
        <v>92.171052631575009</v>
      </c>
      <c r="P28" s="97">
        <f>M28-J28</f>
        <v>-1</v>
      </c>
      <c r="Q28" s="98">
        <f>O28-L28</f>
        <v>-4.0642414860720493</v>
      </c>
      <c r="R28" s="99">
        <f>O28/L28</f>
        <v>0.95776766181954476</v>
      </c>
      <c r="S28" s="421"/>
      <c r="T28" s="19">
        <v>0.31111111111111101</v>
      </c>
      <c r="U28" s="19">
        <v>0.32430555555555601</v>
      </c>
      <c r="V28" s="92">
        <f>(T28-U27)*24*60</f>
        <v>7.9999999999991722</v>
      </c>
      <c r="W28" s="149">
        <f t="shared" si="4"/>
        <v>19.00000000000081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6"/>
        <v>-161.26315789479986</v>
      </c>
      <c r="AG28" s="99">
        <f t="shared" si="7"/>
        <v>0.90142838759486565</v>
      </c>
      <c r="AH28" s="381"/>
    </row>
    <row r="29" spans="1:34" ht="15" customHeight="1">
      <c r="A29" s="418"/>
      <c r="B29" s="75" t="s">
        <v>81</v>
      </c>
      <c r="C29" s="173"/>
      <c r="D29" s="59" t="s">
        <v>194</v>
      </c>
      <c r="E29" s="104"/>
      <c r="F29" s="75">
        <f>VLOOKUP(D29,廠價表!$C$1:$E$43,3,0)</f>
        <v>61.65</v>
      </c>
      <c r="G29" s="90">
        <v>4595</v>
      </c>
      <c r="H29" s="91">
        <f>F29*G29</f>
        <v>283281.75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16</v>
      </c>
      <c r="N29" s="95">
        <f>G29/W29*60</f>
        <v>1344.8780487804888</v>
      </c>
      <c r="O29" s="96">
        <f>N29/M29</f>
        <v>84.054878048780552</v>
      </c>
      <c r="P29" s="97">
        <f>M29-J29</f>
        <v>-2</v>
      </c>
      <c r="Q29" s="98">
        <f>O29-L29</f>
        <v>-6.8340108401083342</v>
      </c>
      <c r="R29" s="99">
        <f>O29/L29</f>
        <v>0.92480917168584964</v>
      </c>
      <c r="S29" s="421"/>
      <c r="T29" s="19">
        <v>0.33124999999999999</v>
      </c>
      <c r="U29" s="19">
        <v>0.47361111111111098</v>
      </c>
      <c r="V29" s="92">
        <f>(T29-U28)*24*60</f>
        <v>9.999999999999325</v>
      </c>
      <c r="W29" s="149">
        <f t="shared" si="4"/>
        <v>204.99999999999983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-291.12195121951117</v>
      </c>
      <c r="AG29" s="99">
        <f t="shared" si="7"/>
        <v>0.82205259705408851</v>
      </c>
      <c r="AH29" s="381"/>
    </row>
    <row r="30" spans="1:34" ht="15" customHeight="1">
      <c r="A30" s="418"/>
      <c r="B30" s="75" t="s">
        <v>81</v>
      </c>
      <c r="C30" s="88"/>
      <c r="D30" s="59" t="s">
        <v>194</v>
      </c>
      <c r="E30" s="89"/>
      <c r="F30" s="75">
        <f>VLOOKUP(D30,廠價表!$C$1:$E$43,3,0)</f>
        <v>61.65</v>
      </c>
      <c r="G30" s="90">
        <v>4900</v>
      </c>
      <c r="H30" s="91">
        <f>F30*G30</f>
        <v>302085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>K30/J30</f>
        <v>90.888888888888886</v>
      </c>
      <c r="M30" s="94">
        <v>17</v>
      </c>
      <c r="N30" s="95">
        <f>G30/W30*60</f>
        <v>1420.2898550724635</v>
      </c>
      <c r="O30" s="96">
        <f>N30/M30</f>
        <v>83.546462063086096</v>
      </c>
      <c r="P30" s="97">
        <f>M30-J30</f>
        <v>-1</v>
      </c>
      <c r="Q30" s="98">
        <f>O30-L30</f>
        <v>-7.3424268258027894</v>
      </c>
      <c r="R30" s="99">
        <f>O30/L30</f>
        <v>0.9192153527723409</v>
      </c>
      <c r="S30" s="421"/>
      <c r="T30" s="19">
        <v>0.53680555555555598</v>
      </c>
      <c r="U30" s="19">
        <v>0.68055555555555602</v>
      </c>
      <c r="V30" s="92">
        <f>(T30-U29)*24*60</f>
        <v>91.000000000000796</v>
      </c>
      <c r="W30" s="149">
        <f t="shared" si="4"/>
        <v>207.00000000000006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-215.71014492753648</v>
      </c>
      <c r="AG30" s="99">
        <f t="shared" si="7"/>
        <v>0.86814783317387745</v>
      </c>
      <c r="AH30" s="416"/>
    </row>
    <row r="31" spans="1:34" ht="15" customHeight="1">
      <c r="A31" s="418"/>
      <c r="B31" s="75"/>
      <c r="C31" s="102"/>
      <c r="D31" s="175"/>
      <c r="E31" s="176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50"/>
      <c r="U31" s="150"/>
      <c r="V31" s="92"/>
      <c r="W31" s="149">
        <f t="shared" si="4"/>
        <v>0</v>
      </c>
      <c r="X31" s="174"/>
      <c r="Y31" s="301"/>
      <c r="Z31" s="335"/>
      <c r="AA31" s="335"/>
      <c r="AB31" s="386"/>
      <c r="AC31" s="386"/>
      <c r="AD31" s="92"/>
      <c r="AE31" s="92"/>
      <c r="AF31" s="307"/>
      <c r="AG31" s="72"/>
      <c r="AH31" s="383"/>
    </row>
    <row r="32" spans="1:34" ht="15" customHeight="1">
      <c r="A32" s="418"/>
      <c r="B32" s="75"/>
      <c r="C32" s="177"/>
      <c r="D32" s="59"/>
      <c r="E32" s="178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>(U32-T32)*24*60</f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11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8">AVERAGE(J27:J36)</f>
        <v>17.25</v>
      </c>
      <c r="K37" s="155">
        <f t="shared" si="8"/>
        <v>1636</v>
      </c>
      <c r="L37" s="158">
        <f t="shared" si="8"/>
        <v>95.065767973856225</v>
      </c>
      <c r="M37" s="155">
        <f t="shared" si="8"/>
        <v>16.25</v>
      </c>
      <c r="N37" s="155">
        <f t="shared" si="8"/>
        <v>1451.4761864895349</v>
      </c>
      <c r="O37" s="158">
        <f t="shared" si="8"/>
        <v>89.411848185860208</v>
      </c>
      <c r="P37" s="159">
        <f>M37-J37</f>
        <v>-1</v>
      </c>
      <c r="Q37" s="160">
        <f>N37-K37</f>
        <v>-184.52381351046506</v>
      </c>
      <c r="R37" s="161">
        <f>O37/L37</f>
        <v>0.94052622822601206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-184.52381351046506</v>
      </c>
      <c r="AG37" s="124">
        <f>N37/K37</f>
        <v>0.88721038293981358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2391</v>
      </c>
      <c r="H38" s="134">
        <f>F38*G38</f>
        <v>119334.81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14</v>
      </c>
      <c r="N38" s="140">
        <f>G38/W38*60</f>
        <v>1434.5999999999881</v>
      </c>
      <c r="O38" s="141">
        <f>N38/M38</f>
        <v>102.47142857142772</v>
      </c>
      <c r="P38" s="142">
        <f>M38-J38</f>
        <v>-2</v>
      </c>
      <c r="Q38" s="143">
        <f>O38-L38</f>
        <v>-4.6535714285722776</v>
      </c>
      <c r="R38" s="144">
        <f>O38/L38</f>
        <v>0.95655942657108728</v>
      </c>
      <c r="S38" s="410">
        <f>R48</f>
        <v>0.92329189030613157</v>
      </c>
      <c r="T38" s="191">
        <v>0.33472222222222198</v>
      </c>
      <c r="U38" s="191">
        <v>0.40416666666666701</v>
      </c>
      <c r="V38" s="192"/>
      <c r="W38" s="193">
        <f t="shared" si="4"/>
        <v>100.00000000000084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-279.40000000001191</v>
      </c>
      <c r="AG38" s="195">
        <f>N38/K38</f>
        <v>0.83698949824970137</v>
      </c>
      <c r="AH38" s="413">
        <f>AG48</f>
        <v>0.86449131459712636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2413</v>
      </c>
      <c r="H39" s="91">
        <f>F39*G39</f>
        <v>106895.9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1378.8571428571361</v>
      </c>
      <c r="O39" s="203">
        <f>N39/M39</f>
        <v>81.10924369747859</v>
      </c>
      <c r="P39" s="97">
        <f>M39-J39</f>
        <v>-1</v>
      </c>
      <c r="Q39" s="98">
        <f>O39-L39</f>
        <v>-9.779645191410296</v>
      </c>
      <c r="R39" s="99">
        <f>O39/L39</f>
        <v>0.89239999178154927</v>
      </c>
      <c r="S39" s="411"/>
      <c r="T39" s="20">
        <v>0.40972222222222199</v>
      </c>
      <c r="U39" s="20">
        <v>0.48263888888888901</v>
      </c>
      <c r="V39" s="92">
        <f>(T39-U38)*24*60</f>
        <v>7.9999999999991722</v>
      </c>
      <c r="W39" s="205">
        <f t="shared" si="4"/>
        <v>105.00000000000051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-257.14285714286393</v>
      </c>
      <c r="AG39" s="206">
        <f>N39/K39</f>
        <v>0.8428222144603521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2894</v>
      </c>
      <c r="H40" s="91">
        <f>F40*G40</f>
        <v>128204.2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1496.8965517241475</v>
      </c>
      <c r="O40" s="203">
        <f>N40/M40</f>
        <v>83.16091954023041</v>
      </c>
      <c r="P40" s="97">
        <f>M40-J40</f>
        <v>0</v>
      </c>
      <c r="Q40" s="98">
        <f>O40-L40</f>
        <v>-7.7279693486584762</v>
      </c>
      <c r="R40" s="99">
        <f>O40/L40</f>
        <v>0.91497344237417322</v>
      </c>
      <c r="S40" s="393"/>
      <c r="T40" s="20">
        <v>0.54305555555555596</v>
      </c>
      <c r="U40" s="20">
        <v>0.62361111111111101</v>
      </c>
      <c r="V40" s="92">
        <f>(T40-U39)*24*60</f>
        <v>87.000000000000412</v>
      </c>
      <c r="W40" s="205">
        <f t="shared" si="4"/>
        <v>115.99999999999926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-139.10344827585254</v>
      </c>
      <c r="AG40" s="206">
        <f>N40/K40</f>
        <v>0.91497344237417322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0">AVERAGE(J38:J47)</f>
        <v>17.333333333333332</v>
      </c>
      <c r="K48" s="155">
        <f t="shared" si="10"/>
        <v>1662</v>
      </c>
      <c r="L48" s="158">
        <f t="shared" si="10"/>
        <v>96.300925925925924</v>
      </c>
      <c r="M48" s="155">
        <f t="shared" si="10"/>
        <v>16.333333333333332</v>
      </c>
      <c r="N48" s="155">
        <f t="shared" si="10"/>
        <v>1436.7845648604241</v>
      </c>
      <c r="O48" s="158">
        <f t="shared" si="10"/>
        <v>88.913863936378903</v>
      </c>
      <c r="P48" s="221">
        <f>M48-J48</f>
        <v>-1</v>
      </c>
      <c r="Q48" s="222">
        <f>N48-K48</f>
        <v>-225.2154351395759</v>
      </c>
      <c r="R48" s="223">
        <f t="shared" ref="R48:R53" si="11">O48/L48</f>
        <v>0.92329189030613157</v>
      </c>
      <c r="S48" s="396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2">N48-K48</f>
        <v>-225.2154351395759</v>
      </c>
      <c r="AG48" s="162">
        <f t="shared" ref="AG48:AG53" si="13">N48/K48</f>
        <v>0.86449131459712636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v>552</v>
      </c>
      <c r="H49" s="134">
        <f>F49*G49</f>
        <v>27550.32</v>
      </c>
      <c r="I49" s="135"/>
      <c r="J49" s="136">
        <f>VLOOKUP(D49,產線配置圖!$A$3:$C$40,2,0)</f>
        <v>18</v>
      </c>
      <c r="K49" s="137">
        <v>1636</v>
      </c>
      <c r="L49" s="138">
        <f>K49/J49</f>
        <v>90.888888888888886</v>
      </c>
      <c r="M49" s="170">
        <v>18</v>
      </c>
      <c r="N49" s="140">
        <f>G49/W49*60</f>
        <v>1505.4545454546217</v>
      </c>
      <c r="O49" s="141">
        <f>N49/M49</f>
        <v>83.636363636367875</v>
      </c>
      <c r="P49" s="229">
        <f>M49-J49</f>
        <v>0</v>
      </c>
      <c r="Q49" s="230">
        <f>O49-L49</f>
        <v>-7.2525252525210107</v>
      </c>
      <c r="R49" s="52">
        <f t="shared" si="11"/>
        <v>0.92020448988668813</v>
      </c>
      <c r="S49" s="392">
        <f>R58</f>
        <v>0.88280378082599587</v>
      </c>
      <c r="T49" s="191">
        <v>0.29166666666666702</v>
      </c>
      <c r="U49" s="191">
        <v>0.30694444444444402</v>
      </c>
      <c r="V49" s="55"/>
      <c r="W49" s="193">
        <f t="shared" si="4"/>
        <v>21.999999999998884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12"/>
        <v>-130.54545454537833</v>
      </c>
      <c r="AG49" s="52">
        <f t="shared" si="13"/>
        <v>0.92020448988668802</v>
      </c>
      <c r="AH49" s="380">
        <f>AG58</f>
        <v>0.86521059871785855</v>
      </c>
    </row>
    <row r="50" spans="1:34" ht="15" customHeight="1">
      <c r="A50" s="405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2117</v>
      </c>
      <c r="H50" s="231">
        <f>F50*G50</f>
        <v>106461.81300000001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1512.1428571428653</v>
      </c>
      <c r="O50" s="235">
        <f>N50/M50</f>
        <v>88.949579831933249</v>
      </c>
      <c r="P50" s="74">
        <f>M50-J50</f>
        <v>0</v>
      </c>
      <c r="Q50" s="83">
        <f>O50-L50</f>
        <v>-7.2857142857138086</v>
      </c>
      <c r="R50" s="72">
        <f t="shared" si="11"/>
        <v>0.92429269996507657</v>
      </c>
      <c r="S50" s="393"/>
      <c r="T50" s="21">
        <v>0.3125</v>
      </c>
      <c r="U50" s="21">
        <v>0.37083333333333302</v>
      </c>
      <c r="V50" s="30">
        <f>(T50-U49)*24*60</f>
        <v>8.0000000000006111</v>
      </c>
      <c r="W50" s="236">
        <f t="shared" si="4"/>
        <v>83.999999999999545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2"/>
        <v>-123.8571428571347</v>
      </c>
      <c r="AG50" s="72">
        <f t="shared" si="13"/>
        <v>0.92429269996507657</v>
      </c>
      <c r="AH50" s="382"/>
    </row>
    <row r="51" spans="1:34" ht="15" customHeight="1">
      <c r="A51" s="405"/>
      <c r="B51" s="75" t="s">
        <v>81</v>
      </c>
      <c r="C51" s="76"/>
      <c r="D51" s="59" t="s">
        <v>123</v>
      </c>
      <c r="E51" s="77"/>
      <c r="F51" s="75">
        <f>VLOOKUP(D51,廠價表!$C$1:$E$43,3,0)</f>
        <v>57.21</v>
      </c>
      <c r="G51" s="202">
        <v>916</v>
      </c>
      <c r="H51" s="231">
        <f>F51*G51</f>
        <v>52404.36</v>
      </c>
      <c r="I51" s="232"/>
      <c r="J51" s="79">
        <f>VLOOKUP(D51,產線配置圖!$A$3:$C$40,2,0)</f>
        <v>18</v>
      </c>
      <c r="K51" s="80">
        <f>VLOOKUP(D51,產線配置圖!$A$3:$C$40,3,0)</f>
        <v>1636</v>
      </c>
      <c r="L51" s="81">
        <f>K51/J51</f>
        <v>90.888888888888886</v>
      </c>
      <c r="M51" s="233">
        <v>16</v>
      </c>
      <c r="N51" s="234">
        <f>G51/W51*60</f>
        <v>1340.4878048780115</v>
      </c>
      <c r="O51" s="235">
        <f>N51/M51</f>
        <v>83.780487804875719</v>
      </c>
      <c r="P51" s="74">
        <f>M51-J51</f>
        <v>-2</v>
      </c>
      <c r="Q51" s="83">
        <f>O51-L51</f>
        <v>-7.1084010840131668</v>
      </c>
      <c r="R51" s="72">
        <f t="shared" si="11"/>
        <v>0.92179020812210455</v>
      </c>
      <c r="S51" s="393"/>
      <c r="T51" s="21">
        <v>0.375694444444444</v>
      </c>
      <c r="U51" s="19">
        <v>0.40416666666666701</v>
      </c>
      <c r="V51" s="30">
        <f>(T51-U50)*24*60</f>
        <v>6.9999999999998153</v>
      </c>
      <c r="W51" s="236">
        <f t="shared" si="4"/>
        <v>41.000000000001137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2"/>
        <v>-295.5121951219885</v>
      </c>
      <c r="AG51" s="72">
        <f t="shared" si="13"/>
        <v>0.81936907388631508</v>
      </c>
      <c r="AH51" s="382"/>
    </row>
    <row r="52" spans="1:34" ht="15" customHeight="1">
      <c r="A52" s="405"/>
      <c r="B52" s="75" t="s">
        <v>81</v>
      </c>
      <c r="C52" s="86"/>
      <c r="D52" s="59" t="s">
        <v>131</v>
      </c>
      <c r="E52" s="87"/>
      <c r="F52" s="75">
        <f>VLOOKUP(D52,廠價表!$C$1:$E$43,3,0)</f>
        <v>49.97</v>
      </c>
      <c r="G52" s="202">
        <v>1807</v>
      </c>
      <c r="H52" s="231">
        <f>F52*G52</f>
        <v>90295.79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1505.8333333333337</v>
      </c>
      <c r="O52" s="235">
        <f>N52/M52</f>
        <v>94.114583333333357</v>
      </c>
      <c r="P52" s="74">
        <f>M52-J52</f>
        <v>0</v>
      </c>
      <c r="Q52" s="83">
        <f>O52-L52</f>
        <v>-18.385416666666643</v>
      </c>
      <c r="R52" s="72">
        <f t="shared" si="11"/>
        <v>0.83657407407407425</v>
      </c>
      <c r="S52" s="393"/>
      <c r="T52" s="21">
        <v>0.40972222222222199</v>
      </c>
      <c r="U52" s="21">
        <v>0.45972222222222198</v>
      </c>
      <c r="V52" s="30">
        <f>(T52-U51)*24*60</f>
        <v>7.9999999999991722</v>
      </c>
      <c r="W52" s="236">
        <f t="shared" si="4"/>
        <v>71.999999999999986</v>
      </c>
      <c r="X52" s="22">
        <v>0.47916666666666702</v>
      </c>
      <c r="Y52" s="84">
        <v>0.52083333333333304</v>
      </c>
      <c r="Z52" s="90"/>
      <c r="AA52" s="90"/>
      <c r="AB52" s="386"/>
      <c r="AC52" s="386"/>
      <c r="AD52" s="92"/>
      <c r="AE52" s="92"/>
      <c r="AF52" s="307">
        <f t="shared" si="12"/>
        <v>-294.16666666666629</v>
      </c>
      <c r="AG52" s="72">
        <f t="shared" si="13"/>
        <v>0.83657407407407425</v>
      </c>
      <c r="AH52" s="382"/>
    </row>
    <row r="53" spans="1:34" ht="15" customHeight="1">
      <c r="A53" s="405"/>
      <c r="B53" s="101" t="s">
        <v>81</v>
      </c>
      <c r="C53" s="102"/>
      <c r="D53" s="103" t="s">
        <v>131</v>
      </c>
      <c r="E53" s="104"/>
      <c r="F53" s="75">
        <f>VLOOKUP(D53,廠價表!$C$1:$E$43,3,0)</f>
        <v>49.97</v>
      </c>
      <c r="G53" s="202">
        <v>3319</v>
      </c>
      <c r="H53" s="231">
        <f>F53*G53</f>
        <v>165850.43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>K53/J53</f>
        <v>112.5</v>
      </c>
      <c r="M53" s="108">
        <v>16</v>
      </c>
      <c r="N53" s="234">
        <f>G53/W53*60</f>
        <v>1497.2932330827084</v>
      </c>
      <c r="O53" s="235">
        <f>N53/M53</f>
        <v>93.580827067669276</v>
      </c>
      <c r="P53" s="74">
        <f>M53-J53</f>
        <v>0</v>
      </c>
      <c r="Q53" s="83">
        <f>O53-L53</f>
        <v>-18.919172932330724</v>
      </c>
      <c r="R53" s="72">
        <f t="shared" si="11"/>
        <v>0.83182957393483803</v>
      </c>
      <c r="S53" s="393"/>
      <c r="T53" s="21">
        <v>0.52777777777777801</v>
      </c>
      <c r="U53" s="21">
        <v>0.62013888888888902</v>
      </c>
      <c r="V53" s="30">
        <f>(T53-U52)*24*60</f>
        <v>98.000000000000696</v>
      </c>
      <c r="W53" s="236">
        <f t="shared" si="4"/>
        <v>132.99999999999986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2"/>
        <v>-302.70676691729159</v>
      </c>
      <c r="AG53" s="72">
        <f t="shared" si="13"/>
        <v>0.83182957393483803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237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>(U55-T55)*24*60</f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14">AVERAGE(J49:J57)</f>
        <v>17</v>
      </c>
      <c r="K58" s="120">
        <f t="shared" si="14"/>
        <v>1701.6</v>
      </c>
      <c r="L58" s="117">
        <f t="shared" si="14"/>
        <v>100.60261437908495</v>
      </c>
      <c r="M58" s="120">
        <f t="shared" si="14"/>
        <v>16.600000000000001</v>
      </c>
      <c r="N58" s="120">
        <f t="shared" si="14"/>
        <v>1472.242354778308</v>
      </c>
      <c r="O58" s="117">
        <f t="shared" si="14"/>
        <v>88.812368334835895</v>
      </c>
      <c r="P58" s="121">
        <f>M58-J58</f>
        <v>-0.39999999999999858</v>
      </c>
      <c r="Q58" s="122">
        <f>N58-K58</f>
        <v>-229.35764522169188</v>
      </c>
      <c r="R58" s="123">
        <f>O58/L58</f>
        <v>0.88280378082599587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-229.35764522169188</v>
      </c>
      <c r="AG58" s="124">
        <f>N58/K58</f>
        <v>0.86521059871785855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2399</v>
      </c>
      <c r="H59" s="243">
        <f>F59*G59</f>
        <v>64749.009999999995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1547.7419354838789</v>
      </c>
      <c r="O59" s="138">
        <f>N59/M59</f>
        <v>103.18279569892526</v>
      </c>
      <c r="P59" s="56">
        <f>M59-J59</f>
        <v>0</v>
      </c>
      <c r="Q59" s="230">
        <f>O59-L59</f>
        <v>-5.8838709677414016</v>
      </c>
      <c r="R59" s="52">
        <f>O59/L59</f>
        <v>0.94605252780188198</v>
      </c>
      <c r="S59" s="392">
        <f>R69</f>
        <v>0.89856731985043337</v>
      </c>
      <c r="T59" s="245">
        <v>0.29166666666666702</v>
      </c>
      <c r="U59" s="245">
        <v>0.35625000000000001</v>
      </c>
      <c r="V59" s="55"/>
      <c r="W59" s="54">
        <f t="shared" si="4"/>
        <v>92.999999999999517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-88.258064516121067</v>
      </c>
      <c r="AG59" s="246">
        <f>N59/K59</f>
        <v>0.94605252780188198</v>
      </c>
      <c r="AH59" s="380">
        <f>AG69</f>
        <v>0.89754962780594472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1204</v>
      </c>
      <c r="H60" s="78">
        <f>F60*G60</f>
        <v>34025.040000000001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1444.7999999999661</v>
      </c>
      <c r="O60" s="81">
        <f>N60/M60</f>
        <v>131.34545454545147</v>
      </c>
      <c r="P60" s="74">
        <f>M60-J60</f>
        <v>0</v>
      </c>
      <c r="Q60" s="83">
        <f>O60-L60</f>
        <v>-17.381818181821245</v>
      </c>
      <c r="R60" s="72">
        <f>O60/L60</f>
        <v>0.88312958435205768</v>
      </c>
      <c r="S60" s="402"/>
      <c r="T60" s="22">
        <v>0.36458333333333298</v>
      </c>
      <c r="U60" s="22">
        <v>0.39930555555555602</v>
      </c>
      <c r="V60" s="30">
        <f>(T60-U59)*24*60</f>
        <v>11.999999999999478</v>
      </c>
      <c r="W60" s="248">
        <f t="shared" si="4"/>
        <v>50.00000000000118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-191.20000000003392</v>
      </c>
      <c r="AG60" s="249">
        <f>N60/K60</f>
        <v>0.88312958435205746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687</v>
      </c>
      <c r="H61" s="254">
        <f>F61*G61</f>
        <v>19414.620000000003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80">
        <f t="shared" ref="N61:N64" si="15">G61/W61*60</f>
        <v>1374.0000000000232</v>
      </c>
      <c r="O61" s="81">
        <f t="shared" ref="O61:O64" si="16">N61/M61</f>
        <v>124.90909090909302</v>
      </c>
      <c r="P61" s="74">
        <f t="shared" ref="P61:P64" si="17">M61-J61</f>
        <v>0</v>
      </c>
      <c r="Q61" s="83">
        <f t="shared" ref="Q61:Q64" si="18">O61-L61</f>
        <v>-23.818181818179696</v>
      </c>
      <c r="R61" s="72">
        <f t="shared" ref="R61:R64" si="19">O61/L61</f>
        <v>0.83985330073351061</v>
      </c>
      <c r="S61" s="393"/>
      <c r="T61" s="22">
        <v>0.40625</v>
      </c>
      <c r="U61" s="22">
        <v>0.42708333333333298</v>
      </c>
      <c r="V61" s="30">
        <f>(T61-U60)*24*60</f>
        <v>9.999999999999325</v>
      </c>
      <c r="W61" s="256">
        <f t="shared" si="4"/>
        <v>29.999999999999496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-261.99999999997681</v>
      </c>
      <c r="AG61" s="247">
        <f>N61/K61</f>
        <v>0.8398533007335105</v>
      </c>
      <c r="AH61" s="382"/>
    </row>
    <row r="62" spans="1:34" ht="15" customHeight="1">
      <c r="A62" s="400"/>
      <c r="B62" s="258" t="s">
        <v>132</v>
      </c>
      <c r="C62" s="58"/>
      <c r="D62" s="259" t="s">
        <v>136</v>
      </c>
      <c r="E62" s="60"/>
      <c r="F62" s="250">
        <f>VLOOKUP(D62,廠價表!$C$1:$E$43,3,0)</f>
        <v>28.26</v>
      </c>
      <c r="G62" s="260">
        <v>2222</v>
      </c>
      <c r="H62" s="78">
        <f t="shared" ref="H62:H64" si="20">F62*G62</f>
        <v>62793.72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 t="shared" ref="L62:L64" si="21">K62/J62</f>
        <v>148.72727272727272</v>
      </c>
      <c r="M62" s="68">
        <v>11</v>
      </c>
      <c r="N62" s="80">
        <f t="shared" si="15"/>
        <v>1568.470588235288</v>
      </c>
      <c r="O62" s="81">
        <f t="shared" si="16"/>
        <v>142.58823529411708</v>
      </c>
      <c r="P62" s="74">
        <f t="shared" si="17"/>
        <v>0</v>
      </c>
      <c r="Q62" s="83">
        <f t="shared" si="18"/>
        <v>-6.1390374331556359</v>
      </c>
      <c r="R62" s="72">
        <f t="shared" si="19"/>
        <v>0.95872285344455255</v>
      </c>
      <c r="S62" s="393"/>
      <c r="T62" s="22">
        <v>0.43402777777777801</v>
      </c>
      <c r="U62" s="22">
        <v>0.49305555555555602</v>
      </c>
      <c r="V62" s="30">
        <f t="shared" ref="V62:V64" si="22">(T62-U61)*24*60</f>
        <v>10.000000000000844</v>
      </c>
      <c r="W62" s="248">
        <f t="shared" si="4"/>
        <v>85.000000000000341</v>
      </c>
      <c r="X62" s="261"/>
      <c r="Y62" s="291"/>
      <c r="Z62" s="335"/>
      <c r="AA62" s="335"/>
      <c r="AB62" s="386"/>
      <c r="AC62" s="386"/>
      <c r="AD62" s="92"/>
      <c r="AE62" s="92"/>
      <c r="AF62" s="317"/>
      <c r="AG62" s="247"/>
      <c r="AH62" s="382"/>
    </row>
    <row r="63" spans="1:34" ht="15" customHeight="1">
      <c r="A63" s="400"/>
      <c r="B63" s="75" t="s">
        <v>132</v>
      </c>
      <c r="C63" s="76"/>
      <c r="D63" s="175" t="s">
        <v>136</v>
      </c>
      <c r="E63" s="77"/>
      <c r="F63" s="250">
        <f>VLOOKUP(D63,廠價表!$C$1:$E$43,3,0)</f>
        <v>28.26</v>
      </c>
      <c r="G63" s="30">
        <v>1191</v>
      </c>
      <c r="H63" s="254">
        <f t="shared" si="20"/>
        <v>33657.660000000003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21"/>
        <v>148.72727272727272</v>
      </c>
      <c r="M63" s="82">
        <v>11</v>
      </c>
      <c r="N63" s="80">
        <f t="shared" si="15"/>
        <v>1520.4255319148886</v>
      </c>
      <c r="O63" s="81">
        <f t="shared" si="16"/>
        <v>138.22050290135351</v>
      </c>
      <c r="P63" s="74">
        <f t="shared" si="17"/>
        <v>0</v>
      </c>
      <c r="Q63" s="83">
        <f t="shared" si="18"/>
        <v>-10.506769825919207</v>
      </c>
      <c r="R63" s="72">
        <f t="shared" si="19"/>
        <v>0.92935545960567767</v>
      </c>
      <c r="S63" s="393"/>
      <c r="T63" s="22">
        <v>0.54861111111111105</v>
      </c>
      <c r="U63" s="22">
        <v>0.58125000000000004</v>
      </c>
      <c r="V63" s="30">
        <f t="shared" si="22"/>
        <v>79.999999999999233</v>
      </c>
      <c r="W63" s="73">
        <f t="shared" si="4"/>
        <v>47.000000000000156</v>
      </c>
      <c r="X63" s="261"/>
      <c r="Y63" s="291"/>
      <c r="Z63" s="335"/>
      <c r="AA63" s="335"/>
      <c r="AB63" s="386"/>
      <c r="AC63" s="386"/>
      <c r="AD63" s="92"/>
      <c r="AE63" s="92"/>
      <c r="AF63" s="307"/>
      <c r="AG63" s="262"/>
      <c r="AH63" s="382"/>
    </row>
    <row r="64" spans="1:34" ht="15" customHeight="1">
      <c r="A64" s="400"/>
      <c r="B64" s="75" t="s">
        <v>132</v>
      </c>
      <c r="C64" s="86"/>
      <c r="D64" s="175" t="s">
        <v>133</v>
      </c>
      <c r="E64" s="87"/>
      <c r="F64" s="250">
        <f>VLOOKUP(D64,廠價表!$C$1:$E$43,3,0)</f>
        <v>26.99</v>
      </c>
      <c r="G64" s="30">
        <v>1242</v>
      </c>
      <c r="H64" s="78">
        <f t="shared" si="20"/>
        <v>33521.579999999994</v>
      </c>
      <c r="I64" s="30"/>
      <c r="J64" s="79">
        <f>VLOOKUP(D64,產線配置圖!$A$3:$C$40,2,0)</f>
        <v>15</v>
      </c>
      <c r="K64" s="80">
        <f>VLOOKUP(D64,產線配置圖!$A$3:$C$40,3,0)</f>
        <v>1636</v>
      </c>
      <c r="L64" s="81">
        <f t="shared" si="21"/>
        <v>109.06666666666666</v>
      </c>
      <c r="M64" s="82">
        <v>15</v>
      </c>
      <c r="N64" s="80">
        <f t="shared" si="15"/>
        <v>1354.9090909091076</v>
      </c>
      <c r="O64" s="81">
        <f t="shared" si="16"/>
        <v>90.327272727273836</v>
      </c>
      <c r="P64" s="74">
        <f t="shared" si="17"/>
        <v>0</v>
      </c>
      <c r="Q64" s="83">
        <f t="shared" si="18"/>
        <v>-18.739393939392826</v>
      </c>
      <c r="R64" s="72">
        <f t="shared" si="19"/>
        <v>0.82818404089798747</v>
      </c>
      <c r="S64" s="393"/>
      <c r="T64" s="22">
        <v>0.59027777777777801</v>
      </c>
      <c r="U64" s="22">
        <v>0.62847222222222199</v>
      </c>
      <c r="V64" s="30">
        <f t="shared" si="22"/>
        <v>13.000000000000274</v>
      </c>
      <c r="W64" s="73">
        <f t="shared" si="4"/>
        <v>54.999999999999325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101"/>
      <c r="C65" s="102"/>
      <c r="D65" s="103"/>
      <c r="E65" s="104"/>
      <c r="F65" s="105"/>
      <c r="G65" s="151"/>
      <c r="H65" s="78"/>
      <c r="I65" s="264"/>
      <c r="J65" s="79"/>
      <c r="K65" s="80"/>
      <c r="L65" s="81"/>
      <c r="M65" s="94"/>
      <c r="N65" s="95"/>
      <c r="O65" s="96"/>
      <c r="P65" s="97"/>
      <c r="Q65" s="98"/>
      <c r="R65" s="204"/>
      <c r="S65" s="39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30"/>
      <c r="H66" s="78"/>
      <c r="I66" s="30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>(U66-T66)*24*60</f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3">AVERAGE(J59:J68)</f>
        <v>12.333333333333334</v>
      </c>
      <c r="K69" s="240">
        <f t="shared" si="23"/>
        <v>1636</v>
      </c>
      <c r="L69" s="268">
        <f t="shared" si="23"/>
        <v>135.50707070707071</v>
      </c>
      <c r="M69" s="240">
        <f t="shared" si="23"/>
        <v>12.333333333333334</v>
      </c>
      <c r="N69" s="240">
        <f t="shared" si="23"/>
        <v>1468.3911910905256</v>
      </c>
      <c r="O69" s="268">
        <f t="shared" si="23"/>
        <v>121.76222534603569</v>
      </c>
      <c r="P69" s="269">
        <f>M69-J69</f>
        <v>0</v>
      </c>
      <c r="Q69" s="222">
        <f>N69-K69</f>
        <v>-167.60880890947442</v>
      </c>
      <c r="R69" s="123">
        <f>O69/L69</f>
        <v>0.89856731985043337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-167.60880890947442</v>
      </c>
      <c r="AG69" s="124">
        <f>N69/K69</f>
        <v>0.89754962780594472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1837</v>
      </c>
      <c r="H70" s="243">
        <f>F70*G70</f>
        <v>80625.930000000008</v>
      </c>
      <c r="I70" s="55"/>
      <c r="J70" s="136">
        <v>11</v>
      </c>
      <c r="K70" s="137">
        <f>VLOOKUP(D70,產線配置圖!$A$3:$C$40,3,0)</f>
        <v>1565</v>
      </c>
      <c r="L70" s="138">
        <f>K70/J70</f>
        <v>142.27272727272728</v>
      </c>
      <c r="M70" s="244">
        <v>8</v>
      </c>
      <c r="N70" s="137">
        <f>G70/W70*60</f>
        <v>1102.1999999999907</v>
      </c>
      <c r="O70" s="138">
        <f>N70/M70</f>
        <v>137.77499999999884</v>
      </c>
      <c r="P70" s="56">
        <f>M70-J70</f>
        <v>-3</v>
      </c>
      <c r="Q70" s="230">
        <f>O70-L70</f>
        <v>-4.4977272727284401</v>
      </c>
      <c r="R70" s="52">
        <f>O70/L70</f>
        <v>0.96838658146964041</v>
      </c>
      <c r="S70" s="392">
        <f>R79</f>
        <v>0.92958190290050269</v>
      </c>
      <c r="T70" s="245">
        <v>0.33194444444444399</v>
      </c>
      <c r="U70" s="245">
        <v>0.40138888888888902</v>
      </c>
      <c r="V70" s="55"/>
      <c r="W70" s="54">
        <f t="shared" si="4"/>
        <v>100.00000000000084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-462.80000000000928</v>
      </c>
      <c r="AG70" s="246">
        <f>N70/K70</f>
        <v>0.70428115015973847</v>
      </c>
      <c r="AH70" s="380">
        <f>AG79</f>
        <v>0.62004017088470809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250">
        <f>VLOOKUP(D71,廠價表!$C$1:$E$43,3,0)</f>
        <v>52.21</v>
      </c>
      <c r="G71" s="30">
        <v>1596</v>
      </c>
      <c r="H71" s="254">
        <f t="shared" ref="H71:H72" si="24">F71*G71</f>
        <v>83327.16</v>
      </c>
      <c r="I71" s="182"/>
      <c r="J71" s="106">
        <f>VLOOKUP(D71,產線配置圖!$A$3:$C$40,2,0)</f>
        <v>18</v>
      </c>
      <c r="K71" s="107">
        <f>VLOOKUP(D71,產線配置圖!$A$3:$C$40,3,0)</f>
        <v>1636</v>
      </c>
      <c r="L71" s="238">
        <f t="shared" ref="L71:L72" si="25">K71/J71</f>
        <v>90.888888888888886</v>
      </c>
      <c r="M71" s="82">
        <v>10</v>
      </c>
      <c r="N71" s="80">
        <f t="shared" ref="N71:N72" si="26">G71/W71*60</f>
        <v>759.99999999999989</v>
      </c>
      <c r="O71" s="81">
        <f t="shared" ref="O71:O72" si="27">N71/M71</f>
        <v>75.999999999999986</v>
      </c>
      <c r="P71" s="74">
        <f t="shared" ref="P71:P72" si="28">M71-J71</f>
        <v>-8</v>
      </c>
      <c r="Q71" s="83">
        <f t="shared" ref="Q71:Q72" si="29">O71-L71</f>
        <v>-14.8888888888889</v>
      </c>
      <c r="R71" s="72">
        <f t="shared" ref="R71:R72" si="30">O71/L71</f>
        <v>0.8361858190709045</v>
      </c>
      <c r="S71" s="393"/>
      <c r="T71" s="22">
        <v>0.41249999999999998</v>
      </c>
      <c r="U71" s="22">
        <v>0.5</v>
      </c>
      <c r="V71" s="30">
        <f t="shared" ref="V71:V72" si="31">(T71-U70)*24*60</f>
        <v>15.999999999999783</v>
      </c>
      <c r="W71" s="73">
        <f t="shared" si="4"/>
        <v>126.00000000000003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 t="s">
        <v>81</v>
      </c>
      <c r="C72" s="76"/>
      <c r="D72" s="59" t="s">
        <v>161</v>
      </c>
      <c r="E72" s="77"/>
      <c r="F72" s="250">
        <f>VLOOKUP(D72,廠價表!$C$1:$E$43,3,0)</f>
        <v>52.21</v>
      </c>
      <c r="G72" s="202">
        <v>2596</v>
      </c>
      <c r="H72" s="254">
        <f t="shared" si="24"/>
        <v>135537.16</v>
      </c>
      <c r="I72" s="182"/>
      <c r="J72" s="106">
        <f>VLOOKUP(D72,產線配置圖!$A$3:$C$40,2,0)</f>
        <v>18</v>
      </c>
      <c r="K72" s="107">
        <f>VLOOKUP(D72,產線配置圖!$A$3:$C$40,3,0)</f>
        <v>1636</v>
      </c>
      <c r="L72" s="238">
        <f t="shared" si="25"/>
        <v>90.888888888888886</v>
      </c>
      <c r="M72" s="82">
        <v>13</v>
      </c>
      <c r="N72" s="80">
        <f t="shared" si="26"/>
        <v>1136.934306569342</v>
      </c>
      <c r="O72" s="81">
        <f t="shared" si="27"/>
        <v>87.456485120718611</v>
      </c>
      <c r="P72" s="74">
        <f t="shared" si="28"/>
        <v>-5</v>
      </c>
      <c r="Q72" s="83">
        <f t="shared" si="29"/>
        <v>-3.4324037681702748</v>
      </c>
      <c r="R72" s="72">
        <f t="shared" si="30"/>
        <v>0.96223516636487472</v>
      </c>
      <c r="S72" s="393"/>
      <c r="T72" s="22">
        <v>0.55902777777777801</v>
      </c>
      <c r="U72" s="22">
        <v>0.65416666666666701</v>
      </c>
      <c r="V72" s="30">
        <f t="shared" si="31"/>
        <v>85.000000000000341</v>
      </c>
      <c r="W72" s="73">
        <f t="shared" si="4"/>
        <v>137.00000000000014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32">AVERAGE(J70:J78)</f>
        <v>15.666666666666666</v>
      </c>
      <c r="K79" s="240">
        <f t="shared" si="32"/>
        <v>1612.3333333333333</v>
      </c>
      <c r="L79" s="268">
        <f t="shared" si="32"/>
        <v>108.01683501683503</v>
      </c>
      <c r="M79" s="240">
        <f t="shared" si="32"/>
        <v>10.333333333333334</v>
      </c>
      <c r="N79" s="240">
        <f t="shared" si="32"/>
        <v>999.71143552311094</v>
      </c>
      <c r="O79" s="268">
        <f t="shared" si="32"/>
        <v>100.41049504023916</v>
      </c>
      <c r="P79" s="269">
        <f>M79-J79</f>
        <v>-5.3333333333333321</v>
      </c>
      <c r="Q79" s="222">
        <f>N79-K79</f>
        <v>-612.62189781022232</v>
      </c>
      <c r="R79" s="223">
        <f>O79/L79</f>
        <v>0.92958190290050269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-612.62189781022232</v>
      </c>
      <c r="AG79" s="124">
        <f>N79/K79</f>
        <v>0.62004017088470809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5:AH15"/>
    <mergeCell ref="AB6:AC6"/>
    <mergeCell ref="AB7:AC7"/>
    <mergeCell ref="AB8:AC8"/>
    <mergeCell ref="AB11:AC11"/>
    <mergeCell ref="AB12:AC12"/>
    <mergeCell ref="AB13:AC13"/>
    <mergeCell ref="AB14:AC14"/>
    <mergeCell ref="AB15:AC15"/>
    <mergeCell ref="AB9:AC9"/>
    <mergeCell ref="AB5:AC5"/>
    <mergeCell ref="AB10:AC10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B32:AC32"/>
    <mergeCell ref="AH27:AH37"/>
    <mergeCell ref="AB28:AC28"/>
    <mergeCell ref="AB29:AC29"/>
    <mergeCell ref="AB30:AC30"/>
    <mergeCell ref="AB31:AC31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B55:AC55"/>
    <mergeCell ref="AH49:AH58"/>
    <mergeCell ref="AB50:AC50"/>
    <mergeCell ref="AB51:AC51"/>
    <mergeCell ref="AB52:AC52"/>
    <mergeCell ref="AB53:AC53"/>
    <mergeCell ref="AB54:AC54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7:AC67"/>
    <mergeCell ref="AB68:AC68"/>
    <mergeCell ref="AB66:AC66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87" priority="1" operator="greaterThan">
      <formula>0</formula>
    </cfRule>
  </conditionalFormatting>
  <conditionalFormatting sqref="Q5:Q79 AF5:AF79">
    <cfRule type="cellIs" dxfId="86" priority="4" operator="lessThan">
      <formula>0</formula>
    </cfRule>
  </conditionalFormatting>
  <conditionalFormatting sqref="R5:R79 AG5:AG79">
    <cfRule type="cellIs" dxfId="85" priority="2" operator="greaterThan">
      <formula>1</formula>
    </cfRule>
    <cfRule type="cellIs" dxfId="84" priority="3" operator="lessThan">
      <formula>0.8</formula>
    </cfRule>
  </conditionalFormatting>
  <conditionalFormatting sqref="S5:S9 S37:S61 AH59:AH61 S69:S76 AH69:AH76">
    <cfRule type="cellIs" dxfId="83" priority="7" operator="lessThan">
      <formula>0.8</formula>
    </cfRule>
  </conditionalFormatting>
  <conditionalFormatting sqref="S19:S25 AH19:AH25">
    <cfRule type="cellIs" dxfId="82" priority="6" operator="lessThan">
      <formula>0.8</formula>
    </cfRule>
  </conditionalFormatting>
  <conditionalFormatting sqref="S79">
    <cfRule type="cellIs" dxfId="81" priority="5" operator="lessThan">
      <formula>0.8</formula>
    </cfRule>
  </conditionalFormatting>
  <conditionalFormatting sqref="AH5:AH7 S15:S16 AH15:AH16 AH49 AH79">
    <cfRule type="cellIs" dxfId="80" priority="9" operator="lessThan">
      <formula>0.8</formula>
    </cfRule>
  </conditionalFormatting>
  <conditionalFormatting sqref="AH27 S27:S28">
    <cfRule type="cellIs" dxfId="7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763CB-289B-4CC1-80A9-7AA5F098F73F}">
  <dimension ref="B1:O26"/>
  <sheetViews>
    <sheetView topLeftCell="B1" zoomScale="70" zoomScaleNormal="70" workbookViewId="0">
      <selection activeCell="O12" sqref="O1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46288</v>
      </c>
      <c r="E3" s="504"/>
      <c r="F3" s="3" t="s">
        <v>72</v>
      </c>
      <c r="G3" s="505">
        <f>'0923'!E1</f>
        <v>52798</v>
      </c>
      <c r="H3" s="505"/>
      <c r="I3" s="3" t="s">
        <v>2</v>
      </c>
      <c r="J3" s="506">
        <f>'0923'!G1</f>
        <v>2530390.2949999999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124.63250931530342</v>
      </c>
      <c r="G6" s="501"/>
      <c r="H6" s="502">
        <f>AVERAGE(D13:H13)</f>
        <v>126.18232319423494</v>
      </c>
      <c r="I6" s="502"/>
      <c r="J6" s="502">
        <f>AVERAGE(I13:J13)</f>
        <v>120.75797461797464</v>
      </c>
      <c r="K6" s="502"/>
      <c r="L6" s="492">
        <f>'0923'!Z2</f>
        <v>0</v>
      </c>
      <c r="M6" s="493">
        <f>'0923'!AA2</f>
        <v>0</v>
      </c>
      <c r="N6" s="494">
        <f>'0923'!AD2</f>
        <v>0</v>
      </c>
      <c r="O6" s="493">
        <f>'0923'!AE2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110.87734629582827</v>
      </c>
      <c r="G7" s="490"/>
      <c r="H7" s="491">
        <f>AVERAGE(D14:H14)</f>
        <v>112.97830037659389</v>
      </c>
      <c r="I7" s="491"/>
      <c r="J7" s="491">
        <f>AVERAGE(I14:J14)</f>
        <v>105.62496109391424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0.88351809168868256</v>
      </c>
      <c r="G8" s="496"/>
      <c r="H8" s="496">
        <f>AVERAGE(D15:H15)</f>
        <v>0.88425022102194561</v>
      </c>
      <c r="I8" s="496"/>
      <c r="J8" s="496">
        <f>AVERAGE(I15:J15)</f>
        <v>0.88168776835552465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VALUE('0923'!L15)</f>
        <v>164.83516483516482</v>
      </c>
      <c r="E13" s="13">
        <f>VALUE('0923'!L26)</f>
        <v>174.10714285714286</v>
      </c>
      <c r="F13" s="13">
        <f>VALUE('0923'!L37)</f>
        <v>95.065767973856197</v>
      </c>
      <c r="G13" s="13">
        <f>VALUE('0923'!L48)</f>
        <v>96.300925925925924</v>
      </c>
      <c r="H13" s="13">
        <f>VALUE('0923'!L58)</f>
        <v>100.60261437908495</v>
      </c>
      <c r="I13" s="13">
        <f>VALUE('0923'!L69)</f>
        <v>140.79515151515153</v>
      </c>
      <c r="J13" s="13">
        <f>'0923'!L79</f>
        <v>100.72079772079773</v>
      </c>
    </row>
    <row r="14" spans="2:15" ht="39.950000000000003" customHeight="1">
      <c r="B14" s="484"/>
      <c r="C14" s="12" t="s">
        <v>100</v>
      </c>
      <c r="D14" s="13">
        <f>VALUE('0923'!O15)</f>
        <v>154.09284147362663</v>
      </c>
      <c r="E14" s="13">
        <f>VALUE('0923'!O26)</f>
        <v>162.26918693009026</v>
      </c>
      <c r="F14" s="13">
        <f>VALUE('0923'!O37)</f>
        <v>79.129116496465798</v>
      </c>
      <c r="G14" s="13">
        <f>VALUE('0923'!O48)</f>
        <v>86.022286200038749</v>
      </c>
      <c r="H14" s="13">
        <f>VALUE('0923'!O58)</f>
        <v>83.37807078274804</v>
      </c>
      <c r="I14" s="13">
        <f>VALUE('0923'!O69)</f>
        <v>118.1937052019025</v>
      </c>
      <c r="J14" s="13">
        <f>'0923'!O79</f>
        <v>93.056216985925985</v>
      </c>
    </row>
    <row r="15" spans="2:15" ht="39.950000000000003" customHeight="1">
      <c r="B15" s="485"/>
      <c r="C15" s="10" t="s">
        <v>26</v>
      </c>
      <c r="D15" s="14">
        <f t="shared" ref="D15:I15" si="0">D14/D13</f>
        <v>0.93482990494000173</v>
      </c>
      <c r="E15" s="14">
        <f t="shared" si="0"/>
        <v>0.93200763775231321</v>
      </c>
      <c r="F15" s="14">
        <f t="shared" si="0"/>
        <v>0.83236182889961929</v>
      </c>
      <c r="G15" s="14">
        <f t="shared" si="0"/>
        <v>0.89326541124024661</v>
      </c>
      <c r="H15" s="14">
        <f t="shared" si="0"/>
        <v>0.82878632227754656</v>
      </c>
      <c r="I15" s="14">
        <f t="shared" si="0"/>
        <v>0.83947283645760484</v>
      </c>
      <c r="J15" s="15">
        <f>'0923'!S70</f>
        <v>0.92390270025344434</v>
      </c>
    </row>
    <row r="16" spans="2:15" ht="17.25" customHeight="1">
      <c r="B16" s="486" t="s">
        <v>101</v>
      </c>
      <c r="C16" s="10" t="s">
        <v>34</v>
      </c>
      <c r="D16" s="16">
        <f>'0923'!T5</f>
        <v>0.29166666666666702</v>
      </c>
      <c r="E16" s="16">
        <f>'0923'!T16</f>
        <v>0.29097222222222202</v>
      </c>
      <c r="F16" s="16">
        <f>'0923'!T27</f>
        <v>0.3</v>
      </c>
      <c r="G16" s="16">
        <f>'0923'!T38</f>
        <v>0.33333333333333298</v>
      </c>
      <c r="H16" s="16">
        <f>'0923'!T49</f>
        <v>0.29166666666666702</v>
      </c>
      <c r="I16" s="16">
        <f>'0923'!T59</f>
        <v>0.29166666666666702</v>
      </c>
      <c r="J16" s="17">
        <f>'0923'!T70</f>
        <v>0.29513888888888901</v>
      </c>
    </row>
    <row r="17" spans="2:10" ht="17.25" customHeight="1">
      <c r="B17" s="487"/>
      <c r="C17" s="10" t="s">
        <v>35</v>
      </c>
      <c r="D17" s="327">
        <v>0.46250000000000002</v>
      </c>
      <c r="E17" s="19">
        <v>0.45902777777777798</v>
      </c>
      <c r="F17" s="183">
        <v>0.594444444444444</v>
      </c>
      <c r="G17" s="20">
        <v>0.61458333333333304</v>
      </c>
      <c r="H17" s="22">
        <v>0.60763888888888895</v>
      </c>
      <c r="I17" s="22">
        <v>0.60416666666666696</v>
      </c>
      <c r="J17" s="22">
        <v>0.62361111111111101</v>
      </c>
    </row>
    <row r="18" spans="2:10" ht="17.25" customHeight="1">
      <c r="B18" s="488" t="s">
        <v>102</v>
      </c>
      <c r="C18" s="330" t="s">
        <v>36</v>
      </c>
      <c r="D18" s="359">
        <f>'0923'!Z15</f>
        <v>0</v>
      </c>
      <c r="E18" s="360">
        <f>'0923'!Z26</f>
        <v>0</v>
      </c>
      <c r="F18" s="360">
        <f>'0923'!Z37</f>
        <v>0</v>
      </c>
      <c r="G18" s="361">
        <f>'0923'!Z48</f>
        <v>0</v>
      </c>
      <c r="H18" s="361">
        <f>'0923'!Z58</f>
        <v>0</v>
      </c>
      <c r="I18" s="360">
        <f>'0923'!Z69</f>
        <v>0</v>
      </c>
      <c r="J18" s="360">
        <f>'0923'!AA79</f>
        <v>0</v>
      </c>
    </row>
    <row r="19" spans="2:10" ht="17.25" customHeight="1">
      <c r="B19" s="489"/>
      <c r="C19" s="330" t="s">
        <v>37</v>
      </c>
      <c r="D19" s="359">
        <f>'0923'!AA15</f>
        <v>0</v>
      </c>
      <c r="E19" s="360">
        <f>'0923'!AA26</f>
        <v>0</v>
      </c>
      <c r="F19" s="360">
        <f>'0923'!AA37</f>
        <v>0</v>
      </c>
      <c r="G19" s="361">
        <f>'0923'!AA48</f>
        <v>0</v>
      </c>
      <c r="H19" s="361">
        <f>'0923'!AA58</f>
        <v>0</v>
      </c>
      <c r="I19" s="360">
        <f>'0923'!AA69</f>
        <v>0</v>
      </c>
      <c r="J19" s="360">
        <f>'0923'!AB79</f>
        <v>0</v>
      </c>
    </row>
    <row r="20" spans="2:10" ht="17.25" customHeight="1">
      <c r="B20" s="488" t="s">
        <v>103</v>
      </c>
      <c r="C20" s="330" t="s">
        <v>36</v>
      </c>
      <c r="D20" s="359">
        <f>'0923'!AD15</f>
        <v>0</v>
      </c>
      <c r="E20" s="360">
        <f>'0923'!AD26</f>
        <v>0</v>
      </c>
      <c r="F20" s="360">
        <f>'0923'!AD37</f>
        <v>0</v>
      </c>
      <c r="G20" s="361">
        <f>'0923'!AD48</f>
        <v>0</v>
      </c>
      <c r="H20" s="361">
        <f>'0923'!AD58</f>
        <v>0</v>
      </c>
      <c r="I20" s="360">
        <f>'0923'!AD69</f>
        <v>0</v>
      </c>
      <c r="J20" s="360">
        <f>'0923'!AD79</f>
        <v>0</v>
      </c>
    </row>
    <row r="21" spans="2:10" ht="17.25" customHeight="1">
      <c r="B21" s="489"/>
      <c r="C21" s="330" t="s">
        <v>85</v>
      </c>
      <c r="D21" s="359">
        <f>'0923'!AE15</f>
        <v>0</v>
      </c>
      <c r="E21" s="360">
        <f>'0923'!AE26</f>
        <v>0</v>
      </c>
      <c r="F21" s="360">
        <f>'0923'!AE37</f>
        <v>0</v>
      </c>
      <c r="G21" s="361">
        <f>'0923'!AE48</f>
        <v>0</v>
      </c>
      <c r="H21" s="361">
        <f>'0923'!AE58</f>
        <v>0</v>
      </c>
      <c r="I21" s="360">
        <f>'0923'!AE69</f>
        <v>0</v>
      </c>
      <c r="J21" s="360">
        <f>'0923'!AE79</f>
        <v>0</v>
      </c>
    </row>
    <row r="22" spans="2:10" ht="17.25" customHeight="1">
      <c r="B22" s="471" t="s">
        <v>104</v>
      </c>
      <c r="C22" s="472"/>
      <c r="D22" s="23">
        <f>VALUE('0923'!M15)</f>
        <v>13.666666666666666</v>
      </c>
      <c r="E22" s="23">
        <f>VALUE('0923'!M26)</f>
        <v>13</v>
      </c>
      <c r="F22" s="23">
        <f>VALUE('0923'!M37)</f>
        <v>16</v>
      </c>
      <c r="G22" s="23">
        <f>VALUE('0923'!M48)</f>
        <v>17.333333333333332</v>
      </c>
      <c r="H22" s="23">
        <f>VALUE('0923'!M58)</f>
        <v>16.8</v>
      </c>
      <c r="I22" s="23">
        <f>VALUE('0923'!M69)</f>
        <v>11.6</v>
      </c>
      <c r="J22" s="23">
        <f>'0923'!M79</f>
        <v>13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7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8AF4E-32FD-4FD7-92ED-2CE8A06755C2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AB28" sqref="AB28:AC2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52798</v>
      </c>
      <c r="F1" s="30" t="s">
        <v>2</v>
      </c>
      <c r="G1" s="31">
        <f>SUM(H5:H79)</f>
        <v>2530390.2949999999</v>
      </c>
      <c r="H1" s="32" t="s">
        <v>3</v>
      </c>
      <c r="I1" s="33">
        <f>M15+M26+M48+M58+M69+M79+M37</f>
        <v>101.39999999999999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195</v>
      </c>
      <c r="B2" s="462"/>
      <c r="C2" s="28"/>
      <c r="D2" s="28" t="s">
        <v>14</v>
      </c>
      <c r="E2" s="35">
        <f>AVERAGE(O15,O26,O37,O48,O58,O69,O79)</f>
        <v>110.87734629582827</v>
      </c>
      <c r="F2" s="36" t="s">
        <v>15</v>
      </c>
      <c r="G2" s="37">
        <f>G1/E1</f>
        <v>47.925873991439069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0</v>
      </c>
      <c r="AA2" s="339">
        <f>AA15+AA26+AA37+AA48+AA58+AA69+AA79</f>
        <v>0</v>
      </c>
      <c r="AB2" s="433"/>
      <c r="AC2" s="433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2485</v>
      </c>
      <c r="H5" s="43">
        <f>F5*G5</f>
        <v>141321.94999999998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2160.8695652174215</v>
      </c>
      <c r="O5" s="47">
        <f>N5/M5</f>
        <v>154.34782608695869</v>
      </c>
      <c r="P5" s="49">
        <f>M5-J5</f>
        <v>0</v>
      </c>
      <c r="Q5" s="50">
        <f>O5-L5</f>
        <v>-6.366459627327032</v>
      </c>
      <c r="R5" s="51">
        <f>O5/L5</f>
        <v>0.96038647342996508</v>
      </c>
      <c r="S5" s="392">
        <f>R15</f>
        <v>0.93482990494000173</v>
      </c>
      <c r="T5" s="319">
        <v>0.29166666666666702</v>
      </c>
      <c r="U5" s="320">
        <v>0.33958333333333302</v>
      </c>
      <c r="V5" s="53"/>
      <c r="W5" s="54">
        <f t="shared" ref="W5:W14" si="0">(U5-T5)*24*60</f>
        <v>68.999999999999034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-89.130434782578504</v>
      </c>
      <c r="AG5" s="52">
        <f t="shared" ref="AG5:AG11" si="2">N5/K5</f>
        <v>0.96038647342996508</v>
      </c>
      <c r="AH5" s="380">
        <f>AG15</f>
        <v>0.93535667905934272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1200</v>
      </c>
      <c r="H6" s="63">
        <f>F6*G6</f>
        <v>69804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2057.1428571428173</v>
      </c>
      <c r="O6" s="67">
        <f>N6/M6</f>
        <v>158.24175824175518</v>
      </c>
      <c r="P6" s="69">
        <f>M6-J6</f>
        <v>0</v>
      </c>
      <c r="Q6" s="70">
        <f>O6-L6</f>
        <v>-14.835164835167888</v>
      </c>
      <c r="R6" s="71">
        <f>O6/L6</f>
        <v>0.9142857142856966</v>
      </c>
      <c r="S6" s="393"/>
      <c r="T6" s="16">
        <v>0.34583333333333299</v>
      </c>
      <c r="U6" s="16">
        <v>0.37013888888888902</v>
      </c>
      <c r="V6" s="30">
        <f>(T6-U5)*24*60</f>
        <v>8.999999999999968</v>
      </c>
      <c r="W6" s="73">
        <f t="shared" si="0"/>
        <v>35.000000000000675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-192.85714285718268</v>
      </c>
      <c r="AG6" s="72">
        <f t="shared" si="2"/>
        <v>0.9142857142856966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4331</v>
      </c>
      <c r="H7" s="78">
        <f>F7*G7</f>
        <v>212825.34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2095.6451612903243</v>
      </c>
      <c r="O7" s="81">
        <f>N7/M7</f>
        <v>149.68894009216601</v>
      </c>
      <c r="P7" s="74">
        <f>M7-J7</f>
        <v>0</v>
      </c>
      <c r="Q7" s="83">
        <f>O7-L7</f>
        <v>-11.025345622119715</v>
      </c>
      <c r="R7" s="72">
        <f>O7/L7</f>
        <v>0.93139784946236626</v>
      </c>
      <c r="S7" s="393"/>
      <c r="T7" s="18">
        <v>0.37638888888888899</v>
      </c>
      <c r="U7" s="18">
        <v>0.46250000000000002</v>
      </c>
      <c r="V7" s="30">
        <f>(T7-U6)*24*60</f>
        <v>8.999999999999968</v>
      </c>
      <c r="W7" s="73">
        <f t="shared" si="0"/>
        <v>123.99999999999989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-154.35483870967573</v>
      </c>
      <c r="AG7" s="72">
        <f t="shared" si="2"/>
        <v>0.93139784946236637</v>
      </c>
      <c r="AH7" s="382"/>
    </row>
    <row r="8" spans="1:34" ht="15" customHeight="1">
      <c r="A8" s="467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94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0</v>
      </c>
      <c r="AG8" s="72" t="e">
        <f t="shared" si="2"/>
        <v>#DIV/0!</v>
      </c>
      <c r="AH8" s="383"/>
    </row>
    <row r="9" spans="1:34" ht="15" customHeight="1">
      <c r="A9" s="467"/>
      <c r="B9" s="75"/>
      <c r="C9" s="86"/>
      <c r="D9" s="59"/>
      <c r="E9" s="87"/>
      <c r="F9" s="75"/>
      <c r="G9" s="62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22"/>
      <c r="U9" s="22"/>
      <c r="V9" s="30"/>
      <c r="W9" s="73">
        <f>(U9-T9)*24*60</f>
        <v>0</v>
      </c>
      <c r="X9" s="22"/>
      <c r="Y9" s="84"/>
      <c r="Z9" s="90"/>
      <c r="AA9" s="90"/>
      <c r="AB9" s="386"/>
      <c r="AC9" s="386"/>
      <c r="AD9" s="92"/>
      <c r="AE9" s="92"/>
      <c r="AF9" s="307">
        <f>N9-K9</f>
        <v>0</v>
      </c>
      <c r="AG9" s="72" t="e">
        <f>N9/K9</f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13.666666666666666</v>
      </c>
      <c r="K15" s="120">
        <f t="shared" si="3"/>
        <v>2250</v>
      </c>
      <c r="L15" s="117">
        <f t="shared" si="3"/>
        <v>164.83516483516482</v>
      </c>
      <c r="M15" s="120">
        <f t="shared" si="3"/>
        <v>13.666666666666666</v>
      </c>
      <c r="N15" s="120">
        <f t="shared" si="3"/>
        <v>2104.5525278835212</v>
      </c>
      <c r="O15" s="117">
        <f t="shared" si="3"/>
        <v>154.09284147362663</v>
      </c>
      <c r="P15" s="121">
        <f>M15-J15</f>
        <v>0</v>
      </c>
      <c r="Q15" s="122">
        <f>O15-L15</f>
        <v>-10.742323361538183</v>
      </c>
      <c r="R15" s="123">
        <f>O15/L15</f>
        <v>0.93482990494000173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-145.44747211647882</v>
      </c>
      <c r="AG15" s="124">
        <f>N15/K15</f>
        <v>0.93535667905934272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3321</v>
      </c>
      <c r="H16" s="134">
        <f>F16*G16</f>
        <v>168275.07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2119.7872340425461</v>
      </c>
      <c r="O16" s="141">
        <f>N16/M16</f>
        <v>151.41337386018185</v>
      </c>
      <c r="P16" s="142">
        <f>M16-J16</f>
        <v>0</v>
      </c>
      <c r="Q16" s="143">
        <f>O16-L16</f>
        <v>-9.3009118541038731</v>
      </c>
      <c r="R16" s="144">
        <f>O16/L16</f>
        <v>0.94212765957446476</v>
      </c>
      <c r="S16" s="420">
        <f>R26</f>
        <v>0.93200763775231321</v>
      </c>
      <c r="T16" s="145">
        <v>0.29097222222222202</v>
      </c>
      <c r="U16" s="145">
        <v>0.35625000000000001</v>
      </c>
      <c r="V16" s="135"/>
      <c r="W16" s="146">
        <f t="shared" ref="W16:W78" si="4">(U16-T16)*24*60</f>
        <v>94.000000000000313</v>
      </c>
      <c r="X16" s="141"/>
      <c r="Y16" s="296"/>
      <c r="Z16" s="169"/>
      <c r="AA16" s="169"/>
      <c r="AB16" s="397" t="s">
        <v>196</v>
      </c>
      <c r="AC16" s="397"/>
      <c r="AD16" s="135"/>
      <c r="AE16" s="135"/>
      <c r="AF16" s="229">
        <f>N16-K16</f>
        <v>-130.21276595745394</v>
      </c>
      <c r="AG16" s="52">
        <f>N16/K16</f>
        <v>0.94212765957446487</v>
      </c>
      <c r="AH16" s="380">
        <f>AG26</f>
        <v>0.93273049645389539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4155</v>
      </c>
      <c r="H17" s="78">
        <f>F17*G17</f>
        <v>209370.45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2077.4999999999836</v>
      </c>
      <c r="O17" s="96">
        <f>N17/M17</f>
        <v>173.12499999999864</v>
      </c>
      <c r="P17" s="97">
        <f>M17-J17</f>
        <v>0</v>
      </c>
      <c r="Q17" s="98">
        <f>O17-L17</f>
        <v>-14.375000000001364</v>
      </c>
      <c r="R17" s="99">
        <f>O17/L17</f>
        <v>0.92333333333332601</v>
      </c>
      <c r="S17" s="421"/>
      <c r="T17" s="19">
        <v>0.375694444444444</v>
      </c>
      <c r="U17" s="19">
        <v>0.45902777777777798</v>
      </c>
      <c r="V17" s="30">
        <f>(T17-U16)*24*60</f>
        <v>27.999999999999339</v>
      </c>
      <c r="W17" s="149">
        <f t="shared" si="4"/>
        <v>120.00000000000094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-172.50000000001637</v>
      </c>
      <c r="AG17" s="72">
        <f>N17/K17</f>
        <v>0.92333333333332601</v>
      </c>
      <c r="AH17" s="382"/>
    </row>
    <row r="18" spans="1:34" ht="15" customHeight="1">
      <c r="A18" s="427"/>
      <c r="B18" s="75"/>
      <c r="C18" s="76"/>
      <c r="D18" s="59"/>
      <c r="E18" s="77"/>
      <c r="F18" s="75"/>
      <c r="G18" s="147"/>
      <c r="H18" s="78"/>
      <c r="I18" s="30"/>
      <c r="J18" s="79"/>
      <c r="K18" s="80"/>
      <c r="L18" s="81"/>
      <c r="M18" s="148"/>
      <c r="N18" s="95"/>
      <c r="O18" s="96"/>
      <c r="P18" s="97"/>
      <c r="Q18" s="98"/>
      <c r="R18" s="99"/>
      <c r="S18" s="421"/>
      <c r="T18" s="19"/>
      <c r="U18" s="19"/>
      <c r="V18" s="30"/>
      <c r="W18" s="149">
        <f t="shared" si="4"/>
        <v>0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0</v>
      </c>
      <c r="AG18" s="72" t="e">
        <f>N18/K18</f>
        <v>#DIV/0!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174.10714285714286</v>
      </c>
      <c r="M26" s="155">
        <f t="shared" si="5"/>
        <v>13</v>
      </c>
      <c r="N26" s="155">
        <f t="shared" si="5"/>
        <v>2098.6436170212646</v>
      </c>
      <c r="O26" s="158">
        <f t="shared" si="5"/>
        <v>162.26918693009026</v>
      </c>
      <c r="P26" s="159">
        <f>M26-J26</f>
        <v>0</v>
      </c>
      <c r="Q26" s="160">
        <f>O26-L26</f>
        <v>-11.837955927052604</v>
      </c>
      <c r="R26" s="161">
        <f>O26/L26</f>
        <v>0.93200763775231321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-151.35638297873538</v>
      </c>
      <c r="AG26" s="124">
        <f t="shared" ref="AG26:AG31" si="7">N26/K26</f>
        <v>0.93273049645389539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194</v>
      </c>
      <c r="E27" s="132"/>
      <c r="F27" s="129">
        <f>VLOOKUP(D27,廠價表!$C$1:$E$43,3,0)</f>
        <v>61.65</v>
      </c>
      <c r="G27" s="169">
        <v>3394</v>
      </c>
      <c r="H27" s="134">
        <f>F27*G27</f>
        <v>209240.1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16</v>
      </c>
      <c r="N27" s="140">
        <f>G27/W27*60</f>
        <v>1313.8064516129018</v>
      </c>
      <c r="O27" s="141">
        <f>N27/M27</f>
        <v>82.112903225806363</v>
      </c>
      <c r="P27" s="142">
        <f>M27-J27</f>
        <v>-2</v>
      </c>
      <c r="Q27" s="143">
        <f>O27-L27</f>
        <v>-8.7759856630825226</v>
      </c>
      <c r="R27" s="144">
        <f>O27/L27</f>
        <v>0.9034427005284319</v>
      </c>
      <c r="S27" s="420">
        <f>R37</f>
        <v>0.83236182889961929</v>
      </c>
      <c r="T27" s="171">
        <v>0.3</v>
      </c>
      <c r="U27" s="171">
        <v>0.40763888888888899</v>
      </c>
      <c r="V27" s="135"/>
      <c r="W27" s="146">
        <f t="shared" si="4"/>
        <v>155.00000000000017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6"/>
        <v>-322.19354838709819</v>
      </c>
      <c r="AG27" s="172">
        <f t="shared" si="7"/>
        <v>0.80306017824749498</v>
      </c>
      <c r="AH27" s="380">
        <f>AG37</f>
        <v>0.77387888994098575</v>
      </c>
    </row>
    <row r="28" spans="1:34" ht="15" customHeight="1">
      <c r="A28" s="418"/>
      <c r="B28" s="75" t="s">
        <v>81</v>
      </c>
      <c r="C28" s="173"/>
      <c r="D28" s="59" t="s">
        <v>126</v>
      </c>
      <c r="E28" s="104"/>
      <c r="F28" s="75">
        <f>VLOOKUP(D28,廠價表!$C$1:$E$43,3,0)</f>
        <v>45.66</v>
      </c>
      <c r="G28" s="90">
        <v>451</v>
      </c>
      <c r="H28" s="91">
        <f>F28*G28</f>
        <v>20592.66</v>
      </c>
      <c r="I28" s="92"/>
      <c r="J28" s="79">
        <f>VLOOKUP(D28,產線配置圖!$A$3:$C$40,2,0)</f>
        <v>17</v>
      </c>
      <c r="K28" s="80">
        <f>VLOOKUP(D28,產線配置圖!$A$3:$C$40,3,0)</f>
        <v>1636</v>
      </c>
      <c r="L28" s="93">
        <f>K28/J28</f>
        <v>96.235294117647058</v>
      </c>
      <c r="M28" s="94">
        <v>16</v>
      </c>
      <c r="N28" s="95">
        <f>G28/W28*60</f>
        <v>1127.4999999999741</v>
      </c>
      <c r="O28" s="96">
        <f>N28/M28</f>
        <v>70.46874999999838</v>
      </c>
      <c r="P28" s="97">
        <f>M28-J28</f>
        <v>-1</v>
      </c>
      <c r="Q28" s="98">
        <f>O28-L28</f>
        <v>-25.766544117648678</v>
      </c>
      <c r="R28" s="99">
        <f>O28/L28</f>
        <v>0.7322547371637973</v>
      </c>
      <c r="S28" s="421"/>
      <c r="T28" s="19">
        <v>0.41388888888888897</v>
      </c>
      <c r="U28" s="19">
        <v>0.43055555555555602</v>
      </c>
      <c r="V28" s="92">
        <f>(T28-U27)*24*60</f>
        <v>8.999999999999968</v>
      </c>
      <c r="W28" s="149">
        <f t="shared" si="4"/>
        <v>24.000000000000554</v>
      </c>
      <c r="X28" s="174"/>
      <c r="Y28" s="301"/>
      <c r="Z28" s="335"/>
      <c r="AA28" s="335"/>
      <c r="AB28" s="386" t="s">
        <v>137</v>
      </c>
      <c r="AC28" s="386"/>
      <c r="AD28" s="92"/>
      <c r="AE28" s="92"/>
      <c r="AF28" s="311">
        <f t="shared" si="6"/>
        <v>-508.50000000002592</v>
      </c>
      <c r="AG28" s="99">
        <f t="shared" si="7"/>
        <v>0.68918092909533868</v>
      </c>
      <c r="AH28" s="381"/>
    </row>
    <row r="29" spans="1:34" ht="15" customHeight="1">
      <c r="A29" s="418"/>
      <c r="B29" s="75" t="s">
        <v>81</v>
      </c>
      <c r="C29" s="173"/>
      <c r="D29" s="59" t="s">
        <v>124</v>
      </c>
      <c r="E29" s="104"/>
      <c r="F29" s="75">
        <f>VLOOKUP(D29,廠價表!$C$1:$E$43,3,0)</f>
        <v>46.34</v>
      </c>
      <c r="G29" s="90">
        <v>792</v>
      </c>
      <c r="H29" s="91">
        <f>F29*G29</f>
        <v>36701.280000000006</v>
      </c>
      <c r="I29" s="92"/>
      <c r="J29" s="79">
        <f>VLOOKUP(D29,產線配置圖!$A$3:$C$40,2,0)</f>
        <v>16</v>
      </c>
      <c r="K29" s="80">
        <f>VLOOKUP(D29,產線配置圖!$A$3:$C$40,3,0)</f>
        <v>1636</v>
      </c>
      <c r="L29" s="93">
        <f>K29/J29</f>
        <v>102.25</v>
      </c>
      <c r="M29" s="94">
        <v>16</v>
      </c>
      <c r="N29" s="95">
        <f>G29/W29*60</f>
        <v>1357.7142857143185</v>
      </c>
      <c r="O29" s="96">
        <f>N29/M29</f>
        <v>84.857142857144908</v>
      </c>
      <c r="P29" s="97">
        <f>M29-J29</f>
        <v>0</v>
      </c>
      <c r="Q29" s="98">
        <f>O29-L29</f>
        <v>-17.392857142855092</v>
      </c>
      <c r="R29" s="99">
        <f>O29/L29</f>
        <v>0.82989870764933893</v>
      </c>
      <c r="S29" s="421"/>
      <c r="T29" s="19">
        <v>0.43402777777777801</v>
      </c>
      <c r="U29" s="19">
        <v>0.45833333333333298</v>
      </c>
      <c r="V29" s="92">
        <f>(T29-U28)*24*60</f>
        <v>4.9999999999996625</v>
      </c>
      <c r="W29" s="149">
        <f t="shared" si="4"/>
        <v>34.999999999999154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-278.28571428568148</v>
      </c>
      <c r="AG29" s="99">
        <f t="shared" si="7"/>
        <v>0.82989870764933893</v>
      </c>
      <c r="AH29" s="381"/>
    </row>
    <row r="30" spans="1:34" ht="15" customHeight="1">
      <c r="A30" s="418"/>
      <c r="B30" s="75" t="s">
        <v>81</v>
      </c>
      <c r="C30" s="88"/>
      <c r="D30" s="59" t="s">
        <v>194</v>
      </c>
      <c r="E30" s="89"/>
      <c r="F30" s="75">
        <f>VLOOKUP(D30,廠價表!$C$1:$E$43,3,0)</f>
        <v>61.65</v>
      </c>
      <c r="G30" s="90">
        <v>2172</v>
      </c>
      <c r="H30" s="91">
        <f>F30*G30</f>
        <v>133903.79999999999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>K30/J30</f>
        <v>90.888888888888886</v>
      </c>
      <c r="M30" s="94">
        <v>16</v>
      </c>
      <c r="N30" s="95">
        <f>G30/W30*60</f>
        <v>1265.2427184466162</v>
      </c>
      <c r="O30" s="96">
        <f>N30/M30</f>
        <v>79.077669902913513</v>
      </c>
      <c r="P30" s="97">
        <f>M30-J30</f>
        <v>-2</v>
      </c>
      <c r="Q30" s="98">
        <f>O30-L30</f>
        <v>-11.811218985975373</v>
      </c>
      <c r="R30" s="99">
        <f>O30/L30</f>
        <v>0.87004771286824156</v>
      </c>
      <c r="S30" s="421"/>
      <c r="T30" s="19">
        <v>0.52291666666666703</v>
      </c>
      <c r="U30" s="19">
        <v>0.594444444444444</v>
      </c>
      <c r="V30" s="92">
        <f>(T30-U29)*24*60</f>
        <v>93.000000000001023</v>
      </c>
      <c r="W30" s="149">
        <f t="shared" si="4"/>
        <v>102.99999999999883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-370.75728155338379</v>
      </c>
      <c r="AG30" s="99">
        <f t="shared" si="7"/>
        <v>0.77337574477177029</v>
      </c>
      <c r="AH30" s="416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0</v>
      </c>
      <c r="AG31" s="99" t="e">
        <f t="shared" si="7"/>
        <v>#DIV/0!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8">AVERAGE(J27:J36)</f>
        <v>17.25</v>
      </c>
      <c r="K37" s="155">
        <f t="shared" si="8"/>
        <v>1636</v>
      </c>
      <c r="L37" s="158">
        <f t="shared" si="8"/>
        <v>95.065767973856197</v>
      </c>
      <c r="M37" s="155">
        <f t="shared" si="8"/>
        <v>16</v>
      </c>
      <c r="N37" s="155">
        <f t="shared" si="8"/>
        <v>1266.0658639434528</v>
      </c>
      <c r="O37" s="158">
        <f t="shared" si="8"/>
        <v>79.129116496465798</v>
      </c>
      <c r="P37" s="159">
        <f>M37-J37</f>
        <v>-1.25</v>
      </c>
      <c r="Q37" s="160">
        <f>N37-K37</f>
        <v>-369.93413605654723</v>
      </c>
      <c r="R37" s="161">
        <f>O37/L37</f>
        <v>0.83236182889961929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-369.93413605654723</v>
      </c>
      <c r="AG37" s="124">
        <f>N37/K37</f>
        <v>0.77387888994098575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2043</v>
      </c>
      <c r="H38" s="134">
        <f>F38*G38</f>
        <v>101966.12999999999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1571.538461538451</v>
      </c>
      <c r="O38" s="141">
        <f>N38/M38</f>
        <v>98.221153846153186</v>
      </c>
      <c r="P38" s="142">
        <f>M38-J38</f>
        <v>0</v>
      </c>
      <c r="Q38" s="143">
        <f>O38-L38</f>
        <v>-8.9038461538468141</v>
      </c>
      <c r="R38" s="144">
        <f>O38/L38</f>
        <v>0.91688358316128993</v>
      </c>
      <c r="S38" s="410">
        <f>R48</f>
        <v>0.89326541124024661</v>
      </c>
      <c r="T38" s="191">
        <v>0.33333333333333298</v>
      </c>
      <c r="U38" s="191">
        <v>0.38750000000000001</v>
      </c>
      <c r="V38" s="192"/>
      <c r="W38" s="193">
        <f t="shared" si="4"/>
        <v>78.000000000000526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-142.46153846154903</v>
      </c>
      <c r="AG38" s="195">
        <f>N38/K38</f>
        <v>0.91688358316128993</v>
      </c>
      <c r="AH38" s="413">
        <f>AG48</f>
        <v>0.89225053090850104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2755</v>
      </c>
      <c r="H39" s="91">
        <f>F39*G39</f>
        <v>122046.49999999999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1502.7272727272912</v>
      </c>
      <c r="O39" s="203">
        <f>N39/M39</f>
        <v>83.484848484849508</v>
      </c>
      <c r="P39" s="97">
        <f>M39-J39</f>
        <v>0</v>
      </c>
      <c r="Q39" s="98">
        <f>O39-L39</f>
        <v>-7.4040404040393781</v>
      </c>
      <c r="R39" s="99">
        <f>O39/L39</f>
        <v>0.91853745276729293</v>
      </c>
      <c r="S39" s="411"/>
      <c r="T39" s="20">
        <v>0.39930555555555602</v>
      </c>
      <c r="U39" s="20">
        <v>0.47569444444444398</v>
      </c>
      <c r="V39" s="92">
        <f>(T39-U38)*24*60</f>
        <v>17.000000000000661</v>
      </c>
      <c r="W39" s="205">
        <f t="shared" si="4"/>
        <v>109.99999999999865</v>
      </c>
      <c r="X39" s="22"/>
      <c r="Y39" s="84"/>
      <c r="Z39" s="90"/>
      <c r="AA39" s="90"/>
      <c r="AB39" s="385" t="s">
        <v>174</v>
      </c>
      <c r="AC39" s="385"/>
      <c r="AD39" s="200"/>
      <c r="AE39" s="200"/>
      <c r="AF39" s="314">
        <f>N39-K39</f>
        <v>-133.27272727270883</v>
      </c>
      <c r="AG39" s="206">
        <f>N39/K39</f>
        <v>0.91853745276729293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2497</v>
      </c>
      <c r="H40" s="91">
        <f>F40*G40</f>
        <v>110617.09999999999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1374.4954128440436</v>
      </c>
      <c r="O40" s="203">
        <f>N40/M40</f>
        <v>76.360856269113526</v>
      </c>
      <c r="P40" s="97">
        <f>M40-J40</f>
        <v>0</v>
      </c>
      <c r="Q40" s="98">
        <f>O40-L40</f>
        <v>-14.52803261977536</v>
      </c>
      <c r="R40" s="99">
        <f>O40/L40</f>
        <v>0.84015612032032005</v>
      </c>
      <c r="S40" s="393"/>
      <c r="T40" s="20">
        <v>0.53888888888888897</v>
      </c>
      <c r="U40" s="20">
        <v>0.61458333333333304</v>
      </c>
      <c r="V40" s="92">
        <f>(T40-U39)*24*60</f>
        <v>91.000000000000796</v>
      </c>
      <c r="W40" s="205">
        <f t="shared" si="4"/>
        <v>108.99999999999946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-261.50458715595641</v>
      </c>
      <c r="AG40" s="206">
        <f>N40/K40</f>
        <v>0.84015612032032005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0">AVERAGE(J38:J47)</f>
        <v>17.333333333333332</v>
      </c>
      <c r="K48" s="155">
        <f t="shared" si="10"/>
        <v>1662</v>
      </c>
      <c r="L48" s="158">
        <f t="shared" si="10"/>
        <v>96.300925925925924</v>
      </c>
      <c r="M48" s="155">
        <f t="shared" si="10"/>
        <v>17.333333333333332</v>
      </c>
      <c r="N48" s="155">
        <f t="shared" si="10"/>
        <v>1482.9203823699288</v>
      </c>
      <c r="O48" s="158">
        <f t="shared" si="10"/>
        <v>86.022286200038749</v>
      </c>
      <c r="P48" s="221">
        <f>M48-J48</f>
        <v>0</v>
      </c>
      <c r="Q48" s="222">
        <f>N48-K48</f>
        <v>-179.0796176300712</v>
      </c>
      <c r="R48" s="223">
        <f>O48/L48</f>
        <v>0.89326541124024661</v>
      </c>
      <c r="S48" s="396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1">N48-K48</f>
        <v>-179.0796176300712</v>
      </c>
      <c r="AG48" s="162">
        <f t="shared" ref="AG48:AG53" si="12">N48/K48</f>
        <v>0.89225053090850104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v>486</v>
      </c>
      <c r="H49" s="134">
        <f>F49*G49</f>
        <v>24256.26</v>
      </c>
      <c r="I49" s="135"/>
      <c r="J49" s="136">
        <f>VLOOKUP(D49,產線配置圖!$A$3:$C$40,2,0)</f>
        <v>18</v>
      </c>
      <c r="K49" s="137">
        <v>1636</v>
      </c>
      <c r="L49" s="138">
        <f>K49/J49</f>
        <v>90.888888888888886</v>
      </c>
      <c r="M49" s="170">
        <v>18</v>
      </c>
      <c r="N49" s="140">
        <f>G49/W49*60</f>
        <v>1620.0000000000057</v>
      </c>
      <c r="O49" s="141">
        <f>N49/M49</f>
        <v>90.000000000000313</v>
      </c>
      <c r="P49" s="229">
        <f>M49-J49</f>
        <v>0</v>
      </c>
      <c r="Q49" s="230">
        <f>O49-L49</f>
        <v>-0.88888888888857309</v>
      </c>
      <c r="R49" s="52">
        <f>O49/L49</f>
        <v>0.99022004889975901</v>
      </c>
      <c r="S49" s="392">
        <f>R58</f>
        <v>0.82878632227754656</v>
      </c>
      <c r="T49" s="191">
        <v>0.29166666666666702</v>
      </c>
      <c r="U49" s="191">
        <v>0.30416666666666697</v>
      </c>
      <c r="V49" s="55"/>
      <c r="W49" s="193">
        <f t="shared" si="4"/>
        <v>17.999999999999936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11"/>
        <v>-15.999999999994316</v>
      </c>
      <c r="AG49" s="52">
        <f t="shared" si="12"/>
        <v>0.99022004889975901</v>
      </c>
      <c r="AH49" s="380">
        <f>AG58</f>
        <v>0.81439410782286092</v>
      </c>
    </row>
    <row r="50" spans="1:34" ht="15" customHeight="1">
      <c r="A50" s="405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1875</v>
      </c>
      <c r="H50" s="231">
        <f>F50*G50</f>
        <v>94291.875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1442.3076923077108</v>
      </c>
      <c r="O50" s="235">
        <f>N50/M50</f>
        <v>84.841628959277102</v>
      </c>
      <c r="P50" s="74">
        <f>M50-J50</f>
        <v>0</v>
      </c>
      <c r="Q50" s="83">
        <f>O50-L50</f>
        <v>-11.393665158369956</v>
      </c>
      <c r="R50" s="72">
        <f>O50/L50</f>
        <v>0.88160616889224375</v>
      </c>
      <c r="S50" s="393"/>
      <c r="T50" s="21">
        <v>0.30902777777777801</v>
      </c>
      <c r="U50" s="21">
        <v>0.36319444444444399</v>
      </c>
      <c r="V50" s="30">
        <f>(T50-U49)*24*60</f>
        <v>6.9999999999998952</v>
      </c>
      <c r="W50" s="236">
        <f t="shared" si="4"/>
        <v>77.999999999999005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1"/>
        <v>-193.69230769228921</v>
      </c>
      <c r="AG50" s="72">
        <f t="shared" si="12"/>
        <v>0.88160616889224375</v>
      </c>
      <c r="AH50" s="382"/>
    </row>
    <row r="51" spans="1:34" ht="15" customHeight="1">
      <c r="A51" s="405"/>
      <c r="B51" s="75" t="s">
        <v>81</v>
      </c>
      <c r="C51" s="76"/>
      <c r="D51" s="59" t="s">
        <v>123</v>
      </c>
      <c r="E51" s="77"/>
      <c r="F51" s="75">
        <f>VLOOKUP(D51,廠價表!$C$1:$E$43,3,0)</f>
        <v>57.21</v>
      </c>
      <c r="G51" s="202">
        <v>779</v>
      </c>
      <c r="H51" s="231">
        <f>F51*G51</f>
        <v>44566.590000000004</v>
      </c>
      <c r="I51" s="232"/>
      <c r="J51" s="79">
        <f>VLOOKUP(D51,產線配置圖!$A$3:$C$40,2,0)</f>
        <v>18</v>
      </c>
      <c r="K51" s="80">
        <f>VLOOKUP(D51,產線配置圖!$A$3:$C$40,3,0)</f>
        <v>1636</v>
      </c>
      <c r="L51" s="81">
        <f>K51/J51</f>
        <v>90.888888888888886</v>
      </c>
      <c r="M51" s="233">
        <v>18</v>
      </c>
      <c r="N51" s="234">
        <f>G51/W51*60</f>
        <v>820.0000000000075</v>
      </c>
      <c r="O51" s="235">
        <f>N51/M51</f>
        <v>45.555555555555969</v>
      </c>
      <c r="P51" s="74">
        <f>M51-J51</f>
        <v>0</v>
      </c>
      <c r="Q51" s="83">
        <f>O51-L51</f>
        <v>-45.333333333332916</v>
      </c>
      <c r="R51" s="72">
        <f>O51/L51</f>
        <v>0.50122249388753515</v>
      </c>
      <c r="S51" s="393"/>
      <c r="T51" s="21">
        <v>0.36805555555555602</v>
      </c>
      <c r="U51" s="19">
        <v>0.40763888888888899</v>
      </c>
      <c r="V51" s="30">
        <f>(T51-U50)*24*60</f>
        <v>7.000000000001334</v>
      </c>
      <c r="W51" s="236">
        <f t="shared" si="4"/>
        <v>56.999999999999474</v>
      </c>
      <c r="X51" s="22"/>
      <c r="Y51" s="84"/>
      <c r="Z51" s="90"/>
      <c r="AA51" s="90"/>
      <c r="AB51" s="386" t="s">
        <v>137</v>
      </c>
      <c r="AC51" s="386"/>
      <c r="AD51" s="92"/>
      <c r="AE51" s="92"/>
      <c r="AF51" s="307">
        <f t="shared" si="11"/>
        <v>-815.9999999999925</v>
      </c>
      <c r="AG51" s="72">
        <f t="shared" si="12"/>
        <v>0.50122249388753515</v>
      </c>
      <c r="AH51" s="382"/>
    </row>
    <row r="52" spans="1:34" ht="15" customHeight="1">
      <c r="A52" s="405"/>
      <c r="B52" s="75" t="s">
        <v>81</v>
      </c>
      <c r="C52" s="86"/>
      <c r="D52" s="59" t="s">
        <v>131</v>
      </c>
      <c r="E52" s="87"/>
      <c r="F52" s="75">
        <f>VLOOKUP(D52,廠價表!$C$1:$E$43,3,0)</f>
        <v>49.97</v>
      </c>
      <c r="G52" s="202">
        <v>1898</v>
      </c>
      <c r="H52" s="231">
        <f t="shared" ref="H52:H53" si="13">F52*G52</f>
        <v>94843.06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14">K52/J52</f>
        <v>112.5</v>
      </c>
      <c r="M52" s="233">
        <v>15</v>
      </c>
      <c r="N52" s="234">
        <f t="shared" ref="N52:N53" si="15">G52/W52*60</f>
        <v>1459.9999999999902</v>
      </c>
      <c r="O52" s="235">
        <f t="shared" ref="O52:O53" si="16">N52/M52</f>
        <v>97.333333333332675</v>
      </c>
      <c r="P52" s="74">
        <f t="shared" ref="P52:P53" si="17">M52-J52</f>
        <v>-1</v>
      </c>
      <c r="Q52" s="83">
        <f t="shared" ref="Q52:Q53" si="18">O52-L52</f>
        <v>-15.166666666667325</v>
      </c>
      <c r="R52" s="72">
        <f t="shared" ref="R52:R53" si="19">O52/L52</f>
        <v>0.86518518518517928</v>
      </c>
      <c r="S52" s="393"/>
      <c r="T52" s="21">
        <v>0.41111111111111098</v>
      </c>
      <c r="U52" s="21">
        <v>0.46527777777777801</v>
      </c>
      <c r="V52" s="30">
        <f>(T52-U51)*24*60</f>
        <v>4.9999999999996625</v>
      </c>
      <c r="W52" s="236">
        <f t="shared" si="4"/>
        <v>78.000000000000526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1"/>
        <v>-340.00000000000978</v>
      </c>
      <c r="AG52" s="72">
        <f t="shared" si="12"/>
        <v>0.81111111111110568</v>
      </c>
      <c r="AH52" s="382"/>
    </row>
    <row r="53" spans="1:34" ht="15" customHeight="1">
      <c r="A53" s="405"/>
      <c r="B53" s="101" t="s">
        <v>81</v>
      </c>
      <c r="C53" s="102"/>
      <c r="D53" s="103" t="s">
        <v>131</v>
      </c>
      <c r="E53" s="104"/>
      <c r="F53" s="75">
        <f>VLOOKUP(D53,廠價表!$C$1:$E$43,3,0)</f>
        <v>49.97</v>
      </c>
      <c r="G53" s="202">
        <v>3226</v>
      </c>
      <c r="H53" s="231">
        <f t="shared" si="13"/>
        <v>161203.22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14"/>
        <v>112.5</v>
      </c>
      <c r="M53" s="108">
        <v>16</v>
      </c>
      <c r="N53" s="234">
        <f t="shared" si="15"/>
        <v>1586.5573770491858</v>
      </c>
      <c r="O53" s="235">
        <f t="shared" si="16"/>
        <v>99.159836065574112</v>
      </c>
      <c r="P53" s="74">
        <f t="shared" si="17"/>
        <v>0</v>
      </c>
      <c r="Q53" s="83">
        <f t="shared" si="18"/>
        <v>-13.340163934425888</v>
      </c>
      <c r="R53" s="72">
        <f t="shared" si="19"/>
        <v>0.88142076502732547</v>
      </c>
      <c r="S53" s="393"/>
      <c r="T53" s="21">
        <v>0.52291666666666703</v>
      </c>
      <c r="U53" s="21">
        <v>0.60763888888888895</v>
      </c>
      <c r="V53" s="92">
        <f>(T53-U52)*24*60</f>
        <v>83.000000000000185</v>
      </c>
      <c r="W53" s="236">
        <f t="shared" si="4"/>
        <v>121.99999999999957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1"/>
        <v>-213.44262295081421</v>
      </c>
      <c r="AG53" s="72">
        <f t="shared" si="12"/>
        <v>0.88142076502732547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0">AVERAGE(J49:J57)</f>
        <v>17</v>
      </c>
      <c r="K58" s="120">
        <f t="shared" si="20"/>
        <v>1701.6</v>
      </c>
      <c r="L58" s="117">
        <f t="shared" si="20"/>
        <v>100.60261437908495</v>
      </c>
      <c r="M58" s="120">
        <f t="shared" si="20"/>
        <v>16.8</v>
      </c>
      <c r="N58" s="120">
        <f t="shared" si="20"/>
        <v>1385.77301387138</v>
      </c>
      <c r="O58" s="117">
        <f t="shared" si="20"/>
        <v>83.37807078274804</v>
      </c>
      <c r="P58" s="121">
        <f>M58-J58</f>
        <v>-0.19999999999999929</v>
      </c>
      <c r="Q58" s="122">
        <f>N58-K58</f>
        <v>-315.82698612861986</v>
      </c>
      <c r="R58" s="123">
        <f>O58/L58</f>
        <v>0.82878632227754656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-315.82698612861986</v>
      </c>
      <c r="AG58" s="124">
        <f>N58/K58</f>
        <v>0.81439410782286092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3026</v>
      </c>
      <c r="H59" s="243">
        <f>F59*G59</f>
        <v>81671.739999999991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1488.1967213114799</v>
      </c>
      <c r="O59" s="138">
        <f>N59/M59</f>
        <v>99.213114754098655</v>
      </c>
      <c r="P59" s="56">
        <f>M59-J59</f>
        <v>0</v>
      </c>
      <c r="Q59" s="230">
        <f>O59-L59</f>
        <v>-9.8535519125680082</v>
      </c>
      <c r="R59" s="52">
        <f>O59/L59</f>
        <v>0.9096556976231539</v>
      </c>
      <c r="S59" s="392">
        <f>R69</f>
        <v>0.83947283645760484</v>
      </c>
      <c r="T59" s="245">
        <v>0.29166666666666702</v>
      </c>
      <c r="U59" s="245">
        <v>0.37638888888888899</v>
      </c>
      <c r="V59" s="55"/>
      <c r="W59" s="54">
        <f t="shared" si="4"/>
        <v>121.99999999999964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-147.80327868852009</v>
      </c>
      <c r="AG59" s="246">
        <f>N59/K59</f>
        <v>0.90965569762315401</v>
      </c>
      <c r="AH59" s="380">
        <f>AG69</f>
        <v>0.82597293717278875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1078</v>
      </c>
      <c r="H60" s="78">
        <f>F60*G60</f>
        <v>30464.280000000002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1347.5000000000139</v>
      </c>
      <c r="O60" s="81">
        <f>N60/M60</f>
        <v>122.50000000000126</v>
      </c>
      <c r="P60" s="74">
        <f>M60-J60</f>
        <v>0</v>
      </c>
      <c r="Q60" s="83">
        <f>O60-L60</f>
        <v>-26.227272727271455</v>
      </c>
      <c r="R60" s="72">
        <f>O60/L60</f>
        <v>0.82365525672372497</v>
      </c>
      <c r="S60" s="402"/>
      <c r="T60" s="22">
        <v>0.38680555555555601</v>
      </c>
      <c r="U60" s="22">
        <v>0.42013888888888901</v>
      </c>
      <c r="V60" s="30">
        <f>(T60-U59)*24*60</f>
        <v>15.000000000000506</v>
      </c>
      <c r="W60" s="248">
        <f t="shared" si="4"/>
        <v>47.99999999999951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-288.49999999998613</v>
      </c>
      <c r="AG60" s="249">
        <f>N60/K60</f>
        <v>0.82365525672372486</v>
      </c>
      <c r="AH60" s="403"/>
    </row>
    <row r="61" spans="1:34" ht="15" customHeight="1">
      <c r="A61" s="400"/>
      <c r="B61" s="250" t="s">
        <v>132</v>
      </c>
      <c r="C61" s="251"/>
      <c r="D61" s="257" t="s">
        <v>135</v>
      </c>
      <c r="E61" s="253"/>
      <c r="F61" s="75">
        <f>VLOOKUP(D61,廠價表!$C$1:$E$43,3,0)</f>
        <v>28.26</v>
      </c>
      <c r="G61" s="38">
        <v>566</v>
      </c>
      <c r="H61" s="78">
        <f t="shared" ref="H61:H63" si="21">F61*G61</f>
        <v>15995.160000000002</v>
      </c>
      <c r="I61" s="30"/>
      <c r="J61" s="79">
        <f>VLOOKUP(D61,產線配置圖!$A$3:$C$40,2,0)</f>
        <v>11</v>
      </c>
      <c r="K61" s="80">
        <f>VLOOKUP(D61,產線配置圖!$A$3:$C$40,3,0)</f>
        <v>1636</v>
      </c>
      <c r="L61" s="81">
        <f t="shared" ref="L61:L63" si="22">K61/J61</f>
        <v>148.72727272727272</v>
      </c>
      <c r="M61" s="108">
        <v>11</v>
      </c>
      <c r="N61" s="80">
        <f t="shared" ref="N61:N63" si="23">G61/W61*60</f>
        <v>970.28571428573764</v>
      </c>
      <c r="O61" s="81">
        <f t="shared" ref="O61:O63" si="24">N61/M61</f>
        <v>88.207792207794327</v>
      </c>
      <c r="P61" s="74">
        <f t="shared" ref="P61:P63" si="25">M61-J61</f>
        <v>0</v>
      </c>
      <c r="Q61" s="83">
        <f t="shared" ref="Q61:Q63" si="26">O61-L61</f>
        <v>-60.519480519478392</v>
      </c>
      <c r="R61" s="72">
        <f t="shared" ref="R61:R63" si="27">O61/L61</f>
        <v>0.59308417743626995</v>
      </c>
      <c r="S61" s="393"/>
      <c r="T61" s="22">
        <v>0.43055555555555602</v>
      </c>
      <c r="U61" s="22">
        <v>0.45486111111111099</v>
      </c>
      <c r="V61" s="92">
        <f t="shared" ref="V61:V63" si="28">(T61-U60)*24*60</f>
        <v>15.000000000000506</v>
      </c>
      <c r="W61" s="248">
        <f t="shared" si="4"/>
        <v>34.999999999999154</v>
      </c>
      <c r="X61" s="22"/>
      <c r="Y61" s="84"/>
      <c r="Z61" s="90"/>
      <c r="AA61" s="90"/>
      <c r="AB61" s="386" t="s">
        <v>137</v>
      </c>
      <c r="AC61" s="386"/>
      <c r="AD61" s="92"/>
      <c r="AE61" s="92"/>
      <c r="AF61" s="317">
        <f>N61-K61</f>
        <v>-665.71428571426236</v>
      </c>
      <c r="AG61" s="247">
        <f>N61/K61</f>
        <v>0.59308417743626995</v>
      </c>
      <c r="AH61" s="382"/>
    </row>
    <row r="62" spans="1:34" ht="15" customHeight="1">
      <c r="A62" s="400"/>
      <c r="B62" s="75" t="s">
        <v>132</v>
      </c>
      <c r="C62" s="76"/>
      <c r="D62" s="175" t="s">
        <v>136</v>
      </c>
      <c r="E62" s="77"/>
      <c r="F62" s="75">
        <f>VLOOKUP(D62,廠價表!$C$1:$E$43,3,0)</f>
        <v>28.26</v>
      </c>
      <c r="G62" s="30">
        <v>1481</v>
      </c>
      <c r="H62" s="78">
        <f t="shared" si="21"/>
        <v>41853.060000000005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 t="shared" si="22"/>
        <v>148.72727272727272</v>
      </c>
      <c r="M62" s="82">
        <v>10</v>
      </c>
      <c r="N62" s="80">
        <f t="shared" si="23"/>
        <v>1410.476190476192</v>
      </c>
      <c r="O62" s="81">
        <f t="shared" si="24"/>
        <v>141.04761904761921</v>
      </c>
      <c r="P62" s="74">
        <f t="shared" si="25"/>
        <v>-1</v>
      </c>
      <c r="Q62" s="83">
        <f t="shared" si="26"/>
        <v>-7.6796536796535122</v>
      </c>
      <c r="R62" s="72">
        <f t="shared" si="27"/>
        <v>0.94836418675049594</v>
      </c>
      <c r="S62" s="393"/>
      <c r="T62" s="22">
        <v>0.46319444444444402</v>
      </c>
      <c r="U62" s="22">
        <v>0.50694444444444398</v>
      </c>
      <c r="V62" s="92">
        <f t="shared" si="28"/>
        <v>11.999999999999558</v>
      </c>
      <c r="W62" s="73">
        <f t="shared" si="4"/>
        <v>62.999999999999936</v>
      </c>
      <c r="X62" s="261"/>
      <c r="Y62" s="291"/>
      <c r="Z62" s="335"/>
      <c r="AA62" s="335"/>
      <c r="AB62" s="386"/>
      <c r="AC62" s="386"/>
      <c r="AD62" s="92"/>
      <c r="AE62" s="92"/>
      <c r="AF62" s="307"/>
      <c r="AG62" s="262"/>
      <c r="AH62" s="382"/>
    </row>
    <row r="63" spans="1:34" ht="15" customHeight="1">
      <c r="A63" s="400"/>
      <c r="B63" s="75" t="s">
        <v>132</v>
      </c>
      <c r="C63" s="86"/>
      <c r="D63" s="175" t="s">
        <v>136</v>
      </c>
      <c r="E63" s="87"/>
      <c r="F63" s="75">
        <f>VLOOKUP(D63,廠價表!$C$1:$E$43,3,0)</f>
        <v>28.26</v>
      </c>
      <c r="G63" s="30">
        <v>1540</v>
      </c>
      <c r="H63" s="78">
        <f t="shared" si="21"/>
        <v>43520.4</v>
      </c>
      <c r="I63" s="30"/>
      <c r="J63" s="79">
        <f>VLOOKUP(D63,產線配置圖!$A$3:$C$40,2,0)</f>
        <v>11</v>
      </c>
      <c r="K63" s="80">
        <f>VLOOKUP(D63,產線配置圖!$A$3:$C$40,3,0)</f>
        <v>1636</v>
      </c>
      <c r="L63" s="81">
        <f t="shared" si="22"/>
        <v>148.72727272727272</v>
      </c>
      <c r="M63" s="82">
        <v>11</v>
      </c>
      <c r="N63" s="80">
        <f t="shared" si="23"/>
        <v>1539.9999999999891</v>
      </c>
      <c r="O63" s="81">
        <f t="shared" si="24"/>
        <v>139.99999999999901</v>
      </c>
      <c r="P63" s="74">
        <f t="shared" si="25"/>
        <v>0</v>
      </c>
      <c r="Q63" s="83">
        <f t="shared" si="26"/>
        <v>-8.7272727272737143</v>
      </c>
      <c r="R63" s="72">
        <f t="shared" si="27"/>
        <v>0.94132029339852641</v>
      </c>
      <c r="S63" s="393"/>
      <c r="T63" s="22">
        <v>0.5625</v>
      </c>
      <c r="U63" s="22">
        <v>0.60416666666666696</v>
      </c>
      <c r="V63" s="92">
        <f t="shared" si="28"/>
        <v>80.000000000000682</v>
      </c>
      <c r="W63" s="73">
        <f t="shared" si="4"/>
        <v>60.000000000000426</v>
      </c>
      <c r="X63" s="261"/>
      <c r="Y63" s="291"/>
      <c r="Z63" s="335"/>
      <c r="AA63" s="335"/>
      <c r="AB63" s="386"/>
      <c r="AC63" s="386"/>
      <c r="AD63" s="92"/>
      <c r="AE63" s="92"/>
      <c r="AF63" s="307"/>
      <c r="AG63" s="262"/>
      <c r="AH63" s="382"/>
    </row>
    <row r="64" spans="1:34" ht="15" customHeight="1">
      <c r="A64" s="400"/>
      <c r="B64" s="101"/>
      <c r="C64" s="102"/>
      <c r="D64" s="103"/>
      <c r="E64" s="104"/>
      <c r="F64" s="105"/>
      <c r="G64" s="151"/>
      <c r="H64" s="78"/>
      <c r="I64" s="264"/>
      <c r="J64" s="79"/>
      <c r="K64" s="80"/>
      <c r="L64" s="81"/>
      <c r="M64" s="94"/>
      <c r="N64" s="95"/>
      <c r="O64" s="96"/>
      <c r="P64" s="97"/>
      <c r="Q64" s="98"/>
      <c r="R64" s="204"/>
      <c r="S64" s="393"/>
      <c r="T64" s="263"/>
      <c r="U64" s="263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101"/>
      <c r="C65" s="102"/>
      <c r="D65" s="103"/>
      <c r="E65" s="104"/>
      <c r="F65" s="105"/>
      <c r="G65" s="30"/>
      <c r="H65" s="78"/>
      <c r="I65" s="30"/>
      <c r="J65" s="79"/>
      <c r="K65" s="80"/>
      <c r="L65" s="81"/>
      <c r="M65" s="94"/>
      <c r="N65" s="95"/>
      <c r="O65" s="96"/>
      <c r="P65" s="97"/>
      <c r="Q65" s="98"/>
      <c r="R65" s="204"/>
      <c r="S65" s="39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30"/>
      <c r="H66" s="78"/>
      <c r="I66" s="30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>(U66-T66)*24*60</f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9">AVERAGE(J59:J68)</f>
        <v>11.8</v>
      </c>
      <c r="K69" s="240">
        <f t="shared" si="29"/>
        <v>1636</v>
      </c>
      <c r="L69" s="268">
        <f t="shared" si="29"/>
        <v>140.79515151515153</v>
      </c>
      <c r="M69" s="240">
        <f t="shared" si="29"/>
        <v>11.6</v>
      </c>
      <c r="N69" s="240">
        <f t="shared" si="29"/>
        <v>1351.2917252146824</v>
      </c>
      <c r="O69" s="268">
        <f t="shared" si="29"/>
        <v>118.1937052019025</v>
      </c>
      <c r="P69" s="269">
        <f>M69-J69</f>
        <v>-0.20000000000000107</v>
      </c>
      <c r="Q69" s="222">
        <f>N69-K69</f>
        <v>-284.7082747853176</v>
      </c>
      <c r="R69" s="123">
        <f>O69/L69</f>
        <v>0.83947283645760484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-284.7082747853176</v>
      </c>
      <c r="AG69" s="124">
        <f>N69/K69</f>
        <v>0.82597293717278875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2080</v>
      </c>
      <c r="H70" s="243">
        <f>F70*G70</f>
        <v>91291.199999999997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11</v>
      </c>
      <c r="N70" s="137">
        <f>G70/W70*60</f>
        <v>1273.4693877551128</v>
      </c>
      <c r="O70" s="138">
        <f>N70/M70</f>
        <v>115.7699443413739</v>
      </c>
      <c r="P70" s="56">
        <f>M70-J70</f>
        <v>-2</v>
      </c>
      <c r="Q70" s="230">
        <f>O70-L70</f>
        <v>-4.6146710432414864</v>
      </c>
      <c r="R70" s="52">
        <f>O70/L70</f>
        <v>0.96166726928936785</v>
      </c>
      <c r="S70" s="392">
        <f>R79</f>
        <v>0.92390270025344434</v>
      </c>
      <c r="T70" s="245">
        <v>0.29513888888888901</v>
      </c>
      <c r="U70" s="245">
        <v>0.36319444444444399</v>
      </c>
      <c r="V70" s="55"/>
      <c r="W70" s="54">
        <f t="shared" si="4"/>
        <v>97.999999999999176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-291.53061224488715</v>
      </c>
      <c r="AG70" s="246">
        <f>N70/K70</f>
        <v>0.81371845862946512</v>
      </c>
      <c r="AH70" s="380">
        <f>AG79</f>
        <v>0.73621072573594581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75">
        <f>VLOOKUP(D71,廠價表!$C$1:$E$43,3,0)</f>
        <v>52.21</v>
      </c>
      <c r="G71" s="30">
        <v>3129</v>
      </c>
      <c r="H71" s="78">
        <f t="shared" ref="H71:H72" si="30">F71*G71</f>
        <v>163365.09</v>
      </c>
      <c r="I71" s="30"/>
      <c r="J71" s="79">
        <f>VLOOKUP(D71,產線配置圖!$A$3:$C$40,2,0)</f>
        <v>18</v>
      </c>
      <c r="K71" s="80">
        <f>VLOOKUP(D71,產線配置圖!$A$3:$C$40,3,0)</f>
        <v>1636</v>
      </c>
      <c r="L71" s="81">
        <f t="shared" ref="L71:L72" si="31">K71/J71</f>
        <v>90.888888888888886</v>
      </c>
      <c r="M71" s="82">
        <v>14</v>
      </c>
      <c r="N71" s="80">
        <f t="shared" ref="N71:N72" si="32">G71/W71*60</f>
        <v>1195.7961783439466</v>
      </c>
      <c r="O71" s="81">
        <f t="shared" ref="O71:O72" si="33">N71/M71</f>
        <v>85.41401273885333</v>
      </c>
      <c r="P71" s="74">
        <f t="shared" ref="P71:P72" si="34">M71-J71</f>
        <v>-4</v>
      </c>
      <c r="Q71" s="83">
        <f t="shared" ref="Q71:Q72" si="35">O71-L71</f>
        <v>-5.4748761500355556</v>
      </c>
      <c r="R71" s="72">
        <f t="shared" ref="R71:R72" si="36">O71/L71</f>
        <v>0.93976297634435213</v>
      </c>
      <c r="S71" s="393"/>
      <c r="T71" s="22">
        <v>0.37361111111111101</v>
      </c>
      <c r="U71" s="22">
        <v>0.48263888888888901</v>
      </c>
      <c r="V71" s="92">
        <f t="shared" ref="V71:V72" si="37">(T71-U70)*24*60</f>
        <v>15.000000000000506</v>
      </c>
      <c r="W71" s="73">
        <f t="shared" si="4"/>
        <v>157.00000000000031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 t="s">
        <v>81</v>
      </c>
      <c r="C72" s="76"/>
      <c r="D72" s="59" t="s">
        <v>161</v>
      </c>
      <c r="E72" s="77"/>
      <c r="F72" s="75">
        <f>VLOOKUP(D72,廠價表!$C$1:$E$43,3,0)</f>
        <v>52.21</v>
      </c>
      <c r="G72" s="202">
        <v>2038</v>
      </c>
      <c r="H72" s="78">
        <f t="shared" si="30"/>
        <v>106403.98</v>
      </c>
      <c r="I72" s="30"/>
      <c r="J72" s="79">
        <f>VLOOKUP(D72,產線配置圖!$A$3:$C$40,2,0)</f>
        <v>18</v>
      </c>
      <c r="K72" s="80">
        <f>VLOOKUP(D72,產線配置圖!$A$3:$C$40,3,0)</f>
        <v>1636</v>
      </c>
      <c r="L72" s="81">
        <f t="shared" si="31"/>
        <v>90.888888888888886</v>
      </c>
      <c r="M72" s="82">
        <v>14</v>
      </c>
      <c r="N72" s="80">
        <f t="shared" si="32"/>
        <v>1091.7857142857104</v>
      </c>
      <c r="O72" s="81">
        <f t="shared" si="33"/>
        <v>77.98469387755074</v>
      </c>
      <c r="P72" s="74">
        <f t="shared" si="34"/>
        <v>-4</v>
      </c>
      <c r="Q72" s="83">
        <f t="shared" si="35"/>
        <v>-12.904195011338146</v>
      </c>
      <c r="R72" s="72">
        <f t="shared" si="36"/>
        <v>0.85802230427623061</v>
      </c>
      <c r="S72" s="393"/>
      <c r="T72" s="22">
        <v>0.54583333333333295</v>
      </c>
      <c r="U72" s="22">
        <v>0.62361111111111101</v>
      </c>
      <c r="V72" s="92">
        <f t="shared" si="37"/>
        <v>90.999999999999275</v>
      </c>
      <c r="W72" s="73">
        <f t="shared" si="4"/>
        <v>112.0000000000004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38">AVERAGE(J70:J78)</f>
        <v>16.333333333333332</v>
      </c>
      <c r="K79" s="240">
        <f t="shared" si="38"/>
        <v>1612.3333333333333</v>
      </c>
      <c r="L79" s="268">
        <f t="shared" si="38"/>
        <v>100.72079772079773</v>
      </c>
      <c r="M79" s="240">
        <f t="shared" si="38"/>
        <v>13</v>
      </c>
      <c r="N79" s="240">
        <f t="shared" si="38"/>
        <v>1187.0170934615899</v>
      </c>
      <c r="O79" s="268">
        <f t="shared" si="38"/>
        <v>93.056216985925985</v>
      </c>
      <c r="P79" s="269">
        <f>M79-J79</f>
        <v>-3.3333333333333321</v>
      </c>
      <c r="Q79" s="222">
        <f>N79-K79</f>
        <v>-425.31623987174339</v>
      </c>
      <c r="R79" s="223">
        <f>O79/L79</f>
        <v>0.92390270025344434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-425.31623987174339</v>
      </c>
      <c r="AG79" s="124">
        <f>N79/K79</f>
        <v>0.73621072573594581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5:AH15"/>
    <mergeCell ref="AB6:AC6"/>
    <mergeCell ref="AB7:AC7"/>
    <mergeCell ref="AB8:AC8"/>
    <mergeCell ref="AB11:AC11"/>
    <mergeCell ref="AB12:AC12"/>
    <mergeCell ref="AB13:AC13"/>
    <mergeCell ref="AB14:AC14"/>
    <mergeCell ref="AB15:AC15"/>
    <mergeCell ref="AB10:AC10"/>
    <mergeCell ref="AB5:AC5"/>
    <mergeCell ref="AB9:AC9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59:AH69"/>
    <mergeCell ref="AB60:AC60"/>
    <mergeCell ref="AB61:AC61"/>
    <mergeCell ref="AB62:AC62"/>
    <mergeCell ref="AB63:AC63"/>
    <mergeCell ref="AB64:AC64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B66:AC66"/>
    <mergeCell ref="AB65:AC65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77" priority="1" operator="greaterThan">
      <formula>0</formula>
    </cfRule>
  </conditionalFormatting>
  <conditionalFormatting sqref="Q5:Q79 AF5:AF79">
    <cfRule type="cellIs" dxfId="76" priority="4" operator="lessThan">
      <formula>0</formula>
    </cfRule>
  </conditionalFormatting>
  <conditionalFormatting sqref="R5:R79 AG5:AG79">
    <cfRule type="cellIs" dxfId="75" priority="2" operator="greaterThan">
      <formula>1</formula>
    </cfRule>
    <cfRule type="cellIs" dxfId="74" priority="3" operator="lessThan">
      <formula>0.8</formula>
    </cfRule>
  </conditionalFormatting>
  <conditionalFormatting sqref="S5:S10 S37:S61 AH59:AH61 S69:S76 AH69:AH76">
    <cfRule type="cellIs" dxfId="73" priority="7" operator="lessThan">
      <formula>0.8</formula>
    </cfRule>
  </conditionalFormatting>
  <conditionalFormatting sqref="S19:S25 AH19:AH25">
    <cfRule type="cellIs" dxfId="72" priority="6" operator="lessThan">
      <formula>0.8</formula>
    </cfRule>
  </conditionalFormatting>
  <conditionalFormatting sqref="S79">
    <cfRule type="cellIs" dxfId="71" priority="5" operator="lessThan">
      <formula>0.8</formula>
    </cfRule>
  </conditionalFormatting>
  <conditionalFormatting sqref="AH5:AH7 S15:S16 AH15:AH16 AH49 AH79">
    <cfRule type="cellIs" dxfId="70" priority="9" operator="lessThan">
      <formula>0.8</formula>
    </cfRule>
  </conditionalFormatting>
  <conditionalFormatting sqref="AH27 S27:S28">
    <cfRule type="cellIs" dxfId="6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9E72D-125E-4EB4-84D7-678BEAC212A7}">
  <dimension ref="B1:O26"/>
  <sheetViews>
    <sheetView topLeftCell="B1" zoomScale="70" zoomScaleNormal="70" workbookViewId="0">
      <selection activeCell="P32" sqref="P3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46289</v>
      </c>
      <c r="E3" s="504"/>
      <c r="F3" s="3" t="s">
        <v>72</v>
      </c>
      <c r="G3" s="505">
        <f>'0924'!E1</f>
        <v>43701</v>
      </c>
      <c r="H3" s="505"/>
      <c r="I3" s="3" t="s">
        <v>2</v>
      </c>
      <c r="J3" s="506">
        <f>'0924'!G1</f>
        <v>2087960.2759999998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125.7213625916567</v>
      </c>
      <c r="G6" s="501"/>
      <c r="H6" s="502">
        <f>AVERAGE(D13:H13)</f>
        <v>126.72352689793865</v>
      </c>
      <c r="I6" s="502"/>
      <c r="J6" s="502">
        <f>AVERAGE(I13:J13)</f>
        <v>123.21595182595183</v>
      </c>
      <c r="K6" s="502"/>
      <c r="L6" s="492">
        <f>'0924'!Z2</f>
        <v>0</v>
      </c>
      <c r="M6" s="493">
        <f>'0924'!AA2</f>
        <v>0</v>
      </c>
      <c r="N6" s="494">
        <f>'0924'!AD2</f>
        <v>0</v>
      </c>
      <c r="O6" s="493">
        <f>'0924'!AE2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110.77422195999659</v>
      </c>
      <c r="G7" s="490"/>
      <c r="H7" s="491">
        <f>AVERAGE(D14:H14)</f>
        <v>111.75696604095106</v>
      </c>
      <c r="I7" s="491"/>
      <c r="J7" s="491">
        <f>AVERAGE(I14:J14)</f>
        <v>108.31736175761044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0.88485833418305915</v>
      </c>
      <c r="G8" s="496"/>
      <c r="H8" s="496">
        <f>AVERAGE(D15:H15)</f>
        <v>0.88410155955960901</v>
      </c>
      <c r="I8" s="496"/>
      <c r="J8" s="496">
        <f>AVERAGE(I15:J15)</f>
        <v>0.88675027074168444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VALUE('0924'!L15)</f>
        <v>164.83516483516482</v>
      </c>
      <c r="E13" s="13">
        <f>VALUE('0924'!L26)</f>
        <v>174.10714285714286</v>
      </c>
      <c r="F13" s="13">
        <f>VALUE('0924'!L37)</f>
        <v>95.065767973856197</v>
      </c>
      <c r="G13" s="13">
        <f>VALUE('0924'!L48)</f>
        <v>99.006944444444443</v>
      </c>
      <c r="H13" s="13">
        <f>VALUE('0924'!L58)</f>
        <v>100.60261437908495</v>
      </c>
      <c r="I13" s="13">
        <f>VALUE('0924'!L69)</f>
        <v>140.79515151515153</v>
      </c>
      <c r="J13" s="13">
        <f>'0924'!L79</f>
        <v>105.63675213675214</v>
      </c>
    </row>
    <row r="14" spans="2:15" ht="39.950000000000003" customHeight="1">
      <c r="B14" s="484"/>
      <c r="C14" s="12" t="s">
        <v>100</v>
      </c>
      <c r="D14" s="13">
        <f>VALUE('0924'!O15)</f>
        <v>141.98021109513672</v>
      </c>
      <c r="E14" s="13">
        <f>VALUE('0924'!O26)</f>
        <v>154.17200554493988</v>
      </c>
      <c r="F14" s="13">
        <f>VALUE('0924'!O37)</f>
        <v>82.731413892387437</v>
      </c>
      <c r="G14" s="13">
        <f>VALUE('0924'!O48)</f>
        <v>94.69345238095184</v>
      </c>
      <c r="H14" s="13">
        <f>VALUE('0924'!O58)</f>
        <v>85.207747291339416</v>
      </c>
      <c r="I14" s="13">
        <f>VALUE('0924'!O69)</f>
        <v>117.28612440191549</v>
      </c>
      <c r="J14" s="13">
        <f>'0924'!O79</f>
        <v>99.348599113305397</v>
      </c>
    </row>
    <row r="15" spans="2:15" ht="39.950000000000003" customHeight="1">
      <c r="B15" s="485"/>
      <c r="C15" s="10" t="s">
        <v>26</v>
      </c>
      <c r="D15" s="14">
        <f t="shared" ref="D15:I15" si="0">D14/D13</f>
        <v>0.86134661397716283</v>
      </c>
      <c r="E15" s="14">
        <f t="shared" si="0"/>
        <v>0.88550074979657778</v>
      </c>
      <c r="F15" s="14">
        <f t="shared" si="0"/>
        <v>0.87025451595930092</v>
      </c>
      <c r="G15" s="14">
        <f t="shared" si="0"/>
        <v>0.9564324291826517</v>
      </c>
      <c r="H15" s="14">
        <f t="shared" si="0"/>
        <v>0.84697348888235158</v>
      </c>
      <c r="I15" s="14">
        <f t="shared" si="0"/>
        <v>0.83302672812063316</v>
      </c>
      <c r="J15" s="15">
        <f>'0924'!S70</f>
        <v>0.94047381336273572</v>
      </c>
    </row>
    <row r="16" spans="2:15" ht="17.25" customHeight="1">
      <c r="B16" s="486" t="s">
        <v>101</v>
      </c>
      <c r="C16" s="10" t="s">
        <v>34</v>
      </c>
      <c r="D16" s="16">
        <f>'0924'!T5</f>
        <v>0.29166666666666702</v>
      </c>
      <c r="E16" s="16">
        <f>'0924'!T16</f>
        <v>0.29166666666666702</v>
      </c>
      <c r="F16" s="16">
        <f>'0924'!T27</f>
        <v>0.28819444444444398</v>
      </c>
      <c r="G16" s="16">
        <f>'0924'!T38</f>
        <v>0.33333333333333298</v>
      </c>
      <c r="H16" s="16">
        <f>'0924'!T49</f>
        <v>0.29166666666666702</v>
      </c>
      <c r="I16" s="16">
        <f>'0924'!T59</f>
        <v>0.29166666666666702</v>
      </c>
      <c r="J16" s="17">
        <f>'0924'!T70</f>
        <v>0.297916666666667</v>
      </c>
    </row>
    <row r="17" spans="2:10" ht="17.25" customHeight="1">
      <c r="B17" s="487"/>
      <c r="C17" s="10" t="s">
        <v>35</v>
      </c>
      <c r="D17" s="19">
        <v>0.44513888888888897</v>
      </c>
      <c r="E17" s="19">
        <v>0.452777777777778</v>
      </c>
      <c r="F17" s="183">
        <v>0.53680555555555598</v>
      </c>
      <c r="G17" s="20">
        <v>0.5</v>
      </c>
      <c r="H17" s="329">
        <v>0.55902777777777801</v>
      </c>
      <c r="I17" s="22">
        <v>0.56597222222222199</v>
      </c>
      <c r="J17" s="22">
        <v>0.46041666666666697</v>
      </c>
    </row>
    <row r="18" spans="2:10" ht="17.25" customHeight="1">
      <c r="B18" s="488" t="s">
        <v>102</v>
      </c>
      <c r="C18" s="330" t="s">
        <v>36</v>
      </c>
      <c r="D18" s="359">
        <f>'0924'!Z15</f>
        <v>0</v>
      </c>
      <c r="E18" s="360">
        <f>'0924'!Z26</f>
        <v>0</v>
      </c>
      <c r="F18" s="360">
        <f>'0924'!Z37</f>
        <v>0</v>
      </c>
      <c r="G18" s="361">
        <f>'0924'!Z48</f>
        <v>0</v>
      </c>
      <c r="H18" s="361">
        <f>'0924'!Z58</f>
        <v>0</v>
      </c>
      <c r="I18" s="360">
        <f>'0924'!Z69</f>
        <v>0</v>
      </c>
      <c r="J18" s="360">
        <f>'0924'!AA79</f>
        <v>0</v>
      </c>
    </row>
    <row r="19" spans="2:10" ht="17.25" customHeight="1">
      <c r="B19" s="489"/>
      <c r="C19" s="330" t="s">
        <v>37</v>
      </c>
      <c r="D19" s="359">
        <f>'0924'!AA15</f>
        <v>0</v>
      </c>
      <c r="E19" s="360">
        <f>'0924'!AA26</f>
        <v>0</v>
      </c>
      <c r="F19" s="360">
        <f>'0924'!AA37</f>
        <v>0</v>
      </c>
      <c r="G19" s="361">
        <f>'0924'!AA48</f>
        <v>0</v>
      </c>
      <c r="H19" s="361">
        <f>'0924'!AA58</f>
        <v>0</v>
      </c>
      <c r="I19" s="360">
        <f>'0924'!AA69</f>
        <v>0</v>
      </c>
      <c r="J19" s="360">
        <f>'0924'!AB79</f>
        <v>0</v>
      </c>
    </row>
    <row r="20" spans="2:10" ht="17.25" customHeight="1">
      <c r="B20" s="488" t="s">
        <v>103</v>
      </c>
      <c r="C20" s="330" t="s">
        <v>36</v>
      </c>
      <c r="D20" s="359">
        <f>'0924'!AD15</f>
        <v>0</v>
      </c>
      <c r="E20" s="360">
        <f>'0924'!AD26</f>
        <v>0</v>
      </c>
      <c r="F20" s="360">
        <f>'0924'!AD37</f>
        <v>0</v>
      </c>
      <c r="G20" s="361">
        <f>'0924'!AD48</f>
        <v>0</v>
      </c>
      <c r="H20" s="361">
        <f>'0924'!AD58</f>
        <v>0</v>
      </c>
      <c r="I20" s="360">
        <f>'0924'!AD69</f>
        <v>0</v>
      </c>
      <c r="J20" s="360">
        <f>'0924'!AD79</f>
        <v>0</v>
      </c>
    </row>
    <row r="21" spans="2:10" ht="17.25" customHeight="1">
      <c r="B21" s="489"/>
      <c r="C21" s="330" t="s">
        <v>85</v>
      </c>
      <c r="D21" s="359">
        <f>'0924'!AE15</f>
        <v>0</v>
      </c>
      <c r="E21" s="360">
        <f>'0924'!AE26</f>
        <v>0</v>
      </c>
      <c r="F21" s="360">
        <f>'0924'!AE37</f>
        <v>0</v>
      </c>
      <c r="G21" s="361">
        <f>'0924'!AE48</f>
        <v>0</v>
      </c>
      <c r="H21" s="361">
        <f>'0924'!AE58</f>
        <v>0</v>
      </c>
      <c r="I21" s="360">
        <f>'0924'!AE69</f>
        <v>0</v>
      </c>
      <c r="J21" s="360">
        <f>'0924'!AE79</f>
        <v>0</v>
      </c>
    </row>
    <row r="22" spans="2:10" ht="17.25" customHeight="1">
      <c r="B22" s="471" t="s">
        <v>104</v>
      </c>
      <c r="C22" s="472"/>
      <c r="D22" s="23">
        <f>VALUE('0924'!M15)</f>
        <v>13.666666666666666</v>
      </c>
      <c r="E22" s="23">
        <f>VALUE('0924'!M26)</f>
        <v>13</v>
      </c>
      <c r="F22" s="23">
        <f>VALUE('0924'!M37)</f>
        <v>16</v>
      </c>
      <c r="G22" s="23">
        <f>VALUE('0924'!M48)</f>
        <v>17</v>
      </c>
      <c r="H22" s="23">
        <f>VALUE('0924'!M58)</f>
        <v>16.600000000000001</v>
      </c>
      <c r="I22" s="23">
        <f>VALUE('0924'!M69)</f>
        <v>11.8</v>
      </c>
      <c r="J22" s="23">
        <f>'0924'!M79</f>
        <v>14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6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723E-5180-4C32-B502-9E5E66F74A28}">
  <sheetPr>
    <tabColor theme="9" tint="0.79998168889431442"/>
  </sheetPr>
  <dimension ref="A1:AJ92"/>
  <sheetViews>
    <sheetView zoomScale="69" zoomScaleNormal="69" workbookViewId="0">
      <pane xSplit="5" ySplit="4" topLeftCell="F38" activePane="bottomRight" state="frozen"/>
      <selection activeCell="G76" sqref="G76"/>
      <selection pane="topRight" activeCell="G76" sqref="G76"/>
      <selection pane="bottomLeft" activeCell="G76" sqref="G76"/>
      <selection pane="bottomRight" activeCell="AB51" sqref="AB51:AC5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43701</v>
      </c>
      <c r="F1" s="30" t="s">
        <v>2</v>
      </c>
      <c r="G1" s="31">
        <f>SUM(H5:H79)</f>
        <v>2087960.2759999998</v>
      </c>
      <c r="H1" s="32" t="s">
        <v>3</v>
      </c>
      <c r="I1" s="33">
        <f>M15+M26+M48+M58+M69+M79+M37</f>
        <v>102.06666666666666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197</v>
      </c>
      <c r="B2" s="462"/>
      <c r="C2" s="28"/>
      <c r="D2" s="28" t="s">
        <v>14</v>
      </c>
      <c r="E2" s="35">
        <f>AVERAGE(O15,O26,O37,O48,O58,O69,O79)</f>
        <v>110.77422195999659</v>
      </c>
      <c r="F2" s="36" t="s">
        <v>15</v>
      </c>
      <c r="G2" s="37">
        <f>G1/E1</f>
        <v>47.778318024759152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0</v>
      </c>
      <c r="AA2" s="339">
        <f>AA15+AA26+AA37+AA48+AA58+AA69+AA79</f>
        <v>0</v>
      </c>
      <c r="AB2" s="433"/>
      <c r="AC2" s="433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2047</v>
      </c>
      <c r="H5" s="43">
        <f>F5*G5</f>
        <v>116412.89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2117.5862068965939</v>
      </c>
      <c r="O5" s="47">
        <f>N5/M5</f>
        <v>151.256157635471</v>
      </c>
      <c r="P5" s="49">
        <f>M5-J5</f>
        <v>0</v>
      </c>
      <c r="Q5" s="50">
        <f>O5-L5</f>
        <v>-9.4581280788147239</v>
      </c>
      <c r="R5" s="51">
        <f>O5/L5</f>
        <v>0.94114942528737511</v>
      </c>
      <c r="S5" s="392">
        <f>R15</f>
        <v>0.86134661397716283</v>
      </c>
      <c r="T5" s="319">
        <v>0.29166666666666702</v>
      </c>
      <c r="U5" s="320">
        <v>0.33194444444444399</v>
      </c>
      <c r="V5" s="53"/>
      <c r="W5" s="54">
        <f t="shared" ref="W5:W14" si="0">(U5-T5)*24*60</f>
        <v>57.999999999998835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-132.41379310340608</v>
      </c>
      <c r="AG5" s="52">
        <f t="shared" ref="AG5:AG11" si="2">N5/K5</f>
        <v>0.94114942528737511</v>
      </c>
      <c r="AH5" s="380">
        <f>AG15</f>
        <v>0.86560204983851008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1017</v>
      </c>
      <c r="H6" s="63">
        <f>F6*G6</f>
        <v>59158.89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1564.6153846154029</v>
      </c>
      <c r="O6" s="67">
        <f>N6/M6</f>
        <v>120.35502958580022</v>
      </c>
      <c r="P6" s="69">
        <f>M6-J6</f>
        <v>0</v>
      </c>
      <c r="Q6" s="70">
        <f>O6-L6</f>
        <v>-52.721893491122842</v>
      </c>
      <c r="R6" s="71">
        <f>O6/L6</f>
        <v>0.69538461538462359</v>
      </c>
      <c r="S6" s="393"/>
      <c r="T6" s="16">
        <v>0.34236111111111101</v>
      </c>
      <c r="U6" s="18">
        <v>0.36944444444444402</v>
      </c>
      <c r="V6" s="30">
        <f>(T6-U5)*24*60</f>
        <v>15.000000000000506</v>
      </c>
      <c r="W6" s="73">
        <f t="shared" si="0"/>
        <v>38.999999999999545</v>
      </c>
      <c r="X6" s="22"/>
      <c r="Y6" s="84"/>
      <c r="Z6" s="90"/>
      <c r="AA6" s="90"/>
      <c r="AB6" s="386" t="s">
        <v>137</v>
      </c>
      <c r="AC6" s="386"/>
      <c r="AD6" s="149"/>
      <c r="AE6" s="149"/>
      <c r="AF6" s="307">
        <f t="shared" si="1"/>
        <v>-685.38461538459705</v>
      </c>
      <c r="AG6" s="72">
        <f t="shared" si="2"/>
        <v>0.69538461538462348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61">
        <f>VLOOKUP(D7,廠價表!$C$1:$E$43,3,0)</f>
        <v>49.14</v>
      </c>
      <c r="G7" s="66">
        <v>3529</v>
      </c>
      <c r="H7" s="63">
        <f>F7*G7</f>
        <v>173415.06</v>
      </c>
      <c r="I7" s="64"/>
      <c r="J7" s="65">
        <f>VLOOKUP(D7,產線配置圖!$A$3:$C$40,2,0)</f>
        <v>14</v>
      </c>
      <c r="K7" s="66">
        <f>VLOOKUP(D7,產線配置圖!$A$3:$C$40,3,0)</f>
        <v>2250</v>
      </c>
      <c r="L7" s="67">
        <f>K7/J7</f>
        <v>160.71428571428572</v>
      </c>
      <c r="M7" s="82">
        <v>14</v>
      </c>
      <c r="N7" s="66">
        <f>G7/W7*60</f>
        <v>2160.6122448979459</v>
      </c>
      <c r="O7" s="67">
        <f>N7/M7</f>
        <v>154.32944606413898</v>
      </c>
      <c r="P7" s="69">
        <f>M7-J7</f>
        <v>0</v>
      </c>
      <c r="Q7" s="70">
        <f>O7-L7</f>
        <v>-6.3848396501467448</v>
      </c>
      <c r="R7" s="71">
        <f>O7/L7</f>
        <v>0.96027210884353131</v>
      </c>
      <c r="S7" s="393"/>
      <c r="T7" s="16">
        <v>0.37708333333333299</v>
      </c>
      <c r="U7" s="16">
        <v>0.44513888888888897</v>
      </c>
      <c r="V7" s="30">
        <f>(T7-U6)*24*60</f>
        <v>11.000000000000121</v>
      </c>
      <c r="W7" s="73">
        <f t="shared" si="0"/>
        <v>98.000000000000611</v>
      </c>
      <c r="X7" s="22"/>
      <c r="Y7" s="84"/>
      <c r="Z7" s="90"/>
      <c r="AA7" s="90"/>
      <c r="AB7" s="430"/>
      <c r="AC7" s="430"/>
      <c r="AD7" s="149"/>
      <c r="AE7" s="149"/>
      <c r="AF7" s="307">
        <f t="shared" si="1"/>
        <v>-89.387755102054143</v>
      </c>
      <c r="AG7" s="72">
        <f t="shared" si="2"/>
        <v>0.96027210884353154</v>
      </c>
      <c r="AH7" s="382"/>
    </row>
    <row r="8" spans="1:34" ht="15" customHeight="1">
      <c r="A8" s="467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94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0</v>
      </c>
      <c r="AG8" s="72" t="e">
        <f t="shared" si="2"/>
        <v>#DIV/0!</v>
      </c>
      <c r="AH8" s="383"/>
    </row>
    <row r="9" spans="1:34" ht="15" customHeight="1">
      <c r="A9" s="467"/>
      <c r="B9" s="75"/>
      <c r="C9" s="86"/>
      <c r="D9" s="59"/>
      <c r="E9" s="87"/>
      <c r="F9" s="75"/>
      <c r="G9" s="62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22"/>
      <c r="U9" s="22"/>
      <c r="V9" s="30"/>
      <c r="W9" s="73">
        <f t="shared" si="0"/>
        <v>0</v>
      </c>
      <c r="X9" s="22"/>
      <c r="Y9" s="84"/>
      <c r="Z9" s="90"/>
      <c r="AA9" s="90"/>
      <c r="AB9" s="386"/>
      <c r="AC9" s="386"/>
      <c r="AD9" s="92"/>
      <c r="AE9" s="92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8"/>
      <c r="D10" s="59"/>
      <c r="E10" s="89"/>
      <c r="F10" s="75"/>
      <c r="G10" s="90"/>
      <c r="H10" s="91"/>
      <c r="I10" s="92"/>
      <c r="J10" s="79"/>
      <c r="K10" s="80"/>
      <c r="L10" s="93"/>
      <c r="M10" s="94"/>
      <c r="N10" s="95"/>
      <c r="O10" s="96"/>
      <c r="P10" s="97"/>
      <c r="Q10" s="98"/>
      <c r="R10" s="99"/>
      <c r="S10" s="394"/>
      <c r="T10" s="22"/>
      <c r="U10" s="22"/>
      <c r="V10" s="30"/>
      <c r="W10" s="100">
        <f>(U10-T10)*24*60</f>
        <v>0</v>
      </c>
      <c r="X10" s="22"/>
      <c r="Y10" s="84"/>
      <c r="Z10" s="90"/>
      <c r="AA10" s="90"/>
      <c r="AB10" s="430"/>
      <c r="AC10" s="430"/>
      <c r="AD10" s="149"/>
      <c r="AE10" s="149"/>
      <c r="AF10" s="307">
        <f>N10-K10</f>
        <v>0</v>
      </c>
      <c r="AG10" s="72" t="e">
        <f>N10/K10</f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13.666666666666666</v>
      </c>
      <c r="K15" s="120">
        <f t="shared" si="3"/>
        <v>2250</v>
      </c>
      <c r="L15" s="117">
        <f t="shared" si="3"/>
        <v>164.83516483516482</v>
      </c>
      <c r="M15" s="120">
        <f t="shared" si="3"/>
        <v>13.666666666666666</v>
      </c>
      <c r="N15" s="120">
        <f t="shared" si="3"/>
        <v>1947.6046121366478</v>
      </c>
      <c r="O15" s="117">
        <f t="shared" si="3"/>
        <v>141.98021109513672</v>
      </c>
      <c r="P15" s="121">
        <f>M15-J15</f>
        <v>0</v>
      </c>
      <c r="Q15" s="122">
        <f>O15-L15</f>
        <v>-22.854953740028094</v>
      </c>
      <c r="R15" s="123">
        <f>O15/L15</f>
        <v>0.86134661397716283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-302.3953878633522</v>
      </c>
      <c r="AG15" s="124">
        <f>N15/K15</f>
        <v>0.86560204983851008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3810</v>
      </c>
      <c r="H16" s="134">
        <f>F16*G16</f>
        <v>193052.7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1858.5365853658686</v>
      </c>
      <c r="O16" s="141">
        <f>N16/M16</f>
        <v>132.75261324041918</v>
      </c>
      <c r="P16" s="142">
        <f>M16-J16</f>
        <v>0</v>
      </c>
      <c r="Q16" s="143">
        <f>O16-L16</f>
        <v>-27.961672473866543</v>
      </c>
      <c r="R16" s="144">
        <f>O16/L16</f>
        <v>0.82601626016260821</v>
      </c>
      <c r="S16" s="420">
        <f>R26</f>
        <v>0.88550074979657778</v>
      </c>
      <c r="T16" s="145">
        <v>0.29166666666666702</v>
      </c>
      <c r="U16" s="145">
        <v>0.37708333333333299</v>
      </c>
      <c r="V16" s="135"/>
      <c r="W16" s="146">
        <f t="shared" ref="W16:W78" si="4">(U16-T16)*24*60</f>
        <v>122.99999999999901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-391.46341463413137</v>
      </c>
      <c r="AG16" s="52">
        <f>N16/K16</f>
        <v>0.82601626016260832</v>
      </c>
      <c r="AH16" s="380">
        <f>AG26</f>
        <v>0.88125185767986569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3266</v>
      </c>
      <c r="H17" s="78">
        <f>F17*G17</f>
        <v>164573.74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2107.0967741935269</v>
      </c>
      <c r="O17" s="96">
        <f>N17/M17</f>
        <v>175.59139784946058</v>
      </c>
      <c r="P17" s="97">
        <f>M17-J17</f>
        <v>0</v>
      </c>
      <c r="Q17" s="98">
        <f>O17-L17</f>
        <v>-11.908602150539423</v>
      </c>
      <c r="R17" s="99">
        <f>O17/L17</f>
        <v>0.93648745519712306</v>
      </c>
      <c r="S17" s="421"/>
      <c r="T17" s="19">
        <v>0.38819444444444401</v>
      </c>
      <c r="U17" s="19">
        <v>0.452777777777778</v>
      </c>
      <c r="V17" s="30">
        <f>(T17-U16)*24*60</f>
        <v>15.999999999999863</v>
      </c>
      <c r="W17" s="149">
        <f t="shared" si="4"/>
        <v>93.000000000000952</v>
      </c>
      <c r="X17" s="22"/>
      <c r="Y17" s="84"/>
      <c r="Z17" s="90"/>
      <c r="AA17" s="90"/>
      <c r="AB17" s="386"/>
      <c r="AC17" s="386"/>
      <c r="AD17" s="92"/>
      <c r="AE17" s="92"/>
      <c r="AF17" s="307">
        <f>N17-K17</f>
        <v>-142.90322580647307</v>
      </c>
      <c r="AG17" s="72">
        <f>N17/K17</f>
        <v>0.93648745519712306</v>
      </c>
      <c r="AH17" s="382"/>
    </row>
    <row r="18" spans="1:34" ht="15" customHeight="1">
      <c r="A18" s="427"/>
      <c r="B18" s="75"/>
      <c r="C18" s="76"/>
      <c r="D18" s="59"/>
      <c r="E18" s="77"/>
      <c r="F18" s="75"/>
      <c r="G18" s="147"/>
      <c r="H18" s="78"/>
      <c r="I18" s="30"/>
      <c r="J18" s="79"/>
      <c r="K18" s="80"/>
      <c r="L18" s="81"/>
      <c r="M18" s="148"/>
      <c r="N18" s="95"/>
      <c r="O18" s="96"/>
      <c r="P18" s="97"/>
      <c r="Q18" s="98"/>
      <c r="R18" s="99"/>
      <c r="S18" s="421"/>
      <c r="T18" s="19"/>
      <c r="U18" s="19"/>
      <c r="V18" s="30"/>
      <c r="W18" s="149">
        <f t="shared" si="4"/>
        <v>0</v>
      </c>
      <c r="X18" s="19"/>
      <c r="Y18" s="297"/>
      <c r="Z18" s="90"/>
      <c r="AA18" s="90"/>
      <c r="AB18" s="386"/>
      <c r="AC18" s="386"/>
      <c r="AD18" s="92"/>
      <c r="AE18" s="92"/>
      <c r="AF18" s="307"/>
      <c r="AG18" s="72"/>
      <c r="AH18" s="383"/>
    </row>
    <row r="19" spans="1:34" ht="15" customHeight="1">
      <c r="A19" s="428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50"/>
      <c r="U19" s="150"/>
      <c r="V19" s="30"/>
      <c r="W19" s="149">
        <f t="shared" si="4"/>
        <v>0</v>
      </c>
      <c r="X19" s="92"/>
      <c r="Y19" s="298"/>
      <c r="Z19" s="90"/>
      <c r="AA19" s="90"/>
      <c r="AB19" s="386"/>
      <c r="AC19" s="386"/>
      <c r="AD19" s="92"/>
      <c r="AE19" s="92"/>
      <c r="AF19" s="308"/>
      <c r="AG19" s="85"/>
      <c r="AH19" s="383"/>
    </row>
    <row r="20" spans="1:34" ht="15" customHeight="1">
      <c r="A20" s="428"/>
      <c r="B20" s="30"/>
      <c r="C20" s="151"/>
      <c r="D20" s="59"/>
      <c r="E20" s="87"/>
      <c r="F20" s="105"/>
      <c r="G20" s="95"/>
      <c r="H20" s="78"/>
      <c r="I20" s="149"/>
      <c r="J20" s="148"/>
      <c r="K20" s="95"/>
      <c r="L20" s="96"/>
      <c r="M20" s="148"/>
      <c r="N20" s="95"/>
      <c r="O20" s="96"/>
      <c r="P20" s="97"/>
      <c r="Q20" s="98"/>
      <c r="R20" s="99"/>
      <c r="S20" s="421"/>
      <c r="T20" s="150"/>
      <c r="U20" s="150"/>
      <c r="V20" s="92"/>
      <c r="W20" s="149">
        <v>0</v>
      </c>
      <c r="X20" s="92"/>
      <c r="Y20" s="298"/>
      <c r="Z20" s="90"/>
      <c r="AA20" s="90"/>
      <c r="AB20" s="386"/>
      <c r="AC20" s="386"/>
      <c r="AD20" s="92"/>
      <c r="AE20" s="92"/>
      <c r="AF20" s="308"/>
      <c r="AG20" s="85"/>
      <c r="AH20" s="383"/>
    </row>
    <row r="21" spans="1:34" ht="15" customHeight="1">
      <c r="A21" s="428"/>
      <c r="B21" s="75"/>
      <c r="C21" s="86"/>
      <c r="D21" s="59"/>
      <c r="E21" s="8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W21" s="149">
        <f>(U21-T21)*24*60</f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174.10714285714286</v>
      </c>
      <c r="M26" s="155">
        <f t="shared" si="5"/>
        <v>13</v>
      </c>
      <c r="N26" s="155">
        <f t="shared" si="5"/>
        <v>1982.8166797796978</v>
      </c>
      <c r="O26" s="158">
        <f t="shared" si="5"/>
        <v>154.17200554493988</v>
      </c>
      <c r="P26" s="159">
        <f>M26-J26</f>
        <v>0</v>
      </c>
      <c r="Q26" s="160">
        <f>O26-L26</f>
        <v>-19.935137312202983</v>
      </c>
      <c r="R26" s="161">
        <f>O26/L26</f>
        <v>0.88550074979657778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-267.18332022030222</v>
      </c>
      <c r="AG26" s="124">
        <f t="shared" ref="AG26:AG31" si="7">N26/K26</f>
        <v>0.88125185767986569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194</v>
      </c>
      <c r="E27" s="132"/>
      <c r="F27" s="129">
        <f>VLOOKUP(D27,廠價表!$C$1:$E$43,3,0)</f>
        <v>61.65</v>
      </c>
      <c r="G27" s="169">
        <v>4214</v>
      </c>
      <c r="H27" s="134">
        <f>F27*G27</f>
        <v>259793.1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16</v>
      </c>
      <c r="N27" s="140">
        <f>G27/W27*60</f>
        <v>1396.9060773480601</v>
      </c>
      <c r="O27" s="141">
        <f>N27/M27</f>
        <v>87.306629834253755</v>
      </c>
      <c r="P27" s="142">
        <f>M27-J27</f>
        <v>-2</v>
      </c>
      <c r="Q27" s="143">
        <f>O27-L27</f>
        <v>-3.5822590546351307</v>
      </c>
      <c r="R27" s="144">
        <f>O27/L27</f>
        <v>0.96058639181941785</v>
      </c>
      <c r="S27" s="420">
        <f>R37</f>
        <v>0.87025451595930092</v>
      </c>
      <c r="T27" s="171">
        <v>0.28819444444444398</v>
      </c>
      <c r="U27" s="171">
        <v>0.41388888888888897</v>
      </c>
      <c r="V27" s="135"/>
      <c r="W27" s="146">
        <f t="shared" si="4"/>
        <v>181.0000000000008</v>
      </c>
      <c r="X27" s="135"/>
      <c r="Y27" s="300" t="s">
        <v>46</v>
      </c>
      <c r="Z27" s="169"/>
      <c r="AA27" s="169"/>
      <c r="AB27" s="397"/>
      <c r="AC27" s="397"/>
      <c r="AD27" s="135"/>
      <c r="AE27" s="135"/>
      <c r="AF27" s="310">
        <f t="shared" si="6"/>
        <v>-239.09392265193992</v>
      </c>
      <c r="AG27" s="172">
        <f t="shared" si="7"/>
        <v>0.85385457050614921</v>
      </c>
      <c r="AH27" s="380">
        <f>AG37</f>
        <v>0.80910918232163753</v>
      </c>
    </row>
    <row r="28" spans="1:34" ht="15" customHeight="1">
      <c r="A28" s="418"/>
      <c r="B28" s="75" t="s">
        <v>81</v>
      </c>
      <c r="C28" s="173"/>
      <c r="D28" s="59" t="s">
        <v>124</v>
      </c>
      <c r="E28" s="104"/>
      <c r="F28" s="75">
        <f>VLOOKUP(D28,廠價表!$C$1:$E$43,3,0)</f>
        <v>46.34</v>
      </c>
      <c r="G28" s="90">
        <v>701</v>
      </c>
      <c r="H28" s="91">
        <f>F28*G28</f>
        <v>32484.340000000004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16</v>
      </c>
      <c r="N28" s="95">
        <f>G28/W28*60</f>
        <v>1314.3749999999554</v>
      </c>
      <c r="O28" s="96">
        <f>N28/M28</f>
        <v>82.148437499997215</v>
      </c>
      <c r="P28" s="97">
        <f>M28-J28</f>
        <v>0</v>
      </c>
      <c r="Q28" s="98">
        <f>O28-L28</f>
        <v>-20.101562500002785</v>
      </c>
      <c r="R28" s="99">
        <f>O28/L28</f>
        <v>0.80340770171146425</v>
      </c>
      <c r="S28" s="421"/>
      <c r="T28" s="19">
        <v>0.41944444444444401</v>
      </c>
      <c r="U28" s="19">
        <v>0.44166666666666698</v>
      </c>
      <c r="V28" s="92">
        <f>(T28-U27)*24*60</f>
        <v>7.9999999999992522</v>
      </c>
      <c r="W28" s="149">
        <f t="shared" si="4"/>
        <v>32.000000000001087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6"/>
        <v>-321.62500000004457</v>
      </c>
      <c r="AG28" s="99">
        <f t="shared" si="7"/>
        <v>0.80340770171146425</v>
      </c>
      <c r="AH28" s="381"/>
    </row>
    <row r="29" spans="1:34" ht="15" customHeight="1">
      <c r="A29" s="418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392</v>
      </c>
      <c r="H29" s="91">
        <f>F29*G29</f>
        <v>17898.719999999998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16</v>
      </c>
      <c r="N29" s="95">
        <f>G29/W29*60</f>
        <v>1383.5294117647759</v>
      </c>
      <c r="O29" s="96">
        <f>N29/M29</f>
        <v>86.470588235298493</v>
      </c>
      <c r="P29" s="97">
        <f>M29-J29</f>
        <v>-1</v>
      </c>
      <c r="Q29" s="98">
        <f>O29-L29</f>
        <v>-9.7647058823485651</v>
      </c>
      <c r="R29" s="99">
        <f>O29/L29</f>
        <v>0.89853300733500885</v>
      </c>
      <c r="S29" s="421"/>
      <c r="T29" s="19">
        <v>0.44791666666666702</v>
      </c>
      <c r="U29" s="19">
        <v>0.45972222222222198</v>
      </c>
      <c r="V29" s="92">
        <f>(T29-U28)*24*60</f>
        <v>9.000000000000048</v>
      </c>
      <c r="W29" s="149">
        <f t="shared" si="4"/>
        <v>16.99999999999914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-252.47058823522411</v>
      </c>
      <c r="AG29" s="99">
        <f t="shared" si="7"/>
        <v>0.84567812455059654</v>
      </c>
      <c r="AH29" s="381"/>
    </row>
    <row r="30" spans="1:34" ht="15" customHeight="1">
      <c r="A30" s="418"/>
      <c r="B30" s="75" t="s">
        <v>81</v>
      </c>
      <c r="C30" s="88"/>
      <c r="D30" s="59" t="s">
        <v>194</v>
      </c>
      <c r="E30" s="89"/>
      <c r="F30" s="75">
        <f>VLOOKUP(D30,廠價表!$C$1:$E$43,3,0)</f>
        <v>61.65</v>
      </c>
      <c r="G30" s="90">
        <v>360</v>
      </c>
      <c r="H30" s="91">
        <f>F30*G30</f>
        <v>22194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>K30/J30</f>
        <v>90.888888888888886</v>
      </c>
      <c r="M30" s="94">
        <v>16</v>
      </c>
      <c r="N30" s="95">
        <f>G30/W30*60</f>
        <v>1200.0000000000043</v>
      </c>
      <c r="O30" s="96">
        <f>N30/M30</f>
        <v>75.00000000000027</v>
      </c>
      <c r="P30" s="97">
        <f>M30-J30</f>
        <v>-2</v>
      </c>
      <c r="Q30" s="98">
        <f>O30-L30</f>
        <v>-15.888888888888616</v>
      </c>
      <c r="R30" s="99">
        <f>O30/L30</f>
        <v>0.82518337408313258</v>
      </c>
      <c r="S30" s="421"/>
      <c r="T30" s="19">
        <v>0.52430555555555602</v>
      </c>
      <c r="U30" s="19">
        <v>0.53680555555555598</v>
      </c>
      <c r="V30" s="92">
        <f>(T30-U29)*24*60</f>
        <v>93.000000000001023</v>
      </c>
      <c r="W30" s="149">
        <f t="shared" si="4"/>
        <v>17.999999999999936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-435.99999999999568</v>
      </c>
      <c r="AG30" s="99">
        <f t="shared" si="7"/>
        <v>0.73349633251834001</v>
      </c>
      <c r="AH30" s="416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0</v>
      </c>
      <c r="AG31" s="99" t="e">
        <f t="shared" si="7"/>
        <v>#DIV/0!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8">AVERAGE(J27:J36)</f>
        <v>17.25</v>
      </c>
      <c r="K37" s="155">
        <f t="shared" si="8"/>
        <v>1636</v>
      </c>
      <c r="L37" s="158">
        <f t="shared" si="8"/>
        <v>95.065767973856197</v>
      </c>
      <c r="M37" s="155">
        <f t="shared" si="8"/>
        <v>16</v>
      </c>
      <c r="N37" s="155">
        <f t="shared" si="8"/>
        <v>1323.702622278199</v>
      </c>
      <c r="O37" s="158">
        <f t="shared" si="8"/>
        <v>82.731413892387437</v>
      </c>
      <c r="P37" s="159">
        <f>M37-J37</f>
        <v>-1.25</v>
      </c>
      <c r="Q37" s="160">
        <f>N37-K37</f>
        <v>-312.29737772180101</v>
      </c>
      <c r="R37" s="161">
        <f>O37/L37</f>
        <v>0.87025451595930092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-312.29737772180101</v>
      </c>
      <c r="AG37" s="124">
        <f>N37/K37</f>
        <v>0.80910918232163753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1654</v>
      </c>
      <c r="H38" s="134">
        <f>F38*G38</f>
        <v>82551.14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1653.9999999999861</v>
      </c>
      <c r="O38" s="141">
        <f>N38/M38</f>
        <v>103.37499999999913</v>
      </c>
      <c r="P38" s="142">
        <f>M38-J38</f>
        <v>0</v>
      </c>
      <c r="Q38" s="143">
        <f>O38-L38</f>
        <v>-3.7500000000008669</v>
      </c>
      <c r="R38" s="144">
        <f>O38/L38</f>
        <v>0.96499416569427432</v>
      </c>
      <c r="S38" s="410">
        <f>R48</f>
        <v>0.9564324291826517</v>
      </c>
      <c r="T38" s="191">
        <v>0.33333333333333298</v>
      </c>
      <c r="U38" s="191">
        <v>0.375</v>
      </c>
      <c r="V38" s="192"/>
      <c r="W38" s="193">
        <f t="shared" si="4"/>
        <v>60.000000000000504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-60.00000000001387</v>
      </c>
      <c r="AG38" s="195">
        <f>N38/K38</f>
        <v>0.96499416569427432</v>
      </c>
      <c r="AH38" s="413">
        <f>AG48</f>
        <v>0.95588486140724416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4335</v>
      </c>
      <c r="H39" s="91">
        <f>F39*G39</f>
        <v>192040.5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1548.2142857142817</v>
      </c>
      <c r="O39" s="203">
        <f>N39/M39</f>
        <v>86.011904761904532</v>
      </c>
      <c r="P39" s="97">
        <f>M39-J39</f>
        <v>0</v>
      </c>
      <c r="Q39" s="98">
        <f>O39-L39</f>
        <v>-4.8769841269843539</v>
      </c>
      <c r="R39" s="99">
        <f>O39/L39</f>
        <v>0.94634125043660244</v>
      </c>
      <c r="S39" s="411"/>
      <c r="T39" s="20">
        <v>0.38333333333333303</v>
      </c>
      <c r="U39" s="20">
        <v>0.5</v>
      </c>
      <c r="V39" s="92">
        <f>(T39-U38)*24*60</f>
        <v>11.999999999999558</v>
      </c>
      <c r="W39" s="205">
        <f t="shared" si="4"/>
        <v>168.00000000000045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-87.785714285718313</v>
      </c>
      <c r="AG39" s="206">
        <f>N39/K39</f>
        <v>0.94634125043660244</v>
      </c>
      <c r="AH39" s="414"/>
    </row>
    <row r="40" spans="1:34" ht="15" customHeight="1">
      <c r="A40" s="408"/>
      <c r="B40" s="75"/>
      <c r="C40" s="102"/>
      <c r="D40" s="175"/>
      <c r="E40" s="176"/>
      <c r="F40" s="75"/>
      <c r="G40" s="90"/>
      <c r="H40" s="91"/>
      <c r="I40" s="92"/>
      <c r="J40" s="79"/>
      <c r="K40" s="80"/>
      <c r="L40" s="93"/>
      <c r="M40" s="94"/>
      <c r="N40" s="95"/>
      <c r="O40" s="96"/>
      <c r="P40" s="97"/>
      <c r="Q40" s="98"/>
      <c r="R40" s="99"/>
      <c r="S40" s="393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0</v>
      </c>
      <c r="AG40" s="206" t="e">
        <f>N40/K40</f>
        <v>#DIV/0!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0">AVERAGE(J38:J47)</f>
        <v>17</v>
      </c>
      <c r="K48" s="155">
        <f t="shared" si="10"/>
        <v>1675</v>
      </c>
      <c r="L48" s="158">
        <f t="shared" si="10"/>
        <v>99.006944444444443</v>
      </c>
      <c r="M48" s="155">
        <f t="shared" si="10"/>
        <v>17</v>
      </c>
      <c r="N48" s="155">
        <f t="shared" si="10"/>
        <v>1601.107142857134</v>
      </c>
      <c r="O48" s="158">
        <f t="shared" si="10"/>
        <v>94.69345238095184</v>
      </c>
      <c r="P48" s="221">
        <f>M48-J48</f>
        <v>0</v>
      </c>
      <c r="Q48" s="222">
        <f>N48-K48</f>
        <v>-73.892857142865978</v>
      </c>
      <c r="R48" s="223">
        <f>O48/L48</f>
        <v>0.9564324291826517</v>
      </c>
      <c r="S48" s="396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1">N48-K48</f>
        <v>-73.892857142865978</v>
      </c>
      <c r="AG48" s="162">
        <f t="shared" ref="AG48:AG53" si="12">N48/K48</f>
        <v>0.95588486140724416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v>421</v>
      </c>
      <c r="H49" s="134">
        <f>F49*G49</f>
        <v>21012.109999999997</v>
      </c>
      <c r="I49" s="135"/>
      <c r="J49" s="136">
        <f>VLOOKUP(D49,產線配置圖!$A$3:$C$40,2,0)</f>
        <v>18</v>
      </c>
      <c r="K49" s="137">
        <v>1636</v>
      </c>
      <c r="L49" s="138">
        <f>K49/J49</f>
        <v>90.888888888888886</v>
      </c>
      <c r="M49" s="170">
        <v>18</v>
      </c>
      <c r="N49" s="140">
        <f>G49/W49*60</f>
        <v>1148.1818181818765</v>
      </c>
      <c r="O49" s="141">
        <f>N49/M49</f>
        <v>63.787878787882022</v>
      </c>
      <c r="P49" s="229">
        <f>M49-J49</f>
        <v>0</v>
      </c>
      <c r="Q49" s="230">
        <f>O49-L49</f>
        <v>-27.101010101006864</v>
      </c>
      <c r="R49" s="52">
        <f>O49/L49</f>
        <v>0.70182262725053568</v>
      </c>
      <c r="S49" s="392">
        <f>R58</f>
        <v>0.84697348888235158</v>
      </c>
      <c r="T49" s="191">
        <v>0.29166666666666702</v>
      </c>
      <c r="U49" s="191">
        <v>0.30694444444444402</v>
      </c>
      <c r="V49" s="55"/>
      <c r="W49" s="193">
        <f t="shared" si="4"/>
        <v>21.999999999998884</v>
      </c>
      <c r="X49" s="55"/>
      <c r="Y49" s="290"/>
      <c r="Z49" s="169"/>
      <c r="AA49" s="169"/>
      <c r="AB49" s="386" t="s">
        <v>137</v>
      </c>
      <c r="AC49" s="386"/>
      <c r="AD49" s="135"/>
      <c r="AE49" s="135"/>
      <c r="AF49" s="229">
        <f t="shared" si="11"/>
        <v>-487.81818181812355</v>
      </c>
      <c r="AG49" s="52">
        <f t="shared" si="12"/>
        <v>0.70182262725053568</v>
      </c>
      <c r="AH49" s="380">
        <f>AG58</f>
        <v>0.8182021119726165</v>
      </c>
    </row>
    <row r="50" spans="1:34" ht="15" customHeight="1">
      <c r="A50" s="405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1524</v>
      </c>
      <c r="H50" s="231">
        <f>F50*G50</f>
        <v>76640.436000000002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1604.2105263158044</v>
      </c>
      <c r="O50" s="235">
        <f>N50/M50</f>
        <v>94.365325077400257</v>
      </c>
      <c r="P50" s="74">
        <f>M50-J50</f>
        <v>0</v>
      </c>
      <c r="Q50" s="83">
        <f>O50-L50</f>
        <v>-1.8699690402468008</v>
      </c>
      <c r="R50" s="72">
        <f>O50/L50</f>
        <v>0.98056878136662862</v>
      </c>
      <c r="S50" s="393"/>
      <c r="T50" s="21">
        <v>0.31111111111111101</v>
      </c>
      <c r="U50" s="21">
        <v>0.35069444444444398</v>
      </c>
      <c r="V50" s="30">
        <f>(T50-U49)*24*60</f>
        <v>6.0000000000004583</v>
      </c>
      <c r="W50" s="236">
        <f t="shared" si="4"/>
        <v>56.999999999999474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1"/>
        <v>-31.789473684195627</v>
      </c>
      <c r="AG50" s="72">
        <f t="shared" si="12"/>
        <v>0.98056878136662862</v>
      </c>
      <c r="AH50" s="382"/>
    </row>
    <row r="51" spans="1:34" ht="15" customHeight="1">
      <c r="A51" s="405"/>
      <c r="B51" s="75" t="s">
        <v>81</v>
      </c>
      <c r="C51" s="76"/>
      <c r="D51" s="59" t="s">
        <v>123</v>
      </c>
      <c r="E51" s="77"/>
      <c r="F51" s="75">
        <f>VLOOKUP(D51,廠價表!$C$1:$E$43,3,0)</f>
        <v>57.21</v>
      </c>
      <c r="G51" s="202">
        <v>648</v>
      </c>
      <c r="H51" s="231">
        <f>F51*G51</f>
        <v>37072.080000000002</v>
      </c>
      <c r="I51" s="232"/>
      <c r="J51" s="79">
        <f>VLOOKUP(D51,產線配置圖!$A$3:$C$40,2,0)</f>
        <v>18</v>
      </c>
      <c r="K51" s="80">
        <f>VLOOKUP(D51,產線配置圖!$A$3:$C$40,3,0)</f>
        <v>1636</v>
      </c>
      <c r="L51" s="81">
        <f>K51/J51</f>
        <v>90.888888888888886</v>
      </c>
      <c r="M51" s="233">
        <v>18</v>
      </c>
      <c r="N51" s="234">
        <f>G51/W51*60</f>
        <v>1143.5294117647124</v>
      </c>
      <c r="O51" s="235">
        <f>N51/M51</f>
        <v>63.529411764706246</v>
      </c>
      <c r="P51" s="74">
        <f>M51-J51</f>
        <v>0</v>
      </c>
      <c r="Q51" s="83">
        <f>O51-L51</f>
        <v>-27.359477124182639</v>
      </c>
      <c r="R51" s="72">
        <f>O51/L51</f>
        <v>0.69897885804689031</v>
      </c>
      <c r="S51" s="393"/>
      <c r="T51" s="21">
        <v>0.35555555555555601</v>
      </c>
      <c r="U51" s="19">
        <v>0.37916666666666698</v>
      </c>
      <c r="V51" s="30">
        <f>(T51-U50)*24*60</f>
        <v>7.000000000001334</v>
      </c>
      <c r="W51" s="236">
        <f t="shared" si="4"/>
        <v>33.999999999999801</v>
      </c>
      <c r="X51" s="22"/>
      <c r="Y51" s="84"/>
      <c r="Z51" s="90"/>
      <c r="AA51" s="90"/>
      <c r="AB51" s="386" t="s">
        <v>137</v>
      </c>
      <c r="AC51" s="386"/>
      <c r="AD51" s="92"/>
      <c r="AE51" s="92"/>
      <c r="AF51" s="307">
        <f t="shared" si="11"/>
        <v>-492.47058823528755</v>
      </c>
      <c r="AG51" s="72">
        <f t="shared" si="12"/>
        <v>0.69897885804689031</v>
      </c>
      <c r="AH51" s="382"/>
    </row>
    <row r="52" spans="1:34" ht="15" customHeight="1">
      <c r="A52" s="405"/>
      <c r="B52" s="75" t="s">
        <v>81</v>
      </c>
      <c r="C52" s="86"/>
      <c r="D52" s="59" t="s">
        <v>131</v>
      </c>
      <c r="E52" s="87"/>
      <c r="F52" s="75">
        <f>VLOOKUP(D52,廠價表!$C$1:$E$43,3,0)</f>
        <v>49.97</v>
      </c>
      <c r="G52" s="202">
        <v>2737</v>
      </c>
      <c r="H52" s="231">
        <f t="shared" ref="H52:H53" si="13">F52*G52</f>
        <v>136767.88999999998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14">K52/J52</f>
        <v>112.5</v>
      </c>
      <c r="M52" s="233">
        <v>15</v>
      </c>
      <c r="N52" s="234">
        <f t="shared" ref="N52:N53" si="15">G52/W52*60</f>
        <v>1479.4594594594657</v>
      </c>
      <c r="O52" s="235">
        <f t="shared" ref="O52:O53" si="16">N52/M52</f>
        <v>98.630630630631046</v>
      </c>
      <c r="P52" s="74">
        <f t="shared" ref="P52:P53" si="17">M52-J52</f>
        <v>-1</v>
      </c>
      <c r="Q52" s="83">
        <f t="shared" ref="Q52:Q53" si="18">O52-L52</f>
        <v>-13.869369369368954</v>
      </c>
      <c r="R52" s="72">
        <f t="shared" ref="R52:R53" si="19">O52/L52</f>
        <v>0.87671671671672036</v>
      </c>
      <c r="S52" s="393"/>
      <c r="T52" s="21">
        <v>0.38541666666666702</v>
      </c>
      <c r="U52" s="21">
        <v>0.46250000000000002</v>
      </c>
      <c r="V52" s="30">
        <f t="shared" ref="V52:V53" si="20">(T52-U51)*24*60</f>
        <v>9.000000000000048</v>
      </c>
      <c r="W52" s="236">
        <f t="shared" si="4"/>
        <v>110.99999999999953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1"/>
        <v>-320.54054054053427</v>
      </c>
      <c r="AG52" s="72">
        <f t="shared" si="12"/>
        <v>0.82192192192192537</v>
      </c>
      <c r="AH52" s="382"/>
    </row>
    <row r="53" spans="1:34" ht="15" customHeight="1">
      <c r="A53" s="405"/>
      <c r="B53" s="101" t="s">
        <v>81</v>
      </c>
      <c r="C53" s="102"/>
      <c r="D53" s="103" t="s">
        <v>131</v>
      </c>
      <c r="E53" s="104"/>
      <c r="F53" s="75">
        <f>VLOOKUP(D53,廠價表!$C$1:$E$43,3,0)</f>
        <v>49.97</v>
      </c>
      <c r="G53" s="202">
        <v>1348</v>
      </c>
      <c r="H53" s="231">
        <f t="shared" si="13"/>
        <v>67359.56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14"/>
        <v>112.5</v>
      </c>
      <c r="M53" s="108">
        <v>15</v>
      </c>
      <c r="N53" s="234">
        <f t="shared" si="15"/>
        <v>1585.8823529411623</v>
      </c>
      <c r="O53" s="235">
        <f t="shared" si="16"/>
        <v>105.72549019607749</v>
      </c>
      <c r="P53" s="74">
        <f t="shared" si="17"/>
        <v>-1</v>
      </c>
      <c r="Q53" s="83">
        <f t="shared" si="18"/>
        <v>-6.7745098039225127</v>
      </c>
      <c r="R53" s="72">
        <f t="shared" si="19"/>
        <v>0.93978213507624431</v>
      </c>
      <c r="S53" s="393"/>
      <c r="T53" s="21">
        <v>0.52361111111111103</v>
      </c>
      <c r="U53" s="21">
        <v>0.55902777777777801</v>
      </c>
      <c r="V53" s="30">
        <f t="shared" si="20"/>
        <v>87.999999999999844</v>
      </c>
      <c r="W53" s="236">
        <f t="shared" si="4"/>
        <v>51.000000000000455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1"/>
        <v>-214.11764705883775</v>
      </c>
      <c r="AG53" s="72">
        <f t="shared" si="12"/>
        <v>0.88104575163397902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231"/>
      <c r="I54" s="232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75"/>
      <c r="C55" s="86"/>
      <c r="D55" s="198"/>
      <c r="E55" s="87"/>
      <c r="F55" s="75"/>
      <c r="G55" s="199"/>
      <c r="H55" s="91"/>
      <c r="I55" s="200"/>
      <c r="J55" s="148"/>
      <c r="K55" s="95"/>
      <c r="L55" s="96"/>
      <c r="M55" s="201"/>
      <c r="N55" s="202"/>
      <c r="O55" s="203"/>
      <c r="P55" s="97"/>
      <c r="Q55" s="98"/>
      <c r="R55" s="99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1">AVERAGE(J49:J57)</f>
        <v>17</v>
      </c>
      <c r="K58" s="120">
        <f t="shared" si="21"/>
        <v>1701.6</v>
      </c>
      <c r="L58" s="117">
        <f t="shared" si="21"/>
        <v>100.60261437908495</v>
      </c>
      <c r="M58" s="120">
        <f t="shared" si="21"/>
        <v>16.600000000000001</v>
      </c>
      <c r="N58" s="120">
        <f t="shared" si="21"/>
        <v>1392.2527137326042</v>
      </c>
      <c r="O58" s="117">
        <f t="shared" si="21"/>
        <v>85.207747291339416</v>
      </c>
      <c r="P58" s="121">
        <f>M58-J58</f>
        <v>-0.39999999999999858</v>
      </c>
      <c r="Q58" s="122">
        <f>N58-K58</f>
        <v>-309.3472862673957</v>
      </c>
      <c r="R58" s="123">
        <f>O58/L58</f>
        <v>0.84697348888235158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-309.3472862673957</v>
      </c>
      <c r="AG58" s="124">
        <f>N58/K58</f>
        <v>0.8182021119726165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2450</v>
      </c>
      <c r="H59" s="243">
        <f>F59*G59</f>
        <v>66125.5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1547.3684210526371</v>
      </c>
      <c r="O59" s="138">
        <f>N59/M59</f>
        <v>103.15789473684248</v>
      </c>
      <c r="P59" s="56">
        <f>M59-J59</f>
        <v>0</v>
      </c>
      <c r="Q59" s="230">
        <f>O59-L59</f>
        <v>-5.9087719298241836</v>
      </c>
      <c r="R59" s="52">
        <f>O59/L59</f>
        <v>0.94582421824733331</v>
      </c>
      <c r="S59" s="392">
        <f>R69</f>
        <v>0.83302672812063316</v>
      </c>
      <c r="T59" s="245">
        <v>0.29166666666666702</v>
      </c>
      <c r="U59" s="245">
        <v>0.35763888888888901</v>
      </c>
      <c r="V59" s="55"/>
      <c r="W59" s="54">
        <f t="shared" si="4"/>
        <v>94.999999999999659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-88.631578947362868</v>
      </c>
      <c r="AG59" s="246">
        <f>N59/K59</f>
        <v>0.9458242182473332</v>
      </c>
      <c r="AH59" s="380">
        <f>AG69</f>
        <v>0.83904259426072392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926</v>
      </c>
      <c r="H60" s="78">
        <f>F60*G60</f>
        <v>26168.760000000002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1322.8571428571752</v>
      </c>
      <c r="O60" s="81">
        <f>N60/M60</f>
        <v>120.2597402597432</v>
      </c>
      <c r="P60" s="74">
        <f>M60-J60</f>
        <v>0</v>
      </c>
      <c r="Q60" s="83">
        <f>O60-L60</f>
        <v>-28.467532467529523</v>
      </c>
      <c r="R60" s="72">
        <f>O60/L60</f>
        <v>0.80859238560952029</v>
      </c>
      <c r="S60" s="402"/>
      <c r="T60" s="22">
        <v>0.36805555555555602</v>
      </c>
      <c r="U60" s="22">
        <v>0.39722222222222198</v>
      </c>
      <c r="V60" s="30">
        <f>(T60-U59)*24*60</f>
        <v>15.000000000000506</v>
      </c>
      <c r="W60" s="248">
        <f t="shared" si="4"/>
        <v>41.99999999999897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-313.14285714282482</v>
      </c>
      <c r="AG60" s="249">
        <f>N60/K60</f>
        <v>0.80859238560952029</v>
      </c>
      <c r="AH60" s="403"/>
    </row>
    <row r="61" spans="1:34" ht="15" customHeight="1">
      <c r="A61" s="400"/>
      <c r="B61" s="250" t="s">
        <v>132</v>
      </c>
      <c r="C61" s="251"/>
      <c r="D61" s="257" t="s">
        <v>135</v>
      </c>
      <c r="E61" s="253"/>
      <c r="F61" s="75">
        <f>VLOOKUP(D61,廠價表!$C$1:$E$43,3,0)</f>
        <v>28.26</v>
      </c>
      <c r="G61" s="38">
        <v>506</v>
      </c>
      <c r="H61" s="78">
        <f t="shared" ref="H61:H63" si="22">F61*G61</f>
        <v>14299.560000000001</v>
      </c>
      <c r="I61" s="30"/>
      <c r="J61" s="79">
        <f>VLOOKUP(D61,產線配置圖!$A$3:$C$40,2,0)</f>
        <v>11</v>
      </c>
      <c r="K61" s="80">
        <f>VLOOKUP(D61,產線配置圖!$A$3:$C$40,3,0)</f>
        <v>1636</v>
      </c>
      <c r="L61" s="81">
        <f t="shared" ref="L61:L63" si="23">K61/J61</f>
        <v>148.72727272727272</v>
      </c>
      <c r="M61" s="108">
        <v>11</v>
      </c>
      <c r="N61" s="80">
        <f t="shared" ref="N61:N63" si="24">G61/W61*60</f>
        <v>1012.0000000000171</v>
      </c>
      <c r="O61" s="81">
        <f t="shared" ref="O61:O63" si="25">N61/M61</f>
        <v>92.000000000001549</v>
      </c>
      <c r="P61" s="74">
        <f t="shared" ref="P61:P63" si="26">M61-J61</f>
        <v>0</v>
      </c>
      <c r="Q61" s="83">
        <f t="shared" ref="Q61:Q63" si="27">O61-L61</f>
        <v>-56.727272727271171</v>
      </c>
      <c r="R61" s="72">
        <f t="shared" ref="R61:R63" si="28">O61/L61</f>
        <v>0.618581907090475</v>
      </c>
      <c r="S61" s="393"/>
      <c r="T61" s="22">
        <v>0.40625</v>
      </c>
      <c r="U61" s="22">
        <v>0.42708333333333298</v>
      </c>
      <c r="V61" s="30">
        <f t="shared" ref="V61:V63" si="29">(T61-U60)*24*60</f>
        <v>13.000000000000353</v>
      </c>
      <c r="W61" s="248">
        <f t="shared" si="4"/>
        <v>29.999999999999496</v>
      </c>
      <c r="X61" s="22"/>
      <c r="Y61" s="84"/>
      <c r="Z61" s="90"/>
      <c r="AA61" s="90"/>
      <c r="AB61" s="386" t="s">
        <v>137</v>
      </c>
      <c r="AC61" s="386"/>
      <c r="AD61" s="92"/>
      <c r="AE61" s="92"/>
      <c r="AF61" s="317">
        <f>N61-K61</f>
        <v>-623.99999999998295</v>
      </c>
      <c r="AG61" s="247">
        <f>N61/K61</f>
        <v>0.618581907090475</v>
      </c>
      <c r="AH61" s="382"/>
    </row>
    <row r="62" spans="1:34" ht="15" customHeight="1">
      <c r="A62" s="400"/>
      <c r="B62" s="258" t="s">
        <v>132</v>
      </c>
      <c r="C62" s="58"/>
      <c r="D62" s="259" t="s">
        <v>136</v>
      </c>
      <c r="E62" s="60"/>
      <c r="F62" s="75">
        <f>VLOOKUP(D62,廠價表!$C$1:$E$43,3,0)</f>
        <v>28.26</v>
      </c>
      <c r="G62" s="260">
        <v>1822</v>
      </c>
      <c r="H62" s="78">
        <f t="shared" si="22"/>
        <v>51489.72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 t="shared" si="23"/>
        <v>148.72727272727272</v>
      </c>
      <c r="M62" s="68">
        <v>11</v>
      </c>
      <c r="N62" s="80">
        <f t="shared" si="24"/>
        <v>1561.7142857142896</v>
      </c>
      <c r="O62" s="81">
        <f t="shared" si="25"/>
        <v>141.97402597402632</v>
      </c>
      <c r="P62" s="74">
        <f t="shared" si="26"/>
        <v>0</v>
      </c>
      <c r="Q62" s="83">
        <f t="shared" si="27"/>
        <v>-6.7532467532464011</v>
      </c>
      <c r="R62" s="72">
        <f t="shared" si="28"/>
        <v>0.9545930841774386</v>
      </c>
      <c r="S62" s="393"/>
      <c r="T62" s="22">
        <v>0.43402777777777801</v>
      </c>
      <c r="U62" s="22">
        <v>0.48263888888888901</v>
      </c>
      <c r="V62" s="30">
        <f t="shared" si="29"/>
        <v>10.000000000000844</v>
      </c>
      <c r="W62" s="248">
        <f t="shared" si="4"/>
        <v>69.999999999999829</v>
      </c>
      <c r="X62" s="261"/>
      <c r="Y62" s="291"/>
      <c r="Z62" s="335"/>
      <c r="AA62" s="335"/>
      <c r="AB62" s="386"/>
      <c r="AC62" s="386"/>
      <c r="AD62" s="92"/>
      <c r="AE62" s="92"/>
      <c r="AF62" s="317"/>
      <c r="AG62" s="247"/>
      <c r="AH62" s="382"/>
    </row>
    <row r="63" spans="1:34" ht="15" customHeight="1">
      <c r="A63" s="400"/>
      <c r="B63" s="75" t="s">
        <v>132</v>
      </c>
      <c r="C63" s="76"/>
      <c r="D63" s="175" t="s">
        <v>136</v>
      </c>
      <c r="E63" s="77"/>
      <c r="F63" s="75">
        <f>VLOOKUP(D63,廠價表!$C$1:$E$43,3,0)</f>
        <v>28.26</v>
      </c>
      <c r="G63" s="30">
        <v>828</v>
      </c>
      <c r="H63" s="78">
        <f t="shared" si="22"/>
        <v>23399.280000000002</v>
      </c>
      <c r="I63" s="30"/>
      <c r="J63" s="79">
        <f>VLOOKUP(D63,產線配置圖!$A$3:$C$40,2,0)</f>
        <v>11</v>
      </c>
      <c r="K63" s="80">
        <f>VLOOKUP(D63,產線配置圖!$A$3:$C$40,3,0)</f>
        <v>1636</v>
      </c>
      <c r="L63" s="81">
        <f t="shared" si="23"/>
        <v>148.72727272727272</v>
      </c>
      <c r="M63" s="82">
        <v>11</v>
      </c>
      <c r="N63" s="80">
        <f t="shared" si="24"/>
        <v>1419.4285714286027</v>
      </c>
      <c r="O63" s="81">
        <f t="shared" si="25"/>
        <v>129.03896103896389</v>
      </c>
      <c r="P63" s="74">
        <f t="shared" si="26"/>
        <v>0</v>
      </c>
      <c r="Q63" s="83">
        <f t="shared" si="27"/>
        <v>-19.688311688308829</v>
      </c>
      <c r="R63" s="72">
        <f t="shared" si="28"/>
        <v>0.8676213761788526</v>
      </c>
      <c r="S63" s="393"/>
      <c r="T63" s="22">
        <v>0.54166666666666696</v>
      </c>
      <c r="U63" s="22">
        <v>0.56597222222222199</v>
      </c>
      <c r="V63" s="30">
        <f t="shared" si="29"/>
        <v>85.000000000000256</v>
      </c>
      <c r="W63" s="73">
        <f t="shared" si="4"/>
        <v>34.999999999999233</v>
      </c>
      <c r="X63" s="261"/>
      <c r="Y63" s="291"/>
      <c r="Z63" s="335"/>
      <c r="AA63" s="335"/>
      <c r="AB63" s="386"/>
      <c r="AC63" s="386"/>
      <c r="AD63" s="92"/>
      <c r="AE63" s="92"/>
      <c r="AF63" s="307"/>
      <c r="AG63" s="262"/>
      <c r="AH63" s="382"/>
    </row>
    <row r="64" spans="1:34" ht="15" customHeight="1">
      <c r="A64" s="400"/>
      <c r="B64" s="75"/>
      <c r="C64" s="86"/>
      <c r="D64" s="175"/>
      <c r="E64" s="87"/>
      <c r="F64" s="75"/>
      <c r="G64" s="30"/>
      <c r="H64" s="78"/>
      <c r="I64" s="30"/>
      <c r="J64" s="79"/>
      <c r="K64" s="80"/>
      <c r="L64" s="81"/>
      <c r="M64" s="82"/>
      <c r="N64" s="80"/>
      <c r="O64" s="81"/>
      <c r="P64" s="74"/>
      <c r="Q64" s="83"/>
      <c r="R64" s="72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101"/>
      <c r="C65" s="102"/>
      <c r="D65" s="103"/>
      <c r="E65" s="104"/>
      <c r="F65" s="105"/>
      <c r="G65" s="151"/>
      <c r="H65" s="78"/>
      <c r="I65" s="264"/>
      <c r="J65" s="79"/>
      <c r="K65" s="80"/>
      <c r="L65" s="81"/>
      <c r="M65" s="94"/>
      <c r="N65" s="95"/>
      <c r="O65" s="96"/>
      <c r="P65" s="97"/>
      <c r="Q65" s="98"/>
      <c r="R65" s="204"/>
      <c r="S65" s="393"/>
      <c r="T65" s="263"/>
      <c r="U65" s="263"/>
      <c r="V65" s="30"/>
      <c r="W65" s="73">
        <f>(U65-T65)*24*60</f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30">AVERAGE(J59:J68)</f>
        <v>11.8</v>
      </c>
      <c r="K69" s="240">
        <f t="shared" si="30"/>
        <v>1636</v>
      </c>
      <c r="L69" s="268">
        <f t="shared" si="30"/>
        <v>140.79515151515153</v>
      </c>
      <c r="M69" s="240">
        <f t="shared" si="30"/>
        <v>11.8</v>
      </c>
      <c r="N69" s="240">
        <f t="shared" si="30"/>
        <v>1372.6736842105443</v>
      </c>
      <c r="O69" s="268">
        <f t="shared" si="30"/>
        <v>117.28612440191549</v>
      </c>
      <c r="P69" s="269">
        <f>M69-J69</f>
        <v>0</v>
      </c>
      <c r="Q69" s="222">
        <f>N69-K69</f>
        <v>-263.32631578945575</v>
      </c>
      <c r="R69" s="123">
        <f>O69/L69</f>
        <v>0.83302672812063316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-263.32631578945575</v>
      </c>
      <c r="AG69" s="124">
        <f>N69/K69</f>
        <v>0.83904259426072392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1883</v>
      </c>
      <c r="H70" s="243">
        <f>F70*G70</f>
        <v>82644.87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11</v>
      </c>
      <c r="N70" s="137">
        <f>G70/W70*60</f>
        <v>1241.5384615384703</v>
      </c>
      <c r="O70" s="138">
        <f>N70/M70</f>
        <v>112.86713286713366</v>
      </c>
      <c r="P70" s="56">
        <f>M70-J70</f>
        <v>-2</v>
      </c>
      <c r="Q70" s="230">
        <f>O70-L70</f>
        <v>-7.5174825174817244</v>
      </c>
      <c r="R70" s="52">
        <f>O70/L70</f>
        <v>0.93755445832123807</v>
      </c>
      <c r="S70" s="392">
        <f>R79</f>
        <v>0.94047381336273572</v>
      </c>
      <c r="T70" s="245">
        <v>0.297916666666667</v>
      </c>
      <c r="U70" s="245">
        <v>0.36111111111111099</v>
      </c>
      <c r="V70" s="55"/>
      <c r="W70" s="54">
        <f t="shared" si="4"/>
        <v>90.999999999999361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-323.4615384615297</v>
      </c>
      <c r="AG70" s="246">
        <f>N70/K70</f>
        <v>0.79331531088720142</v>
      </c>
      <c r="AH70" s="380">
        <f>AG79</f>
        <v>0.84368933853470207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75">
        <f>VLOOKUP(D71,廠價表!$C$1:$E$43,3,0)</f>
        <v>52.21</v>
      </c>
      <c r="G71" s="30">
        <v>3283</v>
      </c>
      <c r="H71" s="78">
        <f>F71*G71</f>
        <v>171405.43</v>
      </c>
      <c r="I71" s="30"/>
      <c r="J71" s="79">
        <f>VLOOKUP(D71,產線配置圖!$A$3:$C$40,2,0)</f>
        <v>18</v>
      </c>
      <c r="K71" s="80">
        <f>VLOOKUP(D71,產線配置圖!$A$3:$C$40,3,0)</f>
        <v>1636</v>
      </c>
      <c r="L71" s="81">
        <f>K71/J71</f>
        <v>90.888888888888886</v>
      </c>
      <c r="M71" s="82">
        <v>17</v>
      </c>
      <c r="N71" s="80">
        <f>G71/W71*60</f>
        <v>1459.1111111111111</v>
      </c>
      <c r="O71" s="81">
        <f>N71/M71</f>
        <v>85.830065359477118</v>
      </c>
      <c r="P71" s="74">
        <f>M71-J71</f>
        <v>-1</v>
      </c>
      <c r="Q71" s="83">
        <f>O71-L71</f>
        <v>-5.058823529411768</v>
      </c>
      <c r="R71" s="72">
        <f>O71/L71</f>
        <v>0.94434057241478497</v>
      </c>
      <c r="S71" s="393"/>
      <c r="T71" s="22">
        <v>0.36666666666666697</v>
      </c>
      <c r="U71" s="22">
        <v>0.46041666666666697</v>
      </c>
      <c r="V71" s="30">
        <f>(T71-U70)*24*60</f>
        <v>8.0000000000006111</v>
      </c>
      <c r="W71" s="73">
        <f t="shared" si="4"/>
        <v>135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31">AVERAGE(J70:J78)</f>
        <v>15.5</v>
      </c>
      <c r="K79" s="240">
        <f t="shared" si="31"/>
        <v>1600.5</v>
      </c>
      <c r="L79" s="268">
        <f t="shared" si="31"/>
        <v>105.63675213675214</v>
      </c>
      <c r="M79" s="240">
        <f t="shared" si="31"/>
        <v>14</v>
      </c>
      <c r="N79" s="240">
        <f t="shared" si="31"/>
        <v>1350.3247863247907</v>
      </c>
      <c r="O79" s="268">
        <f t="shared" si="31"/>
        <v>99.348599113305397</v>
      </c>
      <c r="P79" s="269">
        <f>M79-J79</f>
        <v>-1.5</v>
      </c>
      <c r="Q79" s="222">
        <f>N79-K79</f>
        <v>-250.17521367520931</v>
      </c>
      <c r="R79" s="223">
        <f>O79/L79</f>
        <v>0.94047381336273572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-250.17521367520931</v>
      </c>
      <c r="AG79" s="124">
        <f>N79/K79</f>
        <v>0.84368933853470207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16:AH26"/>
    <mergeCell ref="AB17:AC17"/>
    <mergeCell ref="AB18:AC18"/>
    <mergeCell ref="AB19:AC19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11:AC11"/>
    <mergeCell ref="AB12:AC12"/>
    <mergeCell ref="AB13:AC13"/>
    <mergeCell ref="AB14:AC14"/>
    <mergeCell ref="AB15:AC15"/>
    <mergeCell ref="AB9:AC9"/>
    <mergeCell ref="AB5:AC5"/>
    <mergeCell ref="AB10:AC10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B20:AC20"/>
    <mergeCell ref="AB21:AC21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B65:AC65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67" priority="1" operator="greaterThan">
      <formula>0</formula>
    </cfRule>
  </conditionalFormatting>
  <conditionalFormatting sqref="Q5:Q79 AF5:AF79">
    <cfRule type="cellIs" dxfId="66" priority="4" operator="lessThan">
      <formula>0</formula>
    </cfRule>
  </conditionalFormatting>
  <conditionalFormatting sqref="R5:R79 AG5:AG79">
    <cfRule type="cellIs" dxfId="65" priority="2" operator="greaterThan">
      <formula>1</formula>
    </cfRule>
    <cfRule type="cellIs" dxfId="64" priority="3" operator="lessThan">
      <formula>0.8</formula>
    </cfRule>
  </conditionalFormatting>
  <conditionalFormatting sqref="S15:S16 AH15:AH16 AH49 AH79">
    <cfRule type="cellIs" dxfId="63" priority="9" operator="lessThan">
      <formula>0.8</formula>
    </cfRule>
  </conditionalFormatting>
  <conditionalFormatting sqref="S79">
    <cfRule type="cellIs" dxfId="62" priority="5" operator="lessThan">
      <formula>0.8</formula>
    </cfRule>
  </conditionalFormatting>
  <conditionalFormatting sqref="AH5:AH7 S5:S9 S18:S25 AH18:AH25 S37:S61 AH59:AH61 S69:S76 AH69:AH76">
    <cfRule type="cellIs" dxfId="61" priority="7" operator="lessThan">
      <formula>0.8</formula>
    </cfRule>
  </conditionalFormatting>
  <conditionalFormatting sqref="AH27 S27:S28">
    <cfRule type="cellIs" dxfId="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A87FD-3598-4C44-AE02-01322B01B97C}">
  <dimension ref="B1:O26"/>
  <sheetViews>
    <sheetView topLeftCell="B1" zoomScale="70" zoomScaleNormal="70" workbookViewId="0">
      <selection activeCell="D18" sqref="D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46290</v>
      </c>
      <c r="E3" s="504"/>
      <c r="F3" s="3" t="s">
        <v>72</v>
      </c>
      <c r="G3" s="505">
        <f>'0925'!E1</f>
        <v>40239</v>
      </c>
      <c r="H3" s="505"/>
      <c r="I3" s="3" t="s">
        <v>2</v>
      </c>
      <c r="J3" s="506">
        <f>'0925'!G1</f>
        <v>1902545.2170000004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124.79307576410517</v>
      </c>
      <c r="G6" s="501"/>
      <c r="H6" s="502">
        <f>AVERAGE(D13:H13)</f>
        <v>126.40711622255738</v>
      </c>
      <c r="I6" s="502"/>
      <c r="J6" s="502">
        <f>AVERAGE(I13:J13)</f>
        <v>120.75797461797464</v>
      </c>
      <c r="K6" s="502"/>
      <c r="L6" s="492">
        <f>'0925'!Z2</f>
        <v>0</v>
      </c>
      <c r="M6" s="493">
        <f>'0925'!AA2</f>
        <v>0</v>
      </c>
      <c r="N6" s="494">
        <f>'0925'!AD2</f>
        <v>0</v>
      </c>
      <c r="O6" s="493">
        <f>'0925'!AE2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110.74947834509769</v>
      </c>
      <c r="G7" s="490"/>
      <c r="H7" s="491">
        <f>AVERAGE(D14:H14)</f>
        <v>113.91544728714204</v>
      </c>
      <c r="I7" s="491"/>
      <c r="J7" s="491">
        <f>AVERAGE(I14:J14)</f>
        <v>102.83455598998677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0.8876168781163527</v>
      </c>
      <c r="G8" s="496"/>
      <c r="H8" s="496">
        <f>AVERAGE(D15:H15)</f>
        <v>0.89953660903095733</v>
      </c>
      <c r="I8" s="496"/>
      <c r="J8" s="496">
        <f>AVERAGE(I15:J15)</f>
        <v>0.85781755082984112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VALUE('0925'!L15)</f>
        <v>164.83516483516482</v>
      </c>
      <c r="E13" s="13">
        <f>VALUE('0925'!L26)</f>
        <v>174.10714285714286</v>
      </c>
      <c r="F13" s="13">
        <f>VALUE('0925'!L37)</f>
        <v>96.458061002178638</v>
      </c>
      <c r="G13" s="13">
        <f>VALUE('0925'!L48)</f>
        <v>99.006944444444443</v>
      </c>
      <c r="H13" s="13">
        <f>VALUE('0925'!L58)</f>
        <v>97.628267973856197</v>
      </c>
      <c r="I13" s="13">
        <f>VALUE('0925'!L69)</f>
        <v>140.79515151515153</v>
      </c>
      <c r="J13" s="13">
        <f>'0925'!L79</f>
        <v>100.72079772079773</v>
      </c>
    </row>
    <row r="14" spans="2:15" ht="39.950000000000003" customHeight="1">
      <c r="B14" s="484"/>
      <c r="C14" s="12" t="s">
        <v>100</v>
      </c>
      <c r="D14" s="13">
        <f>VALUE('0925'!O15)</f>
        <v>150.71412471024203</v>
      </c>
      <c r="E14" s="13">
        <f>VALUE('0925'!O26)</f>
        <v>156.73632900044819</v>
      </c>
      <c r="F14" s="13">
        <f>VALUE('0925'!O37)</f>
        <v>89.844267574531571</v>
      </c>
      <c r="G14" s="13">
        <f>VALUE('0925'!O48)</f>
        <v>91.076612903225254</v>
      </c>
      <c r="H14" s="13">
        <f>VALUE('0925'!O58)</f>
        <v>81.205902247263268</v>
      </c>
      <c r="I14" s="13">
        <f>VALUE('0925'!O69)</f>
        <v>115.48015151515088</v>
      </c>
      <c r="J14" s="13">
        <f>'0925'!O79</f>
        <v>90.188960464822642</v>
      </c>
    </row>
    <row r="15" spans="2:15" ht="39.950000000000003" customHeight="1">
      <c r="B15" s="485"/>
      <c r="C15" s="10" t="s">
        <v>26</v>
      </c>
      <c r="D15" s="14">
        <f t="shared" ref="D15:I15" si="0">D14/D13</f>
        <v>0.91433235657546841</v>
      </c>
      <c r="E15" s="14">
        <f t="shared" si="0"/>
        <v>0.90022917169488192</v>
      </c>
      <c r="F15" s="14">
        <f t="shared" si="0"/>
        <v>0.93143348146405636</v>
      </c>
      <c r="G15" s="14">
        <f t="shared" si="0"/>
        <v>0.91990125959629909</v>
      </c>
      <c r="H15" s="14">
        <f t="shared" si="0"/>
        <v>0.83178677582408134</v>
      </c>
      <c r="I15" s="14">
        <f t="shared" si="0"/>
        <v>0.82019977444126402</v>
      </c>
      <c r="J15" s="15">
        <f>'0925'!S70</f>
        <v>0.89543532721841834</v>
      </c>
    </row>
    <row r="16" spans="2:15" ht="17.25" customHeight="1">
      <c r="B16" s="486" t="s">
        <v>101</v>
      </c>
      <c r="C16" s="10" t="s">
        <v>34</v>
      </c>
      <c r="D16" s="16">
        <f>'0925'!T5</f>
        <v>0.29166666666666702</v>
      </c>
      <c r="E16" s="16">
        <f>'0925'!T16</f>
        <v>0.29027777777777802</v>
      </c>
      <c r="F16" s="16">
        <f>'0925'!T27</f>
        <v>0.28819444444444398</v>
      </c>
      <c r="G16" s="16">
        <f>'0925'!T38</f>
        <v>0.33333333333333298</v>
      </c>
      <c r="H16" s="16">
        <f>'0925'!T49</f>
        <v>0.29166666666666702</v>
      </c>
      <c r="I16" s="16">
        <f>'0925'!T59</f>
        <v>0.29166666666666702</v>
      </c>
      <c r="J16" s="17">
        <f>'0925'!T70</f>
        <v>0.29513888888888901</v>
      </c>
    </row>
    <row r="17" spans="2:10" ht="17.25" customHeight="1">
      <c r="B17" s="487"/>
      <c r="C17" s="10" t="s">
        <v>35</v>
      </c>
      <c r="D17" s="19">
        <v>0.43472222222222201</v>
      </c>
      <c r="E17" s="19">
        <v>0.43263888888888902</v>
      </c>
      <c r="F17" s="183">
        <v>0.41041666666666698</v>
      </c>
      <c r="G17" s="20">
        <v>0.48958333333333298</v>
      </c>
      <c r="H17" s="329">
        <v>0.47499999999999998</v>
      </c>
      <c r="I17" s="22">
        <v>0.56597222222222199</v>
      </c>
      <c r="J17" s="22">
        <v>0.58680555555555602</v>
      </c>
    </row>
    <row r="18" spans="2:10" ht="17.25" customHeight="1">
      <c r="B18" s="488" t="s">
        <v>102</v>
      </c>
      <c r="C18" s="330" t="s">
        <v>36</v>
      </c>
      <c r="D18" s="359">
        <f>'0925'!Z15</f>
        <v>0</v>
      </c>
      <c r="E18" s="360">
        <f>'0925'!Z26</f>
        <v>0</v>
      </c>
      <c r="F18" s="360">
        <f>'0925'!Z37</f>
        <v>0</v>
      </c>
      <c r="G18" s="361">
        <f>'0925'!Z48</f>
        <v>0</v>
      </c>
      <c r="H18" s="361">
        <f>'0925'!Z58</f>
        <v>0</v>
      </c>
      <c r="I18" s="360">
        <f>'0925'!Z69</f>
        <v>0</v>
      </c>
      <c r="J18" s="360">
        <f>'0925'!AA79</f>
        <v>0</v>
      </c>
    </row>
    <row r="19" spans="2:10" ht="17.25" customHeight="1">
      <c r="B19" s="489"/>
      <c r="C19" s="330" t="s">
        <v>37</v>
      </c>
      <c r="D19" s="359">
        <f>'0925'!AA15</f>
        <v>0</v>
      </c>
      <c r="E19" s="360">
        <f>'0925'!AA26</f>
        <v>0</v>
      </c>
      <c r="F19" s="360">
        <f>'0925'!AA37</f>
        <v>0</v>
      </c>
      <c r="G19" s="361">
        <f>'0925'!AA48</f>
        <v>0</v>
      </c>
      <c r="H19" s="361">
        <f>'0925'!AA58</f>
        <v>0</v>
      </c>
      <c r="I19" s="360">
        <f>'0925'!AA69</f>
        <v>0</v>
      </c>
      <c r="J19" s="360">
        <f>'0925'!AB79</f>
        <v>0</v>
      </c>
    </row>
    <row r="20" spans="2:10" ht="17.25" customHeight="1">
      <c r="B20" s="488" t="s">
        <v>103</v>
      </c>
      <c r="C20" s="330" t="s">
        <v>36</v>
      </c>
      <c r="D20" s="359">
        <f>'0925'!AD15</f>
        <v>0</v>
      </c>
      <c r="E20" s="360">
        <f>'0925'!AD26</f>
        <v>0</v>
      </c>
      <c r="F20" s="360">
        <f>'0925'!AD37</f>
        <v>0</v>
      </c>
      <c r="G20" s="361">
        <f>'0925'!AD48</f>
        <v>0</v>
      </c>
      <c r="H20" s="361">
        <f>'0925'!AD58</f>
        <v>0</v>
      </c>
      <c r="I20" s="360">
        <f>'0925'!AD69</f>
        <v>0</v>
      </c>
      <c r="J20" s="360">
        <f>'0925'!AD79</f>
        <v>0</v>
      </c>
    </row>
    <row r="21" spans="2:10" ht="17.25" customHeight="1">
      <c r="B21" s="489"/>
      <c r="C21" s="330" t="s">
        <v>85</v>
      </c>
      <c r="D21" s="359">
        <f>'0925'!AE15</f>
        <v>0</v>
      </c>
      <c r="E21" s="360">
        <f>'0925'!AE26</f>
        <v>0</v>
      </c>
      <c r="F21" s="360">
        <f>'0925'!AE37</f>
        <v>0</v>
      </c>
      <c r="G21" s="361">
        <f>'0925'!AE48</f>
        <v>0</v>
      </c>
      <c r="H21" s="361">
        <f>'0925'!AE58</f>
        <v>0</v>
      </c>
      <c r="I21" s="360">
        <f>'0925'!AE69</f>
        <v>0</v>
      </c>
      <c r="J21" s="360">
        <f>'0925'!AE79</f>
        <v>0</v>
      </c>
    </row>
    <row r="22" spans="2:10" ht="17.25" customHeight="1">
      <c r="B22" s="471" t="s">
        <v>104</v>
      </c>
      <c r="C22" s="472"/>
      <c r="D22" s="23">
        <f>VALUE('0925'!M15)</f>
        <v>13.666666666666666</v>
      </c>
      <c r="E22" s="23">
        <f>VALUE('0925'!M26)</f>
        <v>13</v>
      </c>
      <c r="F22" s="23">
        <f>VALUE('0925'!M37)</f>
        <v>16</v>
      </c>
      <c r="G22" s="23">
        <f>VALUE('0925'!M48)</f>
        <v>17</v>
      </c>
      <c r="H22" s="23">
        <f>VALUE('0925'!M58)</f>
        <v>17.25</v>
      </c>
      <c r="I22" s="23">
        <f>VALUE('0925'!M69)</f>
        <v>11.8</v>
      </c>
      <c r="J22" s="23">
        <f>'0925'!M79</f>
        <v>13.333333333333334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9A2C0-CB74-4888-8780-50077FF27F3B}">
  <sheetPr>
    <tabColor theme="9" tint="0.79998168889431442"/>
  </sheetPr>
  <dimension ref="A1:AJ92"/>
  <sheetViews>
    <sheetView zoomScale="69" zoomScaleNormal="69" workbookViewId="0">
      <pane xSplit="5" ySplit="4" topLeftCell="F47" activePane="bottomRight" state="frozen"/>
      <selection activeCell="G76" sqref="G76"/>
      <selection pane="topRight" activeCell="G76" sqref="G76"/>
      <selection pane="bottomLeft" activeCell="G76" sqref="G76"/>
      <selection pane="bottomRight" activeCell="J70" sqref="J70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40239</v>
      </c>
      <c r="F1" s="30" t="s">
        <v>2</v>
      </c>
      <c r="G1" s="31">
        <f>SUM(H5:H79)</f>
        <v>1902545.2170000004</v>
      </c>
      <c r="H1" s="32" t="s">
        <v>3</v>
      </c>
      <c r="I1" s="33">
        <f>M15+M26+M48+M58+M69+M79+M37</f>
        <v>102.05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198</v>
      </c>
      <c r="B2" s="462"/>
      <c r="C2" s="28"/>
      <c r="D2" s="28" t="s">
        <v>14</v>
      </c>
      <c r="E2" s="35">
        <f>AVERAGE(O15,O26,O37,O48,O58,O69,O79)</f>
        <v>110.74947834509769</v>
      </c>
      <c r="F2" s="36" t="s">
        <v>15</v>
      </c>
      <c r="G2" s="37">
        <f>G1/E1</f>
        <v>47.281125698948792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0</v>
      </c>
      <c r="AA2" s="339">
        <f>AA15+AA26+AA37+AA48+AA58+AA69+AA79</f>
        <v>0</v>
      </c>
      <c r="AB2" s="433"/>
      <c r="AC2" s="433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1901</v>
      </c>
      <c r="H5" s="43">
        <f>F5*G5</f>
        <v>108109.87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2073.8181818182074</v>
      </c>
      <c r="O5" s="47">
        <f>N5/M5</f>
        <v>148.12987012987196</v>
      </c>
      <c r="P5" s="49">
        <f>M5-J5</f>
        <v>0</v>
      </c>
      <c r="Q5" s="50">
        <f>O5-L5</f>
        <v>-12.584415584413762</v>
      </c>
      <c r="R5" s="51">
        <f>O5/L5</f>
        <v>0.92169696969698101</v>
      </c>
      <c r="S5" s="392">
        <f>R15</f>
        <v>0.91433235657546841</v>
      </c>
      <c r="T5" s="319">
        <v>0.29166666666666702</v>
      </c>
      <c r="U5" s="320">
        <v>0.32986111111111099</v>
      </c>
      <c r="V5" s="53"/>
      <c r="W5" s="54">
        <f t="shared" ref="W5:W14" si="0">(U5-T5)*24*60</f>
        <v>54.999999999999325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-176.18181818179255</v>
      </c>
      <c r="AG5" s="52">
        <f t="shared" ref="AG5:AG11" si="2">N5/K5</f>
        <v>0.92169696969698112</v>
      </c>
      <c r="AH5" s="380">
        <f>AG15</f>
        <v>0.91389985289791609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873</v>
      </c>
      <c r="H6" s="63">
        <f>F6*G6</f>
        <v>50782.41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2095.2000000000144</v>
      </c>
      <c r="O6" s="67">
        <f>N6/M6</f>
        <v>161.16923076923189</v>
      </c>
      <c r="P6" s="69">
        <f>M6-J6</f>
        <v>0</v>
      </c>
      <c r="Q6" s="70">
        <f>O6-L6</f>
        <v>-11.907692307691178</v>
      </c>
      <c r="R6" s="71">
        <f>O6/L6</f>
        <v>0.93120000000000647</v>
      </c>
      <c r="S6" s="393"/>
      <c r="T6" s="16">
        <v>0.33750000000000002</v>
      </c>
      <c r="U6" s="16">
        <v>0.35486111111111102</v>
      </c>
      <c r="V6" s="30">
        <f>(T6-U5)*24*60</f>
        <v>11.000000000000201</v>
      </c>
      <c r="W6" s="73">
        <f t="shared" si="0"/>
        <v>24.999999999999829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-154.79999999998563</v>
      </c>
      <c r="AG6" s="72">
        <f t="shared" si="2"/>
        <v>0.93120000000000636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3433</v>
      </c>
      <c r="H7" s="78">
        <f>F7*G7</f>
        <v>168697.62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1999.8058252427115</v>
      </c>
      <c r="O7" s="81">
        <f>N7/M7</f>
        <v>142.84327323162225</v>
      </c>
      <c r="P7" s="74">
        <f>M7-J7</f>
        <v>0</v>
      </c>
      <c r="Q7" s="83">
        <f>O7-L7</f>
        <v>-17.871012482663474</v>
      </c>
      <c r="R7" s="72">
        <f>O7/L7</f>
        <v>0.88880258899676057</v>
      </c>
      <c r="S7" s="393"/>
      <c r="T7" s="18">
        <v>0.36319444444444399</v>
      </c>
      <c r="U7" s="18">
        <v>0.43472222222222201</v>
      </c>
      <c r="V7" s="30">
        <f>(T7-U6)*24*60</f>
        <v>11.999999999999478</v>
      </c>
      <c r="W7" s="73">
        <f t="shared" si="0"/>
        <v>103.00000000000036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-250.19417475728847</v>
      </c>
      <c r="AG7" s="72">
        <f t="shared" si="2"/>
        <v>0.88880258899676068</v>
      </c>
      <c r="AH7" s="382"/>
    </row>
    <row r="8" spans="1:34" ht="15" customHeight="1">
      <c r="A8" s="466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93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0</v>
      </c>
      <c r="AG8" s="72" t="e">
        <f t="shared" si="2"/>
        <v>#DIV/0!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13.666666666666666</v>
      </c>
      <c r="K15" s="120">
        <f t="shared" si="3"/>
        <v>2250</v>
      </c>
      <c r="L15" s="117">
        <f t="shared" si="3"/>
        <v>164.83516483516482</v>
      </c>
      <c r="M15" s="120">
        <f t="shared" si="3"/>
        <v>13.666666666666666</v>
      </c>
      <c r="N15" s="120">
        <f t="shared" si="3"/>
        <v>2056.2746690203112</v>
      </c>
      <c r="O15" s="117">
        <f t="shared" si="3"/>
        <v>150.71412471024203</v>
      </c>
      <c r="P15" s="121">
        <f>M15-J15</f>
        <v>0</v>
      </c>
      <c r="Q15" s="122">
        <f>O15-L15</f>
        <v>-14.121040124922786</v>
      </c>
      <c r="R15" s="123">
        <f>O15/L15</f>
        <v>0.91433235657546841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-193.72533097968881</v>
      </c>
      <c r="AG15" s="124">
        <f>N15/K15</f>
        <v>0.91389985289791609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3185</v>
      </c>
      <c r="H16" s="134">
        <f>F16*G16</f>
        <v>161383.95000000001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2077.1739130434748</v>
      </c>
      <c r="O16" s="141">
        <f>N16/M16</f>
        <v>148.36956521739106</v>
      </c>
      <c r="P16" s="142">
        <f>M16-J16</f>
        <v>0</v>
      </c>
      <c r="Q16" s="143">
        <f>O16-L16</f>
        <v>-12.344720496894666</v>
      </c>
      <c r="R16" s="144">
        <f>O16/L16</f>
        <v>0.92318840579709982</v>
      </c>
      <c r="S16" s="420">
        <f>R26</f>
        <v>0.90022917169488192</v>
      </c>
      <c r="T16" s="145">
        <v>0.29027777777777802</v>
      </c>
      <c r="U16" s="145">
        <v>0.35416666666666702</v>
      </c>
      <c r="V16" s="135"/>
      <c r="W16" s="146">
        <f t="shared" ref="W16:W78" si="4">(U16-T16)*24*60</f>
        <v>92.000000000000156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-172.82608695652516</v>
      </c>
      <c r="AG16" s="52">
        <f>N16/K16</f>
        <v>0.92318840579709993</v>
      </c>
      <c r="AH16" s="380">
        <f>AG26</f>
        <v>0.90186911698789751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3203</v>
      </c>
      <c r="H17" s="78">
        <f>F17*G17</f>
        <v>161399.17000000001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1981.2371134020641</v>
      </c>
      <c r="O17" s="96">
        <f>N17/M17</f>
        <v>165.10309278350533</v>
      </c>
      <c r="P17" s="97">
        <f>M17-J17</f>
        <v>0</v>
      </c>
      <c r="Q17" s="98">
        <f>O17-L17</f>
        <v>-22.396907216494668</v>
      </c>
      <c r="R17" s="99">
        <f>O17/L17</f>
        <v>0.88054982817869509</v>
      </c>
      <c r="S17" s="421"/>
      <c r="T17" s="19">
        <v>0.36527777777777798</v>
      </c>
      <c r="U17" s="19">
        <v>0.43263888888888902</v>
      </c>
      <c r="V17" s="30">
        <f>(T17-U16)*24*60</f>
        <v>15.999999999999783</v>
      </c>
      <c r="W17" s="149">
        <f t="shared" si="4"/>
        <v>96.999999999999901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-268.7628865979359</v>
      </c>
      <c r="AG17" s="72">
        <f>N17/K17</f>
        <v>0.8805498281786952</v>
      </c>
      <c r="AH17" s="382"/>
    </row>
    <row r="18" spans="1:34" ht="15" customHeight="1">
      <c r="A18" s="427"/>
      <c r="B18" s="75"/>
      <c r="C18" s="76"/>
      <c r="D18" s="59"/>
      <c r="E18" s="77"/>
      <c r="F18" s="75"/>
      <c r="G18" s="147"/>
      <c r="H18" s="78"/>
      <c r="I18" s="30"/>
      <c r="J18" s="79"/>
      <c r="K18" s="80"/>
      <c r="L18" s="81"/>
      <c r="M18" s="148"/>
      <c r="N18" s="95"/>
      <c r="O18" s="96"/>
      <c r="P18" s="97"/>
      <c r="Q18" s="98"/>
      <c r="R18" s="99"/>
      <c r="S18" s="421"/>
      <c r="T18" s="19"/>
      <c r="U18" s="19"/>
      <c r="V18" s="30"/>
      <c r="W18" s="149">
        <f t="shared" si="4"/>
        <v>0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0</v>
      </c>
      <c r="AG18" s="72" t="e">
        <f>N18/K18</f>
        <v>#DIV/0!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174.10714285714286</v>
      </c>
      <c r="M26" s="155">
        <f t="shared" si="5"/>
        <v>13</v>
      </c>
      <c r="N26" s="155">
        <f t="shared" si="5"/>
        <v>2029.2055132227695</v>
      </c>
      <c r="O26" s="158">
        <f t="shared" si="5"/>
        <v>156.73632900044819</v>
      </c>
      <c r="P26" s="159">
        <f>M26-J26</f>
        <v>0</v>
      </c>
      <c r="Q26" s="160">
        <f>O26-L26</f>
        <v>-17.370813856694667</v>
      </c>
      <c r="R26" s="161">
        <f>O26/L26</f>
        <v>0.90022917169488192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-220.79448677723053</v>
      </c>
      <c r="AG26" s="124">
        <f t="shared" ref="AG26:AG31" si="7">N26/K26</f>
        <v>0.90186911698789751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194</v>
      </c>
      <c r="E27" s="132"/>
      <c r="F27" s="129">
        <f>VLOOKUP(D27,廠價表!$C$1:$E$43,3,0)</f>
        <v>61.65</v>
      </c>
      <c r="G27" s="169">
        <v>2985</v>
      </c>
      <c r="H27" s="134">
        <f>F27*G27</f>
        <v>184025.25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16</v>
      </c>
      <c r="N27" s="140">
        <f>G27/W27*60</f>
        <v>1377.6923076923042</v>
      </c>
      <c r="O27" s="141">
        <f>N27/M27</f>
        <v>86.105769230769013</v>
      </c>
      <c r="P27" s="142">
        <f>M27-J27</f>
        <v>-2</v>
      </c>
      <c r="Q27" s="143">
        <f>O27-L27</f>
        <v>-4.7831196581198725</v>
      </c>
      <c r="R27" s="144">
        <f>O27/L27</f>
        <v>0.94737398909159065</v>
      </c>
      <c r="S27" s="420">
        <f>R37</f>
        <v>0.93143348146405636</v>
      </c>
      <c r="T27" s="171">
        <v>0.28819444444444398</v>
      </c>
      <c r="U27" s="171">
        <v>0.37847222222222199</v>
      </c>
      <c r="V27" s="135"/>
      <c r="W27" s="146">
        <f t="shared" si="4"/>
        <v>130.00000000000034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6"/>
        <v>-258.30769230769579</v>
      </c>
      <c r="AG27" s="172">
        <f t="shared" si="7"/>
        <v>0.84211021252585827</v>
      </c>
      <c r="AH27" s="380">
        <f>AG37</f>
        <v>0.87867254351620117</v>
      </c>
    </row>
    <row r="28" spans="1:34" ht="15" customHeight="1">
      <c r="A28" s="418"/>
      <c r="B28" s="75" t="s">
        <v>81</v>
      </c>
      <c r="C28" s="173"/>
      <c r="D28" s="59" t="s">
        <v>124</v>
      </c>
      <c r="E28" s="104"/>
      <c r="F28" s="75">
        <f>VLOOKUP(D28,廠價表!$C$1:$E$43,3,0)</f>
        <v>46.34</v>
      </c>
      <c r="G28" s="90">
        <v>501</v>
      </c>
      <c r="H28" s="91">
        <f>F28*G28</f>
        <v>23216.34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16</v>
      </c>
      <c r="N28" s="95">
        <f>G28/W28*60</f>
        <v>1582.1052631579535</v>
      </c>
      <c r="O28" s="96">
        <f>N28/M28</f>
        <v>98.881578947372091</v>
      </c>
      <c r="P28" s="97">
        <f>M28-J28</f>
        <v>0</v>
      </c>
      <c r="Q28" s="98">
        <f>O28-L28</f>
        <v>-3.3684210526279088</v>
      </c>
      <c r="R28" s="99">
        <f>O28/L28</f>
        <v>0.96705700682026496</v>
      </c>
      <c r="S28" s="421"/>
      <c r="T28" s="19">
        <v>0.38402777777777802</v>
      </c>
      <c r="U28" s="19">
        <v>0.39722222222222198</v>
      </c>
      <c r="V28" s="92">
        <f>(T28-U27)*24*60</f>
        <v>8.000000000000691</v>
      </c>
      <c r="W28" s="149">
        <f t="shared" si="4"/>
        <v>18.999999999999293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6"/>
        <v>-53.894736842046541</v>
      </c>
      <c r="AG28" s="99">
        <f t="shared" si="7"/>
        <v>0.96705700682026496</v>
      </c>
      <c r="AH28" s="381"/>
    </row>
    <row r="29" spans="1:34" ht="15" customHeight="1">
      <c r="A29" s="418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248</v>
      </c>
      <c r="H29" s="91">
        <f>F29*G29</f>
        <v>11323.679999999998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16</v>
      </c>
      <c r="N29" s="95">
        <f>G29/W29*60</f>
        <v>1352.727272727258</v>
      </c>
      <c r="O29" s="96">
        <f>N29/M29</f>
        <v>84.545454545453623</v>
      </c>
      <c r="P29" s="97">
        <f>M29-J29</f>
        <v>-1</v>
      </c>
      <c r="Q29" s="98">
        <f>O29-L29</f>
        <v>-11.689839572193435</v>
      </c>
      <c r="R29" s="99">
        <f>O29/L29</f>
        <v>0.87852856190263551</v>
      </c>
      <c r="S29" s="421"/>
      <c r="T29" s="19">
        <v>0.40277777777777801</v>
      </c>
      <c r="U29" s="19">
        <v>0.41041666666666698</v>
      </c>
      <c r="V29" s="92">
        <f>(T29-U28)*24*60</f>
        <v>8.000000000000691</v>
      </c>
      <c r="W29" s="149">
        <f t="shared" si="4"/>
        <v>11.000000000000121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-283.27272727274203</v>
      </c>
      <c r="AG29" s="99">
        <f t="shared" si="7"/>
        <v>0.82685041120248037</v>
      </c>
      <c r="AH29" s="381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/>
      <c r="U30" s="19"/>
      <c r="V30" s="92"/>
      <c r="W30" s="149">
        <f t="shared" si="4"/>
        <v>0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0</v>
      </c>
      <c r="AG30" s="99" t="e">
        <f t="shared" si="7"/>
        <v>#DIV/0!</v>
      </c>
      <c r="AH30" s="416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0</v>
      </c>
      <c r="AG31" s="99" t="e">
        <f t="shared" si="7"/>
        <v>#DIV/0!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8">AVERAGE(J27:J36)</f>
        <v>17</v>
      </c>
      <c r="K37" s="155">
        <f t="shared" si="8"/>
        <v>1636</v>
      </c>
      <c r="L37" s="158">
        <f t="shared" si="8"/>
        <v>96.458061002178638</v>
      </c>
      <c r="M37" s="155">
        <f t="shared" si="8"/>
        <v>16</v>
      </c>
      <c r="N37" s="155">
        <f t="shared" si="8"/>
        <v>1437.5082811925051</v>
      </c>
      <c r="O37" s="158">
        <f t="shared" si="8"/>
        <v>89.844267574531571</v>
      </c>
      <c r="P37" s="159">
        <f>M37-J37</f>
        <v>-1</v>
      </c>
      <c r="Q37" s="160">
        <f>N37-K37</f>
        <v>-198.49171880749486</v>
      </c>
      <c r="R37" s="161">
        <f>O37/L37</f>
        <v>0.93143348146405636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-198.49171880749486</v>
      </c>
      <c r="AG37" s="124">
        <f>N37/K37</f>
        <v>0.87867254351620117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1594</v>
      </c>
      <c r="H38" s="134">
        <f>F38*G38</f>
        <v>79556.539999999994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1542.5806451612739</v>
      </c>
      <c r="O38" s="141">
        <f>N38/M38</f>
        <v>96.411290322579617</v>
      </c>
      <c r="P38" s="142">
        <f>M38-J38</f>
        <v>0</v>
      </c>
      <c r="Q38" s="143">
        <f>O38-L38</f>
        <v>-10.713709677420383</v>
      </c>
      <c r="R38" s="144">
        <f>O38/L38</f>
        <v>0.89998870779537565</v>
      </c>
      <c r="S38" s="410">
        <f>R48</f>
        <v>0.91990125959629909</v>
      </c>
      <c r="T38" s="191">
        <v>0.33333333333333298</v>
      </c>
      <c r="U38" s="191">
        <v>0.37638888888888899</v>
      </c>
      <c r="V38" s="192"/>
      <c r="W38" s="193">
        <f t="shared" si="4"/>
        <v>62.000000000000661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-171.41935483872612</v>
      </c>
      <c r="AG38" s="195">
        <f>N38/K38</f>
        <v>0.89998870779537565</v>
      </c>
      <c r="AH38" s="413">
        <f>AG48</f>
        <v>0.92117477130476111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3987</v>
      </c>
      <c r="H39" s="91">
        <f>F39*G39</f>
        <v>176624.09999999998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1543.3548387096757</v>
      </c>
      <c r="O39" s="203">
        <f>N39/M39</f>
        <v>85.741935483870876</v>
      </c>
      <c r="P39" s="97">
        <f>M39-J39</f>
        <v>0</v>
      </c>
      <c r="Q39" s="98">
        <f>O39-L39</f>
        <v>-5.1469534050180101</v>
      </c>
      <c r="R39" s="99">
        <f>O39/L39</f>
        <v>0.94337092830664782</v>
      </c>
      <c r="S39" s="411"/>
      <c r="T39" s="20">
        <v>0.38194444444444398</v>
      </c>
      <c r="U39" s="20">
        <v>0.48958333333333298</v>
      </c>
      <c r="V39" s="92">
        <f>(T39-U38)*24*60</f>
        <v>7.9999999999991722</v>
      </c>
      <c r="W39" s="205">
        <f t="shared" si="4"/>
        <v>155.00000000000017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-92.645161290324268</v>
      </c>
      <c r="AG39" s="206">
        <f>N39/K39</f>
        <v>0.9433709283066477</v>
      </c>
      <c r="AH39" s="414"/>
    </row>
    <row r="40" spans="1:34" ht="15" customHeight="1">
      <c r="A40" s="408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393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0</v>
      </c>
      <c r="AG40" s="206" t="e">
        <f>N40/K40</f>
        <v>#DIV/0!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0">AVERAGE(J38:J47)</f>
        <v>17</v>
      </c>
      <c r="K48" s="155">
        <f t="shared" si="10"/>
        <v>1675</v>
      </c>
      <c r="L48" s="158">
        <f t="shared" si="10"/>
        <v>99.006944444444443</v>
      </c>
      <c r="M48" s="155">
        <f t="shared" si="10"/>
        <v>17</v>
      </c>
      <c r="N48" s="155">
        <f t="shared" si="10"/>
        <v>1542.9677419354748</v>
      </c>
      <c r="O48" s="158">
        <f t="shared" si="10"/>
        <v>91.076612903225254</v>
      </c>
      <c r="P48" s="221">
        <f>M48-J48</f>
        <v>0</v>
      </c>
      <c r="Q48" s="222">
        <f>N48-K48</f>
        <v>-132.03225806452519</v>
      </c>
      <c r="R48" s="223">
        <f>O48/L48</f>
        <v>0.91990125959629909</v>
      </c>
      <c r="S48" s="396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1">N48-K48</f>
        <v>-132.03225806452519</v>
      </c>
      <c r="AG48" s="162">
        <f t="shared" ref="AG48:AG53" si="12">N48/K48</f>
        <v>0.92117477130476111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v>289</v>
      </c>
      <c r="H49" s="134">
        <f>F49*G49</f>
        <v>14423.99</v>
      </c>
      <c r="I49" s="135"/>
      <c r="J49" s="136">
        <f>VLOOKUP(D49,產線配置圖!$A$3:$C$40,2,0)</f>
        <v>18</v>
      </c>
      <c r="K49" s="137">
        <v>1636</v>
      </c>
      <c r="L49" s="138">
        <f>K49/J49</f>
        <v>90.888888888888886</v>
      </c>
      <c r="M49" s="170">
        <v>18</v>
      </c>
      <c r="N49" s="140">
        <f>G49/W49*60</f>
        <v>1445.0000000000628</v>
      </c>
      <c r="O49" s="141">
        <f>N49/M49</f>
        <v>80.277777777781267</v>
      </c>
      <c r="P49" s="229">
        <f>M49-J49</f>
        <v>0</v>
      </c>
      <c r="Q49" s="230">
        <f>O49-L49</f>
        <v>-10.611111111107618</v>
      </c>
      <c r="R49" s="52">
        <f>O49/L49</f>
        <v>0.88325183374086969</v>
      </c>
      <c r="S49" s="392">
        <f>R58</f>
        <v>0.83178677582408134</v>
      </c>
      <c r="T49" s="191">
        <v>0.29166666666666702</v>
      </c>
      <c r="U49" s="191">
        <v>0.3</v>
      </c>
      <c r="V49" s="55"/>
      <c r="W49" s="193">
        <f t="shared" si="4"/>
        <v>11.999999999999478</v>
      </c>
      <c r="X49" s="55"/>
      <c r="Y49" s="290"/>
      <c r="Z49" s="169"/>
      <c r="AA49" s="169"/>
      <c r="AB49" s="386" t="s">
        <v>137</v>
      </c>
      <c r="AC49" s="386"/>
      <c r="AD49" s="135"/>
      <c r="AE49" s="135"/>
      <c r="AF49" s="229">
        <f t="shared" si="11"/>
        <v>-190.99999999993724</v>
      </c>
      <c r="AG49" s="52">
        <f t="shared" si="12"/>
        <v>0.88325183374086969</v>
      </c>
      <c r="AH49" s="380">
        <f>AG58</f>
        <v>0.82886063118622033</v>
      </c>
    </row>
    <row r="50" spans="1:34" ht="15" customHeight="1">
      <c r="A50" s="405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1373</v>
      </c>
      <c r="H50" s="231">
        <f>F50*G50</f>
        <v>69046.797000000006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1525.5555555555563</v>
      </c>
      <c r="O50" s="235">
        <f>N50/M50</f>
        <v>89.738562091503312</v>
      </c>
      <c r="P50" s="74">
        <f>M50-J50</f>
        <v>0</v>
      </c>
      <c r="Q50" s="83">
        <f>O50-L50</f>
        <v>-6.4967320261437465</v>
      </c>
      <c r="R50" s="72">
        <f>O50/L50</f>
        <v>0.93249117087747946</v>
      </c>
      <c r="S50" s="393"/>
      <c r="T50" s="21">
        <v>0.30486111111111103</v>
      </c>
      <c r="U50" s="21">
        <v>0.34236111111111101</v>
      </c>
      <c r="V50" s="30">
        <f>(T50-U49)*24*60</f>
        <v>6.9999999999998952</v>
      </c>
      <c r="W50" s="236">
        <f t="shared" si="4"/>
        <v>53.999999999999972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1"/>
        <v>-110.44444444444366</v>
      </c>
      <c r="AG50" s="72">
        <f t="shared" si="12"/>
        <v>0.93249117087747946</v>
      </c>
      <c r="AH50" s="382"/>
    </row>
    <row r="51" spans="1:34" ht="15" customHeight="1">
      <c r="A51" s="405"/>
      <c r="B51" s="75" t="s">
        <v>81</v>
      </c>
      <c r="C51" s="76"/>
      <c r="D51" s="59" t="s">
        <v>123</v>
      </c>
      <c r="E51" s="77"/>
      <c r="F51" s="75">
        <f>VLOOKUP(D51,廠價表!$C$1:$E$43,3,0)</f>
        <v>57.21</v>
      </c>
      <c r="G51" s="202">
        <v>557</v>
      </c>
      <c r="H51" s="231">
        <f>F51*G51</f>
        <v>31865.97</v>
      </c>
      <c r="I51" s="232"/>
      <c r="J51" s="79">
        <f>VLOOKUP(D51,產線配置圖!$A$3:$C$40,2,0)</f>
        <v>18</v>
      </c>
      <c r="K51" s="80">
        <f>VLOOKUP(D51,產線配置圖!$A$3:$C$40,3,0)</f>
        <v>1636</v>
      </c>
      <c r="L51" s="81">
        <f>K51/J51</f>
        <v>90.888888888888886</v>
      </c>
      <c r="M51" s="233">
        <v>18</v>
      </c>
      <c r="N51" s="234">
        <f>G51/W51*60</f>
        <v>1012.7272727272565</v>
      </c>
      <c r="O51" s="235">
        <f>N51/M51</f>
        <v>56.262626262625361</v>
      </c>
      <c r="P51" s="74">
        <f>M51-J51</f>
        <v>0</v>
      </c>
      <c r="Q51" s="83">
        <f>O51-L51</f>
        <v>-34.626262626263525</v>
      </c>
      <c r="R51" s="72">
        <f>O51/L51</f>
        <v>0.61902645032228398</v>
      </c>
      <c r="S51" s="393"/>
      <c r="T51" s="21">
        <v>0.34861111111111098</v>
      </c>
      <c r="U51" s="19">
        <v>0.37152777777777801</v>
      </c>
      <c r="V51" s="30">
        <f>(T51-U50)*24*60</f>
        <v>8.999999999999968</v>
      </c>
      <c r="W51" s="236">
        <f t="shared" si="4"/>
        <v>33.000000000000526</v>
      </c>
      <c r="X51" s="22"/>
      <c r="Y51" s="84"/>
      <c r="Z51" s="90"/>
      <c r="AA51" s="90"/>
      <c r="AB51" s="386" t="s">
        <v>137</v>
      </c>
      <c r="AC51" s="386"/>
      <c r="AD51" s="92"/>
      <c r="AE51" s="92"/>
      <c r="AF51" s="307">
        <f t="shared" si="11"/>
        <v>-623.27272727274351</v>
      </c>
      <c r="AG51" s="72">
        <f t="shared" si="12"/>
        <v>0.61902645032228387</v>
      </c>
      <c r="AH51" s="382"/>
    </row>
    <row r="52" spans="1:34" ht="15" customHeight="1">
      <c r="A52" s="405"/>
      <c r="B52" s="75" t="s">
        <v>81</v>
      </c>
      <c r="C52" s="86"/>
      <c r="D52" s="59" t="s">
        <v>131</v>
      </c>
      <c r="E52" s="87"/>
      <c r="F52" s="75">
        <f>VLOOKUP(D52,廠價表!$C$1:$E$43,3,0)</f>
        <v>49.97</v>
      </c>
      <c r="G52" s="202">
        <v>3679</v>
      </c>
      <c r="H52" s="231">
        <f>F52*G52</f>
        <v>183839.63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1576.7142857142896</v>
      </c>
      <c r="O52" s="235">
        <f>N52/M52</f>
        <v>98.544642857143103</v>
      </c>
      <c r="P52" s="74">
        <f>M52-J52</f>
        <v>0</v>
      </c>
      <c r="Q52" s="83">
        <f>O52-L52</f>
        <v>-13.955357142856897</v>
      </c>
      <c r="R52" s="72">
        <f>O52/L52</f>
        <v>0.87595238095238315</v>
      </c>
      <c r="S52" s="393"/>
      <c r="T52" s="21">
        <v>0.37777777777777799</v>
      </c>
      <c r="U52" s="21">
        <v>0.47499999999999998</v>
      </c>
      <c r="V52" s="30">
        <f>(T52-U51)*24*60</f>
        <v>8.999999999999968</v>
      </c>
      <c r="W52" s="236">
        <f t="shared" si="4"/>
        <v>139.99999999999966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1"/>
        <v>-223.28571428571036</v>
      </c>
      <c r="AG52" s="72">
        <f t="shared" si="12"/>
        <v>0.87595238095238315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1"/>
        <v>0</v>
      </c>
      <c r="AG53" s="72" t="e">
        <f t="shared" si="12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13">AVERAGE(J49:J57)</f>
        <v>17.25</v>
      </c>
      <c r="K58" s="120">
        <f t="shared" si="13"/>
        <v>1677</v>
      </c>
      <c r="L58" s="117">
        <f t="shared" si="13"/>
        <v>97.628267973856197</v>
      </c>
      <c r="M58" s="120">
        <f t="shared" si="13"/>
        <v>17.25</v>
      </c>
      <c r="N58" s="120">
        <f t="shared" si="13"/>
        <v>1389.9992784992914</v>
      </c>
      <c r="O58" s="117">
        <f t="shared" si="13"/>
        <v>81.205902247263268</v>
      </c>
      <c r="P58" s="121">
        <f>M58-J58</f>
        <v>0</v>
      </c>
      <c r="Q58" s="122">
        <f>N58-K58</f>
        <v>-287.00072150070855</v>
      </c>
      <c r="R58" s="123">
        <f>O58/L58</f>
        <v>0.83178677582408134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-287.00072150070855</v>
      </c>
      <c r="AG58" s="124">
        <f>N58/K58</f>
        <v>0.82886063118622033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2359</v>
      </c>
      <c r="H59" s="243">
        <f>F59*G59</f>
        <v>63669.409999999996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1348.000000000013</v>
      </c>
      <c r="O59" s="138">
        <f>N59/M59</f>
        <v>89.866666666667527</v>
      </c>
      <c r="P59" s="56">
        <f>M59-J59</f>
        <v>0</v>
      </c>
      <c r="Q59" s="230">
        <f>O59-L59</f>
        <v>-19.199999999999136</v>
      </c>
      <c r="R59" s="52">
        <f>O59/L59</f>
        <v>0.82396088019560698</v>
      </c>
      <c r="S59" s="392">
        <f>R69</f>
        <v>0.82019977444126402</v>
      </c>
      <c r="T59" s="245">
        <v>0.29166666666666702</v>
      </c>
      <c r="U59" s="245">
        <v>0.36458333333333298</v>
      </c>
      <c r="V59" s="55"/>
      <c r="W59" s="54">
        <f t="shared" si="4"/>
        <v>104.99999999999899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-287.99999999998704</v>
      </c>
      <c r="AG59" s="246">
        <f>N59/K59</f>
        <v>0.82396088019560698</v>
      </c>
      <c r="AH59" s="380">
        <f>AG69</f>
        <v>0.8204003667481623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924</v>
      </c>
      <c r="H60" s="78">
        <f>F60*G60</f>
        <v>26112.240000000002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1385.9999999999882</v>
      </c>
      <c r="O60" s="81">
        <f>N60/M60</f>
        <v>125.99999999999892</v>
      </c>
      <c r="P60" s="74">
        <f>M60-J60</f>
        <v>0</v>
      </c>
      <c r="Q60" s="83">
        <f>O60-L60</f>
        <v>-22.7272727272738</v>
      </c>
      <c r="R60" s="72">
        <f>O60/L60</f>
        <v>0.84718826405867254</v>
      </c>
      <c r="S60" s="402"/>
      <c r="T60" s="22">
        <v>0.375</v>
      </c>
      <c r="U60" s="22">
        <v>0.40277777777777801</v>
      </c>
      <c r="V60" s="30">
        <f>(T60-U59)*24*60</f>
        <v>15.000000000000506</v>
      </c>
      <c r="W60" s="248">
        <f t="shared" si="4"/>
        <v>40.000000000000341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-250.00000000001182</v>
      </c>
      <c r="AG60" s="249">
        <f>N60/K60</f>
        <v>0.84718826405867242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250">
        <f>VLOOKUP(D61,廠價表!$C$1:$E$43,3,0)</f>
        <v>28.26</v>
      </c>
      <c r="G61" s="38">
        <v>481</v>
      </c>
      <c r="H61" s="254">
        <f>F61*G61</f>
        <v>13593.060000000001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961.99999999996749</v>
      </c>
      <c r="O61" s="238">
        <f>N61/M61</f>
        <v>87.454545454542497</v>
      </c>
      <c r="P61" s="111">
        <f>M61-J61</f>
        <v>0</v>
      </c>
      <c r="Q61" s="255">
        <f>O61-L61</f>
        <v>-61.272727272730222</v>
      </c>
      <c r="R61" s="85">
        <f>O61/L61</f>
        <v>0.58801955990218069</v>
      </c>
      <c r="S61" s="393"/>
      <c r="T61" s="22">
        <v>0.40972222222222199</v>
      </c>
      <c r="U61" s="22">
        <v>0.43055555555555602</v>
      </c>
      <c r="V61" s="30">
        <f>(T61-U60)*24*60</f>
        <v>9.999999999999325</v>
      </c>
      <c r="W61" s="256">
        <f t="shared" si="4"/>
        <v>30.000000000001013</v>
      </c>
      <c r="X61" s="22"/>
      <c r="Y61" s="84"/>
      <c r="Z61" s="90"/>
      <c r="AA61" s="90"/>
      <c r="AB61" s="386" t="s">
        <v>137</v>
      </c>
      <c r="AC61" s="386"/>
      <c r="AD61" s="92"/>
      <c r="AE61" s="92"/>
      <c r="AF61" s="317">
        <f>N61-K61</f>
        <v>-674.00000000003251</v>
      </c>
      <c r="AG61" s="247">
        <f>N61/K61</f>
        <v>0.58801955990218058</v>
      </c>
      <c r="AH61" s="382"/>
    </row>
    <row r="62" spans="1:34" ht="15" customHeight="1">
      <c r="A62" s="400"/>
      <c r="B62" s="250" t="s">
        <v>132</v>
      </c>
      <c r="C62" s="251"/>
      <c r="D62" s="257" t="s">
        <v>136</v>
      </c>
      <c r="E62" s="253"/>
      <c r="F62" s="250">
        <f>VLOOKUP(D62,廠價表!$C$1:$E$43,3,0)</f>
        <v>28.26</v>
      </c>
      <c r="G62" s="38">
        <v>1543</v>
      </c>
      <c r="H62" s="254">
        <f t="shared" ref="H62:H63" si="14">F62*G62</f>
        <v>43605.18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15">K62/J62</f>
        <v>148.72727272727272</v>
      </c>
      <c r="M62" s="108">
        <v>11</v>
      </c>
      <c r="N62" s="107">
        <f t="shared" ref="N62:N63" si="16">G62/W62*60</f>
        <v>1542.999999999987</v>
      </c>
      <c r="O62" s="238">
        <f t="shared" ref="O62:O63" si="17">N62/M62</f>
        <v>140.27272727272609</v>
      </c>
      <c r="P62" s="111">
        <f t="shared" ref="P62:P63" si="18">M62-J62</f>
        <v>0</v>
      </c>
      <c r="Q62" s="255">
        <f t="shared" ref="Q62:Q63" si="19">O62-L62</f>
        <v>-8.4545454545466328</v>
      </c>
      <c r="R62" s="85">
        <f t="shared" ref="R62:R63" si="20">O62/L62</f>
        <v>0.94315403422982091</v>
      </c>
      <c r="S62" s="393"/>
      <c r="T62" s="22">
        <v>0.44097222222222199</v>
      </c>
      <c r="U62" s="22">
        <v>0.48263888888888901</v>
      </c>
      <c r="V62" s="30">
        <f>(T62-U61)*24*60</f>
        <v>14.999999999998987</v>
      </c>
      <c r="W62" s="248">
        <f t="shared" si="4"/>
        <v>60.000000000000504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-93.00000000001296</v>
      </c>
      <c r="AG62" s="247">
        <f>N62/K62</f>
        <v>0.94315403422982091</v>
      </c>
      <c r="AH62" s="382"/>
    </row>
    <row r="63" spans="1:34" ht="15" customHeight="1">
      <c r="A63" s="400"/>
      <c r="B63" s="258" t="s">
        <v>132</v>
      </c>
      <c r="C63" s="58"/>
      <c r="D63" s="259" t="s">
        <v>136</v>
      </c>
      <c r="E63" s="60"/>
      <c r="F63" s="250">
        <f>VLOOKUP(D63,廠價表!$C$1:$E$43,3,0)</f>
        <v>28.26</v>
      </c>
      <c r="G63" s="260">
        <v>785</v>
      </c>
      <c r="H63" s="254">
        <f t="shared" si="14"/>
        <v>22184.100000000002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15"/>
        <v>148.72727272727272</v>
      </c>
      <c r="M63" s="68">
        <v>11</v>
      </c>
      <c r="N63" s="107">
        <f t="shared" si="16"/>
        <v>1471.8750000000125</v>
      </c>
      <c r="O63" s="238">
        <f t="shared" si="17"/>
        <v>133.80681818181932</v>
      </c>
      <c r="P63" s="111">
        <f t="shared" si="18"/>
        <v>0</v>
      </c>
      <c r="Q63" s="255">
        <f t="shared" si="19"/>
        <v>-14.920454545453396</v>
      </c>
      <c r="R63" s="85">
        <f t="shared" si="20"/>
        <v>0.89967909535453094</v>
      </c>
      <c r="S63" s="393"/>
      <c r="T63" s="22">
        <v>0.54374999999999996</v>
      </c>
      <c r="U63" s="22">
        <v>0.56597222222222199</v>
      </c>
      <c r="V63" s="30">
        <f>(T63-U62)*24*60</f>
        <v>87.999999999999773</v>
      </c>
      <c r="W63" s="248">
        <f t="shared" si="4"/>
        <v>31.999999999999726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2"/>
      <c r="U66" s="22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1">AVERAGE(J59:J68)</f>
        <v>11.8</v>
      </c>
      <c r="K69" s="240">
        <f t="shared" si="21"/>
        <v>1636</v>
      </c>
      <c r="L69" s="268">
        <f t="shared" si="21"/>
        <v>140.79515151515153</v>
      </c>
      <c r="M69" s="240">
        <f t="shared" si="21"/>
        <v>11.8</v>
      </c>
      <c r="N69" s="240">
        <f t="shared" si="21"/>
        <v>1342.1749999999936</v>
      </c>
      <c r="O69" s="268">
        <f t="shared" si="21"/>
        <v>115.48015151515088</v>
      </c>
      <c r="P69" s="269">
        <f>M69-J69</f>
        <v>0</v>
      </c>
      <c r="Q69" s="222">
        <f>N69-K69</f>
        <v>-293.82500000000641</v>
      </c>
      <c r="R69" s="123">
        <f>O69/L69</f>
        <v>0.82019977444126402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-293.82500000000641</v>
      </c>
      <c r="AG69" s="124">
        <f>N69/K69</f>
        <v>0.8204003667481623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2629</v>
      </c>
      <c r="H70" s="243">
        <f>F70*G70</f>
        <v>115386.81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11</v>
      </c>
      <c r="N70" s="137">
        <f>G70/W70*60</f>
        <v>1087.8620689655224</v>
      </c>
      <c r="O70" s="138">
        <f>N70/M70</f>
        <v>98.896551724138405</v>
      </c>
      <c r="P70" s="56">
        <f>M70-J70</f>
        <v>-2</v>
      </c>
      <c r="Q70" s="230">
        <f>O70-L70</f>
        <v>-21.488063660476982</v>
      </c>
      <c r="R70" s="52">
        <f>O70/L70</f>
        <v>0.82150490250083019</v>
      </c>
      <c r="S70" s="392">
        <f>R79</f>
        <v>0.89543532721841834</v>
      </c>
      <c r="T70" s="245">
        <v>0.29513888888888901</v>
      </c>
      <c r="U70" s="245">
        <v>0.39583333333333298</v>
      </c>
      <c r="V70" s="55"/>
      <c r="W70" s="54">
        <f t="shared" si="4"/>
        <v>144.99999999999932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-477.13793103447756</v>
      </c>
      <c r="AG70" s="246">
        <f>N70/K70</f>
        <v>0.6951195328853178</v>
      </c>
      <c r="AH70" s="380">
        <f>AG79</f>
        <v>0.73984521392076708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250">
        <f>VLOOKUP(D71,廠價表!$C$1:$E$43,3,0)</f>
        <v>52.21</v>
      </c>
      <c r="G71" s="30">
        <v>2006</v>
      </c>
      <c r="H71" s="254">
        <f t="shared" ref="H71:H72" si="22">F71*G71</f>
        <v>104733.26</v>
      </c>
      <c r="I71" s="182"/>
      <c r="J71" s="106">
        <f>VLOOKUP(D71,產線配置圖!$A$3:$C$40,2,0)</f>
        <v>18</v>
      </c>
      <c r="K71" s="107">
        <f>VLOOKUP(D71,產線配置圖!$A$3:$C$40,3,0)</f>
        <v>1636</v>
      </c>
      <c r="L71" s="238">
        <f t="shared" ref="L71:L72" si="23">K71/J71</f>
        <v>90.888888888888886</v>
      </c>
      <c r="M71" s="82">
        <v>14</v>
      </c>
      <c r="N71" s="107">
        <f t="shared" ref="N71:N72" si="24">G71/W71*60</f>
        <v>1180.0000000000061</v>
      </c>
      <c r="O71" s="238">
        <f t="shared" ref="O71:O72" si="25">N71/M71</f>
        <v>84.285714285714718</v>
      </c>
      <c r="P71" s="111">
        <f t="shared" ref="P71:P72" si="26">M71-J71</f>
        <v>-4</v>
      </c>
      <c r="Q71" s="255">
        <f t="shared" ref="Q71:Q72" si="27">O71-L71</f>
        <v>-6.6031746031741676</v>
      </c>
      <c r="R71" s="85">
        <f t="shared" ref="R71:R72" si="28">O71/L71</f>
        <v>0.92734893468390278</v>
      </c>
      <c r="S71" s="393"/>
      <c r="T71" s="22">
        <v>0.40138888888888902</v>
      </c>
      <c r="U71" s="22">
        <v>0.47222222222222199</v>
      </c>
      <c r="V71" s="30">
        <f>(T71-U70)*24*60</f>
        <v>8.000000000000691</v>
      </c>
      <c r="W71" s="73">
        <f t="shared" si="4"/>
        <v>101.99999999999947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 t="s">
        <v>81</v>
      </c>
      <c r="C72" s="76"/>
      <c r="D72" s="59" t="s">
        <v>161</v>
      </c>
      <c r="E72" s="77"/>
      <c r="F72" s="250">
        <f>VLOOKUP(D72,廠價表!$C$1:$E$43,3,0)</f>
        <v>52.21</v>
      </c>
      <c r="G72" s="202">
        <v>1704</v>
      </c>
      <c r="H72" s="254">
        <f t="shared" si="22"/>
        <v>88965.84</v>
      </c>
      <c r="I72" s="182"/>
      <c r="J72" s="106">
        <f>VLOOKUP(D72,產線配置圖!$A$3:$C$40,2,0)</f>
        <v>18</v>
      </c>
      <c r="K72" s="107">
        <f>VLOOKUP(D72,產線配置圖!$A$3:$C$40,3,0)</f>
        <v>1636</v>
      </c>
      <c r="L72" s="238">
        <f t="shared" si="23"/>
        <v>90.888888888888886</v>
      </c>
      <c r="M72" s="82">
        <v>15</v>
      </c>
      <c r="N72" s="107">
        <f t="shared" si="24"/>
        <v>1310.7692307692218</v>
      </c>
      <c r="O72" s="238">
        <f t="shared" si="25"/>
        <v>87.38461538461479</v>
      </c>
      <c r="P72" s="111">
        <f t="shared" si="26"/>
        <v>-3</v>
      </c>
      <c r="Q72" s="255">
        <f t="shared" si="27"/>
        <v>-3.5042735042740958</v>
      </c>
      <c r="R72" s="85">
        <f t="shared" si="28"/>
        <v>0.96144442354710657</v>
      </c>
      <c r="S72" s="393"/>
      <c r="T72" s="22">
        <v>0.53263888888888899</v>
      </c>
      <c r="U72" s="22">
        <v>0.58680555555555602</v>
      </c>
      <c r="V72" s="30">
        <f>(T72-U71)*24*60</f>
        <v>87.000000000000483</v>
      </c>
      <c r="W72" s="73">
        <f t="shared" si="4"/>
        <v>78.000000000000526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29">AVERAGE(J70:J78)</f>
        <v>16.333333333333332</v>
      </c>
      <c r="K79" s="240">
        <f t="shared" si="29"/>
        <v>1612.3333333333333</v>
      </c>
      <c r="L79" s="268">
        <f t="shared" si="29"/>
        <v>100.72079772079773</v>
      </c>
      <c r="M79" s="240">
        <f t="shared" si="29"/>
        <v>13.333333333333334</v>
      </c>
      <c r="N79" s="240">
        <f t="shared" si="29"/>
        <v>1192.8770999115834</v>
      </c>
      <c r="O79" s="268">
        <f t="shared" si="29"/>
        <v>90.188960464822642</v>
      </c>
      <c r="P79" s="269">
        <f>M79-J79</f>
        <v>-2.9999999999999982</v>
      </c>
      <c r="Q79" s="222">
        <f>N79-K79</f>
        <v>-419.45623342174986</v>
      </c>
      <c r="R79" s="223">
        <f>O79/L79</f>
        <v>0.89543532721841834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-419.45623342174986</v>
      </c>
      <c r="AG79" s="124">
        <f>N79/K79</f>
        <v>0.73984521392076708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58" priority="1" operator="greaterThan">
      <formula>0</formula>
    </cfRule>
  </conditionalFormatting>
  <conditionalFormatting sqref="Q5:Q79 AF5:AF79">
    <cfRule type="cellIs" dxfId="57" priority="4" operator="lessThan">
      <formula>0</formula>
    </cfRule>
  </conditionalFormatting>
  <conditionalFormatting sqref="R5:R79 AG5:AG79">
    <cfRule type="cellIs" dxfId="56" priority="2" operator="greaterThan">
      <formula>1</formula>
    </cfRule>
    <cfRule type="cellIs" dxfId="55" priority="3" operator="lessThan">
      <formula>0.8</formula>
    </cfRule>
  </conditionalFormatting>
  <conditionalFormatting sqref="S5:S10 S37:S62 AH59:AH62 S69:S76 AH69:AH76">
    <cfRule type="cellIs" dxfId="54" priority="7" operator="lessThan">
      <formula>0.8</formula>
    </cfRule>
  </conditionalFormatting>
  <conditionalFormatting sqref="S19:S25 AH19:AH25">
    <cfRule type="cellIs" dxfId="53" priority="6" operator="lessThan">
      <formula>0.8</formula>
    </cfRule>
  </conditionalFormatting>
  <conditionalFormatting sqref="S79">
    <cfRule type="cellIs" dxfId="52" priority="5" operator="lessThan">
      <formula>0.8</formula>
    </cfRule>
  </conditionalFormatting>
  <conditionalFormatting sqref="AH5:AH8 S15:S16 AH15:AH16 AH49 AH79">
    <cfRule type="cellIs" dxfId="51" priority="9" operator="lessThan">
      <formula>0.8</formula>
    </cfRule>
  </conditionalFormatting>
  <conditionalFormatting sqref="AH27 S27:S28">
    <cfRule type="cellIs" dxfId="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F0B2-EFC1-4CBE-9069-EFB616D3E8E9}">
  <dimension ref="B1:O26"/>
  <sheetViews>
    <sheetView topLeftCell="B1" zoomScale="70" zoomScaleNormal="70" workbookViewId="0">
      <selection activeCell="S4" sqref="S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46291</v>
      </c>
      <c r="E3" s="504"/>
      <c r="F3" s="3" t="s">
        <v>72</v>
      </c>
      <c r="G3" s="505">
        <f>'0926'!E1</f>
        <v>41604</v>
      </c>
      <c r="H3" s="505"/>
      <c r="I3" s="3" t="s">
        <v>2</v>
      </c>
      <c r="J3" s="506">
        <f>'0926'!G1</f>
        <v>1989532.3729999997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125.97698339242456</v>
      </c>
      <c r="G6" s="501"/>
      <c r="H6" s="502">
        <f>AVERAGE(D13:H13)</f>
        <v>127.00198550360312</v>
      </c>
      <c r="I6" s="502"/>
      <c r="J6" s="502">
        <f>AVERAGE(I13:J13)</f>
        <v>123.41447811447813</v>
      </c>
      <c r="K6" s="502"/>
      <c r="L6" s="492">
        <f>'0926'!Z2</f>
        <v>0</v>
      </c>
      <c r="M6" s="493">
        <f>'0926'!AA2</f>
        <v>0</v>
      </c>
      <c r="N6" s="494">
        <f>'0926'!AD2</f>
        <v>0</v>
      </c>
      <c r="O6" s="493">
        <f>'0926'!AE2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113.64317666843583</v>
      </c>
      <c r="G7" s="490"/>
      <c r="H7" s="491">
        <f>AVERAGE(D14:H14)</f>
        <v>116.35611380450223</v>
      </c>
      <c r="I7" s="491"/>
      <c r="J7" s="491">
        <f>AVERAGE(I14:J14)</f>
        <v>106.86083382826985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0.90102466639835554</v>
      </c>
      <c r="G8" s="496"/>
      <c r="H8" s="496">
        <f>AVERAGE(D15:H15)</f>
        <v>0.91176561551575919</v>
      </c>
      <c r="I8" s="496"/>
      <c r="J8" s="496">
        <f>AVERAGE(I15:J15)</f>
        <v>0.87417229360484638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VALUE('0926'!L15)</f>
        <v>164.83516483516482</v>
      </c>
      <c r="E13" s="13">
        <f>VALUE('0926'!L26)</f>
        <v>174.10714285714286</v>
      </c>
      <c r="F13" s="13">
        <f>VALUE('0926'!L37)</f>
        <v>96.458061002178638</v>
      </c>
      <c r="G13" s="13">
        <f>VALUE('0926'!L48)</f>
        <v>99.006944444444443</v>
      </c>
      <c r="H13" s="13">
        <f>VALUE('0926'!L58)</f>
        <v>100.60261437908495</v>
      </c>
      <c r="I13" s="13">
        <f>VALUE('0926'!L69)</f>
        <v>138.81212121212121</v>
      </c>
      <c r="J13" s="13">
        <f>'0926'!L79</f>
        <v>108.01683501683503</v>
      </c>
    </row>
    <row r="14" spans="2:15" ht="39.950000000000003" customHeight="1">
      <c r="B14" s="484"/>
      <c r="C14" s="12" t="s">
        <v>100</v>
      </c>
      <c r="D14" s="13">
        <f>VALUE('0926'!O15)</f>
        <v>150.53449629188489</v>
      </c>
      <c r="E14" s="13">
        <f>VALUE('0926'!O26)</f>
        <v>165.31324157569983</v>
      </c>
      <c r="F14" s="13">
        <f>VALUE('0926'!O37)</f>
        <v>87.713133378778323</v>
      </c>
      <c r="G14" s="13">
        <f>VALUE('0926'!O48)</f>
        <v>95.085574894514437</v>
      </c>
      <c r="H14" s="13">
        <f>VALUE('0926'!O58)</f>
        <v>83.13412288163363</v>
      </c>
      <c r="I14" s="13">
        <f>VALUE('0926'!O69)</f>
        <v>112.1080303730789</v>
      </c>
      <c r="J14" s="13">
        <f>'0926'!O79</f>
        <v>101.61363728346078</v>
      </c>
    </row>
    <row r="15" spans="2:15" ht="39.950000000000003" customHeight="1">
      <c r="B15" s="485"/>
      <c r="C15" s="10" t="s">
        <v>26</v>
      </c>
      <c r="D15" s="14">
        <f t="shared" ref="D15:I15" si="0">D14/D13</f>
        <v>0.91324261083743508</v>
      </c>
      <c r="E15" s="14">
        <f t="shared" si="0"/>
        <v>0.94949143879376308</v>
      </c>
      <c r="F15" s="14">
        <f t="shared" si="0"/>
        <v>0.90933958725126351</v>
      </c>
      <c r="G15" s="14">
        <f t="shared" si="0"/>
        <v>0.96039298483622637</v>
      </c>
      <c r="H15" s="14">
        <f t="shared" si="0"/>
        <v>0.82636145586010756</v>
      </c>
      <c r="I15" s="14">
        <f t="shared" si="0"/>
        <v>0.80762421461570111</v>
      </c>
      <c r="J15" s="15">
        <f>'0926'!S70</f>
        <v>0.94072037259399166</v>
      </c>
    </row>
    <row r="16" spans="2:15" ht="17.25" customHeight="1">
      <c r="B16" s="486" t="s">
        <v>101</v>
      </c>
      <c r="C16" s="10" t="s">
        <v>34</v>
      </c>
      <c r="D16" s="16">
        <f>'0926'!T5</f>
        <v>0.29166666666666702</v>
      </c>
      <c r="E16" s="16">
        <f>'0926'!T16</f>
        <v>0.29027777777777802</v>
      </c>
      <c r="F16" s="16">
        <f>'0926'!T27</f>
        <v>0.28819444444444398</v>
      </c>
      <c r="G16" s="16">
        <f>'0926'!T38</f>
        <v>0.33333333333333298</v>
      </c>
      <c r="H16" s="16">
        <f>'0926'!T49</f>
        <v>0.29166666666666702</v>
      </c>
      <c r="I16" s="16">
        <f>'0926'!T59</f>
        <v>0.29166666666666702</v>
      </c>
      <c r="J16" s="17">
        <f>'0926'!T70</f>
        <v>0.359722222222222</v>
      </c>
    </row>
    <row r="17" spans="2:10" ht="17.25" customHeight="1">
      <c r="B17" s="487"/>
      <c r="C17" s="10" t="s">
        <v>35</v>
      </c>
      <c r="D17" s="18">
        <v>0.44097222222222199</v>
      </c>
      <c r="E17" s="183">
        <v>0.42499999999999999</v>
      </c>
      <c r="F17" s="19">
        <v>0.43333333333333302</v>
      </c>
      <c r="G17" s="110">
        <v>0.49652777777777801</v>
      </c>
      <c r="H17" s="21">
        <v>0.55555555555555602</v>
      </c>
      <c r="I17" s="110">
        <v>0.49652777777777801</v>
      </c>
      <c r="J17" s="22">
        <v>0.625</v>
      </c>
    </row>
    <row r="18" spans="2:10" ht="17.25" customHeight="1">
      <c r="B18" s="488" t="s">
        <v>102</v>
      </c>
      <c r="C18" s="330" t="s">
        <v>36</v>
      </c>
      <c r="D18" s="359">
        <f>'0926'!Z15</f>
        <v>0</v>
      </c>
      <c r="E18" s="360">
        <f>'0926'!Z26</f>
        <v>0</v>
      </c>
      <c r="F18" s="360">
        <f>'0926'!Z37</f>
        <v>0</v>
      </c>
      <c r="G18" s="361">
        <f>'0926'!Z48</f>
        <v>0</v>
      </c>
      <c r="H18" s="361">
        <f>'0926'!Z58</f>
        <v>0</v>
      </c>
      <c r="I18" s="360">
        <f>'0926'!Z69</f>
        <v>0</v>
      </c>
      <c r="J18" s="360">
        <f>'0926'!AA79</f>
        <v>0</v>
      </c>
    </row>
    <row r="19" spans="2:10" ht="17.25" customHeight="1">
      <c r="B19" s="489"/>
      <c r="C19" s="330" t="s">
        <v>37</v>
      </c>
      <c r="D19" s="359">
        <f>'0926'!AA15</f>
        <v>0</v>
      </c>
      <c r="E19" s="360">
        <f>'0926'!AA26</f>
        <v>0</v>
      </c>
      <c r="F19" s="360">
        <f>'0926'!AA37</f>
        <v>0</v>
      </c>
      <c r="G19" s="361">
        <f>'0926'!AA48</f>
        <v>0</v>
      </c>
      <c r="H19" s="361">
        <f>'0926'!AA58</f>
        <v>0</v>
      </c>
      <c r="I19" s="360">
        <f>'0926'!AA69</f>
        <v>0</v>
      </c>
      <c r="J19" s="360">
        <f>'0926'!AB79</f>
        <v>0</v>
      </c>
    </row>
    <row r="20" spans="2:10" ht="17.25" customHeight="1">
      <c r="B20" s="488" t="s">
        <v>103</v>
      </c>
      <c r="C20" s="330" t="s">
        <v>36</v>
      </c>
      <c r="D20" s="359">
        <f>'0926'!AD15</f>
        <v>0</v>
      </c>
      <c r="E20" s="360">
        <f>'0926'!AD26</f>
        <v>0</v>
      </c>
      <c r="F20" s="360">
        <f>'0926'!AD37</f>
        <v>0</v>
      </c>
      <c r="G20" s="361">
        <f>'0926'!AD48</f>
        <v>0</v>
      </c>
      <c r="H20" s="361">
        <f>'0926'!AD58</f>
        <v>0</v>
      </c>
      <c r="I20" s="360">
        <f>'0926'!AD69</f>
        <v>0</v>
      </c>
      <c r="J20" s="360">
        <f>'0926'!AD79</f>
        <v>0</v>
      </c>
    </row>
    <row r="21" spans="2:10" ht="17.25" customHeight="1">
      <c r="B21" s="489"/>
      <c r="C21" s="330" t="s">
        <v>85</v>
      </c>
      <c r="D21" s="359">
        <f>'0926'!AE15</f>
        <v>0</v>
      </c>
      <c r="E21" s="360">
        <f>'0926'!AE26</f>
        <v>0</v>
      </c>
      <c r="F21" s="360">
        <f>'0926'!AE37</f>
        <v>0</v>
      </c>
      <c r="G21" s="361">
        <f>'0926'!AE48</f>
        <v>0</v>
      </c>
      <c r="H21" s="361">
        <f>'0926'!AE58</f>
        <v>0</v>
      </c>
      <c r="I21" s="360">
        <f>'0926'!AE69</f>
        <v>0</v>
      </c>
      <c r="J21" s="360">
        <f>'0926'!AE79</f>
        <v>0</v>
      </c>
    </row>
    <row r="22" spans="2:10" ht="17.25" customHeight="1">
      <c r="B22" s="471" t="s">
        <v>104</v>
      </c>
      <c r="C22" s="472"/>
      <c r="D22" s="23">
        <f>VALUE('0926'!M15)</f>
        <v>13.666666666666666</v>
      </c>
      <c r="E22" s="23">
        <f>VALUE('0926'!M26)</f>
        <v>13</v>
      </c>
      <c r="F22" s="23">
        <f>VALUE('0926'!M37)</f>
        <v>15.333333333333334</v>
      </c>
      <c r="G22" s="23">
        <f>VALUE('0926'!M48)</f>
        <v>17</v>
      </c>
      <c r="H22" s="23">
        <f>VALUE('0926'!M58)</f>
        <v>16.600000000000001</v>
      </c>
      <c r="I22" s="23">
        <f>VALUE('0926'!M69)</f>
        <v>11.75</v>
      </c>
      <c r="J22" s="23">
        <f>'0926'!M79</f>
        <v>11.666666666666666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3E090-448C-4E99-8CBD-D23167831219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AB28" sqref="AB28:AC2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41604</v>
      </c>
      <c r="F1" s="30" t="s">
        <v>2</v>
      </c>
      <c r="G1" s="31">
        <f>SUM(H5:H79)</f>
        <v>1989532.3729999997</v>
      </c>
      <c r="H1" s="32" t="s">
        <v>3</v>
      </c>
      <c r="I1" s="33">
        <f>M15+M26+M48+M58+M69+M79+M37</f>
        <v>99.016666666666666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199</v>
      </c>
      <c r="B2" s="462"/>
      <c r="C2" s="28"/>
      <c r="D2" s="28" t="s">
        <v>14</v>
      </c>
      <c r="E2" s="35">
        <f>AVERAGE(O15,O26,O37,O48,O58,O69,O79)</f>
        <v>113.64317666843583</v>
      </c>
      <c r="F2" s="36" t="s">
        <v>15</v>
      </c>
      <c r="G2" s="37">
        <f>G1/E1</f>
        <v>47.820699283722711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0</v>
      </c>
      <c r="AA2" s="339">
        <f>AA15+AA26+AA37+AA48+AA58+AA69+AA79</f>
        <v>0</v>
      </c>
      <c r="AB2" s="433"/>
      <c r="AC2" s="433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2018</v>
      </c>
      <c r="H5" s="43">
        <f>F5*G5</f>
        <v>114763.65999999999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2087.5862068965935</v>
      </c>
      <c r="O5" s="47">
        <f>N5/M5</f>
        <v>149.11330049261383</v>
      </c>
      <c r="P5" s="49">
        <f>M5-J5</f>
        <v>0</v>
      </c>
      <c r="Q5" s="50">
        <f>O5-L5</f>
        <v>-11.600985221671891</v>
      </c>
      <c r="R5" s="51">
        <f>O5/L5</f>
        <v>0.92781609195404158</v>
      </c>
      <c r="S5" s="392">
        <f>R15</f>
        <v>0.91324261083743508</v>
      </c>
      <c r="T5" s="319">
        <v>0.29166666666666702</v>
      </c>
      <c r="U5" s="320">
        <v>0.33194444444444399</v>
      </c>
      <c r="V5" s="53"/>
      <c r="W5" s="54">
        <f t="shared" ref="W5:W14" si="0">(U5-T5)*24*60</f>
        <v>57.999999999998835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-162.41379310340653</v>
      </c>
      <c r="AG5" s="52">
        <f t="shared" ref="AG5:AG11" si="2">N5/K5</f>
        <v>0.92781609195404158</v>
      </c>
      <c r="AH5" s="380">
        <f>AG15</f>
        <v>0.91419266557197298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920</v>
      </c>
      <c r="H6" s="63">
        <f>F6*G6</f>
        <v>53516.4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1971.4285714285163</v>
      </c>
      <c r="O6" s="67">
        <f>N6/M6</f>
        <v>151.64835164834741</v>
      </c>
      <c r="P6" s="69">
        <f>M6-J6</f>
        <v>0</v>
      </c>
      <c r="Q6" s="70">
        <f>O6-L6</f>
        <v>-21.428571428575651</v>
      </c>
      <c r="R6" s="71">
        <f>O6/L6</f>
        <v>0.87619047619045176</v>
      </c>
      <c r="S6" s="393"/>
      <c r="T6" s="16">
        <v>0.33819444444444402</v>
      </c>
      <c r="U6" s="16">
        <v>0.35763888888888901</v>
      </c>
      <c r="V6" s="30">
        <f>(T6-U5)*24*60</f>
        <v>9.000000000000048</v>
      </c>
      <c r="W6" s="73">
        <f t="shared" si="0"/>
        <v>28.000000000000782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-278.57142857148369</v>
      </c>
      <c r="AG6" s="72">
        <f t="shared" si="2"/>
        <v>0.87619047619045165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3942</v>
      </c>
      <c r="H7" s="78">
        <f>F7*G7</f>
        <v>193709.88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2111.7857142857083</v>
      </c>
      <c r="O7" s="81">
        <f>N7/M7</f>
        <v>150.84183673469346</v>
      </c>
      <c r="P7" s="74">
        <f>M7-J7</f>
        <v>0</v>
      </c>
      <c r="Q7" s="83">
        <f>O7-L7</f>
        <v>-9.8724489795922636</v>
      </c>
      <c r="R7" s="72">
        <f>O7/L7</f>
        <v>0.93857142857142595</v>
      </c>
      <c r="S7" s="393"/>
      <c r="T7" s="18">
        <v>0.36319444444444399</v>
      </c>
      <c r="U7" s="18">
        <v>0.44097222222222199</v>
      </c>
      <c r="V7" s="30">
        <f>(T7-U6)*24*60</f>
        <v>7.9999999999991722</v>
      </c>
      <c r="W7" s="73">
        <f t="shared" si="0"/>
        <v>112.00000000000033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-138.21428571429169</v>
      </c>
      <c r="AG7" s="72">
        <f t="shared" si="2"/>
        <v>0.93857142857142595</v>
      </c>
      <c r="AH7" s="382"/>
    </row>
    <row r="8" spans="1:34" ht="15" customHeight="1">
      <c r="A8" s="466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93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0</v>
      </c>
      <c r="AG8" s="72" t="e">
        <f t="shared" si="2"/>
        <v>#DIV/0!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13.666666666666666</v>
      </c>
      <c r="K15" s="120">
        <f t="shared" si="3"/>
        <v>2250</v>
      </c>
      <c r="L15" s="117">
        <f t="shared" si="3"/>
        <v>164.83516483516482</v>
      </c>
      <c r="M15" s="120">
        <f t="shared" si="3"/>
        <v>13.666666666666666</v>
      </c>
      <c r="N15" s="120">
        <f t="shared" si="3"/>
        <v>2056.9334975369393</v>
      </c>
      <c r="O15" s="117">
        <f t="shared" si="3"/>
        <v>150.53449629188489</v>
      </c>
      <c r="P15" s="121">
        <f>M15-J15</f>
        <v>0</v>
      </c>
      <c r="Q15" s="122">
        <f>O15-L15</f>
        <v>-14.300668543279926</v>
      </c>
      <c r="R15" s="123">
        <f>O15/L15</f>
        <v>0.91324261083743508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-193.06650246306071</v>
      </c>
      <c r="AG15" s="124">
        <f>N15/K15</f>
        <v>0.91419266557197298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3041</v>
      </c>
      <c r="H16" s="134">
        <f>F16*G16</f>
        <v>154087.47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2121.6279069767538</v>
      </c>
      <c r="O16" s="141">
        <f>N16/M16</f>
        <v>151.54485049833957</v>
      </c>
      <c r="P16" s="142">
        <f>M16-J16</f>
        <v>0</v>
      </c>
      <c r="Q16" s="143">
        <f>O16-L16</f>
        <v>-9.1694352159461516</v>
      </c>
      <c r="R16" s="144">
        <f>O16/L16</f>
        <v>0.94294573643411284</v>
      </c>
      <c r="S16" s="420">
        <f>R26</f>
        <v>0.94949143879376308</v>
      </c>
      <c r="T16" s="145">
        <v>0.29027777777777802</v>
      </c>
      <c r="U16" s="145">
        <v>0.35</v>
      </c>
      <c r="V16" s="135"/>
      <c r="W16" s="146">
        <f t="shared" ref="W16:W78" si="4">(U16-T16)*24*60</f>
        <v>85.999999999999616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-128.37209302324618</v>
      </c>
      <c r="AG16" s="52">
        <f>N16/K16</f>
        <v>0.94294573643411284</v>
      </c>
      <c r="AH16" s="380">
        <f>AG26</f>
        <v>0.94902388862521669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3510</v>
      </c>
      <c r="H17" s="78">
        <f>F17*G17</f>
        <v>176868.9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2148.9795918367213</v>
      </c>
      <c r="O17" s="96">
        <f>N17/M17</f>
        <v>179.0816326530601</v>
      </c>
      <c r="P17" s="97">
        <f>M17-J17</f>
        <v>0</v>
      </c>
      <c r="Q17" s="98">
        <f>O17-L17</f>
        <v>-8.4183673469399025</v>
      </c>
      <c r="R17" s="99">
        <f>O17/L17</f>
        <v>0.95510204081632055</v>
      </c>
      <c r="S17" s="421"/>
      <c r="T17" s="19">
        <v>0.35694444444444401</v>
      </c>
      <c r="U17" s="19">
        <v>0.42499999999999999</v>
      </c>
      <c r="V17" s="30">
        <f>(T17-U16)*24*60</f>
        <v>9.9999999999994049</v>
      </c>
      <c r="W17" s="149">
        <f t="shared" si="4"/>
        <v>98.000000000000611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-101.02040816327872</v>
      </c>
      <c r="AG17" s="72">
        <f>N17/K17</f>
        <v>0.95510204081632055</v>
      </c>
      <c r="AH17" s="382"/>
    </row>
    <row r="18" spans="1:34" ht="15" customHeight="1">
      <c r="A18" s="427"/>
      <c r="B18" s="75"/>
      <c r="C18" s="76"/>
      <c r="D18" s="59"/>
      <c r="E18" s="77"/>
      <c r="F18" s="75"/>
      <c r="G18" s="147"/>
      <c r="H18" s="78"/>
      <c r="I18" s="30"/>
      <c r="J18" s="79"/>
      <c r="K18" s="80"/>
      <c r="L18" s="81"/>
      <c r="M18" s="148"/>
      <c r="N18" s="95"/>
      <c r="O18" s="96"/>
      <c r="P18" s="97"/>
      <c r="Q18" s="98"/>
      <c r="R18" s="99"/>
      <c r="S18" s="421"/>
      <c r="T18" s="19"/>
      <c r="U18" s="19"/>
      <c r="V18" s="30"/>
      <c r="W18" s="149">
        <f t="shared" si="4"/>
        <v>0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0</v>
      </c>
      <c r="AG18" s="72" t="e">
        <f>N18/K18</f>
        <v>#DIV/0!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174.10714285714286</v>
      </c>
      <c r="M26" s="155">
        <f t="shared" si="5"/>
        <v>13</v>
      </c>
      <c r="N26" s="155">
        <f t="shared" si="5"/>
        <v>2135.3037494067376</v>
      </c>
      <c r="O26" s="158">
        <f t="shared" si="5"/>
        <v>165.31324157569983</v>
      </c>
      <c r="P26" s="159">
        <f>M26-J26</f>
        <v>0</v>
      </c>
      <c r="Q26" s="160">
        <f>O26-L26</f>
        <v>-8.7939012814430271</v>
      </c>
      <c r="R26" s="161">
        <f>O26/L26</f>
        <v>0.94949143879376308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-114.69625059326245</v>
      </c>
      <c r="AG26" s="124">
        <f t="shared" ref="AG26:AG31" si="7">N26/K26</f>
        <v>0.94902388862521669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194</v>
      </c>
      <c r="E27" s="132"/>
      <c r="F27" s="129">
        <f>VLOOKUP(D27,廠價表!$C$1:$E$43,3,0)</f>
        <v>61.65</v>
      </c>
      <c r="G27" s="169">
        <v>3778</v>
      </c>
      <c r="H27" s="134">
        <f>F27*G27</f>
        <v>232913.69999999998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16</v>
      </c>
      <c r="N27" s="140">
        <f>G27/W27*60</f>
        <v>1390.6748466257595</v>
      </c>
      <c r="O27" s="141">
        <f>N27/M27</f>
        <v>86.917177914109971</v>
      </c>
      <c r="P27" s="142">
        <f>M27-J27</f>
        <v>-2</v>
      </c>
      <c r="Q27" s="143">
        <f>O27-L27</f>
        <v>-3.9717109747789152</v>
      </c>
      <c r="R27" s="144">
        <f>O27/L27</f>
        <v>0.95630146849265252</v>
      </c>
      <c r="S27" s="420">
        <f>R37</f>
        <v>0.90933958725126351</v>
      </c>
      <c r="T27" s="171">
        <v>0.28819444444444398</v>
      </c>
      <c r="U27" s="171">
        <v>0.40138888888888902</v>
      </c>
      <c r="V27" s="135"/>
      <c r="W27" s="146">
        <f t="shared" si="4"/>
        <v>163.00000000000085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6"/>
        <v>-245.32515337424047</v>
      </c>
      <c r="AG27" s="172">
        <f t="shared" si="7"/>
        <v>0.85004574977124669</v>
      </c>
      <c r="AH27" s="380">
        <f>AG37</f>
        <v>0.82192505704138841</v>
      </c>
    </row>
    <row r="28" spans="1:34" ht="15" customHeight="1">
      <c r="A28" s="418"/>
      <c r="B28" s="75" t="s">
        <v>81</v>
      </c>
      <c r="C28" s="173"/>
      <c r="D28" s="59" t="s">
        <v>124</v>
      </c>
      <c r="E28" s="104"/>
      <c r="F28" s="75">
        <f>VLOOKUP(D28,廠價表!$C$1:$E$43,3,0)</f>
        <v>46.34</v>
      </c>
      <c r="G28" s="90">
        <v>445</v>
      </c>
      <c r="H28" s="91">
        <f>F28*G28</f>
        <v>20621.300000000003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15</v>
      </c>
      <c r="N28" s="95">
        <f>G28/W28*60</f>
        <v>1483.3333333333321</v>
      </c>
      <c r="O28" s="96">
        <f>N28/M28</f>
        <v>98.888888888888815</v>
      </c>
      <c r="P28" s="97">
        <f>M28-J28</f>
        <v>-1</v>
      </c>
      <c r="Q28" s="98">
        <f>O28-L28</f>
        <v>-3.3611111111111853</v>
      </c>
      <c r="R28" s="99">
        <f>O28/L28</f>
        <v>0.96712849769084419</v>
      </c>
      <c r="S28" s="421"/>
      <c r="T28" s="19">
        <v>0.406944444444444</v>
      </c>
      <c r="U28" s="19">
        <v>0.41944444444444401</v>
      </c>
      <c r="V28" s="92">
        <f>(T28-U27)*24*60</f>
        <v>7.9999999999991722</v>
      </c>
      <c r="W28" s="149">
        <f t="shared" si="4"/>
        <v>18.000000000000014</v>
      </c>
      <c r="X28" s="174"/>
      <c r="Y28" s="301"/>
      <c r="Z28" s="335"/>
      <c r="AA28" s="335"/>
      <c r="AB28" s="386" t="s">
        <v>137</v>
      </c>
      <c r="AC28" s="386"/>
      <c r="AD28" s="92"/>
      <c r="AE28" s="92"/>
      <c r="AF28" s="311">
        <f t="shared" si="6"/>
        <v>-152.66666666666788</v>
      </c>
      <c r="AG28" s="99">
        <f t="shared" si="7"/>
        <v>0.90668296658516634</v>
      </c>
      <c r="AH28" s="381"/>
    </row>
    <row r="29" spans="1:34" ht="15" customHeight="1">
      <c r="A29" s="418"/>
      <c r="B29" s="75" t="s">
        <v>81</v>
      </c>
      <c r="C29" s="173"/>
      <c r="D29" s="59" t="s">
        <v>126</v>
      </c>
      <c r="E29" s="104"/>
      <c r="F29" s="75">
        <f>VLOOKUP(D29,廠價表!$C$1:$E$43,3,0)</f>
        <v>45.66</v>
      </c>
      <c r="G29" s="90">
        <v>232</v>
      </c>
      <c r="H29" s="91">
        <f>F29*G29</f>
        <v>10593.119999999999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15</v>
      </c>
      <c r="N29" s="95">
        <f>G29/W29*60</f>
        <v>1160.0000000000427</v>
      </c>
      <c r="O29" s="96">
        <f>N29/M29</f>
        <v>77.333333333336185</v>
      </c>
      <c r="P29" s="97">
        <f>M29-J29</f>
        <v>-2</v>
      </c>
      <c r="Q29" s="98">
        <f>O29-L29</f>
        <v>-18.901960784310873</v>
      </c>
      <c r="R29" s="99">
        <f>O29/L29</f>
        <v>0.80358598207011933</v>
      </c>
      <c r="S29" s="421"/>
      <c r="T29" s="19">
        <v>0.42499999999999999</v>
      </c>
      <c r="U29" s="19">
        <v>0.43333333333333302</v>
      </c>
      <c r="V29" s="92">
        <f>(T29-U28)*24*60</f>
        <v>8.0000000000006111</v>
      </c>
      <c r="W29" s="149">
        <f t="shared" si="4"/>
        <v>11.999999999999558</v>
      </c>
      <c r="X29" s="22"/>
      <c r="Y29" s="84"/>
      <c r="Z29" s="90"/>
      <c r="AA29" s="90"/>
      <c r="AB29" s="386" t="s">
        <v>137</v>
      </c>
      <c r="AC29" s="386"/>
      <c r="AD29" s="92"/>
      <c r="AE29" s="92"/>
      <c r="AF29" s="312">
        <f t="shared" si="6"/>
        <v>-475.99999999995725</v>
      </c>
      <c r="AG29" s="99">
        <f t="shared" si="7"/>
        <v>0.7090464547677523</v>
      </c>
      <c r="AH29" s="381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/>
      <c r="U30" s="19"/>
      <c r="V30" s="92"/>
      <c r="W30" s="149">
        <f t="shared" si="4"/>
        <v>0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0</v>
      </c>
      <c r="AG30" s="99" t="e">
        <f t="shared" si="7"/>
        <v>#DIV/0!</v>
      </c>
      <c r="AH30" s="416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0</v>
      </c>
      <c r="AG31" s="99" t="e">
        <f t="shared" si="7"/>
        <v>#DIV/0!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8">AVERAGE(J27:J36)</f>
        <v>17</v>
      </c>
      <c r="K37" s="155">
        <f t="shared" si="8"/>
        <v>1636</v>
      </c>
      <c r="L37" s="158">
        <f t="shared" si="8"/>
        <v>96.458061002178638</v>
      </c>
      <c r="M37" s="155">
        <f t="shared" si="8"/>
        <v>15.333333333333334</v>
      </c>
      <c r="N37" s="155">
        <f t="shared" si="8"/>
        <v>1344.6693933197114</v>
      </c>
      <c r="O37" s="158">
        <f t="shared" si="8"/>
        <v>87.713133378778323</v>
      </c>
      <c r="P37" s="159">
        <f>M37-J37</f>
        <v>-1.6666666666666661</v>
      </c>
      <c r="Q37" s="160">
        <f>N37-K37</f>
        <v>-291.33060668028861</v>
      </c>
      <c r="R37" s="161">
        <f>O37/L37</f>
        <v>0.90933958725126351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-291.33060668028861</v>
      </c>
      <c r="AG37" s="124">
        <f>N37/K37</f>
        <v>0.82192505704138841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1597</v>
      </c>
      <c r="H38" s="134">
        <f>F38*G38</f>
        <v>79706.26999999999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1596.9999999999866</v>
      </c>
      <c r="O38" s="141">
        <f>N38/M38</f>
        <v>99.812499999999162</v>
      </c>
      <c r="P38" s="142">
        <f>M38-J38</f>
        <v>0</v>
      </c>
      <c r="Q38" s="143">
        <f>O38-L38</f>
        <v>-7.3125000000008384</v>
      </c>
      <c r="R38" s="144">
        <f>O38/L38</f>
        <v>0.93173862310384281</v>
      </c>
      <c r="S38" s="410">
        <f>R48</f>
        <v>0.96039298483622637</v>
      </c>
      <c r="T38" s="191">
        <v>0.33333333333333298</v>
      </c>
      <c r="U38" s="191">
        <v>0.375</v>
      </c>
      <c r="V38" s="192"/>
      <c r="W38" s="193">
        <f t="shared" si="4"/>
        <v>60.000000000000504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-117.00000000001342</v>
      </c>
      <c r="AG38" s="195">
        <f>N38/K38</f>
        <v>0.93173862310384281</v>
      </c>
      <c r="AH38" s="413">
        <f>AG48</f>
        <v>0.96222558095597666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4283</v>
      </c>
      <c r="H39" s="91">
        <f>F39*G39</f>
        <v>189736.9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1626.4556962025349</v>
      </c>
      <c r="O39" s="203">
        <f>N39/M39</f>
        <v>90.358649789029712</v>
      </c>
      <c r="P39" s="97">
        <f>M39-J39</f>
        <v>0</v>
      </c>
      <c r="Q39" s="98">
        <f>O39-L39</f>
        <v>-0.53023909985917328</v>
      </c>
      <c r="R39" s="99">
        <f>O39/L39</f>
        <v>0.99416607347343211</v>
      </c>
      <c r="S39" s="411"/>
      <c r="T39" s="20">
        <v>0.38680555555555601</v>
      </c>
      <c r="U39" s="20">
        <v>0.49652777777777801</v>
      </c>
      <c r="V39" s="92">
        <f>(T39-U38)*24*60</f>
        <v>17.000000000000661</v>
      </c>
      <c r="W39" s="205">
        <f t="shared" si="4"/>
        <v>157.99999999999969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-9.5443037974650906</v>
      </c>
      <c r="AG39" s="206">
        <f>N39/K39</f>
        <v>0.99416607347343211</v>
      </c>
      <c r="AH39" s="414"/>
    </row>
    <row r="40" spans="1:34" ht="15" customHeight="1">
      <c r="A40" s="408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393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0</v>
      </c>
      <c r="AG40" s="206" t="e">
        <f>N40/K40</f>
        <v>#DIV/0!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0">AVERAGE(J38:J47)</f>
        <v>17</v>
      </c>
      <c r="K48" s="155">
        <f t="shared" si="10"/>
        <v>1675</v>
      </c>
      <c r="L48" s="158">
        <f t="shared" si="10"/>
        <v>99.006944444444443</v>
      </c>
      <c r="M48" s="155">
        <f t="shared" si="10"/>
        <v>17</v>
      </c>
      <c r="N48" s="155">
        <f t="shared" si="10"/>
        <v>1611.7278481012609</v>
      </c>
      <c r="O48" s="158">
        <f t="shared" si="10"/>
        <v>95.085574894514437</v>
      </c>
      <c r="P48" s="221">
        <f>M48-J48</f>
        <v>0</v>
      </c>
      <c r="Q48" s="222">
        <f>N48-K48</f>
        <v>-63.272151898739139</v>
      </c>
      <c r="R48" s="223">
        <f>O48/L48</f>
        <v>0.96039298483622637</v>
      </c>
      <c r="S48" s="396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1">N48-K48</f>
        <v>-63.272151898739139</v>
      </c>
      <c r="AG48" s="162">
        <f t="shared" ref="AG48:AG53" si="12">N48/K48</f>
        <v>0.96222558095597666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v>298</v>
      </c>
      <c r="H49" s="134">
        <f>F49*G49</f>
        <v>14873.179999999998</v>
      </c>
      <c r="I49" s="135"/>
      <c r="J49" s="136">
        <f>VLOOKUP(D49,產線配置圖!$A$3:$C$40,2,0)</f>
        <v>18</v>
      </c>
      <c r="K49" s="137">
        <v>1636</v>
      </c>
      <c r="L49" s="138">
        <f>K49/J49</f>
        <v>90.888888888888886</v>
      </c>
      <c r="M49" s="170">
        <v>17</v>
      </c>
      <c r="N49" s="140">
        <f>G49/W49*60</f>
        <v>1192.0000000000805</v>
      </c>
      <c r="O49" s="141">
        <f>N49/M49</f>
        <v>70.117647058828268</v>
      </c>
      <c r="P49" s="229">
        <f>M49-J49</f>
        <v>-1</v>
      </c>
      <c r="Q49" s="230">
        <f>O49-L49</f>
        <v>-20.771241830060617</v>
      </c>
      <c r="R49" s="52">
        <f>O49/L49</f>
        <v>0.77146555443698583</v>
      </c>
      <c r="S49" s="392">
        <f>R58</f>
        <v>0.82636145586010756</v>
      </c>
      <c r="T49" s="191">
        <v>0.29166666666666702</v>
      </c>
      <c r="U49" s="191">
        <v>0.30208333333333298</v>
      </c>
      <c r="V49" s="55"/>
      <c r="W49" s="193">
        <f t="shared" si="4"/>
        <v>14.999999999998987</v>
      </c>
      <c r="X49" s="55"/>
      <c r="Y49" s="290"/>
      <c r="Z49" s="169"/>
      <c r="AA49" s="169"/>
      <c r="AB49" s="386" t="s">
        <v>137</v>
      </c>
      <c r="AC49" s="386"/>
      <c r="AD49" s="135"/>
      <c r="AE49" s="135"/>
      <c r="AF49" s="229">
        <f t="shared" si="11"/>
        <v>-443.99999999991951</v>
      </c>
      <c r="AG49" s="52">
        <f t="shared" si="12"/>
        <v>0.72860635696826437</v>
      </c>
      <c r="AH49" s="380">
        <f>AG58</f>
        <v>0.80844750971800616</v>
      </c>
    </row>
    <row r="50" spans="1:34" ht="15" customHeight="1">
      <c r="A50" s="405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1457</v>
      </c>
      <c r="H50" s="231">
        <f>F50*G50</f>
        <v>73271.073000000004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1507.2413793103378</v>
      </c>
      <c r="O50" s="235">
        <f>N50/M50</f>
        <v>88.661257606490466</v>
      </c>
      <c r="P50" s="74">
        <f>M50-J50</f>
        <v>0</v>
      </c>
      <c r="Q50" s="83">
        <f>O50-L50</f>
        <v>-7.5740365111565922</v>
      </c>
      <c r="R50" s="72">
        <f>O50/L50</f>
        <v>0.92129668662001096</v>
      </c>
      <c r="S50" s="393"/>
      <c r="T50" s="21">
        <v>0.30694444444444402</v>
      </c>
      <c r="U50" s="21">
        <v>0.34722222222222199</v>
      </c>
      <c r="V50" s="30">
        <f>(T50-U49)*24*60</f>
        <v>6.9999999999998952</v>
      </c>
      <c r="W50" s="236">
        <f t="shared" si="4"/>
        <v>58.00000000000027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1"/>
        <v>-128.75862068966217</v>
      </c>
      <c r="AG50" s="72">
        <f t="shared" si="12"/>
        <v>0.92129668662001085</v>
      </c>
      <c r="AH50" s="382"/>
    </row>
    <row r="51" spans="1:34" ht="15" customHeight="1">
      <c r="A51" s="405"/>
      <c r="B51" s="75" t="s">
        <v>81</v>
      </c>
      <c r="C51" s="76"/>
      <c r="D51" s="59" t="s">
        <v>123</v>
      </c>
      <c r="E51" s="77"/>
      <c r="F51" s="75">
        <f>VLOOKUP(D51,廠價表!$C$1:$E$43,3,0)</f>
        <v>57.21</v>
      </c>
      <c r="G51" s="202">
        <v>565</v>
      </c>
      <c r="H51" s="231">
        <f>F51*G51</f>
        <v>32323.65</v>
      </c>
      <c r="I51" s="232"/>
      <c r="J51" s="79">
        <f>VLOOKUP(D51,產線配置圖!$A$3:$C$40,2,0)</f>
        <v>18</v>
      </c>
      <c r="K51" s="80">
        <f>VLOOKUP(D51,產線配置圖!$A$3:$C$40,3,0)</f>
        <v>1636</v>
      </c>
      <c r="L51" s="81">
        <f>K51/J51</f>
        <v>90.888888888888886</v>
      </c>
      <c r="M51" s="233">
        <v>17</v>
      </c>
      <c r="N51" s="234">
        <f>G51/W51*60</f>
        <v>1168.9655172413741</v>
      </c>
      <c r="O51" s="235">
        <f>N51/M51</f>
        <v>68.762677484786707</v>
      </c>
      <c r="P51" s="74">
        <f>M51-J51</f>
        <v>-1</v>
      </c>
      <c r="Q51" s="83">
        <f>O51-L51</f>
        <v>-22.126211404102179</v>
      </c>
      <c r="R51" s="72">
        <f>O51/L51</f>
        <v>0.75655757623848463</v>
      </c>
      <c r="S51" s="393"/>
      <c r="T51" s="21">
        <v>0.35347222222222202</v>
      </c>
      <c r="U51" s="19">
        <v>0.37361111111111101</v>
      </c>
      <c r="V51" s="30">
        <f>(T51-U50)*24*60</f>
        <v>9.000000000000048</v>
      </c>
      <c r="W51" s="236">
        <f t="shared" si="4"/>
        <v>29.000000000000135</v>
      </c>
      <c r="X51" s="22"/>
      <c r="Y51" s="84"/>
      <c r="Z51" s="90"/>
      <c r="AA51" s="90"/>
      <c r="AB51" s="386" t="s">
        <v>137</v>
      </c>
      <c r="AC51" s="386"/>
      <c r="AD51" s="92"/>
      <c r="AE51" s="92"/>
      <c r="AF51" s="307">
        <f t="shared" si="11"/>
        <v>-467.03448275862593</v>
      </c>
      <c r="AG51" s="72">
        <f t="shared" si="12"/>
        <v>0.71452659978079103</v>
      </c>
      <c r="AH51" s="382"/>
    </row>
    <row r="52" spans="1:34" ht="15" customHeight="1">
      <c r="A52" s="405"/>
      <c r="B52" s="75" t="s">
        <v>81</v>
      </c>
      <c r="C52" s="86"/>
      <c r="D52" s="59" t="s">
        <v>131</v>
      </c>
      <c r="E52" s="87"/>
      <c r="F52" s="75">
        <f>VLOOKUP(D52,廠價表!$C$1:$E$43,3,0)</f>
        <v>49.97</v>
      </c>
      <c r="G52" s="202">
        <v>3127</v>
      </c>
      <c r="H52" s="231">
        <f t="shared" ref="H52:H53" si="13">F52*G52</f>
        <v>156256.19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14">K52/J52</f>
        <v>112.5</v>
      </c>
      <c r="M52" s="233">
        <v>16</v>
      </c>
      <c r="N52" s="234">
        <f t="shared" ref="N52:N53" si="15">G52/W52*60</f>
        <v>1513.0645161290161</v>
      </c>
      <c r="O52" s="235">
        <f t="shared" ref="O52:O53" si="16">N52/M52</f>
        <v>94.566532258063503</v>
      </c>
      <c r="P52" s="74">
        <f t="shared" ref="P52:P53" si="17">M52-J52</f>
        <v>0</v>
      </c>
      <c r="Q52" s="83">
        <f t="shared" ref="Q52:Q53" si="18">O52-L52</f>
        <v>-17.933467741936497</v>
      </c>
      <c r="R52" s="72">
        <f t="shared" ref="R52:R53" si="19">O52/L52</f>
        <v>0.84059139784945336</v>
      </c>
      <c r="S52" s="393"/>
      <c r="T52" s="21">
        <v>0.38194444444444398</v>
      </c>
      <c r="U52" s="21">
        <v>0.468055555555556</v>
      </c>
      <c r="V52" s="30">
        <f t="shared" ref="V52:V53" si="20">(T52-U51)*24*60</f>
        <v>11.999999999999478</v>
      </c>
      <c r="W52" s="236">
        <f t="shared" si="4"/>
        <v>124.00000000000132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1"/>
        <v>-286.93548387098394</v>
      </c>
      <c r="AG52" s="72">
        <f t="shared" si="12"/>
        <v>0.84059139784945336</v>
      </c>
      <c r="AH52" s="382"/>
    </row>
    <row r="53" spans="1:34" ht="15" customHeight="1">
      <c r="A53" s="405"/>
      <c r="B53" s="101" t="s">
        <v>81</v>
      </c>
      <c r="C53" s="102"/>
      <c r="D53" s="103" t="s">
        <v>131</v>
      </c>
      <c r="E53" s="104"/>
      <c r="F53" s="75">
        <f>VLOOKUP(D53,廠價表!$C$1:$E$43,3,0)</f>
        <v>49.97</v>
      </c>
      <c r="G53" s="202">
        <v>998</v>
      </c>
      <c r="H53" s="231">
        <f t="shared" si="13"/>
        <v>49870.06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14"/>
        <v>112.5</v>
      </c>
      <c r="M53" s="108">
        <v>16</v>
      </c>
      <c r="N53" s="234">
        <f t="shared" si="15"/>
        <v>1496.9999999999873</v>
      </c>
      <c r="O53" s="235">
        <f t="shared" si="16"/>
        <v>93.562499999999204</v>
      </c>
      <c r="P53" s="74">
        <f t="shared" si="17"/>
        <v>0</v>
      </c>
      <c r="Q53" s="83">
        <f t="shared" si="18"/>
        <v>-18.937500000000796</v>
      </c>
      <c r="R53" s="72">
        <f t="shared" si="19"/>
        <v>0.83166666666665956</v>
      </c>
      <c r="S53" s="393"/>
      <c r="T53" s="21">
        <v>0.52777777777777801</v>
      </c>
      <c r="U53" s="21">
        <v>0.55555555555555602</v>
      </c>
      <c r="V53" s="30">
        <f t="shared" si="20"/>
        <v>85.999999999999687</v>
      </c>
      <c r="W53" s="236">
        <f t="shared" si="4"/>
        <v>40.000000000000341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1"/>
        <v>-303.00000000001273</v>
      </c>
      <c r="AG53" s="72">
        <f t="shared" si="12"/>
        <v>0.83166666666665956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1">AVERAGE(J49:J57)</f>
        <v>17</v>
      </c>
      <c r="K58" s="120">
        <f t="shared" si="21"/>
        <v>1701.6</v>
      </c>
      <c r="L58" s="117">
        <f t="shared" si="21"/>
        <v>100.60261437908495</v>
      </c>
      <c r="M58" s="120">
        <f t="shared" si="21"/>
        <v>16.600000000000001</v>
      </c>
      <c r="N58" s="120">
        <f t="shared" si="21"/>
        <v>1375.6542825361591</v>
      </c>
      <c r="O58" s="117">
        <f t="shared" si="21"/>
        <v>83.13412288163363</v>
      </c>
      <c r="P58" s="121">
        <f>M58-J58</f>
        <v>-0.39999999999999858</v>
      </c>
      <c r="Q58" s="122">
        <f>N58-K58</f>
        <v>-325.94571746384077</v>
      </c>
      <c r="R58" s="123">
        <f>O58/L58</f>
        <v>0.82636145586010756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-325.94571746384077</v>
      </c>
      <c r="AG58" s="124">
        <f>N58/K58</f>
        <v>0.80844750971800616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2281</v>
      </c>
      <c r="H59" s="243">
        <f>F59*G59</f>
        <v>61564.189999999995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1520.6666666666667</v>
      </c>
      <c r="O59" s="138">
        <f>N59/M59</f>
        <v>101.37777777777778</v>
      </c>
      <c r="P59" s="56">
        <f>M59-J59</f>
        <v>0</v>
      </c>
      <c r="Q59" s="230">
        <f>O59-L59</f>
        <v>-7.6888888888888829</v>
      </c>
      <c r="R59" s="52">
        <f>O59/L59</f>
        <v>0.92950285248573761</v>
      </c>
      <c r="S59" s="392">
        <f>R69</f>
        <v>0.80762421461570111</v>
      </c>
      <c r="T59" s="245">
        <v>0.29166666666666702</v>
      </c>
      <c r="U59" s="245">
        <v>0.35416666666666702</v>
      </c>
      <c r="V59" s="55"/>
      <c r="W59" s="54">
        <f t="shared" si="4"/>
        <v>90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-115.33333333333326</v>
      </c>
      <c r="AG59" s="246">
        <f>N59/K59</f>
        <v>0.92950285248573761</v>
      </c>
      <c r="AH59" s="380">
        <f>AG69</f>
        <v>0.79507981534294825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841</v>
      </c>
      <c r="H60" s="78">
        <f>F60*G60</f>
        <v>23766.66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1441.7142857143203</v>
      </c>
      <c r="O60" s="81">
        <f>N60/M60</f>
        <v>131.06493506493823</v>
      </c>
      <c r="P60" s="74">
        <f>M60-J60</f>
        <v>0</v>
      </c>
      <c r="Q60" s="83">
        <f>O60-L60</f>
        <v>-17.662337662334494</v>
      </c>
      <c r="R60" s="72">
        <f>O60/L60</f>
        <v>0.88124345092562384</v>
      </c>
      <c r="S60" s="402"/>
      <c r="T60" s="22">
        <v>0.36805555555555602</v>
      </c>
      <c r="U60" s="22">
        <v>0.39236111111111099</v>
      </c>
      <c r="V60" s="30">
        <f>(T60-U59)*24*60</f>
        <v>20.000000000000171</v>
      </c>
      <c r="W60" s="248">
        <f t="shared" si="4"/>
        <v>34.999999999999154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-194.28571428567966</v>
      </c>
      <c r="AG60" s="249">
        <f>N60/K60</f>
        <v>0.88124345092562373</v>
      </c>
      <c r="AH60" s="403"/>
    </row>
    <row r="61" spans="1:34" ht="15" customHeight="1">
      <c r="A61" s="400"/>
      <c r="B61" s="250" t="s">
        <v>132</v>
      </c>
      <c r="C61" s="251"/>
      <c r="D61" s="252" t="s">
        <v>136</v>
      </c>
      <c r="E61" s="253"/>
      <c r="F61" s="250">
        <f>VLOOKUP(D61,廠價表!$C$1:$E$43,3,0)</f>
        <v>28.26</v>
      </c>
      <c r="G61" s="38">
        <v>2322</v>
      </c>
      <c r="H61" s="78">
        <f t="shared" ref="H61:H62" si="22">F61*G61</f>
        <v>65619.72</v>
      </c>
      <c r="I61" s="30"/>
      <c r="J61" s="79">
        <f>VLOOKUP(D61,產線配置圖!$A$3:$C$40,2,0)</f>
        <v>11</v>
      </c>
      <c r="K61" s="80">
        <f>VLOOKUP(D61,產線配置圖!$A$3:$C$40,3,0)</f>
        <v>1636</v>
      </c>
      <c r="L61" s="81">
        <f t="shared" ref="L61:L62" si="23">K61/J61</f>
        <v>148.72727272727272</v>
      </c>
      <c r="M61" s="108">
        <v>10</v>
      </c>
      <c r="N61" s="107">
        <f>G61/W61*60</f>
        <v>1352.6213592232962</v>
      </c>
      <c r="O61" s="238">
        <f>N61/M61</f>
        <v>135.26213592232961</v>
      </c>
      <c r="P61" s="111">
        <f>M61-J61</f>
        <v>-1</v>
      </c>
      <c r="Q61" s="255">
        <f>O61-L61</f>
        <v>-13.465136804943114</v>
      </c>
      <c r="R61" s="85">
        <f>O61/L61</f>
        <v>0.90946423908656826</v>
      </c>
      <c r="S61" s="393"/>
      <c r="T61" s="22">
        <v>0.39722222222222198</v>
      </c>
      <c r="U61" s="22">
        <v>0.46875</v>
      </c>
      <c r="V61" s="30">
        <f>(T61-U60)*24*60</f>
        <v>6.9999999999998153</v>
      </c>
      <c r="W61" s="256">
        <f t="shared" si="4"/>
        <v>103.00000000000036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-283.37864077670383</v>
      </c>
      <c r="AG61" s="247">
        <f>N61/K61</f>
        <v>0.82678567189688035</v>
      </c>
      <c r="AH61" s="382"/>
    </row>
    <row r="62" spans="1:34" ht="15" customHeight="1">
      <c r="A62" s="400"/>
      <c r="B62" s="250" t="s">
        <v>132</v>
      </c>
      <c r="C62" s="251"/>
      <c r="D62" s="257" t="s">
        <v>135</v>
      </c>
      <c r="E62" s="253"/>
      <c r="F62" s="250">
        <f>VLOOKUP(D62,廠價表!$C$1:$E$43,3,0)</f>
        <v>28.26</v>
      </c>
      <c r="G62" s="38">
        <v>444</v>
      </c>
      <c r="H62" s="78">
        <f t="shared" si="22"/>
        <v>12547.44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 t="shared" si="23"/>
        <v>148.72727272727272</v>
      </c>
      <c r="M62" s="108">
        <v>11</v>
      </c>
      <c r="N62" s="107">
        <f>G62/W62*60</f>
        <v>887.99999999996999</v>
      </c>
      <c r="O62" s="238">
        <f>N62/M62</f>
        <v>80.727272727270005</v>
      </c>
      <c r="P62" s="111">
        <f>M62-J62</f>
        <v>0</v>
      </c>
      <c r="Q62" s="255">
        <f>O62-L62</f>
        <v>-68.000000000002714</v>
      </c>
      <c r="R62" s="85">
        <f>O62/L62</f>
        <v>0.54278728606355142</v>
      </c>
      <c r="S62" s="393"/>
      <c r="T62" s="22">
        <v>0.47569444444444398</v>
      </c>
      <c r="U62" s="22">
        <v>0.49652777777777801</v>
      </c>
      <c r="V62" s="30">
        <f>(T62-U61)*24*60</f>
        <v>9.999999999999325</v>
      </c>
      <c r="W62" s="248">
        <f t="shared" si="4"/>
        <v>30.000000000001013</v>
      </c>
      <c r="X62" s="22"/>
      <c r="Y62" s="84"/>
      <c r="Z62" s="90"/>
      <c r="AA62" s="90"/>
      <c r="AB62" s="386" t="s">
        <v>137</v>
      </c>
      <c r="AC62" s="386"/>
      <c r="AD62" s="92"/>
      <c r="AE62" s="92"/>
      <c r="AF62" s="317">
        <f>N62-K62</f>
        <v>-748.00000000003001</v>
      </c>
      <c r="AG62" s="247">
        <f>N62/K62</f>
        <v>0.54278728606355131</v>
      </c>
      <c r="AH62" s="382"/>
    </row>
    <row r="63" spans="1:34" ht="15" customHeight="1">
      <c r="A63" s="400"/>
      <c r="B63" s="258"/>
      <c r="C63" s="58"/>
      <c r="D63" s="259"/>
      <c r="E63" s="60"/>
      <c r="F63" s="250"/>
      <c r="G63" s="260"/>
      <c r="H63" s="78"/>
      <c r="I63" s="30"/>
      <c r="J63" s="79"/>
      <c r="K63" s="80"/>
      <c r="L63" s="81"/>
      <c r="M63" s="68"/>
      <c r="N63" s="107"/>
      <c r="O63" s="238"/>
      <c r="P63" s="111"/>
      <c r="Q63" s="255"/>
      <c r="R63" s="85"/>
      <c r="S63" s="39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4">AVERAGE(J59:J68)</f>
        <v>12</v>
      </c>
      <c r="K69" s="240">
        <f t="shared" si="24"/>
        <v>1636</v>
      </c>
      <c r="L69" s="268">
        <f t="shared" si="24"/>
        <v>138.81212121212121</v>
      </c>
      <c r="M69" s="240">
        <f t="shared" si="24"/>
        <v>11.75</v>
      </c>
      <c r="N69" s="240">
        <f t="shared" si="24"/>
        <v>1300.7505779010633</v>
      </c>
      <c r="O69" s="268">
        <f t="shared" si="24"/>
        <v>112.1080303730789</v>
      </c>
      <c r="P69" s="269">
        <f>M69-J69</f>
        <v>-0.25</v>
      </c>
      <c r="Q69" s="222">
        <f>N69-K69</f>
        <v>-335.24942209893675</v>
      </c>
      <c r="R69" s="123">
        <f>O69/L69</f>
        <v>0.80762421461570111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-335.24942209893675</v>
      </c>
      <c r="AG69" s="124">
        <f>N69/K69</f>
        <v>0.79507981534294825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1742</v>
      </c>
      <c r="H70" s="243">
        <f>F70*G70</f>
        <v>76456.38</v>
      </c>
      <c r="I70" s="55"/>
      <c r="J70" s="136">
        <v>11</v>
      </c>
      <c r="K70" s="137">
        <f>VLOOKUP(D70,產線配置圖!$A$3:$C$40,3,0)</f>
        <v>1565</v>
      </c>
      <c r="L70" s="138">
        <f>K70/J70</f>
        <v>142.27272727272728</v>
      </c>
      <c r="M70" s="244">
        <v>11</v>
      </c>
      <c r="N70" s="137">
        <f>G70/W70*60</f>
        <v>1451.666666666667</v>
      </c>
      <c r="O70" s="138">
        <f>N70/M70</f>
        <v>131.969696969697</v>
      </c>
      <c r="P70" s="56">
        <f>M70-J70</f>
        <v>0</v>
      </c>
      <c r="Q70" s="230">
        <f>O70-L70</f>
        <v>-10.303030303030283</v>
      </c>
      <c r="R70" s="52">
        <f>O70/L70</f>
        <v>0.9275825346112887</v>
      </c>
      <c r="S70" s="392">
        <f>R79</f>
        <v>0.94072037259399166</v>
      </c>
      <c r="T70" s="245">
        <v>0.359722222222222</v>
      </c>
      <c r="U70" s="245">
        <v>0.40972222222222199</v>
      </c>
      <c r="V70" s="55"/>
      <c r="W70" s="54">
        <f t="shared" si="4"/>
        <v>71.999999999999986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-113.33333333333303</v>
      </c>
      <c r="AG70" s="246">
        <f>N70/K70</f>
        <v>0.92758253461128881</v>
      </c>
      <c r="AH70" s="380">
        <f>AG79</f>
        <v>0.72955870341418372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250">
        <f>VLOOKUP(D71,廠價表!$C$1:$E$43,3,0)</f>
        <v>52.21</v>
      </c>
      <c r="G71" s="30">
        <v>1575</v>
      </c>
      <c r="H71" s="78">
        <f t="shared" ref="H71:H72" si="25">F71*G71</f>
        <v>82230.75</v>
      </c>
      <c r="I71" s="30"/>
      <c r="J71" s="79">
        <f>VLOOKUP(D71,產線配置圖!$A$3:$C$40,2,0)</f>
        <v>18</v>
      </c>
      <c r="K71" s="80">
        <f>VLOOKUP(D71,產線配置圖!$A$3:$C$40,3,0)</f>
        <v>1636</v>
      </c>
      <c r="L71" s="81">
        <f t="shared" ref="L71:L72" si="26">K71/J71</f>
        <v>90.888888888888886</v>
      </c>
      <c r="M71" s="82">
        <v>11</v>
      </c>
      <c r="N71" s="107">
        <f>G71/W71*60</f>
        <v>935.64356435643458</v>
      </c>
      <c r="O71" s="238">
        <f>N71/M71</f>
        <v>85.058505850584964</v>
      </c>
      <c r="P71" s="111">
        <f>M71-J71</f>
        <v>-7</v>
      </c>
      <c r="Q71" s="255">
        <f>O71-L71</f>
        <v>-5.8303830383039212</v>
      </c>
      <c r="R71" s="85">
        <f>O71/L71</f>
        <v>0.93585153136340427</v>
      </c>
      <c r="S71" s="393"/>
      <c r="T71" s="22">
        <v>0.41597222222222202</v>
      </c>
      <c r="U71" s="22">
        <v>0.48611111111111099</v>
      </c>
      <c r="V71" s="30">
        <f t="shared" ref="V71:V72" si="27">(T71-U70)*24*60</f>
        <v>9.000000000000048</v>
      </c>
      <c r="W71" s="73">
        <f t="shared" si="4"/>
        <v>101.00000000000011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 t="s">
        <v>81</v>
      </c>
      <c r="C72" s="76"/>
      <c r="D72" s="59" t="s">
        <v>161</v>
      </c>
      <c r="E72" s="77"/>
      <c r="F72" s="250">
        <f>VLOOKUP(D72,廠價表!$C$1:$E$43,3,0)</f>
        <v>52.21</v>
      </c>
      <c r="G72" s="202">
        <v>2188</v>
      </c>
      <c r="H72" s="78">
        <f t="shared" si="25"/>
        <v>114235.48</v>
      </c>
      <c r="I72" s="30"/>
      <c r="J72" s="79">
        <f>VLOOKUP(D72,產線配置圖!$A$3:$C$40,2,0)</f>
        <v>18</v>
      </c>
      <c r="K72" s="80">
        <f>VLOOKUP(D72,產線配置圖!$A$3:$C$40,3,0)</f>
        <v>1636</v>
      </c>
      <c r="L72" s="81">
        <f t="shared" si="26"/>
        <v>90.888888888888886</v>
      </c>
      <c r="M72" s="82">
        <v>13</v>
      </c>
      <c r="N72" s="107">
        <f>G72/W72*60</f>
        <v>1141.5652173913052</v>
      </c>
      <c r="O72" s="238">
        <f>N72/M72</f>
        <v>87.812709030100393</v>
      </c>
      <c r="P72" s="111">
        <f>M72-J72</f>
        <v>-5</v>
      </c>
      <c r="Q72" s="255">
        <f>O72-L72</f>
        <v>-3.0761798587884925</v>
      </c>
      <c r="R72" s="85">
        <f>O72/L72</f>
        <v>0.966154500331178</v>
      </c>
      <c r="S72" s="393"/>
      <c r="T72" s="22">
        <v>0.54513888888888895</v>
      </c>
      <c r="U72" s="22">
        <v>0.625</v>
      </c>
      <c r="V72" s="30">
        <f t="shared" si="27"/>
        <v>85.000000000000256</v>
      </c>
      <c r="W72" s="73">
        <f t="shared" si="4"/>
        <v>114.99999999999991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28">AVERAGE(J70:J78)</f>
        <v>15.666666666666666</v>
      </c>
      <c r="K79" s="240">
        <f t="shared" si="28"/>
        <v>1612.3333333333333</v>
      </c>
      <c r="L79" s="268">
        <f t="shared" si="28"/>
        <v>108.01683501683503</v>
      </c>
      <c r="M79" s="240">
        <f t="shared" si="28"/>
        <v>11.666666666666666</v>
      </c>
      <c r="N79" s="240">
        <f t="shared" si="28"/>
        <v>1176.2918161381356</v>
      </c>
      <c r="O79" s="268">
        <f t="shared" si="28"/>
        <v>101.61363728346078</v>
      </c>
      <c r="P79" s="269">
        <f>M79-J79</f>
        <v>-4</v>
      </c>
      <c r="Q79" s="222">
        <f>N79-K79</f>
        <v>-436.04151719519768</v>
      </c>
      <c r="R79" s="223">
        <f>O79/L79</f>
        <v>0.94072037259399166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-436.04151719519768</v>
      </c>
      <c r="AG79" s="124">
        <f>N79/K79</f>
        <v>0.72955870341418372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48" priority="1" operator="greaterThan">
      <formula>0</formula>
    </cfRule>
  </conditionalFormatting>
  <conditionalFormatting sqref="Q5:Q79 AF5:AF79">
    <cfRule type="cellIs" dxfId="47" priority="4" operator="lessThan">
      <formula>0</formula>
    </cfRule>
  </conditionalFormatting>
  <conditionalFormatting sqref="R5:R79 AG5:AG79">
    <cfRule type="cellIs" dxfId="46" priority="2" operator="greaterThan">
      <formula>1</formula>
    </cfRule>
    <cfRule type="cellIs" dxfId="45" priority="3" operator="lessThan">
      <formula>0.8</formula>
    </cfRule>
  </conditionalFormatting>
  <conditionalFormatting sqref="S5:S10 S37:S62 AH59:AH62 S69:S76 AH69:AH76">
    <cfRule type="cellIs" dxfId="44" priority="7" operator="lessThan">
      <formula>0.8</formula>
    </cfRule>
  </conditionalFormatting>
  <conditionalFormatting sqref="S19:S25 AH19:AH25">
    <cfRule type="cellIs" dxfId="43" priority="6" operator="lessThan">
      <formula>0.8</formula>
    </cfRule>
  </conditionalFormatting>
  <conditionalFormatting sqref="S79">
    <cfRule type="cellIs" dxfId="42" priority="5" operator="lessThan">
      <formula>0.8</formula>
    </cfRule>
  </conditionalFormatting>
  <conditionalFormatting sqref="AH5:AH8 S15:S16 AH15:AH16 AH49 AH79">
    <cfRule type="cellIs" dxfId="41" priority="9" operator="lessThan">
      <formula>0.8</formula>
    </cfRule>
  </conditionalFormatting>
  <conditionalFormatting sqref="AH27 S27:S28">
    <cfRule type="cellIs" dxfId="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649B-9E9F-4A0B-A8FF-713D2A5F894A}">
  <dimension ref="B1:O26"/>
  <sheetViews>
    <sheetView topLeftCell="B1" zoomScale="70" zoomScaleNormal="70" workbookViewId="0">
      <selection activeCell="H17" sqref="H1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46292</v>
      </c>
      <c r="E3" s="504"/>
      <c r="F3" s="3" t="s">
        <v>72</v>
      </c>
      <c r="G3" s="505">
        <f>'0927'!E1</f>
        <v>47995</v>
      </c>
      <c r="H3" s="505"/>
      <c r="I3" s="3" t="s">
        <v>2</v>
      </c>
      <c r="J3" s="506">
        <f>'0927'!G1</f>
        <v>2312283.54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125.73105428340723</v>
      </c>
      <c r="G6" s="501"/>
      <c r="H6" s="502">
        <f>AVERAGE(D13:H13)</f>
        <v>127.84750293279706</v>
      </c>
      <c r="I6" s="502"/>
      <c r="J6" s="502">
        <f>AVERAGE(I13:J13)</f>
        <v>120.43993265993265</v>
      </c>
      <c r="K6" s="502"/>
      <c r="L6" s="492">
        <f>'0927'!Z2</f>
        <v>1</v>
      </c>
      <c r="M6" s="493">
        <f>'0927'!AA2</f>
        <v>16</v>
      </c>
      <c r="N6" s="494">
        <f>'0927'!AD2</f>
        <v>0</v>
      </c>
      <c r="O6" s="493">
        <f>'0927'!AE2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111.90207771295664</v>
      </c>
      <c r="G7" s="490"/>
      <c r="H7" s="491">
        <f>AVERAGE(D14:H14)</f>
        <v>114.25977928349653</v>
      </c>
      <c r="I7" s="491"/>
      <c r="J7" s="491">
        <f>AVERAGE(I14:J14)</f>
        <v>106.00782378660695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0.891139668575477</v>
      </c>
      <c r="G8" s="496"/>
      <c r="H8" s="496">
        <f>AVERAGE(D15:H15)</f>
        <v>0.89358343487293579</v>
      </c>
      <c r="I8" s="496"/>
      <c r="J8" s="496">
        <f>AVERAGE(I15:J15)</f>
        <v>0.88503025283183012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VALUE('0927'!L15)</f>
        <v>164.83516483516482</v>
      </c>
      <c r="E13" s="13">
        <f>VALUE('0927'!L26)</f>
        <v>174.10714285714286</v>
      </c>
      <c r="F13" s="13">
        <f>VALUE('0927'!L37)</f>
        <v>96.569444444444443</v>
      </c>
      <c r="G13" s="13">
        <f>VALUE('0927'!L48)</f>
        <v>96.300925925925924</v>
      </c>
      <c r="H13" s="13">
        <f>VALUE('0927'!L58)</f>
        <v>107.42483660130719</v>
      </c>
      <c r="I13" s="13">
        <f>VALUE('0927'!L69)</f>
        <v>132.86303030303029</v>
      </c>
      <c r="J13" s="13">
        <f>'0927'!L79</f>
        <v>108.01683501683503</v>
      </c>
    </row>
    <row r="14" spans="2:15" ht="39.950000000000003" customHeight="1">
      <c r="B14" s="484"/>
      <c r="C14" s="12" t="s">
        <v>100</v>
      </c>
      <c r="D14" s="13">
        <f>VALUE('0927'!O15)</f>
        <v>154.1217114826143</v>
      </c>
      <c r="E14" s="13">
        <f>VALUE('0927'!O26)</f>
        <v>151.2609069275519</v>
      </c>
      <c r="F14" s="13">
        <f>VALUE('0927'!O37)</f>
        <v>89.168920912844357</v>
      </c>
      <c r="G14" s="13">
        <f>VALUE('0927'!O48)</f>
        <v>88.771040504486905</v>
      </c>
      <c r="H14" s="13">
        <f>VALUE('0927'!O58)</f>
        <v>87.976316589985231</v>
      </c>
      <c r="I14" s="13">
        <f>VALUE('0927'!O69)</f>
        <v>111.32960640891704</v>
      </c>
      <c r="J14" s="13">
        <f>'0927'!O79</f>
        <v>100.68604116429685</v>
      </c>
    </row>
    <row r="15" spans="2:15" ht="39.950000000000003" customHeight="1">
      <c r="B15" s="485"/>
      <c r="C15" s="10" t="s">
        <v>26</v>
      </c>
      <c r="D15" s="14">
        <f t="shared" ref="D15:I15" si="0">D14/D13</f>
        <v>0.93500504966119358</v>
      </c>
      <c r="E15" s="14">
        <f t="shared" si="0"/>
        <v>0.86878059363516991</v>
      </c>
      <c r="F15" s="14">
        <f t="shared" si="0"/>
        <v>0.92336578537678615</v>
      </c>
      <c r="G15" s="14">
        <f t="shared" si="0"/>
        <v>0.92180879520067172</v>
      </c>
      <c r="H15" s="14">
        <f t="shared" si="0"/>
        <v>0.81895695049085793</v>
      </c>
      <c r="I15" s="14">
        <f t="shared" si="0"/>
        <v>0.83792764740499737</v>
      </c>
      <c r="J15" s="15">
        <f>'0927'!S70</f>
        <v>0.93213285825866277</v>
      </c>
    </row>
    <row r="16" spans="2:15" ht="17.25" customHeight="1">
      <c r="B16" s="486" t="s">
        <v>101</v>
      </c>
      <c r="C16" s="10" t="s">
        <v>34</v>
      </c>
      <c r="D16" s="16">
        <f>'0927'!T5</f>
        <v>0.29861111111111099</v>
      </c>
      <c r="E16" s="16">
        <f>'0927'!T16</f>
        <v>0.29166666666666702</v>
      </c>
      <c r="F16" s="16">
        <f>'0927'!T27</f>
        <v>0.28819444444444398</v>
      </c>
      <c r="G16" s="16">
        <f>'0927'!T38</f>
        <v>0.33333333333333298</v>
      </c>
      <c r="H16" s="16">
        <f>'0927'!T49</f>
        <v>0.29166666666666702</v>
      </c>
      <c r="I16" s="16">
        <f>'0927'!T59</f>
        <v>0.29166666666666702</v>
      </c>
      <c r="J16" s="17">
        <f>'0927'!T70</f>
        <v>0.28819444444444398</v>
      </c>
    </row>
    <row r="17" spans="2:10" ht="17.25" customHeight="1">
      <c r="B17" s="487"/>
      <c r="C17" s="10" t="s">
        <v>35</v>
      </c>
      <c r="D17" s="18">
        <v>0.45833333333333298</v>
      </c>
      <c r="E17" s="19">
        <v>0.47083333333333299</v>
      </c>
      <c r="F17" s="183">
        <v>0.45555555555555599</v>
      </c>
      <c r="G17" s="20">
        <v>0.60069444444444398</v>
      </c>
      <c r="H17" s="21">
        <v>0.57986111111111105</v>
      </c>
      <c r="I17" s="110">
        <v>0.625</v>
      </c>
      <c r="J17" s="22">
        <v>0.60416666666666696</v>
      </c>
    </row>
    <row r="18" spans="2:10" ht="17.25" customHeight="1">
      <c r="B18" s="488" t="s">
        <v>102</v>
      </c>
      <c r="C18" s="330" t="s">
        <v>36</v>
      </c>
      <c r="D18" s="359">
        <f>'0927'!Z15</f>
        <v>0</v>
      </c>
      <c r="E18" s="360">
        <f>'0927'!Z26</f>
        <v>0</v>
      </c>
      <c r="F18" s="360">
        <f>'0927'!Z37</f>
        <v>0</v>
      </c>
      <c r="G18" s="361">
        <f>'0927'!Z48</f>
        <v>0</v>
      </c>
      <c r="H18" s="361">
        <f>'0927'!Z58</f>
        <v>0</v>
      </c>
      <c r="I18" s="360">
        <f>'0927'!Z69</f>
        <v>1</v>
      </c>
      <c r="J18" s="360">
        <f>'0927'!AA79</f>
        <v>0</v>
      </c>
    </row>
    <row r="19" spans="2:10" ht="17.25" customHeight="1">
      <c r="B19" s="489"/>
      <c r="C19" s="330" t="s">
        <v>37</v>
      </c>
      <c r="D19" s="359">
        <f>'0927'!AA15</f>
        <v>0</v>
      </c>
      <c r="E19" s="360">
        <f>'0927'!AA26</f>
        <v>0</v>
      </c>
      <c r="F19" s="360">
        <f>'0927'!AA37</f>
        <v>0</v>
      </c>
      <c r="G19" s="361">
        <f>'0927'!AA48</f>
        <v>0</v>
      </c>
      <c r="H19" s="361">
        <f>'0927'!AA58</f>
        <v>0</v>
      </c>
      <c r="I19" s="360">
        <f>'0927'!AA69</f>
        <v>16</v>
      </c>
      <c r="J19" s="360">
        <f>'0927'!AB79</f>
        <v>0</v>
      </c>
    </row>
    <row r="20" spans="2:10" ht="17.25" customHeight="1">
      <c r="B20" s="488" t="s">
        <v>103</v>
      </c>
      <c r="C20" s="330" t="s">
        <v>36</v>
      </c>
      <c r="D20" s="359">
        <f>'0927'!AD15</f>
        <v>0</v>
      </c>
      <c r="E20" s="360">
        <f>'0927'!AD26</f>
        <v>0</v>
      </c>
      <c r="F20" s="360">
        <f>'0927'!AD37</f>
        <v>0</v>
      </c>
      <c r="G20" s="361">
        <f>'0927'!AD48</f>
        <v>0</v>
      </c>
      <c r="H20" s="361">
        <f>'0927'!AD58</f>
        <v>0</v>
      </c>
      <c r="I20" s="360">
        <f>'0927'!AD69</f>
        <v>0</v>
      </c>
      <c r="J20" s="360">
        <f>'0927'!AD79</f>
        <v>0</v>
      </c>
    </row>
    <row r="21" spans="2:10" ht="17.25" customHeight="1">
      <c r="B21" s="489"/>
      <c r="C21" s="330" t="s">
        <v>85</v>
      </c>
      <c r="D21" s="359">
        <f>'0927'!AE15</f>
        <v>0</v>
      </c>
      <c r="E21" s="360">
        <f>'0927'!AE26</f>
        <v>0</v>
      </c>
      <c r="F21" s="360">
        <f>'0927'!AE37</f>
        <v>0</v>
      </c>
      <c r="G21" s="361">
        <f>'0927'!AE48</f>
        <v>0</v>
      </c>
      <c r="H21" s="361">
        <f>'0927'!AE58</f>
        <v>0</v>
      </c>
      <c r="I21" s="360">
        <f>'0927'!AE69</f>
        <v>0</v>
      </c>
      <c r="J21" s="360">
        <f>'0927'!AE79</f>
        <v>0</v>
      </c>
    </row>
    <row r="22" spans="2:10" ht="17.25" customHeight="1">
      <c r="B22" s="471" t="s">
        <v>104</v>
      </c>
      <c r="C22" s="472"/>
      <c r="D22" s="23">
        <f>VALUE('0927'!M15)</f>
        <v>13.666666666666666</v>
      </c>
      <c r="E22" s="23">
        <f>VALUE('0927'!M26)</f>
        <v>13</v>
      </c>
      <c r="F22" s="23">
        <f>VALUE('0927'!M37)</f>
        <v>16.5</v>
      </c>
      <c r="G22" s="23">
        <f>VALUE('0927'!M48)</f>
        <v>17.333333333333332</v>
      </c>
      <c r="H22" s="23">
        <f>VALUE('0927'!M58)</f>
        <v>16.600000000000001</v>
      </c>
      <c r="I22" s="23">
        <f>VALUE('0927'!M69)</f>
        <v>12</v>
      </c>
      <c r="J22" s="23">
        <f>'0927'!M79</f>
        <v>10.666666666666666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EB7F4-C067-4A4F-888C-05B6A65CA680}">
  <sheetPr>
    <tabColor theme="9" tint="0.79998168889431442"/>
  </sheetPr>
  <dimension ref="A1:AJ92"/>
  <sheetViews>
    <sheetView zoomScale="69" zoomScaleNormal="69" workbookViewId="0">
      <pane xSplit="5" ySplit="4" topLeftCell="F38" activePane="bottomRight" state="frozen"/>
      <selection activeCell="G76" sqref="G76"/>
      <selection pane="topRight" activeCell="G76" sqref="G76"/>
      <selection pane="bottomLeft" activeCell="G76" sqref="G76"/>
      <selection pane="bottomRight" activeCell="Y66" sqref="Y6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47995</v>
      </c>
      <c r="F1" s="30" t="s">
        <v>2</v>
      </c>
      <c r="G1" s="31">
        <f>SUM(H5:H79)</f>
        <v>2312283.54</v>
      </c>
      <c r="H1" s="32" t="s">
        <v>3</v>
      </c>
      <c r="I1" s="33">
        <f>M15+M26+M48+M58+M69+M79+M37</f>
        <v>99.766666666666666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200</v>
      </c>
      <c r="B2" s="462"/>
      <c r="C2" s="28"/>
      <c r="D2" s="28" t="s">
        <v>14</v>
      </c>
      <c r="E2" s="35">
        <f>AVERAGE(O15,O26,O37,O48,O58,O69,O79)</f>
        <v>111.90207771295664</v>
      </c>
      <c r="F2" s="36" t="s">
        <v>15</v>
      </c>
      <c r="G2" s="37">
        <f>G1/E1</f>
        <v>48.177592249192628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1</v>
      </c>
      <c r="AA2" s="339">
        <f>AA15+AA26+AA37+AA48+AA58+AA69+AA79</f>
        <v>16</v>
      </c>
      <c r="AB2" s="433"/>
      <c r="AC2" s="433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2258</v>
      </c>
      <c r="H5" s="43">
        <f>F5*G5</f>
        <v>128412.45999999999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1935.4285714285763</v>
      </c>
      <c r="O5" s="47">
        <f>N5/M5</f>
        <v>138.24489795918402</v>
      </c>
      <c r="P5" s="49">
        <f>M5-J5</f>
        <v>0</v>
      </c>
      <c r="Q5" s="50">
        <f>O5-L5</f>
        <v>-22.469387755101707</v>
      </c>
      <c r="R5" s="51">
        <f>O5/L5</f>
        <v>0.86019047619047828</v>
      </c>
      <c r="S5" s="392">
        <f>R15</f>
        <v>0.93500504966119358</v>
      </c>
      <c r="T5" s="319">
        <v>0.29861111111111099</v>
      </c>
      <c r="U5" s="320">
        <v>0.34722222222222199</v>
      </c>
      <c r="V5" s="53"/>
      <c r="W5" s="54">
        <f t="shared" ref="W5:W14" si="0">(U5-T5)*24*60</f>
        <v>69.999999999999829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-314.57142857142367</v>
      </c>
      <c r="AG5" s="52">
        <f t="shared" ref="AG5:AG11" si="2">N5/K5</f>
        <v>0.86019047619047839</v>
      </c>
      <c r="AH5" s="380">
        <f>AG15</f>
        <v>0.93441480243819797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970</v>
      </c>
      <c r="H6" s="63">
        <f>F6*G6</f>
        <v>56424.9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2155.5555555555566</v>
      </c>
      <c r="O6" s="67">
        <f>N6/M6</f>
        <v>165.81196581196588</v>
      </c>
      <c r="P6" s="69">
        <f>M6-J6</f>
        <v>0</v>
      </c>
      <c r="Q6" s="70">
        <f>O6-L6</f>
        <v>-7.2649572649571894</v>
      </c>
      <c r="R6" s="71">
        <f>O6/L6</f>
        <v>0.95802469135802515</v>
      </c>
      <c r="S6" s="393"/>
      <c r="T6" s="16">
        <v>0.35277777777777802</v>
      </c>
      <c r="U6" s="16">
        <v>0.37152777777777801</v>
      </c>
      <c r="V6" s="30">
        <f>(T6-U5)*24*60</f>
        <v>8.000000000000691</v>
      </c>
      <c r="W6" s="73">
        <f t="shared" si="0"/>
        <v>26.999999999999986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-94.444444444443434</v>
      </c>
      <c r="AG6" s="72">
        <f t="shared" si="2"/>
        <v>0.95802469135802515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4211</v>
      </c>
      <c r="H7" s="78">
        <f>F7*G7</f>
        <v>206928.54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2216.3157894737028</v>
      </c>
      <c r="O7" s="81">
        <f>N7/M7</f>
        <v>158.30827067669307</v>
      </c>
      <c r="P7" s="74">
        <f>M7-J7</f>
        <v>0</v>
      </c>
      <c r="Q7" s="83">
        <f>O7-L7</f>
        <v>-2.4060150375926526</v>
      </c>
      <c r="R7" s="72">
        <f>O7/L7</f>
        <v>0.98502923976609014</v>
      </c>
      <c r="S7" s="393"/>
      <c r="T7" s="18">
        <v>0.37916666666666698</v>
      </c>
      <c r="U7" s="18">
        <v>0.45833333333333298</v>
      </c>
      <c r="V7" s="30">
        <f>(T7-U6)*24*60</f>
        <v>11.000000000000121</v>
      </c>
      <c r="W7" s="73">
        <f t="shared" si="0"/>
        <v>113.99999999999903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-33.684210526297193</v>
      </c>
      <c r="AG7" s="72">
        <f t="shared" si="2"/>
        <v>0.98502923976609014</v>
      </c>
      <c r="AH7" s="382"/>
    </row>
    <row r="8" spans="1:34" ht="15" customHeight="1">
      <c r="A8" s="466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93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0</v>
      </c>
      <c r="AG8" s="72" t="e">
        <f t="shared" si="2"/>
        <v>#DIV/0!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13.666666666666666</v>
      </c>
      <c r="K15" s="120">
        <f t="shared" si="3"/>
        <v>2250</v>
      </c>
      <c r="L15" s="117">
        <f t="shared" si="3"/>
        <v>164.83516483516482</v>
      </c>
      <c r="M15" s="120">
        <f t="shared" si="3"/>
        <v>13.666666666666666</v>
      </c>
      <c r="N15" s="120">
        <f t="shared" si="3"/>
        <v>2102.4333054859453</v>
      </c>
      <c r="O15" s="117">
        <f t="shared" si="3"/>
        <v>154.1217114826143</v>
      </c>
      <c r="P15" s="121">
        <f>M15-J15</f>
        <v>0</v>
      </c>
      <c r="Q15" s="122">
        <f>O15-L15</f>
        <v>-10.713453352550516</v>
      </c>
      <c r="R15" s="123">
        <f>O15/L15</f>
        <v>0.93500504966119358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-147.56669451405469</v>
      </c>
      <c r="AG15" s="124">
        <f>N15/K15</f>
        <v>0.93441480243819797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4095</v>
      </c>
      <c r="H16" s="134">
        <f>F16*G16</f>
        <v>207493.65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2013.9344262295142</v>
      </c>
      <c r="O16" s="141">
        <f>N16/M16</f>
        <v>143.85245901639388</v>
      </c>
      <c r="P16" s="142">
        <f>M16-J16</f>
        <v>0</v>
      </c>
      <c r="Q16" s="143">
        <f>O16-L16</f>
        <v>-16.861826697891843</v>
      </c>
      <c r="R16" s="144">
        <f>O16/L16</f>
        <v>0.89508196721311739</v>
      </c>
      <c r="S16" s="420">
        <f>R26</f>
        <v>0.86878059363516991</v>
      </c>
      <c r="T16" s="145">
        <v>0.29166666666666702</v>
      </c>
      <c r="U16" s="145">
        <v>0.37638888888888899</v>
      </c>
      <c r="V16" s="135"/>
      <c r="W16" s="146">
        <f t="shared" ref="W16:W78" si="4">(U16-T16)*24*60</f>
        <v>121.99999999999964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-236.0655737704858</v>
      </c>
      <c r="AG16" s="52">
        <f>N16/K16</f>
        <v>0.89508196721311739</v>
      </c>
      <c r="AH16" s="380">
        <f>AG26</f>
        <v>0.87065926317645181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3935</v>
      </c>
      <c r="H17" s="78">
        <f>F17*G17</f>
        <v>198284.65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1904.0322580645191</v>
      </c>
      <c r="O17" s="96">
        <f>N17/M17</f>
        <v>158.66935483870992</v>
      </c>
      <c r="P17" s="97">
        <f>M17-J17</f>
        <v>0</v>
      </c>
      <c r="Q17" s="98">
        <f>O17-L17</f>
        <v>-28.830645161290079</v>
      </c>
      <c r="R17" s="99">
        <f>O17/L17</f>
        <v>0.84623655913978624</v>
      </c>
      <c r="S17" s="421"/>
      <c r="T17" s="19">
        <v>0.38472222222222202</v>
      </c>
      <c r="U17" s="19">
        <v>0.47083333333333299</v>
      </c>
      <c r="V17" s="30">
        <f>(T17-U16)*24*60</f>
        <v>11.999999999999558</v>
      </c>
      <c r="W17" s="149">
        <f t="shared" si="4"/>
        <v>123.9999999999998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-345.96774193548094</v>
      </c>
      <c r="AG17" s="72">
        <f>N17/K17</f>
        <v>0.84623655913978624</v>
      </c>
      <c r="AH17" s="382"/>
    </row>
    <row r="18" spans="1:34" ht="15" customHeight="1">
      <c r="A18" s="427"/>
      <c r="B18" s="75"/>
      <c r="C18" s="76"/>
      <c r="D18" s="59"/>
      <c r="E18" s="77"/>
      <c r="F18" s="75"/>
      <c r="G18" s="147"/>
      <c r="H18" s="78"/>
      <c r="I18" s="30"/>
      <c r="J18" s="79"/>
      <c r="K18" s="80"/>
      <c r="L18" s="81"/>
      <c r="M18" s="148"/>
      <c r="N18" s="95"/>
      <c r="O18" s="96"/>
      <c r="P18" s="97"/>
      <c r="Q18" s="98"/>
      <c r="R18" s="99"/>
      <c r="S18" s="421"/>
      <c r="T18" s="19"/>
      <c r="U18" s="19"/>
      <c r="V18" s="30"/>
      <c r="W18" s="149">
        <f t="shared" si="4"/>
        <v>0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0</v>
      </c>
      <c r="AG18" s="72" t="e">
        <f>N18/K18</f>
        <v>#DIV/0!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174.10714285714286</v>
      </c>
      <c r="M26" s="155">
        <f t="shared" si="5"/>
        <v>13</v>
      </c>
      <c r="N26" s="155">
        <f t="shared" si="5"/>
        <v>1958.9833421470166</v>
      </c>
      <c r="O26" s="158">
        <f t="shared" si="5"/>
        <v>151.2609069275519</v>
      </c>
      <c r="P26" s="159">
        <f>M26-J26</f>
        <v>0</v>
      </c>
      <c r="Q26" s="160">
        <f>O26-L26</f>
        <v>-22.846235929590961</v>
      </c>
      <c r="R26" s="161">
        <f>O26/L26</f>
        <v>0.86878059363516991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-291.01665785298337</v>
      </c>
      <c r="AG26" s="124">
        <f t="shared" ref="AG26:AG31" si="7">N26/K26</f>
        <v>0.87065926317645181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194</v>
      </c>
      <c r="E27" s="132"/>
      <c r="F27" s="129">
        <f>VLOOKUP(D27,廠價表!$C$1:$E$43,3,0)</f>
        <v>61.65</v>
      </c>
      <c r="G27" s="169">
        <v>5158</v>
      </c>
      <c r="H27" s="134">
        <f>F27*G27</f>
        <v>317990.7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17</v>
      </c>
      <c r="N27" s="140">
        <f>G27/W27*60</f>
        <v>1487.8846153846093</v>
      </c>
      <c r="O27" s="141">
        <f>N27/M27</f>
        <v>87.522624434388788</v>
      </c>
      <c r="P27" s="142">
        <f>M27-J27</f>
        <v>-1</v>
      </c>
      <c r="Q27" s="143">
        <f>O27-L27</f>
        <v>-3.3662644545000973</v>
      </c>
      <c r="R27" s="144">
        <f>O27/L27</f>
        <v>0.96296286052506008</v>
      </c>
      <c r="S27" s="420">
        <f>R37</f>
        <v>0.92336578537678615</v>
      </c>
      <c r="T27" s="171">
        <v>0.28819444444444398</v>
      </c>
      <c r="U27" s="171">
        <v>0.43263888888888902</v>
      </c>
      <c r="V27" s="135"/>
      <c r="W27" s="146">
        <f t="shared" si="4"/>
        <v>208.00000000000085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6"/>
        <v>-148.11538461539067</v>
      </c>
      <c r="AG27" s="172">
        <f t="shared" si="7"/>
        <v>0.90946492382922328</v>
      </c>
      <c r="AH27" s="380">
        <f>AG37</f>
        <v>0.89881665453710524</v>
      </c>
    </row>
    <row r="28" spans="1:34" ht="15" customHeight="1">
      <c r="A28" s="418"/>
      <c r="B28" s="75" t="s">
        <v>81</v>
      </c>
      <c r="C28" s="173"/>
      <c r="D28" s="59" t="s">
        <v>124</v>
      </c>
      <c r="E28" s="104"/>
      <c r="F28" s="75">
        <f>VLOOKUP(D28,廠價表!$C$1:$E$43,3,0)</f>
        <v>46.34</v>
      </c>
      <c r="G28" s="90">
        <v>557</v>
      </c>
      <c r="H28" s="91">
        <f>F28*G28</f>
        <v>25811.38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16</v>
      </c>
      <c r="N28" s="95">
        <f>G28/W28*60</f>
        <v>1453.043478260799</v>
      </c>
      <c r="O28" s="96">
        <f>N28/M28</f>
        <v>90.815217391299939</v>
      </c>
      <c r="P28" s="97">
        <f>M28-J28</f>
        <v>0</v>
      </c>
      <c r="Q28" s="98">
        <f>O28-L28</f>
        <v>-11.434782608700061</v>
      </c>
      <c r="R28" s="99">
        <f>O28/L28</f>
        <v>0.8881683852449872</v>
      </c>
      <c r="S28" s="421"/>
      <c r="T28" s="19">
        <v>0.43958333333333299</v>
      </c>
      <c r="U28" s="19">
        <v>0.45555555555555599</v>
      </c>
      <c r="V28" s="92">
        <f>(T28-U27)*24*60</f>
        <v>9.999999999999325</v>
      </c>
      <c r="W28" s="149">
        <f t="shared" si="4"/>
        <v>23.000000000001116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6"/>
        <v>-182.95652173920098</v>
      </c>
      <c r="AG28" s="99">
        <f t="shared" si="7"/>
        <v>0.8881683852449872</v>
      </c>
      <c r="AH28" s="381"/>
    </row>
    <row r="29" spans="1:34" ht="15" customHeight="1">
      <c r="A29" s="418"/>
      <c r="B29" s="75"/>
      <c r="C29" s="102"/>
      <c r="D29" s="175"/>
      <c r="E29" s="176"/>
      <c r="F29" s="75"/>
      <c r="G29" s="90"/>
      <c r="H29" s="91"/>
      <c r="I29" s="92"/>
      <c r="J29" s="79"/>
      <c r="K29" s="80"/>
      <c r="L29" s="93"/>
      <c r="M29" s="94"/>
      <c r="N29" s="95"/>
      <c r="O29" s="96"/>
      <c r="P29" s="97"/>
      <c r="Q29" s="98"/>
      <c r="R29" s="99"/>
      <c r="S29" s="421"/>
      <c r="T29" s="19"/>
      <c r="U29" s="19"/>
      <c r="V29" s="92"/>
      <c r="W29" s="149">
        <f t="shared" si="4"/>
        <v>0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0</v>
      </c>
      <c r="AG29" s="99" t="e">
        <f t="shared" si="7"/>
        <v>#DIV/0!</v>
      </c>
      <c r="AH29" s="381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/>
      <c r="U30" s="19"/>
      <c r="V30" s="92"/>
      <c r="W30" s="149">
        <f t="shared" si="4"/>
        <v>0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0</v>
      </c>
      <c r="AG30" s="99" t="e">
        <f t="shared" si="7"/>
        <v>#DIV/0!</v>
      </c>
      <c r="AH30" s="416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0</v>
      </c>
      <c r="AG31" s="99" t="e">
        <f t="shared" si="7"/>
        <v>#DIV/0!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8">AVERAGE(J27:J36)</f>
        <v>17</v>
      </c>
      <c r="K37" s="155">
        <f t="shared" si="8"/>
        <v>1636</v>
      </c>
      <c r="L37" s="158">
        <f t="shared" si="8"/>
        <v>96.569444444444443</v>
      </c>
      <c r="M37" s="155">
        <f t="shared" si="8"/>
        <v>16.5</v>
      </c>
      <c r="N37" s="155">
        <f t="shared" si="8"/>
        <v>1470.4640468227042</v>
      </c>
      <c r="O37" s="158">
        <f t="shared" si="8"/>
        <v>89.168920912844357</v>
      </c>
      <c r="P37" s="159">
        <f>M37-J37</f>
        <v>-0.5</v>
      </c>
      <c r="Q37" s="160">
        <f>N37-K37</f>
        <v>-165.53595317729582</v>
      </c>
      <c r="R37" s="161">
        <f>O37/L37</f>
        <v>0.92336578537678615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-165.53595317729582</v>
      </c>
      <c r="AG37" s="124">
        <f>N37/K37</f>
        <v>0.89881665453710524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1759</v>
      </c>
      <c r="H38" s="134">
        <f>F38*G38</f>
        <v>87791.689999999988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1702.2580645161108</v>
      </c>
      <c r="O38" s="141">
        <f>N38/M38</f>
        <v>106.39112903225693</v>
      </c>
      <c r="P38" s="142">
        <f>M38-J38</f>
        <v>0</v>
      </c>
      <c r="Q38" s="143">
        <f>O38-L38</f>
        <v>-0.73387096774307281</v>
      </c>
      <c r="R38" s="144">
        <f>O38/L38</f>
        <v>0.99314939586704254</v>
      </c>
      <c r="S38" s="410">
        <f>R48</f>
        <v>0.92180879520067172</v>
      </c>
      <c r="T38" s="191">
        <v>0.33333333333333298</v>
      </c>
      <c r="U38" s="191">
        <v>0.37638888888888899</v>
      </c>
      <c r="V38" s="192"/>
      <c r="W38" s="193">
        <f t="shared" si="4"/>
        <v>62.000000000000661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-11.741935483889165</v>
      </c>
      <c r="AG38" s="195">
        <f>N38/K38</f>
        <v>0.99314939586704254</v>
      </c>
      <c r="AH38" s="413">
        <f>AG48</f>
        <v>0.91874326698310871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3410</v>
      </c>
      <c r="H39" s="91">
        <f>F39*G39</f>
        <v>151063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1538.3458646616557</v>
      </c>
      <c r="O39" s="203">
        <f>N39/M39</f>
        <v>85.463659147869762</v>
      </c>
      <c r="P39" s="97">
        <f>M39-J39</f>
        <v>0</v>
      </c>
      <c r="Q39" s="98">
        <f>O39-L39</f>
        <v>-5.4252297410191233</v>
      </c>
      <c r="R39" s="99">
        <f>O39/L39</f>
        <v>0.94030920822839592</v>
      </c>
      <c r="S39" s="411"/>
      <c r="T39" s="20">
        <v>0.38680555555555601</v>
      </c>
      <c r="U39" s="20">
        <v>0.47916666666666702</v>
      </c>
      <c r="V39" s="92">
        <f>(T39-U38)*24*60</f>
        <v>15.000000000000506</v>
      </c>
      <c r="W39" s="205">
        <f t="shared" si="4"/>
        <v>132.99999999999986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-97.654135338344304</v>
      </c>
      <c r="AG39" s="206">
        <f>N39/K39</f>
        <v>0.94030920822839592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1787</v>
      </c>
      <c r="H40" s="91">
        <f>F40*G40</f>
        <v>79164.099999999991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1340.250000000013</v>
      </c>
      <c r="O40" s="203">
        <f>N40/M40</f>
        <v>74.458333333334053</v>
      </c>
      <c r="P40" s="97">
        <f>M40-J40</f>
        <v>0</v>
      </c>
      <c r="Q40" s="98">
        <f>O40-L40</f>
        <v>-16.430555555554832</v>
      </c>
      <c r="R40" s="99">
        <f>O40/L40</f>
        <v>0.81922371638142599</v>
      </c>
      <c r="S40" s="393"/>
      <c r="T40" s="20">
        <v>0.54513888888888895</v>
      </c>
      <c r="U40" s="20">
        <v>0.60069444444444398</v>
      </c>
      <c r="V40" s="92">
        <f>(T40-U39)*24*60</f>
        <v>94.999999999999588</v>
      </c>
      <c r="W40" s="205">
        <f t="shared" si="4"/>
        <v>79.999999999999233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-295.74999999998704</v>
      </c>
      <c r="AG40" s="206">
        <f>N40/K40</f>
        <v>0.81922371638142599</v>
      </c>
      <c r="AH40" s="414"/>
    </row>
    <row r="41" spans="1:34" ht="15" customHeight="1">
      <c r="A41" s="408"/>
      <c r="B41" s="75"/>
      <c r="C41" s="102"/>
      <c r="D41" s="175"/>
      <c r="E41" s="176"/>
      <c r="F41" s="75"/>
      <c r="G41" s="90"/>
      <c r="H41" s="91"/>
      <c r="I41" s="92"/>
      <c r="J41" s="79"/>
      <c r="K41" s="80"/>
      <c r="L41" s="93"/>
      <c r="M41" s="94"/>
      <c r="N41" s="95"/>
      <c r="O41" s="96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0">AVERAGE(J38:J47)</f>
        <v>17.333333333333332</v>
      </c>
      <c r="K48" s="155">
        <f t="shared" si="10"/>
        <v>1662</v>
      </c>
      <c r="L48" s="158">
        <f t="shared" si="10"/>
        <v>96.300925925925924</v>
      </c>
      <c r="M48" s="155">
        <f t="shared" si="10"/>
        <v>17.333333333333332</v>
      </c>
      <c r="N48" s="155">
        <f t="shared" si="10"/>
        <v>1526.9513097259266</v>
      </c>
      <c r="O48" s="158">
        <f t="shared" si="10"/>
        <v>88.771040504486905</v>
      </c>
      <c r="P48" s="221">
        <f>M48-J48</f>
        <v>0</v>
      </c>
      <c r="Q48" s="222">
        <f>N48-K48</f>
        <v>-135.04869027407335</v>
      </c>
      <c r="R48" s="223">
        <f>O48/L48</f>
        <v>0.92180879520067172</v>
      </c>
      <c r="S48" s="396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1">N48-K48</f>
        <v>-135.04869027407335</v>
      </c>
      <c r="AG48" s="162">
        <f t="shared" ref="AG48:AG53" si="12">N48/K48</f>
        <v>0.91874326698310871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v>363</v>
      </c>
      <c r="H49" s="134">
        <f>F49*G49</f>
        <v>18117.329999999998</v>
      </c>
      <c r="I49" s="135"/>
      <c r="J49" s="136">
        <f>VLOOKUP(D49,產線配置圖!$A$3:$C$40,2,0)</f>
        <v>18</v>
      </c>
      <c r="K49" s="137">
        <f>VLOOKUP(D49,產線配置圖!$A$3:$C$40,3,0)</f>
        <v>2250</v>
      </c>
      <c r="L49" s="138">
        <f>K49/J49</f>
        <v>125</v>
      </c>
      <c r="M49" s="170">
        <v>17</v>
      </c>
      <c r="N49" s="140">
        <f>G49/W49*60</f>
        <v>1281.1764705882999</v>
      </c>
      <c r="O49" s="141">
        <f>N49/M49</f>
        <v>75.363321799311763</v>
      </c>
      <c r="P49" s="229">
        <f>M49-J49</f>
        <v>-1</v>
      </c>
      <c r="Q49" s="230">
        <f>O49-L49</f>
        <v>-49.636678200688237</v>
      </c>
      <c r="R49" s="52">
        <f>O49/L49</f>
        <v>0.60290657439449413</v>
      </c>
      <c r="S49" s="392">
        <f>R58</f>
        <v>0.81895695049085793</v>
      </c>
      <c r="T49" s="191">
        <v>0.29166666666666702</v>
      </c>
      <c r="U49" s="191">
        <v>0.30347222222222198</v>
      </c>
      <c r="V49" s="55"/>
      <c r="W49" s="193">
        <f t="shared" si="4"/>
        <v>16.99999999999914</v>
      </c>
      <c r="X49" s="55"/>
      <c r="Y49" s="290"/>
      <c r="Z49" s="169"/>
      <c r="AA49" s="169"/>
      <c r="AB49" s="386" t="s">
        <v>137</v>
      </c>
      <c r="AC49" s="386"/>
      <c r="AD49" s="135"/>
      <c r="AE49" s="135"/>
      <c r="AF49" s="229">
        <f t="shared" si="11"/>
        <v>-968.82352941170006</v>
      </c>
      <c r="AG49" s="52">
        <f t="shared" si="12"/>
        <v>0.56941176470591104</v>
      </c>
      <c r="AH49" s="380">
        <f>AG58</f>
        <v>0.79837247499138719</v>
      </c>
    </row>
    <row r="50" spans="1:34" ht="15" customHeight="1">
      <c r="A50" s="405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1640</v>
      </c>
      <c r="H50" s="231">
        <f>F50*G50</f>
        <v>82473.960000000006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1513.8461538461499</v>
      </c>
      <c r="O50" s="235">
        <f>N50/M50</f>
        <v>89.049773755655877</v>
      </c>
      <c r="P50" s="74">
        <f>M50-J50</f>
        <v>0</v>
      </c>
      <c r="Q50" s="83">
        <f>O50-L50</f>
        <v>-7.1855203619911805</v>
      </c>
      <c r="R50" s="72">
        <f>O50/L50</f>
        <v>0.92533383486928478</v>
      </c>
      <c r="S50" s="393"/>
      <c r="T50" s="21">
        <v>0.30763888888888902</v>
      </c>
      <c r="U50" s="21">
        <v>0.35277777777777802</v>
      </c>
      <c r="V50" s="30">
        <f>(T50-U49)*24*60</f>
        <v>6.0000000000005382</v>
      </c>
      <c r="W50" s="236">
        <f t="shared" si="4"/>
        <v>65.000000000000171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1"/>
        <v>-122.15384615385005</v>
      </c>
      <c r="AG50" s="72">
        <f t="shared" si="12"/>
        <v>0.92533383486928478</v>
      </c>
      <c r="AH50" s="382"/>
    </row>
    <row r="51" spans="1:34" ht="15" customHeight="1">
      <c r="A51" s="405"/>
      <c r="B51" s="75" t="s">
        <v>81</v>
      </c>
      <c r="C51" s="76"/>
      <c r="D51" s="59" t="s">
        <v>123</v>
      </c>
      <c r="E51" s="77"/>
      <c r="F51" s="75">
        <f>VLOOKUP(D51,廠價表!$C$1:$E$43,3,0)</f>
        <v>57.21</v>
      </c>
      <c r="G51" s="202">
        <v>682</v>
      </c>
      <c r="H51" s="231">
        <f>F51*G51</f>
        <v>39017.22</v>
      </c>
      <c r="I51" s="232"/>
      <c r="J51" s="79">
        <f>VLOOKUP(D51,產線配置圖!$A$3:$C$40,2,0)</f>
        <v>18</v>
      </c>
      <c r="K51" s="80">
        <f>VLOOKUP(D51,產線配置圖!$A$3:$C$40,3,0)</f>
        <v>1636</v>
      </c>
      <c r="L51" s="81">
        <f>K51/J51</f>
        <v>90.888888888888886</v>
      </c>
      <c r="M51" s="233">
        <v>17</v>
      </c>
      <c r="N51" s="234">
        <f>G51/W51*60</f>
        <v>1364.000000000023</v>
      </c>
      <c r="O51" s="235">
        <f>N51/M51</f>
        <v>80.235294117648408</v>
      </c>
      <c r="P51" s="74">
        <f>M51-J51</f>
        <v>-1</v>
      </c>
      <c r="Q51" s="83">
        <f>O51-L51</f>
        <v>-10.653594771240478</v>
      </c>
      <c r="R51" s="72">
        <f>O51/L51</f>
        <v>0.88278440960737858</v>
      </c>
      <c r="S51" s="393"/>
      <c r="T51" s="21">
        <v>0.35763888888888901</v>
      </c>
      <c r="U51" s="19">
        <v>0.37847222222222199</v>
      </c>
      <c r="V51" s="30">
        <f>(T51-U50)*24*60</f>
        <v>6.9999999999998153</v>
      </c>
      <c r="W51" s="236">
        <f t="shared" si="4"/>
        <v>29.999999999999496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1"/>
        <v>-271.99999999997704</v>
      </c>
      <c r="AG51" s="72">
        <f t="shared" si="12"/>
        <v>0.83374083129585752</v>
      </c>
      <c r="AH51" s="382"/>
    </row>
    <row r="52" spans="1:34" ht="15" customHeight="1">
      <c r="A52" s="405"/>
      <c r="B52" s="75" t="s">
        <v>81</v>
      </c>
      <c r="C52" s="86"/>
      <c r="D52" s="59" t="s">
        <v>131</v>
      </c>
      <c r="E52" s="87"/>
      <c r="F52" s="75">
        <f>VLOOKUP(D52,廠價表!$C$1:$E$43,3,0)</f>
        <v>49.97</v>
      </c>
      <c r="G52" s="202">
        <v>2676</v>
      </c>
      <c r="H52" s="231">
        <f>F52*G52</f>
        <v>133719.72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 t="shared" ref="N52:N53" si="13">G52/W52*60</f>
        <v>1529.1428571428498</v>
      </c>
      <c r="O52" s="235">
        <f t="shared" ref="O52:O53" si="14">N52/M52</f>
        <v>95.571428571428115</v>
      </c>
      <c r="P52" s="74">
        <f t="shared" ref="P52:P53" si="15">M52-J52</f>
        <v>0</v>
      </c>
      <c r="Q52" s="83">
        <f t="shared" ref="Q52:Q53" si="16">O52-L52</f>
        <v>-16.928571428571885</v>
      </c>
      <c r="R52" s="72">
        <f t="shared" ref="R52:R53" si="17">O52/L52</f>
        <v>0.84952380952380546</v>
      </c>
      <c r="S52" s="393"/>
      <c r="T52" s="21">
        <v>0.38888888888888901</v>
      </c>
      <c r="U52" s="21">
        <v>0.46180555555555602</v>
      </c>
      <c r="V52" s="30">
        <f>(T52-U51)*24*60</f>
        <v>15.000000000000506</v>
      </c>
      <c r="W52" s="236">
        <f t="shared" si="4"/>
        <v>105.00000000000051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1"/>
        <v>-270.85714285715017</v>
      </c>
      <c r="AG52" s="72">
        <f t="shared" si="12"/>
        <v>0.84952380952380546</v>
      </c>
      <c r="AH52" s="382"/>
    </row>
    <row r="53" spans="1:34" ht="15" customHeight="1">
      <c r="A53" s="405"/>
      <c r="B53" s="101" t="s">
        <v>81</v>
      </c>
      <c r="C53" s="102"/>
      <c r="D53" s="103" t="s">
        <v>131</v>
      </c>
      <c r="E53" s="104"/>
      <c r="F53" s="75">
        <f>VLOOKUP(D53,廠價表!$C$1:$E$43,3,0)</f>
        <v>49.97</v>
      </c>
      <c r="G53" s="202">
        <v>2259</v>
      </c>
      <c r="H53" s="231">
        <f>F53*G53</f>
        <v>112882.23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>K53/J53</f>
        <v>112.5</v>
      </c>
      <c r="M53" s="108">
        <v>16</v>
      </c>
      <c r="N53" s="234">
        <f t="shared" si="13"/>
        <v>1594.5882352941114</v>
      </c>
      <c r="O53" s="235">
        <f t="shared" si="14"/>
        <v>99.661764705881964</v>
      </c>
      <c r="P53" s="74">
        <f t="shared" si="15"/>
        <v>0</v>
      </c>
      <c r="Q53" s="83">
        <f t="shared" si="16"/>
        <v>-12.838235294118036</v>
      </c>
      <c r="R53" s="72">
        <f t="shared" si="17"/>
        <v>0.88588235294117301</v>
      </c>
      <c r="S53" s="393"/>
      <c r="T53" s="21">
        <v>0.52083333333333304</v>
      </c>
      <c r="U53" s="21">
        <v>0.57986111111111105</v>
      </c>
      <c r="V53" s="30">
        <f>(T53-U52)*24*60</f>
        <v>84.999999999998892</v>
      </c>
      <c r="W53" s="236">
        <f t="shared" si="4"/>
        <v>85.000000000000341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1"/>
        <v>-205.41176470588857</v>
      </c>
      <c r="AG53" s="72">
        <f t="shared" si="12"/>
        <v>0.88588235294117301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18">AVERAGE(J49:J57)</f>
        <v>17</v>
      </c>
      <c r="K58" s="120">
        <f t="shared" si="18"/>
        <v>1824.4</v>
      </c>
      <c r="L58" s="117">
        <f t="shared" si="18"/>
        <v>107.42483660130719</v>
      </c>
      <c r="M58" s="120">
        <f t="shared" si="18"/>
        <v>16.600000000000001</v>
      </c>
      <c r="N58" s="120">
        <f t="shared" si="18"/>
        <v>1456.5507433742869</v>
      </c>
      <c r="O58" s="117">
        <f t="shared" si="18"/>
        <v>87.976316589985231</v>
      </c>
      <c r="P58" s="121">
        <f>M58-J58</f>
        <v>-0.39999999999999858</v>
      </c>
      <c r="Q58" s="122">
        <f>N58-K58</f>
        <v>-367.84925662571322</v>
      </c>
      <c r="R58" s="123">
        <f>O58/L58</f>
        <v>0.81895695049085793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-367.84925662571322</v>
      </c>
      <c r="AG58" s="124">
        <f>N58/K58</f>
        <v>0.79837247499138719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2036</v>
      </c>
      <c r="H59" s="243">
        <f>F59*G59</f>
        <v>54951.64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702.06896551724356</v>
      </c>
      <c r="O59" s="138">
        <f>N59/M59</f>
        <v>46.804597701149568</v>
      </c>
      <c r="P59" s="56">
        <f>M59-J59</f>
        <v>0</v>
      </c>
      <c r="Q59" s="230">
        <f>O59-L59</f>
        <v>-62.262068965517095</v>
      </c>
      <c r="R59" s="52">
        <f>O59/L59</f>
        <v>0.42913750948486767</v>
      </c>
      <c r="S59" s="392">
        <f>R69</f>
        <v>0.83792764740499737</v>
      </c>
      <c r="T59" s="245">
        <v>0.29166666666666702</v>
      </c>
      <c r="U59" s="22">
        <v>0.41249999999999998</v>
      </c>
      <c r="V59" s="55"/>
      <c r="W59" s="54">
        <f t="shared" si="4"/>
        <v>173.99999999999946</v>
      </c>
      <c r="X59" s="55"/>
      <c r="Y59" s="290"/>
      <c r="Z59" s="169">
        <v>1</v>
      </c>
      <c r="AA59" s="169">
        <v>16</v>
      </c>
      <c r="AB59" s="397" t="s">
        <v>201</v>
      </c>
      <c r="AC59" s="397"/>
      <c r="AD59" s="135"/>
      <c r="AE59" s="135"/>
      <c r="AF59" s="310">
        <f>N59-K59</f>
        <v>-933.93103448275644</v>
      </c>
      <c r="AG59" s="246">
        <f>N59/K59</f>
        <v>0.42913750948486767</v>
      </c>
      <c r="AH59" s="380">
        <f>AG69</f>
        <v>0.76901018446841096</v>
      </c>
    </row>
    <row r="60" spans="1:34" ht="15" customHeight="1">
      <c r="A60" s="399"/>
      <c r="B60" s="250" t="s">
        <v>132</v>
      </c>
      <c r="C60" s="251"/>
      <c r="D60" s="257" t="s">
        <v>134</v>
      </c>
      <c r="E60" s="253"/>
      <c r="F60" s="75">
        <f>VLOOKUP(D60,廠價表!$C$1:$E$43,3,0)</f>
        <v>28.26</v>
      </c>
      <c r="G60" s="38">
        <v>888</v>
      </c>
      <c r="H60" s="231">
        <f t="shared" ref="H60:H63" si="19">F60*G60</f>
        <v>25094.880000000001</v>
      </c>
      <c r="I60" s="232"/>
      <c r="J60" s="79">
        <f>VLOOKUP(D60,產線配置圖!$A$3:$C$40,2,0)</f>
        <v>11</v>
      </c>
      <c r="K60" s="80">
        <f>VLOOKUP(D60,產線配置圖!$A$3:$C$40,3,0)</f>
        <v>1636</v>
      </c>
      <c r="L60" s="81">
        <f t="shared" ref="L60:L63" si="20">K60/J60</f>
        <v>148.72727272727272</v>
      </c>
      <c r="M60" s="108">
        <v>10</v>
      </c>
      <c r="N60" s="234">
        <f t="shared" ref="N60:N63" si="21">G60/W60*60</f>
        <v>1440.0000000000239</v>
      </c>
      <c r="O60" s="235">
        <f t="shared" ref="O60:O63" si="22">N60/M60</f>
        <v>144.00000000000239</v>
      </c>
      <c r="P60" s="74">
        <f t="shared" ref="P60:P63" si="23">M60-J60</f>
        <v>-1</v>
      </c>
      <c r="Q60" s="83">
        <f t="shared" ref="Q60:Q63" si="24">O60-L60</f>
        <v>-4.7272727272703321</v>
      </c>
      <c r="R60" s="72">
        <f t="shared" ref="R60:R63" si="25">O60/L60</f>
        <v>0.9682151589242215</v>
      </c>
      <c r="S60" s="402"/>
      <c r="T60" s="22">
        <v>0.422916666666667</v>
      </c>
      <c r="U60" s="22">
        <v>0.44861111111111102</v>
      </c>
      <c r="V60" s="30">
        <f>(T60-U59)*24*60</f>
        <v>15.000000000000506</v>
      </c>
      <c r="W60" s="248">
        <f t="shared" si="4"/>
        <v>36.999999999999389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-195.99999999997613</v>
      </c>
      <c r="AG60" s="249">
        <f>N60/K60</f>
        <v>0.88019559902201949</v>
      </c>
      <c r="AH60" s="403"/>
    </row>
    <row r="61" spans="1:34" ht="15" customHeight="1">
      <c r="A61" s="400"/>
      <c r="B61" s="258" t="s">
        <v>132</v>
      </c>
      <c r="C61" s="58"/>
      <c r="D61" s="259" t="s">
        <v>136</v>
      </c>
      <c r="E61" s="60"/>
      <c r="F61" s="75">
        <f>VLOOKUP(D61,廠價表!$C$1:$E$43,3,0)</f>
        <v>28.26</v>
      </c>
      <c r="G61" s="260">
        <v>2509</v>
      </c>
      <c r="H61" s="231">
        <f t="shared" si="19"/>
        <v>70904.340000000011</v>
      </c>
      <c r="I61" s="232"/>
      <c r="J61" s="79">
        <f>VLOOKUP(D61,產線配置圖!$A$3:$C$40,2,0)</f>
        <v>11</v>
      </c>
      <c r="K61" s="80">
        <f>VLOOKUP(D61,產線配置圖!$A$3:$C$40,3,0)</f>
        <v>1636</v>
      </c>
      <c r="L61" s="81">
        <f t="shared" si="20"/>
        <v>148.72727272727272</v>
      </c>
      <c r="M61" s="68">
        <v>10</v>
      </c>
      <c r="N61" s="234">
        <f t="shared" si="21"/>
        <v>1393.8888888888887</v>
      </c>
      <c r="O61" s="235">
        <f t="shared" si="22"/>
        <v>139.38888888888886</v>
      </c>
      <c r="P61" s="74">
        <f t="shared" si="23"/>
        <v>-1</v>
      </c>
      <c r="Q61" s="83">
        <f t="shared" si="24"/>
        <v>-9.3383838383838622</v>
      </c>
      <c r="R61" s="72">
        <f t="shared" si="25"/>
        <v>0.93721135560988844</v>
      </c>
      <c r="S61" s="393"/>
      <c r="T61" s="22">
        <v>0.45555555555555599</v>
      </c>
      <c r="U61" s="22">
        <v>0.530555555555556</v>
      </c>
      <c r="V61" s="30">
        <f>(T61-U60)*24*60</f>
        <v>10.000000000000764</v>
      </c>
      <c r="W61" s="256">
        <f t="shared" si="4"/>
        <v>108.00000000000001</v>
      </c>
      <c r="X61" s="22"/>
      <c r="Y61" s="84"/>
      <c r="Z61" s="90"/>
      <c r="AA61" s="90"/>
      <c r="AB61" s="386"/>
      <c r="AC61" s="386"/>
      <c r="AD61" s="92"/>
      <c r="AE61" s="92"/>
      <c r="AF61" s="317">
        <f>N61-K61</f>
        <v>-242.11111111111131</v>
      </c>
      <c r="AG61" s="247">
        <f>N61/K61</f>
        <v>0.85201032328171677</v>
      </c>
      <c r="AH61" s="382"/>
    </row>
    <row r="62" spans="1:34" ht="15" customHeight="1">
      <c r="A62" s="400"/>
      <c r="B62" s="75" t="s">
        <v>132</v>
      </c>
      <c r="C62" s="86"/>
      <c r="D62" s="175" t="s">
        <v>135</v>
      </c>
      <c r="E62" s="87"/>
      <c r="F62" s="75">
        <f>VLOOKUP(D62,廠價表!$C$1:$E$43,3,0)</f>
        <v>28.26</v>
      </c>
      <c r="G62" s="30">
        <v>471</v>
      </c>
      <c r="H62" s="231">
        <f t="shared" si="19"/>
        <v>13310.460000000001</v>
      </c>
      <c r="I62" s="232"/>
      <c r="J62" s="79">
        <f>VLOOKUP(D62,產線配置圖!$A$3:$C$40,2,0)</f>
        <v>11</v>
      </c>
      <c r="K62" s="80">
        <f>VLOOKUP(D62,產線配置圖!$A$3:$C$40,3,0)</f>
        <v>1636</v>
      </c>
      <c r="L62" s="81">
        <f t="shared" si="20"/>
        <v>148.72727272727272</v>
      </c>
      <c r="M62" s="82">
        <v>10</v>
      </c>
      <c r="N62" s="234">
        <f t="shared" si="21"/>
        <v>1284.5454545454406</v>
      </c>
      <c r="O62" s="235">
        <f t="shared" si="22"/>
        <v>128.45454545454407</v>
      </c>
      <c r="P62" s="74">
        <f t="shared" si="23"/>
        <v>-1</v>
      </c>
      <c r="Q62" s="83">
        <f t="shared" si="24"/>
        <v>-20.272727272728645</v>
      </c>
      <c r="R62" s="72">
        <f t="shared" si="25"/>
        <v>0.86369193154033308</v>
      </c>
      <c r="S62" s="393"/>
      <c r="T62" s="22">
        <v>0.59027777777777801</v>
      </c>
      <c r="U62" s="22">
        <v>0.60555555555555596</v>
      </c>
      <c r="V62" s="30">
        <f t="shared" ref="V62:V63" si="26">(T62-U61)*24*60</f>
        <v>85.999999999999687</v>
      </c>
      <c r="W62" s="248">
        <f t="shared" si="4"/>
        <v>22.000000000000242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-351.45454545455937</v>
      </c>
      <c r="AG62" s="247">
        <f>N62/K62</f>
        <v>0.78517448321848449</v>
      </c>
      <c r="AH62" s="382"/>
    </row>
    <row r="63" spans="1:34" ht="15" customHeight="1">
      <c r="A63" s="400"/>
      <c r="B63" s="101" t="s">
        <v>132</v>
      </c>
      <c r="C63" s="102"/>
      <c r="D63" s="103" t="s">
        <v>133</v>
      </c>
      <c r="E63" s="104"/>
      <c r="F63" s="75">
        <f>VLOOKUP(D63,廠價表!$C$1:$E$43,3,0)</f>
        <v>26.99</v>
      </c>
      <c r="G63" s="151">
        <v>441</v>
      </c>
      <c r="H63" s="231">
        <f t="shared" si="19"/>
        <v>11902.59</v>
      </c>
      <c r="I63" s="232"/>
      <c r="J63" s="79">
        <f>VLOOKUP(D63,產線配置圖!$A$3:$C$40,2,0)</f>
        <v>15</v>
      </c>
      <c r="K63" s="80">
        <f>VLOOKUP(D63,產線配置圖!$A$3:$C$40,3,0)</f>
        <v>1636</v>
      </c>
      <c r="L63" s="81">
        <f t="shared" si="20"/>
        <v>109.06666666666666</v>
      </c>
      <c r="M63" s="94">
        <v>15</v>
      </c>
      <c r="N63" s="234">
        <f t="shared" si="21"/>
        <v>1470.000000000005</v>
      </c>
      <c r="O63" s="235">
        <f t="shared" si="22"/>
        <v>98.000000000000327</v>
      </c>
      <c r="P63" s="74">
        <f t="shared" si="23"/>
        <v>0</v>
      </c>
      <c r="Q63" s="83">
        <f t="shared" si="24"/>
        <v>-11.066666666666336</v>
      </c>
      <c r="R63" s="72">
        <f t="shared" si="25"/>
        <v>0.89853300733496633</v>
      </c>
      <c r="S63" s="393"/>
      <c r="T63" s="22">
        <v>0.61250000000000004</v>
      </c>
      <c r="U63" s="22">
        <v>0.625</v>
      </c>
      <c r="V63" s="30">
        <f t="shared" si="26"/>
        <v>9.9999999999994849</v>
      </c>
      <c r="W63" s="248">
        <f t="shared" si="4"/>
        <v>17.999999999999936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2"/>
      <c r="U66" s="22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2"/>
      <c r="U67" s="22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27">AVERAGE(J59:J68)</f>
        <v>12.6</v>
      </c>
      <c r="K69" s="240">
        <f t="shared" si="27"/>
        <v>1636</v>
      </c>
      <c r="L69" s="268">
        <f t="shared" si="27"/>
        <v>132.86303030303029</v>
      </c>
      <c r="M69" s="240">
        <f t="shared" si="27"/>
        <v>12</v>
      </c>
      <c r="N69" s="240">
        <f t="shared" si="27"/>
        <v>1258.1006617903204</v>
      </c>
      <c r="O69" s="268">
        <f t="shared" si="27"/>
        <v>111.32960640891704</v>
      </c>
      <c r="P69" s="269">
        <f>M69-J69</f>
        <v>-0.59999999999999964</v>
      </c>
      <c r="Q69" s="222">
        <f>N69-K69</f>
        <v>-377.89933820967963</v>
      </c>
      <c r="R69" s="123">
        <f>O69/L69</f>
        <v>0.83792764740499737</v>
      </c>
      <c r="S69" s="396"/>
      <c r="T69" s="125"/>
      <c r="U69" s="125"/>
      <c r="V69" s="126"/>
      <c r="W69" s="242"/>
      <c r="X69" s="128"/>
      <c r="Y69" s="295"/>
      <c r="Z69" s="334">
        <f>SUM(Z59:Z68)</f>
        <v>1</v>
      </c>
      <c r="AA69" s="334">
        <f>SUM(AA59:AA68)</f>
        <v>16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-377.89933820967963</v>
      </c>
      <c r="AG69" s="124">
        <f>N69/K69</f>
        <v>0.76901018446841096</v>
      </c>
      <c r="AH69" s="384"/>
    </row>
    <row r="70" spans="1:36" ht="15" customHeight="1">
      <c r="A70" s="389" t="s">
        <v>55</v>
      </c>
      <c r="B70" s="129" t="s">
        <v>81</v>
      </c>
      <c r="C70" s="129"/>
      <c r="D70" s="131" t="s">
        <v>140</v>
      </c>
      <c r="E70" s="132"/>
      <c r="F70" s="129">
        <f>VLOOKUP(D70,廠價表!$C$1:$E$43,3,0)</f>
        <v>43.89</v>
      </c>
      <c r="G70" s="55">
        <v>2040</v>
      </c>
      <c r="H70" s="243">
        <f>F70*G70</f>
        <v>89535.6</v>
      </c>
      <c r="I70" s="55"/>
      <c r="J70" s="136">
        <v>11</v>
      </c>
      <c r="K70" s="137">
        <f>VLOOKUP(D70,產線配置圖!$A$3:$C$40,3,0)</f>
        <v>1565</v>
      </c>
      <c r="L70" s="138">
        <f>K70/J70</f>
        <v>142.27272727272728</v>
      </c>
      <c r="M70" s="244">
        <v>8</v>
      </c>
      <c r="N70" s="137">
        <f>G70/W70*60</f>
        <v>1083.1858407079537</v>
      </c>
      <c r="O70" s="138">
        <f>N70/M70</f>
        <v>135.39823008849422</v>
      </c>
      <c r="P70" s="56">
        <f>M70-J70</f>
        <v>-3</v>
      </c>
      <c r="Q70" s="230">
        <f>O70-L70</f>
        <v>-6.8744971842330642</v>
      </c>
      <c r="R70" s="52">
        <f>O70/L70</f>
        <v>0.95168085046225959</v>
      </c>
      <c r="S70" s="392">
        <f>R79</f>
        <v>0.93213285825866277</v>
      </c>
      <c r="T70" s="245">
        <v>0.28819444444444398</v>
      </c>
      <c r="U70" s="245">
        <v>0.36666666666666697</v>
      </c>
      <c r="V70" s="55"/>
      <c r="W70" s="54">
        <f t="shared" si="4"/>
        <v>113.00000000000112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-481.81415929204627</v>
      </c>
      <c r="AG70" s="246">
        <f>N70/K70</f>
        <v>0.69213152760891616</v>
      </c>
      <c r="AH70" s="380">
        <f>AG79</f>
        <v>0.63100045451094333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75">
        <f>VLOOKUP(D71,廠價表!$C$1:$E$43,3,0)</f>
        <v>52.21</v>
      </c>
      <c r="G71" s="30">
        <v>1837</v>
      </c>
      <c r="H71" s="231">
        <f t="shared" ref="H71:H72" si="28">F71*G71</f>
        <v>95909.77</v>
      </c>
      <c r="I71" s="232"/>
      <c r="J71" s="79">
        <f>VLOOKUP(D71,產線配置圖!$A$3:$C$40,2,0)</f>
        <v>18</v>
      </c>
      <c r="K71" s="80">
        <f>VLOOKUP(D71,產線配置圖!$A$3:$C$40,3,0)</f>
        <v>1636</v>
      </c>
      <c r="L71" s="81">
        <f t="shared" ref="L71:L72" si="29">K71/J71</f>
        <v>90.888888888888886</v>
      </c>
      <c r="M71" s="82">
        <v>8</v>
      </c>
      <c r="N71" s="234">
        <f t="shared" ref="N71:N72" si="30">G71/W71*60</f>
        <v>697.59493670886218</v>
      </c>
      <c r="O71" s="235">
        <f t="shared" ref="O71:O72" si="31">N71/M71</f>
        <v>87.199367088607772</v>
      </c>
      <c r="P71" s="74">
        <f t="shared" ref="P71:P72" si="32">M71-J71</f>
        <v>-10</v>
      </c>
      <c r="Q71" s="83">
        <f t="shared" ref="Q71:Q72" si="33">O71-L71</f>
        <v>-3.6895218002811134</v>
      </c>
      <c r="R71" s="72">
        <f t="shared" ref="R71:R72" si="34">O71/L71</f>
        <v>0.95940623936121028</v>
      </c>
      <c r="S71" s="393"/>
      <c r="T71" s="22">
        <v>0.37222222222222201</v>
      </c>
      <c r="U71" s="22">
        <v>0.48194444444444401</v>
      </c>
      <c r="V71" s="30">
        <f>(T71-U70)*24*60</f>
        <v>7.9999999999992522</v>
      </c>
      <c r="W71" s="73">
        <f t="shared" si="4"/>
        <v>157.99999999999969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 t="s">
        <v>81</v>
      </c>
      <c r="C72" s="76"/>
      <c r="D72" s="59" t="s">
        <v>161</v>
      </c>
      <c r="E72" s="77"/>
      <c r="F72" s="75">
        <f>VLOOKUP(D72,廠價表!$C$1:$E$43,3,0)</f>
        <v>52.21</v>
      </c>
      <c r="G72" s="202">
        <v>2013</v>
      </c>
      <c r="H72" s="231">
        <f t="shared" si="28"/>
        <v>105098.73</v>
      </c>
      <c r="I72" s="232"/>
      <c r="J72" s="79">
        <f>VLOOKUP(D72,產線配置圖!$A$3:$C$40,2,0)</f>
        <v>18</v>
      </c>
      <c r="K72" s="80">
        <f>VLOOKUP(D72,產線配置圖!$A$3:$C$40,3,0)</f>
        <v>1636</v>
      </c>
      <c r="L72" s="81">
        <f t="shared" si="29"/>
        <v>90.888888888888886</v>
      </c>
      <c r="M72" s="82">
        <v>16</v>
      </c>
      <c r="N72" s="234">
        <f t="shared" si="30"/>
        <v>1271.3684210526167</v>
      </c>
      <c r="O72" s="235">
        <f t="shared" si="31"/>
        <v>79.460526315788542</v>
      </c>
      <c r="P72" s="74">
        <f t="shared" si="32"/>
        <v>-2</v>
      </c>
      <c r="Q72" s="83">
        <f t="shared" si="33"/>
        <v>-11.428362573100344</v>
      </c>
      <c r="R72" s="72">
        <f t="shared" si="34"/>
        <v>0.87426006948911605</v>
      </c>
      <c r="S72" s="393"/>
      <c r="T72" s="22">
        <v>0.53819444444444398</v>
      </c>
      <c r="U72" s="22">
        <v>0.60416666666666696</v>
      </c>
      <c r="V72" s="30">
        <f>(T72-U71)*24*60</f>
        <v>80.999999999999957</v>
      </c>
      <c r="W72" s="73">
        <f t="shared" si="4"/>
        <v>95.000000000001108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35">AVERAGE(J70:J78)</f>
        <v>15.666666666666666</v>
      </c>
      <c r="K79" s="240">
        <f t="shared" si="35"/>
        <v>1612.3333333333333</v>
      </c>
      <c r="L79" s="268">
        <f t="shared" si="35"/>
        <v>108.01683501683503</v>
      </c>
      <c r="M79" s="240">
        <f t="shared" si="35"/>
        <v>10.666666666666666</v>
      </c>
      <c r="N79" s="240">
        <f t="shared" si="35"/>
        <v>1017.3830661564775</v>
      </c>
      <c r="O79" s="268">
        <f t="shared" si="35"/>
        <v>100.68604116429685</v>
      </c>
      <c r="P79" s="269">
        <f>M79-J79</f>
        <v>-5</v>
      </c>
      <c r="Q79" s="222">
        <f>N79-K79</f>
        <v>-594.95026717685573</v>
      </c>
      <c r="R79" s="223">
        <f>O79/L79</f>
        <v>0.93213285825866277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-594.95026717685573</v>
      </c>
      <c r="AG79" s="124">
        <f>N79/K79</f>
        <v>0.63100045451094333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38" priority="1" operator="greaterThan">
      <formula>0</formula>
    </cfRule>
  </conditionalFormatting>
  <conditionalFormatting sqref="Q5:Q79 AF5:AF79">
    <cfRule type="cellIs" dxfId="37" priority="4" operator="lessThan">
      <formula>0</formula>
    </cfRule>
  </conditionalFormatting>
  <conditionalFormatting sqref="R5:R79 AG5:AG79">
    <cfRule type="cellIs" dxfId="36" priority="2" operator="greaterThan">
      <formula>1</formula>
    </cfRule>
    <cfRule type="cellIs" dxfId="35" priority="3" operator="lessThan">
      <formula>0.8</formula>
    </cfRule>
  </conditionalFormatting>
  <conditionalFormatting sqref="S5:S10 S37:S62 AH59:AH62 S69:S76 AH69:AH76">
    <cfRule type="cellIs" dxfId="34" priority="7" operator="lessThan">
      <formula>0.8</formula>
    </cfRule>
  </conditionalFormatting>
  <conditionalFormatting sqref="S19:S25 AH19:AH25">
    <cfRule type="cellIs" dxfId="33" priority="6" operator="lessThan">
      <formula>0.8</formula>
    </cfRule>
  </conditionalFormatting>
  <conditionalFormatting sqref="S79">
    <cfRule type="cellIs" dxfId="32" priority="5" operator="lessThan">
      <formula>0.8</formula>
    </cfRule>
  </conditionalFormatting>
  <conditionalFormatting sqref="AH5:AH8 S15:S16 AH15:AH16 AH49 AH79">
    <cfRule type="cellIs" dxfId="31" priority="9" operator="lessThan">
      <formula>0.8</formula>
    </cfRule>
  </conditionalFormatting>
  <conditionalFormatting sqref="AH27 S27:S28">
    <cfRule type="cellIs" dxfId="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5872D-209D-48F0-A380-D9700791BA9E}">
  <dimension ref="B1:O26"/>
  <sheetViews>
    <sheetView tabSelected="1" topLeftCell="B2" zoomScale="70" zoomScaleNormal="70" workbookViewId="0">
      <selection activeCell="S18" sqref="S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46293</v>
      </c>
      <c r="E3" s="504"/>
      <c r="F3" s="3" t="s">
        <v>72</v>
      </c>
      <c r="G3" s="505">
        <f>'0928'!E1</f>
        <v>66057</v>
      </c>
      <c r="H3" s="505"/>
      <c r="I3" s="3" t="s">
        <v>2</v>
      </c>
      <c r="J3" s="506">
        <f>'0928'!G1</f>
        <v>3103417.4709999994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>
        <f>AVERAGE(D13:J13)</f>
        <v>129.53705635012358</v>
      </c>
      <c r="G6" s="501"/>
      <c r="H6" s="502">
        <f>AVERAGE(D13:H13)</f>
        <v>128.54355854385264</v>
      </c>
      <c r="I6" s="502"/>
      <c r="J6" s="502">
        <f>AVERAGE(I13:J13)</f>
        <v>132.02080086580085</v>
      </c>
      <c r="K6" s="502"/>
      <c r="L6" s="492">
        <f>'0928'!Z2</f>
        <v>0</v>
      </c>
      <c r="M6" s="493">
        <f>'0928'!AA2</f>
        <v>0</v>
      </c>
      <c r="N6" s="494">
        <f>'0928'!AD2</f>
        <v>0</v>
      </c>
      <c r="O6" s="493">
        <f>'0928'!AE2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117.82972508799438</v>
      </c>
      <c r="G7" s="490"/>
      <c r="H7" s="491">
        <f>AVERAGE(D14:H14)</f>
        <v>120.09566946510203</v>
      </c>
      <c r="I7" s="491"/>
      <c r="J7" s="491">
        <f>AVERAGE(I14:J14)</f>
        <v>112.16486414522521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>
        <f>AVERAGE(D15:J15)</f>
        <v>0.91114066714171427</v>
      </c>
      <c r="G8" s="496"/>
      <c r="H8" s="496">
        <f>AVERAGE(D15:H15)</f>
        <v>0.93566677934580955</v>
      </c>
      <c r="I8" s="496"/>
      <c r="J8" s="496">
        <f>AVERAGE(I15:J15)</f>
        <v>0.84982538663147578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>
        <f>VALUE('0928'!L15)</f>
        <v>163.80494505494505</v>
      </c>
      <c r="E13" s="13">
        <f>VALUE('0928'!L26)</f>
        <v>178.57142857142858</v>
      </c>
      <c r="F13" s="13">
        <f>VALUE('0928'!L37)</f>
        <v>103.4378787878788</v>
      </c>
      <c r="G13" s="13">
        <f>VALUE('0928'!L48)</f>
        <v>96.300925925925924</v>
      </c>
      <c r="H13" s="13">
        <f>VALUE('0928'!L58)</f>
        <v>100.60261437908495</v>
      </c>
      <c r="I13" s="13">
        <f>VALUE('0928'!L69)</f>
        <v>132.86303030303029</v>
      </c>
      <c r="J13" s="13">
        <f>'0928'!L79</f>
        <v>131.17857142857142</v>
      </c>
    </row>
    <row r="14" spans="2:15" ht="39.950000000000003" customHeight="1">
      <c r="B14" s="484"/>
      <c r="C14" s="12" t="s">
        <v>100</v>
      </c>
      <c r="D14" s="13">
        <f>VALUE('0928'!O15)</f>
        <v>150.56025060826053</v>
      </c>
      <c r="E14" s="13">
        <f>VALUE('0928'!O26)</f>
        <v>167.56630083401862</v>
      </c>
      <c r="F14" s="13">
        <f>VALUE('0928'!O37)</f>
        <v>97.434402322901633</v>
      </c>
      <c r="G14" s="13">
        <f>VALUE('0928'!O48)</f>
        <v>91.801189400782889</v>
      </c>
      <c r="H14" s="13">
        <f>VALUE('0928'!O58)</f>
        <v>93.116204159546456</v>
      </c>
      <c r="I14" s="13">
        <f>VALUE('0928'!O69)</f>
        <v>108.21505881640606</v>
      </c>
      <c r="J14" s="13">
        <f>'0928'!O79</f>
        <v>116.11466947404438</v>
      </c>
    </row>
    <row r="15" spans="2:15" ht="39.950000000000003" customHeight="1">
      <c r="B15" s="485"/>
      <c r="C15" s="10" t="s">
        <v>26</v>
      </c>
      <c r="D15" s="14">
        <f t="shared" ref="D15:I15" si="0">D14/D13</f>
        <v>0.91914350056866811</v>
      </c>
      <c r="E15" s="14">
        <f t="shared" si="0"/>
        <v>0.93837128467050424</v>
      </c>
      <c r="F15" s="14">
        <f t="shared" si="0"/>
        <v>0.94196056091513092</v>
      </c>
      <c r="G15" s="14">
        <f t="shared" si="0"/>
        <v>0.95327421328633744</v>
      </c>
      <c r="H15" s="14">
        <f t="shared" si="0"/>
        <v>0.92558433728840639</v>
      </c>
      <c r="I15" s="14">
        <f t="shared" si="0"/>
        <v>0.81448585486566261</v>
      </c>
      <c r="J15" s="15">
        <f>'0928'!S70</f>
        <v>0.88516491839728906</v>
      </c>
    </row>
    <row r="16" spans="2:15" ht="17.25" customHeight="1">
      <c r="B16" s="486" t="s">
        <v>101</v>
      </c>
      <c r="C16" s="10" t="s">
        <v>34</v>
      </c>
      <c r="D16" s="16">
        <f>'0928'!T5</f>
        <v>0.29166666666666702</v>
      </c>
      <c r="E16" s="16">
        <f>'0928'!T16</f>
        <v>0.29236111111111102</v>
      </c>
      <c r="F16" s="16">
        <f>'0928'!T27</f>
        <v>0.2951388888888889</v>
      </c>
      <c r="G16" s="16">
        <f>'0928'!T38</f>
        <v>0.33333333333333298</v>
      </c>
      <c r="H16" s="16">
        <f>'0928'!T49</f>
        <v>0.29166666666666702</v>
      </c>
      <c r="I16" s="16">
        <f>'0928'!T59</f>
        <v>0.29166666666666702</v>
      </c>
      <c r="J16" s="17">
        <f>'0928'!T70</f>
        <v>0.30902777777777801</v>
      </c>
    </row>
    <row r="17" spans="2:10" ht="17.25" customHeight="1">
      <c r="B17" s="487"/>
      <c r="C17" s="10" t="s">
        <v>35</v>
      </c>
      <c r="D17" s="327">
        <v>0.59930555555555554</v>
      </c>
      <c r="E17" s="19">
        <v>0.56736111111111098</v>
      </c>
      <c r="F17" s="19">
        <v>0.60416666666666696</v>
      </c>
      <c r="G17" s="22">
        <v>0.66666666666666663</v>
      </c>
      <c r="H17" s="22">
        <v>0.66666666666666663</v>
      </c>
      <c r="I17" s="22">
        <v>0.66666666666666663</v>
      </c>
      <c r="J17" s="22">
        <v>0.63194444444444442</v>
      </c>
    </row>
    <row r="18" spans="2:10" ht="17.25" customHeight="1">
      <c r="B18" s="488" t="s">
        <v>102</v>
      </c>
      <c r="C18" s="330" t="s">
        <v>36</v>
      </c>
      <c r="D18" s="359">
        <f>'0928'!Z15</f>
        <v>0</v>
      </c>
      <c r="E18" s="360">
        <f>'0928'!Z26</f>
        <v>0</v>
      </c>
      <c r="F18" s="360">
        <f>'0928'!Z37</f>
        <v>0</v>
      </c>
      <c r="G18" s="361">
        <f>'0928'!Z48</f>
        <v>0</v>
      </c>
      <c r="H18" s="361">
        <f>'0928'!Z58</f>
        <v>0</v>
      </c>
      <c r="I18" s="360">
        <f>'0928'!Z69</f>
        <v>0</v>
      </c>
      <c r="J18" s="360">
        <f>'0928'!AA79</f>
        <v>0</v>
      </c>
    </row>
    <row r="19" spans="2:10" ht="17.25" customHeight="1">
      <c r="B19" s="489"/>
      <c r="C19" s="330" t="s">
        <v>37</v>
      </c>
      <c r="D19" s="359">
        <f>'0928'!AA15</f>
        <v>0</v>
      </c>
      <c r="E19" s="360">
        <f>'0928'!AA26</f>
        <v>0</v>
      </c>
      <c r="F19" s="360">
        <f>'0928'!AA37</f>
        <v>0</v>
      </c>
      <c r="G19" s="361">
        <f>'0928'!AA48</f>
        <v>0</v>
      </c>
      <c r="H19" s="361">
        <f>'0928'!AA58</f>
        <v>0</v>
      </c>
      <c r="I19" s="360">
        <f>'0928'!AA69</f>
        <v>0</v>
      </c>
      <c r="J19" s="360">
        <f>'0928'!AB79</f>
        <v>0</v>
      </c>
    </row>
    <row r="20" spans="2:10" ht="17.25" customHeight="1">
      <c r="B20" s="488" t="s">
        <v>103</v>
      </c>
      <c r="C20" s="330" t="s">
        <v>36</v>
      </c>
      <c r="D20" s="359">
        <f>'0928'!AD15</f>
        <v>0</v>
      </c>
      <c r="E20" s="360">
        <f>'0928'!AD26</f>
        <v>0</v>
      </c>
      <c r="F20" s="360">
        <f>'0928'!AD37</f>
        <v>0</v>
      </c>
      <c r="G20" s="361">
        <f>'0928'!AD48</f>
        <v>0</v>
      </c>
      <c r="H20" s="361">
        <f>'0928'!AD58</f>
        <v>0</v>
      </c>
      <c r="I20" s="360">
        <f>'0928'!AD69</f>
        <v>0</v>
      </c>
      <c r="J20" s="360">
        <f>'0928'!AD79</f>
        <v>0</v>
      </c>
    </row>
    <row r="21" spans="2:10" ht="17.25" customHeight="1">
      <c r="B21" s="489"/>
      <c r="C21" s="330" t="s">
        <v>85</v>
      </c>
      <c r="D21" s="359">
        <f>'0928'!AE15</f>
        <v>0</v>
      </c>
      <c r="E21" s="360">
        <f>'0928'!AE26</f>
        <v>0</v>
      </c>
      <c r="F21" s="360">
        <f>'0928'!AE37</f>
        <v>0</v>
      </c>
      <c r="G21" s="361">
        <f>'0928'!AE48</f>
        <v>0</v>
      </c>
      <c r="H21" s="361">
        <f>'0928'!AE58</f>
        <v>0</v>
      </c>
      <c r="I21" s="360">
        <f>'0928'!AE69</f>
        <v>0</v>
      </c>
      <c r="J21" s="360">
        <f>'0928'!AE79</f>
        <v>0</v>
      </c>
    </row>
    <row r="22" spans="2:10" ht="17.25" customHeight="1">
      <c r="B22" s="471" t="s">
        <v>104</v>
      </c>
      <c r="C22" s="472"/>
      <c r="D22" s="23">
        <f>VALUE('0928'!M15)</f>
        <v>13.75</v>
      </c>
      <c r="E22" s="23">
        <f>VALUE('0928'!M26)</f>
        <v>12.666666666666666</v>
      </c>
      <c r="F22" s="23">
        <f>VALUE('0928'!M37)</f>
        <v>15.2</v>
      </c>
      <c r="G22" s="23">
        <f>VALUE('0928'!M48)</f>
        <v>15.666666666666666</v>
      </c>
      <c r="H22" s="23">
        <f>VALUE('0928'!M58)</f>
        <v>16.2</v>
      </c>
      <c r="I22" s="23">
        <f>VALUE('0928'!M69)</f>
        <v>12.6</v>
      </c>
      <c r="J22" s="23">
        <f>'0928'!M79</f>
        <v>10.75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28B69-45C4-416A-BBFB-40D43B67E47C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U18" sqref="U1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66057</v>
      </c>
      <c r="F1" s="30" t="s">
        <v>2</v>
      </c>
      <c r="G1" s="31">
        <f>SUM(H5:H79)</f>
        <v>3103417.4709999994</v>
      </c>
      <c r="H1" s="32" t="s">
        <v>3</v>
      </c>
      <c r="I1" s="33">
        <f>M15+M26+M48+M58+M69+M79+M37</f>
        <v>96.833333333333329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215</v>
      </c>
      <c r="B2" s="462"/>
      <c r="C2" s="28"/>
      <c r="D2" s="28" t="s">
        <v>14</v>
      </c>
      <c r="E2" s="35">
        <f>AVERAGE(O15,O26,O37,O48,O58,O69,O79)</f>
        <v>117.82972508799438</v>
      </c>
      <c r="F2" s="36" t="s">
        <v>15</v>
      </c>
      <c r="G2" s="37">
        <f>G1/E1</f>
        <v>46.980902417609023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0</v>
      </c>
      <c r="AA2" s="339">
        <f>AA15+AA26+AA37+AA48+AA58+AA69+AA79</f>
        <v>0</v>
      </c>
      <c r="AB2" s="433"/>
      <c r="AC2" s="433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3594</v>
      </c>
      <c r="H5" s="43">
        <f>F5*G5</f>
        <v>204390.78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2114.1176470588343</v>
      </c>
      <c r="O5" s="47">
        <f>N5/M5</f>
        <v>151.0084033613453</v>
      </c>
      <c r="P5" s="49">
        <f>M5-J5</f>
        <v>0</v>
      </c>
      <c r="Q5" s="50">
        <f>O5-L5</f>
        <v>-9.7058823529404208</v>
      </c>
      <c r="R5" s="51">
        <f>O5/L5</f>
        <v>0.93960784313725965</v>
      </c>
      <c r="S5" s="392">
        <f>R15</f>
        <v>0.91914350056866811</v>
      </c>
      <c r="T5" s="319">
        <v>0.29166666666666702</v>
      </c>
      <c r="U5" s="320">
        <v>0.36249999999999999</v>
      </c>
      <c r="V5" s="53"/>
      <c r="W5" s="54">
        <f t="shared" ref="W5:W14" si="0">(U5-T5)*24*60</f>
        <v>101.99999999999947</v>
      </c>
      <c r="X5" s="55"/>
      <c r="Y5" s="290"/>
      <c r="Z5" s="169"/>
      <c r="AA5" s="169"/>
      <c r="AB5" s="397"/>
      <c r="AC5" s="397"/>
      <c r="AD5" s="135"/>
      <c r="AE5" s="135"/>
      <c r="AF5" s="229">
        <f t="shared" ref="AF5:AF11" si="1">N5-K5</f>
        <v>-135.88235294116566</v>
      </c>
      <c r="AG5" s="52">
        <f t="shared" ref="AG5:AG11" si="2">N5/K5</f>
        <v>0.93960784313725976</v>
      </c>
      <c r="AH5" s="380">
        <f>AG15</f>
        <v>0.91936444632984138</v>
      </c>
    </row>
    <row r="6" spans="1:34" ht="15" customHeight="1">
      <c r="A6" s="466"/>
      <c r="B6" s="57" t="s">
        <v>81</v>
      </c>
      <c r="C6" s="58"/>
      <c r="D6" s="59" t="s">
        <v>116</v>
      </c>
      <c r="E6" s="60"/>
      <c r="F6" s="61">
        <f>VLOOKUP(D6,廠價表!$C$1:$E$43,3,0)</f>
        <v>58.17</v>
      </c>
      <c r="G6" s="62">
        <v>1838</v>
      </c>
      <c r="H6" s="63">
        <f>F6*G6</f>
        <v>106916.46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2042.2222222222231</v>
      </c>
      <c r="O6" s="67">
        <f>N6/M6</f>
        <v>157.09401709401715</v>
      </c>
      <c r="P6" s="69">
        <f>M6-J6</f>
        <v>0</v>
      </c>
      <c r="Q6" s="70">
        <f>O6-L6</f>
        <v>-15.982905982905919</v>
      </c>
      <c r="R6" s="71">
        <f>O6/L6</f>
        <v>0.90765432098765464</v>
      </c>
      <c r="S6" s="393"/>
      <c r="T6" s="16">
        <v>0.37013888888888902</v>
      </c>
      <c r="U6" s="16">
        <v>0.40763888888888899</v>
      </c>
      <c r="V6" s="30">
        <f>(T6-U5)*24*60</f>
        <v>11.000000000000201</v>
      </c>
      <c r="W6" s="73">
        <f t="shared" si="0"/>
        <v>53.999999999999972</v>
      </c>
      <c r="X6" s="22"/>
      <c r="Y6" s="84"/>
      <c r="Z6" s="90"/>
      <c r="AA6" s="90"/>
      <c r="AB6" s="430"/>
      <c r="AC6" s="430"/>
      <c r="AD6" s="149"/>
      <c r="AE6" s="149"/>
      <c r="AF6" s="307">
        <f t="shared" si="1"/>
        <v>-207.77777777777692</v>
      </c>
      <c r="AG6" s="72">
        <f t="shared" si="2"/>
        <v>0.90765432098765475</v>
      </c>
      <c r="AH6" s="382"/>
    </row>
    <row r="7" spans="1:34" ht="15" customHeight="1">
      <c r="A7" s="466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3111</v>
      </c>
      <c r="H7" s="78">
        <f>F7*G7</f>
        <v>152874.54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2007.0967741935281</v>
      </c>
      <c r="O7" s="81">
        <f>N7/M7</f>
        <v>143.36405529953771</v>
      </c>
      <c r="P7" s="74">
        <f>M7-J7</f>
        <v>0</v>
      </c>
      <c r="Q7" s="83">
        <f>O7-L7</f>
        <v>-17.350230414748012</v>
      </c>
      <c r="R7" s="72">
        <f>O7/L7</f>
        <v>0.892043010752679</v>
      </c>
      <c r="S7" s="393"/>
      <c r="T7" s="18">
        <v>0.41458333333333303</v>
      </c>
      <c r="U7" s="18">
        <v>0.47916666666666702</v>
      </c>
      <c r="V7" s="30">
        <f>(T7-U6)*24*60</f>
        <v>9.9999999999994049</v>
      </c>
      <c r="W7" s="73">
        <f t="shared" si="0"/>
        <v>93.000000000000952</v>
      </c>
      <c r="X7" s="22"/>
      <c r="Y7" s="84"/>
      <c r="Z7" s="90"/>
      <c r="AA7" s="90"/>
      <c r="AB7" s="386"/>
      <c r="AC7" s="386"/>
      <c r="AD7" s="92"/>
      <c r="AE7" s="92"/>
      <c r="AF7" s="307">
        <f t="shared" si="1"/>
        <v>-242.90322580647194</v>
      </c>
      <c r="AG7" s="72">
        <f t="shared" si="2"/>
        <v>0.89204301075267911</v>
      </c>
      <c r="AH7" s="382"/>
    </row>
    <row r="8" spans="1:34" ht="15" customHeight="1">
      <c r="A8" s="466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2920</v>
      </c>
      <c r="H8" s="78">
        <f>F8*G8</f>
        <v>143488.79999999999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2110.8433734939877</v>
      </c>
      <c r="O8" s="81">
        <f>N8/M8</f>
        <v>150.77452667814197</v>
      </c>
      <c r="P8" s="74">
        <f>M8-J8</f>
        <v>0</v>
      </c>
      <c r="Q8" s="83">
        <f>O8-L8</f>
        <v>-9.9397590361437551</v>
      </c>
      <c r="R8" s="72">
        <f>O8/L8</f>
        <v>0.93815261044177223</v>
      </c>
      <c r="S8" s="393"/>
      <c r="T8" s="16">
        <v>0.54166666666666696</v>
      </c>
      <c r="U8" s="16">
        <v>0.59930555555555554</v>
      </c>
      <c r="V8" s="30">
        <f>(T8-U7)*24*60</f>
        <v>89.999999999999915</v>
      </c>
      <c r="W8" s="73">
        <f t="shared" si="0"/>
        <v>82.999999999999545</v>
      </c>
      <c r="X8" s="22"/>
      <c r="Y8" s="84"/>
      <c r="Z8" s="90"/>
      <c r="AA8" s="90"/>
      <c r="AB8" s="430"/>
      <c r="AC8" s="430"/>
      <c r="AD8" s="149"/>
      <c r="AE8" s="149"/>
      <c r="AF8" s="307">
        <f t="shared" si="1"/>
        <v>-139.15662650601234</v>
      </c>
      <c r="AG8" s="72">
        <f t="shared" si="2"/>
        <v>0.93815261044177234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>
        <f t="shared" ref="J15:O15" si="3">AVERAGE(J5:J14)</f>
        <v>13.75</v>
      </c>
      <c r="K15" s="120">
        <f t="shared" si="3"/>
        <v>2250</v>
      </c>
      <c r="L15" s="117">
        <f t="shared" si="3"/>
        <v>163.80494505494505</v>
      </c>
      <c r="M15" s="120">
        <f t="shared" si="3"/>
        <v>13.75</v>
      </c>
      <c r="N15" s="120">
        <f t="shared" si="3"/>
        <v>2068.5700042421431</v>
      </c>
      <c r="O15" s="117">
        <f t="shared" si="3"/>
        <v>150.56025060826053</v>
      </c>
      <c r="P15" s="121">
        <f>M15-J15</f>
        <v>0</v>
      </c>
      <c r="Q15" s="122">
        <f>O15-L15</f>
        <v>-13.24469444668452</v>
      </c>
      <c r="R15" s="123">
        <f>O15/L15</f>
        <v>0.91914350056866811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>
        <f>N15-K15</f>
        <v>-181.42999575785689</v>
      </c>
      <c r="AG15" s="124">
        <f>N15/K15</f>
        <v>0.91936444632984138</v>
      </c>
      <c r="AH15" s="384"/>
    </row>
    <row r="16" spans="1:34" ht="15" customHeight="1">
      <c r="A16" s="426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4482</v>
      </c>
      <c r="H16" s="134">
        <f>F16*G16</f>
        <v>227102.94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2117.4803149606282</v>
      </c>
      <c r="O16" s="141">
        <f>N16/M16</f>
        <v>151.24859392575917</v>
      </c>
      <c r="P16" s="142">
        <f>M16-J16</f>
        <v>0</v>
      </c>
      <c r="Q16" s="143">
        <f>O16-L16</f>
        <v>-9.4656917885265557</v>
      </c>
      <c r="R16" s="144">
        <f>O16/L16</f>
        <v>0.94110236220472365</v>
      </c>
      <c r="S16" s="420">
        <f>R26</f>
        <v>0.93837128467050424</v>
      </c>
      <c r="T16" s="145">
        <v>0.29236111111111102</v>
      </c>
      <c r="U16" s="145">
        <v>0.38055555555555554</v>
      </c>
      <c r="V16" s="135"/>
      <c r="W16" s="146">
        <f t="shared" ref="W16:W78" si="4">(U16-T16)*24*60</f>
        <v>127.00000000000011</v>
      </c>
      <c r="X16" s="141"/>
      <c r="Y16" s="296"/>
      <c r="Z16" s="169"/>
      <c r="AA16" s="169"/>
      <c r="AB16" s="397"/>
      <c r="AC16" s="397"/>
      <c r="AD16" s="135"/>
      <c r="AE16" s="135"/>
      <c r="AF16" s="229">
        <f>N16-K16</f>
        <v>-132.51968503937178</v>
      </c>
      <c r="AG16" s="52">
        <f>N16/K16</f>
        <v>0.94110236220472365</v>
      </c>
      <c r="AH16" s="380">
        <f>AG26</f>
        <v>0.93850133598165753</v>
      </c>
    </row>
    <row r="17" spans="1:34" ht="15" customHeight="1">
      <c r="A17" s="427"/>
      <c r="B17" s="75" t="s">
        <v>81</v>
      </c>
      <c r="C17" s="76"/>
      <c r="D17" s="59" t="s">
        <v>120</v>
      </c>
      <c r="E17" s="77"/>
      <c r="F17" s="75">
        <f>VLOOKUP(D17,廠價表!$C$1:$E$43,3,0)</f>
        <v>50.39</v>
      </c>
      <c r="G17" s="147">
        <v>4499</v>
      </c>
      <c r="H17" s="78">
        <f>F17*G17</f>
        <v>226704.61000000002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2125.5118110236335</v>
      </c>
      <c r="O17" s="96">
        <f>N17/M17</f>
        <v>177.12598425196947</v>
      </c>
      <c r="P17" s="97">
        <f>M17-J17</f>
        <v>0</v>
      </c>
      <c r="Q17" s="98">
        <f>O17-L17</f>
        <v>-10.37401574803053</v>
      </c>
      <c r="R17" s="99">
        <f>O17/L17</f>
        <v>0.94467191601050382</v>
      </c>
      <c r="S17" s="421"/>
      <c r="T17" s="19">
        <v>0.38750000000000001</v>
      </c>
      <c r="U17" s="19">
        <v>0.47569444444444398</v>
      </c>
      <c r="V17" s="30">
        <f>(T17-U16)*24*60</f>
        <v>10.000000000000044</v>
      </c>
      <c r="W17" s="149">
        <f t="shared" si="4"/>
        <v>126.9999999999993</v>
      </c>
      <c r="X17" s="19"/>
      <c r="Y17" s="297"/>
      <c r="Z17" s="90"/>
      <c r="AA17" s="90"/>
      <c r="AB17" s="386"/>
      <c r="AC17" s="386"/>
      <c r="AD17" s="92"/>
      <c r="AE17" s="92"/>
      <c r="AF17" s="307">
        <f>N17-K17</f>
        <v>-124.48818897636647</v>
      </c>
      <c r="AG17" s="72">
        <f>N17/K17</f>
        <v>0.94467191601050382</v>
      </c>
      <c r="AH17" s="382"/>
    </row>
    <row r="18" spans="1:34" ht="15" customHeight="1">
      <c r="A18" s="427"/>
      <c r="B18" s="75" t="s">
        <v>81</v>
      </c>
      <c r="C18" s="76"/>
      <c r="D18" s="59" t="s">
        <v>120</v>
      </c>
      <c r="E18" s="77"/>
      <c r="F18" s="75">
        <f>VLOOKUP(D18,廠價表!$C$1:$E$43,3,0)</f>
        <v>50.39</v>
      </c>
      <c r="G18" s="147">
        <v>1290</v>
      </c>
      <c r="H18" s="78">
        <f>F18*G18</f>
        <v>65003.1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2091.8918918919262</v>
      </c>
      <c r="O18" s="96">
        <f>N18/M18</f>
        <v>174.32432432432719</v>
      </c>
      <c r="P18" s="97">
        <f>M18-J18</f>
        <v>0</v>
      </c>
      <c r="Q18" s="98">
        <f>O18-L18</f>
        <v>-13.175675675672807</v>
      </c>
      <c r="R18" s="99">
        <f>O18/L18</f>
        <v>0.92972972972974499</v>
      </c>
      <c r="S18" s="421"/>
      <c r="T18" s="19">
        <v>0.54166666666666696</v>
      </c>
      <c r="U18" s="19">
        <v>0.56736111111111098</v>
      </c>
      <c r="V18" s="30">
        <f>(T18-U17)*24*60</f>
        <v>95.000000000001108</v>
      </c>
      <c r="W18" s="149">
        <f t="shared" si="4"/>
        <v>36.999999999999389</v>
      </c>
      <c r="X18" s="22"/>
      <c r="Y18" s="84"/>
      <c r="Z18" s="90"/>
      <c r="AA18" s="90"/>
      <c r="AB18" s="386"/>
      <c r="AC18" s="386"/>
      <c r="AD18" s="92"/>
      <c r="AE18" s="92"/>
      <c r="AF18" s="307">
        <f>N18-K18</f>
        <v>-158.10810810807379</v>
      </c>
      <c r="AG18" s="72">
        <f>N18/K18</f>
        <v>0.92972972972974499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>
        <f t="shared" ref="J26:O26" si="5">AVERAGE(J16:J25)</f>
        <v>12.666666666666666</v>
      </c>
      <c r="K26" s="155">
        <f t="shared" si="5"/>
        <v>2250</v>
      </c>
      <c r="L26" s="158">
        <f t="shared" si="5"/>
        <v>178.57142857142858</v>
      </c>
      <c r="M26" s="155">
        <f t="shared" si="5"/>
        <v>12.666666666666666</v>
      </c>
      <c r="N26" s="155">
        <f t="shared" si="5"/>
        <v>2111.6280059587293</v>
      </c>
      <c r="O26" s="158">
        <f t="shared" si="5"/>
        <v>167.56630083401862</v>
      </c>
      <c r="P26" s="159">
        <f>M26-J26</f>
        <v>0</v>
      </c>
      <c r="Q26" s="160">
        <f>O26-L26</f>
        <v>-11.005127737409964</v>
      </c>
      <c r="R26" s="161">
        <f>O26/L26</f>
        <v>0.93837128467050424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>
        <f t="shared" ref="AF26:AF31" si="6">N26-K26</f>
        <v>-138.37199404127068</v>
      </c>
      <c r="AG26" s="124">
        <f t="shared" ref="AG26:AG31" si="7">N26/K26</f>
        <v>0.93850133598165753</v>
      </c>
      <c r="AH26" s="384"/>
    </row>
    <row r="27" spans="1:34" ht="15" customHeight="1">
      <c r="A27" s="417" t="s">
        <v>45</v>
      </c>
      <c r="B27" s="167" t="s">
        <v>81</v>
      </c>
      <c r="C27" s="130"/>
      <c r="D27" s="168" t="s">
        <v>140</v>
      </c>
      <c r="E27" s="132"/>
      <c r="F27" s="129">
        <f>VLOOKUP(D27,廠價表!$C$1:$E$43,3,0)</f>
        <v>43.89</v>
      </c>
      <c r="G27" s="169">
        <v>2125</v>
      </c>
      <c r="H27" s="134">
        <f>F27*G27</f>
        <v>93266.25</v>
      </c>
      <c r="I27" s="135"/>
      <c r="J27" s="136">
        <v>11</v>
      </c>
      <c r="K27" s="137">
        <f>VLOOKUP(D27,產線配置圖!$A$3:$C$40,3,0)</f>
        <v>1565</v>
      </c>
      <c r="L27" s="138">
        <f>K27/J27</f>
        <v>142.27272727272728</v>
      </c>
      <c r="M27" s="170">
        <v>10</v>
      </c>
      <c r="N27" s="140">
        <f>G27/W27*60</f>
        <v>1301.0204081632658</v>
      </c>
      <c r="O27" s="141">
        <f>N27/M27</f>
        <v>130.10204081632656</v>
      </c>
      <c r="P27" s="142">
        <f>M27-J27</f>
        <v>-1</v>
      </c>
      <c r="Q27" s="143">
        <f>O27-L27</f>
        <v>-12.170686456400716</v>
      </c>
      <c r="R27" s="144">
        <f>O27/L27</f>
        <v>0.91445523896459557</v>
      </c>
      <c r="S27" s="420">
        <f>R37</f>
        <v>0.94196056091513092</v>
      </c>
      <c r="T27" s="171">
        <v>0.2951388888888889</v>
      </c>
      <c r="U27" s="171">
        <v>0.36319444444444443</v>
      </c>
      <c r="V27" s="135"/>
      <c r="W27" s="146">
        <f t="shared" si="4"/>
        <v>97.999999999999972</v>
      </c>
      <c r="X27" s="135"/>
      <c r="Y27" s="300"/>
      <c r="Z27" s="169"/>
      <c r="AA27" s="169"/>
      <c r="AB27" s="397"/>
      <c r="AC27" s="397"/>
      <c r="AD27" s="135"/>
      <c r="AE27" s="135"/>
      <c r="AF27" s="310">
        <f t="shared" si="6"/>
        <v>-263.97959183673424</v>
      </c>
      <c r="AG27" s="172">
        <f t="shared" si="7"/>
        <v>0.83132294451326882</v>
      </c>
      <c r="AH27" s="380">
        <f>AG37</f>
        <v>0.88632179297016134</v>
      </c>
    </row>
    <row r="28" spans="1:34" ht="15" customHeight="1">
      <c r="A28" s="418"/>
      <c r="B28" s="75" t="s">
        <v>81</v>
      </c>
      <c r="C28" s="173"/>
      <c r="D28" s="59" t="s">
        <v>124</v>
      </c>
      <c r="E28" s="104"/>
      <c r="F28" s="75">
        <f>VLOOKUP(D28,廠價表!$C$1:$E$43,3,0)</f>
        <v>46.34</v>
      </c>
      <c r="G28" s="90">
        <v>1291</v>
      </c>
      <c r="H28" s="91">
        <f>F28*G28</f>
        <v>59824.94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16</v>
      </c>
      <c r="N28" s="95">
        <f>G28/W28*60</f>
        <v>1549.2000000000005</v>
      </c>
      <c r="O28" s="96">
        <f>N28/M28</f>
        <v>96.825000000000031</v>
      </c>
      <c r="P28" s="97">
        <f>M28-J28</f>
        <v>0</v>
      </c>
      <c r="Q28" s="98">
        <f>O28-L28</f>
        <v>-5.4249999999999687</v>
      </c>
      <c r="R28" s="99">
        <f>O28/L28</f>
        <v>0.94694376528117385</v>
      </c>
      <c r="S28" s="421"/>
      <c r="T28" s="19">
        <v>0.37083333333333335</v>
      </c>
      <c r="U28" s="19">
        <v>0.40555555555555556</v>
      </c>
      <c r="V28" s="92">
        <f>(T28-U27)*24*60</f>
        <v>11.000000000000041</v>
      </c>
      <c r="W28" s="149">
        <f t="shared" si="4"/>
        <v>49.999999999999986</v>
      </c>
      <c r="X28" s="174"/>
      <c r="Y28" s="301"/>
      <c r="Z28" s="335"/>
      <c r="AA28" s="335"/>
      <c r="AB28" s="386"/>
      <c r="AC28" s="386"/>
      <c r="AD28" s="92"/>
      <c r="AE28" s="92"/>
      <c r="AF28" s="311">
        <f t="shared" si="6"/>
        <v>-86.7999999999995</v>
      </c>
      <c r="AG28" s="99">
        <f t="shared" si="7"/>
        <v>0.94694376528117385</v>
      </c>
      <c r="AH28" s="381"/>
    </row>
    <row r="29" spans="1:34" ht="15" customHeight="1">
      <c r="A29" s="418"/>
      <c r="B29" s="75" t="s">
        <v>81</v>
      </c>
      <c r="C29" s="173"/>
      <c r="D29" s="59" t="s">
        <v>194</v>
      </c>
      <c r="E29" s="104"/>
      <c r="F29" s="75">
        <f>VLOOKUP(D29,廠價表!$C$1:$E$43,3,0)</f>
        <v>61.65</v>
      </c>
      <c r="G29" s="90">
        <v>1558</v>
      </c>
      <c r="H29" s="91">
        <f>F29*G29</f>
        <v>96050.7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16</v>
      </c>
      <c r="N29" s="95">
        <f>G29/W29*60</f>
        <v>1395.2238805970151</v>
      </c>
      <c r="O29" s="96">
        <f>N29/M29</f>
        <v>87.201492537313442</v>
      </c>
      <c r="P29" s="97">
        <f>M29-J29</f>
        <v>-2</v>
      </c>
      <c r="Q29" s="98">
        <f>O29-L29</f>
        <v>-3.687396351575444</v>
      </c>
      <c r="R29" s="99">
        <f>O29/L29</f>
        <v>0.95942962449366875</v>
      </c>
      <c r="S29" s="421"/>
      <c r="T29" s="19">
        <v>0.41180555555555554</v>
      </c>
      <c r="U29" s="19">
        <v>0.45833333333333331</v>
      </c>
      <c r="V29" s="92">
        <f>(T29-U28)*24*60</f>
        <v>8.999999999999968</v>
      </c>
      <c r="W29" s="149">
        <f t="shared" si="4"/>
        <v>67</v>
      </c>
      <c r="X29" s="22"/>
      <c r="Y29" s="84"/>
      <c r="Z29" s="90"/>
      <c r="AA29" s="90"/>
      <c r="AB29" s="386"/>
      <c r="AC29" s="386"/>
      <c r="AD29" s="92"/>
      <c r="AE29" s="92"/>
      <c r="AF29" s="312">
        <f t="shared" si="6"/>
        <v>-240.77611940298493</v>
      </c>
      <c r="AG29" s="99">
        <f t="shared" si="7"/>
        <v>0.85282633288326104</v>
      </c>
      <c r="AH29" s="381"/>
    </row>
    <row r="30" spans="1:34" ht="15" customHeight="1">
      <c r="A30" s="418"/>
      <c r="B30" s="75" t="s">
        <v>81</v>
      </c>
      <c r="C30" s="88"/>
      <c r="D30" s="59" t="s">
        <v>194</v>
      </c>
      <c r="E30" s="89"/>
      <c r="F30" s="75">
        <f>VLOOKUP(D30,廠價表!$C$1:$E$43,3,0)</f>
        <v>61.65</v>
      </c>
      <c r="G30" s="90">
        <v>1592</v>
      </c>
      <c r="H30" s="91">
        <f t="shared" ref="H30:H31" si="8">F30*G30</f>
        <v>98146.8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1" si="9">K30/J30</f>
        <v>90.888888888888886</v>
      </c>
      <c r="M30" s="94">
        <v>16</v>
      </c>
      <c r="N30" s="95">
        <f t="shared" ref="N30:N31" si="10">G30/W30*60</f>
        <v>1384.3478260869581</v>
      </c>
      <c r="O30" s="96">
        <f t="shared" ref="O30:O31" si="11">N30/M30</f>
        <v>86.521739130434881</v>
      </c>
      <c r="P30" s="97">
        <f t="shared" ref="P30:P31" si="12">M30-J30</f>
        <v>-2</v>
      </c>
      <c r="Q30" s="98">
        <f t="shared" ref="Q30:Q31" si="13">O30-L30</f>
        <v>-4.3671497584540049</v>
      </c>
      <c r="R30" s="99">
        <f t="shared" ref="R30:R31" si="14">O30/L30</f>
        <v>0.95195067502923469</v>
      </c>
      <c r="S30" s="421"/>
      <c r="T30" s="19">
        <v>0.51736111111111116</v>
      </c>
      <c r="U30" s="19">
        <v>0.56527777777777777</v>
      </c>
      <c r="V30" s="92">
        <f t="shared" ref="V30:V31" si="15">(T30-U29)*24*60</f>
        <v>85.000000000000099</v>
      </c>
      <c r="W30" s="149">
        <f t="shared" si="4"/>
        <v>68.999999999999915</v>
      </c>
      <c r="X30" s="174"/>
      <c r="Y30" s="301"/>
      <c r="Z30" s="335"/>
      <c r="AA30" s="335"/>
      <c r="AB30" s="386"/>
      <c r="AC30" s="386"/>
      <c r="AD30" s="92"/>
      <c r="AE30" s="92"/>
      <c r="AF30" s="312">
        <f t="shared" si="6"/>
        <v>-251.65217391304191</v>
      </c>
      <c r="AG30" s="99">
        <f t="shared" si="7"/>
        <v>0.84617837780376415</v>
      </c>
      <c r="AH30" s="416"/>
    </row>
    <row r="31" spans="1:34" ht="15" customHeight="1">
      <c r="A31" s="418"/>
      <c r="B31" s="75" t="s">
        <v>81</v>
      </c>
      <c r="C31" s="88"/>
      <c r="D31" s="59" t="s">
        <v>161</v>
      </c>
      <c r="E31" s="89"/>
      <c r="F31" s="75">
        <f>VLOOKUP(D31,廠價表!$C$1:$E$43,3,0)</f>
        <v>52.21</v>
      </c>
      <c r="G31" s="90">
        <v>1194</v>
      </c>
      <c r="H31" s="91">
        <f t="shared" si="8"/>
        <v>62338.74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9"/>
        <v>90.888888888888886</v>
      </c>
      <c r="M31" s="94">
        <v>18</v>
      </c>
      <c r="N31" s="95">
        <f t="shared" si="10"/>
        <v>1557.3913043477992</v>
      </c>
      <c r="O31" s="96">
        <f t="shared" si="11"/>
        <v>86.521739130433289</v>
      </c>
      <c r="P31" s="97">
        <f t="shared" si="12"/>
        <v>0</v>
      </c>
      <c r="Q31" s="98">
        <f t="shared" si="13"/>
        <v>-4.3671497584555965</v>
      </c>
      <c r="R31" s="99">
        <f t="shared" si="14"/>
        <v>0.95195067502921715</v>
      </c>
      <c r="S31" s="421"/>
      <c r="T31" s="19">
        <v>0.57222222222222197</v>
      </c>
      <c r="U31" s="19">
        <v>0.60416666666666696</v>
      </c>
      <c r="V31" s="92">
        <f t="shared" si="15"/>
        <v>9.9999999999996447</v>
      </c>
      <c r="W31" s="149">
        <f t="shared" si="4"/>
        <v>46.000000000000796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-78.608695652200822</v>
      </c>
      <c r="AG31" s="99">
        <f t="shared" si="7"/>
        <v>0.95195067502921715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9"/>
      <c r="U35" s="19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>
        <f t="shared" ref="J37:O37" si="16">AVERAGE(J27:J36)</f>
        <v>16.2</v>
      </c>
      <c r="K37" s="155">
        <f t="shared" si="16"/>
        <v>1621.8</v>
      </c>
      <c r="L37" s="158">
        <f t="shared" si="16"/>
        <v>103.4378787878788</v>
      </c>
      <c r="M37" s="155">
        <f t="shared" si="16"/>
        <v>15.2</v>
      </c>
      <c r="N37" s="155">
        <f t="shared" si="16"/>
        <v>1437.4366838390076</v>
      </c>
      <c r="O37" s="158">
        <f t="shared" si="16"/>
        <v>97.434402322901633</v>
      </c>
      <c r="P37" s="159">
        <f>M37-J37</f>
        <v>-1</v>
      </c>
      <c r="Q37" s="160">
        <f>N37-K37</f>
        <v>-184.36331616099233</v>
      </c>
      <c r="R37" s="161">
        <f>O37/L37</f>
        <v>0.94196056091513092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>
        <f>N37-K37</f>
        <v>-184.36331616099233</v>
      </c>
      <c r="AG37" s="124">
        <f>N37/K37</f>
        <v>0.88632179297016134</v>
      </c>
      <c r="AH37" s="384"/>
    </row>
    <row r="38" spans="1:34" ht="15" customHeight="1">
      <c r="A38" s="407" t="s">
        <v>48</v>
      </c>
      <c r="B38" s="167" t="s">
        <v>127</v>
      </c>
      <c r="C38" s="129"/>
      <c r="D38" s="184" t="s">
        <v>128</v>
      </c>
      <c r="E38" s="185"/>
      <c r="F38" s="39">
        <f>VLOOKUP(D38,廠價表!$C$1:$E$43,3,0)</f>
        <v>49.91</v>
      </c>
      <c r="G38" s="186">
        <v>2797</v>
      </c>
      <c r="H38" s="134">
        <f>F38*G38</f>
        <v>139598.26999999999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15</v>
      </c>
      <c r="N38" s="140">
        <f>G38/W38*60</f>
        <v>1553.8888888888816</v>
      </c>
      <c r="O38" s="141">
        <f>N38/M38</f>
        <v>103.59259259259211</v>
      </c>
      <c r="P38" s="142">
        <f>M38-J38</f>
        <v>-1</v>
      </c>
      <c r="Q38" s="143">
        <f>O38-L38</f>
        <v>-3.5324074074078879</v>
      </c>
      <c r="R38" s="144">
        <f>O38/L38</f>
        <v>0.96702536842559728</v>
      </c>
      <c r="S38" s="410">
        <f>R48</f>
        <v>0.95327421328633744</v>
      </c>
      <c r="T38" s="191">
        <v>0.33333333333333298</v>
      </c>
      <c r="U38" s="191">
        <v>0.40833333333333333</v>
      </c>
      <c r="V38" s="192"/>
      <c r="W38" s="193">
        <f t="shared" si="4"/>
        <v>108.0000000000005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-160.11111111111836</v>
      </c>
      <c r="AG38" s="195">
        <f>N38/K38</f>
        <v>0.90658628289899745</v>
      </c>
      <c r="AH38" s="413">
        <f>AG48</f>
        <v>0.86298926968411283</v>
      </c>
    </row>
    <row r="39" spans="1:34" ht="15" customHeight="1">
      <c r="A39" s="408"/>
      <c r="B39" s="75" t="s">
        <v>127</v>
      </c>
      <c r="C39" s="197"/>
      <c r="D39" s="198" t="s">
        <v>129</v>
      </c>
      <c r="E39" s="176"/>
      <c r="F39" s="75">
        <f>VLOOKUP(D39,廠價表!$C$1:$E$43,3,0)</f>
        <v>44.3</v>
      </c>
      <c r="G39" s="199">
        <v>2831</v>
      </c>
      <c r="H39" s="91">
        <f>F39*G39</f>
        <v>125413.29999999999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16</v>
      </c>
      <c r="N39" s="202">
        <f>G39/W39*60</f>
        <v>1380.975609756098</v>
      </c>
      <c r="O39" s="203">
        <f>N39/M39</f>
        <v>86.310975609756127</v>
      </c>
      <c r="P39" s="97">
        <f>M39-J39</f>
        <v>-2</v>
      </c>
      <c r="Q39" s="98">
        <f>O39-L39</f>
        <v>-4.5779132791327584</v>
      </c>
      <c r="R39" s="99">
        <f>O39/L39</f>
        <v>0.94963176098753688</v>
      </c>
      <c r="S39" s="411"/>
      <c r="T39" s="20">
        <v>0.41458333333333336</v>
      </c>
      <c r="U39" s="20">
        <v>0.5</v>
      </c>
      <c r="V39" s="92">
        <f>(T39-U38)*24*60</f>
        <v>9.000000000000048</v>
      </c>
      <c r="W39" s="205">
        <f t="shared" si="4"/>
        <v>122.99999999999996</v>
      </c>
      <c r="X39" s="22"/>
      <c r="Y39" s="84"/>
      <c r="Z39" s="90"/>
      <c r="AA39" s="90"/>
      <c r="AB39" s="385"/>
      <c r="AC39" s="385"/>
      <c r="AD39" s="200"/>
      <c r="AE39" s="200"/>
      <c r="AF39" s="314">
        <f>N39-K39</f>
        <v>-255.02439024390196</v>
      </c>
      <c r="AG39" s="206">
        <f>N39/K39</f>
        <v>0.84411712087781055</v>
      </c>
      <c r="AH39" s="414"/>
    </row>
    <row r="40" spans="1:34" ht="15" customHeight="1">
      <c r="A40" s="408"/>
      <c r="B40" s="75" t="s">
        <v>127</v>
      </c>
      <c r="C40" s="207"/>
      <c r="D40" s="198" t="s">
        <v>129</v>
      </c>
      <c r="E40" s="178"/>
      <c r="F40" s="75">
        <f>VLOOKUP(D40,廠價表!$C$1:$E$43,3,0)</f>
        <v>44.3</v>
      </c>
      <c r="G40" s="199">
        <v>3648</v>
      </c>
      <c r="H40" s="91">
        <f>F40*G40</f>
        <v>161606.39999999999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16</v>
      </c>
      <c r="N40" s="202">
        <f>G40/W40*60</f>
        <v>1368.0000000000061</v>
      </c>
      <c r="O40" s="203">
        <f>N40/M40</f>
        <v>85.500000000000384</v>
      </c>
      <c r="P40" s="97">
        <f>M40-J40</f>
        <v>-2</v>
      </c>
      <c r="Q40" s="98">
        <f>O40-L40</f>
        <v>-5.388888888888502</v>
      </c>
      <c r="R40" s="99">
        <f>O40/L40</f>
        <v>0.94070904645477194</v>
      </c>
      <c r="S40" s="393"/>
      <c r="T40" s="20">
        <v>0.55555555555555602</v>
      </c>
      <c r="U40" s="20">
        <v>0.66666666666666663</v>
      </c>
      <c r="V40" s="92">
        <f>(T40-U39)*24*60</f>
        <v>80.000000000000682</v>
      </c>
      <c r="W40" s="205">
        <f t="shared" si="4"/>
        <v>159.99999999999926</v>
      </c>
      <c r="X40" s="208"/>
      <c r="Y40" s="209"/>
      <c r="Z40" s="337"/>
      <c r="AA40" s="337"/>
      <c r="AB40" s="386"/>
      <c r="AC40" s="386"/>
      <c r="AD40" s="92"/>
      <c r="AE40" s="92"/>
      <c r="AF40" s="314">
        <f>N40-K40</f>
        <v>-267.99999999999386</v>
      </c>
      <c r="AG40" s="206">
        <f>N40/K40</f>
        <v>0.83618581907090839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17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17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17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17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17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>
        <f t="shared" ref="J48:O48" si="18">AVERAGE(J38:J47)</f>
        <v>17.333333333333332</v>
      </c>
      <c r="K48" s="155">
        <f t="shared" si="18"/>
        <v>1662</v>
      </c>
      <c r="L48" s="158">
        <f t="shared" si="18"/>
        <v>96.300925925925924</v>
      </c>
      <c r="M48" s="155">
        <f t="shared" si="18"/>
        <v>15.666666666666666</v>
      </c>
      <c r="N48" s="155">
        <f t="shared" si="18"/>
        <v>1434.2881662149955</v>
      </c>
      <c r="O48" s="158">
        <f t="shared" si="18"/>
        <v>91.801189400782889</v>
      </c>
      <c r="P48" s="221">
        <f>M48-J48</f>
        <v>-1.6666666666666661</v>
      </c>
      <c r="Q48" s="222">
        <f>N48-K48</f>
        <v>-227.7118337850045</v>
      </c>
      <c r="R48" s="223">
        <f>O48/L48</f>
        <v>0.95327421328633744</v>
      </c>
      <c r="S48" s="396"/>
      <c r="T48" s="224"/>
      <c r="U48" s="224"/>
      <c r="V48" s="225"/>
      <c r="W48" s="226">
        <f t="shared" si="17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>
        <f t="shared" ref="AF48:AF53" si="19">N48-K48</f>
        <v>-227.7118337850045</v>
      </c>
      <c r="AG48" s="162">
        <f t="shared" ref="AG48:AG53" si="20">N48/K48</f>
        <v>0.86298926968411283</v>
      </c>
      <c r="AH48" s="415"/>
    </row>
    <row r="49" spans="1:34" ht="15" customHeight="1">
      <c r="A49" s="404" t="s">
        <v>50</v>
      </c>
      <c r="B49" s="129" t="s">
        <v>81</v>
      </c>
      <c r="C49" s="130"/>
      <c r="D49" s="131" t="s">
        <v>122</v>
      </c>
      <c r="E49" s="132"/>
      <c r="F49" s="129">
        <f>VLOOKUP(D49,廠價表!$C$1:$E$43,3,0)</f>
        <v>49.91</v>
      </c>
      <c r="G49" s="228">
        <v>862</v>
      </c>
      <c r="H49" s="134">
        <f>F49*G49</f>
        <v>43022.42</v>
      </c>
      <c r="I49" s="135"/>
      <c r="J49" s="136">
        <f>VLOOKUP(D49,產線配置圖!$A$3:$C$40,2,0)</f>
        <v>18</v>
      </c>
      <c r="K49" s="137">
        <v>1636</v>
      </c>
      <c r="L49" s="138">
        <f>K49/J49</f>
        <v>90.888888888888886</v>
      </c>
      <c r="M49" s="170">
        <v>17</v>
      </c>
      <c r="N49" s="140">
        <f>G49/W49*60</f>
        <v>1477.7142857143081</v>
      </c>
      <c r="O49" s="141">
        <f>N49/M49</f>
        <v>86.924369747900471</v>
      </c>
      <c r="P49" s="229">
        <f>M49-J49</f>
        <v>-1</v>
      </c>
      <c r="Q49" s="230">
        <f>O49-L49</f>
        <v>-3.9645191409884148</v>
      </c>
      <c r="R49" s="52">
        <f>O49/L49</f>
        <v>0.95638059624829375</v>
      </c>
      <c r="S49" s="392">
        <f>R58</f>
        <v>0.92558433728840639</v>
      </c>
      <c r="T49" s="191">
        <v>0.29166666666666702</v>
      </c>
      <c r="U49" s="191">
        <v>0.31597222222222221</v>
      </c>
      <c r="V49" s="55"/>
      <c r="W49" s="193">
        <f t="shared" si="4"/>
        <v>34.999999999999474</v>
      </c>
      <c r="X49" s="55"/>
      <c r="Y49" s="290"/>
      <c r="Z49" s="169"/>
      <c r="AA49" s="169"/>
      <c r="AB49" s="397"/>
      <c r="AC49" s="397"/>
      <c r="AD49" s="135"/>
      <c r="AE49" s="135"/>
      <c r="AF49" s="229">
        <f t="shared" si="19"/>
        <v>-158.28571428569194</v>
      </c>
      <c r="AG49" s="52">
        <f t="shared" si="20"/>
        <v>0.90324834090116635</v>
      </c>
      <c r="AH49" s="380">
        <f>AG58</f>
        <v>0.88115866261244202</v>
      </c>
    </row>
    <row r="50" spans="1:34" ht="15" customHeight="1">
      <c r="A50" s="405"/>
      <c r="B50" s="75" t="s">
        <v>81</v>
      </c>
      <c r="C50" s="76"/>
      <c r="D50" s="59" t="s">
        <v>130</v>
      </c>
      <c r="E50" s="77"/>
      <c r="F50" s="75">
        <f>VLOOKUP(D50,廠價表!$C$1:$E$43,3,0)</f>
        <v>50.289000000000001</v>
      </c>
      <c r="G50" s="202">
        <v>2599</v>
      </c>
      <c r="H50" s="231">
        <f>F50*G50</f>
        <v>130701.111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1513.9805825242631</v>
      </c>
      <c r="O50" s="235">
        <f>N50/M50</f>
        <v>89.057681324956661</v>
      </c>
      <c r="P50" s="74">
        <f>M50-J50</f>
        <v>0</v>
      </c>
      <c r="Q50" s="83">
        <f>O50-L50</f>
        <v>-7.1776127926903968</v>
      </c>
      <c r="R50" s="72">
        <f>O50/L50</f>
        <v>0.925416003987936</v>
      </c>
      <c r="S50" s="393"/>
      <c r="T50" s="21">
        <v>0.3215277777777778</v>
      </c>
      <c r="U50" s="21">
        <v>0.39305555555555599</v>
      </c>
      <c r="V50" s="30">
        <f>(T50-U49)*24*60</f>
        <v>8.0000000000000515</v>
      </c>
      <c r="W50" s="236">
        <f t="shared" si="4"/>
        <v>103.0000000000006</v>
      </c>
      <c r="X50" s="22"/>
      <c r="Y50" s="84"/>
      <c r="Z50" s="90"/>
      <c r="AA50" s="90"/>
      <c r="AB50" s="386"/>
      <c r="AC50" s="386"/>
      <c r="AD50" s="92"/>
      <c r="AE50" s="92"/>
      <c r="AF50" s="307">
        <f t="shared" si="19"/>
        <v>-122.01941747573687</v>
      </c>
      <c r="AG50" s="72">
        <f t="shared" si="20"/>
        <v>0.92541600398793589</v>
      </c>
      <c r="AH50" s="382"/>
    </row>
    <row r="51" spans="1:34" ht="15" customHeight="1">
      <c r="A51" s="405"/>
      <c r="B51" s="75" t="s">
        <v>81</v>
      </c>
      <c r="C51" s="76"/>
      <c r="D51" s="59" t="s">
        <v>123</v>
      </c>
      <c r="E51" s="77"/>
      <c r="F51" s="75">
        <f>VLOOKUP(D51,廠價表!$C$1:$E$43,3,0)</f>
        <v>57.21</v>
      </c>
      <c r="G51" s="202">
        <v>1279</v>
      </c>
      <c r="H51" s="231">
        <f>F51*G51</f>
        <v>73171.59</v>
      </c>
      <c r="I51" s="232"/>
      <c r="J51" s="79">
        <f>VLOOKUP(D51,產線配置圖!$A$3:$C$40,2,0)</f>
        <v>18</v>
      </c>
      <c r="K51" s="80">
        <f>VLOOKUP(D51,產線配置圖!$A$3:$C$40,3,0)</f>
        <v>1636</v>
      </c>
      <c r="L51" s="81">
        <f>K51/J51</f>
        <v>90.888888888888886</v>
      </c>
      <c r="M51" s="233">
        <v>17</v>
      </c>
      <c r="N51" s="234">
        <f>G51/W51*60</f>
        <v>1370.3571428571399</v>
      </c>
      <c r="O51" s="235">
        <f>N51/M51</f>
        <v>80.609243697478817</v>
      </c>
      <c r="P51" s="74">
        <f>M51-J51</f>
        <v>-1</v>
      </c>
      <c r="Q51" s="83">
        <f>O51-L51</f>
        <v>-10.279645191410069</v>
      </c>
      <c r="R51" s="72">
        <f>O51/L51</f>
        <v>0.88689876928766431</v>
      </c>
      <c r="S51" s="393"/>
      <c r="T51" s="21">
        <v>0.4</v>
      </c>
      <c r="U51" s="19">
        <v>0.43888888888888899</v>
      </c>
      <c r="V51" s="30">
        <f>(T51-U50)*24*60</f>
        <v>9.9999999999994049</v>
      </c>
      <c r="W51" s="236">
        <f t="shared" si="4"/>
        <v>56.000000000000121</v>
      </c>
      <c r="X51" s="22"/>
      <c r="Y51" s="84"/>
      <c r="Z51" s="90"/>
      <c r="AA51" s="90"/>
      <c r="AB51" s="386"/>
      <c r="AC51" s="386"/>
      <c r="AD51" s="92"/>
      <c r="AE51" s="92"/>
      <c r="AF51" s="307">
        <f t="shared" si="19"/>
        <v>-265.64285714286007</v>
      </c>
      <c r="AG51" s="72">
        <f t="shared" si="20"/>
        <v>0.8376266154383496</v>
      </c>
      <c r="AH51" s="382"/>
    </row>
    <row r="52" spans="1:34" ht="15" customHeight="1">
      <c r="A52" s="405"/>
      <c r="B52" s="75" t="s">
        <v>81</v>
      </c>
      <c r="C52" s="86"/>
      <c r="D52" s="59" t="s">
        <v>131</v>
      </c>
      <c r="E52" s="87"/>
      <c r="F52" s="75">
        <f>VLOOKUP(D52,廠價表!$C$1:$E$43,3,0)</f>
        <v>49.97</v>
      </c>
      <c r="G52" s="202">
        <v>1875</v>
      </c>
      <c r="H52" s="231">
        <f>F52*G52</f>
        <v>93693.75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15</v>
      </c>
      <c r="N52" s="234">
        <f t="shared" ref="N52:N53" si="21">G52/W52*60</f>
        <v>1541.0958904109443</v>
      </c>
      <c r="O52" s="235">
        <f t="shared" ref="O52:O53" si="22">N52/M52</f>
        <v>102.73972602739629</v>
      </c>
      <c r="P52" s="74">
        <f t="shared" ref="P52:P53" si="23">M52-J52</f>
        <v>-1</v>
      </c>
      <c r="Q52" s="83">
        <f t="shared" ref="Q52:Q53" si="24">O52-L52</f>
        <v>-9.7602739726037129</v>
      </c>
      <c r="R52" s="72">
        <f t="shared" ref="R52:R53" si="25">O52/L52</f>
        <v>0.91324200913241149</v>
      </c>
      <c r="S52" s="393"/>
      <c r="T52" s="21">
        <v>0.44444444444444398</v>
      </c>
      <c r="U52" s="21">
        <v>0.49513888888888891</v>
      </c>
      <c r="V52" s="30">
        <f t="shared" ref="V52:V53" si="26">(T52-U51)*24*60</f>
        <v>7.9999999999991722</v>
      </c>
      <c r="W52" s="236">
        <f t="shared" si="4"/>
        <v>73.000000000000696</v>
      </c>
      <c r="X52" s="22"/>
      <c r="Y52" s="84"/>
      <c r="Z52" s="90"/>
      <c r="AA52" s="90"/>
      <c r="AB52" s="386"/>
      <c r="AC52" s="386"/>
      <c r="AD52" s="92"/>
      <c r="AE52" s="92"/>
      <c r="AF52" s="307">
        <f t="shared" si="19"/>
        <v>-258.90410958905568</v>
      </c>
      <c r="AG52" s="72">
        <f t="shared" si="20"/>
        <v>0.85616438356163571</v>
      </c>
      <c r="AH52" s="382"/>
    </row>
    <row r="53" spans="1:34" ht="15" customHeight="1">
      <c r="A53" s="405"/>
      <c r="B53" s="101" t="s">
        <v>81</v>
      </c>
      <c r="C53" s="102"/>
      <c r="D53" s="103" t="s">
        <v>131</v>
      </c>
      <c r="E53" s="104"/>
      <c r="F53" s="75">
        <f>VLOOKUP(D53,廠價表!$C$1:$E$43,3,0)</f>
        <v>49.97</v>
      </c>
      <c r="G53" s="202">
        <v>4250</v>
      </c>
      <c r="H53" s="231">
        <f>F53*G53</f>
        <v>212372.5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>K53/J53</f>
        <v>112.5</v>
      </c>
      <c r="M53" s="108">
        <v>15</v>
      </c>
      <c r="N53" s="234">
        <f t="shared" si="21"/>
        <v>1593.7500000000009</v>
      </c>
      <c r="O53" s="235">
        <f t="shared" si="22"/>
        <v>106.25000000000006</v>
      </c>
      <c r="P53" s="74">
        <f t="shared" si="23"/>
        <v>-1</v>
      </c>
      <c r="Q53" s="83">
        <f t="shared" si="24"/>
        <v>-6.2499999999999432</v>
      </c>
      <c r="R53" s="72">
        <f t="shared" si="25"/>
        <v>0.94444444444444497</v>
      </c>
      <c r="S53" s="393"/>
      <c r="T53" s="21">
        <v>0.55555555555555558</v>
      </c>
      <c r="U53" s="21">
        <v>0.66666666666666663</v>
      </c>
      <c r="V53" s="30">
        <f t="shared" si="26"/>
        <v>87.000000000000014</v>
      </c>
      <c r="W53" s="236">
        <f t="shared" si="4"/>
        <v>159.99999999999991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9"/>
        <v>-206.24999999999909</v>
      </c>
      <c r="AG53" s="72">
        <f t="shared" si="20"/>
        <v>0.88541666666666718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>
        <f t="shared" ref="J58:O58" si="27">AVERAGE(J49:J57)</f>
        <v>17</v>
      </c>
      <c r="K58" s="120">
        <f t="shared" si="27"/>
        <v>1701.6</v>
      </c>
      <c r="L58" s="117">
        <f t="shared" si="27"/>
        <v>100.60261437908495</v>
      </c>
      <c r="M58" s="120">
        <f t="shared" si="27"/>
        <v>16.2</v>
      </c>
      <c r="N58" s="120">
        <f t="shared" si="27"/>
        <v>1499.3795803013313</v>
      </c>
      <c r="O58" s="117">
        <f t="shared" si="27"/>
        <v>93.116204159546456</v>
      </c>
      <c r="P58" s="121">
        <f>M58-J58</f>
        <v>-0.80000000000000071</v>
      </c>
      <c r="Q58" s="122">
        <f>N58-K58</f>
        <v>-202.22041969866859</v>
      </c>
      <c r="R58" s="123">
        <f>O58/L58</f>
        <v>0.92558433728840639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>
        <f>N58-K58</f>
        <v>-202.22041969866859</v>
      </c>
      <c r="AG58" s="124">
        <f>N58/K58</f>
        <v>0.88115866261244202</v>
      </c>
      <c r="AH58" s="384"/>
    </row>
    <row r="59" spans="1:34" ht="15" customHeight="1">
      <c r="A59" s="398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VLOOKUP(D59,廠價表!$C$1:$E$43,3,0)</f>
        <v>26.99</v>
      </c>
      <c r="G59" s="55">
        <v>2425</v>
      </c>
      <c r="H59" s="243">
        <f>F59*G59</f>
        <v>65450.749999999993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1426.4705882353014</v>
      </c>
      <c r="O59" s="138">
        <f>N59/M59</f>
        <v>95.098039215686768</v>
      </c>
      <c r="P59" s="56">
        <f>M59-J59</f>
        <v>0</v>
      </c>
      <c r="Q59" s="230">
        <f>O59-L59</f>
        <v>-13.968627450979895</v>
      </c>
      <c r="R59" s="52">
        <f>O59/L59</f>
        <v>0.87192578742989091</v>
      </c>
      <c r="S59" s="392">
        <f>R69</f>
        <v>0.81448585486566261</v>
      </c>
      <c r="T59" s="245">
        <v>0.29166666666666702</v>
      </c>
      <c r="U59" s="245">
        <v>0.36249999999999999</v>
      </c>
      <c r="V59" s="55"/>
      <c r="W59" s="54">
        <f t="shared" si="4"/>
        <v>101.99999999999947</v>
      </c>
      <c r="X59" s="55"/>
      <c r="Y59" s="290"/>
      <c r="Z59" s="169"/>
      <c r="AA59" s="169"/>
      <c r="AB59" s="397"/>
      <c r="AC59" s="397"/>
      <c r="AD59" s="135"/>
      <c r="AE59" s="135"/>
      <c r="AF59" s="310">
        <f>N59-K59</f>
        <v>-209.52941176469858</v>
      </c>
      <c r="AG59" s="246">
        <f>N59/K59</f>
        <v>0.8719257874298908</v>
      </c>
      <c r="AH59" s="380">
        <f>AG69</f>
        <v>0.82132997741986458</v>
      </c>
    </row>
    <row r="60" spans="1:34" ht="15" customHeight="1">
      <c r="A60" s="399"/>
      <c r="B60" s="75" t="s">
        <v>132</v>
      </c>
      <c r="C60" s="86"/>
      <c r="D60" s="175" t="s">
        <v>134</v>
      </c>
      <c r="E60" s="87"/>
      <c r="F60" s="75">
        <f>VLOOKUP(D60,廠價表!$C$1:$E$43,3,0)</f>
        <v>28.26</v>
      </c>
      <c r="G60" s="30">
        <v>1529</v>
      </c>
      <c r="H60" s="78">
        <f>F60*G60</f>
        <v>43209.54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1479.6774193548592</v>
      </c>
      <c r="O60" s="81">
        <f>N60/M60</f>
        <v>134.51612903225993</v>
      </c>
      <c r="P60" s="74">
        <f>M60-J60</f>
        <v>0</v>
      </c>
      <c r="Q60" s="83">
        <f>O60-L60</f>
        <v>-14.211143695012794</v>
      </c>
      <c r="R60" s="72">
        <f>O60/L60</f>
        <v>0.90444830033915602</v>
      </c>
      <c r="S60" s="402"/>
      <c r="T60" s="22">
        <v>0.37013888888888902</v>
      </c>
      <c r="U60" s="22">
        <v>0.41319444444444398</v>
      </c>
      <c r="V60" s="30">
        <f>(T60-U59)*24*60</f>
        <v>11.000000000000201</v>
      </c>
      <c r="W60" s="248">
        <f t="shared" si="4"/>
        <v>61.99999999999914</v>
      </c>
      <c r="X60" s="232"/>
      <c r="Y60" s="177"/>
      <c r="Z60" s="90"/>
      <c r="AA60" s="90"/>
      <c r="AB60" s="386"/>
      <c r="AC60" s="386"/>
      <c r="AD60" s="92"/>
      <c r="AE60" s="92"/>
      <c r="AF60" s="316">
        <f>N60-K60</f>
        <v>-156.32258064514076</v>
      </c>
      <c r="AG60" s="249">
        <f>N60/K60</f>
        <v>0.90444830033915602</v>
      </c>
      <c r="AH60" s="403"/>
    </row>
    <row r="61" spans="1:34" ht="15" customHeight="1">
      <c r="A61" s="400"/>
      <c r="B61" s="250" t="s">
        <v>132</v>
      </c>
      <c r="C61" s="251"/>
      <c r="D61" s="252" t="s">
        <v>135</v>
      </c>
      <c r="E61" s="253"/>
      <c r="F61" s="75">
        <f>VLOOKUP(D61,廠價表!$C$1:$E$43,3,0)</f>
        <v>28.26</v>
      </c>
      <c r="G61" s="38">
        <v>813</v>
      </c>
      <c r="H61" s="254">
        <f>F61*G61</f>
        <v>22975.38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1016.2500000000036</v>
      </c>
      <c r="O61" s="238">
        <f>N61/M61</f>
        <v>92.386363636363967</v>
      </c>
      <c r="P61" s="111">
        <f>M61-J61</f>
        <v>0</v>
      </c>
      <c r="Q61" s="255">
        <f>O61-L61</f>
        <v>-56.340909090908752</v>
      </c>
      <c r="R61" s="85">
        <f>O61/L61</f>
        <v>0.62117970660146926</v>
      </c>
      <c r="S61" s="393"/>
      <c r="T61" s="22">
        <v>0.42152777777777778</v>
      </c>
      <c r="U61" s="22">
        <v>0.45486111111111099</v>
      </c>
      <c r="V61" s="30">
        <f>(T61-U60)*24*60</f>
        <v>12.000000000000677</v>
      </c>
      <c r="W61" s="256">
        <f t="shared" si="4"/>
        <v>47.999999999999829</v>
      </c>
      <c r="X61" s="22"/>
      <c r="Y61" s="84"/>
      <c r="Z61" s="90"/>
      <c r="AA61" s="90"/>
      <c r="AB61" s="386" t="s">
        <v>232</v>
      </c>
      <c r="AC61" s="386"/>
      <c r="AD61" s="92"/>
      <c r="AE61" s="92"/>
      <c r="AF61" s="317">
        <f>N61-K61</f>
        <v>-619.74999999999636</v>
      </c>
      <c r="AG61" s="247">
        <f>N61/K61</f>
        <v>0.62117970660146926</v>
      </c>
      <c r="AH61" s="382"/>
    </row>
    <row r="62" spans="1:34" ht="15" customHeight="1">
      <c r="A62" s="400"/>
      <c r="B62" s="250" t="s">
        <v>132</v>
      </c>
      <c r="C62" s="251"/>
      <c r="D62" s="257" t="s">
        <v>136</v>
      </c>
      <c r="E62" s="253"/>
      <c r="F62" s="75">
        <f>VLOOKUP(D62,廠價表!$C$1:$E$43,3,0)</f>
        <v>28.26</v>
      </c>
      <c r="G62" s="38">
        <v>2538</v>
      </c>
      <c r="H62" s="78">
        <f>F62*G62</f>
        <v>71723.88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>K62/J62</f>
        <v>148.72727272727272</v>
      </c>
      <c r="M62" s="108">
        <v>11</v>
      </c>
      <c r="N62" s="107">
        <f t="shared" ref="N62:N63" si="28">G62/W62*60</f>
        <v>1347.6106194690312</v>
      </c>
      <c r="O62" s="238">
        <f t="shared" ref="O62:O63" si="29">N62/M62</f>
        <v>122.51005631536647</v>
      </c>
      <c r="P62" s="111">
        <f t="shared" ref="P62:P63" si="30">M62-J62</f>
        <v>0</v>
      </c>
      <c r="Q62" s="255">
        <f t="shared" ref="Q62:Q63" si="31">O62-L62</f>
        <v>-26.21721641190625</v>
      </c>
      <c r="R62" s="85">
        <f t="shared" ref="R62:R63" si="32">O62/L62</f>
        <v>0.82372287253608267</v>
      </c>
      <c r="S62" s="393"/>
      <c r="T62" s="22">
        <v>0.51875000000000004</v>
      </c>
      <c r="U62" s="22">
        <v>0.59722222222222199</v>
      </c>
      <c r="V62" s="30">
        <f t="shared" ref="V62:V63" si="33">(T62-U61)*24*60</f>
        <v>92.000000000000227</v>
      </c>
      <c r="W62" s="248">
        <f t="shared" si="4"/>
        <v>112.9999999999996</v>
      </c>
      <c r="X62" s="22"/>
      <c r="Y62" s="84"/>
      <c r="Z62" s="90"/>
      <c r="AA62" s="90"/>
      <c r="AB62" s="386"/>
      <c r="AC62" s="386"/>
      <c r="AD62" s="92"/>
      <c r="AE62" s="92"/>
      <c r="AF62" s="317">
        <f>N62-K62</f>
        <v>-288.38938053096877</v>
      </c>
      <c r="AG62" s="247">
        <f>N62/K62</f>
        <v>0.82372287253608267</v>
      </c>
      <c r="AH62" s="382"/>
    </row>
    <row r="63" spans="1:34" ht="15" customHeight="1">
      <c r="A63" s="400"/>
      <c r="B63" s="258" t="s">
        <v>132</v>
      </c>
      <c r="C63" s="58"/>
      <c r="D63" s="259" t="s">
        <v>133</v>
      </c>
      <c r="E63" s="60"/>
      <c r="F63" s="75">
        <f>VLOOKUP(D63,廠價表!$C$1:$E$43,3,0)</f>
        <v>26.99</v>
      </c>
      <c r="G63" s="260">
        <v>2052</v>
      </c>
      <c r="H63" s="254">
        <f>F63*G63</f>
        <v>55383.479999999996</v>
      </c>
      <c r="I63" s="182"/>
      <c r="J63" s="106">
        <f>VLOOKUP(D63,產線配置圖!$A$3:$C$40,2,0)</f>
        <v>15</v>
      </c>
      <c r="K63" s="107">
        <f>VLOOKUP(D63,產線配置圖!$A$3:$C$40,3,0)</f>
        <v>1636</v>
      </c>
      <c r="L63" s="238">
        <f>K63/J63</f>
        <v>109.06666666666666</v>
      </c>
      <c r="M63" s="68">
        <v>15</v>
      </c>
      <c r="N63" s="107">
        <f t="shared" si="28"/>
        <v>1448.4705882352966</v>
      </c>
      <c r="O63" s="238">
        <f t="shared" si="29"/>
        <v>96.56470588235311</v>
      </c>
      <c r="P63" s="111">
        <f t="shared" si="30"/>
        <v>0</v>
      </c>
      <c r="Q63" s="255">
        <f t="shared" si="31"/>
        <v>-12.501960784313553</v>
      </c>
      <c r="R63" s="85">
        <f t="shared" si="32"/>
        <v>0.88537322019272413</v>
      </c>
      <c r="S63" s="393"/>
      <c r="T63" s="22">
        <v>0.60763888888888895</v>
      </c>
      <c r="U63" s="22">
        <v>0.66666666666666663</v>
      </c>
      <c r="V63" s="30">
        <f t="shared" si="33"/>
        <v>15.000000000000426</v>
      </c>
      <c r="W63" s="248">
        <f t="shared" si="4"/>
        <v>84.999999999999858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2"/>
      <c r="U66" s="22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>
        <f t="shared" ref="J69:O69" si="34">AVERAGE(J59:J68)</f>
        <v>12.6</v>
      </c>
      <c r="K69" s="240">
        <f t="shared" si="34"/>
        <v>1636</v>
      </c>
      <c r="L69" s="268">
        <f t="shared" si="34"/>
        <v>132.86303030303029</v>
      </c>
      <c r="M69" s="240">
        <f t="shared" si="34"/>
        <v>12.6</v>
      </c>
      <c r="N69" s="240">
        <f t="shared" si="34"/>
        <v>1343.6958430588984</v>
      </c>
      <c r="O69" s="268">
        <f t="shared" si="34"/>
        <v>108.21505881640606</v>
      </c>
      <c r="P69" s="269">
        <f>M69-J69</f>
        <v>0</v>
      </c>
      <c r="Q69" s="222">
        <f>N69-K69</f>
        <v>-292.30415694110161</v>
      </c>
      <c r="R69" s="123">
        <f>O69/L69</f>
        <v>0.81448585486566261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>
        <f>N69-K69</f>
        <v>-292.30415694110161</v>
      </c>
      <c r="AG69" s="124">
        <f>N69/K69</f>
        <v>0.82132997741986458</v>
      </c>
      <c r="AH69" s="384"/>
    </row>
    <row r="70" spans="1:36" ht="15" customHeight="1">
      <c r="A70" s="389" t="s">
        <v>55</v>
      </c>
      <c r="B70" s="129" t="s">
        <v>132</v>
      </c>
      <c r="C70" s="129"/>
      <c r="D70" s="131" t="s">
        <v>136</v>
      </c>
      <c r="E70" s="132"/>
      <c r="F70" s="129">
        <f>VLOOKUP(D70,廠價表!$C$1:$E$43,3,0)</f>
        <v>28.26</v>
      </c>
      <c r="G70" s="55">
        <v>1195</v>
      </c>
      <c r="H70" s="243">
        <f>F70*G70</f>
        <v>33770.700000000004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8</v>
      </c>
      <c r="N70" s="137">
        <f>G70/W70*60</f>
        <v>1103.0769230769201</v>
      </c>
      <c r="O70" s="138">
        <f>N70/M70</f>
        <v>137.88461538461502</v>
      </c>
      <c r="P70" s="56">
        <f>M70-J70</f>
        <v>-3</v>
      </c>
      <c r="Q70" s="230">
        <f>O70-L70</f>
        <v>-10.842657342657702</v>
      </c>
      <c r="R70" s="52">
        <f>O70/L70</f>
        <v>0.9270970472070692</v>
      </c>
      <c r="S70" s="392">
        <f>R79</f>
        <v>0.88516491839728906</v>
      </c>
      <c r="T70" s="245">
        <v>0.30902777777777801</v>
      </c>
      <c r="U70" s="245">
        <v>0.35416666666666702</v>
      </c>
      <c r="V70" s="55"/>
      <c r="W70" s="54">
        <f t="shared" si="4"/>
        <v>65.000000000000171</v>
      </c>
      <c r="X70" s="270"/>
      <c r="Y70" s="292"/>
      <c r="Z70" s="169"/>
      <c r="AA70" s="169"/>
      <c r="AB70" s="397"/>
      <c r="AC70" s="397"/>
      <c r="AD70" s="135"/>
      <c r="AE70" s="135"/>
      <c r="AF70" s="310">
        <f>N70-K70</f>
        <v>-532.92307692307986</v>
      </c>
      <c r="AG70" s="246">
        <f>N70/K70</f>
        <v>0.67425239796877756</v>
      </c>
      <c r="AH70" s="380">
        <f>AG79</f>
        <v>0.75488780499015273</v>
      </c>
    </row>
    <row r="71" spans="1:36" ht="15" customHeight="1">
      <c r="A71" s="390"/>
      <c r="B71" s="75" t="s">
        <v>81</v>
      </c>
      <c r="C71" s="76"/>
      <c r="D71" s="59" t="s">
        <v>161</v>
      </c>
      <c r="E71" s="77"/>
      <c r="F71" s="75">
        <f>VLOOKUP(D71,廠價表!$C$1:$E$43,3,0)</f>
        <v>52.21</v>
      </c>
      <c r="G71" s="30">
        <v>3352</v>
      </c>
      <c r="H71" s="78">
        <f t="shared" ref="H71:H73" si="35">F71*G71</f>
        <v>175007.92</v>
      </c>
      <c r="I71" s="30"/>
      <c r="J71" s="79">
        <v>14</v>
      </c>
      <c r="K71" s="80">
        <f>VLOOKUP(D71,產線配置圖!$A$3:$C$40,3,0)</f>
        <v>1636</v>
      </c>
      <c r="L71" s="81">
        <f t="shared" ref="L71:L73" si="36">K71/J71</f>
        <v>116.85714285714286</v>
      </c>
      <c r="M71" s="82">
        <v>13</v>
      </c>
      <c r="N71" s="80">
        <f t="shared" ref="N71:N73" si="37">G71/W71*60</f>
        <v>1241.4814814814818</v>
      </c>
      <c r="O71" s="81">
        <f t="shared" ref="O71:O73" si="38">N71/M71</f>
        <v>95.498575498575519</v>
      </c>
      <c r="P71" s="74">
        <f t="shared" ref="P71:P73" si="39">M71-J71</f>
        <v>-1</v>
      </c>
      <c r="Q71" s="83">
        <f t="shared" ref="Q71:Q73" si="40">O71-L71</f>
        <v>-21.358567358567342</v>
      </c>
      <c r="R71" s="72">
        <f t="shared" ref="R71:R73" si="41">O71/L71</f>
        <v>0.81722497370419145</v>
      </c>
      <c r="S71" s="393"/>
      <c r="T71" s="22">
        <v>0.35972222222222222</v>
      </c>
      <c r="U71" s="22">
        <v>0.47222222222222221</v>
      </c>
      <c r="V71" s="30">
        <f t="shared" ref="V71:V73" si="42">(T71-U70)*24*60</f>
        <v>7.999999999999492</v>
      </c>
      <c r="W71" s="73">
        <f t="shared" si="4"/>
        <v>161.99999999999997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 t="s">
        <v>81</v>
      </c>
      <c r="C72" s="76"/>
      <c r="D72" s="59" t="s">
        <v>161</v>
      </c>
      <c r="E72" s="77"/>
      <c r="F72" s="75">
        <f>VLOOKUP(D72,廠價表!$C$1:$E$43,3,0)</f>
        <v>52.21</v>
      </c>
      <c r="G72" s="202">
        <v>1165</v>
      </c>
      <c r="H72" s="78">
        <f t="shared" si="35"/>
        <v>60824.65</v>
      </c>
      <c r="I72" s="30"/>
      <c r="J72" s="79">
        <v>14</v>
      </c>
      <c r="K72" s="80">
        <f>VLOOKUP(D72,產線配置圖!$A$3:$C$40,3,0)</f>
        <v>1636</v>
      </c>
      <c r="L72" s="81">
        <f t="shared" si="36"/>
        <v>116.85714285714286</v>
      </c>
      <c r="M72" s="82">
        <v>11</v>
      </c>
      <c r="N72" s="80">
        <f t="shared" si="37"/>
        <v>1092.1874999999984</v>
      </c>
      <c r="O72" s="81">
        <f t="shared" si="38"/>
        <v>99.289772727272577</v>
      </c>
      <c r="P72" s="74">
        <f t="shared" si="39"/>
        <v>-3</v>
      </c>
      <c r="Q72" s="83">
        <f t="shared" si="40"/>
        <v>-17.567370129870284</v>
      </c>
      <c r="R72" s="72">
        <f t="shared" si="41"/>
        <v>0.84966798177372616</v>
      </c>
      <c r="S72" s="393"/>
      <c r="T72" s="22">
        <v>0.54166666666666663</v>
      </c>
      <c r="U72" s="22">
        <v>0.58611111111111114</v>
      </c>
      <c r="V72" s="30">
        <f t="shared" si="42"/>
        <v>99.999999999999972</v>
      </c>
      <c r="W72" s="73">
        <f t="shared" si="4"/>
        <v>64.000000000000085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 t="s">
        <v>81</v>
      </c>
      <c r="C73" s="86"/>
      <c r="D73" s="59" t="s">
        <v>140</v>
      </c>
      <c r="E73" s="87"/>
      <c r="F73" s="75">
        <f>VLOOKUP(D73,廠價表!$C$1:$E$43,3,0)</f>
        <v>43.89</v>
      </c>
      <c r="G73" s="202">
        <v>1353</v>
      </c>
      <c r="H73" s="78">
        <f t="shared" si="35"/>
        <v>59383.17</v>
      </c>
      <c r="I73" s="30"/>
      <c r="J73" s="79">
        <v>11</v>
      </c>
      <c r="K73" s="80">
        <f>VLOOKUP(D73,產線配置圖!$A$3:$C$40,3,0)</f>
        <v>1565</v>
      </c>
      <c r="L73" s="81">
        <f t="shared" si="36"/>
        <v>142.27272727272728</v>
      </c>
      <c r="M73" s="82">
        <v>11</v>
      </c>
      <c r="N73" s="80">
        <f t="shared" si="37"/>
        <v>1449.6428571428582</v>
      </c>
      <c r="O73" s="81">
        <f t="shared" si="38"/>
        <v>131.78571428571439</v>
      </c>
      <c r="P73" s="74">
        <f t="shared" si="39"/>
        <v>0</v>
      </c>
      <c r="Q73" s="83">
        <f t="shared" si="40"/>
        <v>-10.487012987012889</v>
      </c>
      <c r="R73" s="72">
        <f t="shared" si="41"/>
        <v>0.92628936558649089</v>
      </c>
      <c r="S73" s="393"/>
      <c r="T73" s="22">
        <v>0.59305555555555556</v>
      </c>
      <c r="U73" s="22">
        <v>0.63194444444444442</v>
      </c>
      <c r="V73" s="30">
        <f t="shared" si="42"/>
        <v>9.9999999999999645</v>
      </c>
      <c r="W73" s="73">
        <f t="shared" si="4"/>
        <v>55.999999999999957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>
        <f t="shared" ref="J79:O79" si="43">AVERAGE(J70:J78)</f>
        <v>12.5</v>
      </c>
      <c r="K79" s="240">
        <f t="shared" si="43"/>
        <v>1618.25</v>
      </c>
      <c r="L79" s="268">
        <f t="shared" si="43"/>
        <v>131.17857142857142</v>
      </c>
      <c r="M79" s="240">
        <f t="shared" si="43"/>
        <v>10.75</v>
      </c>
      <c r="N79" s="240">
        <f t="shared" si="43"/>
        <v>1221.5971904253147</v>
      </c>
      <c r="O79" s="268">
        <f t="shared" si="43"/>
        <v>116.11466947404438</v>
      </c>
      <c r="P79" s="269">
        <f>M79-J79</f>
        <v>-1.75</v>
      </c>
      <c r="Q79" s="222">
        <f>N79-K79</f>
        <v>-396.65280957468531</v>
      </c>
      <c r="R79" s="223">
        <f>O79/L79</f>
        <v>0.88516491839728906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>
        <f>N79-K79</f>
        <v>-396.65280957468531</v>
      </c>
      <c r="AG79" s="124">
        <f>N79/K79</f>
        <v>0.75488780499015273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28" priority="1" operator="greaterThan">
      <formula>0</formula>
    </cfRule>
  </conditionalFormatting>
  <conditionalFormatting sqref="AF5:AF79 Q5:Q79">
    <cfRule type="cellIs" dxfId="27" priority="4" operator="lessThan">
      <formula>0</formula>
    </cfRule>
  </conditionalFormatting>
  <conditionalFormatting sqref="AG5:AG79 R5:R79">
    <cfRule type="cellIs" dxfId="26" priority="2" operator="greaterThan">
      <formula>1</formula>
    </cfRule>
    <cfRule type="cellIs" dxfId="25" priority="3" operator="lessThan">
      <formula>0.8</formula>
    </cfRule>
  </conditionalFormatting>
  <conditionalFormatting sqref="S5:S10 S37:S62 AH59:AH62 S69:S76 AH69:AH76">
    <cfRule type="cellIs" dxfId="24" priority="7" operator="lessThan">
      <formula>0.8</formula>
    </cfRule>
  </conditionalFormatting>
  <conditionalFormatting sqref="S19:S25 AH19:AH25">
    <cfRule type="cellIs" dxfId="23" priority="6" operator="lessThan">
      <formula>0.8</formula>
    </cfRule>
  </conditionalFormatting>
  <conditionalFormatting sqref="S79">
    <cfRule type="cellIs" dxfId="22" priority="5" operator="lessThan">
      <formula>0.8</formula>
    </cfRule>
  </conditionalFormatting>
  <conditionalFormatting sqref="AH5:AH8 S15:S16 AH15:AH16 AH49 AH79">
    <cfRule type="cellIs" dxfId="21" priority="9" operator="lessThan">
      <formula>0.8</formula>
    </cfRule>
  </conditionalFormatting>
  <conditionalFormatting sqref="AH27 S27:S28">
    <cfRule type="cellIs" dxfId="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BF6B9-C812-4564-9905-DF65F397AC53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46294</v>
      </c>
      <c r="E3" s="504"/>
      <c r="F3" s="3" t="s">
        <v>72</v>
      </c>
      <c r="G3" s="505">
        <f>'0929'!E1</f>
        <v>43309</v>
      </c>
      <c r="H3" s="505"/>
      <c r="I3" s="3" t="s">
        <v>2</v>
      </c>
      <c r="J3" s="506" t="e">
        <f>'0929'!G1</f>
        <v>#N/A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 t="e">
        <f>AVERAGE(D13:J13)</f>
        <v>#N/A</v>
      </c>
      <c r="G6" s="501"/>
      <c r="H6" s="502" t="e">
        <f>AVERAGE(D13:H13)</f>
        <v>#N/A</v>
      </c>
      <c r="I6" s="502"/>
      <c r="J6" s="502" t="e">
        <f>AVERAGE(I13:J13)</f>
        <v>#N/A</v>
      </c>
      <c r="K6" s="502"/>
      <c r="L6" s="492">
        <f>'0929'!Z2</f>
        <v>0</v>
      </c>
      <c r="M6" s="493">
        <f>'0929'!AA2</f>
        <v>0</v>
      </c>
      <c r="N6" s="494">
        <f>'0929'!AD2</f>
        <v>0</v>
      </c>
      <c r="O6" s="493">
        <f>'0929'!AE2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116.11474837607263</v>
      </c>
      <c r="G7" s="490"/>
      <c r="H7" s="491">
        <f>AVERAGE(D14:H14)</f>
        <v>117.36074805627914</v>
      </c>
      <c r="I7" s="491"/>
      <c r="J7" s="491">
        <f>AVERAGE(I14:J14)</f>
        <v>112.99974917555633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 t="e">
        <f>AVERAGE(D15:J15)</f>
        <v>#N/A</v>
      </c>
      <c r="G8" s="496"/>
      <c r="H8" s="496" t="e">
        <f>AVERAGE(D15:H15)</f>
        <v>#N/A</v>
      </c>
      <c r="I8" s="496"/>
      <c r="J8" s="496" t="e">
        <f>AVERAGE(I15:J15)</f>
        <v>#N/A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 t="e">
        <f>VALUE('0929'!L15)</f>
        <v>#N/A</v>
      </c>
      <c r="E13" s="13" t="e">
        <f>VALUE('0929'!L26)</f>
        <v>#N/A</v>
      </c>
      <c r="F13" s="13" t="e">
        <f>VALUE('0929'!L37)</f>
        <v>#N/A</v>
      </c>
      <c r="G13" s="13" t="e">
        <f>VALUE('0929'!L48)</f>
        <v>#N/A</v>
      </c>
      <c r="H13" s="13" t="e">
        <f>VALUE('0929'!L58)</f>
        <v>#N/A</v>
      </c>
      <c r="I13" s="13" t="e">
        <f>VALUE('0929'!L69)</f>
        <v>#N/A</v>
      </c>
      <c r="J13" s="13" t="e">
        <f>'0929'!L79</f>
        <v>#N/A</v>
      </c>
    </row>
    <row r="14" spans="2:15" ht="39.950000000000003" customHeight="1">
      <c r="B14" s="484"/>
      <c r="C14" s="12" t="s">
        <v>100</v>
      </c>
      <c r="D14" s="13">
        <f>VALUE('0929'!O15)</f>
        <v>113.916365108528</v>
      </c>
      <c r="E14" s="13">
        <f>VALUE('0929'!O26)</f>
        <v>132.12003238004002</v>
      </c>
      <c r="F14" s="13">
        <f>VALUE('0929'!O37)</f>
        <v>126.23842229199551</v>
      </c>
      <c r="G14" s="13">
        <f>VALUE('0929'!O48)</f>
        <v>112.05430077169194</v>
      </c>
      <c r="H14" s="13">
        <f>VALUE('0929'!O58)</f>
        <v>102.47461972914017</v>
      </c>
      <c r="I14" s="13">
        <f>VALUE('0929'!O69)</f>
        <v>155.46443341604788</v>
      </c>
      <c r="J14" s="13">
        <f>'0929'!O79</f>
        <v>70.535064935064796</v>
      </c>
    </row>
    <row r="15" spans="2:15" ht="39.950000000000003" customHeight="1">
      <c r="B15" s="485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'0929'!S70</f>
        <v>#N/A</v>
      </c>
    </row>
    <row r="16" spans="2:15" ht="17.25" customHeight="1">
      <c r="B16" s="486" t="s">
        <v>101</v>
      </c>
      <c r="C16" s="10" t="s">
        <v>34</v>
      </c>
      <c r="D16" s="16">
        <f>'0929'!T5</f>
        <v>0.29097222222222202</v>
      </c>
      <c r="E16" s="16">
        <f>'0929'!T16</f>
        <v>0.29097222222222202</v>
      </c>
      <c r="F16" s="16">
        <f>'0929'!T27</f>
        <v>0.29166666666666702</v>
      </c>
      <c r="G16" s="16">
        <f>'0929'!T38</f>
        <v>0.33333333333333298</v>
      </c>
      <c r="H16" s="16">
        <f>'0929'!T49</f>
        <v>0.29166666666666702</v>
      </c>
      <c r="I16" s="16">
        <f>'0929'!T59</f>
        <v>0.29166666666666702</v>
      </c>
      <c r="J16" s="17">
        <f>'0929'!T70</f>
        <v>0.34722222222222199</v>
      </c>
    </row>
    <row r="17" spans="2:10" ht="17.25" customHeight="1">
      <c r="B17" s="487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488" t="s">
        <v>102</v>
      </c>
      <c r="C18" s="330" t="s">
        <v>36</v>
      </c>
      <c r="D18" s="359">
        <f>'0929'!Z15</f>
        <v>0</v>
      </c>
      <c r="E18" s="360">
        <f>'0929'!Z26</f>
        <v>0</v>
      </c>
      <c r="F18" s="360">
        <f>'0929'!Z37</f>
        <v>0</v>
      </c>
      <c r="G18" s="361">
        <f>'0929'!Z48</f>
        <v>0</v>
      </c>
      <c r="H18" s="361">
        <f>'0929'!Z58</f>
        <v>0</v>
      </c>
      <c r="I18" s="360">
        <f>'0929'!Z69</f>
        <v>0</v>
      </c>
      <c r="J18" s="360">
        <f>'0929'!AA79</f>
        <v>0</v>
      </c>
    </row>
    <row r="19" spans="2:10" ht="17.25" customHeight="1">
      <c r="B19" s="489"/>
      <c r="C19" s="330" t="s">
        <v>37</v>
      </c>
      <c r="D19" s="359">
        <f>'0929'!AA15</f>
        <v>0</v>
      </c>
      <c r="E19" s="360">
        <f>'0929'!AA26</f>
        <v>0</v>
      </c>
      <c r="F19" s="360">
        <f>'0929'!AA37</f>
        <v>0</v>
      </c>
      <c r="G19" s="361">
        <f>'0929'!AA48</f>
        <v>0</v>
      </c>
      <c r="H19" s="361">
        <f>'0929'!AA58</f>
        <v>0</v>
      </c>
      <c r="I19" s="360">
        <f>'0929'!AA69</f>
        <v>0</v>
      </c>
      <c r="J19" s="360">
        <f>'0929'!AB79</f>
        <v>0</v>
      </c>
    </row>
    <row r="20" spans="2:10" ht="17.25" customHeight="1">
      <c r="B20" s="488" t="s">
        <v>103</v>
      </c>
      <c r="C20" s="330" t="s">
        <v>36</v>
      </c>
      <c r="D20" s="359">
        <f>'0929'!AD15</f>
        <v>0</v>
      </c>
      <c r="E20" s="360">
        <f>'0929'!AD26</f>
        <v>0</v>
      </c>
      <c r="F20" s="360">
        <f>'0929'!AD37</f>
        <v>0</v>
      </c>
      <c r="G20" s="361">
        <f>'0929'!AD48</f>
        <v>0</v>
      </c>
      <c r="H20" s="361">
        <f>'0929'!AD58</f>
        <v>0</v>
      </c>
      <c r="I20" s="360">
        <f>'0929'!AD69</f>
        <v>0</v>
      </c>
      <c r="J20" s="360">
        <f>'0929'!AD79</f>
        <v>0</v>
      </c>
    </row>
    <row r="21" spans="2:10" ht="17.25" customHeight="1">
      <c r="B21" s="489"/>
      <c r="C21" s="330" t="s">
        <v>85</v>
      </c>
      <c r="D21" s="359">
        <f>'0929'!AE15</f>
        <v>0</v>
      </c>
      <c r="E21" s="360">
        <f>'0929'!AE26</f>
        <v>0</v>
      </c>
      <c r="F21" s="360">
        <f>'0929'!AE37</f>
        <v>0</v>
      </c>
      <c r="G21" s="361">
        <f>'0929'!AE48</f>
        <v>0</v>
      </c>
      <c r="H21" s="361">
        <f>'0929'!AE58</f>
        <v>0</v>
      </c>
      <c r="I21" s="360">
        <f>'0929'!AE69</f>
        <v>0</v>
      </c>
      <c r="J21" s="360">
        <f>'0929'!AE79</f>
        <v>0</v>
      </c>
    </row>
    <row r="22" spans="2:10" ht="17.25" customHeight="1">
      <c r="B22" s="471" t="s">
        <v>104</v>
      </c>
      <c r="C22" s="472"/>
      <c r="D22" s="23">
        <f>VALUE('0929'!M15)</f>
        <v>15</v>
      </c>
      <c r="E22" s="23">
        <f>VALUE('0929'!M26)</f>
        <v>12.666666666666666</v>
      </c>
      <c r="F22" s="23">
        <f>VALUE('0929'!M37)</f>
        <v>14.666666666666666</v>
      </c>
      <c r="G22" s="23">
        <f>VALUE('0929'!M48)</f>
        <v>14</v>
      </c>
      <c r="H22" s="23">
        <f>VALUE('0929'!M58)</f>
        <v>17.666666666666668</v>
      </c>
      <c r="I22" s="23">
        <f>VALUE('0929'!M69)</f>
        <v>12.333333333333334</v>
      </c>
      <c r="J22" s="23">
        <f>'0929'!M79</f>
        <v>11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6DDAD-AA40-4C3C-8512-E030A413011E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216</v>
      </c>
      <c r="B2" s="462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0</v>
      </c>
      <c r="AA2" s="339">
        <f>AA15+AA26+AA37+AA48+AA58+AA69+AA79</f>
        <v>0</v>
      </c>
      <c r="AB2" s="433"/>
      <c r="AC2" s="433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392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397"/>
      <c r="AC5" s="397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380" t="e">
        <f>AG15</f>
        <v>#N/A</v>
      </c>
    </row>
    <row r="6" spans="1:34" ht="15" customHeight="1">
      <c r="A6" s="466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393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0"/>
      <c r="AC6" s="430"/>
      <c r="AD6" s="149"/>
      <c r="AE6" s="149"/>
      <c r="AF6" s="307" t="e">
        <f t="shared" si="1"/>
        <v>#N/A</v>
      </c>
      <c r="AG6" s="72" t="e">
        <f t="shared" si="2"/>
        <v>#N/A</v>
      </c>
      <c r="AH6" s="382"/>
    </row>
    <row r="7" spans="1:34" ht="15" customHeight="1">
      <c r="A7" s="466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393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386"/>
      <c r="AC7" s="386"/>
      <c r="AD7" s="92"/>
      <c r="AE7" s="92"/>
      <c r="AF7" s="307" t="e">
        <f t="shared" si="1"/>
        <v>#N/A</v>
      </c>
      <c r="AG7" s="72" t="e">
        <f t="shared" si="2"/>
        <v>#N/A</v>
      </c>
      <c r="AH7" s="382"/>
    </row>
    <row r="8" spans="1:34" ht="15" customHeight="1">
      <c r="A8" s="466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93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0"/>
      <c r="AC8" s="430"/>
      <c r="AD8" s="149"/>
      <c r="AE8" s="149"/>
      <c r="AF8" s="307">
        <f t="shared" si="1"/>
        <v>0</v>
      </c>
      <c r="AG8" s="72" t="e">
        <f t="shared" si="2"/>
        <v>#DIV/0!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384"/>
    </row>
    <row r="16" spans="1:34" ht="15" customHeight="1">
      <c r="A16" s="426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20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397"/>
      <c r="AC16" s="397"/>
      <c r="AD16" s="135"/>
      <c r="AE16" s="135"/>
      <c r="AF16" s="229" t="e">
        <f>N16-K16</f>
        <v>#N/A</v>
      </c>
      <c r="AG16" s="52" t="e">
        <f>N16/K16</f>
        <v>#N/A</v>
      </c>
      <c r="AH16" s="380" t="e">
        <f>AG26</f>
        <v>#N/A</v>
      </c>
    </row>
    <row r="17" spans="1:34" ht="15" customHeight="1">
      <c r="A17" s="427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21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386"/>
      <c r="AC17" s="386"/>
      <c r="AD17" s="92"/>
      <c r="AE17" s="92"/>
      <c r="AF17" s="307" t="e">
        <f>N17-K17</f>
        <v>#N/A</v>
      </c>
      <c r="AG17" s="72" t="e">
        <f>N17/K17</f>
        <v>#N/A</v>
      </c>
      <c r="AH17" s="382"/>
    </row>
    <row r="18" spans="1:34" ht="15" customHeight="1">
      <c r="A18" s="427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21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386"/>
      <c r="AC18" s="386"/>
      <c r="AD18" s="92"/>
      <c r="AE18" s="92"/>
      <c r="AF18" s="307" t="e">
        <f>N18-K18</f>
        <v>#N/A</v>
      </c>
      <c r="AG18" s="72" t="e">
        <f>N18/K18</f>
        <v>#N/A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384"/>
    </row>
    <row r="27" spans="1:34" ht="15" customHeight="1">
      <c r="A27" s="417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20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397"/>
      <c r="AC27" s="397"/>
      <c r="AD27" s="135"/>
      <c r="AE27" s="135"/>
      <c r="AF27" s="310" t="e">
        <f t="shared" si="6"/>
        <v>#N/A</v>
      </c>
      <c r="AG27" s="172" t="e">
        <f t="shared" si="7"/>
        <v>#N/A</v>
      </c>
      <c r="AH27" s="380" t="e">
        <f>AG37</f>
        <v>#N/A</v>
      </c>
    </row>
    <row r="28" spans="1:34" ht="15" customHeight="1">
      <c r="A28" s="418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21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386"/>
      <c r="AC28" s="386"/>
      <c r="AD28" s="92"/>
      <c r="AE28" s="92"/>
      <c r="AF28" s="311" t="e">
        <f t="shared" si="6"/>
        <v>#N/A</v>
      </c>
      <c r="AG28" s="99" t="e">
        <f t="shared" si="7"/>
        <v>#N/A</v>
      </c>
      <c r="AH28" s="381"/>
    </row>
    <row r="29" spans="1:34" ht="15" customHeight="1">
      <c r="A29" s="418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21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386"/>
      <c r="AC29" s="386"/>
      <c r="AD29" s="92"/>
      <c r="AE29" s="92"/>
      <c r="AF29" s="312" t="e">
        <f t="shared" si="6"/>
        <v>#N/A</v>
      </c>
      <c r="AG29" s="99" t="e">
        <f t="shared" si="7"/>
        <v>#N/A</v>
      </c>
      <c r="AH29" s="381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386"/>
      <c r="AC30" s="386"/>
      <c r="AD30" s="92"/>
      <c r="AE30" s="92"/>
      <c r="AF30" s="312">
        <f t="shared" si="6"/>
        <v>0</v>
      </c>
      <c r="AG30" s="99" t="e">
        <f t="shared" si="7"/>
        <v>#DIV/0!</v>
      </c>
      <c r="AH30" s="416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0</v>
      </c>
      <c r="AG31" s="99" t="e">
        <f t="shared" si="7"/>
        <v>#DIV/0!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384"/>
    </row>
    <row r="38" spans="1:34" ht="15" customHeight="1">
      <c r="A38" s="407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10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12"/>
      <c r="AC38" s="412"/>
      <c r="AD38" s="192"/>
      <c r="AE38" s="192"/>
      <c r="AF38" s="313" t="e">
        <f>N38-K38</f>
        <v>#N/A</v>
      </c>
      <c r="AG38" s="195" t="e">
        <f>N38/K38</f>
        <v>#N/A</v>
      </c>
      <c r="AH38" s="413" t="e">
        <f>AG48</f>
        <v>#N/A</v>
      </c>
    </row>
    <row r="39" spans="1:34" ht="15" customHeight="1">
      <c r="A39" s="408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11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385"/>
      <c r="AC39" s="385"/>
      <c r="AD39" s="200"/>
      <c r="AE39" s="200"/>
      <c r="AF39" s="314" t="e">
        <f>N39-K39</f>
        <v>#N/A</v>
      </c>
      <c r="AG39" s="206" t="e">
        <f>N39/K39</f>
        <v>#N/A</v>
      </c>
      <c r="AH39" s="414"/>
    </row>
    <row r="40" spans="1:34" ht="15" customHeight="1">
      <c r="A40" s="408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393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386"/>
      <c r="AC40" s="386"/>
      <c r="AD40" s="92"/>
      <c r="AE40" s="92"/>
      <c r="AF40" s="314" t="e">
        <f>N40-K40</f>
        <v>#N/A</v>
      </c>
      <c r="AG40" s="206" t="e">
        <f>N40/K40</f>
        <v>#N/A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396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15"/>
    </row>
    <row r="49" spans="1:34" ht="15" customHeight="1">
      <c r="A49" s="404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392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397"/>
      <c r="AC49" s="397"/>
      <c r="AD49" s="135"/>
      <c r="AE49" s="135"/>
      <c r="AF49" s="229" t="e">
        <f t="shared" si="11"/>
        <v>#N/A</v>
      </c>
      <c r="AG49" s="52" t="e">
        <f t="shared" si="12"/>
        <v>#N/A</v>
      </c>
      <c r="AH49" s="380" t="e">
        <f>AG58</f>
        <v>#N/A</v>
      </c>
    </row>
    <row r="50" spans="1:34" ht="15" customHeight="1">
      <c r="A50" s="405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393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386"/>
      <c r="AC50" s="386"/>
      <c r="AD50" s="92"/>
      <c r="AE50" s="92"/>
      <c r="AF50" s="307" t="e">
        <f t="shared" si="11"/>
        <v>#N/A</v>
      </c>
      <c r="AG50" s="72" t="e">
        <f t="shared" si="12"/>
        <v>#N/A</v>
      </c>
      <c r="AH50" s="382"/>
    </row>
    <row r="51" spans="1:34" ht="15" customHeight="1">
      <c r="A51" s="405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393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386"/>
      <c r="AC51" s="386"/>
      <c r="AD51" s="92"/>
      <c r="AE51" s="92"/>
      <c r="AF51" s="307" t="e">
        <f t="shared" si="11"/>
        <v>#N/A</v>
      </c>
      <c r="AG51" s="72" t="e">
        <f t="shared" si="12"/>
        <v>#N/A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386"/>
      <c r="AC52" s="386"/>
      <c r="AD52" s="92"/>
      <c r="AE52" s="92"/>
      <c r="AF52" s="307">
        <f t="shared" si="11"/>
        <v>0</v>
      </c>
      <c r="AG52" s="72" t="e">
        <f t="shared" si="12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1"/>
        <v>0</v>
      </c>
      <c r="AG53" s="72" t="e">
        <f t="shared" si="12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384"/>
    </row>
    <row r="59" spans="1:34" ht="15" customHeight="1">
      <c r="A59" s="398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392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397"/>
      <c r="AC59" s="397"/>
      <c r="AD59" s="135"/>
      <c r="AE59" s="135"/>
      <c r="AF59" s="310" t="e">
        <f>N59-K59</f>
        <v>#N/A</v>
      </c>
      <c r="AG59" s="246" t="e">
        <f>N59/K59</f>
        <v>#N/A</v>
      </c>
      <c r="AH59" s="380" t="e">
        <f>AG69</f>
        <v>#N/A</v>
      </c>
    </row>
    <row r="60" spans="1:34" ht="15" customHeight="1">
      <c r="A60" s="399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02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386"/>
      <c r="AC60" s="386"/>
      <c r="AD60" s="92"/>
      <c r="AE60" s="92"/>
      <c r="AF60" s="316" t="e">
        <f>N60-K60</f>
        <v>#N/A</v>
      </c>
      <c r="AG60" s="249" t="e">
        <f>N60/K60</f>
        <v>#N/A</v>
      </c>
      <c r="AH60" s="403"/>
    </row>
    <row r="61" spans="1:34" ht="15" customHeight="1">
      <c r="A61" s="400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393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386"/>
      <c r="AC61" s="386"/>
      <c r="AD61" s="92"/>
      <c r="AE61" s="92"/>
      <c r="AF61" s="317" t="e">
        <f>N61-K61</f>
        <v>#N/A</v>
      </c>
      <c r="AG61" s="247" t="e">
        <f>N61/K61</f>
        <v>#N/A</v>
      </c>
      <c r="AH61" s="382"/>
    </row>
    <row r="62" spans="1:34" ht="15" customHeight="1">
      <c r="A62" s="400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93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386"/>
      <c r="AC62" s="386"/>
      <c r="AD62" s="92"/>
      <c r="AE62" s="92"/>
      <c r="AF62" s="317">
        <f>N62-K62</f>
        <v>0</v>
      </c>
      <c r="AG62" s="247" t="e">
        <f>N62/K62</f>
        <v>#DIV/0!</v>
      </c>
      <c r="AH62" s="382"/>
    </row>
    <row r="63" spans="1:34" ht="15" customHeight="1">
      <c r="A63" s="4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9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384"/>
    </row>
    <row r="70" spans="1:36" ht="15" customHeight="1">
      <c r="A70" s="389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392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397"/>
      <c r="AC70" s="397"/>
      <c r="AD70" s="135"/>
      <c r="AE70" s="135"/>
      <c r="AF70" s="310" t="e">
        <f>N70-K70</f>
        <v>#N/A</v>
      </c>
      <c r="AG70" s="246" t="e">
        <f>N70/K70</f>
        <v>#N/A</v>
      </c>
      <c r="AH70" s="380" t="e">
        <f>AG79</f>
        <v>#N/A</v>
      </c>
    </row>
    <row r="71" spans="1:36" ht="15" customHeight="1">
      <c r="A71" s="390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93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18" priority="1" operator="greaterThan">
      <formula>0</formula>
    </cfRule>
  </conditionalFormatting>
  <conditionalFormatting sqref="Q5:Q79 AF5:AF79">
    <cfRule type="cellIs" dxfId="17" priority="4" operator="lessThan">
      <formula>0</formula>
    </cfRule>
  </conditionalFormatting>
  <conditionalFormatting sqref="R5:R79 AG5:AG79">
    <cfRule type="cellIs" dxfId="16" priority="2" operator="greaterThan">
      <formula>1</formula>
    </cfRule>
    <cfRule type="cellIs" dxfId="15" priority="3" operator="lessThan">
      <formula>0.8</formula>
    </cfRule>
  </conditionalFormatting>
  <conditionalFormatting sqref="S5:S10 S37:S62 AH59:AH62 S69:S76 AH69:AH76">
    <cfRule type="cellIs" dxfId="14" priority="7" operator="lessThan">
      <formula>0.8</formula>
    </cfRule>
  </conditionalFormatting>
  <conditionalFormatting sqref="S19:S25 AH19:AH25">
    <cfRule type="cellIs" dxfId="13" priority="6" operator="lessThan">
      <formula>0.8</formula>
    </cfRule>
  </conditionalFormatting>
  <conditionalFormatting sqref="S79">
    <cfRule type="cellIs" dxfId="12" priority="5" operator="lessThan">
      <formula>0.8</formula>
    </cfRule>
  </conditionalFormatting>
  <conditionalFormatting sqref="AH5:AH8 S15:S16 AH15:AH16 AH49 AH79">
    <cfRule type="cellIs" dxfId="11" priority="9" operator="lessThan">
      <formula>0.8</formula>
    </cfRule>
  </conditionalFormatting>
  <conditionalFormatting sqref="AH27 S27:S28">
    <cfRule type="cellIs" dxfId="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CAFB-80FB-47DA-9126-9861212E4C2B}">
  <dimension ref="B1:O26"/>
  <sheetViews>
    <sheetView topLeftCell="B1" zoomScale="70" zoomScaleNormal="70" workbookViewId="0">
      <selection activeCell="J20" sqref="J20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3" width="8.85546875" style="2" customWidth="1"/>
    <col min="194" max="16384" width="8.85546875" style="2"/>
  </cols>
  <sheetData>
    <row r="1" spans="2:15" ht="27.75" customHeight="1">
      <c r="B1" s="503" t="s">
        <v>70</v>
      </c>
      <c r="C1" s="503"/>
      <c r="D1" s="503"/>
      <c r="E1" s="503"/>
      <c r="F1" s="503"/>
      <c r="G1" s="503"/>
      <c r="H1" s="503"/>
      <c r="I1" s="503"/>
      <c r="J1" s="503"/>
      <c r="K1" s="503"/>
      <c r="L1" s="1"/>
      <c r="M1" s="1"/>
    </row>
    <row r="2" spans="2:15" ht="27.75" customHeight="1"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1"/>
      <c r="M2" s="1"/>
    </row>
    <row r="3" spans="2:15" ht="46.5" customHeight="1">
      <c r="B3" s="497" t="s">
        <v>71</v>
      </c>
      <c r="C3" s="497"/>
      <c r="D3" s="508">
        <v>46295</v>
      </c>
      <c r="E3" s="504"/>
      <c r="F3" s="3" t="s">
        <v>72</v>
      </c>
      <c r="G3" s="505">
        <f>'0930'!E1</f>
        <v>43309</v>
      </c>
      <c r="H3" s="505"/>
      <c r="I3" s="3" t="s">
        <v>2</v>
      </c>
      <c r="J3" s="506" t="e">
        <f>'0930'!G1</f>
        <v>#N/A</v>
      </c>
      <c r="K3" s="506"/>
      <c r="L3" s="4"/>
    </row>
    <row r="4" spans="2:15" ht="24" customHeight="1">
      <c r="B4" s="497" t="s">
        <v>73</v>
      </c>
      <c r="C4" s="497"/>
      <c r="D4" s="498">
        <v>3</v>
      </c>
      <c r="E4" s="498"/>
      <c r="F4" s="507" t="s">
        <v>74</v>
      </c>
      <c r="G4" s="507"/>
      <c r="H4" s="507" t="s">
        <v>75</v>
      </c>
      <c r="I4" s="507"/>
      <c r="J4" s="498" t="s">
        <v>76</v>
      </c>
      <c r="K4" s="507"/>
      <c r="L4" s="474" t="s">
        <v>77</v>
      </c>
      <c r="M4" s="475"/>
      <c r="N4" s="475" t="s">
        <v>78</v>
      </c>
      <c r="O4" s="475"/>
    </row>
    <row r="5" spans="2:15" ht="24" customHeight="1">
      <c r="B5" s="497" t="s">
        <v>14</v>
      </c>
      <c r="C5" s="497"/>
      <c r="D5" s="498" t="s">
        <v>79</v>
      </c>
      <c r="E5" s="498"/>
      <c r="F5" s="498" t="s">
        <v>80</v>
      </c>
      <c r="G5" s="498"/>
      <c r="H5" s="499" t="s">
        <v>81</v>
      </c>
      <c r="I5" s="499"/>
      <c r="J5" s="500" t="s">
        <v>82</v>
      </c>
      <c r="K5" s="500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7"/>
      <c r="C6" s="497"/>
      <c r="D6" s="497" t="s">
        <v>86</v>
      </c>
      <c r="E6" s="497"/>
      <c r="F6" s="501" t="e">
        <f>AVERAGE(D13:J13)</f>
        <v>#N/A</v>
      </c>
      <c r="G6" s="501"/>
      <c r="H6" s="502" t="e">
        <f>AVERAGE(D13:H13)</f>
        <v>#N/A</v>
      </c>
      <c r="I6" s="502"/>
      <c r="J6" s="502" t="e">
        <f>AVERAGE(I13:J13)</f>
        <v>#N/A</v>
      </c>
      <c r="K6" s="502"/>
      <c r="L6" s="492">
        <f>'0930'!Z2</f>
        <v>0</v>
      </c>
      <c r="M6" s="493">
        <f>'0930'!AA2</f>
        <v>0</v>
      </c>
      <c r="N6" s="494">
        <f>'0930'!AD2</f>
        <v>0</v>
      </c>
      <c r="O6" s="493">
        <f>'0930'!AE2</f>
        <v>0</v>
      </c>
    </row>
    <row r="7" spans="2:15" ht="39.6" customHeight="1">
      <c r="B7" s="497"/>
      <c r="C7" s="497"/>
      <c r="D7" s="495" t="s">
        <v>87</v>
      </c>
      <c r="E7" s="495"/>
      <c r="F7" s="490">
        <f>AVERAGE(D14:J14)</f>
        <v>116.11474837607263</v>
      </c>
      <c r="G7" s="490"/>
      <c r="H7" s="491">
        <f>AVERAGE(D14:H14)</f>
        <v>117.36074805627914</v>
      </c>
      <c r="I7" s="491"/>
      <c r="J7" s="491">
        <f>AVERAGE(I14:J14)</f>
        <v>112.99974917555633</v>
      </c>
      <c r="K7" s="491"/>
      <c r="L7" s="492"/>
      <c r="M7" s="493"/>
      <c r="N7" s="494"/>
      <c r="O7" s="493"/>
    </row>
    <row r="8" spans="2:15" ht="39.6" customHeight="1">
      <c r="B8" s="497"/>
      <c r="C8" s="497"/>
      <c r="D8" s="495" t="s">
        <v>27</v>
      </c>
      <c r="E8" s="495"/>
      <c r="F8" s="496" t="e">
        <f>AVERAGE(D15:J15)</f>
        <v>#N/A</v>
      </c>
      <c r="G8" s="496"/>
      <c r="H8" s="496" t="e">
        <f>AVERAGE(D15:H15)</f>
        <v>#N/A</v>
      </c>
      <c r="I8" s="496"/>
      <c r="J8" s="496" t="e">
        <f>AVERAGE(I15:J15)</f>
        <v>#N/A</v>
      </c>
      <c r="K8" s="496"/>
      <c r="L8" s="492"/>
      <c r="M8" s="493"/>
      <c r="N8" s="494"/>
      <c r="O8" s="493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1" t="s">
        <v>89</v>
      </c>
      <c r="C10" s="472"/>
      <c r="D10" s="476" t="s">
        <v>90</v>
      </c>
      <c r="E10" s="477"/>
      <c r="F10" s="477"/>
      <c r="G10" s="477"/>
      <c r="H10" s="477"/>
      <c r="I10" s="477"/>
      <c r="J10" s="478"/>
    </row>
    <row r="11" spans="2:15" ht="17.25" customHeight="1">
      <c r="B11" s="479" t="s">
        <v>91</v>
      </c>
      <c r="C11" s="48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1"/>
      <c r="C12" s="482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3" t="s">
        <v>14</v>
      </c>
      <c r="C13" s="12" t="s">
        <v>99</v>
      </c>
      <c r="D13" s="13" t="e">
        <f>VALUE('0930'!L15)</f>
        <v>#N/A</v>
      </c>
      <c r="E13" s="13" t="e">
        <f>VALUE('0930'!L26)</f>
        <v>#N/A</v>
      </c>
      <c r="F13" s="13" t="e">
        <f>VALUE('0930'!L37)</f>
        <v>#N/A</v>
      </c>
      <c r="G13" s="13" t="e">
        <f>VALUE('0930'!L48)</f>
        <v>#N/A</v>
      </c>
      <c r="H13" s="13" t="e">
        <f>VALUE('0930'!L58)</f>
        <v>#N/A</v>
      </c>
      <c r="I13" s="13" t="e">
        <f>VALUE('0930'!L69)</f>
        <v>#N/A</v>
      </c>
      <c r="J13" s="13" t="e">
        <f>'0930'!L79</f>
        <v>#N/A</v>
      </c>
    </row>
    <row r="14" spans="2:15" ht="39.950000000000003" customHeight="1">
      <c r="B14" s="484"/>
      <c r="C14" s="12" t="s">
        <v>100</v>
      </c>
      <c r="D14" s="13">
        <f>VALUE('0930'!O15)</f>
        <v>113.916365108528</v>
      </c>
      <c r="E14" s="13">
        <f>VALUE('0930'!O26)</f>
        <v>132.12003238004002</v>
      </c>
      <c r="F14" s="13">
        <f>VALUE('0930'!O37)</f>
        <v>126.23842229199551</v>
      </c>
      <c r="G14" s="13">
        <f>VALUE('0930'!O48)</f>
        <v>112.05430077169194</v>
      </c>
      <c r="H14" s="13">
        <f>VALUE('0930'!O58)</f>
        <v>102.47461972914017</v>
      </c>
      <c r="I14" s="13">
        <f>VALUE('0930'!O69)</f>
        <v>155.46443341604788</v>
      </c>
      <c r="J14" s="13">
        <f>'0930'!O79</f>
        <v>70.535064935064796</v>
      </c>
    </row>
    <row r="15" spans="2:15" ht="39.950000000000003" customHeight="1">
      <c r="B15" s="485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'0930'!S70</f>
        <v>#N/A</v>
      </c>
    </row>
    <row r="16" spans="2:15" ht="17.25" customHeight="1">
      <c r="B16" s="486" t="s">
        <v>101</v>
      </c>
      <c r="C16" s="10" t="s">
        <v>34</v>
      </c>
      <c r="D16" s="16">
        <f>'0930'!T5</f>
        <v>0.29097222222222202</v>
      </c>
      <c r="E16" s="16">
        <f>'0930'!T16</f>
        <v>0.29097222222222202</v>
      </c>
      <c r="F16" s="16">
        <f>'0930'!T27</f>
        <v>0.29166666666666702</v>
      </c>
      <c r="G16" s="16">
        <f>'0930'!T38</f>
        <v>0.33333333333333298</v>
      </c>
      <c r="H16" s="16">
        <f>'0930'!T49</f>
        <v>0.29166666666666702</v>
      </c>
      <c r="I16" s="16">
        <f>'0930'!T59</f>
        <v>0.29166666666666702</v>
      </c>
      <c r="J16" s="17">
        <f>'0930'!T70</f>
        <v>0.34722222222222199</v>
      </c>
    </row>
    <row r="17" spans="2:10" ht="17.25" customHeight="1">
      <c r="B17" s="487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488" t="s">
        <v>102</v>
      </c>
      <c r="C18" s="330" t="s">
        <v>36</v>
      </c>
      <c r="D18" s="359">
        <f>'0930'!Z15</f>
        <v>0</v>
      </c>
      <c r="E18" s="360">
        <f>'0930'!Z26</f>
        <v>0</v>
      </c>
      <c r="F18" s="360">
        <f>'0930'!Z37</f>
        <v>0</v>
      </c>
      <c r="G18" s="361">
        <f>'0930'!Z48</f>
        <v>0</v>
      </c>
      <c r="H18" s="361">
        <f>'0930'!Z58</f>
        <v>0</v>
      </c>
      <c r="I18" s="360">
        <f>'0930'!Z69</f>
        <v>0</v>
      </c>
      <c r="J18" s="360">
        <f>'0930'!AA79</f>
        <v>0</v>
      </c>
    </row>
    <row r="19" spans="2:10" ht="17.25" customHeight="1">
      <c r="B19" s="489"/>
      <c r="C19" s="330" t="s">
        <v>37</v>
      </c>
      <c r="D19" s="359">
        <f>'0930'!AA15</f>
        <v>0</v>
      </c>
      <c r="E19" s="360">
        <f>'0930'!AA26</f>
        <v>0</v>
      </c>
      <c r="F19" s="360">
        <f>'0930'!AA37</f>
        <v>0</v>
      </c>
      <c r="G19" s="361">
        <f>'0930'!AA48</f>
        <v>0</v>
      </c>
      <c r="H19" s="361">
        <f>'0930'!AA58</f>
        <v>0</v>
      </c>
      <c r="I19" s="360">
        <f>'0930'!AA69</f>
        <v>0</v>
      </c>
      <c r="J19" s="360">
        <f>'0930'!AB79</f>
        <v>0</v>
      </c>
    </row>
    <row r="20" spans="2:10" ht="17.25" customHeight="1">
      <c r="B20" s="488" t="s">
        <v>103</v>
      </c>
      <c r="C20" s="330" t="s">
        <v>36</v>
      </c>
      <c r="D20" s="359">
        <f>'0930'!AD15</f>
        <v>0</v>
      </c>
      <c r="E20" s="360">
        <f>'0930'!AD26</f>
        <v>0</v>
      </c>
      <c r="F20" s="360">
        <f>'0930'!AD37</f>
        <v>0</v>
      </c>
      <c r="G20" s="361">
        <f>'0930'!AD48</f>
        <v>0</v>
      </c>
      <c r="H20" s="361">
        <f>'0930'!AD58</f>
        <v>0</v>
      </c>
      <c r="I20" s="360">
        <f>'0930'!AD69</f>
        <v>0</v>
      </c>
      <c r="J20" s="360">
        <f>'0930'!AD79</f>
        <v>0</v>
      </c>
    </row>
    <row r="21" spans="2:10" ht="17.25" customHeight="1">
      <c r="B21" s="489"/>
      <c r="C21" s="330" t="s">
        <v>85</v>
      </c>
      <c r="D21" s="359">
        <f>'0930'!AE15</f>
        <v>0</v>
      </c>
      <c r="E21" s="360">
        <f>'0930'!AE26</f>
        <v>0</v>
      </c>
      <c r="F21" s="360">
        <f>'0930'!AE37</f>
        <v>0</v>
      </c>
      <c r="G21" s="361">
        <f>'0930'!AE48</f>
        <v>0</v>
      </c>
      <c r="H21" s="361">
        <f>'0930'!AE58</f>
        <v>0</v>
      </c>
      <c r="I21" s="360">
        <f>'0930'!AE69</f>
        <v>0</v>
      </c>
      <c r="J21" s="360">
        <f>'0930'!AE79</f>
        <v>0</v>
      </c>
    </row>
    <row r="22" spans="2:10" ht="17.25" customHeight="1">
      <c r="B22" s="471" t="s">
        <v>104</v>
      </c>
      <c r="C22" s="472"/>
      <c r="D22" s="23">
        <f>VALUE('0930'!M15)</f>
        <v>15</v>
      </c>
      <c r="E22" s="23">
        <f>VALUE('0930'!M26)</f>
        <v>12.666666666666666</v>
      </c>
      <c r="F22" s="23">
        <f>VALUE('0930'!M37)</f>
        <v>14.666666666666666</v>
      </c>
      <c r="G22" s="23">
        <f>VALUE('0930'!M48)</f>
        <v>14</v>
      </c>
      <c r="H22" s="23">
        <f>VALUE('0930'!M58)</f>
        <v>17.666666666666668</v>
      </c>
      <c r="I22" s="23">
        <f>VALUE('0930'!M69)</f>
        <v>12.333333333333334</v>
      </c>
      <c r="J22" s="23">
        <f>'0930'!M79</f>
        <v>11</v>
      </c>
    </row>
    <row r="23" spans="2:10" ht="17.25" customHeight="1">
      <c r="B23" s="471" t="s">
        <v>105</v>
      </c>
      <c r="C23" s="472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1" t="s">
        <v>109</v>
      </c>
      <c r="C24" s="472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1" t="s">
        <v>111</v>
      </c>
      <c r="C25" s="472"/>
      <c r="D25" s="25"/>
      <c r="E25" s="25"/>
      <c r="F25" s="25"/>
      <c r="G25" s="25"/>
      <c r="H25" s="25"/>
      <c r="I25" s="25"/>
      <c r="J25" s="25"/>
    </row>
    <row r="26" spans="2:10">
      <c r="B26" s="473"/>
      <c r="C26" s="473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2267-26B6-4E29-8D7E-39A652FE6D29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06" width="8.7109375" style="34" customWidth="1"/>
    <col min="20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32" t="s">
        <v>4</v>
      </c>
      <c r="K1" s="432"/>
      <c r="L1" s="432"/>
      <c r="M1" s="432" t="s">
        <v>5</v>
      </c>
      <c r="N1" s="432"/>
      <c r="O1" s="432"/>
      <c r="P1" s="432" t="s">
        <v>6</v>
      </c>
      <c r="Q1" s="432"/>
      <c r="R1" s="432"/>
      <c r="S1" s="432"/>
      <c r="T1" s="432" t="s">
        <v>7</v>
      </c>
      <c r="U1" s="432"/>
      <c r="V1" s="432"/>
      <c r="W1" s="432"/>
      <c r="X1" s="432"/>
      <c r="Y1" s="432"/>
      <c r="Z1" s="294" t="s">
        <v>8</v>
      </c>
      <c r="AA1" s="294" t="s">
        <v>9</v>
      </c>
      <c r="AB1" s="432" t="s">
        <v>10</v>
      </c>
      <c r="AC1" s="432"/>
      <c r="AD1" s="294" t="s">
        <v>8</v>
      </c>
      <c r="AE1" s="294" t="s">
        <v>11</v>
      </c>
      <c r="AF1" s="432" t="s">
        <v>12</v>
      </c>
      <c r="AG1" s="442"/>
      <c r="AH1" s="442"/>
    </row>
    <row r="2" spans="1:34" ht="23.25">
      <c r="A2" s="462" t="s">
        <v>217</v>
      </c>
      <c r="B2" s="462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339">
        <f>Z15+Z26+Z37+Z48+Z58+Z69+Z79</f>
        <v>0</v>
      </c>
      <c r="AA2" s="339">
        <f>AA15+AA26+AA37+AA48+AA58+AA69+AA79</f>
        <v>0</v>
      </c>
      <c r="AB2" s="433"/>
      <c r="AC2" s="433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63" t="s">
        <v>17</v>
      </c>
      <c r="B3" s="463" t="s">
        <v>18</v>
      </c>
      <c r="C3" s="30"/>
      <c r="D3" s="463" t="s">
        <v>19</v>
      </c>
      <c r="E3" s="463"/>
      <c r="F3" s="438" t="s">
        <v>20</v>
      </c>
      <c r="G3" s="431" t="s">
        <v>21</v>
      </c>
      <c r="H3" s="438" t="s">
        <v>22</v>
      </c>
      <c r="I3" s="440" t="s">
        <v>23</v>
      </c>
      <c r="J3" s="434" t="s">
        <v>24</v>
      </c>
      <c r="K3" s="469" t="s">
        <v>25</v>
      </c>
      <c r="L3" s="436" t="s">
        <v>14</v>
      </c>
      <c r="M3" s="431" t="s">
        <v>24</v>
      </c>
      <c r="N3" s="469" t="s">
        <v>25</v>
      </c>
      <c r="O3" s="436" t="s">
        <v>14</v>
      </c>
      <c r="P3" s="434" t="s">
        <v>24</v>
      </c>
      <c r="Q3" s="436" t="s">
        <v>14</v>
      </c>
      <c r="R3" s="443" t="s">
        <v>26</v>
      </c>
      <c r="S3" s="445" t="s">
        <v>27</v>
      </c>
      <c r="T3" s="431" t="s">
        <v>28</v>
      </c>
      <c r="U3" s="431"/>
      <c r="V3" s="458" t="s">
        <v>29</v>
      </c>
      <c r="W3" s="440" t="s">
        <v>30</v>
      </c>
      <c r="X3" s="431" t="s">
        <v>31</v>
      </c>
      <c r="Y3" s="460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64"/>
      <c r="B4" s="464"/>
      <c r="C4" s="38"/>
      <c r="D4" s="464"/>
      <c r="E4" s="464"/>
      <c r="F4" s="439"/>
      <c r="G4" s="459"/>
      <c r="H4" s="439"/>
      <c r="I4" s="441"/>
      <c r="J4" s="435"/>
      <c r="K4" s="470"/>
      <c r="L4" s="437"/>
      <c r="M4" s="459"/>
      <c r="N4" s="470"/>
      <c r="O4" s="437"/>
      <c r="P4" s="435"/>
      <c r="Q4" s="437"/>
      <c r="R4" s="444"/>
      <c r="S4" s="446"/>
      <c r="T4" s="342" t="s">
        <v>34</v>
      </c>
      <c r="U4" s="342" t="s">
        <v>35</v>
      </c>
      <c r="V4" s="459"/>
      <c r="W4" s="441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65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392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397"/>
      <c r="AC5" s="397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380" t="e">
        <f>AG15</f>
        <v>#N/A</v>
      </c>
    </row>
    <row r="6" spans="1:34" ht="15" customHeight="1">
      <c r="A6" s="466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393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0"/>
      <c r="AC6" s="430"/>
      <c r="AD6" s="149"/>
      <c r="AE6" s="149"/>
      <c r="AF6" s="307" t="e">
        <f t="shared" si="1"/>
        <v>#N/A</v>
      </c>
      <c r="AG6" s="72" t="e">
        <f t="shared" si="2"/>
        <v>#N/A</v>
      </c>
      <c r="AH6" s="382"/>
    </row>
    <row r="7" spans="1:34" ht="15" customHeight="1">
      <c r="A7" s="466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393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386"/>
      <c r="AC7" s="386"/>
      <c r="AD7" s="92"/>
      <c r="AE7" s="92"/>
      <c r="AF7" s="307" t="e">
        <f t="shared" si="1"/>
        <v>#N/A</v>
      </c>
      <c r="AG7" s="72" t="e">
        <f t="shared" si="2"/>
        <v>#N/A</v>
      </c>
      <c r="AH7" s="382"/>
    </row>
    <row r="8" spans="1:34" ht="15" customHeight="1">
      <c r="A8" s="466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93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0"/>
      <c r="AC8" s="430"/>
      <c r="AD8" s="149"/>
      <c r="AE8" s="149"/>
      <c r="AF8" s="307">
        <f t="shared" si="1"/>
        <v>0</v>
      </c>
      <c r="AG8" s="72" t="e">
        <f t="shared" si="2"/>
        <v>#DIV/0!</v>
      </c>
      <c r="AH8" s="382"/>
    </row>
    <row r="9" spans="1:34" ht="15" customHeight="1">
      <c r="A9" s="46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94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0"/>
      <c r="AC9" s="430"/>
      <c r="AD9" s="149"/>
      <c r="AE9" s="149"/>
      <c r="AF9" s="307">
        <f t="shared" si="1"/>
        <v>0</v>
      </c>
      <c r="AG9" s="72" t="e">
        <f t="shared" si="2"/>
        <v>#DIV/0!</v>
      </c>
      <c r="AH9" s="383"/>
    </row>
    <row r="10" spans="1:34" ht="15" customHeight="1">
      <c r="A10" s="46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94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6"/>
      <c r="AC10" s="386"/>
      <c r="AD10" s="92"/>
      <c r="AE10" s="92"/>
      <c r="AF10" s="307">
        <f t="shared" si="1"/>
        <v>0</v>
      </c>
      <c r="AG10" s="72" t="e">
        <f t="shared" si="2"/>
        <v>#DIV/0!</v>
      </c>
      <c r="AH10" s="383"/>
    </row>
    <row r="11" spans="1:34" ht="15" customHeight="1">
      <c r="A11" s="46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94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0"/>
      <c r="AC11" s="430"/>
      <c r="AD11" s="149"/>
      <c r="AE11" s="149"/>
      <c r="AF11" s="307">
        <f t="shared" si="1"/>
        <v>0</v>
      </c>
      <c r="AG11" s="72" t="e">
        <f t="shared" si="2"/>
        <v>#DIV/0!</v>
      </c>
      <c r="AH11" s="383"/>
    </row>
    <row r="12" spans="1:34" ht="15" customHeight="1">
      <c r="A12" s="46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94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0"/>
      <c r="AC12" s="430"/>
      <c r="AD12" s="149"/>
      <c r="AE12" s="149"/>
      <c r="AF12" s="308"/>
      <c r="AG12" s="85"/>
      <c r="AH12" s="383"/>
    </row>
    <row r="13" spans="1:34" ht="15" customHeight="1">
      <c r="A13" s="46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6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6"/>
      <c r="AC13" s="386"/>
      <c r="AD13" s="92"/>
      <c r="AE13" s="92"/>
      <c r="AF13" s="308"/>
      <c r="AG13" s="85"/>
      <c r="AH13" s="383"/>
    </row>
    <row r="14" spans="1:34" ht="15" customHeight="1">
      <c r="A14" s="46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94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6"/>
      <c r="AC14" s="386"/>
      <c r="AD14" s="92"/>
      <c r="AE14" s="92"/>
      <c r="AF14" s="308"/>
      <c r="AG14" s="85"/>
      <c r="AH14" s="383"/>
    </row>
    <row r="15" spans="1:34" ht="15" customHeight="1">
      <c r="A15" s="468"/>
      <c r="B15" s="115"/>
      <c r="C15" s="115" t="s">
        <v>41</v>
      </c>
      <c r="D15" s="388" t="s">
        <v>42</v>
      </c>
      <c r="E15" s="388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396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87"/>
      <c r="AC15" s="387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384"/>
    </row>
    <row r="16" spans="1:34" ht="15" customHeight="1">
      <c r="A16" s="426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20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397"/>
      <c r="AC16" s="397"/>
      <c r="AD16" s="135"/>
      <c r="AE16" s="135"/>
      <c r="AF16" s="229" t="e">
        <f>N16-K16</f>
        <v>#N/A</v>
      </c>
      <c r="AG16" s="52" t="e">
        <f>N16/K16</f>
        <v>#N/A</v>
      </c>
      <c r="AH16" s="380" t="e">
        <f>AG26</f>
        <v>#N/A</v>
      </c>
    </row>
    <row r="17" spans="1:34" ht="15" customHeight="1">
      <c r="A17" s="427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21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386"/>
      <c r="AC17" s="386"/>
      <c r="AD17" s="92"/>
      <c r="AE17" s="92"/>
      <c r="AF17" s="307" t="e">
        <f>N17-K17</f>
        <v>#N/A</v>
      </c>
      <c r="AG17" s="72" t="e">
        <f>N17/K17</f>
        <v>#N/A</v>
      </c>
      <c r="AH17" s="382"/>
    </row>
    <row r="18" spans="1:34" ht="15" customHeight="1">
      <c r="A18" s="427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21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386"/>
      <c r="AC18" s="386"/>
      <c r="AD18" s="92"/>
      <c r="AE18" s="92"/>
      <c r="AF18" s="307" t="e">
        <f>N18-K18</f>
        <v>#N/A</v>
      </c>
      <c r="AG18" s="72" t="e">
        <f>N18/K18</f>
        <v>#N/A</v>
      </c>
      <c r="AH18" s="382"/>
    </row>
    <row r="19" spans="1:34" ht="15" customHeight="1">
      <c r="A19" s="427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0"/>
      <c r="AC19" s="430"/>
      <c r="AD19" s="149"/>
      <c r="AE19" s="149"/>
      <c r="AF19" s="307">
        <f>N19-K19</f>
        <v>0</v>
      </c>
      <c r="AG19" s="72" t="e">
        <f>N19/K19</f>
        <v>#DIV/0!</v>
      </c>
      <c r="AH19" s="383"/>
    </row>
    <row r="20" spans="1:34" ht="15" customHeight="1">
      <c r="A20" s="427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386"/>
      <c r="AC20" s="386"/>
      <c r="AD20" s="92"/>
      <c r="AE20" s="92"/>
      <c r="AF20" s="307"/>
      <c r="AG20" s="72"/>
      <c r="AH20" s="383"/>
    </row>
    <row r="21" spans="1:34" ht="15" customHeight="1">
      <c r="A21" s="428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86"/>
      <c r="AC21" s="386"/>
      <c r="AD21" s="92"/>
      <c r="AE21" s="92"/>
      <c r="AF21" s="308"/>
      <c r="AG21" s="85"/>
      <c r="AH21" s="383"/>
    </row>
    <row r="22" spans="1:34" ht="15" customHeight="1">
      <c r="A22" s="428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86"/>
      <c r="AC22" s="386"/>
      <c r="AD22" s="92"/>
      <c r="AE22" s="92"/>
      <c r="AF22" s="308"/>
      <c r="AG22" s="85"/>
      <c r="AH22" s="383"/>
    </row>
    <row r="23" spans="1:34" ht="15" customHeight="1">
      <c r="A23" s="428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86"/>
      <c r="AC23" s="386"/>
      <c r="AD23" s="92"/>
      <c r="AE23" s="92"/>
      <c r="AF23" s="308"/>
      <c r="AG23" s="85"/>
      <c r="AH23" s="383"/>
    </row>
    <row r="24" spans="1:34" ht="15" customHeight="1">
      <c r="A24" s="428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86"/>
      <c r="AC24" s="386"/>
      <c r="AD24" s="92"/>
      <c r="AE24" s="92"/>
      <c r="AF24" s="308"/>
      <c r="AG24" s="85"/>
      <c r="AH24" s="383"/>
    </row>
    <row r="25" spans="1:34" ht="15" customHeight="1">
      <c r="A25" s="428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86"/>
      <c r="AC25" s="386"/>
      <c r="AD25" s="92"/>
      <c r="AE25" s="92"/>
      <c r="AF25" s="308"/>
      <c r="AG25" s="85"/>
      <c r="AH25" s="383"/>
    </row>
    <row r="26" spans="1:34" ht="15" customHeight="1">
      <c r="A26" s="429"/>
      <c r="B26" s="152"/>
      <c r="C26" s="153" t="s">
        <v>44</v>
      </c>
      <c r="D26" s="388" t="s">
        <v>42</v>
      </c>
      <c r="E26" s="388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87"/>
      <c r="AC26" s="387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384"/>
    </row>
    <row r="27" spans="1:34" ht="15" customHeight="1">
      <c r="A27" s="417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20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397"/>
      <c r="AC27" s="397"/>
      <c r="AD27" s="135"/>
      <c r="AE27" s="135"/>
      <c r="AF27" s="310" t="e">
        <f t="shared" si="6"/>
        <v>#N/A</v>
      </c>
      <c r="AG27" s="172" t="e">
        <f t="shared" si="7"/>
        <v>#N/A</v>
      </c>
      <c r="AH27" s="380" t="e">
        <f>AG37</f>
        <v>#N/A</v>
      </c>
    </row>
    <row r="28" spans="1:34" ht="15" customHeight="1">
      <c r="A28" s="418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21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386"/>
      <c r="AC28" s="386"/>
      <c r="AD28" s="92"/>
      <c r="AE28" s="92"/>
      <c r="AF28" s="311" t="e">
        <f t="shared" si="6"/>
        <v>#N/A</v>
      </c>
      <c r="AG28" s="99" t="e">
        <f t="shared" si="7"/>
        <v>#N/A</v>
      </c>
      <c r="AH28" s="381"/>
    </row>
    <row r="29" spans="1:34" ht="15" customHeight="1">
      <c r="A29" s="418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21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386"/>
      <c r="AC29" s="386"/>
      <c r="AD29" s="92"/>
      <c r="AE29" s="92"/>
      <c r="AF29" s="312" t="e">
        <f t="shared" si="6"/>
        <v>#N/A</v>
      </c>
      <c r="AG29" s="99" t="e">
        <f t="shared" si="7"/>
        <v>#N/A</v>
      </c>
      <c r="AH29" s="381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386"/>
      <c r="AC30" s="386"/>
      <c r="AD30" s="92"/>
      <c r="AE30" s="92"/>
      <c r="AF30" s="312">
        <f t="shared" si="6"/>
        <v>0</v>
      </c>
      <c r="AG30" s="99" t="e">
        <f t="shared" si="7"/>
        <v>#DIV/0!</v>
      </c>
      <c r="AH30" s="416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86"/>
      <c r="AC31" s="386"/>
      <c r="AD31" s="92"/>
      <c r="AE31" s="92"/>
      <c r="AF31" s="312">
        <f t="shared" si="6"/>
        <v>0</v>
      </c>
      <c r="AG31" s="99" t="e">
        <f t="shared" si="7"/>
        <v>#DIV/0!</v>
      </c>
      <c r="AH31" s="383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86"/>
      <c r="AC32" s="386"/>
      <c r="AD32" s="92"/>
      <c r="AE32" s="92"/>
      <c r="AF32" s="307"/>
      <c r="AG32" s="72"/>
      <c r="AH32" s="383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86"/>
      <c r="AC33" s="386"/>
      <c r="AD33" s="92"/>
      <c r="AE33" s="92"/>
      <c r="AF33" s="307"/>
      <c r="AG33" s="112"/>
      <c r="AH33" s="383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86"/>
      <c r="AC34" s="386"/>
      <c r="AD34" s="92"/>
      <c r="AE34" s="92"/>
      <c r="AF34" s="307"/>
      <c r="AG34" s="112"/>
      <c r="AH34" s="383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86"/>
      <c r="AC35" s="386"/>
      <c r="AD35" s="92"/>
      <c r="AE35" s="92"/>
      <c r="AF35" s="307"/>
      <c r="AG35" s="112"/>
      <c r="AH35" s="383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86"/>
      <c r="AC36" s="386"/>
      <c r="AD36" s="92"/>
      <c r="AE36" s="92"/>
      <c r="AF36" s="307"/>
      <c r="AG36" s="112"/>
      <c r="AH36" s="383"/>
    </row>
    <row r="37" spans="1:34" ht="15" customHeight="1">
      <c r="A37" s="419"/>
      <c r="B37" s="152"/>
      <c r="C37" s="153" t="s">
        <v>47</v>
      </c>
      <c r="D37" s="423" t="s">
        <v>42</v>
      </c>
      <c r="E37" s="424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25"/>
      <c r="AC37" s="425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384"/>
    </row>
    <row r="38" spans="1:34" ht="15" customHeight="1">
      <c r="A38" s="407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10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12"/>
      <c r="AC38" s="412"/>
      <c r="AD38" s="192"/>
      <c r="AE38" s="192"/>
      <c r="AF38" s="313" t="e">
        <f>N38-K38</f>
        <v>#N/A</v>
      </c>
      <c r="AG38" s="195" t="e">
        <f>N38/K38</f>
        <v>#N/A</v>
      </c>
      <c r="AH38" s="413" t="e">
        <f>AG48</f>
        <v>#N/A</v>
      </c>
    </row>
    <row r="39" spans="1:34" ht="15" customHeight="1">
      <c r="A39" s="408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11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385"/>
      <c r="AC39" s="385"/>
      <c r="AD39" s="200"/>
      <c r="AE39" s="200"/>
      <c r="AF39" s="314" t="e">
        <f>N39-K39</f>
        <v>#N/A</v>
      </c>
      <c r="AG39" s="206" t="e">
        <f>N39/K39</f>
        <v>#N/A</v>
      </c>
      <c r="AH39" s="414"/>
    </row>
    <row r="40" spans="1:34" ht="15" customHeight="1">
      <c r="A40" s="408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393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386"/>
      <c r="AC40" s="386"/>
      <c r="AD40" s="92"/>
      <c r="AE40" s="92"/>
      <c r="AF40" s="314" t="e">
        <f>N40-K40</f>
        <v>#N/A</v>
      </c>
      <c r="AG40" s="206" t="e">
        <f>N40/K40</f>
        <v>#N/A</v>
      </c>
      <c r="AH40" s="414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93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86"/>
      <c r="AC41" s="386"/>
      <c r="AD41" s="92"/>
      <c r="AE41" s="92"/>
      <c r="AF41" s="314">
        <f>N41-K41</f>
        <v>0</v>
      </c>
      <c r="AG41" s="206" t="e">
        <f>N41/K41</f>
        <v>#DIV/0!</v>
      </c>
      <c r="AH41" s="414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93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86"/>
      <c r="AC42" s="386"/>
      <c r="AD42" s="92"/>
      <c r="AE42" s="92"/>
      <c r="AF42" s="314"/>
      <c r="AG42" s="206"/>
      <c r="AH42" s="414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93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86"/>
      <c r="AC43" s="386"/>
      <c r="AD43" s="92"/>
      <c r="AE43" s="92"/>
      <c r="AF43" s="213"/>
      <c r="AG43" s="206"/>
      <c r="AH43" s="414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93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86"/>
      <c r="AC44" s="386"/>
      <c r="AD44" s="92"/>
      <c r="AE44" s="92"/>
      <c r="AF44" s="213"/>
      <c r="AG44" s="206"/>
      <c r="AH44" s="414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93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86"/>
      <c r="AC45" s="386"/>
      <c r="AD45" s="92"/>
      <c r="AE45" s="92"/>
      <c r="AF45" s="213"/>
      <c r="AG45" s="206"/>
      <c r="AH45" s="414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93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86"/>
      <c r="AC46" s="386"/>
      <c r="AD46" s="92"/>
      <c r="AE46" s="92"/>
      <c r="AF46" s="213"/>
      <c r="AG46" s="206"/>
      <c r="AH46" s="414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93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86"/>
      <c r="AC47" s="386"/>
      <c r="AD47" s="92"/>
      <c r="AE47" s="92"/>
      <c r="AF47" s="213"/>
      <c r="AG47" s="206"/>
      <c r="AH47" s="414"/>
    </row>
    <row r="48" spans="1:34" ht="15" customHeight="1">
      <c r="A48" s="409"/>
      <c r="B48" s="219"/>
      <c r="C48" s="153" t="s">
        <v>49</v>
      </c>
      <c r="D48" s="388" t="s">
        <v>42</v>
      </c>
      <c r="E48" s="388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396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87"/>
      <c r="AC48" s="387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15"/>
    </row>
    <row r="49" spans="1:34" ht="15" customHeight="1">
      <c r="A49" s="404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392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397"/>
      <c r="AC49" s="397"/>
      <c r="AD49" s="135"/>
      <c r="AE49" s="135"/>
      <c r="AF49" s="229" t="e">
        <f t="shared" si="11"/>
        <v>#N/A</v>
      </c>
      <c r="AG49" s="52" t="e">
        <f t="shared" si="12"/>
        <v>#N/A</v>
      </c>
      <c r="AH49" s="380" t="e">
        <f>AG58</f>
        <v>#N/A</v>
      </c>
    </row>
    <row r="50" spans="1:34" ht="15" customHeight="1">
      <c r="A50" s="405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393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386"/>
      <c r="AC50" s="386"/>
      <c r="AD50" s="92"/>
      <c r="AE50" s="92"/>
      <c r="AF50" s="307" t="e">
        <f t="shared" si="11"/>
        <v>#N/A</v>
      </c>
      <c r="AG50" s="72" t="e">
        <f t="shared" si="12"/>
        <v>#N/A</v>
      </c>
      <c r="AH50" s="382"/>
    </row>
    <row r="51" spans="1:34" ht="15" customHeight="1">
      <c r="A51" s="405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393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386"/>
      <c r="AC51" s="386"/>
      <c r="AD51" s="92"/>
      <c r="AE51" s="92"/>
      <c r="AF51" s="307" t="e">
        <f t="shared" si="11"/>
        <v>#N/A</v>
      </c>
      <c r="AG51" s="72" t="e">
        <f t="shared" si="12"/>
        <v>#N/A</v>
      </c>
      <c r="AH51" s="382"/>
    </row>
    <row r="52" spans="1:34" ht="15" customHeight="1">
      <c r="A52" s="405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93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386"/>
      <c r="AC52" s="386"/>
      <c r="AD52" s="92"/>
      <c r="AE52" s="92"/>
      <c r="AF52" s="307">
        <f t="shared" si="11"/>
        <v>0</v>
      </c>
      <c r="AG52" s="72" t="e">
        <f t="shared" si="12"/>
        <v>#DIV/0!</v>
      </c>
      <c r="AH52" s="382"/>
    </row>
    <row r="53" spans="1:34" ht="15" customHeight="1">
      <c r="A53" s="405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93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86"/>
      <c r="AC53" s="386"/>
      <c r="AD53" s="92"/>
      <c r="AE53" s="92"/>
      <c r="AF53" s="307">
        <f t="shared" si="11"/>
        <v>0</v>
      </c>
      <c r="AG53" s="72" t="e">
        <f t="shared" si="12"/>
        <v>#DIV/0!</v>
      </c>
      <c r="AH53" s="382"/>
    </row>
    <row r="54" spans="1:34" ht="15" customHeight="1">
      <c r="A54" s="405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93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86"/>
      <c r="AC54" s="386"/>
      <c r="AD54" s="92"/>
      <c r="AE54" s="92"/>
      <c r="AF54" s="307"/>
      <c r="AG54" s="72"/>
      <c r="AH54" s="382"/>
    </row>
    <row r="55" spans="1:34" ht="15" customHeight="1">
      <c r="A55" s="405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93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86"/>
      <c r="AC55" s="386"/>
      <c r="AD55" s="92"/>
      <c r="AE55" s="92"/>
      <c r="AF55" s="307"/>
      <c r="AG55" s="72"/>
      <c r="AH55" s="382"/>
    </row>
    <row r="56" spans="1:34" ht="15" customHeight="1">
      <c r="A56" s="405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93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86"/>
      <c r="AC56" s="386"/>
      <c r="AD56" s="92"/>
      <c r="AE56" s="92"/>
      <c r="AF56" s="307"/>
      <c r="AG56" s="72"/>
      <c r="AH56" s="382"/>
    </row>
    <row r="57" spans="1:34" ht="15" customHeight="1">
      <c r="A57" s="405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93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86"/>
      <c r="AC57" s="386"/>
      <c r="AD57" s="92"/>
      <c r="AE57" s="92"/>
      <c r="AF57" s="307"/>
      <c r="AG57" s="72"/>
      <c r="AH57" s="382"/>
    </row>
    <row r="58" spans="1:34" ht="15" customHeight="1">
      <c r="A58" s="406"/>
      <c r="B58" s="239"/>
      <c r="C58" s="153" t="s">
        <v>51</v>
      </c>
      <c r="D58" s="388" t="s">
        <v>42</v>
      </c>
      <c r="E58" s="388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396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87"/>
      <c r="AC58" s="387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384"/>
    </row>
    <row r="59" spans="1:34" ht="15" customHeight="1">
      <c r="A59" s="398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392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397"/>
      <c r="AC59" s="397"/>
      <c r="AD59" s="135"/>
      <c r="AE59" s="135"/>
      <c r="AF59" s="310" t="e">
        <f>N59-K59</f>
        <v>#N/A</v>
      </c>
      <c r="AG59" s="246" t="e">
        <f>N59/K59</f>
        <v>#N/A</v>
      </c>
      <c r="AH59" s="380" t="e">
        <f>AG69</f>
        <v>#N/A</v>
      </c>
    </row>
    <row r="60" spans="1:34" ht="15" customHeight="1">
      <c r="A60" s="399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02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386"/>
      <c r="AC60" s="386"/>
      <c r="AD60" s="92"/>
      <c r="AE60" s="92"/>
      <c r="AF60" s="316" t="e">
        <f>N60-K60</f>
        <v>#N/A</v>
      </c>
      <c r="AG60" s="249" t="e">
        <f>N60/K60</f>
        <v>#N/A</v>
      </c>
      <c r="AH60" s="403"/>
    </row>
    <row r="61" spans="1:34" ht="15" customHeight="1">
      <c r="A61" s="400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393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386"/>
      <c r="AC61" s="386"/>
      <c r="AD61" s="92"/>
      <c r="AE61" s="92"/>
      <c r="AF61" s="317" t="e">
        <f>N61-K61</f>
        <v>#N/A</v>
      </c>
      <c r="AG61" s="247" t="e">
        <f>N61/K61</f>
        <v>#N/A</v>
      </c>
      <c r="AH61" s="382"/>
    </row>
    <row r="62" spans="1:34" ht="15" customHeight="1">
      <c r="A62" s="400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93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386"/>
      <c r="AC62" s="386"/>
      <c r="AD62" s="92"/>
      <c r="AE62" s="92"/>
      <c r="AF62" s="317">
        <f>N62-K62</f>
        <v>0</v>
      </c>
      <c r="AG62" s="247" t="e">
        <f>N62/K62</f>
        <v>#DIV/0!</v>
      </c>
      <c r="AH62" s="382"/>
    </row>
    <row r="63" spans="1:34" ht="15" customHeight="1">
      <c r="A63" s="400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93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86"/>
      <c r="AC63" s="386"/>
      <c r="AD63" s="92"/>
      <c r="AE63" s="92"/>
      <c r="AF63" s="317"/>
      <c r="AG63" s="247"/>
      <c r="AH63" s="382"/>
    </row>
    <row r="64" spans="1:34" ht="15" customHeight="1">
      <c r="A64" s="400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93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86"/>
      <c r="AC64" s="386"/>
      <c r="AD64" s="92"/>
      <c r="AE64" s="92"/>
      <c r="AF64" s="307"/>
      <c r="AG64" s="262"/>
      <c r="AH64" s="382"/>
    </row>
    <row r="65" spans="1:36" ht="15" customHeight="1">
      <c r="A65" s="400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93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86"/>
      <c r="AC65" s="386"/>
      <c r="AD65" s="92"/>
      <c r="AE65" s="92"/>
      <c r="AF65" s="307"/>
      <c r="AG65" s="262"/>
      <c r="AH65" s="382"/>
    </row>
    <row r="66" spans="1:36" ht="15" customHeight="1">
      <c r="A66" s="400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93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86"/>
      <c r="AC66" s="386"/>
      <c r="AD66" s="92"/>
      <c r="AE66" s="92"/>
      <c r="AF66" s="307"/>
      <c r="AG66" s="262"/>
      <c r="AH66" s="382"/>
    </row>
    <row r="67" spans="1:36" ht="15" customHeight="1">
      <c r="A67" s="400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93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86"/>
      <c r="AC67" s="386"/>
      <c r="AD67" s="92"/>
      <c r="AE67" s="92"/>
      <c r="AF67" s="307"/>
      <c r="AG67" s="262"/>
      <c r="AH67" s="382"/>
    </row>
    <row r="68" spans="1:36" ht="15" customHeight="1">
      <c r="A68" s="400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93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86" t="s">
        <v>53</v>
      </c>
      <c r="AC68" s="386"/>
      <c r="AD68" s="92"/>
      <c r="AE68" s="92"/>
      <c r="AF68" s="307"/>
      <c r="AG68" s="262"/>
      <c r="AH68" s="382"/>
    </row>
    <row r="69" spans="1:36" ht="15" customHeight="1">
      <c r="A69" s="401"/>
      <c r="B69" s="239"/>
      <c r="C69" s="153" t="s">
        <v>54</v>
      </c>
      <c r="D69" s="388" t="s">
        <v>42</v>
      </c>
      <c r="E69" s="388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396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87"/>
      <c r="AC69" s="387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384"/>
    </row>
    <row r="70" spans="1:36" ht="15" customHeight="1">
      <c r="A70" s="389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392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397"/>
      <c r="AC70" s="397"/>
      <c r="AD70" s="135"/>
      <c r="AE70" s="135"/>
      <c r="AF70" s="310" t="e">
        <f>N70-K70</f>
        <v>#N/A</v>
      </c>
      <c r="AG70" s="246" t="e">
        <f>N70/K70</f>
        <v>#N/A</v>
      </c>
      <c r="AH70" s="380" t="e">
        <f>AG79</f>
        <v>#N/A</v>
      </c>
    </row>
    <row r="71" spans="1:36" ht="15" customHeight="1">
      <c r="A71" s="390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93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85"/>
      <c r="AC71" s="385"/>
      <c r="AD71" s="200"/>
      <c r="AE71" s="200"/>
      <c r="AF71" s="311">
        <v>-300.31249999999704</v>
      </c>
      <c r="AG71" s="99">
        <v>0.80810702875399554</v>
      </c>
      <c r="AH71" s="381"/>
    </row>
    <row r="72" spans="1:36" ht="15" customHeight="1">
      <c r="A72" s="390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93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86"/>
      <c r="AC72" s="386"/>
      <c r="AD72" s="92"/>
      <c r="AE72" s="92"/>
      <c r="AF72" s="311">
        <v>-130.33333333333326</v>
      </c>
      <c r="AG72" s="99">
        <v>0.91671991480298198</v>
      </c>
      <c r="AH72" s="381"/>
    </row>
    <row r="73" spans="1:36" ht="15" customHeight="1">
      <c r="A73" s="390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93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86"/>
      <c r="AC73" s="386"/>
      <c r="AD73" s="92"/>
      <c r="AE73" s="92"/>
      <c r="AF73" s="311"/>
      <c r="AG73" s="99"/>
      <c r="AH73" s="381"/>
    </row>
    <row r="74" spans="1:36" ht="15" customHeight="1">
      <c r="A74" s="390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93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86"/>
      <c r="AC74" s="386"/>
      <c r="AD74" s="92"/>
      <c r="AE74" s="92"/>
      <c r="AF74" s="311"/>
      <c r="AG74" s="99"/>
      <c r="AH74" s="381"/>
    </row>
    <row r="75" spans="1:36" ht="15" customHeight="1">
      <c r="A75" s="390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93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86"/>
      <c r="AC75" s="386"/>
      <c r="AD75" s="92"/>
      <c r="AE75" s="92"/>
      <c r="AF75" s="318"/>
      <c r="AG75" s="280"/>
      <c r="AH75" s="382"/>
    </row>
    <row r="76" spans="1:36" ht="15" customHeight="1">
      <c r="A76" s="390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94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86"/>
      <c r="AC76" s="386"/>
      <c r="AD76" s="92"/>
      <c r="AE76" s="92"/>
      <c r="AF76" s="317"/>
      <c r="AG76" s="247"/>
      <c r="AH76" s="383"/>
    </row>
    <row r="77" spans="1:36" ht="15" customHeight="1">
      <c r="A77" s="390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94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86"/>
      <c r="AC77" s="386"/>
      <c r="AD77" s="92"/>
      <c r="AE77" s="92"/>
      <c r="AF77" s="307"/>
      <c r="AG77" s="262"/>
      <c r="AH77" s="383"/>
    </row>
    <row r="78" spans="1:36" ht="15" customHeight="1">
      <c r="A78" s="390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9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86"/>
      <c r="AC78" s="386"/>
      <c r="AD78" s="92"/>
      <c r="AE78" s="92"/>
      <c r="AF78" s="308"/>
      <c r="AG78" s="112"/>
      <c r="AH78" s="383"/>
    </row>
    <row r="79" spans="1:36" ht="15" customHeight="1">
      <c r="A79" s="391"/>
      <c r="B79" s="239"/>
      <c r="C79" s="153" t="s">
        <v>56</v>
      </c>
      <c r="D79" s="388" t="s">
        <v>42</v>
      </c>
      <c r="E79" s="388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396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87"/>
      <c r="AC79" s="387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38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8" priority="1" operator="greaterThan">
      <formula>0</formula>
    </cfRule>
  </conditionalFormatting>
  <conditionalFormatting sqref="Q5:Q79 AF5:AF79">
    <cfRule type="cellIs" dxfId="7" priority="4" operator="lessThan">
      <formula>0</formula>
    </cfRule>
  </conditionalFormatting>
  <conditionalFormatting sqref="R5:R79 AG5:AG79">
    <cfRule type="cellIs" dxfId="6" priority="2" operator="greaterThan">
      <formula>1</formula>
    </cfRule>
    <cfRule type="cellIs" dxfId="5" priority="3" operator="lessThan">
      <formula>0.8</formula>
    </cfRule>
  </conditionalFormatting>
  <conditionalFormatting sqref="S5:S10 S37:S62 AH59:AH62 S69:S76 AH69:AH76">
    <cfRule type="cellIs" dxfId="4" priority="7" operator="lessThan">
      <formula>0.8</formula>
    </cfRule>
  </conditionalFormatting>
  <conditionalFormatting sqref="S19:S25 AH19:AH25">
    <cfRule type="cellIs" dxfId="3" priority="6" operator="lessThan">
      <formula>0.8</formula>
    </cfRule>
  </conditionalFormatting>
  <conditionalFormatting sqref="S79">
    <cfRule type="cellIs" dxfId="2" priority="5" operator="lessThan">
      <formula>0.8</formula>
    </cfRule>
  </conditionalFormatting>
  <conditionalFormatting sqref="AH5:AH8 S15:S16 AH15:AH16 AH49 AH79">
    <cfRule type="cellIs" dxfId="1" priority="9" operator="lessThan">
      <formula>0.8</formula>
    </cfRule>
  </conditionalFormatting>
  <conditionalFormatting sqref="AH27 S27:S28">
    <cfRule type="cellIs" dxfId="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3DAC0E-070C-465D-9F6D-271ABF742D15}"/>
</file>

<file path=customXml/itemProps2.xml><?xml version="1.0" encoding="utf-8"?>
<ds:datastoreItem xmlns:ds="http://schemas.openxmlformats.org/officeDocument/2006/customXml" ds:itemID="{67DAD3D2-10DF-46B4-BAB4-BE07C59B0D79}"/>
</file>

<file path=customXml/itemProps3.xml><?xml version="1.0" encoding="utf-8"?>
<ds:datastoreItem xmlns:ds="http://schemas.openxmlformats.org/officeDocument/2006/customXml" ds:itemID="{19DA14BD-BAD5-4606-A66B-63E2EDBF7B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64</vt:i4>
      </vt:variant>
      <vt:variant>
        <vt:lpstr>具名範圍</vt:lpstr>
      </vt:variant>
      <vt:variant>
        <vt:i4>91</vt:i4>
      </vt:variant>
    </vt:vector>
  </HeadingPairs>
  <TitlesOfParts>
    <vt:vector size="155" baseType="lpstr">
      <vt:lpstr>廠價表</vt:lpstr>
      <vt:lpstr>產線配置圖</vt:lpstr>
      <vt:lpstr>範本總</vt:lpstr>
      <vt:lpstr>範本</vt:lpstr>
      <vt:lpstr>0901總</vt:lpstr>
      <vt:lpstr>0901</vt:lpstr>
      <vt:lpstr>0902總</vt:lpstr>
      <vt:lpstr>0902</vt:lpstr>
      <vt:lpstr>0903總</vt:lpstr>
      <vt:lpstr>0903</vt:lpstr>
      <vt:lpstr>0904總</vt:lpstr>
      <vt:lpstr>0904</vt:lpstr>
      <vt:lpstr>0905總</vt:lpstr>
      <vt:lpstr>0905</vt:lpstr>
      <vt:lpstr>0906總</vt:lpstr>
      <vt:lpstr>0906</vt:lpstr>
      <vt:lpstr>0907總</vt:lpstr>
      <vt:lpstr>0907</vt:lpstr>
      <vt:lpstr>0908總</vt:lpstr>
      <vt:lpstr>0908</vt:lpstr>
      <vt:lpstr>0909總</vt:lpstr>
      <vt:lpstr>0909</vt:lpstr>
      <vt:lpstr>0910總</vt:lpstr>
      <vt:lpstr>0910</vt:lpstr>
      <vt:lpstr>0911總</vt:lpstr>
      <vt:lpstr>0911</vt:lpstr>
      <vt:lpstr>0912總</vt:lpstr>
      <vt:lpstr>0912</vt:lpstr>
      <vt:lpstr>0913總</vt:lpstr>
      <vt:lpstr>0913</vt:lpstr>
      <vt:lpstr>0914總</vt:lpstr>
      <vt:lpstr>0914</vt:lpstr>
      <vt:lpstr>0915總</vt:lpstr>
      <vt:lpstr>0915</vt:lpstr>
      <vt:lpstr>0916總</vt:lpstr>
      <vt:lpstr>0916</vt:lpstr>
      <vt:lpstr>0917總</vt:lpstr>
      <vt:lpstr>0917</vt:lpstr>
      <vt:lpstr>0918總</vt:lpstr>
      <vt:lpstr>0918</vt:lpstr>
      <vt:lpstr>0919總</vt:lpstr>
      <vt:lpstr>0919</vt:lpstr>
      <vt:lpstr>0920總</vt:lpstr>
      <vt:lpstr>0920</vt:lpstr>
      <vt:lpstr>0921總</vt:lpstr>
      <vt:lpstr>0921</vt:lpstr>
      <vt:lpstr>0922總</vt:lpstr>
      <vt:lpstr>0922</vt:lpstr>
      <vt:lpstr>0923總</vt:lpstr>
      <vt:lpstr>0923</vt:lpstr>
      <vt:lpstr>0924總</vt:lpstr>
      <vt:lpstr>0924</vt:lpstr>
      <vt:lpstr>0925總</vt:lpstr>
      <vt:lpstr>0925</vt:lpstr>
      <vt:lpstr>0926總</vt:lpstr>
      <vt:lpstr>0926</vt:lpstr>
      <vt:lpstr>0927總</vt:lpstr>
      <vt:lpstr>0927</vt:lpstr>
      <vt:lpstr>0928總</vt:lpstr>
      <vt:lpstr>0928</vt:lpstr>
      <vt:lpstr>0929總</vt:lpstr>
      <vt:lpstr>0929</vt:lpstr>
      <vt:lpstr>0930總</vt:lpstr>
      <vt:lpstr>0930</vt:lpstr>
      <vt:lpstr>'0901'!_FilterDatabase</vt:lpstr>
      <vt:lpstr>'0901總'!_FilterDatabase</vt:lpstr>
      <vt:lpstr>'0902'!_FilterDatabase</vt:lpstr>
      <vt:lpstr>'0902總'!_FilterDatabase</vt:lpstr>
      <vt:lpstr>'0903'!_FilterDatabase</vt:lpstr>
      <vt:lpstr>'0903總'!_FilterDatabase</vt:lpstr>
      <vt:lpstr>'0904'!_FilterDatabase</vt:lpstr>
      <vt:lpstr>'0904總'!_FilterDatabase</vt:lpstr>
      <vt:lpstr>'0905'!_FilterDatabase</vt:lpstr>
      <vt:lpstr>'0905總'!_FilterDatabase</vt:lpstr>
      <vt:lpstr>'0906'!_FilterDatabase</vt:lpstr>
      <vt:lpstr>'0906總'!_FilterDatabase</vt:lpstr>
      <vt:lpstr>'0907'!_FilterDatabase</vt:lpstr>
      <vt:lpstr>'0907總'!_FilterDatabase</vt:lpstr>
      <vt:lpstr>'0908'!_FilterDatabase</vt:lpstr>
      <vt:lpstr>'0908總'!_FilterDatabase</vt:lpstr>
      <vt:lpstr>'0909'!_FilterDatabase</vt:lpstr>
      <vt:lpstr>'0909總'!_FilterDatabase</vt:lpstr>
      <vt:lpstr>'0910'!_FilterDatabase</vt:lpstr>
      <vt:lpstr>'0910總'!_FilterDatabase</vt:lpstr>
      <vt:lpstr>'0911'!_FilterDatabase</vt:lpstr>
      <vt:lpstr>'0911總'!_FilterDatabase</vt:lpstr>
      <vt:lpstr>'0912'!_FilterDatabase</vt:lpstr>
      <vt:lpstr>'0912總'!_FilterDatabase</vt:lpstr>
      <vt:lpstr>'0913'!_FilterDatabase</vt:lpstr>
      <vt:lpstr>'0913總'!_FilterDatabase</vt:lpstr>
      <vt:lpstr>'0914'!_FilterDatabase</vt:lpstr>
      <vt:lpstr>'0914總'!_FilterDatabase</vt:lpstr>
      <vt:lpstr>'0915'!_FilterDatabase</vt:lpstr>
      <vt:lpstr>'0915總'!_FilterDatabase</vt:lpstr>
      <vt:lpstr>'0916'!_FilterDatabase</vt:lpstr>
      <vt:lpstr>'0916總'!_FilterDatabase</vt:lpstr>
      <vt:lpstr>'0917'!_FilterDatabase</vt:lpstr>
      <vt:lpstr>'0917總'!_FilterDatabase</vt:lpstr>
      <vt:lpstr>'0918'!_FilterDatabase</vt:lpstr>
      <vt:lpstr>'0918總'!_FilterDatabase</vt:lpstr>
      <vt:lpstr>'0919'!_FilterDatabase</vt:lpstr>
      <vt:lpstr>'0919總'!_FilterDatabase</vt:lpstr>
      <vt:lpstr>'0920'!_FilterDatabase</vt:lpstr>
      <vt:lpstr>'0920總'!_FilterDatabase</vt:lpstr>
      <vt:lpstr>'0921'!_FilterDatabase</vt:lpstr>
      <vt:lpstr>'0921總'!_FilterDatabase</vt:lpstr>
      <vt:lpstr>'0922'!_FilterDatabase</vt:lpstr>
      <vt:lpstr>'0922總'!_FilterDatabase</vt:lpstr>
      <vt:lpstr>'0923'!_FilterDatabase</vt:lpstr>
      <vt:lpstr>'0923總'!_FilterDatabase</vt:lpstr>
      <vt:lpstr>'0924'!_FilterDatabase</vt:lpstr>
      <vt:lpstr>'0924總'!_FilterDatabase</vt:lpstr>
      <vt:lpstr>'0925'!_FilterDatabase</vt:lpstr>
      <vt:lpstr>'0925總'!_FilterDatabase</vt:lpstr>
      <vt:lpstr>'0926'!_FilterDatabase</vt:lpstr>
      <vt:lpstr>'0926總'!_FilterDatabase</vt:lpstr>
      <vt:lpstr>'0927'!_FilterDatabase</vt:lpstr>
      <vt:lpstr>'0927總'!_FilterDatabase</vt:lpstr>
      <vt:lpstr>'0928'!_FilterDatabase</vt:lpstr>
      <vt:lpstr>'0928總'!_FilterDatabase</vt:lpstr>
      <vt:lpstr>'0929'!_FilterDatabase</vt:lpstr>
      <vt:lpstr>'0929總'!_FilterDatabase</vt:lpstr>
      <vt:lpstr>'0930'!_FilterDatabase</vt:lpstr>
      <vt:lpstr>'0930總'!_FilterDatabase</vt:lpstr>
      <vt:lpstr>'0901'!Print_Area</vt:lpstr>
      <vt:lpstr>'0902'!Print_Area</vt:lpstr>
      <vt:lpstr>'0903'!Print_Area</vt:lpstr>
      <vt:lpstr>'0904'!Print_Area</vt:lpstr>
      <vt:lpstr>'0905'!Print_Area</vt:lpstr>
      <vt:lpstr>'0906'!Print_Area</vt:lpstr>
      <vt:lpstr>'0907'!Print_Area</vt:lpstr>
      <vt:lpstr>'0908'!Print_Area</vt:lpstr>
      <vt:lpstr>'0909'!Print_Area</vt:lpstr>
      <vt:lpstr>'0910'!Print_Area</vt:lpstr>
      <vt:lpstr>'0911'!Print_Area</vt:lpstr>
      <vt:lpstr>'0912'!Print_Area</vt:lpstr>
      <vt:lpstr>'0913'!Print_Area</vt:lpstr>
      <vt:lpstr>'0914'!Print_Area</vt:lpstr>
      <vt:lpstr>'0915'!Print_Area</vt:lpstr>
      <vt:lpstr>'0916'!Print_Area</vt:lpstr>
      <vt:lpstr>'0917'!Print_Area</vt:lpstr>
      <vt:lpstr>'0918'!Print_Area</vt:lpstr>
      <vt:lpstr>'0919'!Print_Area</vt:lpstr>
      <vt:lpstr>'0920'!Print_Area</vt:lpstr>
      <vt:lpstr>'0921'!Print_Area</vt:lpstr>
      <vt:lpstr>'0922'!Print_Area</vt:lpstr>
      <vt:lpstr>'0923'!Print_Area</vt:lpstr>
      <vt:lpstr>'0924'!Print_Area</vt:lpstr>
      <vt:lpstr>'0925'!Print_Area</vt:lpstr>
      <vt:lpstr>'0926'!Print_Area</vt:lpstr>
      <vt:lpstr>'0927'!Print_Area</vt:lpstr>
      <vt:lpstr>'0928'!Print_Area</vt:lpstr>
      <vt:lpstr>'0929'!Print_Area</vt:lpstr>
      <vt:lpstr>'0930'!Print_Area</vt:lpstr>
      <vt:lpstr>範本!Print_Area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2026-09-29T01:31:43Z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