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79D183E6-A529-4006-8334-6B832993EFB0}" xr6:coauthVersionLast="47" xr6:coauthVersionMax="47" xr10:uidLastSave="{00000000-0000-0000-0000-000000000000}"/>
  <bookViews>
    <workbookView xWindow="-120" yWindow="-120" windowWidth="29040" windowHeight="15720" tabRatio="958" firstSheet="44" activeTab="64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101總" sheetId="6" r:id="rId5"/>
    <sheet name="0101" sheetId="7" r:id="rId6"/>
    <sheet name="0102總" sheetId="8" r:id="rId7"/>
    <sheet name="0102" sheetId="9" r:id="rId8"/>
    <sheet name="0103總" sheetId="10" r:id="rId9"/>
    <sheet name="0103" sheetId="11" r:id="rId10"/>
    <sheet name="0104總" sheetId="12" r:id="rId11"/>
    <sheet name="0104" sheetId="13" r:id="rId12"/>
    <sheet name="0105總" sheetId="14" r:id="rId13"/>
    <sheet name="0105" sheetId="15" r:id="rId14"/>
    <sheet name="0106總" sheetId="16" r:id="rId15"/>
    <sheet name="0106" sheetId="69" r:id="rId16"/>
    <sheet name="0107總" sheetId="18" r:id="rId17"/>
    <sheet name="0107" sheetId="71" r:id="rId18"/>
    <sheet name="0108總" sheetId="20" r:id="rId19"/>
    <sheet name="0108" sheetId="21" r:id="rId20"/>
    <sheet name="0109總" sheetId="22" r:id="rId21"/>
    <sheet name="0109" sheetId="23" r:id="rId22"/>
    <sheet name="0110總" sheetId="72" r:id="rId23"/>
    <sheet name="0110" sheetId="73" r:id="rId24"/>
    <sheet name="0111總" sheetId="74" r:id="rId25"/>
    <sheet name="0111" sheetId="75" r:id="rId26"/>
    <sheet name="0112總" sheetId="76" r:id="rId27"/>
    <sheet name="0112" sheetId="77" r:id="rId28"/>
    <sheet name="0113總" sheetId="78" r:id="rId29"/>
    <sheet name="0113" sheetId="79" r:id="rId30"/>
    <sheet name="0114總" sheetId="80" r:id="rId31"/>
    <sheet name="0114" sheetId="81" r:id="rId32"/>
    <sheet name="0115總" sheetId="82" r:id="rId33"/>
    <sheet name="0115" sheetId="83" r:id="rId34"/>
    <sheet name="0116總" sheetId="84" r:id="rId35"/>
    <sheet name="0116" sheetId="85" r:id="rId36"/>
    <sheet name="0117總" sheetId="86" r:id="rId37"/>
    <sheet name="0117" sheetId="87" r:id="rId38"/>
    <sheet name="0118總" sheetId="88" r:id="rId39"/>
    <sheet name="0118" sheetId="89" r:id="rId40"/>
    <sheet name="0119總" sheetId="90" r:id="rId41"/>
    <sheet name="0119" sheetId="91" r:id="rId42"/>
    <sheet name="0120總" sheetId="92" r:id="rId43"/>
    <sheet name="0120" sheetId="93" r:id="rId44"/>
    <sheet name="0121總" sheetId="95" r:id="rId45"/>
    <sheet name="0121" sheetId="94" r:id="rId46"/>
    <sheet name="0122總" sheetId="98" r:id="rId47"/>
    <sheet name="0122" sheetId="99" r:id="rId48"/>
    <sheet name="0123總" sheetId="100" r:id="rId49"/>
    <sheet name="0123" sheetId="101" r:id="rId50"/>
    <sheet name="0124總" sheetId="102" r:id="rId51"/>
    <sheet name="0124" sheetId="103" r:id="rId52"/>
    <sheet name="0125總" sheetId="104" r:id="rId53"/>
    <sheet name="0125" sheetId="105" r:id="rId54"/>
    <sheet name="0126總 " sheetId="106" r:id="rId55"/>
    <sheet name="0126" sheetId="107" r:id="rId56"/>
    <sheet name="0127總" sheetId="108" r:id="rId57"/>
    <sheet name="0127" sheetId="109" r:id="rId58"/>
    <sheet name="0128總" sheetId="110" r:id="rId59"/>
    <sheet name="0128" sheetId="111" r:id="rId60"/>
    <sheet name="0129總 " sheetId="112" r:id="rId61"/>
    <sheet name="0129" sheetId="113" r:id="rId62"/>
    <sheet name="0130總" sheetId="114" r:id="rId63"/>
    <sheet name="0130" sheetId="115" r:id="rId64"/>
    <sheet name="0131總" sheetId="116" r:id="rId65"/>
    <sheet name="0131" sheetId="117" r:id="rId66"/>
  </sheets>
  <externalReferences>
    <externalReference r:id="rId67"/>
  </externalReferences>
  <definedNames>
    <definedName name="_xlnm._FilterDatabase" localSheetId="5">'0101'!$A$4:$AJ$79</definedName>
    <definedName name="_xlnm._FilterDatabase" localSheetId="4">'0101總'!$B$10:$J$25</definedName>
    <definedName name="_xlnm._FilterDatabase" localSheetId="7">'0102'!$A$4:$AJ$79</definedName>
    <definedName name="_xlnm._FilterDatabase" localSheetId="6">'0102總'!$B$10:$J$25</definedName>
    <definedName name="_xlnm._FilterDatabase" localSheetId="9">'0103'!$A$4:$AJ$79</definedName>
    <definedName name="_xlnm._FilterDatabase" localSheetId="8">'0103總'!$B$10:$J$25</definedName>
    <definedName name="_xlnm._FilterDatabase" localSheetId="11">'0104'!$A$4:$AJ$79</definedName>
    <definedName name="_xlnm._FilterDatabase" localSheetId="10">'0104總'!$B$10:$J$25</definedName>
    <definedName name="_xlnm._FilterDatabase" localSheetId="13">'0105'!$A$4:$AJ$79</definedName>
    <definedName name="_xlnm._FilterDatabase" localSheetId="12">'0105總'!$B$10:$J$25</definedName>
    <definedName name="_xlnm._FilterDatabase" localSheetId="15">'0106'!$A$4:$AJ$79</definedName>
    <definedName name="_xlnm._FilterDatabase" localSheetId="14">'0106總'!$B$10:$J$25</definedName>
    <definedName name="_xlnm._FilterDatabase" localSheetId="17">'0107'!$A$4:$AJ$79</definedName>
    <definedName name="_xlnm._FilterDatabase" localSheetId="16">'0107總'!$B$10:$J$25</definedName>
    <definedName name="_xlnm._FilterDatabase" localSheetId="19">'0108'!$A$4:$AJ$79</definedName>
    <definedName name="_xlnm._FilterDatabase" localSheetId="18">'0108總'!$B$10:$J$25</definedName>
    <definedName name="_xlnm._FilterDatabase" localSheetId="21">'0109'!$A$4:$AJ$79</definedName>
    <definedName name="_xlnm._FilterDatabase" localSheetId="20">'0109總'!$B$10:$J$25</definedName>
    <definedName name="_xlnm._FilterDatabase" localSheetId="23">'0110'!$A$4:$AJ$79</definedName>
    <definedName name="_xlnm._FilterDatabase" localSheetId="22">'0110總'!$B$10:$J$25</definedName>
    <definedName name="_xlnm._FilterDatabase" localSheetId="25">'0111'!$A$4:$AJ$79</definedName>
    <definedName name="_xlnm._FilterDatabase" localSheetId="24">'0111總'!$B$10:$J$25</definedName>
    <definedName name="_xlnm._FilterDatabase" localSheetId="27">'0112'!$A$4:$AJ$79</definedName>
    <definedName name="_xlnm._FilterDatabase" localSheetId="26">'0112總'!$B$10:$J$25</definedName>
    <definedName name="_xlnm._FilterDatabase" localSheetId="29">'0113'!$A$4:$AJ$79</definedName>
    <definedName name="_xlnm._FilterDatabase" localSheetId="28">'0113總'!$B$10:$J$25</definedName>
    <definedName name="_xlnm._FilterDatabase" localSheetId="31">'0114'!$A$4:$AJ$79</definedName>
    <definedName name="_xlnm._FilterDatabase" localSheetId="30">'0114總'!$B$10:$J$25</definedName>
    <definedName name="_xlnm._FilterDatabase" localSheetId="33">'0115'!$A$4:$AJ$79</definedName>
    <definedName name="_xlnm._FilterDatabase" localSheetId="32">'0115總'!$B$10:$J$25</definedName>
    <definedName name="_xlnm._FilterDatabase" localSheetId="35">'0116'!$A$4:$AJ$79</definedName>
    <definedName name="_xlnm._FilterDatabase" localSheetId="34">'0116總'!$B$10:$J$25</definedName>
    <definedName name="_xlnm._FilterDatabase" localSheetId="37">'0117'!$A$4:$AJ$79</definedName>
    <definedName name="_xlnm._FilterDatabase" localSheetId="36">'0117總'!$B$10:$J$25</definedName>
    <definedName name="_xlnm._FilterDatabase" localSheetId="39">'0118'!$A$4:$AJ$79</definedName>
    <definedName name="_xlnm._FilterDatabase" localSheetId="38">'0118總'!$B$10:$J$25</definedName>
    <definedName name="_xlnm._FilterDatabase" localSheetId="41">'0119'!$A$4:$AJ$79</definedName>
    <definedName name="_xlnm._FilterDatabase" localSheetId="40">'0119總'!$B$10:$J$25</definedName>
    <definedName name="_xlnm._FilterDatabase" localSheetId="43">'0120'!$A$4:$AJ$79</definedName>
    <definedName name="_xlnm._FilterDatabase" localSheetId="42">'0120總'!$B$10:$J$25</definedName>
    <definedName name="_xlnm._FilterDatabase" localSheetId="45">'0121'!$A$4:$AJ$79</definedName>
    <definedName name="_xlnm._FilterDatabase" localSheetId="44">'0121總'!$B$10:$J$25</definedName>
    <definedName name="_xlnm._FilterDatabase" localSheetId="47">'0122'!$A$4:$AJ$79</definedName>
    <definedName name="_xlnm._FilterDatabase" localSheetId="46">'0122總'!$B$10:$J$25</definedName>
    <definedName name="_xlnm._FilterDatabase" localSheetId="49">'0123'!$A$4:$AJ$79</definedName>
    <definedName name="_xlnm._FilterDatabase" localSheetId="48">'0123總'!$B$10:$J$25</definedName>
    <definedName name="_xlnm._FilterDatabase" localSheetId="51">'0124'!$A$4:$AJ$79</definedName>
    <definedName name="_xlnm._FilterDatabase" localSheetId="50">'0124總'!$B$10:$J$25</definedName>
    <definedName name="_xlnm._FilterDatabase" localSheetId="53">'0125'!$A$4:$AJ$79</definedName>
    <definedName name="_xlnm._FilterDatabase" localSheetId="52">'0125總'!$B$10:$J$25</definedName>
    <definedName name="_xlnm._FilterDatabase" localSheetId="55">'0126'!$A$4:$AJ$79</definedName>
    <definedName name="_xlnm._FilterDatabase" localSheetId="54">'0126總 '!$B$10:$J$25</definedName>
    <definedName name="_xlnm._FilterDatabase" localSheetId="57">'0127'!$A$4:$AJ$79</definedName>
    <definedName name="_xlnm._FilterDatabase" localSheetId="56">'0127總'!$B$10:$J$25</definedName>
    <definedName name="_xlnm._FilterDatabase" localSheetId="59">'0128'!$A$4:$AJ$79</definedName>
    <definedName name="_xlnm._FilterDatabase" localSheetId="58">'0128總'!$B$10:$J$25</definedName>
    <definedName name="_xlnm._FilterDatabase" localSheetId="61">'0129'!$A$4:$AJ$79</definedName>
    <definedName name="_xlnm._FilterDatabase" localSheetId="60">'0129總 '!$B$10:$J$25</definedName>
    <definedName name="_xlnm._FilterDatabase" localSheetId="63">'0130'!$A$4:$AJ$79</definedName>
    <definedName name="_xlnm._FilterDatabase" localSheetId="62">'0130總'!$B$10:$J$25</definedName>
    <definedName name="_xlnm._FilterDatabase" localSheetId="65">'0131'!$A$4:$AJ$79</definedName>
    <definedName name="_xlnm._FilterDatabase" localSheetId="64">'0131總'!$B$10:$J$25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'0101'!$A$1:$AH$79</definedName>
    <definedName name="_xlnm.Print_Area" localSheetId="7">'0102'!$A$1:$AH$79</definedName>
    <definedName name="_xlnm.Print_Area" localSheetId="9">'0103'!$A$1:$AH$79</definedName>
    <definedName name="_xlnm.Print_Area" localSheetId="11">'0104'!$A$1:$AH$79</definedName>
    <definedName name="_xlnm.Print_Area" localSheetId="13">'0105'!$A$1:$AH$79</definedName>
    <definedName name="_xlnm.Print_Area" localSheetId="15">'0106'!$A$1:$AH$79</definedName>
    <definedName name="_xlnm.Print_Area" localSheetId="17">'0107'!$A$1:$AH$79</definedName>
    <definedName name="_xlnm.Print_Area" localSheetId="19">'0108'!$A$1:$AH$79</definedName>
    <definedName name="_xlnm.Print_Area" localSheetId="21">'0109'!$A$1:$AH$79</definedName>
    <definedName name="_xlnm.Print_Area" localSheetId="23">'0110'!$A$1:$AH$79</definedName>
    <definedName name="_xlnm.Print_Area" localSheetId="25">'0111'!$A$1:$AH$79</definedName>
    <definedName name="_xlnm.Print_Area" localSheetId="27">'0112'!$A$1:$AH$79</definedName>
    <definedName name="_xlnm.Print_Area" localSheetId="29">'0113'!$A$1:$AH$79</definedName>
    <definedName name="_xlnm.Print_Area" localSheetId="31">'0114'!$A$1:$AH$79</definedName>
    <definedName name="_xlnm.Print_Area" localSheetId="33">'0115'!$A$1:$AH$79</definedName>
    <definedName name="_xlnm.Print_Area" localSheetId="35">'0116'!$A$1:$AH$79</definedName>
    <definedName name="_xlnm.Print_Area" localSheetId="37">'0117'!$A$1:$AH$79</definedName>
    <definedName name="_xlnm.Print_Area" localSheetId="39">'0118'!$A$1:$AH$79</definedName>
    <definedName name="_xlnm.Print_Area" localSheetId="41">'0119'!$A$1:$AH$79</definedName>
    <definedName name="_xlnm.Print_Area" localSheetId="43">'0120'!$A$1:$AH$79</definedName>
    <definedName name="_xlnm.Print_Area" localSheetId="45">'0121'!$A$1:$AH$79</definedName>
    <definedName name="_xlnm.Print_Area" localSheetId="47">'0122'!$A$1:$AH$79</definedName>
    <definedName name="_xlnm.Print_Area" localSheetId="49">'0123'!$A$1:$AH$79</definedName>
    <definedName name="_xlnm.Print_Area" localSheetId="51">'0124'!$A$1:$AH$79</definedName>
    <definedName name="_xlnm.Print_Area" localSheetId="53">'0125'!$A$1:$AH$79</definedName>
    <definedName name="_xlnm.Print_Area" localSheetId="55">'0126'!$A$1:$AH$79</definedName>
    <definedName name="_xlnm.Print_Area" localSheetId="57">'0127'!$A$1:$AH$79</definedName>
    <definedName name="_xlnm.Print_Area" localSheetId="59">'0128'!$A$1:$AH$79</definedName>
    <definedName name="_xlnm.Print_Area" localSheetId="61">'0129'!$A$1:$AH$79</definedName>
    <definedName name="_xlnm.Print_Area" localSheetId="63">'0130'!$A$1:$AH$79</definedName>
    <definedName name="_xlnm.Print_Area" localSheetId="65">'0131'!$A$1:$AH$79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17" l="1"/>
  <c r="H9" i="117"/>
  <c r="K9" i="117"/>
  <c r="L9" i="117"/>
  <c r="F9" i="117"/>
  <c r="V53" i="117"/>
  <c r="N52" i="117"/>
  <c r="O52" i="117" s="1"/>
  <c r="P52" i="117"/>
  <c r="N53" i="117"/>
  <c r="O53" i="117"/>
  <c r="P53" i="117"/>
  <c r="Q53" i="117"/>
  <c r="R53" i="117"/>
  <c r="H52" i="117"/>
  <c r="J52" i="117"/>
  <c r="K52" i="117"/>
  <c r="L52" i="117" s="1"/>
  <c r="H53" i="117"/>
  <c r="J53" i="117"/>
  <c r="K53" i="117"/>
  <c r="L53" i="117"/>
  <c r="F52" i="117"/>
  <c r="F53" i="117"/>
  <c r="N41" i="117"/>
  <c r="O41" i="117"/>
  <c r="Q41" i="117" s="1"/>
  <c r="P41" i="117"/>
  <c r="H41" i="117"/>
  <c r="K41" i="117"/>
  <c r="AG41" i="117" s="1"/>
  <c r="F41" i="117"/>
  <c r="V31" i="117"/>
  <c r="H31" i="117"/>
  <c r="J31" i="117"/>
  <c r="K31" i="117"/>
  <c r="L31" i="117" s="1"/>
  <c r="N30" i="117"/>
  <c r="O30" i="117"/>
  <c r="Q30" i="117" s="1"/>
  <c r="P30" i="117"/>
  <c r="N31" i="117"/>
  <c r="O31" i="117"/>
  <c r="P31" i="117"/>
  <c r="H30" i="117"/>
  <c r="J30" i="117"/>
  <c r="K30" i="117"/>
  <c r="AG30" i="117" s="1"/>
  <c r="L30" i="117"/>
  <c r="F30" i="117"/>
  <c r="F31" i="117"/>
  <c r="V21" i="117"/>
  <c r="V8" i="117"/>
  <c r="H19" i="117"/>
  <c r="H20" i="117"/>
  <c r="H21" i="117"/>
  <c r="F19" i="117"/>
  <c r="F20" i="117"/>
  <c r="F21" i="117"/>
  <c r="W22" i="117"/>
  <c r="W23" i="117"/>
  <c r="J19" i="117"/>
  <c r="K19" i="117"/>
  <c r="L19" i="117" s="1"/>
  <c r="R19" i="117" s="1"/>
  <c r="J20" i="117"/>
  <c r="K20" i="117"/>
  <c r="L20" i="117"/>
  <c r="J21" i="117"/>
  <c r="P21" i="117" s="1"/>
  <c r="K21" i="117"/>
  <c r="L21" i="117"/>
  <c r="N19" i="117"/>
  <c r="O19" i="117"/>
  <c r="P19" i="117"/>
  <c r="N20" i="117"/>
  <c r="O20" i="117"/>
  <c r="P20" i="117"/>
  <c r="Q20" i="117"/>
  <c r="R20" i="117"/>
  <c r="N8" i="117"/>
  <c r="O8" i="117"/>
  <c r="Q8" i="117" s="1"/>
  <c r="P8" i="117"/>
  <c r="H8" i="117"/>
  <c r="J8" i="117"/>
  <c r="K8" i="117"/>
  <c r="L8" i="117"/>
  <c r="F8" i="117"/>
  <c r="AE79" i="117"/>
  <c r="AD79" i="117"/>
  <c r="J20" i="116" s="1"/>
  <c r="AA79" i="117"/>
  <c r="Z79" i="117"/>
  <c r="M79" i="117"/>
  <c r="J22" i="116" s="1"/>
  <c r="K79" i="117"/>
  <c r="W78" i="117"/>
  <c r="H78" i="117"/>
  <c r="W77" i="117"/>
  <c r="H77" i="117"/>
  <c r="W76" i="117"/>
  <c r="W75" i="117"/>
  <c r="W74" i="117"/>
  <c r="W73" i="117"/>
  <c r="W72" i="117"/>
  <c r="W71" i="117"/>
  <c r="W70" i="117"/>
  <c r="N70" i="117" s="1"/>
  <c r="P70" i="117"/>
  <c r="L70" i="117"/>
  <c r="L79" i="117" s="1"/>
  <c r="K70" i="117"/>
  <c r="J70" i="117"/>
  <c r="J79" i="117" s="1"/>
  <c r="F70" i="117"/>
  <c r="H70" i="117" s="1"/>
  <c r="AE69" i="117"/>
  <c r="AD69" i="117"/>
  <c r="AA69" i="117"/>
  <c r="J18" i="116" s="1"/>
  <c r="Z69" i="117"/>
  <c r="I18" i="116" s="1"/>
  <c r="M69" i="117"/>
  <c r="W68" i="117"/>
  <c r="H68" i="117"/>
  <c r="W67" i="117"/>
  <c r="W66" i="117"/>
  <c r="W65" i="117"/>
  <c r="W64" i="117"/>
  <c r="W63" i="117"/>
  <c r="W62" i="117"/>
  <c r="W61" i="117"/>
  <c r="N61" i="117" s="1"/>
  <c r="V61" i="117"/>
  <c r="K61" i="117"/>
  <c r="L61" i="117" s="1"/>
  <c r="J61" i="117"/>
  <c r="P61" i="117" s="1"/>
  <c r="F61" i="117"/>
  <c r="H61" i="117" s="1"/>
  <c r="W60" i="117"/>
  <c r="N60" i="117" s="1"/>
  <c r="V60" i="117"/>
  <c r="K60" i="117"/>
  <c r="J60" i="117"/>
  <c r="P60" i="117" s="1"/>
  <c r="F60" i="117"/>
  <c r="H60" i="117" s="1"/>
  <c r="W59" i="117"/>
  <c r="N59" i="117"/>
  <c r="AG59" i="117" s="1"/>
  <c r="K59" i="117"/>
  <c r="L59" i="117" s="1"/>
  <c r="J59" i="117"/>
  <c r="P59" i="117" s="1"/>
  <c r="F59" i="117"/>
  <c r="H59" i="117" s="1"/>
  <c r="AE58" i="117"/>
  <c r="AD58" i="117"/>
  <c r="AA58" i="117"/>
  <c r="Z58" i="117"/>
  <c r="M58" i="117"/>
  <c r="W57" i="117"/>
  <c r="W56" i="117"/>
  <c r="W55" i="117"/>
  <c r="W54" i="117"/>
  <c r="AG53" i="117"/>
  <c r="AF53" i="117"/>
  <c r="W53" i="117"/>
  <c r="W52" i="117"/>
  <c r="V52" i="117"/>
  <c r="W51" i="117"/>
  <c r="N51" i="117" s="1"/>
  <c r="V51" i="117"/>
  <c r="P51" i="117"/>
  <c r="L51" i="117"/>
  <c r="K51" i="117"/>
  <c r="J51" i="117"/>
  <c r="F51" i="117"/>
  <c r="H51" i="117" s="1"/>
  <c r="W50" i="117"/>
  <c r="N50" i="117" s="1"/>
  <c r="V50" i="117"/>
  <c r="L50" i="117"/>
  <c r="K50" i="117"/>
  <c r="J50" i="117"/>
  <c r="P50" i="117" s="1"/>
  <c r="H50" i="117"/>
  <c r="F50" i="117"/>
  <c r="W49" i="117"/>
  <c r="N49" i="117" s="1"/>
  <c r="K49" i="117"/>
  <c r="J49" i="117"/>
  <c r="P49" i="117" s="1"/>
  <c r="F49" i="117"/>
  <c r="H49" i="117" s="1"/>
  <c r="AE48" i="117"/>
  <c r="AD48" i="117"/>
  <c r="AA48" i="117"/>
  <c r="G19" i="116" s="1"/>
  <c r="Z48" i="117"/>
  <c r="W48" i="117"/>
  <c r="M48" i="117"/>
  <c r="W47" i="117"/>
  <c r="H47" i="117"/>
  <c r="W46" i="117"/>
  <c r="W45" i="117"/>
  <c r="W44" i="117"/>
  <c r="W43" i="117"/>
  <c r="W42" i="117"/>
  <c r="W41" i="117"/>
  <c r="W40" i="117"/>
  <c r="V40" i="117"/>
  <c r="P40" i="117"/>
  <c r="N40" i="117"/>
  <c r="AG40" i="117" s="1"/>
  <c r="K40" i="117"/>
  <c r="L40" i="117" s="1"/>
  <c r="H40" i="117"/>
  <c r="F40" i="117"/>
  <c r="W39" i="117"/>
  <c r="V39" i="117"/>
  <c r="P39" i="117"/>
  <c r="N39" i="117"/>
  <c r="AG39" i="117" s="1"/>
  <c r="K39" i="117"/>
  <c r="L39" i="117" s="1"/>
  <c r="J39" i="117"/>
  <c r="H39" i="117"/>
  <c r="F39" i="117"/>
  <c r="W38" i="117"/>
  <c r="N38" i="117" s="1"/>
  <c r="L38" i="117"/>
  <c r="K38" i="117"/>
  <c r="J38" i="117"/>
  <c r="P38" i="117" s="1"/>
  <c r="H38" i="117"/>
  <c r="F38" i="117"/>
  <c r="AE37" i="117"/>
  <c r="F21" i="116" s="1"/>
  <c r="AD37" i="117"/>
  <c r="F20" i="116" s="1"/>
  <c r="AA37" i="117"/>
  <c r="Z37" i="117"/>
  <c r="F18" i="116" s="1"/>
  <c r="M37" i="117"/>
  <c r="W36" i="117"/>
  <c r="H36" i="117"/>
  <c r="W35" i="117"/>
  <c r="W34" i="117"/>
  <c r="W33" i="117"/>
  <c r="W32" i="117"/>
  <c r="AF31" i="117"/>
  <c r="W31" i="117"/>
  <c r="AF30" i="117"/>
  <c r="W30" i="117"/>
  <c r="V30" i="117"/>
  <c r="W29" i="117"/>
  <c r="V29" i="117"/>
  <c r="N29" i="117"/>
  <c r="AG29" i="117" s="1"/>
  <c r="K29" i="117"/>
  <c r="J29" i="117"/>
  <c r="J37" i="117" s="1"/>
  <c r="F29" i="117"/>
  <c r="H29" i="117" s="1"/>
  <c r="W28" i="117"/>
  <c r="V28" i="117"/>
  <c r="N28" i="117"/>
  <c r="AG28" i="117" s="1"/>
  <c r="L28" i="117"/>
  <c r="K28" i="117"/>
  <c r="J28" i="117"/>
  <c r="P28" i="117" s="1"/>
  <c r="F28" i="117"/>
  <c r="H28" i="117" s="1"/>
  <c r="W27" i="117"/>
  <c r="P27" i="117"/>
  <c r="N27" i="117"/>
  <c r="O27" i="117" s="1"/>
  <c r="K27" i="117"/>
  <c r="L27" i="117" s="1"/>
  <c r="J27" i="117"/>
  <c r="F27" i="117"/>
  <c r="H27" i="117" s="1"/>
  <c r="AE26" i="117"/>
  <c r="AE2" i="117" s="1"/>
  <c r="AD26" i="117"/>
  <c r="E20" i="116" s="1"/>
  <c r="AA26" i="117"/>
  <c r="E19" i="116" s="1"/>
  <c r="Z26" i="117"/>
  <c r="M26" i="117"/>
  <c r="W25" i="117"/>
  <c r="H25" i="117"/>
  <c r="W24" i="117"/>
  <c r="W21" i="117"/>
  <c r="N21" i="117" s="1"/>
  <c r="O21" i="117" s="1"/>
  <c r="W20" i="117"/>
  <c r="V20" i="117"/>
  <c r="AF19" i="117"/>
  <c r="W19" i="117"/>
  <c r="V19" i="117"/>
  <c r="AG18" i="117"/>
  <c r="AF18" i="117"/>
  <c r="W18" i="117"/>
  <c r="V18" i="117"/>
  <c r="N18" i="117"/>
  <c r="O18" i="117" s="1"/>
  <c r="K18" i="117"/>
  <c r="L18" i="117" s="1"/>
  <c r="J18" i="117"/>
  <c r="P18" i="117" s="1"/>
  <c r="F18" i="117"/>
  <c r="H18" i="117" s="1"/>
  <c r="W17" i="117"/>
  <c r="V17" i="117"/>
  <c r="N17" i="117"/>
  <c r="AG17" i="117" s="1"/>
  <c r="K17" i="117"/>
  <c r="L17" i="117" s="1"/>
  <c r="J17" i="117"/>
  <c r="F17" i="117"/>
  <c r="H17" i="117" s="1"/>
  <c r="W16" i="117"/>
  <c r="P16" i="117"/>
  <c r="N16" i="117"/>
  <c r="AG16" i="117" s="1"/>
  <c r="K16" i="117"/>
  <c r="L16" i="117" s="1"/>
  <c r="J16" i="117"/>
  <c r="H16" i="117"/>
  <c r="F16" i="117"/>
  <c r="AE15" i="117"/>
  <c r="AD15" i="117"/>
  <c r="D20" i="116" s="1"/>
  <c r="AA15" i="117"/>
  <c r="AA2" i="117" s="1"/>
  <c r="Z15" i="117"/>
  <c r="Z2" i="117" s="1"/>
  <c r="M15" i="117"/>
  <c r="D22" i="116" s="1"/>
  <c r="W14" i="117"/>
  <c r="W13" i="117"/>
  <c r="W12" i="117"/>
  <c r="AG11" i="117"/>
  <c r="AF11" i="117"/>
  <c r="W11" i="117"/>
  <c r="AG10" i="117"/>
  <c r="AF10" i="117"/>
  <c r="W10" i="117"/>
  <c r="W9" i="117"/>
  <c r="N9" i="117" s="1"/>
  <c r="AG8" i="117"/>
  <c r="AF8" i="117"/>
  <c r="W8" i="117"/>
  <c r="W7" i="117"/>
  <c r="N7" i="117" s="1"/>
  <c r="V7" i="117"/>
  <c r="K7" i="117"/>
  <c r="L7" i="117" s="1"/>
  <c r="J7" i="117"/>
  <c r="P7" i="117" s="1"/>
  <c r="H7" i="117"/>
  <c r="F7" i="117"/>
  <c r="W6" i="117"/>
  <c r="V6" i="117"/>
  <c r="P6" i="117"/>
  <c r="N6" i="117"/>
  <c r="AG6" i="117" s="1"/>
  <c r="K6" i="117"/>
  <c r="K15" i="117" s="1"/>
  <c r="J6" i="117"/>
  <c r="H6" i="117"/>
  <c r="F6" i="117"/>
  <c r="W5" i="117"/>
  <c r="N5" i="117" s="1"/>
  <c r="P5" i="117"/>
  <c r="L5" i="117"/>
  <c r="K5" i="117"/>
  <c r="J5" i="117"/>
  <c r="J15" i="117" s="1"/>
  <c r="H5" i="117"/>
  <c r="F5" i="117"/>
  <c r="I2" i="117"/>
  <c r="E1" i="117"/>
  <c r="G3" i="116" s="1"/>
  <c r="J21" i="116"/>
  <c r="H18" i="116"/>
  <c r="G20" i="116"/>
  <c r="G18" i="116"/>
  <c r="I22" i="116"/>
  <c r="I21" i="116"/>
  <c r="H21" i="116"/>
  <c r="G21" i="116"/>
  <c r="E21" i="116"/>
  <c r="D21" i="116"/>
  <c r="I20" i="116"/>
  <c r="H20" i="116"/>
  <c r="J19" i="116"/>
  <c r="H19" i="116"/>
  <c r="F19" i="116"/>
  <c r="D19" i="116"/>
  <c r="E18" i="116"/>
  <c r="J16" i="116"/>
  <c r="I16" i="116"/>
  <c r="H16" i="116"/>
  <c r="G16" i="116"/>
  <c r="F16" i="116"/>
  <c r="E16" i="116"/>
  <c r="D16" i="116"/>
  <c r="O8" i="116"/>
  <c r="N8" i="116"/>
  <c r="M8" i="116"/>
  <c r="L8" i="116"/>
  <c r="O7" i="116"/>
  <c r="N7" i="116"/>
  <c r="M7" i="116"/>
  <c r="L7" i="116"/>
  <c r="O8" i="114"/>
  <c r="N8" i="114"/>
  <c r="M8" i="114"/>
  <c r="L8" i="114"/>
  <c r="O7" i="114"/>
  <c r="N7" i="114"/>
  <c r="M7" i="114"/>
  <c r="L7" i="114"/>
  <c r="O6" i="114"/>
  <c r="N6" i="114"/>
  <c r="M6" i="114"/>
  <c r="L6" i="114"/>
  <c r="O8" i="112"/>
  <c r="N8" i="112"/>
  <c r="M8" i="112"/>
  <c r="L8" i="112"/>
  <c r="O7" i="112"/>
  <c r="N7" i="112"/>
  <c r="M7" i="112"/>
  <c r="L7" i="112"/>
  <c r="O6" i="112"/>
  <c r="N6" i="112"/>
  <c r="M6" i="112"/>
  <c r="L6" i="112"/>
  <c r="O8" i="110"/>
  <c r="N8" i="110"/>
  <c r="M8" i="110"/>
  <c r="L8" i="110"/>
  <c r="O7" i="110"/>
  <c r="N7" i="110"/>
  <c r="M7" i="110"/>
  <c r="L7" i="110"/>
  <c r="O6" i="110"/>
  <c r="N6" i="110"/>
  <c r="M6" i="110"/>
  <c r="L6" i="110"/>
  <c r="O8" i="108"/>
  <c r="N8" i="108"/>
  <c r="M8" i="108"/>
  <c r="L8" i="108"/>
  <c r="O7" i="108"/>
  <c r="N7" i="108"/>
  <c r="M7" i="108"/>
  <c r="L7" i="108"/>
  <c r="O6" i="108"/>
  <c r="N6" i="108"/>
  <c r="M6" i="108"/>
  <c r="L6" i="108"/>
  <c r="O8" i="106"/>
  <c r="N8" i="106"/>
  <c r="M8" i="106"/>
  <c r="L8" i="106"/>
  <c r="O7" i="106"/>
  <c r="N7" i="106"/>
  <c r="M7" i="106"/>
  <c r="L7" i="106"/>
  <c r="O6" i="106"/>
  <c r="N6" i="106"/>
  <c r="M6" i="106"/>
  <c r="L6" i="106"/>
  <c r="O8" i="104"/>
  <c r="N8" i="104"/>
  <c r="M8" i="104"/>
  <c r="L8" i="104"/>
  <c r="O7" i="104"/>
  <c r="N7" i="104"/>
  <c r="M7" i="104"/>
  <c r="L7" i="104"/>
  <c r="O6" i="104"/>
  <c r="N6" i="104"/>
  <c r="M6" i="104"/>
  <c r="L6" i="104"/>
  <c r="O8" i="102"/>
  <c r="N8" i="102"/>
  <c r="M8" i="102"/>
  <c r="L8" i="102"/>
  <c r="O7" i="102"/>
  <c r="N7" i="102"/>
  <c r="M7" i="102"/>
  <c r="L7" i="102"/>
  <c r="O6" i="102"/>
  <c r="N6" i="102"/>
  <c r="M6" i="102"/>
  <c r="L6" i="102"/>
  <c r="O8" i="100"/>
  <c r="N8" i="100"/>
  <c r="M8" i="100"/>
  <c r="L8" i="100"/>
  <c r="O7" i="100"/>
  <c r="N7" i="100"/>
  <c r="M7" i="100"/>
  <c r="L7" i="100"/>
  <c r="O6" i="100"/>
  <c r="N6" i="100"/>
  <c r="M6" i="100"/>
  <c r="L6" i="100"/>
  <c r="O8" i="98"/>
  <c r="N8" i="98"/>
  <c r="M8" i="98"/>
  <c r="L8" i="98"/>
  <c r="O7" i="98"/>
  <c r="N7" i="98"/>
  <c r="M7" i="98"/>
  <c r="L7" i="98"/>
  <c r="O6" i="98"/>
  <c r="N6" i="98"/>
  <c r="M6" i="98"/>
  <c r="L6" i="98"/>
  <c r="O8" i="95"/>
  <c r="N8" i="95"/>
  <c r="M8" i="95"/>
  <c r="L8" i="95"/>
  <c r="O7" i="95"/>
  <c r="N7" i="95"/>
  <c r="M7" i="95"/>
  <c r="L7" i="95"/>
  <c r="O6" i="95"/>
  <c r="N6" i="95"/>
  <c r="M6" i="95"/>
  <c r="L6" i="95"/>
  <c r="O8" i="92"/>
  <c r="N8" i="92"/>
  <c r="M8" i="92"/>
  <c r="L8" i="92"/>
  <c r="O7" i="92"/>
  <c r="N7" i="92"/>
  <c r="M7" i="92"/>
  <c r="L7" i="92"/>
  <c r="O6" i="92"/>
  <c r="N6" i="92"/>
  <c r="M6" i="92"/>
  <c r="L6" i="92"/>
  <c r="O8" i="90"/>
  <c r="N8" i="90"/>
  <c r="M8" i="90"/>
  <c r="L8" i="90"/>
  <c r="O7" i="90"/>
  <c r="N7" i="90"/>
  <c r="M7" i="90"/>
  <c r="L7" i="90"/>
  <c r="O6" i="90"/>
  <c r="N6" i="90"/>
  <c r="M6" i="90"/>
  <c r="L6" i="90"/>
  <c r="O8" i="88"/>
  <c r="N8" i="88"/>
  <c r="M8" i="88"/>
  <c r="L8" i="88"/>
  <c r="O7" i="88"/>
  <c r="N7" i="88"/>
  <c r="M7" i="88"/>
  <c r="L7" i="88"/>
  <c r="O6" i="88"/>
  <c r="N6" i="88"/>
  <c r="M6" i="88"/>
  <c r="L6" i="88"/>
  <c r="O8" i="86"/>
  <c r="N8" i="86"/>
  <c r="M8" i="86"/>
  <c r="L8" i="86"/>
  <c r="O7" i="86"/>
  <c r="N7" i="86"/>
  <c r="M7" i="86"/>
  <c r="L7" i="86"/>
  <c r="O6" i="86"/>
  <c r="N6" i="86"/>
  <c r="M6" i="86"/>
  <c r="L6" i="86"/>
  <c r="O8" i="84"/>
  <c r="N8" i="84"/>
  <c r="M8" i="84"/>
  <c r="L8" i="84"/>
  <c r="O7" i="84"/>
  <c r="N7" i="84"/>
  <c r="M7" i="84"/>
  <c r="L7" i="84"/>
  <c r="O6" i="84"/>
  <c r="N6" i="84"/>
  <c r="M6" i="84"/>
  <c r="L6" i="84"/>
  <c r="O8" i="82"/>
  <c r="N8" i="82"/>
  <c r="M8" i="82"/>
  <c r="L8" i="82"/>
  <c r="O7" i="82"/>
  <c r="N7" i="82"/>
  <c r="M7" i="82"/>
  <c r="L7" i="82"/>
  <c r="O6" i="82"/>
  <c r="N6" i="82"/>
  <c r="M6" i="82"/>
  <c r="L6" i="82"/>
  <c r="O8" i="80"/>
  <c r="N8" i="80"/>
  <c r="M8" i="80"/>
  <c r="L8" i="80"/>
  <c r="O7" i="80"/>
  <c r="N7" i="80"/>
  <c r="M7" i="80"/>
  <c r="L7" i="80"/>
  <c r="O6" i="80"/>
  <c r="N6" i="80"/>
  <c r="M6" i="80"/>
  <c r="L6" i="80"/>
  <c r="O8" i="78"/>
  <c r="N8" i="78"/>
  <c r="M8" i="78"/>
  <c r="L8" i="78"/>
  <c r="O7" i="78"/>
  <c r="N7" i="78"/>
  <c r="M7" i="78"/>
  <c r="L7" i="78"/>
  <c r="O6" i="78"/>
  <c r="N6" i="78"/>
  <c r="M6" i="78"/>
  <c r="L6" i="78"/>
  <c r="O8" i="76"/>
  <c r="N8" i="76"/>
  <c r="M8" i="76"/>
  <c r="L8" i="76"/>
  <c r="O7" i="76"/>
  <c r="N7" i="76"/>
  <c r="M7" i="76"/>
  <c r="L7" i="76"/>
  <c r="O6" i="76"/>
  <c r="N6" i="76"/>
  <c r="M6" i="76"/>
  <c r="L6" i="76"/>
  <c r="O8" i="74"/>
  <c r="N8" i="74"/>
  <c r="M8" i="74"/>
  <c r="L8" i="74"/>
  <c r="O7" i="74"/>
  <c r="N7" i="74"/>
  <c r="M7" i="74"/>
  <c r="L7" i="74"/>
  <c r="O6" i="74"/>
  <c r="N6" i="74"/>
  <c r="M6" i="74"/>
  <c r="L6" i="74"/>
  <c r="O8" i="72"/>
  <c r="N8" i="72"/>
  <c r="M8" i="72"/>
  <c r="L8" i="72"/>
  <c r="O7" i="72"/>
  <c r="N7" i="72"/>
  <c r="M7" i="72"/>
  <c r="L7" i="72"/>
  <c r="O6" i="72"/>
  <c r="N6" i="72"/>
  <c r="M6" i="72"/>
  <c r="L6" i="72"/>
  <c r="O8" i="22"/>
  <c r="N8" i="22"/>
  <c r="M8" i="22"/>
  <c r="L8" i="22"/>
  <c r="O7" i="22"/>
  <c r="N7" i="22"/>
  <c r="M7" i="22"/>
  <c r="L7" i="22"/>
  <c r="O6" i="22"/>
  <c r="N6" i="22"/>
  <c r="M6" i="22"/>
  <c r="L6" i="22"/>
  <c r="M6" i="20"/>
  <c r="L6" i="20"/>
  <c r="L6" i="16"/>
  <c r="O6" i="14"/>
  <c r="N6" i="14"/>
  <c r="M6" i="14"/>
  <c r="L6" i="14"/>
  <c r="M6" i="6"/>
  <c r="L6" i="6"/>
  <c r="AE79" i="115"/>
  <c r="AD79" i="115"/>
  <c r="AA79" i="115"/>
  <c r="Z79" i="115"/>
  <c r="M79" i="115"/>
  <c r="W78" i="115"/>
  <c r="H78" i="115"/>
  <c r="W77" i="115"/>
  <c r="H77" i="115"/>
  <c r="W76" i="115"/>
  <c r="H76" i="115"/>
  <c r="W75" i="115"/>
  <c r="H75" i="115"/>
  <c r="W74" i="115"/>
  <c r="W73" i="115"/>
  <c r="W72" i="115"/>
  <c r="W71" i="115"/>
  <c r="W70" i="115"/>
  <c r="N70" i="115" s="1"/>
  <c r="P70" i="115"/>
  <c r="O70" i="115"/>
  <c r="K70" i="115"/>
  <c r="K79" i="115" s="1"/>
  <c r="J70" i="115"/>
  <c r="J79" i="115" s="1"/>
  <c r="F70" i="115"/>
  <c r="H70" i="115" s="1"/>
  <c r="AE69" i="115"/>
  <c r="I21" i="114" s="1"/>
  <c r="AD69" i="115"/>
  <c r="AA69" i="115"/>
  <c r="AA2" i="115" s="1"/>
  <c r="Z69" i="115"/>
  <c r="M69" i="115"/>
  <c r="I22" i="114" s="1"/>
  <c r="W68" i="115"/>
  <c r="H68" i="115"/>
  <c r="W67" i="115"/>
  <c r="W66" i="115"/>
  <c r="W65" i="115"/>
  <c r="W64" i="115"/>
  <c r="W63" i="115"/>
  <c r="V63" i="115"/>
  <c r="P63" i="115"/>
  <c r="N63" i="115"/>
  <c r="O63" i="115" s="1"/>
  <c r="L63" i="115"/>
  <c r="K63" i="115"/>
  <c r="J63" i="115"/>
  <c r="F63" i="115"/>
  <c r="H63" i="115" s="1"/>
  <c r="W62" i="115"/>
  <c r="V62" i="115"/>
  <c r="P62" i="115"/>
  <c r="N62" i="115"/>
  <c r="O62" i="115" s="1"/>
  <c r="L62" i="115"/>
  <c r="K62" i="115"/>
  <c r="J62" i="115"/>
  <c r="H62" i="115"/>
  <c r="F62" i="115"/>
  <c r="W61" i="115"/>
  <c r="N61" i="115" s="1"/>
  <c r="V61" i="115"/>
  <c r="P61" i="115"/>
  <c r="K61" i="115"/>
  <c r="L61" i="115" s="1"/>
  <c r="J61" i="115"/>
  <c r="F61" i="115"/>
  <c r="H61" i="115" s="1"/>
  <c r="W60" i="115"/>
  <c r="N60" i="115" s="1"/>
  <c r="V60" i="115"/>
  <c r="K60" i="115"/>
  <c r="L60" i="115" s="1"/>
  <c r="J60" i="115"/>
  <c r="P60" i="115" s="1"/>
  <c r="F60" i="115"/>
  <c r="H60" i="115" s="1"/>
  <c r="AG59" i="115"/>
  <c r="AF59" i="115"/>
  <c r="W59" i="115"/>
  <c r="N59" i="115"/>
  <c r="K59" i="115"/>
  <c r="L59" i="115" s="1"/>
  <c r="L69" i="115" s="1"/>
  <c r="J59" i="115"/>
  <c r="P59" i="115" s="1"/>
  <c r="H59" i="115"/>
  <c r="F59" i="115"/>
  <c r="AE58" i="115"/>
  <c r="AD58" i="115"/>
  <c r="AA58" i="115"/>
  <c r="Z58" i="115"/>
  <c r="M58" i="115"/>
  <c r="W57" i="115"/>
  <c r="W56" i="115"/>
  <c r="W55" i="115"/>
  <c r="W54" i="115"/>
  <c r="W53" i="115"/>
  <c r="N53" i="115" s="1"/>
  <c r="K53" i="115"/>
  <c r="J53" i="115"/>
  <c r="P53" i="115" s="1"/>
  <c r="F53" i="115"/>
  <c r="H53" i="115" s="1"/>
  <c r="W52" i="115"/>
  <c r="N52" i="115" s="1"/>
  <c r="V52" i="115"/>
  <c r="K52" i="115"/>
  <c r="L52" i="115" s="1"/>
  <c r="J52" i="115"/>
  <c r="P52" i="115" s="1"/>
  <c r="F52" i="115"/>
  <c r="H52" i="115" s="1"/>
  <c r="AG51" i="115"/>
  <c r="AF51" i="115"/>
  <c r="W51" i="115"/>
  <c r="V51" i="115"/>
  <c r="N51" i="115"/>
  <c r="O51" i="115" s="1"/>
  <c r="K51" i="115"/>
  <c r="L51" i="115" s="1"/>
  <c r="J51" i="115"/>
  <c r="P51" i="115" s="1"/>
  <c r="F51" i="115"/>
  <c r="H51" i="115" s="1"/>
  <c r="W50" i="115"/>
  <c r="V50" i="115"/>
  <c r="N50" i="115"/>
  <c r="K50" i="115"/>
  <c r="J50" i="115"/>
  <c r="P50" i="115" s="1"/>
  <c r="H50" i="115"/>
  <c r="F50" i="115"/>
  <c r="W49" i="115"/>
  <c r="P49" i="115"/>
  <c r="N49" i="115"/>
  <c r="L49" i="115"/>
  <c r="K49" i="115"/>
  <c r="J49" i="115"/>
  <c r="H49" i="115"/>
  <c r="F49" i="115"/>
  <c r="AE48" i="115"/>
  <c r="G21" i="114" s="1"/>
  <c r="AD48" i="115"/>
  <c r="G20" i="114" s="1"/>
  <c r="AA48" i="115"/>
  <c r="G19" i="114" s="1"/>
  <c r="Z48" i="115"/>
  <c r="W48" i="115"/>
  <c r="M48" i="115"/>
  <c r="P48" i="115" s="1"/>
  <c r="K48" i="115"/>
  <c r="J48" i="115"/>
  <c r="W47" i="115"/>
  <c r="H47" i="115"/>
  <c r="W46" i="115"/>
  <c r="W45" i="115"/>
  <c r="W44" i="115"/>
  <c r="W43" i="115"/>
  <c r="W42" i="115"/>
  <c r="W41" i="115"/>
  <c r="P41" i="115"/>
  <c r="N41" i="115"/>
  <c r="K41" i="115"/>
  <c r="L41" i="115" s="1"/>
  <c r="F41" i="115"/>
  <c r="H41" i="115" s="1"/>
  <c r="W40" i="115"/>
  <c r="N40" i="115" s="1"/>
  <c r="V40" i="115"/>
  <c r="P40" i="115"/>
  <c r="O40" i="115"/>
  <c r="L40" i="115"/>
  <c r="K40" i="115"/>
  <c r="H40" i="115"/>
  <c r="F40" i="115"/>
  <c r="W39" i="115"/>
  <c r="N39" i="115" s="1"/>
  <c r="V39" i="115"/>
  <c r="P39" i="115"/>
  <c r="K39" i="115"/>
  <c r="L39" i="115" s="1"/>
  <c r="J39" i="115"/>
  <c r="F39" i="115"/>
  <c r="H39" i="115" s="1"/>
  <c r="W38" i="115"/>
  <c r="N38" i="115" s="1"/>
  <c r="K38" i="115"/>
  <c r="L38" i="115" s="1"/>
  <c r="J38" i="115"/>
  <c r="P38" i="115" s="1"/>
  <c r="F38" i="115"/>
  <c r="H38" i="115" s="1"/>
  <c r="AE37" i="115"/>
  <c r="AD37" i="115"/>
  <c r="AA37" i="115"/>
  <c r="Z37" i="115"/>
  <c r="F18" i="114" s="1"/>
  <c r="M37" i="115"/>
  <c r="K37" i="115"/>
  <c r="W36" i="115"/>
  <c r="H36" i="115"/>
  <c r="W35" i="115"/>
  <c r="W34" i="115"/>
  <c r="W33" i="115"/>
  <c r="W32" i="115"/>
  <c r="W31" i="115"/>
  <c r="N31" i="115" s="1"/>
  <c r="V31" i="115"/>
  <c r="P31" i="115"/>
  <c r="K31" i="115"/>
  <c r="L31" i="115" s="1"/>
  <c r="F31" i="115"/>
  <c r="H31" i="115" s="1"/>
  <c r="W30" i="115"/>
  <c r="N30" i="115" s="1"/>
  <c r="V30" i="115"/>
  <c r="P30" i="115"/>
  <c r="K30" i="115"/>
  <c r="L30" i="115" s="1"/>
  <c r="F30" i="115"/>
  <c r="H30" i="115" s="1"/>
  <c r="W29" i="115"/>
  <c r="N29" i="115" s="1"/>
  <c r="V29" i="115"/>
  <c r="K29" i="115"/>
  <c r="L29" i="115" s="1"/>
  <c r="J29" i="115"/>
  <c r="P29" i="115" s="1"/>
  <c r="F29" i="115"/>
  <c r="H29" i="115" s="1"/>
  <c r="AG28" i="115"/>
  <c r="W28" i="115"/>
  <c r="V28" i="115"/>
  <c r="N28" i="115"/>
  <c r="AF28" i="115" s="1"/>
  <c r="K28" i="115"/>
  <c r="J28" i="115"/>
  <c r="P28" i="115" s="1"/>
  <c r="H28" i="115"/>
  <c r="F28" i="115"/>
  <c r="W27" i="115"/>
  <c r="P27" i="115"/>
  <c r="N27" i="115"/>
  <c r="L27" i="115"/>
  <c r="K27" i="115"/>
  <c r="J27" i="115"/>
  <c r="F27" i="115"/>
  <c r="H27" i="115" s="1"/>
  <c r="AE26" i="115"/>
  <c r="AD26" i="115"/>
  <c r="E20" i="114" s="1"/>
  <c r="AA26" i="115"/>
  <c r="Z26" i="115"/>
  <c r="E18" i="114" s="1"/>
  <c r="M26" i="115"/>
  <c r="W25" i="115"/>
  <c r="H25" i="115"/>
  <c r="W24" i="115"/>
  <c r="H24" i="115"/>
  <c r="W23" i="115"/>
  <c r="W22" i="115"/>
  <c r="W21" i="115"/>
  <c r="V21" i="115"/>
  <c r="N21" i="115"/>
  <c r="O21" i="115" s="1"/>
  <c r="K21" i="115"/>
  <c r="J21" i="115"/>
  <c r="P21" i="115" s="1"/>
  <c r="H21" i="115"/>
  <c r="F21" i="115"/>
  <c r="W20" i="115"/>
  <c r="V20" i="115"/>
  <c r="N20" i="115"/>
  <c r="O20" i="115" s="1"/>
  <c r="K20" i="115"/>
  <c r="L20" i="115" s="1"/>
  <c r="J20" i="115"/>
  <c r="P20" i="115" s="1"/>
  <c r="H20" i="115"/>
  <c r="F20" i="115"/>
  <c r="W19" i="115"/>
  <c r="V19" i="115"/>
  <c r="P19" i="115"/>
  <c r="N19" i="115"/>
  <c r="O19" i="115" s="1"/>
  <c r="K19" i="115"/>
  <c r="L19" i="115" s="1"/>
  <c r="J19" i="115"/>
  <c r="H19" i="115"/>
  <c r="F19" i="115"/>
  <c r="W18" i="115"/>
  <c r="V18" i="115"/>
  <c r="P18" i="115"/>
  <c r="N18" i="115"/>
  <c r="L18" i="115"/>
  <c r="K18" i="115"/>
  <c r="J18" i="115"/>
  <c r="H18" i="115"/>
  <c r="F18" i="115"/>
  <c r="W17" i="115"/>
  <c r="N17" i="115" s="1"/>
  <c r="V17" i="115"/>
  <c r="P17" i="115"/>
  <c r="K17" i="115"/>
  <c r="L17" i="115" s="1"/>
  <c r="J17" i="115"/>
  <c r="F17" i="115"/>
  <c r="H17" i="115" s="1"/>
  <c r="W16" i="115"/>
  <c r="N16" i="115" s="1"/>
  <c r="K16" i="115"/>
  <c r="J16" i="115"/>
  <c r="J26" i="115" s="1"/>
  <c r="F16" i="115"/>
  <c r="H16" i="115" s="1"/>
  <c r="AE15" i="115"/>
  <c r="AD15" i="115"/>
  <c r="AA15" i="115"/>
  <c r="Z15" i="115"/>
  <c r="Z2" i="115" s="1"/>
  <c r="M15" i="115"/>
  <c r="I1" i="115" s="1"/>
  <c r="K15" i="115"/>
  <c r="W14" i="115"/>
  <c r="W13" i="115"/>
  <c r="W12" i="115"/>
  <c r="AG11" i="115"/>
  <c r="AF11" i="115"/>
  <c r="W11" i="115"/>
  <c r="AG10" i="115"/>
  <c r="AF10" i="115"/>
  <c r="W10" i="115"/>
  <c r="AG9" i="115"/>
  <c r="AF9" i="115"/>
  <c r="W9" i="115"/>
  <c r="W8" i="115"/>
  <c r="N8" i="115"/>
  <c r="AG8" i="115" s="1"/>
  <c r="K8" i="115"/>
  <c r="J8" i="115"/>
  <c r="P8" i="115" s="1"/>
  <c r="H8" i="115"/>
  <c r="F8" i="115"/>
  <c r="W7" i="115"/>
  <c r="V7" i="115"/>
  <c r="P7" i="115"/>
  <c r="N7" i="115"/>
  <c r="L7" i="115"/>
  <c r="K7" i="115"/>
  <c r="J7" i="115"/>
  <c r="F7" i="115"/>
  <c r="H7" i="115" s="1"/>
  <c r="W6" i="115"/>
  <c r="N6" i="115" s="1"/>
  <c r="V6" i="115"/>
  <c r="P6" i="115"/>
  <c r="O6" i="115"/>
  <c r="K6" i="115"/>
  <c r="J6" i="115"/>
  <c r="L6" i="115" s="1"/>
  <c r="F6" i="115"/>
  <c r="H6" i="115" s="1"/>
  <c r="W5" i="115"/>
  <c r="N5" i="115" s="1"/>
  <c r="K5" i="115"/>
  <c r="L5" i="115" s="1"/>
  <c r="J5" i="115"/>
  <c r="J15" i="115" s="1"/>
  <c r="F5" i="115"/>
  <c r="H5" i="115" s="1"/>
  <c r="AE2" i="115"/>
  <c r="AD2" i="115"/>
  <c r="I2" i="115"/>
  <c r="E1" i="115"/>
  <c r="J20" i="114"/>
  <c r="I20" i="114"/>
  <c r="J18" i="114"/>
  <c r="I18" i="114"/>
  <c r="F19" i="114"/>
  <c r="E21" i="114"/>
  <c r="D21" i="114"/>
  <c r="G3" i="114"/>
  <c r="F22" i="114"/>
  <c r="D22" i="114"/>
  <c r="J21" i="114"/>
  <c r="H21" i="114"/>
  <c r="F21" i="114"/>
  <c r="H20" i="114"/>
  <c r="F20" i="114"/>
  <c r="D20" i="114"/>
  <c r="J19" i="114"/>
  <c r="H19" i="114"/>
  <c r="E19" i="114"/>
  <c r="H18" i="114"/>
  <c r="G18" i="114"/>
  <c r="J16" i="114"/>
  <c r="I16" i="114"/>
  <c r="H16" i="114"/>
  <c r="G16" i="114"/>
  <c r="F16" i="114"/>
  <c r="E16" i="114"/>
  <c r="D16" i="114"/>
  <c r="O9" i="117" l="1"/>
  <c r="Q9" i="117" s="1"/>
  <c r="AF9" i="117"/>
  <c r="AG9" i="117"/>
  <c r="AF62" i="117"/>
  <c r="AG62" i="117"/>
  <c r="Q52" i="117"/>
  <c r="R52" i="117"/>
  <c r="AF52" i="117"/>
  <c r="AG52" i="117"/>
  <c r="K58" i="117"/>
  <c r="R41" i="117"/>
  <c r="L41" i="117"/>
  <c r="L48" i="117" s="1"/>
  <c r="G13" i="116" s="1"/>
  <c r="AF41" i="117"/>
  <c r="Q31" i="117"/>
  <c r="R31" i="117"/>
  <c r="AG31" i="117"/>
  <c r="K37" i="117"/>
  <c r="R30" i="117"/>
  <c r="P37" i="117"/>
  <c r="R8" i="117"/>
  <c r="Q19" i="117"/>
  <c r="AG19" i="117"/>
  <c r="J26" i="117"/>
  <c r="P26" i="117" s="1"/>
  <c r="Q21" i="117"/>
  <c r="R21" i="117"/>
  <c r="F22" i="116"/>
  <c r="I1" i="117"/>
  <c r="P15" i="117"/>
  <c r="R18" i="117"/>
  <c r="Q18" i="117"/>
  <c r="AG51" i="117"/>
  <c r="AF51" i="117"/>
  <c r="O51" i="117"/>
  <c r="L15" i="117"/>
  <c r="D13" i="116" s="1"/>
  <c r="N15" i="117"/>
  <c r="AG5" i="117"/>
  <c r="AF5" i="117"/>
  <c r="O5" i="117"/>
  <c r="AG60" i="117"/>
  <c r="AF60" i="117"/>
  <c r="O60" i="117"/>
  <c r="AF7" i="117"/>
  <c r="O7" i="117"/>
  <c r="AG7" i="117"/>
  <c r="L26" i="117"/>
  <c r="O50" i="117"/>
  <c r="AG50" i="117"/>
  <c r="AF50" i="117"/>
  <c r="N79" i="117"/>
  <c r="AG70" i="117"/>
  <c r="AF70" i="117"/>
  <c r="O70" i="117"/>
  <c r="R27" i="117"/>
  <c r="Q27" i="117"/>
  <c r="O37" i="117"/>
  <c r="O61" i="117"/>
  <c r="AG61" i="117"/>
  <c r="AF61" i="117"/>
  <c r="G1" i="117"/>
  <c r="G2" i="117" s="1"/>
  <c r="O38" i="117"/>
  <c r="N48" i="117"/>
  <c r="AG38" i="117"/>
  <c r="AF38" i="117"/>
  <c r="N58" i="117"/>
  <c r="AG49" i="117"/>
  <c r="AF49" i="117"/>
  <c r="O49" i="117"/>
  <c r="O28" i="117"/>
  <c r="O6" i="117"/>
  <c r="K26" i="117"/>
  <c r="O40" i="117"/>
  <c r="J69" i="117"/>
  <c r="P69" i="117" s="1"/>
  <c r="P79" i="117"/>
  <c r="AD2" i="117"/>
  <c r="O17" i="117"/>
  <c r="O29" i="117"/>
  <c r="O59" i="117"/>
  <c r="K69" i="117"/>
  <c r="L6" i="117"/>
  <c r="O16" i="117"/>
  <c r="P17" i="117"/>
  <c r="P29" i="117"/>
  <c r="N37" i="117"/>
  <c r="L49" i="117"/>
  <c r="L58" i="117" s="1"/>
  <c r="H13" i="116" s="1"/>
  <c r="L60" i="117"/>
  <c r="L69" i="117" s="1"/>
  <c r="N26" i="117"/>
  <c r="AG27" i="117"/>
  <c r="O39" i="117"/>
  <c r="AF27" i="117"/>
  <c r="AF16" i="117"/>
  <c r="AF39" i="117"/>
  <c r="J58" i="117"/>
  <c r="P58" i="117" s="1"/>
  <c r="N69" i="117"/>
  <c r="G22" i="116"/>
  <c r="L29" i="117"/>
  <c r="L37" i="117" s="1"/>
  <c r="AF28" i="117"/>
  <c r="AF6" i="117"/>
  <c r="AF40" i="117"/>
  <c r="J48" i="117"/>
  <c r="P48" i="117" s="1"/>
  <c r="AF17" i="117"/>
  <c r="AF29" i="117"/>
  <c r="K48" i="117"/>
  <c r="AF59" i="117"/>
  <c r="I19" i="116"/>
  <c r="M6" i="116" s="1"/>
  <c r="E22" i="116"/>
  <c r="O6" i="116"/>
  <c r="N6" i="116"/>
  <c r="D18" i="116"/>
  <c r="L6" i="116" s="1"/>
  <c r="H22" i="116"/>
  <c r="J13" i="116"/>
  <c r="R62" i="115"/>
  <c r="Q62" i="115"/>
  <c r="L15" i="115"/>
  <c r="O38" i="115"/>
  <c r="AF38" i="115"/>
  <c r="N48" i="115"/>
  <c r="AG38" i="115"/>
  <c r="R40" i="115"/>
  <c r="Q40" i="115"/>
  <c r="AF53" i="115"/>
  <c r="O53" i="115"/>
  <c r="AG53" i="115"/>
  <c r="K26" i="115"/>
  <c r="N37" i="115"/>
  <c r="AG27" i="115"/>
  <c r="AF27" i="115"/>
  <c r="O27" i="115"/>
  <c r="P26" i="115"/>
  <c r="AG50" i="115"/>
  <c r="AG40" i="115"/>
  <c r="AF40" i="115"/>
  <c r="J58" i="115"/>
  <c r="N15" i="115"/>
  <c r="O5" i="115"/>
  <c r="AG5" i="115"/>
  <c r="AF5" i="115"/>
  <c r="K58" i="115"/>
  <c r="L50" i="115"/>
  <c r="R19" i="115"/>
  <c r="Q19" i="115"/>
  <c r="AG18" i="115"/>
  <c r="AF18" i="115"/>
  <c r="L21" i="115"/>
  <c r="R21" i="115" s="1"/>
  <c r="AG29" i="115"/>
  <c r="O29" i="115"/>
  <c r="AG31" i="115"/>
  <c r="O31" i="115"/>
  <c r="AF31" i="115"/>
  <c r="O79" i="115"/>
  <c r="O18" i="115"/>
  <c r="AF29" i="115"/>
  <c r="L58" i="115"/>
  <c r="P58" i="115"/>
  <c r="H22" i="114"/>
  <c r="AG41" i="115"/>
  <c r="AF41" i="115"/>
  <c r="AG49" i="115"/>
  <c r="AF49" i="115"/>
  <c r="O52" i="115"/>
  <c r="AG52" i="115"/>
  <c r="AF52" i="115"/>
  <c r="N58" i="115"/>
  <c r="AG70" i="115"/>
  <c r="AF70" i="115"/>
  <c r="L28" i="115"/>
  <c r="L37" i="115" s="1"/>
  <c r="F13" i="114" s="1"/>
  <c r="O39" i="115"/>
  <c r="AG39" i="115"/>
  <c r="AF39" i="115"/>
  <c r="O41" i="115"/>
  <c r="O49" i="115"/>
  <c r="O61" i="115"/>
  <c r="AG61" i="115"/>
  <c r="AF61" i="115"/>
  <c r="J22" i="114"/>
  <c r="P79" i="115"/>
  <c r="R6" i="115"/>
  <c r="Q6" i="115"/>
  <c r="N79" i="115"/>
  <c r="AG60" i="115"/>
  <c r="O60" i="115"/>
  <c r="AF60" i="115"/>
  <c r="AG62" i="115"/>
  <c r="AF62" i="115"/>
  <c r="AG16" i="115"/>
  <c r="N26" i="115"/>
  <c r="O16" i="115"/>
  <c r="AF16" i="115"/>
  <c r="N69" i="115"/>
  <c r="O7" i="115"/>
  <c r="AG7" i="115"/>
  <c r="AF7" i="115"/>
  <c r="Q51" i="115"/>
  <c r="R51" i="115"/>
  <c r="O17" i="115"/>
  <c r="AG17" i="115"/>
  <c r="AF17" i="115"/>
  <c r="R20" i="115"/>
  <c r="Q20" i="115"/>
  <c r="J37" i="115"/>
  <c r="P37" i="115" s="1"/>
  <c r="O30" i="115"/>
  <c r="AG30" i="115"/>
  <c r="AF30" i="115"/>
  <c r="L48" i="115"/>
  <c r="G13" i="114" s="1"/>
  <c r="Q63" i="115"/>
  <c r="R63" i="115"/>
  <c r="G1" i="115"/>
  <c r="G2" i="115" s="1"/>
  <c r="AF6" i="115"/>
  <c r="AG6" i="115"/>
  <c r="L8" i="115"/>
  <c r="J69" i="115"/>
  <c r="P69" i="115" s="1"/>
  <c r="K69" i="115"/>
  <c r="P15" i="115"/>
  <c r="O59" i="115"/>
  <c r="O50" i="115"/>
  <c r="O28" i="115"/>
  <c r="L16" i="115"/>
  <c r="L26" i="115" s="1"/>
  <c r="E13" i="114" s="1"/>
  <c r="D18" i="114"/>
  <c r="AF8" i="115"/>
  <c r="P16" i="115"/>
  <c r="AF19" i="115"/>
  <c r="O8" i="115"/>
  <c r="L53" i="115"/>
  <c r="P5" i="115"/>
  <c r="AG19" i="115"/>
  <c r="AF50" i="115"/>
  <c r="L70" i="115"/>
  <c r="L79" i="115" s="1"/>
  <c r="I13" i="114"/>
  <c r="J6" i="114" s="1"/>
  <c r="I19" i="114"/>
  <c r="E22" i="114"/>
  <c r="D19" i="114"/>
  <c r="G22" i="114"/>
  <c r="J13" i="114"/>
  <c r="R9" i="117" l="1"/>
  <c r="AF48" i="117"/>
  <c r="AG48" i="117"/>
  <c r="AH38" i="117" s="1"/>
  <c r="Q48" i="117"/>
  <c r="Q37" i="117"/>
  <c r="AF37" i="117"/>
  <c r="AG37" i="117"/>
  <c r="AH27" i="117" s="1"/>
  <c r="O48" i="117"/>
  <c r="R48" i="117" s="1"/>
  <c r="S38" i="117" s="1"/>
  <c r="R38" i="117"/>
  <c r="Q38" i="117"/>
  <c r="R40" i="117"/>
  <c r="Q40" i="117"/>
  <c r="Q69" i="117"/>
  <c r="AG69" i="117"/>
  <c r="AH59" i="117" s="1"/>
  <c r="AF69" i="117"/>
  <c r="AF15" i="117"/>
  <c r="AG15" i="117"/>
  <c r="AH5" i="117" s="1"/>
  <c r="O26" i="117"/>
  <c r="R16" i="117"/>
  <c r="Q16" i="117"/>
  <c r="Q6" i="117"/>
  <c r="R6" i="117"/>
  <c r="Q50" i="117"/>
  <c r="R50" i="117"/>
  <c r="R28" i="117"/>
  <c r="Q28" i="117"/>
  <c r="Q61" i="117"/>
  <c r="R61" i="117"/>
  <c r="Q51" i="117"/>
  <c r="R51" i="117"/>
  <c r="AG79" i="117"/>
  <c r="AH70" i="117" s="1"/>
  <c r="AF79" i="117"/>
  <c r="Q79" i="117"/>
  <c r="R49" i="117"/>
  <c r="Q49" i="117"/>
  <c r="O58" i="117"/>
  <c r="R58" i="117" s="1"/>
  <c r="S49" i="117" s="1"/>
  <c r="O15" i="117"/>
  <c r="R5" i="117"/>
  <c r="Q5" i="117"/>
  <c r="O69" i="117"/>
  <c r="R69" i="117" s="1"/>
  <c r="S59" i="117" s="1"/>
  <c r="R59" i="117"/>
  <c r="Q59" i="117"/>
  <c r="R37" i="117"/>
  <c r="S27" i="117" s="1"/>
  <c r="R7" i="117"/>
  <c r="Q7" i="117"/>
  <c r="R39" i="117"/>
  <c r="Q39" i="117"/>
  <c r="R29" i="117"/>
  <c r="Q29" i="117"/>
  <c r="R17" i="117"/>
  <c r="Q17" i="117"/>
  <c r="AG58" i="117"/>
  <c r="AH49" i="117" s="1"/>
  <c r="AF58" i="117"/>
  <c r="Q58" i="117"/>
  <c r="R60" i="117"/>
  <c r="Q60" i="117"/>
  <c r="AG26" i="117"/>
  <c r="AH16" i="117" s="1"/>
  <c r="AF26" i="117"/>
  <c r="O79" i="117"/>
  <c r="R79" i="117" s="1"/>
  <c r="S70" i="117" s="1"/>
  <c r="J15" i="116" s="1"/>
  <c r="R70" i="117"/>
  <c r="Q70" i="117"/>
  <c r="J3" i="116"/>
  <c r="F13" i="116"/>
  <c r="I13" i="116"/>
  <c r="J6" i="116" s="1"/>
  <c r="E13" i="116"/>
  <c r="O69" i="115"/>
  <c r="R69" i="115" s="1"/>
  <c r="S59" i="115" s="1"/>
  <c r="Q59" i="115"/>
  <c r="R59" i="115"/>
  <c r="R7" i="115"/>
  <c r="Q7" i="115"/>
  <c r="AG15" i="115"/>
  <c r="AH5" i="115" s="1"/>
  <c r="AF15" i="115"/>
  <c r="Q69" i="115"/>
  <c r="AF69" i="115"/>
  <c r="AG69" i="115"/>
  <c r="AH59" i="115" s="1"/>
  <c r="R53" i="115"/>
  <c r="Q53" i="115"/>
  <c r="R8" i="115"/>
  <c r="Q8" i="115"/>
  <c r="R29" i="115"/>
  <c r="Q29" i="115"/>
  <c r="R30" i="115"/>
  <c r="Q30" i="115"/>
  <c r="Q18" i="115"/>
  <c r="R18" i="115"/>
  <c r="R52" i="115"/>
  <c r="Q52" i="115"/>
  <c r="R17" i="115"/>
  <c r="Q17" i="115"/>
  <c r="R49" i="115"/>
  <c r="Q49" i="115"/>
  <c r="O58" i="115"/>
  <c r="R58" i="115" s="1"/>
  <c r="S49" i="115" s="1"/>
  <c r="R70" i="115"/>
  <c r="R27" i="115"/>
  <c r="O37" i="115"/>
  <c r="R37" i="115" s="1"/>
  <c r="S27" i="115" s="1"/>
  <c r="Q27" i="115"/>
  <c r="R16" i="115"/>
  <c r="O26" i="115"/>
  <c r="Q16" i="115"/>
  <c r="AG58" i="115"/>
  <c r="AH49" i="115" s="1"/>
  <c r="AF58" i="115"/>
  <c r="Q58" i="115"/>
  <c r="Q21" i="115"/>
  <c r="AF26" i="115"/>
  <c r="AG26" i="115"/>
  <c r="AH16" i="115" s="1"/>
  <c r="R61" i="115"/>
  <c r="Q61" i="115"/>
  <c r="R79" i="115"/>
  <c r="S70" i="115" s="1"/>
  <c r="J15" i="114" s="1"/>
  <c r="Q48" i="115"/>
  <c r="AF48" i="115"/>
  <c r="AG48" i="115"/>
  <c r="AH38" i="115" s="1"/>
  <c r="J14" i="114"/>
  <c r="Q41" i="115"/>
  <c r="R41" i="115"/>
  <c r="Q70" i="115"/>
  <c r="R38" i="115"/>
  <c r="Q38" i="115"/>
  <c r="O48" i="115"/>
  <c r="R48" i="115" s="1"/>
  <c r="S38" i="115" s="1"/>
  <c r="Q60" i="115"/>
  <c r="R60" i="115"/>
  <c r="R28" i="115"/>
  <c r="Q28" i="115"/>
  <c r="Q31" i="115"/>
  <c r="R31" i="115"/>
  <c r="Q37" i="115"/>
  <c r="AG37" i="115"/>
  <c r="AH27" i="115" s="1"/>
  <c r="AF37" i="115"/>
  <c r="R50" i="115"/>
  <c r="Q50" i="115"/>
  <c r="AG79" i="115"/>
  <c r="AH70" i="115" s="1"/>
  <c r="AF79" i="115"/>
  <c r="Q79" i="115"/>
  <c r="R39" i="115"/>
  <c r="Q39" i="115"/>
  <c r="Q5" i="115"/>
  <c r="O15" i="115"/>
  <c r="R5" i="115"/>
  <c r="D13" i="114"/>
  <c r="H13" i="114"/>
  <c r="J3" i="114"/>
  <c r="I14" i="116" l="1"/>
  <c r="I15" i="116" s="1"/>
  <c r="H6" i="116"/>
  <c r="Q15" i="117"/>
  <c r="E2" i="117"/>
  <c r="R15" i="117"/>
  <c r="S5" i="117" s="1"/>
  <c r="R26" i="117"/>
  <c r="S16" i="117" s="1"/>
  <c r="Q26" i="117"/>
  <c r="J14" i="116"/>
  <c r="E14" i="116"/>
  <c r="E15" i="116" s="1"/>
  <c r="G14" i="116"/>
  <c r="G15" i="116" s="1"/>
  <c r="H14" i="116"/>
  <c r="H15" i="116" s="1"/>
  <c r="F6" i="116"/>
  <c r="D14" i="116"/>
  <c r="F14" i="116"/>
  <c r="F15" i="116" s="1"/>
  <c r="Q15" i="115"/>
  <c r="E2" i="115"/>
  <c r="R15" i="115"/>
  <c r="S5" i="115" s="1"/>
  <c r="Q26" i="115"/>
  <c r="R26" i="115"/>
  <c r="S16" i="115" s="1"/>
  <c r="D14" i="114"/>
  <c r="D15" i="114"/>
  <c r="H14" i="114"/>
  <c r="H15" i="114" s="1"/>
  <c r="H6" i="114"/>
  <c r="F6" i="114"/>
  <c r="G14" i="114"/>
  <c r="G15" i="114" s="1"/>
  <c r="F14" i="114"/>
  <c r="F15" i="114" s="1"/>
  <c r="E14" i="114"/>
  <c r="E15" i="114" s="1"/>
  <c r="I14" i="114"/>
  <c r="J7" i="116" l="1"/>
  <c r="J8" i="116" s="1"/>
  <c r="H7" i="116"/>
  <c r="H8" i="116" s="1"/>
  <c r="D15" i="116"/>
  <c r="F7" i="116"/>
  <c r="F8" i="116" s="1"/>
  <c r="J7" i="114"/>
  <c r="J8" i="114" s="1"/>
  <c r="I15" i="114"/>
  <c r="F7" i="114"/>
  <c r="F8" i="114" s="1"/>
  <c r="H7" i="114"/>
  <c r="H8" i="114" s="1"/>
  <c r="V41" i="113" l="1"/>
  <c r="V8" i="113"/>
  <c r="P8" i="113"/>
  <c r="H8" i="113"/>
  <c r="J8" i="113"/>
  <c r="K8" i="113"/>
  <c r="L8" i="113"/>
  <c r="F8" i="113"/>
  <c r="K6" i="113"/>
  <c r="L6" i="113" s="1"/>
  <c r="J6" i="113"/>
  <c r="P6" i="113" s="1"/>
  <c r="F6" i="113"/>
  <c r="H6" i="113" s="1"/>
  <c r="N19" i="113"/>
  <c r="O19" i="113" s="1"/>
  <c r="P19" i="113"/>
  <c r="P20" i="113"/>
  <c r="H19" i="113"/>
  <c r="J19" i="113"/>
  <c r="K19" i="113"/>
  <c r="L19" i="113" s="1"/>
  <c r="H20" i="113"/>
  <c r="J20" i="113"/>
  <c r="K20" i="113"/>
  <c r="L20" i="113"/>
  <c r="F19" i="113"/>
  <c r="F20" i="113"/>
  <c r="N30" i="113"/>
  <c r="O30" i="113"/>
  <c r="Q30" i="113" s="1"/>
  <c r="P30" i="113"/>
  <c r="R30" i="113"/>
  <c r="N31" i="113"/>
  <c r="O31" i="113"/>
  <c r="P31" i="113"/>
  <c r="Q31" i="113"/>
  <c r="R31" i="113"/>
  <c r="H30" i="113"/>
  <c r="J30" i="113"/>
  <c r="K30" i="113"/>
  <c r="AF30" i="113" s="1"/>
  <c r="H31" i="113"/>
  <c r="J31" i="113"/>
  <c r="K31" i="113"/>
  <c r="L31" i="113"/>
  <c r="F30" i="113"/>
  <c r="F31" i="113"/>
  <c r="N41" i="113"/>
  <c r="O41" i="113"/>
  <c r="P41" i="113"/>
  <c r="H41" i="113"/>
  <c r="K41" i="113"/>
  <c r="AG41" i="113" s="1"/>
  <c r="L41" i="113"/>
  <c r="F41" i="113"/>
  <c r="P52" i="113"/>
  <c r="H52" i="113"/>
  <c r="J52" i="113"/>
  <c r="K52" i="113"/>
  <c r="L52" i="113"/>
  <c r="F52" i="113"/>
  <c r="V62" i="113"/>
  <c r="V63" i="113"/>
  <c r="N62" i="113"/>
  <c r="O62" i="113"/>
  <c r="P62" i="113"/>
  <c r="Q62" i="113"/>
  <c r="R62" i="113"/>
  <c r="N63" i="113"/>
  <c r="O63" i="113"/>
  <c r="P63" i="113"/>
  <c r="Q63" i="113"/>
  <c r="R63" i="113"/>
  <c r="H62" i="113"/>
  <c r="J62" i="113"/>
  <c r="K62" i="113"/>
  <c r="L62" i="113"/>
  <c r="H63" i="113"/>
  <c r="J63" i="113"/>
  <c r="K63" i="113"/>
  <c r="L63" i="113"/>
  <c r="F62" i="113"/>
  <c r="F63" i="113"/>
  <c r="AE79" i="113"/>
  <c r="J21" i="112" s="1"/>
  <c r="AD79" i="113"/>
  <c r="J20" i="112" s="1"/>
  <c r="AA79" i="113"/>
  <c r="Z79" i="113"/>
  <c r="M79" i="113"/>
  <c r="J22" i="112" s="1"/>
  <c r="W78" i="113"/>
  <c r="H78" i="113"/>
  <c r="W77" i="113"/>
  <c r="H77" i="113"/>
  <c r="W76" i="113"/>
  <c r="H76" i="113"/>
  <c r="W75" i="113"/>
  <c r="H75" i="113"/>
  <c r="W74" i="113"/>
  <c r="W73" i="113"/>
  <c r="W72" i="113"/>
  <c r="W71" i="113"/>
  <c r="W70" i="113"/>
  <c r="P70" i="113"/>
  <c r="N70" i="113"/>
  <c r="AG70" i="113" s="1"/>
  <c r="K70" i="113"/>
  <c r="K79" i="113" s="1"/>
  <c r="J70" i="113"/>
  <c r="J79" i="113" s="1"/>
  <c r="F70" i="113"/>
  <c r="H70" i="113" s="1"/>
  <c r="AE69" i="113"/>
  <c r="AD69" i="113"/>
  <c r="I20" i="112" s="1"/>
  <c r="AA69" i="113"/>
  <c r="Z69" i="113"/>
  <c r="I18" i="112" s="1"/>
  <c r="M69" i="113"/>
  <c r="W68" i="113"/>
  <c r="H68" i="113"/>
  <c r="W67" i="113"/>
  <c r="W66" i="113"/>
  <c r="W65" i="113"/>
  <c r="W64" i="113"/>
  <c r="W63" i="113"/>
  <c r="AG62" i="113"/>
  <c r="AF62" i="113"/>
  <c r="W62" i="113"/>
  <c r="W61" i="113"/>
  <c r="V61" i="113"/>
  <c r="N61" i="113"/>
  <c r="O61" i="113" s="1"/>
  <c r="K61" i="113"/>
  <c r="L61" i="113" s="1"/>
  <c r="J61" i="113"/>
  <c r="P61" i="113" s="1"/>
  <c r="F61" i="113"/>
  <c r="H61" i="113" s="1"/>
  <c r="W60" i="113"/>
  <c r="N60" i="113" s="1"/>
  <c r="V60" i="113"/>
  <c r="P60" i="113"/>
  <c r="K60" i="113"/>
  <c r="L60" i="113" s="1"/>
  <c r="J60" i="113"/>
  <c r="F60" i="113"/>
  <c r="H60" i="113" s="1"/>
  <c r="W59" i="113"/>
  <c r="N59" i="113" s="1"/>
  <c r="K59" i="113"/>
  <c r="J59" i="113"/>
  <c r="P59" i="113" s="1"/>
  <c r="F59" i="113"/>
  <c r="H59" i="113" s="1"/>
  <c r="AE58" i="113"/>
  <c r="AD58" i="113"/>
  <c r="H20" i="112" s="1"/>
  <c r="AA58" i="113"/>
  <c r="Z58" i="113"/>
  <c r="M58" i="113"/>
  <c r="H22" i="112" s="1"/>
  <c r="K58" i="113"/>
  <c r="W57" i="113"/>
  <c r="W56" i="113"/>
  <c r="W55" i="113"/>
  <c r="W54" i="113"/>
  <c r="W53" i="113"/>
  <c r="W52" i="113"/>
  <c r="N52" i="113" s="1"/>
  <c r="V52" i="113"/>
  <c r="W51" i="113"/>
  <c r="N51" i="113" s="1"/>
  <c r="V51" i="113"/>
  <c r="P51" i="113"/>
  <c r="K51" i="113"/>
  <c r="L51" i="113" s="1"/>
  <c r="J51" i="113"/>
  <c r="F51" i="113"/>
  <c r="H51" i="113" s="1"/>
  <c r="W50" i="113"/>
  <c r="V50" i="113"/>
  <c r="N50" i="113"/>
  <c r="O50" i="113" s="1"/>
  <c r="L50" i="113"/>
  <c r="K50" i="113"/>
  <c r="J50" i="113"/>
  <c r="P50" i="113" s="1"/>
  <c r="F50" i="113"/>
  <c r="H50" i="113" s="1"/>
  <c r="W49" i="113"/>
  <c r="N49" i="113" s="1"/>
  <c r="P49" i="113"/>
  <c r="K49" i="113"/>
  <c r="L49" i="113" s="1"/>
  <c r="L58" i="113" s="1"/>
  <c r="J49" i="113"/>
  <c r="J58" i="113" s="1"/>
  <c r="P58" i="113" s="1"/>
  <c r="F49" i="113"/>
  <c r="H49" i="113" s="1"/>
  <c r="AE48" i="113"/>
  <c r="AD48" i="113"/>
  <c r="AA48" i="113"/>
  <c r="Z48" i="113"/>
  <c r="W48" i="113"/>
  <c r="M48" i="113"/>
  <c r="G22" i="112" s="1"/>
  <c r="W47" i="113"/>
  <c r="H47" i="113"/>
  <c r="W46" i="113"/>
  <c r="W45" i="113"/>
  <c r="W44" i="113"/>
  <c r="W43" i="113"/>
  <c r="W42" i="113"/>
  <c r="AF41" i="113"/>
  <c r="W41" i="113"/>
  <c r="W40" i="113"/>
  <c r="N40" i="113" s="1"/>
  <c r="V40" i="113"/>
  <c r="P40" i="113"/>
  <c r="K40" i="113"/>
  <c r="L40" i="113" s="1"/>
  <c r="F40" i="113"/>
  <c r="H40" i="113" s="1"/>
  <c r="W39" i="113"/>
  <c r="N39" i="113" s="1"/>
  <c r="AG39" i="113" s="1"/>
  <c r="V39" i="113"/>
  <c r="P39" i="113"/>
  <c r="K39" i="113"/>
  <c r="L39" i="113" s="1"/>
  <c r="J39" i="113"/>
  <c r="H39" i="113"/>
  <c r="F39" i="113"/>
  <c r="W38" i="113"/>
  <c r="N38" i="113"/>
  <c r="O38" i="113" s="1"/>
  <c r="L38" i="113"/>
  <c r="L48" i="113" s="1"/>
  <c r="K38" i="113"/>
  <c r="K48" i="113" s="1"/>
  <c r="J38" i="113"/>
  <c r="P38" i="113" s="1"/>
  <c r="F38" i="113"/>
  <c r="H38" i="113" s="1"/>
  <c r="AE37" i="113"/>
  <c r="AD37" i="113"/>
  <c r="F20" i="112" s="1"/>
  <c r="AA37" i="113"/>
  <c r="F19" i="112" s="1"/>
  <c r="Z37" i="113"/>
  <c r="M37" i="113"/>
  <c r="W36" i="113"/>
  <c r="H36" i="113"/>
  <c r="W35" i="113"/>
  <c r="W34" i="113"/>
  <c r="W33" i="113"/>
  <c r="W32" i="113"/>
  <c r="AG31" i="113"/>
  <c r="AF31" i="113"/>
  <c r="W31" i="113"/>
  <c r="AG30" i="113"/>
  <c r="W30" i="113"/>
  <c r="V30" i="113"/>
  <c r="W29" i="113"/>
  <c r="N29" i="113" s="1"/>
  <c r="V29" i="113"/>
  <c r="K29" i="113"/>
  <c r="L29" i="113" s="1"/>
  <c r="J29" i="113"/>
  <c r="P29" i="113" s="1"/>
  <c r="F29" i="113"/>
  <c r="H29" i="113" s="1"/>
  <c r="W28" i="113"/>
  <c r="V28" i="113"/>
  <c r="P28" i="113"/>
  <c r="N28" i="113"/>
  <c r="AG28" i="113" s="1"/>
  <c r="L28" i="113"/>
  <c r="K28" i="113"/>
  <c r="J28" i="113"/>
  <c r="F28" i="113"/>
  <c r="H28" i="113" s="1"/>
  <c r="W27" i="113"/>
  <c r="N27" i="113" s="1"/>
  <c r="P27" i="113"/>
  <c r="K27" i="113"/>
  <c r="L27" i="113" s="1"/>
  <c r="J27" i="113"/>
  <c r="H27" i="113"/>
  <c r="F27" i="113"/>
  <c r="AE26" i="113"/>
  <c r="AD26" i="113"/>
  <c r="E20" i="112" s="1"/>
  <c r="AA26" i="113"/>
  <c r="E19" i="112" s="1"/>
  <c r="Z26" i="113"/>
  <c r="M26" i="113"/>
  <c r="W25" i="113"/>
  <c r="H25" i="113"/>
  <c r="W24" i="113"/>
  <c r="H24" i="113"/>
  <c r="W23" i="113"/>
  <c r="W21" i="113"/>
  <c r="W20" i="113"/>
  <c r="N20" i="113" s="1"/>
  <c r="O20" i="113" s="1"/>
  <c r="V20" i="113"/>
  <c r="W19" i="113"/>
  <c r="V19" i="113"/>
  <c r="AG18" i="113"/>
  <c r="AF18" i="113"/>
  <c r="W18" i="113"/>
  <c r="V18" i="113"/>
  <c r="O18" i="113"/>
  <c r="N18" i="113"/>
  <c r="K18" i="113"/>
  <c r="J18" i="113"/>
  <c r="P18" i="113" s="1"/>
  <c r="F18" i="113"/>
  <c r="H18" i="113" s="1"/>
  <c r="W17" i="113"/>
  <c r="N17" i="113" s="1"/>
  <c r="V17" i="113"/>
  <c r="K17" i="113"/>
  <c r="L17" i="113" s="1"/>
  <c r="J17" i="113"/>
  <c r="P17" i="113" s="1"/>
  <c r="F17" i="113"/>
  <c r="H17" i="113" s="1"/>
  <c r="W16" i="113"/>
  <c r="P16" i="113"/>
  <c r="N16" i="113"/>
  <c r="AG16" i="113" s="1"/>
  <c r="K16" i="113"/>
  <c r="L16" i="113" s="1"/>
  <c r="J16" i="113"/>
  <c r="H16" i="113"/>
  <c r="F16" i="113"/>
  <c r="AE15" i="113"/>
  <c r="AE2" i="113" s="1"/>
  <c r="AD15" i="113"/>
  <c r="D20" i="112" s="1"/>
  <c r="AA15" i="113"/>
  <c r="Z15" i="113"/>
  <c r="D18" i="112" s="1"/>
  <c r="M15" i="113"/>
  <c r="D22" i="112" s="1"/>
  <c r="W14" i="113"/>
  <c r="W13" i="113"/>
  <c r="W12" i="113"/>
  <c r="AG11" i="113"/>
  <c r="AF11" i="113"/>
  <c r="W11" i="113"/>
  <c r="AG10" i="113"/>
  <c r="AF10" i="113"/>
  <c r="W10" i="113"/>
  <c r="AG9" i="113"/>
  <c r="AF9" i="113"/>
  <c r="W9" i="113"/>
  <c r="W8" i="113"/>
  <c r="N8" i="113" s="1"/>
  <c r="W7" i="113"/>
  <c r="V7" i="113"/>
  <c r="N7" i="113"/>
  <c r="K7" i="113"/>
  <c r="J7" i="113"/>
  <c r="P7" i="113" s="1"/>
  <c r="F7" i="113"/>
  <c r="H7" i="113" s="1"/>
  <c r="W6" i="113"/>
  <c r="N6" i="113" s="1"/>
  <c r="O6" i="113" s="1"/>
  <c r="V6" i="113"/>
  <c r="W5" i="113"/>
  <c r="N5" i="113" s="1"/>
  <c r="O5" i="113" s="1"/>
  <c r="P5" i="113"/>
  <c r="K5" i="113"/>
  <c r="L5" i="113" s="1"/>
  <c r="J5" i="113"/>
  <c r="F5" i="113"/>
  <c r="H5" i="113" s="1"/>
  <c r="I2" i="113"/>
  <c r="E1" i="113"/>
  <c r="G3" i="112" s="1"/>
  <c r="I21" i="112"/>
  <c r="G21" i="112"/>
  <c r="G20" i="112"/>
  <c r="G19" i="112"/>
  <c r="D21" i="112"/>
  <c r="E22" i="112"/>
  <c r="H21" i="112"/>
  <c r="F21" i="112"/>
  <c r="E21" i="112"/>
  <c r="J19" i="112"/>
  <c r="H19" i="112"/>
  <c r="H18" i="112"/>
  <c r="F18" i="112"/>
  <c r="E18" i="112"/>
  <c r="J16" i="112"/>
  <c r="I16" i="112"/>
  <c r="H16" i="112"/>
  <c r="G16" i="112"/>
  <c r="F16" i="112"/>
  <c r="E16" i="112"/>
  <c r="D16" i="112"/>
  <c r="V8" i="111"/>
  <c r="V53" i="111"/>
  <c r="V61" i="111"/>
  <c r="V62" i="111"/>
  <c r="V63" i="111"/>
  <c r="F52" i="111"/>
  <c r="H52" i="111" s="1"/>
  <c r="F53" i="111"/>
  <c r="H53" i="111"/>
  <c r="N52" i="111"/>
  <c r="O52" i="111"/>
  <c r="Q52" i="111" s="1"/>
  <c r="P52" i="111"/>
  <c r="R52" i="111"/>
  <c r="N53" i="111"/>
  <c r="AF53" i="111" s="1"/>
  <c r="P53" i="111"/>
  <c r="J52" i="111"/>
  <c r="K52" i="111"/>
  <c r="AG52" i="111" s="1"/>
  <c r="L52" i="111"/>
  <c r="J53" i="111"/>
  <c r="K53" i="111"/>
  <c r="L53" i="111"/>
  <c r="N61" i="111"/>
  <c r="O61" i="111" s="1"/>
  <c r="P61" i="111"/>
  <c r="N62" i="111"/>
  <c r="AG62" i="111" s="1"/>
  <c r="O62" i="111"/>
  <c r="Q62" i="111" s="1"/>
  <c r="P62" i="111"/>
  <c r="R62" i="111"/>
  <c r="N63" i="111"/>
  <c r="O63" i="111" s="1"/>
  <c r="P63" i="111"/>
  <c r="H61" i="111"/>
  <c r="J61" i="111"/>
  <c r="K61" i="111"/>
  <c r="L61" i="111"/>
  <c r="H62" i="111"/>
  <c r="J62" i="111"/>
  <c r="K62" i="111"/>
  <c r="AF62" i="111" s="1"/>
  <c r="L62" i="111"/>
  <c r="H63" i="111"/>
  <c r="J63" i="111"/>
  <c r="K63" i="111"/>
  <c r="L63" i="111"/>
  <c r="F61" i="111"/>
  <c r="F62" i="111"/>
  <c r="F63" i="111"/>
  <c r="P30" i="111"/>
  <c r="H30" i="111"/>
  <c r="K30" i="111"/>
  <c r="L30" i="111" s="1"/>
  <c r="F30" i="111"/>
  <c r="N8" i="111"/>
  <c r="O8" i="111" s="1"/>
  <c r="P8" i="111"/>
  <c r="H8" i="111"/>
  <c r="J8" i="111"/>
  <c r="K8" i="111"/>
  <c r="L8" i="111"/>
  <c r="F8" i="111"/>
  <c r="N19" i="111"/>
  <c r="O19" i="111"/>
  <c r="Q19" i="111" s="1"/>
  <c r="P19" i="111"/>
  <c r="N20" i="111"/>
  <c r="O20" i="111"/>
  <c r="P20" i="111"/>
  <c r="Q20" i="111"/>
  <c r="R20" i="111"/>
  <c r="H19" i="111"/>
  <c r="J19" i="111"/>
  <c r="K19" i="111"/>
  <c r="L19" i="111" s="1"/>
  <c r="H20" i="111"/>
  <c r="J20" i="111"/>
  <c r="K20" i="111"/>
  <c r="L20" i="111"/>
  <c r="F19" i="111"/>
  <c r="F20" i="111"/>
  <c r="AE79" i="111"/>
  <c r="AD79" i="111"/>
  <c r="J20" i="110" s="1"/>
  <c r="AA79" i="111"/>
  <c r="Z79" i="111"/>
  <c r="N79" i="111"/>
  <c r="M79" i="111"/>
  <c r="W78" i="111"/>
  <c r="H78" i="111"/>
  <c r="W77" i="111"/>
  <c r="H77" i="111"/>
  <c r="W76" i="111"/>
  <c r="H76" i="111"/>
  <c r="W75" i="111"/>
  <c r="H75" i="111"/>
  <c r="W74" i="111"/>
  <c r="W73" i="111"/>
  <c r="W72" i="111"/>
  <c r="W71" i="111"/>
  <c r="W70" i="111"/>
  <c r="P70" i="111"/>
  <c r="O70" i="111"/>
  <c r="N70" i="111"/>
  <c r="AG70" i="111" s="1"/>
  <c r="K70" i="111"/>
  <c r="K79" i="111" s="1"/>
  <c r="J70" i="111"/>
  <c r="J79" i="111" s="1"/>
  <c r="F70" i="111"/>
  <c r="H70" i="111" s="1"/>
  <c r="AE69" i="111"/>
  <c r="AD69" i="111"/>
  <c r="I20" i="110" s="1"/>
  <c r="AA69" i="111"/>
  <c r="J18" i="110" s="1"/>
  <c r="Z69" i="111"/>
  <c r="I18" i="110" s="1"/>
  <c r="M69" i="111"/>
  <c r="I22" i="110" s="1"/>
  <c r="W68" i="111"/>
  <c r="H68" i="111"/>
  <c r="W67" i="111"/>
  <c r="W66" i="111"/>
  <c r="W65" i="111"/>
  <c r="W64" i="111"/>
  <c r="W63" i="111"/>
  <c r="W62" i="111"/>
  <c r="W61" i="111"/>
  <c r="W60" i="111"/>
  <c r="N60" i="111" s="1"/>
  <c r="V60" i="111"/>
  <c r="P60" i="111"/>
  <c r="K60" i="111"/>
  <c r="L60" i="111" s="1"/>
  <c r="J60" i="111"/>
  <c r="F60" i="111"/>
  <c r="H60" i="111" s="1"/>
  <c r="W59" i="111"/>
  <c r="N59" i="111"/>
  <c r="AG59" i="111" s="1"/>
  <c r="K59" i="111"/>
  <c r="L59" i="111" s="1"/>
  <c r="L69" i="111" s="1"/>
  <c r="J59" i="111"/>
  <c r="P59" i="111" s="1"/>
  <c r="F59" i="111"/>
  <c r="H59" i="111" s="1"/>
  <c r="AE58" i="111"/>
  <c r="AD58" i="111"/>
  <c r="AA58" i="111"/>
  <c r="H19" i="110" s="1"/>
  <c r="Z58" i="111"/>
  <c r="M58" i="111"/>
  <c r="W57" i="111"/>
  <c r="W56" i="111"/>
  <c r="W55" i="111"/>
  <c r="W54" i="111"/>
  <c r="W53" i="111"/>
  <c r="W52" i="111"/>
  <c r="V52" i="111"/>
  <c r="W51" i="111"/>
  <c r="N51" i="111" s="1"/>
  <c r="V51" i="111"/>
  <c r="P51" i="111"/>
  <c r="K51" i="111"/>
  <c r="L51" i="111" s="1"/>
  <c r="J51" i="111"/>
  <c r="F51" i="111"/>
  <c r="H51" i="111" s="1"/>
  <c r="W50" i="111"/>
  <c r="N50" i="111" s="1"/>
  <c r="V50" i="111"/>
  <c r="L50" i="111"/>
  <c r="K50" i="111"/>
  <c r="J50" i="111"/>
  <c r="P50" i="111" s="1"/>
  <c r="F50" i="111"/>
  <c r="H50" i="111" s="1"/>
  <c r="W49" i="111"/>
  <c r="N49" i="111" s="1"/>
  <c r="P49" i="111"/>
  <c r="K49" i="111"/>
  <c r="L49" i="111" s="1"/>
  <c r="J49" i="111"/>
  <c r="J58" i="111" s="1"/>
  <c r="F49" i="111"/>
  <c r="H49" i="111" s="1"/>
  <c r="AE48" i="111"/>
  <c r="G21" i="110" s="1"/>
  <c r="AD48" i="111"/>
  <c r="G20" i="110" s="1"/>
  <c r="AA48" i="111"/>
  <c r="G19" i="110" s="1"/>
  <c r="Z48" i="111"/>
  <c r="W48" i="111"/>
  <c r="M48" i="111"/>
  <c r="W47" i="111"/>
  <c r="H47" i="111"/>
  <c r="W46" i="111"/>
  <c r="W45" i="111"/>
  <c r="W44" i="111"/>
  <c r="W43" i="111"/>
  <c r="W42" i="111"/>
  <c r="AG41" i="111"/>
  <c r="AF41" i="111"/>
  <c r="W41" i="111"/>
  <c r="W40" i="111"/>
  <c r="N40" i="111" s="1"/>
  <c r="V40" i="111"/>
  <c r="P40" i="111"/>
  <c r="K40" i="111"/>
  <c r="L40" i="111" s="1"/>
  <c r="F40" i="111"/>
  <c r="H40" i="111" s="1"/>
  <c r="W39" i="111"/>
  <c r="V39" i="111"/>
  <c r="P39" i="111"/>
  <c r="N39" i="111"/>
  <c r="AG39" i="111" s="1"/>
  <c r="K39" i="111"/>
  <c r="L39" i="111" s="1"/>
  <c r="J39" i="111"/>
  <c r="J48" i="111" s="1"/>
  <c r="H39" i="111"/>
  <c r="F39" i="111"/>
  <c r="W38" i="111"/>
  <c r="N38" i="111" s="1"/>
  <c r="L38" i="111"/>
  <c r="K38" i="111"/>
  <c r="K48" i="111" s="1"/>
  <c r="J38" i="111"/>
  <c r="P38" i="111" s="1"/>
  <c r="F38" i="111"/>
  <c r="H38" i="111" s="1"/>
  <c r="AE37" i="111"/>
  <c r="AD37" i="111"/>
  <c r="F20" i="110" s="1"/>
  <c r="AA37" i="111"/>
  <c r="Z37" i="111"/>
  <c r="M37" i="111"/>
  <c r="F22" i="110" s="1"/>
  <c r="W36" i="111"/>
  <c r="H36" i="111"/>
  <c r="W35" i="111"/>
  <c r="W34" i="111"/>
  <c r="W33" i="111"/>
  <c r="W32" i="111"/>
  <c r="AG31" i="111"/>
  <c r="AF31" i="111"/>
  <c r="W31" i="111"/>
  <c r="W30" i="111"/>
  <c r="N30" i="111" s="1"/>
  <c r="V30" i="111"/>
  <c r="W29" i="111"/>
  <c r="V29" i="111"/>
  <c r="N29" i="111"/>
  <c r="AG29" i="111" s="1"/>
  <c r="K29" i="111"/>
  <c r="L29" i="111" s="1"/>
  <c r="J29" i="111"/>
  <c r="J37" i="111" s="1"/>
  <c r="F29" i="111"/>
  <c r="H29" i="111" s="1"/>
  <c r="W28" i="111"/>
  <c r="N28" i="111" s="1"/>
  <c r="AF28" i="111" s="1"/>
  <c r="V28" i="111"/>
  <c r="P28" i="111"/>
  <c r="L28" i="111"/>
  <c r="K28" i="111"/>
  <c r="J28" i="111"/>
  <c r="F28" i="111"/>
  <c r="H28" i="111" s="1"/>
  <c r="W27" i="111"/>
  <c r="N27" i="111" s="1"/>
  <c r="P27" i="111"/>
  <c r="K27" i="111"/>
  <c r="L27" i="111" s="1"/>
  <c r="J27" i="111"/>
  <c r="H27" i="111"/>
  <c r="F27" i="111"/>
  <c r="AE26" i="111"/>
  <c r="AD26" i="111"/>
  <c r="E20" i="110" s="1"/>
  <c r="AA26" i="111"/>
  <c r="E19" i="110" s="1"/>
  <c r="Z26" i="111"/>
  <c r="M26" i="111"/>
  <c r="W25" i="111"/>
  <c r="H25" i="111"/>
  <c r="W24" i="111"/>
  <c r="H24" i="111"/>
  <c r="W23" i="111"/>
  <c r="W21" i="111"/>
  <c r="W20" i="111"/>
  <c r="V20" i="111"/>
  <c r="AG19" i="111"/>
  <c r="AF19" i="111"/>
  <c r="W19" i="111"/>
  <c r="V19" i="111"/>
  <c r="AG18" i="111"/>
  <c r="AF18" i="111"/>
  <c r="W18" i="111"/>
  <c r="V18" i="111"/>
  <c r="O18" i="111"/>
  <c r="N18" i="111"/>
  <c r="K18" i="111"/>
  <c r="L18" i="111" s="1"/>
  <c r="J18" i="111"/>
  <c r="P18" i="111" s="1"/>
  <c r="F18" i="111"/>
  <c r="H18" i="111" s="1"/>
  <c r="W17" i="111"/>
  <c r="V17" i="111"/>
  <c r="N17" i="111"/>
  <c r="AG17" i="111" s="1"/>
  <c r="K17" i="111"/>
  <c r="L17" i="111" s="1"/>
  <c r="J17" i="111"/>
  <c r="F17" i="111"/>
  <c r="H17" i="111" s="1"/>
  <c r="W16" i="111"/>
  <c r="N16" i="111" s="1"/>
  <c r="AG16" i="111" s="1"/>
  <c r="P16" i="111"/>
  <c r="K16" i="111"/>
  <c r="L16" i="111" s="1"/>
  <c r="J16" i="111"/>
  <c r="H16" i="111"/>
  <c r="F16" i="111"/>
  <c r="AE15" i="111"/>
  <c r="AE2" i="111" s="1"/>
  <c r="AD15" i="111"/>
  <c r="AD2" i="111" s="1"/>
  <c r="AA15" i="111"/>
  <c r="AA2" i="111" s="1"/>
  <c r="Z15" i="111"/>
  <c r="D18" i="110" s="1"/>
  <c r="M15" i="111"/>
  <c r="D22" i="110" s="1"/>
  <c r="W14" i="111"/>
  <c r="W13" i="111"/>
  <c r="W12" i="111"/>
  <c r="AG11" i="111"/>
  <c r="AF11" i="111"/>
  <c r="W11" i="111"/>
  <c r="AG10" i="111"/>
  <c r="AF10" i="111"/>
  <c r="W10" i="111"/>
  <c r="AG9" i="111"/>
  <c r="AF9" i="111"/>
  <c r="W9" i="111"/>
  <c r="AG8" i="111"/>
  <c r="AF8" i="111"/>
  <c r="W8" i="111"/>
  <c r="AG7" i="111"/>
  <c r="W7" i="111"/>
  <c r="V7" i="111"/>
  <c r="N7" i="111"/>
  <c r="AF7" i="111" s="1"/>
  <c r="K7" i="111"/>
  <c r="L7" i="111" s="1"/>
  <c r="J7" i="111"/>
  <c r="P7" i="111" s="1"/>
  <c r="H7" i="111"/>
  <c r="F7" i="111"/>
  <c r="W6" i="111"/>
  <c r="N6" i="111" s="1"/>
  <c r="V6" i="111"/>
  <c r="P6" i="111"/>
  <c r="K6" i="111"/>
  <c r="L6" i="111" s="1"/>
  <c r="J6" i="111"/>
  <c r="F6" i="111"/>
  <c r="H6" i="111" s="1"/>
  <c r="W5" i="111"/>
  <c r="P5" i="111"/>
  <c r="O5" i="111"/>
  <c r="N5" i="111"/>
  <c r="K5" i="111"/>
  <c r="L5" i="111" s="1"/>
  <c r="J5" i="111"/>
  <c r="J15" i="111" s="1"/>
  <c r="F5" i="111"/>
  <c r="H5" i="111" s="1"/>
  <c r="I2" i="111"/>
  <c r="E1" i="111"/>
  <c r="G3" i="110" s="1"/>
  <c r="E21" i="110"/>
  <c r="E18" i="110"/>
  <c r="H22" i="110"/>
  <c r="J21" i="110"/>
  <c r="I21" i="110"/>
  <c r="H21" i="110"/>
  <c r="F21" i="110"/>
  <c r="D21" i="110"/>
  <c r="H20" i="110"/>
  <c r="D20" i="110"/>
  <c r="J19" i="110"/>
  <c r="F19" i="110"/>
  <c r="H18" i="110"/>
  <c r="G18" i="110"/>
  <c r="F18" i="110"/>
  <c r="J16" i="110"/>
  <c r="I16" i="110"/>
  <c r="H16" i="110"/>
  <c r="G16" i="110"/>
  <c r="F16" i="110"/>
  <c r="E16" i="110"/>
  <c r="D16" i="110"/>
  <c r="AE79" i="109"/>
  <c r="AD79" i="109"/>
  <c r="AA79" i="109"/>
  <c r="Z79" i="109"/>
  <c r="Z2" i="109" s="1"/>
  <c r="O79" i="109"/>
  <c r="J14" i="108" s="1"/>
  <c r="M79" i="109"/>
  <c r="W78" i="109"/>
  <c r="H78" i="109"/>
  <c r="W77" i="109"/>
  <c r="H77" i="109"/>
  <c r="W76" i="109"/>
  <c r="H76" i="109"/>
  <c r="W75" i="109"/>
  <c r="H75" i="109"/>
  <c r="W74" i="109"/>
  <c r="W73" i="109"/>
  <c r="W72" i="109"/>
  <c r="W71" i="109"/>
  <c r="N71" i="109" s="1"/>
  <c r="O71" i="109" s="1"/>
  <c r="P71" i="109"/>
  <c r="K71" i="109"/>
  <c r="L71" i="109" s="1"/>
  <c r="Q71" i="109" s="1"/>
  <c r="J71" i="109"/>
  <c r="J79" i="109" s="1"/>
  <c r="P79" i="109" s="1"/>
  <c r="F71" i="109"/>
  <c r="H71" i="109" s="1"/>
  <c r="AG70" i="109"/>
  <c r="W70" i="109"/>
  <c r="R70" i="109"/>
  <c r="P70" i="109"/>
  <c r="O70" i="109"/>
  <c r="N70" i="109"/>
  <c r="L70" i="109"/>
  <c r="K70" i="109"/>
  <c r="J70" i="109"/>
  <c r="H70" i="109"/>
  <c r="F70" i="109"/>
  <c r="AE69" i="109"/>
  <c r="AD69" i="109"/>
  <c r="I20" i="108" s="1"/>
  <c r="AA69" i="109"/>
  <c r="J18" i="108" s="1"/>
  <c r="Z69" i="109"/>
  <c r="I18" i="108" s="1"/>
  <c r="M69" i="109"/>
  <c r="W68" i="109"/>
  <c r="H68" i="109"/>
  <c r="W67" i="109"/>
  <c r="W66" i="109"/>
  <c r="W65" i="109"/>
  <c r="W64" i="109"/>
  <c r="V64" i="109"/>
  <c r="P64" i="109"/>
  <c r="N64" i="109"/>
  <c r="O64" i="109" s="1"/>
  <c r="L64" i="109"/>
  <c r="K64" i="109"/>
  <c r="J64" i="109"/>
  <c r="F64" i="109"/>
  <c r="H64" i="109" s="1"/>
  <c r="W63" i="109"/>
  <c r="N63" i="109" s="1"/>
  <c r="O63" i="109" s="1"/>
  <c r="V63" i="109"/>
  <c r="P63" i="109"/>
  <c r="K63" i="109"/>
  <c r="L63" i="109" s="1"/>
  <c r="J63" i="109"/>
  <c r="F63" i="109"/>
  <c r="H63" i="109" s="1"/>
  <c r="W62" i="109"/>
  <c r="N62" i="109" s="1"/>
  <c r="V62" i="109"/>
  <c r="P62" i="109"/>
  <c r="K62" i="109"/>
  <c r="L62" i="109" s="1"/>
  <c r="J62" i="109"/>
  <c r="H62" i="109"/>
  <c r="F62" i="109"/>
  <c r="W61" i="109"/>
  <c r="V61" i="109"/>
  <c r="P61" i="109"/>
  <c r="N61" i="109"/>
  <c r="L61" i="109"/>
  <c r="K61" i="109"/>
  <c r="J61" i="109"/>
  <c r="F61" i="109"/>
  <c r="H61" i="109" s="1"/>
  <c r="AG60" i="109"/>
  <c r="W60" i="109"/>
  <c r="N60" i="109" s="1"/>
  <c r="AF60" i="109" s="1"/>
  <c r="V60" i="109"/>
  <c r="O60" i="109"/>
  <c r="K60" i="109"/>
  <c r="J60" i="109"/>
  <c r="P60" i="109" s="1"/>
  <c r="H60" i="109"/>
  <c r="F60" i="109"/>
  <c r="AG59" i="109"/>
  <c r="AF59" i="109"/>
  <c r="W59" i="109"/>
  <c r="N59" i="109" s="1"/>
  <c r="L59" i="109"/>
  <c r="K59" i="109"/>
  <c r="J59" i="109"/>
  <c r="F59" i="109"/>
  <c r="H59" i="109" s="1"/>
  <c r="AE58" i="109"/>
  <c r="AD58" i="109"/>
  <c r="H20" i="108" s="1"/>
  <c r="AA58" i="109"/>
  <c r="Z58" i="109"/>
  <c r="N58" i="109"/>
  <c r="M58" i="109"/>
  <c r="J58" i="109"/>
  <c r="W57" i="109"/>
  <c r="W56" i="109"/>
  <c r="W55" i="109"/>
  <c r="W54" i="109"/>
  <c r="AG53" i="109"/>
  <c r="AF53" i="109"/>
  <c r="W53" i="109"/>
  <c r="AG52" i="109"/>
  <c r="AF52" i="109"/>
  <c r="W52" i="109"/>
  <c r="V52" i="109"/>
  <c r="N52" i="109"/>
  <c r="O52" i="109" s="1"/>
  <c r="K52" i="109"/>
  <c r="J52" i="109"/>
  <c r="F52" i="109"/>
  <c r="H52" i="109" s="1"/>
  <c r="W51" i="109"/>
  <c r="N51" i="109" s="1"/>
  <c r="V51" i="109"/>
  <c r="P51" i="109"/>
  <c r="K51" i="109"/>
  <c r="J51" i="109"/>
  <c r="L51" i="109" s="1"/>
  <c r="F51" i="109"/>
  <c r="H51" i="109" s="1"/>
  <c r="AG50" i="109"/>
  <c r="AF50" i="109"/>
  <c r="W50" i="109"/>
  <c r="V50" i="109"/>
  <c r="Q50" i="109"/>
  <c r="O50" i="109"/>
  <c r="R50" i="109" s="1"/>
  <c r="N50" i="109"/>
  <c r="K50" i="109"/>
  <c r="L50" i="109" s="1"/>
  <c r="J50" i="109"/>
  <c r="P50" i="109" s="1"/>
  <c r="F50" i="109"/>
  <c r="H50" i="109" s="1"/>
  <c r="AG49" i="109"/>
  <c r="W49" i="109"/>
  <c r="N49" i="109" s="1"/>
  <c r="P49" i="109"/>
  <c r="L49" i="109"/>
  <c r="K49" i="109"/>
  <c r="K58" i="109" s="1"/>
  <c r="J49" i="109"/>
  <c r="H49" i="109"/>
  <c r="F49" i="109"/>
  <c r="AE48" i="109"/>
  <c r="G21" i="108" s="1"/>
  <c r="AD48" i="109"/>
  <c r="G20" i="108" s="1"/>
  <c r="AA48" i="109"/>
  <c r="G19" i="108" s="1"/>
  <c r="Z48" i="109"/>
  <c r="W48" i="109"/>
  <c r="M48" i="109"/>
  <c r="J48" i="109"/>
  <c r="W47" i="109"/>
  <c r="H47" i="109"/>
  <c r="W46" i="109"/>
  <c r="W45" i="109"/>
  <c r="W44" i="109"/>
  <c r="W43" i="109"/>
  <c r="W42" i="109"/>
  <c r="AG41" i="109"/>
  <c r="AF41" i="109"/>
  <c r="W41" i="109"/>
  <c r="P41" i="109"/>
  <c r="N41" i="109"/>
  <c r="O41" i="109" s="1"/>
  <c r="L41" i="109"/>
  <c r="K41" i="109"/>
  <c r="J41" i="109"/>
  <c r="H41" i="109"/>
  <c r="F41" i="109"/>
  <c r="W40" i="109"/>
  <c r="N40" i="109" s="1"/>
  <c r="V40" i="109"/>
  <c r="P40" i="109"/>
  <c r="K40" i="109"/>
  <c r="L40" i="109" s="1"/>
  <c r="F40" i="109"/>
  <c r="H40" i="109" s="1"/>
  <c r="W39" i="109"/>
  <c r="N39" i="109" s="1"/>
  <c r="V39" i="109"/>
  <c r="P39" i="109"/>
  <c r="K39" i="109"/>
  <c r="L39" i="109" s="1"/>
  <c r="J39" i="109"/>
  <c r="F39" i="109"/>
  <c r="H39" i="109" s="1"/>
  <c r="W38" i="109"/>
  <c r="P38" i="109"/>
  <c r="O38" i="109"/>
  <c r="N38" i="109"/>
  <c r="K38" i="109"/>
  <c r="J38" i="109"/>
  <c r="F38" i="109"/>
  <c r="H38" i="109" s="1"/>
  <c r="AE37" i="109"/>
  <c r="F21" i="108" s="1"/>
  <c r="AD37" i="109"/>
  <c r="AA37" i="109"/>
  <c r="F19" i="108" s="1"/>
  <c r="Z37" i="109"/>
  <c r="M37" i="109"/>
  <c r="F22" i="108" s="1"/>
  <c r="W36" i="109"/>
  <c r="H36" i="109"/>
  <c r="W35" i="109"/>
  <c r="W34" i="109"/>
  <c r="W33" i="109"/>
  <c r="W32" i="109"/>
  <c r="AG31" i="109"/>
  <c r="W31" i="109"/>
  <c r="V31" i="109"/>
  <c r="P31" i="109"/>
  <c r="O31" i="109"/>
  <c r="N31" i="109"/>
  <c r="AF31" i="109" s="1"/>
  <c r="L31" i="109"/>
  <c r="K31" i="109"/>
  <c r="H31" i="109"/>
  <c r="F31" i="109"/>
  <c r="W30" i="109"/>
  <c r="N30" i="109" s="1"/>
  <c r="V30" i="109"/>
  <c r="P30" i="109"/>
  <c r="K30" i="109"/>
  <c r="J30" i="109"/>
  <c r="H30" i="109"/>
  <c r="F30" i="109"/>
  <c r="W29" i="109"/>
  <c r="V29" i="109"/>
  <c r="P29" i="109"/>
  <c r="N29" i="109"/>
  <c r="L29" i="109"/>
  <c r="K29" i="109"/>
  <c r="J29" i="109"/>
  <c r="H29" i="109"/>
  <c r="F29" i="109"/>
  <c r="W28" i="109"/>
  <c r="V28" i="109"/>
  <c r="N28" i="109"/>
  <c r="K28" i="109"/>
  <c r="K37" i="109" s="1"/>
  <c r="J28" i="109"/>
  <c r="H28" i="109"/>
  <c r="F28" i="109"/>
  <c r="AG27" i="109"/>
  <c r="W27" i="109"/>
  <c r="P27" i="109"/>
  <c r="O27" i="109"/>
  <c r="N27" i="109"/>
  <c r="L27" i="109"/>
  <c r="K27" i="109"/>
  <c r="J27" i="109"/>
  <c r="F27" i="109"/>
  <c r="H27" i="109" s="1"/>
  <c r="AE26" i="109"/>
  <c r="AD26" i="109"/>
  <c r="AA26" i="109"/>
  <c r="Z26" i="109"/>
  <c r="M26" i="109"/>
  <c r="W25" i="109"/>
  <c r="H25" i="109"/>
  <c r="W24" i="109"/>
  <c r="H24" i="109"/>
  <c r="W23" i="109"/>
  <c r="W21" i="109"/>
  <c r="W20" i="109"/>
  <c r="V20" i="109"/>
  <c r="N20" i="109"/>
  <c r="O20" i="109" s="1"/>
  <c r="K20" i="109"/>
  <c r="J20" i="109"/>
  <c r="H20" i="109"/>
  <c r="F20" i="109"/>
  <c r="AG19" i="109"/>
  <c r="W19" i="109"/>
  <c r="V19" i="109"/>
  <c r="Q19" i="109"/>
  <c r="P19" i="109"/>
  <c r="O19" i="109"/>
  <c r="N19" i="109"/>
  <c r="K19" i="109"/>
  <c r="L19" i="109" s="1"/>
  <c r="R19" i="109" s="1"/>
  <c r="J19" i="109"/>
  <c r="H19" i="109"/>
  <c r="F19" i="109"/>
  <c r="W18" i="109"/>
  <c r="N18" i="109" s="1"/>
  <c r="V18" i="109"/>
  <c r="K18" i="109"/>
  <c r="J18" i="109"/>
  <c r="H18" i="109"/>
  <c r="F18" i="109"/>
  <c r="W17" i="109"/>
  <c r="N17" i="109" s="1"/>
  <c r="V17" i="109"/>
  <c r="P17" i="109"/>
  <c r="L17" i="109"/>
  <c r="K17" i="109"/>
  <c r="J17" i="109"/>
  <c r="F17" i="109"/>
  <c r="H17" i="109" s="1"/>
  <c r="AF16" i="109"/>
  <c r="W16" i="109"/>
  <c r="N16" i="109"/>
  <c r="K16" i="109"/>
  <c r="J16" i="109"/>
  <c r="F16" i="109"/>
  <c r="H16" i="109" s="1"/>
  <c r="AE15" i="109"/>
  <c r="AD15" i="109"/>
  <c r="AA15" i="109"/>
  <c r="Z15" i="109"/>
  <c r="M15" i="109"/>
  <c r="W14" i="109"/>
  <c r="W13" i="109"/>
  <c r="W12" i="109"/>
  <c r="AG11" i="109"/>
  <c r="AF11" i="109"/>
  <c r="W11" i="109"/>
  <c r="AG10" i="109"/>
  <c r="AF10" i="109"/>
  <c r="W10" i="109"/>
  <c r="AG9" i="109"/>
  <c r="AF9" i="109"/>
  <c r="W9" i="109"/>
  <c r="W8" i="109"/>
  <c r="V8" i="109"/>
  <c r="P8" i="109"/>
  <c r="N8" i="109"/>
  <c r="K8" i="109"/>
  <c r="L8" i="109" s="1"/>
  <c r="J8" i="109"/>
  <c r="H8" i="109"/>
  <c r="F8" i="109"/>
  <c r="W7" i="109"/>
  <c r="N7" i="109" s="1"/>
  <c r="V7" i="109"/>
  <c r="K7" i="109"/>
  <c r="J7" i="109"/>
  <c r="P7" i="109" s="1"/>
  <c r="F7" i="109"/>
  <c r="H7" i="109" s="1"/>
  <c r="AG6" i="109"/>
  <c r="W6" i="109"/>
  <c r="V6" i="109"/>
  <c r="P6" i="109"/>
  <c r="N6" i="109"/>
  <c r="O6" i="109" s="1"/>
  <c r="L6" i="109"/>
  <c r="K6" i="109"/>
  <c r="J6" i="109"/>
  <c r="F6" i="109"/>
  <c r="H6" i="109" s="1"/>
  <c r="W5" i="109"/>
  <c r="N5" i="109" s="1"/>
  <c r="O5" i="109"/>
  <c r="K5" i="109"/>
  <c r="K15" i="109" s="1"/>
  <c r="J5" i="109"/>
  <c r="H5" i="109"/>
  <c r="F5" i="109"/>
  <c r="I2" i="109"/>
  <c r="I1" i="109"/>
  <c r="E1" i="109"/>
  <c r="G3" i="108" s="1"/>
  <c r="J22" i="108"/>
  <c r="I22" i="108"/>
  <c r="E22" i="108"/>
  <c r="J21" i="108"/>
  <c r="I21" i="108"/>
  <c r="H21" i="108"/>
  <c r="E21" i="108"/>
  <c r="D21" i="108"/>
  <c r="J20" i="108"/>
  <c r="F20" i="108"/>
  <c r="E20" i="108"/>
  <c r="R19" i="108"/>
  <c r="J19" i="108"/>
  <c r="I19" i="108"/>
  <c r="H19" i="108"/>
  <c r="E19" i="108"/>
  <c r="H18" i="108"/>
  <c r="G18" i="108"/>
  <c r="F18" i="108"/>
  <c r="E18" i="108"/>
  <c r="D18" i="108"/>
  <c r="J16" i="108"/>
  <c r="I16" i="108"/>
  <c r="H16" i="108"/>
  <c r="G16" i="108"/>
  <c r="F16" i="108"/>
  <c r="E16" i="108"/>
  <c r="D16" i="108"/>
  <c r="AE79" i="107"/>
  <c r="J21" i="106" s="1"/>
  <c r="AD79" i="107"/>
  <c r="AA79" i="107"/>
  <c r="Z79" i="107"/>
  <c r="M79" i="107"/>
  <c r="J79" i="107"/>
  <c r="P79" i="107" s="1"/>
  <c r="W78" i="107"/>
  <c r="H78" i="107"/>
  <c r="W77" i="107"/>
  <c r="H77" i="107"/>
  <c r="W76" i="107"/>
  <c r="H76" i="107"/>
  <c r="W75" i="107"/>
  <c r="H75" i="107"/>
  <c r="W74" i="107"/>
  <c r="W73" i="107"/>
  <c r="W72" i="107"/>
  <c r="W71" i="107"/>
  <c r="N71" i="107" s="1"/>
  <c r="O71" i="107" s="1"/>
  <c r="K71" i="107"/>
  <c r="J71" i="107"/>
  <c r="H71" i="107"/>
  <c r="F71" i="107"/>
  <c r="W70" i="107"/>
  <c r="P70" i="107"/>
  <c r="N70" i="107"/>
  <c r="L70" i="107"/>
  <c r="K70" i="107"/>
  <c r="K79" i="107" s="1"/>
  <c r="J70" i="107"/>
  <c r="H70" i="107"/>
  <c r="F70" i="107"/>
  <c r="AE69" i="107"/>
  <c r="AD69" i="107"/>
  <c r="AA69" i="107"/>
  <c r="Z69" i="107"/>
  <c r="N69" i="107"/>
  <c r="M69" i="107"/>
  <c r="W68" i="107"/>
  <c r="H68" i="107"/>
  <c r="W67" i="107"/>
  <c r="W66" i="107"/>
  <c r="W65" i="107"/>
  <c r="W64" i="107"/>
  <c r="N64" i="107" s="1"/>
  <c r="V64" i="107"/>
  <c r="P64" i="107"/>
  <c r="O64" i="107"/>
  <c r="L64" i="107"/>
  <c r="K64" i="107"/>
  <c r="J64" i="107"/>
  <c r="H64" i="107"/>
  <c r="F64" i="107"/>
  <c r="W63" i="107"/>
  <c r="V63" i="107"/>
  <c r="P63" i="107"/>
  <c r="O63" i="107"/>
  <c r="N63" i="107"/>
  <c r="L63" i="107"/>
  <c r="K63" i="107"/>
  <c r="J63" i="107"/>
  <c r="F63" i="107"/>
  <c r="H63" i="107" s="1"/>
  <c r="W62" i="107"/>
  <c r="V62" i="107"/>
  <c r="P62" i="107"/>
  <c r="N62" i="107"/>
  <c r="K62" i="107"/>
  <c r="J62" i="107"/>
  <c r="L62" i="107" s="1"/>
  <c r="H62" i="107"/>
  <c r="F62" i="107"/>
  <c r="AG61" i="107"/>
  <c r="AF61" i="107"/>
  <c r="W61" i="107"/>
  <c r="N61" i="107" s="1"/>
  <c r="O61" i="107" s="1"/>
  <c r="V61" i="107"/>
  <c r="Q61" i="107"/>
  <c r="P61" i="107"/>
  <c r="K61" i="107"/>
  <c r="L61" i="107" s="1"/>
  <c r="J61" i="107"/>
  <c r="H61" i="107"/>
  <c r="F61" i="107"/>
  <c r="W60" i="107"/>
  <c r="V60" i="107"/>
  <c r="N60" i="107"/>
  <c r="K60" i="107"/>
  <c r="J60" i="107"/>
  <c r="P60" i="107" s="1"/>
  <c r="F60" i="107"/>
  <c r="H60" i="107" s="1"/>
  <c r="AG59" i="107"/>
  <c r="W59" i="107"/>
  <c r="N59" i="107" s="1"/>
  <c r="K59" i="107"/>
  <c r="J59" i="107"/>
  <c r="F59" i="107"/>
  <c r="H59" i="107" s="1"/>
  <c r="AE58" i="107"/>
  <c r="AD58" i="107"/>
  <c r="AA58" i="107"/>
  <c r="Z58" i="107"/>
  <c r="H18" i="106" s="1"/>
  <c r="M58" i="107"/>
  <c r="W57" i="107"/>
  <c r="W56" i="107"/>
  <c r="W55" i="107"/>
  <c r="W54" i="107"/>
  <c r="AG53" i="107"/>
  <c r="AF53" i="107"/>
  <c r="W53" i="107"/>
  <c r="AF52" i="107"/>
  <c r="W52" i="107"/>
  <c r="V52" i="107"/>
  <c r="N52" i="107"/>
  <c r="AG52" i="107" s="1"/>
  <c r="L52" i="107"/>
  <c r="K52" i="107"/>
  <c r="J52" i="107"/>
  <c r="P52" i="107" s="1"/>
  <c r="H52" i="107"/>
  <c r="F52" i="107"/>
  <c r="W51" i="107"/>
  <c r="N51" i="107" s="1"/>
  <c r="V51" i="107"/>
  <c r="P51" i="107"/>
  <c r="L51" i="107"/>
  <c r="K51" i="107"/>
  <c r="J51" i="107"/>
  <c r="F51" i="107"/>
  <c r="H51" i="107" s="1"/>
  <c r="W50" i="107"/>
  <c r="V50" i="107"/>
  <c r="O50" i="107"/>
  <c r="N50" i="107"/>
  <c r="K50" i="107"/>
  <c r="J50" i="107"/>
  <c r="H50" i="107"/>
  <c r="F50" i="107"/>
  <c r="W49" i="107"/>
  <c r="N49" i="107" s="1"/>
  <c r="P49" i="107"/>
  <c r="O49" i="107"/>
  <c r="K49" i="107"/>
  <c r="J49" i="107"/>
  <c r="H49" i="107"/>
  <c r="F49" i="107"/>
  <c r="AE48" i="107"/>
  <c r="G21" i="106" s="1"/>
  <c r="AD48" i="107"/>
  <c r="AA48" i="107"/>
  <c r="Z48" i="107"/>
  <c r="G18" i="106" s="1"/>
  <c r="W48" i="107"/>
  <c r="M48" i="107"/>
  <c r="J48" i="107"/>
  <c r="W47" i="107"/>
  <c r="H47" i="107"/>
  <c r="W46" i="107"/>
  <c r="W45" i="107"/>
  <c r="W44" i="107"/>
  <c r="W43" i="107"/>
  <c r="W42" i="107"/>
  <c r="W41" i="107"/>
  <c r="N41" i="107" s="1"/>
  <c r="P41" i="107"/>
  <c r="L41" i="107"/>
  <c r="K41" i="107"/>
  <c r="J41" i="107"/>
  <c r="H41" i="107"/>
  <c r="F41" i="107"/>
  <c r="W40" i="107"/>
  <c r="N40" i="107" s="1"/>
  <c r="V40" i="107"/>
  <c r="P40" i="107"/>
  <c r="K40" i="107"/>
  <c r="L40" i="107" s="1"/>
  <c r="H40" i="107"/>
  <c r="F40" i="107"/>
  <c r="AF39" i="107"/>
  <c r="W39" i="107"/>
  <c r="V39" i="107"/>
  <c r="R39" i="107"/>
  <c r="Q39" i="107"/>
  <c r="P39" i="107"/>
  <c r="O39" i="107"/>
  <c r="N39" i="107"/>
  <c r="AG39" i="107" s="1"/>
  <c r="L39" i="107"/>
  <c r="K39" i="107"/>
  <c r="J39" i="107"/>
  <c r="F39" i="107"/>
  <c r="H39" i="107" s="1"/>
  <c r="AF38" i="107"/>
  <c r="W38" i="107"/>
  <c r="N38" i="107" s="1"/>
  <c r="P38" i="107"/>
  <c r="K38" i="107"/>
  <c r="L38" i="107" s="1"/>
  <c r="J38" i="107"/>
  <c r="H38" i="107"/>
  <c r="F38" i="107"/>
  <c r="AE37" i="107"/>
  <c r="F21" i="106" s="1"/>
  <c r="AD37" i="107"/>
  <c r="AA37" i="107"/>
  <c r="Z37" i="107"/>
  <c r="F18" i="106" s="1"/>
  <c r="M37" i="107"/>
  <c r="J37" i="107"/>
  <c r="W36" i="107"/>
  <c r="H36" i="107"/>
  <c r="W35" i="107"/>
  <c r="W34" i="107"/>
  <c r="W33" i="107"/>
  <c r="W32" i="107"/>
  <c r="AG31" i="107"/>
  <c r="AF31" i="107"/>
  <c r="W31" i="107"/>
  <c r="N31" i="107" s="1"/>
  <c r="O31" i="107" s="1"/>
  <c r="V31" i="107"/>
  <c r="P31" i="107"/>
  <c r="K31" i="107"/>
  <c r="L31" i="107" s="1"/>
  <c r="H31" i="107"/>
  <c r="F31" i="107"/>
  <c r="W30" i="107"/>
  <c r="N30" i="107" s="1"/>
  <c r="V30" i="107"/>
  <c r="P30" i="107"/>
  <c r="L30" i="107"/>
  <c r="L37" i="107" s="1"/>
  <c r="F13" i="106" s="1"/>
  <c r="K30" i="107"/>
  <c r="K37" i="107" s="1"/>
  <c r="J30" i="107"/>
  <c r="F30" i="107"/>
  <c r="H30" i="107" s="1"/>
  <c r="AG29" i="107"/>
  <c r="AF29" i="107"/>
  <c r="W29" i="107"/>
  <c r="N29" i="107" s="1"/>
  <c r="O29" i="107" s="1"/>
  <c r="V29" i="107"/>
  <c r="R29" i="107"/>
  <c r="Q29" i="107"/>
  <c r="L29" i="107"/>
  <c r="K29" i="107"/>
  <c r="J29" i="107"/>
  <c r="P29" i="107" s="1"/>
  <c r="H29" i="107"/>
  <c r="F29" i="107"/>
  <c r="W28" i="107"/>
  <c r="N28" i="107" s="1"/>
  <c r="V28" i="107"/>
  <c r="K28" i="107"/>
  <c r="J28" i="107"/>
  <c r="L28" i="107" s="1"/>
  <c r="F28" i="107"/>
  <c r="H28" i="107" s="1"/>
  <c r="AG27" i="107"/>
  <c r="W27" i="107"/>
  <c r="N27" i="107" s="1"/>
  <c r="P27" i="107"/>
  <c r="L27" i="107"/>
  <c r="K27" i="107"/>
  <c r="J27" i="107"/>
  <c r="H27" i="107"/>
  <c r="F27" i="107"/>
  <c r="AE26" i="107"/>
  <c r="E21" i="106" s="1"/>
  <c r="AD26" i="107"/>
  <c r="E20" i="106" s="1"/>
  <c r="AA26" i="107"/>
  <c r="AA2" i="107" s="1"/>
  <c r="Z26" i="107"/>
  <c r="M26" i="107"/>
  <c r="W25" i="107"/>
  <c r="H25" i="107"/>
  <c r="W24" i="107"/>
  <c r="H24" i="107"/>
  <c r="W23" i="107"/>
  <c r="W21" i="107"/>
  <c r="W20" i="107"/>
  <c r="N20" i="107" s="1"/>
  <c r="O20" i="107" s="1"/>
  <c r="V20" i="107"/>
  <c r="P20" i="107"/>
  <c r="K20" i="107"/>
  <c r="L20" i="107" s="1"/>
  <c r="J20" i="107"/>
  <c r="F20" i="107"/>
  <c r="H20" i="107" s="1"/>
  <c r="AG19" i="107"/>
  <c r="AF19" i="107"/>
  <c r="W19" i="107"/>
  <c r="V19" i="107"/>
  <c r="O19" i="107"/>
  <c r="N19" i="107"/>
  <c r="K19" i="107"/>
  <c r="J19" i="107"/>
  <c r="F19" i="107"/>
  <c r="H19" i="107" s="1"/>
  <c r="W18" i="107"/>
  <c r="N18" i="107" s="1"/>
  <c r="V18" i="107"/>
  <c r="P18" i="107"/>
  <c r="K18" i="107"/>
  <c r="J18" i="107"/>
  <c r="F18" i="107"/>
  <c r="H18" i="107" s="1"/>
  <c r="AF17" i="107"/>
  <c r="W17" i="107"/>
  <c r="N17" i="107" s="1"/>
  <c r="V17" i="107"/>
  <c r="P17" i="107"/>
  <c r="K17" i="107"/>
  <c r="J17" i="107"/>
  <c r="F17" i="107"/>
  <c r="H17" i="107" s="1"/>
  <c r="W16" i="107"/>
  <c r="N16" i="107" s="1"/>
  <c r="P16" i="107"/>
  <c r="K16" i="107"/>
  <c r="J16" i="107"/>
  <c r="F16" i="107"/>
  <c r="H16" i="107" s="1"/>
  <c r="AE15" i="107"/>
  <c r="D21" i="106" s="1"/>
  <c r="AD15" i="107"/>
  <c r="AA15" i="107"/>
  <c r="Z15" i="107"/>
  <c r="M15" i="107"/>
  <c r="K15" i="107"/>
  <c r="J15" i="107"/>
  <c r="P15" i="107" s="1"/>
  <c r="W14" i="107"/>
  <c r="W13" i="107"/>
  <c r="W12" i="107"/>
  <c r="AG11" i="107"/>
  <c r="AF11" i="107"/>
  <c r="W11" i="107"/>
  <c r="AG10" i="107"/>
  <c r="AF10" i="107"/>
  <c r="W10" i="107"/>
  <c r="AG9" i="107"/>
  <c r="AF9" i="107"/>
  <c r="W9" i="107"/>
  <c r="W8" i="107"/>
  <c r="V8" i="107"/>
  <c r="P8" i="107"/>
  <c r="O8" i="107"/>
  <c r="Q8" i="107" s="1"/>
  <c r="N8" i="107"/>
  <c r="L8" i="107"/>
  <c r="K8" i="107"/>
  <c r="J8" i="107"/>
  <c r="H8" i="107"/>
  <c r="F8" i="107"/>
  <c r="AF7" i="107"/>
  <c r="W7" i="107"/>
  <c r="V7" i="107"/>
  <c r="R7" i="107"/>
  <c r="Q7" i="107"/>
  <c r="P7" i="107"/>
  <c r="O7" i="107"/>
  <c r="N7" i="107"/>
  <c r="AG7" i="107" s="1"/>
  <c r="L7" i="107"/>
  <c r="K7" i="107"/>
  <c r="J7" i="107"/>
  <c r="F7" i="107"/>
  <c r="H7" i="107" s="1"/>
  <c r="W6" i="107"/>
  <c r="N6" i="107" s="1"/>
  <c r="V6" i="107"/>
  <c r="P6" i="107"/>
  <c r="L6" i="107"/>
  <c r="K6" i="107"/>
  <c r="J6" i="107"/>
  <c r="H6" i="107"/>
  <c r="F6" i="107"/>
  <c r="AF5" i="107"/>
  <c r="W5" i="107"/>
  <c r="N5" i="107" s="1"/>
  <c r="K5" i="107"/>
  <c r="L5" i="107" s="1"/>
  <c r="J5" i="107"/>
  <c r="P5" i="107" s="1"/>
  <c r="H5" i="107"/>
  <c r="F5" i="107"/>
  <c r="I2" i="107"/>
  <c r="E1" i="107"/>
  <c r="J22" i="106"/>
  <c r="I22" i="106"/>
  <c r="G22" i="106"/>
  <c r="E22" i="106"/>
  <c r="D22" i="106"/>
  <c r="I21" i="106"/>
  <c r="H21" i="106"/>
  <c r="J20" i="106"/>
  <c r="I20" i="106"/>
  <c r="H20" i="106"/>
  <c r="G20" i="106"/>
  <c r="D20" i="106"/>
  <c r="R19" i="106"/>
  <c r="J19" i="106"/>
  <c r="I19" i="106"/>
  <c r="H19" i="106"/>
  <c r="G19" i="106"/>
  <c r="F19" i="106"/>
  <c r="E19" i="106"/>
  <c r="D19" i="106"/>
  <c r="J18" i="106"/>
  <c r="I18" i="106"/>
  <c r="E18" i="106"/>
  <c r="D18" i="106"/>
  <c r="J16" i="106"/>
  <c r="I16" i="106"/>
  <c r="H16" i="106"/>
  <c r="G16" i="106"/>
  <c r="F16" i="106"/>
  <c r="E16" i="106"/>
  <c r="D16" i="106"/>
  <c r="G3" i="106"/>
  <c r="AE79" i="105"/>
  <c r="J21" i="104" s="1"/>
  <c r="AD79" i="105"/>
  <c r="J20" i="104" s="1"/>
  <c r="AA79" i="105"/>
  <c r="Z79" i="105"/>
  <c r="M79" i="105"/>
  <c r="W78" i="105"/>
  <c r="H78" i="105"/>
  <c r="W77" i="105"/>
  <c r="H77" i="105"/>
  <c r="W76" i="105"/>
  <c r="H76" i="105"/>
  <c r="W75" i="105"/>
  <c r="H75" i="105"/>
  <c r="W74" i="105"/>
  <c r="W73" i="105"/>
  <c r="W72" i="105"/>
  <c r="W71" i="105"/>
  <c r="W70" i="105"/>
  <c r="N70" i="105" s="1"/>
  <c r="P70" i="105"/>
  <c r="K70" i="105"/>
  <c r="K79" i="105" s="1"/>
  <c r="J70" i="105"/>
  <c r="F70" i="105"/>
  <c r="H70" i="105" s="1"/>
  <c r="AE69" i="105"/>
  <c r="I21" i="104" s="1"/>
  <c r="AD69" i="105"/>
  <c r="I20" i="104" s="1"/>
  <c r="AA69" i="105"/>
  <c r="Z69" i="105"/>
  <c r="M69" i="105"/>
  <c r="W68" i="105"/>
  <c r="H68" i="105"/>
  <c r="W67" i="105"/>
  <c r="W66" i="105"/>
  <c r="W65" i="105"/>
  <c r="W64" i="105"/>
  <c r="N64" i="105" s="1"/>
  <c r="O64" i="105"/>
  <c r="K64" i="105"/>
  <c r="L64" i="105" s="1"/>
  <c r="J64" i="105"/>
  <c r="P64" i="105" s="1"/>
  <c r="F64" i="105"/>
  <c r="H64" i="105" s="1"/>
  <c r="AG63" i="105"/>
  <c r="AF63" i="105"/>
  <c r="W63" i="105"/>
  <c r="V63" i="105"/>
  <c r="P63" i="105"/>
  <c r="O63" i="105"/>
  <c r="N63" i="105"/>
  <c r="K63" i="105"/>
  <c r="L63" i="105" s="1"/>
  <c r="J63" i="105"/>
  <c r="F63" i="105"/>
  <c r="H63" i="105" s="1"/>
  <c r="AG62" i="105"/>
  <c r="W62" i="105"/>
  <c r="V62" i="105"/>
  <c r="R62" i="105"/>
  <c r="Q62" i="105"/>
  <c r="P62" i="105"/>
  <c r="O62" i="105"/>
  <c r="N62" i="105"/>
  <c r="AF62" i="105" s="1"/>
  <c r="L62" i="105"/>
  <c r="K62" i="105"/>
  <c r="J62" i="105"/>
  <c r="H62" i="105"/>
  <c r="F62" i="105"/>
  <c r="W61" i="105"/>
  <c r="V61" i="105"/>
  <c r="R61" i="105"/>
  <c r="Q61" i="105"/>
  <c r="P61" i="105"/>
  <c r="O61" i="105"/>
  <c r="N61" i="105"/>
  <c r="L61" i="105"/>
  <c r="K61" i="105"/>
  <c r="J61" i="105"/>
  <c r="H61" i="105"/>
  <c r="F61" i="105"/>
  <c r="W60" i="105"/>
  <c r="N60" i="105" s="1"/>
  <c r="V60" i="105"/>
  <c r="P60" i="105"/>
  <c r="K60" i="105"/>
  <c r="J60" i="105"/>
  <c r="F60" i="105"/>
  <c r="H60" i="105" s="1"/>
  <c r="AG59" i="105"/>
  <c r="AF59" i="105"/>
  <c r="W59" i="105"/>
  <c r="N59" i="105" s="1"/>
  <c r="O59" i="105"/>
  <c r="K59" i="105"/>
  <c r="J59" i="105"/>
  <c r="H59" i="105"/>
  <c r="F59" i="105"/>
  <c r="AE58" i="105"/>
  <c r="H21" i="104" s="1"/>
  <c r="AD58" i="105"/>
  <c r="AA58" i="105"/>
  <c r="Z58" i="105"/>
  <c r="N58" i="105"/>
  <c r="M58" i="105"/>
  <c r="W57" i="105"/>
  <c r="W56" i="105"/>
  <c r="W55" i="105"/>
  <c r="W54" i="105"/>
  <c r="W53" i="105"/>
  <c r="V53" i="105"/>
  <c r="P53" i="105"/>
  <c r="O53" i="105"/>
  <c r="N53" i="105"/>
  <c r="L53" i="105"/>
  <c r="K53" i="105"/>
  <c r="J53" i="105"/>
  <c r="F53" i="105"/>
  <c r="H53" i="105" s="1"/>
  <c r="W52" i="105"/>
  <c r="N52" i="105" s="1"/>
  <c r="O52" i="105" s="1"/>
  <c r="V52" i="105"/>
  <c r="K52" i="105"/>
  <c r="J52" i="105"/>
  <c r="P52" i="105" s="1"/>
  <c r="H52" i="105"/>
  <c r="F52" i="105"/>
  <c r="W51" i="105"/>
  <c r="V51" i="105"/>
  <c r="N51" i="105"/>
  <c r="K51" i="105"/>
  <c r="J51" i="105"/>
  <c r="P51" i="105" s="1"/>
  <c r="H51" i="105"/>
  <c r="F51" i="105"/>
  <c r="AG50" i="105"/>
  <c r="AF50" i="105"/>
  <c r="W50" i="105"/>
  <c r="N50" i="105" s="1"/>
  <c r="V50" i="105"/>
  <c r="P50" i="105"/>
  <c r="O50" i="105"/>
  <c r="K50" i="105"/>
  <c r="L50" i="105" s="1"/>
  <c r="J50" i="105"/>
  <c r="F50" i="105"/>
  <c r="H50" i="105" s="1"/>
  <c r="AG49" i="105"/>
  <c r="AF49" i="105"/>
  <c r="W49" i="105"/>
  <c r="O49" i="105"/>
  <c r="N49" i="105"/>
  <c r="K49" i="105"/>
  <c r="J49" i="105"/>
  <c r="F49" i="105"/>
  <c r="H49" i="105" s="1"/>
  <c r="AE48" i="105"/>
  <c r="G21" i="104" s="1"/>
  <c r="AD48" i="105"/>
  <c r="AA48" i="105"/>
  <c r="Z48" i="105"/>
  <c r="W48" i="105"/>
  <c r="M48" i="105"/>
  <c r="W47" i="105"/>
  <c r="H47" i="105"/>
  <c r="W46" i="105"/>
  <c r="W45" i="105"/>
  <c r="W44" i="105"/>
  <c r="W43" i="105"/>
  <c r="W42" i="105"/>
  <c r="V42" i="105"/>
  <c r="P42" i="105"/>
  <c r="N42" i="105"/>
  <c r="K42" i="105"/>
  <c r="L42" i="105" s="1"/>
  <c r="J42" i="105"/>
  <c r="H42" i="105"/>
  <c r="F42" i="105"/>
  <c r="W41" i="105"/>
  <c r="V41" i="105"/>
  <c r="O41" i="105"/>
  <c r="N41" i="105"/>
  <c r="K41" i="105"/>
  <c r="J41" i="105"/>
  <c r="H41" i="105"/>
  <c r="F41" i="105"/>
  <c r="W40" i="105"/>
  <c r="V40" i="105"/>
  <c r="P40" i="105"/>
  <c r="O40" i="105"/>
  <c r="N40" i="105"/>
  <c r="K40" i="105"/>
  <c r="L40" i="105" s="1"/>
  <c r="J40" i="105"/>
  <c r="F40" i="105"/>
  <c r="H40" i="105" s="1"/>
  <c r="W39" i="105"/>
  <c r="V39" i="105"/>
  <c r="P39" i="105"/>
  <c r="O39" i="105"/>
  <c r="N39" i="105"/>
  <c r="L39" i="105"/>
  <c r="K39" i="105"/>
  <c r="J39" i="105"/>
  <c r="F39" i="105"/>
  <c r="H39" i="105" s="1"/>
  <c r="AG38" i="105"/>
  <c r="AF38" i="105"/>
  <c r="W38" i="105"/>
  <c r="N38" i="105" s="1"/>
  <c r="O38" i="105" s="1"/>
  <c r="K38" i="105"/>
  <c r="J38" i="105"/>
  <c r="H38" i="105"/>
  <c r="F38" i="105"/>
  <c r="AE37" i="105"/>
  <c r="AD37" i="105"/>
  <c r="AA37" i="105"/>
  <c r="F19" i="104" s="1"/>
  <c r="Z37" i="105"/>
  <c r="M37" i="105"/>
  <c r="K37" i="105"/>
  <c r="W36" i="105"/>
  <c r="H36" i="105"/>
  <c r="W35" i="105"/>
  <c r="W34" i="105"/>
  <c r="W33" i="105"/>
  <c r="W32" i="105"/>
  <c r="N32" i="105" s="1"/>
  <c r="V32" i="105"/>
  <c r="P32" i="105"/>
  <c r="O32" i="105"/>
  <c r="L32" i="105"/>
  <c r="K32" i="105"/>
  <c r="J32" i="105"/>
  <c r="H32" i="105"/>
  <c r="F32" i="105"/>
  <c r="W31" i="105"/>
  <c r="V31" i="105"/>
  <c r="P31" i="105"/>
  <c r="N31" i="105"/>
  <c r="O31" i="105" s="1"/>
  <c r="K31" i="105"/>
  <c r="L31" i="105" s="1"/>
  <c r="J31" i="105"/>
  <c r="F31" i="105"/>
  <c r="H31" i="105" s="1"/>
  <c r="AG30" i="105"/>
  <c r="W30" i="105"/>
  <c r="V30" i="105"/>
  <c r="P30" i="105"/>
  <c r="N30" i="105"/>
  <c r="L30" i="105"/>
  <c r="K30" i="105"/>
  <c r="J30" i="105"/>
  <c r="F30" i="105"/>
  <c r="H30" i="105" s="1"/>
  <c r="W29" i="105"/>
  <c r="V29" i="105"/>
  <c r="O29" i="105"/>
  <c r="N29" i="105"/>
  <c r="K29" i="105"/>
  <c r="J29" i="105"/>
  <c r="F29" i="105"/>
  <c r="H29" i="105" s="1"/>
  <c r="AG28" i="105"/>
  <c r="W28" i="105"/>
  <c r="N28" i="105" s="1"/>
  <c r="V28" i="105"/>
  <c r="P28" i="105"/>
  <c r="L28" i="105"/>
  <c r="K28" i="105"/>
  <c r="J28" i="105"/>
  <c r="H28" i="105"/>
  <c r="F28" i="105"/>
  <c r="W27" i="105"/>
  <c r="N27" i="105" s="1"/>
  <c r="K27" i="105"/>
  <c r="J27" i="105"/>
  <c r="F27" i="105"/>
  <c r="H27" i="105" s="1"/>
  <c r="AE26" i="105"/>
  <c r="AD26" i="105"/>
  <c r="AA26" i="105"/>
  <c r="E19" i="104" s="1"/>
  <c r="Z26" i="105"/>
  <c r="E18" i="104" s="1"/>
  <c r="M26" i="105"/>
  <c r="W25" i="105"/>
  <c r="H25" i="105"/>
  <c r="W24" i="105"/>
  <c r="H24" i="105"/>
  <c r="W23" i="105"/>
  <c r="W21" i="105"/>
  <c r="W20" i="105"/>
  <c r="N20" i="105" s="1"/>
  <c r="V20" i="105"/>
  <c r="P20" i="105"/>
  <c r="O20" i="105"/>
  <c r="L20" i="105"/>
  <c r="K20" i="105"/>
  <c r="J20" i="105"/>
  <c r="F20" i="105"/>
  <c r="H20" i="105" s="1"/>
  <c r="W19" i="105"/>
  <c r="V19" i="105"/>
  <c r="P19" i="105"/>
  <c r="N19" i="105"/>
  <c r="K19" i="105"/>
  <c r="J19" i="105"/>
  <c r="L19" i="105" s="1"/>
  <c r="H19" i="105"/>
  <c r="F19" i="105"/>
  <c r="W18" i="105"/>
  <c r="N18" i="105" s="1"/>
  <c r="O18" i="105" s="1"/>
  <c r="V18" i="105"/>
  <c r="P18" i="105"/>
  <c r="K18" i="105"/>
  <c r="J18" i="105"/>
  <c r="F18" i="105"/>
  <c r="H18" i="105" s="1"/>
  <c r="W17" i="105"/>
  <c r="N17" i="105" s="1"/>
  <c r="V17" i="105"/>
  <c r="K17" i="105"/>
  <c r="L17" i="105" s="1"/>
  <c r="J17" i="105"/>
  <c r="P17" i="105" s="1"/>
  <c r="H17" i="105"/>
  <c r="F17" i="105"/>
  <c r="AG16" i="105"/>
  <c r="AF16" i="105"/>
  <c r="W16" i="105"/>
  <c r="N16" i="105" s="1"/>
  <c r="O16" i="105"/>
  <c r="K16" i="105"/>
  <c r="J16" i="105"/>
  <c r="P16" i="105" s="1"/>
  <c r="H16" i="105"/>
  <c r="F16" i="105"/>
  <c r="AE15" i="105"/>
  <c r="AD15" i="105"/>
  <c r="AA15" i="105"/>
  <c r="Z15" i="105"/>
  <c r="M15" i="105"/>
  <c r="W14" i="105"/>
  <c r="W13" i="105"/>
  <c r="W12" i="105"/>
  <c r="W11" i="105"/>
  <c r="W10" i="105"/>
  <c r="N10" i="105" s="1"/>
  <c r="V10" i="105"/>
  <c r="K10" i="105"/>
  <c r="J10" i="105"/>
  <c r="P10" i="105" s="1"/>
  <c r="H10" i="105"/>
  <c r="F10" i="105"/>
  <c r="AG9" i="105"/>
  <c r="AF9" i="105"/>
  <c r="W9" i="105"/>
  <c r="N9" i="105" s="1"/>
  <c r="O9" i="105" s="1"/>
  <c r="V9" i="105"/>
  <c r="K9" i="105"/>
  <c r="J9" i="105"/>
  <c r="P9" i="105" s="1"/>
  <c r="F9" i="105"/>
  <c r="H9" i="105" s="1"/>
  <c r="AG8" i="105"/>
  <c r="AF8" i="105"/>
  <c r="W8" i="105"/>
  <c r="V8" i="105"/>
  <c r="R8" i="105"/>
  <c r="N8" i="105"/>
  <c r="O8" i="105" s="1"/>
  <c r="Q8" i="105" s="1"/>
  <c r="L8" i="105"/>
  <c r="K8" i="105"/>
  <c r="J8" i="105"/>
  <c r="P8" i="105" s="1"/>
  <c r="H8" i="105"/>
  <c r="F8" i="105"/>
  <c r="W7" i="105"/>
  <c r="V7" i="105"/>
  <c r="N7" i="105"/>
  <c r="L7" i="105"/>
  <c r="K7" i="105"/>
  <c r="J7" i="105"/>
  <c r="P7" i="105" s="1"/>
  <c r="F7" i="105"/>
  <c r="H7" i="105" s="1"/>
  <c r="W6" i="105"/>
  <c r="N6" i="105" s="1"/>
  <c r="V6" i="105"/>
  <c r="K6" i="105"/>
  <c r="J6" i="105"/>
  <c r="H6" i="105"/>
  <c r="F6" i="105"/>
  <c r="W5" i="105"/>
  <c r="N5" i="105" s="1"/>
  <c r="O5" i="105" s="1"/>
  <c r="K5" i="105"/>
  <c r="J5" i="105"/>
  <c r="H5" i="105"/>
  <c r="F5" i="105"/>
  <c r="AA2" i="105"/>
  <c r="I2" i="105"/>
  <c r="E1" i="105"/>
  <c r="G3" i="104" s="1"/>
  <c r="J22" i="104"/>
  <c r="G22" i="104"/>
  <c r="E22" i="104"/>
  <c r="D22" i="104"/>
  <c r="F21" i="104"/>
  <c r="E21" i="104"/>
  <c r="D21" i="104"/>
  <c r="G20" i="104"/>
  <c r="F20" i="104"/>
  <c r="E20" i="104"/>
  <c r="D20" i="104"/>
  <c r="R19" i="104"/>
  <c r="J19" i="104"/>
  <c r="H19" i="104"/>
  <c r="G19" i="104"/>
  <c r="D19" i="104"/>
  <c r="I18" i="104"/>
  <c r="H18" i="104"/>
  <c r="G18" i="104"/>
  <c r="F18" i="104"/>
  <c r="D18" i="104"/>
  <c r="J16" i="104"/>
  <c r="I16" i="104"/>
  <c r="H16" i="104"/>
  <c r="G16" i="104"/>
  <c r="F16" i="104"/>
  <c r="E16" i="104"/>
  <c r="D16" i="104"/>
  <c r="AE79" i="103"/>
  <c r="AD79" i="103"/>
  <c r="J20" i="102" s="1"/>
  <c r="AA79" i="103"/>
  <c r="Z79" i="103"/>
  <c r="O79" i="103"/>
  <c r="N79" i="103"/>
  <c r="M79" i="103"/>
  <c r="K79" i="103"/>
  <c r="W78" i="103"/>
  <c r="H78" i="103"/>
  <c r="W77" i="103"/>
  <c r="H77" i="103"/>
  <c r="W76" i="103"/>
  <c r="H76" i="103"/>
  <c r="W75" i="103"/>
  <c r="H75" i="103"/>
  <c r="W74" i="103"/>
  <c r="W73" i="103"/>
  <c r="W72" i="103"/>
  <c r="W71" i="103"/>
  <c r="W70" i="103"/>
  <c r="O70" i="103"/>
  <c r="N70" i="103"/>
  <c r="L70" i="103"/>
  <c r="K70" i="103"/>
  <c r="J70" i="103"/>
  <c r="P70" i="103" s="1"/>
  <c r="F70" i="103"/>
  <c r="H70" i="103" s="1"/>
  <c r="AE69" i="103"/>
  <c r="AD69" i="103"/>
  <c r="AA69" i="103"/>
  <c r="J18" i="102" s="1"/>
  <c r="Z69" i="103"/>
  <c r="I18" i="102" s="1"/>
  <c r="M69" i="103"/>
  <c r="W68" i="103"/>
  <c r="H68" i="103"/>
  <c r="W67" i="103"/>
  <c r="W66" i="103"/>
  <c r="W65" i="103"/>
  <c r="W64" i="103"/>
  <c r="W63" i="103"/>
  <c r="V63" i="103"/>
  <c r="N63" i="103"/>
  <c r="K63" i="103"/>
  <c r="J63" i="103"/>
  <c r="H63" i="103"/>
  <c r="F63" i="103"/>
  <c r="AF62" i="103"/>
  <c r="W62" i="103"/>
  <c r="V62" i="103"/>
  <c r="O62" i="103"/>
  <c r="N62" i="103"/>
  <c r="K62" i="103"/>
  <c r="J62" i="103"/>
  <c r="P62" i="103" s="1"/>
  <c r="F62" i="103"/>
  <c r="H62" i="103" s="1"/>
  <c r="W61" i="103"/>
  <c r="V61" i="103"/>
  <c r="N61" i="103"/>
  <c r="K61" i="103"/>
  <c r="J61" i="103"/>
  <c r="F61" i="103"/>
  <c r="H61" i="103" s="1"/>
  <c r="W60" i="103"/>
  <c r="V60" i="103"/>
  <c r="N60" i="103"/>
  <c r="L60" i="103"/>
  <c r="K60" i="103"/>
  <c r="J60" i="103"/>
  <c r="P60" i="103" s="1"/>
  <c r="H60" i="103"/>
  <c r="F60" i="103"/>
  <c r="W59" i="103"/>
  <c r="N59" i="103"/>
  <c r="K59" i="103"/>
  <c r="J59" i="103"/>
  <c r="H59" i="103"/>
  <c r="F59" i="103"/>
  <c r="AE58" i="103"/>
  <c r="AD58" i="103"/>
  <c r="AA58" i="103"/>
  <c r="H19" i="102" s="1"/>
  <c r="Z58" i="103"/>
  <c r="M58" i="103"/>
  <c r="K58" i="103"/>
  <c r="J58" i="103"/>
  <c r="P58" i="103" s="1"/>
  <c r="W57" i="103"/>
  <c r="W56" i="103"/>
  <c r="W55" i="103"/>
  <c r="W54" i="103"/>
  <c r="W53" i="103"/>
  <c r="AG52" i="103"/>
  <c r="AF52" i="103"/>
  <c r="W52" i="103"/>
  <c r="V52" i="103"/>
  <c r="P52" i="103"/>
  <c r="O52" i="103"/>
  <c r="K52" i="103"/>
  <c r="L52" i="103" s="1"/>
  <c r="J52" i="103"/>
  <c r="H52" i="103"/>
  <c r="G52" i="103"/>
  <c r="N52" i="103" s="1"/>
  <c r="F52" i="103"/>
  <c r="W51" i="103"/>
  <c r="N51" i="103" s="1"/>
  <c r="V51" i="103"/>
  <c r="K51" i="103"/>
  <c r="J51" i="103"/>
  <c r="P51" i="103" s="1"/>
  <c r="H51" i="103"/>
  <c r="F51" i="103"/>
  <c r="AF50" i="103"/>
  <c r="W50" i="103"/>
  <c r="V50" i="103"/>
  <c r="P50" i="103"/>
  <c r="O50" i="103"/>
  <c r="N50" i="103"/>
  <c r="K50" i="103"/>
  <c r="J50" i="103"/>
  <c r="H50" i="103"/>
  <c r="F50" i="103"/>
  <c r="W49" i="103"/>
  <c r="P49" i="103"/>
  <c r="N49" i="103"/>
  <c r="L49" i="103"/>
  <c r="K49" i="103"/>
  <c r="J49" i="103"/>
  <c r="H49" i="103"/>
  <c r="F49" i="103"/>
  <c r="AE48" i="103"/>
  <c r="G21" i="102" s="1"/>
  <c r="AD48" i="103"/>
  <c r="AA48" i="103"/>
  <c r="G19" i="102" s="1"/>
  <c r="Z48" i="103"/>
  <c r="W48" i="103"/>
  <c r="M48" i="103"/>
  <c r="W47" i="103"/>
  <c r="H47" i="103"/>
  <c r="W46" i="103"/>
  <c r="W45" i="103"/>
  <c r="W44" i="103"/>
  <c r="W43" i="103"/>
  <c r="W42" i="103"/>
  <c r="W41" i="103"/>
  <c r="W40" i="103"/>
  <c r="V40" i="103"/>
  <c r="P40" i="103"/>
  <c r="L40" i="103"/>
  <c r="K40" i="103"/>
  <c r="J40" i="103"/>
  <c r="H40" i="103"/>
  <c r="G40" i="103"/>
  <c r="F40" i="103"/>
  <c r="W39" i="103"/>
  <c r="N39" i="103" s="1"/>
  <c r="V39" i="103"/>
  <c r="L39" i="103"/>
  <c r="K39" i="103"/>
  <c r="J39" i="103"/>
  <c r="P39" i="103" s="1"/>
  <c r="F39" i="103"/>
  <c r="H39" i="103" s="1"/>
  <c r="W38" i="103"/>
  <c r="N38" i="103" s="1"/>
  <c r="K38" i="103"/>
  <c r="J38" i="103"/>
  <c r="P38" i="103" s="1"/>
  <c r="H38" i="103"/>
  <c r="F38" i="103"/>
  <c r="AE37" i="103"/>
  <c r="AD37" i="103"/>
  <c r="AA37" i="103"/>
  <c r="Z37" i="103"/>
  <c r="F18" i="102" s="1"/>
  <c r="M37" i="103"/>
  <c r="W36" i="103"/>
  <c r="H36" i="103"/>
  <c r="W35" i="103"/>
  <c r="W34" i="103"/>
  <c r="W33" i="103"/>
  <c r="W32" i="103"/>
  <c r="AG31" i="103"/>
  <c r="AF31" i="103"/>
  <c r="W31" i="103"/>
  <c r="AG30" i="103"/>
  <c r="AF30" i="103"/>
  <c r="W30" i="103"/>
  <c r="V30" i="103"/>
  <c r="W29" i="103"/>
  <c r="V29" i="103"/>
  <c r="P29" i="103"/>
  <c r="N29" i="103"/>
  <c r="L29" i="103"/>
  <c r="K29" i="103"/>
  <c r="J29" i="103"/>
  <c r="F29" i="103"/>
  <c r="H29" i="103" s="1"/>
  <c r="W28" i="103"/>
  <c r="V28" i="103"/>
  <c r="P28" i="103"/>
  <c r="O28" i="103"/>
  <c r="R28" i="103" s="1"/>
  <c r="N28" i="103"/>
  <c r="K28" i="103"/>
  <c r="L28" i="103" s="1"/>
  <c r="J28" i="103"/>
  <c r="H28" i="103"/>
  <c r="F28" i="103"/>
  <c r="W27" i="103"/>
  <c r="K27" i="103"/>
  <c r="J27" i="103"/>
  <c r="P27" i="103" s="1"/>
  <c r="G27" i="103"/>
  <c r="F27" i="103"/>
  <c r="AE26" i="103"/>
  <c r="E21" i="102" s="1"/>
  <c r="AD26" i="103"/>
  <c r="E20" i="102" s="1"/>
  <c r="AA26" i="103"/>
  <c r="Z26" i="103"/>
  <c r="M26" i="103"/>
  <c r="J26" i="103"/>
  <c r="P26" i="103" s="1"/>
  <c r="W25" i="103"/>
  <c r="H25" i="103"/>
  <c r="W24" i="103"/>
  <c r="H24" i="103"/>
  <c r="W23" i="103"/>
  <c r="W21" i="103"/>
  <c r="W20" i="103"/>
  <c r="AG19" i="103"/>
  <c r="AF19" i="103"/>
  <c r="W19" i="103"/>
  <c r="N19" i="103" s="1"/>
  <c r="O19" i="103" s="1"/>
  <c r="V19" i="103"/>
  <c r="R19" i="103"/>
  <c r="Q19" i="103"/>
  <c r="P19" i="103"/>
  <c r="K19" i="103"/>
  <c r="J19" i="103"/>
  <c r="L19" i="103" s="1"/>
  <c r="H19" i="103"/>
  <c r="F19" i="103"/>
  <c r="W18" i="103"/>
  <c r="V18" i="103"/>
  <c r="N18" i="103"/>
  <c r="K18" i="103"/>
  <c r="J18" i="103"/>
  <c r="H18" i="103"/>
  <c r="F18" i="103"/>
  <c r="W17" i="103"/>
  <c r="V17" i="103"/>
  <c r="P17" i="103"/>
  <c r="O17" i="103"/>
  <c r="N17" i="103"/>
  <c r="K17" i="103"/>
  <c r="J17" i="103"/>
  <c r="F17" i="103"/>
  <c r="H17" i="103" s="1"/>
  <c r="W16" i="103"/>
  <c r="N16" i="103" s="1"/>
  <c r="P16" i="103"/>
  <c r="K16" i="103"/>
  <c r="J16" i="103"/>
  <c r="H16" i="103"/>
  <c r="F16" i="103"/>
  <c r="AE15" i="103"/>
  <c r="AD15" i="103"/>
  <c r="AA15" i="103"/>
  <c r="Z15" i="103"/>
  <c r="D18" i="102" s="1"/>
  <c r="M15" i="103"/>
  <c r="W14" i="103"/>
  <c r="W13" i="103"/>
  <c r="W12" i="103"/>
  <c r="AG11" i="103"/>
  <c r="AF11" i="103"/>
  <c r="W11" i="103"/>
  <c r="AG10" i="103"/>
  <c r="AF10" i="103"/>
  <c r="W10" i="103"/>
  <c r="AG9" i="103"/>
  <c r="W9" i="103"/>
  <c r="V9" i="103"/>
  <c r="P9" i="103"/>
  <c r="N9" i="103"/>
  <c r="L9" i="103"/>
  <c r="K9" i="103"/>
  <c r="J9" i="103"/>
  <c r="F9" i="103"/>
  <c r="H9" i="103" s="1"/>
  <c r="AF8" i="103"/>
  <c r="W8" i="103"/>
  <c r="N8" i="103" s="1"/>
  <c r="AG8" i="103" s="1"/>
  <c r="V8" i="103"/>
  <c r="O8" i="103"/>
  <c r="K8" i="103"/>
  <c r="J8" i="103"/>
  <c r="P8" i="103" s="1"/>
  <c r="F8" i="103"/>
  <c r="H8" i="103" s="1"/>
  <c r="AF7" i="103"/>
  <c r="W7" i="103"/>
  <c r="N7" i="103" s="1"/>
  <c r="V7" i="103"/>
  <c r="K7" i="103"/>
  <c r="J7" i="103"/>
  <c r="F7" i="103"/>
  <c r="H7" i="103" s="1"/>
  <c r="AF6" i="103"/>
  <c r="W6" i="103"/>
  <c r="N6" i="103" s="1"/>
  <c r="V6" i="103"/>
  <c r="P6" i="103"/>
  <c r="K6" i="103"/>
  <c r="J6" i="103"/>
  <c r="L6" i="103" s="1"/>
  <c r="H6" i="103"/>
  <c r="F6" i="103"/>
  <c r="AG5" i="103"/>
  <c r="W5" i="103"/>
  <c r="P5" i="103"/>
  <c r="O5" i="103"/>
  <c r="N5" i="103"/>
  <c r="K5" i="103"/>
  <c r="L5" i="103" s="1"/>
  <c r="J5" i="103"/>
  <c r="H5" i="103"/>
  <c r="F5" i="103"/>
  <c r="AD2" i="103"/>
  <c r="AA2" i="103"/>
  <c r="Z2" i="103"/>
  <c r="I2" i="103"/>
  <c r="J22" i="102"/>
  <c r="H22" i="102"/>
  <c r="E22" i="102"/>
  <c r="D22" i="102"/>
  <c r="J21" i="102"/>
  <c r="I21" i="102"/>
  <c r="H21" i="102"/>
  <c r="F21" i="102"/>
  <c r="I20" i="102"/>
  <c r="H20" i="102"/>
  <c r="G20" i="102"/>
  <c r="F20" i="102"/>
  <c r="D20" i="102"/>
  <c r="R19" i="102"/>
  <c r="J19" i="102"/>
  <c r="I19" i="102"/>
  <c r="F19" i="102"/>
  <c r="E19" i="102"/>
  <c r="D19" i="102"/>
  <c r="H18" i="102"/>
  <c r="G18" i="102"/>
  <c r="E18" i="102"/>
  <c r="J16" i="102"/>
  <c r="I16" i="102"/>
  <c r="H16" i="102"/>
  <c r="G16" i="102"/>
  <c r="F16" i="102"/>
  <c r="E16" i="102"/>
  <c r="D16" i="102"/>
  <c r="AE79" i="101"/>
  <c r="AD79" i="101"/>
  <c r="J20" i="100" s="1"/>
  <c r="AA79" i="101"/>
  <c r="Z79" i="101"/>
  <c r="M79" i="101"/>
  <c r="W78" i="101"/>
  <c r="H78" i="101"/>
  <c r="W77" i="101"/>
  <c r="H77" i="101"/>
  <c r="W76" i="101"/>
  <c r="H76" i="101"/>
  <c r="W75" i="101"/>
  <c r="H75" i="101"/>
  <c r="W74" i="101"/>
  <c r="W73" i="101"/>
  <c r="W72" i="101"/>
  <c r="W71" i="101"/>
  <c r="W70" i="101"/>
  <c r="N70" i="101" s="1"/>
  <c r="K70" i="101"/>
  <c r="K79" i="101" s="1"/>
  <c r="J70" i="101"/>
  <c r="H70" i="101"/>
  <c r="F70" i="101"/>
  <c r="AE69" i="101"/>
  <c r="AD69" i="101"/>
  <c r="AA69" i="101"/>
  <c r="Z69" i="101"/>
  <c r="M69" i="101"/>
  <c r="I22" i="100" s="1"/>
  <c r="W68" i="101"/>
  <c r="H68" i="101"/>
  <c r="W67" i="101"/>
  <c r="W66" i="101"/>
  <c r="W65" i="101"/>
  <c r="W64" i="101"/>
  <c r="AG63" i="101"/>
  <c r="AF63" i="101"/>
  <c r="W63" i="101"/>
  <c r="N63" i="101" s="1"/>
  <c r="O63" i="101" s="1"/>
  <c r="V63" i="101"/>
  <c r="K63" i="101"/>
  <c r="J63" i="101"/>
  <c r="H63" i="101"/>
  <c r="F63" i="101"/>
  <c r="AF62" i="101"/>
  <c r="W62" i="101"/>
  <c r="N62" i="101" s="1"/>
  <c r="AG62" i="101" s="1"/>
  <c r="V62" i="101"/>
  <c r="O62" i="101"/>
  <c r="L62" i="101"/>
  <c r="K62" i="101"/>
  <c r="J62" i="101"/>
  <c r="P62" i="101" s="1"/>
  <c r="F62" i="101"/>
  <c r="H62" i="101" s="1"/>
  <c r="AG61" i="101"/>
  <c r="AF61" i="101"/>
  <c r="W61" i="101"/>
  <c r="N61" i="101" s="1"/>
  <c r="V61" i="101"/>
  <c r="P61" i="101"/>
  <c r="O61" i="101"/>
  <c r="K61" i="101"/>
  <c r="L61" i="101" s="1"/>
  <c r="J61" i="101"/>
  <c r="F61" i="101"/>
  <c r="H61" i="101" s="1"/>
  <c r="W60" i="101"/>
  <c r="V60" i="101"/>
  <c r="P60" i="101"/>
  <c r="O60" i="101"/>
  <c r="R60" i="101" s="1"/>
  <c r="N60" i="101"/>
  <c r="L60" i="101"/>
  <c r="K60" i="101"/>
  <c r="AG60" i="101" s="1"/>
  <c r="J60" i="101"/>
  <c r="H60" i="101"/>
  <c r="F60" i="101"/>
  <c r="AF59" i="101"/>
  <c r="W59" i="101"/>
  <c r="R59" i="101"/>
  <c r="Q59" i="101"/>
  <c r="P59" i="101"/>
  <c r="O59" i="101"/>
  <c r="N59" i="101"/>
  <c r="AG59" i="101" s="1"/>
  <c r="L59" i="101"/>
  <c r="K59" i="101"/>
  <c r="J59" i="101"/>
  <c r="F59" i="101"/>
  <c r="H59" i="101" s="1"/>
  <c r="AE58" i="101"/>
  <c r="H21" i="100" s="1"/>
  <c r="AD58" i="101"/>
  <c r="H20" i="100" s="1"/>
  <c r="AA58" i="101"/>
  <c r="H19" i="100" s="1"/>
  <c r="Z58" i="101"/>
  <c r="H18" i="100" s="1"/>
  <c r="M58" i="101"/>
  <c r="W57" i="101"/>
  <c r="W56" i="101"/>
  <c r="W55" i="101"/>
  <c r="W54" i="101"/>
  <c r="AG53" i="101"/>
  <c r="AF53" i="101"/>
  <c r="W53" i="101"/>
  <c r="AG52" i="101"/>
  <c r="AF52" i="101"/>
  <c r="W52" i="101"/>
  <c r="N52" i="101" s="1"/>
  <c r="V52" i="101"/>
  <c r="P52" i="101"/>
  <c r="O52" i="101"/>
  <c r="L52" i="101"/>
  <c r="K52" i="101"/>
  <c r="J52" i="101"/>
  <c r="F52" i="101"/>
  <c r="H52" i="101" s="1"/>
  <c r="AG51" i="101"/>
  <c r="W51" i="101"/>
  <c r="N51" i="101" s="1"/>
  <c r="V51" i="101"/>
  <c r="O51" i="101"/>
  <c r="K51" i="101"/>
  <c r="J51" i="101"/>
  <c r="P51" i="101" s="1"/>
  <c r="F51" i="101"/>
  <c r="H51" i="101" s="1"/>
  <c r="W50" i="101"/>
  <c r="V50" i="101"/>
  <c r="N50" i="101"/>
  <c r="O50" i="101" s="1"/>
  <c r="K50" i="101"/>
  <c r="J50" i="101"/>
  <c r="P50" i="101" s="1"/>
  <c r="F50" i="101"/>
  <c r="H50" i="101" s="1"/>
  <c r="W49" i="101"/>
  <c r="N49" i="101"/>
  <c r="K49" i="101"/>
  <c r="J49" i="101"/>
  <c r="H49" i="101"/>
  <c r="F49" i="101"/>
  <c r="AE48" i="101"/>
  <c r="AD48" i="101"/>
  <c r="G20" i="100" s="1"/>
  <c r="AA48" i="101"/>
  <c r="G19" i="100" s="1"/>
  <c r="Z48" i="101"/>
  <c r="W48" i="101"/>
  <c r="N48" i="101"/>
  <c r="M48" i="101"/>
  <c r="W47" i="101"/>
  <c r="H47" i="101"/>
  <c r="W46" i="101"/>
  <c r="W45" i="101"/>
  <c r="W44" i="101"/>
  <c r="W43" i="101"/>
  <c r="W42" i="101"/>
  <c r="W41" i="101"/>
  <c r="AG40" i="101"/>
  <c r="W40" i="101"/>
  <c r="V40" i="101"/>
  <c r="O40" i="101"/>
  <c r="N40" i="101"/>
  <c r="AF40" i="101" s="1"/>
  <c r="K40" i="101"/>
  <c r="J40" i="101"/>
  <c r="H40" i="101"/>
  <c r="F40" i="101"/>
  <c r="W39" i="101"/>
  <c r="N39" i="101" s="1"/>
  <c r="V39" i="101"/>
  <c r="P39" i="101"/>
  <c r="O39" i="101"/>
  <c r="L39" i="101"/>
  <c r="K39" i="101"/>
  <c r="J39" i="101"/>
  <c r="F39" i="101"/>
  <c r="H39" i="101" s="1"/>
  <c r="W38" i="101"/>
  <c r="N38" i="101" s="1"/>
  <c r="O38" i="101"/>
  <c r="K38" i="101"/>
  <c r="J38" i="101"/>
  <c r="P38" i="101" s="1"/>
  <c r="F38" i="101"/>
  <c r="H38" i="101" s="1"/>
  <c r="AE37" i="101"/>
  <c r="AD37" i="101"/>
  <c r="AA37" i="101"/>
  <c r="F19" i="100" s="1"/>
  <c r="Z37" i="101"/>
  <c r="F18" i="100" s="1"/>
  <c r="M37" i="101"/>
  <c r="J37" i="101"/>
  <c r="W36" i="101"/>
  <c r="H36" i="101"/>
  <c r="W35" i="101"/>
  <c r="W34" i="101"/>
  <c r="W33" i="101"/>
  <c r="W32" i="101"/>
  <c r="AG31" i="101"/>
  <c r="AF31" i="101"/>
  <c r="W31" i="101"/>
  <c r="AG30" i="101"/>
  <c r="AF30" i="101"/>
  <c r="W30" i="101"/>
  <c r="V30" i="101"/>
  <c r="AF29" i="101"/>
  <c r="W29" i="101"/>
  <c r="V29" i="101"/>
  <c r="P29" i="101"/>
  <c r="O29" i="101"/>
  <c r="N29" i="101"/>
  <c r="AG29" i="101" s="1"/>
  <c r="L29" i="101"/>
  <c r="K29" i="101"/>
  <c r="J29" i="101"/>
  <c r="F29" i="101"/>
  <c r="H29" i="101" s="1"/>
  <c r="W28" i="101"/>
  <c r="N28" i="101" s="1"/>
  <c r="V28" i="101"/>
  <c r="K28" i="101"/>
  <c r="J28" i="101"/>
  <c r="P28" i="101" s="1"/>
  <c r="H28" i="101"/>
  <c r="F28" i="101"/>
  <c r="AG27" i="101"/>
  <c r="W27" i="101"/>
  <c r="N27" i="101" s="1"/>
  <c r="P27" i="101"/>
  <c r="K27" i="101"/>
  <c r="J27" i="101"/>
  <c r="L27" i="101" s="1"/>
  <c r="F27" i="101"/>
  <c r="H27" i="101" s="1"/>
  <c r="AE26" i="101"/>
  <c r="E21" i="100" s="1"/>
  <c r="AD26" i="101"/>
  <c r="AA26" i="101"/>
  <c r="E19" i="100" s="1"/>
  <c r="Z26" i="101"/>
  <c r="M26" i="101"/>
  <c r="W25" i="101"/>
  <c r="H25" i="101"/>
  <c r="W24" i="101"/>
  <c r="H24" i="101"/>
  <c r="W23" i="101"/>
  <c r="W21" i="101"/>
  <c r="W20" i="101"/>
  <c r="AF19" i="101"/>
  <c r="W19" i="101"/>
  <c r="V19" i="101"/>
  <c r="N19" i="101"/>
  <c r="K19" i="101"/>
  <c r="J19" i="101"/>
  <c r="H19" i="101"/>
  <c r="F19" i="101"/>
  <c r="AF18" i="101"/>
  <c r="W18" i="101"/>
  <c r="N18" i="101" s="1"/>
  <c r="V18" i="101"/>
  <c r="K18" i="101"/>
  <c r="J18" i="101"/>
  <c r="P18" i="101" s="1"/>
  <c r="H18" i="101"/>
  <c r="F18" i="101"/>
  <c r="W17" i="101"/>
  <c r="N17" i="101" s="1"/>
  <c r="V17" i="101"/>
  <c r="L17" i="101"/>
  <c r="K17" i="101"/>
  <c r="J17" i="101"/>
  <c r="H17" i="101"/>
  <c r="F17" i="101"/>
  <c r="AG16" i="101"/>
  <c r="W16" i="101"/>
  <c r="P16" i="101"/>
  <c r="N16" i="101"/>
  <c r="L16" i="101"/>
  <c r="K16" i="101"/>
  <c r="J16" i="101"/>
  <c r="F16" i="101"/>
  <c r="H16" i="101" s="1"/>
  <c r="AE15" i="101"/>
  <c r="AD15" i="101"/>
  <c r="AA15" i="101"/>
  <c r="Z15" i="101"/>
  <c r="M15" i="101"/>
  <c r="J15" i="101"/>
  <c r="P15" i="101" s="1"/>
  <c r="W14" i="101"/>
  <c r="W13" i="101"/>
  <c r="W12" i="101"/>
  <c r="AG11" i="101"/>
  <c r="AF11" i="101"/>
  <c r="W11" i="101"/>
  <c r="AG10" i="101"/>
  <c r="AF10" i="101"/>
  <c r="W10" i="101"/>
  <c r="AG9" i="101"/>
  <c r="AF9" i="101"/>
  <c r="W9" i="101"/>
  <c r="AG8" i="101"/>
  <c r="AF8" i="101"/>
  <c r="W8" i="101"/>
  <c r="AG7" i="101"/>
  <c r="W7" i="101"/>
  <c r="V7" i="101"/>
  <c r="N7" i="101"/>
  <c r="K7" i="101"/>
  <c r="L7" i="101" s="1"/>
  <c r="J7" i="101"/>
  <c r="P7" i="101" s="1"/>
  <c r="H7" i="101"/>
  <c r="F7" i="101"/>
  <c r="W6" i="101"/>
  <c r="V6" i="101"/>
  <c r="P6" i="101"/>
  <c r="N6" i="101"/>
  <c r="K6" i="101"/>
  <c r="L6" i="101" s="1"/>
  <c r="J6" i="101"/>
  <c r="H6" i="101"/>
  <c r="F6" i="101"/>
  <c r="AG5" i="101"/>
  <c r="W5" i="101"/>
  <c r="P5" i="101"/>
  <c r="N5" i="101"/>
  <c r="K5" i="101"/>
  <c r="J5" i="101"/>
  <c r="H5" i="101"/>
  <c r="F5" i="101"/>
  <c r="AA2" i="101"/>
  <c r="I2" i="101"/>
  <c r="I1" i="101"/>
  <c r="E1" i="101"/>
  <c r="G3" i="100" s="1"/>
  <c r="J22" i="100"/>
  <c r="D22" i="100"/>
  <c r="J21" i="100"/>
  <c r="I21" i="100"/>
  <c r="G21" i="100"/>
  <c r="F21" i="100"/>
  <c r="I20" i="100"/>
  <c r="F20" i="100"/>
  <c r="E20" i="100"/>
  <c r="D20" i="100"/>
  <c r="R19" i="100"/>
  <c r="J19" i="100"/>
  <c r="I19" i="100"/>
  <c r="D19" i="100"/>
  <c r="J18" i="100"/>
  <c r="I18" i="100"/>
  <c r="G18" i="100"/>
  <c r="D18" i="100"/>
  <c r="J16" i="100"/>
  <c r="I16" i="100"/>
  <c r="H16" i="100"/>
  <c r="G16" i="100"/>
  <c r="F16" i="100"/>
  <c r="E16" i="100"/>
  <c r="D16" i="100"/>
  <c r="AE79" i="99"/>
  <c r="J21" i="98" s="1"/>
  <c r="AD79" i="99"/>
  <c r="AA79" i="99"/>
  <c r="Z79" i="99"/>
  <c r="N79" i="99"/>
  <c r="M79" i="99"/>
  <c r="W78" i="99"/>
  <c r="H78" i="99"/>
  <c r="W77" i="99"/>
  <c r="H77" i="99"/>
  <c r="W76" i="99"/>
  <c r="H76" i="99"/>
  <c r="W75" i="99"/>
  <c r="H75" i="99"/>
  <c r="W74" i="99"/>
  <c r="W73" i="99"/>
  <c r="W72" i="99"/>
  <c r="W71" i="99"/>
  <c r="AG70" i="99"/>
  <c r="W70" i="99"/>
  <c r="P70" i="99"/>
  <c r="N70" i="99"/>
  <c r="K70" i="99"/>
  <c r="J70" i="99"/>
  <c r="J79" i="99" s="1"/>
  <c r="P79" i="99" s="1"/>
  <c r="H70" i="99"/>
  <c r="F70" i="99"/>
  <c r="AE69" i="99"/>
  <c r="AD69" i="99"/>
  <c r="AA69" i="99"/>
  <c r="J18" i="98" s="1"/>
  <c r="Z69" i="99"/>
  <c r="M69" i="99"/>
  <c r="W68" i="99"/>
  <c r="H68" i="99"/>
  <c r="W67" i="99"/>
  <c r="W66" i="99"/>
  <c r="W65" i="99"/>
  <c r="N65" i="99" s="1"/>
  <c r="V65" i="99"/>
  <c r="P65" i="99"/>
  <c r="O65" i="99"/>
  <c r="K65" i="99"/>
  <c r="L65" i="99" s="1"/>
  <c r="J65" i="99"/>
  <c r="F65" i="99"/>
  <c r="H65" i="99" s="1"/>
  <c r="W64" i="99"/>
  <c r="N64" i="99" s="1"/>
  <c r="O64" i="99" s="1"/>
  <c r="V64" i="99"/>
  <c r="K64" i="99"/>
  <c r="J64" i="99"/>
  <c r="P64" i="99" s="1"/>
  <c r="F64" i="99"/>
  <c r="H64" i="99" s="1"/>
  <c r="AG63" i="99"/>
  <c r="W63" i="99"/>
  <c r="N63" i="99" s="1"/>
  <c r="O63" i="99" s="1"/>
  <c r="V63" i="99"/>
  <c r="K63" i="99"/>
  <c r="J63" i="99"/>
  <c r="F63" i="99"/>
  <c r="H63" i="99" s="1"/>
  <c r="W62" i="99"/>
  <c r="N62" i="99" s="1"/>
  <c r="V62" i="99"/>
  <c r="O62" i="99"/>
  <c r="K62" i="99"/>
  <c r="J62" i="99"/>
  <c r="F62" i="99"/>
  <c r="H62" i="99" s="1"/>
  <c r="W61" i="99"/>
  <c r="V61" i="99"/>
  <c r="N61" i="99"/>
  <c r="K61" i="99"/>
  <c r="J61" i="99"/>
  <c r="H61" i="99"/>
  <c r="F61" i="99"/>
  <c r="W60" i="99"/>
  <c r="V60" i="99"/>
  <c r="P60" i="99"/>
  <c r="N60" i="99"/>
  <c r="AG60" i="99" s="1"/>
  <c r="L60" i="99"/>
  <c r="K60" i="99"/>
  <c r="J60" i="99"/>
  <c r="H60" i="99"/>
  <c r="F60" i="99"/>
  <c r="AG59" i="99"/>
  <c r="W59" i="99"/>
  <c r="N59" i="99" s="1"/>
  <c r="AF59" i="99" s="1"/>
  <c r="P59" i="99"/>
  <c r="O59" i="99"/>
  <c r="L59" i="99"/>
  <c r="K59" i="99"/>
  <c r="J59" i="99"/>
  <c r="H59" i="99"/>
  <c r="F59" i="99"/>
  <c r="AE58" i="99"/>
  <c r="H21" i="98" s="1"/>
  <c r="AD58" i="99"/>
  <c r="AA58" i="99"/>
  <c r="H19" i="98" s="1"/>
  <c r="Z58" i="99"/>
  <c r="H18" i="98" s="1"/>
  <c r="M58" i="99"/>
  <c r="W57" i="99"/>
  <c r="W56" i="99"/>
  <c r="W55" i="99"/>
  <c r="W54" i="99"/>
  <c r="AG53" i="99"/>
  <c r="AF53" i="99"/>
  <c r="W53" i="99"/>
  <c r="W52" i="99"/>
  <c r="V52" i="99"/>
  <c r="N52" i="99"/>
  <c r="L52" i="99"/>
  <c r="K52" i="99"/>
  <c r="J52" i="99"/>
  <c r="P52" i="99" s="1"/>
  <c r="H52" i="99"/>
  <c r="F52" i="99"/>
  <c r="W51" i="99"/>
  <c r="V51" i="99"/>
  <c r="P51" i="99"/>
  <c r="N51" i="99"/>
  <c r="L51" i="99"/>
  <c r="K51" i="99"/>
  <c r="J51" i="99"/>
  <c r="H51" i="99"/>
  <c r="F51" i="99"/>
  <c r="W50" i="99"/>
  <c r="N50" i="99" s="1"/>
  <c r="AF50" i="99" s="1"/>
  <c r="V50" i="99"/>
  <c r="K50" i="99"/>
  <c r="L50" i="99" s="1"/>
  <c r="J50" i="99"/>
  <c r="H50" i="99"/>
  <c r="F50" i="99"/>
  <c r="AG49" i="99"/>
  <c r="W49" i="99"/>
  <c r="N49" i="99" s="1"/>
  <c r="L49" i="99"/>
  <c r="L58" i="99" s="1"/>
  <c r="H13" i="98" s="1"/>
  <c r="K49" i="99"/>
  <c r="J49" i="99"/>
  <c r="P49" i="99" s="1"/>
  <c r="H49" i="99"/>
  <c r="F49" i="99"/>
  <c r="AE48" i="99"/>
  <c r="G21" i="98" s="1"/>
  <c r="AD48" i="99"/>
  <c r="G20" i="98" s="1"/>
  <c r="AA48" i="99"/>
  <c r="Z48" i="99"/>
  <c r="W48" i="99"/>
  <c r="M48" i="99"/>
  <c r="W47" i="99"/>
  <c r="H47" i="99"/>
  <c r="W46" i="99"/>
  <c r="W45" i="99"/>
  <c r="W44" i="99"/>
  <c r="W43" i="99"/>
  <c r="W42" i="99"/>
  <c r="W41" i="99"/>
  <c r="V41" i="99"/>
  <c r="P41" i="99"/>
  <c r="N41" i="99"/>
  <c r="L41" i="99"/>
  <c r="K41" i="99"/>
  <c r="J41" i="99"/>
  <c r="H41" i="99"/>
  <c r="F41" i="99"/>
  <c r="W40" i="99"/>
  <c r="N40" i="99" s="1"/>
  <c r="V40" i="99"/>
  <c r="O40" i="99"/>
  <c r="K40" i="99"/>
  <c r="L40" i="99" s="1"/>
  <c r="J40" i="99"/>
  <c r="F40" i="99"/>
  <c r="H40" i="99" s="1"/>
  <c r="W39" i="99"/>
  <c r="N39" i="99" s="1"/>
  <c r="V39" i="99"/>
  <c r="P39" i="99"/>
  <c r="O39" i="99"/>
  <c r="K39" i="99"/>
  <c r="J39" i="99"/>
  <c r="H39" i="99"/>
  <c r="F39" i="99"/>
  <c r="W38" i="99"/>
  <c r="P38" i="99"/>
  <c r="N38" i="99"/>
  <c r="O38" i="99" s="1"/>
  <c r="K38" i="99"/>
  <c r="J38" i="99"/>
  <c r="L38" i="99" s="1"/>
  <c r="H38" i="99"/>
  <c r="F38" i="99"/>
  <c r="AE37" i="99"/>
  <c r="F21" i="98" s="1"/>
  <c r="AD37" i="99"/>
  <c r="AA37" i="99"/>
  <c r="F19" i="98" s="1"/>
  <c r="Z37" i="99"/>
  <c r="M37" i="99"/>
  <c r="W36" i="99"/>
  <c r="H36" i="99"/>
  <c r="W35" i="99"/>
  <c r="W34" i="99"/>
  <c r="W33" i="99"/>
  <c r="W32" i="99"/>
  <c r="AG31" i="99"/>
  <c r="AF31" i="99"/>
  <c r="W31" i="99"/>
  <c r="V31" i="99"/>
  <c r="P31" i="99"/>
  <c r="N31" i="99"/>
  <c r="O31" i="99" s="1"/>
  <c r="K31" i="99"/>
  <c r="L31" i="99" s="1"/>
  <c r="J31" i="99"/>
  <c r="H31" i="99"/>
  <c r="F31" i="99"/>
  <c r="W30" i="99"/>
  <c r="N30" i="99" s="1"/>
  <c r="V30" i="99"/>
  <c r="K30" i="99"/>
  <c r="J30" i="99"/>
  <c r="P30" i="99" s="1"/>
  <c r="F30" i="99"/>
  <c r="H30" i="99" s="1"/>
  <c r="W29" i="99"/>
  <c r="N29" i="99" s="1"/>
  <c r="V29" i="99"/>
  <c r="P29" i="99"/>
  <c r="K29" i="99"/>
  <c r="L29" i="99" s="1"/>
  <c r="J29" i="99"/>
  <c r="H29" i="99"/>
  <c r="F29" i="99"/>
  <c r="AG28" i="99"/>
  <c r="W28" i="99"/>
  <c r="N28" i="99" s="1"/>
  <c r="V28" i="99"/>
  <c r="L28" i="99"/>
  <c r="K28" i="99"/>
  <c r="J28" i="99"/>
  <c r="P28" i="99" s="1"/>
  <c r="F28" i="99"/>
  <c r="H28" i="99" s="1"/>
  <c r="AG27" i="99"/>
  <c r="W27" i="99"/>
  <c r="N27" i="99"/>
  <c r="K27" i="99"/>
  <c r="J27" i="99"/>
  <c r="H27" i="99"/>
  <c r="F27" i="99"/>
  <c r="AE26" i="99"/>
  <c r="E21" i="98" s="1"/>
  <c r="AD26" i="99"/>
  <c r="E20" i="98" s="1"/>
  <c r="AA26" i="99"/>
  <c r="Z26" i="99"/>
  <c r="E18" i="98" s="1"/>
  <c r="M26" i="99"/>
  <c r="E22" i="98" s="1"/>
  <c r="W25" i="99"/>
  <c r="H25" i="99"/>
  <c r="W24" i="99"/>
  <c r="H24" i="99"/>
  <c r="W23" i="99"/>
  <c r="W21" i="99"/>
  <c r="W20" i="99"/>
  <c r="V20" i="99"/>
  <c r="O20" i="99"/>
  <c r="N20" i="99"/>
  <c r="K20" i="99"/>
  <c r="J20" i="99"/>
  <c r="F20" i="99"/>
  <c r="H20" i="99" s="1"/>
  <c r="AG19" i="99"/>
  <c r="W19" i="99"/>
  <c r="V19" i="99"/>
  <c r="P19" i="99"/>
  <c r="O19" i="99"/>
  <c r="N19" i="99"/>
  <c r="K19" i="99"/>
  <c r="L19" i="99" s="1"/>
  <c r="J19" i="99"/>
  <c r="H19" i="99"/>
  <c r="F19" i="99"/>
  <c r="W18" i="99"/>
  <c r="V18" i="99"/>
  <c r="P18" i="99"/>
  <c r="O18" i="99"/>
  <c r="N18" i="99"/>
  <c r="K18" i="99"/>
  <c r="L18" i="99" s="1"/>
  <c r="J18" i="99"/>
  <c r="H18" i="99"/>
  <c r="F18" i="99"/>
  <c r="W17" i="99"/>
  <c r="N17" i="99" s="1"/>
  <c r="V17" i="99"/>
  <c r="P17" i="99"/>
  <c r="K17" i="99"/>
  <c r="L17" i="99" s="1"/>
  <c r="J17" i="99"/>
  <c r="H17" i="99"/>
  <c r="F17" i="99"/>
  <c r="W16" i="99"/>
  <c r="N16" i="99" s="1"/>
  <c r="K16" i="99"/>
  <c r="J16" i="99"/>
  <c r="P16" i="99" s="1"/>
  <c r="H16" i="99"/>
  <c r="F16" i="99"/>
  <c r="AE15" i="99"/>
  <c r="AD15" i="99"/>
  <c r="D20" i="98" s="1"/>
  <c r="AA15" i="99"/>
  <c r="Z15" i="99"/>
  <c r="M15" i="99"/>
  <c r="J15" i="99"/>
  <c r="P15" i="99" s="1"/>
  <c r="W14" i="99"/>
  <c r="W13" i="99"/>
  <c r="W12" i="99"/>
  <c r="AG11" i="99"/>
  <c r="AF11" i="99"/>
  <c r="W11" i="99"/>
  <c r="AG10" i="99"/>
  <c r="AF10" i="99"/>
  <c r="W10" i="99"/>
  <c r="W9" i="99"/>
  <c r="V9" i="99"/>
  <c r="P9" i="99"/>
  <c r="N9" i="99"/>
  <c r="K9" i="99"/>
  <c r="L9" i="99" s="1"/>
  <c r="J9" i="99"/>
  <c r="H9" i="99"/>
  <c r="F9" i="99"/>
  <c r="W8" i="99"/>
  <c r="V8" i="99"/>
  <c r="Q8" i="99"/>
  <c r="P8" i="99"/>
  <c r="O8" i="99"/>
  <c r="N8" i="99"/>
  <c r="K8" i="99"/>
  <c r="L8" i="99" s="1"/>
  <c r="J8" i="99"/>
  <c r="F8" i="99"/>
  <c r="H8" i="99" s="1"/>
  <c r="W7" i="99"/>
  <c r="V7" i="99"/>
  <c r="P7" i="99"/>
  <c r="N7" i="99"/>
  <c r="L7" i="99"/>
  <c r="K7" i="99"/>
  <c r="J7" i="99"/>
  <c r="F7" i="99"/>
  <c r="H7" i="99" s="1"/>
  <c r="W6" i="99"/>
  <c r="V6" i="99"/>
  <c r="P6" i="99"/>
  <c r="N6" i="99"/>
  <c r="L6" i="99"/>
  <c r="K6" i="99"/>
  <c r="J6" i="99"/>
  <c r="H6" i="99"/>
  <c r="F6" i="99"/>
  <c r="W5" i="99"/>
  <c r="N5" i="99" s="1"/>
  <c r="P5" i="99"/>
  <c r="K5" i="99"/>
  <c r="J5" i="99"/>
  <c r="H5" i="99"/>
  <c r="F5" i="99"/>
  <c r="AD2" i="99"/>
  <c r="I2" i="99"/>
  <c r="E1" i="99"/>
  <c r="J22" i="98"/>
  <c r="I22" i="98"/>
  <c r="H22" i="98"/>
  <c r="G22" i="98"/>
  <c r="D22" i="98"/>
  <c r="I21" i="98"/>
  <c r="J20" i="98"/>
  <c r="I20" i="98"/>
  <c r="H20" i="98"/>
  <c r="F20" i="98"/>
  <c r="R19" i="98"/>
  <c r="J19" i="98"/>
  <c r="I19" i="98"/>
  <c r="G19" i="98"/>
  <c r="E19" i="98"/>
  <c r="D19" i="98"/>
  <c r="I18" i="98"/>
  <c r="G18" i="98"/>
  <c r="F18" i="98"/>
  <c r="J16" i="98"/>
  <c r="I16" i="98"/>
  <c r="H16" i="98"/>
  <c r="G16" i="98"/>
  <c r="F16" i="98"/>
  <c r="E16" i="98"/>
  <c r="D16" i="98"/>
  <c r="G3" i="98"/>
  <c r="AE79" i="94"/>
  <c r="J21" i="95" s="1"/>
  <c r="AD79" i="94"/>
  <c r="J20" i="95" s="1"/>
  <c r="AA79" i="94"/>
  <c r="Z79" i="94"/>
  <c r="M79" i="94"/>
  <c r="J22" i="95" s="1"/>
  <c r="K79" i="94"/>
  <c r="W78" i="94"/>
  <c r="H78" i="94"/>
  <c r="W77" i="94"/>
  <c r="H77" i="94"/>
  <c r="W76" i="94"/>
  <c r="H76" i="94"/>
  <c r="W75" i="94"/>
  <c r="H75" i="94"/>
  <c r="W74" i="94"/>
  <c r="W73" i="94"/>
  <c r="W72" i="94"/>
  <c r="N72" i="94" s="1"/>
  <c r="O72" i="94" s="1"/>
  <c r="V72" i="94"/>
  <c r="P72" i="94"/>
  <c r="L72" i="94"/>
  <c r="K72" i="94"/>
  <c r="J72" i="94"/>
  <c r="F72" i="94"/>
  <c r="H72" i="94" s="1"/>
  <c r="W71" i="94"/>
  <c r="N71" i="94" s="1"/>
  <c r="V71" i="94"/>
  <c r="K71" i="94"/>
  <c r="J71" i="94"/>
  <c r="F71" i="94"/>
  <c r="H71" i="94" s="1"/>
  <c r="W70" i="94"/>
  <c r="O70" i="94"/>
  <c r="N70" i="94"/>
  <c r="L70" i="94"/>
  <c r="K70" i="94"/>
  <c r="J70" i="94"/>
  <c r="P70" i="94" s="1"/>
  <c r="H70" i="94"/>
  <c r="F70" i="94"/>
  <c r="AE69" i="94"/>
  <c r="AD69" i="94"/>
  <c r="AA69" i="94"/>
  <c r="Z69" i="94"/>
  <c r="M69" i="94"/>
  <c r="W68" i="94"/>
  <c r="H68" i="94"/>
  <c r="W67" i="94"/>
  <c r="W66" i="94"/>
  <c r="W65" i="94"/>
  <c r="W64" i="94"/>
  <c r="W63" i="94"/>
  <c r="N63" i="94" s="1"/>
  <c r="V63" i="94"/>
  <c r="O63" i="94"/>
  <c r="K63" i="94"/>
  <c r="J63" i="94"/>
  <c r="P63" i="94" s="1"/>
  <c r="H63" i="94"/>
  <c r="F63" i="94"/>
  <c r="W62" i="94"/>
  <c r="V62" i="94"/>
  <c r="P62" i="94"/>
  <c r="N62" i="94"/>
  <c r="L62" i="94"/>
  <c r="K62" i="94"/>
  <c r="J62" i="94"/>
  <c r="H62" i="94"/>
  <c r="F62" i="94"/>
  <c r="W61" i="94"/>
  <c r="V61" i="94"/>
  <c r="N61" i="94"/>
  <c r="L61" i="94"/>
  <c r="K61" i="94"/>
  <c r="J61" i="94"/>
  <c r="P61" i="94" s="1"/>
  <c r="H61" i="94"/>
  <c r="F61" i="94"/>
  <c r="W60" i="94"/>
  <c r="V60" i="94"/>
  <c r="P60" i="94"/>
  <c r="N60" i="94"/>
  <c r="K60" i="94"/>
  <c r="J60" i="94"/>
  <c r="H60" i="94"/>
  <c r="F60" i="94"/>
  <c r="W59" i="94"/>
  <c r="N59" i="94" s="1"/>
  <c r="AF59" i="94" s="1"/>
  <c r="R59" i="94"/>
  <c r="P59" i="94"/>
  <c r="O59" i="94"/>
  <c r="L59" i="94"/>
  <c r="K59" i="94"/>
  <c r="J59" i="94"/>
  <c r="F59" i="94"/>
  <c r="H59" i="94" s="1"/>
  <c r="AE58" i="94"/>
  <c r="AD58" i="94"/>
  <c r="H20" i="95" s="1"/>
  <c r="AA58" i="94"/>
  <c r="Z58" i="94"/>
  <c r="M58" i="94"/>
  <c r="H22" i="95" s="1"/>
  <c r="W57" i="94"/>
  <c r="W56" i="94"/>
  <c r="W55" i="94"/>
  <c r="W54" i="94"/>
  <c r="AG53" i="94"/>
  <c r="AF53" i="94"/>
  <c r="W53" i="94"/>
  <c r="AF52" i="94"/>
  <c r="W52" i="94"/>
  <c r="N52" i="94" s="1"/>
  <c r="V52" i="94"/>
  <c r="P52" i="94"/>
  <c r="O52" i="94"/>
  <c r="L52" i="94"/>
  <c r="K52" i="94"/>
  <c r="AG52" i="94" s="1"/>
  <c r="J52" i="94"/>
  <c r="H52" i="94"/>
  <c r="F52" i="94"/>
  <c r="W51" i="94"/>
  <c r="V51" i="94"/>
  <c r="O51" i="94"/>
  <c r="N51" i="94"/>
  <c r="K51" i="94"/>
  <c r="L51" i="94" s="1"/>
  <c r="J51" i="94"/>
  <c r="P51" i="94" s="1"/>
  <c r="F51" i="94"/>
  <c r="H51" i="94" s="1"/>
  <c r="W50" i="94"/>
  <c r="V50" i="94"/>
  <c r="O50" i="94"/>
  <c r="N50" i="94"/>
  <c r="N58" i="94" s="1"/>
  <c r="L50" i="94"/>
  <c r="K50" i="94"/>
  <c r="J50" i="94"/>
  <c r="P50" i="94" s="1"/>
  <c r="F50" i="94"/>
  <c r="H50" i="94" s="1"/>
  <c r="W49" i="94"/>
  <c r="O49" i="94"/>
  <c r="N49" i="94"/>
  <c r="K49" i="94"/>
  <c r="J49" i="94"/>
  <c r="H49" i="94"/>
  <c r="F49" i="94"/>
  <c r="AE48" i="94"/>
  <c r="AD48" i="94"/>
  <c r="G20" i="95" s="1"/>
  <c r="AA48" i="94"/>
  <c r="Z48" i="94"/>
  <c r="W48" i="94"/>
  <c r="M48" i="94"/>
  <c r="W47" i="94"/>
  <c r="H47" i="94"/>
  <c r="W46" i="94"/>
  <c r="W45" i="94"/>
  <c r="W44" i="94"/>
  <c r="W43" i="94"/>
  <c r="W42" i="94"/>
  <c r="W41" i="94"/>
  <c r="V41" i="94"/>
  <c r="O41" i="94"/>
  <c r="N41" i="94"/>
  <c r="K41" i="94"/>
  <c r="J41" i="94"/>
  <c r="F41" i="94"/>
  <c r="H41" i="94" s="1"/>
  <c r="W40" i="94"/>
  <c r="V40" i="94"/>
  <c r="P40" i="94"/>
  <c r="N40" i="94"/>
  <c r="L40" i="94"/>
  <c r="K40" i="94"/>
  <c r="J40" i="94"/>
  <c r="F40" i="94"/>
  <c r="H40" i="94" s="1"/>
  <c r="W39" i="94"/>
  <c r="N39" i="94" s="1"/>
  <c r="V39" i="94"/>
  <c r="P39" i="94"/>
  <c r="O39" i="94"/>
  <c r="K39" i="94"/>
  <c r="J39" i="94"/>
  <c r="H39" i="94"/>
  <c r="F39" i="94"/>
  <c r="W38" i="94"/>
  <c r="O38" i="94"/>
  <c r="N38" i="94"/>
  <c r="K38" i="94"/>
  <c r="J38" i="94"/>
  <c r="F38" i="94"/>
  <c r="H38" i="94" s="1"/>
  <c r="AE37" i="94"/>
  <c r="AD37" i="94"/>
  <c r="AA37" i="94"/>
  <c r="Z37" i="94"/>
  <c r="M37" i="94"/>
  <c r="W36" i="94"/>
  <c r="H36" i="94"/>
  <c r="W35" i="94"/>
  <c r="W34" i="94"/>
  <c r="W33" i="94"/>
  <c r="W32" i="94"/>
  <c r="AG31" i="94"/>
  <c r="AF31" i="94"/>
  <c r="W31" i="94"/>
  <c r="AG30" i="94"/>
  <c r="AF30" i="94"/>
  <c r="W30" i="94"/>
  <c r="V30" i="94"/>
  <c r="R30" i="94"/>
  <c r="N30" i="94"/>
  <c r="O30" i="94" s="1"/>
  <c r="K30" i="94"/>
  <c r="L30" i="94" s="1"/>
  <c r="J30" i="94"/>
  <c r="P30" i="94" s="1"/>
  <c r="H30" i="94"/>
  <c r="F30" i="94"/>
  <c r="W29" i="94"/>
  <c r="V29" i="94"/>
  <c r="N29" i="94"/>
  <c r="K29" i="94"/>
  <c r="J29" i="94"/>
  <c r="P29" i="94" s="1"/>
  <c r="H29" i="94"/>
  <c r="F29" i="94"/>
  <c r="W28" i="94"/>
  <c r="V28" i="94"/>
  <c r="P28" i="94"/>
  <c r="N28" i="94"/>
  <c r="K28" i="94"/>
  <c r="L28" i="94" s="1"/>
  <c r="J28" i="94"/>
  <c r="F28" i="94"/>
  <c r="H28" i="94" s="1"/>
  <c r="W27" i="94"/>
  <c r="N27" i="94" s="1"/>
  <c r="K27" i="94"/>
  <c r="J27" i="94"/>
  <c r="H27" i="94"/>
  <c r="F27" i="94"/>
  <c r="AE26" i="94"/>
  <c r="E21" i="95" s="1"/>
  <c r="AD26" i="94"/>
  <c r="E20" i="95" s="1"/>
  <c r="AA26" i="94"/>
  <c r="Z26" i="94"/>
  <c r="M26" i="94"/>
  <c r="W25" i="94"/>
  <c r="H25" i="94"/>
  <c r="W24" i="94"/>
  <c r="H24" i="94"/>
  <c r="W23" i="94"/>
  <c r="W21" i="94"/>
  <c r="W20" i="94"/>
  <c r="W19" i="94"/>
  <c r="N19" i="94" s="1"/>
  <c r="V19" i="94"/>
  <c r="O19" i="94"/>
  <c r="L19" i="94"/>
  <c r="K19" i="94"/>
  <c r="J19" i="94"/>
  <c r="P19" i="94" s="1"/>
  <c r="F19" i="94"/>
  <c r="H19" i="94" s="1"/>
  <c r="W18" i="94"/>
  <c r="V18" i="94"/>
  <c r="O18" i="94"/>
  <c r="N18" i="94"/>
  <c r="K18" i="94"/>
  <c r="J18" i="94"/>
  <c r="P18" i="94" s="1"/>
  <c r="F18" i="94"/>
  <c r="H18" i="94" s="1"/>
  <c r="W17" i="94"/>
  <c r="V17" i="94"/>
  <c r="O17" i="94"/>
  <c r="N17" i="94"/>
  <c r="K17" i="94"/>
  <c r="L17" i="94" s="1"/>
  <c r="J17" i="94"/>
  <c r="P17" i="94" s="1"/>
  <c r="H17" i="94"/>
  <c r="F17" i="94"/>
  <c r="AG16" i="94"/>
  <c r="W16" i="94"/>
  <c r="N16" i="94" s="1"/>
  <c r="O16" i="94"/>
  <c r="K16" i="94"/>
  <c r="J16" i="94"/>
  <c r="H16" i="94"/>
  <c r="F16" i="94"/>
  <c r="AE15" i="94"/>
  <c r="AD15" i="94"/>
  <c r="AD2" i="94" s="1"/>
  <c r="AA15" i="94"/>
  <c r="Z15" i="94"/>
  <c r="M15" i="94"/>
  <c r="K15" i="94"/>
  <c r="W14" i="94"/>
  <c r="W13" i="94"/>
  <c r="W12" i="94"/>
  <c r="AG11" i="94"/>
  <c r="AF11" i="94"/>
  <c r="W11" i="94"/>
  <c r="AG10" i="94"/>
  <c r="AF10" i="94"/>
  <c r="W10" i="94"/>
  <c r="W9" i="94"/>
  <c r="V9" i="94"/>
  <c r="P9" i="94"/>
  <c r="N9" i="94"/>
  <c r="L9" i="94"/>
  <c r="K9" i="94"/>
  <c r="J9" i="94"/>
  <c r="F9" i="94"/>
  <c r="H9" i="94" s="1"/>
  <c r="W8" i="94"/>
  <c r="N8" i="94" s="1"/>
  <c r="V8" i="94"/>
  <c r="K8" i="94"/>
  <c r="J8" i="94"/>
  <c r="P8" i="94" s="1"/>
  <c r="H8" i="94"/>
  <c r="F8" i="94"/>
  <c r="W7" i="94"/>
  <c r="N7" i="94" s="1"/>
  <c r="V7" i="94"/>
  <c r="P7" i="94"/>
  <c r="L7" i="94"/>
  <c r="K7" i="94"/>
  <c r="J7" i="94"/>
  <c r="F7" i="94"/>
  <c r="H7" i="94" s="1"/>
  <c r="W6" i="94"/>
  <c r="N6" i="94" s="1"/>
  <c r="V6" i="94"/>
  <c r="K6" i="94"/>
  <c r="J6" i="94"/>
  <c r="H6" i="94"/>
  <c r="F6" i="94"/>
  <c r="AF5" i="94"/>
  <c r="W5" i="94"/>
  <c r="N5" i="94"/>
  <c r="L5" i="94"/>
  <c r="K5" i="94"/>
  <c r="J5" i="94"/>
  <c r="H5" i="94"/>
  <c r="F5" i="94"/>
  <c r="I2" i="94"/>
  <c r="E1" i="94"/>
  <c r="G3" i="95" s="1"/>
  <c r="E22" i="95"/>
  <c r="D22" i="95"/>
  <c r="I21" i="95"/>
  <c r="H21" i="95"/>
  <c r="G21" i="95"/>
  <c r="F21" i="95"/>
  <c r="D21" i="95"/>
  <c r="I20" i="95"/>
  <c r="F20" i="95"/>
  <c r="D20" i="95"/>
  <c r="J19" i="95"/>
  <c r="G19" i="95"/>
  <c r="I18" i="95"/>
  <c r="G18" i="95"/>
  <c r="J16" i="95"/>
  <c r="I16" i="95"/>
  <c r="H16" i="95"/>
  <c r="G16" i="95"/>
  <c r="F16" i="95"/>
  <c r="E16" i="95"/>
  <c r="D16" i="95"/>
  <c r="AE79" i="93"/>
  <c r="AD79" i="93"/>
  <c r="AA79" i="93"/>
  <c r="J19" i="92" s="1"/>
  <c r="Z79" i="93"/>
  <c r="J18" i="92" s="1"/>
  <c r="M79" i="93"/>
  <c r="W78" i="93"/>
  <c r="H78" i="93"/>
  <c r="W77" i="93"/>
  <c r="H77" i="93"/>
  <c r="W76" i="93"/>
  <c r="H76" i="93"/>
  <c r="W75" i="93"/>
  <c r="H75" i="93"/>
  <c r="W74" i="93"/>
  <c r="W73" i="93"/>
  <c r="W72" i="93"/>
  <c r="N72" i="93" s="1"/>
  <c r="O72" i="93" s="1"/>
  <c r="V72" i="93"/>
  <c r="L72" i="93"/>
  <c r="K72" i="93"/>
  <c r="J72" i="93"/>
  <c r="P72" i="93" s="1"/>
  <c r="F72" i="93"/>
  <c r="H72" i="93" s="1"/>
  <c r="W71" i="93"/>
  <c r="N71" i="93" s="1"/>
  <c r="O71" i="93" s="1"/>
  <c r="V71" i="93"/>
  <c r="P71" i="93"/>
  <c r="K71" i="93"/>
  <c r="J71" i="93"/>
  <c r="F71" i="93"/>
  <c r="H71" i="93" s="1"/>
  <c r="W70" i="93"/>
  <c r="P70" i="93"/>
  <c r="N70" i="93"/>
  <c r="K70" i="93"/>
  <c r="J70" i="93"/>
  <c r="F70" i="93"/>
  <c r="H70" i="93" s="1"/>
  <c r="AE69" i="93"/>
  <c r="AD69" i="93"/>
  <c r="AA69" i="93"/>
  <c r="Z69" i="93"/>
  <c r="I18" i="92" s="1"/>
  <c r="M69" i="93"/>
  <c r="I22" i="92" s="1"/>
  <c r="W68" i="93"/>
  <c r="H68" i="93"/>
  <c r="W67" i="93"/>
  <c r="W66" i="93"/>
  <c r="W65" i="93"/>
  <c r="W64" i="93"/>
  <c r="AG63" i="93"/>
  <c r="W63" i="93"/>
  <c r="V63" i="93"/>
  <c r="R63" i="93"/>
  <c r="O63" i="93"/>
  <c r="N63" i="93"/>
  <c r="K63" i="93"/>
  <c r="L63" i="93" s="1"/>
  <c r="Q63" i="93" s="1"/>
  <c r="J63" i="93"/>
  <c r="P63" i="93" s="1"/>
  <c r="H63" i="93"/>
  <c r="F63" i="93"/>
  <c r="AF62" i="93"/>
  <c r="W62" i="93"/>
  <c r="N62" i="93" s="1"/>
  <c r="V62" i="93"/>
  <c r="P62" i="93"/>
  <c r="K62" i="93"/>
  <c r="L62" i="93" s="1"/>
  <c r="J62" i="93"/>
  <c r="F62" i="93"/>
  <c r="H62" i="93" s="1"/>
  <c r="W61" i="93"/>
  <c r="V61" i="93"/>
  <c r="P61" i="93"/>
  <c r="N61" i="93"/>
  <c r="K61" i="93"/>
  <c r="L61" i="93" s="1"/>
  <c r="J61" i="93"/>
  <c r="F61" i="93"/>
  <c r="H61" i="93" s="1"/>
  <c r="W60" i="93"/>
  <c r="N60" i="93" s="1"/>
  <c r="V60" i="93"/>
  <c r="K60" i="93"/>
  <c r="L60" i="93" s="1"/>
  <c r="J60" i="93"/>
  <c r="P60" i="93" s="1"/>
  <c r="H60" i="93"/>
  <c r="F60" i="93"/>
  <c r="AG59" i="93"/>
  <c r="W59" i="93"/>
  <c r="N59" i="93"/>
  <c r="L59" i="93"/>
  <c r="L69" i="93" s="1"/>
  <c r="I13" i="92" s="1"/>
  <c r="J6" i="92" s="1"/>
  <c r="K59" i="93"/>
  <c r="J59" i="93"/>
  <c r="F59" i="93"/>
  <c r="H59" i="93" s="1"/>
  <c r="AE58" i="93"/>
  <c r="AD58" i="93"/>
  <c r="AA58" i="93"/>
  <c r="Z58" i="93"/>
  <c r="M58" i="93"/>
  <c r="H22" i="92" s="1"/>
  <c r="W57" i="93"/>
  <c r="W56" i="93"/>
  <c r="W55" i="93"/>
  <c r="W54" i="93"/>
  <c r="AG53" i="93"/>
  <c r="W53" i="93"/>
  <c r="N53" i="93" s="1"/>
  <c r="AF53" i="93" s="1"/>
  <c r="P53" i="93"/>
  <c r="O53" i="93"/>
  <c r="R53" i="93" s="1"/>
  <c r="K53" i="93"/>
  <c r="J53" i="93"/>
  <c r="L53" i="93" s="1"/>
  <c r="H53" i="93"/>
  <c r="F53" i="93"/>
  <c r="W52" i="93"/>
  <c r="N52" i="93" s="1"/>
  <c r="V52" i="93"/>
  <c r="L52" i="93"/>
  <c r="K52" i="93"/>
  <c r="J52" i="93"/>
  <c r="P52" i="93" s="1"/>
  <c r="F52" i="93"/>
  <c r="H52" i="93" s="1"/>
  <c r="W51" i="93"/>
  <c r="N51" i="93" s="1"/>
  <c r="V51" i="93"/>
  <c r="K51" i="93"/>
  <c r="L51" i="93" s="1"/>
  <c r="J51" i="93"/>
  <c r="P51" i="93" s="1"/>
  <c r="F51" i="93"/>
  <c r="H51" i="93" s="1"/>
  <c r="W50" i="93"/>
  <c r="V50" i="93"/>
  <c r="O50" i="93"/>
  <c r="N50" i="93"/>
  <c r="K50" i="93"/>
  <c r="J50" i="93"/>
  <c r="P50" i="93" s="1"/>
  <c r="F50" i="93"/>
  <c r="H50" i="93" s="1"/>
  <c r="W49" i="93"/>
  <c r="N49" i="93"/>
  <c r="K49" i="93"/>
  <c r="J49" i="93"/>
  <c r="H49" i="93"/>
  <c r="F49" i="93"/>
  <c r="AE48" i="93"/>
  <c r="AD48" i="93"/>
  <c r="AA48" i="93"/>
  <c r="Z48" i="93"/>
  <c r="W48" i="93"/>
  <c r="M48" i="93"/>
  <c r="W47" i="93"/>
  <c r="H47" i="93"/>
  <c r="W46" i="93"/>
  <c r="W45" i="93"/>
  <c r="W44" i="93"/>
  <c r="W43" i="93"/>
  <c r="V43" i="93"/>
  <c r="N43" i="93"/>
  <c r="L43" i="93"/>
  <c r="K43" i="93"/>
  <c r="J43" i="93"/>
  <c r="P43" i="93" s="1"/>
  <c r="F43" i="93"/>
  <c r="H43" i="93" s="1"/>
  <c r="AF42" i="93"/>
  <c r="W42" i="93"/>
  <c r="V42" i="93"/>
  <c r="P42" i="93"/>
  <c r="O42" i="93"/>
  <c r="Q42" i="93" s="1"/>
  <c r="N42" i="93"/>
  <c r="AG42" i="93" s="1"/>
  <c r="L42" i="93"/>
  <c r="K42" i="93"/>
  <c r="J42" i="93"/>
  <c r="F42" i="93"/>
  <c r="H42" i="93" s="1"/>
  <c r="W41" i="93"/>
  <c r="V41" i="93"/>
  <c r="P41" i="93"/>
  <c r="O41" i="93"/>
  <c r="N41" i="93"/>
  <c r="L41" i="93"/>
  <c r="K41" i="93"/>
  <c r="J41" i="93"/>
  <c r="F41" i="93"/>
  <c r="H41" i="93" s="1"/>
  <c r="AG40" i="93"/>
  <c r="AF40" i="93"/>
  <c r="W40" i="93"/>
  <c r="N40" i="93" s="1"/>
  <c r="V40" i="93"/>
  <c r="O40" i="93"/>
  <c r="K40" i="93"/>
  <c r="J40" i="93"/>
  <c r="F40" i="93"/>
  <c r="H40" i="93" s="1"/>
  <c r="W39" i="93"/>
  <c r="V39" i="93"/>
  <c r="N39" i="93"/>
  <c r="K39" i="93"/>
  <c r="J39" i="93"/>
  <c r="H39" i="93"/>
  <c r="F39" i="93"/>
  <c r="AF38" i="93"/>
  <c r="W38" i="93"/>
  <c r="N38" i="93" s="1"/>
  <c r="P38" i="93"/>
  <c r="O38" i="93"/>
  <c r="K38" i="93"/>
  <c r="J38" i="93"/>
  <c r="F38" i="93"/>
  <c r="H38" i="93" s="1"/>
  <c r="AE37" i="93"/>
  <c r="AD37" i="93"/>
  <c r="AA37" i="93"/>
  <c r="F19" i="92" s="1"/>
  <c r="Z37" i="93"/>
  <c r="F18" i="92" s="1"/>
  <c r="N37" i="93"/>
  <c r="M37" i="93"/>
  <c r="W36" i="93"/>
  <c r="H36" i="93"/>
  <c r="W35" i="93"/>
  <c r="W34" i="93"/>
  <c r="W33" i="93"/>
  <c r="W32" i="93"/>
  <c r="W31" i="93"/>
  <c r="P31" i="93"/>
  <c r="N31" i="93"/>
  <c r="L31" i="93"/>
  <c r="K31" i="93"/>
  <c r="J31" i="93"/>
  <c r="H31" i="93"/>
  <c r="F31" i="93"/>
  <c r="W30" i="93"/>
  <c r="V30" i="93"/>
  <c r="P30" i="93"/>
  <c r="N30" i="93"/>
  <c r="K30" i="93"/>
  <c r="L30" i="93" s="1"/>
  <c r="J30" i="93"/>
  <c r="H30" i="93"/>
  <c r="F30" i="93"/>
  <c r="W29" i="93"/>
  <c r="V29" i="93"/>
  <c r="O29" i="93"/>
  <c r="N29" i="93"/>
  <c r="L29" i="93"/>
  <c r="K29" i="93"/>
  <c r="J29" i="93"/>
  <c r="J37" i="93" s="1"/>
  <c r="P37" i="93" s="1"/>
  <c r="H29" i="93"/>
  <c r="F29" i="93"/>
  <c r="W28" i="93"/>
  <c r="N28" i="93" s="1"/>
  <c r="V28" i="93"/>
  <c r="P28" i="93"/>
  <c r="K28" i="93"/>
  <c r="L28" i="93" s="1"/>
  <c r="J28" i="93"/>
  <c r="F28" i="93"/>
  <c r="H28" i="93" s="1"/>
  <c r="W27" i="93"/>
  <c r="N27" i="93" s="1"/>
  <c r="P27" i="93"/>
  <c r="O27" i="93"/>
  <c r="L27" i="93"/>
  <c r="L37" i="93" s="1"/>
  <c r="F13" i="92" s="1"/>
  <c r="K27" i="93"/>
  <c r="J27" i="93"/>
  <c r="F27" i="93"/>
  <c r="H27" i="93" s="1"/>
  <c r="AE26" i="93"/>
  <c r="E21" i="92" s="1"/>
  <c r="AD26" i="93"/>
  <c r="E20" i="92" s="1"/>
  <c r="AA26" i="93"/>
  <c r="Z26" i="93"/>
  <c r="M26" i="93"/>
  <c r="K26" i="93"/>
  <c r="W25" i="93"/>
  <c r="H25" i="93"/>
  <c r="W24" i="93"/>
  <c r="H24" i="93"/>
  <c r="W23" i="93"/>
  <c r="W21" i="93"/>
  <c r="AF20" i="93"/>
  <c r="W20" i="93"/>
  <c r="V20" i="93"/>
  <c r="N20" i="93"/>
  <c r="K20" i="93"/>
  <c r="J20" i="93"/>
  <c r="P20" i="93" s="1"/>
  <c r="H20" i="93"/>
  <c r="F20" i="93"/>
  <c r="AG19" i="93"/>
  <c r="W19" i="93"/>
  <c r="V19" i="93"/>
  <c r="P19" i="93"/>
  <c r="N19" i="93"/>
  <c r="L19" i="93"/>
  <c r="K19" i="93"/>
  <c r="J19" i="93"/>
  <c r="F19" i="93"/>
  <c r="H19" i="93" s="1"/>
  <c r="AG18" i="93"/>
  <c r="W18" i="93"/>
  <c r="V18" i="93"/>
  <c r="P18" i="93"/>
  <c r="O18" i="93"/>
  <c r="N18" i="93"/>
  <c r="K18" i="93"/>
  <c r="L18" i="93" s="1"/>
  <c r="J18" i="93"/>
  <c r="H18" i="93"/>
  <c r="F18" i="93"/>
  <c r="W17" i="93"/>
  <c r="V17" i="93"/>
  <c r="O17" i="93"/>
  <c r="N17" i="93"/>
  <c r="K17" i="93"/>
  <c r="J17" i="93"/>
  <c r="P17" i="93" s="1"/>
  <c r="H17" i="93"/>
  <c r="F17" i="93"/>
  <c r="W16" i="93"/>
  <c r="N16" i="93"/>
  <c r="K16" i="93"/>
  <c r="J16" i="93"/>
  <c r="L16" i="93" s="1"/>
  <c r="F16" i="93"/>
  <c r="H16" i="93" s="1"/>
  <c r="AE15" i="93"/>
  <c r="AD15" i="93"/>
  <c r="AA15" i="93"/>
  <c r="Z15" i="93"/>
  <c r="M15" i="93"/>
  <c r="W14" i="93"/>
  <c r="W13" i="93"/>
  <c r="W12" i="93"/>
  <c r="AG11" i="93"/>
  <c r="AF11" i="93"/>
  <c r="W11" i="93"/>
  <c r="AG10" i="93"/>
  <c r="AF10" i="93"/>
  <c r="W10" i="93"/>
  <c r="W9" i="93"/>
  <c r="V9" i="93"/>
  <c r="P9" i="93"/>
  <c r="N9" i="93"/>
  <c r="L9" i="93"/>
  <c r="K9" i="93"/>
  <c r="J9" i="93"/>
  <c r="F9" i="93"/>
  <c r="H9" i="93" s="1"/>
  <c r="W8" i="93"/>
  <c r="N8" i="93" s="1"/>
  <c r="V8" i="93"/>
  <c r="L8" i="93"/>
  <c r="K8" i="93"/>
  <c r="J8" i="93"/>
  <c r="P8" i="93" s="1"/>
  <c r="F8" i="93"/>
  <c r="H8" i="93" s="1"/>
  <c r="W7" i="93"/>
  <c r="N7" i="93" s="1"/>
  <c r="V7" i="93"/>
  <c r="O7" i="93"/>
  <c r="R7" i="93" s="1"/>
  <c r="L7" i="93"/>
  <c r="K7" i="93"/>
  <c r="J7" i="93"/>
  <c r="P7" i="93" s="1"/>
  <c r="H7" i="93"/>
  <c r="F7" i="93"/>
  <c r="W6" i="93"/>
  <c r="V6" i="93"/>
  <c r="O6" i="93"/>
  <c r="N6" i="93"/>
  <c r="K6" i="93"/>
  <c r="J6" i="93"/>
  <c r="P6" i="93" s="1"/>
  <c r="H6" i="93"/>
  <c r="F6" i="93"/>
  <c r="W5" i="93"/>
  <c r="P5" i="93"/>
  <c r="O5" i="93"/>
  <c r="N5" i="93"/>
  <c r="K5" i="93"/>
  <c r="J5" i="93"/>
  <c r="H5" i="93"/>
  <c r="F5" i="93"/>
  <c r="AD2" i="93"/>
  <c r="I2" i="93"/>
  <c r="E1" i="93"/>
  <c r="G3" i="92" s="1"/>
  <c r="F22" i="92"/>
  <c r="E22" i="92"/>
  <c r="D22" i="92"/>
  <c r="J21" i="92"/>
  <c r="I21" i="92"/>
  <c r="H21" i="92"/>
  <c r="G21" i="92"/>
  <c r="J20" i="92"/>
  <c r="I20" i="92"/>
  <c r="H20" i="92"/>
  <c r="G20" i="92"/>
  <c r="F20" i="92"/>
  <c r="D20" i="92"/>
  <c r="I19" i="92"/>
  <c r="H19" i="92"/>
  <c r="G19" i="92"/>
  <c r="E19" i="92"/>
  <c r="H18" i="92"/>
  <c r="G18" i="92"/>
  <c r="E18" i="92"/>
  <c r="J16" i="92"/>
  <c r="I16" i="92"/>
  <c r="H16" i="92"/>
  <c r="G16" i="92"/>
  <c r="F16" i="92"/>
  <c r="E16" i="92"/>
  <c r="D16" i="92"/>
  <c r="AG79" i="91"/>
  <c r="AF79" i="91"/>
  <c r="AE79" i="91"/>
  <c r="AD79" i="91"/>
  <c r="AA79" i="91"/>
  <c r="Z79" i="91"/>
  <c r="W78" i="91"/>
  <c r="W77" i="91"/>
  <c r="W76" i="91"/>
  <c r="W75" i="91"/>
  <c r="W74" i="91"/>
  <c r="W73" i="91"/>
  <c r="W72" i="91"/>
  <c r="W71" i="91"/>
  <c r="AH70" i="91"/>
  <c r="AG70" i="91"/>
  <c r="AF70" i="91"/>
  <c r="W70" i="91"/>
  <c r="S70" i="91"/>
  <c r="AE69" i="91"/>
  <c r="AD69" i="91"/>
  <c r="I20" i="90" s="1"/>
  <c r="AA69" i="91"/>
  <c r="J18" i="95" s="1"/>
  <c r="Z69" i="91"/>
  <c r="M69" i="91"/>
  <c r="J69" i="91"/>
  <c r="P69" i="91" s="1"/>
  <c r="W68" i="91"/>
  <c r="H68" i="91"/>
  <c r="W67" i="91"/>
  <c r="W66" i="91"/>
  <c r="W65" i="91"/>
  <c r="W64" i="91"/>
  <c r="W63" i="91"/>
  <c r="AG62" i="91"/>
  <c r="AF62" i="91"/>
  <c r="W62" i="91"/>
  <c r="W61" i="91"/>
  <c r="N61" i="91" s="1"/>
  <c r="V61" i="91"/>
  <c r="L61" i="91"/>
  <c r="K61" i="91"/>
  <c r="J61" i="91"/>
  <c r="P61" i="91" s="1"/>
  <c r="F61" i="91"/>
  <c r="H61" i="91" s="1"/>
  <c r="AG60" i="91"/>
  <c r="W60" i="91"/>
  <c r="V60" i="91"/>
  <c r="R60" i="91"/>
  <c r="O60" i="91"/>
  <c r="Q60" i="91" s="1"/>
  <c r="N60" i="91"/>
  <c r="AF60" i="91" s="1"/>
  <c r="L60" i="91"/>
  <c r="K60" i="91"/>
  <c r="J60" i="91"/>
  <c r="P60" i="91" s="1"/>
  <c r="F60" i="91"/>
  <c r="H60" i="91" s="1"/>
  <c r="W59" i="91"/>
  <c r="N59" i="91" s="1"/>
  <c r="P59" i="91"/>
  <c r="K59" i="91"/>
  <c r="K69" i="91" s="1"/>
  <c r="J59" i="91"/>
  <c r="F59" i="91"/>
  <c r="H59" i="91" s="1"/>
  <c r="AE58" i="91"/>
  <c r="AD58" i="91"/>
  <c r="AA58" i="91"/>
  <c r="Z58" i="91"/>
  <c r="H18" i="90" s="1"/>
  <c r="N58" i="91"/>
  <c r="M58" i="91"/>
  <c r="W57" i="91"/>
  <c r="W56" i="91"/>
  <c r="W55" i="91"/>
  <c r="W54" i="91"/>
  <c r="AG53" i="91"/>
  <c r="AF53" i="91"/>
  <c r="W53" i="91"/>
  <c r="AG52" i="91"/>
  <c r="W52" i="91"/>
  <c r="V52" i="91"/>
  <c r="P52" i="91"/>
  <c r="N52" i="91"/>
  <c r="K52" i="91"/>
  <c r="L52" i="91" s="1"/>
  <c r="J52" i="91"/>
  <c r="F52" i="91"/>
  <c r="H52" i="91" s="1"/>
  <c r="AG51" i="91"/>
  <c r="AF51" i="91"/>
  <c r="W51" i="91"/>
  <c r="V51" i="91"/>
  <c r="N51" i="91"/>
  <c r="O51" i="91" s="1"/>
  <c r="K51" i="91"/>
  <c r="J51" i="91"/>
  <c r="P51" i="91" s="1"/>
  <c r="H51" i="91"/>
  <c r="F51" i="91"/>
  <c r="W50" i="91"/>
  <c r="N50" i="91" s="1"/>
  <c r="V50" i="91"/>
  <c r="K50" i="91"/>
  <c r="J50" i="91"/>
  <c r="F50" i="91"/>
  <c r="H50" i="91" s="1"/>
  <c r="AF49" i="91"/>
  <c r="W49" i="91"/>
  <c r="N49" i="91" s="1"/>
  <c r="K49" i="91"/>
  <c r="J49" i="91"/>
  <c r="P49" i="91" s="1"/>
  <c r="H49" i="91"/>
  <c r="F49" i="91"/>
  <c r="AE48" i="91"/>
  <c r="AD48" i="91"/>
  <c r="AA48" i="91"/>
  <c r="Z48" i="91"/>
  <c r="W48" i="91"/>
  <c r="M48" i="91"/>
  <c r="G22" i="90" s="1"/>
  <c r="W47" i="91"/>
  <c r="H47" i="91"/>
  <c r="W46" i="91"/>
  <c r="W45" i="91"/>
  <c r="W44" i="91"/>
  <c r="W43" i="91"/>
  <c r="W42" i="91"/>
  <c r="AG41" i="91"/>
  <c r="W41" i="91"/>
  <c r="N41" i="91" s="1"/>
  <c r="K41" i="91"/>
  <c r="J41" i="91"/>
  <c r="H41" i="91"/>
  <c r="F41" i="91"/>
  <c r="AF40" i="91"/>
  <c r="W40" i="91"/>
  <c r="V40" i="91"/>
  <c r="P40" i="91"/>
  <c r="O40" i="91"/>
  <c r="N40" i="91"/>
  <c r="K40" i="91"/>
  <c r="F40" i="91"/>
  <c r="H40" i="91" s="1"/>
  <c r="W39" i="91"/>
  <c r="V39" i="91"/>
  <c r="N39" i="91"/>
  <c r="K39" i="91"/>
  <c r="J39" i="91"/>
  <c r="H39" i="91"/>
  <c r="F39" i="91"/>
  <c r="W38" i="91"/>
  <c r="N38" i="91"/>
  <c r="L38" i="91"/>
  <c r="K38" i="91"/>
  <c r="K48" i="91" s="1"/>
  <c r="J38" i="91"/>
  <c r="P38" i="91" s="1"/>
  <c r="F38" i="91"/>
  <c r="H38" i="91" s="1"/>
  <c r="AE37" i="91"/>
  <c r="AD37" i="91"/>
  <c r="F20" i="90" s="1"/>
  <c r="AA37" i="91"/>
  <c r="Z37" i="91"/>
  <c r="F18" i="95" s="1"/>
  <c r="M37" i="91"/>
  <c r="J37" i="91"/>
  <c r="W36" i="91"/>
  <c r="H36" i="91"/>
  <c r="W35" i="91"/>
  <c r="W34" i="91"/>
  <c r="W33" i="91"/>
  <c r="W32" i="91"/>
  <c r="W31" i="91"/>
  <c r="P31" i="91"/>
  <c r="N31" i="91"/>
  <c r="K31" i="91"/>
  <c r="L31" i="91" s="1"/>
  <c r="H31" i="91"/>
  <c r="F31" i="91"/>
  <c r="W30" i="91"/>
  <c r="N30" i="91" s="1"/>
  <c r="V30" i="91"/>
  <c r="P30" i="91"/>
  <c r="L30" i="91"/>
  <c r="L37" i="91" s="1"/>
  <c r="F13" i="90" s="1"/>
  <c r="K30" i="91"/>
  <c r="J30" i="91"/>
  <c r="H30" i="91"/>
  <c r="F30" i="91"/>
  <c r="AF29" i="91"/>
  <c r="W29" i="91"/>
  <c r="V29" i="91"/>
  <c r="R29" i="91"/>
  <c r="P29" i="91"/>
  <c r="O29" i="91"/>
  <c r="Q29" i="91" s="1"/>
  <c r="N29" i="91"/>
  <c r="AG29" i="91" s="1"/>
  <c r="K29" i="91"/>
  <c r="L29" i="91" s="1"/>
  <c r="J29" i="91"/>
  <c r="F29" i="91"/>
  <c r="H29" i="91" s="1"/>
  <c r="W28" i="91"/>
  <c r="N28" i="91" s="1"/>
  <c r="V28" i="91"/>
  <c r="P28" i="91"/>
  <c r="L28" i="91"/>
  <c r="K28" i="91"/>
  <c r="J28" i="91"/>
  <c r="F28" i="91"/>
  <c r="H28" i="91" s="1"/>
  <c r="W27" i="91"/>
  <c r="N27" i="91" s="1"/>
  <c r="O27" i="91" s="1"/>
  <c r="P27" i="91"/>
  <c r="L27" i="91"/>
  <c r="K27" i="91"/>
  <c r="J27" i="91"/>
  <c r="F27" i="91"/>
  <c r="H27" i="91" s="1"/>
  <c r="AE26" i="91"/>
  <c r="AD26" i="91"/>
  <c r="E20" i="90" s="1"/>
  <c r="AA26" i="91"/>
  <c r="Z26" i="91"/>
  <c r="M26" i="91"/>
  <c r="W25" i="91"/>
  <c r="H25" i="91"/>
  <c r="W24" i="91"/>
  <c r="H24" i="91"/>
  <c r="W23" i="91"/>
  <c r="W21" i="91"/>
  <c r="W20" i="91"/>
  <c r="V20" i="91"/>
  <c r="W19" i="91"/>
  <c r="V19" i="91"/>
  <c r="N19" i="91"/>
  <c r="L19" i="91"/>
  <c r="K19" i="91"/>
  <c r="J19" i="91"/>
  <c r="P19" i="91" s="1"/>
  <c r="F19" i="91"/>
  <c r="H19" i="91" s="1"/>
  <c r="W18" i="91"/>
  <c r="V18" i="91"/>
  <c r="P18" i="91"/>
  <c r="O18" i="91"/>
  <c r="N18" i="91"/>
  <c r="K18" i="91"/>
  <c r="L18" i="91" s="1"/>
  <c r="J18" i="91"/>
  <c r="H18" i="91"/>
  <c r="F18" i="91"/>
  <c r="W17" i="91"/>
  <c r="N17" i="91" s="1"/>
  <c r="V17" i="91"/>
  <c r="P17" i="91"/>
  <c r="K17" i="91"/>
  <c r="L17" i="91" s="1"/>
  <c r="J17" i="91"/>
  <c r="H17" i="91"/>
  <c r="F17" i="91"/>
  <c r="AG16" i="91"/>
  <c r="W16" i="91"/>
  <c r="N16" i="91" s="1"/>
  <c r="O16" i="91"/>
  <c r="K16" i="91"/>
  <c r="J16" i="91"/>
  <c r="F16" i="91"/>
  <c r="H16" i="91" s="1"/>
  <c r="AE15" i="91"/>
  <c r="D21" i="90" s="1"/>
  <c r="AD15" i="91"/>
  <c r="AA15" i="91"/>
  <c r="Z15" i="91"/>
  <c r="D18" i="95" s="1"/>
  <c r="M15" i="91"/>
  <c r="W14" i="91"/>
  <c r="W13" i="91"/>
  <c r="W12" i="91"/>
  <c r="AG11" i="91"/>
  <c r="AF11" i="91"/>
  <c r="W11" i="91"/>
  <c r="AG10" i="91"/>
  <c r="AF10" i="91"/>
  <c r="W10" i="91"/>
  <c r="AG9" i="91"/>
  <c r="AF9" i="91"/>
  <c r="W9" i="91"/>
  <c r="W8" i="91"/>
  <c r="N8" i="91" s="1"/>
  <c r="P8" i="91"/>
  <c r="O8" i="91"/>
  <c r="L8" i="91"/>
  <c r="K8" i="91"/>
  <c r="J8" i="91"/>
  <c r="F8" i="91"/>
  <c r="H8" i="91" s="1"/>
  <c r="AG7" i="91"/>
  <c r="AF7" i="91"/>
  <c r="W7" i="91"/>
  <c r="V7" i="91"/>
  <c r="O7" i="91"/>
  <c r="N7" i="91"/>
  <c r="K7" i="91"/>
  <c r="J7" i="91"/>
  <c r="P7" i="91" s="1"/>
  <c r="F7" i="91"/>
  <c r="H7" i="91" s="1"/>
  <c r="W6" i="91"/>
  <c r="V6" i="91"/>
  <c r="O6" i="91"/>
  <c r="N6" i="91"/>
  <c r="K6" i="91"/>
  <c r="J6" i="91"/>
  <c r="P6" i="91" s="1"/>
  <c r="F6" i="91"/>
  <c r="H6" i="91" s="1"/>
  <c r="W5" i="91"/>
  <c r="N5" i="91"/>
  <c r="K5" i="91"/>
  <c r="J5" i="91"/>
  <c r="H5" i="91"/>
  <c r="F5" i="91"/>
  <c r="AE2" i="91"/>
  <c r="AD2" i="91"/>
  <c r="I2" i="91"/>
  <c r="E1" i="91"/>
  <c r="I22" i="90"/>
  <c r="E22" i="90"/>
  <c r="D22" i="90"/>
  <c r="I21" i="90"/>
  <c r="H21" i="90"/>
  <c r="G21" i="90"/>
  <c r="E21" i="90"/>
  <c r="H20" i="90"/>
  <c r="G20" i="90"/>
  <c r="D20" i="90"/>
  <c r="H19" i="90"/>
  <c r="G19" i="90"/>
  <c r="I18" i="90"/>
  <c r="G18" i="90"/>
  <c r="F18" i="90"/>
  <c r="D18" i="90"/>
  <c r="I16" i="90"/>
  <c r="H16" i="90"/>
  <c r="G16" i="90"/>
  <c r="F16" i="90"/>
  <c r="E16" i="90"/>
  <c r="D16" i="90"/>
  <c r="G3" i="90"/>
  <c r="AG79" i="89"/>
  <c r="AH70" i="89" s="1"/>
  <c r="AF79" i="89"/>
  <c r="AE79" i="89"/>
  <c r="AD79" i="89"/>
  <c r="AA79" i="89"/>
  <c r="Z79" i="89"/>
  <c r="W78" i="89"/>
  <c r="H78" i="89"/>
  <c r="W77" i="89"/>
  <c r="H77" i="89"/>
  <c r="W76" i="89"/>
  <c r="H76" i="89"/>
  <c r="W75" i="89"/>
  <c r="H75" i="89"/>
  <c r="W74" i="89"/>
  <c r="W73" i="89"/>
  <c r="W72" i="89"/>
  <c r="W71" i="89"/>
  <c r="AG70" i="89"/>
  <c r="AF70" i="89"/>
  <c r="W70" i="89"/>
  <c r="S70" i="89"/>
  <c r="AE69" i="89"/>
  <c r="AD69" i="89"/>
  <c r="AA69" i="89"/>
  <c r="Z69" i="89"/>
  <c r="M69" i="89"/>
  <c r="W68" i="89"/>
  <c r="H68" i="89"/>
  <c r="W67" i="89"/>
  <c r="W66" i="89"/>
  <c r="W65" i="89"/>
  <c r="W64" i="89"/>
  <c r="W63" i="89"/>
  <c r="AG62" i="89"/>
  <c r="AF62" i="89"/>
  <c r="W62" i="89"/>
  <c r="W61" i="89"/>
  <c r="V61" i="89"/>
  <c r="P61" i="89"/>
  <c r="N61" i="89"/>
  <c r="K61" i="89"/>
  <c r="L61" i="89" s="1"/>
  <c r="J61" i="89"/>
  <c r="F61" i="89"/>
  <c r="H61" i="89" s="1"/>
  <c r="AF60" i="89"/>
  <c r="W60" i="89"/>
  <c r="V60" i="89"/>
  <c r="P60" i="89"/>
  <c r="N60" i="89"/>
  <c r="K60" i="89"/>
  <c r="J60" i="89"/>
  <c r="J69" i="89" s="1"/>
  <c r="F60" i="89"/>
  <c r="H60" i="89" s="1"/>
  <c r="W59" i="89"/>
  <c r="P59" i="89"/>
  <c r="N59" i="89"/>
  <c r="L59" i="89"/>
  <c r="K59" i="89"/>
  <c r="J59" i="89"/>
  <c r="F59" i="89"/>
  <c r="H59" i="89" s="1"/>
  <c r="AE58" i="89"/>
  <c r="AD58" i="89"/>
  <c r="AA58" i="89"/>
  <c r="H19" i="88" s="1"/>
  <c r="Z58" i="89"/>
  <c r="N58" i="89"/>
  <c r="M58" i="89"/>
  <c r="W57" i="89"/>
  <c r="W56" i="89"/>
  <c r="W55" i="89"/>
  <c r="W54" i="89"/>
  <c r="W53" i="89"/>
  <c r="V53" i="89"/>
  <c r="P53" i="89"/>
  <c r="O53" i="89"/>
  <c r="N53" i="89"/>
  <c r="K53" i="89"/>
  <c r="J53" i="89"/>
  <c r="F53" i="89"/>
  <c r="H53" i="89" s="1"/>
  <c r="W52" i="89"/>
  <c r="N52" i="89" s="1"/>
  <c r="V52" i="89"/>
  <c r="P52" i="89"/>
  <c r="K52" i="89"/>
  <c r="L52" i="89" s="1"/>
  <c r="J52" i="89"/>
  <c r="F52" i="89"/>
  <c r="H52" i="89" s="1"/>
  <c r="W51" i="89"/>
  <c r="N51" i="89" s="1"/>
  <c r="V51" i="89"/>
  <c r="P51" i="89"/>
  <c r="L51" i="89"/>
  <c r="K51" i="89"/>
  <c r="J51" i="89"/>
  <c r="F51" i="89"/>
  <c r="H51" i="89" s="1"/>
  <c r="W50" i="89"/>
  <c r="V50" i="89"/>
  <c r="N50" i="89"/>
  <c r="L50" i="89"/>
  <c r="K50" i="89"/>
  <c r="J50" i="89"/>
  <c r="P50" i="89" s="1"/>
  <c r="F50" i="89"/>
  <c r="H50" i="89" s="1"/>
  <c r="W49" i="89"/>
  <c r="N49" i="89"/>
  <c r="K49" i="89"/>
  <c r="J49" i="89"/>
  <c r="F49" i="89"/>
  <c r="H49" i="89" s="1"/>
  <c r="AE48" i="89"/>
  <c r="AD48" i="89"/>
  <c r="AA48" i="89"/>
  <c r="G19" i="88" s="1"/>
  <c r="Z48" i="89"/>
  <c r="W48" i="89"/>
  <c r="M48" i="89"/>
  <c r="W47" i="89"/>
  <c r="H47" i="89"/>
  <c r="W46" i="89"/>
  <c r="W45" i="89"/>
  <c r="W44" i="89"/>
  <c r="W43" i="89"/>
  <c r="W42" i="89"/>
  <c r="W41" i="89"/>
  <c r="V41" i="89"/>
  <c r="N41" i="89"/>
  <c r="K41" i="89"/>
  <c r="J41" i="89"/>
  <c r="P41" i="89" s="1"/>
  <c r="F41" i="89"/>
  <c r="H41" i="89" s="1"/>
  <c r="AG40" i="89"/>
  <c r="W40" i="89"/>
  <c r="V40" i="89"/>
  <c r="P40" i="89"/>
  <c r="O40" i="89"/>
  <c r="N40" i="89"/>
  <c r="K40" i="89"/>
  <c r="L40" i="89" s="1"/>
  <c r="F40" i="89"/>
  <c r="H40" i="89" s="1"/>
  <c r="W39" i="89"/>
  <c r="V39" i="89"/>
  <c r="N39" i="89"/>
  <c r="K39" i="89"/>
  <c r="L39" i="89" s="1"/>
  <c r="J39" i="89"/>
  <c r="P39" i="89" s="1"/>
  <c r="H39" i="89"/>
  <c r="F39" i="89"/>
  <c r="W38" i="89"/>
  <c r="P38" i="89"/>
  <c r="O38" i="89"/>
  <c r="N38" i="89"/>
  <c r="L38" i="89"/>
  <c r="K38" i="89"/>
  <c r="J38" i="89"/>
  <c r="F38" i="89"/>
  <c r="H38" i="89" s="1"/>
  <c r="AE37" i="89"/>
  <c r="AD37" i="89"/>
  <c r="F20" i="88" s="1"/>
  <c r="AA37" i="89"/>
  <c r="F19" i="88" s="1"/>
  <c r="Z37" i="89"/>
  <c r="F18" i="88" s="1"/>
  <c r="M37" i="89"/>
  <c r="W36" i="89"/>
  <c r="H36" i="89"/>
  <c r="W35" i="89"/>
  <c r="W34" i="89"/>
  <c r="W33" i="89"/>
  <c r="W32" i="89"/>
  <c r="AG31" i="89"/>
  <c r="AF31" i="89"/>
  <c r="W31" i="89"/>
  <c r="W30" i="89"/>
  <c r="V30" i="89"/>
  <c r="P30" i="89"/>
  <c r="N30" i="89"/>
  <c r="L30" i="89"/>
  <c r="K30" i="89"/>
  <c r="H30" i="89"/>
  <c r="F30" i="89"/>
  <c r="W29" i="89"/>
  <c r="N29" i="89" s="1"/>
  <c r="V29" i="89"/>
  <c r="P29" i="89"/>
  <c r="K29" i="89"/>
  <c r="L29" i="89" s="1"/>
  <c r="J29" i="89"/>
  <c r="H29" i="89"/>
  <c r="F29" i="89"/>
  <c r="AG28" i="89"/>
  <c r="W28" i="89"/>
  <c r="N28" i="89" s="1"/>
  <c r="O28" i="89" s="1"/>
  <c r="V28" i="89"/>
  <c r="R28" i="89"/>
  <c r="P28" i="89"/>
  <c r="L28" i="89"/>
  <c r="K28" i="89"/>
  <c r="J28" i="89"/>
  <c r="F28" i="89"/>
  <c r="H28" i="89" s="1"/>
  <c r="AF27" i="89"/>
  <c r="W27" i="89"/>
  <c r="N27" i="89" s="1"/>
  <c r="K27" i="89"/>
  <c r="J27" i="89"/>
  <c r="H27" i="89"/>
  <c r="F27" i="89"/>
  <c r="AE26" i="89"/>
  <c r="AD26" i="89"/>
  <c r="E20" i="88" s="1"/>
  <c r="AA26" i="89"/>
  <c r="Z26" i="89"/>
  <c r="E18" i="88" s="1"/>
  <c r="M26" i="89"/>
  <c r="K26" i="89"/>
  <c r="W25" i="89"/>
  <c r="H25" i="89"/>
  <c r="W24" i="89"/>
  <c r="H24" i="89"/>
  <c r="W23" i="89"/>
  <c r="W21" i="89"/>
  <c r="W20" i="89"/>
  <c r="AG19" i="89"/>
  <c r="W19" i="89"/>
  <c r="V19" i="89"/>
  <c r="P19" i="89"/>
  <c r="O19" i="89"/>
  <c r="R19" i="89" s="1"/>
  <c r="N19" i="89"/>
  <c r="AF19" i="89" s="1"/>
  <c r="L19" i="89"/>
  <c r="K19" i="89"/>
  <c r="J19" i="89"/>
  <c r="F19" i="89"/>
  <c r="H19" i="89" s="1"/>
  <c r="AG18" i="89"/>
  <c r="W18" i="89"/>
  <c r="V18" i="89"/>
  <c r="P18" i="89"/>
  <c r="N18" i="89"/>
  <c r="AF18" i="89" s="1"/>
  <c r="K18" i="89"/>
  <c r="J18" i="89"/>
  <c r="L18" i="89" s="1"/>
  <c r="H18" i="89"/>
  <c r="F18" i="89"/>
  <c r="W17" i="89"/>
  <c r="N17" i="89" s="1"/>
  <c r="V17" i="89"/>
  <c r="P17" i="89"/>
  <c r="O17" i="89"/>
  <c r="K17" i="89"/>
  <c r="L17" i="89" s="1"/>
  <c r="J17" i="89"/>
  <c r="F17" i="89"/>
  <c r="H17" i="89" s="1"/>
  <c r="W16" i="89"/>
  <c r="N16" i="89" s="1"/>
  <c r="K16" i="89"/>
  <c r="J16" i="89"/>
  <c r="F16" i="89"/>
  <c r="H16" i="89" s="1"/>
  <c r="AE15" i="89"/>
  <c r="AD15" i="89"/>
  <c r="AA15" i="89"/>
  <c r="D19" i="88" s="1"/>
  <c r="Z15" i="89"/>
  <c r="M15" i="89"/>
  <c r="W14" i="89"/>
  <c r="W13" i="89"/>
  <c r="W12" i="89"/>
  <c r="AG11" i="89"/>
  <c r="AF11" i="89"/>
  <c r="W11" i="89"/>
  <c r="AG10" i="89"/>
  <c r="AF10" i="89"/>
  <c r="W10" i="89"/>
  <c r="AG9" i="89"/>
  <c r="AF9" i="89"/>
  <c r="W9" i="89"/>
  <c r="W8" i="89"/>
  <c r="V8" i="89"/>
  <c r="P8" i="89"/>
  <c r="O8" i="89"/>
  <c r="N8" i="89"/>
  <c r="L8" i="89"/>
  <c r="K8" i="89"/>
  <c r="J8" i="89"/>
  <c r="F8" i="89"/>
  <c r="H8" i="89" s="1"/>
  <c r="W7" i="89"/>
  <c r="V7" i="89"/>
  <c r="P7" i="89"/>
  <c r="N7" i="89"/>
  <c r="K7" i="89"/>
  <c r="L7" i="89" s="1"/>
  <c r="J7" i="89"/>
  <c r="H7" i="89"/>
  <c r="F7" i="89"/>
  <c r="W6" i="89"/>
  <c r="V6" i="89"/>
  <c r="P6" i="89"/>
  <c r="O6" i="89"/>
  <c r="N6" i="89"/>
  <c r="K6" i="89"/>
  <c r="L6" i="89" s="1"/>
  <c r="J6" i="89"/>
  <c r="J15" i="89" s="1"/>
  <c r="F6" i="89"/>
  <c r="H6" i="89" s="1"/>
  <c r="W5" i="89"/>
  <c r="P5" i="89"/>
  <c r="N5" i="89"/>
  <c r="K5" i="89"/>
  <c r="J5" i="89"/>
  <c r="H5" i="89"/>
  <c r="F5" i="89"/>
  <c r="AD2" i="89"/>
  <c r="I2" i="89"/>
  <c r="E1" i="89"/>
  <c r="F22" i="88"/>
  <c r="E22" i="88"/>
  <c r="I21" i="88"/>
  <c r="H21" i="88"/>
  <c r="G21" i="88"/>
  <c r="E21" i="88"/>
  <c r="D21" i="88"/>
  <c r="I20" i="88"/>
  <c r="H20" i="88"/>
  <c r="G20" i="88"/>
  <c r="D20" i="88"/>
  <c r="I19" i="88"/>
  <c r="E19" i="88"/>
  <c r="I18" i="88"/>
  <c r="G18" i="88"/>
  <c r="D18" i="88"/>
  <c r="I16" i="88"/>
  <c r="H16" i="88"/>
  <c r="G16" i="88"/>
  <c r="F16" i="88"/>
  <c r="E16" i="88"/>
  <c r="D16" i="88"/>
  <c r="G3" i="88"/>
  <c r="AG79" i="87"/>
  <c r="AF79" i="87"/>
  <c r="AE79" i="87"/>
  <c r="AD79" i="87"/>
  <c r="AA79" i="87"/>
  <c r="Z79" i="87"/>
  <c r="W78" i="87"/>
  <c r="H78" i="87"/>
  <c r="W77" i="87"/>
  <c r="H77" i="87"/>
  <c r="W76" i="87"/>
  <c r="H76" i="87"/>
  <c r="W75" i="87"/>
  <c r="W74" i="87"/>
  <c r="W73" i="87"/>
  <c r="W72" i="87"/>
  <c r="W71" i="87"/>
  <c r="AH70" i="87"/>
  <c r="AG70" i="87"/>
  <c r="AF70" i="87"/>
  <c r="W70" i="87"/>
  <c r="S70" i="87"/>
  <c r="AE69" i="87"/>
  <c r="AD69" i="87"/>
  <c r="I20" i="86" s="1"/>
  <c r="AA69" i="87"/>
  <c r="Z69" i="87"/>
  <c r="I18" i="86" s="1"/>
  <c r="M69" i="87"/>
  <c r="I22" i="86" s="1"/>
  <c r="W68" i="87"/>
  <c r="H68" i="87"/>
  <c r="W67" i="87"/>
  <c r="W66" i="87"/>
  <c r="W65" i="87"/>
  <c r="W64" i="87"/>
  <c r="W63" i="87"/>
  <c r="N63" i="87" s="1"/>
  <c r="O63" i="87" s="1"/>
  <c r="V63" i="87"/>
  <c r="P63" i="87"/>
  <c r="K63" i="87"/>
  <c r="L63" i="87" s="1"/>
  <c r="J63" i="87"/>
  <c r="F63" i="87"/>
  <c r="H63" i="87" s="1"/>
  <c r="W62" i="87"/>
  <c r="N62" i="87" s="1"/>
  <c r="V62" i="87"/>
  <c r="K62" i="87"/>
  <c r="J62" i="87"/>
  <c r="P62" i="87" s="1"/>
  <c r="F62" i="87"/>
  <c r="H62" i="87" s="1"/>
  <c r="AF61" i="87"/>
  <c r="W61" i="87"/>
  <c r="N61" i="87" s="1"/>
  <c r="O61" i="87" s="1"/>
  <c r="V61" i="87"/>
  <c r="K61" i="87"/>
  <c r="J61" i="87"/>
  <c r="F61" i="87"/>
  <c r="H61" i="87" s="1"/>
  <c r="AG60" i="87"/>
  <c r="AF60" i="87"/>
  <c r="W60" i="87"/>
  <c r="V60" i="87"/>
  <c r="N60" i="87"/>
  <c r="K60" i="87"/>
  <c r="L60" i="87" s="1"/>
  <c r="J60" i="87"/>
  <c r="P60" i="87" s="1"/>
  <c r="H60" i="87"/>
  <c r="F60" i="87"/>
  <c r="AG59" i="87"/>
  <c r="AF59" i="87"/>
  <c r="W59" i="87"/>
  <c r="R59" i="87"/>
  <c r="P59" i="87"/>
  <c r="N59" i="87"/>
  <c r="O59" i="87" s="1"/>
  <c r="L59" i="87"/>
  <c r="K59" i="87"/>
  <c r="J59" i="87"/>
  <c r="F59" i="87"/>
  <c r="H59" i="87" s="1"/>
  <c r="AE58" i="87"/>
  <c r="AD58" i="87"/>
  <c r="H20" i="86" s="1"/>
  <c r="AA58" i="87"/>
  <c r="Z58" i="87"/>
  <c r="H18" i="86" s="1"/>
  <c r="M58" i="87"/>
  <c r="H22" i="86" s="1"/>
  <c r="W57" i="87"/>
  <c r="W56" i="87"/>
  <c r="W55" i="87"/>
  <c r="W54" i="87"/>
  <c r="AG53" i="87"/>
  <c r="AF53" i="87"/>
  <c r="W53" i="87"/>
  <c r="N53" i="87" s="1"/>
  <c r="O53" i="87" s="1"/>
  <c r="K53" i="87"/>
  <c r="J53" i="87"/>
  <c r="F53" i="87"/>
  <c r="H53" i="87" s="1"/>
  <c r="W52" i="87"/>
  <c r="N52" i="87" s="1"/>
  <c r="V52" i="87"/>
  <c r="K52" i="87"/>
  <c r="J52" i="87"/>
  <c r="P52" i="87" s="1"/>
  <c r="F52" i="87"/>
  <c r="H52" i="87" s="1"/>
  <c r="W51" i="87"/>
  <c r="V51" i="87"/>
  <c r="N51" i="87"/>
  <c r="K51" i="87"/>
  <c r="J51" i="87"/>
  <c r="H51" i="87"/>
  <c r="F51" i="87"/>
  <c r="W50" i="87"/>
  <c r="N50" i="87" s="1"/>
  <c r="AF50" i="87" s="1"/>
  <c r="V50" i="87"/>
  <c r="K50" i="87"/>
  <c r="L50" i="87" s="1"/>
  <c r="J50" i="87"/>
  <c r="P50" i="87" s="1"/>
  <c r="F50" i="87"/>
  <c r="H50" i="87" s="1"/>
  <c r="W49" i="87"/>
  <c r="N49" i="87" s="1"/>
  <c r="O49" i="87" s="1"/>
  <c r="P49" i="87"/>
  <c r="K49" i="87"/>
  <c r="J49" i="87"/>
  <c r="F49" i="87"/>
  <c r="H49" i="87" s="1"/>
  <c r="AE48" i="87"/>
  <c r="AD48" i="87"/>
  <c r="AA48" i="87"/>
  <c r="Z48" i="87"/>
  <c r="G18" i="86" s="1"/>
  <c r="W48" i="87"/>
  <c r="M48" i="87"/>
  <c r="G22" i="86" s="1"/>
  <c r="W47" i="87"/>
  <c r="H47" i="87"/>
  <c r="W46" i="87"/>
  <c r="W45" i="87"/>
  <c r="W44" i="87"/>
  <c r="W43" i="87"/>
  <c r="W42" i="87"/>
  <c r="AG41" i="87"/>
  <c r="AF41" i="87"/>
  <c r="W41" i="87"/>
  <c r="W40" i="87"/>
  <c r="V40" i="87"/>
  <c r="O40" i="87"/>
  <c r="N40" i="87"/>
  <c r="K40" i="87"/>
  <c r="J40" i="87"/>
  <c r="P40" i="87" s="1"/>
  <c r="F40" i="87"/>
  <c r="H40" i="87" s="1"/>
  <c r="W39" i="87"/>
  <c r="N39" i="87" s="1"/>
  <c r="V39" i="87"/>
  <c r="P39" i="87"/>
  <c r="K39" i="87"/>
  <c r="J39" i="87"/>
  <c r="H39" i="87"/>
  <c r="F39" i="87"/>
  <c r="W38" i="87"/>
  <c r="P38" i="87"/>
  <c r="N38" i="87"/>
  <c r="L38" i="87"/>
  <c r="K38" i="87"/>
  <c r="J38" i="87"/>
  <c r="F38" i="87"/>
  <c r="H38" i="87" s="1"/>
  <c r="AE37" i="87"/>
  <c r="AD37" i="87"/>
  <c r="F20" i="86" s="1"/>
  <c r="AA37" i="87"/>
  <c r="Z37" i="87"/>
  <c r="F18" i="86" s="1"/>
  <c r="M37" i="87"/>
  <c r="J37" i="87"/>
  <c r="P37" i="87" s="1"/>
  <c r="W36" i="87"/>
  <c r="H36" i="87"/>
  <c r="W35" i="87"/>
  <c r="W34" i="87"/>
  <c r="W33" i="87"/>
  <c r="W32" i="87"/>
  <c r="AG31" i="87"/>
  <c r="W31" i="87"/>
  <c r="V31" i="87"/>
  <c r="P31" i="87"/>
  <c r="O31" i="87"/>
  <c r="N31" i="87"/>
  <c r="AF31" i="87" s="1"/>
  <c r="L31" i="87"/>
  <c r="K31" i="87"/>
  <c r="F31" i="87"/>
  <c r="H31" i="87" s="1"/>
  <c r="W30" i="87"/>
  <c r="V30" i="87"/>
  <c r="P30" i="87"/>
  <c r="N30" i="87"/>
  <c r="O30" i="87" s="1"/>
  <c r="K30" i="87"/>
  <c r="L30" i="87" s="1"/>
  <c r="H30" i="87"/>
  <c r="F30" i="87"/>
  <c r="W29" i="87"/>
  <c r="V29" i="87"/>
  <c r="P29" i="87"/>
  <c r="N29" i="87"/>
  <c r="K29" i="87"/>
  <c r="L29" i="87" s="1"/>
  <c r="J29" i="87"/>
  <c r="H29" i="87"/>
  <c r="F29" i="87"/>
  <c r="AF28" i="87"/>
  <c r="W28" i="87"/>
  <c r="V28" i="87"/>
  <c r="P28" i="87"/>
  <c r="O28" i="87"/>
  <c r="N28" i="87"/>
  <c r="K28" i="87"/>
  <c r="J28" i="87"/>
  <c r="H28" i="87"/>
  <c r="F28" i="87"/>
  <c r="W27" i="87"/>
  <c r="N27" i="87" s="1"/>
  <c r="L27" i="87"/>
  <c r="K27" i="87"/>
  <c r="J27" i="87"/>
  <c r="P27" i="87" s="1"/>
  <c r="H27" i="87"/>
  <c r="F27" i="87"/>
  <c r="AE26" i="87"/>
  <c r="E21" i="86" s="1"/>
  <c r="AD26" i="87"/>
  <c r="E20" i="86" s="1"/>
  <c r="AA26" i="87"/>
  <c r="Z26" i="87"/>
  <c r="M26" i="87"/>
  <c r="P26" i="87" s="1"/>
  <c r="J26" i="87"/>
  <c r="W25" i="87"/>
  <c r="H25" i="87"/>
  <c r="W24" i="87"/>
  <c r="H24" i="87"/>
  <c r="W23" i="87"/>
  <c r="W21" i="87"/>
  <c r="W20" i="87"/>
  <c r="W19" i="87"/>
  <c r="N19" i="87" s="1"/>
  <c r="V19" i="87"/>
  <c r="L19" i="87"/>
  <c r="K19" i="87"/>
  <c r="J19" i="87"/>
  <c r="P19" i="87" s="1"/>
  <c r="F19" i="87"/>
  <c r="H19" i="87" s="1"/>
  <c r="AF18" i="87"/>
  <c r="W18" i="87"/>
  <c r="V18" i="87"/>
  <c r="P18" i="87"/>
  <c r="N18" i="87"/>
  <c r="L18" i="87"/>
  <c r="K18" i="87"/>
  <c r="J18" i="87"/>
  <c r="F18" i="87"/>
  <c r="H18" i="87" s="1"/>
  <c r="AG17" i="87"/>
  <c r="AF17" i="87"/>
  <c r="W17" i="87"/>
  <c r="V17" i="87"/>
  <c r="P17" i="87"/>
  <c r="O17" i="87"/>
  <c r="N17" i="87"/>
  <c r="K17" i="87"/>
  <c r="L17" i="87" s="1"/>
  <c r="J17" i="87"/>
  <c r="F17" i="87"/>
  <c r="H17" i="87" s="1"/>
  <c r="AG16" i="87"/>
  <c r="W16" i="87"/>
  <c r="N16" i="87" s="1"/>
  <c r="P16" i="87"/>
  <c r="L16" i="87"/>
  <c r="L26" i="87" s="1"/>
  <c r="E13" i="86" s="1"/>
  <c r="K16" i="87"/>
  <c r="K26" i="87" s="1"/>
  <c r="J16" i="87"/>
  <c r="H16" i="87"/>
  <c r="F16" i="87"/>
  <c r="AE15" i="87"/>
  <c r="AD15" i="87"/>
  <c r="AA15" i="87"/>
  <c r="Z15" i="87"/>
  <c r="M15" i="87"/>
  <c r="J15" i="87"/>
  <c r="W14" i="87"/>
  <c r="W13" i="87"/>
  <c r="W12" i="87"/>
  <c r="AG11" i="87"/>
  <c r="AF11" i="87"/>
  <c r="W11" i="87"/>
  <c r="AG10" i="87"/>
  <c r="AF10" i="87"/>
  <c r="W10" i="87"/>
  <c r="AG9" i="87"/>
  <c r="AF9" i="87"/>
  <c r="W9" i="87"/>
  <c r="AG8" i="87"/>
  <c r="W8" i="87"/>
  <c r="P8" i="87"/>
  <c r="N8" i="87"/>
  <c r="K8" i="87"/>
  <c r="L8" i="87" s="1"/>
  <c r="J8" i="87"/>
  <c r="H8" i="87"/>
  <c r="F8" i="87"/>
  <c r="AF7" i="87"/>
  <c r="W7" i="87"/>
  <c r="V7" i="87"/>
  <c r="P7" i="87"/>
  <c r="O7" i="87"/>
  <c r="N7" i="87"/>
  <c r="K7" i="87"/>
  <c r="J7" i="87"/>
  <c r="F7" i="87"/>
  <c r="H7" i="87" s="1"/>
  <c r="W6" i="87"/>
  <c r="V6" i="87"/>
  <c r="P6" i="87"/>
  <c r="N6" i="87"/>
  <c r="K6" i="87"/>
  <c r="AG6" i="87" s="1"/>
  <c r="J6" i="87"/>
  <c r="H6" i="87"/>
  <c r="F6" i="87"/>
  <c r="W5" i="87"/>
  <c r="P5" i="87"/>
  <c r="N5" i="87"/>
  <c r="L5" i="87"/>
  <c r="K5" i="87"/>
  <c r="J5" i="87"/>
  <c r="F5" i="87"/>
  <c r="H5" i="87" s="1"/>
  <c r="AD2" i="87"/>
  <c r="I2" i="87"/>
  <c r="E1" i="87"/>
  <c r="F22" i="86"/>
  <c r="E22" i="86"/>
  <c r="D22" i="86"/>
  <c r="I21" i="86"/>
  <c r="H21" i="86"/>
  <c r="G21" i="86"/>
  <c r="G20" i="86"/>
  <c r="D20" i="86"/>
  <c r="I19" i="86"/>
  <c r="H19" i="86"/>
  <c r="F19" i="86"/>
  <c r="E19" i="86"/>
  <c r="D19" i="86"/>
  <c r="D18" i="86"/>
  <c r="I16" i="86"/>
  <c r="H16" i="86"/>
  <c r="G16" i="86"/>
  <c r="F16" i="86"/>
  <c r="E16" i="86"/>
  <c r="D16" i="86"/>
  <c r="G3" i="86"/>
  <c r="AG79" i="85"/>
  <c r="AH70" i="85" s="1"/>
  <c r="AF79" i="85"/>
  <c r="AE79" i="85"/>
  <c r="AD79" i="85"/>
  <c r="AA79" i="85"/>
  <c r="Z79" i="85"/>
  <c r="W78" i="85"/>
  <c r="H78" i="85"/>
  <c r="W77" i="85"/>
  <c r="H77" i="85"/>
  <c r="W76" i="85"/>
  <c r="H76" i="85"/>
  <c r="W75" i="85"/>
  <c r="H75" i="85"/>
  <c r="W74" i="85"/>
  <c r="W73" i="85"/>
  <c r="W72" i="85"/>
  <c r="W71" i="85"/>
  <c r="AG70" i="85"/>
  <c r="AF70" i="85"/>
  <c r="W70" i="85"/>
  <c r="S70" i="85"/>
  <c r="AE69" i="85"/>
  <c r="I21" i="84" s="1"/>
  <c r="AD69" i="85"/>
  <c r="AA69" i="85"/>
  <c r="Z69" i="85"/>
  <c r="I18" i="84" s="1"/>
  <c r="M69" i="85"/>
  <c r="J69" i="85"/>
  <c r="W68" i="85"/>
  <c r="H68" i="85"/>
  <c r="W67" i="85"/>
  <c r="W66" i="85"/>
  <c r="W65" i="85"/>
  <c r="W64" i="85"/>
  <c r="W63" i="85"/>
  <c r="AG62" i="85"/>
  <c r="AF62" i="85"/>
  <c r="W62" i="85"/>
  <c r="W61" i="85"/>
  <c r="N61" i="85" s="1"/>
  <c r="V61" i="85"/>
  <c r="P61" i="85"/>
  <c r="L61" i="85"/>
  <c r="K61" i="85"/>
  <c r="J61" i="85"/>
  <c r="F61" i="85"/>
  <c r="H61" i="85" s="1"/>
  <c r="W60" i="85"/>
  <c r="V60" i="85"/>
  <c r="P60" i="85"/>
  <c r="N60" i="85"/>
  <c r="O60" i="85" s="1"/>
  <c r="K60" i="85"/>
  <c r="J60" i="85"/>
  <c r="H60" i="85"/>
  <c r="F60" i="85"/>
  <c r="W59" i="85"/>
  <c r="P59" i="85"/>
  <c r="O59" i="85"/>
  <c r="N59" i="85"/>
  <c r="K59" i="85"/>
  <c r="J59" i="85"/>
  <c r="H59" i="85"/>
  <c r="F59" i="85"/>
  <c r="AE58" i="85"/>
  <c r="AD58" i="85"/>
  <c r="H20" i="84" s="1"/>
  <c r="AA58" i="85"/>
  <c r="H19" i="84" s="1"/>
  <c r="Z58" i="85"/>
  <c r="H18" i="84" s="1"/>
  <c r="M58" i="85"/>
  <c r="W57" i="85"/>
  <c r="W56" i="85"/>
  <c r="W55" i="85"/>
  <c r="W54" i="85"/>
  <c r="W53" i="85"/>
  <c r="V53" i="85"/>
  <c r="N53" i="85"/>
  <c r="K53" i="85"/>
  <c r="J53" i="85"/>
  <c r="P53" i="85" s="1"/>
  <c r="F53" i="85"/>
  <c r="H53" i="85" s="1"/>
  <c r="W52" i="85"/>
  <c r="V52" i="85"/>
  <c r="N52" i="85"/>
  <c r="K52" i="85"/>
  <c r="J52" i="85"/>
  <c r="P52" i="85" s="1"/>
  <c r="F52" i="85"/>
  <c r="H52" i="85" s="1"/>
  <c r="AG51" i="85"/>
  <c r="W51" i="85"/>
  <c r="V51" i="85"/>
  <c r="N51" i="85"/>
  <c r="AF51" i="85" s="1"/>
  <c r="K51" i="85"/>
  <c r="J51" i="85"/>
  <c r="H51" i="85"/>
  <c r="F51" i="85"/>
  <c r="W50" i="85"/>
  <c r="V50" i="85"/>
  <c r="P50" i="85"/>
  <c r="O50" i="85"/>
  <c r="N50" i="85"/>
  <c r="K50" i="85"/>
  <c r="AG50" i="85" s="1"/>
  <c r="J50" i="85"/>
  <c r="H50" i="85"/>
  <c r="F50" i="85"/>
  <c r="AG49" i="85"/>
  <c r="W49" i="85"/>
  <c r="N49" i="85" s="1"/>
  <c r="Q49" i="85"/>
  <c r="P49" i="85"/>
  <c r="O49" i="85"/>
  <c r="L49" i="85"/>
  <c r="K49" i="85"/>
  <c r="J49" i="85"/>
  <c r="F49" i="85"/>
  <c r="H49" i="85" s="1"/>
  <c r="AE48" i="85"/>
  <c r="G21" i="84" s="1"/>
  <c r="AD48" i="85"/>
  <c r="AA48" i="85"/>
  <c r="G19" i="84" s="1"/>
  <c r="Z48" i="85"/>
  <c r="G18" i="84" s="1"/>
  <c r="W48" i="85"/>
  <c r="M48" i="85"/>
  <c r="W47" i="85"/>
  <c r="H47" i="85"/>
  <c r="W46" i="85"/>
  <c r="W45" i="85"/>
  <c r="W44" i="85"/>
  <c r="W43" i="85"/>
  <c r="W42" i="85"/>
  <c r="AG41" i="85"/>
  <c r="AF41" i="85"/>
  <c r="W41" i="85"/>
  <c r="W40" i="85"/>
  <c r="N40" i="85" s="1"/>
  <c r="O40" i="85" s="1"/>
  <c r="V40" i="85"/>
  <c r="P40" i="85"/>
  <c r="K40" i="85"/>
  <c r="J40" i="85"/>
  <c r="F40" i="85"/>
  <c r="H40" i="85" s="1"/>
  <c r="AG39" i="85"/>
  <c r="AF39" i="85"/>
  <c r="W39" i="85"/>
  <c r="V39" i="85"/>
  <c r="N39" i="85"/>
  <c r="O39" i="85" s="1"/>
  <c r="K39" i="85"/>
  <c r="J39" i="85"/>
  <c r="P39" i="85" s="1"/>
  <c r="F39" i="85"/>
  <c r="H39" i="85" s="1"/>
  <c r="W38" i="85"/>
  <c r="N38" i="85" s="1"/>
  <c r="P38" i="85"/>
  <c r="K38" i="85"/>
  <c r="AF38" i="85" s="1"/>
  <c r="J38" i="85"/>
  <c r="F38" i="85"/>
  <c r="H38" i="85" s="1"/>
  <c r="AE37" i="85"/>
  <c r="AD37" i="85"/>
  <c r="AA37" i="85"/>
  <c r="Z37" i="85"/>
  <c r="F18" i="84" s="1"/>
  <c r="M37" i="85"/>
  <c r="F22" i="84" s="1"/>
  <c r="K37" i="85"/>
  <c r="W36" i="85"/>
  <c r="H36" i="85"/>
  <c r="W35" i="85"/>
  <c r="W34" i="85"/>
  <c r="W33" i="85"/>
  <c r="W32" i="85"/>
  <c r="AG31" i="85"/>
  <c r="AF31" i="85"/>
  <c r="W31" i="85"/>
  <c r="W30" i="85"/>
  <c r="V30" i="85"/>
  <c r="N30" i="85"/>
  <c r="AG30" i="85" s="1"/>
  <c r="K30" i="85"/>
  <c r="J30" i="85"/>
  <c r="P30" i="85" s="1"/>
  <c r="F30" i="85"/>
  <c r="H30" i="85" s="1"/>
  <c r="W29" i="85"/>
  <c r="V29" i="85"/>
  <c r="P29" i="85"/>
  <c r="N29" i="85"/>
  <c r="K29" i="85"/>
  <c r="J29" i="85"/>
  <c r="J37" i="85" s="1"/>
  <c r="P37" i="85" s="1"/>
  <c r="H29" i="85"/>
  <c r="F29" i="85"/>
  <c r="AG28" i="85"/>
  <c r="W28" i="85"/>
  <c r="V28" i="85"/>
  <c r="P28" i="85"/>
  <c r="N28" i="85"/>
  <c r="K28" i="85"/>
  <c r="L28" i="85" s="1"/>
  <c r="H28" i="85"/>
  <c r="F28" i="85"/>
  <c r="W27" i="85"/>
  <c r="N27" i="85" s="1"/>
  <c r="L27" i="85"/>
  <c r="K27" i="85"/>
  <c r="J27" i="85"/>
  <c r="P27" i="85" s="1"/>
  <c r="H27" i="85"/>
  <c r="F27" i="85"/>
  <c r="AE26" i="85"/>
  <c r="E21" i="84" s="1"/>
  <c r="AD26" i="85"/>
  <c r="AA26" i="85"/>
  <c r="Z26" i="85"/>
  <c r="P26" i="85"/>
  <c r="M26" i="85"/>
  <c r="E22" i="84" s="1"/>
  <c r="W25" i="85"/>
  <c r="H25" i="85"/>
  <c r="W24" i="85"/>
  <c r="H24" i="85"/>
  <c r="W23" i="85"/>
  <c r="W21" i="85"/>
  <c r="W20" i="85"/>
  <c r="AG19" i="85"/>
  <c r="AF19" i="85"/>
  <c r="W19" i="85"/>
  <c r="W18" i="85"/>
  <c r="V18" i="85"/>
  <c r="P18" i="85"/>
  <c r="O18" i="85"/>
  <c r="Q18" i="85" s="1"/>
  <c r="N18" i="85"/>
  <c r="L18" i="85"/>
  <c r="K18" i="85"/>
  <c r="J18" i="85"/>
  <c r="F18" i="85"/>
  <c r="H18" i="85" s="1"/>
  <c r="W17" i="85"/>
  <c r="N17" i="85" s="1"/>
  <c r="V17" i="85"/>
  <c r="P17" i="85"/>
  <c r="L17" i="85"/>
  <c r="K17" i="85"/>
  <c r="J17" i="85"/>
  <c r="H17" i="85"/>
  <c r="F17" i="85"/>
  <c r="W16" i="85"/>
  <c r="N16" i="85" s="1"/>
  <c r="P16" i="85"/>
  <c r="L16" i="85"/>
  <c r="K16" i="85"/>
  <c r="J16" i="85"/>
  <c r="J26" i="85" s="1"/>
  <c r="H16" i="85"/>
  <c r="F16" i="85"/>
  <c r="AE15" i="85"/>
  <c r="AD15" i="85"/>
  <c r="AA15" i="85"/>
  <c r="Z15" i="85"/>
  <c r="M15" i="85"/>
  <c r="W14" i="85"/>
  <c r="W13" i="85"/>
  <c r="W12" i="85"/>
  <c r="AG11" i="85"/>
  <c r="AF11" i="85"/>
  <c r="W11" i="85"/>
  <c r="AG10" i="85"/>
  <c r="AF10" i="85"/>
  <c r="W10" i="85"/>
  <c r="AG9" i="85"/>
  <c r="AF9" i="85"/>
  <c r="W9" i="85"/>
  <c r="W8" i="85"/>
  <c r="V8" i="85"/>
  <c r="P8" i="85"/>
  <c r="N8" i="85"/>
  <c r="O8" i="85" s="1"/>
  <c r="K8" i="85"/>
  <c r="F8" i="85"/>
  <c r="H8" i="85" s="1"/>
  <c r="AG7" i="85"/>
  <c r="W7" i="85"/>
  <c r="V7" i="85"/>
  <c r="O7" i="85"/>
  <c r="Q7" i="85" s="1"/>
  <c r="N7" i="85"/>
  <c r="AF7" i="85" s="1"/>
  <c r="K7" i="85"/>
  <c r="L7" i="85" s="1"/>
  <c r="J7" i="85"/>
  <c r="P7" i="85" s="1"/>
  <c r="H7" i="85"/>
  <c r="F7" i="85"/>
  <c r="AG6" i="85"/>
  <c r="AF6" i="85"/>
  <c r="W6" i="85"/>
  <c r="N6" i="85" s="1"/>
  <c r="O6" i="85" s="1"/>
  <c r="V6" i="85"/>
  <c r="P6" i="85"/>
  <c r="K6" i="85"/>
  <c r="L6" i="85" s="1"/>
  <c r="J6" i="85"/>
  <c r="F6" i="85"/>
  <c r="H6" i="85" s="1"/>
  <c r="W5" i="85"/>
  <c r="N5" i="85" s="1"/>
  <c r="P5" i="85"/>
  <c r="K5" i="85"/>
  <c r="J5" i="85"/>
  <c r="J15" i="85" s="1"/>
  <c r="H5" i="85"/>
  <c r="F5" i="85"/>
  <c r="I2" i="85"/>
  <c r="I1" i="85"/>
  <c r="E1" i="85"/>
  <c r="I22" i="84"/>
  <c r="H22" i="84"/>
  <c r="D22" i="84"/>
  <c r="H21" i="84"/>
  <c r="F21" i="84"/>
  <c r="I20" i="84"/>
  <c r="G20" i="84"/>
  <c r="F20" i="84"/>
  <c r="D20" i="84"/>
  <c r="I19" i="84"/>
  <c r="F19" i="84"/>
  <c r="E19" i="84"/>
  <c r="D19" i="84"/>
  <c r="D18" i="84"/>
  <c r="I16" i="84"/>
  <c r="H16" i="84"/>
  <c r="G16" i="84"/>
  <c r="F16" i="84"/>
  <c r="E16" i="84"/>
  <c r="D16" i="84"/>
  <c r="G3" i="84"/>
  <c r="AE79" i="83"/>
  <c r="AD79" i="83"/>
  <c r="J20" i="82" s="1"/>
  <c r="AA79" i="83"/>
  <c r="J19" i="82" s="1"/>
  <c r="Z79" i="83"/>
  <c r="J18" i="82" s="1"/>
  <c r="M79" i="83"/>
  <c r="J79" i="83"/>
  <c r="P79" i="83" s="1"/>
  <c r="W78" i="83"/>
  <c r="H78" i="83"/>
  <c r="W77" i="83"/>
  <c r="H77" i="83"/>
  <c r="W76" i="83"/>
  <c r="H76" i="83"/>
  <c r="W75" i="83"/>
  <c r="H75" i="83"/>
  <c r="W74" i="83"/>
  <c r="W73" i="83"/>
  <c r="W72" i="83"/>
  <c r="W71" i="83"/>
  <c r="P71" i="83"/>
  <c r="N71" i="83"/>
  <c r="L71" i="83"/>
  <c r="K71" i="83"/>
  <c r="J71" i="83"/>
  <c r="H71" i="83"/>
  <c r="F71" i="83"/>
  <c r="AF70" i="83"/>
  <c r="W70" i="83"/>
  <c r="N70" i="83" s="1"/>
  <c r="AG70" i="83" s="1"/>
  <c r="P70" i="83"/>
  <c r="O70" i="83"/>
  <c r="L70" i="83"/>
  <c r="K70" i="83"/>
  <c r="K79" i="83" s="1"/>
  <c r="J70" i="83"/>
  <c r="F70" i="83"/>
  <c r="H70" i="83" s="1"/>
  <c r="AE69" i="83"/>
  <c r="AD69" i="83"/>
  <c r="I20" i="82" s="1"/>
  <c r="AA69" i="83"/>
  <c r="Z69" i="83"/>
  <c r="M69" i="83"/>
  <c r="J69" i="83"/>
  <c r="W68" i="83"/>
  <c r="H68" i="83"/>
  <c r="W67" i="83"/>
  <c r="W66" i="83"/>
  <c r="W65" i="83"/>
  <c r="W64" i="83"/>
  <c r="W63" i="83"/>
  <c r="W62" i="83"/>
  <c r="P62" i="83"/>
  <c r="O62" i="83"/>
  <c r="N62" i="83"/>
  <c r="K62" i="83"/>
  <c r="L62" i="83" s="1"/>
  <c r="J62" i="83"/>
  <c r="F62" i="83"/>
  <c r="H62" i="83" s="1"/>
  <c r="W61" i="83"/>
  <c r="V61" i="83"/>
  <c r="P61" i="83"/>
  <c r="N61" i="83"/>
  <c r="K61" i="83"/>
  <c r="J61" i="83"/>
  <c r="L61" i="83" s="1"/>
  <c r="F61" i="83"/>
  <c r="H61" i="83" s="1"/>
  <c r="W60" i="83"/>
  <c r="N60" i="83" s="1"/>
  <c r="V60" i="83"/>
  <c r="P60" i="83"/>
  <c r="K60" i="83"/>
  <c r="L60" i="83" s="1"/>
  <c r="J60" i="83"/>
  <c r="F60" i="83"/>
  <c r="H60" i="83" s="1"/>
  <c r="AF59" i="83"/>
  <c r="W59" i="83"/>
  <c r="P59" i="83"/>
  <c r="N59" i="83"/>
  <c r="L59" i="83"/>
  <c r="K59" i="83"/>
  <c r="J59" i="83"/>
  <c r="F59" i="83"/>
  <c r="H59" i="83" s="1"/>
  <c r="AE58" i="83"/>
  <c r="AD58" i="83"/>
  <c r="AA58" i="83"/>
  <c r="H19" i="82" s="1"/>
  <c r="Z58" i="83"/>
  <c r="M58" i="83"/>
  <c r="W57" i="83"/>
  <c r="W56" i="83"/>
  <c r="W55" i="83"/>
  <c r="W54" i="83"/>
  <c r="AG53" i="83"/>
  <c r="AF53" i="83"/>
  <c r="W53" i="83"/>
  <c r="W52" i="83"/>
  <c r="V52" i="83"/>
  <c r="N52" i="83"/>
  <c r="K52" i="83"/>
  <c r="L52" i="83" s="1"/>
  <c r="J52" i="83"/>
  <c r="P52" i="83" s="1"/>
  <c r="H52" i="83"/>
  <c r="F52" i="83"/>
  <c r="W51" i="83"/>
  <c r="V51" i="83"/>
  <c r="P51" i="83"/>
  <c r="N51" i="83"/>
  <c r="L51" i="83"/>
  <c r="K51" i="83"/>
  <c r="J51" i="83"/>
  <c r="F51" i="83"/>
  <c r="H51" i="83" s="1"/>
  <c r="W50" i="83"/>
  <c r="V50" i="83"/>
  <c r="P50" i="83"/>
  <c r="N50" i="83"/>
  <c r="K50" i="83"/>
  <c r="J50" i="83"/>
  <c r="H50" i="83"/>
  <c r="F50" i="83"/>
  <c r="W49" i="83"/>
  <c r="N49" i="83" s="1"/>
  <c r="O49" i="83"/>
  <c r="K49" i="83"/>
  <c r="J49" i="83"/>
  <c r="H49" i="83"/>
  <c r="F49" i="83"/>
  <c r="AE48" i="83"/>
  <c r="AD48" i="83"/>
  <c r="G20" i="82" s="1"/>
  <c r="AA48" i="83"/>
  <c r="Z48" i="83"/>
  <c r="G18" i="82" s="1"/>
  <c r="W48" i="83"/>
  <c r="M48" i="83"/>
  <c r="W47" i="83"/>
  <c r="H47" i="83"/>
  <c r="W46" i="83"/>
  <c r="W45" i="83"/>
  <c r="W44" i="83"/>
  <c r="W43" i="83"/>
  <c r="W42" i="83"/>
  <c r="AG41" i="83"/>
  <c r="AF41" i="83"/>
  <c r="W41" i="83"/>
  <c r="AG40" i="83"/>
  <c r="W40" i="83"/>
  <c r="N40" i="83" s="1"/>
  <c r="AF40" i="83" s="1"/>
  <c r="V40" i="83"/>
  <c r="R40" i="83"/>
  <c r="P40" i="83"/>
  <c r="O40" i="83"/>
  <c r="K40" i="83"/>
  <c r="L40" i="83" s="1"/>
  <c r="H40" i="83"/>
  <c r="F40" i="83"/>
  <c r="W39" i="83"/>
  <c r="V39" i="83"/>
  <c r="P39" i="83"/>
  <c r="O39" i="83"/>
  <c r="N39" i="83"/>
  <c r="K39" i="83"/>
  <c r="L39" i="83" s="1"/>
  <c r="F39" i="83"/>
  <c r="H39" i="83" s="1"/>
  <c r="W38" i="83"/>
  <c r="O38" i="83"/>
  <c r="N38" i="83"/>
  <c r="K38" i="83"/>
  <c r="J38" i="83"/>
  <c r="F38" i="83"/>
  <c r="H38" i="83" s="1"/>
  <c r="AE37" i="83"/>
  <c r="AD37" i="83"/>
  <c r="AA37" i="83"/>
  <c r="AA2" i="83" s="1"/>
  <c r="Z37" i="83"/>
  <c r="M37" i="83"/>
  <c r="W36" i="83"/>
  <c r="H36" i="83"/>
  <c r="W35" i="83"/>
  <c r="W34" i="83"/>
  <c r="W33" i="83"/>
  <c r="W32" i="83"/>
  <c r="W31" i="83"/>
  <c r="N31" i="83" s="1"/>
  <c r="P31" i="83"/>
  <c r="K31" i="83"/>
  <c r="L31" i="83" s="1"/>
  <c r="H31" i="83"/>
  <c r="F31" i="83"/>
  <c r="AF30" i="83"/>
  <c r="W30" i="83"/>
  <c r="N30" i="83" s="1"/>
  <c r="AG30" i="83" s="1"/>
  <c r="V30" i="83"/>
  <c r="P30" i="83"/>
  <c r="O30" i="83"/>
  <c r="L30" i="83"/>
  <c r="K30" i="83"/>
  <c r="J30" i="83"/>
  <c r="F30" i="83"/>
  <c r="H30" i="83" s="1"/>
  <c r="W29" i="83"/>
  <c r="V29" i="83"/>
  <c r="N29" i="83"/>
  <c r="K29" i="83"/>
  <c r="J29" i="83"/>
  <c r="P29" i="83" s="1"/>
  <c r="H29" i="83"/>
  <c r="F29" i="83"/>
  <c r="W28" i="83"/>
  <c r="V28" i="83"/>
  <c r="P28" i="83"/>
  <c r="N28" i="83"/>
  <c r="K28" i="83"/>
  <c r="AF28" i="83" s="1"/>
  <c r="J28" i="83"/>
  <c r="F28" i="83"/>
  <c r="H28" i="83" s="1"/>
  <c r="W27" i="83"/>
  <c r="N27" i="83" s="1"/>
  <c r="P27" i="83"/>
  <c r="O27" i="83"/>
  <c r="K27" i="83"/>
  <c r="J27" i="83"/>
  <c r="H27" i="83"/>
  <c r="F27" i="83"/>
  <c r="AE26" i="83"/>
  <c r="AD26" i="83"/>
  <c r="E20" i="82" s="1"/>
  <c r="AA26" i="83"/>
  <c r="E19" i="82" s="1"/>
  <c r="Z26" i="83"/>
  <c r="M26" i="83"/>
  <c r="E22" i="82" s="1"/>
  <c r="W25" i="83"/>
  <c r="H25" i="83"/>
  <c r="W24" i="83"/>
  <c r="H24" i="83"/>
  <c r="W23" i="83"/>
  <c r="W21" i="83"/>
  <c r="W20" i="83"/>
  <c r="W19" i="83"/>
  <c r="N19" i="83" s="1"/>
  <c r="AG19" i="83" s="1"/>
  <c r="V19" i="83"/>
  <c r="P19" i="83"/>
  <c r="O19" i="83"/>
  <c r="K19" i="83"/>
  <c r="J19" i="83"/>
  <c r="F19" i="83"/>
  <c r="H19" i="83" s="1"/>
  <c r="AG18" i="83"/>
  <c r="AF18" i="83"/>
  <c r="W18" i="83"/>
  <c r="V18" i="83"/>
  <c r="N18" i="83"/>
  <c r="O18" i="83" s="1"/>
  <c r="L18" i="83"/>
  <c r="K18" i="83"/>
  <c r="J18" i="83"/>
  <c r="P18" i="83" s="1"/>
  <c r="H18" i="83"/>
  <c r="F18" i="83"/>
  <c r="W17" i="83"/>
  <c r="V17" i="83"/>
  <c r="N17" i="83"/>
  <c r="L17" i="83"/>
  <c r="K17" i="83"/>
  <c r="J17" i="83"/>
  <c r="P17" i="83" s="1"/>
  <c r="H17" i="83"/>
  <c r="F17" i="83"/>
  <c r="W16" i="83"/>
  <c r="O16" i="83"/>
  <c r="N16" i="83"/>
  <c r="K16" i="83"/>
  <c r="J16" i="83"/>
  <c r="H16" i="83"/>
  <c r="F16" i="83"/>
  <c r="AE15" i="83"/>
  <c r="AD15" i="83"/>
  <c r="AA15" i="83"/>
  <c r="D19" i="82" s="1"/>
  <c r="Z15" i="83"/>
  <c r="D18" i="82" s="1"/>
  <c r="M15" i="83"/>
  <c r="J15" i="83"/>
  <c r="P15" i="83" s="1"/>
  <c r="W14" i="83"/>
  <c r="W13" i="83"/>
  <c r="W12" i="83"/>
  <c r="AG11" i="83"/>
  <c r="AF11" i="83"/>
  <c r="W11" i="83"/>
  <c r="AG10" i="83"/>
  <c r="AF10" i="83"/>
  <c r="W10" i="83"/>
  <c r="AG9" i="83"/>
  <c r="AF9" i="83"/>
  <c r="W9" i="83"/>
  <c r="W8" i="83"/>
  <c r="N8" i="83"/>
  <c r="K8" i="83"/>
  <c r="J8" i="83"/>
  <c r="F8" i="83"/>
  <c r="H8" i="83" s="1"/>
  <c r="AG7" i="83"/>
  <c r="W7" i="83"/>
  <c r="N7" i="83" s="1"/>
  <c r="V7" i="83"/>
  <c r="P7" i="83"/>
  <c r="K7" i="83"/>
  <c r="L7" i="83" s="1"/>
  <c r="J7" i="83"/>
  <c r="H7" i="83"/>
  <c r="F7" i="83"/>
  <c r="W6" i="83"/>
  <c r="V6" i="83"/>
  <c r="N6" i="83"/>
  <c r="K6" i="83"/>
  <c r="J6" i="83"/>
  <c r="P6" i="83" s="1"/>
  <c r="F6" i="83"/>
  <c r="H6" i="83" s="1"/>
  <c r="W5" i="83"/>
  <c r="P5" i="83"/>
  <c r="N5" i="83"/>
  <c r="K5" i="83"/>
  <c r="L5" i="83" s="1"/>
  <c r="J5" i="83"/>
  <c r="H5" i="83"/>
  <c r="F5" i="83"/>
  <c r="I2" i="83"/>
  <c r="E1" i="83"/>
  <c r="G3" i="82" s="1"/>
  <c r="J22" i="82"/>
  <c r="I22" i="82"/>
  <c r="F22" i="82"/>
  <c r="D22" i="82"/>
  <c r="J21" i="82"/>
  <c r="I21" i="82"/>
  <c r="H21" i="82"/>
  <c r="G21" i="82"/>
  <c r="F21" i="82"/>
  <c r="E21" i="82"/>
  <c r="D21" i="82"/>
  <c r="H20" i="82"/>
  <c r="F20" i="82"/>
  <c r="D20" i="82"/>
  <c r="I19" i="82"/>
  <c r="G19" i="82"/>
  <c r="F19" i="82"/>
  <c r="I18" i="82"/>
  <c r="H18" i="82"/>
  <c r="F18" i="82"/>
  <c r="J16" i="82"/>
  <c r="I16" i="82"/>
  <c r="H16" i="82"/>
  <c r="G16" i="82"/>
  <c r="F16" i="82"/>
  <c r="E16" i="82"/>
  <c r="D16" i="82"/>
  <c r="AE79" i="81"/>
  <c r="AD79" i="81"/>
  <c r="J20" i="80" s="1"/>
  <c r="AA79" i="81"/>
  <c r="Z79" i="81"/>
  <c r="M79" i="81"/>
  <c r="J79" i="81"/>
  <c r="W78" i="81"/>
  <c r="H78" i="81"/>
  <c r="W77" i="81"/>
  <c r="H77" i="81"/>
  <c r="W76" i="81"/>
  <c r="H76" i="81"/>
  <c r="W75" i="81"/>
  <c r="H75" i="81"/>
  <c r="W74" i="81"/>
  <c r="W73" i="81"/>
  <c r="W72" i="81"/>
  <c r="W71" i="81"/>
  <c r="N71" i="81" s="1"/>
  <c r="O71" i="81" s="1"/>
  <c r="P71" i="81"/>
  <c r="K71" i="81"/>
  <c r="J71" i="81"/>
  <c r="H71" i="81"/>
  <c r="F71" i="81"/>
  <c r="W70" i="81"/>
  <c r="N70" i="81" s="1"/>
  <c r="P70" i="81"/>
  <c r="L70" i="81"/>
  <c r="K70" i="81"/>
  <c r="K79" i="81" s="1"/>
  <c r="J70" i="81"/>
  <c r="H70" i="81"/>
  <c r="F70" i="81"/>
  <c r="AE69" i="81"/>
  <c r="I21" i="80" s="1"/>
  <c r="AD69" i="81"/>
  <c r="I20" i="80" s="1"/>
  <c r="AA69" i="81"/>
  <c r="I19" i="80" s="1"/>
  <c r="Z69" i="81"/>
  <c r="M69" i="81"/>
  <c r="W68" i="81"/>
  <c r="H68" i="81"/>
  <c r="W67" i="81"/>
  <c r="W66" i="81"/>
  <c r="W65" i="81"/>
  <c r="W64" i="81"/>
  <c r="W63" i="81"/>
  <c r="W62" i="81"/>
  <c r="N62" i="81" s="1"/>
  <c r="P62" i="81"/>
  <c r="L62" i="81"/>
  <c r="K62" i="81"/>
  <c r="J62" i="81"/>
  <c r="F62" i="81"/>
  <c r="H62" i="81" s="1"/>
  <c r="W61" i="81"/>
  <c r="V61" i="81"/>
  <c r="N61" i="81"/>
  <c r="K61" i="81"/>
  <c r="J61" i="81"/>
  <c r="H61" i="81"/>
  <c r="F61" i="81"/>
  <c r="AG60" i="81"/>
  <c r="AF60" i="81"/>
  <c r="W60" i="81"/>
  <c r="N60" i="81" s="1"/>
  <c r="O60" i="81" s="1"/>
  <c r="V60" i="81"/>
  <c r="K60" i="81"/>
  <c r="J60" i="81"/>
  <c r="F60" i="81"/>
  <c r="H60" i="81" s="1"/>
  <c r="AG59" i="81"/>
  <c r="W59" i="81"/>
  <c r="N59" i="81" s="1"/>
  <c r="K59" i="81"/>
  <c r="J59" i="81"/>
  <c r="F59" i="81"/>
  <c r="H59" i="81" s="1"/>
  <c r="AE58" i="81"/>
  <c r="AD58" i="81"/>
  <c r="AA58" i="81"/>
  <c r="H19" i="80" s="1"/>
  <c r="Z58" i="81"/>
  <c r="N58" i="81"/>
  <c r="M58" i="81"/>
  <c r="W57" i="81"/>
  <c r="W56" i="81"/>
  <c r="W55" i="81"/>
  <c r="W54" i="81"/>
  <c r="AG53" i="81"/>
  <c r="AF53" i="81"/>
  <c r="W53" i="81"/>
  <c r="W52" i="81"/>
  <c r="N52" i="81" s="1"/>
  <c r="AF52" i="81" s="1"/>
  <c r="V52" i="81"/>
  <c r="K52" i="81"/>
  <c r="L52" i="81" s="1"/>
  <c r="J52" i="81"/>
  <c r="P52" i="81" s="1"/>
  <c r="F52" i="81"/>
  <c r="H52" i="81" s="1"/>
  <c r="AF51" i="81"/>
  <c r="W51" i="81"/>
  <c r="V51" i="81"/>
  <c r="N51" i="81"/>
  <c r="K51" i="81"/>
  <c r="J51" i="81"/>
  <c r="P51" i="81" s="1"/>
  <c r="H51" i="81"/>
  <c r="F51" i="81"/>
  <c r="W50" i="81"/>
  <c r="N50" i="81" s="1"/>
  <c r="V50" i="81"/>
  <c r="O50" i="81"/>
  <c r="K50" i="81"/>
  <c r="J50" i="81"/>
  <c r="P50" i="81" s="1"/>
  <c r="H50" i="81"/>
  <c r="F50" i="81"/>
  <c r="W49" i="81"/>
  <c r="N49" i="81"/>
  <c r="K49" i="81"/>
  <c r="J49" i="81"/>
  <c r="H49" i="81"/>
  <c r="F49" i="81"/>
  <c r="AE48" i="81"/>
  <c r="G21" i="80" s="1"/>
  <c r="AD48" i="81"/>
  <c r="AA48" i="81"/>
  <c r="G19" i="80" s="1"/>
  <c r="Z48" i="81"/>
  <c r="G18" i="80" s="1"/>
  <c r="W48" i="81"/>
  <c r="N48" i="81"/>
  <c r="M48" i="81"/>
  <c r="G22" i="80" s="1"/>
  <c r="W47" i="81"/>
  <c r="H47" i="81"/>
  <c r="W46" i="81"/>
  <c r="W45" i="81"/>
  <c r="W44" i="81"/>
  <c r="W43" i="81"/>
  <c r="W42" i="81"/>
  <c r="AG41" i="81"/>
  <c r="AF41" i="81"/>
  <c r="W41" i="81"/>
  <c r="W40" i="81"/>
  <c r="V40" i="81"/>
  <c r="P40" i="81"/>
  <c r="N40" i="81"/>
  <c r="O40" i="81" s="1"/>
  <c r="L40" i="81"/>
  <c r="R40" i="81" s="1"/>
  <c r="K40" i="81"/>
  <c r="F40" i="81"/>
  <c r="H40" i="81" s="1"/>
  <c r="AG39" i="81"/>
  <c r="W39" i="81"/>
  <c r="N39" i="81" s="1"/>
  <c r="AF39" i="81" s="1"/>
  <c r="V39" i="81"/>
  <c r="P39" i="81"/>
  <c r="L39" i="81"/>
  <c r="K39" i="81"/>
  <c r="F39" i="81"/>
  <c r="H39" i="81" s="1"/>
  <c r="AG38" i="81"/>
  <c r="AF38" i="81"/>
  <c r="W38" i="81"/>
  <c r="N38" i="81"/>
  <c r="O38" i="81" s="1"/>
  <c r="R38" i="81" s="1"/>
  <c r="L38" i="81"/>
  <c r="K38" i="81"/>
  <c r="J38" i="81"/>
  <c r="P38" i="81" s="1"/>
  <c r="F38" i="81"/>
  <c r="H38" i="81" s="1"/>
  <c r="AE37" i="81"/>
  <c r="AD37" i="81"/>
  <c r="AA37" i="81"/>
  <c r="F19" i="80" s="1"/>
  <c r="Z37" i="81"/>
  <c r="M37" i="81"/>
  <c r="W36" i="81"/>
  <c r="H36" i="81"/>
  <c r="W35" i="81"/>
  <c r="W34" i="81"/>
  <c r="W33" i="81"/>
  <c r="W32" i="81"/>
  <c r="W31" i="81"/>
  <c r="V31" i="81"/>
  <c r="P31" i="81"/>
  <c r="N31" i="81"/>
  <c r="K31" i="81"/>
  <c r="L31" i="81" s="1"/>
  <c r="F31" i="81"/>
  <c r="H31" i="81" s="1"/>
  <c r="AF30" i="81"/>
  <c r="W30" i="81"/>
  <c r="V30" i="81"/>
  <c r="P30" i="81"/>
  <c r="O30" i="81"/>
  <c r="N30" i="81"/>
  <c r="K30" i="81"/>
  <c r="L30" i="81" s="1"/>
  <c r="J30" i="81"/>
  <c r="F30" i="81"/>
  <c r="H30" i="81" s="1"/>
  <c r="W29" i="81"/>
  <c r="N29" i="81" s="1"/>
  <c r="V29" i="81"/>
  <c r="P29" i="81"/>
  <c r="K29" i="81"/>
  <c r="L29" i="81" s="1"/>
  <c r="J29" i="81"/>
  <c r="H29" i="81"/>
  <c r="F29" i="81"/>
  <c r="W28" i="81"/>
  <c r="V28" i="81"/>
  <c r="P28" i="81"/>
  <c r="N28" i="81"/>
  <c r="L28" i="81"/>
  <c r="K28" i="81"/>
  <c r="J28" i="81"/>
  <c r="F28" i="81"/>
  <c r="H28" i="81" s="1"/>
  <c r="W27" i="81"/>
  <c r="N27" i="81" s="1"/>
  <c r="K27" i="81"/>
  <c r="J27" i="81"/>
  <c r="F27" i="81"/>
  <c r="H27" i="81" s="1"/>
  <c r="AE26" i="81"/>
  <c r="AD26" i="81"/>
  <c r="AA26" i="81"/>
  <c r="Z26" i="81"/>
  <c r="M26" i="81"/>
  <c r="J26" i="81"/>
  <c r="W25" i="81"/>
  <c r="H25" i="81"/>
  <c r="W24" i="81"/>
  <c r="H24" i="81"/>
  <c r="W23" i="81"/>
  <c r="W21" i="81"/>
  <c r="W20" i="81"/>
  <c r="W19" i="81"/>
  <c r="N19" i="81" s="1"/>
  <c r="V19" i="81"/>
  <c r="K19" i="81"/>
  <c r="L19" i="81" s="1"/>
  <c r="J19" i="81"/>
  <c r="P19" i="81" s="1"/>
  <c r="F19" i="81"/>
  <c r="H19" i="81" s="1"/>
  <c r="W18" i="81"/>
  <c r="N18" i="81" s="1"/>
  <c r="V18" i="81"/>
  <c r="O18" i="81"/>
  <c r="L18" i="81"/>
  <c r="K18" i="81"/>
  <c r="J18" i="81"/>
  <c r="P18" i="81" s="1"/>
  <c r="F18" i="81"/>
  <c r="H18" i="81" s="1"/>
  <c r="W17" i="81"/>
  <c r="V17" i="81"/>
  <c r="P17" i="81"/>
  <c r="N17" i="81"/>
  <c r="O17" i="81" s="1"/>
  <c r="K17" i="81"/>
  <c r="J17" i="81"/>
  <c r="F17" i="81"/>
  <c r="H17" i="81" s="1"/>
  <c r="W16" i="81"/>
  <c r="N16" i="81" s="1"/>
  <c r="K16" i="81"/>
  <c r="J16" i="81"/>
  <c r="H16" i="81"/>
  <c r="F16" i="81"/>
  <c r="AE15" i="81"/>
  <c r="AD15" i="81"/>
  <c r="D20" i="80" s="1"/>
  <c r="AA15" i="81"/>
  <c r="Z15" i="81"/>
  <c r="M15" i="81"/>
  <c r="W14" i="81"/>
  <c r="W13" i="81"/>
  <c r="W12" i="81"/>
  <c r="AG11" i="81"/>
  <c r="AF11" i="81"/>
  <c r="W11" i="81"/>
  <c r="AG10" i="81"/>
  <c r="AF10" i="81"/>
  <c r="W10" i="81"/>
  <c r="AG9" i="81"/>
  <c r="AF9" i="81"/>
  <c r="W9" i="81"/>
  <c r="AG8" i="81"/>
  <c r="W8" i="81"/>
  <c r="N8" i="81" s="1"/>
  <c r="O8" i="81" s="1"/>
  <c r="K8" i="81"/>
  <c r="J8" i="81"/>
  <c r="P8" i="81" s="1"/>
  <c r="H8" i="81"/>
  <c r="F8" i="81"/>
  <c r="W7" i="81"/>
  <c r="N7" i="81" s="1"/>
  <c r="V7" i="81"/>
  <c r="K7" i="81"/>
  <c r="L7" i="81" s="1"/>
  <c r="J7" i="81"/>
  <c r="P7" i="81" s="1"/>
  <c r="F7" i="81"/>
  <c r="H7" i="81" s="1"/>
  <c r="W6" i="81"/>
  <c r="V6" i="81"/>
  <c r="N6" i="81"/>
  <c r="K6" i="81"/>
  <c r="J6" i="81"/>
  <c r="P6" i="81" s="1"/>
  <c r="H6" i="81"/>
  <c r="F6" i="81"/>
  <c r="W5" i="81"/>
  <c r="N5" i="81"/>
  <c r="K5" i="81"/>
  <c r="J5" i="81"/>
  <c r="P5" i="81" s="1"/>
  <c r="H5" i="81"/>
  <c r="F5" i="81"/>
  <c r="AD2" i="81"/>
  <c r="I2" i="81"/>
  <c r="E1" i="81"/>
  <c r="G3" i="80" s="1"/>
  <c r="F22" i="80"/>
  <c r="D22" i="80"/>
  <c r="J21" i="80"/>
  <c r="H21" i="80"/>
  <c r="F21" i="80"/>
  <c r="E21" i="80"/>
  <c r="H20" i="80"/>
  <c r="G20" i="80"/>
  <c r="F20" i="80"/>
  <c r="E20" i="80"/>
  <c r="J19" i="80"/>
  <c r="D19" i="80"/>
  <c r="J18" i="80"/>
  <c r="I18" i="80"/>
  <c r="H18" i="80"/>
  <c r="F18" i="80"/>
  <c r="E18" i="80"/>
  <c r="J16" i="80"/>
  <c r="I16" i="80"/>
  <c r="H16" i="80"/>
  <c r="G16" i="80"/>
  <c r="F16" i="80"/>
  <c r="E16" i="80"/>
  <c r="D16" i="80"/>
  <c r="AE79" i="79"/>
  <c r="AD79" i="79"/>
  <c r="J20" i="78" s="1"/>
  <c r="AA79" i="79"/>
  <c r="J19" i="78" s="1"/>
  <c r="Z79" i="79"/>
  <c r="J18" i="78" s="1"/>
  <c r="M79" i="79"/>
  <c r="K79" i="79"/>
  <c r="J79" i="79"/>
  <c r="P79" i="79" s="1"/>
  <c r="W78" i="79"/>
  <c r="H78" i="79"/>
  <c r="W77" i="79"/>
  <c r="H77" i="79"/>
  <c r="W76" i="79"/>
  <c r="H76" i="79"/>
  <c r="W75" i="79"/>
  <c r="H75" i="79"/>
  <c r="W74" i="79"/>
  <c r="W73" i="79"/>
  <c r="W72" i="79"/>
  <c r="W71" i="79"/>
  <c r="N71" i="79" s="1"/>
  <c r="O71" i="79" s="1"/>
  <c r="Q71" i="79" s="1"/>
  <c r="K71" i="79"/>
  <c r="L71" i="79" s="1"/>
  <c r="J71" i="79"/>
  <c r="P71" i="79" s="1"/>
  <c r="H71" i="79"/>
  <c r="F71" i="79"/>
  <c r="AG70" i="79"/>
  <c r="AF70" i="79"/>
  <c r="W70" i="79"/>
  <c r="O70" i="79"/>
  <c r="N70" i="79"/>
  <c r="K70" i="79"/>
  <c r="J70" i="79"/>
  <c r="F70" i="79"/>
  <c r="H70" i="79" s="1"/>
  <c r="AE69" i="79"/>
  <c r="I21" i="78" s="1"/>
  <c r="AD69" i="79"/>
  <c r="I20" i="78" s="1"/>
  <c r="AA69" i="79"/>
  <c r="I19" i="78" s="1"/>
  <c r="Z69" i="79"/>
  <c r="N69" i="79"/>
  <c r="M69" i="79"/>
  <c r="W68" i="79"/>
  <c r="H68" i="79"/>
  <c r="W67" i="79"/>
  <c r="W66" i="79"/>
  <c r="W65" i="79"/>
  <c r="W64" i="79"/>
  <c r="W63" i="79"/>
  <c r="W62" i="79"/>
  <c r="N62" i="79" s="1"/>
  <c r="P62" i="79"/>
  <c r="L62" i="79"/>
  <c r="K62" i="79"/>
  <c r="J62" i="79"/>
  <c r="F62" i="79"/>
  <c r="H62" i="79" s="1"/>
  <c r="AF61" i="79"/>
  <c r="W61" i="79"/>
  <c r="N61" i="79" s="1"/>
  <c r="V61" i="79"/>
  <c r="P61" i="79"/>
  <c r="K61" i="79"/>
  <c r="J61" i="79"/>
  <c r="F61" i="79"/>
  <c r="H61" i="79" s="1"/>
  <c r="AG60" i="79"/>
  <c r="W60" i="79"/>
  <c r="V60" i="79"/>
  <c r="N60" i="79"/>
  <c r="K60" i="79"/>
  <c r="J60" i="79"/>
  <c r="P60" i="79" s="1"/>
  <c r="F60" i="79"/>
  <c r="H60" i="79" s="1"/>
  <c r="W59" i="79"/>
  <c r="P59" i="79"/>
  <c r="N59" i="79"/>
  <c r="K59" i="79"/>
  <c r="J59" i="79"/>
  <c r="J69" i="79" s="1"/>
  <c r="H59" i="79"/>
  <c r="F59" i="79"/>
  <c r="AE58" i="79"/>
  <c r="AD58" i="79"/>
  <c r="H20" i="78" s="1"/>
  <c r="AA58" i="79"/>
  <c r="Z58" i="79"/>
  <c r="N58" i="79"/>
  <c r="M58" i="79"/>
  <c r="W57" i="79"/>
  <c r="W56" i="79"/>
  <c r="W55" i="79"/>
  <c r="W54" i="79"/>
  <c r="AG53" i="79"/>
  <c r="AF53" i="79"/>
  <c r="W53" i="79"/>
  <c r="W52" i="79"/>
  <c r="N52" i="79" s="1"/>
  <c r="AF52" i="79" s="1"/>
  <c r="V52" i="79"/>
  <c r="P52" i="79"/>
  <c r="K52" i="79"/>
  <c r="J52" i="79"/>
  <c r="H52" i="79"/>
  <c r="F52" i="79"/>
  <c r="W51" i="79"/>
  <c r="V51" i="79"/>
  <c r="R51" i="79"/>
  <c r="Q51" i="79"/>
  <c r="P51" i="79"/>
  <c r="O51" i="79"/>
  <c r="N51" i="79"/>
  <c r="K51" i="79"/>
  <c r="L51" i="79" s="1"/>
  <c r="J51" i="79"/>
  <c r="H51" i="79"/>
  <c r="F51" i="79"/>
  <c r="W50" i="79"/>
  <c r="N50" i="79" s="1"/>
  <c r="V50" i="79"/>
  <c r="P50" i="79"/>
  <c r="L50" i="79"/>
  <c r="K50" i="79"/>
  <c r="J50" i="79"/>
  <c r="F50" i="79"/>
  <c r="H50" i="79" s="1"/>
  <c r="W49" i="79"/>
  <c r="N49" i="79" s="1"/>
  <c r="P49" i="79"/>
  <c r="K49" i="79"/>
  <c r="J49" i="79"/>
  <c r="F49" i="79"/>
  <c r="H49" i="79" s="1"/>
  <c r="AE48" i="79"/>
  <c r="G21" i="78" s="1"/>
  <c r="AD48" i="79"/>
  <c r="AA48" i="79"/>
  <c r="Z48" i="79"/>
  <c r="W48" i="79"/>
  <c r="N48" i="79"/>
  <c r="M48" i="79"/>
  <c r="K48" i="79"/>
  <c r="W47" i="79"/>
  <c r="H47" i="79"/>
  <c r="W46" i="79"/>
  <c r="W45" i="79"/>
  <c r="W44" i="79"/>
  <c r="W43" i="79"/>
  <c r="W42" i="79"/>
  <c r="AG41" i="79"/>
  <c r="AF41" i="79"/>
  <c r="W41" i="79"/>
  <c r="W40" i="79"/>
  <c r="N40" i="79" s="1"/>
  <c r="AG40" i="79" s="1"/>
  <c r="V40" i="79"/>
  <c r="P40" i="79"/>
  <c r="O40" i="79"/>
  <c r="L40" i="79"/>
  <c r="K40" i="79"/>
  <c r="H40" i="79"/>
  <c r="F40" i="79"/>
  <c r="AG39" i="79"/>
  <c r="AF39" i="79"/>
  <c r="W39" i="79"/>
  <c r="N39" i="79" s="1"/>
  <c r="V39" i="79"/>
  <c r="Q39" i="79"/>
  <c r="P39" i="79"/>
  <c r="O39" i="79"/>
  <c r="R39" i="79" s="1"/>
  <c r="L39" i="79"/>
  <c r="K39" i="79"/>
  <c r="H39" i="79"/>
  <c r="F39" i="79"/>
  <c r="AG38" i="79"/>
  <c r="W38" i="79"/>
  <c r="O38" i="79"/>
  <c r="N38" i="79"/>
  <c r="K38" i="79"/>
  <c r="J38" i="79"/>
  <c r="H38" i="79"/>
  <c r="F38" i="79"/>
  <c r="AE37" i="79"/>
  <c r="AD37" i="79"/>
  <c r="F20" i="78" s="1"/>
  <c r="AA37" i="79"/>
  <c r="F19" i="78" s="1"/>
  <c r="Z37" i="79"/>
  <c r="M37" i="79"/>
  <c r="W36" i="79"/>
  <c r="H36" i="79"/>
  <c r="W35" i="79"/>
  <c r="W34" i="79"/>
  <c r="W33" i="79"/>
  <c r="W32" i="79"/>
  <c r="W31" i="79"/>
  <c r="V31" i="79"/>
  <c r="P31" i="79"/>
  <c r="O31" i="79"/>
  <c r="N31" i="79"/>
  <c r="L31" i="79"/>
  <c r="K31" i="79"/>
  <c r="AF31" i="79" s="1"/>
  <c r="H31" i="79"/>
  <c r="F31" i="79"/>
  <c r="W30" i="79"/>
  <c r="V30" i="79"/>
  <c r="O30" i="79"/>
  <c r="N30" i="79"/>
  <c r="K30" i="79"/>
  <c r="J30" i="79"/>
  <c r="P30" i="79" s="1"/>
  <c r="H30" i="79"/>
  <c r="F30" i="79"/>
  <c r="W29" i="79"/>
  <c r="V29" i="79"/>
  <c r="P29" i="79"/>
  <c r="N29" i="79"/>
  <c r="K29" i="79"/>
  <c r="J29" i="79"/>
  <c r="F29" i="79"/>
  <c r="H29" i="79" s="1"/>
  <c r="AG28" i="79"/>
  <c r="W28" i="79"/>
  <c r="V28" i="79"/>
  <c r="P28" i="79"/>
  <c r="N28" i="79"/>
  <c r="AF28" i="79" s="1"/>
  <c r="K28" i="79"/>
  <c r="J28" i="79"/>
  <c r="L28" i="79" s="1"/>
  <c r="F28" i="79"/>
  <c r="H28" i="79" s="1"/>
  <c r="W27" i="79"/>
  <c r="N27" i="79"/>
  <c r="AF27" i="79" s="1"/>
  <c r="K27" i="79"/>
  <c r="J27" i="79"/>
  <c r="H27" i="79"/>
  <c r="F27" i="79"/>
  <c r="AE26" i="79"/>
  <c r="E21" i="78" s="1"/>
  <c r="AD26" i="79"/>
  <c r="E20" i="78" s="1"/>
  <c r="AA26" i="79"/>
  <c r="E19" i="78" s="1"/>
  <c r="Z26" i="79"/>
  <c r="M26" i="79"/>
  <c r="W25" i="79"/>
  <c r="H25" i="79"/>
  <c r="W24" i="79"/>
  <c r="H24" i="79"/>
  <c r="W23" i="79"/>
  <c r="W21" i="79"/>
  <c r="W20" i="79"/>
  <c r="N20" i="79" s="1"/>
  <c r="O20" i="79" s="1"/>
  <c r="Q20" i="79" s="1"/>
  <c r="V20" i="79"/>
  <c r="K20" i="79"/>
  <c r="J20" i="79"/>
  <c r="L20" i="79" s="1"/>
  <c r="F20" i="79"/>
  <c r="H20" i="79" s="1"/>
  <c r="AF19" i="79"/>
  <c r="W19" i="79"/>
  <c r="N19" i="79" s="1"/>
  <c r="V19" i="79"/>
  <c r="K19" i="79"/>
  <c r="J19" i="79"/>
  <c r="F19" i="79"/>
  <c r="H19" i="79" s="1"/>
  <c r="W18" i="79"/>
  <c r="V18" i="79"/>
  <c r="N18" i="79"/>
  <c r="K18" i="79"/>
  <c r="J18" i="79"/>
  <c r="H18" i="79"/>
  <c r="F18" i="79"/>
  <c r="W17" i="79"/>
  <c r="V17" i="79"/>
  <c r="P17" i="79"/>
  <c r="N17" i="79"/>
  <c r="K17" i="79"/>
  <c r="J17" i="79"/>
  <c r="H17" i="79"/>
  <c r="F17" i="79"/>
  <c r="W16" i="79"/>
  <c r="N16" i="79" s="1"/>
  <c r="P16" i="79"/>
  <c r="L16" i="79"/>
  <c r="K16" i="79"/>
  <c r="K26" i="79" s="1"/>
  <c r="J16" i="79"/>
  <c r="H16" i="79"/>
  <c r="F16" i="79"/>
  <c r="AE15" i="79"/>
  <c r="AD15" i="79"/>
  <c r="AA15" i="79"/>
  <c r="Z15" i="79"/>
  <c r="Z2" i="79" s="1"/>
  <c r="M15" i="79"/>
  <c r="W14" i="79"/>
  <c r="W13" i="79"/>
  <c r="W12" i="79"/>
  <c r="AG11" i="79"/>
  <c r="AF11" i="79"/>
  <c r="W11" i="79"/>
  <c r="AG10" i="79"/>
  <c r="AF10" i="79"/>
  <c r="W10" i="79"/>
  <c r="AG9" i="79"/>
  <c r="AF9" i="79"/>
  <c r="W9" i="79"/>
  <c r="AG8" i="79"/>
  <c r="AF8" i="79"/>
  <c r="W8" i="79"/>
  <c r="N8" i="79" s="1"/>
  <c r="O8" i="79" s="1"/>
  <c r="Q8" i="79" s="1"/>
  <c r="P8" i="79"/>
  <c r="K8" i="79"/>
  <c r="L8" i="79" s="1"/>
  <c r="J8" i="79"/>
  <c r="F8" i="79"/>
  <c r="H8" i="79" s="1"/>
  <c r="W7" i="79"/>
  <c r="N7" i="79" s="1"/>
  <c r="V7" i="79"/>
  <c r="K7" i="79"/>
  <c r="L7" i="79" s="1"/>
  <c r="J7" i="79"/>
  <c r="P7" i="79" s="1"/>
  <c r="F7" i="79"/>
  <c r="H7" i="79" s="1"/>
  <c r="W6" i="79"/>
  <c r="V6" i="79"/>
  <c r="P6" i="79"/>
  <c r="N6" i="79"/>
  <c r="K6" i="79"/>
  <c r="L6" i="79" s="1"/>
  <c r="J6" i="79"/>
  <c r="H6" i="79"/>
  <c r="F6" i="79"/>
  <c r="W5" i="79"/>
  <c r="N5" i="79"/>
  <c r="K5" i="79"/>
  <c r="J5" i="79"/>
  <c r="H5" i="79"/>
  <c r="F5" i="79"/>
  <c r="I2" i="79"/>
  <c r="E1" i="79"/>
  <c r="G3" i="78" s="1"/>
  <c r="J22" i="78"/>
  <c r="G22" i="78"/>
  <c r="F22" i="78"/>
  <c r="D22" i="78"/>
  <c r="J21" i="78"/>
  <c r="H21" i="78"/>
  <c r="F21" i="78"/>
  <c r="G20" i="78"/>
  <c r="D20" i="78"/>
  <c r="H19" i="78"/>
  <c r="G19" i="78"/>
  <c r="D19" i="78"/>
  <c r="I18" i="78"/>
  <c r="H18" i="78"/>
  <c r="G18" i="78"/>
  <c r="F18" i="78"/>
  <c r="E18" i="78"/>
  <c r="D18" i="78"/>
  <c r="J16" i="78"/>
  <c r="I16" i="78"/>
  <c r="H16" i="78"/>
  <c r="G16" i="78"/>
  <c r="F16" i="78"/>
  <c r="E16" i="78"/>
  <c r="D16" i="78"/>
  <c r="AE79" i="77"/>
  <c r="J21" i="76" s="1"/>
  <c r="AD79" i="77"/>
  <c r="AA79" i="77"/>
  <c r="J19" i="76" s="1"/>
  <c r="Z79" i="77"/>
  <c r="N79" i="77"/>
  <c r="M79" i="77"/>
  <c r="W78" i="77"/>
  <c r="H78" i="77"/>
  <c r="W77" i="77"/>
  <c r="H77" i="77"/>
  <c r="W76" i="77"/>
  <c r="H76" i="77"/>
  <c r="W75" i="77"/>
  <c r="H75" i="77"/>
  <c r="W74" i="77"/>
  <c r="W73" i="77"/>
  <c r="W72" i="77"/>
  <c r="W71" i="77"/>
  <c r="W70" i="77"/>
  <c r="N70" i="77" s="1"/>
  <c r="O70" i="77" s="1"/>
  <c r="O79" i="77" s="1"/>
  <c r="J14" i="76" s="1"/>
  <c r="K70" i="77"/>
  <c r="J70" i="77"/>
  <c r="F70" i="77"/>
  <c r="H70" i="77" s="1"/>
  <c r="AE69" i="77"/>
  <c r="I21" i="76" s="1"/>
  <c r="AD69" i="77"/>
  <c r="AA69" i="77"/>
  <c r="Z69" i="77"/>
  <c r="M69" i="77"/>
  <c r="J69" i="77"/>
  <c r="W68" i="77"/>
  <c r="H68" i="77"/>
  <c r="W67" i="77"/>
  <c r="W66" i="77"/>
  <c r="W65" i="77"/>
  <c r="W64" i="77"/>
  <c r="W63" i="77"/>
  <c r="AG62" i="77"/>
  <c r="AF62" i="77"/>
  <c r="W62" i="77"/>
  <c r="N62" i="77" s="1"/>
  <c r="O62" i="77"/>
  <c r="K62" i="77"/>
  <c r="J62" i="77"/>
  <c r="P62" i="77" s="1"/>
  <c r="F62" i="77"/>
  <c r="H62" i="77" s="1"/>
  <c r="AG61" i="77"/>
  <c r="W61" i="77"/>
  <c r="N61" i="77" s="1"/>
  <c r="O61" i="77" s="1"/>
  <c r="V61" i="77"/>
  <c r="K61" i="77"/>
  <c r="J61" i="77"/>
  <c r="P61" i="77" s="1"/>
  <c r="F61" i="77"/>
  <c r="H61" i="77" s="1"/>
  <c r="AG60" i="77"/>
  <c r="W60" i="77"/>
  <c r="N60" i="77" s="1"/>
  <c r="O60" i="77" s="1"/>
  <c r="V60" i="77"/>
  <c r="P60" i="77"/>
  <c r="L60" i="77"/>
  <c r="K60" i="77"/>
  <c r="J60" i="77"/>
  <c r="F60" i="77"/>
  <c r="H60" i="77" s="1"/>
  <c r="W59" i="77"/>
  <c r="N59" i="77"/>
  <c r="L59" i="77"/>
  <c r="K59" i="77"/>
  <c r="J59" i="77"/>
  <c r="P59" i="77" s="1"/>
  <c r="H59" i="77"/>
  <c r="F59" i="77"/>
  <c r="AE58" i="77"/>
  <c r="AD58" i="77"/>
  <c r="H20" i="76" s="1"/>
  <c r="AA58" i="77"/>
  <c r="H19" i="76" s="1"/>
  <c r="Z58" i="77"/>
  <c r="M58" i="77"/>
  <c r="W57" i="77"/>
  <c r="W56" i="77"/>
  <c r="W55" i="77"/>
  <c r="W54" i="77"/>
  <c r="AG53" i="77"/>
  <c r="AF53" i="77"/>
  <c r="W53" i="77"/>
  <c r="W52" i="77"/>
  <c r="V52" i="77"/>
  <c r="O52" i="77"/>
  <c r="N52" i="77"/>
  <c r="K52" i="77"/>
  <c r="J52" i="77"/>
  <c r="P52" i="77" s="1"/>
  <c r="F52" i="77"/>
  <c r="H52" i="77" s="1"/>
  <c r="AF51" i="77"/>
  <c r="W51" i="77"/>
  <c r="V51" i="77"/>
  <c r="P51" i="77"/>
  <c r="N51" i="77"/>
  <c r="K51" i="77"/>
  <c r="L51" i="77" s="1"/>
  <c r="J51" i="77"/>
  <c r="F51" i="77"/>
  <c r="H51" i="77" s="1"/>
  <c r="AG50" i="77"/>
  <c r="AF50" i="77"/>
  <c r="W50" i="77"/>
  <c r="V50" i="77"/>
  <c r="N50" i="77"/>
  <c r="O50" i="77" s="1"/>
  <c r="R50" i="77" s="1"/>
  <c r="L50" i="77"/>
  <c r="K50" i="77"/>
  <c r="J50" i="77"/>
  <c r="P50" i="77" s="1"/>
  <c r="F50" i="77"/>
  <c r="H50" i="77" s="1"/>
  <c r="W49" i="77"/>
  <c r="N49" i="77" s="1"/>
  <c r="P49" i="77"/>
  <c r="K49" i="77"/>
  <c r="L49" i="77" s="1"/>
  <c r="J49" i="77"/>
  <c r="H49" i="77"/>
  <c r="F49" i="77"/>
  <c r="AE48" i="77"/>
  <c r="AD48" i="77"/>
  <c r="G20" i="76" s="1"/>
  <c r="AA48" i="77"/>
  <c r="G19" i="76" s="1"/>
  <c r="Z48" i="77"/>
  <c r="W48" i="77"/>
  <c r="P48" i="77"/>
  <c r="M48" i="77"/>
  <c r="J48" i="77"/>
  <c r="W47" i="77"/>
  <c r="H47" i="77"/>
  <c r="W46" i="77"/>
  <c r="W45" i="77"/>
  <c r="W44" i="77"/>
  <c r="W43" i="77"/>
  <c r="W42" i="77"/>
  <c r="AG41" i="77"/>
  <c r="AF41" i="77"/>
  <c r="W41" i="77"/>
  <c r="W40" i="77"/>
  <c r="V40" i="77"/>
  <c r="P40" i="77"/>
  <c r="O40" i="77"/>
  <c r="R40" i="77" s="1"/>
  <c r="N40" i="77"/>
  <c r="K40" i="77"/>
  <c r="L40" i="77" s="1"/>
  <c r="H40" i="77"/>
  <c r="F40" i="77"/>
  <c r="W39" i="77"/>
  <c r="V39" i="77"/>
  <c r="P39" i="77"/>
  <c r="O39" i="77"/>
  <c r="N39" i="77"/>
  <c r="K39" i="77"/>
  <c r="L39" i="77" s="1"/>
  <c r="J39" i="77"/>
  <c r="H39" i="77"/>
  <c r="F39" i="77"/>
  <c r="W38" i="77"/>
  <c r="P38" i="77"/>
  <c r="N38" i="77"/>
  <c r="K38" i="77"/>
  <c r="J38" i="77"/>
  <c r="H38" i="77"/>
  <c r="F38" i="77"/>
  <c r="AE37" i="77"/>
  <c r="AD37" i="77"/>
  <c r="AA37" i="77"/>
  <c r="F19" i="76" s="1"/>
  <c r="Z37" i="77"/>
  <c r="F18" i="76" s="1"/>
  <c r="M37" i="77"/>
  <c r="W36" i="77"/>
  <c r="H36" i="77"/>
  <c r="W35" i="77"/>
  <c r="W34" i="77"/>
  <c r="W33" i="77"/>
  <c r="W32" i="77"/>
  <c r="AG31" i="77"/>
  <c r="AF31" i="77"/>
  <c r="W31" i="77"/>
  <c r="W30" i="77"/>
  <c r="N30" i="77" s="1"/>
  <c r="V30" i="77"/>
  <c r="P30" i="77"/>
  <c r="K30" i="77"/>
  <c r="J30" i="77"/>
  <c r="H30" i="77"/>
  <c r="F30" i="77"/>
  <c r="W29" i="77"/>
  <c r="N29" i="77" s="1"/>
  <c r="V29" i="77"/>
  <c r="K29" i="77"/>
  <c r="L29" i="77" s="1"/>
  <c r="J29" i="77"/>
  <c r="P29" i="77" s="1"/>
  <c r="F29" i="77"/>
  <c r="H29" i="77" s="1"/>
  <c r="W28" i="77"/>
  <c r="V28" i="77"/>
  <c r="P28" i="77"/>
  <c r="N28" i="77"/>
  <c r="L28" i="77"/>
  <c r="K28" i="77"/>
  <c r="J28" i="77"/>
  <c r="F28" i="77"/>
  <c r="H28" i="77" s="1"/>
  <c r="W27" i="77"/>
  <c r="O27" i="77"/>
  <c r="N27" i="77"/>
  <c r="L27" i="77"/>
  <c r="K27" i="77"/>
  <c r="J27" i="77"/>
  <c r="F27" i="77"/>
  <c r="H27" i="77" s="1"/>
  <c r="AE26" i="77"/>
  <c r="E21" i="76" s="1"/>
  <c r="AD26" i="77"/>
  <c r="AA26" i="77"/>
  <c r="Z26" i="77"/>
  <c r="N26" i="77"/>
  <c r="M26" i="77"/>
  <c r="J26" i="77"/>
  <c r="W25" i="77"/>
  <c r="H25" i="77"/>
  <c r="W24" i="77"/>
  <c r="H24" i="77"/>
  <c r="W23" i="77"/>
  <c r="W21" i="77"/>
  <c r="W20" i="77"/>
  <c r="V20" i="77"/>
  <c r="R20" i="77"/>
  <c r="P20" i="77"/>
  <c r="O20" i="77"/>
  <c r="Q20" i="77" s="1"/>
  <c r="N20" i="77"/>
  <c r="L20" i="77"/>
  <c r="K20" i="77"/>
  <c r="J20" i="77"/>
  <c r="F20" i="77"/>
  <c r="H20" i="77" s="1"/>
  <c r="W19" i="77"/>
  <c r="N19" i="77" s="1"/>
  <c r="V19" i="77"/>
  <c r="P19" i="77"/>
  <c r="O19" i="77"/>
  <c r="L19" i="77"/>
  <c r="K19" i="77"/>
  <c r="AF19" i="77" s="1"/>
  <c r="J19" i="77"/>
  <c r="F19" i="77"/>
  <c r="H19" i="77" s="1"/>
  <c r="W18" i="77"/>
  <c r="V18" i="77"/>
  <c r="P18" i="77"/>
  <c r="N18" i="77"/>
  <c r="K18" i="77"/>
  <c r="K26" i="77" s="1"/>
  <c r="J18" i="77"/>
  <c r="H18" i="77"/>
  <c r="F18" i="77"/>
  <c r="W17" i="77"/>
  <c r="V17" i="77"/>
  <c r="P17" i="77"/>
  <c r="N17" i="77"/>
  <c r="O17" i="77" s="1"/>
  <c r="K17" i="77"/>
  <c r="L17" i="77" s="1"/>
  <c r="J17" i="77"/>
  <c r="F17" i="77"/>
  <c r="H17" i="77" s="1"/>
  <c r="W16" i="77"/>
  <c r="N16" i="77" s="1"/>
  <c r="O16" i="77"/>
  <c r="K16" i="77"/>
  <c r="J16" i="77"/>
  <c r="P16" i="77" s="1"/>
  <c r="F16" i="77"/>
  <c r="H16" i="77" s="1"/>
  <c r="AE15" i="77"/>
  <c r="AD15" i="77"/>
  <c r="D20" i="76" s="1"/>
  <c r="AA15" i="77"/>
  <c r="D19" i="76" s="1"/>
  <c r="Z15" i="77"/>
  <c r="N15" i="77"/>
  <c r="M15" i="77"/>
  <c r="K15" i="77"/>
  <c r="W14" i="77"/>
  <c r="W13" i="77"/>
  <c r="W12" i="77"/>
  <c r="AG11" i="77"/>
  <c r="AF11" i="77"/>
  <c r="W11" i="77"/>
  <c r="AG10" i="77"/>
  <c r="AF10" i="77"/>
  <c r="W10" i="77"/>
  <c r="AG9" i="77"/>
  <c r="AF9" i="77"/>
  <c r="W9" i="77"/>
  <c r="W8" i="77"/>
  <c r="V8" i="77"/>
  <c r="P8" i="77"/>
  <c r="N8" i="77"/>
  <c r="K8" i="77"/>
  <c r="L8" i="77" s="1"/>
  <c r="J8" i="77"/>
  <c r="H8" i="77"/>
  <c r="F8" i="77"/>
  <c r="AG7" i="77"/>
  <c r="W7" i="77"/>
  <c r="V7" i="77"/>
  <c r="O7" i="77"/>
  <c r="N7" i="77"/>
  <c r="AF7" i="77" s="1"/>
  <c r="K7" i="77"/>
  <c r="J7" i="77"/>
  <c r="H7" i="77"/>
  <c r="F7" i="77"/>
  <c r="AF6" i="77"/>
  <c r="W6" i="77"/>
  <c r="N6" i="77" s="1"/>
  <c r="V6" i="77"/>
  <c r="P6" i="77"/>
  <c r="K6" i="77"/>
  <c r="L6" i="77" s="1"/>
  <c r="J6" i="77"/>
  <c r="F6" i="77"/>
  <c r="H6" i="77" s="1"/>
  <c r="W5" i="77"/>
  <c r="N5" i="77" s="1"/>
  <c r="P5" i="77"/>
  <c r="K5" i="77"/>
  <c r="J5" i="77"/>
  <c r="F5" i="77"/>
  <c r="H5" i="77" s="1"/>
  <c r="AE2" i="77"/>
  <c r="AD2" i="77"/>
  <c r="Z2" i="77"/>
  <c r="I2" i="77"/>
  <c r="E1" i="77"/>
  <c r="J22" i="76"/>
  <c r="H22" i="76"/>
  <c r="G22" i="76"/>
  <c r="D22" i="76"/>
  <c r="H21" i="76"/>
  <c r="G21" i="76"/>
  <c r="D21" i="76"/>
  <c r="J20" i="76"/>
  <c r="I20" i="76"/>
  <c r="F20" i="76"/>
  <c r="E20" i="76"/>
  <c r="I19" i="76"/>
  <c r="E19" i="76"/>
  <c r="J18" i="76"/>
  <c r="I18" i="76"/>
  <c r="H18" i="76"/>
  <c r="G18" i="76"/>
  <c r="E18" i="76"/>
  <c r="D18" i="76"/>
  <c r="J16" i="76"/>
  <c r="I16" i="76"/>
  <c r="H16" i="76"/>
  <c r="G16" i="76"/>
  <c r="F16" i="76"/>
  <c r="E16" i="76"/>
  <c r="D16" i="76"/>
  <c r="G3" i="76"/>
  <c r="AE79" i="75"/>
  <c r="AD79" i="75"/>
  <c r="AA79" i="75"/>
  <c r="Z79" i="75"/>
  <c r="J18" i="74" s="1"/>
  <c r="O79" i="75"/>
  <c r="N79" i="75"/>
  <c r="M79" i="75"/>
  <c r="J22" i="74" s="1"/>
  <c r="J79" i="75"/>
  <c r="W78" i="75"/>
  <c r="H78" i="75"/>
  <c r="W77" i="75"/>
  <c r="H77" i="75"/>
  <c r="W76" i="75"/>
  <c r="H76" i="75"/>
  <c r="W75" i="75"/>
  <c r="H75" i="75"/>
  <c r="W74" i="75"/>
  <c r="W73" i="75"/>
  <c r="W72" i="75"/>
  <c r="W71" i="75"/>
  <c r="W70" i="75"/>
  <c r="P70" i="75"/>
  <c r="O70" i="75"/>
  <c r="N70" i="75"/>
  <c r="K70" i="75"/>
  <c r="J70" i="75"/>
  <c r="H70" i="75"/>
  <c r="F70" i="75"/>
  <c r="AE69" i="75"/>
  <c r="I21" i="74" s="1"/>
  <c r="AD69" i="75"/>
  <c r="AA69" i="75"/>
  <c r="Z69" i="75"/>
  <c r="I18" i="74" s="1"/>
  <c r="M69" i="75"/>
  <c r="W68" i="75"/>
  <c r="H68" i="75"/>
  <c r="W67" i="75"/>
  <c r="W66" i="75"/>
  <c r="W65" i="75"/>
  <c r="W64" i="75"/>
  <c r="W63" i="75"/>
  <c r="W62" i="75"/>
  <c r="N62" i="75"/>
  <c r="AG62" i="75" s="1"/>
  <c r="K62" i="75"/>
  <c r="J62" i="75"/>
  <c r="F62" i="75"/>
  <c r="H62" i="75" s="1"/>
  <c r="W61" i="75"/>
  <c r="V61" i="75"/>
  <c r="P61" i="75"/>
  <c r="N61" i="75"/>
  <c r="K61" i="75"/>
  <c r="L61" i="75" s="1"/>
  <c r="J61" i="75"/>
  <c r="H61" i="75"/>
  <c r="F61" i="75"/>
  <c r="W60" i="75"/>
  <c r="N60" i="75" s="1"/>
  <c r="V60" i="75"/>
  <c r="P60" i="75"/>
  <c r="O60" i="75"/>
  <c r="K60" i="75"/>
  <c r="L60" i="75" s="1"/>
  <c r="J60" i="75"/>
  <c r="H60" i="75"/>
  <c r="F60" i="75"/>
  <c r="W59" i="75"/>
  <c r="N59" i="75" s="1"/>
  <c r="O59" i="75"/>
  <c r="L59" i="75"/>
  <c r="K59" i="75"/>
  <c r="J59" i="75"/>
  <c r="P59" i="75" s="1"/>
  <c r="F59" i="75"/>
  <c r="H59" i="75" s="1"/>
  <c r="AE58" i="75"/>
  <c r="AD58" i="75"/>
  <c r="AA58" i="75"/>
  <c r="H19" i="74" s="1"/>
  <c r="Z58" i="75"/>
  <c r="M58" i="75"/>
  <c r="J58" i="75"/>
  <c r="W57" i="75"/>
  <c r="W56" i="75"/>
  <c r="W55" i="75"/>
  <c r="W54" i="75"/>
  <c r="AG53" i="75"/>
  <c r="AF53" i="75"/>
  <c r="W53" i="75"/>
  <c r="W52" i="75"/>
  <c r="N52" i="75" s="1"/>
  <c r="V52" i="75"/>
  <c r="P52" i="75"/>
  <c r="K52" i="75"/>
  <c r="J52" i="75"/>
  <c r="H52" i="75"/>
  <c r="F52" i="75"/>
  <c r="W51" i="75"/>
  <c r="N51" i="75" s="1"/>
  <c r="V51" i="75"/>
  <c r="K51" i="75"/>
  <c r="L51" i="75" s="1"/>
  <c r="J51" i="75"/>
  <c r="P51" i="75" s="1"/>
  <c r="H51" i="75"/>
  <c r="F51" i="75"/>
  <c r="W50" i="75"/>
  <c r="V50" i="75"/>
  <c r="P50" i="75"/>
  <c r="N50" i="75"/>
  <c r="K50" i="75"/>
  <c r="L50" i="75" s="1"/>
  <c r="J50" i="75"/>
  <c r="H50" i="75"/>
  <c r="F50" i="75"/>
  <c r="W49" i="75"/>
  <c r="N49" i="75" s="1"/>
  <c r="P49" i="75"/>
  <c r="O49" i="75"/>
  <c r="K49" i="75"/>
  <c r="J49" i="75"/>
  <c r="H49" i="75"/>
  <c r="F49" i="75"/>
  <c r="AE48" i="75"/>
  <c r="G21" i="74" s="1"/>
  <c r="AD48" i="75"/>
  <c r="AA48" i="75"/>
  <c r="G19" i="74" s="1"/>
  <c r="Z48" i="75"/>
  <c r="G18" i="74" s="1"/>
  <c r="W48" i="75"/>
  <c r="M48" i="75"/>
  <c r="G22" i="74" s="1"/>
  <c r="W47" i="75"/>
  <c r="H47" i="75"/>
  <c r="W46" i="75"/>
  <c r="W45" i="75"/>
  <c r="W44" i="75"/>
  <c r="W43" i="75"/>
  <c r="W42" i="75"/>
  <c r="W41" i="75"/>
  <c r="N41" i="75" s="1"/>
  <c r="V41" i="75"/>
  <c r="P41" i="75"/>
  <c r="K41" i="75"/>
  <c r="L41" i="75" s="1"/>
  <c r="H41" i="75"/>
  <c r="F41" i="75"/>
  <c r="AF40" i="75"/>
  <c r="W40" i="75"/>
  <c r="N40" i="75" s="1"/>
  <c r="V40" i="75"/>
  <c r="P40" i="75"/>
  <c r="K40" i="75"/>
  <c r="L40" i="75" s="1"/>
  <c r="F40" i="75"/>
  <c r="H40" i="75" s="1"/>
  <c r="W39" i="75"/>
  <c r="V39" i="75"/>
  <c r="P39" i="75"/>
  <c r="N39" i="75"/>
  <c r="L39" i="75"/>
  <c r="K39" i="75"/>
  <c r="J39" i="75"/>
  <c r="F39" i="75"/>
  <c r="H39" i="75" s="1"/>
  <c r="AG38" i="75"/>
  <c r="AF38" i="75"/>
  <c r="W38" i="75"/>
  <c r="P38" i="75"/>
  <c r="N38" i="75"/>
  <c r="K38" i="75"/>
  <c r="J38" i="75"/>
  <c r="J48" i="75" s="1"/>
  <c r="F38" i="75"/>
  <c r="H38" i="75" s="1"/>
  <c r="AE37" i="75"/>
  <c r="AD37" i="75"/>
  <c r="AD2" i="75" s="1"/>
  <c r="AA37" i="75"/>
  <c r="F19" i="74" s="1"/>
  <c r="Z37" i="75"/>
  <c r="M37" i="75"/>
  <c r="W36" i="75"/>
  <c r="H36" i="75"/>
  <c r="W35" i="75"/>
  <c r="W34" i="75"/>
  <c r="W33" i="75"/>
  <c r="W32" i="75"/>
  <c r="AG31" i="75"/>
  <c r="AF31" i="75"/>
  <c r="W31" i="75"/>
  <c r="W30" i="75"/>
  <c r="N30" i="75" s="1"/>
  <c r="O30" i="75" s="1"/>
  <c r="V30" i="75"/>
  <c r="P30" i="75"/>
  <c r="K30" i="75"/>
  <c r="L30" i="75" s="1"/>
  <c r="J30" i="75"/>
  <c r="H30" i="75"/>
  <c r="F30" i="75"/>
  <c r="W29" i="75"/>
  <c r="V29" i="75"/>
  <c r="N29" i="75"/>
  <c r="K29" i="75"/>
  <c r="J29" i="75"/>
  <c r="P29" i="75" s="1"/>
  <c r="F29" i="75"/>
  <c r="H29" i="75" s="1"/>
  <c r="W28" i="75"/>
  <c r="N28" i="75" s="1"/>
  <c r="V28" i="75"/>
  <c r="L28" i="75"/>
  <c r="K28" i="75"/>
  <c r="J28" i="75"/>
  <c r="P28" i="75" s="1"/>
  <c r="H28" i="75"/>
  <c r="F28" i="75"/>
  <c r="AG27" i="75"/>
  <c r="W27" i="75"/>
  <c r="N27" i="75"/>
  <c r="K27" i="75"/>
  <c r="J27" i="75"/>
  <c r="H27" i="75"/>
  <c r="F27" i="75"/>
  <c r="AE26" i="75"/>
  <c r="E21" i="74" s="1"/>
  <c r="AD26" i="75"/>
  <c r="AA26" i="75"/>
  <c r="Z26" i="75"/>
  <c r="E18" i="74" s="1"/>
  <c r="M26" i="75"/>
  <c r="J26" i="75"/>
  <c r="W25" i="75"/>
  <c r="H25" i="75"/>
  <c r="W24" i="75"/>
  <c r="H24" i="75"/>
  <c r="W23" i="75"/>
  <c r="W21" i="75"/>
  <c r="W20" i="75"/>
  <c r="V20" i="75"/>
  <c r="N20" i="75"/>
  <c r="O20" i="75" s="1"/>
  <c r="K20" i="75"/>
  <c r="L20" i="75" s="1"/>
  <c r="J20" i="75"/>
  <c r="P20" i="75" s="1"/>
  <c r="F20" i="75"/>
  <c r="H20" i="75" s="1"/>
  <c r="AG19" i="75"/>
  <c r="W19" i="75"/>
  <c r="V19" i="75"/>
  <c r="N19" i="75"/>
  <c r="O19" i="75" s="1"/>
  <c r="K19" i="75"/>
  <c r="L19" i="75" s="1"/>
  <c r="Q19" i="75" s="1"/>
  <c r="J19" i="75"/>
  <c r="P19" i="75" s="1"/>
  <c r="F19" i="75"/>
  <c r="H19" i="75" s="1"/>
  <c r="W18" i="75"/>
  <c r="V18" i="75"/>
  <c r="N18" i="75"/>
  <c r="K18" i="75"/>
  <c r="AG18" i="75" s="1"/>
  <c r="J18" i="75"/>
  <c r="P18" i="75" s="1"/>
  <c r="H18" i="75"/>
  <c r="F18" i="75"/>
  <c r="W17" i="75"/>
  <c r="V17" i="75"/>
  <c r="P17" i="75"/>
  <c r="N17" i="75"/>
  <c r="L17" i="75"/>
  <c r="K17" i="75"/>
  <c r="J17" i="75"/>
  <c r="F17" i="75"/>
  <c r="H17" i="75" s="1"/>
  <c r="W16" i="75"/>
  <c r="N16" i="75" s="1"/>
  <c r="O16" i="75"/>
  <c r="K16" i="75"/>
  <c r="J16" i="75"/>
  <c r="P16" i="75" s="1"/>
  <c r="F16" i="75"/>
  <c r="H16" i="75" s="1"/>
  <c r="AE15" i="75"/>
  <c r="AD15" i="75"/>
  <c r="D20" i="74" s="1"/>
  <c r="AA15" i="75"/>
  <c r="Z15" i="75"/>
  <c r="Z2" i="75" s="1"/>
  <c r="M15" i="75"/>
  <c r="W14" i="75"/>
  <c r="W13" i="75"/>
  <c r="W12" i="75"/>
  <c r="AG11" i="75"/>
  <c r="AF11" i="75"/>
  <c r="W11" i="75"/>
  <c r="AG10" i="75"/>
  <c r="AF10" i="75"/>
  <c r="W10" i="75"/>
  <c r="AG9" i="75"/>
  <c r="AF9" i="75"/>
  <c r="W9" i="75"/>
  <c r="W8" i="75"/>
  <c r="V8" i="75"/>
  <c r="N8" i="75"/>
  <c r="O8" i="75" s="1"/>
  <c r="K8" i="75"/>
  <c r="J8" i="75"/>
  <c r="P8" i="75" s="1"/>
  <c r="F8" i="75"/>
  <c r="H8" i="75" s="1"/>
  <c r="AG7" i="75"/>
  <c r="W7" i="75"/>
  <c r="V7" i="75"/>
  <c r="O7" i="75"/>
  <c r="N7" i="75"/>
  <c r="K7" i="75"/>
  <c r="J7" i="75"/>
  <c r="P7" i="75" s="1"/>
  <c r="H7" i="75"/>
  <c r="F7" i="75"/>
  <c r="W6" i="75"/>
  <c r="N6" i="75" s="1"/>
  <c r="AF6" i="75" s="1"/>
  <c r="V6" i="75"/>
  <c r="P6" i="75"/>
  <c r="K6" i="75"/>
  <c r="L6" i="75" s="1"/>
  <c r="J6" i="75"/>
  <c r="F6" i="75"/>
  <c r="H6" i="75" s="1"/>
  <c r="W5" i="75"/>
  <c r="N5" i="75" s="1"/>
  <c r="O5" i="75"/>
  <c r="K5" i="75"/>
  <c r="J5" i="75"/>
  <c r="F5" i="75"/>
  <c r="H5" i="75" s="1"/>
  <c r="AE2" i="75"/>
  <c r="I2" i="75"/>
  <c r="E1" i="75"/>
  <c r="I22" i="74"/>
  <c r="H22" i="74"/>
  <c r="F22" i="74"/>
  <c r="E22" i="74"/>
  <c r="D22" i="74"/>
  <c r="J21" i="74"/>
  <c r="H21" i="74"/>
  <c r="F21" i="74"/>
  <c r="D21" i="74"/>
  <c r="J20" i="74"/>
  <c r="I20" i="74"/>
  <c r="H20" i="74"/>
  <c r="G20" i="74"/>
  <c r="F20" i="74"/>
  <c r="E20" i="74"/>
  <c r="J19" i="74"/>
  <c r="I19" i="74"/>
  <c r="E19" i="74"/>
  <c r="D19" i="74"/>
  <c r="H18" i="74"/>
  <c r="F18" i="74"/>
  <c r="D18" i="74"/>
  <c r="J16" i="74"/>
  <c r="I16" i="74"/>
  <c r="H16" i="74"/>
  <c r="G16" i="74"/>
  <c r="F16" i="74"/>
  <c r="E16" i="74"/>
  <c r="D16" i="74"/>
  <c r="G3" i="74"/>
  <c r="AE79" i="73"/>
  <c r="J21" i="72" s="1"/>
  <c r="AD79" i="73"/>
  <c r="J20" i="72" s="1"/>
  <c r="AA79" i="73"/>
  <c r="Z79" i="73"/>
  <c r="J18" i="72" s="1"/>
  <c r="P79" i="73"/>
  <c r="M79" i="73"/>
  <c r="J79" i="73"/>
  <c r="W78" i="73"/>
  <c r="H78" i="73"/>
  <c r="W77" i="73"/>
  <c r="H77" i="73"/>
  <c r="W76" i="73"/>
  <c r="H76" i="73"/>
  <c r="W75" i="73"/>
  <c r="H75" i="73"/>
  <c r="W74" i="73"/>
  <c r="W73" i="73"/>
  <c r="W72" i="73"/>
  <c r="W71" i="73"/>
  <c r="W70" i="73"/>
  <c r="N70" i="73"/>
  <c r="L70" i="73"/>
  <c r="L79" i="73" s="1"/>
  <c r="J13" i="72" s="1"/>
  <c r="K70" i="73"/>
  <c r="K79" i="73" s="1"/>
  <c r="J70" i="73"/>
  <c r="P70" i="73" s="1"/>
  <c r="F70" i="73"/>
  <c r="H70" i="73" s="1"/>
  <c r="AE69" i="73"/>
  <c r="I21" i="72" s="1"/>
  <c r="AD69" i="73"/>
  <c r="AA69" i="73"/>
  <c r="Z69" i="73"/>
  <c r="I18" i="72" s="1"/>
  <c r="N69" i="73"/>
  <c r="M69" i="73"/>
  <c r="I22" i="72" s="1"/>
  <c r="W68" i="73"/>
  <c r="H68" i="73"/>
  <c r="W67" i="73"/>
  <c r="W66" i="73"/>
  <c r="W65" i="73"/>
  <c r="W64" i="73"/>
  <c r="W63" i="73"/>
  <c r="AG62" i="73"/>
  <c r="AF62" i="73"/>
  <c r="W62" i="73"/>
  <c r="V62" i="73"/>
  <c r="O62" i="73"/>
  <c r="Q62" i="73" s="1"/>
  <c r="N62" i="73"/>
  <c r="K62" i="73"/>
  <c r="L62" i="73" s="1"/>
  <c r="J62" i="73"/>
  <c r="P62" i="73" s="1"/>
  <c r="H62" i="73"/>
  <c r="F62" i="73"/>
  <c r="W61" i="73"/>
  <c r="N61" i="73" s="1"/>
  <c r="V61" i="73"/>
  <c r="K61" i="73"/>
  <c r="J61" i="73"/>
  <c r="F61" i="73"/>
  <c r="H61" i="73" s="1"/>
  <c r="AG60" i="73"/>
  <c r="AF60" i="73"/>
  <c r="W60" i="73"/>
  <c r="V60" i="73"/>
  <c r="P60" i="73"/>
  <c r="O60" i="73"/>
  <c r="R60" i="73" s="1"/>
  <c r="N60" i="73"/>
  <c r="L60" i="73"/>
  <c r="K60" i="73"/>
  <c r="J60" i="73"/>
  <c r="F60" i="73"/>
  <c r="H60" i="73" s="1"/>
  <c r="AG59" i="73"/>
  <c r="AF59" i="73"/>
  <c r="W59" i="73"/>
  <c r="N59" i="73" s="1"/>
  <c r="O59" i="73" s="1"/>
  <c r="P59" i="73"/>
  <c r="K59" i="73"/>
  <c r="J59" i="73"/>
  <c r="F59" i="73"/>
  <c r="H59" i="73" s="1"/>
  <c r="AE58" i="73"/>
  <c r="AD58" i="73"/>
  <c r="AA58" i="73"/>
  <c r="H19" i="72" s="1"/>
  <c r="Z58" i="73"/>
  <c r="M58" i="73"/>
  <c r="K58" i="73"/>
  <c r="J58" i="73"/>
  <c r="W57" i="73"/>
  <c r="W56" i="73"/>
  <c r="W55" i="73"/>
  <c r="W54" i="73"/>
  <c r="AG53" i="73"/>
  <c r="AF53" i="73"/>
  <c r="W53" i="73"/>
  <c r="AG52" i="73"/>
  <c r="AF52" i="73"/>
  <c r="W52" i="73"/>
  <c r="N52" i="73" s="1"/>
  <c r="O52" i="73" s="1"/>
  <c r="V52" i="73"/>
  <c r="P52" i="73"/>
  <c r="K52" i="73"/>
  <c r="L52" i="73" s="1"/>
  <c r="R52" i="73" s="1"/>
  <c r="J52" i="73"/>
  <c r="F52" i="73"/>
  <c r="H52" i="73" s="1"/>
  <c r="AG51" i="73"/>
  <c r="AF51" i="73"/>
  <c r="W51" i="73"/>
  <c r="N51" i="73" s="1"/>
  <c r="O51" i="73" s="1"/>
  <c r="V51" i="73"/>
  <c r="K51" i="73"/>
  <c r="J51" i="73"/>
  <c r="P51" i="73" s="1"/>
  <c r="H51" i="73"/>
  <c r="F51" i="73"/>
  <c r="W50" i="73"/>
  <c r="V50" i="73"/>
  <c r="P50" i="73"/>
  <c r="N50" i="73"/>
  <c r="K50" i="73"/>
  <c r="L50" i="73" s="1"/>
  <c r="J50" i="73"/>
  <c r="H50" i="73"/>
  <c r="F50" i="73"/>
  <c r="W49" i="73"/>
  <c r="P49" i="73"/>
  <c r="N49" i="73"/>
  <c r="K49" i="73"/>
  <c r="L49" i="73" s="1"/>
  <c r="J49" i="73"/>
  <c r="F49" i="73"/>
  <c r="H49" i="73" s="1"/>
  <c r="AE48" i="73"/>
  <c r="AD48" i="73"/>
  <c r="G20" i="72" s="1"/>
  <c r="AA48" i="73"/>
  <c r="Z48" i="73"/>
  <c r="G18" i="72" s="1"/>
  <c r="W48" i="73"/>
  <c r="M48" i="73"/>
  <c r="W47" i="73"/>
  <c r="H47" i="73"/>
  <c r="W46" i="73"/>
  <c r="W45" i="73"/>
  <c r="W44" i="73"/>
  <c r="W43" i="73"/>
  <c r="W42" i="73"/>
  <c r="W41" i="73"/>
  <c r="N41" i="73"/>
  <c r="K41" i="73"/>
  <c r="L41" i="73" s="1"/>
  <c r="J41" i="73"/>
  <c r="P41" i="73" s="1"/>
  <c r="F41" i="73"/>
  <c r="H41" i="73" s="1"/>
  <c r="AG40" i="73"/>
  <c r="AF40" i="73"/>
  <c r="W40" i="73"/>
  <c r="V40" i="73"/>
  <c r="P40" i="73"/>
  <c r="N40" i="73"/>
  <c r="O40" i="73" s="1"/>
  <c r="L40" i="73"/>
  <c r="K40" i="73"/>
  <c r="J40" i="73"/>
  <c r="F40" i="73"/>
  <c r="H40" i="73" s="1"/>
  <c r="W39" i="73"/>
  <c r="N39" i="73" s="1"/>
  <c r="V39" i="73"/>
  <c r="O39" i="73"/>
  <c r="K39" i="73"/>
  <c r="L39" i="73" s="1"/>
  <c r="J39" i="73"/>
  <c r="P39" i="73" s="1"/>
  <c r="F39" i="73"/>
  <c r="H39" i="73" s="1"/>
  <c r="W38" i="73"/>
  <c r="N38" i="73"/>
  <c r="K38" i="73"/>
  <c r="J38" i="73"/>
  <c r="F38" i="73"/>
  <c r="H38" i="73" s="1"/>
  <c r="AE37" i="73"/>
  <c r="AD37" i="73"/>
  <c r="AA37" i="73"/>
  <c r="F19" i="72" s="1"/>
  <c r="Z37" i="73"/>
  <c r="M37" i="73"/>
  <c r="K37" i="73"/>
  <c r="W36" i="73"/>
  <c r="H36" i="73"/>
  <c r="W35" i="73"/>
  <c r="W34" i="73"/>
  <c r="W33" i="73"/>
  <c r="W32" i="73"/>
  <c r="AG31" i="73"/>
  <c r="AF31" i="73"/>
  <c r="W31" i="73"/>
  <c r="W30" i="73"/>
  <c r="N30" i="73" s="1"/>
  <c r="V30" i="73"/>
  <c r="K30" i="73"/>
  <c r="L30" i="73" s="1"/>
  <c r="J30" i="73"/>
  <c r="P30" i="73" s="1"/>
  <c r="F30" i="73"/>
  <c r="H30" i="73" s="1"/>
  <c r="AG29" i="73"/>
  <c r="W29" i="73"/>
  <c r="V29" i="73"/>
  <c r="N29" i="73"/>
  <c r="AF29" i="73" s="1"/>
  <c r="K29" i="73"/>
  <c r="J29" i="73"/>
  <c r="P29" i="73" s="1"/>
  <c r="H29" i="73"/>
  <c r="F29" i="73"/>
  <c r="AF28" i="73"/>
  <c r="W28" i="73"/>
  <c r="N28" i="73" s="1"/>
  <c r="V28" i="73"/>
  <c r="P28" i="73"/>
  <c r="K28" i="73"/>
  <c r="L28" i="73" s="1"/>
  <c r="J28" i="73"/>
  <c r="F28" i="73"/>
  <c r="H28" i="73" s="1"/>
  <c r="W27" i="73"/>
  <c r="N27" i="73" s="1"/>
  <c r="K27" i="73"/>
  <c r="J27" i="73"/>
  <c r="P27" i="73" s="1"/>
  <c r="F27" i="73"/>
  <c r="H27" i="73" s="1"/>
  <c r="AE26" i="73"/>
  <c r="E21" i="72" s="1"/>
  <c r="AD26" i="73"/>
  <c r="AD2" i="73" s="1"/>
  <c r="AA26" i="73"/>
  <c r="E19" i="72" s="1"/>
  <c r="Z26" i="73"/>
  <c r="M26" i="73"/>
  <c r="E22" i="72" s="1"/>
  <c r="W25" i="73"/>
  <c r="H25" i="73"/>
  <c r="W24" i="73"/>
  <c r="H24" i="73"/>
  <c r="W23" i="73"/>
  <c r="W21" i="73"/>
  <c r="W20" i="73"/>
  <c r="W19" i="73"/>
  <c r="N19" i="73" s="1"/>
  <c r="V19" i="73"/>
  <c r="O19" i="73"/>
  <c r="K19" i="73"/>
  <c r="J19" i="73"/>
  <c r="P19" i="73" s="1"/>
  <c r="F19" i="73"/>
  <c r="H19" i="73" s="1"/>
  <c r="W18" i="73"/>
  <c r="V18" i="73"/>
  <c r="N18" i="73"/>
  <c r="K18" i="73"/>
  <c r="J18" i="73"/>
  <c r="P18" i="73" s="1"/>
  <c r="H18" i="73"/>
  <c r="F18" i="73"/>
  <c r="W17" i="73"/>
  <c r="N17" i="73" s="1"/>
  <c r="AG17" i="73" s="1"/>
  <c r="V17" i="73"/>
  <c r="O17" i="73"/>
  <c r="K17" i="73"/>
  <c r="J17" i="73"/>
  <c r="P17" i="73" s="1"/>
  <c r="H17" i="73"/>
  <c r="F17" i="73"/>
  <c r="W16" i="73"/>
  <c r="N16" i="73"/>
  <c r="L16" i="73"/>
  <c r="K16" i="73"/>
  <c r="J16" i="73"/>
  <c r="H16" i="73"/>
  <c r="F16" i="73"/>
  <c r="AE15" i="73"/>
  <c r="AD15" i="73"/>
  <c r="AA15" i="73"/>
  <c r="Z15" i="73"/>
  <c r="N15" i="73"/>
  <c r="M15" i="73"/>
  <c r="W14" i="73"/>
  <c r="W13" i="73"/>
  <c r="W12" i="73"/>
  <c r="AG11" i="73"/>
  <c r="AF11" i="73"/>
  <c r="W11" i="73"/>
  <c r="AG10" i="73"/>
  <c r="AF10" i="73"/>
  <c r="W10" i="73"/>
  <c r="AG9" i="73"/>
  <c r="AF9" i="73"/>
  <c r="W9" i="73"/>
  <c r="W8" i="73"/>
  <c r="N8" i="73" s="1"/>
  <c r="V8" i="73"/>
  <c r="O8" i="73"/>
  <c r="K8" i="73"/>
  <c r="J8" i="73"/>
  <c r="P8" i="73" s="1"/>
  <c r="F8" i="73"/>
  <c r="H8" i="73" s="1"/>
  <c r="W7" i="73"/>
  <c r="V7" i="73"/>
  <c r="N7" i="73"/>
  <c r="L7" i="73"/>
  <c r="K7" i="73"/>
  <c r="J7" i="73"/>
  <c r="P7" i="73" s="1"/>
  <c r="F7" i="73"/>
  <c r="H7" i="73" s="1"/>
  <c r="W6" i="73"/>
  <c r="N6" i="73" s="1"/>
  <c r="V6" i="73"/>
  <c r="O6" i="73"/>
  <c r="K6" i="73"/>
  <c r="L6" i="73" s="1"/>
  <c r="J6" i="73"/>
  <c r="P6" i="73" s="1"/>
  <c r="F6" i="73"/>
  <c r="H6" i="73" s="1"/>
  <c r="G1" i="73" s="1"/>
  <c r="W5" i="73"/>
  <c r="N5" i="73"/>
  <c r="K5" i="73"/>
  <c r="J5" i="73"/>
  <c r="H5" i="73"/>
  <c r="F5" i="73"/>
  <c r="I2" i="73"/>
  <c r="E1" i="73"/>
  <c r="G3" i="72" s="1"/>
  <c r="J22" i="72"/>
  <c r="G22" i="72"/>
  <c r="F22" i="72"/>
  <c r="D22" i="72"/>
  <c r="H21" i="72"/>
  <c r="G21" i="72"/>
  <c r="F21" i="72"/>
  <c r="I20" i="72"/>
  <c r="H20" i="72"/>
  <c r="F20" i="72"/>
  <c r="E20" i="72"/>
  <c r="D20" i="72"/>
  <c r="J19" i="72"/>
  <c r="I19" i="72"/>
  <c r="D19" i="72"/>
  <c r="H18" i="72"/>
  <c r="F18" i="72"/>
  <c r="E18" i="72"/>
  <c r="D18" i="72"/>
  <c r="J16" i="72"/>
  <c r="I16" i="72"/>
  <c r="H16" i="72"/>
  <c r="G16" i="72"/>
  <c r="F16" i="72"/>
  <c r="E16" i="72"/>
  <c r="D16" i="72"/>
  <c r="AE79" i="23"/>
  <c r="AD79" i="23"/>
  <c r="AA79" i="23"/>
  <c r="J19" i="22" s="1"/>
  <c r="Z79" i="23"/>
  <c r="J18" i="22" s="1"/>
  <c r="M79" i="23"/>
  <c r="J79" i="23"/>
  <c r="P79" i="23" s="1"/>
  <c r="W78" i="23"/>
  <c r="H78" i="23"/>
  <c r="W77" i="23"/>
  <c r="H77" i="23"/>
  <c r="W76" i="23"/>
  <c r="H76" i="23"/>
  <c r="W75" i="23"/>
  <c r="H75" i="23"/>
  <c r="W74" i="23"/>
  <c r="W73" i="23"/>
  <c r="W72" i="23"/>
  <c r="W71" i="23"/>
  <c r="W70" i="23"/>
  <c r="N70" i="23" s="1"/>
  <c r="AF70" i="23" s="1"/>
  <c r="P70" i="23"/>
  <c r="K70" i="23"/>
  <c r="L70" i="23" s="1"/>
  <c r="L79" i="23" s="1"/>
  <c r="J13" i="22" s="1"/>
  <c r="J70" i="23"/>
  <c r="F70" i="23"/>
  <c r="H70" i="23" s="1"/>
  <c r="AE69" i="23"/>
  <c r="I21" i="22" s="1"/>
  <c r="AD69" i="23"/>
  <c r="I20" i="22" s="1"/>
  <c r="AA69" i="23"/>
  <c r="I19" i="22" s="1"/>
  <c r="Z69" i="23"/>
  <c r="M69" i="23"/>
  <c r="K69" i="23"/>
  <c r="J69" i="23"/>
  <c r="W68" i="23"/>
  <c r="H68" i="23"/>
  <c r="W67" i="23"/>
  <c r="W66" i="23"/>
  <c r="W65" i="23"/>
  <c r="W64" i="23"/>
  <c r="W63" i="23"/>
  <c r="AG62" i="23"/>
  <c r="AF62" i="23"/>
  <c r="W62" i="23"/>
  <c r="W61" i="23"/>
  <c r="N61" i="23" s="1"/>
  <c r="V61" i="23"/>
  <c r="P61" i="23"/>
  <c r="L61" i="23"/>
  <c r="K61" i="23"/>
  <c r="J61" i="23"/>
  <c r="F61" i="23"/>
  <c r="H61" i="23" s="1"/>
  <c r="W60" i="23"/>
  <c r="V60" i="23"/>
  <c r="N60" i="23"/>
  <c r="O60" i="23" s="1"/>
  <c r="K60" i="23"/>
  <c r="L60" i="23" s="1"/>
  <c r="J60" i="23"/>
  <c r="P60" i="23" s="1"/>
  <c r="H60" i="23"/>
  <c r="F60" i="23"/>
  <c r="W59" i="23"/>
  <c r="N59" i="23" s="1"/>
  <c r="P59" i="23"/>
  <c r="O59" i="23"/>
  <c r="Q59" i="23" s="1"/>
  <c r="K59" i="23"/>
  <c r="L59" i="23" s="1"/>
  <c r="J59" i="23"/>
  <c r="F59" i="23"/>
  <c r="H59" i="23" s="1"/>
  <c r="AE58" i="23"/>
  <c r="AD58" i="23"/>
  <c r="AA58" i="23"/>
  <c r="H19" i="22" s="1"/>
  <c r="Z58" i="23"/>
  <c r="M58" i="23"/>
  <c r="W57" i="23"/>
  <c r="W56" i="23"/>
  <c r="W55" i="23"/>
  <c r="W54" i="23"/>
  <c r="AG53" i="23"/>
  <c r="AF53" i="23"/>
  <c r="W53" i="23"/>
  <c r="W52" i="23"/>
  <c r="N52" i="23" s="1"/>
  <c r="V52" i="23"/>
  <c r="P52" i="23"/>
  <c r="L52" i="23"/>
  <c r="K52" i="23"/>
  <c r="J52" i="23"/>
  <c r="F52" i="23"/>
  <c r="H52" i="23" s="1"/>
  <c r="AG51" i="23"/>
  <c r="W51" i="23"/>
  <c r="N51" i="23" s="1"/>
  <c r="V51" i="23"/>
  <c r="K51" i="23"/>
  <c r="J51" i="23"/>
  <c r="P51" i="23" s="1"/>
  <c r="H51" i="23"/>
  <c r="F51" i="23"/>
  <c r="W50" i="23"/>
  <c r="N50" i="23" s="1"/>
  <c r="O50" i="23" s="1"/>
  <c r="V50" i="23"/>
  <c r="P50" i="23"/>
  <c r="K50" i="23"/>
  <c r="J50" i="23"/>
  <c r="H50" i="23"/>
  <c r="F50" i="23"/>
  <c r="W49" i="23"/>
  <c r="N49" i="23" s="1"/>
  <c r="O49" i="23" s="1"/>
  <c r="K49" i="23"/>
  <c r="J49" i="23"/>
  <c r="F49" i="23"/>
  <c r="H49" i="23" s="1"/>
  <c r="AE48" i="23"/>
  <c r="AD48" i="23"/>
  <c r="AA48" i="23"/>
  <c r="G19" i="22" s="1"/>
  <c r="Z48" i="23"/>
  <c r="W48" i="23"/>
  <c r="M48" i="23"/>
  <c r="G22" i="22" s="1"/>
  <c r="W47" i="23"/>
  <c r="H47" i="23"/>
  <c r="W46" i="23"/>
  <c r="W45" i="23"/>
  <c r="W44" i="23"/>
  <c r="W43" i="23"/>
  <c r="W42" i="23"/>
  <c r="V42" i="23"/>
  <c r="N42" i="23"/>
  <c r="O42" i="23" s="1"/>
  <c r="Q42" i="23" s="1"/>
  <c r="L42" i="23"/>
  <c r="K42" i="23"/>
  <c r="J42" i="23"/>
  <c r="P42" i="23" s="1"/>
  <c r="F42" i="23"/>
  <c r="H42" i="23" s="1"/>
  <c r="W41" i="23"/>
  <c r="N41" i="23" s="1"/>
  <c r="V41" i="23"/>
  <c r="P41" i="23"/>
  <c r="L41" i="23"/>
  <c r="K41" i="23"/>
  <c r="J41" i="23"/>
  <c r="F41" i="23"/>
  <c r="H41" i="23" s="1"/>
  <c r="AG40" i="23"/>
  <c r="W40" i="23"/>
  <c r="V40" i="23"/>
  <c r="R40" i="23"/>
  <c r="Q40" i="23"/>
  <c r="O40" i="23"/>
  <c r="N40" i="23"/>
  <c r="AF40" i="23" s="1"/>
  <c r="L40" i="23"/>
  <c r="K40" i="23"/>
  <c r="J40" i="23"/>
  <c r="P40" i="23" s="1"/>
  <c r="F40" i="23"/>
  <c r="H40" i="23" s="1"/>
  <c r="W39" i="23"/>
  <c r="V39" i="23"/>
  <c r="P39" i="23"/>
  <c r="N39" i="23"/>
  <c r="L39" i="23"/>
  <c r="K39" i="23"/>
  <c r="J39" i="23"/>
  <c r="F39" i="23"/>
  <c r="H39" i="23" s="1"/>
  <c r="W38" i="23"/>
  <c r="P38" i="23"/>
  <c r="N38" i="23"/>
  <c r="K38" i="23"/>
  <c r="K48" i="23" s="1"/>
  <c r="J38" i="23"/>
  <c r="H38" i="23"/>
  <c r="F38" i="23"/>
  <c r="AE37" i="23"/>
  <c r="AD37" i="23"/>
  <c r="AA37" i="23"/>
  <c r="F19" i="22" s="1"/>
  <c r="Z37" i="23"/>
  <c r="F18" i="22" s="1"/>
  <c r="N37" i="23"/>
  <c r="M37" i="23"/>
  <c r="F22" i="22" s="1"/>
  <c r="J37" i="23"/>
  <c r="P37" i="23" s="1"/>
  <c r="W36" i="23"/>
  <c r="H36" i="23"/>
  <c r="W35" i="23"/>
  <c r="W34" i="23"/>
  <c r="W33" i="23"/>
  <c r="W32" i="23"/>
  <c r="AG31" i="23"/>
  <c r="AF31" i="23"/>
  <c r="W31" i="23"/>
  <c r="AG30" i="23"/>
  <c r="AF30" i="23"/>
  <c r="W30" i="23"/>
  <c r="W29" i="23"/>
  <c r="N29" i="23" s="1"/>
  <c r="V29" i="23"/>
  <c r="P29" i="23"/>
  <c r="O29" i="23"/>
  <c r="K29" i="23"/>
  <c r="K37" i="23" s="1"/>
  <c r="J29" i="23"/>
  <c r="F29" i="23"/>
  <c r="H29" i="23" s="1"/>
  <c r="AG28" i="23"/>
  <c r="W28" i="23"/>
  <c r="V28" i="23"/>
  <c r="N28" i="23"/>
  <c r="AF28" i="23" s="1"/>
  <c r="L28" i="23"/>
  <c r="K28" i="23"/>
  <c r="J28" i="23"/>
  <c r="P28" i="23" s="1"/>
  <c r="F28" i="23"/>
  <c r="H28" i="23" s="1"/>
  <c r="W27" i="23"/>
  <c r="R27" i="23"/>
  <c r="Q27" i="23"/>
  <c r="P27" i="23"/>
  <c r="O27" i="23"/>
  <c r="N27" i="23"/>
  <c r="L27" i="23"/>
  <c r="K27" i="23"/>
  <c r="J27" i="23"/>
  <c r="F27" i="23"/>
  <c r="H27" i="23" s="1"/>
  <c r="AE26" i="23"/>
  <c r="AD26" i="23"/>
  <c r="AA26" i="23"/>
  <c r="E19" i="22" s="1"/>
  <c r="Z26" i="23"/>
  <c r="M26" i="23"/>
  <c r="E22" i="22" s="1"/>
  <c r="W25" i="23"/>
  <c r="H25" i="23"/>
  <c r="W24" i="23"/>
  <c r="H24" i="23"/>
  <c r="W23" i="23"/>
  <c r="W21" i="23"/>
  <c r="W20" i="23"/>
  <c r="W19" i="23"/>
  <c r="N19" i="23" s="1"/>
  <c r="AF19" i="23" s="1"/>
  <c r="V19" i="23"/>
  <c r="P19" i="23"/>
  <c r="K19" i="23"/>
  <c r="L19" i="23" s="1"/>
  <c r="J19" i="23"/>
  <c r="F19" i="23"/>
  <c r="H19" i="23" s="1"/>
  <c r="W18" i="23"/>
  <c r="N18" i="23" s="1"/>
  <c r="AF18" i="23" s="1"/>
  <c r="V18" i="23"/>
  <c r="O18" i="23"/>
  <c r="K18" i="23"/>
  <c r="J18" i="23"/>
  <c r="P18" i="23" s="1"/>
  <c r="H18" i="23"/>
  <c r="F18" i="23"/>
  <c r="AG17" i="23"/>
  <c r="AF17" i="23"/>
  <c r="W17" i="23"/>
  <c r="N17" i="23" s="1"/>
  <c r="O17" i="23" s="1"/>
  <c r="V17" i="23"/>
  <c r="P17" i="23"/>
  <c r="K17" i="23"/>
  <c r="L17" i="23" s="1"/>
  <c r="J17" i="23"/>
  <c r="F17" i="23"/>
  <c r="H17" i="23" s="1"/>
  <c r="AG16" i="23"/>
  <c r="AF16" i="23"/>
  <c r="W16" i="23"/>
  <c r="N16" i="23" s="1"/>
  <c r="O16" i="23"/>
  <c r="K16" i="23"/>
  <c r="J16" i="23"/>
  <c r="F16" i="23"/>
  <c r="H16" i="23" s="1"/>
  <c r="AE15" i="23"/>
  <c r="AD15" i="23"/>
  <c r="AA15" i="23"/>
  <c r="D19" i="22" s="1"/>
  <c r="Z15" i="23"/>
  <c r="M15" i="23"/>
  <c r="K15" i="23"/>
  <c r="W14" i="23"/>
  <c r="W13" i="23"/>
  <c r="W12" i="23"/>
  <c r="AG11" i="23"/>
  <c r="AF11" i="23"/>
  <c r="W11" i="23"/>
  <c r="AG10" i="23"/>
  <c r="AF10" i="23"/>
  <c r="W10" i="23"/>
  <c r="AG9" i="23"/>
  <c r="AF9" i="23"/>
  <c r="W9" i="23"/>
  <c r="W8" i="23"/>
  <c r="N8" i="23" s="1"/>
  <c r="V8" i="23"/>
  <c r="P8" i="23"/>
  <c r="L8" i="23"/>
  <c r="K8" i="23"/>
  <c r="J8" i="23"/>
  <c r="F8" i="23"/>
  <c r="H8" i="23" s="1"/>
  <c r="AG7" i="23"/>
  <c r="W7" i="23"/>
  <c r="N7" i="23" s="1"/>
  <c r="V7" i="23"/>
  <c r="K7" i="23"/>
  <c r="J7" i="23"/>
  <c r="P7" i="23" s="1"/>
  <c r="H7" i="23"/>
  <c r="G1" i="23" s="1"/>
  <c r="F7" i="23"/>
  <c r="AG6" i="23"/>
  <c r="W6" i="23"/>
  <c r="N6" i="23" s="1"/>
  <c r="O6" i="23" s="1"/>
  <c r="V6" i="23"/>
  <c r="P6" i="23"/>
  <c r="K6" i="23"/>
  <c r="L6" i="23" s="1"/>
  <c r="R6" i="23" s="1"/>
  <c r="J6" i="23"/>
  <c r="F6" i="23"/>
  <c r="H6" i="23" s="1"/>
  <c r="AG5" i="23"/>
  <c r="W5" i="23"/>
  <c r="N5" i="23" s="1"/>
  <c r="AF5" i="23" s="1"/>
  <c r="K5" i="23"/>
  <c r="J5" i="23"/>
  <c r="H5" i="23"/>
  <c r="F5" i="23"/>
  <c r="I2" i="23"/>
  <c r="E1" i="23"/>
  <c r="J22" i="22"/>
  <c r="I22" i="22"/>
  <c r="H22" i="22"/>
  <c r="D22" i="22"/>
  <c r="H21" i="22"/>
  <c r="G21" i="22"/>
  <c r="F21" i="22"/>
  <c r="E21" i="22"/>
  <c r="D21" i="22"/>
  <c r="J20" i="22"/>
  <c r="G20" i="22"/>
  <c r="F20" i="22"/>
  <c r="E20" i="22"/>
  <c r="D20" i="22"/>
  <c r="I18" i="22"/>
  <c r="H18" i="22"/>
  <c r="G18" i="22"/>
  <c r="E18" i="22"/>
  <c r="D18" i="22"/>
  <c r="J16" i="22"/>
  <c r="I16" i="22"/>
  <c r="H16" i="22"/>
  <c r="G16" i="22"/>
  <c r="F16" i="22"/>
  <c r="E16" i="22"/>
  <c r="D16" i="22"/>
  <c r="G3" i="22"/>
  <c r="AE79" i="21"/>
  <c r="AD79" i="21"/>
  <c r="AA79" i="21"/>
  <c r="J19" i="20" s="1"/>
  <c r="Z79" i="21"/>
  <c r="J18" i="20" s="1"/>
  <c r="M79" i="21"/>
  <c r="K79" i="21"/>
  <c r="W78" i="21"/>
  <c r="H78" i="21"/>
  <c r="W77" i="21"/>
  <c r="H77" i="21"/>
  <c r="W76" i="21"/>
  <c r="H76" i="21"/>
  <c r="W75" i="21"/>
  <c r="H75" i="21"/>
  <c r="W74" i="21"/>
  <c r="W73" i="21"/>
  <c r="W72" i="21"/>
  <c r="W71" i="21"/>
  <c r="AG70" i="21"/>
  <c r="AF70" i="21"/>
  <c r="W70" i="21"/>
  <c r="P70" i="21"/>
  <c r="N70" i="21"/>
  <c r="O70" i="21" s="1"/>
  <c r="Q70" i="21" s="1"/>
  <c r="L70" i="21"/>
  <c r="L79" i="21" s="1"/>
  <c r="J13" i="20" s="1"/>
  <c r="K70" i="21"/>
  <c r="J70" i="21"/>
  <c r="J79" i="21" s="1"/>
  <c r="F70" i="21"/>
  <c r="H70" i="21" s="1"/>
  <c r="AE69" i="21"/>
  <c r="I21" i="20" s="1"/>
  <c r="AD69" i="21"/>
  <c r="I20" i="20" s="1"/>
  <c r="AA69" i="21"/>
  <c r="Z69" i="21"/>
  <c r="N69" i="21"/>
  <c r="M69" i="21"/>
  <c r="W68" i="21"/>
  <c r="H68" i="21"/>
  <c r="W67" i="21"/>
  <c r="W66" i="21"/>
  <c r="W65" i="21"/>
  <c r="W64" i="21"/>
  <c r="W63" i="21"/>
  <c r="AF62" i="21"/>
  <c r="W62" i="21"/>
  <c r="P62" i="21"/>
  <c r="O62" i="21"/>
  <c r="N62" i="21"/>
  <c r="K62" i="21"/>
  <c r="L62" i="21" s="1"/>
  <c r="J62" i="21"/>
  <c r="F62" i="21"/>
  <c r="H62" i="21" s="1"/>
  <c r="W61" i="21"/>
  <c r="V61" i="21"/>
  <c r="P61" i="21"/>
  <c r="O61" i="21"/>
  <c r="N61" i="21"/>
  <c r="K61" i="21"/>
  <c r="L61" i="21" s="1"/>
  <c r="J61" i="21"/>
  <c r="H61" i="21"/>
  <c r="F61" i="21"/>
  <c r="W60" i="21"/>
  <c r="N60" i="21" s="1"/>
  <c r="O60" i="21" s="1"/>
  <c r="V60" i="21"/>
  <c r="P60" i="21"/>
  <c r="K60" i="21"/>
  <c r="L60" i="21" s="1"/>
  <c r="J60" i="21"/>
  <c r="F60" i="21"/>
  <c r="H60" i="21" s="1"/>
  <c r="W59" i="21"/>
  <c r="N59" i="21" s="1"/>
  <c r="O59" i="21"/>
  <c r="K59" i="21"/>
  <c r="J59" i="21"/>
  <c r="P59" i="21" s="1"/>
  <c r="F59" i="21"/>
  <c r="H59" i="21" s="1"/>
  <c r="AE58" i="21"/>
  <c r="AD58" i="21"/>
  <c r="AA58" i="21"/>
  <c r="H19" i="20" s="1"/>
  <c r="Z58" i="21"/>
  <c r="M58" i="21"/>
  <c r="W57" i="21"/>
  <c r="W56" i="21"/>
  <c r="W55" i="21"/>
  <c r="W54" i="21"/>
  <c r="AG53" i="21"/>
  <c r="AF53" i="21"/>
  <c r="W53" i="21"/>
  <c r="AG52" i="21"/>
  <c r="AF52" i="21"/>
  <c r="W52" i="21"/>
  <c r="N52" i="21" s="1"/>
  <c r="V52" i="21"/>
  <c r="O52" i="21"/>
  <c r="K52" i="21"/>
  <c r="L52" i="21" s="1"/>
  <c r="J52" i="21"/>
  <c r="P52" i="21" s="1"/>
  <c r="H52" i="21"/>
  <c r="F52" i="21"/>
  <c r="W51" i="21"/>
  <c r="V51" i="21"/>
  <c r="O51" i="21"/>
  <c r="N51" i="21"/>
  <c r="K51" i="21"/>
  <c r="J51" i="21"/>
  <c r="P51" i="21" s="1"/>
  <c r="H51" i="21"/>
  <c r="F51" i="21"/>
  <c r="W50" i="21"/>
  <c r="N50" i="21" s="1"/>
  <c r="V50" i="21"/>
  <c r="K50" i="21"/>
  <c r="J50" i="21"/>
  <c r="P50" i="21" s="1"/>
  <c r="F50" i="21"/>
  <c r="H50" i="21" s="1"/>
  <c r="W49" i="21"/>
  <c r="N49" i="21" s="1"/>
  <c r="AF49" i="21" s="1"/>
  <c r="O49" i="21"/>
  <c r="K49" i="21"/>
  <c r="J49" i="21"/>
  <c r="H49" i="21"/>
  <c r="F49" i="21"/>
  <c r="AE48" i="21"/>
  <c r="G21" i="20" s="1"/>
  <c r="AD48" i="21"/>
  <c r="AA48" i="21"/>
  <c r="G19" i="20" s="1"/>
  <c r="Z48" i="21"/>
  <c r="W48" i="21"/>
  <c r="M48" i="21"/>
  <c r="L48" i="21"/>
  <c r="G13" i="20" s="1"/>
  <c r="K48" i="21"/>
  <c r="J48" i="21"/>
  <c r="W47" i="21"/>
  <c r="H47" i="21"/>
  <c r="W46" i="21"/>
  <c r="W45" i="21"/>
  <c r="W44" i="21"/>
  <c r="W43" i="21"/>
  <c r="W42" i="21"/>
  <c r="AG41" i="21"/>
  <c r="AF41" i="21"/>
  <c r="W41" i="21"/>
  <c r="AG40" i="21"/>
  <c r="AF40" i="21"/>
  <c r="W40" i="21"/>
  <c r="N40" i="21" s="1"/>
  <c r="O40" i="21" s="1"/>
  <c r="V40" i="21"/>
  <c r="K40" i="21"/>
  <c r="L40" i="21" s="1"/>
  <c r="J40" i="21"/>
  <c r="P40" i="21" s="1"/>
  <c r="F40" i="21"/>
  <c r="H40" i="21" s="1"/>
  <c r="W39" i="21"/>
  <c r="N39" i="21" s="1"/>
  <c r="O39" i="21" s="1"/>
  <c r="V39" i="21"/>
  <c r="K39" i="21"/>
  <c r="L39" i="21" s="1"/>
  <c r="Q39" i="21" s="1"/>
  <c r="J39" i="21"/>
  <c r="P39" i="21" s="1"/>
  <c r="F39" i="21"/>
  <c r="H39" i="21" s="1"/>
  <c r="W38" i="21"/>
  <c r="N38" i="21" s="1"/>
  <c r="P38" i="21"/>
  <c r="K38" i="21"/>
  <c r="L38" i="21" s="1"/>
  <c r="J38" i="21"/>
  <c r="F38" i="21"/>
  <c r="H38" i="21" s="1"/>
  <c r="AE37" i="21"/>
  <c r="AD37" i="21"/>
  <c r="AA37" i="21"/>
  <c r="F19" i="20" s="1"/>
  <c r="Z37" i="21"/>
  <c r="F18" i="20" s="1"/>
  <c r="M37" i="21"/>
  <c r="K37" i="21"/>
  <c r="W36" i="21"/>
  <c r="H36" i="21"/>
  <c r="W35" i="21"/>
  <c r="W34" i="21"/>
  <c r="W33" i="21"/>
  <c r="W32" i="21"/>
  <c r="AG31" i="21"/>
  <c r="AF31" i="21"/>
  <c r="W31" i="21"/>
  <c r="AG30" i="21"/>
  <c r="AF30" i="21"/>
  <c r="W30" i="21"/>
  <c r="V30" i="21"/>
  <c r="Q30" i="21"/>
  <c r="P30" i="21"/>
  <c r="O30" i="21"/>
  <c r="R30" i="21" s="1"/>
  <c r="N30" i="21"/>
  <c r="L30" i="21"/>
  <c r="K30" i="21"/>
  <c r="J30" i="21"/>
  <c r="F30" i="21"/>
  <c r="H30" i="21" s="1"/>
  <c r="W29" i="21"/>
  <c r="N29" i="21" s="1"/>
  <c r="V29" i="21"/>
  <c r="P29" i="21"/>
  <c r="K29" i="21"/>
  <c r="J29" i="21"/>
  <c r="F29" i="21"/>
  <c r="H29" i="21" s="1"/>
  <c r="W28" i="21"/>
  <c r="V28" i="21"/>
  <c r="N28" i="21"/>
  <c r="L28" i="21"/>
  <c r="K28" i="21"/>
  <c r="J28" i="21"/>
  <c r="P28" i="21" s="1"/>
  <c r="F28" i="21"/>
  <c r="H28" i="21" s="1"/>
  <c r="W27" i="21"/>
  <c r="N27" i="21" s="1"/>
  <c r="AF27" i="21" s="1"/>
  <c r="P27" i="21"/>
  <c r="L27" i="21"/>
  <c r="K27" i="21"/>
  <c r="J27" i="21"/>
  <c r="F27" i="21"/>
  <c r="H27" i="21" s="1"/>
  <c r="AE26" i="21"/>
  <c r="AD26" i="21"/>
  <c r="E20" i="20" s="1"/>
  <c r="AA26" i="21"/>
  <c r="E19" i="20" s="1"/>
  <c r="Z26" i="21"/>
  <c r="M26" i="21"/>
  <c r="W25" i="21"/>
  <c r="H25" i="21"/>
  <c r="W24" i="21"/>
  <c r="H24" i="21"/>
  <c r="W23" i="21"/>
  <c r="W21" i="21"/>
  <c r="W20" i="21"/>
  <c r="AG19" i="21"/>
  <c r="W19" i="21"/>
  <c r="V19" i="21"/>
  <c r="N19" i="21"/>
  <c r="O19" i="21" s="1"/>
  <c r="K19" i="21"/>
  <c r="L19" i="21" s="1"/>
  <c r="Q19" i="21" s="1"/>
  <c r="J19" i="21"/>
  <c r="P19" i="21" s="1"/>
  <c r="F19" i="21"/>
  <c r="H19" i="21" s="1"/>
  <c r="AG18" i="21"/>
  <c r="W18" i="21"/>
  <c r="V18" i="21"/>
  <c r="N18" i="21"/>
  <c r="K18" i="21"/>
  <c r="L18" i="21" s="1"/>
  <c r="J18" i="21"/>
  <c r="P18" i="21" s="1"/>
  <c r="H18" i="21"/>
  <c r="F18" i="21"/>
  <c r="AF17" i="21"/>
  <c r="W17" i="21"/>
  <c r="V17" i="21"/>
  <c r="P17" i="21"/>
  <c r="N17" i="21"/>
  <c r="K17" i="21"/>
  <c r="L17" i="21" s="1"/>
  <c r="J17" i="21"/>
  <c r="F17" i="21"/>
  <c r="H17" i="21" s="1"/>
  <c r="W16" i="21"/>
  <c r="N16" i="21" s="1"/>
  <c r="O16" i="21"/>
  <c r="K16" i="21"/>
  <c r="J16" i="21"/>
  <c r="F16" i="21"/>
  <c r="H16" i="21" s="1"/>
  <c r="AE15" i="21"/>
  <c r="AD15" i="21"/>
  <c r="D20" i="20" s="1"/>
  <c r="AA15" i="21"/>
  <c r="Z15" i="21"/>
  <c r="M15" i="21"/>
  <c r="J15" i="21"/>
  <c r="W14" i="21"/>
  <c r="W13" i="21"/>
  <c r="W12" i="21"/>
  <c r="AG11" i="21"/>
  <c r="AF11" i="21"/>
  <c r="W11" i="21"/>
  <c r="AG10" i="21"/>
  <c r="AF10" i="21"/>
  <c r="W10" i="21"/>
  <c r="AG9" i="21"/>
  <c r="AF9" i="21"/>
  <c r="W9" i="21"/>
  <c r="AG8" i="21"/>
  <c r="AF8" i="21"/>
  <c r="W8" i="21"/>
  <c r="V8" i="21"/>
  <c r="N8" i="21"/>
  <c r="O8" i="21" s="1"/>
  <c r="K8" i="21"/>
  <c r="J8" i="21"/>
  <c r="P8" i="21" s="1"/>
  <c r="F8" i="21"/>
  <c r="H8" i="21" s="1"/>
  <c r="AG7" i="21"/>
  <c r="W7" i="21"/>
  <c r="V7" i="21"/>
  <c r="O7" i="21"/>
  <c r="N7" i="21"/>
  <c r="K7" i="21"/>
  <c r="J7" i="21"/>
  <c r="P7" i="21" s="1"/>
  <c r="H7" i="21"/>
  <c r="F7" i="21"/>
  <c r="W6" i="21"/>
  <c r="N6" i="21" s="1"/>
  <c r="AF6" i="21" s="1"/>
  <c r="V6" i="21"/>
  <c r="P6" i="21"/>
  <c r="K6" i="21"/>
  <c r="L6" i="21" s="1"/>
  <c r="J6" i="21"/>
  <c r="F6" i="21"/>
  <c r="H6" i="21" s="1"/>
  <c r="W5" i="21"/>
  <c r="N5" i="21" s="1"/>
  <c r="O5" i="21"/>
  <c r="K5" i="21"/>
  <c r="J5" i="21"/>
  <c r="P5" i="21" s="1"/>
  <c r="F5" i="21"/>
  <c r="H5" i="21" s="1"/>
  <c r="AE2" i="21"/>
  <c r="AD2" i="21"/>
  <c r="AA2" i="21"/>
  <c r="I2" i="21"/>
  <c r="E1" i="21"/>
  <c r="I22" i="20"/>
  <c r="H22" i="20"/>
  <c r="F22" i="20"/>
  <c r="E22" i="20"/>
  <c r="D22" i="20"/>
  <c r="J21" i="20"/>
  <c r="H21" i="20"/>
  <c r="F21" i="20"/>
  <c r="E21" i="20"/>
  <c r="D21" i="20"/>
  <c r="J20" i="20"/>
  <c r="H20" i="20"/>
  <c r="G20" i="20"/>
  <c r="F20" i="20"/>
  <c r="I19" i="20"/>
  <c r="D19" i="20"/>
  <c r="I18" i="20"/>
  <c r="H18" i="20"/>
  <c r="G18" i="20"/>
  <c r="E18" i="20"/>
  <c r="J16" i="20"/>
  <c r="I16" i="20"/>
  <c r="H16" i="20"/>
  <c r="G16" i="20"/>
  <c r="F16" i="20"/>
  <c r="E16" i="20"/>
  <c r="D16" i="20"/>
  <c r="O8" i="20"/>
  <c r="N8" i="20"/>
  <c r="M8" i="20"/>
  <c r="L8" i="20"/>
  <c r="O7" i="20"/>
  <c r="N7" i="20"/>
  <c r="M7" i="20"/>
  <c r="L7" i="20"/>
  <c r="G3" i="20"/>
  <c r="AE79" i="71"/>
  <c r="AD79" i="71"/>
  <c r="J20" i="18" s="1"/>
  <c r="AA79" i="71"/>
  <c r="Z79" i="71"/>
  <c r="J18" i="18" s="1"/>
  <c r="O79" i="71"/>
  <c r="M79" i="71"/>
  <c r="J22" i="18" s="1"/>
  <c r="J79" i="71"/>
  <c r="W78" i="71"/>
  <c r="H78" i="71"/>
  <c r="W77" i="71"/>
  <c r="H77" i="71"/>
  <c r="W76" i="71"/>
  <c r="H76" i="71"/>
  <c r="W75" i="71"/>
  <c r="H75" i="71"/>
  <c r="W74" i="71"/>
  <c r="W73" i="71"/>
  <c r="W72" i="71"/>
  <c r="W71" i="71"/>
  <c r="AG70" i="71"/>
  <c r="W70" i="71"/>
  <c r="O70" i="71"/>
  <c r="N70" i="71"/>
  <c r="K70" i="71"/>
  <c r="K79" i="71" s="1"/>
  <c r="J70" i="71"/>
  <c r="P70" i="71" s="1"/>
  <c r="F70" i="71"/>
  <c r="H70" i="71" s="1"/>
  <c r="AE69" i="71"/>
  <c r="AD69" i="71"/>
  <c r="AA69" i="71"/>
  <c r="Z69" i="71"/>
  <c r="I18" i="18" s="1"/>
  <c r="M69" i="71"/>
  <c r="I22" i="18" s="1"/>
  <c r="W68" i="71"/>
  <c r="H68" i="71"/>
  <c r="W67" i="71"/>
  <c r="W66" i="71"/>
  <c r="W65" i="71"/>
  <c r="W64" i="71"/>
  <c r="W63" i="71"/>
  <c r="AG62" i="71"/>
  <c r="W62" i="71"/>
  <c r="V62" i="71"/>
  <c r="O62" i="71"/>
  <c r="N62" i="71"/>
  <c r="K62" i="71"/>
  <c r="J62" i="71"/>
  <c r="P62" i="71" s="1"/>
  <c r="F62" i="71"/>
  <c r="H62" i="71" s="1"/>
  <c r="W61" i="71"/>
  <c r="V61" i="71"/>
  <c r="N61" i="71"/>
  <c r="K61" i="71"/>
  <c r="L61" i="71" s="1"/>
  <c r="J61" i="71"/>
  <c r="F61" i="71"/>
  <c r="H61" i="71" s="1"/>
  <c r="AG60" i="71"/>
  <c r="AF60" i="71"/>
  <c r="W60" i="71"/>
  <c r="V60" i="71"/>
  <c r="P60" i="71"/>
  <c r="O60" i="71"/>
  <c r="N60" i="71"/>
  <c r="L60" i="71"/>
  <c r="K60" i="71"/>
  <c r="J60" i="71"/>
  <c r="F60" i="71"/>
  <c r="H60" i="71" s="1"/>
  <c r="W59" i="71"/>
  <c r="N59" i="71" s="1"/>
  <c r="O59" i="71" s="1"/>
  <c r="P59" i="71"/>
  <c r="K59" i="71"/>
  <c r="J59" i="71"/>
  <c r="F59" i="71"/>
  <c r="H59" i="71" s="1"/>
  <c r="AE58" i="71"/>
  <c r="AD58" i="71"/>
  <c r="H20" i="18" s="1"/>
  <c r="AA58" i="71"/>
  <c r="Z58" i="71"/>
  <c r="M58" i="71"/>
  <c r="K58" i="71"/>
  <c r="J58" i="71"/>
  <c r="W57" i="71"/>
  <c r="W56" i="71"/>
  <c r="W55" i="71"/>
  <c r="W54" i="71"/>
  <c r="AG53" i="71"/>
  <c r="AF53" i="71"/>
  <c r="W53" i="71"/>
  <c r="W52" i="71"/>
  <c r="N52" i="71" s="1"/>
  <c r="V52" i="71"/>
  <c r="P52" i="71"/>
  <c r="K52" i="71"/>
  <c r="L52" i="71" s="1"/>
  <c r="J52" i="71"/>
  <c r="F52" i="71"/>
  <c r="H52" i="71" s="1"/>
  <c r="W51" i="71"/>
  <c r="N51" i="71" s="1"/>
  <c r="AG51" i="71" s="1"/>
  <c r="V51" i="71"/>
  <c r="O51" i="71"/>
  <c r="K51" i="71"/>
  <c r="J51" i="71"/>
  <c r="P51" i="71" s="1"/>
  <c r="H51" i="71"/>
  <c r="F51" i="71"/>
  <c r="W50" i="71"/>
  <c r="V50" i="71"/>
  <c r="P50" i="71"/>
  <c r="N50" i="71"/>
  <c r="K50" i="71"/>
  <c r="L50" i="71" s="1"/>
  <c r="J50" i="71"/>
  <c r="H50" i="71"/>
  <c r="F50" i="71"/>
  <c r="W49" i="71"/>
  <c r="P49" i="71"/>
  <c r="N49" i="71"/>
  <c r="K49" i="71"/>
  <c r="L49" i="71" s="1"/>
  <c r="J49" i="71"/>
  <c r="F49" i="71"/>
  <c r="H49" i="71" s="1"/>
  <c r="AE48" i="71"/>
  <c r="AD48" i="71"/>
  <c r="G20" i="18" s="1"/>
  <c r="AA48" i="71"/>
  <c r="G19" i="18" s="1"/>
  <c r="Z48" i="71"/>
  <c r="W48" i="71"/>
  <c r="M48" i="71"/>
  <c r="W47" i="71"/>
  <c r="H47" i="71"/>
  <c r="W46" i="71"/>
  <c r="W45" i="71"/>
  <c r="W44" i="71"/>
  <c r="W43" i="71"/>
  <c r="W42" i="71"/>
  <c r="W41" i="71"/>
  <c r="V41" i="71"/>
  <c r="P41" i="71"/>
  <c r="N41" i="71"/>
  <c r="K41" i="71"/>
  <c r="L41" i="71" s="1"/>
  <c r="J41" i="71"/>
  <c r="F41" i="71"/>
  <c r="H41" i="71" s="1"/>
  <c r="W40" i="71"/>
  <c r="V40" i="71"/>
  <c r="N40" i="71"/>
  <c r="K40" i="71"/>
  <c r="L40" i="71" s="1"/>
  <c r="J40" i="71"/>
  <c r="P40" i="71" s="1"/>
  <c r="H40" i="71"/>
  <c r="F40" i="71"/>
  <c r="W39" i="71"/>
  <c r="N39" i="71" s="1"/>
  <c r="O39" i="71" s="1"/>
  <c r="V39" i="71"/>
  <c r="P39" i="71"/>
  <c r="K39" i="71"/>
  <c r="L39" i="71" s="1"/>
  <c r="Q39" i="71" s="1"/>
  <c r="J39" i="71"/>
  <c r="F39" i="71"/>
  <c r="H39" i="71" s="1"/>
  <c r="W38" i="71"/>
  <c r="N38" i="71" s="1"/>
  <c r="O38" i="71" s="1"/>
  <c r="K38" i="71"/>
  <c r="L38" i="71" s="1"/>
  <c r="J38" i="71"/>
  <c r="F38" i="71"/>
  <c r="H38" i="71" s="1"/>
  <c r="AE37" i="71"/>
  <c r="AD37" i="71"/>
  <c r="AA37" i="71"/>
  <c r="F19" i="18" s="1"/>
  <c r="Z37" i="71"/>
  <c r="F18" i="18" s="1"/>
  <c r="M37" i="71"/>
  <c r="W36" i="71"/>
  <c r="H36" i="71"/>
  <c r="W35" i="71"/>
  <c r="W34" i="71"/>
  <c r="W33" i="71"/>
  <c r="W32" i="71"/>
  <c r="AG31" i="71"/>
  <c r="AF31" i="71"/>
  <c r="W31" i="71"/>
  <c r="N31" i="71" s="1"/>
  <c r="O31" i="71" s="1"/>
  <c r="V31" i="71"/>
  <c r="K31" i="71"/>
  <c r="J31" i="71"/>
  <c r="P31" i="71" s="1"/>
  <c r="F31" i="71"/>
  <c r="H31" i="71" s="1"/>
  <c r="AG30" i="71"/>
  <c r="AF30" i="71"/>
  <c r="W30" i="71"/>
  <c r="N30" i="71" s="1"/>
  <c r="O30" i="71" s="1"/>
  <c r="V30" i="71"/>
  <c r="K30" i="71"/>
  <c r="J30" i="71"/>
  <c r="P30" i="71" s="1"/>
  <c r="F30" i="71"/>
  <c r="H30" i="71" s="1"/>
  <c r="AG29" i="71"/>
  <c r="W29" i="71"/>
  <c r="V29" i="71"/>
  <c r="P29" i="71"/>
  <c r="O29" i="71"/>
  <c r="N29" i="71"/>
  <c r="K29" i="71"/>
  <c r="J29" i="71"/>
  <c r="H29" i="71"/>
  <c r="F29" i="71"/>
  <c r="W28" i="71"/>
  <c r="N28" i="71" s="1"/>
  <c r="V28" i="71"/>
  <c r="P28" i="71"/>
  <c r="K28" i="71"/>
  <c r="L28" i="71" s="1"/>
  <c r="J28" i="71"/>
  <c r="F28" i="71"/>
  <c r="H28" i="71" s="1"/>
  <c r="W27" i="71"/>
  <c r="N27" i="71" s="1"/>
  <c r="K27" i="71"/>
  <c r="J27" i="71"/>
  <c r="F27" i="71"/>
  <c r="H27" i="71" s="1"/>
  <c r="AE26" i="71"/>
  <c r="E21" i="18" s="1"/>
  <c r="AD26" i="71"/>
  <c r="AD2" i="71" s="1"/>
  <c r="AA26" i="71"/>
  <c r="E19" i="18" s="1"/>
  <c r="Z26" i="71"/>
  <c r="E18" i="18" s="1"/>
  <c r="M26" i="71"/>
  <c r="E22" i="18" s="1"/>
  <c r="W25" i="71"/>
  <c r="H25" i="71"/>
  <c r="W24" i="71"/>
  <c r="H24" i="71"/>
  <c r="W23" i="71"/>
  <c r="W21" i="71"/>
  <c r="W20" i="71"/>
  <c r="W19" i="71"/>
  <c r="N19" i="71" s="1"/>
  <c r="V19" i="71"/>
  <c r="O19" i="71"/>
  <c r="K19" i="71"/>
  <c r="J19" i="71"/>
  <c r="P19" i="71" s="1"/>
  <c r="F19" i="71"/>
  <c r="H19" i="71" s="1"/>
  <c r="AG18" i="71"/>
  <c r="AF18" i="71"/>
  <c r="W18" i="71"/>
  <c r="V18" i="71"/>
  <c r="N18" i="71"/>
  <c r="O18" i="71" s="1"/>
  <c r="K18" i="71"/>
  <c r="J18" i="71"/>
  <c r="F18" i="71"/>
  <c r="H18" i="71" s="1"/>
  <c r="AG17" i="71"/>
  <c r="AF17" i="71"/>
  <c r="W17" i="71"/>
  <c r="N17" i="71" s="1"/>
  <c r="V17" i="71"/>
  <c r="O17" i="71"/>
  <c r="K17" i="71"/>
  <c r="J17" i="71"/>
  <c r="P17" i="71" s="1"/>
  <c r="H17" i="71"/>
  <c r="F17" i="71"/>
  <c r="W16" i="71"/>
  <c r="O16" i="71"/>
  <c r="N16" i="71"/>
  <c r="K16" i="71"/>
  <c r="J16" i="71"/>
  <c r="H16" i="71"/>
  <c r="F16" i="71"/>
  <c r="AE15" i="71"/>
  <c r="AD15" i="71"/>
  <c r="AA15" i="71"/>
  <c r="D19" i="18" s="1"/>
  <c r="Z15" i="71"/>
  <c r="M15" i="71"/>
  <c r="K15" i="71"/>
  <c r="W14" i="71"/>
  <c r="W13" i="71"/>
  <c r="W12" i="71"/>
  <c r="AG11" i="71"/>
  <c r="AF11" i="71"/>
  <c r="W11" i="71"/>
  <c r="AG10" i="71"/>
  <c r="AF10" i="71"/>
  <c r="W10" i="71"/>
  <c r="AG9" i="71"/>
  <c r="AF9" i="71"/>
  <c r="W9" i="71"/>
  <c r="W8" i="71"/>
  <c r="N8" i="71" s="1"/>
  <c r="V8" i="71"/>
  <c r="O8" i="71"/>
  <c r="K8" i="71"/>
  <c r="J8" i="71"/>
  <c r="P8" i="71" s="1"/>
  <c r="F8" i="71"/>
  <c r="H8" i="71" s="1"/>
  <c r="W7" i="71"/>
  <c r="N7" i="71" s="1"/>
  <c r="O7" i="71" s="1"/>
  <c r="V7" i="71"/>
  <c r="K7" i="71"/>
  <c r="J7" i="71"/>
  <c r="F7" i="71"/>
  <c r="H7" i="71" s="1"/>
  <c r="W6" i="71"/>
  <c r="N6" i="71" s="1"/>
  <c r="V6" i="71"/>
  <c r="L6" i="71"/>
  <c r="K6" i="71"/>
  <c r="J6" i="71"/>
  <c r="P6" i="71" s="1"/>
  <c r="F6" i="71"/>
  <c r="H6" i="71" s="1"/>
  <c r="W5" i="71"/>
  <c r="N5" i="71"/>
  <c r="AG5" i="71" s="1"/>
  <c r="K5" i="71"/>
  <c r="J5" i="71"/>
  <c r="H5" i="71"/>
  <c r="F5" i="71"/>
  <c r="I2" i="71"/>
  <c r="E1" i="71"/>
  <c r="G3" i="18" s="1"/>
  <c r="G22" i="18"/>
  <c r="F22" i="18"/>
  <c r="D22" i="18"/>
  <c r="J21" i="18"/>
  <c r="I21" i="18"/>
  <c r="H21" i="18"/>
  <c r="G21" i="18"/>
  <c r="F21" i="18"/>
  <c r="I20" i="18"/>
  <c r="F20" i="18"/>
  <c r="E20" i="18"/>
  <c r="N6" i="18" s="1"/>
  <c r="D20" i="18"/>
  <c r="J19" i="18"/>
  <c r="I19" i="18"/>
  <c r="H19" i="18"/>
  <c r="H18" i="18"/>
  <c r="G18" i="18"/>
  <c r="D18" i="18"/>
  <c r="L6" i="18" s="1"/>
  <c r="J16" i="18"/>
  <c r="I16" i="18"/>
  <c r="H16" i="18"/>
  <c r="G16" i="18"/>
  <c r="F16" i="18"/>
  <c r="E16" i="18"/>
  <c r="D16" i="18"/>
  <c r="O8" i="18"/>
  <c r="N8" i="18"/>
  <c r="M8" i="18"/>
  <c r="L8" i="18"/>
  <c r="O7" i="18"/>
  <c r="N7" i="18"/>
  <c r="M7" i="18"/>
  <c r="L7" i="18"/>
  <c r="AE79" i="69"/>
  <c r="J21" i="16" s="1"/>
  <c r="AD79" i="69"/>
  <c r="AA79" i="69"/>
  <c r="Z79" i="69"/>
  <c r="J18" i="16" s="1"/>
  <c r="R79" i="69"/>
  <c r="S70" i="69" s="1"/>
  <c r="J15" i="16" s="1"/>
  <c r="P79" i="69"/>
  <c r="O79" i="69"/>
  <c r="J14" i="16" s="1"/>
  <c r="N79" i="69"/>
  <c r="M79" i="69"/>
  <c r="J79" i="69"/>
  <c r="W78" i="69"/>
  <c r="H78" i="69"/>
  <c r="W77" i="69"/>
  <c r="H77" i="69"/>
  <c r="W76" i="69"/>
  <c r="H76" i="69"/>
  <c r="W75" i="69"/>
  <c r="H75" i="69"/>
  <c r="W74" i="69"/>
  <c r="W73" i="69"/>
  <c r="W72" i="69"/>
  <c r="W71" i="69"/>
  <c r="AG70" i="69"/>
  <c r="W70" i="69"/>
  <c r="N70" i="69" s="1"/>
  <c r="O70" i="69" s="1"/>
  <c r="R70" i="69"/>
  <c r="Q70" i="69"/>
  <c r="P70" i="69"/>
  <c r="L70" i="69"/>
  <c r="L79" i="69" s="1"/>
  <c r="K70" i="69"/>
  <c r="K79" i="69" s="1"/>
  <c r="J70" i="69"/>
  <c r="F70" i="69"/>
  <c r="H70" i="69" s="1"/>
  <c r="AE69" i="69"/>
  <c r="AD69" i="69"/>
  <c r="I20" i="16" s="1"/>
  <c r="AA69" i="69"/>
  <c r="I19" i="16" s="1"/>
  <c r="Z69" i="69"/>
  <c r="N69" i="69"/>
  <c r="M69" i="69"/>
  <c r="W68" i="69"/>
  <c r="H68" i="69"/>
  <c r="W67" i="69"/>
  <c r="W66" i="69"/>
  <c r="W65" i="69"/>
  <c r="W64" i="69"/>
  <c r="W63" i="69"/>
  <c r="AG62" i="69"/>
  <c r="W62" i="69"/>
  <c r="N62" i="69" s="1"/>
  <c r="O62" i="69" s="1"/>
  <c r="V62" i="69"/>
  <c r="P62" i="69"/>
  <c r="K62" i="69"/>
  <c r="L62" i="69" s="1"/>
  <c r="R62" i="69" s="1"/>
  <c r="J62" i="69"/>
  <c r="F62" i="69"/>
  <c r="H62" i="69" s="1"/>
  <c r="AG61" i="69"/>
  <c r="W61" i="69"/>
  <c r="V61" i="69"/>
  <c r="N61" i="69"/>
  <c r="AF61" i="69" s="1"/>
  <c r="K61" i="69"/>
  <c r="L61" i="69" s="1"/>
  <c r="J61" i="69"/>
  <c r="P61" i="69" s="1"/>
  <c r="F61" i="69"/>
  <c r="H61" i="69" s="1"/>
  <c r="W60" i="69"/>
  <c r="V60" i="69"/>
  <c r="N60" i="69"/>
  <c r="O60" i="69" s="1"/>
  <c r="K60" i="69"/>
  <c r="J60" i="69"/>
  <c r="P60" i="69" s="1"/>
  <c r="H60" i="69"/>
  <c r="F60" i="69"/>
  <c r="W59" i="69"/>
  <c r="N59" i="69" s="1"/>
  <c r="O59" i="69" s="1"/>
  <c r="K59" i="69"/>
  <c r="J59" i="69"/>
  <c r="P59" i="69" s="1"/>
  <c r="F59" i="69"/>
  <c r="H59" i="69" s="1"/>
  <c r="AE58" i="69"/>
  <c r="AD58" i="69"/>
  <c r="AA58" i="69"/>
  <c r="Z58" i="69"/>
  <c r="H18" i="16" s="1"/>
  <c r="M58" i="69"/>
  <c r="K58" i="69"/>
  <c r="W57" i="69"/>
  <c r="W56" i="69"/>
  <c r="W55" i="69"/>
  <c r="W54" i="69"/>
  <c r="AG53" i="69"/>
  <c r="AF53" i="69"/>
  <c r="W53" i="69"/>
  <c r="W52" i="69"/>
  <c r="V52" i="69"/>
  <c r="P52" i="69"/>
  <c r="N52" i="69"/>
  <c r="L52" i="69"/>
  <c r="K52" i="69"/>
  <c r="J52" i="69"/>
  <c r="F52" i="69"/>
  <c r="H52" i="69" s="1"/>
  <c r="W51" i="69"/>
  <c r="V51" i="69"/>
  <c r="P51" i="69"/>
  <c r="N51" i="69"/>
  <c r="AF51" i="69" s="1"/>
  <c r="L51" i="69"/>
  <c r="K51" i="69"/>
  <c r="J51" i="69"/>
  <c r="H51" i="69"/>
  <c r="F51" i="69"/>
  <c r="W50" i="69"/>
  <c r="N50" i="69" s="1"/>
  <c r="V50" i="69"/>
  <c r="P50" i="69"/>
  <c r="O50" i="69"/>
  <c r="K50" i="69"/>
  <c r="J50" i="69"/>
  <c r="F50" i="69"/>
  <c r="H50" i="69" s="1"/>
  <c r="W49" i="69"/>
  <c r="N49" i="69" s="1"/>
  <c r="K49" i="69"/>
  <c r="L49" i="69" s="1"/>
  <c r="J49" i="69"/>
  <c r="F49" i="69"/>
  <c r="H49" i="69" s="1"/>
  <c r="AE48" i="69"/>
  <c r="G21" i="16" s="1"/>
  <c r="AD48" i="69"/>
  <c r="AA48" i="69"/>
  <c r="Z48" i="69"/>
  <c r="G18" i="16" s="1"/>
  <c r="W48" i="69"/>
  <c r="M48" i="69"/>
  <c r="W47" i="69"/>
  <c r="H47" i="69"/>
  <c r="W46" i="69"/>
  <c r="W45" i="69"/>
  <c r="W44" i="69"/>
  <c r="W43" i="69"/>
  <c r="W42" i="69"/>
  <c r="W41" i="69"/>
  <c r="N41" i="69" s="1"/>
  <c r="V41" i="69"/>
  <c r="O41" i="69"/>
  <c r="K41" i="69"/>
  <c r="J41" i="69"/>
  <c r="P41" i="69" s="1"/>
  <c r="F41" i="69"/>
  <c r="H41" i="69" s="1"/>
  <c r="AG40" i="69"/>
  <c r="W40" i="69"/>
  <c r="V40" i="69"/>
  <c r="N40" i="69"/>
  <c r="K40" i="69"/>
  <c r="L40" i="69" s="1"/>
  <c r="J40" i="69"/>
  <c r="P40" i="69" s="1"/>
  <c r="F40" i="69"/>
  <c r="H40" i="69" s="1"/>
  <c r="W39" i="69"/>
  <c r="V39" i="69"/>
  <c r="P39" i="69"/>
  <c r="N39" i="69"/>
  <c r="K39" i="69"/>
  <c r="K48" i="69" s="1"/>
  <c r="J39" i="69"/>
  <c r="F39" i="69"/>
  <c r="H39" i="69" s="1"/>
  <c r="W38" i="69"/>
  <c r="N38" i="69"/>
  <c r="K38" i="69"/>
  <c r="J38" i="69"/>
  <c r="H38" i="69"/>
  <c r="F38" i="69"/>
  <c r="AE37" i="69"/>
  <c r="AD37" i="69"/>
  <c r="F20" i="16" s="1"/>
  <c r="AA37" i="69"/>
  <c r="F19" i="16" s="1"/>
  <c r="Z37" i="69"/>
  <c r="M37" i="69"/>
  <c r="K37" i="69"/>
  <c r="W36" i="69"/>
  <c r="H36" i="69"/>
  <c r="W35" i="69"/>
  <c r="W34" i="69"/>
  <c r="W33" i="69"/>
  <c r="W32" i="69"/>
  <c r="AG31" i="69"/>
  <c r="AF31" i="69"/>
  <c r="W31" i="69"/>
  <c r="V31" i="69"/>
  <c r="R31" i="69"/>
  <c r="Q31" i="69"/>
  <c r="P31" i="69"/>
  <c r="N31" i="69"/>
  <c r="O31" i="69" s="1"/>
  <c r="L31" i="69"/>
  <c r="K31" i="69"/>
  <c r="J31" i="69"/>
  <c r="H31" i="69"/>
  <c r="F31" i="69"/>
  <c r="W30" i="69"/>
  <c r="N30" i="69" s="1"/>
  <c r="N37" i="69" s="1"/>
  <c r="V30" i="69"/>
  <c r="P30" i="69"/>
  <c r="K30" i="69"/>
  <c r="L30" i="69" s="1"/>
  <c r="J30" i="69"/>
  <c r="F30" i="69"/>
  <c r="H30" i="69" s="1"/>
  <c r="W29" i="69"/>
  <c r="N29" i="69" s="1"/>
  <c r="O29" i="69" s="1"/>
  <c r="V29" i="69"/>
  <c r="K29" i="69"/>
  <c r="J29" i="69"/>
  <c r="J37" i="69" s="1"/>
  <c r="P37" i="69" s="1"/>
  <c r="F29" i="69"/>
  <c r="H29" i="69" s="1"/>
  <c r="AG28" i="69"/>
  <c r="AF28" i="69"/>
  <c r="W28" i="69"/>
  <c r="N28" i="69" s="1"/>
  <c r="V28" i="69"/>
  <c r="P28" i="69"/>
  <c r="O28" i="69"/>
  <c r="K28" i="69"/>
  <c r="L28" i="69" s="1"/>
  <c r="J28" i="69"/>
  <c r="H28" i="69"/>
  <c r="F28" i="69"/>
  <c r="AG27" i="69"/>
  <c r="W27" i="69"/>
  <c r="R27" i="69"/>
  <c r="O27" i="69"/>
  <c r="N27" i="69"/>
  <c r="K27" i="69"/>
  <c r="L27" i="69" s="1"/>
  <c r="J27" i="69"/>
  <c r="P27" i="69" s="1"/>
  <c r="H27" i="69"/>
  <c r="F27" i="69"/>
  <c r="AE26" i="69"/>
  <c r="AD26" i="69"/>
  <c r="AA26" i="69"/>
  <c r="Z26" i="69"/>
  <c r="M26" i="69"/>
  <c r="W25" i="69"/>
  <c r="H25" i="69"/>
  <c r="W24" i="69"/>
  <c r="H24" i="69"/>
  <c r="W23" i="69"/>
  <c r="W21" i="69"/>
  <c r="W20" i="69"/>
  <c r="W19" i="69"/>
  <c r="V19" i="69"/>
  <c r="N19" i="69"/>
  <c r="K19" i="69"/>
  <c r="L19" i="69" s="1"/>
  <c r="J19" i="69"/>
  <c r="J26" i="69" s="1"/>
  <c r="P26" i="69" s="1"/>
  <c r="H19" i="69"/>
  <c r="F19" i="69"/>
  <c r="W18" i="69"/>
  <c r="N18" i="69" s="1"/>
  <c r="V18" i="69"/>
  <c r="P18" i="69"/>
  <c r="L18" i="69"/>
  <c r="K18" i="69"/>
  <c r="J18" i="69"/>
  <c r="F18" i="69"/>
  <c r="H18" i="69" s="1"/>
  <c r="W17" i="69"/>
  <c r="N17" i="69" s="1"/>
  <c r="V17" i="69"/>
  <c r="P17" i="69"/>
  <c r="K17" i="69"/>
  <c r="J17" i="69"/>
  <c r="H17" i="69"/>
  <c r="F17" i="69"/>
  <c r="W16" i="69"/>
  <c r="N16" i="69"/>
  <c r="L16" i="69"/>
  <c r="K16" i="69"/>
  <c r="J16" i="69"/>
  <c r="P16" i="69" s="1"/>
  <c r="F16" i="69"/>
  <c r="H16" i="69" s="1"/>
  <c r="AE15" i="69"/>
  <c r="D21" i="16" s="1"/>
  <c r="AD15" i="69"/>
  <c r="D20" i="16" s="1"/>
  <c r="AA15" i="69"/>
  <c r="Z15" i="69"/>
  <c r="M15" i="69"/>
  <c r="K15" i="69"/>
  <c r="W14" i="69"/>
  <c r="W13" i="69"/>
  <c r="W12" i="69"/>
  <c r="AG11" i="69"/>
  <c r="AF11" i="69"/>
  <c r="W11" i="69"/>
  <c r="AG10" i="69"/>
  <c r="AF10" i="69"/>
  <c r="W10" i="69"/>
  <c r="AG9" i="69"/>
  <c r="AF9" i="69"/>
  <c r="W9" i="69"/>
  <c r="W8" i="69"/>
  <c r="V8" i="69"/>
  <c r="P8" i="69"/>
  <c r="N8" i="69"/>
  <c r="O8" i="69" s="1"/>
  <c r="K8" i="69"/>
  <c r="L8" i="69" s="1"/>
  <c r="J8" i="69"/>
  <c r="H8" i="69"/>
  <c r="F8" i="69"/>
  <c r="W7" i="69"/>
  <c r="N7" i="69" s="1"/>
  <c r="V7" i="69"/>
  <c r="P7" i="69"/>
  <c r="K7" i="69"/>
  <c r="L7" i="69" s="1"/>
  <c r="J7" i="69"/>
  <c r="F7" i="69"/>
  <c r="H7" i="69" s="1"/>
  <c r="W6" i="69"/>
  <c r="N6" i="69" s="1"/>
  <c r="V6" i="69"/>
  <c r="P6" i="69"/>
  <c r="K6" i="69"/>
  <c r="J6" i="69"/>
  <c r="H6" i="69"/>
  <c r="F6" i="69"/>
  <c r="W5" i="69"/>
  <c r="N5" i="69" s="1"/>
  <c r="K5" i="69"/>
  <c r="J5" i="69"/>
  <c r="F5" i="69"/>
  <c r="H5" i="69" s="1"/>
  <c r="I2" i="69"/>
  <c r="E1" i="69"/>
  <c r="J22" i="16"/>
  <c r="I22" i="16"/>
  <c r="H22" i="16"/>
  <c r="G22" i="16"/>
  <c r="F22" i="16"/>
  <c r="E22" i="16"/>
  <c r="I21" i="16"/>
  <c r="H21" i="16"/>
  <c r="F21" i="16"/>
  <c r="J20" i="16"/>
  <c r="H20" i="16"/>
  <c r="G20" i="16"/>
  <c r="E20" i="16"/>
  <c r="J19" i="16"/>
  <c r="H19" i="16"/>
  <c r="G19" i="16"/>
  <c r="D19" i="16"/>
  <c r="I18" i="16"/>
  <c r="F18" i="16"/>
  <c r="D18" i="16"/>
  <c r="J16" i="16"/>
  <c r="I16" i="16"/>
  <c r="H16" i="16"/>
  <c r="G16" i="16"/>
  <c r="F16" i="16"/>
  <c r="E16" i="16"/>
  <c r="D16" i="16"/>
  <c r="J13" i="16"/>
  <c r="O8" i="16"/>
  <c r="N8" i="16"/>
  <c r="M8" i="16"/>
  <c r="L8" i="16"/>
  <c r="O7" i="16"/>
  <c r="N7" i="16"/>
  <c r="M7" i="16"/>
  <c r="L7" i="16"/>
  <c r="G3" i="16"/>
  <c r="AE79" i="15"/>
  <c r="AD79" i="15"/>
  <c r="J20" i="14" s="1"/>
  <c r="AA79" i="15"/>
  <c r="Z79" i="15"/>
  <c r="M79" i="15"/>
  <c r="W78" i="15"/>
  <c r="H78" i="15"/>
  <c r="W77" i="15"/>
  <c r="H77" i="15"/>
  <c r="W76" i="15"/>
  <c r="H76" i="15"/>
  <c r="W75" i="15"/>
  <c r="H75" i="15"/>
  <c r="W74" i="15"/>
  <c r="W73" i="15"/>
  <c r="W72" i="15"/>
  <c r="W71" i="15"/>
  <c r="W70" i="15"/>
  <c r="N70" i="15"/>
  <c r="O70" i="15" s="1"/>
  <c r="O79" i="15" s="1"/>
  <c r="K70" i="15"/>
  <c r="K79" i="15" s="1"/>
  <c r="J70" i="15"/>
  <c r="F70" i="15"/>
  <c r="H70" i="15" s="1"/>
  <c r="AE69" i="15"/>
  <c r="AD69" i="15"/>
  <c r="AA69" i="15"/>
  <c r="Z69" i="15"/>
  <c r="I18" i="14" s="1"/>
  <c r="M69" i="15"/>
  <c r="I22" i="14" s="1"/>
  <c r="W68" i="15"/>
  <c r="H68" i="15"/>
  <c r="W67" i="15"/>
  <c r="W66" i="15"/>
  <c r="W65" i="15"/>
  <c r="W64" i="15"/>
  <c r="W63" i="15"/>
  <c r="W62" i="15"/>
  <c r="N62" i="15" s="1"/>
  <c r="O62" i="15"/>
  <c r="K62" i="15"/>
  <c r="J62" i="15"/>
  <c r="P62" i="15" s="1"/>
  <c r="H62" i="15"/>
  <c r="F62" i="15"/>
  <c r="W61" i="15"/>
  <c r="N61" i="15" s="1"/>
  <c r="V61" i="15"/>
  <c r="P61" i="15"/>
  <c r="K61" i="15"/>
  <c r="J61" i="15"/>
  <c r="F61" i="15"/>
  <c r="H61" i="15" s="1"/>
  <c r="AG60" i="15"/>
  <c r="W60" i="15"/>
  <c r="N60" i="15" s="1"/>
  <c r="V60" i="15"/>
  <c r="K60" i="15"/>
  <c r="J60" i="15"/>
  <c r="P60" i="15" s="1"/>
  <c r="H60" i="15"/>
  <c r="F60" i="15"/>
  <c r="AG59" i="15"/>
  <c r="W59" i="15"/>
  <c r="N59" i="15" s="1"/>
  <c r="L59" i="15"/>
  <c r="K59" i="15"/>
  <c r="J59" i="15"/>
  <c r="F59" i="15"/>
  <c r="H59" i="15" s="1"/>
  <c r="AE58" i="15"/>
  <c r="H21" i="14" s="1"/>
  <c r="AD58" i="15"/>
  <c r="AA58" i="15"/>
  <c r="Z58" i="15"/>
  <c r="M58" i="15"/>
  <c r="K58" i="15"/>
  <c r="J58" i="15"/>
  <c r="W57" i="15"/>
  <c r="W56" i="15"/>
  <c r="W55" i="15"/>
  <c r="W54" i="15"/>
  <c r="AG53" i="15"/>
  <c r="AF53" i="15"/>
  <c r="W53" i="15"/>
  <c r="W52" i="15"/>
  <c r="V52" i="15"/>
  <c r="N52" i="15"/>
  <c r="L52" i="15"/>
  <c r="K52" i="15"/>
  <c r="J52" i="15"/>
  <c r="P52" i="15" s="1"/>
  <c r="F52" i="15"/>
  <c r="H52" i="15" s="1"/>
  <c r="W51" i="15"/>
  <c r="N51" i="15" s="1"/>
  <c r="V51" i="15"/>
  <c r="P51" i="15"/>
  <c r="K51" i="15"/>
  <c r="L51" i="15" s="1"/>
  <c r="J51" i="15"/>
  <c r="F51" i="15"/>
  <c r="H51" i="15" s="1"/>
  <c r="W50" i="15"/>
  <c r="V50" i="15"/>
  <c r="R50" i="15"/>
  <c r="O50" i="15"/>
  <c r="Q50" i="15" s="1"/>
  <c r="N50" i="15"/>
  <c r="L50" i="15"/>
  <c r="K50" i="15"/>
  <c r="J50" i="15"/>
  <c r="P50" i="15" s="1"/>
  <c r="F50" i="15"/>
  <c r="H50" i="15" s="1"/>
  <c r="W49" i="15"/>
  <c r="P49" i="15"/>
  <c r="N49" i="15"/>
  <c r="L49" i="15"/>
  <c r="L58" i="15" s="1"/>
  <c r="H13" i="14" s="1"/>
  <c r="K49" i="15"/>
  <c r="J49" i="15"/>
  <c r="F49" i="15"/>
  <c r="H49" i="15" s="1"/>
  <c r="AE48" i="15"/>
  <c r="AD48" i="15"/>
  <c r="G20" i="14" s="1"/>
  <c r="AA48" i="15"/>
  <c r="G19" i="14" s="1"/>
  <c r="Z48" i="15"/>
  <c r="W48" i="15"/>
  <c r="N48" i="15"/>
  <c r="M48" i="15"/>
  <c r="W47" i="15"/>
  <c r="H47" i="15"/>
  <c r="W46" i="15"/>
  <c r="W45" i="15"/>
  <c r="W44" i="15"/>
  <c r="W43" i="15"/>
  <c r="W42" i="15"/>
  <c r="AG41" i="15"/>
  <c r="AF41" i="15"/>
  <c r="W41" i="15"/>
  <c r="V41" i="15"/>
  <c r="Q41" i="15"/>
  <c r="P41" i="15"/>
  <c r="N41" i="15"/>
  <c r="O41" i="15" s="1"/>
  <c r="L41" i="15"/>
  <c r="K41" i="15"/>
  <c r="J41" i="15"/>
  <c r="F41" i="15"/>
  <c r="H41" i="15" s="1"/>
  <c r="W40" i="15"/>
  <c r="N40" i="15" s="1"/>
  <c r="V40" i="15"/>
  <c r="O40" i="15"/>
  <c r="K40" i="15"/>
  <c r="L40" i="15" s="1"/>
  <c r="J40" i="15"/>
  <c r="P40" i="15" s="1"/>
  <c r="F40" i="15"/>
  <c r="H40" i="15" s="1"/>
  <c r="AG39" i="15"/>
  <c r="AF39" i="15"/>
  <c r="W39" i="15"/>
  <c r="V39" i="15"/>
  <c r="N39" i="15"/>
  <c r="O39" i="15" s="1"/>
  <c r="K39" i="15"/>
  <c r="J39" i="15"/>
  <c r="F39" i="15"/>
  <c r="H39" i="15" s="1"/>
  <c r="W38" i="15"/>
  <c r="N38" i="15"/>
  <c r="O38" i="15" s="1"/>
  <c r="K38" i="15"/>
  <c r="J38" i="15"/>
  <c r="F38" i="15"/>
  <c r="H38" i="15" s="1"/>
  <c r="AE37" i="15"/>
  <c r="AD37" i="15"/>
  <c r="AA37" i="15"/>
  <c r="F19" i="14" s="1"/>
  <c r="Z37" i="15"/>
  <c r="M37" i="15"/>
  <c r="W36" i="15"/>
  <c r="H36" i="15"/>
  <c r="G1" i="15" s="1"/>
  <c r="W35" i="15"/>
  <c r="W34" i="15"/>
  <c r="W33" i="15"/>
  <c r="W32" i="15"/>
  <c r="W31" i="15"/>
  <c r="O31" i="15"/>
  <c r="N31" i="15"/>
  <c r="K31" i="15"/>
  <c r="J31" i="15"/>
  <c r="P31" i="15" s="1"/>
  <c r="F31" i="15"/>
  <c r="H31" i="15" s="1"/>
  <c r="AF30" i="15"/>
  <c r="W30" i="15"/>
  <c r="V30" i="15"/>
  <c r="N30" i="15"/>
  <c r="K30" i="15"/>
  <c r="L30" i="15" s="1"/>
  <c r="J30" i="15"/>
  <c r="P30" i="15" s="1"/>
  <c r="F30" i="15"/>
  <c r="H30" i="15" s="1"/>
  <c r="W29" i="15"/>
  <c r="V29" i="15"/>
  <c r="P29" i="15"/>
  <c r="N29" i="15"/>
  <c r="O29" i="15" s="1"/>
  <c r="L29" i="15"/>
  <c r="K29" i="15"/>
  <c r="J29" i="15"/>
  <c r="H29" i="15"/>
  <c r="F29" i="15"/>
  <c r="W28" i="15"/>
  <c r="V28" i="15"/>
  <c r="P28" i="15"/>
  <c r="N28" i="15"/>
  <c r="O28" i="15" s="1"/>
  <c r="K28" i="15"/>
  <c r="L28" i="15" s="1"/>
  <c r="J28" i="15"/>
  <c r="F28" i="15"/>
  <c r="H28" i="15" s="1"/>
  <c r="W27" i="15"/>
  <c r="N27" i="15" s="1"/>
  <c r="O27" i="15"/>
  <c r="K27" i="15"/>
  <c r="J27" i="15"/>
  <c r="F27" i="15"/>
  <c r="H27" i="15" s="1"/>
  <c r="AE26" i="15"/>
  <c r="E21" i="14" s="1"/>
  <c r="AD26" i="15"/>
  <c r="AA26" i="15"/>
  <c r="E19" i="14" s="1"/>
  <c r="Z26" i="15"/>
  <c r="E18" i="14" s="1"/>
  <c r="M26" i="15"/>
  <c r="E22" i="14" s="1"/>
  <c r="W25" i="15"/>
  <c r="H25" i="15"/>
  <c r="W24" i="15"/>
  <c r="H24" i="15"/>
  <c r="W23" i="15"/>
  <c r="W21" i="15"/>
  <c r="W20" i="15"/>
  <c r="W19" i="15"/>
  <c r="N19" i="15" s="1"/>
  <c r="V19" i="15"/>
  <c r="K19" i="15"/>
  <c r="L19" i="15" s="1"/>
  <c r="J19" i="15"/>
  <c r="P19" i="15" s="1"/>
  <c r="F19" i="15"/>
  <c r="H19" i="15" s="1"/>
  <c r="AG18" i="15"/>
  <c r="AF18" i="15"/>
  <c r="W18" i="15"/>
  <c r="N18" i="15" s="1"/>
  <c r="O18" i="15" s="1"/>
  <c r="V18" i="15"/>
  <c r="K18" i="15"/>
  <c r="J18" i="15"/>
  <c r="F18" i="15"/>
  <c r="H18" i="15" s="1"/>
  <c r="W17" i="15"/>
  <c r="N17" i="15" s="1"/>
  <c r="AF17" i="15" s="1"/>
  <c r="V17" i="15"/>
  <c r="P17" i="15"/>
  <c r="K17" i="15"/>
  <c r="L17" i="15" s="1"/>
  <c r="J17" i="15"/>
  <c r="H17" i="15"/>
  <c r="F17" i="15"/>
  <c r="AG16" i="15"/>
  <c r="W16" i="15"/>
  <c r="P16" i="15"/>
  <c r="O16" i="15"/>
  <c r="N16" i="15"/>
  <c r="K16" i="15"/>
  <c r="L16" i="15" s="1"/>
  <c r="J16" i="15"/>
  <c r="H16" i="15"/>
  <c r="F16" i="15"/>
  <c r="AE15" i="15"/>
  <c r="AD15" i="15"/>
  <c r="AA15" i="15"/>
  <c r="AA2" i="15" s="1"/>
  <c r="Z15" i="15"/>
  <c r="M15" i="15"/>
  <c r="K15" i="15"/>
  <c r="W14" i="15"/>
  <c r="W13" i="15"/>
  <c r="W12" i="15"/>
  <c r="AG11" i="15"/>
  <c r="AF11" i="15"/>
  <c r="W11" i="15"/>
  <c r="AG10" i="15"/>
  <c r="AF10" i="15"/>
  <c r="W10" i="15"/>
  <c r="AG9" i="15"/>
  <c r="AF9" i="15"/>
  <c r="W9" i="15"/>
  <c r="W8" i="15"/>
  <c r="N8" i="15" s="1"/>
  <c r="V8" i="15"/>
  <c r="K8" i="15"/>
  <c r="J8" i="15"/>
  <c r="F8" i="15"/>
  <c r="H8" i="15" s="1"/>
  <c r="W7" i="15"/>
  <c r="N7" i="15" s="1"/>
  <c r="V7" i="15"/>
  <c r="K7" i="15"/>
  <c r="J7" i="15"/>
  <c r="P7" i="15" s="1"/>
  <c r="H7" i="15"/>
  <c r="F7" i="15"/>
  <c r="W6" i="15"/>
  <c r="N6" i="15" s="1"/>
  <c r="V6" i="15"/>
  <c r="P6" i="15"/>
  <c r="L6" i="15"/>
  <c r="K6" i="15"/>
  <c r="J6" i="15"/>
  <c r="F6" i="15"/>
  <c r="H6" i="15" s="1"/>
  <c r="W5" i="15"/>
  <c r="P5" i="15"/>
  <c r="N5" i="15"/>
  <c r="N15" i="15" s="1"/>
  <c r="K5" i="15"/>
  <c r="L5" i="15" s="1"/>
  <c r="J5" i="15"/>
  <c r="H5" i="15"/>
  <c r="F5" i="15"/>
  <c r="I2" i="15"/>
  <c r="I1" i="15"/>
  <c r="E1" i="15"/>
  <c r="G3" i="14" s="1"/>
  <c r="G22" i="14"/>
  <c r="F22" i="14"/>
  <c r="D22" i="14"/>
  <c r="J21" i="14"/>
  <c r="I21" i="14"/>
  <c r="G21" i="14"/>
  <c r="F21" i="14"/>
  <c r="I20" i="14"/>
  <c r="F20" i="14"/>
  <c r="E20" i="14"/>
  <c r="D20" i="14"/>
  <c r="J19" i="14"/>
  <c r="I19" i="14"/>
  <c r="H19" i="14"/>
  <c r="J18" i="14"/>
  <c r="H18" i="14"/>
  <c r="G18" i="14"/>
  <c r="F18" i="14"/>
  <c r="J16" i="14"/>
  <c r="I16" i="14"/>
  <c r="H16" i="14"/>
  <c r="G16" i="14"/>
  <c r="F16" i="14"/>
  <c r="E16" i="14"/>
  <c r="D16" i="14"/>
  <c r="AE79" i="13"/>
  <c r="J21" i="12" s="1"/>
  <c r="AD79" i="13"/>
  <c r="AA79" i="13"/>
  <c r="J19" i="12" s="1"/>
  <c r="Z79" i="13"/>
  <c r="J18" i="12" s="1"/>
  <c r="O79" i="13"/>
  <c r="M79" i="13"/>
  <c r="P79" i="13" s="1"/>
  <c r="J79" i="13"/>
  <c r="W78" i="13"/>
  <c r="H78" i="13"/>
  <c r="W77" i="13"/>
  <c r="H77" i="13"/>
  <c r="W76" i="13"/>
  <c r="H76" i="13"/>
  <c r="W75" i="13"/>
  <c r="H75" i="13"/>
  <c r="W74" i="13"/>
  <c r="W73" i="13"/>
  <c r="W72" i="13"/>
  <c r="W71" i="13"/>
  <c r="N71" i="13" s="1"/>
  <c r="Q71" i="13"/>
  <c r="P71" i="13"/>
  <c r="O71" i="13"/>
  <c r="R71" i="13" s="1"/>
  <c r="L71" i="13"/>
  <c r="F71" i="13"/>
  <c r="H71" i="13" s="1"/>
  <c r="AG70" i="13"/>
  <c r="AF70" i="13"/>
  <c r="W70" i="13"/>
  <c r="N70" i="13" s="1"/>
  <c r="O70" i="13" s="1"/>
  <c r="P70" i="13"/>
  <c r="K70" i="13"/>
  <c r="K79" i="13" s="1"/>
  <c r="J70" i="13"/>
  <c r="F70" i="13"/>
  <c r="H70" i="13" s="1"/>
  <c r="AE69" i="13"/>
  <c r="I21" i="12" s="1"/>
  <c r="AD69" i="13"/>
  <c r="AA69" i="13"/>
  <c r="Z69" i="13"/>
  <c r="M69" i="13"/>
  <c r="J69" i="13"/>
  <c r="W68" i="13"/>
  <c r="H68" i="13"/>
  <c r="W67" i="13"/>
  <c r="W66" i="13"/>
  <c r="W65" i="13"/>
  <c r="W64" i="13"/>
  <c r="W63" i="13"/>
  <c r="W62" i="13"/>
  <c r="N62" i="13" s="1"/>
  <c r="AG62" i="13" s="1"/>
  <c r="P62" i="13"/>
  <c r="O62" i="13"/>
  <c r="K62" i="13"/>
  <c r="J62" i="13"/>
  <c r="F62" i="13"/>
  <c r="H62" i="13" s="1"/>
  <c r="AG61" i="13"/>
  <c r="W61" i="13"/>
  <c r="V61" i="13"/>
  <c r="N61" i="13"/>
  <c r="L61" i="13"/>
  <c r="K61" i="13"/>
  <c r="J61" i="13"/>
  <c r="P61" i="13" s="1"/>
  <c r="F61" i="13"/>
  <c r="H61" i="13" s="1"/>
  <c r="AG60" i="13"/>
  <c r="W60" i="13"/>
  <c r="N60" i="13" s="1"/>
  <c r="AF60" i="13" s="1"/>
  <c r="V60" i="13"/>
  <c r="P60" i="13"/>
  <c r="O60" i="13"/>
  <c r="K60" i="13"/>
  <c r="L60" i="13" s="1"/>
  <c r="J60" i="13"/>
  <c r="F60" i="13"/>
  <c r="H60" i="13" s="1"/>
  <c r="W59" i="13"/>
  <c r="P59" i="13"/>
  <c r="N59" i="13"/>
  <c r="L59" i="13"/>
  <c r="K59" i="13"/>
  <c r="J59" i="13"/>
  <c r="H59" i="13"/>
  <c r="F59" i="13"/>
  <c r="AE58" i="13"/>
  <c r="H21" i="12" s="1"/>
  <c r="AD58" i="13"/>
  <c r="AA58" i="13"/>
  <c r="Z58" i="13"/>
  <c r="H18" i="12" s="1"/>
  <c r="M58" i="13"/>
  <c r="W57" i="13"/>
  <c r="W56" i="13"/>
  <c r="W55" i="13"/>
  <c r="W54" i="13"/>
  <c r="AG53" i="13"/>
  <c r="AF53" i="13"/>
  <c r="W53" i="13"/>
  <c r="AG52" i="13"/>
  <c r="W52" i="13"/>
  <c r="V52" i="13"/>
  <c r="N52" i="13"/>
  <c r="K52" i="13"/>
  <c r="J52" i="13"/>
  <c r="L52" i="13" s="1"/>
  <c r="H52" i="13"/>
  <c r="F52" i="13"/>
  <c r="AF51" i="13"/>
  <c r="W51" i="13"/>
  <c r="V51" i="13"/>
  <c r="P51" i="13"/>
  <c r="N51" i="13"/>
  <c r="K51" i="13"/>
  <c r="K58" i="13" s="1"/>
  <c r="J51" i="13"/>
  <c r="F51" i="13"/>
  <c r="H51" i="13" s="1"/>
  <c r="W50" i="13"/>
  <c r="V50" i="13"/>
  <c r="O50" i="13"/>
  <c r="R50" i="13" s="1"/>
  <c r="N50" i="13"/>
  <c r="K50" i="13"/>
  <c r="L50" i="13" s="1"/>
  <c r="J50" i="13"/>
  <c r="P50" i="13" s="1"/>
  <c r="H50" i="13"/>
  <c r="F50" i="13"/>
  <c r="W49" i="13"/>
  <c r="N49" i="13"/>
  <c r="K49" i="13"/>
  <c r="J49" i="13"/>
  <c r="H49" i="13"/>
  <c r="F49" i="13"/>
  <c r="AE48" i="13"/>
  <c r="G21" i="12" s="1"/>
  <c r="AD48" i="13"/>
  <c r="AA48" i="13"/>
  <c r="Z48" i="13"/>
  <c r="W48" i="13"/>
  <c r="N48" i="13"/>
  <c r="M48" i="13"/>
  <c r="W47" i="13"/>
  <c r="H47" i="13"/>
  <c r="W46" i="13"/>
  <c r="W45" i="13"/>
  <c r="W44" i="13"/>
  <c r="W43" i="13"/>
  <c r="W42" i="13"/>
  <c r="AG41" i="13"/>
  <c r="AF41" i="13"/>
  <c r="W41" i="13"/>
  <c r="W40" i="13"/>
  <c r="V40" i="13"/>
  <c r="N40" i="13"/>
  <c r="K40" i="13"/>
  <c r="L40" i="13" s="1"/>
  <c r="J40" i="13"/>
  <c r="P40" i="13" s="1"/>
  <c r="F40" i="13"/>
  <c r="H40" i="13" s="1"/>
  <c r="W39" i="13"/>
  <c r="V39" i="13"/>
  <c r="P39" i="13"/>
  <c r="O39" i="13"/>
  <c r="N39" i="13"/>
  <c r="K39" i="13"/>
  <c r="L39" i="13" s="1"/>
  <c r="J39" i="13"/>
  <c r="F39" i="13"/>
  <c r="H39" i="13" s="1"/>
  <c r="W38" i="13"/>
  <c r="P38" i="13"/>
  <c r="O38" i="13"/>
  <c r="N38" i="13"/>
  <c r="K38" i="13"/>
  <c r="L38" i="13" s="1"/>
  <c r="J38" i="13"/>
  <c r="H38" i="13"/>
  <c r="F38" i="13"/>
  <c r="AE37" i="13"/>
  <c r="F21" i="12" s="1"/>
  <c r="AD37" i="13"/>
  <c r="AA37" i="13"/>
  <c r="F19" i="12" s="1"/>
  <c r="Z37" i="13"/>
  <c r="F18" i="12" s="1"/>
  <c r="M37" i="13"/>
  <c r="W36" i="13"/>
  <c r="H36" i="13"/>
  <c r="W35" i="13"/>
  <c r="W34" i="13"/>
  <c r="W33" i="13"/>
  <c r="W32" i="13"/>
  <c r="W31" i="13"/>
  <c r="P31" i="13"/>
  <c r="N31" i="13"/>
  <c r="K31" i="13"/>
  <c r="L31" i="13" s="1"/>
  <c r="J31" i="13"/>
  <c r="F31" i="13"/>
  <c r="H31" i="13" s="1"/>
  <c r="W30" i="13"/>
  <c r="V30" i="13"/>
  <c r="N30" i="13"/>
  <c r="K30" i="13"/>
  <c r="J30" i="13"/>
  <c r="P30" i="13" s="1"/>
  <c r="H30" i="13"/>
  <c r="F30" i="13"/>
  <c r="W29" i="13"/>
  <c r="N29" i="13" s="1"/>
  <c r="O29" i="13" s="1"/>
  <c r="V29" i="13"/>
  <c r="P29" i="13"/>
  <c r="L29" i="13"/>
  <c r="K29" i="13"/>
  <c r="J29" i="13"/>
  <c r="F29" i="13"/>
  <c r="H29" i="13" s="1"/>
  <c r="AG28" i="13"/>
  <c r="AF28" i="13"/>
  <c r="W28" i="13"/>
  <c r="N28" i="13" s="1"/>
  <c r="O28" i="13" s="1"/>
  <c r="V28" i="13"/>
  <c r="K28" i="13"/>
  <c r="L28" i="13" s="1"/>
  <c r="J28" i="13"/>
  <c r="P28" i="13" s="1"/>
  <c r="F28" i="13"/>
  <c r="H28" i="13" s="1"/>
  <c r="AG27" i="13"/>
  <c r="AF27" i="13"/>
  <c r="W27" i="13"/>
  <c r="N27" i="13"/>
  <c r="O27" i="13" s="1"/>
  <c r="K27" i="13"/>
  <c r="J27" i="13"/>
  <c r="H27" i="13"/>
  <c r="F27" i="13"/>
  <c r="AE26" i="13"/>
  <c r="E21" i="12" s="1"/>
  <c r="AD26" i="13"/>
  <c r="AD2" i="13" s="1"/>
  <c r="N6" i="12" s="1"/>
  <c r="AA26" i="13"/>
  <c r="Z26" i="13"/>
  <c r="M26" i="13"/>
  <c r="W25" i="13"/>
  <c r="H25" i="13"/>
  <c r="W24" i="13"/>
  <c r="H24" i="13"/>
  <c r="W23" i="13"/>
  <c r="W21" i="13"/>
  <c r="W20" i="13"/>
  <c r="V20" i="13"/>
  <c r="N20" i="13"/>
  <c r="O20" i="13" s="1"/>
  <c r="K20" i="13"/>
  <c r="J20" i="13"/>
  <c r="P20" i="13" s="1"/>
  <c r="H20" i="13"/>
  <c r="F20" i="13"/>
  <c r="W19" i="13"/>
  <c r="V19" i="13"/>
  <c r="N19" i="13"/>
  <c r="O19" i="13" s="1"/>
  <c r="L19" i="13"/>
  <c r="Q19" i="13" s="1"/>
  <c r="K19" i="13"/>
  <c r="J19" i="13"/>
  <c r="P19" i="13" s="1"/>
  <c r="H19" i="13"/>
  <c r="F19" i="13"/>
  <c r="W18" i="13"/>
  <c r="V18" i="13"/>
  <c r="O18" i="13"/>
  <c r="N18" i="13"/>
  <c r="K18" i="13"/>
  <c r="J18" i="13"/>
  <c r="P18" i="13" s="1"/>
  <c r="H18" i="13"/>
  <c r="F18" i="13"/>
  <c r="AF17" i="13"/>
  <c r="W17" i="13"/>
  <c r="V17" i="13"/>
  <c r="P17" i="13"/>
  <c r="N17" i="13"/>
  <c r="K17" i="13"/>
  <c r="L17" i="13" s="1"/>
  <c r="J17" i="13"/>
  <c r="F17" i="13"/>
  <c r="H17" i="13" s="1"/>
  <c r="AF16" i="13"/>
  <c r="W16" i="13"/>
  <c r="N16" i="13" s="1"/>
  <c r="O16" i="13"/>
  <c r="K16" i="13"/>
  <c r="J16" i="13"/>
  <c r="P16" i="13" s="1"/>
  <c r="F16" i="13"/>
  <c r="H16" i="13" s="1"/>
  <c r="AE15" i="13"/>
  <c r="D21" i="12" s="1"/>
  <c r="AD15" i="13"/>
  <c r="D20" i="12" s="1"/>
  <c r="AA15" i="13"/>
  <c r="Z15" i="13"/>
  <c r="M15" i="13"/>
  <c r="P15" i="13" s="1"/>
  <c r="W14" i="13"/>
  <c r="W13" i="13"/>
  <c r="W12" i="13"/>
  <c r="AG11" i="13"/>
  <c r="AF11" i="13"/>
  <c r="W11" i="13"/>
  <c r="AG10" i="13"/>
  <c r="AF10" i="13"/>
  <c r="W10" i="13"/>
  <c r="AG9" i="13"/>
  <c r="AF9" i="13"/>
  <c r="W9" i="13"/>
  <c r="W8" i="13"/>
  <c r="V8" i="13"/>
  <c r="N8" i="13"/>
  <c r="K8" i="13"/>
  <c r="L8" i="13" s="1"/>
  <c r="J8" i="13"/>
  <c r="P8" i="13" s="1"/>
  <c r="H8" i="13"/>
  <c r="F8" i="13"/>
  <c r="W7" i="13"/>
  <c r="V7" i="13"/>
  <c r="N7" i="13"/>
  <c r="K7" i="13"/>
  <c r="J7" i="13"/>
  <c r="P7" i="13" s="1"/>
  <c r="H7" i="13"/>
  <c r="F7" i="13"/>
  <c r="W6" i="13"/>
  <c r="N6" i="13" s="1"/>
  <c r="V6" i="13"/>
  <c r="P6" i="13"/>
  <c r="K6" i="13"/>
  <c r="L6" i="13" s="1"/>
  <c r="J6" i="13"/>
  <c r="F6" i="13"/>
  <c r="H6" i="13" s="1"/>
  <c r="W5" i="13"/>
  <c r="N5" i="13" s="1"/>
  <c r="K5" i="13"/>
  <c r="J5" i="13"/>
  <c r="J15" i="13" s="1"/>
  <c r="F5" i="13"/>
  <c r="H5" i="13" s="1"/>
  <c r="I2" i="13"/>
  <c r="E1" i="13"/>
  <c r="J22" i="12"/>
  <c r="I22" i="12"/>
  <c r="H22" i="12"/>
  <c r="F22" i="12"/>
  <c r="E22" i="12"/>
  <c r="J20" i="12"/>
  <c r="I20" i="12"/>
  <c r="H20" i="12"/>
  <c r="G20" i="12"/>
  <c r="F20" i="12"/>
  <c r="E20" i="12"/>
  <c r="I19" i="12"/>
  <c r="H19" i="12"/>
  <c r="G19" i="12"/>
  <c r="E19" i="12"/>
  <c r="D19" i="12"/>
  <c r="I18" i="12"/>
  <c r="G18" i="12"/>
  <c r="D18" i="12"/>
  <c r="J16" i="12"/>
  <c r="I16" i="12"/>
  <c r="H16" i="12"/>
  <c r="G16" i="12"/>
  <c r="F16" i="12"/>
  <c r="E16" i="12"/>
  <c r="D16" i="12"/>
  <c r="J14" i="12"/>
  <c r="G3" i="12"/>
  <c r="AE79" i="11"/>
  <c r="AD79" i="11"/>
  <c r="AA79" i="11"/>
  <c r="Z79" i="11"/>
  <c r="M79" i="11"/>
  <c r="L79" i="11"/>
  <c r="J13" i="10" s="1"/>
  <c r="K79" i="11"/>
  <c r="W78" i="11"/>
  <c r="H78" i="11"/>
  <c r="W77" i="11"/>
  <c r="H77" i="11"/>
  <c r="W76" i="11"/>
  <c r="H76" i="11"/>
  <c r="W75" i="11"/>
  <c r="H75" i="11"/>
  <c r="W74" i="11"/>
  <c r="W73" i="11"/>
  <c r="W72" i="11"/>
  <c r="W71" i="11"/>
  <c r="W70" i="11"/>
  <c r="P70" i="11"/>
  <c r="N70" i="11"/>
  <c r="L70" i="11"/>
  <c r="K70" i="11"/>
  <c r="J70" i="11"/>
  <c r="J79" i="11" s="1"/>
  <c r="H70" i="11"/>
  <c r="F70" i="11"/>
  <c r="AE69" i="11"/>
  <c r="I21" i="10" s="1"/>
  <c r="AD69" i="11"/>
  <c r="AA69" i="11"/>
  <c r="Z69" i="11"/>
  <c r="M69" i="11"/>
  <c r="W68" i="11"/>
  <c r="H68" i="11"/>
  <c r="W67" i="11"/>
  <c r="W66" i="11"/>
  <c r="W65" i="11"/>
  <c r="W64" i="11"/>
  <c r="W63" i="11"/>
  <c r="V63" i="11"/>
  <c r="P63" i="11"/>
  <c r="O63" i="11"/>
  <c r="N63" i="11"/>
  <c r="K63" i="11"/>
  <c r="L63" i="11" s="1"/>
  <c r="J63" i="11"/>
  <c r="H63" i="11"/>
  <c r="F63" i="11"/>
  <c r="W62" i="11"/>
  <c r="V62" i="11"/>
  <c r="P62" i="11"/>
  <c r="N62" i="11"/>
  <c r="L62" i="11"/>
  <c r="K62" i="11"/>
  <c r="J62" i="11"/>
  <c r="F62" i="11"/>
  <c r="H62" i="11" s="1"/>
  <c r="W61" i="11"/>
  <c r="V61" i="11"/>
  <c r="N61" i="11"/>
  <c r="O61" i="11" s="1"/>
  <c r="K61" i="11"/>
  <c r="J61" i="11"/>
  <c r="P61" i="11" s="1"/>
  <c r="H61" i="11"/>
  <c r="F61" i="11"/>
  <c r="W60" i="11"/>
  <c r="N60" i="11" s="1"/>
  <c r="V60" i="11"/>
  <c r="P60" i="11"/>
  <c r="K60" i="11"/>
  <c r="L60" i="11" s="1"/>
  <c r="J60" i="11"/>
  <c r="H60" i="11"/>
  <c r="F60" i="11"/>
  <c r="W59" i="11"/>
  <c r="N59" i="11" s="1"/>
  <c r="O59" i="11"/>
  <c r="K59" i="11"/>
  <c r="AG59" i="11" s="1"/>
  <c r="J59" i="11"/>
  <c r="H59" i="11"/>
  <c r="F59" i="11"/>
  <c r="AE58" i="11"/>
  <c r="AD58" i="11"/>
  <c r="AA58" i="11"/>
  <c r="Z58" i="11"/>
  <c r="H18" i="10" s="1"/>
  <c r="M58" i="11"/>
  <c r="H22" i="10" s="1"/>
  <c r="W57" i="11"/>
  <c r="W56" i="11"/>
  <c r="W55" i="11"/>
  <c r="W54" i="11"/>
  <c r="AG53" i="11"/>
  <c r="AF53" i="11"/>
  <c r="W53" i="11"/>
  <c r="AG52" i="11"/>
  <c r="AF52" i="11"/>
  <c r="W52" i="11"/>
  <c r="N52" i="11" s="1"/>
  <c r="O52" i="11" s="1"/>
  <c r="V52" i="11"/>
  <c r="K52" i="11"/>
  <c r="J52" i="11"/>
  <c r="F52" i="11"/>
  <c r="H52" i="11" s="1"/>
  <c r="AG51" i="11"/>
  <c r="W51" i="11"/>
  <c r="V51" i="11"/>
  <c r="N51" i="11"/>
  <c r="O51" i="11" s="1"/>
  <c r="K51" i="11"/>
  <c r="J51" i="11"/>
  <c r="P51" i="11" s="1"/>
  <c r="F51" i="11"/>
  <c r="H51" i="11" s="1"/>
  <c r="W50" i="11"/>
  <c r="N50" i="11" s="1"/>
  <c r="V50" i="11"/>
  <c r="L50" i="11"/>
  <c r="K50" i="11"/>
  <c r="J50" i="11"/>
  <c r="P50" i="11" s="1"/>
  <c r="F50" i="11"/>
  <c r="H50" i="11" s="1"/>
  <c r="W49" i="11"/>
  <c r="N49" i="11"/>
  <c r="K49" i="11"/>
  <c r="J49" i="11"/>
  <c r="H49" i="11"/>
  <c r="F49" i="11"/>
  <c r="AE48" i="11"/>
  <c r="AD48" i="11"/>
  <c r="G20" i="10" s="1"/>
  <c r="AA48" i="11"/>
  <c r="Z48" i="11"/>
  <c r="W48" i="11"/>
  <c r="P48" i="11"/>
  <c r="M48" i="11"/>
  <c r="G22" i="10" s="1"/>
  <c r="L48" i="11"/>
  <c r="K48" i="11"/>
  <c r="J48" i="11"/>
  <c r="W47" i="11"/>
  <c r="H47" i="11"/>
  <c r="W46" i="11"/>
  <c r="W45" i="11"/>
  <c r="W44" i="11"/>
  <c r="W43" i="11"/>
  <c r="W42" i="11"/>
  <c r="W41" i="11"/>
  <c r="AF40" i="11"/>
  <c r="W40" i="11"/>
  <c r="N40" i="11" s="1"/>
  <c r="O40" i="11" s="1"/>
  <c r="V40" i="11"/>
  <c r="P40" i="11"/>
  <c r="K40" i="11"/>
  <c r="L40" i="11" s="1"/>
  <c r="J40" i="11"/>
  <c r="H40" i="11"/>
  <c r="F40" i="11"/>
  <c r="W39" i="11"/>
  <c r="N39" i="11" s="1"/>
  <c r="O39" i="11" s="1"/>
  <c r="V39" i="11"/>
  <c r="K39" i="11"/>
  <c r="L39" i="11" s="1"/>
  <c r="J39" i="11"/>
  <c r="P39" i="11" s="1"/>
  <c r="H39" i="11"/>
  <c r="F39" i="11"/>
  <c r="AG38" i="11"/>
  <c r="AF38" i="11"/>
  <c r="W38" i="11"/>
  <c r="P38" i="11"/>
  <c r="N38" i="11"/>
  <c r="K38" i="11"/>
  <c r="L38" i="11" s="1"/>
  <c r="J38" i="11"/>
  <c r="F38" i="11"/>
  <c r="H38" i="11" s="1"/>
  <c r="AE37" i="11"/>
  <c r="F21" i="10" s="1"/>
  <c r="AD37" i="11"/>
  <c r="AA37" i="11"/>
  <c r="F19" i="10" s="1"/>
  <c r="Z37" i="11"/>
  <c r="M37" i="11"/>
  <c r="W36" i="11"/>
  <c r="H36" i="11"/>
  <c r="W35" i="11"/>
  <c r="W34" i="11"/>
  <c r="W33" i="11"/>
  <c r="W32" i="11"/>
  <c r="N32" i="11" s="1"/>
  <c r="O32" i="11" s="1"/>
  <c r="V32" i="11"/>
  <c r="K32" i="11"/>
  <c r="L32" i="11" s="1"/>
  <c r="J32" i="11"/>
  <c r="P32" i="11" s="1"/>
  <c r="F32" i="11"/>
  <c r="H32" i="11" s="1"/>
  <c r="W31" i="11"/>
  <c r="V31" i="11"/>
  <c r="N31" i="11"/>
  <c r="K31" i="11"/>
  <c r="L31" i="11" s="1"/>
  <c r="J31" i="11"/>
  <c r="P31" i="11" s="1"/>
  <c r="H31" i="11"/>
  <c r="F31" i="11"/>
  <c r="W30" i="11"/>
  <c r="V30" i="11"/>
  <c r="N30" i="11"/>
  <c r="O30" i="11" s="1"/>
  <c r="K30" i="11"/>
  <c r="J30" i="11"/>
  <c r="P30" i="11" s="1"/>
  <c r="F30" i="11"/>
  <c r="H30" i="11" s="1"/>
  <c r="W29" i="11"/>
  <c r="N29" i="11" s="1"/>
  <c r="V29" i="11"/>
  <c r="K29" i="11"/>
  <c r="J29" i="11"/>
  <c r="P29" i="11" s="1"/>
  <c r="F29" i="11"/>
  <c r="H29" i="11" s="1"/>
  <c r="AG28" i="11"/>
  <c r="AF28" i="11"/>
  <c r="W28" i="11"/>
  <c r="V28" i="11"/>
  <c r="P28" i="11"/>
  <c r="N28" i="11"/>
  <c r="O28" i="11" s="1"/>
  <c r="R28" i="11" s="1"/>
  <c r="L28" i="11"/>
  <c r="K28" i="11"/>
  <c r="J28" i="11"/>
  <c r="F28" i="11"/>
  <c r="H28" i="11" s="1"/>
  <c r="W27" i="11"/>
  <c r="N27" i="11" s="1"/>
  <c r="P27" i="11"/>
  <c r="K27" i="11"/>
  <c r="J27" i="11"/>
  <c r="L27" i="11" s="1"/>
  <c r="H27" i="11"/>
  <c r="F27" i="11"/>
  <c r="AE26" i="11"/>
  <c r="AD26" i="11"/>
  <c r="AA26" i="11"/>
  <c r="E19" i="10" s="1"/>
  <c r="Z26" i="11"/>
  <c r="M26" i="11"/>
  <c r="E22" i="10" s="1"/>
  <c r="W25" i="11"/>
  <c r="H25" i="11"/>
  <c r="W24" i="11"/>
  <c r="H24" i="11"/>
  <c r="W23" i="11"/>
  <c r="W21" i="11"/>
  <c r="W20" i="11"/>
  <c r="AG19" i="11"/>
  <c r="AF19" i="11"/>
  <c r="W19" i="11"/>
  <c r="N19" i="11" s="1"/>
  <c r="O19" i="11" s="1"/>
  <c r="V19" i="11"/>
  <c r="K19" i="11"/>
  <c r="L19" i="11" s="1"/>
  <c r="J19" i="11"/>
  <c r="P19" i="11" s="1"/>
  <c r="F19" i="11"/>
  <c r="H19" i="11" s="1"/>
  <c r="AG18" i="11"/>
  <c r="AF18" i="11"/>
  <c r="W18" i="11"/>
  <c r="V18" i="11"/>
  <c r="O18" i="11"/>
  <c r="N18" i="11"/>
  <c r="K18" i="11"/>
  <c r="L18" i="11" s="1"/>
  <c r="J18" i="11"/>
  <c r="P18" i="11" s="1"/>
  <c r="F18" i="11"/>
  <c r="H18" i="11" s="1"/>
  <c r="W17" i="11"/>
  <c r="V17" i="11"/>
  <c r="P17" i="11"/>
  <c r="N17" i="11"/>
  <c r="AF17" i="11" s="1"/>
  <c r="K17" i="11"/>
  <c r="J17" i="11"/>
  <c r="L17" i="11" s="1"/>
  <c r="H17" i="11"/>
  <c r="F17" i="11"/>
  <c r="W16" i="11"/>
  <c r="N16" i="11"/>
  <c r="K16" i="11"/>
  <c r="K26" i="11" s="1"/>
  <c r="J16" i="11"/>
  <c r="F16" i="11"/>
  <c r="H16" i="11" s="1"/>
  <c r="AE15" i="11"/>
  <c r="AD15" i="11"/>
  <c r="D20" i="10" s="1"/>
  <c r="AA15" i="11"/>
  <c r="Z15" i="11"/>
  <c r="M15" i="11"/>
  <c r="W14" i="11"/>
  <c r="W13" i="11"/>
  <c r="W12" i="11"/>
  <c r="AG11" i="11"/>
  <c r="AF11" i="11"/>
  <c r="W11" i="11"/>
  <c r="AG10" i="11"/>
  <c r="AF10" i="11"/>
  <c r="W10" i="11"/>
  <c r="AG9" i="11"/>
  <c r="AF9" i="11"/>
  <c r="W9" i="11"/>
  <c r="W8" i="11"/>
  <c r="N8" i="11" s="1"/>
  <c r="O8" i="11"/>
  <c r="K8" i="11"/>
  <c r="J8" i="11"/>
  <c r="P8" i="11" s="1"/>
  <c r="H8" i="11"/>
  <c r="F8" i="11"/>
  <c r="W7" i="11"/>
  <c r="V7" i="11"/>
  <c r="N7" i="11"/>
  <c r="K7" i="11"/>
  <c r="L7" i="11" s="1"/>
  <c r="J7" i="11"/>
  <c r="P7" i="11" s="1"/>
  <c r="F7" i="11"/>
  <c r="H7" i="11" s="1"/>
  <c r="W6" i="11"/>
  <c r="V6" i="11"/>
  <c r="N6" i="11"/>
  <c r="L6" i="11"/>
  <c r="K6" i="11"/>
  <c r="J6" i="11"/>
  <c r="P6" i="11" s="1"/>
  <c r="F6" i="11"/>
  <c r="H6" i="11" s="1"/>
  <c r="W5" i="11"/>
  <c r="P5" i="11"/>
  <c r="N5" i="11"/>
  <c r="O5" i="11" s="1"/>
  <c r="K5" i="11"/>
  <c r="K15" i="11" s="1"/>
  <c r="J5" i="11"/>
  <c r="H5" i="11"/>
  <c r="F5" i="11"/>
  <c r="I2" i="11"/>
  <c r="I1" i="11"/>
  <c r="E1" i="11"/>
  <c r="G3" i="10" s="1"/>
  <c r="J22" i="10"/>
  <c r="D22" i="10"/>
  <c r="J21" i="10"/>
  <c r="H21" i="10"/>
  <c r="G21" i="10"/>
  <c r="E21" i="10"/>
  <c r="J20" i="10"/>
  <c r="I20" i="10"/>
  <c r="H20" i="10"/>
  <c r="E20" i="10"/>
  <c r="J19" i="10"/>
  <c r="I19" i="10"/>
  <c r="H19" i="10"/>
  <c r="G19" i="10"/>
  <c r="J18" i="10"/>
  <c r="I18" i="10"/>
  <c r="G18" i="10"/>
  <c r="E18" i="10"/>
  <c r="D18" i="10"/>
  <c r="J16" i="10"/>
  <c r="I16" i="10"/>
  <c r="H16" i="10"/>
  <c r="G16" i="10"/>
  <c r="F16" i="10"/>
  <c r="E16" i="10"/>
  <c r="D16" i="10"/>
  <c r="G13" i="10"/>
  <c r="AE79" i="9"/>
  <c r="J21" i="8" s="1"/>
  <c r="AD79" i="9"/>
  <c r="J20" i="8" s="1"/>
  <c r="AA79" i="9"/>
  <c r="J19" i="8" s="1"/>
  <c r="Z79" i="9"/>
  <c r="M79" i="9"/>
  <c r="K79" i="9"/>
  <c r="J79" i="9"/>
  <c r="W78" i="9"/>
  <c r="H78" i="9"/>
  <c r="W77" i="9"/>
  <c r="H77" i="9"/>
  <c r="W76" i="9"/>
  <c r="H76" i="9"/>
  <c r="W75" i="9"/>
  <c r="H75" i="9"/>
  <c r="W74" i="9"/>
  <c r="W73" i="9"/>
  <c r="W72" i="9"/>
  <c r="W71" i="9"/>
  <c r="AG70" i="9"/>
  <c r="AF70" i="9"/>
  <c r="W70" i="9"/>
  <c r="N70" i="9" s="1"/>
  <c r="L70" i="9"/>
  <c r="L79" i="9" s="1"/>
  <c r="K70" i="9"/>
  <c r="J70" i="9"/>
  <c r="P70" i="9" s="1"/>
  <c r="F70" i="9"/>
  <c r="H70" i="9" s="1"/>
  <c r="AE69" i="9"/>
  <c r="AD69" i="9"/>
  <c r="I20" i="8" s="1"/>
  <c r="AA69" i="9"/>
  <c r="I19" i="8" s="1"/>
  <c r="Z69" i="9"/>
  <c r="N69" i="9"/>
  <c r="M69" i="9"/>
  <c r="W68" i="9"/>
  <c r="H68" i="9"/>
  <c r="W67" i="9"/>
  <c r="W66" i="9"/>
  <c r="W65" i="9"/>
  <c r="W64" i="9"/>
  <c r="W63" i="9"/>
  <c r="AG62" i="9"/>
  <c r="AF62" i="9"/>
  <c r="W62" i="9"/>
  <c r="W61" i="9"/>
  <c r="N61" i="9" s="1"/>
  <c r="V61" i="9"/>
  <c r="K61" i="9"/>
  <c r="J61" i="9"/>
  <c r="P61" i="9" s="1"/>
  <c r="F61" i="9"/>
  <c r="H61" i="9" s="1"/>
  <c r="W60" i="9"/>
  <c r="N60" i="9" s="1"/>
  <c r="O60" i="9" s="1"/>
  <c r="V60" i="9"/>
  <c r="P60" i="9"/>
  <c r="L60" i="9"/>
  <c r="K60" i="9"/>
  <c r="J60" i="9"/>
  <c r="F60" i="9"/>
  <c r="H60" i="9" s="1"/>
  <c r="AG59" i="9"/>
  <c r="AF59" i="9"/>
  <c r="W59" i="9"/>
  <c r="N59" i="9" s="1"/>
  <c r="O59" i="9" s="1"/>
  <c r="K59" i="9"/>
  <c r="J59" i="9"/>
  <c r="F59" i="9"/>
  <c r="H59" i="9" s="1"/>
  <c r="AE58" i="9"/>
  <c r="H21" i="8" s="1"/>
  <c r="AD58" i="9"/>
  <c r="H20" i="8" s="1"/>
  <c r="AA58" i="9"/>
  <c r="Z58" i="9"/>
  <c r="M58" i="9"/>
  <c r="H22" i="8" s="1"/>
  <c r="J58" i="9"/>
  <c r="W57" i="9"/>
  <c r="W56" i="9"/>
  <c r="W55" i="9"/>
  <c r="W54" i="9"/>
  <c r="AF53" i="9"/>
  <c r="W53" i="9"/>
  <c r="P53" i="9"/>
  <c r="O53" i="9"/>
  <c r="R53" i="9" s="1"/>
  <c r="N53" i="9"/>
  <c r="K53" i="9"/>
  <c r="L53" i="9" s="1"/>
  <c r="J53" i="9"/>
  <c r="F53" i="9"/>
  <c r="H53" i="9" s="1"/>
  <c r="AF52" i="9"/>
  <c r="W52" i="9"/>
  <c r="V52" i="9"/>
  <c r="P52" i="9"/>
  <c r="O52" i="9"/>
  <c r="R52" i="9" s="1"/>
  <c r="N52" i="9"/>
  <c r="AG52" i="9" s="1"/>
  <c r="K52" i="9"/>
  <c r="L52" i="9" s="1"/>
  <c r="J52" i="9"/>
  <c r="F52" i="9"/>
  <c r="H52" i="9" s="1"/>
  <c r="W51" i="9"/>
  <c r="N51" i="9" s="1"/>
  <c r="V51" i="9"/>
  <c r="P51" i="9"/>
  <c r="K51" i="9"/>
  <c r="L51" i="9" s="1"/>
  <c r="L58" i="9" s="1"/>
  <c r="H13" i="8" s="1"/>
  <c r="J51" i="9"/>
  <c r="F51" i="9"/>
  <c r="H51" i="9" s="1"/>
  <c r="W50" i="9"/>
  <c r="N50" i="9" s="1"/>
  <c r="V50" i="9"/>
  <c r="L50" i="9"/>
  <c r="K50" i="9"/>
  <c r="J50" i="9"/>
  <c r="P50" i="9" s="1"/>
  <c r="F50" i="9"/>
  <c r="H50" i="9" s="1"/>
  <c r="W49" i="9"/>
  <c r="P49" i="9"/>
  <c r="N49" i="9"/>
  <c r="O49" i="9" s="1"/>
  <c r="K49" i="9"/>
  <c r="L49" i="9" s="1"/>
  <c r="J49" i="9"/>
  <c r="H49" i="9"/>
  <c r="F49" i="9"/>
  <c r="AE48" i="9"/>
  <c r="G21" i="8" s="1"/>
  <c r="AD48" i="9"/>
  <c r="AA48" i="9"/>
  <c r="G19" i="8" s="1"/>
  <c r="Z48" i="9"/>
  <c r="G18" i="8" s="1"/>
  <c r="W48" i="9"/>
  <c r="M48" i="9"/>
  <c r="W47" i="9"/>
  <c r="H47" i="9"/>
  <c r="W46" i="9"/>
  <c r="W45" i="9"/>
  <c r="W44" i="9"/>
  <c r="W43" i="9"/>
  <c r="W42" i="9"/>
  <c r="AG41" i="9"/>
  <c r="AF41" i="9"/>
  <c r="W41" i="9"/>
  <c r="AF40" i="9"/>
  <c r="W40" i="9"/>
  <c r="N40" i="9" s="1"/>
  <c r="AG40" i="9" s="1"/>
  <c r="V40" i="9"/>
  <c r="P40" i="9"/>
  <c r="O40" i="9"/>
  <c r="R40" i="9" s="1"/>
  <c r="L40" i="9"/>
  <c r="K40" i="9"/>
  <c r="J40" i="9"/>
  <c r="F40" i="9"/>
  <c r="H40" i="9" s="1"/>
  <c r="AG39" i="9"/>
  <c r="AF39" i="9"/>
  <c r="W39" i="9"/>
  <c r="N39" i="9" s="1"/>
  <c r="O39" i="9" s="1"/>
  <c r="V39" i="9"/>
  <c r="K39" i="9"/>
  <c r="J39" i="9"/>
  <c r="P39" i="9" s="1"/>
  <c r="F39" i="9"/>
  <c r="H39" i="9" s="1"/>
  <c r="AG38" i="9"/>
  <c r="AF38" i="9"/>
  <c r="W38" i="9"/>
  <c r="N38" i="9" s="1"/>
  <c r="K38" i="9"/>
  <c r="J38" i="9"/>
  <c r="P38" i="9" s="1"/>
  <c r="H38" i="9"/>
  <c r="F38" i="9"/>
  <c r="AE37" i="9"/>
  <c r="F21" i="8" s="1"/>
  <c r="AD37" i="9"/>
  <c r="AA37" i="9"/>
  <c r="Z37" i="9"/>
  <c r="M37" i="9"/>
  <c r="W36" i="9"/>
  <c r="H36" i="9"/>
  <c r="W35" i="9"/>
  <c r="W34" i="9"/>
  <c r="W33" i="9"/>
  <c r="W32" i="9"/>
  <c r="AG31" i="9"/>
  <c r="AF31" i="9"/>
  <c r="W31" i="9"/>
  <c r="AG30" i="9"/>
  <c r="AF30" i="9"/>
  <c r="W30" i="9"/>
  <c r="N30" i="9" s="1"/>
  <c r="O30" i="9" s="1"/>
  <c r="V30" i="9"/>
  <c r="K30" i="9"/>
  <c r="J30" i="9"/>
  <c r="P30" i="9" s="1"/>
  <c r="F30" i="9"/>
  <c r="H30" i="9" s="1"/>
  <c r="W29" i="9"/>
  <c r="V29" i="9"/>
  <c r="N29" i="9"/>
  <c r="K29" i="9"/>
  <c r="J29" i="9"/>
  <c r="P29" i="9" s="1"/>
  <c r="H29" i="9"/>
  <c r="F29" i="9"/>
  <c r="W28" i="9"/>
  <c r="N28" i="9" s="1"/>
  <c r="V28" i="9"/>
  <c r="P28" i="9"/>
  <c r="K28" i="9"/>
  <c r="L28" i="9" s="1"/>
  <c r="J28" i="9"/>
  <c r="F28" i="9"/>
  <c r="H28" i="9" s="1"/>
  <c r="AG27" i="9"/>
  <c r="AF27" i="9"/>
  <c r="W27" i="9"/>
  <c r="N27" i="9" s="1"/>
  <c r="Q27" i="9"/>
  <c r="O27" i="9"/>
  <c r="K27" i="9"/>
  <c r="L27" i="9" s="1"/>
  <c r="J27" i="9"/>
  <c r="P27" i="9" s="1"/>
  <c r="F27" i="9"/>
  <c r="H27" i="9" s="1"/>
  <c r="AE26" i="9"/>
  <c r="AD26" i="9"/>
  <c r="AA26" i="9"/>
  <c r="E19" i="8" s="1"/>
  <c r="Z26" i="9"/>
  <c r="M26" i="9"/>
  <c r="K26" i="9"/>
  <c r="W25" i="9"/>
  <c r="H25" i="9"/>
  <c r="W24" i="9"/>
  <c r="H24" i="9"/>
  <c r="W23" i="9"/>
  <c r="W21" i="9"/>
  <c r="W20" i="9"/>
  <c r="AG19" i="9"/>
  <c r="AF19" i="9"/>
  <c r="W19" i="9"/>
  <c r="N19" i="9" s="1"/>
  <c r="O19" i="9" s="1"/>
  <c r="V19" i="9"/>
  <c r="K19" i="9"/>
  <c r="J19" i="9"/>
  <c r="P19" i="9" s="1"/>
  <c r="F19" i="9"/>
  <c r="H19" i="9" s="1"/>
  <c r="W18" i="9"/>
  <c r="N18" i="9" s="1"/>
  <c r="O18" i="9" s="1"/>
  <c r="V18" i="9"/>
  <c r="K18" i="9"/>
  <c r="J18" i="9"/>
  <c r="P18" i="9" s="1"/>
  <c r="F18" i="9"/>
  <c r="H18" i="9" s="1"/>
  <c r="W17" i="9"/>
  <c r="N17" i="9" s="1"/>
  <c r="O17" i="9" s="1"/>
  <c r="V17" i="9"/>
  <c r="P17" i="9"/>
  <c r="K17" i="9"/>
  <c r="L17" i="9" s="1"/>
  <c r="J17" i="9"/>
  <c r="F17" i="9"/>
  <c r="H17" i="9" s="1"/>
  <c r="AG16" i="9"/>
  <c r="W16" i="9"/>
  <c r="N16" i="9"/>
  <c r="AF16" i="9" s="1"/>
  <c r="K16" i="9"/>
  <c r="J16" i="9"/>
  <c r="H16" i="9"/>
  <c r="F16" i="9"/>
  <c r="AE15" i="9"/>
  <c r="D21" i="8" s="1"/>
  <c r="AD15" i="9"/>
  <c r="AA15" i="9"/>
  <c r="D19" i="8" s="1"/>
  <c r="Z15" i="9"/>
  <c r="M15" i="9"/>
  <c r="W14" i="9"/>
  <c r="W13" i="9"/>
  <c r="W12" i="9"/>
  <c r="AG11" i="9"/>
  <c r="AF11" i="9"/>
  <c r="W11" i="9"/>
  <c r="AG10" i="9"/>
  <c r="AF10" i="9"/>
  <c r="W10" i="9"/>
  <c r="AG9" i="9"/>
  <c r="AF9" i="9"/>
  <c r="W9" i="9"/>
  <c r="W8" i="9"/>
  <c r="N8" i="9" s="1"/>
  <c r="AG8" i="9" s="1"/>
  <c r="O8" i="9"/>
  <c r="K8" i="9"/>
  <c r="J8" i="9"/>
  <c r="P8" i="9" s="1"/>
  <c r="F8" i="9"/>
  <c r="H8" i="9" s="1"/>
  <c r="W7" i="9"/>
  <c r="N7" i="9" s="1"/>
  <c r="O7" i="9" s="1"/>
  <c r="V7" i="9"/>
  <c r="K7" i="9"/>
  <c r="J7" i="9"/>
  <c r="P7" i="9" s="1"/>
  <c r="H7" i="9"/>
  <c r="F7" i="9"/>
  <c r="W6" i="9"/>
  <c r="V6" i="9"/>
  <c r="N6" i="9"/>
  <c r="K6" i="9"/>
  <c r="J6" i="9"/>
  <c r="P6" i="9" s="1"/>
  <c r="H6" i="9"/>
  <c r="F6" i="9"/>
  <c r="W5" i="9"/>
  <c r="N5" i="9"/>
  <c r="K5" i="9"/>
  <c r="K15" i="9" s="1"/>
  <c r="J5" i="9"/>
  <c r="P5" i="9" s="1"/>
  <c r="H5" i="9"/>
  <c r="F5" i="9"/>
  <c r="I2" i="9"/>
  <c r="E1" i="9"/>
  <c r="G3" i="8" s="1"/>
  <c r="J22" i="8"/>
  <c r="I22" i="8"/>
  <c r="G22" i="8"/>
  <c r="F22" i="8"/>
  <c r="E22" i="8"/>
  <c r="D22" i="8"/>
  <c r="I21" i="8"/>
  <c r="E21" i="8"/>
  <c r="G20" i="8"/>
  <c r="F20" i="8"/>
  <c r="E20" i="8"/>
  <c r="H19" i="8"/>
  <c r="F19" i="8"/>
  <c r="J18" i="8"/>
  <c r="I18" i="8"/>
  <c r="H18" i="8"/>
  <c r="F18" i="8"/>
  <c r="D18" i="8"/>
  <c r="J16" i="8"/>
  <c r="I16" i="8"/>
  <c r="H16" i="8"/>
  <c r="G16" i="8"/>
  <c r="F16" i="8"/>
  <c r="E16" i="8"/>
  <c r="D16" i="8"/>
  <c r="J13" i="8"/>
  <c r="AE79" i="7"/>
  <c r="J21" i="6" s="1"/>
  <c r="AD79" i="7"/>
  <c r="J20" i="6" s="1"/>
  <c r="AA79" i="7"/>
  <c r="J19" i="6" s="1"/>
  <c r="Z79" i="7"/>
  <c r="M79" i="7"/>
  <c r="P79" i="7" s="1"/>
  <c r="K79" i="7"/>
  <c r="J79" i="7"/>
  <c r="W78" i="7"/>
  <c r="H78" i="7"/>
  <c r="W77" i="7"/>
  <c r="H77" i="7"/>
  <c r="W76" i="7"/>
  <c r="H76" i="7"/>
  <c r="W75" i="7"/>
  <c r="H75" i="7"/>
  <c r="W74" i="7"/>
  <c r="W73" i="7"/>
  <c r="W72" i="7"/>
  <c r="W71" i="7"/>
  <c r="W70" i="7"/>
  <c r="N70" i="7" s="1"/>
  <c r="P70" i="7"/>
  <c r="L70" i="7"/>
  <c r="L79" i="7" s="1"/>
  <c r="J13" i="6" s="1"/>
  <c r="K70" i="7"/>
  <c r="J70" i="7"/>
  <c r="F70" i="7"/>
  <c r="H70" i="7" s="1"/>
  <c r="AE69" i="7"/>
  <c r="AD69" i="7"/>
  <c r="AA69" i="7"/>
  <c r="I19" i="6" s="1"/>
  <c r="Z69" i="7"/>
  <c r="I18" i="6" s="1"/>
  <c r="M69" i="7"/>
  <c r="W68" i="7"/>
  <c r="H68" i="7"/>
  <c r="W67" i="7"/>
  <c r="H67" i="7"/>
  <c r="W66" i="7"/>
  <c r="H66" i="7"/>
  <c r="W65" i="7"/>
  <c r="H65" i="7"/>
  <c r="W64" i="7"/>
  <c r="H64" i="7"/>
  <c r="W63" i="7"/>
  <c r="H63" i="7"/>
  <c r="W62" i="7"/>
  <c r="N62" i="7" s="1"/>
  <c r="AG62" i="7" s="1"/>
  <c r="O62" i="7"/>
  <c r="K62" i="7"/>
  <c r="J62" i="7"/>
  <c r="P62" i="7" s="1"/>
  <c r="F62" i="7"/>
  <c r="H62" i="7" s="1"/>
  <c r="W61" i="7"/>
  <c r="N61" i="7" s="1"/>
  <c r="O61" i="7" s="1"/>
  <c r="V61" i="7"/>
  <c r="R61" i="7"/>
  <c r="Q61" i="7"/>
  <c r="P61" i="7"/>
  <c r="L61" i="7"/>
  <c r="K61" i="7"/>
  <c r="J61" i="7"/>
  <c r="H61" i="7"/>
  <c r="F61" i="7"/>
  <c r="W60" i="7"/>
  <c r="N60" i="7" s="1"/>
  <c r="O60" i="7" s="1"/>
  <c r="V60" i="7"/>
  <c r="K60" i="7"/>
  <c r="L60" i="7" s="1"/>
  <c r="R60" i="7" s="1"/>
  <c r="J60" i="7"/>
  <c r="P60" i="7" s="1"/>
  <c r="H60" i="7"/>
  <c r="F60" i="7"/>
  <c r="AG59" i="7"/>
  <c r="AF59" i="7"/>
  <c r="W59" i="7"/>
  <c r="N59" i="7" s="1"/>
  <c r="K59" i="7"/>
  <c r="J59" i="7"/>
  <c r="F59" i="7"/>
  <c r="H59" i="7" s="1"/>
  <c r="AE58" i="7"/>
  <c r="H21" i="6" s="1"/>
  <c r="AD58" i="7"/>
  <c r="AA58" i="7"/>
  <c r="Z58" i="7"/>
  <c r="M58" i="7"/>
  <c r="W57" i="7"/>
  <c r="W56" i="7"/>
  <c r="W55" i="7"/>
  <c r="W54" i="7"/>
  <c r="AG53" i="7"/>
  <c r="AF53" i="7"/>
  <c r="W53" i="7"/>
  <c r="W52" i="7"/>
  <c r="N52" i="7" s="1"/>
  <c r="AF52" i="7" s="1"/>
  <c r="V52" i="7"/>
  <c r="O52" i="7"/>
  <c r="K52" i="7"/>
  <c r="J52" i="7"/>
  <c r="P52" i="7" s="1"/>
  <c r="F52" i="7"/>
  <c r="H52" i="7" s="1"/>
  <c r="W51" i="7"/>
  <c r="N51" i="7" s="1"/>
  <c r="O51" i="7" s="1"/>
  <c r="V51" i="7"/>
  <c r="P51" i="7"/>
  <c r="K51" i="7"/>
  <c r="L51" i="7" s="1"/>
  <c r="Q51" i="7" s="1"/>
  <c r="J51" i="7"/>
  <c r="F51" i="7"/>
  <c r="H51" i="7" s="1"/>
  <c r="AG50" i="7"/>
  <c r="W50" i="7"/>
  <c r="V50" i="7"/>
  <c r="N50" i="7"/>
  <c r="AF50" i="7" s="1"/>
  <c r="K50" i="7"/>
  <c r="J50" i="7"/>
  <c r="J58" i="7" s="1"/>
  <c r="H50" i="7"/>
  <c r="F50" i="7"/>
  <c r="AG49" i="7"/>
  <c r="AF49" i="7"/>
  <c r="W49" i="7"/>
  <c r="N49" i="7" s="1"/>
  <c r="P49" i="7"/>
  <c r="O49" i="7"/>
  <c r="L49" i="7"/>
  <c r="K49" i="7"/>
  <c r="J49" i="7"/>
  <c r="F49" i="7"/>
  <c r="H49" i="7" s="1"/>
  <c r="AG48" i="7"/>
  <c r="AF48" i="7"/>
  <c r="AE48" i="7"/>
  <c r="AD48" i="7"/>
  <c r="AA48" i="7"/>
  <c r="G19" i="6" s="1"/>
  <c r="Z48" i="7"/>
  <c r="W48" i="7"/>
  <c r="N48" i="7"/>
  <c r="M48" i="7"/>
  <c r="K48" i="7"/>
  <c r="J48" i="7"/>
  <c r="W47" i="7"/>
  <c r="H47" i="7"/>
  <c r="W46" i="7"/>
  <c r="W45" i="7"/>
  <c r="W44" i="7"/>
  <c r="W43" i="7"/>
  <c r="W42" i="7"/>
  <c r="AG41" i="7"/>
  <c r="AF41" i="7"/>
  <c r="W41" i="7"/>
  <c r="AG40" i="7"/>
  <c r="AF40" i="7"/>
  <c r="W40" i="7"/>
  <c r="V40" i="7"/>
  <c r="N40" i="7"/>
  <c r="O40" i="7" s="1"/>
  <c r="K40" i="7"/>
  <c r="J40" i="7"/>
  <c r="P40" i="7" s="1"/>
  <c r="F40" i="7"/>
  <c r="H40" i="7" s="1"/>
  <c r="AG39" i="7"/>
  <c r="AF39" i="7"/>
  <c r="W39" i="7"/>
  <c r="V39" i="7"/>
  <c r="O39" i="7"/>
  <c r="N39" i="7"/>
  <c r="K39" i="7"/>
  <c r="L39" i="7" s="1"/>
  <c r="J39" i="7"/>
  <c r="P39" i="7" s="1"/>
  <c r="F39" i="7"/>
  <c r="H39" i="7" s="1"/>
  <c r="AH38" i="7"/>
  <c r="AG38" i="7"/>
  <c r="W38" i="7"/>
  <c r="O38" i="7"/>
  <c r="Q38" i="7" s="1"/>
  <c r="N38" i="7"/>
  <c r="K38" i="7"/>
  <c r="L38" i="7" s="1"/>
  <c r="J38" i="7"/>
  <c r="P38" i="7" s="1"/>
  <c r="H38" i="7"/>
  <c r="F38" i="7"/>
  <c r="AE37" i="7"/>
  <c r="AD37" i="7"/>
  <c r="AA37" i="7"/>
  <c r="F19" i="6" s="1"/>
  <c r="Z37" i="7"/>
  <c r="M37" i="7"/>
  <c r="W36" i="7"/>
  <c r="H36" i="7"/>
  <c r="W35" i="7"/>
  <c r="W34" i="7"/>
  <c r="W33" i="7"/>
  <c r="W32" i="7"/>
  <c r="AG31" i="7"/>
  <c r="AF31" i="7"/>
  <c r="W31" i="7"/>
  <c r="W30" i="7"/>
  <c r="V30" i="7"/>
  <c r="P30" i="7"/>
  <c r="N30" i="7"/>
  <c r="K30" i="7"/>
  <c r="L30" i="7" s="1"/>
  <c r="J30" i="7"/>
  <c r="F30" i="7"/>
  <c r="H30" i="7" s="1"/>
  <c r="AG29" i="7"/>
  <c r="W29" i="7"/>
  <c r="V29" i="7"/>
  <c r="N29" i="7"/>
  <c r="AF29" i="7" s="1"/>
  <c r="K29" i="7"/>
  <c r="J29" i="7"/>
  <c r="P29" i="7" s="1"/>
  <c r="H29" i="7"/>
  <c r="F29" i="7"/>
  <c r="AG28" i="7"/>
  <c r="W28" i="7"/>
  <c r="N28" i="7" s="1"/>
  <c r="O28" i="7" s="1"/>
  <c r="V28" i="7"/>
  <c r="K28" i="7"/>
  <c r="J28" i="7"/>
  <c r="P28" i="7" s="1"/>
  <c r="F28" i="7"/>
  <c r="H28" i="7" s="1"/>
  <c r="W27" i="7"/>
  <c r="O27" i="7"/>
  <c r="N27" i="7"/>
  <c r="K27" i="7"/>
  <c r="L27" i="7" s="1"/>
  <c r="J27" i="7"/>
  <c r="F27" i="7"/>
  <c r="H27" i="7" s="1"/>
  <c r="AE26" i="7"/>
  <c r="AD26" i="7"/>
  <c r="AA26" i="7"/>
  <c r="E19" i="6" s="1"/>
  <c r="Z26" i="7"/>
  <c r="E18" i="6" s="1"/>
  <c r="M26" i="7"/>
  <c r="W25" i="7"/>
  <c r="H25" i="7"/>
  <c r="W24" i="7"/>
  <c r="H24" i="7"/>
  <c r="W23" i="7"/>
  <c r="W21" i="7"/>
  <c r="W20" i="7"/>
  <c r="AG19" i="7"/>
  <c r="W19" i="7"/>
  <c r="V19" i="7"/>
  <c r="N19" i="7"/>
  <c r="O19" i="7" s="1"/>
  <c r="K19" i="7"/>
  <c r="J19" i="7"/>
  <c r="P19" i="7" s="1"/>
  <c r="F19" i="7"/>
  <c r="H19" i="7" s="1"/>
  <c r="AG18" i="7"/>
  <c r="AF18" i="7"/>
  <c r="W18" i="7"/>
  <c r="V18" i="7"/>
  <c r="N18" i="7"/>
  <c r="O18" i="7" s="1"/>
  <c r="K18" i="7"/>
  <c r="L18" i="7" s="1"/>
  <c r="J18" i="7"/>
  <c r="P18" i="7" s="1"/>
  <c r="F18" i="7"/>
  <c r="H18" i="7" s="1"/>
  <c r="W17" i="7"/>
  <c r="V17" i="7"/>
  <c r="P17" i="7"/>
  <c r="N17" i="7"/>
  <c r="L17" i="7"/>
  <c r="K17" i="7"/>
  <c r="J17" i="7"/>
  <c r="F17" i="7"/>
  <c r="H17" i="7" s="1"/>
  <c r="W16" i="7"/>
  <c r="P16" i="7"/>
  <c r="N16" i="7"/>
  <c r="K16" i="7"/>
  <c r="J16" i="7"/>
  <c r="J26" i="7" s="1"/>
  <c r="H16" i="7"/>
  <c r="F16" i="7"/>
  <c r="AE15" i="7"/>
  <c r="AD15" i="7"/>
  <c r="D20" i="6" s="1"/>
  <c r="AA15" i="7"/>
  <c r="Z15" i="7"/>
  <c r="M15" i="7"/>
  <c r="W14" i="7"/>
  <c r="W13" i="7"/>
  <c r="W12" i="7"/>
  <c r="AG11" i="7"/>
  <c r="AF11" i="7"/>
  <c r="AG10" i="7"/>
  <c r="AF10" i="7"/>
  <c r="W9" i="7"/>
  <c r="N9" i="7" s="1"/>
  <c r="O9" i="7" s="1"/>
  <c r="Q9" i="7" s="1"/>
  <c r="R9" i="7"/>
  <c r="P9" i="7"/>
  <c r="L9" i="7"/>
  <c r="K9" i="7"/>
  <c r="J9" i="7"/>
  <c r="F9" i="7"/>
  <c r="H9" i="7" s="1"/>
  <c r="W8" i="7"/>
  <c r="N8" i="7" s="1"/>
  <c r="V8" i="7"/>
  <c r="P8" i="7"/>
  <c r="K8" i="7"/>
  <c r="L8" i="7" s="1"/>
  <c r="J8" i="7"/>
  <c r="F8" i="7"/>
  <c r="H8" i="7" s="1"/>
  <c r="W7" i="7"/>
  <c r="V7" i="7"/>
  <c r="N7" i="7"/>
  <c r="K7" i="7"/>
  <c r="L7" i="7" s="1"/>
  <c r="J7" i="7"/>
  <c r="P7" i="7" s="1"/>
  <c r="F7" i="7"/>
  <c r="H7" i="7" s="1"/>
  <c r="W6" i="7"/>
  <c r="N6" i="7" s="1"/>
  <c r="V6" i="7"/>
  <c r="K6" i="7"/>
  <c r="J6" i="7"/>
  <c r="P6" i="7" s="1"/>
  <c r="H6" i="7"/>
  <c r="F6" i="7"/>
  <c r="AG5" i="7"/>
  <c r="W5" i="7"/>
  <c r="N5" i="7"/>
  <c r="K5" i="7"/>
  <c r="L5" i="7" s="1"/>
  <c r="J5" i="7"/>
  <c r="H5" i="7"/>
  <c r="F5" i="7"/>
  <c r="AD2" i="7"/>
  <c r="I2" i="7"/>
  <c r="E1" i="7"/>
  <c r="G3" i="6" s="1"/>
  <c r="F22" i="6"/>
  <c r="I21" i="6"/>
  <c r="G21" i="6"/>
  <c r="F21" i="6"/>
  <c r="E21" i="6"/>
  <c r="I20" i="6"/>
  <c r="H20" i="6"/>
  <c r="G20" i="6"/>
  <c r="F20" i="6"/>
  <c r="E20" i="6"/>
  <c r="H19" i="6"/>
  <c r="D19" i="6"/>
  <c r="J18" i="6"/>
  <c r="H18" i="6"/>
  <c r="G18" i="6"/>
  <c r="F18" i="6"/>
  <c r="J16" i="6"/>
  <c r="I16" i="6"/>
  <c r="H16" i="6"/>
  <c r="G16" i="6"/>
  <c r="F16" i="6"/>
  <c r="E16" i="6"/>
  <c r="D16" i="6"/>
  <c r="N6" i="6"/>
  <c r="AE79" i="3"/>
  <c r="AD79" i="3"/>
  <c r="AA79" i="3"/>
  <c r="Z79" i="3"/>
  <c r="N79" i="3"/>
  <c r="M79" i="3"/>
  <c r="K79" i="3"/>
  <c r="J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P70" i="3"/>
  <c r="N70" i="3"/>
  <c r="L70" i="3"/>
  <c r="L79" i="3" s="1"/>
  <c r="K70" i="3"/>
  <c r="J70" i="3"/>
  <c r="F70" i="3"/>
  <c r="H70" i="3" s="1"/>
  <c r="B70" i="3"/>
  <c r="AE69" i="3"/>
  <c r="AD69" i="3"/>
  <c r="AA69" i="3"/>
  <c r="Z69" i="3"/>
  <c r="P69" i="3"/>
  <c r="M69" i="3"/>
  <c r="I22" i="2" s="1"/>
  <c r="J69" i="3"/>
  <c r="W68" i="3"/>
  <c r="H68" i="3"/>
  <c r="W67" i="3"/>
  <c r="W66" i="3"/>
  <c r="W65" i="3"/>
  <c r="W64" i="3"/>
  <c r="W63" i="3"/>
  <c r="AG62" i="3"/>
  <c r="AF62" i="3"/>
  <c r="W62" i="3"/>
  <c r="W61" i="3"/>
  <c r="N61" i="3" s="1"/>
  <c r="V61" i="3"/>
  <c r="P61" i="3"/>
  <c r="L61" i="3"/>
  <c r="K61" i="3"/>
  <c r="J61" i="3"/>
  <c r="F61" i="3"/>
  <c r="H61" i="3" s="1"/>
  <c r="B61" i="3"/>
  <c r="W60" i="3"/>
  <c r="N60" i="3" s="1"/>
  <c r="V60" i="3"/>
  <c r="P60" i="3"/>
  <c r="K60" i="3"/>
  <c r="L60" i="3" s="1"/>
  <c r="J60" i="3"/>
  <c r="F60" i="3"/>
  <c r="H60" i="3" s="1"/>
  <c r="B60" i="3"/>
  <c r="W59" i="3"/>
  <c r="N59" i="3" s="1"/>
  <c r="P59" i="3"/>
  <c r="K59" i="3"/>
  <c r="K69" i="3" s="1"/>
  <c r="J59" i="3"/>
  <c r="H59" i="3"/>
  <c r="F59" i="3"/>
  <c r="B59" i="3"/>
  <c r="AE58" i="3"/>
  <c r="AE2" i="3" s="1"/>
  <c r="AD58" i="3"/>
  <c r="AD2" i="3" s="1"/>
  <c r="N6" i="2" s="1"/>
  <c r="AA58" i="3"/>
  <c r="Z58" i="3"/>
  <c r="M58" i="3"/>
  <c r="J58" i="3"/>
  <c r="W57" i="3"/>
  <c r="W56" i="3"/>
  <c r="W55" i="3"/>
  <c r="W54" i="3"/>
  <c r="AG53" i="3"/>
  <c r="AF53" i="3"/>
  <c r="W53" i="3"/>
  <c r="AG52" i="3"/>
  <c r="AF52" i="3"/>
  <c r="W52" i="3"/>
  <c r="V52" i="3"/>
  <c r="W51" i="3"/>
  <c r="N51" i="3" s="1"/>
  <c r="O51" i="3" s="1"/>
  <c r="V51" i="3"/>
  <c r="R51" i="3"/>
  <c r="Q51" i="3"/>
  <c r="P51" i="3"/>
  <c r="L51" i="3"/>
  <c r="K51" i="3"/>
  <c r="J51" i="3"/>
  <c r="F51" i="3"/>
  <c r="H51" i="3" s="1"/>
  <c r="B51" i="3"/>
  <c r="W50" i="3"/>
  <c r="N50" i="3" s="1"/>
  <c r="V50" i="3"/>
  <c r="P50" i="3"/>
  <c r="K50" i="3"/>
  <c r="L50" i="3" s="1"/>
  <c r="J50" i="3"/>
  <c r="F50" i="3"/>
  <c r="H50" i="3" s="1"/>
  <c r="B50" i="3"/>
  <c r="W49" i="3"/>
  <c r="P49" i="3"/>
  <c r="N49" i="3"/>
  <c r="O49" i="3" s="1"/>
  <c r="K49" i="3"/>
  <c r="K58" i="3" s="1"/>
  <c r="J49" i="3"/>
  <c r="H49" i="3"/>
  <c r="F49" i="3"/>
  <c r="B49" i="3"/>
  <c r="AE48" i="3"/>
  <c r="AD48" i="3"/>
  <c r="AA48" i="3"/>
  <c r="Z48" i="3"/>
  <c r="W48" i="3"/>
  <c r="M48" i="3"/>
  <c r="W47" i="3"/>
  <c r="H47" i="3"/>
  <c r="W46" i="3"/>
  <c r="W45" i="3"/>
  <c r="W44" i="3"/>
  <c r="W43" i="3"/>
  <c r="W42" i="3"/>
  <c r="AG41" i="3"/>
  <c r="AF41" i="3"/>
  <c r="W41" i="3"/>
  <c r="W40" i="3"/>
  <c r="V40" i="3"/>
  <c r="P40" i="3"/>
  <c r="O40" i="3"/>
  <c r="N40" i="3"/>
  <c r="L40" i="3"/>
  <c r="K40" i="3"/>
  <c r="J40" i="3"/>
  <c r="F40" i="3"/>
  <c r="H40" i="3" s="1"/>
  <c r="B40" i="3"/>
  <c r="AG39" i="3"/>
  <c r="AF39" i="3"/>
  <c r="W39" i="3"/>
  <c r="N39" i="3" s="1"/>
  <c r="O39" i="3" s="1"/>
  <c r="V39" i="3"/>
  <c r="K39" i="3"/>
  <c r="J39" i="3"/>
  <c r="P39" i="3" s="1"/>
  <c r="F39" i="3"/>
  <c r="H39" i="3" s="1"/>
  <c r="B39" i="3"/>
  <c r="W38" i="3"/>
  <c r="N38" i="3"/>
  <c r="K38" i="3"/>
  <c r="J38" i="3"/>
  <c r="F38" i="3"/>
  <c r="H38" i="3" s="1"/>
  <c r="B38" i="3"/>
  <c r="AE37" i="3"/>
  <c r="AD37" i="3"/>
  <c r="AA37" i="3"/>
  <c r="Z37" i="3"/>
  <c r="N37" i="3"/>
  <c r="M37" i="3"/>
  <c r="J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V29" i="3"/>
  <c r="N29" i="3"/>
  <c r="K29" i="3"/>
  <c r="J29" i="3"/>
  <c r="P29" i="3" s="1"/>
  <c r="H29" i="3"/>
  <c r="F29" i="3"/>
  <c r="B29" i="3"/>
  <c r="W28" i="3"/>
  <c r="V28" i="3"/>
  <c r="N28" i="3"/>
  <c r="O28" i="3" s="1"/>
  <c r="K28" i="3"/>
  <c r="L28" i="3" s="1"/>
  <c r="J28" i="3"/>
  <c r="P28" i="3" s="1"/>
  <c r="F28" i="3"/>
  <c r="H28" i="3" s="1"/>
  <c r="B28" i="3"/>
  <c r="W27" i="3"/>
  <c r="P27" i="3"/>
  <c r="N27" i="3"/>
  <c r="O27" i="3" s="1"/>
  <c r="K27" i="3"/>
  <c r="J27" i="3"/>
  <c r="F27" i="3"/>
  <c r="H27" i="3" s="1"/>
  <c r="B27" i="3"/>
  <c r="AE26" i="3"/>
  <c r="AD26" i="3"/>
  <c r="AA26" i="3"/>
  <c r="Z26" i="3"/>
  <c r="M26" i="3"/>
  <c r="K26" i="3"/>
  <c r="J26" i="3"/>
  <c r="P26" i="3" s="1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N18" i="3" s="1"/>
  <c r="V18" i="3"/>
  <c r="O18" i="3"/>
  <c r="K18" i="3"/>
  <c r="AG18" i="3" s="1"/>
  <c r="J18" i="3"/>
  <c r="P18" i="3" s="1"/>
  <c r="H18" i="3"/>
  <c r="F18" i="3"/>
  <c r="B18" i="3"/>
  <c r="W17" i="3"/>
  <c r="V17" i="3"/>
  <c r="N17" i="3"/>
  <c r="K17" i="3"/>
  <c r="L17" i="3" s="1"/>
  <c r="J17" i="3"/>
  <c r="P17" i="3" s="1"/>
  <c r="F17" i="3"/>
  <c r="H17" i="3" s="1"/>
  <c r="B17" i="3"/>
  <c r="W16" i="3"/>
  <c r="P16" i="3"/>
  <c r="N16" i="3"/>
  <c r="K16" i="3"/>
  <c r="L16" i="3" s="1"/>
  <c r="L26" i="3" s="1"/>
  <c r="J16" i="3"/>
  <c r="H16" i="3"/>
  <c r="F16" i="3"/>
  <c r="B16" i="3"/>
  <c r="AE15" i="3"/>
  <c r="AD15" i="3"/>
  <c r="AA15" i="3"/>
  <c r="Z15" i="3"/>
  <c r="M15" i="3"/>
  <c r="K15" i="3"/>
  <c r="J15" i="3"/>
  <c r="P15" i="3" s="1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V7" i="3"/>
  <c r="O7" i="3"/>
  <c r="Q7" i="3" s="1"/>
  <c r="N7" i="3"/>
  <c r="K7" i="3"/>
  <c r="L7" i="3" s="1"/>
  <c r="J7" i="3"/>
  <c r="P7" i="3" s="1"/>
  <c r="F7" i="3"/>
  <c r="H7" i="3" s="1"/>
  <c r="B7" i="3"/>
  <c r="W6" i="3"/>
  <c r="V6" i="3"/>
  <c r="P6" i="3"/>
  <c r="O6" i="3"/>
  <c r="N6" i="3"/>
  <c r="L6" i="3"/>
  <c r="K6" i="3"/>
  <c r="J6" i="3"/>
  <c r="H6" i="3"/>
  <c r="F6" i="3"/>
  <c r="B6" i="3"/>
  <c r="W5" i="3"/>
  <c r="N5" i="3" s="1"/>
  <c r="P5" i="3"/>
  <c r="O5" i="3"/>
  <c r="K5" i="3"/>
  <c r="J5" i="3"/>
  <c r="H5" i="3"/>
  <c r="G1" i="3" s="1"/>
  <c r="F5" i="3"/>
  <c r="B5" i="3"/>
  <c r="AA2" i="3"/>
  <c r="M6" i="2" s="1"/>
  <c r="Z2" i="3"/>
  <c r="I2" i="3"/>
  <c r="G2" i="3"/>
  <c r="E1" i="3"/>
  <c r="H22" i="2"/>
  <c r="G22" i="2"/>
  <c r="E22" i="2"/>
  <c r="D22" i="2"/>
  <c r="J16" i="2"/>
  <c r="I16" i="2"/>
  <c r="H16" i="2"/>
  <c r="G16" i="2"/>
  <c r="F16" i="2"/>
  <c r="E16" i="2"/>
  <c r="D16" i="2"/>
  <c r="J13" i="2"/>
  <c r="O52" i="113" l="1"/>
  <c r="AG52" i="113"/>
  <c r="AF52" i="113"/>
  <c r="O8" i="113"/>
  <c r="R8" i="113" s="1"/>
  <c r="AG8" i="113"/>
  <c r="AF8" i="113"/>
  <c r="Q8" i="113"/>
  <c r="L7" i="113"/>
  <c r="AF7" i="113"/>
  <c r="AG7" i="113"/>
  <c r="R6" i="113"/>
  <c r="Q6" i="113"/>
  <c r="J15" i="113"/>
  <c r="P15" i="113" s="1"/>
  <c r="Q20" i="113"/>
  <c r="R20" i="113"/>
  <c r="Q19" i="113"/>
  <c r="R19" i="113"/>
  <c r="AF19" i="113"/>
  <c r="AG19" i="113"/>
  <c r="L30" i="113"/>
  <c r="Q41" i="113"/>
  <c r="R41" i="113"/>
  <c r="J48" i="113"/>
  <c r="P48" i="113" s="1"/>
  <c r="Q52" i="113"/>
  <c r="R52" i="113"/>
  <c r="AG53" i="113"/>
  <c r="AF53" i="113"/>
  <c r="AA2" i="113"/>
  <c r="K69" i="113"/>
  <c r="N79" i="113"/>
  <c r="AG79" i="113" s="1"/>
  <c r="AH70" i="113" s="1"/>
  <c r="O70" i="113"/>
  <c r="R70" i="113" s="1"/>
  <c r="AG17" i="113"/>
  <c r="AF17" i="113"/>
  <c r="O17" i="113"/>
  <c r="R50" i="113"/>
  <c r="Q50" i="113"/>
  <c r="Q61" i="113"/>
  <c r="R61" i="113"/>
  <c r="AF60" i="113"/>
  <c r="O60" i="113"/>
  <c r="AG60" i="113"/>
  <c r="L37" i="113"/>
  <c r="F13" i="112" s="1"/>
  <c r="AG59" i="113"/>
  <c r="AF59" i="113"/>
  <c r="N69" i="113"/>
  <c r="O59" i="113"/>
  <c r="G1" i="113"/>
  <c r="G2" i="113" s="1"/>
  <c r="AG6" i="113"/>
  <c r="AF6" i="113"/>
  <c r="N15" i="113"/>
  <c r="O27" i="113"/>
  <c r="AG27" i="113"/>
  <c r="N37" i="113"/>
  <c r="AF27" i="113"/>
  <c r="Q38" i="113"/>
  <c r="R38" i="113"/>
  <c r="N58" i="113"/>
  <c r="O49" i="113"/>
  <c r="AG49" i="113"/>
  <c r="AF49" i="113"/>
  <c r="AG40" i="113"/>
  <c r="AF40" i="113"/>
  <c r="O40" i="113"/>
  <c r="AG29" i="113"/>
  <c r="AF29" i="113"/>
  <c r="O29" i="113"/>
  <c r="O51" i="113"/>
  <c r="AG51" i="113"/>
  <c r="AF51" i="113"/>
  <c r="L15" i="113"/>
  <c r="D13" i="112" s="1"/>
  <c r="Z2" i="113"/>
  <c r="Q5" i="113"/>
  <c r="J26" i="113"/>
  <c r="P26" i="113" s="1"/>
  <c r="K37" i="113"/>
  <c r="R5" i="113"/>
  <c r="K26" i="113"/>
  <c r="AF61" i="113"/>
  <c r="J69" i="113"/>
  <c r="P69" i="113" s="1"/>
  <c r="P79" i="113"/>
  <c r="J37" i="113"/>
  <c r="P37" i="113" s="1"/>
  <c r="O28" i="113"/>
  <c r="L59" i="113"/>
  <c r="L69" i="113" s="1"/>
  <c r="I13" i="112" s="1"/>
  <c r="J6" i="112" s="1"/>
  <c r="AD2" i="113"/>
  <c r="L18" i="113"/>
  <c r="L26" i="113" s="1"/>
  <c r="E13" i="112" s="1"/>
  <c r="AF38" i="113"/>
  <c r="AF50" i="113"/>
  <c r="AG61" i="113"/>
  <c r="O7" i="113"/>
  <c r="K15" i="113"/>
  <c r="AG38" i="113"/>
  <c r="AG50" i="113"/>
  <c r="F22" i="112"/>
  <c r="AF5" i="113"/>
  <c r="N26" i="113"/>
  <c r="AF70" i="113"/>
  <c r="AG5" i="113"/>
  <c r="AF16" i="113"/>
  <c r="AF39" i="113"/>
  <c r="O16" i="113"/>
  <c r="O39" i="113"/>
  <c r="N48" i="113"/>
  <c r="AF28" i="113"/>
  <c r="I1" i="113"/>
  <c r="L70" i="113"/>
  <c r="L79" i="113" s="1"/>
  <c r="J13" i="112" s="1"/>
  <c r="G13" i="112"/>
  <c r="D19" i="112"/>
  <c r="G18" i="112"/>
  <c r="I19" i="112"/>
  <c r="J18" i="112"/>
  <c r="I22" i="112"/>
  <c r="R19" i="111"/>
  <c r="O30" i="111"/>
  <c r="R30" i="111" s="1"/>
  <c r="AG30" i="111"/>
  <c r="AG53" i="111"/>
  <c r="O53" i="111"/>
  <c r="Q53" i="111" s="1"/>
  <c r="P58" i="111"/>
  <c r="K58" i="111"/>
  <c r="AF52" i="111"/>
  <c r="L58" i="111"/>
  <c r="Q63" i="111"/>
  <c r="R63" i="111"/>
  <c r="Q61" i="111"/>
  <c r="R61" i="111"/>
  <c r="P37" i="111"/>
  <c r="AF30" i="111"/>
  <c r="Q8" i="111"/>
  <c r="R8" i="111"/>
  <c r="J26" i="111"/>
  <c r="P26" i="111" s="1"/>
  <c r="P15" i="111"/>
  <c r="I1" i="111"/>
  <c r="O50" i="111"/>
  <c r="AG50" i="111"/>
  <c r="AF50" i="111"/>
  <c r="R70" i="111"/>
  <c r="L26" i="111"/>
  <c r="E13" i="110" s="1"/>
  <c r="Q18" i="111"/>
  <c r="R18" i="111"/>
  <c r="P79" i="111"/>
  <c r="L37" i="111"/>
  <c r="F13" i="110" s="1"/>
  <c r="AG79" i="111"/>
  <c r="AH70" i="111" s="1"/>
  <c r="AG40" i="111"/>
  <c r="AF40" i="111"/>
  <c r="O40" i="111"/>
  <c r="G1" i="111"/>
  <c r="G2" i="111" s="1"/>
  <c r="N15" i="111"/>
  <c r="AG6" i="111"/>
  <c r="AF6" i="111"/>
  <c r="O6" i="111"/>
  <c r="O27" i="111"/>
  <c r="AG27" i="111"/>
  <c r="N37" i="111"/>
  <c r="AF27" i="111"/>
  <c r="L48" i="111"/>
  <c r="G13" i="110" s="1"/>
  <c r="N58" i="111"/>
  <c r="O49" i="111"/>
  <c r="AG49" i="111"/>
  <c r="AF49" i="111"/>
  <c r="O51" i="111"/>
  <c r="AG51" i="111"/>
  <c r="AF51" i="111"/>
  <c r="O60" i="111"/>
  <c r="AG60" i="111"/>
  <c r="AF60" i="111"/>
  <c r="L15" i="111"/>
  <c r="O38" i="111"/>
  <c r="N48" i="111"/>
  <c r="AG38" i="111"/>
  <c r="AF38" i="111"/>
  <c r="O79" i="111"/>
  <c r="G22" i="110"/>
  <c r="R5" i="111"/>
  <c r="K26" i="111"/>
  <c r="P48" i="111"/>
  <c r="AF61" i="111"/>
  <c r="J69" i="111"/>
  <c r="P69" i="111" s="1"/>
  <c r="K37" i="111"/>
  <c r="O17" i="111"/>
  <c r="O29" i="111"/>
  <c r="O59" i="111"/>
  <c r="AG61" i="111"/>
  <c r="K69" i="111"/>
  <c r="Q79" i="111"/>
  <c r="I19" i="110"/>
  <c r="O7" i="111"/>
  <c r="K15" i="111"/>
  <c r="P17" i="111"/>
  <c r="P29" i="111"/>
  <c r="O39" i="111"/>
  <c r="Z2" i="111"/>
  <c r="O28" i="111"/>
  <c r="AF5" i="111"/>
  <c r="N26" i="111"/>
  <c r="AF70" i="111"/>
  <c r="Q5" i="111"/>
  <c r="AG5" i="111"/>
  <c r="AF16" i="111"/>
  <c r="AF39" i="111"/>
  <c r="N69" i="111"/>
  <c r="O16" i="111"/>
  <c r="AG28" i="111"/>
  <c r="AF17" i="111"/>
  <c r="AF29" i="111"/>
  <c r="AF59" i="111"/>
  <c r="L70" i="111"/>
  <c r="AF79" i="111"/>
  <c r="H13" i="110"/>
  <c r="D19" i="110"/>
  <c r="J22" i="110"/>
  <c r="E22" i="110"/>
  <c r="E13" i="2"/>
  <c r="G1" i="7"/>
  <c r="O58" i="9"/>
  <c r="Q49" i="9"/>
  <c r="R49" i="9"/>
  <c r="R61" i="11"/>
  <c r="Q61" i="11"/>
  <c r="Q60" i="23"/>
  <c r="R60" i="23"/>
  <c r="J3" i="14"/>
  <c r="G2" i="15"/>
  <c r="R27" i="13"/>
  <c r="J14" i="14"/>
  <c r="R79" i="15"/>
  <c r="S70" i="15" s="1"/>
  <c r="J15" i="14" s="1"/>
  <c r="R32" i="11"/>
  <c r="Q32" i="11"/>
  <c r="G2" i="23"/>
  <c r="J3" i="22"/>
  <c r="AF50" i="9"/>
  <c r="AG50" i="9"/>
  <c r="O50" i="9"/>
  <c r="G2" i="73"/>
  <c r="J3" i="72"/>
  <c r="R17" i="9"/>
  <c r="Q17" i="9"/>
  <c r="Q69" i="69"/>
  <c r="R60" i="21"/>
  <c r="Q60" i="21"/>
  <c r="G1" i="11"/>
  <c r="AG15" i="15"/>
  <c r="AH5" i="15" s="1"/>
  <c r="AF15" i="15"/>
  <c r="Q29" i="15"/>
  <c r="R29" i="15"/>
  <c r="R5" i="11"/>
  <c r="Q5" i="11"/>
  <c r="R49" i="3"/>
  <c r="O58" i="3"/>
  <c r="R28" i="15"/>
  <c r="Q28" i="15"/>
  <c r="AF60" i="3"/>
  <c r="O60" i="3"/>
  <c r="Q69" i="9"/>
  <c r="AG69" i="9"/>
  <c r="AH59" i="9" s="1"/>
  <c r="AG6" i="11"/>
  <c r="AF6" i="11"/>
  <c r="R19" i="77"/>
  <c r="AF59" i="77"/>
  <c r="AG59" i="77"/>
  <c r="N69" i="77"/>
  <c r="AG62" i="81"/>
  <c r="AF62" i="81"/>
  <c r="O62" i="81"/>
  <c r="AF31" i="83"/>
  <c r="O31" i="83"/>
  <c r="L6" i="87"/>
  <c r="L15" i="87" s="1"/>
  <c r="D13" i="86" s="1"/>
  <c r="AF6" i="107"/>
  <c r="O6" i="107"/>
  <c r="AG18" i="107"/>
  <c r="AF18" i="107"/>
  <c r="O18" i="107"/>
  <c r="P38" i="3"/>
  <c r="J48" i="3"/>
  <c r="P48" i="3" s="1"/>
  <c r="L49" i="3"/>
  <c r="L58" i="3" s="1"/>
  <c r="AF59" i="13"/>
  <c r="N69" i="13"/>
  <c r="AG59" i="13"/>
  <c r="AF60" i="9"/>
  <c r="AG16" i="11"/>
  <c r="AF16" i="11"/>
  <c r="N26" i="11"/>
  <c r="R19" i="11"/>
  <c r="Q19" i="11"/>
  <c r="G22" i="12"/>
  <c r="J26" i="13"/>
  <c r="O5" i="15"/>
  <c r="Q16" i="15"/>
  <c r="O26" i="15"/>
  <c r="L62" i="15"/>
  <c r="Q62" i="15" s="1"/>
  <c r="R50" i="69"/>
  <c r="AF7" i="71"/>
  <c r="Q16" i="21"/>
  <c r="R16" i="21"/>
  <c r="P48" i="21"/>
  <c r="G22" i="20"/>
  <c r="R62" i="21"/>
  <c r="J69" i="21"/>
  <c r="AG39" i="23"/>
  <c r="AF39" i="23"/>
  <c r="P5" i="75"/>
  <c r="J15" i="75"/>
  <c r="P15" i="75" s="1"/>
  <c r="AF61" i="75"/>
  <c r="AG61" i="75"/>
  <c r="O61" i="75"/>
  <c r="N69" i="75"/>
  <c r="AF38" i="77"/>
  <c r="AG38" i="77"/>
  <c r="N48" i="77"/>
  <c r="AF59" i="79"/>
  <c r="AG59" i="79"/>
  <c r="K26" i="81"/>
  <c r="AG17" i="81"/>
  <c r="Q58" i="81"/>
  <c r="AG52" i="83"/>
  <c r="AF52" i="83"/>
  <c r="N58" i="83"/>
  <c r="G1" i="89"/>
  <c r="AF7" i="89"/>
  <c r="AG7" i="89"/>
  <c r="O7" i="89"/>
  <c r="AF7" i="3"/>
  <c r="AG7" i="3"/>
  <c r="O15" i="3"/>
  <c r="P48" i="7"/>
  <c r="G22" i="6"/>
  <c r="L52" i="7"/>
  <c r="R52" i="7" s="1"/>
  <c r="R27" i="9"/>
  <c r="O37" i="9"/>
  <c r="O38" i="9"/>
  <c r="N48" i="9"/>
  <c r="AG60" i="9"/>
  <c r="O16" i="11"/>
  <c r="AD2" i="11"/>
  <c r="N6" i="10" s="1"/>
  <c r="F20" i="10"/>
  <c r="AG50" i="11"/>
  <c r="AF50" i="11"/>
  <c r="O50" i="11"/>
  <c r="L20" i="13"/>
  <c r="Q20" i="13" s="1"/>
  <c r="P26" i="13"/>
  <c r="AF60" i="15"/>
  <c r="O60" i="15"/>
  <c r="J48" i="69"/>
  <c r="P48" i="69" s="1"/>
  <c r="P38" i="69"/>
  <c r="Q62" i="69"/>
  <c r="AG7" i="71"/>
  <c r="M6" i="18"/>
  <c r="N6" i="20"/>
  <c r="O6" i="20"/>
  <c r="O39" i="23"/>
  <c r="L19" i="73"/>
  <c r="AF19" i="73"/>
  <c r="L5" i="75"/>
  <c r="K15" i="75"/>
  <c r="AF5" i="75"/>
  <c r="L18" i="75"/>
  <c r="O38" i="77"/>
  <c r="H22" i="78"/>
  <c r="P58" i="79"/>
  <c r="O59" i="79"/>
  <c r="L17" i="81"/>
  <c r="Q17" i="81" s="1"/>
  <c r="O52" i="83"/>
  <c r="AG5" i="85"/>
  <c r="AF5" i="85"/>
  <c r="O5" i="85"/>
  <c r="N15" i="85"/>
  <c r="R27" i="91"/>
  <c r="Q27" i="91"/>
  <c r="R6" i="93"/>
  <c r="Q6" i="93"/>
  <c r="R31" i="105"/>
  <c r="Q31" i="105"/>
  <c r="O42" i="105"/>
  <c r="N48" i="105"/>
  <c r="L28" i="109"/>
  <c r="AF16" i="7"/>
  <c r="N26" i="7"/>
  <c r="AG16" i="7"/>
  <c r="O6" i="71"/>
  <c r="AG6" i="71"/>
  <c r="AF6" i="71"/>
  <c r="P37" i="71"/>
  <c r="L26" i="73"/>
  <c r="E13" i="72" s="1"/>
  <c r="Q63" i="11"/>
  <c r="R63" i="11"/>
  <c r="AG49" i="15"/>
  <c r="N58" i="15"/>
  <c r="AF49" i="15"/>
  <c r="O5" i="69"/>
  <c r="N15" i="69"/>
  <c r="AG5" i="69"/>
  <c r="AF5" i="69"/>
  <c r="AG61" i="71"/>
  <c r="AF61" i="71"/>
  <c r="O61" i="71"/>
  <c r="O69" i="71" s="1"/>
  <c r="N69" i="71"/>
  <c r="N79" i="73"/>
  <c r="AG70" i="73"/>
  <c r="AF70" i="73"/>
  <c r="L6" i="2"/>
  <c r="AG17" i="3"/>
  <c r="AF17" i="3"/>
  <c r="O17" i="3"/>
  <c r="N69" i="3"/>
  <c r="O59" i="3"/>
  <c r="AF9" i="7"/>
  <c r="P5" i="71"/>
  <c r="J15" i="71"/>
  <c r="P15" i="71" s="1"/>
  <c r="O26" i="71"/>
  <c r="AG8" i="23"/>
  <c r="O8" i="23"/>
  <c r="N15" i="23"/>
  <c r="AF8" i="23"/>
  <c r="AF28" i="75"/>
  <c r="O28" i="75"/>
  <c r="Q39" i="77"/>
  <c r="R39" i="77"/>
  <c r="AG6" i="81"/>
  <c r="AF6" i="81"/>
  <c r="O6" i="81"/>
  <c r="Q79" i="3"/>
  <c r="AG79" i="3"/>
  <c r="AH70" i="3" s="1"/>
  <c r="AF79" i="3"/>
  <c r="P50" i="7"/>
  <c r="L50" i="7"/>
  <c r="Q18" i="81"/>
  <c r="R18" i="81"/>
  <c r="AF16" i="3"/>
  <c r="AG16" i="3"/>
  <c r="O6" i="2"/>
  <c r="O8" i="7"/>
  <c r="AG8" i="7"/>
  <c r="L6" i="9"/>
  <c r="AG18" i="9"/>
  <c r="L16" i="11"/>
  <c r="L26" i="11" s="1"/>
  <c r="E13" i="10" s="1"/>
  <c r="F18" i="10"/>
  <c r="Z2" i="11"/>
  <c r="L6" i="10" s="1"/>
  <c r="P52" i="11"/>
  <c r="L52" i="11"/>
  <c r="R52" i="11" s="1"/>
  <c r="Q27" i="13"/>
  <c r="AF30" i="13"/>
  <c r="O30" i="13"/>
  <c r="AG30" i="13"/>
  <c r="AF5" i="15"/>
  <c r="AG5" i="15"/>
  <c r="O17" i="15"/>
  <c r="AG17" i="15"/>
  <c r="AE2" i="69"/>
  <c r="E21" i="16"/>
  <c r="AF69" i="69"/>
  <c r="AG69" i="69"/>
  <c r="AH59" i="69" s="1"/>
  <c r="Q7" i="71"/>
  <c r="R7" i="71"/>
  <c r="K26" i="21"/>
  <c r="L16" i="21"/>
  <c r="L26" i="21" s="1"/>
  <c r="E13" i="20" s="1"/>
  <c r="O79" i="21"/>
  <c r="R70" i="21"/>
  <c r="AG19" i="23"/>
  <c r="O19" i="23"/>
  <c r="G1" i="75"/>
  <c r="L59" i="79"/>
  <c r="K69" i="79"/>
  <c r="O16" i="3"/>
  <c r="N26" i="3"/>
  <c r="AG17" i="7"/>
  <c r="AF17" i="7"/>
  <c r="O17" i="7"/>
  <c r="R16" i="15"/>
  <c r="K69" i="71"/>
  <c r="L59" i="71"/>
  <c r="AG59" i="71"/>
  <c r="AF59" i="71"/>
  <c r="AG69" i="21"/>
  <c r="AH59" i="21" s="1"/>
  <c r="Q69" i="21"/>
  <c r="AF69" i="21"/>
  <c r="K37" i="77"/>
  <c r="AF58" i="79"/>
  <c r="O70" i="81"/>
  <c r="AG70" i="81"/>
  <c r="AF70" i="81"/>
  <c r="N79" i="81"/>
  <c r="AG52" i="85"/>
  <c r="AF52" i="85"/>
  <c r="Q30" i="87"/>
  <c r="R30" i="87"/>
  <c r="Q40" i="91"/>
  <c r="AF59" i="91"/>
  <c r="O59" i="91"/>
  <c r="N69" i="91"/>
  <c r="K15" i="93"/>
  <c r="AG5" i="93"/>
  <c r="O8" i="109"/>
  <c r="AG8" i="109"/>
  <c r="AF8" i="109"/>
  <c r="AF6" i="3"/>
  <c r="AG6" i="3"/>
  <c r="L29" i="3"/>
  <c r="L39" i="3"/>
  <c r="AG40" i="3"/>
  <c r="AF40" i="3"/>
  <c r="O7" i="7"/>
  <c r="AG7" i="7"/>
  <c r="AF7" i="7"/>
  <c r="R27" i="7"/>
  <c r="Q27" i="7"/>
  <c r="O37" i="7"/>
  <c r="P16" i="9"/>
  <c r="J26" i="9"/>
  <c r="O27" i="11"/>
  <c r="AG27" i="11"/>
  <c r="AF27" i="11"/>
  <c r="N37" i="11"/>
  <c r="Q40" i="11"/>
  <c r="R40" i="11"/>
  <c r="E18" i="12"/>
  <c r="Z2" i="13"/>
  <c r="L6" i="12" s="1"/>
  <c r="AF38" i="13"/>
  <c r="AG38" i="13"/>
  <c r="AF50" i="13"/>
  <c r="AG50" i="13"/>
  <c r="Z2" i="15"/>
  <c r="D18" i="14"/>
  <c r="K37" i="15"/>
  <c r="L27" i="15"/>
  <c r="AF27" i="15"/>
  <c r="AF50" i="15"/>
  <c r="AG50" i="15"/>
  <c r="Q8" i="69"/>
  <c r="R8" i="69"/>
  <c r="O69" i="69"/>
  <c r="R38" i="71"/>
  <c r="Q38" i="71"/>
  <c r="K15" i="21"/>
  <c r="AF61" i="21"/>
  <c r="AG61" i="21"/>
  <c r="R18" i="23"/>
  <c r="Q18" i="23"/>
  <c r="AF51" i="23"/>
  <c r="O51" i="23"/>
  <c r="J37" i="73"/>
  <c r="P37" i="73" s="1"/>
  <c r="O50" i="73"/>
  <c r="AG50" i="73"/>
  <c r="AF50" i="73"/>
  <c r="I1" i="75"/>
  <c r="L49" i="75"/>
  <c r="AG49" i="75"/>
  <c r="K58" i="75"/>
  <c r="F22" i="76"/>
  <c r="O49" i="79"/>
  <c r="AG49" i="79"/>
  <c r="AF49" i="79"/>
  <c r="J58" i="81"/>
  <c r="L49" i="81"/>
  <c r="P49" i="81"/>
  <c r="AF6" i="83"/>
  <c r="O6" i="83"/>
  <c r="AG6" i="83"/>
  <c r="N15" i="83"/>
  <c r="O52" i="85"/>
  <c r="O62" i="87"/>
  <c r="AG62" i="87"/>
  <c r="AF62" i="87"/>
  <c r="AG59" i="91"/>
  <c r="L5" i="93"/>
  <c r="L15" i="93" s="1"/>
  <c r="D13" i="92" s="1"/>
  <c r="AG39" i="99"/>
  <c r="K48" i="99"/>
  <c r="L39" i="99"/>
  <c r="L63" i="99"/>
  <c r="R63" i="99" s="1"/>
  <c r="P63" i="99"/>
  <c r="L17" i="103"/>
  <c r="AF17" i="103"/>
  <c r="AG17" i="103"/>
  <c r="J15" i="105"/>
  <c r="P15" i="105" s="1"/>
  <c r="L5" i="105"/>
  <c r="P5" i="105"/>
  <c r="P18" i="109"/>
  <c r="J26" i="109"/>
  <c r="AG61" i="9"/>
  <c r="AF61" i="9"/>
  <c r="O61" i="9"/>
  <c r="O69" i="9" s="1"/>
  <c r="Q39" i="11"/>
  <c r="R39" i="11"/>
  <c r="G1" i="13"/>
  <c r="P16" i="71"/>
  <c r="J26" i="71"/>
  <c r="P26" i="71" s="1"/>
  <c r="AF31" i="91"/>
  <c r="AG31" i="91"/>
  <c r="O31" i="91"/>
  <c r="J48" i="101"/>
  <c r="P40" i="101"/>
  <c r="L79" i="103"/>
  <c r="J13" i="102" s="1"/>
  <c r="Q70" i="103"/>
  <c r="R70" i="103"/>
  <c r="AG60" i="3"/>
  <c r="D22" i="6"/>
  <c r="AG29" i="11"/>
  <c r="AF29" i="11"/>
  <c r="O29" i="11"/>
  <c r="O31" i="11"/>
  <c r="AG31" i="11"/>
  <c r="AF31" i="11"/>
  <c r="AF39" i="11"/>
  <c r="P8" i="15"/>
  <c r="J15" i="15"/>
  <c r="P15" i="15" s="1"/>
  <c r="L70" i="15"/>
  <c r="L79" i="15" s="1"/>
  <c r="J13" i="14" s="1"/>
  <c r="L26" i="69"/>
  <c r="E13" i="16" s="1"/>
  <c r="Q37" i="69"/>
  <c r="AF37" i="69"/>
  <c r="N58" i="69"/>
  <c r="AG49" i="69"/>
  <c r="AF49" i="69"/>
  <c r="O49" i="69"/>
  <c r="L16" i="71"/>
  <c r="Q16" i="71" s="1"/>
  <c r="AG16" i="71"/>
  <c r="K26" i="71"/>
  <c r="AG49" i="73"/>
  <c r="AF49" i="73"/>
  <c r="N58" i="73"/>
  <c r="AG26" i="77"/>
  <c r="AH16" i="77" s="1"/>
  <c r="AF26" i="77"/>
  <c r="P18" i="79"/>
  <c r="L18" i="79"/>
  <c r="O6" i="11"/>
  <c r="O17" i="11"/>
  <c r="AG17" i="11"/>
  <c r="AG62" i="11"/>
  <c r="AF62" i="11"/>
  <c r="L5" i="13"/>
  <c r="K15" i="13"/>
  <c r="I1" i="13"/>
  <c r="D22" i="12"/>
  <c r="AF48" i="13"/>
  <c r="Q40" i="15"/>
  <c r="O49" i="15"/>
  <c r="AF17" i="69"/>
  <c r="AG17" i="69"/>
  <c r="L39" i="69"/>
  <c r="N37" i="21"/>
  <c r="O27" i="21"/>
  <c r="AG27" i="21"/>
  <c r="J58" i="21"/>
  <c r="P58" i="21" s="1"/>
  <c r="P49" i="21"/>
  <c r="AG61" i="23"/>
  <c r="AF61" i="23"/>
  <c r="O61" i="23"/>
  <c r="AG27" i="73"/>
  <c r="O27" i="73"/>
  <c r="AF27" i="73"/>
  <c r="N37" i="73"/>
  <c r="O49" i="73"/>
  <c r="AG69" i="73"/>
  <c r="AH59" i="73" s="1"/>
  <c r="AF69" i="73"/>
  <c r="Q69" i="73"/>
  <c r="AG51" i="75"/>
  <c r="AF51" i="75"/>
  <c r="O51" i="75"/>
  <c r="AG16" i="79"/>
  <c r="AF16" i="79"/>
  <c r="N26" i="79"/>
  <c r="O16" i="79"/>
  <c r="Q69" i="79"/>
  <c r="AF69" i="79"/>
  <c r="AG69" i="79"/>
  <c r="AH59" i="79" s="1"/>
  <c r="L61" i="81"/>
  <c r="P61" i="81"/>
  <c r="AG31" i="83"/>
  <c r="AG28" i="101"/>
  <c r="AF28" i="101"/>
  <c r="O28" i="101"/>
  <c r="K69" i="103"/>
  <c r="L59" i="103"/>
  <c r="AG6" i="107"/>
  <c r="K48" i="3"/>
  <c r="L38" i="3"/>
  <c r="L48" i="3" s="1"/>
  <c r="AG49" i="3"/>
  <c r="AF49" i="3"/>
  <c r="N58" i="3"/>
  <c r="AF59" i="3"/>
  <c r="AG9" i="7"/>
  <c r="AF7" i="9"/>
  <c r="R18" i="9"/>
  <c r="Q18" i="9"/>
  <c r="P5" i="13"/>
  <c r="L18" i="13"/>
  <c r="Q18" i="13" s="1"/>
  <c r="AG18" i="13"/>
  <c r="AG6" i="15"/>
  <c r="O6" i="15"/>
  <c r="R40" i="15"/>
  <c r="P29" i="69"/>
  <c r="L29" i="69"/>
  <c r="G1" i="21"/>
  <c r="P69" i="23"/>
  <c r="R39" i="73"/>
  <c r="Q39" i="73"/>
  <c r="AG6" i="75"/>
  <c r="O6" i="75"/>
  <c r="J37" i="75"/>
  <c r="P37" i="75" s="1"/>
  <c r="P27" i="75"/>
  <c r="L27" i="75"/>
  <c r="L37" i="75" s="1"/>
  <c r="F13" i="74" s="1"/>
  <c r="J14" i="74"/>
  <c r="Q19" i="77"/>
  <c r="Q52" i="77"/>
  <c r="R31" i="79"/>
  <c r="Q31" i="79"/>
  <c r="J48" i="83"/>
  <c r="P48" i="83" s="1"/>
  <c r="P38" i="83"/>
  <c r="E18" i="84"/>
  <c r="Z2" i="85"/>
  <c r="AG38" i="87"/>
  <c r="O38" i="87"/>
  <c r="N48" i="87"/>
  <c r="AF38" i="87"/>
  <c r="R8" i="89"/>
  <c r="Q8" i="89"/>
  <c r="L29" i="94"/>
  <c r="K37" i="94"/>
  <c r="F22" i="2"/>
  <c r="P37" i="3"/>
  <c r="O6" i="7"/>
  <c r="AG6" i="7"/>
  <c r="AF6" i="7"/>
  <c r="L5" i="11"/>
  <c r="Q28" i="11"/>
  <c r="O59" i="13"/>
  <c r="AF6" i="15"/>
  <c r="AG28" i="15"/>
  <c r="AF28" i="15"/>
  <c r="N37" i="15"/>
  <c r="AG7" i="69"/>
  <c r="AF7" i="69"/>
  <c r="O7" i="69"/>
  <c r="J26" i="21"/>
  <c r="P26" i="21" s="1"/>
  <c r="P16" i="21"/>
  <c r="AG60" i="23"/>
  <c r="AF60" i="23"/>
  <c r="O7" i="73"/>
  <c r="AG7" i="73"/>
  <c r="AF7" i="73"/>
  <c r="AG28" i="75"/>
  <c r="P79" i="75"/>
  <c r="AF15" i="77"/>
  <c r="AG15" i="77"/>
  <c r="AH5" i="77" s="1"/>
  <c r="L18" i="77"/>
  <c r="O49" i="77"/>
  <c r="N58" i="77"/>
  <c r="AG49" i="77"/>
  <c r="AF49" i="77"/>
  <c r="AF61" i="81"/>
  <c r="O61" i="81"/>
  <c r="AG61" i="81"/>
  <c r="L6" i="91"/>
  <c r="AF6" i="91"/>
  <c r="D19" i="95"/>
  <c r="AA2" i="91"/>
  <c r="D19" i="90"/>
  <c r="O5" i="9"/>
  <c r="AG5" i="9"/>
  <c r="AF5" i="9"/>
  <c r="Z2" i="9"/>
  <c r="L6" i="8" s="1"/>
  <c r="E18" i="8"/>
  <c r="P49" i="13"/>
  <c r="J58" i="13"/>
  <c r="P58" i="13" s="1"/>
  <c r="AG60" i="21"/>
  <c r="AF60" i="21"/>
  <c r="I1" i="77"/>
  <c r="P26" i="77"/>
  <c r="E22" i="76"/>
  <c r="O16" i="7"/>
  <c r="N15" i="9"/>
  <c r="AG49" i="9"/>
  <c r="AF49" i="9"/>
  <c r="N58" i="9"/>
  <c r="J69" i="11"/>
  <c r="P59" i="11"/>
  <c r="L60" i="69"/>
  <c r="Q60" i="69" s="1"/>
  <c r="AG60" i="69"/>
  <c r="AF60" i="69"/>
  <c r="O52" i="71"/>
  <c r="AG52" i="71"/>
  <c r="AF52" i="71"/>
  <c r="L52" i="77"/>
  <c r="AF52" i="77"/>
  <c r="R30" i="81"/>
  <c r="Q30" i="81"/>
  <c r="K58" i="83"/>
  <c r="L50" i="83"/>
  <c r="P51" i="87"/>
  <c r="L51" i="87"/>
  <c r="J26" i="89"/>
  <c r="P16" i="89"/>
  <c r="AG40" i="94"/>
  <c r="AF40" i="94"/>
  <c r="O40" i="94"/>
  <c r="O71" i="94"/>
  <c r="N79" i="94"/>
  <c r="R28" i="3"/>
  <c r="Q28" i="3"/>
  <c r="O50" i="3"/>
  <c r="AG50" i="3"/>
  <c r="AF50" i="3"/>
  <c r="N15" i="7"/>
  <c r="R7" i="9"/>
  <c r="Q7" i="9"/>
  <c r="AG39" i="11"/>
  <c r="L49" i="13"/>
  <c r="L58" i="13" s="1"/>
  <c r="H13" i="12" s="1"/>
  <c r="AF29" i="15"/>
  <c r="AG29" i="15"/>
  <c r="Q48" i="15"/>
  <c r="O16" i="69"/>
  <c r="AF16" i="69"/>
  <c r="N26" i="69"/>
  <c r="AG16" i="69"/>
  <c r="E18" i="16"/>
  <c r="Z2" i="69"/>
  <c r="G1" i="71"/>
  <c r="O70" i="73"/>
  <c r="O59" i="77"/>
  <c r="N15" i="79"/>
  <c r="AF5" i="79"/>
  <c r="AG5" i="79"/>
  <c r="O5" i="79"/>
  <c r="L6" i="81"/>
  <c r="R18" i="91"/>
  <c r="Q18" i="91"/>
  <c r="R50" i="94"/>
  <c r="Q50" i="94"/>
  <c r="O58" i="94"/>
  <c r="P79" i="3"/>
  <c r="J22" i="2"/>
  <c r="O62" i="11"/>
  <c r="O49" i="13"/>
  <c r="N58" i="13"/>
  <c r="AG49" i="13"/>
  <c r="AF49" i="13"/>
  <c r="AA2" i="69"/>
  <c r="E19" i="16"/>
  <c r="AG59" i="3"/>
  <c r="AG7" i="9"/>
  <c r="AF18" i="9"/>
  <c r="L61" i="11"/>
  <c r="N15" i="13"/>
  <c r="AG5" i="13"/>
  <c r="O5" i="13"/>
  <c r="AF5" i="13"/>
  <c r="P39" i="15"/>
  <c r="L39" i="15"/>
  <c r="H20" i="14"/>
  <c r="AD2" i="15"/>
  <c r="AG37" i="69"/>
  <c r="AH27" i="69" s="1"/>
  <c r="L5" i="71"/>
  <c r="N15" i="71"/>
  <c r="R60" i="71"/>
  <c r="Q60" i="71"/>
  <c r="H20" i="22"/>
  <c r="AD2" i="23"/>
  <c r="J69" i="73"/>
  <c r="P69" i="73" s="1"/>
  <c r="P61" i="73"/>
  <c r="R31" i="87"/>
  <c r="Q31" i="87"/>
  <c r="K37" i="3"/>
  <c r="L27" i="3"/>
  <c r="L37" i="3" s="1"/>
  <c r="AG27" i="3"/>
  <c r="AF27" i="3"/>
  <c r="AF37" i="3"/>
  <c r="Q37" i="3"/>
  <c r="AG37" i="3"/>
  <c r="AH27" i="3" s="1"/>
  <c r="L62" i="7"/>
  <c r="Q62" i="7" s="1"/>
  <c r="AG28" i="9"/>
  <c r="N37" i="9"/>
  <c r="O28" i="9"/>
  <c r="R60" i="9"/>
  <c r="Q60" i="9"/>
  <c r="N15" i="11"/>
  <c r="AF5" i="11"/>
  <c r="AG5" i="11"/>
  <c r="L30" i="11"/>
  <c r="R30" i="11" s="1"/>
  <c r="AF61" i="11"/>
  <c r="AG61" i="11"/>
  <c r="R39" i="13"/>
  <c r="Q39" i="13"/>
  <c r="J37" i="71"/>
  <c r="P27" i="71"/>
  <c r="L8" i="75"/>
  <c r="Q8" i="75" s="1"/>
  <c r="AG8" i="75"/>
  <c r="AF8" i="75"/>
  <c r="O50" i="75"/>
  <c r="AG50" i="75"/>
  <c r="AF50" i="75"/>
  <c r="K48" i="77"/>
  <c r="L38" i="77"/>
  <c r="L48" i="77" s="1"/>
  <c r="G13" i="76" s="1"/>
  <c r="AG30" i="79"/>
  <c r="L30" i="79"/>
  <c r="R30" i="79" s="1"/>
  <c r="AF62" i="79"/>
  <c r="O62" i="79"/>
  <c r="AG62" i="79"/>
  <c r="AG17" i="85"/>
  <c r="AF17" i="85"/>
  <c r="O17" i="85"/>
  <c r="E20" i="84"/>
  <c r="AD2" i="85"/>
  <c r="R17" i="94"/>
  <c r="Q17" i="94"/>
  <c r="P26" i="94"/>
  <c r="I1" i="94"/>
  <c r="AF49" i="103"/>
  <c r="N58" i="103"/>
  <c r="O49" i="103"/>
  <c r="AG49" i="103"/>
  <c r="R52" i="103"/>
  <c r="Q52" i="103"/>
  <c r="Q27" i="3"/>
  <c r="R27" i="3"/>
  <c r="O37" i="3"/>
  <c r="AF8" i="7"/>
  <c r="R62" i="7"/>
  <c r="O6" i="9"/>
  <c r="AF6" i="9"/>
  <c r="AG6" i="9"/>
  <c r="AF28" i="9"/>
  <c r="L30" i="9"/>
  <c r="Q30" i="9" s="1"/>
  <c r="R7" i="3"/>
  <c r="R38" i="7"/>
  <c r="O48" i="7"/>
  <c r="Q52" i="7"/>
  <c r="K58" i="7"/>
  <c r="G1" i="9"/>
  <c r="J58" i="11"/>
  <c r="P49" i="11"/>
  <c r="L48" i="13"/>
  <c r="G13" i="12" s="1"/>
  <c r="J37" i="15"/>
  <c r="P37" i="15" s="1"/>
  <c r="P27" i="15"/>
  <c r="AG51" i="15"/>
  <c r="AF51" i="15"/>
  <c r="O51" i="15"/>
  <c r="N6" i="16"/>
  <c r="O6" i="16"/>
  <c r="O37" i="69"/>
  <c r="L48" i="71"/>
  <c r="G13" i="18" s="1"/>
  <c r="Q62" i="21"/>
  <c r="J21" i="22"/>
  <c r="AE2" i="23"/>
  <c r="R19" i="73"/>
  <c r="Q19" i="73"/>
  <c r="Q17" i="77"/>
  <c r="R17" i="77"/>
  <c r="R6" i="3"/>
  <c r="Q6" i="3"/>
  <c r="L18" i="3"/>
  <c r="Q18" i="3" s="1"/>
  <c r="R40" i="3"/>
  <c r="Q40" i="3"/>
  <c r="AG70" i="3"/>
  <c r="AF70" i="3"/>
  <c r="O70" i="3"/>
  <c r="P26" i="7"/>
  <c r="AG70" i="7"/>
  <c r="O70" i="7"/>
  <c r="N79" i="7"/>
  <c r="J15" i="9"/>
  <c r="P15" i="9" s="1"/>
  <c r="AF17" i="9"/>
  <c r="AG17" i="9"/>
  <c r="N26" i="9"/>
  <c r="O51" i="9"/>
  <c r="AF51" i="9"/>
  <c r="AF49" i="11"/>
  <c r="O49" i="11"/>
  <c r="N58" i="11"/>
  <c r="AG49" i="11"/>
  <c r="O70" i="11"/>
  <c r="AF70" i="11"/>
  <c r="N79" i="11"/>
  <c r="AG70" i="11"/>
  <c r="AG6" i="13"/>
  <c r="O6" i="13"/>
  <c r="R38" i="13"/>
  <c r="Q38" i="13"/>
  <c r="O7" i="15"/>
  <c r="AG7" i="15"/>
  <c r="N69" i="15"/>
  <c r="O59" i="15"/>
  <c r="AF6" i="69"/>
  <c r="AG6" i="69"/>
  <c r="O6" i="69"/>
  <c r="O17" i="69"/>
  <c r="AG18" i="69"/>
  <c r="AF18" i="69"/>
  <c r="O18" i="69"/>
  <c r="AG50" i="21"/>
  <c r="AF50" i="21"/>
  <c r="O50" i="21"/>
  <c r="R61" i="21"/>
  <c r="Q61" i="21"/>
  <c r="AF38" i="23"/>
  <c r="N48" i="23"/>
  <c r="AG38" i="23"/>
  <c r="P16" i="73"/>
  <c r="J26" i="73"/>
  <c r="P26" i="73" s="1"/>
  <c r="O30" i="73"/>
  <c r="AG30" i="73"/>
  <c r="AF39" i="75"/>
  <c r="AG39" i="75"/>
  <c r="L37" i="77"/>
  <c r="F13" i="76" s="1"/>
  <c r="AG30" i="77"/>
  <c r="O30" i="77"/>
  <c r="AF30" i="77"/>
  <c r="N37" i="77"/>
  <c r="R60" i="77"/>
  <c r="Q60" i="77"/>
  <c r="O7" i="81"/>
  <c r="AG7" i="81"/>
  <c r="AF7" i="81"/>
  <c r="AG29" i="81"/>
  <c r="AF29" i="81"/>
  <c r="O29" i="81"/>
  <c r="AG51" i="83"/>
  <c r="AF51" i="83"/>
  <c r="O51" i="83"/>
  <c r="AG52" i="87"/>
  <c r="O52" i="87"/>
  <c r="AF58" i="91"/>
  <c r="L40" i="93"/>
  <c r="P40" i="93"/>
  <c r="R41" i="93"/>
  <c r="Q41" i="93"/>
  <c r="R65" i="99"/>
  <c r="Q65" i="99"/>
  <c r="AG61" i="3"/>
  <c r="AF61" i="3"/>
  <c r="O61" i="3"/>
  <c r="I1" i="7"/>
  <c r="K15" i="7"/>
  <c r="L16" i="7"/>
  <c r="L26" i="7" s="1"/>
  <c r="E13" i="6" s="1"/>
  <c r="AF70" i="7"/>
  <c r="L5" i="9"/>
  <c r="L16" i="9"/>
  <c r="AG51" i="9"/>
  <c r="O70" i="9"/>
  <c r="N79" i="9"/>
  <c r="AA2" i="11"/>
  <c r="M6" i="10" s="1"/>
  <c r="Q18" i="11"/>
  <c r="R18" i="11"/>
  <c r="AG40" i="11"/>
  <c r="P69" i="11"/>
  <c r="I22" i="10"/>
  <c r="AF6" i="13"/>
  <c r="O8" i="13"/>
  <c r="AG8" i="13"/>
  <c r="AF8" i="13"/>
  <c r="AG19" i="13"/>
  <c r="AF19" i="13"/>
  <c r="O31" i="13"/>
  <c r="AG31" i="13"/>
  <c r="AF31" i="13"/>
  <c r="N37" i="13"/>
  <c r="Q50" i="13"/>
  <c r="AF7" i="15"/>
  <c r="AF59" i="15"/>
  <c r="J79" i="15"/>
  <c r="P70" i="15"/>
  <c r="Q37" i="23"/>
  <c r="AF37" i="23"/>
  <c r="AG37" i="23"/>
  <c r="AH27" i="23" s="1"/>
  <c r="O38" i="23"/>
  <c r="L50" i="23"/>
  <c r="AF50" i="23"/>
  <c r="AG50" i="23"/>
  <c r="K26" i="73"/>
  <c r="AF30" i="73"/>
  <c r="O39" i="75"/>
  <c r="AF60" i="77"/>
  <c r="I22" i="76"/>
  <c r="P69" i="77"/>
  <c r="O19" i="79"/>
  <c r="AG19" i="79"/>
  <c r="O28" i="81"/>
  <c r="AG28" i="81"/>
  <c r="AF28" i="81"/>
  <c r="L48" i="81"/>
  <c r="G13" i="80" s="1"/>
  <c r="AF52" i="87"/>
  <c r="N58" i="87"/>
  <c r="E19" i="95"/>
  <c r="E19" i="90"/>
  <c r="Q58" i="91"/>
  <c r="AG7" i="99"/>
  <c r="AF7" i="99"/>
  <c r="O7" i="99"/>
  <c r="L30" i="99"/>
  <c r="K37" i="99"/>
  <c r="AG52" i="69"/>
  <c r="AF52" i="69"/>
  <c r="L19" i="71"/>
  <c r="Q19" i="71" s="1"/>
  <c r="AG28" i="71"/>
  <c r="O28" i="71"/>
  <c r="R39" i="71"/>
  <c r="O50" i="71"/>
  <c r="AG50" i="71"/>
  <c r="R39" i="21"/>
  <c r="R52" i="21"/>
  <c r="Q52" i="21"/>
  <c r="P38" i="73"/>
  <c r="J48" i="73"/>
  <c r="P48" i="73"/>
  <c r="AG17" i="75"/>
  <c r="N26" i="75"/>
  <c r="O17" i="75"/>
  <c r="R60" i="75"/>
  <c r="Q60" i="75"/>
  <c r="AF18" i="77"/>
  <c r="O18" i="77"/>
  <c r="AG18" i="77"/>
  <c r="I1" i="79"/>
  <c r="O17" i="83"/>
  <c r="AG17" i="83"/>
  <c r="AF17" i="83"/>
  <c r="N26" i="83"/>
  <c r="O16" i="85"/>
  <c r="N26" i="85"/>
  <c r="AG16" i="85"/>
  <c r="N37" i="87"/>
  <c r="AG27" i="87"/>
  <c r="O27" i="87"/>
  <c r="L39" i="91"/>
  <c r="L48" i="91" s="1"/>
  <c r="G13" i="90" s="1"/>
  <c r="P39" i="91"/>
  <c r="J48" i="91"/>
  <c r="P48" i="91" s="1"/>
  <c r="AF39" i="94"/>
  <c r="AG39" i="94"/>
  <c r="AG61" i="103"/>
  <c r="AF61" i="103"/>
  <c r="O61" i="103"/>
  <c r="J48" i="105"/>
  <c r="P48" i="105" s="1"/>
  <c r="P38" i="105"/>
  <c r="N15" i="3"/>
  <c r="AG5" i="3"/>
  <c r="J48" i="15"/>
  <c r="AF38" i="69"/>
  <c r="N48" i="69"/>
  <c r="O38" i="69"/>
  <c r="O51" i="69"/>
  <c r="O52" i="69"/>
  <c r="L8" i="71"/>
  <c r="Q8" i="71" s="1"/>
  <c r="N58" i="71"/>
  <c r="L5" i="21"/>
  <c r="J58" i="23"/>
  <c r="P58" i="23" s="1"/>
  <c r="P49" i="23"/>
  <c r="AG50" i="83"/>
  <c r="AF50" i="83"/>
  <c r="AF16" i="85"/>
  <c r="AG31" i="93"/>
  <c r="AF31" i="93"/>
  <c r="O31" i="93"/>
  <c r="AF49" i="93"/>
  <c r="O49" i="93"/>
  <c r="AG49" i="93"/>
  <c r="R18" i="99"/>
  <c r="Q18" i="99"/>
  <c r="J69" i="7"/>
  <c r="P59" i="7"/>
  <c r="P18" i="15"/>
  <c r="L18" i="15"/>
  <c r="Q27" i="15"/>
  <c r="L31" i="15"/>
  <c r="Q31" i="15" s="1"/>
  <c r="K48" i="15"/>
  <c r="AF48" i="15" s="1"/>
  <c r="L38" i="15"/>
  <c r="AG62" i="15"/>
  <c r="AF62" i="15"/>
  <c r="AF30" i="69"/>
  <c r="K69" i="69"/>
  <c r="L59" i="69"/>
  <c r="R8" i="71"/>
  <c r="P18" i="71"/>
  <c r="L18" i="71"/>
  <c r="AG27" i="71"/>
  <c r="O27" i="71"/>
  <c r="N37" i="71"/>
  <c r="AG41" i="71"/>
  <c r="AF41" i="71"/>
  <c r="AG49" i="71"/>
  <c r="AF49" i="71"/>
  <c r="AF51" i="71"/>
  <c r="L62" i="71"/>
  <c r="Z2" i="21"/>
  <c r="O28" i="21"/>
  <c r="AG28" i="21"/>
  <c r="AF28" i="21"/>
  <c r="AG29" i="21"/>
  <c r="O29" i="21"/>
  <c r="AG39" i="21"/>
  <c r="AG49" i="21"/>
  <c r="O69" i="21"/>
  <c r="P16" i="23"/>
  <c r="J26" i="23"/>
  <c r="L29" i="23"/>
  <c r="L37" i="23" s="1"/>
  <c r="F13" i="22" s="1"/>
  <c r="R42" i="23"/>
  <c r="K58" i="23"/>
  <c r="L49" i="23"/>
  <c r="AG70" i="23"/>
  <c r="AG61" i="73"/>
  <c r="AF61" i="73"/>
  <c r="O61" i="73"/>
  <c r="Q20" i="75"/>
  <c r="R20" i="75"/>
  <c r="AF29" i="75"/>
  <c r="R49" i="75"/>
  <c r="K79" i="75"/>
  <c r="AG79" i="75" s="1"/>
  <c r="AH70" i="75" s="1"/>
  <c r="L70" i="75"/>
  <c r="L79" i="75" s="1"/>
  <c r="J13" i="74" s="1"/>
  <c r="O5" i="77"/>
  <c r="AG5" i="77"/>
  <c r="L7" i="77"/>
  <c r="Q7" i="77" s="1"/>
  <c r="P7" i="77"/>
  <c r="Q30" i="79"/>
  <c r="K37" i="81"/>
  <c r="L27" i="81"/>
  <c r="L37" i="81" s="1"/>
  <c r="F13" i="80" s="1"/>
  <c r="P48" i="81"/>
  <c r="AG5" i="83"/>
  <c r="AF5" i="83"/>
  <c r="K15" i="83"/>
  <c r="AG16" i="83"/>
  <c r="K26" i="83"/>
  <c r="L29" i="83"/>
  <c r="AG29" i="83"/>
  <c r="O50" i="83"/>
  <c r="AG19" i="87"/>
  <c r="O19" i="87"/>
  <c r="AF49" i="87"/>
  <c r="R6" i="89"/>
  <c r="Q6" i="89"/>
  <c r="O49" i="89"/>
  <c r="AF49" i="89"/>
  <c r="AG49" i="89"/>
  <c r="G1" i="91"/>
  <c r="AG28" i="93"/>
  <c r="O28" i="93"/>
  <c r="AF28" i="93"/>
  <c r="O61" i="93"/>
  <c r="AG61" i="93"/>
  <c r="AF61" i="93"/>
  <c r="L18" i="94"/>
  <c r="Q18" i="94" s="1"/>
  <c r="K58" i="94"/>
  <c r="Q58" i="94" s="1"/>
  <c r="L49" i="94"/>
  <c r="R70" i="94"/>
  <c r="Q70" i="94"/>
  <c r="AG16" i="99"/>
  <c r="O16" i="99"/>
  <c r="N26" i="99"/>
  <c r="AF16" i="99"/>
  <c r="Q38" i="99"/>
  <c r="R38" i="99"/>
  <c r="AG50" i="101"/>
  <c r="L50" i="101"/>
  <c r="AF50" i="101"/>
  <c r="P63" i="103"/>
  <c r="L63" i="103"/>
  <c r="AG28" i="107"/>
  <c r="N37" i="107"/>
  <c r="AF28" i="107"/>
  <c r="O28" i="107"/>
  <c r="L79" i="107"/>
  <c r="J13" i="106" s="1"/>
  <c r="AG51" i="3"/>
  <c r="E22" i="6"/>
  <c r="J15" i="7"/>
  <c r="P15" i="7" s="1"/>
  <c r="AA2" i="7"/>
  <c r="L19" i="7"/>
  <c r="O29" i="7"/>
  <c r="K37" i="7"/>
  <c r="AG52" i="7"/>
  <c r="N58" i="7"/>
  <c r="AF62" i="7"/>
  <c r="L8" i="9"/>
  <c r="AD2" i="9"/>
  <c r="N6" i="8" s="1"/>
  <c r="D20" i="8"/>
  <c r="AF29" i="9"/>
  <c r="O29" i="9"/>
  <c r="R30" i="9"/>
  <c r="J37" i="9"/>
  <c r="P37" i="9" s="1"/>
  <c r="AG53" i="9"/>
  <c r="K58" i="9"/>
  <c r="L51" i="11"/>
  <c r="R59" i="11"/>
  <c r="Q59" i="11"/>
  <c r="L7" i="13"/>
  <c r="K69" i="13"/>
  <c r="AG19" i="15"/>
  <c r="O19" i="15"/>
  <c r="R27" i="15"/>
  <c r="AG31" i="15"/>
  <c r="AF31" i="15"/>
  <c r="O52" i="15"/>
  <c r="AG52" i="15"/>
  <c r="AF52" i="15"/>
  <c r="AD2" i="69"/>
  <c r="K26" i="69"/>
  <c r="O6" i="18"/>
  <c r="AF27" i="71"/>
  <c r="L30" i="71"/>
  <c r="Q30" i="71" s="1"/>
  <c r="O41" i="71"/>
  <c r="O49" i="71"/>
  <c r="J14" i="18"/>
  <c r="L8" i="21"/>
  <c r="Q8" i="21" s="1"/>
  <c r="AF29" i="21"/>
  <c r="AF7" i="23"/>
  <c r="O7" i="23"/>
  <c r="I1" i="23"/>
  <c r="P15" i="23"/>
  <c r="R17" i="23"/>
  <c r="Q17" i="23"/>
  <c r="Q29" i="23"/>
  <c r="P48" i="23"/>
  <c r="R49" i="23"/>
  <c r="Q49" i="23"/>
  <c r="L8" i="73"/>
  <c r="L18" i="73"/>
  <c r="Q52" i="73"/>
  <c r="AG41" i="75"/>
  <c r="AF41" i="75"/>
  <c r="O41" i="75"/>
  <c r="K69" i="75"/>
  <c r="AG59" i="75"/>
  <c r="AF59" i="75"/>
  <c r="AF70" i="75"/>
  <c r="AG70" i="75"/>
  <c r="AF5" i="77"/>
  <c r="AG40" i="77"/>
  <c r="AF40" i="77"/>
  <c r="AA2" i="79"/>
  <c r="O6" i="79"/>
  <c r="AF6" i="79"/>
  <c r="AG6" i="79"/>
  <c r="D21" i="78"/>
  <c r="AE2" i="79"/>
  <c r="R20" i="79"/>
  <c r="K37" i="79"/>
  <c r="L29" i="79"/>
  <c r="AG61" i="79"/>
  <c r="O61" i="79"/>
  <c r="R71" i="79"/>
  <c r="P16" i="81"/>
  <c r="L16" i="81"/>
  <c r="L26" i="81" s="1"/>
  <c r="E13" i="80" s="1"/>
  <c r="AG51" i="81"/>
  <c r="O51" i="81"/>
  <c r="Q71" i="81"/>
  <c r="O5" i="83"/>
  <c r="L16" i="83"/>
  <c r="L26" i="83" s="1"/>
  <c r="E13" i="82" s="1"/>
  <c r="J58" i="83"/>
  <c r="L49" i="83"/>
  <c r="Q70" i="83"/>
  <c r="O79" i="83"/>
  <c r="R70" i="83"/>
  <c r="R6" i="85"/>
  <c r="Q6" i="85"/>
  <c r="AE2" i="85"/>
  <c r="D21" i="84"/>
  <c r="O30" i="85"/>
  <c r="O38" i="85"/>
  <c r="AG38" i="85"/>
  <c r="O53" i="85"/>
  <c r="AG53" i="85"/>
  <c r="AF53" i="85"/>
  <c r="AF19" i="87"/>
  <c r="AG49" i="87"/>
  <c r="R17" i="89"/>
  <c r="Q17" i="89"/>
  <c r="P5" i="91"/>
  <c r="J15" i="91"/>
  <c r="P15" i="91" s="1"/>
  <c r="N58" i="93"/>
  <c r="P41" i="94"/>
  <c r="L41" i="94"/>
  <c r="O6" i="101"/>
  <c r="AG6" i="101"/>
  <c r="AF6" i="101"/>
  <c r="L51" i="103"/>
  <c r="P27" i="105"/>
  <c r="J37" i="105"/>
  <c r="P37" i="105" s="1"/>
  <c r="R41" i="105"/>
  <c r="Q41" i="105"/>
  <c r="F20" i="106"/>
  <c r="AD2" i="107"/>
  <c r="N79" i="107"/>
  <c r="AG70" i="107"/>
  <c r="O70" i="107"/>
  <c r="AF70" i="107"/>
  <c r="L58" i="109"/>
  <c r="H13" i="108" s="1"/>
  <c r="K26" i="15"/>
  <c r="J48" i="71"/>
  <c r="P48" i="71" s="1"/>
  <c r="P38" i="71"/>
  <c r="K69" i="21"/>
  <c r="L69" i="23"/>
  <c r="I13" i="22" s="1"/>
  <c r="J6" i="22" s="1"/>
  <c r="AF16" i="73"/>
  <c r="N26" i="73"/>
  <c r="AG16" i="73"/>
  <c r="L29" i="73"/>
  <c r="L61" i="73"/>
  <c r="P60" i="81"/>
  <c r="L60" i="81"/>
  <c r="R60" i="81" s="1"/>
  <c r="L38" i="83"/>
  <c r="AF38" i="83"/>
  <c r="AG38" i="83"/>
  <c r="O71" i="83"/>
  <c r="N79" i="83"/>
  <c r="P53" i="87"/>
  <c r="L53" i="87"/>
  <c r="Q53" i="87" s="1"/>
  <c r="AG29" i="3"/>
  <c r="AF29" i="3"/>
  <c r="N48" i="3"/>
  <c r="O38" i="3"/>
  <c r="L29" i="7"/>
  <c r="AF8" i="69"/>
  <c r="AG8" i="69"/>
  <c r="AG30" i="69"/>
  <c r="O30" i="69"/>
  <c r="K48" i="71"/>
  <c r="AG6" i="21"/>
  <c r="O6" i="21"/>
  <c r="I1" i="21"/>
  <c r="P15" i="21"/>
  <c r="AF39" i="21"/>
  <c r="L51" i="21"/>
  <c r="R51" i="21" s="1"/>
  <c r="N58" i="21"/>
  <c r="AG18" i="23"/>
  <c r="O69" i="23"/>
  <c r="O16" i="73"/>
  <c r="K48" i="73"/>
  <c r="L38" i="73"/>
  <c r="L48" i="73" s="1"/>
  <c r="G13" i="72" s="1"/>
  <c r="L29" i="75"/>
  <c r="K37" i="75"/>
  <c r="R30" i="75"/>
  <c r="P48" i="75"/>
  <c r="AF8" i="77"/>
  <c r="O8" i="77"/>
  <c r="AG17" i="77"/>
  <c r="AF17" i="77"/>
  <c r="G1" i="81"/>
  <c r="J37" i="81"/>
  <c r="P37" i="81" s="1"/>
  <c r="P27" i="81"/>
  <c r="AF48" i="81"/>
  <c r="AG52" i="81"/>
  <c r="O52" i="81"/>
  <c r="J26" i="83"/>
  <c r="P26" i="83" s="1"/>
  <c r="P16" i="83"/>
  <c r="AA2" i="85"/>
  <c r="K15" i="87"/>
  <c r="AF39" i="89"/>
  <c r="O39" i="89"/>
  <c r="K58" i="89"/>
  <c r="AF58" i="89" s="1"/>
  <c r="L49" i="89"/>
  <c r="N69" i="89"/>
  <c r="O59" i="89"/>
  <c r="AG59" i="89"/>
  <c r="O28" i="91"/>
  <c r="AF28" i="91"/>
  <c r="AG28" i="91"/>
  <c r="O9" i="94"/>
  <c r="AF9" i="94"/>
  <c r="AG9" i="94"/>
  <c r="J37" i="99"/>
  <c r="P37" i="99" s="1"/>
  <c r="P27" i="99"/>
  <c r="L50" i="107"/>
  <c r="AG50" i="107"/>
  <c r="AF50" i="107"/>
  <c r="AF5" i="3"/>
  <c r="O29" i="3"/>
  <c r="L6" i="7"/>
  <c r="L15" i="7" s="1"/>
  <c r="D13" i="6" s="1"/>
  <c r="D18" i="6"/>
  <c r="Z2" i="7"/>
  <c r="L29" i="9"/>
  <c r="L37" i="9" s="1"/>
  <c r="F13" i="8" s="1"/>
  <c r="L61" i="9"/>
  <c r="L59" i="11"/>
  <c r="L69" i="11" s="1"/>
  <c r="I13" i="10" s="1"/>
  <c r="J6" i="10" s="1"/>
  <c r="D21" i="14"/>
  <c r="AE2" i="15"/>
  <c r="AF38" i="3"/>
  <c r="R19" i="7"/>
  <c r="Q19" i="7"/>
  <c r="J37" i="7"/>
  <c r="P37" i="7" s="1"/>
  <c r="P27" i="7"/>
  <c r="L28" i="7"/>
  <c r="L37" i="7" s="1"/>
  <c r="F13" i="6" s="1"/>
  <c r="R49" i="7"/>
  <c r="Q49" i="7"/>
  <c r="R51" i="7"/>
  <c r="L59" i="7"/>
  <c r="K69" i="7"/>
  <c r="R8" i="9"/>
  <c r="Q8" i="9"/>
  <c r="AE2" i="9"/>
  <c r="O6" i="8" s="1"/>
  <c r="K37" i="9"/>
  <c r="Q40" i="9"/>
  <c r="J69" i="9"/>
  <c r="P69" i="9" s="1"/>
  <c r="P59" i="9"/>
  <c r="P79" i="9"/>
  <c r="L29" i="11"/>
  <c r="L37" i="11" s="1"/>
  <c r="F13" i="10" s="1"/>
  <c r="R51" i="11"/>
  <c r="Q51" i="11"/>
  <c r="P58" i="11"/>
  <c r="AG17" i="13"/>
  <c r="N26" i="13"/>
  <c r="O17" i="13"/>
  <c r="AG40" i="13"/>
  <c r="AF40" i="13"/>
  <c r="O61" i="13"/>
  <c r="AF61" i="13"/>
  <c r="D19" i="14"/>
  <c r="AG8" i="15"/>
  <c r="O8" i="15"/>
  <c r="AF19" i="15"/>
  <c r="P26" i="15"/>
  <c r="AF19" i="69"/>
  <c r="AG19" i="69"/>
  <c r="L41" i="69"/>
  <c r="AG59" i="69"/>
  <c r="AF59" i="69"/>
  <c r="AG79" i="69"/>
  <c r="AH70" i="69" s="1"/>
  <c r="AF79" i="69"/>
  <c r="P7" i="71"/>
  <c r="L7" i="71"/>
  <c r="D21" i="18"/>
  <c r="AE2" i="71"/>
  <c r="N48" i="71"/>
  <c r="AG38" i="71"/>
  <c r="AF38" i="71"/>
  <c r="Q6" i="23"/>
  <c r="O26" i="23"/>
  <c r="AG49" i="23"/>
  <c r="R59" i="23"/>
  <c r="R8" i="73"/>
  <c r="AG38" i="73"/>
  <c r="G19" i="72"/>
  <c r="AA2" i="73"/>
  <c r="K26" i="75"/>
  <c r="L16" i="75"/>
  <c r="R16" i="75" s="1"/>
  <c r="AF17" i="75"/>
  <c r="R59" i="75"/>
  <c r="Q59" i="75"/>
  <c r="AG17" i="79"/>
  <c r="AF17" i="79"/>
  <c r="O17" i="79"/>
  <c r="K58" i="79"/>
  <c r="AG58" i="79" s="1"/>
  <c r="AH49" i="79" s="1"/>
  <c r="L49" i="79"/>
  <c r="P79" i="81"/>
  <c r="J22" i="80"/>
  <c r="AG8" i="85"/>
  <c r="AF8" i="85"/>
  <c r="G22" i="88"/>
  <c r="P48" i="89"/>
  <c r="AF53" i="89"/>
  <c r="AG53" i="89"/>
  <c r="AG58" i="89"/>
  <c r="AH49" i="89" s="1"/>
  <c r="G1" i="93"/>
  <c r="R27" i="93"/>
  <c r="R72" i="93"/>
  <c r="Q72" i="93"/>
  <c r="J48" i="94"/>
  <c r="P48" i="94" s="1"/>
  <c r="P38" i="94"/>
  <c r="AF61" i="94"/>
  <c r="AG61" i="94"/>
  <c r="O61" i="94"/>
  <c r="N69" i="94"/>
  <c r="O39" i="103"/>
  <c r="AF39" i="103"/>
  <c r="AG39" i="103"/>
  <c r="AG70" i="105"/>
  <c r="AF70" i="105"/>
  <c r="O70" i="105"/>
  <c r="J3" i="2"/>
  <c r="AG38" i="3"/>
  <c r="AF51" i="7"/>
  <c r="AF60" i="7"/>
  <c r="AF61" i="7"/>
  <c r="L18" i="9"/>
  <c r="D19" i="10"/>
  <c r="AF8" i="11"/>
  <c r="AG8" i="11"/>
  <c r="J37" i="11"/>
  <c r="P37" i="11" s="1"/>
  <c r="P79" i="11"/>
  <c r="AA2" i="13"/>
  <c r="M6" i="12" s="1"/>
  <c r="R29" i="13"/>
  <c r="Q29" i="13"/>
  <c r="O40" i="13"/>
  <c r="AG61" i="15"/>
  <c r="O61" i="15"/>
  <c r="L29" i="71"/>
  <c r="R29" i="71" s="1"/>
  <c r="AF40" i="71"/>
  <c r="AG40" i="71"/>
  <c r="L70" i="71"/>
  <c r="D18" i="20"/>
  <c r="AF5" i="21"/>
  <c r="AF59" i="21"/>
  <c r="J15" i="23"/>
  <c r="O28" i="23"/>
  <c r="AG52" i="23"/>
  <c r="O52" i="23"/>
  <c r="AG59" i="23"/>
  <c r="N69" i="23"/>
  <c r="AF59" i="23"/>
  <c r="K15" i="73"/>
  <c r="AG15" i="73" s="1"/>
  <c r="AH5" i="73" s="1"/>
  <c r="R40" i="73"/>
  <c r="Q40" i="73"/>
  <c r="O26" i="75"/>
  <c r="Q16" i="75"/>
  <c r="AG29" i="75"/>
  <c r="AG52" i="75"/>
  <c r="O52" i="75"/>
  <c r="P58" i="75"/>
  <c r="O62" i="75"/>
  <c r="O69" i="75"/>
  <c r="R7" i="77"/>
  <c r="AG8" i="77"/>
  <c r="AF16" i="77"/>
  <c r="AG16" i="77"/>
  <c r="O28" i="77"/>
  <c r="AF28" i="77"/>
  <c r="AG28" i="77"/>
  <c r="G1" i="79"/>
  <c r="AG50" i="79"/>
  <c r="O50" i="79"/>
  <c r="AF50" i="79"/>
  <c r="O60" i="79"/>
  <c r="AF60" i="79"/>
  <c r="J15" i="81"/>
  <c r="P15" i="81" s="1"/>
  <c r="AG16" i="81"/>
  <c r="AF16" i="81"/>
  <c r="O16" i="81"/>
  <c r="N26" i="81"/>
  <c r="O19" i="81"/>
  <c r="AG19" i="81"/>
  <c r="R16" i="83"/>
  <c r="Q16" i="83"/>
  <c r="O26" i="83"/>
  <c r="O58" i="83"/>
  <c r="R49" i="83"/>
  <c r="Q49" i="83"/>
  <c r="L8" i="85"/>
  <c r="R8" i="85" s="1"/>
  <c r="G1" i="87"/>
  <c r="Q17" i="87"/>
  <c r="R17" i="87"/>
  <c r="AF29" i="87"/>
  <c r="AG29" i="87"/>
  <c r="O29" i="87"/>
  <c r="AA2" i="87"/>
  <c r="G19" i="86"/>
  <c r="N69" i="87"/>
  <c r="O60" i="87"/>
  <c r="AG39" i="89"/>
  <c r="L53" i="89"/>
  <c r="Z2" i="89"/>
  <c r="H18" i="88"/>
  <c r="AF59" i="89"/>
  <c r="AG19" i="91"/>
  <c r="AF19" i="91"/>
  <c r="O19" i="91"/>
  <c r="AF27" i="91"/>
  <c r="N37" i="91"/>
  <c r="P50" i="91"/>
  <c r="J58" i="91"/>
  <c r="Q7" i="93"/>
  <c r="O51" i="93"/>
  <c r="AG51" i="93"/>
  <c r="AF51" i="93"/>
  <c r="L38" i="94"/>
  <c r="K48" i="94"/>
  <c r="AG38" i="94"/>
  <c r="I22" i="95"/>
  <c r="P69" i="94"/>
  <c r="AG16" i="103"/>
  <c r="AF16" i="103"/>
  <c r="O16" i="103"/>
  <c r="N26" i="103"/>
  <c r="F22" i="104"/>
  <c r="Q64" i="107"/>
  <c r="R64" i="107"/>
  <c r="AF61" i="109"/>
  <c r="O61" i="109"/>
  <c r="AG61" i="109"/>
  <c r="J22" i="6"/>
  <c r="AF5" i="7"/>
  <c r="O5" i="7"/>
  <c r="R18" i="7"/>
  <c r="Q18" i="7"/>
  <c r="AG51" i="7"/>
  <c r="O59" i="7"/>
  <c r="N69" i="7"/>
  <c r="AG60" i="7"/>
  <c r="AG61" i="7"/>
  <c r="AA2" i="9"/>
  <c r="M6" i="8" s="1"/>
  <c r="L7" i="9"/>
  <c r="AF8" i="9"/>
  <c r="L38" i="9"/>
  <c r="K48" i="9"/>
  <c r="Q52" i="9"/>
  <c r="Q53" i="9"/>
  <c r="L59" i="9"/>
  <c r="L69" i="9" s="1"/>
  <c r="I13" i="8" s="1"/>
  <c r="J6" i="8" s="1"/>
  <c r="O7" i="11"/>
  <c r="AG7" i="11"/>
  <c r="AF7" i="11"/>
  <c r="K37" i="11"/>
  <c r="AF30" i="11"/>
  <c r="N69" i="11"/>
  <c r="K26" i="13"/>
  <c r="L16" i="13"/>
  <c r="R16" i="13" s="1"/>
  <c r="K37" i="13"/>
  <c r="AF29" i="13"/>
  <c r="AG51" i="13"/>
  <c r="O51" i="13"/>
  <c r="P52" i="13"/>
  <c r="AF62" i="13"/>
  <c r="N79" i="13"/>
  <c r="J26" i="15"/>
  <c r="O30" i="15"/>
  <c r="O37" i="15" s="1"/>
  <c r="AG30" i="15"/>
  <c r="AG38" i="15"/>
  <c r="R41" i="15"/>
  <c r="AF61" i="15"/>
  <c r="P79" i="15"/>
  <c r="J22" i="14"/>
  <c r="P5" i="69"/>
  <c r="L5" i="69"/>
  <c r="L15" i="69" s="1"/>
  <c r="D13" i="16" s="1"/>
  <c r="J15" i="69"/>
  <c r="P15" i="69" s="1"/>
  <c r="L17" i="69"/>
  <c r="P19" i="69"/>
  <c r="Q27" i="69"/>
  <c r="AG29" i="69"/>
  <c r="AG50" i="69"/>
  <c r="AF50" i="69"/>
  <c r="J69" i="69"/>
  <c r="P69" i="69" s="1"/>
  <c r="AA2" i="71"/>
  <c r="AF8" i="71"/>
  <c r="L17" i="71"/>
  <c r="R17" i="71" s="1"/>
  <c r="O40" i="71"/>
  <c r="J69" i="71"/>
  <c r="P69" i="71" s="1"/>
  <c r="P61" i="71"/>
  <c r="N79" i="71"/>
  <c r="AF70" i="71"/>
  <c r="L7" i="21"/>
  <c r="Q7" i="21" s="1"/>
  <c r="K58" i="21"/>
  <c r="AF51" i="21"/>
  <c r="AG59" i="21"/>
  <c r="J22" i="20"/>
  <c r="P79" i="21"/>
  <c r="L5" i="23"/>
  <c r="L15" i="23" s="1"/>
  <c r="D13" i="22" s="1"/>
  <c r="P26" i="23"/>
  <c r="AG27" i="23"/>
  <c r="AF27" i="23"/>
  <c r="AG29" i="23"/>
  <c r="AF29" i="23"/>
  <c r="L51" i="23"/>
  <c r="AF52" i="23"/>
  <c r="L5" i="73"/>
  <c r="Q8" i="73"/>
  <c r="H22" i="72"/>
  <c r="P58" i="73"/>
  <c r="I1" i="73"/>
  <c r="AA2" i="75"/>
  <c r="AF52" i="75"/>
  <c r="L16" i="77"/>
  <c r="J37" i="77"/>
  <c r="P37" i="77" s="1"/>
  <c r="P27" i="77"/>
  <c r="Q40" i="77"/>
  <c r="J58" i="77"/>
  <c r="P58" i="77" s="1"/>
  <c r="P70" i="77"/>
  <c r="J79" i="77"/>
  <c r="P79" i="77" s="1"/>
  <c r="J15" i="79"/>
  <c r="P15" i="79" s="1"/>
  <c r="P5" i="79"/>
  <c r="R8" i="79"/>
  <c r="N79" i="79"/>
  <c r="AF19" i="81"/>
  <c r="L50" i="81"/>
  <c r="Q50" i="81" s="1"/>
  <c r="I22" i="80"/>
  <c r="G1" i="83"/>
  <c r="O7" i="83"/>
  <c r="AF7" i="83"/>
  <c r="L28" i="83"/>
  <c r="AG39" i="83"/>
  <c r="AF39" i="83"/>
  <c r="N48" i="83"/>
  <c r="K48" i="83"/>
  <c r="P49" i="83"/>
  <c r="L69" i="83"/>
  <c r="I13" i="82" s="1"/>
  <c r="J6" i="82" s="1"/>
  <c r="AG62" i="83"/>
  <c r="AF62" i="83"/>
  <c r="AG27" i="85"/>
  <c r="AF27" i="85"/>
  <c r="O27" i="85"/>
  <c r="N37" i="85"/>
  <c r="AF30" i="85"/>
  <c r="L58" i="85"/>
  <c r="H13" i="84" s="1"/>
  <c r="O61" i="85"/>
  <c r="AG61" i="85"/>
  <c r="AF61" i="85"/>
  <c r="L62" i="87"/>
  <c r="K69" i="87"/>
  <c r="AG30" i="89"/>
  <c r="AF30" i="89"/>
  <c r="O30" i="89"/>
  <c r="AG27" i="91"/>
  <c r="O41" i="91"/>
  <c r="AF41" i="91"/>
  <c r="L50" i="91"/>
  <c r="Q27" i="93"/>
  <c r="Q53" i="93"/>
  <c r="J37" i="94"/>
  <c r="P27" i="94"/>
  <c r="K48" i="101"/>
  <c r="L38" i="101"/>
  <c r="AG38" i="101"/>
  <c r="AF38" i="101"/>
  <c r="L18" i="105"/>
  <c r="Q18" i="105" s="1"/>
  <c r="K26" i="105"/>
  <c r="AG18" i="105"/>
  <c r="AF18" i="105"/>
  <c r="N79" i="105"/>
  <c r="AG60" i="107"/>
  <c r="O60" i="107"/>
  <c r="AF60" i="107"/>
  <c r="K69" i="15"/>
  <c r="L61" i="15"/>
  <c r="AG70" i="15"/>
  <c r="AF70" i="15"/>
  <c r="L38" i="69"/>
  <c r="L48" i="69" s="1"/>
  <c r="G13" i="16" s="1"/>
  <c r="AF5" i="71"/>
  <c r="O5" i="71"/>
  <c r="H22" i="18"/>
  <c r="I1" i="71"/>
  <c r="P58" i="71"/>
  <c r="L7" i="23"/>
  <c r="O70" i="23"/>
  <c r="N79" i="23"/>
  <c r="R5" i="75"/>
  <c r="AG18" i="79"/>
  <c r="AF18" i="79"/>
  <c r="O27" i="79"/>
  <c r="N37" i="79"/>
  <c r="AG27" i="79"/>
  <c r="AG52" i="79"/>
  <c r="O52" i="79"/>
  <c r="O49" i="81"/>
  <c r="AF49" i="81"/>
  <c r="AG49" i="81"/>
  <c r="R30" i="83"/>
  <c r="Q30" i="83"/>
  <c r="AG30" i="87"/>
  <c r="AF30" i="87"/>
  <c r="J58" i="89"/>
  <c r="P49" i="89"/>
  <c r="L69" i="89"/>
  <c r="I13" i="88" s="1"/>
  <c r="J6" i="88" s="1"/>
  <c r="R19" i="94"/>
  <c r="Q19" i="94"/>
  <c r="AF30" i="99"/>
  <c r="O30" i="99"/>
  <c r="AG30" i="99"/>
  <c r="O7" i="105"/>
  <c r="AG7" i="105"/>
  <c r="AF7" i="105"/>
  <c r="L41" i="105"/>
  <c r="P41" i="105"/>
  <c r="P37" i="107"/>
  <c r="F22" i="106"/>
  <c r="J15" i="109"/>
  <c r="P5" i="109"/>
  <c r="L5" i="109"/>
  <c r="AG28" i="3"/>
  <c r="AG30" i="7"/>
  <c r="O30" i="7"/>
  <c r="Q48" i="7"/>
  <c r="L8" i="11"/>
  <c r="R8" i="11" s="1"/>
  <c r="AF28" i="71"/>
  <c r="L59" i="21"/>
  <c r="L69" i="21" s="1"/>
  <c r="I13" i="20" s="1"/>
  <c r="J6" i="20" s="1"/>
  <c r="O7" i="79"/>
  <c r="AF7" i="79"/>
  <c r="AG7" i="79"/>
  <c r="O18" i="79"/>
  <c r="L38" i="85"/>
  <c r="K48" i="85"/>
  <c r="AF27" i="87"/>
  <c r="L39" i="94"/>
  <c r="Q39" i="94" s="1"/>
  <c r="AF51" i="3"/>
  <c r="H22" i="6"/>
  <c r="P58" i="7"/>
  <c r="AF18" i="3"/>
  <c r="L40" i="7"/>
  <c r="L48" i="7" s="1"/>
  <c r="G13" i="6" s="1"/>
  <c r="Q60" i="7"/>
  <c r="AF7" i="13"/>
  <c r="O7" i="13"/>
  <c r="P38" i="15"/>
  <c r="R28" i="69"/>
  <c r="Q28" i="69"/>
  <c r="AG38" i="69"/>
  <c r="Q62" i="71"/>
  <c r="R62" i="71"/>
  <c r="P79" i="71"/>
  <c r="J15" i="73"/>
  <c r="P15" i="73" s="1"/>
  <c r="P5" i="73"/>
  <c r="AG6" i="73"/>
  <c r="O18" i="73"/>
  <c r="AF18" i="73"/>
  <c r="AG18" i="73"/>
  <c r="R7" i="75"/>
  <c r="P38" i="79"/>
  <c r="J48" i="79"/>
  <c r="P48" i="79" s="1"/>
  <c r="P26" i="81"/>
  <c r="I1" i="81"/>
  <c r="E22" i="80"/>
  <c r="P16" i="93"/>
  <c r="J26" i="93"/>
  <c r="P26" i="93" s="1"/>
  <c r="P6" i="94"/>
  <c r="L6" i="94"/>
  <c r="AF30" i="7"/>
  <c r="N37" i="7"/>
  <c r="I22" i="6"/>
  <c r="P69" i="7"/>
  <c r="O60" i="11"/>
  <c r="AG60" i="11"/>
  <c r="AF60" i="11"/>
  <c r="P27" i="13"/>
  <c r="J37" i="13"/>
  <c r="P37" i="13" s="1"/>
  <c r="K48" i="13"/>
  <c r="Q48" i="13" s="1"/>
  <c r="L51" i="13"/>
  <c r="P69" i="13"/>
  <c r="AF8" i="15"/>
  <c r="G1" i="69"/>
  <c r="O19" i="69"/>
  <c r="AF29" i="69"/>
  <c r="AF50" i="71"/>
  <c r="AG38" i="21"/>
  <c r="AF38" i="21"/>
  <c r="N48" i="21"/>
  <c r="O38" i="21"/>
  <c r="AF28" i="3"/>
  <c r="P5" i="7"/>
  <c r="K26" i="7"/>
  <c r="AF19" i="7"/>
  <c r="AG27" i="7"/>
  <c r="AF27" i="7"/>
  <c r="AF38" i="7"/>
  <c r="R39" i="7"/>
  <c r="Q39" i="7"/>
  <c r="P26" i="9"/>
  <c r="I1" i="9"/>
  <c r="AG29" i="9"/>
  <c r="J48" i="9"/>
  <c r="P48" i="9" s="1"/>
  <c r="P58" i="9"/>
  <c r="J15" i="11"/>
  <c r="P15" i="11" s="1"/>
  <c r="J26" i="11"/>
  <c r="P26" i="11" s="1"/>
  <c r="P16" i="11"/>
  <c r="AG30" i="11"/>
  <c r="K58" i="11"/>
  <c r="AF51" i="11"/>
  <c r="AF59" i="11"/>
  <c r="K69" i="11"/>
  <c r="AE2" i="13"/>
  <c r="O6" i="12" s="1"/>
  <c r="AG7" i="13"/>
  <c r="L27" i="13"/>
  <c r="Q28" i="13"/>
  <c r="R28" i="13"/>
  <c r="AG29" i="13"/>
  <c r="J48" i="13"/>
  <c r="P48" i="13" s="1"/>
  <c r="AG39" i="13"/>
  <c r="AF39" i="13"/>
  <c r="R60" i="13"/>
  <c r="Q60" i="13"/>
  <c r="N79" i="15"/>
  <c r="AF40" i="69"/>
  <c r="O40" i="69"/>
  <c r="AG41" i="69"/>
  <c r="AG51" i="69"/>
  <c r="Q79" i="69"/>
  <c r="Q17" i="71"/>
  <c r="Q29" i="71"/>
  <c r="R30" i="71"/>
  <c r="AF62" i="71"/>
  <c r="AG17" i="21"/>
  <c r="O17" i="21"/>
  <c r="Q40" i="21"/>
  <c r="R40" i="21"/>
  <c r="AG51" i="21"/>
  <c r="AG62" i="21"/>
  <c r="P5" i="23"/>
  <c r="AF6" i="23"/>
  <c r="AG41" i="23"/>
  <c r="AF41" i="23"/>
  <c r="O41" i="23"/>
  <c r="AF5" i="73"/>
  <c r="AG5" i="73"/>
  <c r="O5" i="73"/>
  <c r="L17" i="73"/>
  <c r="AG40" i="75"/>
  <c r="O40" i="75"/>
  <c r="AF62" i="75"/>
  <c r="AA2" i="77"/>
  <c r="R16" i="77"/>
  <c r="AF27" i="77"/>
  <c r="AG27" i="77"/>
  <c r="AF39" i="77"/>
  <c r="AG39" i="77"/>
  <c r="L58" i="77"/>
  <c r="H13" i="76" s="1"/>
  <c r="K79" i="77"/>
  <c r="AG79" i="77" s="1"/>
  <c r="AH70" i="77" s="1"/>
  <c r="AF70" i="77"/>
  <c r="AG70" i="77"/>
  <c r="L70" i="77"/>
  <c r="L5" i="79"/>
  <c r="L15" i="79" s="1"/>
  <c r="D13" i="78" s="1"/>
  <c r="K15" i="79"/>
  <c r="J26" i="79"/>
  <c r="Q48" i="79"/>
  <c r="AF48" i="79"/>
  <c r="AG48" i="79"/>
  <c r="AH38" i="79" s="1"/>
  <c r="R70" i="79"/>
  <c r="Q70" i="79"/>
  <c r="O79" i="79"/>
  <c r="K48" i="81"/>
  <c r="Q48" i="81" s="1"/>
  <c r="AG40" i="81"/>
  <c r="AF40" i="81"/>
  <c r="R50" i="81"/>
  <c r="R39" i="83"/>
  <c r="Q39" i="83"/>
  <c r="G22" i="82"/>
  <c r="I1" i="83"/>
  <c r="AG59" i="83"/>
  <c r="N69" i="83"/>
  <c r="O59" i="83"/>
  <c r="R62" i="83"/>
  <c r="Q62" i="83"/>
  <c r="O29" i="85"/>
  <c r="AF29" i="85"/>
  <c r="AG29" i="85"/>
  <c r="N48" i="85"/>
  <c r="R49" i="85"/>
  <c r="AG39" i="87"/>
  <c r="AF39" i="87"/>
  <c r="O39" i="87"/>
  <c r="O69" i="87"/>
  <c r="Q59" i="87"/>
  <c r="AF8" i="89"/>
  <c r="AG8" i="89"/>
  <c r="AG51" i="89"/>
  <c r="O51" i="89"/>
  <c r="AF51" i="89"/>
  <c r="AG6" i="93"/>
  <c r="AF6" i="93"/>
  <c r="AG7" i="93"/>
  <c r="AF7" i="93"/>
  <c r="O9" i="93"/>
  <c r="AF9" i="93"/>
  <c r="AG9" i="93"/>
  <c r="AG16" i="93"/>
  <c r="O16" i="93"/>
  <c r="N26" i="93"/>
  <c r="AF16" i="93"/>
  <c r="AG41" i="93"/>
  <c r="AF41" i="93"/>
  <c r="R42" i="93"/>
  <c r="O6" i="94"/>
  <c r="AG6" i="94"/>
  <c r="AF6" i="94"/>
  <c r="AG18" i="94"/>
  <c r="P71" i="94"/>
  <c r="L71" i="94"/>
  <c r="L79" i="94" s="1"/>
  <c r="J13" i="95" s="1"/>
  <c r="J79" i="94"/>
  <c r="P79" i="94" s="1"/>
  <c r="AD2" i="101"/>
  <c r="K37" i="101"/>
  <c r="L28" i="101"/>
  <c r="R38" i="101"/>
  <c r="Q38" i="101"/>
  <c r="O48" i="101"/>
  <c r="AG18" i="103"/>
  <c r="AF18" i="103"/>
  <c r="O18" i="103"/>
  <c r="AF6" i="105"/>
  <c r="AG6" i="105"/>
  <c r="O6" i="105"/>
  <c r="N15" i="105"/>
  <c r="P69" i="105"/>
  <c r="I22" i="104"/>
  <c r="O16" i="107"/>
  <c r="N26" i="107"/>
  <c r="AG16" i="107"/>
  <c r="AF16" i="107"/>
  <c r="O48" i="109"/>
  <c r="P58" i="105"/>
  <c r="H22" i="104"/>
  <c r="O5" i="107"/>
  <c r="N15" i="107"/>
  <c r="AG5" i="107"/>
  <c r="Q63" i="107"/>
  <c r="R63" i="107"/>
  <c r="N37" i="89"/>
  <c r="AG27" i="89"/>
  <c r="O27" i="89"/>
  <c r="O48" i="89"/>
  <c r="Q38" i="89"/>
  <c r="R38" i="89"/>
  <c r="AF39" i="91"/>
  <c r="AG39" i="91"/>
  <c r="O39" i="91"/>
  <c r="O49" i="91"/>
  <c r="AG49" i="91"/>
  <c r="R40" i="93"/>
  <c r="Q40" i="93"/>
  <c r="AF60" i="93"/>
  <c r="AG60" i="93"/>
  <c r="O60" i="93"/>
  <c r="G1" i="94"/>
  <c r="K69" i="94"/>
  <c r="AF60" i="94"/>
  <c r="L60" i="94"/>
  <c r="P40" i="99"/>
  <c r="J48" i="99"/>
  <c r="L37" i="101"/>
  <c r="F13" i="100" s="1"/>
  <c r="Q62" i="101"/>
  <c r="R62" i="101"/>
  <c r="O15" i="103"/>
  <c r="Q5" i="103"/>
  <c r="AG6" i="103"/>
  <c r="O6" i="103"/>
  <c r="N48" i="107"/>
  <c r="O38" i="107"/>
  <c r="AG38" i="107"/>
  <c r="AF8" i="73"/>
  <c r="R17" i="73"/>
  <c r="Q17" i="73"/>
  <c r="AG28" i="73"/>
  <c r="O28" i="73"/>
  <c r="K69" i="73"/>
  <c r="L59" i="73"/>
  <c r="L7" i="75"/>
  <c r="P26" i="75"/>
  <c r="O29" i="77"/>
  <c r="AG29" i="77"/>
  <c r="AF29" i="77"/>
  <c r="AG31" i="79"/>
  <c r="N37" i="81"/>
  <c r="R63" i="87"/>
  <c r="Q63" i="87"/>
  <c r="AG6" i="89"/>
  <c r="AF6" i="89"/>
  <c r="O50" i="89"/>
  <c r="AF50" i="89"/>
  <c r="AG50" i="89"/>
  <c r="AF59" i="93"/>
  <c r="K69" i="93"/>
  <c r="AF27" i="94"/>
  <c r="AG27" i="94"/>
  <c r="O27" i="94"/>
  <c r="N37" i="94"/>
  <c r="O5" i="99"/>
  <c r="N15" i="99"/>
  <c r="AG5" i="99"/>
  <c r="AF5" i="99"/>
  <c r="P20" i="99"/>
  <c r="L20" i="99"/>
  <c r="Q20" i="99" s="1"/>
  <c r="Q40" i="99"/>
  <c r="R40" i="99"/>
  <c r="R5" i="103"/>
  <c r="J58" i="107"/>
  <c r="P58" i="107" s="1"/>
  <c r="P50" i="107"/>
  <c r="AG51" i="107"/>
  <c r="AF51" i="107"/>
  <c r="O51" i="107"/>
  <c r="O58" i="107" s="1"/>
  <c r="N58" i="107"/>
  <c r="AF38" i="109"/>
  <c r="AG38" i="109"/>
  <c r="N48" i="109"/>
  <c r="Q58" i="109"/>
  <c r="AG58" i="109"/>
  <c r="AH49" i="109" s="1"/>
  <c r="AF58" i="109"/>
  <c r="AF52" i="13"/>
  <c r="H22" i="14"/>
  <c r="P58" i="15"/>
  <c r="AG39" i="69"/>
  <c r="AF39" i="69"/>
  <c r="R41" i="69"/>
  <c r="Q41" i="69"/>
  <c r="O15" i="21"/>
  <c r="AF18" i="21"/>
  <c r="R19" i="21"/>
  <c r="L49" i="21"/>
  <c r="L58" i="21" s="1"/>
  <c r="H13" i="20" s="1"/>
  <c r="K26" i="23"/>
  <c r="L18" i="23"/>
  <c r="R6" i="73"/>
  <c r="Q6" i="73"/>
  <c r="Z2" i="73"/>
  <c r="L27" i="73"/>
  <c r="L37" i="73" s="1"/>
  <c r="F13" i="72" s="1"/>
  <c r="N48" i="73"/>
  <c r="AG41" i="73"/>
  <c r="AF18" i="75"/>
  <c r="R19" i="75"/>
  <c r="G1" i="77"/>
  <c r="R27" i="77"/>
  <c r="Q27" i="77"/>
  <c r="R40" i="79"/>
  <c r="Q40" i="79"/>
  <c r="K15" i="81"/>
  <c r="R17" i="81"/>
  <c r="AG50" i="81"/>
  <c r="AF50" i="81"/>
  <c r="L8" i="83"/>
  <c r="L15" i="83" s="1"/>
  <c r="D13" i="82" s="1"/>
  <c r="P8" i="83"/>
  <c r="O37" i="83"/>
  <c r="AG61" i="83"/>
  <c r="AF61" i="83"/>
  <c r="K69" i="83"/>
  <c r="AG5" i="87"/>
  <c r="N15" i="87"/>
  <c r="O5" i="87"/>
  <c r="AF5" i="87"/>
  <c r="L28" i="87"/>
  <c r="L37" i="87" s="1"/>
  <c r="F13" i="86" s="1"/>
  <c r="K37" i="87"/>
  <c r="L40" i="87"/>
  <c r="Q40" i="87" s="1"/>
  <c r="AG40" i="87"/>
  <c r="P61" i="87"/>
  <c r="J69" i="87"/>
  <c r="P69" i="87" s="1"/>
  <c r="L41" i="89"/>
  <c r="AG41" i="89"/>
  <c r="L5" i="91"/>
  <c r="K15" i="91"/>
  <c r="O50" i="91"/>
  <c r="AG50" i="91"/>
  <c r="AF27" i="93"/>
  <c r="AG27" i="93"/>
  <c r="K58" i="93"/>
  <c r="L50" i="93"/>
  <c r="R50" i="93" s="1"/>
  <c r="AF29" i="94"/>
  <c r="O29" i="94"/>
  <c r="AG29" i="94"/>
  <c r="Q63" i="94"/>
  <c r="D21" i="98"/>
  <c r="AE2" i="99"/>
  <c r="Q63" i="99"/>
  <c r="P70" i="101"/>
  <c r="J79" i="101"/>
  <c r="P79" i="101" s="1"/>
  <c r="R17" i="103"/>
  <c r="Q17" i="103"/>
  <c r="AG29" i="103"/>
  <c r="AF29" i="103"/>
  <c r="O29" i="103"/>
  <c r="AG51" i="103"/>
  <c r="AF51" i="103"/>
  <c r="O51" i="103"/>
  <c r="Q29" i="105"/>
  <c r="R29" i="105"/>
  <c r="Q50" i="105"/>
  <c r="R50" i="105"/>
  <c r="Q31" i="109"/>
  <c r="R31" i="109"/>
  <c r="K69" i="9"/>
  <c r="AF69" i="9" s="1"/>
  <c r="L49" i="11"/>
  <c r="AF18" i="13"/>
  <c r="R19" i="13"/>
  <c r="L30" i="13"/>
  <c r="O52" i="13"/>
  <c r="L70" i="13"/>
  <c r="L79" i="13" s="1"/>
  <c r="AG27" i="15"/>
  <c r="O48" i="15"/>
  <c r="R38" i="15"/>
  <c r="P59" i="15"/>
  <c r="J69" i="15"/>
  <c r="P69" i="15" s="1"/>
  <c r="O39" i="69"/>
  <c r="O61" i="69"/>
  <c r="AF70" i="69"/>
  <c r="AF16" i="71"/>
  <c r="N26" i="71"/>
  <c r="AF7" i="21"/>
  <c r="O18" i="21"/>
  <c r="L50" i="21"/>
  <c r="P69" i="21"/>
  <c r="O5" i="23"/>
  <c r="L16" i="23"/>
  <c r="L26" i="23" s="1"/>
  <c r="E13" i="22" s="1"/>
  <c r="K79" i="23"/>
  <c r="AG19" i="73"/>
  <c r="O38" i="73"/>
  <c r="O41" i="73"/>
  <c r="AF7" i="75"/>
  <c r="R8" i="75"/>
  <c r="O18" i="75"/>
  <c r="O29" i="75"/>
  <c r="AF49" i="75"/>
  <c r="N58" i="75"/>
  <c r="J15" i="77"/>
  <c r="P15" i="77" s="1"/>
  <c r="L5" i="77"/>
  <c r="AG52" i="77"/>
  <c r="K69" i="77"/>
  <c r="L61" i="77"/>
  <c r="R61" i="77" s="1"/>
  <c r="AG29" i="79"/>
  <c r="O29" i="79"/>
  <c r="AF29" i="79"/>
  <c r="AG51" i="79"/>
  <c r="L5" i="81"/>
  <c r="O39" i="81"/>
  <c r="O61" i="83"/>
  <c r="P69" i="83"/>
  <c r="L40" i="85"/>
  <c r="AG40" i="85"/>
  <c r="O16" i="87"/>
  <c r="N26" i="87"/>
  <c r="AF16" i="87"/>
  <c r="R53" i="87"/>
  <c r="L61" i="87"/>
  <c r="L69" i="87" s="1"/>
  <c r="I13" i="86" s="1"/>
  <c r="J6" i="86" s="1"/>
  <c r="I1" i="89"/>
  <c r="D22" i="88"/>
  <c r="P15" i="89"/>
  <c r="AF50" i="91"/>
  <c r="AF30" i="93"/>
  <c r="AG30" i="93"/>
  <c r="O30" i="93"/>
  <c r="AG19" i="94"/>
  <c r="AF19" i="94"/>
  <c r="F22" i="95"/>
  <c r="P37" i="94"/>
  <c r="G22" i="95"/>
  <c r="Q49" i="94"/>
  <c r="R52" i="94"/>
  <c r="Q52" i="94"/>
  <c r="O60" i="99"/>
  <c r="AF63" i="99"/>
  <c r="N40" i="103"/>
  <c r="O63" i="103"/>
  <c r="AF63" i="103"/>
  <c r="AG63" i="103"/>
  <c r="Q20" i="105"/>
  <c r="R20" i="105"/>
  <c r="R20" i="107"/>
  <c r="Q20" i="107"/>
  <c r="L71" i="107"/>
  <c r="Q71" i="107" s="1"/>
  <c r="P71" i="107"/>
  <c r="AF60" i="75"/>
  <c r="AG51" i="77"/>
  <c r="O51" i="77"/>
  <c r="N15" i="81"/>
  <c r="AF5" i="81"/>
  <c r="O5" i="81"/>
  <c r="AG5" i="81"/>
  <c r="J69" i="81"/>
  <c r="P69" i="81" s="1"/>
  <c r="P59" i="81"/>
  <c r="AF8" i="83"/>
  <c r="AG8" i="83"/>
  <c r="O8" i="83"/>
  <c r="AG5" i="89"/>
  <c r="AF5" i="89"/>
  <c r="N15" i="89"/>
  <c r="O5" i="89"/>
  <c r="L27" i="89"/>
  <c r="L37" i="89" s="1"/>
  <c r="F13" i="88" s="1"/>
  <c r="P27" i="89"/>
  <c r="J37" i="89"/>
  <c r="P37" i="89" s="1"/>
  <c r="AG29" i="89"/>
  <c r="O29" i="89"/>
  <c r="AF61" i="89"/>
  <c r="AG61" i="89"/>
  <c r="O61" i="89"/>
  <c r="AF60" i="103"/>
  <c r="AG60" i="103"/>
  <c r="L19" i="9"/>
  <c r="L60" i="15"/>
  <c r="Z2" i="71"/>
  <c r="AF17" i="73"/>
  <c r="O29" i="73"/>
  <c r="AG60" i="75"/>
  <c r="E19" i="80"/>
  <c r="AA2" i="81"/>
  <c r="R18" i="83"/>
  <c r="Q18" i="83"/>
  <c r="AF19" i="83"/>
  <c r="O51" i="85"/>
  <c r="D21" i="86"/>
  <c r="AE2" i="87"/>
  <c r="O52" i="91"/>
  <c r="AF52" i="91"/>
  <c r="R19" i="99"/>
  <c r="Q19" i="99"/>
  <c r="AG79" i="99"/>
  <c r="AH70" i="99" s="1"/>
  <c r="K58" i="101"/>
  <c r="N27" i="103"/>
  <c r="E1" i="103"/>
  <c r="G3" i="102" s="1"/>
  <c r="O60" i="103"/>
  <c r="L5" i="3"/>
  <c r="Q5" i="3" s="1"/>
  <c r="O50" i="7"/>
  <c r="O58" i="7" s="1"/>
  <c r="O16" i="9"/>
  <c r="AG19" i="71"/>
  <c r="AF39" i="71"/>
  <c r="L29" i="21"/>
  <c r="L37" i="21" s="1"/>
  <c r="F13" i="20" s="1"/>
  <c r="AA2" i="23"/>
  <c r="AF6" i="73"/>
  <c r="AG39" i="73"/>
  <c r="L51" i="73"/>
  <c r="L58" i="73" s="1"/>
  <c r="H13" i="72" s="1"/>
  <c r="Q60" i="73"/>
  <c r="R62" i="73"/>
  <c r="AG16" i="75"/>
  <c r="AF30" i="75"/>
  <c r="J69" i="75"/>
  <c r="P62" i="75"/>
  <c r="Q50" i="77"/>
  <c r="R52" i="77"/>
  <c r="K58" i="77"/>
  <c r="Q61" i="77"/>
  <c r="P26" i="79"/>
  <c r="E22" i="78"/>
  <c r="AF40" i="79"/>
  <c r="L70" i="79"/>
  <c r="L79" i="79" s="1"/>
  <c r="J13" i="78" s="1"/>
  <c r="P70" i="79"/>
  <c r="L8" i="81"/>
  <c r="AF8" i="81"/>
  <c r="AG30" i="81"/>
  <c r="J48" i="81"/>
  <c r="K58" i="81"/>
  <c r="AG58" i="81" s="1"/>
  <c r="AH49" i="81" s="1"/>
  <c r="O59" i="81"/>
  <c r="N69" i="81"/>
  <c r="E18" i="82"/>
  <c r="Z2" i="83"/>
  <c r="AG27" i="83"/>
  <c r="AF27" i="83"/>
  <c r="N37" i="83"/>
  <c r="R18" i="85"/>
  <c r="R40" i="85"/>
  <c r="Q40" i="85"/>
  <c r="J48" i="85"/>
  <c r="P48" i="85" s="1"/>
  <c r="L50" i="85"/>
  <c r="Q50" i="85" s="1"/>
  <c r="N58" i="85"/>
  <c r="J48" i="87"/>
  <c r="P48" i="87" s="1"/>
  <c r="Q19" i="89"/>
  <c r="Q28" i="89"/>
  <c r="AE2" i="89"/>
  <c r="R40" i="89"/>
  <c r="Q40" i="89"/>
  <c r="AG60" i="89"/>
  <c r="AG17" i="91"/>
  <c r="O17" i="91"/>
  <c r="O26" i="91" s="1"/>
  <c r="L41" i="91"/>
  <c r="P41" i="91"/>
  <c r="R29" i="93"/>
  <c r="Q29" i="93"/>
  <c r="J58" i="93"/>
  <c r="P58" i="93" s="1"/>
  <c r="P49" i="93"/>
  <c r="L49" i="93"/>
  <c r="R51" i="94"/>
  <c r="O62" i="94"/>
  <c r="AG62" i="94"/>
  <c r="AF62" i="94"/>
  <c r="Q72" i="94"/>
  <c r="R72" i="94"/>
  <c r="O41" i="99"/>
  <c r="O48" i="99" s="1"/>
  <c r="AG41" i="99"/>
  <c r="AF41" i="99"/>
  <c r="L62" i="99"/>
  <c r="AG62" i="99"/>
  <c r="AF62" i="99"/>
  <c r="E22" i="100"/>
  <c r="P48" i="101"/>
  <c r="G22" i="100"/>
  <c r="AF49" i="101"/>
  <c r="O49" i="101"/>
  <c r="N58" i="101"/>
  <c r="AG49" i="101"/>
  <c r="Q60" i="101"/>
  <c r="N79" i="101"/>
  <c r="O70" i="101"/>
  <c r="AF70" i="101"/>
  <c r="AG70" i="101"/>
  <c r="L49" i="107"/>
  <c r="L58" i="107" s="1"/>
  <c r="H13" i="106" s="1"/>
  <c r="K58" i="107"/>
  <c r="L20" i="109"/>
  <c r="Q20" i="109" s="1"/>
  <c r="P20" i="109"/>
  <c r="R79" i="109"/>
  <c r="S70" i="109" s="1"/>
  <c r="J15" i="108" s="1"/>
  <c r="AG8" i="73"/>
  <c r="Q7" i="75"/>
  <c r="AF27" i="75"/>
  <c r="N37" i="75"/>
  <c r="O48" i="79"/>
  <c r="AG18" i="81"/>
  <c r="O27" i="81"/>
  <c r="AG27" i="81"/>
  <c r="AF27" i="81"/>
  <c r="AG31" i="81"/>
  <c r="AF31" i="81"/>
  <c r="AG49" i="83"/>
  <c r="AF49" i="83"/>
  <c r="N69" i="85"/>
  <c r="AG60" i="85"/>
  <c r="AF60" i="85"/>
  <c r="Q28" i="87"/>
  <c r="R40" i="87"/>
  <c r="AG30" i="91"/>
  <c r="AF30" i="91"/>
  <c r="O30" i="91"/>
  <c r="Z2" i="93"/>
  <c r="P39" i="93"/>
  <c r="L39" i="93"/>
  <c r="AG70" i="93"/>
  <c r="N79" i="93"/>
  <c r="AF70" i="93"/>
  <c r="R18" i="94"/>
  <c r="AF28" i="94"/>
  <c r="O28" i="94"/>
  <c r="AG28" i="94"/>
  <c r="L5" i="99"/>
  <c r="L15" i="99" s="1"/>
  <c r="D13" i="98" s="1"/>
  <c r="K15" i="99"/>
  <c r="O17" i="99"/>
  <c r="AG17" i="99"/>
  <c r="AF17" i="99"/>
  <c r="J58" i="101"/>
  <c r="P58" i="101" s="1"/>
  <c r="L49" i="101"/>
  <c r="R50" i="103"/>
  <c r="Q50" i="103"/>
  <c r="P6" i="105"/>
  <c r="L6" i="105"/>
  <c r="R53" i="105"/>
  <c r="Q53" i="105"/>
  <c r="AE2" i="107"/>
  <c r="O30" i="107"/>
  <c r="AG30" i="107"/>
  <c r="AG40" i="107"/>
  <c r="O40" i="107"/>
  <c r="AF40" i="107"/>
  <c r="P15" i="109"/>
  <c r="D22" i="108"/>
  <c r="AG18" i="109"/>
  <c r="O18" i="109"/>
  <c r="AF18" i="109"/>
  <c r="Q63" i="109"/>
  <c r="R63" i="109"/>
  <c r="D21" i="6"/>
  <c r="AE2" i="7"/>
  <c r="O6" i="6" s="1"/>
  <c r="L39" i="9"/>
  <c r="L8" i="15"/>
  <c r="L27" i="71"/>
  <c r="L31" i="71"/>
  <c r="R31" i="71" s="1"/>
  <c r="N79" i="21"/>
  <c r="Z2" i="23"/>
  <c r="D21" i="72"/>
  <c r="AE2" i="73"/>
  <c r="O27" i="75"/>
  <c r="Q30" i="75"/>
  <c r="P27" i="79"/>
  <c r="J37" i="79"/>
  <c r="P37" i="79" s="1"/>
  <c r="O28" i="79"/>
  <c r="D18" i="80"/>
  <c r="Z2" i="81"/>
  <c r="AF18" i="81"/>
  <c r="O31" i="81"/>
  <c r="Q38" i="81"/>
  <c r="L59" i="81"/>
  <c r="K69" i="81"/>
  <c r="R7" i="85"/>
  <c r="AG50" i="87"/>
  <c r="O50" i="87"/>
  <c r="AA2" i="89"/>
  <c r="O18" i="89"/>
  <c r="AF29" i="89"/>
  <c r="AG52" i="89"/>
  <c r="AF52" i="89"/>
  <c r="O52" i="89"/>
  <c r="K69" i="89"/>
  <c r="L60" i="89"/>
  <c r="R8" i="91"/>
  <c r="Q8" i="91"/>
  <c r="L59" i="91"/>
  <c r="L69" i="91" s="1"/>
  <c r="I13" i="90" s="1"/>
  <c r="J6" i="90" s="1"/>
  <c r="I19" i="95"/>
  <c r="I19" i="90"/>
  <c r="D19" i="92"/>
  <c r="AA2" i="93"/>
  <c r="O70" i="93"/>
  <c r="Q31" i="99"/>
  <c r="R31" i="99"/>
  <c r="AF38" i="99"/>
  <c r="N48" i="99"/>
  <c r="AG38" i="99"/>
  <c r="AG50" i="99"/>
  <c r="O50" i="99"/>
  <c r="O69" i="99"/>
  <c r="R59" i="99"/>
  <c r="Q59" i="99"/>
  <c r="R39" i="101"/>
  <c r="K48" i="103"/>
  <c r="L38" i="103"/>
  <c r="L48" i="103" s="1"/>
  <c r="G13" i="102" s="1"/>
  <c r="L62" i="103"/>
  <c r="R62" i="103" s="1"/>
  <c r="J14" i="102"/>
  <c r="AF31" i="105"/>
  <c r="AG31" i="105"/>
  <c r="L49" i="105"/>
  <c r="K58" i="105"/>
  <c r="AG58" i="105" s="1"/>
  <c r="AH49" i="105" s="1"/>
  <c r="AD2" i="105"/>
  <c r="H20" i="104"/>
  <c r="R63" i="105"/>
  <c r="Q63" i="105"/>
  <c r="AF30" i="107"/>
  <c r="K69" i="109"/>
  <c r="G3" i="2"/>
  <c r="P58" i="3"/>
  <c r="F22" i="10"/>
  <c r="D21" i="10"/>
  <c r="AE2" i="11"/>
  <c r="O6" i="10" s="1"/>
  <c r="N48" i="11"/>
  <c r="AG40" i="15"/>
  <c r="L6" i="69"/>
  <c r="D22" i="16"/>
  <c r="AF41" i="69"/>
  <c r="L51" i="71"/>
  <c r="R51" i="71" s="1"/>
  <c r="AG16" i="21"/>
  <c r="N26" i="21"/>
  <c r="J37" i="21"/>
  <c r="P37" i="21" s="1"/>
  <c r="N58" i="23"/>
  <c r="I1" i="3"/>
  <c r="L59" i="3"/>
  <c r="L69" i="3" s="1"/>
  <c r="AF28" i="7"/>
  <c r="O38" i="11"/>
  <c r="AG16" i="13"/>
  <c r="L62" i="13"/>
  <c r="Q62" i="13" s="1"/>
  <c r="L7" i="15"/>
  <c r="L15" i="15" s="1"/>
  <c r="D13" i="14" s="1"/>
  <c r="AF16" i="15"/>
  <c r="N26" i="15"/>
  <c r="AF38" i="15"/>
  <c r="AF40" i="15"/>
  <c r="P48" i="15"/>
  <c r="M6" i="16"/>
  <c r="I1" i="69"/>
  <c r="AF27" i="69"/>
  <c r="P49" i="69"/>
  <c r="J58" i="69"/>
  <c r="P58" i="69" s="1"/>
  <c r="L50" i="69"/>
  <c r="L58" i="69" s="1"/>
  <c r="H13" i="16" s="1"/>
  <c r="AF62" i="69"/>
  <c r="AG8" i="71"/>
  <c r="AF19" i="71"/>
  <c r="AF29" i="71"/>
  <c r="K37" i="71"/>
  <c r="AG39" i="71"/>
  <c r="N15" i="21"/>
  <c r="AG5" i="21"/>
  <c r="AF16" i="21"/>
  <c r="AF19" i="21"/>
  <c r="N26" i="23"/>
  <c r="J48" i="23"/>
  <c r="AF49" i="23"/>
  <c r="AF38" i="73"/>
  <c r="AF39" i="73"/>
  <c r="AF41" i="73"/>
  <c r="N15" i="75"/>
  <c r="AG5" i="75"/>
  <c r="AF16" i="75"/>
  <c r="AF19" i="75"/>
  <c r="AG30" i="75"/>
  <c r="L38" i="75"/>
  <c r="L48" i="75" s="1"/>
  <c r="G13" i="74" s="1"/>
  <c r="K48" i="75"/>
  <c r="L62" i="75"/>
  <c r="L69" i="75" s="1"/>
  <c r="I13" i="74" s="1"/>
  <c r="J6" i="74" s="1"/>
  <c r="AG6" i="77"/>
  <c r="O6" i="77"/>
  <c r="L30" i="77"/>
  <c r="AF61" i="77"/>
  <c r="AD2" i="79"/>
  <c r="P19" i="79"/>
  <c r="L19" i="79"/>
  <c r="L27" i="79"/>
  <c r="L52" i="79"/>
  <c r="L60" i="79"/>
  <c r="AF17" i="81"/>
  <c r="L51" i="81"/>
  <c r="H22" i="80"/>
  <c r="P58" i="81"/>
  <c r="AF59" i="81"/>
  <c r="L71" i="81"/>
  <c r="R71" i="81" s="1"/>
  <c r="P15" i="85"/>
  <c r="AF40" i="85"/>
  <c r="G22" i="84"/>
  <c r="K58" i="85"/>
  <c r="AF49" i="85"/>
  <c r="I1" i="87"/>
  <c r="L7" i="87"/>
  <c r="R7" i="87" s="1"/>
  <c r="AG7" i="87"/>
  <c r="O8" i="87"/>
  <c r="AF8" i="87"/>
  <c r="E18" i="86"/>
  <c r="Z2" i="87"/>
  <c r="AG61" i="87"/>
  <c r="AF28" i="89"/>
  <c r="O60" i="89"/>
  <c r="AF17" i="91"/>
  <c r="P37" i="91"/>
  <c r="F22" i="90"/>
  <c r="P58" i="91"/>
  <c r="H22" i="90"/>
  <c r="AG17" i="93"/>
  <c r="AF17" i="93"/>
  <c r="P29" i="93"/>
  <c r="P59" i="93"/>
  <c r="J69" i="93"/>
  <c r="P69" i="93" s="1"/>
  <c r="J22" i="92"/>
  <c r="P79" i="93"/>
  <c r="Q51" i="94"/>
  <c r="AA2" i="94"/>
  <c r="K26" i="99"/>
  <c r="L16" i="99"/>
  <c r="L26" i="99" s="1"/>
  <c r="E13" i="98" s="1"/>
  <c r="AF29" i="99"/>
  <c r="AF60" i="99"/>
  <c r="L64" i="99"/>
  <c r="Q64" i="99" s="1"/>
  <c r="Z2" i="101"/>
  <c r="E18" i="100"/>
  <c r="Q39" i="101"/>
  <c r="AF48" i="101"/>
  <c r="Q48" i="101"/>
  <c r="AG48" i="101"/>
  <c r="AH38" i="101" s="1"/>
  <c r="P49" i="101"/>
  <c r="L27" i="103"/>
  <c r="L37" i="103" s="1"/>
  <c r="F13" i="102" s="1"/>
  <c r="K37" i="103"/>
  <c r="Q28" i="103"/>
  <c r="AF19" i="105"/>
  <c r="O19" i="105"/>
  <c r="AG19" i="105"/>
  <c r="R39" i="105"/>
  <c r="Q39" i="105"/>
  <c r="R49" i="105"/>
  <c r="Q49" i="105"/>
  <c r="L52" i="105"/>
  <c r="Q52" i="105" s="1"/>
  <c r="R8" i="107"/>
  <c r="K26" i="107"/>
  <c r="L16" i="107"/>
  <c r="Q49" i="107"/>
  <c r="AD2" i="109"/>
  <c r="D20" i="108"/>
  <c r="AG39" i="109"/>
  <c r="AF39" i="109"/>
  <c r="O39" i="109"/>
  <c r="F21" i="90"/>
  <c r="F21" i="88"/>
  <c r="F21" i="92"/>
  <c r="AG19" i="77"/>
  <c r="L62" i="77"/>
  <c r="R62" i="77" s="1"/>
  <c r="I22" i="78"/>
  <c r="P69" i="79"/>
  <c r="D21" i="80"/>
  <c r="AE2" i="81"/>
  <c r="Q40" i="81"/>
  <c r="H22" i="82"/>
  <c r="P58" i="83"/>
  <c r="L29" i="85"/>
  <c r="L37" i="85" s="1"/>
  <c r="F13" i="84" s="1"/>
  <c r="L52" i="85"/>
  <c r="AG18" i="87"/>
  <c r="O18" i="87"/>
  <c r="AG28" i="87"/>
  <c r="O51" i="87"/>
  <c r="AG51" i="87"/>
  <c r="AF51" i="87"/>
  <c r="L16" i="89"/>
  <c r="L26" i="89" s="1"/>
  <c r="E13" i="88" s="1"/>
  <c r="AG17" i="89"/>
  <c r="AF17" i="89"/>
  <c r="L7" i="91"/>
  <c r="Q7" i="91" s="1"/>
  <c r="R5" i="93"/>
  <c r="Q5" i="93"/>
  <c r="AF39" i="93"/>
  <c r="AG39" i="93"/>
  <c r="O39" i="93"/>
  <c r="AF50" i="93"/>
  <c r="J15" i="94"/>
  <c r="P15" i="94" s="1"/>
  <c r="P5" i="94"/>
  <c r="AF17" i="94"/>
  <c r="R8" i="99"/>
  <c r="K15" i="101"/>
  <c r="L5" i="101"/>
  <c r="L15" i="101" s="1"/>
  <c r="D13" i="100" s="1"/>
  <c r="D21" i="100"/>
  <c r="AE2" i="101"/>
  <c r="O18" i="101"/>
  <c r="AG18" i="101"/>
  <c r="O10" i="105"/>
  <c r="AF10" i="105"/>
  <c r="AG10" i="105"/>
  <c r="J26" i="105"/>
  <c r="P26" i="105" s="1"/>
  <c r="AA2" i="109"/>
  <c r="D19" i="108"/>
  <c r="Q27" i="109"/>
  <c r="R27" i="109"/>
  <c r="AF40" i="109"/>
  <c r="O40" i="109"/>
  <c r="AG40" i="109"/>
  <c r="L52" i="75"/>
  <c r="L38" i="79"/>
  <c r="L48" i="79" s="1"/>
  <c r="G13" i="78" s="1"/>
  <c r="L79" i="81"/>
  <c r="J13" i="80" s="1"/>
  <c r="J37" i="83"/>
  <c r="AG28" i="83"/>
  <c r="Q40" i="83"/>
  <c r="P51" i="85"/>
  <c r="J58" i="85"/>
  <c r="P58" i="85" s="1"/>
  <c r="L39" i="87"/>
  <c r="L48" i="87" s="1"/>
  <c r="G13" i="86" s="1"/>
  <c r="O16" i="89"/>
  <c r="N26" i="89"/>
  <c r="AF16" i="89"/>
  <c r="L48" i="89"/>
  <c r="G13" i="88" s="1"/>
  <c r="AF8" i="91"/>
  <c r="AG8" i="91"/>
  <c r="K26" i="91"/>
  <c r="L40" i="91"/>
  <c r="R40" i="91" s="1"/>
  <c r="AG40" i="91"/>
  <c r="O61" i="91"/>
  <c r="AG61" i="91"/>
  <c r="AG8" i="93"/>
  <c r="AF8" i="93"/>
  <c r="O8" i="93"/>
  <c r="Q18" i="93"/>
  <c r="R18" i="93"/>
  <c r="R38" i="93"/>
  <c r="AG43" i="93"/>
  <c r="AF43" i="93"/>
  <c r="G22" i="92"/>
  <c r="P48" i="93"/>
  <c r="N15" i="94"/>
  <c r="AG5" i="94"/>
  <c r="O5" i="94"/>
  <c r="J26" i="94"/>
  <c r="P16" i="94"/>
  <c r="L27" i="94"/>
  <c r="L37" i="94" s="1"/>
  <c r="F13" i="95" s="1"/>
  <c r="R41" i="94"/>
  <c r="Q41" i="94"/>
  <c r="Z2" i="99"/>
  <c r="D18" i="98"/>
  <c r="AA2" i="99"/>
  <c r="AG51" i="99"/>
  <c r="AF51" i="99"/>
  <c r="O51" i="99"/>
  <c r="K26" i="103"/>
  <c r="O17" i="105"/>
  <c r="O26" i="105" s="1"/>
  <c r="AG17" i="105"/>
  <c r="AF17" i="105"/>
  <c r="O51" i="109"/>
  <c r="AG51" i="109"/>
  <c r="L38" i="23"/>
  <c r="L48" i="23" s="1"/>
  <c r="G13" i="22" s="1"/>
  <c r="N48" i="75"/>
  <c r="O38" i="75"/>
  <c r="P69" i="75"/>
  <c r="F21" i="76"/>
  <c r="L17" i="79"/>
  <c r="L26" i="79" s="1"/>
  <c r="E13" i="78" s="1"/>
  <c r="P20" i="79"/>
  <c r="AF38" i="79"/>
  <c r="L6" i="83"/>
  <c r="K37" i="83"/>
  <c r="L27" i="83"/>
  <c r="O28" i="83"/>
  <c r="AF29" i="83"/>
  <c r="O29" i="83"/>
  <c r="L5" i="85"/>
  <c r="L15" i="85" s="1"/>
  <c r="D13" i="84" s="1"/>
  <c r="K15" i="85"/>
  <c r="AG18" i="85"/>
  <c r="AF18" i="85"/>
  <c r="AF28" i="85"/>
  <c r="O28" i="85"/>
  <c r="L51" i="85"/>
  <c r="P69" i="85"/>
  <c r="F21" i="86"/>
  <c r="P15" i="87"/>
  <c r="K48" i="87"/>
  <c r="AG16" i="89"/>
  <c r="AG38" i="89"/>
  <c r="AF38" i="89"/>
  <c r="N48" i="89"/>
  <c r="P58" i="89"/>
  <c r="H22" i="88"/>
  <c r="L16" i="91"/>
  <c r="F19" i="90"/>
  <c r="F19" i="95"/>
  <c r="L49" i="91"/>
  <c r="AF61" i="91"/>
  <c r="O43" i="93"/>
  <c r="O48" i="93"/>
  <c r="AG50" i="93"/>
  <c r="O52" i="93"/>
  <c r="AG52" i="93"/>
  <c r="AF52" i="93"/>
  <c r="K79" i="93"/>
  <c r="L71" i="93"/>
  <c r="R71" i="93" s="1"/>
  <c r="L8" i="94"/>
  <c r="L15" i="94" s="1"/>
  <c r="D13" i="95" s="1"/>
  <c r="K26" i="94"/>
  <c r="L16" i="94"/>
  <c r="R16" i="94" s="1"/>
  <c r="AG17" i="94"/>
  <c r="G1" i="99"/>
  <c r="AF6" i="99"/>
  <c r="AG6" i="99"/>
  <c r="O6" i="99"/>
  <c r="AF61" i="99"/>
  <c r="AG61" i="99"/>
  <c r="O61" i="99"/>
  <c r="R64" i="99"/>
  <c r="K79" i="99"/>
  <c r="AF79" i="99" s="1"/>
  <c r="L70" i="99"/>
  <c r="L79" i="99" s="1"/>
  <c r="J13" i="98" s="1"/>
  <c r="AF27" i="101"/>
  <c r="O27" i="101"/>
  <c r="N37" i="101"/>
  <c r="R61" i="101"/>
  <c r="Q61" i="101"/>
  <c r="L16" i="103"/>
  <c r="L26" i="103" s="1"/>
  <c r="E13" i="102" s="1"/>
  <c r="J69" i="103"/>
  <c r="P59" i="103"/>
  <c r="Q79" i="103"/>
  <c r="AG79" i="103"/>
  <c r="AH70" i="103" s="1"/>
  <c r="AF79" i="103"/>
  <c r="R40" i="105"/>
  <c r="Q40" i="105"/>
  <c r="AG60" i="105"/>
  <c r="O60" i="105"/>
  <c r="AF60" i="105"/>
  <c r="Z2" i="107"/>
  <c r="G1" i="109"/>
  <c r="AF51" i="109"/>
  <c r="P37" i="83"/>
  <c r="O48" i="83"/>
  <c r="O60" i="83"/>
  <c r="AF60" i="83"/>
  <c r="Q8" i="85"/>
  <c r="L39" i="85"/>
  <c r="Q39" i="85" s="1"/>
  <c r="J58" i="87"/>
  <c r="P58" i="87" s="1"/>
  <c r="P26" i="89"/>
  <c r="J48" i="89"/>
  <c r="AG5" i="91"/>
  <c r="N15" i="91"/>
  <c r="O5" i="91"/>
  <c r="AF5" i="91"/>
  <c r="O38" i="91"/>
  <c r="AG38" i="91"/>
  <c r="AF38" i="91"/>
  <c r="N48" i="91"/>
  <c r="I1" i="93"/>
  <c r="L20" i="93"/>
  <c r="J48" i="93"/>
  <c r="N69" i="93"/>
  <c r="O59" i="93"/>
  <c r="J79" i="93"/>
  <c r="L70" i="93"/>
  <c r="L79" i="93" s="1"/>
  <c r="J13" i="92" s="1"/>
  <c r="Q16" i="94"/>
  <c r="O26" i="94"/>
  <c r="Q38" i="94"/>
  <c r="O48" i="94"/>
  <c r="R38" i="94"/>
  <c r="L69" i="94"/>
  <c r="I13" i="95" s="1"/>
  <c r="J6" i="95" s="1"/>
  <c r="AG60" i="94"/>
  <c r="O60" i="94"/>
  <c r="AG9" i="99"/>
  <c r="AF9" i="99"/>
  <c r="O49" i="99"/>
  <c r="N58" i="99"/>
  <c r="G1" i="101"/>
  <c r="P37" i="101"/>
  <c r="F22" i="100"/>
  <c r="AG39" i="101"/>
  <c r="AF39" i="101"/>
  <c r="R52" i="101"/>
  <c r="Q52" i="101"/>
  <c r="F22" i="102"/>
  <c r="N48" i="103"/>
  <c r="AF38" i="103"/>
  <c r="O38" i="103"/>
  <c r="O59" i="103"/>
  <c r="AG59" i="103"/>
  <c r="N69" i="103"/>
  <c r="AF59" i="103"/>
  <c r="J79" i="103"/>
  <c r="P79" i="103" s="1"/>
  <c r="Q5" i="105"/>
  <c r="L51" i="105"/>
  <c r="AF62" i="107"/>
  <c r="AG62" i="107"/>
  <c r="O62" i="107"/>
  <c r="R5" i="109"/>
  <c r="Q5" i="109"/>
  <c r="O15" i="109"/>
  <c r="O17" i="109"/>
  <c r="AG17" i="109"/>
  <c r="AF17" i="109"/>
  <c r="P48" i="109"/>
  <c r="G22" i="108"/>
  <c r="AE2" i="83"/>
  <c r="AG60" i="83"/>
  <c r="G1" i="85"/>
  <c r="L53" i="85"/>
  <c r="L59" i="85"/>
  <c r="K69" i="85"/>
  <c r="L60" i="85"/>
  <c r="Q60" i="85" s="1"/>
  <c r="L49" i="87"/>
  <c r="R49" i="87" s="1"/>
  <c r="K58" i="87"/>
  <c r="K48" i="89"/>
  <c r="AF40" i="89"/>
  <c r="AF41" i="89"/>
  <c r="O41" i="89"/>
  <c r="P69" i="89"/>
  <c r="I22" i="88"/>
  <c r="AG20" i="93"/>
  <c r="O20" i="93"/>
  <c r="K48" i="93"/>
  <c r="L38" i="93"/>
  <c r="AF16" i="94"/>
  <c r="N26" i="94"/>
  <c r="AF51" i="94"/>
  <c r="AG51" i="94"/>
  <c r="Q59" i="94"/>
  <c r="AG8" i="99"/>
  <c r="AF8" i="99"/>
  <c r="O9" i="99"/>
  <c r="AG40" i="99"/>
  <c r="AF40" i="99"/>
  <c r="AF49" i="99"/>
  <c r="P62" i="99"/>
  <c r="J69" i="99"/>
  <c r="P69" i="99" s="1"/>
  <c r="N69" i="99"/>
  <c r="O70" i="99"/>
  <c r="AF70" i="99"/>
  <c r="N26" i="101"/>
  <c r="AF16" i="101"/>
  <c r="O16" i="101"/>
  <c r="O17" i="101"/>
  <c r="AG17" i="101"/>
  <c r="AF17" i="101"/>
  <c r="AG19" i="101"/>
  <c r="O19" i="101"/>
  <c r="O69" i="101"/>
  <c r="N69" i="101"/>
  <c r="P7" i="103"/>
  <c r="L7" i="103"/>
  <c r="AG38" i="103"/>
  <c r="L50" i="103"/>
  <c r="I1" i="105"/>
  <c r="AG39" i="105"/>
  <c r="AF39" i="105"/>
  <c r="L17" i="107"/>
  <c r="J26" i="107"/>
  <c r="P26" i="107" s="1"/>
  <c r="O52" i="107"/>
  <c r="O59" i="107"/>
  <c r="AF59" i="107"/>
  <c r="AG5" i="109"/>
  <c r="AF5" i="109"/>
  <c r="N15" i="109"/>
  <c r="N26" i="109"/>
  <c r="O16" i="109"/>
  <c r="AG16" i="109"/>
  <c r="R64" i="109"/>
  <c r="Q64" i="109"/>
  <c r="Q16" i="91"/>
  <c r="E18" i="95"/>
  <c r="E18" i="90"/>
  <c r="Z2" i="91"/>
  <c r="J15" i="93"/>
  <c r="P15" i="93" s="1"/>
  <c r="L6" i="93"/>
  <c r="D21" i="92"/>
  <c r="AE2" i="93"/>
  <c r="AF18" i="93"/>
  <c r="AF29" i="93"/>
  <c r="AG29" i="93"/>
  <c r="N48" i="93"/>
  <c r="AG38" i="93"/>
  <c r="Q30" i="94"/>
  <c r="AG41" i="94"/>
  <c r="AF41" i="94"/>
  <c r="J58" i="94"/>
  <c r="P58" i="94" s="1"/>
  <c r="P49" i="94"/>
  <c r="AF50" i="94"/>
  <c r="AG50" i="94"/>
  <c r="AG70" i="94"/>
  <c r="AF70" i="94"/>
  <c r="O28" i="99"/>
  <c r="N37" i="99"/>
  <c r="AF28" i="99"/>
  <c r="J58" i="99"/>
  <c r="P58" i="99" s="1"/>
  <c r="P50" i="99"/>
  <c r="L18" i="101"/>
  <c r="L26" i="101" s="1"/>
  <c r="E13" i="100" s="1"/>
  <c r="R29" i="101"/>
  <c r="Q29" i="101"/>
  <c r="AG28" i="103"/>
  <c r="AF28" i="103"/>
  <c r="L10" i="105"/>
  <c r="K15" i="105"/>
  <c r="P49" i="105"/>
  <c r="J58" i="105"/>
  <c r="L19" i="107"/>
  <c r="Q19" i="107" s="1"/>
  <c r="P19" i="107"/>
  <c r="R31" i="107"/>
  <c r="Q31" i="107"/>
  <c r="AG7" i="109"/>
  <c r="O7" i="109"/>
  <c r="AF7" i="109"/>
  <c r="O29" i="109"/>
  <c r="AG29" i="109"/>
  <c r="AF29" i="109"/>
  <c r="AG30" i="109"/>
  <c r="AF30" i="109"/>
  <c r="O30" i="109"/>
  <c r="J58" i="79"/>
  <c r="L61" i="79"/>
  <c r="AF16" i="83"/>
  <c r="L19" i="83"/>
  <c r="R19" i="83" s="1"/>
  <c r="L30" i="85"/>
  <c r="AF50" i="85"/>
  <c r="L52" i="87"/>
  <c r="K37" i="89"/>
  <c r="AF18" i="91"/>
  <c r="AG18" i="91"/>
  <c r="L51" i="91"/>
  <c r="R51" i="91" s="1"/>
  <c r="N15" i="93"/>
  <c r="AF5" i="93"/>
  <c r="L17" i="93"/>
  <c r="R17" i="93" s="1"/>
  <c r="O19" i="93"/>
  <c r="AF19" i="93"/>
  <c r="AG8" i="94"/>
  <c r="AF8" i="94"/>
  <c r="O8" i="94"/>
  <c r="AF18" i="94"/>
  <c r="N48" i="94"/>
  <c r="AF38" i="94"/>
  <c r="R39" i="94"/>
  <c r="AF49" i="94"/>
  <c r="AG49" i="94"/>
  <c r="AF52" i="99"/>
  <c r="AG52" i="99"/>
  <c r="O52" i="99"/>
  <c r="O7" i="101"/>
  <c r="AF7" i="101"/>
  <c r="L63" i="101"/>
  <c r="J69" i="101"/>
  <c r="P69" i="101" s="1"/>
  <c r="P63" i="101"/>
  <c r="O7" i="103"/>
  <c r="AG7" i="103"/>
  <c r="J48" i="103"/>
  <c r="AG50" i="103"/>
  <c r="Z2" i="105"/>
  <c r="N26" i="105"/>
  <c r="L27" i="105"/>
  <c r="O28" i="105"/>
  <c r="AF28" i="105"/>
  <c r="R32" i="105"/>
  <c r="Q32" i="105"/>
  <c r="N69" i="105"/>
  <c r="L7" i="109"/>
  <c r="J37" i="109"/>
  <c r="P37" i="109" s="1"/>
  <c r="P28" i="109"/>
  <c r="L79" i="83"/>
  <c r="J13" i="82" s="1"/>
  <c r="AF6" i="87"/>
  <c r="K15" i="89"/>
  <c r="N26" i="91"/>
  <c r="K58" i="91"/>
  <c r="AG58" i="91" s="1"/>
  <c r="AH49" i="91" s="1"/>
  <c r="F22" i="98"/>
  <c r="AF5" i="101"/>
  <c r="O5" i="101"/>
  <c r="N15" i="101"/>
  <c r="L19" i="101"/>
  <c r="P19" i="101"/>
  <c r="D21" i="102"/>
  <c r="AE2" i="103"/>
  <c r="P48" i="103"/>
  <c r="G22" i="102"/>
  <c r="I22" i="102"/>
  <c r="P69" i="103"/>
  <c r="AG27" i="105"/>
  <c r="N37" i="105"/>
  <c r="AF27" i="105"/>
  <c r="O27" i="105"/>
  <c r="K48" i="105"/>
  <c r="O51" i="105"/>
  <c r="O58" i="105" s="1"/>
  <c r="AG51" i="105"/>
  <c r="AF51" i="105"/>
  <c r="Q64" i="105"/>
  <c r="R64" i="105"/>
  <c r="L37" i="109"/>
  <c r="F13" i="108" s="1"/>
  <c r="AF28" i="109"/>
  <c r="AG28" i="109"/>
  <c r="O28" i="109"/>
  <c r="L69" i="109"/>
  <c r="I13" i="108" s="1"/>
  <c r="J6" i="108" s="1"/>
  <c r="AF30" i="79"/>
  <c r="AF51" i="79"/>
  <c r="AD2" i="83"/>
  <c r="L26" i="85"/>
  <c r="E13" i="84" s="1"/>
  <c r="AG59" i="85"/>
  <c r="AF59" i="85"/>
  <c r="O6" i="87"/>
  <c r="AF40" i="87"/>
  <c r="L5" i="89"/>
  <c r="L15" i="89" s="1"/>
  <c r="D13" i="88" s="1"/>
  <c r="AF16" i="91"/>
  <c r="O7" i="94"/>
  <c r="AG7" i="94"/>
  <c r="AF7" i="94"/>
  <c r="AG59" i="94"/>
  <c r="K58" i="99"/>
  <c r="Q40" i="101"/>
  <c r="L51" i="101"/>
  <c r="R51" i="101" s="1"/>
  <c r="AF51" i="101"/>
  <c r="K69" i="101"/>
  <c r="L70" i="101"/>
  <c r="L79" i="101" s="1"/>
  <c r="J13" i="100" s="1"/>
  <c r="O9" i="103"/>
  <c r="AF9" i="103"/>
  <c r="P18" i="103"/>
  <c r="L18" i="103"/>
  <c r="H27" i="103"/>
  <c r="G1" i="103" s="1"/>
  <c r="L58" i="103"/>
  <c r="H13" i="102" s="1"/>
  <c r="P61" i="103"/>
  <c r="L61" i="103"/>
  <c r="AG5" i="105"/>
  <c r="AF5" i="105"/>
  <c r="L29" i="105"/>
  <c r="P29" i="105"/>
  <c r="O30" i="105"/>
  <c r="AF30" i="105"/>
  <c r="AE2" i="105"/>
  <c r="AG40" i="105"/>
  <c r="AF40" i="105"/>
  <c r="AG52" i="105"/>
  <c r="AF52" i="105"/>
  <c r="P79" i="105"/>
  <c r="G1" i="107"/>
  <c r="L18" i="107"/>
  <c r="AF27" i="107"/>
  <c r="O27" i="107"/>
  <c r="L48" i="107"/>
  <c r="G13" i="106" s="1"/>
  <c r="AG41" i="107"/>
  <c r="AF41" i="107"/>
  <c r="O41" i="107"/>
  <c r="L60" i="107"/>
  <c r="K69" i="107"/>
  <c r="Q69" i="107" s="1"/>
  <c r="R61" i="107"/>
  <c r="N37" i="109"/>
  <c r="AF27" i="109"/>
  <c r="P58" i="109"/>
  <c r="H22" i="108"/>
  <c r="O59" i="109"/>
  <c r="N69" i="109"/>
  <c r="AG6" i="91"/>
  <c r="I1" i="91"/>
  <c r="Z2" i="94"/>
  <c r="L63" i="94"/>
  <c r="R63" i="94" s="1"/>
  <c r="AF18" i="99"/>
  <c r="AG18" i="99"/>
  <c r="AF19" i="99"/>
  <c r="AG20" i="99"/>
  <c r="AF20" i="99"/>
  <c r="J26" i="99"/>
  <c r="L27" i="99"/>
  <c r="L37" i="99" s="1"/>
  <c r="F13" i="98" s="1"/>
  <c r="P61" i="99"/>
  <c r="L61" i="99"/>
  <c r="L69" i="99" s="1"/>
  <c r="I13" i="98" s="1"/>
  <c r="J6" i="98" s="1"/>
  <c r="K26" i="101"/>
  <c r="P17" i="101"/>
  <c r="J26" i="101"/>
  <c r="P26" i="101" s="1"/>
  <c r="J15" i="103"/>
  <c r="P15" i="103" s="1"/>
  <c r="K15" i="103"/>
  <c r="AG62" i="103"/>
  <c r="AF70" i="103"/>
  <c r="AG70" i="103"/>
  <c r="L60" i="105"/>
  <c r="K69" i="105"/>
  <c r="O17" i="107"/>
  <c r="AG17" i="107"/>
  <c r="K48" i="107"/>
  <c r="P59" i="107"/>
  <c r="J69" i="107"/>
  <c r="P69" i="107" s="1"/>
  <c r="L59" i="107"/>
  <c r="K26" i="109"/>
  <c r="L30" i="109"/>
  <c r="Q60" i="109"/>
  <c r="K26" i="85"/>
  <c r="J26" i="91"/>
  <c r="P26" i="91" s="1"/>
  <c r="P16" i="91"/>
  <c r="K37" i="91"/>
  <c r="AG62" i="93"/>
  <c r="O62" i="93"/>
  <c r="J69" i="94"/>
  <c r="R20" i="99"/>
  <c r="P26" i="99"/>
  <c r="I1" i="99"/>
  <c r="AF27" i="99"/>
  <c r="O27" i="99"/>
  <c r="O29" i="99"/>
  <c r="AG29" i="99"/>
  <c r="Q62" i="103"/>
  <c r="R18" i="105"/>
  <c r="AF29" i="105"/>
  <c r="AG29" i="105"/>
  <c r="P59" i="105"/>
  <c r="L59" i="105"/>
  <c r="J69" i="105"/>
  <c r="AG61" i="105"/>
  <c r="AF61" i="105"/>
  <c r="I19" i="104"/>
  <c r="J18" i="104"/>
  <c r="AG8" i="107"/>
  <c r="AF8" i="107"/>
  <c r="H22" i="106"/>
  <c r="L38" i="109"/>
  <c r="L48" i="109" s="1"/>
  <c r="G13" i="108" s="1"/>
  <c r="K48" i="109"/>
  <c r="O49" i="109"/>
  <c r="AF49" i="109"/>
  <c r="K37" i="93"/>
  <c r="AG37" i="93" s="1"/>
  <c r="AH27" i="93" s="1"/>
  <c r="AE2" i="94"/>
  <c r="AF39" i="99"/>
  <c r="P48" i="99"/>
  <c r="K69" i="99"/>
  <c r="L40" i="101"/>
  <c r="R40" i="101" s="1"/>
  <c r="H22" i="100"/>
  <c r="L9" i="105"/>
  <c r="L16" i="105"/>
  <c r="AG32" i="105"/>
  <c r="AF32" i="105"/>
  <c r="L70" i="105"/>
  <c r="L79" i="105" s="1"/>
  <c r="J13" i="104" s="1"/>
  <c r="J79" i="105"/>
  <c r="I1" i="107"/>
  <c r="L16" i="109"/>
  <c r="P16" i="109"/>
  <c r="R71" i="109"/>
  <c r="AF63" i="93"/>
  <c r="I1" i="103"/>
  <c r="L15" i="107"/>
  <c r="D13" i="106" s="1"/>
  <c r="AG49" i="107"/>
  <c r="AF49" i="107"/>
  <c r="R41" i="109"/>
  <c r="Q41" i="109"/>
  <c r="P59" i="109"/>
  <c r="J69" i="109"/>
  <c r="AF62" i="109"/>
  <c r="O62" i="109"/>
  <c r="AG62" i="109"/>
  <c r="P69" i="109"/>
  <c r="AF60" i="101"/>
  <c r="R6" i="109"/>
  <c r="Q6" i="109"/>
  <c r="L79" i="109"/>
  <c r="J13" i="108" s="1"/>
  <c r="N15" i="103"/>
  <c r="AF5" i="103"/>
  <c r="L8" i="103"/>
  <c r="Q8" i="103" s="1"/>
  <c r="J37" i="103"/>
  <c r="P37" i="103" s="1"/>
  <c r="P28" i="107"/>
  <c r="AF6" i="109"/>
  <c r="L18" i="109"/>
  <c r="Q70" i="109"/>
  <c r="L38" i="105"/>
  <c r="AE2" i="109"/>
  <c r="P52" i="109"/>
  <c r="L52" i="109"/>
  <c r="N79" i="109"/>
  <c r="AF70" i="109"/>
  <c r="G1" i="105"/>
  <c r="AF19" i="109"/>
  <c r="P48" i="107"/>
  <c r="P26" i="109"/>
  <c r="L60" i="109"/>
  <c r="R60" i="109" s="1"/>
  <c r="K79" i="109"/>
  <c r="O79" i="113" l="1"/>
  <c r="R79" i="113" s="1"/>
  <c r="S70" i="113" s="1"/>
  <c r="AF79" i="113"/>
  <c r="Q79" i="113"/>
  <c r="R60" i="113"/>
  <c r="Q60" i="113"/>
  <c r="R39" i="113"/>
  <c r="Q39" i="113"/>
  <c r="R7" i="113"/>
  <c r="Q7" i="113"/>
  <c r="R49" i="113"/>
  <c r="Q49" i="113"/>
  <c r="O58" i="113"/>
  <c r="R58" i="113" s="1"/>
  <c r="S49" i="113" s="1"/>
  <c r="AG15" i="113"/>
  <c r="AH5" i="113" s="1"/>
  <c r="AF15" i="113"/>
  <c r="O26" i="113"/>
  <c r="R16" i="113"/>
  <c r="Q16" i="113"/>
  <c r="AG58" i="113"/>
  <c r="AH49" i="113" s="1"/>
  <c r="AF58" i="113"/>
  <c r="Q58" i="113"/>
  <c r="R51" i="113"/>
  <c r="Q51" i="113"/>
  <c r="R29" i="113"/>
  <c r="Q29" i="113"/>
  <c r="O48" i="113"/>
  <c r="R48" i="113" s="1"/>
  <c r="S38" i="113" s="1"/>
  <c r="Q70" i="113"/>
  <c r="O69" i="113"/>
  <c r="R69" i="113" s="1"/>
  <c r="S59" i="113" s="1"/>
  <c r="R59" i="113"/>
  <c r="Q59" i="113"/>
  <c r="R18" i="113"/>
  <c r="Q18" i="113"/>
  <c r="Q69" i="113"/>
  <c r="AG69" i="113"/>
  <c r="AH59" i="113" s="1"/>
  <c r="AF69" i="113"/>
  <c r="AF48" i="113"/>
  <c r="AG48" i="113"/>
  <c r="AH38" i="113" s="1"/>
  <c r="Q48" i="113"/>
  <c r="AG26" i="113"/>
  <c r="AH16" i="113" s="1"/>
  <c r="AF26" i="113"/>
  <c r="R40" i="113"/>
  <c r="Q40" i="113"/>
  <c r="Q37" i="113"/>
  <c r="AF37" i="113"/>
  <c r="AG37" i="113"/>
  <c r="AH27" i="113" s="1"/>
  <c r="R17" i="113"/>
  <c r="Q17" i="113"/>
  <c r="R28" i="113"/>
  <c r="Q28" i="113"/>
  <c r="O37" i="113"/>
  <c r="R37" i="113" s="1"/>
  <c r="S27" i="113" s="1"/>
  <c r="Q27" i="113"/>
  <c r="R27" i="113"/>
  <c r="O15" i="113"/>
  <c r="H13" i="112"/>
  <c r="F6" i="112" s="1"/>
  <c r="J3" i="112"/>
  <c r="Q30" i="111"/>
  <c r="R53" i="111"/>
  <c r="R60" i="111"/>
  <c r="Q60" i="111"/>
  <c r="O37" i="111"/>
  <c r="R37" i="111" s="1"/>
  <c r="S27" i="111" s="1"/>
  <c r="Q27" i="111"/>
  <c r="R27" i="111"/>
  <c r="R7" i="111"/>
  <c r="Q7" i="111"/>
  <c r="R6" i="111"/>
  <c r="Q6" i="111"/>
  <c r="L79" i="111"/>
  <c r="J13" i="110" s="1"/>
  <c r="Q70" i="111"/>
  <c r="Q51" i="111"/>
  <c r="R51" i="111"/>
  <c r="AG15" i="111"/>
  <c r="AH5" i="111" s="1"/>
  <c r="AF15" i="111"/>
  <c r="AG26" i="111"/>
  <c r="AH16" i="111" s="1"/>
  <c r="AF26" i="111"/>
  <c r="O26" i="111"/>
  <c r="R16" i="111"/>
  <c r="Q16" i="111"/>
  <c r="O69" i="111"/>
  <c r="R69" i="111" s="1"/>
  <c r="S59" i="111" s="1"/>
  <c r="R59" i="111"/>
  <c r="Q59" i="111"/>
  <c r="R49" i="111"/>
  <c r="Q49" i="111"/>
  <c r="O58" i="111"/>
  <c r="R58" i="111" s="1"/>
  <c r="S49" i="111" s="1"/>
  <c r="R28" i="111"/>
  <c r="Q28" i="111"/>
  <c r="R29" i="111"/>
  <c r="Q29" i="111"/>
  <c r="AF48" i="111"/>
  <c r="AG48" i="111"/>
  <c r="AH38" i="111" s="1"/>
  <c r="Q48" i="111"/>
  <c r="AF58" i="111"/>
  <c r="AG58" i="111"/>
  <c r="AH49" i="111" s="1"/>
  <c r="Q58" i="111"/>
  <c r="R17" i="111"/>
  <c r="Q17" i="111"/>
  <c r="Q38" i="111"/>
  <c r="O48" i="111"/>
  <c r="R48" i="111" s="1"/>
  <c r="S38" i="111" s="1"/>
  <c r="R38" i="111"/>
  <c r="Q37" i="111"/>
  <c r="AF37" i="111"/>
  <c r="AG37" i="111"/>
  <c r="AH27" i="111" s="1"/>
  <c r="Q69" i="111"/>
  <c r="AG69" i="111"/>
  <c r="AH59" i="111" s="1"/>
  <c r="AF69" i="111"/>
  <c r="R40" i="111"/>
  <c r="Q40" i="111"/>
  <c r="R39" i="111"/>
  <c r="Q39" i="111"/>
  <c r="O15" i="111"/>
  <c r="Q50" i="111"/>
  <c r="R50" i="111"/>
  <c r="J14" i="110"/>
  <c r="I13" i="110"/>
  <c r="J6" i="110" s="1"/>
  <c r="J3" i="110"/>
  <c r="D13" i="110"/>
  <c r="E14" i="90"/>
  <c r="R58" i="107"/>
  <c r="S49" i="107" s="1"/>
  <c r="H14" i="106"/>
  <c r="H15" i="106" s="1"/>
  <c r="R58" i="7"/>
  <c r="S49" i="7" s="1"/>
  <c r="H14" i="6"/>
  <c r="H15" i="6" s="1"/>
  <c r="F14" i="14"/>
  <c r="F15" i="14" s="1"/>
  <c r="I14" i="18"/>
  <c r="H14" i="104"/>
  <c r="F6" i="82"/>
  <c r="R26" i="105"/>
  <c r="S16" i="105" s="1"/>
  <c r="E14" i="104"/>
  <c r="E15" i="104" s="1"/>
  <c r="Q26" i="105"/>
  <c r="G14" i="98"/>
  <c r="G15" i="98" s="1"/>
  <c r="R48" i="99"/>
  <c r="S38" i="99" s="1"/>
  <c r="I14" i="8"/>
  <c r="R69" i="9"/>
  <c r="S59" i="9" s="1"/>
  <c r="J3" i="102"/>
  <c r="G2" i="103"/>
  <c r="R19" i="93"/>
  <c r="Q19" i="93"/>
  <c r="R51" i="109"/>
  <c r="Q51" i="109"/>
  <c r="J13" i="12"/>
  <c r="R79" i="13"/>
  <c r="S70" i="13" s="1"/>
  <c r="J15" i="12" s="1"/>
  <c r="Q5" i="71"/>
  <c r="R5" i="71"/>
  <c r="O15" i="71"/>
  <c r="R61" i="85"/>
  <c r="Q61" i="85"/>
  <c r="Q9" i="94"/>
  <c r="R9" i="94"/>
  <c r="AG58" i="87"/>
  <c r="AH49" i="87" s="1"/>
  <c r="AF58" i="87"/>
  <c r="Q58" i="87"/>
  <c r="Q6" i="75"/>
  <c r="R6" i="75"/>
  <c r="O58" i="15"/>
  <c r="Q49" i="15"/>
  <c r="R49" i="15"/>
  <c r="Q39" i="109"/>
  <c r="R39" i="109"/>
  <c r="O58" i="101"/>
  <c r="R49" i="101"/>
  <c r="Q49" i="101"/>
  <c r="O69" i="85"/>
  <c r="R8" i="83"/>
  <c r="Q8" i="83"/>
  <c r="AG26" i="71"/>
  <c r="AH16" i="71" s="1"/>
  <c r="AF26" i="71"/>
  <c r="Q18" i="103"/>
  <c r="R18" i="103"/>
  <c r="AG48" i="85"/>
  <c r="AH38" i="85" s="1"/>
  <c r="AF48" i="85"/>
  <c r="Q48" i="85"/>
  <c r="AG37" i="91"/>
  <c r="AH27" i="91" s="1"/>
  <c r="AF37" i="91"/>
  <c r="Q37" i="91"/>
  <c r="Q8" i="77"/>
  <c r="R8" i="77"/>
  <c r="Q41" i="75"/>
  <c r="R41" i="75"/>
  <c r="R28" i="21"/>
  <c r="Q28" i="21"/>
  <c r="AG37" i="81"/>
  <c r="AH27" i="81" s="1"/>
  <c r="AF37" i="81"/>
  <c r="Q37" i="81"/>
  <c r="R41" i="91"/>
  <c r="Q41" i="91"/>
  <c r="R52" i="15"/>
  <c r="Q52" i="15"/>
  <c r="Q58" i="71"/>
  <c r="AG58" i="71"/>
  <c r="AH49" i="71" s="1"/>
  <c r="AF58" i="71"/>
  <c r="L58" i="75"/>
  <c r="H13" i="74" s="1"/>
  <c r="AF69" i="103"/>
  <c r="AG69" i="103"/>
  <c r="AH59" i="103" s="1"/>
  <c r="Q69" i="103"/>
  <c r="R18" i="89"/>
  <c r="Q18" i="89"/>
  <c r="Q69" i="23"/>
  <c r="AG69" i="23"/>
  <c r="AH59" i="23" s="1"/>
  <c r="AF69" i="23"/>
  <c r="Q70" i="75"/>
  <c r="R28" i="91"/>
  <c r="Q28" i="91"/>
  <c r="O58" i="71"/>
  <c r="R49" i="71"/>
  <c r="Q49" i="71"/>
  <c r="R17" i="83"/>
  <c r="Q17" i="83"/>
  <c r="Q37" i="13"/>
  <c r="AG37" i="13"/>
  <c r="AH27" i="13" s="1"/>
  <c r="AF37" i="13"/>
  <c r="Q58" i="9"/>
  <c r="AG58" i="9"/>
  <c r="AH49" i="9" s="1"/>
  <c r="AF58" i="9"/>
  <c r="AF37" i="15"/>
  <c r="Q37" i="15"/>
  <c r="AG37" i="15"/>
  <c r="AH27" i="15" s="1"/>
  <c r="R16" i="79"/>
  <c r="Q16" i="79"/>
  <c r="O26" i="79"/>
  <c r="Q16" i="3"/>
  <c r="R16" i="3"/>
  <c r="O26" i="3"/>
  <c r="L26" i="105"/>
  <c r="E13" i="104" s="1"/>
  <c r="Q16" i="105"/>
  <c r="Q27" i="105"/>
  <c r="O37" i="105"/>
  <c r="R27" i="105"/>
  <c r="R26" i="94"/>
  <c r="S16" i="94" s="1"/>
  <c r="E14" i="95"/>
  <c r="E15" i="95" s="1"/>
  <c r="R29" i="83"/>
  <c r="Q29" i="83"/>
  <c r="Q50" i="99"/>
  <c r="R50" i="99"/>
  <c r="G14" i="100"/>
  <c r="G15" i="100" s="1"/>
  <c r="R48" i="101"/>
  <c r="S38" i="101" s="1"/>
  <c r="R9" i="93"/>
  <c r="Q9" i="93"/>
  <c r="F6" i="78"/>
  <c r="H6" i="78"/>
  <c r="R31" i="15"/>
  <c r="R30" i="89"/>
  <c r="Q30" i="89"/>
  <c r="Q59" i="7"/>
  <c r="R59" i="7"/>
  <c r="O69" i="7"/>
  <c r="R50" i="79"/>
  <c r="Q50" i="79"/>
  <c r="R70" i="75"/>
  <c r="Q52" i="11"/>
  <c r="R61" i="93"/>
  <c r="Q61" i="93"/>
  <c r="Q59" i="21"/>
  <c r="L69" i="69"/>
  <c r="I13" i="16" s="1"/>
  <c r="J6" i="16" s="1"/>
  <c r="Q30" i="11"/>
  <c r="R52" i="69"/>
  <c r="Q52" i="69"/>
  <c r="R61" i="3"/>
  <c r="Q61" i="3"/>
  <c r="AG69" i="15"/>
  <c r="AH59" i="15" s="1"/>
  <c r="AF69" i="15"/>
  <c r="Q69" i="15"/>
  <c r="Q70" i="11"/>
  <c r="O79" i="11"/>
  <c r="R70" i="11"/>
  <c r="R70" i="7"/>
  <c r="O79" i="7"/>
  <c r="Q70" i="7"/>
  <c r="R51" i="15"/>
  <c r="Q51" i="15"/>
  <c r="G14" i="6"/>
  <c r="G15" i="6" s="1"/>
  <c r="R48" i="7"/>
  <c r="S38" i="7" s="1"/>
  <c r="Q79" i="94"/>
  <c r="AG79" i="94"/>
  <c r="AH70" i="94" s="1"/>
  <c r="AF79" i="94"/>
  <c r="L69" i="103"/>
  <c r="I13" i="102" s="1"/>
  <c r="J6" i="102" s="1"/>
  <c r="O58" i="73"/>
  <c r="R49" i="73"/>
  <c r="Q49" i="73"/>
  <c r="AG48" i="13"/>
  <c r="AH38" i="13" s="1"/>
  <c r="AF15" i="103"/>
  <c r="AG15" i="103"/>
  <c r="AH5" i="103" s="1"/>
  <c r="L15" i="103"/>
  <c r="D13" i="102" s="1"/>
  <c r="AG37" i="99"/>
  <c r="AH27" i="99" s="1"/>
  <c r="AF37" i="99"/>
  <c r="Q37" i="99"/>
  <c r="AG26" i="109"/>
  <c r="AH16" i="109" s="1"/>
  <c r="AF26" i="109"/>
  <c r="J3" i="100"/>
  <c r="G2" i="101"/>
  <c r="R43" i="93"/>
  <c r="Q43" i="93"/>
  <c r="Q50" i="87"/>
  <c r="R50" i="87"/>
  <c r="Q50" i="93"/>
  <c r="Q38" i="79"/>
  <c r="Q29" i="73"/>
  <c r="R29" i="73"/>
  <c r="O40" i="103"/>
  <c r="AG40" i="103"/>
  <c r="AF40" i="103"/>
  <c r="R30" i="93"/>
  <c r="Q30" i="93"/>
  <c r="O15" i="87"/>
  <c r="Q5" i="87"/>
  <c r="R5" i="87"/>
  <c r="AG26" i="107"/>
  <c r="AH16" i="107" s="1"/>
  <c r="AF26" i="107"/>
  <c r="Q40" i="75"/>
  <c r="R40" i="75"/>
  <c r="L48" i="94"/>
  <c r="G13" i="95" s="1"/>
  <c r="H6" i="95" s="1"/>
  <c r="R52" i="23"/>
  <c r="Q52" i="23"/>
  <c r="R61" i="15"/>
  <c r="Q61" i="15"/>
  <c r="O79" i="105"/>
  <c r="R70" i="105"/>
  <c r="Q70" i="105"/>
  <c r="O69" i="89"/>
  <c r="Q59" i="89"/>
  <c r="R59" i="89"/>
  <c r="R6" i="21"/>
  <c r="Q6" i="21"/>
  <c r="Q70" i="107"/>
  <c r="O79" i="107"/>
  <c r="R70" i="107"/>
  <c r="J14" i="82"/>
  <c r="R79" i="83"/>
  <c r="S70" i="83" s="1"/>
  <c r="J15" i="82" s="1"/>
  <c r="AG26" i="99"/>
  <c r="AH16" i="99" s="1"/>
  <c r="AF26" i="99"/>
  <c r="R51" i="69"/>
  <c r="Q51" i="69"/>
  <c r="R50" i="23"/>
  <c r="Q50" i="23"/>
  <c r="R50" i="75"/>
  <c r="Q50" i="75"/>
  <c r="J3" i="20"/>
  <c r="G2" i="21"/>
  <c r="Q37" i="73"/>
  <c r="AG37" i="73"/>
  <c r="AH27" i="73" s="1"/>
  <c r="AF37" i="73"/>
  <c r="R27" i="21"/>
  <c r="Q27" i="21"/>
  <c r="O37" i="21"/>
  <c r="Q58" i="69"/>
  <c r="AF58" i="69"/>
  <c r="AG58" i="69"/>
  <c r="AH49" i="69" s="1"/>
  <c r="R31" i="11"/>
  <c r="Q31" i="11"/>
  <c r="Q31" i="91"/>
  <c r="R31" i="91"/>
  <c r="L58" i="81"/>
  <c r="H13" i="80" s="1"/>
  <c r="L69" i="79"/>
  <c r="I13" i="78" s="1"/>
  <c r="J6" i="78" s="1"/>
  <c r="AF15" i="69"/>
  <c r="AG15" i="69"/>
  <c r="AH5" i="69" s="1"/>
  <c r="AF48" i="77"/>
  <c r="Q48" i="77"/>
  <c r="AG48" i="77"/>
  <c r="AH38" i="77" s="1"/>
  <c r="Q5" i="15"/>
  <c r="O15" i="15"/>
  <c r="R5" i="15"/>
  <c r="H13" i="2"/>
  <c r="R31" i="83"/>
  <c r="Q31" i="83"/>
  <c r="AF79" i="109"/>
  <c r="Q79" i="109"/>
  <c r="AG79" i="109"/>
  <c r="AH70" i="109" s="1"/>
  <c r="Q37" i="105"/>
  <c r="AG37" i="105"/>
  <c r="AH27" i="105" s="1"/>
  <c r="AF37" i="105"/>
  <c r="R5" i="101"/>
  <c r="Q5" i="101"/>
  <c r="O15" i="101"/>
  <c r="AG48" i="94"/>
  <c r="AH38" i="94" s="1"/>
  <c r="Q48" i="94"/>
  <c r="AF48" i="94"/>
  <c r="Q28" i="99"/>
  <c r="R28" i="99"/>
  <c r="AG15" i="109"/>
  <c r="AH5" i="109" s="1"/>
  <c r="AF15" i="109"/>
  <c r="Q17" i="101"/>
  <c r="R17" i="101"/>
  <c r="R9" i="99"/>
  <c r="Q9" i="99"/>
  <c r="Q51" i="91"/>
  <c r="L69" i="85"/>
  <c r="I13" i="84" s="1"/>
  <c r="J6" i="84" s="1"/>
  <c r="R59" i="85"/>
  <c r="Q59" i="85"/>
  <c r="R62" i="107"/>
  <c r="Q62" i="107"/>
  <c r="Q38" i="103"/>
  <c r="R38" i="103"/>
  <c r="O48" i="103"/>
  <c r="AF58" i="99"/>
  <c r="Q58" i="99"/>
  <c r="AG58" i="99"/>
  <c r="AH49" i="99" s="1"/>
  <c r="R38" i="91"/>
  <c r="Q38" i="91"/>
  <c r="O48" i="91"/>
  <c r="Q60" i="83"/>
  <c r="R60" i="83"/>
  <c r="R28" i="83"/>
  <c r="Q28" i="83"/>
  <c r="O48" i="75"/>
  <c r="Q38" i="75"/>
  <c r="R38" i="75"/>
  <c r="R51" i="99"/>
  <c r="Q51" i="99"/>
  <c r="R61" i="87"/>
  <c r="I13" i="2"/>
  <c r="J6" i="2" s="1"/>
  <c r="Q48" i="11"/>
  <c r="AF48" i="11"/>
  <c r="AG48" i="11"/>
  <c r="AH38" i="11" s="1"/>
  <c r="R71" i="107"/>
  <c r="Q37" i="75"/>
  <c r="AG37" i="75"/>
  <c r="AH27" i="75" s="1"/>
  <c r="AF37" i="75"/>
  <c r="Q62" i="94"/>
  <c r="R62" i="94"/>
  <c r="Q52" i="91"/>
  <c r="R52" i="91"/>
  <c r="L15" i="77"/>
  <c r="D13" i="76" s="1"/>
  <c r="R39" i="69"/>
  <c r="Q39" i="69"/>
  <c r="Q29" i="103"/>
  <c r="R29" i="103"/>
  <c r="AG15" i="87"/>
  <c r="AH5" i="87" s="1"/>
  <c r="AF15" i="87"/>
  <c r="R7" i="91"/>
  <c r="O58" i="91"/>
  <c r="R49" i="91"/>
  <c r="Q49" i="91"/>
  <c r="R16" i="107"/>
  <c r="Q16" i="107"/>
  <c r="O26" i="107"/>
  <c r="Q6" i="94"/>
  <c r="R6" i="94"/>
  <c r="L37" i="13"/>
  <c r="F13" i="12" s="1"/>
  <c r="R7" i="105"/>
  <c r="Q7" i="105"/>
  <c r="AG79" i="23"/>
  <c r="AH70" i="23" s="1"/>
  <c r="AF79" i="23"/>
  <c r="Q79" i="23"/>
  <c r="L48" i="101"/>
  <c r="G13" i="100" s="1"/>
  <c r="G2" i="83"/>
  <c r="J3" i="82"/>
  <c r="L15" i="73"/>
  <c r="D13" i="72" s="1"/>
  <c r="J3" i="78"/>
  <c r="G2" i="79"/>
  <c r="Q16" i="23"/>
  <c r="Q8" i="11"/>
  <c r="AG69" i="89"/>
  <c r="AH59" i="89" s="1"/>
  <c r="Q69" i="89"/>
  <c r="AF69" i="89"/>
  <c r="AG48" i="81"/>
  <c r="AH38" i="81" s="1"/>
  <c r="R61" i="79"/>
  <c r="Q61" i="79"/>
  <c r="Q19" i="15"/>
  <c r="R19" i="15"/>
  <c r="Q37" i="107"/>
  <c r="AG37" i="107"/>
  <c r="AH27" i="107" s="1"/>
  <c r="AF37" i="107"/>
  <c r="Q16" i="99"/>
  <c r="R16" i="99"/>
  <c r="O26" i="99"/>
  <c r="R28" i="93"/>
  <c r="Q28" i="93"/>
  <c r="R61" i="73"/>
  <c r="Q61" i="73"/>
  <c r="O69" i="73"/>
  <c r="R59" i="21"/>
  <c r="O48" i="69"/>
  <c r="R38" i="69"/>
  <c r="Q38" i="69"/>
  <c r="O37" i="87"/>
  <c r="R27" i="87"/>
  <c r="Q27" i="87"/>
  <c r="R18" i="77"/>
  <c r="Q18" i="77"/>
  <c r="O26" i="77"/>
  <c r="Q7" i="99"/>
  <c r="R7" i="99"/>
  <c r="R38" i="23"/>
  <c r="Q38" i="23"/>
  <c r="O48" i="23"/>
  <c r="Q31" i="13"/>
  <c r="R31" i="13"/>
  <c r="R7" i="81"/>
  <c r="Q7" i="81"/>
  <c r="AG58" i="11"/>
  <c r="AH49" i="11" s="1"/>
  <c r="AF58" i="11"/>
  <c r="Q58" i="11"/>
  <c r="AF15" i="11"/>
  <c r="AG15" i="11"/>
  <c r="AH5" i="11" s="1"/>
  <c r="F13" i="2"/>
  <c r="G2" i="71"/>
  <c r="J3" i="18"/>
  <c r="R40" i="94"/>
  <c r="Q40" i="94"/>
  <c r="AG15" i="9"/>
  <c r="AH5" i="9" s="1"/>
  <c r="AF15" i="9"/>
  <c r="R29" i="69"/>
  <c r="Q29" i="69"/>
  <c r="L37" i="69"/>
  <c r="F13" i="16" s="1"/>
  <c r="R28" i="101"/>
  <c r="Q28" i="101"/>
  <c r="Q37" i="21"/>
  <c r="AG37" i="21"/>
  <c r="AH27" i="21" s="1"/>
  <c r="AF37" i="21"/>
  <c r="R29" i="11"/>
  <c r="Q29" i="11"/>
  <c r="L37" i="15"/>
  <c r="F13" i="14" s="1"/>
  <c r="Q7" i="7"/>
  <c r="R7" i="7"/>
  <c r="AG79" i="81"/>
  <c r="AH70" i="81" s="1"/>
  <c r="AF79" i="81"/>
  <c r="Q79" i="81"/>
  <c r="J3" i="74"/>
  <c r="G2" i="75"/>
  <c r="R5" i="69"/>
  <c r="Q5" i="69"/>
  <c r="O15" i="69"/>
  <c r="AG26" i="7"/>
  <c r="AH16" i="7" s="1"/>
  <c r="AF26" i="7"/>
  <c r="AF15" i="85"/>
  <c r="AG15" i="85"/>
  <c r="AH5" i="85" s="1"/>
  <c r="G2" i="89"/>
  <c r="J3" i="88"/>
  <c r="Q50" i="9"/>
  <c r="R50" i="9"/>
  <c r="J3" i="6"/>
  <c r="G2" i="7"/>
  <c r="Q51" i="101"/>
  <c r="AG58" i="101"/>
  <c r="AH49" i="101" s="1"/>
  <c r="Q58" i="101"/>
  <c r="AF58" i="101"/>
  <c r="Q60" i="93"/>
  <c r="R60" i="93"/>
  <c r="Q48" i="83"/>
  <c r="AG48" i="83"/>
  <c r="AH38" i="83" s="1"/>
  <c r="AF48" i="83"/>
  <c r="J3" i="8"/>
  <c r="G2" i="9"/>
  <c r="R39" i="15"/>
  <c r="Q39" i="15"/>
  <c r="L58" i="71"/>
  <c r="H13" i="18" s="1"/>
  <c r="AG15" i="107"/>
  <c r="AH5" i="107" s="1"/>
  <c r="AF15" i="107"/>
  <c r="R51" i="81"/>
  <c r="Q51" i="81"/>
  <c r="R29" i="81"/>
  <c r="Q29" i="81"/>
  <c r="Q27" i="81"/>
  <c r="O37" i="81"/>
  <c r="R27" i="81"/>
  <c r="Q19" i="69"/>
  <c r="R19" i="69"/>
  <c r="R27" i="79"/>
  <c r="O37" i="79"/>
  <c r="Q27" i="79"/>
  <c r="R69" i="75"/>
  <c r="S59" i="75" s="1"/>
  <c r="I14" i="74"/>
  <c r="R29" i="23"/>
  <c r="Q79" i="11"/>
  <c r="AG79" i="11"/>
  <c r="AH70" i="11" s="1"/>
  <c r="AF79" i="11"/>
  <c r="R62" i="93"/>
  <c r="Q62" i="93"/>
  <c r="Q48" i="91"/>
  <c r="AG48" i="91"/>
  <c r="AH38" i="91" s="1"/>
  <c r="AF48" i="91"/>
  <c r="Q8" i="93"/>
  <c r="R8" i="93"/>
  <c r="AG58" i="94"/>
  <c r="AH49" i="94" s="1"/>
  <c r="AF26" i="23"/>
  <c r="AG26" i="23"/>
  <c r="AH16" i="23" s="1"/>
  <c r="R59" i="81"/>
  <c r="O69" i="81"/>
  <c r="Q59" i="81"/>
  <c r="AG26" i="87"/>
  <c r="AH16" i="87" s="1"/>
  <c r="AF26" i="87"/>
  <c r="Q61" i="109"/>
  <c r="R61" i="109"/>
  <c r="Q29" i="87"/>
  <c r="R29" i="87"/>
  <c r="R5" i="13"/>
  <c r="Q5" i="13"/>
  <c r="O15" i="13"/>
  <c r="R7" i="103"/>
  <c r="Q7" i="103"/>
  <c r="G14" i="92"/>
  <c r="G15" i="92" s="1"/>
  <c r="R48" i="93"/>
  <c r="S38" i="93" s="1"/>
  <c r="L58" i="105"/>
  <c r="H13" i="104" s="1"/>
  <c r="R39" i="9"/>
  <c r="Q39" i="9"/>
  <c r="R63" i="103"/>
  <c r="Q63" i="103"/>
  <c r="AF48" i="109"/>
  <c r="AG48" i="109"/>
  <c r="AH38" i="109" s="1"/>
  <c r="Q48" i="109"/>
  <c r="R39" i="87"/>
  <c r="Q39" i="87"/>
  <c r="R29" i="85"/>
  <c r="Q29" i="85"/>
  <c r="AG37" i="7"/>
  <c r="AH27" i="7" s="1"/>
  <c r="AF37" i="7"/>
  <c r="Q37" i="7"/>
  <c r="O37" i="85"/>
  <c r="R27" i="85"/>
  <c r="Q27" i="85"/>
  <c r="R51" i="13"/>
  <c r="Q51" i="13"/>
  <c r="Q8" i="15"/>
  <c r="R8" i="15"/>
  <c r="L69" i="7"/>
  <c r="I13" i="6" s="1"/>
  <c r="J6" i="6" s="1"/>
  <c r="Q41" i="71"/>
  <c r="R41" i="71"/>
  <c r="R28" i="107"/>
  <c r="Q28" i="107"/>
  <c r="R49" i="13"/>
  <c r="O58" i="13"/>
  <c r="Q49" i="13"/>
  <c r="Q70" i="73"/>
  <c r="O79" i="73"/>
  <c r="R70" i="73"/>
  <c r="R62" i="13"/>
  <c r="R7" i="73"/>
  <c r="Q7" i="73"/>
  <c r="AG26" i="79"/>
  <c r="AH16" i="79" s="1"/>
  <c r="AF26" i="79"/>
  <c r="R20" i="13"/>
  <c r="R6" i="71"/>
  <c r="Q6" i="71"/>
  <c r="R58" i="9"/>
  <c r="S49" i="9" s="1"/>
  <c r="H14" i="8"/>
  <c r="H15" i="8" s="1"/>
  <c r="Q9" i="105"/>
  <c r="R9" i="105"/>
  <c r="Q28" i="109"/>
  <c r="R28" i="109"/>
  <c r="AG15" i="101"/>
  <c r="AH5" i="101" s="1"/>
  <c r="AF15" i="101"/>
  <c r="AF48" i="93"/>
  <c r="AG48" i="93"/>
  <c r="AH38" i="93" s="1"/>
  <c r="Q48" i="93"/>
  <c r="R59" i="103"/>
  <c r="Q59" i="103"/>
  <c r="O69" i="103"/>
  <c r="G2" i="99"/>
  <c r="J3" i="98"/>
  <c r="R5" i="94"/>
  <c r="O15" i="94"/>
  <c r="Q5" i="94"/>
  <c r="O26" i="89"/>
  <c r="Q16" i="89"/>
  <c r="R16" i="89"/>
  <c r="R40" i="109"/>
  <c r="Q40" i="109"/>
  <c r="L37" i="79"/>
  <c r="F13" i="78" s="1"/>
  <c r="R60" i="69"/>
  <c r="L58" i="11"/>
  <c r="H13" i="10" s="1"/>
  <c r="Q50" i="91"/>
  <c r="R50" i="91"/>
  <c r="Q48" i="73"/>
  <c r="AG48" i="73"/>
  <c r="AH38" i="73" s="1"/>
  <c r="AF48" i="73"/>
  <c r="L79" i="77"/>
  <c r="R70" i="77"/>
  <c r="Q70" i="77"/>
  <c r="R30" i="7"/>
  <c r="Q30" i="7"/>
  <c r="Q7" i="83"/>
  <c r="R7" i="83"/>
  <c r="R52" i="75"/>
  <c r="Q52" i="75"/>
  <c r="Q31" i="71"/>
  <c r="Q58" i="7"/>
  <c r="AF58" i="7"/>
  <c r="AG58" i="7"/>
  <c r="AH49" i="7" s="1"/>
  <c r="R19" i="87"/>
  <c r="Q19" i="87"/>
  <c r="R69" i="21"/>
  <c r="S59" i="21" s="1"/>
  <c r="I14" i="20"/>
  <c r="O58" i="87"/>
  <c r="R28" i="81"/>
  <c r="Q28" i="81"/>
  <c r="R50" i="21"/>
  <c r="Q50" i="21"/>
  <c r="Q17" i="85"/>
  <c r="R17" i="85"/>
  <c r="AF15" i="13"/>
  <c r="AG15" i="13"/>
  <c r="AH5" i="13" s="1"/>
  <c r="R62" i="11"/>
  <c r="Q62" i="11"/>
  <c r="H14" i="95"/>
  <c r="H15" i="95" s="1"/>
  <c r="Q51" i="71"/>
  <c r="Q71" i="94"/>
  <c r="O79" i="94"/>
  <c r="R71" i="94"/>
  <c r="R52" i="109"/>
  <c r="Q52" i="109"/>
  <c r="Q62" i="109"/>
  <c r="R62" i="109"/>
  <c r="AG69" i="109"/>
  <c r="AH59" i="109" s="1"/>
  <c r="AF69" i="109"/>
  <c r="Q69" i="109"/>
  <c r="Q30" i="105"/>
  <c r="R30" i="105"/>
  <c r="Q9" i="103"/>
  <c r="R9" i="103"/>
  <c r="R7" i="94"/>
  <c r="Q7" i="94"/>
  <c r="R16" i="105"/>
  <c r="Q16" i="101"/>
  <c r="O26" i="101"/>
  <c r="R16" i="101"/>
  <c r="O58" i="99"/>
  <c r="Q49" i="99"/>
  <c r="R49" i="99"/>
  <c r="R48" i="83"/>
  <c r="S38" i="83" s="1"/>
  <c r="G14" i="82"/>
  <c r="L26" i="94"/>
  <c r="E13" i="95" s="1"/>
  <c r="L58" i="91"/>
  <c r="H13" i="90" s="1"/>
  <c r="L37" i="83"/>
  <c r="F13" i="82" s="1"/>
  <c r="H6" i="82" s="1"/>
  <c r="Q27" i="83"/>
  <c r="AG48" i="75"/>
  <c r="AH38" i="75" s="1"/>
  <c r="AF48" i="75"/>
  <c r="Q48" i="75"/>
  <c r="AF15" i="94"/>
  <c r="AG15" i="94"/>
  <c r="AH5" i="94" s="1"/>
  <c r="R61" i="91"/>
  <c r="Q61" i="91"/>
  <c r="O37" i="109"/>
  <c r="Q18" i="101"/>
  <c r="R18" i="101"/>
  <c r="Q61" i="87"/>
  <c r="R49" i="107"/>
  <c r="R19" i="105"/>
  <c r="Q19" i="105"/>
  <c r="AG15" i="21"/>
  <c r="AH5" i="21" s="1"/>
  <c r="AF15" i="21"/>
  <c r="R79" i="103"/>
  <c r="S70" i="103" s="1"/>
  <c r="J15" i="102" s="1"/>
  <c r="Q48" i="99"/>
  <c r="AG48" i="99"/>
  <c r="AH38" i="99" s="1"/>
  <c r="AF48" i="99"/>
  <c r="Q30" i="107"/>
  <c r="R30" i="107"/>
  <c r="R17" i="99"/>
  <c r="Q17" i="99"/>
  <c r="AG69" i="85"/>
  <c r="AH59" i="85" s="1"/>
  <c r="Q69" i="85"/>
  <c r="AF69" i="85"/>
  <c r="Q79" i="99"/>
  <c r="R16" i="9"/>
  <c r="O26" i="9"/>
  <c r="Q16" i="9"/>
  <c r="Q5" i="81"/>
  <c r="R5" i="81"/>
  <c r="O15" i="81"/>
  <c r="R60" i="99"/>
  <c r="Q60" i="99"/>
  <c r="R5" i="23"/>
  <c r="Q5" i="23"/>
  <c r="O15" i="23"/>
  <c r="Q29" i="94"/>
  <c r="R29" i="94"/>
  <c r="L15" i="91"/>
  <c r="D13" i="90" s="1"/>
  <c r="Q58" i="107"/>
  <c r="AF58" i="107"/>
  <c r="AG58" i="107"/>
  <c r="AH49" i="107" s="1"/>
  <c r="R29" i="77"/>
  <c r="Q29" i="77"/>
  <c r="Q39" i="91"/>
  <c r="R39" i="91"/>
  <c r="R59" i="83"/>
  <c r="O69" i="83"/>
  <c r="Q59" i="83"/>
  <c r="J14" i="78"/>
  <c r="R79" i="79"/>
  <c r="S70" i="79" s="1"/>
  <c r="J15" i="78" s="1"/>
  <c r="Q40" i="69"/>
  <c r="R40" i="69"/>
  <c r="L48" i="85"/>
  <c r="G13" i="84" s="1"/>
  <c r="F6" i="84" s="1"/>
  <c r="O79" i="23"/>
  <c r="Q70" i="23"/>
  <c r="R70" i="23"/>
  <c r="R19" i="81"/>
  <c r="Q19" i="81"/>
  <c r="R28" i="23"/>
  <c r="Q28" i="23"/>
  <c r="O37" i="23"/>
  <c r="R40" i="13"/>
  <c r="Q40" i="13"/>
  <c r="O48" i="13"/>
  <c r="R16" i="23"/>
  <c r="R50" i="107"/>
  <c r="Q50" i="107"/>
  <c r="L58" i="89"/>
  <c r="H13" i="88" s="1"/>
  <c r="H6" i="88" s="1"/>
  <c r="AF79" i="107"/>
  <c r="AG79" i="107"/>
  <c r="AH70" i="107" s="1"/>
  <c r="Q79" i="107"/>
  <c r="R6" i="101"/>
  <c r="Q6" i="101"/>
  <c r="L58" i="83"/>
  <c r="H13" i="82" s="1"/>
  <c r="R7" i="23"/>
  <c r="Q7" i="23"/>
  <c r="AF48" i="69"/>
  <c r="AG48" i="69"/>
  <c r="AH38" i="69" s="1"/>
  <c r="Q48" i="69"/>
  <c r="Q19" i="79"/>
  <c r="R19" i="79"/>
  <c r="Q79" i="9"/>
  <c r="AG79" i="9"/>
  <c r="AH70" i="9" s="1"/>
  <c r="AF79" i="9"/>
  <c r="R18" i="3"/>
  <c r="Q79" i="77"/>
  <c r="R7" i="15"/>
  <c r="Q7" i="15"/>
  <c r="Q49" i="11"/>
  <c r="O58" i="11"/>
  <c r="R49" i="11"/>
  <c r="R70" i="3"/>
  <c r="Q70" i="3"/>
  <c r="O79" i="3"/>
  <c r="AG15" i="71"/>
  <c r="AH5" i="71" s="1"/>
  <c r="AF15" i="71"/>
  <c r="Q16" i="7"/>
  <c r="R16" i="7"/>
  <c r="O26" i="7"/>
  <c r="AG58" i="77"/>
  <c r="AH49" i="77" s="1"/>
  <c r="AF58" i="77"/>
  <c r="Q58" i="77"/>
  <c r="O58" i="21"/>
  <c r="E2" i="21" s="1"/>
  <c r="AF58" i="3"/>
  <c r="Q58" i="3"/>
  <c r="AG58" i="3"/>
  <c r="AH49" i="3" s="1"/>
  <c r="Q79" i="75"/>
  <c r="R27" i="73"/>
  <c r="Q27" i="73"/>
  <c r="O37" i="73"/>
  <c r="Q58" i="73"/>
  <c r="AG58" i="73"/>
  <c r="AH49" i="73" s="1"/>
  <c r="AF58" i="73"/>
  <c r="L15" i="105"/>
  <c r="D13" i="104" s="1"/>
  <c r="R5" i="105"/>
  <c r="R50" i="73"/>
  <c r="Q50" i="73"/>
  <c r="AG37" i="11"/>
  <c r="AH27" i="11" s="1"/>
  <c r="AF37" i="11"/>
  <c r="Q37" i="11"/>
  <c r="Q8" i="109"/>
  <c r="R8" i="109"/>
  <c r="L69" i="71"/>
  <c r="I13" i="18" s="1"/>
  <c r="J6" i="18" s="1"/>
  <c r="R59" i="71"/>
  <c r="Q59" i="71"/>
  <c r="R19" i="23"/>
  <c r="Q19" i="23"/>
  <c r="L26" i="93"/>
  <c r="E13" i="92" s="1"/>
  <c r="F6" i="92" s="1"/>
  <c r="O15" i="85"/>
  <c r="R5" i="85"/>
  <c r="Q5" i="85"/>
  <c r="Q5" i="75"/>
  <c r="L15" i="75"/>
  <c r="D13" i="74" s="1"/>
  <c r="R16" i="11"/>
  <c r="Q16" i="11"/>
  <c r="O26" i="11"/>
  <c r="AG58" i="83"/>
  <c r="AH49" i="83" s="1"/>
  <c r="AF58" i="83"/>
  <c r="Q58" i="83"/>
  <c r="Q62" i="81"/>
  <c r="R62" i="81"/>
  <c r="Q60" i="3"/>
  <c r="R60" i="3"/>
  <c r="Q37" i="109"/>
  <c r="AF37" i="109"/>
  <c r="AG37" i="109"/>
  <c r="AH27" i="109" s="1"/>
  <c r="AF69" i="101"/>
  <c r="AG69" i="101"/>
  <c r="AH59" i="101" s="1"/>
  <c r="Q69" i="101"/>
  <c r="AG79" i="21"/>
  <c r="AH70" i="21" s="1"/>
  <c r="Q79" i="21"/>
  <c r="AF79" i="21"/>
  <c r="J3" i="76"/>
  <c r="G2" i="77"/>
  <c r="G14" i="88"/>
  <c r="G15" i="88" s="1"/>
  <c r="R48" i="89"/>
  <c r="S38" i="89" s="1"/>
  <c r="Q7" i="79"/>
  <c r="R7" i="79"/>
  <c r="AG79" i="79"/>
  <c r="AH70" i="79" s="1"/>
  <c r="Q79" i="79"/>
  <c r="AF79" i="79"/>
  <c r="AG58" i="21"/>
  <c r="AH49" i="21" s="1"/>
  <c r="Q58" i="21"/>
  <c r="AF58" i="21"/>
  <c r="R49" i="93"/>
  <c r="Q49" i="93"/>
  <c r="O58" i="93"/>
  <c r="Q30" i="13"/>
  <c r="R30" i="13"/>
  <c r="O37" i="13"/>
  <c r="R61" i="71"/>
  <c r="Q61" i="71"/>
  <c r="I14" i="100"/>
  <c r="AG37" i="79"/>
  <c r="AH27" i="79" s="1"/>
  <c r="Q37" i="79"/>
  <c r="AF37" i="79"/>
  <c r="Q48" i="71"/>
  <c r="AG48" i="71"/>
  <c r="AH38" i="71" s="1"/>
  <c r="AF48" i="71"/>
  <c r="R18" i="71"/>
  <c r="Q18" i="71"/>
  <c r="R50" i="3"/>
  <c r="Q50" i="3"/>
  <c r="R6" i="91"/>
  <c r="Q6" i="91"/>
  <c r="R6" i="7"/>
  <c r="Q6" i="7"/>
  <c r="L26" i="71"/>
  <c r="E13" i="18" s="1"/>
  <c r="R37" i="7"/>
  <c r="S27" i="7" s="1"/>
  <c r="F14" i="6"/>
  <c r="F15" i="6" s="1"/>
  <c r="G2" i="105"/>
  <c r="J3" i="104"/>
  <c r="R60" i="79"/>
  <c r="Q60" i="79"/>
  <c r="AG26" i="3"/>
  <c r="AH16" i="3" s="1"/>
  <c r="AF26" i="3"/>
  <c r="R16" i="71"/>
  <c r="R50" i="11"/>
  <c r="Q50" i="11"/>
  <c r="L58" i="87"/>
  <c r="H13" i="86" s="1"/>
  <c r="H6" i="86" s="1"/>
  <c r="Q49" i="87"/>
  <c r="Q28" i="79"/>
  <c r="R28" i="79"/>
  <c r="L58" i="101"/>
  <c r="H13" i="100" s="1"/>
  <c r="H6" i="100" s="1"/>
  <c r="R69" i="87"/>
  <c r="S59" i="87" s="1"/>
  <c r="I14" i="86"/>
  <c r="G2" i="69"/>
  <c r="J3" i="16"/>
  <c r="AG58" i="13"/>
  <c r="AH49" i="13" s="1"/>
  <c r="AF58" i="13"/>
  <c r="Q58" i="13"/>
  <c r="Q61" i="81"/>
  <c r="R61" i="81"/>
  <c r="AF37" i="93"/>
  <c r="AF58" i="23"/>
  <c r="AG58" i="23"/>
  <c r="AH49" i="23" s="1"/>
  <c r="Q58" i="23"/>
  <c r="Q27" i="75"/>
  <c r="R27" i="75"/>
  <c r="O37" i="75"/>
  <c r="Q70" i="101"/>
  <c r="R70" i="101"/>
  <c r="O79" i="101"/>
  <c r="L69" i="15"/>
  <c r="I13" i="14" s="1"/>
  <c r="J6" i="14" s="1"/>
  <c r="AF58" i="105"/>
  <c r="Q69" i="83"/>
  <c r="AG69" i="83"/>
  <c r="AH59" i="83" s="1"/>
  <c r="AF69" i="83"/>
  <c r="AG26" i="94"/>
  <c r="AH16" i="94" s="1"/>
  <c r="AF26" i="94"/>
  <c r="AG27" i="103"/>
  <c r="N37" i="103"/>
  <c r="AF27" i="103"/>
  <c r="O27" i="103"/>
  <c r="F14" i="82"/>
  <c r="R37" i="83"/>
  <c r="S27" i="83" s="1"/>
  <c r="R48" i="109"/>
  <c r="S38" i="109" s="1"/>
  <c r="G14" i="108"/>
  <c r="G15" i="108" s="1"/>
  <c r="O26" i="93"/>
  <c r="Q16" i="93"/>
  <c r="R16" i="93"/>
  <c r="AG26" i="83"/>
  <c r="AH16" i="83" s="1"/>
  <c r="AF26" i="83"/>
  <c r="Q39" i="75"/>
  <c r="R39" i="75"/>
  <c r="R69" i="69"/>
  <c r="S59" i="69" s="1"/>
  <c r="I14" i="16"/>
  <c r="R8" i="23"/>
  <c r="Q8" i="23"/>
  <c r="R59" i="79"/>
  <c r="Q59" i="79"/>
  <c r="O69" i="79"/>
  <c r="R39" i="23"/>
  <c r="Q39" i="23"/>
  <c r="AG48" i="9"/>
  <c r="AH38" i="9" s="1"/>
  <c r="AF48" i="9"/>
  <c r="Q48" i="9"/>
  <c r="Q60" i="105"/>
  <c r="R60" i="105"/>
  <c r="AG48" i="89"/>
  <c r="AH38" i="89" s="1"/>
  <c r="Q48" i="89"/>
  <c r="AF48" i="89"/>
  <c r="AF58" i="94"/>
  <c r="Q29" i="79"/>
  <c r="R29" i="79"/>
  <c r="Q60" i="11"/>
  <c r="R60" i="11"/>
  <c r="H6" i="16"/>
  <c r="F6" i="16"/>
  <c r="Q37" i="77"/>
  <c r="AG37" i="77"/>
  <c r="AH27" i="77" s="1"/>
  <c r="AF37" i="77"/>
  <c r="R17" i="11"/>
  <c r="Q17" i="11"/>
  <c r="R39" i="3"/>
  <c r="Q39" i="3"/>
  <c r="Q38" i="9"/>
  <c r="O48" i="9"/>
  <c r="R38" i="9"/>
  <c r="R17" i="107"/>
  <c r="Q17" i="107"/>
  <c r="R51" i="105"/>
  <c r="Q51" i="105"/>
  <c r="Q17" i="109"/>
  <c r="R17" i="109"/>
  <c r="R52" i="93"/>
  <c r="Q52" i="93"/>
  <c r="AG58" i="85"/>
  <c r="AH49" i="85" s="1"/>
  <c r="Q58" i="85"/>
  <c r="AF58" i="85"/>
  <c r="R41" i="73"/>
  <c r="Q41" i="73"/>
  <c r="R15" i="103"/>
  <c r="S5" i="103" s="1"/>
  <c r="Q15" i="103"/>
  <c r="D14" i="102"/>
  <c r="R5" i="107"/>
  <c r="Q5" i="107"/>
  <c r="O15" i="107"/>
  <c r="R37" i="3"/>
  <c r="S27" i="3" s="1"/>
  <c r="F14" i="2"/>
  <c r="F15" i="2" s="1"/>
  <c r="AG15" i="79"/>
  <c r="AH5" i="79" s="1"/>
  <c r="AF15" i="79"/>
  <c r="L69" i="13"/>
  <c r="I13" i="12" s="1"/>
  <c r="J6" i="12" s="1"/>
  <c r="R6" i="11"/>
  <c r="Q6" i="11"/>
  <c r="Q49" i="69"/>
  <c r="R49" i="69"/>
  <c r="O58" i="69"/>
  <c r="Q6" i="83"/>
  <c r="R6" i="83"/>
  <c r="R37" i="9"/>
  <c r="S27" i="9" s="1"/>
  <c r="F14" i="8"/>
  <c r="F15" i="8" s="1"/>
  <c r="Q37" i="93"/>
  <c r="Q15" i="109"/>
  <c r="R15" i="109"/>
  <c r="S5" i="109" s="1"/>
  <c r="D14" i="108"/>
  <c r="R15" i="21"/>
  <c r="S5" i="21" s="1"/>
  <c r="Q15" i="21"/>
  <c r="D14" i="20"/>
  <c r="R30" i="77"/>
  <c r="Q30" i="77"/>
  <c r="R6" i="81"/>
  <c r="Q6" i="81"/>
  <c r="E14" i="18"/>
  <c r="O37" i="91"/>
  <c r="R38" i="77"/>
  <c r="O48" i="77"/>
  <c r="Q38" i="77"/>
  <c r="Q7" i="89"/>
  <c r="R7" i="89"/>
  <c r="E14" i="14"/>
  <c r="Q69" i="13"/>
  <c r="AG69" i="13"/>
  <c r="AH59" i="13" s="1"/>
  <c r="AF69" i="13"/>
  <c r="Q27" i="101"/>
  <c r="R27" i="101"/>
  <c r="O37" i="101"/>
  <c r="Q40" i="107"/>
  <c r="R40" i="107"/>
  <c r="R48" i="79"/>
  <c r="S38" i="79" s="1"/>
  <c r="G14" i="78"/>
  <c r="G15" i="78" s="1"/>
  <c r="Q29" i="89"/>
  <c r="R29" i="89"/>
  <c r="Q63" i="101"/>
  <c r="L69" i="101"/>
  <c r="I13" i="100" s="1"/>
  <c r="J6" i="100" s="1"/>
  <c r="R39" i="85"/>
  <c r="L58" i="93"/>
  <c r="H13" i="92" s="1"/>
  <c r="R51" i="107"/>
  <c r="Q51" i="107"/>
  <c r="R38" i="21"/>
  <c r="O48" i="21"/>
  <c r="Q38" i="21"/>
  <c r="R18" i="73"/>
  <c r="Q18" i="73"/>
  <c r="L26" i="13"/>
  <c r="E13" i="12" s="1"/>
  <c r="Q16" i="13"/>
  <c r="AG26" i="81"/>
  <c r="AH16" i="81" s="1"/>
  <c r="AF26" i="81"/>
  <c r="R29" i="7"/>
  <c r="Q29" i="7"/>
  <c r="R61" i="103"/>
  <c r="Q61" i="103"/>
  <c r="R52" i="87"/>
  <c r="Q52" i="87"/>
  <c r="R18" i="69"/>
  <c r="Q18" i="69"/>
  <c r="O58" i="77"/>
  <c r="Q49" i="77"/>
  <c r="R49" i="77"/>
  <c r="AF79" i="75"/>
  <c r="R62" i="15"/>
  <c r="R15" i="3"/>
  <c r="S5" i="3" s="1"/>
  <c r="Q15" i="3"/>
  <c r="D14" i="2"/>
  <c r="AG69" i="75"/>
  <c r="AH59" i="75" s="1"/>
  <c r="AF69" i="75"/>
  <c r="Q69" i="75"/>
  <c r="R18" i="107"/>
  <c r="Q18" i="107"/>
  <c r="Q27" i="99"/>
  <c r="O37" i="99"/>
  <c r="R27" i="99"/>
  <c r="R63" i="101"/>
  <c r="R20" i="109"/>
  <c r="R29" i="109"/>
  <c r="Q29" i="109"/>
  <c r="AG15" i="91"/>
  <c r="AH5" i="91" s="1"/>
  <c r="AF15" i="91"/>
  <c r="L69" i="81"/>
  <c r="I13" i="80" s="1"/>
  <c r="J6" i="80" s="1"/>
  <c r="AF79" i="101"/>
  <c r="Q79" i="101"/>
  <c r="AG79" i="101"/>
  <c r="AH70" i="101" s="1"/>
  <c r="R51" i="85"/>
  <c r="Q51" i="85"/>
  <c r="AG15" i="81"/>
  <c r="AH5" i="81" s="1"/>
  <c r="AF15" i="81"/>
  <c r="AG15" i="99"/>
  <c r="AH5" i="99" s="1"/>
  <c r="AF15" i="99"/>
  <c r="Q50" i="89"/>
  <c r="R50" i="89"/>
  <c r="R60" i="85"/>
  <c r="R30" i="15"/>
  <c r="Q30" i="15"/>
  <c r="G2" i="93"/>
  <c r="J3" i="92"/>
  <c r="Q28" i="7"/>
  <c r="R28" i="7"/>
  <c r="Q39" i="89"/>
  <c r="R39" i="89"/>
  <c r="Q51" i="21"/>
  <c r="R28" i="9"/>
  <c r="Q28" i="9"/>
  <c r="AF26" i="91"/>
  <c r="AG26" i="91"/>
  <c r="AH16" i="91" s="1"/>
  <c r="AF69" i="99"/>
  <c r="Q69" i="99"/>
  <c r="AG69" i="99"/>
  <c r="AH59" i="99" s="1"/>
  <c r="R18" i="87"/>
  <c r="Q18" i="87"/>
  <c r="R70" i="93"/>
  <c r="Q70" i="93"/>
  <c r="O79" i="93"/>
  <c r="R61" i="94"/>
  <c r="Q61" i="94"/>
  <c r="O58" i="89"/>
  <c r="R49" i="89"/>
  <c r="Q49" i="89"/>
  <c r="Q7" i="69"/>
  <c r="R7" i="69"/>
  <c r="H14" i="2"/>
  <c r="H15" i="2" s="1"/>
  <c r="R58" i="3"/>
  <c r="S49" i="3" s="1"/>
  <c r="Q41" i="99"/>
  <c r="R41" i="99"/>
  <c r="Q52" i="13"/>
  <c r="R52" i="13"/>
  <c r="R27" i="89"/>
  <c r="Q27" i="89"/>
  <c r="O37" i="89"/>
  <c r="R38" i="79"/>
  <c r="R70" i="13"/>
  <c r="L79" i="71"/>
  <c r="R70" i="71"/>
  <c r="Q70" i="71"/>
  <c r="L15" i="21"/>
  <c r="D13" i="20" s="1"/>
  <c r="Q5" i="21"/>
  <c r="R37" i="69"/>
  <c r="S27" i="69" s="1"/>
  <c r="F14" i="16"/>
  <c r="F15" i="16" s="1"/>
  <c r="H6" i="22"/>
  <c r="F6" i="22"/>
  <c r="R38" i="3"/>
  <c r="Q38" i="3"/>
  <c r="O48" i="3"/>
  <c r="Q31" i="93"/>
  <c r="R31" i="93"/>
  <c r="Q39" i="99"/>
  <c r="L48" i="99"/>
  <c r="G13" i="98" s="1"/>
  <c r="O69" i="105"/>
  <c r="Q17" i="105"/>
  <c r="R17" i="105"/>
  <c r="I14" i="98"/>
  <c r="R69" i="99"/>
  <c r="S59" i="99" s="1"/>
  <c r="AG79" i="93"/>
  <c r="AH70" i="93" s="1"/>
  <c r="AF79" i="93"/>
  <c r="Q79" i="93"/>
  <c r="O48" i="73"/>
  <c r="Q38" i="73"/>
  <c r="R38" i="73"/>
  <c r="R51" i="103"/>
  <c r="Q51" i="103"/>
  <c r="O15" i="75"/>
  <c r="AG37" i="89"/>
  <c r="AH27" i="89" s="1"/>
  <c r="AF37" i="89"/>
  <c r="Q37" i="89"/>
  <c r="R19" i="91"/>
  <c r="Q19" i="91"/>
  <c r="R6" i="79"/>
  <c r="Q6" i="79"/>
  <c r="R5" i="21"/>
  <c r="AG79" i="7"/>
  <c r="AH70" i="7" s="1"/>
  <c r="Q79" i="7"/>
  <c r="AF79" i="7"/>
  <c r="O69" i="77"/>
  <c r="R59" i="77"/>
  <c r="Q59" i="77"/>
  <c r="Q69" i="105"/>
  <c r="AG69" i="105"/>
  <c r="AH59" i="105" s="1"/>
  <c r="AF69" i="105"/>
  <c r="Q30" i="109"/>
  <c r="R30" i="109"/>
  <c r="AG26" i="89"/>
  <c r="AH16" i="89" s="1"/>
  <c r="AF26" i="89"/>
  <c r="Q10" i="105"/>
  <c r="R10" i="105"/>
  <c r="R17" i="91"/>
  <c r="Q17" i="91"/>
  <c r="R29" i="99"/>
  <c r="Q29" i="99"/>
  <c r="O69" i="109"/>
  <c r="R59" i="109"/>
  <c r="Q59" i="109"/>
  <c r="R39" i="99"/>
  <c r="Q28" i="105"/>
  <c r="R28" i="105"/>
  <c r="Q5" i="91"/>
  <c r="O15" i="91"/>
  <c r="R5" i="91"/>
  <c r="R50" i="7"/>
  <c r="Q50" i="7"/>
  <c r="R61" i="83"/>
  <c r="Q61" i="83"/>
  <c r="Q5" i="73"/>
  <c r="R5" i="73"/>
  <c r="O15" i="73"/>
  <c r="Q30" i="99"/>
  <c r="R30" i="99"/>
  <c r="R5" i="7"/>
  <c r="Q5" i="7"/>
  <c r="O15" i="7"/>
  <c r="O37" i="93"/>
  <c r="Q17" i="93"/>
  <c r="R70" i="9"/>
  <c r="O79" i="9"/>
  <c r="Q70" i="9"/>
  <c r="AF79" i="77"/>
  <c r="Q49" i="21"/>
  <c r="R79" i="75"/>
  <c r="S70" i="75" s="1"/>
  <c r="J15" i="74" s="1"/>
  <c r="R59" i="3"/>
  <c r="Q59" i="3"/>
  <c r="O69" i="3"/>
  <c r="AG26" i="101"/>
  <c r="AH16" i="101" s="1"/>
  <c r="AF26" i="101"/>
  <c r="AG15" i="75"/>
  <c r="AH5" i="75" s="1"/>
  <c r="AF15" i="75"/>
  <c r="H6" i="98"/>
  <c r="F6" i="98"/>
  <c r="AG37" i="83"/>
  <c r="AH27" i="83" s="1"/>
  <c r="AF37" i="83"/>
  <c r="Q37" i="83"/>
  <c r="O15" i="89"/>
  <c r="R5" i="89"/>
  <c r="Q5" i="89"/>
  <c r="R17" i="21"/>
  <c r="Q17" i="21"/>
  <c r="Q18" i="79"/>
  <c r="R18" i="79"/>
  <c r="L15" i="109"/>
  <c r="D13" i="108" s="1"/>
  <c r="O58" i="81"/>
  <c r="R49" i="81"/>
  <c r="Q49" i="81"/>
  <c r="Q60" i="107"/>
  <c r="R60" i="107"/>
  <c r="L48" i="9"/>
  <c r="G13" i="8" s="1"/>
  <c r="AG26" i="103"/>
  <c r="AH16" i="103" s="1"/>
  <c r="AF26" i="103"/>
  <c r="R53" i="89"/>
  <c r="Q53" i="89"/>
  <c r="R16" i="81"/>
  <c r="Q16" i="81"/>
  <c r="O26" i="81"/>
  <c r="Q28" i="77"/>
  <c r="R28" i="77"/>
  <c r="L58" i="79"/>
  <c r="H13" i="78" s="1"/>
  <c r="Q30" i="69"/>
  <c r="R30" i="69"/>
  <c r="AF69" i="107"/>
  <c r="Q50" i="69"/>
  <c r="G2" i="91"/>
  <c r="J3" i="90"/>
  <c r="R29" i="21"/>
  <c r="Q29" i="21"/>
  <c r="L48" i="15"/>
  <c r="G13" i="14" s="1"/>
  <c r="Q38" i="15"/>
  <c r="R50" i="71"/>
  <c r="Q50" i="71"/>
  <c r="R8" i="103"/>
  <c r="R30" i="73"/>
  <c r="Q30" i="73"/>
  <c r="R62" i="79"/>
  <c r="Q62" i="79"/>
  <c r="R52" i="71"/>
  <c r="Q52" i="71"/>
  <c r="R49" i="21"/>
  <c r="R38" i="87"/>
  <c r="O48" i="87"/>
  <c r="Q38" i="87"/>
  <c r="R6" i="15"/>
  <c r="Q6" i="15"/>
  <c r="AF15" i="73"/>
  <c r="L15" i="13"/>
  <c r="D13" i="12" s="1"/>
  <c r="R62" i="87"/>
  <c r="Q62" i="87"/>
  <c r="R70" i="81"/>
  <c r="O79" i="81"/>
  <c r="Q70" i="81"/>
  <c r="AG69" i="3"/>
  <c r="AH59" i="3" s="1"/>
  <c r="AF69" i="3"/>
  <c r="Q69" i="3"/>
  <c r="Q61" i="75"/>
  <c r="R61" i="75"/>
  <c r="J3" i="10"/>
  <c r="G2" i="11"/>
  <c r="R38" i="105"/>
  <c r="L48" i="105"/>
  <c r="G13" i="104" s="1"/>
  <c r="Q38" i="105"/>
  <c r="L26" i="109"/>
  <c r="E13" i="108" s="1"/>
  <c r="R49" i="109"/>
  <c r="Q49" i="109"/>
  <c r="O58" i="109"/>
  <c r="L69" i="105"/>
  <c r="I13" i="104" s="1"/>
  <c r="J6" i="104" s="1"/>
  <c r="R59" i="105"/>
  <c r="Q59" i="105"/>
  <c r="AG26" i="105"/>
  <c r="AH16" i="105" s="1"/>
  <c r="AF26" i="105"/>
  <c r="R7" i="101"/>
  <c r="Q7" i="101"/>
  <c r="O69" i="107"/>
  <c r="R59" i="107"/>
  <c r="Q59" i="107"/>
  <c r="R41" i="89"/>
  <c r="Q41" i="89"/>
  <c r="R60" i="94"/>
  <c r="O69" i="94"/>
  <c r="Q60" i="94"/>
  <c r="AG69" i="93"/>
  <c r="AH59" i="93" s="1"/>
  <c r="AF69" i="93"/>
  <c r="Q69" i="93"/>
  <c r="G2" i="109"/>
  <c r="J3" i="108"/>
  <c r="L26" i="91"/>
  <c r="E13" i="90" s="1"/>
  <c r="R16" i="91"/>
  <c r="Q28" i="85"/>
  <c r="R28" i="85"/>
  <c r="Q60" i="81"/>
  <c r="R51" i="87"/>
  <c r="Q51" i="87"/>
  <c r="R8" i="87"/>
  <c r="Q8" i="87"/>
  <c r="L69" i="77"/>
  <c r="I13" i="76" s="1"/>
  <c r="J6" i="76" s="1"/>
  <c r="AF26" i="21"/>
  <c r="AG26" i="21"/>
  <c r="AH16" i="21" s="1"/>
  <c r="R19" i="107"/>
  <c r="R30" i="91"/>
  <c r="Q30" i="91"/>
  <c r="Q62" i="99"/>
  <c r="R62" i="99"/>
  <c r="Q60" i="103"/>
  <c r="R60" i="103"/>
  <c r="AG15" i="89"/>
  <c r="AH5" i="89" s="1"/>
  <c r="AF15" i="89"/>
  <c r="R51" i="77"/>
  <c r="Q51" i="77"/>
  <c r="L15" i="81"/>
  <c r="D13" i="80" s="1"/>
  <c r="Q29" i="75"/>
  <c r="R29" i="75"/>
  <c r="Q18" i="21"/>
  <c r="R18" i="21"/>
  <c r="G14" i="14"/>
  <c r="G15" i="14" s="1"/>
  <c r="R48" i="15"/>
  <c r="S38" i="15" s="1"/>
  <c r="Q58" i="105"/>
  <c r="Q71" i="93"/>
  <c r="R5" i="99"/>
  <c r="O15" i="99"/>
  <c r="Q5" i="99"/>
  <c r="L69" i="73"/>
  <c r="I13" i="72" s="1"/>
  <c r="J6" i="72" s="1"/>
  <c r="R59" i="73"/>
  <c r="Q59" i="73"/>
  <c r="AF48" i="107"/>
  <c r="Q48" i="107"/>
  <c r="AG48" i="107"/>
  <c r="AH38" i="107" s="1"/>
  <c r="R6" i="105"/>
  <c r="Q6" i="105"/>
  <c r="R51" i="89"/>
  <c r="Q51" i="89"/>
  <c r="Q19" i="83"/>
  <c r="R52" i="79"/>
  <c r="Q52" i="79"/>
  <c r="L26" i="77"/>
  <c r="E13" i="76" s="1"/>
  <c r="Q16" i="77"/>
  <c r="Q79" i="71"/>
  <c r="AG79" i="71"/>
  <c r="AH70" i="71" s="1"/>
  <c r="AF79" i="71"/>
  <c r="AG69" i="11"/>
  <c r="AH59" i="11" s="1"/>
  <c r="AF69" i="11"/>
  <c r="Q69" i="11"/>
  <c r="O26" i="103"/>
  <c r="R16" i="103"/>
  <c r="Q16" i="103"/>
  <c r="R50" i="85"/>
  <c r="Q39" i="103"/>
  <c r="R39" i="103"/>
  <c r="Q58" i="89"/>
  <c r="H6" i="6"/>
  <c r="F6" i="6"/>
  <c r="J3" i="80"/>
  <c r="G2" i="81"/>
  <c r="R69" i="23"/>
  <c r="S59" i="23" s="1"/>
  <c r="I14" i="22"/>
  <c r="AG79" i="83"/>
  <c r="AH70" i="83" s="1"/>
  <c r="AF79" i="83"/>
  <c r="Q79" i="83"/>
  <c r="AF58" i="93"/>
  <c r="Q58" i="93"/>
  <c r="AG58" i="93"/>
  <c r="AH49" i="93" s="1"/>
  <c r="R38" i="85"/>
  <c r="O48" i="85"/>
  <c r="Q38" i="85"/>
  <c r="Q5" i="83"/>
  <c r="R5" i="83"/>
  <c r="O15" i="83"/>
  <c r="R18" i="13"/>
  <c r="L58" i="23"/>
  <c r="H13" i="22" s="1"/>
  <c r="AG37" i="71"/>
  <c r="AH27" i="71" s="1"/>
  <c r="AF37" i="71"/>
  <c r="Q37" i="71"/>
  <c r="AF26" i="85"/>
  <c r="AG26" i="85"/>
  <c r="AH16" i="85" s="1"/>
  <c r="Q49" i="75"/>
  <c r="Q62" i="77"/>
  <c r="L26" i="9"/>
  <c r="E13" i="8" s="1"/>
  <c r="Q51" i="83"/>
  <c r="R51" i="83"/>
  <c r="Q51" i="9"/>
  <c r="R51" i="9"/>
  <c r="R7" i="21"/>
  <c r="Q37" i="9"/>
  <c r="AG37" i="9"/>
  <c r="AH27" i="9" s="1"/>
  <c r="AF37" i="9"/>
  <c r="AG26" i="69"/>
  <c r="AH16" i="69" s="1"/>
  <c r="AF26" i="69"/>
  <c r="AG15" i="7"/>
  <c r="AH5" i="7" s="1"/>
  <c r="AF15" i="7"/>
  <c r="L15" i="11"/>
  <c r="D13" i="10" s="1"/>
  <c r="G13" i="2"/>
  <c r="R51" i="75"/>
  <c r="Q51" i="75"/>
  <c r="Q70" i="15"/>
  <c r="R19" i="71"/>
  <c r="AG48" i="15"/>
  <c r="AH38" i="15" s="1"/>
  <c r="G2" i="13"/>
  <c r="J3" i="12"/>
  <c r="R52" i="85"/>
  <c r="Q52" i="85"/>
  <c r="Q59" i="69"/>
  <c r="O37" i="11"/>
  <c r="R27" i="11"/>
  <c r="Q27" i="11"/>
  <c r="AG69" i="91"/>
  <c r="AH59" i="91" s="1"/>
  <c r="Q69" i="91"/>
  <c r="AF69" i="91"/>
  <c r="Q58" i="79"/>
  <c r="R79" i="21"/>
  <c r="S70" i="21" s="1"/>
  <c r="J14" i="20"/>
  <c r="J15" i="20" s="1"/>
  <c r="L58" i="7"/>
  <c r="H13" i="6" s="1"/>
  <c r="Q17" i="3"/>
  <c r="R17" i="3"/>
  <c r="Q79" i="73"/>
  <c r="AG79" i="73"/>
  <c r="AH70" i="73" s="1"/>
  <c r="AF79" i="73"/>
  <c r="R42" i="105"/>
  <c r="Q42" i="105"/>
  <c r="O48" i="105"/>
  <c r="R52" i="83"/>
  <c r="Q52" i="83"/>
  <c r="Q60" i="15"/>
  <c r="R60" i="15"/>
  <c r="Q59" i="9"/>
  <c r="AF58" i="81"/>
  <c r="O26" i="21"/>
  <c r="AG26" i="11"/>
  <c r="AH16" i="11" s="1"/>
  <c r="AF26" i="11"/>
  <c r="Q69" i="77"/>
  <c r="AG69" i="77"/>
  <c r="AH59" i="77" s="1"/>
  <c r="AF69" i="77"/>
  <c r="R6" i="77"/>
  <c r="Q6" i="77"/>
  <c r="O37" i="94"/>
  <c r="R27" i="94"/>
  <c r="Q27" i="94"/>
  <c r="R28" i="73"/>
  <c r="Q28" i="73"/>
  <c r="Q70" i="13"/>
  <c r="AG69" i="87"/>
  <c r="AH59" i="87" s="1"/>
  <c r="Q69" i="87"/>
  <c r="AF69" i="87"/>
  <c r="AG26" i="13"/>
  <c r="AH16" i="13" s="1"/>
  <c r="AF26" i="13"/>
  <c r="AG26" i="75"/>
  <c r="AH16" i="75" s="1"/>
  <c r="AF26" i="75"/>
  <c r="R6" i="69"/>
  <c r="Q6" i="69"/>
  <c r="O26" i="69"/>
  <c r="R16" i="69"/>
  <c r="Q16" i="69"/>
  <c r="AG15" i="83"/>
  <c r="AH5" i="83" s="1"/>
  <c r="AF15" i="83"/>
  <c r="R61" i="89"/>
  <c r="Q61" i="89"/>
  <c r="R38" i="109"/>
  <c r="Q40" i="71"/>
  <c r="R40" i="71"/>
  <c r="Q48" i="23"/>
  <c r="AG48" i="23"/>
  <c r="AH38" i="23" s="1"/>
  <c r="AF48" i="23"/>
  <c r="R61" i="9"/>
  <c r="Q61" i="9"/>
  <c r="R19" i="101"/>
  <c r="Q19" i="101"/>
  <c r="L48" i="93"/>
  <c r="G13" i="92" s="1"/>
  <c r="Q38" i="93"/>
  <c r="G14" i="95"/>
  <c r="G15" i="95" s="1"/>
  <c r="R48" i="94"/>
  <c r="S38" i="94" s="1"/>
  <c r="R6" i="99"/>
  <c r="Q6" i="99"/>
  <c r="L37" i="71"/>
  <c r="F13" i="18" s="1"/>
  <c r="AF69" i="81"/>
  <c r="Q69" i="81"/>
  <c r="AG69" i="81"/>
  <c r="AH59" i="81" s="1"/>
  <c r="Q38" i="109"/>
  <c r="H14" i="82"/>
  <c r="L48" i="83"/>
  <c r="G13" i="82" s="1"/>
  <c r="Q38" i="83"/>
  <c r="R38" i="83"/>
  <c r="O69" i="11"/>
  <c r="L26" i="15"/>
  <c r="E13" i="14" s="1"/>
  <c r="F6" i="14" s="1"/>
  <c r="R18" i="15"/>
  <c r="Q18" i="15"/>
  <c r="O15" i="11"/>
  <c r="AG15" i="93"/>
  <c r="AH5" i="93" s="1"/>
  <c r="AF15" i="93"/>
  <c r="Q37" i="101"/>
  <c r="AG37" i="101"/>
  <c r="AH27" i="101" s="1"/>
  <c r="AF37" i="101"/>
  <c r="Q37" i="85"/>
  <c r="AG37" i="85"/>
  <c r="AH27" i="85" s="1"/>
  <c r="AF37" i="85"/>
  <c r="AG69" i="7"/>
  <c r="AH59" i="7" s="1"/>
  <c r="Q69" i="7"/>
  <c r="AF69" i="7"/>
  <c r="R26" i="83"/>
  <c r="S16" i="83" s="1"/>
  <c r="Q26" i="83"/>
  <c r="E14" i="82"/>
  <c r="E15" i="82" s="1"/>
  <c r="R62" i="75"/>
  <c r="Q62" i="75"/>
  <c r="R52" i="81"/>
  <c r="Q52" i="81"/>
  <c r="AF48" i="3"/>
  <c r="AG48" i="3"/>
  <c r="AH38" i="3" s="1"/>
  <c r="Q48" i="3"/>
  <c r="Q59" i="15"/>
  <c r="R59" i="15"/>
  <c r="O69" i="15"/>
  <c r="R41" i="107"/>
  <c r="Q41" i="107"/>
  <c r="R16" i="109"/>
  <c r="O26" i="109"/>
  <c r="Q16" i="109"/>
  <c r="R20" i="93"/>
  <c r="Q20" i="93"/>
  <c r="R60" i="89"/>
  <c r="Q60" i="89"/>
  <c r="O48" i="11"/>
  <c r="Q38" i="11"/>
  <c r="R38" i="11"/>
  <c r="R28" i="87"/>
  <c r="O26" i="87"/>
  <c r="Q16" i="87"/>
  <c r="R16" i="87"/>
  <c r="Q61" i="69"/>
  <c r="R61" i="69"/>
  <c r="R7" i="11"/>
  <c r="Q7" i="11"/>
  <c r="Q27" i="107"/>
  <c r="O37" i="107"/>
  <c r="R27" i="107"/>
  <c r="R8" i="94"/>
  <c r="Q8" i="94"/>
  <c r="Q48" i="103"/>
  <c r="AF48" i="103"/>
  <c r="AG48" i="103"/>
  <c r="AH38" i="103" s="1"/>
  <c r="Q39" i="93"/>
  <c r="R39" i="93"/>
  <c r="Q8" i="81"/>
  <c r="R8" i="81"/>
  <c r="Q58" i="75"/>
  <c r="AF58" i="75"/>
  <c r="AG58" i="75"/>
  <c r="AH49" i="75" s="1"/>
  <c r="Q7" i="87"/>
  <c r="Q7" i="13"/>
  <c r="R7" i="13"/>
  <c r="G2" i="87"/>
  <c r="J3" i="86"/>
  <c r="E14" i="22"/>
  <c r="E15" i="22" s="1"/>
  <c r="Q26" i="23"/>
  <c r="R26" i="23"/>
  <c r="S16" i="23" s="1"/>
  <c r="Q61" i="13"/>
  <c r="R61" i="13"/>
  <c r="AG26" i="73"/>
  <c r="AH16" i="73" s="1"/>
  <c r="AF26" i="73"/>
  <c r="AG69" i="107"/>
  <c r="AH59" i="107" s="1"/>
  <c r="Q53" i="85"/>
  <c r="R53" i="85"/>
  <c r="R50" i="83"/>
  <c r="Q50" i="83"/>
  <c r="AF37" i="87"/>
  <c r="AG37" i="87"/>
  <c r="AH27" i="87" s="1"/>
  <c r="Q37" i="87"/>
  <c r="R49" i="103"/>
  <c r="Q49" i="103"/>
  <c r="O58" i="103"/>
  <c r="L15" i="71"/>
  <c r="D13" i="18" s="1"/>
  <c r="R5" i="9"/>
  <c r="Q5" i="9"/>
  <c r="O15" i="9"/>
  <c r="O69" i="13"/>
  <c r="Q59" i="13"/>
  <c r="R59" i="13"/>
  <c r="Q48" i="87"/>
  <c r="AG48" i="87"/>
  <c r="AH38" i="87" s="1"/>
  <c r="AF48" i="87"/>
  <c r="R17" i="15"/>
  <c r="Q17" i="15"/>
  <c r="R28" i="75"/>
  <c r="Q28" i="75"/>
  <c r="Q58" i="15"/>
  <c r="AG58" i="15"/>
  <c r="AH49" i="15" s="1"/>
  <c r="AF58" i="15"/>
  <c r="R51" i="73"/>
  <c r="L69" i="107"/>
  <c r="I13" i="106" s="1"/>
  <c r="J6" i="106" s="1"/>
  <c r="L37" i="105"/>
  <c r="F13" i="104" s="1"/>
  <c r="G2" i="85"/>
  <c r="J3" i="84"/>
  <c r="R52" i="105"/>
  <c r="O69" i="93"/>
  <c r="R59" i="93"/>
  <c r="Q59" i="93"/>
  <c r="L26" i="107"/>
  <c r="E13" i="106" s="1"/>
  <c r="F6" i="106" s="1"/>
  <c r="L15" i="3"/>
  <c r="R5" i="3"/>
  <c r="R19" i="9"/>
  <c r="Q19" i="9"/>
  <c r="R39" i="81"/>
  <c r="Q39" i="81"/>
  <c r="O48" i="81"/>
  <c r="R38" i="107"/>
  <c r="O48" i="107"/>
  <c r="Q38" i="107"/>
  <c r="AF15" i="105"/>
  <c r="AG15" i="105"/>
  <c r="AH5" i="105" s="1"/>
  <c r="AF79" i="15"/>
  <c r="AG79" i="15"/>
  <c r="AH70" i="15" s="1"/>
  <c r="Q79" i="15"/>
  <c r="Q48" i="21"/>
  <c r="AF48" i="21"/>
  <c r="AG48" i="21"/>
  <c r="AH38" i="21" s="1"/>
  <c r="Q51" i="93"/>
  <c r="R51" i="93"/>
  <c r="R26" i="75"/>
  <c r="S16" i="75" s="1"/>
  <c r="E14" i="74"/>
  <c r="E15" i="74" s="1"/>
  <c r="L26" i="75"/>
  <c r="E13" i="74" s="1"/>
  <c r="Q16" i="73"/>
  <c r="O26" i="73"/>
  <c r="R16" i="73"/>
  <c r="AF58" i="103"/>
  <c r="Q58" i="103"/>
  <c r="AG58" i="103"/>
  <c r="AH49" i="103" s="1"/>
  <c r="Q49" i="79"/>
  <c r="R49" i="79"/>
  <c r="O58" i="79"/>
  <c r="O48" i="71"/>
  <c r="AG48" i="105"/>
  <c r="AH38" i="105" s="1"/>
  <c r="Q48" i="105"/>
  <c r="AF48" i="105"/>
  <c r="Q51" i="73"/>
  <c r="G2" i="107"/>
  <c r="J3" i="106"/>
  <c r="Q6" i="87"/>
  <c r="R6" i="87"/>
  <c r="R52" i="99"/>
  <c r="Q52" i="99"/>
  <c r="R7" i="109"/>
  <c r="Q7" i="109"/>
  <c r="R52" i="107"/>
  <c r="Q52" i="107"/>
  <c r="Q70" i="99"/>
  <c r="O79" i="99"/>
  <c r="R70" i="99"/>
  <c r="O15" i="105"/>
  <c r="Q61" i="99"/>
  <c r="R61" i="99"/>
  <c r="O15" i="93"/>
  <c r="AG26" i="15"/>
  <c r="AH16" i="15" s="1"/>
  <c r="AF26" i="15"/>
  <c r="R52" i="89"/>
  <c r="Q52" i="89"/>
  <c r="R31" i="81"/>
  <c r="Q31" i="81"/>
  <c r="R18" i="109"/>
  <c r="Q18" i="109"/>
  <c r="R28" i="94"/>
  <c r="Q28" i="94"/>
  <c r="Q18" i="75"/>
  <c r="R18" i="75"/>
  <c r="R8" i="21"/>
  <c r="R27" i="83"/>
  <c r="O37" i="77"/>
  <c r="Q37" i="94"/>
  <c r="AF37" i="94"/>
  <c r="AG37" i="94"/>
  <c r="AH27" i="94" s="1"/>
  <c r="R6" i="103"/>
  <c r="Q6" i="103"/>
  <c r="J3" i="95"/>
  <c r="G2" i="94"/>
  <c r="AG26" i="93"/>
  <c r="AH16" i="93" s="1"/>
  <c r="AF26" i="93"/>
  <c r="O58" i="85"/>
  <c r="R41" i="23"/>
  <c r="Q41" i="23"/>
  <c r="R40" i="7"/>
  <c r="Q40" i="7"/>
  <c r="AG79" i="105"/>
  <c r="AH70" i="105" s="1"/>
  <c r="AF79" i="105"/>
  <c r="Q79" i="105"/>
  <c r="O58" i="75"/>
  <c r="Q79" i="13"/>
  <c r="AG79" i="13"/>
  <c r="AH70" i="13" s="1"/>
  <c r="AF79" i="13"/>
  <c r="Q60" i="87"/>
  <c r="R60" i="87"/>
  <c r="AG69" i="94"/>
  <c r="AH59" i="94" s="1"/>
  <c r="Q69" i="94"/>
  <c r="AF69" i="94"/>
  <c r="R17" i="79"/>
  <c r="Q17" i="79"/>
  <c r="R17" i="13"/>
  <c r="Q17" i="13"/>
  <c r="O26" i="13"/>
  <c r="R29" i="3"/>
  <c r="Q29" i="3"/>
  <c r="R71" i="83"/>
  <c r="Q71" i="83"/>
  <c r="R30" i="85"/>
  <c r="Q30" i="85"/>
  <c r="O58" i="23"/>
  <c r="Q29" i="9"/>
  <c r="R29" i="9"/>
  <c r="Q50" i="101"/>
  <c r="R50" i="101"/>
  <c r="L58" i="94"/>
  <c r="H13" i="95" s="1"/>
  <c r="R49" i="94"/>
  <c r="Q5" i="77"/>
  <c r="R5" i="77"/>
  <c r="O15" i="77"/>
  <c r="O37" i="71"/>
  <c r="R27" i="71"/>
  <c r="Q27" i="71"/>
  <c r="AF15" i="3"/>
  <c r="AG15" i="3"/>
  <c r="AH5" i="3" s="1"/>
  <c r="R16" i="85"/>
  <c r="Q16" i="85"/>
  <c r="O26" i="85"/>
  <c r="R17" i="75"/>
  <c r="Q17" i="75"/>
  <c r="R28" i="71"/>
  <c r="Q28" i="71"/>
  <c r="R8" i="13"/>
  <c r="Q8" i="13"/>
  <c r="L15" i="9"/>
  <c r="D13" i="8" s="1"/>
  <c r="R17" i="69"/>
  <c r="Q17" i="69"/>
  <c r="R6" i="13"/>
  <c r="Q6" i="13"/>
  <c r="AF26" i="9"/>
  <c r="AG26" i="9"/>
  <c r="AH16" i="9" s="1"/>
  <c r="Q6" i="9"/>
  <c r="R6" i="9"/>
  <c r="Q5" i="79"/>
  <c r="O15" i="79"/>
  <c r="R5" i="79"/>
  <c r="R61" i="23"/>
  <c r="Q61" i="23"/>
  <c r="R70" i="15"/>
  <c r="R51" i="23"/>
  <c r="Q51" i="23"/>
  <c r="R59" i="69"/>
  <c r="R59" i="91"/>
  <c r="Q59" i="91"/>
  <c r="O69" i="91"/>
  <c r="R17" i="7"/>
  <c r="Q17" i="7"/>
  <c r="R8" i="7"/>
  <c r="Q8" i="7"/>
  <c r="AG15" i="23"/>
  <c r="AH5" i="23" s="1"/>
  <c r="AF15" i="23"/>
  <c r="AG69" i="71"/>
  <c r="AH59" i="71" s="1"/>
  <c r="AF69" i="71"/>
  <c r="Q69" i="71"/>
  <c r="R59" i="9"/>
  <c r="R6" i="107"/>
  <c r="Q6" i="107"/>
  <c r="Q49" i="3"/>
  <c r="H6" i="112" l="1"/>
  <c r="R26" i="113"/>
  <c r="S16" i="113" s="1"/>
  <c r="Q26" i="113"/>
  <c r="Q15" i="113"/>
  <c r="E2" i="113"/>
  <c r="R15" i="113"/>
  <c r="S5" i="113" s="1"/>
  <c r="I14" i="112"/>
  <c r="I15" i="112" s="1"/>
  <c r="G14" i="112"/>
  <c r="G15" i="112" s="1"/>
  <c r="D14" i="112"/>
  <c r="H14" i="112"/>
  <c r="H15" i="112" s="1"/>
  <c r="F14" i="112"/>
  <c r="F15" i="112" s="1"/>
  <c r="E14" i="112"/>
  <c r="E15" i="112" s="1"/>
  <c r="J7" i="112"/>
  <c r="J8" i="112" s="1"/>
  <c r="J14" i="112"/>
  <c r="J15" i="112"/>
  <c r="H14" i="110"/>
  <c r="H15" i="110" s="1"/>
  <c r="R26" i="111"/>
  <c r="S16" i="111" s="1"/>
  <c r="Q26" i="111"/>
  <c r="Q15" i="111"/>
  <c r="E2" i="111"/>
  <c r="R15" i="111"/>
  <c r="S5" i="111" s="1"/>
  <c r="R79" i="111"/>
  <c r="S70" i="111" s="1"/>
  <c r="J15" i="110" s="1"/>
  <c r="F14" i="110"/>
  <c r="F15" i="110" s="1"/>
  <c r="E14" i="110"/>
  <c r="E15" i="110" s="1"/>
  <c r="G14" i="110"/>
  <c r="G15" i="110" s="1"/>
  <c r="D14" i="110"/>
  <c r="I14" i="110"/>
  <c r="H6" i="110"/>
  <c r="F6" i="110"/>
  <c r="H14" i="84"/>
  <c r="H15" i="84" s="1"/>
  <c r="R58" i="85"/>
  <c r="S49" i="85" s="1"/>
  <c r="G14" i="18"/>
  <c r="G15" i="18" s="1"/>
  <c r="R48" i="71"/>
  <c r="S38" i="71" s="1"/>
  <c r="H6" i="104"/>
  <c r="F6" i="104"/>
  <c r="E14" i="78"/>
  <c r="E15" i="78" s="1"/>
  <c r="R26" i="79"/>
  <c r="S16" i="79" s="1"/>
  <c r="Q26" i="79"/>
  <c r="R26" i="13"/>
  <c r="S16" i="13" s="1"/>
  <c r="E14" i="12"/>
  <c r="E15" i="12" s="1"/>
  <c r="Q26" i="13"/>
  <c r="H14" i="108"/>
  <c r="H15" i="108" s="1"/>
  <c r="R58" i="109"/>
  <c r="S49" i="109" s="1"/>
  <c r="H14" i="100"/>
  <c r="H15" i="100" s="1"/>
  <c r="R58" i="101"/>
  <c r="S49" i="101" s="1"/>
  <c r="I14" i="10"/>
  <c r="R69" i="11"/>
  <c r="S59" i="11" s="1"/>
  <c r="R26" i="11"/>
  <c r="S16" i="11" s="1"/>
  <c r="Q26" i="11"/>
  <c r="E14" i="10"/>
  <c r="E15" i="10" s="1"/>
  <c r="H6" i="84"/>
  <c r="E2" i="109"/>
  <c r="J7" i="74"/>
  <c r="J8" i="74" s="1"/>
  <c r="I15" i="74"/>
  <c r="H6" i="18"/>
  <c r="Q26" i="87"/>
  <c r="E14" i="86"/>
  <c r="E15" i="86" s="1"/>
  <c r="R26" i="87"/>
  <c r="S16" i="87" s="1"/>
  <c r="G14" i="8"/>
  <c r="G15" i="8" s="1"/>
  <c r="R48" i="9"/>
  <c r="S38" i="9" s="1"/>
  <c r="F14" i="72"/>
  <c r="F15" i="72" s="1"/>
  <c r="R37" i="73"/>
  <c r="S27" i="73" s="1"/>
  <c r="I14" i="6"/>
  <c r="R69" i="7"/>
  <c r="S59" i="7" s="1"/>
  <c r="H6" i="14"/>
  <c r="H14" i="102"/>
  <c r="H15" i="102" s="1"/>
  <c r="R58" i="103"/>
  <c r="S49" i="103" s="1"/>
  <c r="R37" i="107"/>
  <c r="S27" i="107" s="1"/>
  <c r="F14" i="106"/>
  <c r="F15" i="106" s="1"/>
  <c r="E14" i="108"/>
  <c r="E15" i="108" s="1"/>
  <c r="R26" i="109"/>
  <c r="S16" i="109" s="1"/>
  <c r="Q26" i="109"/>
  <c r="E14" i="20"/>
  <c r="E15" i="20" s="1"/>
  <c r="Q26" i="21"/>
  <c r="R26" i="21"/>
  <c r="S16" i="21" s="1"/>
  <c r="R37" i="11"/>
  <c r="S27" i="11" s="1"/>
  <c r="F14" i="10"/>
  <c r="F15" i="10" s="1"/>
  <c r="F6" i="100"/>
  <c r="I14" i="106"/>
  <c r="R69" i="107"/>
  <c r="S59" i="107" s="1"/>
  <c r="R48" i="21"/>
  <c r="S38" i="21" s="1"/>
  <c r="G14" i="20"/>
  <c r="G15" i="20" s="1"/>
  <c r="R26" i="71"/>
  <c r="S16" i="71" s="1"/>
  <c r="F15" i="82"/>
  <c r="R58" i="93"/>
  <c r="S49" i="93" s="1"/>
  <c r="H14" i="92"/>
  <c r="H15" i="92" s="1"/>
  <c r="F6" i="74"/>
  <c r="H6" i="74"/>
  <c r="F14" i="22"/>
  <c r="F15" i="22" s="1"/>
  <c r="R37" i="23"/>
  <c r="S27" i="23" s="1"/>
  <c r="J13" i="76"/>
  <c r="F6" i="76" s="1"/>
  <c r="R79" i="77"/>
  <c r="S70" i="77" s="1"/>
  <c r="J15" i="76" s="1"/>
  <c r="H6" i="72"/>
  <c r="F6" i="72"/>
  <c r="E14" i="106"/>
  <c r="E15" i="106" s="1"/>
  <c r="R26" i="107"/>
  <c r="S16" i="107" s="1"/>
  <c r="Q26" i="107"/>
  <c r="R48" i="91"/>
  <c r="S38" i="91" s="1"/>
  <c r="G14" i="90"/>
  <c r="G15" i="90" s="1"/>
  <c r="F6" i="95"/>
  <c r="R58" i="105"/>
  <c r="S49" i="105" s="1"/>
  <c r="F6" i="86"/>
  <c r="R15" i="99"/>
  <c r="S5" i="99" s="1"/>
  <c r="Q15" i="99"/>
  <c r="E2" i="99"/>
  <c r="D14" i="98"/>
  <c r="I14" i="78"/>
  <c r="R69" i="79"/>
  <c r="S59" i="79" s="1"/>
  <c r="F14" i="84"/>
  <c r="F15" i="84" s="1"/>
  <c r="R37" i="85"/>
  <c r="S27" i="85" s="1"/>
  <c r="D14" i="16"/>
  <c r="E2" i="69"/>
  <c r="Q15" i="69"/>
  <c r="R15" i="69"/>
  <c r="S5" i="69" s="1"/>
  <c r="E2" i="101"/>
  <c r="R15" i="101"/>
  <c r="S5" i="101" s="1"/>
  <c r="D14" i="100"/>
  <c r="Q15" i="101"/>
  <c r="H6" i="92"/>
  <c r="J14" i="10"/>
  <c r="J15" i="10" s="1"/>
  <c r="R79" i="11"/>
  <c r="S70" i="11" s="1"/>
  <c r="I14" i="84"/>
  <c r="R69" i="85"/>
  <c r="S59" i="85" s="1"/>
  <c r="H14" i="78"/>
  <c r="H15" i="78" s="1"/>
  <c r="R58" i="79"/>
  <c r="S49" i="79" s="1"/>
  <c r="R48" i="11"/>
  <c r="S38" i="11" s="1"/>
  <c r="G14" i="10"/>
  <c r="G15" i="10" s="1"/>
  <c r="R79" i="9"/>
  <c r="S70" i="9" s="1"/>
  <c r="J14" i="8"/>
  <c r="J15" i="8" s="1"/>
  <c r="I15" i="98"/>
  <c r="J7" i="98"/>
  <c r="J8" i="98" s="1"/>
  <c r="R37" i="75"/>
  <c r="S27" i="75" s="1"/>
  <c r="F14" i="74"/>
  <c r="F15" i="74" s="1"/>
  <c r="R58" i="21"/>
  <c r="S49" i="21" s="1"/>
  <c r="H14" i="20"/>
  <c r="H15" i="20" s="1"/>
  <c r="D14" i="95"/>
  <c r="Q15" i="94"/>
  <c r="E2" i="94"/>
  <c r="R15" i="94"/>
  <c r="S5" i="94" s="1"/>
  <c r="R37" i="81"/>
  <c r="S27" i="81" s="1"/>
  <c r="F14" i="80"/>
  <c r="F15" i="80" s="1"/>
  <c r="E14" i="98"/>
  <c r="E15" i="98" s="1"/>
  <c r="R26" i="99"/>
  <c r="S16" i="99" s="1"/>
  <c r="Q26" i="99"/>
  <c r="R58" i="91"/>
  <c r="S49" i="91" s="1"/>
  <c r="H14" i="90"/>
  <c r="H15" i="90" s="1"/>
  <c r="G14" i="102"/>
  <c r="G15" i="102" s="1"/>
  <c r="R48" i="103"/>
  <c r="S38" i="103" s="1"/>
  <c r="J14" i="104"/>
  <c r="R79" i="105"/>
  <c r="S70" i="105" s="1"/>
  <c r="J15" i="104" s="1"/>
  <c r="E2" i="87"/>
  <c r="R15" i="87"/>
  <c r="S5" i="87" s="1"/>
  <c r="Q15" i="87"/>
  <c r="D14" i="86"/>
  <c r="I14" i="92"/>
  <c r="R69" i="93"/>
  <c r="S59" i="93" s="1"/>
  <c r="H6" i="12"/>
  <c r="F6" i="12"/>
  <c r="R69" i="77"/>
  <c r="S59" i="77" s="1"/>
  <c r="I14" i="76"/>
  <c r="R26" i="93"/>
  <c r="S16" i="93" s="1"/>
  <c r="E14" i="92"/>
  <c r="E15" i="92" s="1"/>
  <c r="Q26" i="93"/>
  <c r="I15" i="86"/>
  <c r="J7" i="86"/>
  <c r="J8" i="86" s="1"/>
  <c r="J7" i="20"/>
  <c r="J8" i="20" s="1"/>
  <c r="I15" i="20"/>
  <c r="Q15" i="15"/>
  <c r="E2" i="15"/>
  <c r="R15" i="15"/>
  <c r="S5" i="15" s="1"/>
  <c r="D14" i="14"/>
  <c r="F14" i="104"/>
  <c r="F15" i="104" s="1"/>
  <c r="R37" i="105"/>
  <c r="S27" i="105" s="1"/>
  <c r="I14" i="14"/>
  <c r="R69" i="15"/>
  <c r="S59" i="15" s="1"/>
  <c r="F6" i="20"/>
  <c r="H6" i="20"/>
  <c r="E15" i="18"/>
  <c r="E14" i="6"/>
  <c r="E15" i="6" s="1"/>
  <c r="Q26" i="7"/>
  <c r="R26" i="7"/>
  <c r="S16" i="7" s="1"/>
  <c r="E2" i="81"/>
  <c r="R15" i="81"/>
  <c r="S5" i="81" s="1"/>
  <c r="D14" i="80"/>
  <c r="Q15" i="81"/>
  <c r="Q26" i="101"/>
  <c r="E14" i="100"/>
  <c r="E15" i="100" s="1"/>
  <c r="R26" i="101"/>
  <c r="S16" i="101" s="1"/>
  <c r="H6" i="8"/>
  <c r="F6" i="8"/>
  <c r="H14" i="22"/>
  <c r="H15" i="22" s="1"/>
  <c r="R58" i="23"/>
  <c r="S49" i="23" s="1"/>
  <c r="R26" i="73"/>
  <c r="S16" i="73" s="1"/>
  <c r="Q26" i="73"/>
  <c r="E14" i="72"/>
  <c r="E15" i="72" s="1"/>
  <c r="R58" i="83"/>
  <c r="S49" i="83" s="1"/>
  <c r="E14" i="16"/>
  <c r="E15" i="16" s="1"/>
  <c r="Q26" i="69"/>
  <c r="R26" i="69"/>
  <c r="S16" i="69" s="1"/>
  <c r="R48" i="87"/>
  <c r="S38" i="87" s="1"/>
  <c r="G14" i="86"/>
  <c r="G15" i="86" s="1"/>
  <c r="Q15" i="89"/>
  <c r="R15" i="89"/>
  <c r="S5" i="89" s="1"/>
  <c r="E2" i="89"/>
  <c r="D14" i="88"/>
  <c r="G14" i="72"/>
  <c r="G15" i="72" s="1"/>
  <c r="R48" i="73"/>
  <c r="S38" i="73" s="1"/>
  <c r="J13" i="18"/>
  <c r="J15" i="18" s="1"/>
  <c r="R79" i="71"/>
  <c r="S70" i="71" s="1"/>
  <c r="E15" i="14"/>
  <c r="O37" i="103"/>
  <c r="Q27" i="103"/>
  <c r="R27" i="103"/>
  <c r="R79" i="73"/>
  <c r="S70" i="73" s="1"/>
  <c r="J15" i="72" s="1"/>
  <c r="J14" i="72"/>
  <c r="F14" i="78"/>
  <c r="F15" i="78" s="1"/>
  <c r="R37" i="79"/>
  <c r="S27" i="79" s="1"/>
  <c r="I14" i="72"/>
  <c r="R69" i="73"/>
  <c r="S59" i="73" s="1"/>
  <c r="R58" i="15"/>
  <c r="S49" i="15" s="1"/>
  <c r="H14" i="14"/>
  <c r="H15" i="14" s="1"/>
  <c r="H15" i="104"/>
  <c r="R69" i="13"/>
  <c r="S59" i="13" s="1"/>
  <c r="I14" i="12"/>
  <c r="R79" i="23"/>
  <c r="S70" i="23" s="1"/>
  <c r="J15" i="22" s="1"/>
  <c r="J14" i="22"/>
  <c r="R15" i="9"/>
  <c r="S5" i="9" s="1"/>
  <c r="Q15" i="9"/>
  <c r="E2" i="9"/>
  <c r="D14" i="8"/>
  <c r="F14" i="90"/>
  <c r="F15" i="90" s="1"/>
  <c r="R37" i="91"/>
  <c r="S27" i="91" s="1"/>
  <c r="R69" i="101"/>
  <c r="S59" i="101" s="1"/>
  <c r="R79" i="107"/>
  <c r="S70" i="107" s="1"/>
  <c r="J15" i="106" s="1"/>
  <c r="J14" i="106"/>
  <c r="R15" i="93"/>
  <c r="S5" i="93" s="1"/>
  <c r="D14" i="92"/>
  <c r="Q15" i="93"/>
  <c r="E2" i="93"/>
  <c r="Q15" i="7"/>
  <c r="E2" i="7"/>
  <c r="R15" i="7"/>
  <c r="S5" i="7" s="1"/>
  <c r="D14" i="6"/>
  <c r="F14" i="98"/>
  <c r="F15" i="98" s="1"/>
  <c r="R37" i="99"/>
  <c r="S27" i="99" s="1"/>
  <c r="I15" i="100"/>
  <c r="J7" i="100"/>
  <c r="J8" i="100" s="1"/>
  <c r="G14" i="22"/>
  <c r="G15" i="22" s="1"/>
  <c r="R48" i="23"/>
  <c r="S38" i="23" s="1"/>
  <c r="I14" i="2"/>
  <c r="R69" i="3"/>
  <c r="S59" i="3" s="1"/>
  <c r="Q15" i="107"/>
  <c r="R15" i="107"/>
  <c r="S5" i="107" s="1"/>
  <c r="D14" i="106"/>
  <c r="E2" i="107"/>
  <c r="R48" i="69"/>
  <c r="S38" i="69" s="1"/>
  <c r="G14" i="16"/>
  <c r="G15" i="16" s="1"/>
  <c r="R40" i="103"/>
  <c r="Q40" i="103"/>
  <c r="R58" i="71"/>
  <c r="S49" i="71" s="1"/>
  <c r="H14" i="18"/>
  <c r="H15" i="18" s="1"/>
  <c r="Q15" i="105"/>
  <c r="D14" i="104"/>
  <c r="E2" i="105"/>
  <c r="R15" i="105"/>
  <c r="S5" i="105" s="1"/>
  <c r="H15" i="82"/>
  <c r="R15" i="91"/>
  <c r="S5" i="91" s="1"/>
  <c r="E2" i="91"/>
  <c r="Q15" i="91"/>
  <c r="D14" i="90"/>
  <c r="G14" i="2"/>
  <c r="G15" i="2" s="1"/>
  <c r="R48" i="3"/>
  <c r="S38" i="3" s="1"/>
  <c r="R58" i="89"/>
  <c r="S49" i="89" s="1"/>
  <c r="H14" i="88"/>
  <c r="H15" i="88" s="1"/>
  <c r="Q26" i="15"/>
  <c r="H6" i="106"/>
  <c r="D15" i="102"/>
  <c r="I14" i="82"/>
  <c r="R69" i="83"/>
  <c r="S59" i="83" s="1"/>
  <c r="H6" i="90"/>
  <c r="F6" i="90"/>
  <c r="R26" i="9"/>
  <c r="S16" i="9" s="1"/>
  <c r="Q26" i="9"/>
  <c r="E14" i="8"/>
  <c r="E15" i="8" s="1"/>
  <c r="F14" i="108"/>
  <c r="F15" i="108" s="1"/>
  <c r="R37" i="109"/>
  <c r="S27" i="109" s="1"/>
  <c r="I14" i="80"/>
  <c r="R69" i="81"/>
  <c r="S59" i="81" s="1"/>
  <c r="R37" i="21"/>
  <c r="S27" i="21" s="1"/>
  <c r="F14" i="20"/>
  <c r="F15" i="20" s="1"/>
  <c r="R58" i="73"/>
  <c r="S49" i="73" s="1"/>
  <c r="H14" i="72"/>
  <c r="H15" i="72" s="1"/>
  <c r="J14" i="6"/>
  <c r="J15" i="6" s="1"/>
  <c r="R79" i="7"/>
  <c r="S70" i="7" s="1"/>
  <c r="R69" i="71"/>
  <c r="S59" i="71" s="1"/>
  <c r="R26" i="91"/>
  <c r="S16" i="91" s="1"/>
  <c r="E2" i="11"/>
  <c r="Q15" i="11"/>
  <c r="D14" i="10"/>
  <c r="R15" i="11"/>
  <c r="S5" i="11" s="1"/>
  <c r="D15" i="20"/>
  <c r="H7" i="20"/>
  <c r="H8" i="20" s="1"/>
  <c r="F7" i="20"/>
  <c r="F8" i="20" s="1"/>
  <c r="R15" i="23"/>
  <c r="S5" i="23" s="1"/>
  <c r="E2" i="23"/>
  <c r="Q15" i="23"/>
  <c r="D14" i="22"/>
  <c r="R48" i="107"/>
  <c r="S38" i="107" s="1"/>
  <c r="G14" i="106"/>
  <c r="G15" i="106" s="1"/>
  <c r="R48" i="105"/>
  <c r="S38" i="105" s="1"/>
  <c r="G14" i="104"/>
  <c r="G15" i="104" s="1"/>
  <c r="R58" i="11"/>
  <c r="S49" i="11" s="1"/>
  <c r="H14" i="10"/>
  <c r="H15" i="10" s="1"/>
  <c r="R26" i="85"/>
  <c r="S16" i="85" s="1"/>
  <c r="Q26" i="85"/>
  <c r="E14" i="84"/>
  <c r="E15" i="84" s="1"/>
  <c r="R15" i="75"/>
  <c r="S5" i="75" s="1"/>
  <c r="E2" i="75"/>
  <c r="Q15" i="75"/>
  <c r="D14" i="74"/>
  <c r="H14" i="76"/>
  <c r="H15" i="76" s="1"/>
  <c r="R58" i="77"/>
  <c r="S49" i="77" s="1"/>
  <c r="H14" i="98"/>
  <c r="H15" i="98" s="1"/>
  <c r="R58" i="99"/>
  <c r="S49" i="99" s="1"/>
  <c r="R58" i="94"/>
  <c r="S49" i="94" s="1"/>
  <c r="R58" i="75"/>
  <c r="S49" i="75" s="1"/>
  <c r="H14" i="74"/>
  <c r="H15" i="74" s="1"/>
  <c r="R48" i="81"/>
  <c r="S38" i="81" s="1"/>
  <c r="G14" i="80"/>
  <c r="G15" i="80" s="1"/>
  <c r="R37" i="93"/>
  <c r="S27" i="93" s="1"/>
  <c r="F14" i="92"/>
  <c r="F15" i="92" s="1"/>
  <c r="I14" i="104"/>
  <c r="R69" i="105"/>
  <c r="S59" i="105" s="1"/>
  <c r="R58" i="69"/>
  <c r="S49" i="69" s="1"/>
  <c r="H14" i="16"/>
  <c r="H15" i="16" s="1"/>
  <c r="R37" i="13"/>
  <c r="S27" i="13" s="1"/>
  <c r="F14" i="12"/>
  <c r="F15" i="12" s="1"/>
  <c r="R69" i="103"/>
  <c r="S59" i="103" s="1"/>
  <c r="I14" i="102"/>
  <c r="I14" i="108"/>
  <c r="R69" i="109"/>
  <c r="S59" i="109" s="1"/>
  <c r="R15" i="79"/>
  <c r="S5" i="79" s="1"/>
  <c r="E2" i="79"/>
  <c r="Q15" i="79"/>
  <c r="D14" i="78"/>
  <c r="J7" i="22"/>
  <c r="J8" i="22" s="1"/>
  <c r="I15" i="22"/>
  <c r="R26" i="81"/>
  <c r="S16" i="81" s="1"/>
  <c r="Q26" i="81"/>
  <c r="E14" i="80"/>
  <c r="E15" i="80" s="1"/>
  <c r="R58" i="81"/>
  <c r="S49" i="81" s="1"/>
  <c r="H14" i="80"/>
  <c r="H15" i="80" s="1"/>
  <c r="D14" i="72"/>
  <c r="E2" i="73"/>
  <c r="Q15" i="73"/>
  <c r="R15" i="73"/>
  <c r="S5" i="73" s="1"/>
  <c r="R26" i="15"/>
  <c r="S16" i="15" s="1"/>
  <c r="AG37" i="103"/>
  <c r="AH27" i="103" s="1"/>
  <c r="AF37" i="103"/>
  <c r="Q37" i="103"/>
  <c r="J14" i="100"/>
  <c r="R79" i="101"/>
  <c r="S70" i="101" s="1"/>
  <c r="J15" i="100" s="1"/>
  <c r="J14" i="2"/>
  <c r="R79" i="3"/>
  <c r="S70" i="3" s="1"/>
  <c r="Q26" i="77"/>
  <c r="E14" i="76"/>
  <c r="E15" i="76" s="1"/>
  <c r="R26" i="77"/>
  <c r="S16" i="77" s="1"/>
  <c r="H6" i="76"/>
  <c r="I14" i="88"/>
  <c r="R69" i="89"/>
  <c r="S59" i="89" s="1"/>
  <c r="J7" i="18"/>
  <c r="J8" i="18" s="1"/>
  <c r="I15" i="18"/>
  <c r="Q26" i="91"/>
  <c r="G14" i="84"/>
  <c r="G15" i="84" s="1"/>
  <c r="R48" i="85"/>
  <c r="S38" i="85" s="1"/>
  <c r="G14" i="76"/>
  <c r="G15" i="76" s="1"/>
  <c r="R48" i="77"/>
  <c r="S38" i="77" s="1"/>
  <c r="H14" i="86"/>
  <c r="H15" i="86" s="1"/>
  <c r="R58" i="87"/>
  <c r="S49" i="87" s="1"/>
  <c r="R79" i="93"/>
  <c r="S70" i="93" s="1"/>
  <c r="J15" i="92" s="1"/>
  <c r="J14" i="92"/>
  <c r="R37" i="87"/>
  <c r="S27" i="87" s="1"/>
  <c r="F14" i="86"/>
  <c r="F15" i="86" s="1"/>
  <c r="H7" i="108"/>
  <c r="F7" i="108"/>
  <c r="D15" i="108"/>
  <c r="R48" i="13"/>
  <c r="S38" i="13" s="1"/>
  <c r="G14" i="12"/>
  <c r="G15" i="12" s="1"/>
  <c r="I15" i="16"/>
  <c r="J7" i="16"/>
  <c r="J8" i="16" s="1"/>
  <c r="E2" i="3"/>
  <c r="Q26" i="71"/>
  <c r="D14" i="18"/>
  <c r="E2" i="71"/>
  <c r="Q15" i="71"/>
  <c r="R15" i="71"/>
  <c r="S5" i="71" s="1"/>
  <c r="R37" i="71"/>
  <c r="S27" i="71" s="1"/>
  <c r="F14" i="18"/>
  <c r="F15" i="18" s="1"/>
  <c r="D13" i="2"/>
  <c r="D15" i="2" s="1"/>
  <c r="F6" i="88"/>
  <c r="Q15" i="83"/>
  <c r="D14" i="82"/>
  <c r="E2" i="83"/>
  <c r="R15" i="83"/>
  <c r="S5" i="83" s="1"/>
  <c r="R26" i="103"/>
  <c r="S16" i="103" s="1"/>
  <c r="E14" i="102"/>
  <c r="E15" i="102" s="1"/>
  <c r="Q26" i="103"/>
  <c r="H6" i="80"/>
  <c r="F6" i="80"/>
  <c r="R69" i="91"/>
  <c r="S59" i="91" s="1"/>
  <c r="I14" i="90"/>
  <c r="R15" i="77"/>
  <c r="S5" i="77" s="1"/>
  <c r="E2" i="77"/>
  <c r="D14" i="76"/>
  <c r="Q15" i="77"/>
  <c r="F14" i="76"/>
  <c r="F15" i="76" s="1"/>
  <c r="R37" i="77"/>
  <c r="S27" i="77" s="1"/>
  <c r="R79" i="99"/>
  <c r="S70" i="99" s="1"/>
  <c r="J15" i="98" s="1"/>
  <c r="J14" i="98"/>
  <c r="Q26" i="75"/>
  <c r="R37" i="94"/>
  <c r="S27" i="94" s="1"/>
  <c r="F14" i="95"/>
  <c r="F15" i="95" s="1"/>
  <c r="H6" i="10"/>
  <c r="F6" i="10"/>
  <c r="R69" i="94"/>
  <c r="S59" i="94" s="1"/>
  <c r="I14" i="95"/>
  <c r="J14" i="80"/>
  <c r="R79" i="81"/>
  <c r="S70" i="81" s="1"/>
  <c r="J15" i="80" s="1"/>
  <c r="H6" i="108"/>
  <c r="F6" i="108"/>
  <c r="F14" i="88"/>
  <c r="F15" i="88" s="1"/>
  <c r="R37" i="89"/>
  <c r="S27" i="89" s="1"/>
  <c r="R37" i="101"/>
  <c r="S27" i="101" s="1"/>
  <c r="F14" i="100"/>
  <c r="F15" i="100" s="1"/>
  <c r="E2" i="85"/>
  <c r="Q15" i="85"/>
  <c r="D14" i="84"/>
  <c r="R15" i="85"/>
  <c r="S5" i="85" s="1"/>
  <c r="G15" i="82"/>
  <c r="R79" i="94"/>
  <c r="S70" i="94" s="1"/>
  <c r="J15" i="95" s="1"/>
  <c r="J14" i="95"/>
  <c r="Q26" i="89"/>
  <c r="E14" i="88"/>
  <c r="E15" i="88" s="1"/>
  <c r="R26" i="89"/>
  <c r="S16" i="89" s="1"/>
  <c r="H14" i="12"/>
  <c r="H15" i="12" s="1"/>
  <c r="R58" i="13"/>
  <c r="S49" i="13" s="1"/>
  <c r="R15" i="13"/>
  <c r="S5" i="13" s="1"/>
  <c r="E2" i="13"/>
  <c r="Q15" i="13"/>
  <c r="D14" i="12"/>
  <c r="R48" i="75"/>
  <c r="S38" i="75" s="1"/>
  <c r="G14" i="74"/>
  <c r="G15" i="74" s="1"/>
  <c r="H6" i="102"/>
  <c r="F6" i="102"/>
  <c r="Q26" i="94"/>
  <c r="R26" i="3"/>
  <c r="S16" i="3" s="1"/>
  <c r="E14" i="2"/>
  <c r="E15" i="2" s="1"/>
  <c r="Q26" i="3"/>
  <c r="J7" i="8"/>
  <c r="J8" i="8" s="1"/>
  <c r="I15" i="8"/>
  <c r="R37" i="15"/>
  <c r="S27" i="15" s="1"/>
  <c r="E15" i="90"/>
  <c r="H7" i="112" l="1"/>
  <c r="H8" i="112" s="1"/>
  <c r="D15" i="112"/>
  <c r="F7" i="112"/>
  <c r="F8" i="112" s="1"/>
  <c r="F7" i="110"/>
  <c r="F8" i="110" s="1"/>
  <c r="H7" i="110"/>
  <c r="H8" i="110" s="1"/>
  <c r="D15" i="110"/>
  <c r="J7" i="110"/>
  <c r="J8" i="110" s="1"/>
  <c r="I15" i="110"/>
  <c r="H8" i="2"/>
  <c r="F8" i="2"/>
  <c r="H7" i="100"/>
  <c r="H8" i="100" s="1"/>
  <c r="D15" i="100"/>
  <c r="F7" i="100"/>
  <c r="F8" i="100" s="1"/>
  <c r="J7" i="82"/>
  <c r="J8" i="82" s="1"/>
  <c r="I15" i="82"/>
  <c r="F8" i="108"/>
  <c r="H7" i="102"/>
  <c r="H8" i="102" s="1"/>
  <c r="F7" i="95"/>
  <c r="F8" i="95" s="1"/>
  <c r="H7" i="95"/>
  <c r="H8" i="95" s="1"/>
  <c r="D15" i="95"/>
  <c r="D15" i="8"/>
  <c r="H7" i="8"/>
  <c r="H8" i="8" s="1"/>
  <c r="F7" i="8"/>
  <c r="F8" i="8" s="1"/>
  <c r="J7" i="104"/>
  <c r="J8" i="104" s="1"/>
  <c r="I15" i="104"/>
  <c r="I15" i="95"/>
  <c r="J7" i="95"/>
  <c r="J8" i="95" s="1"/>
  <c r="J7" i="72"/>
  <c r="J8" i="72" s="1"/>
  <c r="I15" i="72"/>
  <c r="H7" i="18"/>
  <c r="H8" i="18" s="1"/>
  <c r="F7" i="18"/>
  <c r="D15" i="18"/>
  <c r="H7" i="90"/>
  <c r="H8" i="90" s="1"/>
  <c r="D15" i="90"/>
  <c r="F7" i="90"/>
  <c r="F8" i="90" s="1"/>
  <c r="D15" i="16"/>
  <c r="F7" i="16"/>
  <c r="F8" i="16" s="1"/>
  <c r="H7" i="16"/>
  <c r="H8" i="16" s="1"/>
  <c r="H8" i="108"/>
  <c r="R37" i="103"/>
  <c r="S27" i="103" s="1"/>
  <c r="F14" i="102"/>
  <c r="F15" i="102" s="1"/>
  <c r="E2" i="103"/>
  <c r="F7" i="12"/>
  <c r="F8" i="12" s="1"/>
  <c r="D15" i="12"/>
  <c r="H7" i="12"/>
  <c r="H8" i="12" s="1"/>
  <c r="F7" i="2"/>
  <c r="J7" i="92"/>
  <c r="J8" i="92" s="1"/>
  <c r="I15" i="92"/>
  <c r="D15" i="84"/>
  <c r="H7" i="84"/>
  <c r="H8" i="84" s="1"/>
  <c r="F7" i="84"/>
  <c r="F8" i="84" s="1"/>
  <c r="D15" i="76"/>
  <c r="F7" i="76"/>
  <c r="F8" i="76" s="1"/>
  <c r="H7" i="76"/>
  <c r="H8" i="76" s="1"/>
  <c r="H7" i="82"/>
  <c r="H8" i="82" s="1"/>
  <c r="D15" i="82"/>
  <c r="F7" i="82"/>
  <c r="F8" i="82" s="1"/>
  <c r="H7" i="2"/>
  <c r="J7" i="88"/>
  <c r="J8" i="88" s="1"/>
  <c r="I15" i="88"/>
  <c r="F7" i="72"/>
  <c r="F8" i="72" s="1"/>
  <c r="D15" i="72"/>
  <c r="H7" i="72"/>
  <c r="H8" i="72" s="1"/>
  <c r="D15" i="74"/>
  <c r="F7" i="74"/>
  <c r="F8" i="74" s="1"/>
  <c r="H7" i="74"/>
  <c r="H8" i="74" s="1"/>
  <c r="J7" i="84"/>
  <c r="J8" i="84" s="1"/>
  <c r="I15" i="84"/>
  <c r="I15" i="10"/>
  <c r="J7" i="10"/>
  <c r="J8" i="10" s="1"/>
  <c r="J15" i="2"/>
  <c r="D15" i="78"/>
  <c r="F7" i="78"/>
  <c r="F8" i="78" s="1"/>
  <c r="H7" i="78"/>
  <c r="H8" i="78" s="1"/>
  <c r="J7" i="80"/>
  <c r="J8" i="80" s="1"/>
  <c r="I15" i="80"/>
  <c r="F6" i="2"/>
  <c r="H6" i="2"/>
  <c r="F7" i="22"/>
  <c r="F8" i="22" s="1"/>
  <c r="H7" i="22"/>
  <c r="H8" i="22" s="1"/>
  <c r="D15" i="22"/>
  <c r="F7" i="92"/>
  <c r="F8" i="92" s="1"/>
  <c r="D15" i="92"/>
  <c r="H7" i="92"/>
  <c r="H8" i="92" s="1"/>
  <c r="H7" i="86"/>
  <c r="H8" i="86" s="1"/>
  <c r="D15" i="86"/>
  <c r="F7" i="86"/>
  <c r="F8" i="86" s="1"/>
  <c r="J7" i="102"/>
  <c r="J8" i="102" s="1"/>
  <c r="I15" i="102"/>
  <c r="J7" i="14"/>
  <c r="J8" i="14" s="1"/>
  <c r="I15" i="14"/>
  <c r="D15" i="106"/>
  <c r="H7" i="106"/>
  <c r="H8" i="106" s="1"/>
  <c r="F7" i="106"/>
  <c r="F8" i="106" s="1"/>
  <c r="J7" i="78"/>
  <c r="J8" i="78" s="1"/>
  <c r="I15" i="78"/>
  <c r="F6" i="18"/>
  <c r="D15" i="14"/>
  <c r="H7" i="14"/>
  <c r="H8" i="14" s="1"/>
  <c r="F7" i="14"/>
  <c r="F8" i="14" s="1"/>
  <c r="F7" i="104"/>
  <c r="F8" i="104" s="1"/>
  <c r="H7" i="104"/>
  <c r="H8" i="104" s="1"/>
  <c r="D15" i="104"/>
  <c r="J7" i="6"/>
  <c r="J8" i="6" s="1"/>
  <c r="I15" i="6"/>
  <c r="D15" i="6"/>
  <c r="F7" i="6"/>
  <c r="F8" i="6" s="1"/>
  <c r="H7" i="6"/>
  <c r="H8" i="6" s="1"/>
  <c r="D15" i="88"/>
  <c r="H7" i="88"/>
  <c r="H8" i="88" s="1"/>
  <c r="F7" i="88"/>
  <c r="F8" i="88" s="1"/>
  <c r="I15" i="2"/>
  <c r="J8" i="2" s="1"/>
  <c r="J7" i="2"/>
  <c r="F7" i="10"/>
  <c r="F8" i="10" s="1"/>
  <c r="H7" i="10"/>
  <c r="H8" i="10" s="1"/>
  <c r="D15" i="10"/>
  <c r="J7" i="90"/>
  <c r="J8" i="90" s="1"/>
  <c r="I15" i="90"/>
  <c r="I15" i="108"/>
  <c r="J7" i="108"/>
  <c r="J8" i="108" s="1"/>
  <c r="J7" i="106"/>
  <c r="J8" i="106" s="1"/>
  <c r="I15" i="106"/>
  <c r="I15" i="12"/>
  <c r="J7" i="12"/>
  <c r="J8" i="12" s="1"/>
  <c r="H7" i="80"/>
  <c r="H8" i="80" s="1"/>
  <c r="F7" i="80"/>
  <c r="F8" i="80" s="1"/>
  <c r="D15" i="80"/>
  <c r="J7" i="76"/>
  <c r="J8" i="76" s="1"/>
  <c r="I15" i="76"/>
  <c r="F7" i="98"/>
  <c r="F8" i="98" s="1"/>
  <c r="D15" i="98"/>
  <c r="H7" i="98"/>
  <c r="H8" i="98" s="1"/>
  <c r="F7" i="102" l="1"/>
  <c r="F8" i="102" s="1"/>
  <c r="F8" i="18"/>
</calcChain>
</file>

<file path=xl/sharedStrings.xml><?xml version="1.0" encoding="utf-8"?>
<sst xmlns="http://schemas.openxmlformats.org/spreadsheetml/2006/main" count="6627" uniqueCount="263">
  <si>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</si>
  <si>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</si>
  <si>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</si>
  <si>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</si>
  <si>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</si>
  <si>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</si>
  <si>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</si>
  <si>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</si>
  <si>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</si>
  <si>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</si>
  <si>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</si>
  <si>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</si>
  <si>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</si>
  <si>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</si>
  <si>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</si>
  <si>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</si>
  <si>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</si>
  <si>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</si>
  <si>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</si>
  <si>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</si>
  <si>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</si>
  <si>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</si>
  <si>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</si>
  <si>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</si>
  <si>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</si>
  <si>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</si>
  <si>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</si>
  <si>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</si>
  <si>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</si>
  <si>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</si>
  <si>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</si>
  <si>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</si>
  <si>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</si>
  <si>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</si>
  <si>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</si>
  <si>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</si>
  <si>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</si>
  <si>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</si>
  <si>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</si>
  <si>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</si>
  <si>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</si>
  <si>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</si>
  <si>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</si>
  <si>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</si>
  <si>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</si>
  <si>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</si>
  <si>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</si>
  <si>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</si>
  <si>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</si>
  <si>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</si>
  <si>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</si>
  <si>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</si>
  <si>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</si>
  <si>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</si>
  <si>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</si>
  <si>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</si>
  <si>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</si>
  <si>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</si>
  <si>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</si>
  <si>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</si>
  <si>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</si>
  <si>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</si>
  <si>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</si>
  <si>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</si>
  <si>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</si>
  <si>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</si>
  <si>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</si>
  <si>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</si>
  <si>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</si>
  <si>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</si>
  <si>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</si>
  <si>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</si>
  <si>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</si>
  <si>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</si>
  <si>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</si>
  <si>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</si>
  <si>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</si>
  <si>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</si>
  <si>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</si>
  <si>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</si>
  <si>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</si>
  <si>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</si>
  <si>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</si>
  <si>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</si>
  <si>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</si>
  <si>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</si>
  <si>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</si>
  <si>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</si>
  <si>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</si>
  <si>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</si>
  <si>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</si>
  <si>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</si>
  <si>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</si>
  <si>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</si>
  <si>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</si>
  <si>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</si>
  <si>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</si>
  <si>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</si>
  <si>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</si>
  <si>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</si>
  <si>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</si>
  <si>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</si>
  <si>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</si>
  <si>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</si>
  <si>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</si>
  <si>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</si>
  <si>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</si>
  <si>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</si>
  <si>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</si>
  <si>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</si>
  <si>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</si>
  <si>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</si>
  <si>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01月01日  星期四</t>
  </si>
  <si>
    <t>奶油起司蝦仁通心粉</t>
  </si>
  <si>
    <t>韓式起司炸雞義大利麵</t>
  </si>
  <si>
    <t>奶油培根義大利麵</t>
  </si>
  <si>
    <t>玉取機停麵</t>
  </si>
  <si>
    <t>熱乾麵</t>
  </si>
  <si>
    <t>府城鹽水意麵</t>
  </si>
  <si>
    <t>協助製作</t>
  </si>
  <si>
    <t>.</t>
  </si>
  <si>
    <t>白酒蛤蜊義大利麵</t>
  </si>
  <si>
    <t>封膜頻繁異常，多一人進行作業</t>
  </si>
  <si>
    <t>青醬蛤蜊義大利麵</t>
  </si>
  <si>
    <t>義式蕃茄起司義大利麵</t>
  </si>
  <si>
    <t>惡魔乳酪生義大利麵</t>
  </si>
  <si>
    <t>熱轉印異常</t>
  </si>
  <si>
    <t>奶油蒜香雞義大利麵</t>
  </si>
  <si>
    <t>沙茶豬肉炒麵</t>
  </si>
  <si>
    <t>焗烤明太子筆尖麵</t>
  </si>
  <si>
    <t>濃拿坡里義大利麵</t>
  </si>
  <si>
    <t>封膜機異常</t>
  </si>
  <si>
    <t>剝皮辣椒雞奶油扁麵</t>
  </si>
  <si>
    <t>青花椒麻雞肉拌麵</t>
  </si>
  <si>
    <t>焗烤起司雙饗筆尖麵</t>
  </si>
  <si>
    <t>小吃、微波</t>
  </si>
  <si>
    <t>小滷青蔬</t>
  </si>
  <si>
    <t>台式綜合甜不辣</t>
  </si>
  <si>
    <t>起司馬鈴薯</t>
  </si>
  <si>
    <t>焗烤起司肉醬筆尖麵</t>
  </si>
  <si>
    <t>01月02日  星期五</t>
  </si>
  <si>
    <t>注醬機異常</t>
  </si>
  <si>
    <t>封膜異常</t>
  </si>
  <si>
    <t>生產量少</t>
  </si>
  <si>
    <t>01月03日  星期六</t>
  </si>
  <si>
    <t>封口機降溫</t>
  </si>
  <si>
    <t>生產數量少</t>
  </si>
  <si>
    <t>L型封膜異常</t>
  </si>
  <si>
    <t>01月04日  星期日</t>
  </si>
  <si>
    <t>07:15-07:26, 07:33-08:00封膜異常</t>
  </si>
  <si>
    <t>封口機異常</t>
  </si>
  <si>
    <t>01月05日  星期一</t>
  </si>
  <si>
    <t>設備異常</t>
  </si>
  <si>
    <t>測試單排生產</t>
  </si>
  <si>
    <t>雙排生產</t>
  </si>
  <si>
    <t>01月06日  星期一</t>
  </si>
  <si>
    <t>待封口機降溫</t>
  </si>
  <si>
    <t>01月07日  星期三</t>
  </si>
  <si>
    <t>01月08日  星期四</t>
  </si>
  <si>
    <t>玉取機</t>
  </si>
  <si>
    <t>玉取機(總計6分鐘)</t>
  </si>
  <si>
    <t>封膜異常+1人、重封62盒</t>
  </si>
  <si>
    <t>玉取機(總計24分鐘)</t>
  </si>
  <si>
    <t>L型設備異常</t>
  </si>
  <si>
    <t>訂單量少</t>
  </si>
  <si>
    <t>01月09日  星期五</t>
  </si>
  <si>
    <t>熱轉印及封膜異常</t>
  </si>
  <si>
    <t>01月10日  星期六</t>
  </si>
  <si>
    <t>補料</t>
  </si>
  <si>
    <t>01月11日  星期日</t>
  </si>
  <si>
    <t>封膜異常重封60盒</t>
  </si>
  <si>
    <t>09:35-09:45物料確認</t>
  </si>
  <si>
    <t>封膜異常重封</t>
  </si>
  <si>
    <t>01月12日  星期一</t>
  </si>
  <si>
    <t>13:00~13:15試產</t>
  </si>
  <si>
    <t>等待玉取機出麵</t>
  </si>
  <si>
    <t>10:55~11:20試產</t>
  </si>
  <si>
    <t>封膜重工</t>
  </si>
  <si>
    <t>01月13日  星期二</t>
  </si>
  <si>
    <t>改為單排生產</t>
  </si>
  <si>
    <t>01月14日  星期三</t>
  </si>
  <si>
    <t>等待煮麵(鹽水意麵)</t>
  </si>
  <si>
    <t>01月15日  星期四</t>
  </si>
  <si>
    <t>01月16日  星期五</t>
  </si>
  <si>
    <t>01月17日  星期六</t>
  </si>
  <si>
    <t>01月18日  星期日</t>
  </si>
  <si>
    <t>調整封膜溫度</t>
  </si>
  <si>
    <t>01月19日  星期一</t>
  </si>
  <si>
    <t>封口機寸動異常</t>
  </si>
  <si>
    <t>01月20日  星期二</t>
  </si>
  <si>
    <t>辣味香菜雞肉義大利麵</t>
  </si>
  <si>
    <t>09:00~09:16封膜異常，停線</t>
  </si>
  <si>
    <t>10:40~10:55注醬機異常，單邊注醬
10:40~10:55注醬機異常，單邊注醬
10:40~10:55注醬機異常，單邊注醬</t>
  </si>
  <si>
    <t>手抓麵作業</t>
  </si>
  <si>
    <t>色帶斷帶，封膜機器壓不足</t>
  </si>
  <si>
    <t>封膜機器壓不足 停線</t>
  </si>
  <si>
    <t>三杯菇菇米血</t>
  </si>
  <si>
    <t>塞管清機(薑絲),停線2次</t>
  </si>
  <si>
    <t>塞管清機(薑絲),停線4次</t>
  </si>
  <si>
    <t>01月21日  星期三</t>
  </si>
  <si>
    <t>手抓麵</t>
  </si>
  <si>
    <t>07:00~07:10待機台預熱，收籃100盒</t>
  </si>
  <si>
    <t>08:30~08:35、14:05~14:10機台異常，停線</t>
  </si>
  <si>
    <t>13:11~13:50印字異常，收籃670盒</t>
  </si>
  <si>
    <t>三杯菇菇米血頻繁清機，每次30~60秒</t>
  </si>
  <si>
    <t>13:50~13:55塞管清機(薑絲)</t>
  </si>
  <si>
    <r>
      <t>01月22日  星期</t>
    </r>
    <r>
      <rPr>
        <sz val="14"/>
        <rFont val="Microsoft JhengHei UI"/>
        <family val="2"/>
        <charset val="136"/>
      </rPr>
      <t>四</t>
    </r>
  </si>
  <si>
    <t>7:38-7:40停線換膜</t>
  </si>
  <si>
    <t>因封膜異常,幹部卡線上,停線換膜</t>
  </si>
  <si>
    <t>01月23日  星期五</t>
  </si>
  <si>
    <t>封膜頻繁異常</t>
  </si>
  <si>
    <t>01月24日  星期六</t>
  </si>
  <si>
    <t>01月25日  星期日</t>
  </si>
  <si>
    <t>重選機異常</t>
  </si>
  <si>
    <t>人員不足,降速生產</t>
  </si>
  <si>
    <t>01月26日  星期一</t>
  </si>
  <si>
    <t>下貼標異常</t>
  </si>
  <si>
    <r>
      <t>01月27日  星期</t>
    </r>
    <r>
      <rPr>
        <sz val="14"/>
        <rFont val="Microsoft JhengHei UI"/>
        <family val="2"/>
        <charset val="136"/>
      </rPr>
      <t>二</t>
    </r>
  </si>
  <si>
    <t>check</t>
  </si>
  <si>
    <t>類別</t>
  </si>
  <si>
    <t>4度C</t>
  </si>
  <si>
    <t>南洋紅咖哩豬義大利麵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</si>
  <si>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</si>
  <si>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</si>
  <si>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</si>
  <si>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</si>
  <si>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</si>
  <si>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</si>
  <si>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</si>
  <si>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</si>
  <si>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</si>
  <si>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品項</t>
  </si>
  <si>
    <t>產能</t>
  </si>
  <si>
    <t>白酒蛤蜊義大利麵-手</t>
  </si>
  <si>
    <t>青花椒麻雞肉拌麵-降速生產</t>
  </si>
  <si>
    <t>日一二正常版</t>
  </si>
  <si>
    <t>奶油蒜香雞義大利麵-降速生產</t>
  </si>
  <si>
    <t>剝皮辣椒雞奶油扁麵-降速生產(3線)</t>
  </si>
  <si>
    <t>調理包</t>
  </si>
  <si>
    <t>更新日期11/02</t>
  </si>
  <si>
    <t>01月28日  星期三</t>
    <phoneticPr fontId="33" type="noConversion"/>
  </si>
  <si>
    <t>生產數量少</t>
    <phoneticPr fontId="33" type="noConversion"/>
  </si>
  <si>
    <t>熱轉印異常</t>
    <phoneticPr fontId="33" type="noConversion"/>
  </si>
  <si>
    <t>8:35~9:06手工抓麵</t>
    <phoneticPr fontId="33" type="noConversion"/>
  </si>
  <si>
    <t>封膜異常</t>
    <phoneticPr fontId="33" type="noConversion"/>
  </si>
  <si>
    <t>填充機設備異常</t>
    <phoneticPr fontId="33" type="noConversion"/>
  </si>
  <si>
    <t>01月29  星期四</t>
    <phoneticPr fontId="33" type="noConversion"/>
  </si>
  <si>
    <t>充填機異常</t>
    <phoneticPr fontId="33" type="noConversion"/>
  </si>
  <si>
    <t>9:11~9:18休息暫停</t>
    <phoneticPr fontId="33" type="noConversion"/>
  </si>
  <si>
    <t>玉取機停麵</t>
    <phoneticPr fontId="33" type="noConversion"/>
  </si>
  <si>
    <t>手抓麵、熱轉印異常</t>
    <phoneticPr fontId="33" type="noConversion"/>
  </si>
  <si>
    <t>包裝機異常</t>
    <phoneticPr fontId="33" type="noConversion"/>
  </si>
  <si>
    <t>下貼標機異常</t>
    <phoneticPr fontId="33" type="noConversion"/>
  </si>
  <si>
    <t>人員不足降速生產</t>
    <phoneticPr fontId="6" type="noConversion"/>
  </si>
  <si>
    <t>生產數量少</t>
    <phoneticPr fontId="6" type="noConversion"/>
  </si>
  <si>
    <t>7:00-7:22待麵</t>
    <phoneticPr fontId="6" type="noConversion"/>
  </si>
  <si>
    <t>玉取機停麵</t>
    <phoneticPr fontId="6" type="noConversion"/>
  </si>
  <si>
    <t>封膜異常</t>
    <phoneticPr fontId="6" type="noConversion"/>
  </si>
  <si>
    <t>01月30日  星期五</t>
    <phoneticPr fontId="33" type="noConversion"/>
  </si>
  <si>
    <t>01月31日  星期六</t>
    <phoneticPr fontId="33" type="noConversion"/>
  </si>
  <si>
    <t>自動落麵</t>
    <phoneticPr fontId="33" type="noConversion"/>
  </si>
  <si>
    <t>手工抓麵</t>
    <phoneticPr fontId="33" type="noConversion"/>
  </si>
  <si>
    <t>熱轉印色帶鬆脫、玉取機停麵共5次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</si>
</sst>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</numFmts>
  <fonts count="3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name val="Microsoft JhengHei"/>
      <family val="2"/>
      <charset val="136"/>
    </font>
    <font>
      <sz val="14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845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184" fontId="17" fillId="8" borderId="50" xfId="17" applyNumberFormat="1" applyFont="1" applyFill="1" applyBorder="1" applyAlignment="1">
      <alignment horizontal="center" vertical="center"/>
    </xf>
    <xf numFmtId="0" fontId="17" fillId="0" borderId="0" xfId="13" applyFont="1">
      <alignment vertical="center"/>
    </xf>
    <xf numFmtId="0" fontId="17" fillId="0" borderId="0" xfId="13" applyFont="1" applyAlignment="1">
      <alignment vertical="center" wrapText="1"/>
    </xf>
    <xf numFmtId="0" fontId="17" fillId="0" borderId="1" xfId="13" applyFont="1" applyBorder="1">
      <alignment vertical="center"/>
    </xf>
    <xf numFmtId="0" fontId="6" fillId="0" borderId="0" xfId="10" applyFont="1" applyAlignment="1">
      <alignment horizontal="center"/>
    </xf>
    <xf numFmtId="0" fontId="17" fillId="0" borderId="0" xfId="3" applyFont="1" applyAlignment="1">
      <alignment horizontal="center" vertical="center"/>
    </xf>
    <xf numFmtId="182" fontId="17" fillId="0" borderId="43" xfId="13" applyNumberFormat="1" applyFont="1" applyBorder="1" applyAlignment="1">
      <alignment horizontal="center" vertical="center"/>
    </xf>
    <xf numFmtId="0" fontId="17" fillId="8" borderId="50" xfId="13" applyFont="1" applyFill="1" applyBorder="1" applyAlignment="1">
      <alignment horizontal="center" vertical="center"/>
    </xf>
    <xf numFmtId="0" fontId="17" fillId="0" borderId="50" xfId="13" applyFont="1" applyBorder="1" applyAlignment="1">
      <alignment horizontal="center" vertical="center"/>
    </xf>
    <xf numFmtId="184" fontId="17" fillId="8" borderId="50" xfId="13" applyNumberFormat="1" applyFont="1" applyFill="1" applyBorder="1" applyAlignment="1">
      <alignment horizontal="center" vertical="center"/>
    </xf>
    <xf numFmtId="179" fontId="17" fillId="0" borderId="76" xfId="13" applyNumberFormat="1" applyFont="1" applyBorder="1" applyAlignment="1">
      <alignment horizontal="center" vertical="center"/>
    </xf>
    <xf numFmtId="179" fontId="17" fillId="0" borderId="44" xfId="13" applyNumberFormat="1" applyFont="1" applyBorder="1" applyAlignment="1">
      <alignment horizontal="center" vertical="center"/>
    </xf>
    <xf numFmtId="1" fontId="17" fillId="0" borderId="44" xfId="13" applyNumberFormat="1" applyFont="1" applyBorder="1" applyAlignment="1">
      <alignment horizontal="center" vertical="center"/>
    </xf>
    <xf numFmtId="0" fontId="17" fillId="0" borderId="44" xfId="13" applyFont="1" applyBorder="1" applyAlignment="1">
      <alignment horizontal="center" vertical="center"/>
    </xf>
    <xf numFmtId="181" fontId="17" fillId="0" borderId="44" xfId="13" applyNumberFormat="1" applyFont="1" applyBorder="1" applyAlignment="1">
      <alignment horizontal="center" vertical="center"/>
    </xf>
    <xf numFmtId="183" fontId="17" fillId="0" borderId="78" xfId="13" applyNumberFormat="1" applyFont="1" applyBorder="1" applyAlignment="1">
      <alignment horizontal="center" vertical="center"/>
    </xf>
    <xf numFmtId="182" fontId="17" fillId="0" borderId="78" xfId="13" applyNumberFormat="1" applyFont="1" applyBorder="1" applyAlignment="1">
      <alignment horizontal="center" vertical="center"/>
    </xf>
    <xf numFmtId="179" fontId="17" fillId="11" borderId="78" xfId="13" applyNumberFormat="1" applyFont="1" applyFill="1" applyBorder="1" applyAlignment="1">
      <alignment horizontal="center" vertical="center"/>
    </xf>
    <xf numFmtId="1" fontId="17" fillId="11" borderId="78" xfId="13" applyNumberFormat="1" applyFont="1" applyFill="1" applyBorder="1" applyAlignment="1">
      <alignment horizontal="center" vertical="center"/>
    </xf>
    <xf numFmtId="43" fontId="17" fillId="11" borderId="78" xfId="15" applyFont="1" applyFill="1" applyBorder="1" applyAlignment="1">
      <alignment horizontal="center" vertical="center"/>
    </xf>
    <xf numFmtId="179" fontId="17" fillId="11" borderId="44" xfId="13" applyNumberFormat="1" applyFont="1" applyFill="1" applyBorder="1" applyAlignment="1">
      <alignment horizontal="center" vertical="center"/>
    </xf>
    <xf numFmtId="0" fontId="17" fillId="11" borderId="44" xfId="13" applyFont="1" applyFill="1" applyBorder="1" applyAlignment="1">
      <alignment horizontal="center"/>
    </xf>
    <xf numFmtId="0" fontId="15" fillId="0" borderId="50" xfId="3" applyFont="1" applyBorder="1" applyAlignment="1">
      <alignment horizontal="center" vertical="center"/>
    </xf>
    <xf numFmtId="0" fontId="17" fillId="0" borderId="44" xfId="13" applyFont="1" applyBorder="1" applyAlignment="1">
      <alignment horizontal="center"/>
    </xf>
    <xf numFmtId="182" fontId="17" fillId="0" borderId="39" xfId="13" applyNumberFormat="1" applyFont="1" applyBorder="1" applyAlignment="1">
      <alignment horizontal="center" vertical="center"/>
    </xf>
    <xf numFmtId="0" fontId="17" fillId="0" borderId="1" xfId="13" applyFont="1" applyBorder="1" applyAlignment="1">
      <alignment horizontal="center" vertical="center"/>
    </xf>
    <xf numFmtId="0" fontId="17" fillId="0" borderId="13" xfId="13" applyFont="1" applyBorder="1" applyAlignment="1">
      <alignment horizontal="center" vertical="center" wrapText="1"/>
    </xf>
    <xf numFmtId="0" fontId="17" fillId="0" borderId="14" xfId="13" applyFont="1" applyBorder="1" applyAlignment="1">
      <alignment horizontal="center" vertical="center"/>
    </xf>
    <xf numFmtId="181" fontId="17" fillId="0" borderId="14" xfId="13" applyNumberFormat="1" applyFont="1" applyBorder="1" applyAlignment="1">
      <alignment horizontal="center" vertical="center"/>
    </xf>
    <xf numFmtId="183" fontId="17" fillId="0" borderId="1" xfId="13" applyNumberFormat="1" applyFont="1" applyBorder="1" applyAlignment="1">
      <alignment horizontal="center" vertical="center"/>
    </xf>
    <xf numFmtId="182" fontId="17" fillId="0" borderId="1" xfId="13" applyNumberFormat="1" applyFont="1" applyBorder="1" applyAlignment="1">
      <alignment horizontal="center" vertical="center"/>
    </xf>
    <xf numFmtId="179" fontId="17" fillId="0" borderId="1" xfId="13" applyNumberFormat="1" applyFont="1" applyBorder="1" applyAlignment="1">
      <alignment horizontal="center" vertical="center"/>
    </xf>
    <xf numFmtId="1" fontId="17" fillId="0" borderId="1" xfId="13" applyNumberFormat="1" applyFont="1" applyBorder="1" applyAlignment="1">
      <alignment horizontal="center" vertical="center"/>
    </xf>
    <xf numFmtId="0" fontId="17" fillId="3" borderId="1" xfId="13" applyFont="1" applyFill="1" applyBorder="1" applyAlignment="1">
      <alignment horizontal="center" vertical="center"/>
    </xf>
    <xf numFmtId="179" fontId="17" fillId="0" borderId="9" xfId="13" applyNumberFormat="1" applyFont="1" applyBorder="1" applyAlignment="1">
      <alignment horizontal="center" vertical="center"/>
    </xf>
    <xf numFmtId="1" fontId="17" fillId="3" borderId="1" xfId="13" applyNumberFormat="1" applyFont="1" applyFill="1" applyBorder="1" applyAlignment="1">
      <alignment horizontal="center" vertical="center"/>
    </xf>
    <xf numFmtId="0" fontId="17" fillId="0" borderId="3" xfId="13" applyFont="1" applyBorder="1" applyAlignment="1">
      <alignment horizontal="center" vertical="center"/>
    </xf>
    <xf numFmtId="43" fontId="17" fillId="0" borderId="13" xfId="15" applyFont="1" applyBorder="1" applyAlignment="1">
      <alignment horizontal="center" vertical="center"/>
    </xf>
    <xf numFmtId="0" fontId="17" fillId="0" borderId="13" xfId="13" applyFont="1" applyBorder="1" applyAlignment="1">
      <alignment horizontal="center" vertical="center"/>
    </xf>
    <xf numFmtId="0" fontId="17" fillId="0" borderId="40" xfId="13" applyFont="1" applyBorder="1" applyAlignment="1">
      <alignment horizontal="center" vertical="center"/>
    </xf>
    <xf numFmtId="0" fontId="17" fillId="0" borderId="39" xfId="13" applyFont="1" applyBorder="1" applyAlignment="1">
      <alignment horizontal="center" vertical="center"/>
    </xf>
    <xf numFmtId="182" fontId="17" fillId="0" borderId="30" xfId="13" applyNumberFormat="1" applyFont="1" applyBorder="1" applyAlignment="1">
      <alignment horizontal="center" vertical="center"/>
    </xf>
    <xf numFmtId="181" fontId="17" fillId="0" borderId="13" xfId="13" applyNumberFormat="1" applyFont="1" applyBorder="1" applyAlignment="1">
      <alignment horizontal="center" vertical="center"/>
    </xf>
    <xf numFmtId="183" fontId="17" fillId="0" borderId="9" xfId="13" applyNumberFormat="1" applyFont="1" applyBorder="1" applyAlignment="1">
      <alignment horizontal="center" vertical="center"/>
    </xf>
    <xf numFmtId="182" fontId="17" fillId="0" borderId="9" xfId="13" applyNumberFormat="1" applyFont="1" applyBorder="1" applyAlignment="1">
      <alignment horizontal="center" vertical="center"/>
    </xf>
    <xf numFmtId="1" fontId="17" fillId="0" borderId="9" xfId="13" applyNumberFormat="1" applyFont="1" applyBorder="1" applyAlignment="1">
      <alignment horizontal="center" vertical="center"/>
    </xf>
    <xf numFmtId="0" fontId="17" fillId="3" borderId="14" xfId="13" applyFont="1" applyFill="1" applyBorder="1" applyAlignment="1">
      <alignment horizontal="center" vertical="center"/>
    </xf>
    <xf numFmtId="1" fontId="17" fillId="3" borderId="9" xfId="13" applyNumberFormat="1" applyFont="1" applyFill="1" applyBorder="1" applyAlignment="1">
      <alignment horizontal="center" vertical="center"/>
    </xf>
    <xf numFmtId="0" fontId="17" fillId="0" borderId="9" xfId="13" applyFont="1" applyBorder="1" applyAlignment="1">
      <alignment horizontal="center" vertical="center"/>
    </xf>
    <xf numFmtId="182" fontId="17" fillId="0" borderId="60" xfId="13" applyNumberFormat="1" applyFont="1" applyBorder="1" applyAlignment="1">
      <alignment horizontal="center" vertical="center"/>
    </xf>
    <xf numFmtId="184" fontId="17" fillId="0" borderId="1" xfId="13" applyNumberFormat="1" applyFont="1" applyBorder="1" applyAlignment="1">
      <alignment horizontal="center" vertical="center"/>
    </xf>
    <xf numFmtId="179" fontId="17" fillId="0" borderId="58" xfId="13" applyNumberFormat="1" applyFont="1" applyBorder="1" applyAlignment="1">
      <alignment horizontal="center" vertical="center"/>
    </xf>
    <xf numFmtId="179" fontId="17" fillId="0" borderId="34" xfId="13" applyNumberFormat="1" applyFont="1" applyBorder="1" applyAlignment="1">
      <alignment horizontal="center" vertical="center"/>
    </xf>
    <xf numFmtId="0" fontId="17" fillId="0" borderId="34" xfId="13" applyFont="1" applyBorder="1" applyAlignment="1">
      <alignment horizontal="center" vertical="center" wrapText="1"/>
    </xf>
    <xf numFmtId="182" fontId="17" fillId="0" borderId="104" xfId="13" applyNumberFormat="1" applyFont="1" applyBorder="1" applyAlignment="1">
      <alignment horizontal="center" vertical="center"/>
    </xf>
    <xf numFmtId="20" fontId="17" fillId="0" borderId="37" xfId="13" applyNumberFormat="1" applyFont="1" applyBorder="1" applyAlignment="1">
      <alignment horizontal="center" vertical="center"/>
    </xf>
    <xf numFmtId="20" fontId="17" fillId="0" borderId="87" xfId="13" applyNumberFormat="1" applyFont="1" applyBorder="1" applyAlignment="1">
      <alignment horizontal="center" vertical="center"/>
    </xf>
    <xf numFmtId="0" fontId="17" fillId="0" borderId="87" xfId="13" applyFont="1" applyBorder="1" applyAlignment="1">
      <alignment horizontal="center" vertical="center" wrapText="1"/>
    </xf>
    <xf numFmtId="0" fontId="17" fillId="0" borderId="27" xfId="13" applyFont="1" applyBorder="1" applyAlignment="1">
      <alignment horizontal="center" vertical="center"/>
    </xf>
    <xf numFmtId="182" fontId="17" fillId="0" borderId="3" xfId="13" applyNumberFormat="1" applyFont="1" applyBorder="1" applyAlignment="1">
      <alignment horizontal="center" vertical="center"/>
    </xf>
    <xf numFmtId="20" fontId="17" fillId="0" borderId="27" xfId="13" applyNumberFormat="1" applyFont="1" applyBorder="1" applyAlignment="1">
      <alignment horizontal="center" vertical="center"/>
    </xf>
    <xf numFmtId="20" fontId="17" fillId="0" borderId="13" xfId="13" applyNumberFormat="1" applyFont="1" applyBorder="1" applyAlignment="1">
      <alignment horizontal="center" vertical="center"/>
    </xf>
    <xf numFmtId="179" fontId="17" fillId="0" borderId="30" xfId="13" applyNumberFormat="1" applyFont="1" applyBorder="1" applyAlignment="1">
      <alignment horizontal="center" vertical="center"/>
    </xf>
    <xf numFmtId="1" fontId="17" fillId="3" borderId="27" xfId="13" applyNumberFormat="1" applyFont="1" applyFill="1" applyBorder="1" applyAlignment="1">
      <alignment horizontal="center" vertical="center"/>
    </xf>
    <xf numFmtId="43" fontId="17" fillId="0" borderId="34" xfId="15" applyFont="1" applyBorder="1" applyAlignment="1">
      <alignment horizontal="center" vertical="center"/>
    </xf>
    <xf numFmtId="184" fontId="17" fillId="0" borderId="9" xfId="13" applyNumberFormat="1" applyFont="1" applyBorder="1" applyAlignment="1">
      <alignment horizontal="center" vertical="center"/>
    </xf>
    <xf numFmtId="0" fontId="17" fillId="0" borderId="26" xfId="13" applyFont="1" applyBorder="1" applyAlignment="1">
      <alignment horizontal="center"/>
    </xf>
    <xf numFmtId="183" fontId="17" fillId="0" borderId="13" xfId="13" applyNumberFormat="1" applyFont="1" applyBorder="1" applyAlignment="1">
      <alignment horizontal="center" vertical="center"/>
    </xf>
    <xf numFmtId="182" fontId="17" fillId="0" borderId="13" xfId="13" applyNumberFormat="1" applyFont="1" applyBorder="1" applyAlignment="1">
      <alignment horizontal="center" vertical="center"/>
    </xf>
    <xf numFmtId="179" fontId="17" fillId="0" borderId="13" xfId="13" applyNumberFormat="1" applyFont="1" applyBorder="1" applyAlignment="1">
      <alignment horizontal="center" vertical="center"/>
    </xf>
    <xf numFmtId="1" fontId="17" fillId="0" borderId="13" xfId="13" applyNumberFormat="1" applyFont="1" applyBorder="1" applyAlignment="1">
      <alignment horizontal="center" vertical="center"/>
    </xf>
    <xf numFmtId="0" fontId="17" fillId="3" borderId="13" xfId="13" applyFont="1" applyFill="1" applyBorder="1" applyAlignment="1">
      <alignment horizontal="center" vertical="center"/>
    </xf>
    <xf numFmtId="1" fontId="17" fillId="3" borderId="13" xfId="13" applyNumberFormat="1" applyFont="1" applyFill="1" applyBorder="1" applyAlignment="1">
      <alignment horizontal="center" vertical="center"/>
    </xf>
    <xf numFmtId="0" fontId="17" fillId="0" borderId="34" xfId="13" applyFont="1" applyBorder="1" applyAlignment="1">
      <alignment horizontal="center" vertical="center"/>
    </xf>
    <xf numFmtId="1" fontId="6" fillId="0" borderId="1" xfId="10" applyNumberFormat="1" applyFont="1" applyBorder="1" applyAlignment="1">
      <alignment horizontal="center" vertical="center"/>
    </xf>
    <xf numFmtId="0" fontId="17" fillId="0" borderId="27" xfId="13" applyFont="1" applyBorder="1" applyAlignment="1">
      <alignment horizontal="center"/>
    </xf>
    <xf numFmtId="20" fontId="17" fillId="0" borderId="58" xfId="13" applyNumberFormat="1" applyFont="1" applyBorder="1" applyAlignment="1">
      <alignment horizontal="center" vertical="center"/>
    </xf>
    <xf numFmtId="20" fontId="17" fillId="0" borderId="34" xfId="13" applyNumberFormat="1" applyFont="1" applyBorder="1" applyAlignment="1">
      <alignment horizontal="center" vertical="center"/>
    </xf>
    <xf numFmtId="0" fontId="17" fillId="0" borderId="33" xfId="13" applyFont="1" applyBorder="1" applyAlignment="1">
      <alignment horizontal="center"/>
    </xf>
    <xf numFmtId="0" fontId="6" fillId="0" borderId="1" xfId="10" applyFont="1" applyBorder="1" applyAlignment="1">
      <alignment horizontal="center" vertical="center"/>
    </xf>
    <xf numFmtId="20" fontId="17" fillId="0" borderId="70" xfId="13" applyNumberFormat="1" applyFont="1" applyBorder="1" applyAlignment="1">
      <alignment horizontal="center" vertical="center"/>
    </xf>
    <xf numFmtId="20" fontId="17" fillId="0" borderId="85" xfId="13" applyNumberFormat="1" applyFont="1" applyBorder="1" applyAlignment="1">
      <alignment horizontal="center" vertical="center"/>
    </xf>
    <xf numFmtId="182" fontId="17" fillId="0" borderId="46" xfId="13" applyNumberFormat="1" applyFont="1" applyBorder="1" applyAlignment="1">
      <alignment horizontal="center" vertical="center"/>
    </xf>
    <xf numFmtId="0" fontId="17" fillId="0" borderId="17" xfId="13" applyFont="1" applyBorder="1" applyAlignment="1">
      <alignment horizontal="center" vertical="center"/>
    </xf>
    <xf numFmtId="184" fontId="17" fillId="0" borderId="17" xfId="13" applyNumberFormat="1" applyFont="1" applyBorder="1" applyAlignment="1">
      <alignment horizontal="center" vertical="center"/>
    </xf>
    <xf numFmtId="20" fontId="17" fillId="0" borderId="55" xfId="13" applyNumberFormat="1" applyFont="1" applyBorder="1" applyAlignment="1">
      <alignment horizontal="center" vertical="center"/>
    </xf>
    <xf numFmtId="20" fontId="17" fillId="0" borderId="54" xfId="13" applyNumberFormat="1" applyFont="1" applyBorder="1" applyAlignment="1">
      <alignment horizontal="center" vertical="center"/>
    </xf>
    <xf numFmtId="0" fontId="17" fillId="0" borderId="21" xfId="13" applyFont="1" applyBorder="1" applyAlignment="1">
      <alignment horizontal="center" vertical="center" wrapText="1"/>
    </xf>
    <xf numFmtId="0" fontId="17" fillId="0" borderId="21" xfId="13" applyFont="1" applyBorder="1" applyAlignment="1">
      <alignment horizontal="center" vertical="center"/>
    </xf>
    <xf numFmtId="20" fontId="17" fillId="0" borderId="21" xfId="13" applyNumberFormat="1" applyFont="1" applyBorder="1" applyAlignment="1">
      <alignment horizontal="center" vertical="center"/>
    </xf>
    <xf numFmtId="183" fontId="17" fillId="0" borderId="21" xfId="13" applyNumberFormat="1" applyFont="1" applyBorder="1" applyAlignment="1">
      <alignment horizontal="center" vertical="center"/>
    </xf>
    <xf numFmtId="182" fontId="17" fillId="0" borderId="21" xfId="13" applyNumberFormat="1" applyFont="1" applyBorder="1" applyAlignment="1">
      <alignment horizontal="center" vertical="center"/>
    </xf>
    <xf numFmtId="179" fontId="17" fillId="0" borderId="21" xfId="13" applyNumberFormat="1" applyFont="1" applyBorder="1" applyAlignment="1">
      <alignment horizontal="center" vertical="center"/>
    </xf>
    <xf numFmtId="1" fontId="17" fillId="0" borderId="21" xfId="13" applyNumberFormat="1" applyFont="1" applyBorder="1" applyAlignment="1">
      <alignment horizontal="center" vertical="center"/>
    </xf>
    <xf numFmtId="0" fontId="17" fillId="3" borderId="21" xfId="13" applyFont="1" applyFill="1" applyBorder="1" applyAlignment="1">
      <alignment horizontal="center" vertical="center"/>
    </xf>
    <xf numFmtId="1" fontId="17" fillId="3" borderId="21" xfId="13" applyNumberFormat="1" applyFont="1" applyFill="1" applyBorder="1" applyAlignment="1">
      <alignment horizontal="center" vertical="center"/>
    </xf>
    <xf numFmtId="43" fontId="17" fillId="0" borderId="21" xfId="15" applyFont="1" applyBorder="1" applyAlignment="1">
      <alignment horizontal="center" vertical="center"/>
    </xf>
    <xf numFmtId="0" fontId="17" fillId="11" borderId="78" xfId="13" applyFont="1" applyFill="1" applyBorder="1" applyAlignment="1">
      <alignment horizontal="center" vertical="center"/>
    </xf>
    <xf numFmtId="43" fontId="17" fillId="11" borderId="44" xfId="15" applyFont="1" applyFill="1" applyBorder="1" applyAlignment="1">
      <alignment horizontal="center" vertical="center"/>
    </xf>
    <xf numFmtId="179" fontId="17" fillId="0" borderId="91" xfId="13" applyNumberFormat="1" applyFont="1" applyBorder="1" applyAlignment="1">
      <alignment horizontal="center" vertical="center"/>
    </xf>
    <xf numFmtId="1" fontId="17" fillId="0" borderId="90" xfId="13" applyNumberFormat="1" applyFont="1" applyBorder="1" applyAlignment="1">
      <alignment horizontal="center" vertical="center"/>
    </xf>
    <xf numFmtId="183" fontId="17" fillId="0" borderId="14" xfId="13" applyNumberFormat="1" applyFont="1" applyBorder="1" applyAlignment="1">
      <alignment horizontal="center" vertical="center"/>
    </xf>
    <xf numFmtId="182" fontId="17" fillId="0" borderId="14" xfId="13" applyNumberFormat="1" applyFont="1" applyBorder="1" applyAlignment="1">
      <alignment horizontal="center" vertical="center"/>
    </xf>
    <xf numFmtId="179" fontId="17" fillId="0" borderId="14" xfId="13" applyNumberFormat="1" applyFont="1" applyBorder="1" applyAlignment="1">
      <alignment horizontal="center" vertical="center"/>
    </xf>
    <xf numFmtId="1" fontId="17" fillId="0" borderId="14" xfId="13" applyNumberFormat="1" applyFont="1" applyBorder="1" applyAlignment="1">
      <alignment horizontal="center" vertical="center"/>
    </xf>
    <xf numFmtId="1" fontId="17" fillId="3" borderId="14" xfId="13" applyNumberFormat="1" applyFont="1" applyFill="1" applyBorder="1" applyAlignment="1">
      <alignment horizontal="center" vertical="center"/>
    </xf>
    <xf numFmtId="43" fontId="17" fillId="0" borderId="14" xfId="15" applyFont="1" applyBorder="1" applyAlignment="1">
      <alignment horizontal="center" vertical="center"/>
    </xf>
    <xf numFmtId="0" fontId="17" fillId="3" borderId="31" xfId="13" applyFont="1" applyFill="1" applyBorder="1" applyAlignment="1">
      <alignment horizontal="center" vertical="center"/>
    </xf>
    <xf numFmtId="0" fontId="17" fillId="0" borderId="31" xfId="13" applyFont="1" applyBorder="1" applyAlignment="1">
      <alignment horizontal="center" vertical="center"/>
    </xf>
    <xf numFmtId="0" fontId="17" fillId="0" borderId="40" xfId="13" applyFont="1" applyBorder="1" applyAlignment="1">
      <alignment horizontal="center"/>
    </xf>
    <xf numFmtId="182" fontId="17" fillId="0" borderId="97" xfId="13" applyNumberFormat="1" applyFont="1" applyBorder="1" applyAlignment="1">
      <alignment horizontal="center" vertical="center"/>
    </xf>
    <xf numFmtId="0" fontId="17" fillId="0" borderId="58" xfId="13" applyFont="1" applyBorder="1" applyAlignment="1">
      <alignment horizontal="center" vertical="center"/>
    </xf>
    <xf numFmtId="0" fontId="17" fillId="0" borderId="48" xfId="13" applyFont="1" applyBorder="1" applyAlignment="1">
      <alignment horizontal="center" vertical="center"/>
    </xf>
    <xf numFmtId="0" fontId="17" fillId="0" borderId="47" xfId="13" applyFont="1" applyBorder="1" applyAlignment="1">
      <alignment horizontal="center"/>
    </xf>
    <xf numFmtId="181" fontId="6" fillId="0" borderId="83" xfId="10" applyNumberFormat="1" applyFont="1" applyBorder="1" applyAlignment="1">
      <alignment horizontal="center" vertical="center"/>
    </xf>
    <xf numFmtId="183" fontId="17" fillId="0" borderId="44" xfId="13" applyNumberFormat="1" applyFont="1" applyBorder="1" applyAlignment="1">
      <alignment horizontal="center" vertical="center"/>
    </xf>
    <xf numFmtId="182" fontId="17" fillId="0" borderId="44" xfId="13" applyNumberFormat="1" applyFont="1" applyBorder="1" applyAlignment="1">
      <alignment horizontal="center" vertical="center"/>
    </xf>
    <xf numFmtId="1" fontId="17" fillId="11" borderId="44" xfId="13" applyNumberFormat="1" applyFont="1" applyFill="1" applyBorder="1" applyAlignment="1">
      <alignment horizontal="center" vertical="center"/>
    </xf>
    <xf numFmtId="0" fontId="17" fillId="6" borderId="13" xfId="13" applyFont="1" applyFill="1" applyBorder="1" applyAlignment="1">
      <alignment horizontal="center" vertical="center" wrapText="1"/>
    </xf>
    <xf numFmtId="0" fontId="17" fillId="6" borderId="13" xfId="13" applyFont="1" applyFill="1" applyBorder="1" applyAlignment="1">
      <alignment horizontal="center" vertical="center"/>
    </xf>
    <xf numFmtId="181" fontId="6" fillId="6" borderId="11" xfId="10" applyNumberFormat="1" applyFont="1" applyFill="1" applyBorder="1" applyAlignment="1">
      <alignment horizontal="center" vertical="center"/>
    </xf>
    <xf numFmtId="20" fontId="6" fillId="6" borderId="11" xfId="10" applyNumberFormat="1" applyFont="1" applyFill="1" applyBorder="1" applyAlignment="1">
      <alignment horizontal="center" vertical="center"/>
    </xf>
    <xf numFmtId="1" fontId="17" fillId="0" borderId="34" xfId="13" applyNumberFormat="1" applyFont="1" applyBorder="1" applyAlignment="1">
      <alignment horizontal="center" vertical="center"/>
    </xf>
    <xf numFmtId="20" fontId="17" fillId="0" borderId="1" xfId="13" applyNumberFormat="1" applyFont="1" applyBorder="1" applyAlignment="1">
      <alignment horizontal="center" vertical="center"/>
    </xf>
    <xf numFmtId="0" fontId="17" fillId="3" borderId="60" xfId="13" applyFont="1" applyFill="1" applyBorder="1" applyAlignment="1">
      <alignment horizontal="center" vertical="center"/>
    </xf>
    <xf numFmtId="182" fontId="17" fillId="0" borderId="49" xfId="13" applyNumberFormat="1" applyFont="1" applyBorder="1" applyAlignment="1">
      <alignment horizontal="center" vertical="center"/>
    </xf>
    <xf numFmtId="0" fontId="6" fillId="0" borderId="17" xfId="13" applyFont="1" applyBorder="1" applyAlignment="1">
      <alignment horizontal="center" vertical="center" wrapText="1"/>
    </xf>
    <xf numFmtId="20" fontId="6" fillId="0" borderId="17" xfId="10" applyNumberFormat="1" applyFont="1" applyBorder="1" applyAlignment="1">
      <alignment horizontal="center" vertical="center"/>
    </xf>
    <xf numFmtId="179" fontId="17" fillId="0" borderId="17" xfId="13" applyNumberFormat="1" applyFont="1" applyBorder="1" applyAlignment="1">
      <alignment horizontal="center" vertical="center"/>
    </xf>
    <xf numFmtId="1" fontId="17" fillId="0" borderId="17" xfId="13" applyNumberFormat="1" applyFont="1" applyBorder="1" applyAlignment="1">
      <alignment horizontal="center" vertical="center"/>
    </xf>
    <xf numFmtId="0" fontId="17" fillId="3" borderId="17" xfId="13" applyFont="1" applyFill="1" applyBorder="1" applyAlignment="1">
      <alignment horizontal="center" vertical="center"/>
    </xf>
    <xf numFmtId="43" fontId="17" fillId="0" borderId="17" xfId="15" applyFont="1" applyBorder="1" applyAlignment="1">
      <alignment horizontal="center" vertical="center"/>
    </xf>
    <xf numFmtId="1" fontId="6" fillId="0" borderId="17" xfId="10" applyNumberFormat="1" applyFont="1" applyBorder="1" applyAlignment="1">
      <alignment horizontal="center" vertical="center"/>
    </xf>
    <xf numFmtId="182" fontId="17" fillId="0" borderId="103" xfId="13" applyNumberFormat="1" applyFont="1" applyBorder="1" applyAlignment="1">
      <alignment horizontal="center" vertical="center"/>
    </xf>
    <xf numFmtId="20" fontId="17" fillId="0" borderId="101" xfId="13" applyNumberFormat="1" applyFont="1" applyBorder="1" applyAlignment="1">
      <alignment horizontal="center" vertical="center"/>
    </xf>
    <xf numFmtId="20" fontId="17" fillId="0" borderId="78" xfId="13" applyNumberFormat="1" applyFont="1" applyBorder="1" applyAlignment="1">
      <alignment horizontal="center" vertical="center"/>
    </xf>
    <xf numFmtId="0" fontId="6" fillId="0" borderId="50" xfId="13" applyFont="1" applyBorder="1" applyAlignment="1">
      <alignment horizontal="center" vertical="center" wrapText="1"/>
    </xf>
    <xf numFmtId="0" fontId="17" fillId="0" borderId="78" xfId="13" applyFont="1" applyBorder="1" applyAlignment="1">
      <alignment horizontal="center" vertical="center"/>
    </xf>
    <xf numFmtId="181" fontId="17" fillId="0" borderId="78" xfId="13" applyNumberFormat="1" applyFont="1" applyBorder="1" applyAlignment="1">
      <alignment horizontal="center" vertical="center"/>
    </xf>
    <xf numFmtId="182" fontId="17" fillId="0" borderId="77" xfId="13" applyNumberFormat="1" applyFont="1" applyBorder="1" applyAlignment="1">
      <alignment horizontal="center" vertical="center"/>
    </xf>
    <xf numFmtId="179" fontId="17" fillId="11" borderId="50" xfId="13" applyNumberFormat="1" applyFont="1" applyFill="1" applyBorder="1" applyAlignment="1">
      <alignment horizontal="center" vertical="center"/>
    </xf>
    <xf numFmtId="1" fontId="17" fillId="11" borderId="50" xfId="13" applyNumberFormat="1" applyFont="1" applyFill="1" applyBorder="1" applyAlignment="1">
      <alignment horizontal="center" vertical="center"/>
    </xf>
    <xf numFmtId="0" fontId="17" fillId="11" borderId="50" xfId="13" applyFont="1" applyFill="1" applyBorder="1" applyAlignment="1">
      <alignment horizontal="center" vertical="center"/>
    </xf>
    <xf numFmtId="43" fontId="17" fillId="11" borderId="50" xfId="15" applyFont="1" applyFill="1" applyBorder="1" applyAlignment="1">
      <alignment horizontal="center" vertical="center"/>
    </xf>
    <xf numFmtId="184" fontId="17" fillId="11" borderId="50" xfId="13" applyNumberFormat="1" applyFont="1" applyFill="1" applyBorder="1" applyAlignment="1">
      <alignment horizontal="center" vertical="center"/>
    </xf>
    <xf numFmtId="0" fontId="17" fillId="11" borderId="50" xfId="13" applyFont="1" applyFill="1" applyBorder="1" applyAlignment="1">
      <alignment horizontal="center"/>
    </xf>
    <xf numFmtId="0" fontId="17" fillId="0" borderId="76" xfId="13" applyFont="1" applyBorder="1" applyAlignment="1">
      <alignment horizontal="center"/>
    </xf>
    <xf numFmtId="182" fontId="6" fillId="0" borderId="4" xfId="10" applyNumberFormat="1" applyFont="1" applyBorder="1" applyAlignment="1">
      <alignment horizontal="center" vertical="center"/>
    </xf>
    <xf numFmtId="184" fontId="6" fillId="0" borderId="1" xfId="10" applyNumberFormat="1" applyFont="1" applyBorder="1" applyAlignment="1">
      <alignment horizontal="center" vertical="center"/>
    </xf>
    <xf numFmtId="179" fontId="6" fillId="0" borderId="2" xfId="10" applyNumberFormat="1" applyFont="1" applyBorder="1" applyAlignment="1">
      <alignment horizontal="center" vertical="center"/>
    </xf>
    <xf numFmtId="20" fontId="6" fillId="0" borderId="1" xfId="5" applyNumberFormat="1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 wrapText="1"/>
    </xf>
    <xf numFmtId="181" fontId="6" fillId="0" borderId="1" xfId="10" applyNumberFormat="1" applyFont="1" applyBorder="1" applyAlignment="1">
      <alignment horizontal="center" vertical="center"/>
    </xf>
    <xf numFmtId="179" fontId="6" fillId="0" borderId="1" xfId="10" applyNumberFormat="1" applyFont="1" applyBorder="1" applyAlignment="1">
      <alignment horizontal="center" vertical="center"/>
    </xf>
    <xf numFmtId="1" fontId="6" fillId="3" borderId="1" xfId="10" applyNumberFormat="1" applyFont="1" applyFill="1" applyBorder="1" applyAlignment="1">
      <alignment horizontal="center" vertical="center"/>
    </xf>
    <xf numFmtId="43" fontId="6" fillId="0" borderId="1" xfId="15" applyFont="1" applyBorder="1" applyAlignment="1">
      <alignment horizontal="center" vertical="center"/>
    </xf>
    <xf numFmtId="0" fontId="17" fillId="0" borderId="62" xfId="13" applyFont="1" applyBorder="1" applyAlignment="1">
      <alignment horizontal="center" vertical="center"/>
    </xf>
    <xf numFmtId="181" fontId="6" fillId="0" borderId="11" xfId="10" applyNumberFormat="1" applyFont="1" applyBorder="1" applyAlignment="1">
      <alignment horizontal="center" vertical="center"/>
    </xf>
    <xf numFmtId="0" fontId="17" fillId="0" borderId="74" xfId="13" applyFont="1" applyBorder="1" applyAlignment="1">
      <alignment horizontal="center" vertical="center"/>
    </xf>
    <xf numFmtId="20" fontId="6" fillId="0" borderId="1" xfId="10" applyNumberFormat="1" applyFont="1" applyBorder="1" applyAlignment="1">
      <alignment horizontal="center" vertical="center"/>
    </xf>
    <xf numFmtId="43" fontId="17" fillId="0" borderId="1" xfId="15" applyFont="1" applyBorder="1" applyAlignment="1">
      <alignment horizontal="center" vertical="center"/>
    </xf>
    <xf numFmtId="184" fontId="6" fillId="0" borderId="1" xfId="3" applyNumberFormat="1" applyFont="1" applyBorder="1" applyAlignment="1">
      <alignment horizontal="center" vertical="center"/>
    </xf>
    <xf numFmtId="182" fontId="6" fillId="0" borderId="3" xfId="10" applyNumberFormat="1" applyFont="1" applyBorder="1" applyAlignment="1">
      <alignment horizontal="center" vertical="center"/>
    </xf>
    <xf numFmtId="179" fontId="6" fillId="0" borderId="7" xfId="10" applyNumberFormat="1" applyFont="1" applyBorder="1" applyAlignment="1">
      <alignment horizontal="center" vertical="center"/>
    </xf>
    <xf numFmtId="184" fontId="6" fillId="0" borderId="1" xfId="5" applyNumberFormat="1" applyFont="1" applyBorder="1" applyAlignment="1">
      <alignment horizontal="center" vertical="center"/>
    </xf>
    <xf numFmtId="20" fontId="6" fillId="0" borderId="2" xfId="5" applyNumberFormat="1" applyFont="1" applyBorder="1" applyAlignment="1">
      <alignment horizontal="center" vertical="center"/>
    </xf>
    <xf numFmtId="20" fontId="6" fillId="0" borderId="11" xfId="10" applyNumberFormat="1" applyFont="1" applyBorder="1" applyAlignment="1">
      <alignment horizontal="center" vertical="center"/>
    </xf>
    <xf numFmtId="0" fontId="17" fillId="0" borderId="2" xfId="13" applyFont="1" applyBorder="1" applyAlignment="1">
      <alignment horizontal="center"/>
    </xf>
    <xf numFmtId="182" fontId="6" fillId="0" borderId="102" xfId="10" applyNumberFormat="1" applyFont="1" applyBorder="1" applyAlignment="1">
      <alignment horizontal="center" vertical="center"/>
    </xf>
    <xf numFmtId="0" fontId="6" fillId="0" borderId="17" xfId="10" applyFont="1" applyBorder="1" applyAlignment="1">
      <alignment horizontal="center" vertical="center"/>
    </xf>
    <xf numFmtId="184" fontId="6" fillId="0" borderId="17" xfId="10" applyNumberFormat="1" applyFont="1" applyBorder="1" applyAlignment="1">
      <alignment horizontal="center" vertical="center"/>
    </xf>
    <xf numFmtId="179" fontId="6" fillId="0" borderId="100" xfId="10" applyNumberFormat="1" applyFont="1" applyBorder="1" applyAlignment="1">
      <alignment horizontal="center" vertical="center"/>
    </xf>
    <xf numFmtId="179" fontId="6" fillId="0" borderId="17" xfId="10" applyNumberFormat="1" applyFont="1" applyBorder="1" applyAlignment="1">
      <alignment horizontal="center" vertical="center"/>
    </xf>
    <xf numFmtId="183" fontId="17" fillId="0" borderId="17" xfId="13" applyNumberFormat="1" applyFont="1" applyBorder="1" applyAlignment="1">
      <alignment horizontal="center" vertical="center"/>
    </xf>
    <xf numFmtId="182" fontId="17" fillId="0" borderId="17" xfId="13" applyNumberFormat="1" applyFont="1" applyBorder="1" applyAlignment="1">
      <alignment horizontal="center" vertical="center"/>
    </xf>
    <xf numFmtId="0" fontId="17" fillId="3" borderId="66" xfId="13" applyFont="1" applyFill="1" applyBorder="1" applyAlignment="1">
      <alignment horizontal="center" vertical="center"/>
    </xf>
    <xf numFmtId="179" fontId="17" fillId="0" borderId="65" xfId="13" applyNumberFormat="1" applyFont="1" applyBorder="1" applyAlignment="1">
      <alignment horizontal="center" vertical="center"/>
    </xf>
    <xf numFmtId="1" fontId="17" fillId="0" borderId="54" xfId="13" applyNumberFormat="1" applyFont="1" applyBorder="1" applyAlignment="1">
      <alignment horizontal="center" vertical="center"/>
    </xf>
    <xf numFmtId="1" fontId="17" fillId="3" borderId="64" xfId="13" applyNumberFormat="1" applyFont="1" applyFill="1" applyBorder="1" applyAlignment="1">
      <alignment horizontal="center" vertical="center"/>
    </xf>
    <xf numFmtId="184" fontId="6" fillId="0" borderId="17" xfId="3" applyNumberFormat="1" applyFont="1" applyBorder="1" applyAlignment="1">
      <alignment horizontal="center" vertical="center"/>
    </xf>
    <xf numFmtId="184" fontId="17" fillId="8" borderId="50" xfId="18" applyNumberFormat="1" applyFont="1" applyFill="1" applyBorder="1" applyAlignment="1">
      <alignment horizontal="center" vertical="center"/>
    </xf>
    <xf numFmtId="20" fontId="17" fillId="0" borderId="99" xfId="13" applyNumberFormat="1" applyFont="1" applyBorder="1" applyAlignment="1">
      <alignment horizontal="center" vertical="center"/>
    </xf>
    <xf numFmtId="20" fontId="17" fillId="0" borderId="50" xfId="13" applyNumberFormat="1" applyFont="1" applyBorder="1" applyAlignment="1">
      <alignment horizontal="center" vertical="center"/>
    </xf>
    <xf numFmtId="181" fontId="17" fillId="0" borderId="50" xfId="13" applyNumberFormat="1" applyFont="1" applyBorder="1" applyAlignment="1">
      <alignment horizontal="center" vertical="center"/>
    </xf>
    <xf numFmtId="183" fontId="17" fillId="0" borderId="50" xfId="13" applyNumberFormat="1" applyFont="1" applyBorder="1" applyAlignment="1">
      <alignment horizontal="center" vertical="center"/>
    </xf>
    <xf numFmtId="182" fontId="17" fillId="0" borderId="50" xfId="13" applyNumberFormat="1" applyFont="1" applyBorder="1" applyAlignment="1">
      <alignment horizontal="center" vertical="center"/>
    </xf>
    <xf numFmtId="0" fontId="17" fillId="0" borderId="50" xfId="13" applyFont="1" applyBorder="1" applyAlignment="1">
      <alignment horizontal="center"/>
    </xf>
    <xf numFmtId="0" fontId="17" fillId="0" borderId="1" xfId="13" applyFont="1" applyBorder="1" applyAlignment="1">
      <alignment horizontal="center" vertical="center" wrapText="1"/>
    </xf>
    <xf numFmtId="181" fontId="17" fillId="0" borderId="1" xfId="13" applyNumberFormat="1" applyFont="1" applyBorder="1" applyAlignment="1">
      <alignment horizontal="center" vertical="center"/>
    </xf>
    <xf numFmtId="0" fontId="17" fillId="0" borderId="61" xfId="13" applyFont="1" applyBorder="1" applyAlignment="1">
      <alignment horizontal="center" vertical="center"/>
    </xf>
    <xf numFmtId="0" fontId="17" fillId="0" borderId="41" xfId="13" applyFont="1" applyBorder="1" applyAlignment="1">
      <alignment horizontal="center"/>
    </xf>
    <xf numFmtId="182" fontId="17" fillId="0" borderId="96" xfId="13" applyNumberFormat="1" applyFont="1" applyBorder="1" applyAlignment="1">
      <alignment horizontal="center" vertical="center"/>
    </xf>
    <xf numFmtId="0" fontId="17" fillId="0" borderId="37" xfId="13" applyFont="1" applyBorder="1" applyAlignment="1">
      <alignment horizontal="center"/>
    </xf>
    <xf numFmtId="0" fontId="17" fillId="0" borderId="67" xfId="13" applyFont="1" applyBorder="1" applyAlignment="1">
      <alignment horizontal="center" vertical="center"/>
    </xf>
    <xf numFmtId="0" fontId="17" fillId="0" borderId="17" xfId="13" applyFont="1" applyBorder="1" applyAlignment="1">
      <alignment horizontal="center" vertical="center" wrapText="1"/>
    </xf>
    <xf numFmtId="20" fontId="17" fillId="0" borderId="17" xfId="3" applyNumberFormat="1" applyFont="1" applyBorder="1" applyAlignment="1">
      <alignment horizontal="center" vertical="center"/>
    </xf>
    <xf numFmtId="179" fontId="17" fillId="0" borderId="99" xfId="13" applyNumberFormat="1" applyFont="1" applyBorder="1" applyAlignment="1">
      <alignment horizontal="center" vertical="center"/>
    </xf>
    <xf numFmtId="179" fontId="17" fillId="0" borderId="50" xfId="13" applyNumberFormat="1" applyFont="1" applyBorder="1" applyAlignment="1">
      <alignment horizontal="center" vertical="center"/>
    </xf>
    <xf numFmtId="1" fontId="17" fillId="0" borderId="50" xfId="13" applyNumberFormat="1" applyFont="1" applyBorder="1" applyAlignment="1">
      <alignment horizontal="center" vertical="center"/>
    </xf>
    <xf numFmtId="0" fontId="17" fillId="0" borderId="2" xfId="13" applyFont="1" applyBorder="1" applyAlignment="1">
      <alignment horizontal="center" vertical="center"/>
    </xf>
    <xf numFmtId="184" fontId="17" fillId="0" borderId="1" xfId="3" applyNumberFormat="1" applyFont="1" applyBorder="1" applyAlignment="1">
      <alignment horizontal="center" vertical="center"/>
    </xf>
    <xf numFmtId="20" fontId="17" fillId="0" borderId="2" xfId="13" applyNumberFormat="1" applyFont="1" applyBorder="1" applyAlignment="1">
      <alignment horizontal="center" vertical="center"/>
    </xf>
    <xf numFmtId="179" fontId="17" fillId="0" borderId="67" xfId="13" applyNumberFormat="1" applyFont="1" applyBorder="1" applyAlignment="1">
      <alignment horizontal="center" vertical="center"/>
    </xf>
    <xf numFmtId="20" fontId="17" fillId="0" borderId="17" xfId="13" applyNumberFormat="1" applyFont="1" applyBorder="1" applyAlignment="1">
      <alignment horizontal="center" vertical="center"/>
    </xf>
    <xf numFmtId="1" fontId="17" fillId="3" borderId="17" xfId="13" applyNumberFormat="1" applyFont="1" applyFill="1" applyBorder="1" applyAlignment="1">
      <alignment horizontal="center" vertical="center"/>
    </xf>
    <xf numFmtId="184" fontId="17" fillId="0" borderId="17" xfId="3" applyNumberFormat="1" applyFont="1" applyBorder="1" applyAlignment="1">
      <alignment horizontal="center" vertical="center"/>
    </xf>
    <xf numFmtId="0" fontId="17" fillId="0" borderId="43" xfId="13" applyFont="1" applyBorder="1" applyAlignment="1">
      <alignment horizontal="center" vertical="center" wrapText="1"/>
    </xf>
    <xf numFmtId="0" fontId="17" fillId="11" borderId="44" xfId="13" applyFont="1" applyFill="1" applyBorder="1" applyAlignment="1">
      <alignment horizontal="center" vertical="center"/>
    </xf>
    <xf numFmtId="0" fontId="17" fillId="0" borderId="43" xfId="13" applyFont="1" applyBorder="1" applyAlignment="1">
      <alignment horizontal="center"/>
    </xf>
    <xf numFmtId="20" fontId="17" fillId="0" borderId="41" xfId="13" applyNumberFormat="1" applyFont="1" applyBorder="1" applyAlignment="1">
      <alignment horizontal="center" vertical="center"/>
    </xf>
    <xf numFmtId="20" fontId="17" fillId="0" borderId="14" xfId="13" applyNumberFormat="1" applyFont="1" applyBorder="1" applyAlignment="1">
      <alignment horizontal="center" vertical="center"/>
    </xf>
    <xf numFmtId="0" fontId="17" fillId="0" borderId="30" xfId="13" applyFont="1" applyBorder="1" applyAlignment="1">
      <alignment horizontal="center" vertical="center" wrapText="1"/>
    </xf>
    <xf numFmtId="1" fontId="17" fillId="0" borderId="30" xfId="13" applyNumberFormat="1" applyFont="1" applyBorder="1" applyAlignment="1">
      <alignment horizontal="center" vertical="center"/>
    </xf>
    <xf numFmtId="181" fontId="6" fillId="6" borderId="1" xfId="10" applyNumberFormat="1" applyFont="1" applyFill="1" applyBorder="1" applyAlignment="1">
      <alignment horizontal="center" vertical="center"/>
    </xf>
    <xf numFmtId="20" fontId="17" fillId="0" borderId="1" xfId="3" applyNumberFormat="1" applyFont="1" applyBorder="1" applyAlignment="1">
      <alignment horizontal="center" vertical="center"/>
    </xf>
    <xf numFmtId="1" fontId="17" fillId="0" borderId="31" xfId="13" applyNumberFormat="1" applyFont="1" applyBorder="1" applyAlignment="1">
      <alignment horizontal="center" vertical="center"/>
    </xf>
    <xf numFmtId="20" fontId="17" fillId="0" borderId="11" xfId="3" applyNumberFormat="1" applyFont="1" applyBorder="1" applyAlignment="1">
      <alignment horizontal="center" vertical="center"/>
    </xf>
    <xf numFmtId="183" fontId="17" fillId="0" borderId="31" xfId="13" applyNumberFormat="1" applyFont="1" applyBorder="1" applyAlignment="1">
      <alignment horizontal="center" vertical="center"/>
    </xf>
    <xf numFmtId="182" fontId="17" fillId="0" borderId="31" xfId="13" applyNumberFormat="1" applyFont="1" applyBorder="1" applyAlignment="1">
      <alignment horizontal="center" vertical="center"/>
    </xf>
    <xf numFmtId="179" fontId="17" fillId="0" borderId="31" xfId="13" applyNumberFormat="1" applyFont="1" applyBorder="1" applyAlignment="1">
      <alignment horizontal="center" vertical="center"/>
    </xf>
    <xf numFmtId="1" fontId="17" fillId="3" borderId="31" xfId="13" applyNumberFormat="1" applyFont="1" applyFill="1" applyBorder="1" applyAlignment="1">
      <alignment horizontal="center" vertical="center"/>
    </xf>
    <xf numFmtId="0" fontId="17" fillId="0" borderId="31" xfId="13" applyFont="1" applyBorder="1" applyAlignment="1">
      <alignment horizontal="center" vertical="center" wrapText="1"/>
    </xf>
    <xf numFmtId="43" fontId="17" fillId="0" borderId="31" xfId="15" applyFont="1" applyBorder="1" applyAlignment="1">
      <alignment horizontal="center" vertical="center"/>
    </xf>
    <xf numFmtId="0" fontId="17" fillId="0" borderId="22" xfId="13" applyFont="1" applyBorder="1">
      <alignment vertical="center"/>
    </xf>
    <xf numFmtId="20" fontId="6" fillId="6" borderId="98" xfId="10" applyNumberFormat="1" applyFont="1" applyFill="1" applyBorder="1" applyAlignment="1">
      <alignment horizontal="center" vertical="center"/>
    </xf>
    <xf numFmtId="20" fontId="6" fillId="6" borderId="105" xfId="10" applyNumberFormat="1" applyFont="1" applyFill="1" applyBorder="1" applyAlignment="1">
      <alignment horizontal="center" vertical="center"/>
    </xf>
    <xf numFmtId="183" fontId="17" fillId="0" borderId="20" xfId="13" applyNumberFormat="1" applyFont="1" applyBorder="1" applyAlignment="1">
      <alignment horizontal="center" vertical="center"/>
    </xf>
    <xf numFmtId="182" fontId="17" fillId="0" borderId="20" xfId="13" applyNumberFormat="1" applyFont="1" applyBorder="1" applyAlignment="1">
      <alignment horizontal="center" vertical="center"/>
    </xf>
    <xf numFmtId="179" fontId="17" fillId="0" borderId="20" xfId="13" applyNumberFormat="1" applyFont="1" applyBorder="1" applyAlignment="1">
      <alignment horizontal="center" vertical="center"/>
    </xf>
    <xf numFmtId="1" fontId="17" fillId="0" borderId="20" xfId="13" applyNumberFormat="1" applyFont="1" applyBorder="1" applyAlignment="1">
      <alignment horizontal="center" vertical="center"/>
    </xf>
    <xf numFmtId="0" fontId="17" fillId="3" borderId="20" xfId="13" applyFont="1" applyFill="1" applyBorder="1" applyAlignment="1">
      <alignment horizontal="center" vertical="center"/>
    </xf>
    <xf numFmtId="1" fontId="17" fillId="3" borderId="20" xfId="13" applyNumberFormat="1" applyFont="1" applyFill="1" applyBorder="1" applyAlignment="1">
      <alignment horizontal="center" vertical="center"/>
    </xf>
    <xf numFmtId="0" fontId="17" fillId="0" borderId="20" xfId="13" applyFont="1" applyBorder="1" applyAlignment="1">
      <alignment horizontal="center" vertical="center" wrapText="1"/>
    </xf>
    <xf numFmtId="43" fontId="17" fillId="0" borderId="20" xfId="15" applyFont="1" applyBorder="1" applyAlignment="1">
      <alignment horizontal="center" vertical="center"/>
    </xf>
    <xf numFmtId="1" fontId="17" fillId="0" borderId="19" xfId="13" applyNumberFormat="1" applyFont="1" applyBorder="1" applyAlignment="1">
      <alignment horizontal="center" vertical="center"/>
    </xf>
    <xf numFmtId="0" fontId="17" fillId="0" borderId="18" xfId="13" applyFont="1" applyBorder="1" applyAlignment="1">
      <alignment horizontal="center"/>
    </xf>
    <xf numFmtId="0" fontId="28" fillId="8" borderId="9" xfId="7" applyFont="1" applyFill="1" applyBorder="1" applyAlignment="1">
      <alignment horizontal="center" vertical="center"/>
    </xf>
    <xf numFmtId="0" fontId="6" fillId="0" borderId="41" xfId="13" applyFont="1" applyBorder="1" applyAlignment="1">
      <alignment horizontal="center" vertical="center"/>
    </xf>
    <xf numFmtId="0" fontId="6" fillId="0" borderId="14" xfId="13" applyFont="1" applyBorder="1" applyAlignment="1">
      <alignment horizontal="center" vertical="center"/>
    </xf>
    <xf numFmtId="0" fontId="6" fillId="8" borderId="14" xfId="13" applyFont="1" applyFill="1" applyBorder="1" applyAlignment="1">
      <alignment horizontal="center" vertical="center"/>
    </xf>
    <xf numFmtId="0" fontId="19" fillId="0" borderId="13" xfId="13" applyFont="1" applyBorder="1" applyAlignment="1">
      <alignment horizontal="center" vertical="center"/>
    </xf>
    <xf numFmtId="182" fontId="21" fillId="0" borderId="14" xfId="13" applyNumberFormat="1" applyFont="1" applyBorder="1" applyAlignment="1">
      <alignment horizontal="center" vertical="center"/>
    </xf>
    <xf numFmtId="184" fontId="21" fillId="0" borderId="14" xfId="13" applyNumberFormat="1" applyFont="1" applyBorder="1" applyAlignment="1">
      <alignment horizontal="center" vertical="center"/>
    </xf>
    <xf numFmtId="2" fontId="19" fillId="0" borderId="13" xfId="13" applyNumberFormat="1" applyFont="1" applyBorder="1" applyAlignment="1">
      <alignment horizontal="center" vertical="center"/>
    </xf>
    <xf numFmtId="179" fontId="22" fillId="0" borderId="13" xfId="13" applyNumberFormat="1" applyFont="1" applyBorder="1" applyAlignment="1">
      <alignment horizontal="center" vertical="center" wrapText="1"/>
    </xf>
    <xf numFmtId="179" fontId="19" fillId="0" borderId="13" xfId="13" applyNumberFormat="1" applyFont="1" applyBorder="1" applyAlignment="1">
      <alignment horizontal="center" vertical="center"/>
    </xf>
    <xf numFmtId="0" fontId="19" fillId="0" borderId="13" xfId="13" applyFont="1" applyBorder="1" applyAlignment="1">
      <alignment horizontal="left" vertical="center"/>
    </xf>
    <xf numFmtId="0" fontId="17" fillId="0" borderId="14" xfId="13" applyFont="1" applyBorder="1" applyAlignment="1">
      <alignment horizontal="center" vertical="center" wrapText="1"/>
    </xf>
    <xf numFmtId="1" fontId="19" fillId="0" borderId="13" xfId="13" applyNumberFormat="1" applyFont="1" applyBorder="1" applyAlignment="1">
      <alignment horizontal="center" vertical="center"/>
    </xf>
    <xf numFmtId="43" fontId="19" fillId="0" borderId="13" xfId="15" applyFont="1" applyBorder="1" applyAlignment="1">
      <alignment horizontal="center" vertical="center"/>
    </xf>
    <xf numFmtId="178" fontId="20" fillId="7" borderId="13" xfId="15" applyNumberFormat="1" applyFont="1" applyFill="1" applyBorder="1" applyAlignment="1">
      <alignment horizontal="center" vertical="center"/>
    </xf>
    <xf numFmtId="0" fontId="19" fillId="0" borderId="13" xfId="13" applyFont="1" applyBorder="1">
      <alignment vertical="center"/>
    </xf>
    <xf numFmtId="0" fontId="17" fillId="0" borderId="109" xfId="11" applyFont="1" applyBorder="1" applyAlignment="1"/>
    <xf numFmtId="43" fontId="17" fillId="0" borderId="61" xfId="14" applyFont="1" applyBorder="1" applyAlignment="1">
      <alignment horizontal="center" vertical="center"/>
    </xf>
    <xf numFmtId="184" fontId="17" fillId="0" borderId="3" xfId="12" applyNumberFormat="1" applyFont="1" applyBorder="1" applyAlignment="1">
      <alignment horizontal="center" vertical="center"/>
    </xf>
    <xf numFmtId="184" fontId="17" fillId="0" borderId="3" xfId="11" applyNumberFormat="1" applyFont="1" applyBorder="1" applyAlignment="1">
      <alignment horizontal="center" vertical="center"/>
    </xf>
    <xf numFmtId="0" fontId="17" fillId="0" borderId="96" xfId="12" applyFont="1" applyBorder="1" applyAlignment="1">
      <alignment horizontal="center"/>
    </xf>
    <xf numFmtId="184" fontId="17" fillId="0" borderId="11" xfId="2" applyNumberFormat="1" applyFont="1" applyBorder="1" applyAlignment="1">
      <alignment horizontal="center" vertical="center"/>
    </xf>
    <xf numFmtId="43" fontId="17" fillId="0" borderId="11" xfId="14" applyFont="1" applyBorder="1" applyAlignment="1">
      <alignment horizontal="center" vertical="center"/>
    </xf>
    <xf numFmtId="0" fontId="17" fillId="0" borderId="11" xfId="12" applyFont="1" applyBorder="1" applyAlignment="1">
      <alignment horizontal="center" vertical="center"/>
    </xf>
    <xf numFmtId="1" fontId="17" fillId="3" borderId="34" xfId="12" applyNumberFormat="1" applyFont="1" applyFill="1" applyBorder="1" applyAlignment="1">
      <alignment horizontal="center" vertical="center"/>
    </xf>
    <xf numFmtId="1" fontId="17" fillId="3" borderId="11" xfId="12" applyNumberFormat="1" applyFont="1" applyFill="1" applyBorder="1" applyAlignment="1">
      <alignment horizontal="center" vertical="center"/>
    </xf>
    <xf numFmtId="1" fontId="17" fillId="0" borderId="11" xfId="12" applyNumberFormat="1" applyFont="1" applyBorder="1" applyAlignment="1">
      <alignment horizontal="center" vertical="center"/>
    </xf>
    <xf numFmtId="179" fontId="17" fillId="0" borderId="11" xfId="12" applyNumberFormat="1" applyFont="1" applyBorder="1" applyAlignment="1">
      <alignment horizontal="center" vertical="center"/>
    </xf>
    <xf numFmtId="182" fontId="17" fillId="0" borderId="11" xfId="12" applyNumberFormat="1" applyFont="1" applyBorder="1" applyAlignment="1">
      <alignment horizontal="center" vertical="center"/>
    </xf>
    <xf numFmtId="183" fontId="17" fillId="0" borderId="11" xfId="12" applyNumberFormat="1" applyFont="1" applyBorder="1" applyAlignment="1">
      <alignment horizontal="center" vertical="center"/>
    </xf>
    <xf numFmtId="180" fontId="17" fillId="0" borderId="11" xfId="20" applyNumberFormat="1" applyFont="1" applyBorder="1" applyAlignment="1">
      <alignment horizontal="center" vertical="center"/>
    </xf>
    <xf numFmtId="0" fontId="17" fillId="0" borderId="110" xfId="12" applyFont="1" applyBorder="1" applyAlignment="1">
      <alignment horizontal="center"/>
    </xf>
    <xf numFmtId="0" fontId="17" fillId="0" borderId="110" xfId="11" applyFont="1" applyBorder="1" applyAlignment="1"/>
    <xf numFmtId="43" fontId="17" fillId="0" borderId="87" xfId="14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/>
    </xf>
    <xf numFmtId="1" fontId="17" fillId="3" borderId="87" xfId="12" applyNumberFormat="1" applyFont="1" applyFill="1" applyBorder="1" applyAlignment="1">
      <alignment horizontal="center" vertical="center"/>
    </xf>
    <xf numFmtId="1" fontId="17" fillId="0" borderId="87" xfId="12" applyNumberFormat="1" applyFont="1" applyBorder="1" applyAlignment="1">
      <alignment horizontal="center" vertical="center"/>
    </xf>
    <xf numFmtId="179" fontId="17" fillId="0" borderId="87" xfId="12" applyNumberFormat="1" applyFont="1" applyBorder="1" applyAlignment="1">
      <alignment horizontal="center" vertical="center"/>
    </xf>
    <xf numFmtId="0" fontId="17" fillId="0" borderId="5" xfId="11" applyFont="1" applyBorder="1" applyAlignment="1"/>
    <xf numFmtId="184" fontId="17" fillId="0" borderId="33" xfId="11" applyNumberFormat="1" applyFont="1" applyBorder="1" applyAlignment="1"/>
    <xf numFmtId="0" fontId="17" fillId="0" borderId="96" xfId="11" applyFont="1" applyBorder="1" applyAlignment="1"/>
    <xf numFmtId="0" fontId="17" fillId="0" borderId="58" xfId="12" applyFont="1" applyBorder="1" applyAlignment="1">
      <alignment horizontal="center" vertical="center" wrapText="1"/>
    </xf>
    <xf numFmtId="0" fontId="17" fillId="0" borderId="54" xfId="12" applyFont="1" applyBorder="1" applyAlignment="1">
      <alignment horizontal="center" vertical="center"/>
    </xf>
    <xf numFmtId="0" fontId="17" fillId="0" borderId="55" xfId="1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6" fillId="8" borderId="13" xfId="12" applyFont="1" applyFill="1" applyBorder="1" applyAlignment="1">
      <alignment horizontal="center" vertical="center" wrapText="1"/>
    </xf>
    <xf numFmtId="0" fontId="6" fillId="8" borderId="14" xfId="12" applyFont="1" applyFill="1" applyBorder="1" applyAlignment="1">
      <alignment horizontal="center" vertical="center"/>
    </xf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8" borderId="13" xfId="12" applyFont="1" applyFill="1" applyBorder="1" applyAlignment="1">
      <alignment horizontal="center" vertical="center"/>
    </xf>
    <xf numFmtId="0" fontId="6" fillId="8" borderId="27" xfId="12" applyFont="1" applyFill="1" applyBorder="1" applyAlignment="1">
      <alignment horizontal="center" vertical="center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17" fillId="11" borderId="44" xfId="12" applyFont="1" applyFill="1" applyBorder="1" applyAlignment="1"/>
    <xf numFmtId="0" fontId="17" fillId="0" borderId="50" xfId="12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39" xfId="20" applyNumberFormat="1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0" fontId="31" fillId="0" borderId="1" xfId="12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14" fontId="19" fillId="0" borderId="13" xfId="13" applyNumberFormat="1" applyFont="1" applyBorder="1" applyAlignment="1">
      <alignment horizontal="left" vertical="center"/>
    </xf>
    <xf numFmtId="0" fontId="17" fillId="0" borderId="13" xfId="13" applyFont="1" applyBorder="1" applyAlignment="1">
      <alignment horizontal="center" vertical="center"/>
    </xf>
    <xf numFmtId="0" fontId="17" fillId="0" borderId="14" xfId="13" applyFont="1" applyBorder="1" applyAlignment="1">
      <alignment horizontal="center" vertical="center"/>
    </xf>
    <xf numFmtId="0" fontId="6" fillId="0" borderId="14" xfId="13" applyFont="1" applyBorder="1" applyAlignment="1">
      <alignment horizontal="center" vertical="center"/>
    </xf>
    <xf numFmtId="0" fontId="6" fillId="0" borderId="15" xfId="13" applyFont="1" applyBorder="1" applyAlignment="1">
      <alignment horizontal="center" vertical="center"/>
    </xf>
    <xf numFmtId="0" fontId="6" fillId="8" borderId="13" xfId="13" applyFont="1" applyFill="1" applyBorder="1" applyAlignment="1">
      <alignment horizontal="center" vertical="center"/>
    </xf>
    <xf numFmtId="0" fontId="6" fillId="8" borderId="14" xfId="13" applyFont="1" applyFill="1" applyBorder="1" applyAlignment="1">
      <alignment horizontal="center" vertical="center"/>
    </xf>
    <xf numFmtId="0" fontId="6" fillId="9" borderId="13" xfId="13" applyFont="1" applyFill="1" applyBorder="1" applyAlignment="1">
      <alignment horizontal="center" vertical="center"/>
    </xf>
    <xf numFmtId="0" fontId="6" fillId="9" borderId="14" xfId="13" applyFont="1" applyFill="1" applyBorder="1" applyAlignment="1">
      <alignment horizontal="center" vertical="center"/>
    </xf>
    <xf numFmtId="0" fontId="6" fillId="4" borderId="13" xfId="13" applyFont="1" applyFill="1" applyBorder="1" applyAlignment="1">
      <alignment horizontal="center" vertical="center"/>
    </xf>
    <xf numFmtId="0" fontId="6" fillId="4" borderId="14" xfId="13" applyFont="1" applyFill="1" applyBorder="1" applyAlignment="1">
      <alignment horizontal="center" vertical="center"/>
    </xf>
    <xf numFmtId="0" fontId="6" fillId="0" borderId="13" xfId="13" applyFont="1" applyBorder="1" applyAlignment="1">
      <alignment horizontal="center" vertical="center" wrapText="1"/>
    </xf>
    <xf numFmtId="0" fontId="6" fillId="0" borderId="14" xfId="13" applyFont="1" applyBorder="1" applyAlignment="1">
      <alignment horizontal="center" vertical="center" wrapText="1"/>
    </xf>
    <xf numFmtId="0" fontId="6" fillId="3" borderId="13" xfId="13" applyFont="1" applyFill="1" applyBorder="1" applyAlignment="1">
      <alignment horizontal="center" vertical="center"/>
    </xf>
    <xf numFmtId="0" fontId="6" fillId="3" borderId="14" xfId="13" applyFont="1" applyFill="1" applyBorder="1" applyAlignment="1">
      <alignment horizontal="center" vertical="center"/>
    </xf>
    <xf numFmtId="0" fontId="21" fillId="0" borderId="13" xfId="13" applyFont="1" applyBorder="1" applyAlignment="1">
      <alignment horizontal="center" vertical="center"/>
    </xf>
    <xf numFmtId="0" fontId="17" fillId="11" borderId="44" xfId="13" applyFont="1" applyFill="1" applyBorder="1" applyAlignment="1"/>
    <xf numFmtId="0" fontId="17" fillId="0" borderId="50" xfId="13" applyFont="1" applyBorder="1" applyAlignment="1">
      <alignment horizontal="center" vertical="center"/>
    </xf>
    <xf numFmtId="0" fontId="17" fillId="10" borderId="13" xfId="13" applyFont="1" applyFill="1" applyBorder="1" applyAlignment="1">
      <alignment horizontal="center" vertical="center" wrapText="1"/>
    </xf>
    <xf numFmtId="0" fontId="17" fillId="10" borderId="14" xfId="13" applyFont="1" applyFill="1" applyBorder="1" applyAlignment="1">
      <alignment horizontal="center" vertical="center" wrapText="1"/>
    </xf>
    <xf numFmtId="0" fontId="6" fillId="5" borderId="13" xfId="13" applyFont="1" applyFill="1" applyBorder="1" applyAlignment="1">
      <alignment horizontal="center" vertical="center"/>
    </xf>
    <xf numFmtId="0" fontId="6" fillId="5" borderId="14" xfId="13" applyFont="1" applyFill="1" applyBorder="1" applyAlignment="1">
      <alignment horizontal="center" vertical="center"/>
    </xf>
    <xf numFmtId="0" fontId="6" fillId="10" borderId="13" xfId="13" applyFont="1" applyFill="1" applyBorder="1" applyAlignment="1">
      <alignment horizontal="center" vertical="center" wrapText="1"/>
    </xf>
    <xf numFmtId="0" fontId="6" fillId="10" borderId="14" xfId="13" applyFont="1" applyFill="1" applyBorder="1" applyAlignment="1">
      <alignment horizontal="center" vertical="center" wrapText="1"/>
    </xf>
    <xf numFmtId="0" fontId="6" fillId="8" borderId="13" xfId="13" applyFont="1" applyFill="1" applyBorder="1" applyAlignment="1">
      <alignment horizontal="center" vertical="center" wrapText="1"/>
    </xf>
    <xf numFmtId="0" fontId="6" fillId="8" borderId="27" xfId="13" applyFont="1" applyFill="1" applyBorder="1" applyAlignment="1">
      <alignment horizontal="center" vertical="center"/>
    </xf>
    <xf numFmtId="0" fontId="21" fillId="0" borderId="14" xfId="13" applyFont="1" applyBorder="1" applyAlignment="1">
      <alignment horizontal="center" vertical="center"/>
    </xf>
    <xf numFmtId="0" fontId="17" fillId="9" borderId="30" xfId="13" applyFont="1" applyFill="1" applyBorder="1" applyAlignment="1">
      <alignment horizontal="center" vertical="center"/>
    </xf>
    <xf numFmtId="0" fontId="17" fillId="9" borderId="39" xfId="13" applyFont="1" applyFill="1" applyBorder="1" applyAlignment="1">
      <alignment horizontal="center" vertical="center"/>
    </xf>
    <xf numFmtId="0" fontId="17" fillId="5" borderId="13" xfId="13" applyFont="1" applyFill="1" applyBorder="1" applyAlignment="1">
      <alignment horizontal="center" vertical="center"/>
    </xf>
    <xf numFmtId="0" fontId="17" fillId="5" borderId="14" xfId="13" applyFont="1" applyFill="1" applyBorder="1" applyAlignment="1">
      <alignment horizontal="center" vertical="center"/>
    </xf>
    <xf numFmtId="0" fontId="28" fillId="8" borderId="1" xfId="7" applyFont="1" applyFill="1" applyBorder="1" applyAlignment="1">
      <alignment horizontal="center" vertical="center" wrapText="1"/>
    </xf>
    <xf numFmtId="0" fontId="23" fillId="8" borderId="1" xfId="7" applyFont="1" applyFill="1" applyBorder="1" applyAlignment="1">
      <alignment horizontal="center" vertical="center"/>
    </xf>
    <xf numFmtId="0" fontId="20" fillId="0" borderId="1" xfId="13" applyFont="1" applyBorder="1" applyAlignment="1">
      <alignment horizontal="center" vertical="center" wrapText="1"/>
    </xf>
    <xf numFmtId="0" fontId="20" fillId="0" borderId="1" xfId="13" applyFont="1" applyBorder="1" applyAlignment="1">
      <alignment horizontal="center" vertical="center"/>
    </xf>
    <xf numFmtId="0" fontId="20" fillId="0" borderId="9" xfId="13" applyFont="1" applyBorder="1" applyAlignment="1">
      <alignment horizontal="center" vertical="center"/>
    </xf>
    <xf numFmtId="0" fontId="19" fillId="0" borderId="13" xfId="13" applyFont="1" applyBorder="1" applyAlignment="1">
      <alignment horizontal="center" vertical="center"/>
    </xf>
    <xf numFmtId="0" fontId="17" fillId="3" borderId="16" xfId="13" applyFont="1" applyFill="1" applyBorder="1" applyAlignment="1">
      <alignment horizontal="center" vertical="center" wrapText="1"/>
    </xf>
    <xf numFmtId="0" fontId="17" fillId="3" borderId="24" xfId="13" applyFont="1" applyFill="1" applyBorder="1" applyAlignment="1">
      <alignment horizontal="center" vertical="center"/>
    </xf>
    <xf numFmtId="0" fontId="17" fillId="3" borderId="35" xfId="13" applyFont="1" applyFill="1" applyBorder="1" applyAlignment="1">
      <alignment horizontal="center" vertical="center"/>
    </xf>
    <xf numFmtId="0" fontId="17" fillId="3" borderId="42" xfId="13" applyFont="1" applyFill="1" applyBorder="1" applyAlignment="1">
      <alignment horizontal="center" vertical="center"/>
    </xf>
    <xf numFmtId="0" fontId="17" fillId="0" borderId="17" xfId="13" applyFont="1" applyBorder="1" applyAlignment="1">
      <alignment horizontal="center" vertical="center"/>
    </xf>
    <xf numFmtId="0" fontId="17" fillId="0" borderId="1" xfId="13" applyFont="1" applyBorder="1" applyAlignment="1">
      <alignment horizontal="center" vertical="center" wrapText="1"/>
    </xf>
    <xf numFmtId="0" fontId="17" fillId="0" borderId="1" xfId="13" applyFont="1" applyBorder="1" applyAlignment="1">
      <alignment horizontal="center" vertical="center"/>
    </xf>
    <xf numFmtId="0" fontId="17" fillId="10" borderId="16" xfId="13" applyFont="1" applyFill="1" applyBorder="1" applyAlignment="1">
      <alignment horizontal="center" vertical="center" wrapText="1"/>
    </xf>
    <xf numFmtId="0" fontId="17" fillId="10" borderId="24" xfId="13" applyFont="1" applyFill="1" applyBorder="1" applyAlignment="1">
      <alignment horizontal="center" vertical="center"/>
    </xf>
    <xf numFmtId="0" fontId="17" fillId="10" borderId="35" xfId="13" applyFont="1" applyFill="1" applyBorder="1" applyAlignment="1">
      <alignment horizontal="center" vertical="center"/>
    </xf>
    <xf numFmtId="0" fontId="17" fillId="10" borderId="42" xfId="13" applyFont="1" applyFill="1" applyBorder="1" applyAlignment="1">
      <alignment horizontal="center" vertical="center"/>
    </xf>
    <xf numFmtId="0" fontId="17" fillId="4" borderId="51" xfId="13" applyFont="1" applyFill="1" applyBorder="1" applyAlignment="1">
      <alignment horizontal="center" vertical="center" wrapText="1"/>
    </xf>
    <xf numFmtId="0" fontId="17" fillId="4" borderId="56" xfId="13" applyFont="1" applyFill="1" applyBorder="1" applyAlignment="1">
      <alignment horizontal="center" vertical="center"/>
    </xf>
    <xf numFmtId="0" fontId="17" fillId="4" borderId="106" xfId="13" applyFont="1" applyFill="1" applyBorder="1" applyAlignment="1">
      <alignment horizontal="center" vertical="center"/>
    </xf>
    <xf numFmtId="0" fontId="17" fillId="11" borderId="107" xfId="13" applyFont="1" applyFill="1" applyBorder="1" applyAlignment="1"/>
    <xf numFmtId="0" fontId="17" fillId="11" borderId="108" xfId="13" applyFont="1" applyFill="1" applyBorder="1" applyAlignment="1"/>
    <xf numFmtId="9" fontId="17" fillId="0" borderId="50" xfId="18" applyFont="1" applyBorder="1" applyAlignment="1">
      <alignment horizontal="center" vertical="center"/>
    </xf>
    <xf numFmtId="0" fontId="31" fillId="0" borderId="1" xfId="13" applyFont="1" applyBorder="1" applyAlignment="1">
      <alignment horizontal="center" vertical="center"/>
    </xf>
    <xf numFmtId="0" fontId="25" fillId="12" borderId="63" xfId="10" applyFont="1" applyFill="1" applyBorder="1" applyAlignment="1">
      <alignment horizontal="center" vertical="center" wrapText="1"/>
    </xf>
    <xf numFmtId="0" fontId="25" fillId="12" borderId="69" xfId="10" applyFont="1" applyFill="1" applyBorder="1" applyAlignment="1">
      <alignment horizontal="center" vertical="center" wrapText="1"/>
    </xf>
    <xf numFmtId="0" fontId="25" fillId="12" borderId="75" xfId="10" applyFont="1" applyFill="1" applyBorder="1" applyAlignment="1">
      <alignment horizontal="center" vertical="center" wrapText="1"/>
    </xf>
    <xf numFmtId="0" fontId="6" fillId="0" borderId="17" xfId="10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/>
    </xf>
    <xf numFmtId="0" fontId="17" fillId="13" borderId="92" xfId="13" applyFont="1" applyFill="1" applyBorder="1" applyAlignment="1">
      <alignment horizontal="center" vertical="center" wrapText="1"/>
    </xf>
    <xf numFmtId="0" fontId="17" fillId="13" borderId="93" xfId="13" applyFont="1" applyFill="1" applyBorder="1" applyAlignment="1">
      <alignment horizontal="center" vertical="center" wrapText="1"/>
    </xf>
    <xf numFmtId="0" fontId="17" fillId="13" borderId="95" xfId="13" applyFont="1" applyFill="1" applyBorder="1" applyAlignment="1">
      <alignment horizontal="center" vertical="center" wrapText="1"/>
    </xf>
    <xf numFmtId="0" fontId="17" fillId="10" borderId="80" xfId="13" applyFont="1" applyFill="1" applyBorder="1" applyAlignment="1">
      <alignment horizontal="center" vertical="center" wrapText="1"/>
    </xf>
    <xf numFmtId="0" fontId="17" fillId="10" borderId="84" xfId="13" applyFont="1" applyFill="1" applyBorder="1" applyAlignment="1">
      <alignment horizontal="center" vertical="center" wrapText="1"/>
    </xf>
    <xf numFmtId="0" fontId="17" fillId="10" borderId="81" xfId="13" applyFont="1" applyFill="1" applyBorder="1" applyAlignment="1">
      <alignment horizontal="center" vertical="center" wrapText="1"/>
    </xf>
    <xf numFmtId="0" fontId="17" fillId="10" borderId="82" xfId="13" applyFont="1" applyFill="1" applyBorder="1" applyAlignment="1">
      <alignment horizontal="center" vertical="center"/>
    </xf>
    <xf numFmtId="0" fontId="17" fillId="4" borderId="80" xfId="13" applyFont="1" applyFill="1" applyBorder="1" applyAlignment="1">
      <alignment horizontal="center" vertical="center" wrapText="1"/>
    </xf>
    <xf numFmtId="0" fontId="17" fillId="4" borderId="81" xfId="13" applyFont="1" applyFill="1" applyBorder="1" applyAlignment="1">
      <alignment horizontal="center" vertical="center"/>
    </xf>
    <xf numFmtId="0" fontId="17" fillId="4" borderId="82" xfId="13" applyFont="1" applyFill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4" fontId="17" fillId="0" borderId="13" xfId="12" applyNumberFormat="1" applyFont="1" applyBorder="1" applyAlignment="1">
      <alignment horizontal="center" vertical="center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72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3" totalsRowShown="0">
  <autoFilter ref="A1:E53" xr:uid="{A3D7F599-2E13-43BF-8E2B-E361608A8619}"/>
  <tableColumns count="5">
    <tableColumn id="1" xr3:uid="{26251F6B-0C35-451C-8612-21B2F3237164}" name="check" dataDxfId="371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dimension ref="A1:G53"/>
  <sheetViews>
    <sheetView workbookViewId="0">
      <selection activeCell="E23" sqref="E23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31" width="10.28515625" style="347" customWidth="1"/>
    <col min="32" max="16384" width="10.28515625" style="347"/>
  </cols>
  <sheetData>
    <row r="1" spans="1:7">
      <c r="A1" s="351" t="s">
        <v>218</v>
      </c>
      <c r="B1" s="352" t="s">
        <v>89</v>
      </c>
      <c r="C1" s="352" t="s">
        <v>19</v>
      </c>
      <c r="D1" s="352" t="s">
        <v>219</v>
      </c>
      <c r="E1" s="352" t="s">
        <v>20</v>
      </c>
    </row>
    <row r="2" spans="1:7">
      <c r="A2" s="353"/>
      <c r="B2" s="354" t="s">
        <v>220</v>
      </c>
      <c r="C2" s="75" t="s">
        <v>121</v>
      </c>
      <c r="D2" s="354" t="s">
        <v>81</v>
      </c>
      <c r="E2" s="75">
        <v>57.21</v>
      </c>
    </row>
    <row r="3" spans="1:7">
      <c r="A3" s="353"/>
      <c r="B3" s="354" t="s">
        <v>220</v>
      </c>
      <c r="C3" s="75" t="s">
        <v>221</v>
      </c>
      <c r="D3" s="354" t="s">
        <v>81</v>
      </c>
      <c r="E3" s="75">
        <v>56.43</v>
      </c>
    </row>
    <row r="4" spans="1:7">
      <c r="A4" s="353"/>
      <c r="B4" s="354" t="s">
        <v>220</v>
      </c>
      <c r="C4" s="75" t="s">
        <v>124</v>
      </c>
      <c r="D4" s="354" t="s">
        <v>81</v>
      </c>
      <c r="E4" s="75">
        <v>50.39</v>
      </c>
    </row>
    <row r="5" spans="1:7">
      <c r="A5" s="353"/>
      <c r="B5" s="354" t="s">
        <v>220</v>
      </c>
      <c r="C5" s="75" t="s">
        <v>134</v>
      </c>
      <c r="D5" s="354" t="s">
        <v>81</v>
      </c>
      <c r="E5" s="75">
        <v>49.97</v>
      </c>
    </row>
    <row r="6" spans="1:7">
      <c r="A6" s="353"/>
      <c r="B6" s="354" t="s">
        <v>220</v>
      </c>
      <c r="C6" s="75" t="s">
        <v>115</v>
      </c>
      <c r="D6" s="354" t="s">
        <v>81</v>
      </c>
      <c r="E6" s="75">
        <v>49.14</v>
      </c>
    </row>
    <row r="7" spans="1:7">
      <c r="A7" s="353"/>
      <c r="B7" s="354" t="s">
        <v>220</v>
      </c>
      <c r="C7" s="355" t="s">
        <v>114</v>
      </c>
      <c r="D7" s="354" t="s">
        <v>81</v>
      </c>
      <c r="E7" s="75">
        <v>57.21</v>
      </c>
    </row>
    <row r="8" spans="1:7">
      <c r="A8" s="353"/>
      <c r="B8" s="354" t="s">
        <v>220</v>
      </c>
      <c r="C8" s="355" t="s">
        <v>125</v>
      </c>
      <c r="D8" s="354" t="s">
        <v>81</v>
      </c>
      <c r="E8" s="75">
        <v>57.3</v>
      </c>
    </row>
    <row r="9" spans="1:7">
      <c r="A9" s="353"/>
      <c r="B9" s="354" t="s">
        <v>220</v>
      </c>
      <c r="C9" s="350" t="s">
        <v>139</v>
      </c>
      <c r="D9" s="354" t="s">
        <v>81</v>
      </c>
      <c r="E9" s="75">
        <v>50.67</v>
      </c>
    </row>
    <row r="10" spans="1:7">
      <c r="A10" s="353"/>
      <c r="B10" s="354" t="s">
        <v>220</v>
      </c>
      <c r="C10" s="350" t="s">
        <v>190</v>
      </c>
      <c r="D10" s="354" t="s">
        <v>81</v>
      </c>
      <c r="E10" s="75">
        <v>56.28</v>
      </c>
    </row>
    <row r="11" spans="1:7">
      <c r="A11" s="353"/>
      <c r="B11" s="354" t="s">
        <v>220</v>
      </c>
      <c r="C11" s="75"/>
      <c r="D11" s="354" t="s">
        <v>81</v>
      </c>
      <c r="E11" s="75"/>
    </row>
    <row r="12" spans="1:7">
      <c r="A12" s="353"/>
      <c r="B12" s="354" t="s">
        <v>220</v>
      </c>
      <c r="C12" s="75" t="s">
        <v>132</v>
      </c>
      <c r="D12" s="354" t="s">
        <v>81</v>
      </c>
      <c r="E12" s="75">
        <v>56.87</v>
      </c>
    </row>
    <row r="13" spans="1:7">
      <c r="A13" s="353"/>
      <c r="B13" s="354" t="s">
        <v>220</v>
      </c>
      <c r="C13" s="75" t="s">
        <v>127</v>
      </c>
      <c r="D13" s="354" t="s">
        <v>81</v>
      </c>
      <c r="E13" s="75">
        <v>55.13</v>
      </c>
      <c r="G13" s="349"/>
    </row>
    <row r="14" spans="1:7">
      <c r="A14" s="353"/>
      <c r="B14" s="354" t="s">
        <v>220</v>
      </c>
      <c r="C14" s="75" t="s">
        <v>123</v>
      </c>
      <c r="D14" s="354" t="s">
        <v>81</v>
      </c>
      <c r="E14" s="75">
        <v>50.67</v>
      </c>
    </row>
    <row r="15" spans="1:7">
      <c r="A15" s="353"/>
      <c r="B15" s="354" t="s">
        <v>220</v>
      </c>
      <c r="C15" s="75" t="s">
        <v>129</v>
      </c>
      <c r="D15" s="354" t="s">
        <v>81</v>
      </c>
      <c r="E15" s="75">
        <v>57.3</v>
      </c>
    </row>
    <row r="16" spans="1:7">
      <c r="A16" s="353"/>
      <c r="B16" s="354" t="s">
        <v>220</v>
      </c>
      <c r="C16" s="75" t="s">
        <v>130</v>
      </c>
      <c r="D16" s="354" t="s">
        <v>81</v>
      </c>
      <c r="E16" s="75">
        <v>56.43</v>
      </c>
    </row>
    <row r="17" spans="1:5">
      <c r="A17" s="353"/>
      <c r="B17" s="354" t="s">
        <v>220</v>
      </c>
      <c r="C17" s="75" t="s">
        <v>113</v>
      </c>
      <c r="D17" s="354" t="s">
        <v>81</v>
      </c>
      <c r="E17" s="75">
        <v>47.71</v>
      </c>
    </row>
    <row r="18" spans="1:5">
      <c r="A18" s="353"/>
      <c r="B18" s="354" t="s">
        <v>220</v>
      </c>
      <c r="C18" s="75" t="s">
        <v>133</v>
      </c>
      <c r="D18" s="354" t="s">
        <v>117</v>
      </c>
      <c r="E18" s="75">
        <v>49.91</v>
      </c>
    </row>
    <row r="19" spans="1:5">
      <c r="A19" s="353"/>
      <c r="B19" s="354" t="s">
        <v>220</v>
      </c>
      <c r="C19" s="75" t="s">
        <v>118</v>
      </c>
      <c r="D19" s="354" t="s">
        <v>117</v>
      </c>
      <c r="E19" s="75">
        <v>44.3</v>
      </c>
    </row>
    <row r="20" spans="1:5">
      <c r="A20" s="353"/>
      <c r="B20" s="354" t="s">
        <v>220</v>
      </c>
      <c r="C20" s="75" t="s">
        <v>128</v>
      </c>
      <c r="D20" s="354" t="s">
        <v>117</v>
      </c>
      <c r="E20" s="75">
        <v>49.52</v>
      </c>
    </row>
    <row r="21" spans="1:5">
      <c r="A21" s="353"/>
      <c r="B21" s="354" t="s">
        <v>220</v>
      </c>
      <c r="C21" s="75" t="s">
        <v>196</v>
      </c>
      <c r="D21" s="354" t="s">
        <v>135</v>
      </c>
      <c r="E21" s="75">
        <v>28.26</v>
      </c>
    </row>
    <row r="22" spans="1:5">
      <c r="A22" s="353"/>
      <c r="B22" s="354" t="s">
        <v>220</v>
      </c>
      <c r="C22" s="75" t="s">
        <v>136</v>
      </c>
      <c r="D22" s="354" t="s">
        <v>135</v>
      </c>
      <c r="E22" s="75">
        <v>26.99</v>
      </c>
    </row>
    <row r="23" spans="1:5">
      <c r="A23" s="353"/>
      <c r="B23" s="354" t="s">
        <v>220</v>
      </c>
      <c r="C23" s="75" t="s">
        <v>138</v>
      </c>
      <c r="D23" s="354" t="s">
        <v>135</v>
      </c>
      <c r="E23" s="75">
        <v>28.26</v>
      </c>
    </row>
    <row r="24" spans="1:5">
      <c r="A24" s="353"/>
      <c r="B24" s="354" t="s">
        <v>220</v>
      </c>
      <c r="C24" s="75" t="s">
        <v>137</v>
      </c>
      <c r="D24" s="354" t="s">
        <v>135</v>
      </c>
      <c r="E24" s="75">
        <v>28.47</v>
      </c>
    </row>
    <row r="25" spans="1:5">
      <c r="A25" s="353"/>
      <c r="B25" s="354"/>
      <c r="C25" s="75"/>
      <c r="D25" s="354"/>
      <c r="E25" s="75"/>
    </row>
    <row r="26" spans="1:5">
      <c r="A26" s="353"/>
      <c r="B26" s="354"/>
      <c r="C26" s="75"/>
      <c r="D26" s="354"/>
      <c r="E26" s="75"/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1"/>
      <c r="B31" s="354"/>
      <c r="C31" s="75"/>
      <c r="D31" s="354"/>
      <c r="E31" s="75"/>
    </row>
    <row r="32" spans="1:5">
      <c r="A32" s="351"/>
      <c r="B32" s="354"/>
      <c r="C32" s="354"/>
      <c r="D32" s="354"/>
      <c r="E32" s="75"/>
    </row>
    <row r="33" spans="1:5">
      <c r="A33" s="351"/>
      <c r="B33" s="354"/>
      <c r="C33" s="354"/>
      <c r="D33" s="354"/>
      <c r="E33" s="354"/>
    </row>
    <row r="34" spans="1:5">
      <c r="A34" s="351"/>
      <c r="B34" s="354"/>
      <c r="C34" s="354"/>
      <c r="D34" s="354"/>
      <c r="E34" s="354"/>
    </row>
    <row r="35" spans="1:5">
      <c r="A35" s="351"/>
      <c r="B35" s="356"/>
      <c r="C35" s="354"/>
      <c r="D35" s="356"/>
      <c r="E35" s="354"/>
    </row>
    <row r="36" spans="1:5">
      <c r="A36" s="351"/>
      <c r="B36" s="356"/>
      <c r="C36" s="354"/>
      <c r="D36" s="356"/>
      <c r="E36" s="354"/>
    </row>
    <row r="37" spans="1:5">
      <c r="A37" s="351"/>
      <c r="B37" s="356"/>
      <c r="C37" s="75"/>
      <c r="D37" s="356"/>
      <c r="E37" s="75"/>
    </row>
    <row r="38" spans="1:5">
      <c r="A38" s="351"/>
      <c r="B38" s="356"/>
      <c r="C38" s="350"/>
      <c r="D38" s="356"/>
      <c r="E38" s="75"/>
    </row>
    <row r="39" spans="1:5">
      <c r="A39" s="351"/>
      <c r="B39" s="356"/>
      <c r="C39" s="354"/>
      <c r="D39" s="356"/>
      <c r="E39" s="354"/>
    </row>
    <row r="40" spans="1:5">
      <c r="A40" s="351"/>
      <c r="B40" s="357"/>
      <c r="C40" s="357"/>
      <c r="D40" s="357"/>
      <c r="E40" s="357"/>
    </row>
    <row r="41" spans="1:5">
      <c r="A41" s="351"/>
      <c r="B41" s="357"/>
      <c r="C41" s="357"/>
      <c r="D41" s="357"/>
      <c r="E41" s="357"/>
    </row>
    <row r="42" spans="1:5">
      <c r="A42" s="351"/>
      <c r="B42" s="357"/>
      <c r="C42" s="357"/>
      <c r="D42" s="357"/>
      <c r="E42" s="357"/>
    </row>
    <row r="43" spans="1:5">
      <c r="A43" s="351"/>
      <c r="B43" s="357"/>
      <c r="C43" s="357"/>
      <c r="D43" s="357"/>
      <c r="E43" s="357"/>
    </row>
    <row r="44" spans="1:5">
      <c r="A44" s="351"/>
      <c r="B44" s="354" t="s">
        <v>222</v>
      </c>
      <c r="C44" s="75" t="s">
        <v>123</v>
      </c>
      <c r="D44" s="354" t="s">
        <v>223</v>
      </c>
      <c r="E44" s="75">
        <v>29.38</v>
      </c>
    </row>
    <row r="45" spans="1:5">
      <c r="A45" s="351"/>
      <c r="B45" s="354" t="s">
        <v>222</v>
      </c>
      <c r="C45" s="75" t="s">
        <v>224</v>
      </c>
      <c r="D45" s="354" t="s">
        <v>223</v>
      </c>
      <c r="E45" s="75">
        <v>29.38</v>
      </c>
    </row>
    <row r="46" spans="1:5">
      <c r="A46" s="351"/>
      <c r="B46" s="354" t="s">
        <v>222</v>
      </c>
      <c r="C46" s="75" t="s">
        <v>225</v>
      </c>
      <c r="D46" s="354" t="s">
        <v>223</v>
      </c>
      <c r="E46" s="75">
        <v>29.38</v>
      </c>
    </row>
    <row r="47" spans="1:5">
      <c r="A47" s="351"/>
      <c r="B47" s="354" t="s">
        <v>222</v>
      </c>
      <c r="C47" s="75" t="s">
        <v>226</v>
      </c>
      <c r="D47" s="354" t="s">
        <v>223</v>
      </c>
      <c r="E47" s="75">
        <v>29.38</v>
      </c>
    </row>
    <row r="48" spans="1:5">
      <c r="A48" s="351"/>
      <c r="B48" s="354" t="s">
        <v>222</v>
      </c>
      <c r="C48" s="75" t="s">
        <v>227</v>
      </c>
      <c r="D48" s="354" t="s">
        <v>223</v>
      </c>
      <c r="E48" s="75">
        <v>29.38</v>
      </c>
    </row>
    <row r="49" spans="1:5">
      <c r="A49" s="351"/>
      <c r="B49" s="354" t="s">
        <v>222</v>
      </c>
      <c r="C49" s="75" t="s">
        <v>228</v>
      </c>
      <c r="D49" s="354" t="s">
        <v>223</v>
      </c>
      <c r="E49" s="75">
        <v>29.38</v>
      </c>
    </row>
    <row r="50" spans="1:5">
      <c r="A50" s="351"/>
      <c r="B50" s="354" t="s">
        <v>222</v>
      </c>
      <c r="C50" s="75"/>
      <c r="D50" s="354" t="s">
        <v>223</v>
      </c>
      <c r="E50" s="75"/>
    </row>
    <row r="51" spans="1:5">
      <c r="A51" s="351"/>
      <c r="B51" s="354" t="s">
        <v>222</v>
      </c>
      <c r="C51" s="354" t="s">
        <v>229</v>
      </c>
      <c r="D51" s="354" t="s">
        <v>223</v>
      </c>
      <c r="E51" s="75">
        <v>29.38</v>
      </c>
    </row>
    <row r="52" spans="1:5">
      <c r="A52" s="351"/>
      <c r="B52" s="354" t="s">
        <v>222</v>
      </c>
      <c r="C52" s="354"/>
      <c r="D52" s="354" t="s">
        <v>223</v>
      </c>
      <c r="E52" s="354"/>
    </row>
    <row r="53" spans="1:5">
      <c r="A53" s="351"/>
      <c r="B53" s="354" t="s">
        <v>222</v>
      </c>
      <c r="C53" s="354" t="s">
        <v>230</v>
      </c>
      <c r="D53" s="354" t="s">
        <v>223</v>
      </c>
      <c r="E53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dimension ref="A1:G33"/>
  <sheetViews>
    <sheetView workbookViewId="0">
      <selection activeCell="G29" sqref="G29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31" width="10.28515625" style="347" customWidth="1"/>
    <col min="32" max="16384" width="10.28515625" style="347"/>
  </cols>
  <sheetData>
    <row r="1" spans="1:7">
      <c r="A1" s="345" t="s">
        <v>231</v>
      </c>
      <c r="B1" s="345" t="s">
        <v>24</v>
      </c>
      <c r="C1" s="345" t="s">
        <v>232</v>
      </c>
      <c r="D1" s="346"/>
    </row>
    <row r="2" spans="1:7">
      <c r="A2" s="345" t="s">
        <v>81</v>
      </c>
      <c r="B2" s="345"/>
      <c r="C2" s="345"/>
      <c r="D2" s="346"/>
    </row>
    <row r="3" spans="1:7">
      <c r="A3" s="345" t="s">
        <v>121</v>
      </c>
      <c r="B3" s="345">
        <v>13</v>
      </c>
      <c r="C3" s="345">
        <v>2105</v>
      </c>
      <c r="D3" s="348" t="s">
        <v>106</v>
      </c>
    </row>
    <row r="4" spans="1:7">
      <c r="A4" s="345" t="s">
        <v>233</v>
      </c>
      <c r="B4" s="345">
        <v>15</v>
      </c>
      <c r="C4" s="345">
        <v>1565</v>
      </c>
      <c r="D4" s="348" t="s">
        <v>107</v>
      </c>
    </row>
    <row r="5" spans="1:7">
      <c r="A5" s="345" t="s">
        <v>123</v>
      </c>
      <c r="B5" s="345">
        <v>13</v>
      </c>
      <c r="C5" s="345">
        <v>2000</v>
      </c>
      <c r="D5" s="346"/>
    </row>
    <row r="6" spans="1:7">
      <c r="A6" s="345" t="s">
        <v>124</v>
      </c>
      <c r="B6" s="345">
        <v>12</v>
      </c>
      <c r="C6" s="345">
        <v>2000</v>
      </c>
      <c r="D6" s="346"/>
    </row>
    <row r="7" spans="1:7">
      <c r="A7" s="345" t="s">
        <v>134</v>
      </c>
      <c r="B7" s="345">
        <v>18</v>
      </c>
      <c r="C7" s="345">
        <v>1600</v>
      </c>
      <c r="D7" s="346"/>
    </row>
    <row r="8" spans="1:7">
      <c r="A8" s="345" t="s">
        <v>115</v>
      </c>
      <c r="B8" s="345">
        <v>14</v>
      </c>
      <c r="C8" s="345">
        <v>2000</v>
      </c>
      <c r="D8" s="346"/>
    </row>
    <row r="9" spans="1:7">
      <c r="A9" s="345" t="s">
        <v>114</v>
      </c>
      <c r="B9" s="345">
        <v>17</v>
      </c>
      <c r="C9" s="345">
        <v>2000</v>
      </c>
      <c r="D9" s="346"/>
    </row>
    <row r="10" spans="1:7">
      <c r="A10" s="345" t="s">
        <v>132</v>
      </c>
      <c r="B10" s="345">
        <v>18</v>
      </c>
      <c r="C10" s="345">
        <v>1565</v>
      </c>
      <c r="D10" s="346"/>
    </row>
    <row r="11" spans="1:7">
      <c r="A11" s="345" t="s">
        <v>133</v>
      </c>
      <c r="B11" s="345">
        <v>17</v>
      </c>
      <c r="C11" s="345">
        <v>1565</v>
      </c>
      <c r="D11" s="346"/>
    </row>
    <row r="12" spans="1:7">
      <c r="A12" s="345" t="s">
        <v>234</v>
      </c>
      <c r="B12" s="345">
        <v>14</v>
      </c>
      <c r="C12" s="345">
        <v>1385</v>
      </c>
      <c r="D12" s="346"/>
    </row>
    <row r="13" spans="1:7">
      <c r="A13" s="345" t="s">
        <v>127</v>
      </c>
      <c r="B13" s="345">
        <v>17</v>
      </c>
      <c r="C13" s="345">
        <v>1385</v>
      </c>
      <c r="D13" s="346"/>
      <c r="G13" s="349" t="s">
        <v>235</v>
      </c>
    </row>
    <row r="14" spans="1:7">
      <c r="A14" s="345" t="s">
        <v>236</v>
      </c>
      <c r="B14" s="345">
        <v>17</v>
      </c>
      <c r="C14" s="345">
        <v>1385</v>
      </c>
      <c r="D14" s="346"/>
    </row>
    <row r="15" spans="1:7">
      <c r="A15" s="345" t="s">
        <v>129</v>
      </c>
      <c r="B15" s="345">
        <v>16</v>
      </c>
      <c r="C15" s="345">
        <v>1385</v>
      </c>
      <c r="D15" s="346"/>
    </row>
    <row r="16" spans="1:7">
      <c r="A16" s="345" t="s">
        <v>130</v>
      </c>
      <c r="B16" s="345">
        <v>16</v>
      </c>
      <c r="C16" s="345">
        <v>1406</v>
      </c>
      <c r="D16" s="346"/>
    </row>
    <row r="17" spans="1:4">
      <c r="A17" s="345" t="s">
        <v>113</v>
      </c>
      <c r="B17" s="345">
        <v>14</v>
      </c>
      <c r="C17" s="345">
        <v>1440</v>
      </c>
      <c r="D17" s="346"/>
    </row>
    <row r="18" spans="1:4">
      <c r="A18" s="345" t="s">
        <v>237</v>
      </c>
      <c r="B18" s="345">
        <v>16</v>
      </c>
      <c r="C18" s="345">
        <v>1440</v>
      </c>
      <c r="D18" s="346"/>
    </row>
    <row r="19" spans="1:4">
      <c r="A19" s="345" t="s">
        <v>190</v>
      </c>
      <c r="B19" s="345">
        <v>16</v>
      </c>
      <c r="C19" s="345">
        <v>1800</v>
      </c>
      <c r="D19" s="346"/>
    </row>
    <row r="20" spans="1:4">
      <c r="A20" s="345"/>
      <c r="B20" s="345"/>
      <c r="C20" s="345"/>
      <c r="D20" s="346"/>
    </row>
    <row r="21" spans="1:4">
      <c r="A21" s="345" t="s">
        <v>125</v>
      </c>
      <c r="B21" s="345">
        <v>17</v>
      </c>
      <c r="C21" s="345">
        <v>1500</v>
      </c>
      <c r="D21" s="346"/>
    </row>
    <row r="22" spans="1:4">
      <c r="A22" s="345" t="s">
        <v>128</v>
      </c>
      <c r="B22" s="345">
        <v>17</v>
      </c>
      <c r="C22" s="345">
        <v>1440</v>
      </c>
      <c r="D22" s="346"/>
    </row>
    <row r="23" spans="1:4">
      <c r="A23" s="345" t="s">
        <v>118</v>
      </c>
      <c r="B23" s="345">
        <v>19</v>
      </c>
      <c r="C23" s="345">
        <v>1440</v>
      </c>
      <c r="D23" s="346"/>
    </row>
    <row r="24" spans="1:4">
      <c r="A24" s="350" t="s">
        <v>139</v>
      </c>
      <c r="B24" s="345">
        <v>10</v>
      </c>
      <c r="C24" s="345">
        <v>1125</v>
      </c>
      <c r="D24" s="346"/>
    </row>
    <row r="25" spans="1:4">
      <c r="A25" s="345" t="s">
        <v>238</v>
      </c>
      <c r="B25" s="345"/>
      <c r="C25" s="345"/>
      <c r="D25" s="346"/>
    </row>
    <row r="26" spans="1:4">
      <c r="A26" s="345" t="s">
        <v>136</v>
      </c>
      <c r="B26" s="345">
        <v>13</v>
      </c>
      <c r="C26" s="345">
        <v>1565</v>
      </c>
      <c r="D26" s="346"/>
    </row>
    <row r="27" spans="1:4">
      <c r="A27" s="345" t="s">
        <v>138</v>
      </c>
      <c r="B27" s="345">
        <v>12</v>
      </c>
      <c r="C27" s="345">
        <v>1565</v>
      </c>
      <c r="D27" s="346"/>
    </row>
    <row r="28" spans="1:4">
      <c r="A28" s="345" t="s">
        <v>137</v>
      </c>
      <c r="B28" s="345">
        <v>12</v>
      </c>
      <c r="C28" s="345">
        <v>1565</v>
      </c>
    </row>
    <row r="29" spans="1:4">
      <c r="A29" s="345" t="s">
        <v>196</v>
      </c>
      <c r="B29" s="345">
        <v>12</v>
      </c>
      <c r="C29" s="345">
        <v>1565</v>
      </c>
    </row>
    <row r="30" spans="1:4">
      <c r="A30" s="345"/>
      <c r="B30" s="345"/>
      <c r="C30" s="345"/>
    </row>
    <row r="31" spans="1:4">
      <c r="A31" s="345"/>
      <c r="B31" s="345"/>
      <c r="C31" s="345"/>
    </row>
    <row r="32" spans="1:4">
      <c r="A32" s="345"/>
      <c r="B32" s="345"/>
      <c r="C32" s="345"/>
    </row>
    <row r="33" spans="5:5">
      <c r="E33" s="347" t="s">
        <v>239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46015</v>
      </c>
      <c r="E3" s="645"/>
      <c r="F3" s="3" t="s">
        <v>72</v>
      </c>
      <c r="G3" s="646">
        <f>範本!E1</f>
        <v>43309</v>
      </c>
      <c r="H3" s="646"/>
      <c r="I3" s="3" t="s">
        <v>2</v>
      </c>
      <c r="J3" s="647" t="e">
        <f>範本!G1</f>
        <v>#N/A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 t="e">
        <f>AVERAGE(D13:J13)</f>
        <v>#N/A</v>
      </c>
      <c r="G6" s="652"/>
      <c r="H6" s="653" t="e">
        <f>AVERAGE(D13:H13)</f>
        <v>#N/A</v>
      </c>
      <c r="I6" s="653"/>
      <c r="J6" s="653" t="e">
        <f>AVERAGE(I13:J13)</f>
        <v>#N/A</v>
      </c>
      <c r="K6" s="653"/>
      <c r="L6" s="655">
        <f>範本!Z2</f>
        <v>0</v>
      </c>
      <c r="M6" s="656">
        <f>範本!AA2</f>
        <v>0</v>
      </c>
      <c r="N6" s="657">
        <f>範本!AD2</f>
        <v>0</v>
      </c>
      <c r="O6" s="656">
        <f>範本!AE2</f>
        <v>0</v>
      </c>
    </row>
    <row r="7" spans="2:15" s="6" customFormat="1" ht="39.6" customHeight="1">
      <c r="B7" s="641"/>
      <c r="C7" s="641"/>
      <c r="D7" s="648" t="s">
        <v>87</v>
      </c>
      <c r="E7" s="648"/>
      <c r="F7" s="676">
        <f>AVERAGE(D14:J14)</f>
        <v>116.11474837607263</v>
      </c>
      <c r="G7" s="676"/>
      <c r="H7" s="677">
        <f>AVERAGE(D14:H14)</f>
        <v>117.36074805627914</v>
      </c>
      <c r="I7" s="677"/>
      <c r="J7" s="677">
        <f>AVERAGE(I14:J14)</f>
        <v>112.99974917555633</v>
      </c>
      <c r="K7" s="677"/>
      <c r="L7" s="655"/>
      <c r="M7" s="656"/>
      <c r="N7" s="657"/>
      <c r="O7" s="656"/>
    </row>
    <row r="8" spans="2:15" s="6" customFormat="1" ht="39.6" customHeight="1">
      <c r="B8" s="641"/>
      <c r="C8" s="641"/>
      <c r="D8" s="648" t="s">
        <v>27</v>
      </c>
      <c r="E8" s="648"/>
      <c r="F8" s="649" t="e">
        <f>AVERAGE(D15:J15)</f>
        <v>#N/A</v>
      </c>
      <c r="G8" s="649"/>
      <c r="H8" s="649" t="e">
        <f>AVERAGE(D15:H15)</f>
        <v>#N/A</v>
      </c>
      <c r="I8" s="649"/>
      <c r="J8" s="649" t="e">
        <f>AVERAGE(I15:J15)</f>
        <v>#N/A</v>
      </c>
      <c r="K8" s="649"/>
      <c r="L8" s="655"/>
      <c r="M8" s="656"/>
      <c r="N8" s="657"/>
      <c r="O8" s="65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670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671"/>
      <c r="C15" s="10" t="s">
        <v>26</v>
      </c>
      <c r="D15" s="14" t="e">
        <f>D14/D13</f>
        <v>#N/A</v>
      </c>
      <c r="E15" s="14" t="e">
        <f t="shared" ref="E15:I15" si="0">E14/E13</f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672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673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674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675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674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675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658" t="s">
        <v>104</v>
      </c>
      <c r="C22" s="659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7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13</v>
      </c>
      <c r="B2" s="678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e">
        <f>VLOOKUP(D5,廠價表!$C$1:$E$41,2,0)</f>
        <v>#N/A</v>
      </c>
      <c r="C5" s="40"/>
      <c r="D5" s="168"/>
      <c r="E5" s="41"/>
      <c r="F5" s="39" t="e">
        <f>VLOOKUP(D5,廠價表!$C$1:$E$41,3,0)</f>
        <v>#N/A</v>
      </c>
      <c r="G5" s="42">
        <v>2263</v>
      </c>
      <c r="H5" s="43" t="e">
        <f>F5*G5</f>
        <v>#N/A</v>
      </c>
      <c r="I5" s="44"/>
      <c r="J5" s="45" t="e">
        <f>VLOOKUP(D5,產線配置圖!$A$3:$C$39,2,0)</f>
        <v>#N/A</v>
      </c>
      <c r="K5" s="46" t="e">
        <f>VLOOKUP(D5,產線配置圖!$A$3:$C$39,3,0)</f>
        <v>#N/A</v>
      </c>
      <c r="L5" s="47" t="e">
        <f t="shared" ref="L5:L7" si="0">K5/J5</f>
        <v>#N/A</v>
      </c>
      <c r="M5" s="48">
        <v>15</v>
      </c>
      <c r="N5" s="46">
        <f t="shared" ref="N5:N7" si="1">G5/W5*60</f>
        <v>1444.4680851063781</v>
      </c>
      <c r="O5" s="47">
        <f t="shared" ref="O5:O7" si="2">N5/M5</f>
        <v>96.297872340425201</v>
      </c>
      <c r="P5" s="49" t="e">
        <f t="shared" ref="P5:P7" si="3">M5-J5</f>
        <v>#N/A</v>
      </c>
      <c r="Q5" s="50" t="e">
        <f t="shared" ref="Q5:Q7" si="4">O5-L5</f>
        <v>#N/A</v>
      </c>
      <c r="R5" s="51" t="e">
        <f t="shared" ref="R5:R7" si="5">O5/L5</f>
        <v>#N/A</v>
      </c>
      <c r="S5" s="71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6">(U5-T5)*24*60</f>
        <v>94.000000000000313</v>
      </c>
      <c r="X5" s="55"/>
      <c r="Y5" s="290"/>
      <c r="Z5" s="169"/>
      <c r="AA5" s="169"/>
      <c r="AB5" s="723"/>
      <c r="AC5" s="723"/>
      <c r="AD5" s="135"/>
      <c r="AE5" s="135"/>
      <c r="AF5" s="229" t="e">
        <f t="shared" ref="AF5:AF11" si="7">N5-K5</f>
        <v>#N/A</v>
      </c>
      <c r="AG5" s="52" t="e">
        <f t="shared" ref="AG5:AG11" si="8">N5/K5</f>
        <v>#N/A</v>
      </c>
      <c r="AH5" s="724" t="e">
        <f>AG15</f>
        <v>#N/A</v>
      </c>
    </row>
    <row r="6" spans="1:34" ht="15" customHeight="1">
      <c r="A6" s="715"/>
      <c r="B6" s="57" t="e">
        <f>VLOOKUP(D6,廠價表!$C$1:$E$41,2,0)</f>
        <v>#N/A</v>
      </c>
      <c r="C6" s="58"/>
      <c r="D6" s="59"/>
      <c r="E6" s="60"/>
      <c r="F6" s="61" t="e">
        <f>VLOOKUP(D6,廠價表!$C$1:$E$41,3,0)</f>
        <v>#N/A</v>
      </c>
      <c r="G6" s="62">
        <v>1180</v>
      </c>
      <c r="H6" s="63" t="e">
        <f>F6*G6</f>
        <v>#N/A</v>
      </c>
      <c r="I6" s="64"/>
      <c r="J6" s="65" t="e">
        <f>VLOOKUP(D6,產線配置圖!$A$3:$C$39,2,0)</f>
        <v>#N/A</v>
      </c>
      <c r="K6" s="66" t="e">
        <f>VLOOKUP(D6,產線配置圖!$A$3:$C$39,3,0)</f>
        <v>#N/A</v>
      </c>
      <c r="L6" s="67" t="e">
        <f t="shared" si="0"/>
        <v>#N/A</v>
      </c>
      <c r="M6" s="68">
        <v>17</v>
      </c>
      <c r="N6" s="66">
        <f t="shared" si="1"/>
        <v>1609.0909090908858</v>
      </c>
      <c r="O6" s="67">
        <f t="shared" si="2"/>
        <v>94.652406417110925</v>
      </c>
      <c r="P6" s="69" t="e">
        <f t="shared" si="3"/>
        <v>#N/A</v>
      </c>
      <c r="Q6" s="70" t="e">
        <f t="shared" si="4"/>
        <v>#N/A</v>
      </c>
      <c r="R6" s="71" t="e">
        <f t="shared" si="5"/>
        <v>#N/A</v>
      </c>
      <c r="S6" s="71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6"/>
        <v>44.000000000000639</v>
      </c>
      <c r="X6" s="22"/>
      <c r="Y6" s="84"/>
      <c r="Z6" s="90"/>
      <c r="AA6" s="90"/>
      <c r="AB6" s="728"/>
      <c r="AC6" s="728"/>
      <c r="AD6" s="149"/>
      <c r="AE6" s="149"/>
      <c r="AF6" s="307" t="e">
        <f t="shared" si="7"/>
        <v>#N/A</v>
      </c>
      <c r="AG6" s="72" t="e">
        <f t="shared" si="8"/>
        <v>#N/A</v>
      </c>
      <c r="AH6" s="725"/>
    </row>
    <row r="7" spans="1:34" ht="15" customHeight="1">
      <c r="A7" s="715"/>
      <c r="B7" s="75" t="e">
        <f>VLOOKUP(D7,廠價表!$C$1:$E$41,2,0)</f>
        <v>#N/A</v>
      </c>
      <c r="C7" s="76"/>
      <c r="D7" s="59"/>
      <c r="E7" s="77"/>
      <c r="F7" s="75" t="e">
        <f>VLOOKUP(D7,廠價表!$C$1:$E$41,3,0)</f>
        <v>#N/A</v>
      </c>
      <c r="G7" s="66">
        <v>3398</v>
      </c>
      <c r="H7" s="78" t="e">
        <f>F7*G7</f>
        <v>#N/A</v>
      </c>
      <c r="I7" s="73"/>
      <c r="J7" s="79" t="e">
        <f>VLOOKUP(D7,產線配置圖!$A$3:$C$39,2,0)</f>
        <v>#N/A</v>
      </c>
      <c r="K7" s="80" t="e">
        <f>VLOOKUP(D7,產線配置圖!$A$3:$C$39,3,0)</f>
        <v>#N/A</v>
      </c>
      <c r="L7" s="81" t="e">
        <f t="shared" si="0"/>
        <v>#N/A</v>
      </c>
      <c r="M7" s="82">
        <v>13</v>
      </c>
      <c r="N7" s="80">
        <f t="shared" si="1"/>
        <v>1960.3846153846225</v>
      </c>
      <c r="O7" s="81">
        <f t="shared" si="2"/>
        <v>150.7988165680479</v>
      </c>
      <c r="P7" s="74" t="e">
        <f t="shared" si="3"/>
        <v>#N/A</v>
      </c>
      <c r="Q7" s="83" t="e">
        <f t="shared" si="4"/>
        <v>#N/A</v>
      </c>
      <c r="R7" s="72" t="e">
        <f t="shared" si="5"/>
        <v>#N/A</v>
      </c>
      <c r="S7" s="71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6"/>
        <v>103.99999999999963</v>
      </c>
      <c r="X7" s="22"/>
      <c r="Y7" s="84"/>
      <c r="Z7" s="90"/>
      <c r="AA7" s="90"/>
      <c r="AB7" s="713"/>
      <c r="AC7" s="713"/>
      <c r="AD7" s="92"/>
      <c r="AE7" s="92"/>
      <c r="AF7" s="307" t="e">
        <f t="shared" si="7"/>
        <v>#N/A</v>
      </c>
      <c r="AG7" s="72" t="e">
        <f t="shared" si="8"/>
        <v>#N/A</v>
      </c>
      <c r="AH7" s="725"/>
    </row>
    <row r="8" spans="1:34" ht="15" customHeight="1">
      <c r="A8" s="715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19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0</v>
      </c>
      <c r="AG8" s="72" t="e">
        <f t="shared" si="8"/>
        <v>#DIV/0!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 t="e">
        <f t="shared" ref="J15:O15" si="9">AVERAGE(J5:J14)</f>
        <v>#N/A</v>
      </c>
      <c r="K15" s="120" t="e">
        <f t="shared" si="9"/>
        <v>#N/A</v>
      </c>
      <c r="L15" s="117" t="e">
        <f t="shared" si="9"/>
        <v>#N/A</v>
      </c>
      <c r="M15" s="120">
        <f t="shared" si="9"/>
        <v>15</v>
      </c>
      <c r="N15" s="120">
        <f t="shared" si="9"/>
        <v>1671.3145365272956</v>
      </c>
      <c r="O15" s="117">
        <f t="shared" si="9"/>
        <v>113.916365108528</v>
      </c>
      <c r="P15" s="121" t="e">
        <f t="shared" ref="P15:P18" si="10">M15-J15</f>
        <v>#N/A</v>
      </c>
      <c r="Q15" s="122" t="e">
        <f t="shared" ref="Q15:Q18" si="11">O15-L15</f>
        <v>#N/A</v>
      </c>
      <c r="R15" s="123" t="e">
        <f t="shared" ref="R15:R18" si="12">O15/L15</f>
        <v>#N/A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 t="e">
        <f t="shared" ref="AF15:AF19" si="13">N15-K15</f>
        <v>#N/A</v>
      </c>
      <c r="AG15" s="124" t="e">
        <f t="shared" ref="AG15:AG19" si="14">N15/K15</f>
        <v>#N/A</v>
      </c>
      <c r="AH15" s="727"/>
    </row>
    <row r="16" spans="1:34" ht="15" customHeight="1">
      <c r="A16" s="740" t="s">
        <v>43</v>
      </c>
      <c r="B16" s="129" t="e">
        <f>VLOOKUP(D16,廠價表!$C$1:$E$41,2,0)</f>
        <v>#N/A</v>
      </c>
      <c r="C16" s="130"/>
      <c r="D16" s="131"/>
      <c r="E16" s="132"/>
      <c r="F16" s="129" t="e">
        <f>VLOOKUP(D16,廠價表!$C$1:$E$41,3,0)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VLOOKUP(D16,產線配置圖!$A$3:$C$39,2,0)</f>
        <v>#N/A</v>
      </c>
      <c r="K16" s="137" t="e">
        <f>VLOOKUP(D16,產線配置圖!$A$3:$C$39,3,0)</f>
        <v>#N/A</v>
      </c>
      <c r="L16" s="138" t="e">
        <f t="shared" ref="L16:L18" si="15">K16/J16</f>
        <v>#N/A</v>
      </c>
      <c r="M16" s="139">
        <v>13</v>
      </c>
      <c r="N16" s="140">
        <f t="shared" ref="N16:N18" si="16"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 t="shared" si="11"/>
        <v>#N/A</v>
      </c>
      <c r="R16" s="144" t="e">
        <f>O16/L16</f>
        <v>#N/A</v>
      </c>
      <c r="S16" s="734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17">(U16-T16)*24*60</f>
        <v>60.999999999999787</v>
      </c>
      <c r="X16" s="141"/>
      <c r="Y16" s="296"/>
      <c r="Z16" s="169"/>
      <c r="AA16" s="169"/>
      <c r="AB16" s="723"/>
      <c r="AC16" s="723"/>
      <c r="AD16" s="135"/>
      <c r="AE16" s="135"/>
      <c r="AF16" s="229" t="e">
        <f t="shared" si="13"/>
        <v>#N/A</v>
      </c>
      <c r="AG16" s="52" t="e">
        <f t="shared" si="14"/>
        <v>#N/A</v>
      </c>
      <c r="AH16" s="724" t="e">
        <f>AG26</f>
        <v>#N/A</v>
      </c>
    </row>
    <row r="17" spans="1:34" ht="15" customHeight="1">
      <c r="A17" s="741"/>
      <c r="B17" s="75" t="e">
        <f>VLOOKUP(D17,廠價表!$C$1:$E$41,2,0)</f>
        <v>#N/A</v>
      </c>
      <c r="C17" s="76"/>
      <c r="D17" s="59"/>
      <c r="E17" s="77"/>
      <c r="F17" s="75" t="e">
        <f>VLOOKUP(D17,廠價表!$C$1:$E$41,3,0)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VLOOKUP(D17,產線配置圖!$A$3:$C$39,2,0)</f>
        <v>#N/A</v>
      </c>
      <c r="K17" s="80" t="e">
        <f>VLOOKUP(D17,產線配置圖!$A$3:$C$39,3,0)</f>
        <v>#N/A</v>
      </c>
      <c r="L17" s="81" t="e">
        <f t="shared" si="15"/>
        <v>#N/A</v>
      </c>
      <c r="M17" s="148">
        <v>13</v>
      </c>
      <c r="N17" s="95">
        <f>G17/W17*60</f>
        <v>823.25581395349127</v>
      </c>
      <c r="O17" s="96">
        <f t="shared" ref="O17:O18" si="18">N17/M17</f>
        <v>63.327370304114716</v>
      </c>
      <c r="P17" s="97" t="e">
        <f t="shared" si="10"/>
        <v>#N/A</v>
      </c>
      <c r="Q17" s="98" t="e">
        <f t="shared" si="11"/>
        <v>#N/A</v>
      </c>
      <c r="R17" s="99" t="e">
        <f t="shared" si="12"/>
        <v>#N/A</v>
      </c>
      <c r="S17" s="735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17"/>
        <v>85.999999999999687</v>
      </c>
      <c r="X17" s="19"/>
      <c r="Y17" s="297"/>
      <c r="Z17" s="90"/>
      <c r="AA17" s="90"/>
      <c r="AB17" s="713"/>
      <c r="AC17" s="713"/>
      <c r="AD17" s="92"/>
      <c r="AE17" s="92"/>
      <c r="AF17" s="307" t="e">
        <f t="shared" si="13"/>
        <v>#N/A</v>
      </c>
      <c r="AG17" s="72" t="e">
        <f t="shared" si="14"/>
        <v>#N/A</v>
      </c>
      <c r="AH17" s="725"/>
    </row>
    <row r="18" spans="1:34" ht="15" customHeight="1">
      <c r="A18" s="741"/>
      <c r="B18" s="75" t="e">
        <f>VLOOKUP(D18,廠價表!$C$1:$E$41,2,0)</f>
        <v>#N/A</v>
      </c>
      <c r="C18" s="76"/>
      <c r="D18" s="59"/>
      <c r="E18" s="77"/>
      <c r="F18" s="75" t="e">
        <f>VLOOKUP(D18,廠價表!$C$1:$E$41,3,0)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VLOOKUP(D18,產線配置圖!$A$3:$C$39,2,0)</f>
        <v>#N/A</v>
      </c>
      <c r="K18" s="80" t="e">
        <f>VLOOKUP(D18,產線配置圖!$A$3:$C$39,3,0)</f>
        <v>#N/A</v>
      </c>
      <c r="L18" s="81" t="e">
        <f t="shared" si="15"/>
        <v>#N/A</v>
      </c>
      <c r="M18" s="148">
        <v>12</v>
      </c>
      <c r="N18" s="95">
        <f t="shared" si="16"/>
        <v>1941.7142857142762</v>
      </c>
      <c r="O18" s="96">
        <f t="shared" si="18"/>
        <v>161.80952380952303</v>
      </c>
      <c r="P18" s="97" t="e">
        <f t="shared" si="10"/>
        <v>#N/A</v>
      </c>
      <c r="Q18" s="98" t="e">
        <f t="shared" si="11"/>
        <v>#N/A</v>
      </c>
      <c r="R18" s="99" t="e">
        <f t="shared" si="12"/>
        <v>#N/A</v>
      </c>
      <c r="S18" s="735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17"/>
        <v>105.00000000000051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 t="e">
        <f t="shared" si="13"/>
        <v>#N/A</v>
      </c>
      <c r="AG18" s="72" t="e">
        <f t="shared" si="14"/>
        <v>#N/A</v>
      </c>
      <c r="AH18" s="725"/>
    </row>
    <row r="19" spans="1:34" ht="15" customHeight="1">
      <c r="A19" s="74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35"/>
      <c r="T19" s="19"/>
      <c r="U19" s="19"/>
      <c r="V19" s="30">
        <f>(T19-U18)*24*60</f>
        <v>-695.00000000000011</v>
      </c>
      <c r="W19" s="149">
        <f t="shared" si="17"/>
        <v>0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0</v>
      </c>
      <c r="AG19" s="72" t="e">
        <f t="shared" si="14"/>
        <v>#DIV/0!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>
        <f>(T20-U19)*24*60</f>
        <v>0</v>
      </c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 t="e">
        <f t="shared" ref="J26:O26" si="20">AVERAGE(J16:J25)</f>
        <v>#N/A</v>
      </c>
      <c r="K26" s="155" t="e">
        <f t="shared" si="20"/>
        <v>#N/A</v>
      </c>
      <c r="L26" s="158" t="e">
        <f t="shared" si="20"/>
        <v>#N/A</v>
      </c>
      <c r="M26" s="155">
        <f t="shared" si="20"/>
        <v>12.666666666666666</v>
      </c>
      <c r="N26" s="155">
        <f t="shared" si="20"/>
        <v>1663.6239130040128</v>
      </c>
      <c r="O26" s="158">
        <f t="shared" si="20"/>
        <v>132.12003238004002</v>
      </c>
      <c r="P26" s="159" t="e">
        <f t="shared" ref="P26:P29" si="21">M26-J26</f>
        <v>#N/A</v>
      </c>
      <c r="Q26" s="160" t="e">
        <f t="shared" ref="Q26:Q29" si="22">O26-L26</f>
        <v>#N/A</v>
      </c>
      <c r="R26" s="161" t="e">
        <f>O26/L26</f>
        <v>#N/A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 t="e">
        <f t="shared" ref="AF26:AF31" si="23">N26-K26</f>
        <v>#N/A</v>
      </c>
      <c r="AG26" s="124" t="e">
        <f t="shared" ref="AG26:AG31" si="24">N26/K26</f>
        <v>#N/A</v>
      </c>
      <c r="AH26" s="727"/>
    </row>
    <row r="27" spans="1:34" ht="15" customHeight="1">
      <c r="A27" s="731" t="s">
        <v>45</v>
      </c>
      <c r="B27" s="167" t="e">
        <f>VLOOKUP(D27,廠價表!$C$1:$E$41,2,0)</f>
        <v>#N/A</v>
      </c>
      <c r="C27" s="130"/>
      <c r="D27" s="168"/>
      <c r="E27" s="132"/>
      <c r="F27" s="129" t="e">
        <f>VLOOKUP(D27,廠價表!$C$1:$E$41,3,0)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VLOOKUP(D27,產線配置圖!$A$3:$C$39,2,0)</f>
        <v>#N/A</v>
      </c>
      <c r="K27" s="137" t="e">
        <f>VLOOKUP(D27,產線配置圖!$A$3:$C$39,3,0)</f>
        <v>#N/A</v>
      </c>
      <c r="L27" s="138" t="e">
        <f t="shared" ref="L27:L29" si="25"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 t="shared" si="21"/>
        <v>#N/A</v>
      </c>
      <c r="Q27" s="143" t="e">
        <f t="shared" si="22"/>
        <v>#N/A</v>
      </c>
      <c r="R27" s="144" t="e">
        <f>O27/L27</f>
        <v>#N/A</v>
      </c>
      <c r="S27" s="734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17"/>
        <v>111.99999999999888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 t="e">
        <f t="shared" si="23"/>
        <v>#N/A</v>
      </c>
      <c r="AG27" s="172" t="e">
        <f t="shared" si="24"/>
        <v>#N/A</v>
      </c>
      <c r="AH27" s="724" t="e">
        <f>AG37</f>
        <v>#N/A</v>
      </c>
    </row>
    <row r="28" spans="1:34" ht="15" customHeight="1">
      <c r="A28" s="732"/>
      <c r="B28" s="75" t="e">
        <f>VLOOKUP(D28,廠價表!$C$1:$E$41,2,0)</f>
        <v>#N/A</v>
      </c>
      <c r="C28" s="173"/>
      <c r="D28" s="59"/>
      <c r="E28" s="104"/>
      <c r="F28" s="75" t="e">
        <f>VLOOKUP(D28,廠價表!$C$1:$E$41,3,0)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VLOOKUP(D28,產線配置圖!$A$3:$C$39,2,0)</f>
        <v>#N/A</v>
      </c>
      <c r="K28" s="80" t="e">
        <f>VLOOKUP(D28,產線配置圖!$A$3:$C$39,3,0)</f>
        <v>#N/A</v>
      </c>
      <c r="L28" s="93" t="e">
        <f t="shared" si="25"/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 t="shared" si="21"/>
        <v>#N/A</v>
      </c>
      <c r="Q28" s="98" t="e">
        <f t="shared" si="22"/>
        <v>#N/A</v>
      </c>
      <c r="R28" s="99" t="e">
        <f t="shared" ref="R28:R29" si="26">O28/L28</f>
        <v>#N/A</v>
      </c>
      <c r="S28" s="735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17"/>
        <v>65.000000000000171</v>
      </c>
      <c r="X28" s="174"/>
      <c r="Y28" s="301"/>
      <c r="Z28" s="335"/>
      <c r="AA28" s="335"/>
      <c r="AB28" s="713"/>
      <c r="AC28" s="713"/>
      <c r="AD28" s="92"/>
      <c r="AE28" s="92"/>
      <c r="AF28" s="311" t="e">
        <f t="shared" si="23"/>
        <v>#N/A</v>
      </c>
      <c r="AG28" s="99" t="e">
        <f t="shared" si="24"/>
        <v>#N/A</v>
      </c>
      <c r="AH28" s="744"/>
    </row>
    <row r="29" spans="1:34" ht="15" customHeight="1">
      <c r="A29" s="732"/>
      <c r="B29" s="75" t="e">
        <f>VLOOKUP(D29,廠價表!$C$1:$E$41,2,0)</f>
        <v>#N/A</v>
      </c>
      <c r="C29" s="173"/>
      <c r="D29" s="59"/>
      <c r="E29" s="104"/>
      <c r="F29" s="75" t="e">
        <f>VLOOKUP(D29,廠價表!$C$1:$E$41,3,0)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VLOOKUP(D29,產線配置圖!$A$3:$C$39,2,0)</f>
        <v>#N/A</v>
      </c>
      <c r="K29" s="80" t="e">
        <f>VLOOKUP(D29,產線配置圖!$A$3:$C$39,3,0)</f>
        <v>#N/A</v>
      </c>
      <c r="L29" s="93" t="e">
        <f t="shared" si="25"/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 t="shared" si="21"/>
        <v>#N/A</v>
      </c>
      <c r="Q29" s="98" t="e">
        <f t="shared" si="22"/>
        <v>#N/A</v>
      </c>
      <c r="R29" s="99" t="e">
        <f t="shared" si="26"/>
        <v>#N/A</v>
      </c>
      <c r="S29" s="735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17"/>
        <v>64.99999999999865</v>
      </c>
      <c r="X29" s="22"/>
      <c r="Y29" s="84"/>
      <c r="Z29" s="90"/>
      <c r="AA29" s="90"/>
      <c r="AB29" s="713"/>
      <c r="AC29" s="713"/>
      <c r="AD29" s="92"/>
      <c r="AE29" s="92"/>
      <c r="AF29" s="312" t="e">
        <f t="shared" si="23"/>
        <v>#N/A</v>
      </c>
      <c r="AG29" s="99" t="e">
        <f t="shared" si="24"/>
        <v>#N/A</v>
      </c>
      <c r="AH29" s="744"/>
    </row>
    <row r="30" spans="1:34" ht="15" customHeight="1">
      <c r="A30" s="73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35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17"/>
        <v>42.999999999999844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0</v>
      </c>
      <c r="AG30" s="99" t="e">
        <f t="shared" si="24"/>
        <v>#DIV/0!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0</v>
      </c>
      <c r="AG31" s="99" t="e">
        <f t="shared" si="24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 t="e">
        <f t="shared" ref="J37:O37" si="28">AVERAGE(J27:J36)</f>
        <v>#N/A</v>
      </c>
      <c r="K37" s="155" t="e">
        <f t="shared" si="28"/>
        <v>#N/A</v>
      </c>
      <c r="L37" s="158" t="e">
        <f t="shared" si="28"/>
        <v>#N/A</v>
      </c>
      <c r="M37" s="155">
        <f t="shared" si="28"/>
        <v>14.666666666666666</v>
      </c>
      <c r="N37" s="155">
        <f t="shared" si="28"/>
        <v>1812.7225274725522</v>
      </c>
      <c r="O37" s="158">
        <f t="shared" si="28"/>
        <v>126.23842229199551</v>
      </c>
      <c r="P37" s="159" t="e">
        <f>M37-J37</f>
        <v>#N/A</v>
      </c>
      <c r="Q37" s="160" t="e">
        <f>N37-K37</f>
        <v>#N/A</v>
      </c>
      <c r="R37" s="161" t="e">
        <f t="shared" ref="R37:R40" si="29">O37/L37</f>
        <v>#N/A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 t="e">
        <f t="shared" ref="AF37:AF41" si="30">N37-K37</f>
        <v>#N/A</v>
      </c>
      <c r="AG37" s="124" t="e">
        <f t="shared" ref="AG37:AG41" si="31">N37/K37</f>
        <v>#N/A</v>
      </c>
      <c r="AH37" s="727"/>
    </row>
    <row r="38" spans="1:34" s="196" customFormat="1" ht="15" customHeight="1">
      <c r="A38" s="753" t="s">
        <v>48</v>
      </c>
      <c r="B38" s="167" t="e">
        <f>VLOOKUP(D38,廠價表!$C$1:$E$41,2,0)</f>
        <v>#N/A</v>
      </c>
      <c r="C38" s="129"/>
      <c r="D38" s="184"/>
      <c r="E38" s="185"/>
      <c r="F38" s="39" t="e">
        <f>VLOOKUP(D38,廠價表!$C$1:$E$41,3,0)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VLOOKUP(D38,產線配置圖!$A$3:$C$39,2,0)</f>
        <v>#N/A</v>
      </c>
      <c r="K38" s="188" t="e">
        <f>VLOOKUP(D38,產線配置圖!$A$3:$C$39,3,0)</f>
        <v>#N/A</v>
      </c>
      <c r="L38" s="189" t="e">
        <f t="shared" ref="L38:L40" si="32"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 t="shared" ref="P38:P40" si="33">M38-J38</f>
        <v>#N/A</v>
      </c>
      <c r="Q38" s="143" t="e">
        <f t="shared" ref="Q38:Q40" si="34">O38-L38</f>
        <v>#N/A</v>
      </c>
      <c r="R38" s="144" t="e">
        <f>O38/L38</f>
        <v>#N/A</v>
      </c>
      <c r="S38" s="75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17"/>
        <v>69.000000000000469</v>
      </c>
      <c r="X38" s="194"/>
      <c r="Y38" s="302"/>
      <c r="Z38" s="336"/>
      <c r="AA38" s="336"/>
      <c r="AB38" s="758"/>
      <c r="AC38" s="758"/>
      <c r="AD38" s="192"/>
      <c r="AE38" s="192"/>
      <c r="AF38" s="313" t="e">
        <f t="shared" si="30"/>
        <v>#N/A</v>
      </c>
      <c r="AG38" s="195" t="e">
        <f t="shared" si="31"/>
        <v>#N/A</v>
      </c>
      <c r="AH38" s="746" t="e">
        <f>AG48</f>
        <v>#N/A</v>
      </c>
    </row>
    <row r="39" spans="1:34" s="196" customFormat="1" ht="15" customHeight="1">
      <c r="A39" s="754"/>
      <c r="B39" s="75" t="e">
        <f>VLOOKUP(D39,廠價表!$C$1:$E$41,2,0)</f>
        <v>#N/A</v>
      </c>
      <c r="C39" s="197"/>
      <c r="D39" s="198"/>
      <c r="E39" s="176"/>
      <c r="F39" s="75" t="e">
        <f>VLOOKUP(D39,廠價表!$C$1:$E$41,3,0)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VLOOKUP(D39,產線配置圖!$A$3:$C$39,2,0)</f>
        <v>#N/A</v>
      </c>
      <c r="K39" s="95" t="e">
        <f>VLOOKUP(D39,產線配置圖!$A$3:$C$39,3,0)</f>
        <v>#N/A</v>
      </c>
      <c r="L39" s="96" t="e">
        <f t="shared" si="32"/>
        <v>#N/A</v>
      </c>
      <c r="M39" s="201">
        <v>14</v>
      </c>
      <c r="N39" s="202">
        <f>G39/W39*60</f>
        <v>885.00000000000932</v>
      </c>
      <c r="O39" s="203">
        <f t="shared" ref="O39:O40" si="35">N39/M39</f>
        <v>63.214285714286383</v>
      </c>
      <c r="P39" s="97" t="e">
        <f t="shared" si="33"/>
        <v>#N/A</v>
      </c>
      <c r="Q39" s="98" t="e">
        <f t="shared" si="34"/>
        <v>#N/A</v>
      </c>
      <c r="R39" s="99" t="e">
        <f t="shared" si="29"/>
        <v>#N/A</v>
      </c>
      <c r="S39" s="75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17"/>
        <v>79.999999999999162</v>
      </c>
      <c r="X39" s="22"/>
      <c r="Y39" s="84"/>
      <c r="Z39" s="90"/>
      <c r="AA39" s="90"/>
      <c r="AB39" s="749"/>
      <c r="AC39" s="749"/>
      <c r="AD39" s="200"/>
      <c r="AE39" s="200"/>
      <c r="AF39" s="314" t="e">
        <f t="shared" si="30"/>
        <v>#N/A</v>
      </c>
      <c r="AG39" s="206" t="e">
        <f t="shared" si="31"/>
        <v>#N/A</v>
      </c>
      <c r="AH39" s="747"/>
    </row>
    <row r="40" spans="1:34" s="196" customFormat="1" ht="15" customHeight="1">
      <c r="A40" s="754"/>
      <c r="B40" s="75" t="e">
        <f>VLOOKUP(D40,廠價表!$C$1:$E$41,2,0)</f>
        <v>#N/A</v>
      </c>
      <c r="C40" s="207"/>
      <c r="D40" s="198"/>
      <c r="E40" s="178"/>
      <c r="F40" s="75" t="e">
        <f>VLOOKUP(D40,廠價表!$C$1:$E$41,3,0)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VLOOKUP(D40,產線配置圖!$A$3:$C$39,2,0)</f>
        <v>#N/A</v>
      </c>
      <c r="K40" s="95" t="e">
        <f>VLOOKUP(D40,產線配置圖!$A$3:$C$39,3,0)</f>
        <v>#N/A</v>
      </c>
      <c r="L40" s="96" t="e">
        <f t="shared" si="32"/>
        <v>#N/A</v>
      </c>
      <c r="M40" s="201">
        <v>14</v>
      </c>
      <c r="N40" s="202">
        <f>G40/W40*60</f>
        <v>1853.4545454545439</v>
      </c>
      <c r="O40" s="203">
        <f t="shared" si="35"/>
        <v>132.38961038961028</v>
      </c>
      <c r="P40" s="97" t="e">
        <f t="shared" si="33"/>
        <v>#N/A</v>
      </c>
      <c r="Q40" s="98" t="e">
        <f t="shared" si="34"/>
        <v>#N/A</v>
      </c>
      <c r="R40" s="99" t="e">
        <f t="shared" si="29"/>
        <v>#N/A</v>
      </c>
      <c r="S40" s="71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17"/>
        <v>110.00000000000009</v>
      </c>
      <c r="X40" s="208"/>
      <c r="Y40" s="209"/>
      <c r="Z40" s="337"/>
      <c r="AA40" s="337"/>
      <c r="AB40" s="713"/>
      <c r="AC40" s="713"/>
      <c r="AD40" s="92"/>
      <c r="AE40" s="92"/>
      <c r="AF40" s="314" t="e">
        <f t="shared" si="30"/>
        <v>#N/A</v>
      </c>
      <c r="AG40" s="206" t="e">
        <f t="shared" si="31"/>
        <v>#N/A</v>
      </c>
      <c r="AH40" s="747"/>
    </row>
    <row r="41" spans="1:34" s="196" customFormat="1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0"/>
        <v>0</v>
      </c>
      <c r="AG41" s="206" t="e">
        <f t="shared" si="31"/>
        <v>#DIV/0!</v>
      </c>
      <c r="AH41" s="747"/>
    </row>
    <row r="42" spans="1:34" s="196" customFormat="1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s="196" customFormat="1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s="196" customFormat="1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s="196" customFormat="1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s="196" customFormat="1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s="196" customFormat="1" ht="15" customHeight="1">
      <c r="A47" s="754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 t="e">
        <f t="shared" ref="J48:O48" si="37">AVERAGE(J38:J47)</f>
        <v>#N/A</v>
      </c>
      <c r="K48" s="155" t="e">
        <f t="shared" si="37"/>
        <v>#N/A</v>
      </c>
      <c r="L48" s="158" t="e">
        <f t="shared" si="37"/>
        <v>#N/A</v>
      </c>
      <c r="M48" s="155">
        <f t="shared" si="37"/>
        <v>14</v>
      </c>
      <c r="N48" s="155">
        <f t="shared" si="37"/>
        <v>1568.7602108036872</v>
      </c>
      <c r="O48" s="158">
        <f t="shared" si="37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722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 t="e">
        <f t="shared" ref="AF48:AF53" si="38">N48-K48</f>
        <v>#N/A</v>
      </c>
      <c r="AG48" s="162" t="e">
        <f t="shared" ref="AG48:AG53" si="39">N48/K48</f>
        <v>#N/A</v>
      </c>
      <c r="AH48" s="748"/>
    </row>
    <row r="49" spans="1:34" ht="15" customHeight="1">
      <c r="A49" s="750" t="s">
        <v>50</v>
      </c>
      <c r="B49" s="129" t="e">
        <f>VLOOKUP(D49,廠價表!$C$1:$E$41,2,0)</f>
        <v>#N/A</v>
      </c>
      <c r="C49" s="130"/>
      <c r="D49" s="131"/>
      <c r="E49" s="132"/>
      <c r="F49" s="129" t="e">
        <f>VLOOKUP(D49,廠價表!$C$1:$E$41,3,0)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VLOOKUP(D49,產線配置圖!$A$3:$C$39,2,0)</f>
        <v>#N/A</v>
      </c>
      <c r="K49" s="137" t="e">
        <f>VLOOKUP(D49,產線配置圖!$A$3:$C$39,3,0)</f>
        <v>#N/A</v>
      </c>
      <c r="L49" s="138" t="e">
        <f t="shared" ref="L49:L51" si="40"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71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17"/>
        <v>67.999999999999673</v>
      </c>
      <c r="X49" s="55"/>
      <c r="Y49" s="290"/>
      <c r="Z49" s="169"/>
      <c r="AA49" s="169"/>
      <c r="AB49" s="723"/>
      <c r="AC49" s="723"/>
      <c r="AD49" s="135"/>
      <c r="AE49" s="135"/>
      <c r="AF49" s="229" t="e">
        <f t="shared" si="38"/>
        <v>#N/A</v>
      </c>
      <c r="AG49" s="52" t="e">
        <f t="shared" si="39"/>
        <v>#N/A</v>
      </c>
      <c r="AH49" s="724" t="e">
        <f>AG58</f>
        <v>#N/A</v>
      </c>
    </row>
    <row r="50" spans="1:34" ht="15" customHeight="1">
      <c r="A50" s="751"/>
      <c r="B50" s="75" t="e">
        <f>VLOOKUP(D50,廠價表!$C$1:$E$41,2,0)</f>
        <v>#N/A</v>
      </c>
      <c r="C50" s="76"/>
      <c r="D50" s="59"/>
      <c r="E50" s="77"/>
      <c r="F50" s="75" t="e">
        <f>VLOOKUP(D50,廠價表!$C$1:$E$41,3,0)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VLOOKUP(D50,產線配置圖!$A$3:$C$39,2,0)</f>
        <v>#N/A</v>
      </c>
      <c r="K50" s="80" t="e">
        <f>VLOOKUP(D50,產線配置圖!$A$3:$C$39,3,0)</f>
        <v>#N/A</v>
      </c>
      <c r="L50" s="81" t="e">
        <f t="shared" si="40"/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719"/>
      <c r="T50" s="21">
        <v>0.34513888888888899</v>
      </c>
      <c r="U50" s="21">
        <v>0.39444444444444399</v>
      </c>
      <c r="V50" s="30">
        <f t="shared" ref="V50:V52" si="41">(T50-U49)*24*60</f>
        <v>8.999999999999968</v>
      </c>
      <c r="W50" s="236">
        <f t="shared" si="17"/>
        <v>70.99999999999919</v>
      </c>
      <c r="X50" s="22"/>
      <c r="Y50" s="84"/>
      <c r="Z50" s="90"/>
      <c r="AA50" s="90"/>
      <c r="AB50" s="713"/>
      <c r="AC50" s="713"/>
      <c r="AD50" s="92"/>
      <c r="AE50" s="92"/>
      <c r="AF50" s="307" t="e">
        <f t="shared" si="38"/>
        <v>#N/A</v>
      </c>
      <c r="AG50" s="72" t="e">
        <f t="shared" si="39"/>
        <v>#N/A</v>
      </c>
      <c r="AH50" s="725"/>
    </row>
    <row r="51" spans="1:34" ht="15" customHeight="1">
      <c r="A51" s="751"/>
      <c r="B51" s="75" t="e">
        <f>VLOOKUP(D51,廠價表!$C$1:$E$41,2,0)</f>
        <v>#N/A</v>
      </c>
      <c r="C51" s="76"/>
      <c r="D51" s="59"/>
      <c r="E51" s="77"/>
      <c r="F51" s="75" t="e">
        <f>VLOOKUP(D51,廠價表!$C$1:$E$41,3,0)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VLOOKUP(D51,產線配置圖!$A$3:$C$39,2,0)</f>
        <v>#N/A</v>
      </c>
      <c r="K51" s="80" t="e">
        <f>VLOOKUP(D51,產線配置圖!$A$3:$C$39,3,0)</f>
        <v>#N/A</v>
      </c>
      <c r="L51" s="81" t="e">
        <f t="shared" si="40"/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719"/>
      <c r="T51" s="21">
        <v>0.40138888888888902</v>
      </c>
      <c r="U51" s="19">
        <v>0.46041666666666697</v>
      </c>
      <c r="V51" s="30">
        <f t="shared" si="41"/>
        <v>10.000000000000844</v>
      </c>
      <c r="W51" s="236">
        <f t="shared" si="17"/>
        <v>85.000000000000256</v>
      </c>
      <c r="X51" s="22"/>
      <c r="Y51" s="84"/>
      <c r="Z51" s="90"/>
      <c r="AA51" s="90"/>
      <c r="AB51" s="713"/>
      <c r="AC51" s="713"/>
      <c r="AD51" s="92"/>
      <c r="AE51" s="92"/>
      <c r="AF51" s="307" t="e">
        <f t="shared" si="38"/>
        <v>#N/A</v>
      </c>
      <c r="AG51" s="72" t="e">
        <f t="shared" si="39"/>
        <v>#N/A</v>
      </c>
      <c r="AH51" s="725"/>
    </row>
    <row r="52" spans="1:34" ht="15" customHeight="1">
      <c r="A52" s="75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719"/>
      <c r="T52" s="21">
        <v>0.52986111111111101</v>
      </c>
      <c r="U52" s="21">
        <v>0.58333333333333304</v>
      </c>
      <c r="V52" s="30">
        <f t="shared" si="41"/>
        <v>99.999999999999403</v>
      </c>
      <c r="W52" s="236">
        <f t="shared" si="17"/>
        <v>76.99999999999973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38"/>
        <v>0</v>
      </c>
      <c r="AG52" s="72" t="e">
        <f t="shared" si="39"/>
        <v>#DIV/0!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38"/>
        <v>0</v>
      </c>
      <c r="AG53" s="72" t="e">
        <f t="shared" si="39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 t="e">
        <f t="shared" ref="J58:O58" si="42">AVERAGE(J49:J57)</f>
        <v>#N/A</v>
      </c>
      <c r="K58" s="120" t="e">
        <f t="shared" si="42"/>
        <v>#N/A</v>
      </c>
      <c r="L58" s="117" t="e">
        <f t="shared" si="42"/>
        <v>#N/A</v>
      </c>
      <c r="M58" s="120">
        <f t="shared" si="42"/>
        <v>17.666666666666668</v>
      </c>
      <c r="N58" s="120">
        <f t="shared" si="42"/>
        <v>1797.5120132560112</v>
      </c>
      <c r="O58" s="117">
        <f t="shared" si="42"/>
        <v>102.47461972914017</v>
      </c>
      <c r="P58" s="121" t="e">
        <f>M58-J58</f>
        <v>#N/A</v>
      </c>
      <c r="Q58" s="122" t="e">
        <f>N58-K58</f>
        <v>#N/A</v>
      </c>
      <c r="R58" s="123" t="e">
        <f t="shared" ref="R58:R60" si="43">O58/L58</f>
        <v>#N/A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 t="e">
        <f t="shared" ref="AF58:AF61" si="44">N58-K58</f>
        <v>#N/A</v>
      </c>
      <c r="AG58" s="124" t="e">
        <f t="shared" ref="AG58:AG61" si="45">N58/K58</f>
        <v>#N/A</v>
      </c>
      <c r="AH58" s="727"/>
    </row>
    <row r="59" spans="1:34" ht="15" customHeight="1">
      <c r="A59" s="764" t="s">
        <v>52</v>
      </c>
      <c r="B59" s="129" t="e">
        <f>VLOOKUP(D59,廠價表!$C$1:$E$41,2,0)</f>
        <v>#N/A</v>
      </c>
      <c r="C59" s="130"/>
      <c r="D59" s="131"/>
      <c r="E59" s="132"/>
      <c r="F59" s="129" t="e">
        <f>VLOOKUP(D59,廠價表!$C$1:$E$41,3,0)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VLOOKUP(D59,產線配置圖!$A$3:$C$39,2,0)</f>
        <v>#N/A</v>
      </c>
      <c r="K59" s="137" t="e">
        <f>VLOOKUP(D59,產線配置圖!$A$3:$C$39,3,0)</f>
        <v>#N/A</v>
      </c>
      <c r="L59" s="138" t="e">
        <f t="shared" ref="L59:L61" si="46">K59/J59</f>
        <v>#N/A</v>
      </c>
      <c r="M59" s="244">
        <v>13</v>
      </c>
      <c r="N59" s="137">
        <f t="shared" ref="N59:N61" si="47">G59/W59*60</f>
        <v>1131.5000000000048</v>
      </c>
      <c r="O59" s="138">
        <f t="shared" ref="O59:O61" si="48">N59/M59</f>
        <v>87.038461538461902</v>
      </c>
      <c r="P59" s="56" t="e">
        <f t="shared" ref="P59:P61" si="49">M59-J59</f>
        <v>#N/A</v>
      </c>
      <c r="Q59" s="230" t="e">
        <f t="shared" ref="Q59:Q61" si="50">O59-L59</f>
        <v>#N/A</v>
      </c>
      <c r="R59" s="52" t="e">
        <f t="shared" si="43"/>
        <v>#N/A</v>
      </c>
      <c r="S59" s="718" t="e">
        <f>R69</f>
        <v>#N/A</v>
      </c>
      <c r="T59" s="245">
        <v>0.29166666666666702</v>
      </c>
      <c r="U59" s="245">
        <v>0.375</v>
      </c>
      <c r="V59" s="55"/>
      <c r="W59" s="54">
        <f t="shared" si="17"/>
        <v>119.99999999999949</v>
      </c>
      <c r="X59" s="55"/>
      <c r="Y59" s="290"/>
      <c r="Z59" s="169"/>
      <c r="AA59" s="169"/>
      <c r="AB59" s="723"/>
      <c r="AC59" s="723"/>
      <c r="AD59" s="135"/>
      <c r="AE59" s="135"/>
      <c r="AF59" s="310" t="e">
        <f t="shared" si="44"/>
        <v>#N/A</v>
      </c>
      <c r="AG59" s="246" t="e">
        <f t="shared" si="45"/>
        <v>#N/A</v>
      </c>
      <c r="AH59" s="724" t="e">
        <f>AG69</f>
        <v>#N/A</v>
      </c>
    </row>
    <row r="60" spans="1:34" ht="15" customHeight="1">
      <c r="A60" s="765"/>
      <c r="B60" s="75" t="e">
        <f>VLOOKUP(D60,廠價表!$C$1:$E$41,2,0)</f>
        <v>#N/A</v>
      </c>
      <c r="C60" s="86"/>
      <c r="D60" s="175"/>
      <c r="E60" s="87"/>
      <c r="F60" s="75" t="e">
        <f>VLOOKUP(D60,廠價表!$C$1:$E$41,3,0)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VLOOKUP(D60,產線配置圖!$A$3:$C$39,2,0)</f>
        <v>#N/A</v>
      </c>
      <c r="K60" s="80" t="e">
        <f>VLOOKUP(D60,產線配置圖!$A$3:$C$39,3,0)</f>
        <v>#N/A</v>
      </c>
      <c r="L60" s="81" t="e">
        <f t="shared" si="46"/>
        <v>#N/A</v>
      </c>
      <c r="M60" s="82">
        <v>12</v>
      </c>
      <c r="N60" s="80">
        <f t="shared" si="47"/>
        <v>2360.00000000004</v>
      </c>
      <c r="O60" s="81">
        <f t="shared" si="48"/>
        <v>196.66666666667001</v>
      </c>
      <c r="P60" s="74" t="e">
        <f t="shared" si="49"/>
        <v>#N/A</v>
      </c>
      <c r="Q60" s="83" t="e">
        <f t="shared" si="50"/>
        <v>#N/A</v>
      </c>
      <c r="R60" s="72" t="e">
        <f t="shared" si="43"/>
        <v>#N/A</v>
      </c>
      <c r="S60" s="768"/>
      <c r="T60" s="22">
        <v>0.38541666666666702</v>
      </c>
      <c r="U60" s="22">
        <v>0.40625</v>
      </c>
      <c r="V60" s="30">
        <f t="shared" ref="V60:V61" si="51">(T60-U59)*24*60</f>
        <v>15.000000000000506</v>
      </c>
      <c r="W60" s="248">
        <f t="shared" si="17"/>
        <v>29.999999999999496</v>
      </c>
      <c r="X60" s="232"/>
      <c r="Y60" s="177"/>
      <c r="Z60" s="90"/>
      <c r="AA60" s="90"/>
      <c r="AB60" s="713"/>
      <c r="AC60" s="713"/>
      <c r="AD60" s="92"/>
      <c r="AE60" s="92"/>
      <c r="AF60" s="316" t="e">
        <f t="shared" si="44"/>
        <v>#N/A</v>
      </c>
      <c r="AG60" s="249" t="e">
        <f t="shared" si="45"/>
        <v>#N/A</v>
      </c>
      <c r="AH60" s="759"/>
    </row>
    <row r="61" spans="1:34" ht="15" customHeight="1">
      <c r="A61" s="766"/>
      <c r="B61" s="250" t="e">
        <f>VLOOKUP(D61,廠價表!$C$1:$E$41,2,0)</f>
        <v>#N/A</v>
      </c>
      <c r="C61" s="251"/>
      <c r="D61" s="252"/>
      <c r="E61" s="253"/>
      <c r="F61" s="250" t="e">
        <f>VLOOKUP(D61,廠價表!$C$1:$E$41,3,0)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VLOOKUP(D61,產線配置圖!$A$3:$C$39,2,0)</f>
        <v>#N/A</v>
      </c>
      <c r="K61" s="107" t="e">
        <f>VLOOKUP(D61,產線配置圖!$A$3:$C$39,3,0)</f>
        <v>#N/A</v>
      </c>
      <c r="L61" s="238" t="e">
        <f t="shared" si="46"/>
        <v>#N/A</v>
      </c>
      <c r="M61" s="108">
        <v>12</v>
      </c>
      <c r="N61" s="107">
        <f t="shared" si="47"/>
        <v>2192.2580645161406</v>
      </c>
      <c r="O61" s="238">
        <f t="shared" si="48"/>
        <v>182.68817204301172</v>
      </c>
      <c r="P61" s="111" t="e">
        <f t="shared" si="49"/>
        <v>#N/A</v>
      </c>
      <c r="Q61" s="255" t="e">
        <f t="shared" si="50"/>
        <v>#N/A</v>
      </c>
      <c r="R61" s="85" t="e">
        <f>O61/L61</f>
        <v>#N/A</v>
      </c>
      <c r="S61" s="719"/>
      <c r="T61" s="22">
        <v>0.42361111111111099</v>
      </c>
      <c r="U61" s="22">
        <v>0.48819444444444399</v>
      </c>
      <c r="V61" s="30">
        <f t="shared" si="51"/>
        <v>24.999999999999829</v>
      </c>
      <c r="W61" s="256">
        <f t="shared" si="17"/>
        <v>92.999999999999517</v>
      </c>
      <c r="X61" s="22"/>
      <c r="Y61" s="84"/>
      <c r="Z61" s="90"/>
      <c r="AA61" s="90"/>
      <c r="AB61" s="713"/>
      <c r="AC61" s="713"/>
      <c r="AD61" s="92"/>
      <c r="AE61" s="92"/>
      <c r="AF61" s="317" t="e">
        <f t="shared" si="44"/>
        <v>#N/A</v>
      </c>
      <c r="AG61" s="247" t="e">
        <f t="shared" si="45"/>
        <v>#N/A</v>
      </c>
      <c r="AH61" s="725"/>
    </row>
    <row r="62" spans="1:34" ht="15" customHeight="1">
      <c r="A62" s="76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19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0</v>
      </c>
      <c r="AG62" s="247" t="e">
        <f>N62/K62</f>
        <v>#DIV/0!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 t="e">
        <f t="shared" ref="J69:O69" si="52">AVERAGE(J59:J68)</f>
        <v>#N/A</v>
      </c>
      <c r="K69" s="240" t="e">
        <f t="shared" si="52"/>
        <v>#N/A</v>
      </c>
      <c r="L69" s="268" t="e">
        <f t="shared" si="52"/>
        <v>#N/A</v>
      </c>
      <c r="M69" s="240">
        <f t="shared" si="52"/>
        <v>12.333333333333334</v>
      </c>
      <c r="N69" s="240">
        <f t="shared" si="52"/>
        <v>1894.5860215053951</v>
      </c>
      <c r="O69" s="268">
        <f t="shared" si="52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727"/>
    </row>
    <row r="70" spans="1:36" ht="15" customHeight="1">
      <c r="A70" s="760" t="s">
        <v>55</v>
      </c>
      <c r="B70" s="129" t="e">
        <f>VLOOKUP(D70,廠價表!$C$1:$E$41,2,0)</f>
        <v>#N/A</v>
      </c>
      <c r="C70" s="129"/>
      <c r="D70" s="131"/>
      <c r="E70" s="132"/>
      <c r="F70" s="129" t="e">
        <f>VLOOKUP(D70,廠價表!$C$1:$E$41,3,0)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VLOOKUP(D70,產線配置圖!$A$3:$C$39,2,0)</f>
        <v>#N/A</v>
      </c>
      <c r="K70" s="137" t="e">
        <f>VLOOKUP(D70,產線配置圖!$A$3:$C$39,3,0)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718" t="e">
        <f>R79</f>
        <v>#N/A</v>
      </c>
      <c r="T70" s="245">
        <v>0.34722222222222199</v>
      </c>
      <c r="U70" s="245">
        <v>0.46875</v>
      </c>
      <c r="V70" s="55"/>
      <c r="W70" s="54">
        <f t="shared" si="17"/>
        <v>175.00000000000034</v>
      </c>
      <c r="X70" s="270"/>
      <c r="Y70" s="292"/>
      <c r="Z70" s="169"/>
      <c r="AA70" s="169"/>
      <c r="AB70" s="723"/>
      <c r="AC70" s="723"/>
      <c r="AD70" s="135"/>
      <c r="AE70" s="135"/>
      <c r="AF70" s="310" t="e">
        <f>N70-K70</f>
        <v>#N/A</v>
      </c>
      <c r="AG70" s="246" t="e">
        <f>N70/K70</f>
        <v>#N/A</v>
      </c>
      <c r="AH70" s="724" t="e">
        <f>AG79</f>
        <v>#N/A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 t="e">
        <f t="shared" ref="J79:O79" si="54">AVERAGE(J70:J78)</f>
        <v>#N/A</v>
      </c>
      <c r="K79" s="240" t="e">
        <f t="shared" si="54"/>
        <v>#N/A</v>
      </c>
      <c r="L79" s="268" t="e">
        <f t="shared" si="54"/>
        <v>#N/A</v>
      </c>
      <c r="M79" s="240">
        <f t="shared" si="54"/>
        <v>11</v>
      </c>
      <c r="N79" s="240">
        <f t="shared" si="54"/>
        <v>775.88571428571277</v>
      </c>
      <c r="O79" s="268">
        <f t="shared" si="54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0:AC10"/>
    <mergeCell ref="A5:A15"/>
    <mergeCell ref="S5:S15"/>
    <mergeCell ref="AB5:AC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D15:E15"/>
    <mergeCell ref="AB15:AC15"/>
    <mergeCell ref="G3:G4"/>
    <mergeCell ref="J1:L2"/>
    <mergeCell ref="M1:O2"/>
    <mergeCell ref="P1:S2"/>
    <mergeCell ref="H3:H4"/>
    <mergeCell ref="I3:I4"/>
    <mergeCell ref="J3:J4"/>
    <mergeCell ref="K3:K4"/>
    <mergeCell ref="N3:N4"/>
    <mergeCell ref="O3:O4"/>
    <mergeCell ref="P3:P4"/>
    <mergeCell ref="Q3:Q4"/>
    <mergeCell ref="L3:L4"/>
    <mergeCell ref="M3:M4"/>
    <mergeCell ref="AB1:AC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A2:B2"/>
    <mergeCell ref="A3:A4"/>
    <mergeCell ref="B3:B4"/>
    <mergeCell ref="D3:E4"/>
    <mergeCell ref="F3:F4"/>
  </mergeCells>
  <phoneticPr fontId="6" type="noConversion"/>
  <conditionalFormatting sqref="P5:P79">
    <cfRule type="cellIs" dxfId="369" priority="1" operator="greaterThan">
      <formula>0</formula>
    </cfRule>
  </conditionalFormatting>
  <conditionalFormatting sqref="Q5:Q79 AF5:AF79">
    <cfRule type="cellIs" dxfId="368" priority="4" operator="lessThan">
      <formula>0</formula>
    </cfRule>
  </conditionalFormatting>
  <conditionalFormatting sqref="R5:R79 AG5:AG79">
    <cfRule type="cellIs" dxfId="367" priority="2" operator="greaterThan">
      <formula>1</formula>
    </cfRule>
    <cfRule type="cellIs" dxfId="366" priority="3" operator="lessThan">
      <formula>0.8</formula>
    </cfRule>
  </conditionalFormatting>
  <conditionalFormatting sqref="S5:S10 S37:S62 AH59:AH62 S69:S76 AH69:AH76">
    <cfRule type="cellIs" dxfId="365" priority="7" operator="lessThan">
      <formula>0.8</formula>
    </cfRule>
  </conditionalFormatting>
  <conditionalFormatting sqref="S19:S25 AH19:AH25">
    <cfRule type="cellIs" dxfId="364" priority="6" operator="lessThan">
      <formula>0.8</formula>
    </cfRule>
  </conditionalFormatting>
  <conditionalFormatting sqref="S79">
    <cfRule type="cellIs" dxfId="363" priority="5" operator="lessThan">
      <formula>0.8</formula>
    </cfRule>
  </conditionalFormatting>
  <conditionalFormatting sqref="AH5:AH8 S15:S16 AH15:AH16 AH49 AH79">
    <cfRule type="cellIs" dxfId="362" priority="9" operator="lessThan">
      <formula>0.8</formula>
    </cfRule>
  </conditionalFormatting>
  <conditionalFormatting sqref="AH27 S27:S28">
    <cfRule type="cellIs" dxfId="36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96FC-D888-4B4B-9C89-82AF42867D6C}">
  <dimension ref="B1:O26"/>
  <sheetViews>
    <sheetView topLeftCell="B1" zoomScale="70" zoomScaleNormal="70" workbookViewId="0">
      <selection activeCell="O6" sqref="O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46023</v>
      </c>
      <c r="E3" s="645"/>
      <c r="F3" s="3" t="s">
        <v>72</v>
      </c>
      <c r="G3" s="646">
        <f>'0101'!E1</f>
        <v>46936</v>
      </c>
      <c r="H3" s="646"/>
      <c r="I3" s="3" t="s">
        <v>2</v>
      </c>
      <c r="J3" s="647">
        <f>'0101'!G1</f>
        <v>2271948.87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110.9242216454733</v>
      </c>
      <c r="G6" s="652"/>
      <c r="H6" s="653">
        <f>AVERAGE(D13:H13,J13)</f>
        <v>108.09348294535988</v>
      </c>
      <c r="I6" s="653"/>
      <c r="J6" s="653">
        <f>AVERAGE(I13)</f>
        <v>127.90865384615384</v>
      </c>
      <c r="K6" s="653"/>
      <c r="L6" s="655">
        <f>'0101'!Z2</f>
        <v>4</v>
      </c>
      <c r="M6" s="656">
        <f>'0101'!AA2</f>
        <v>88</v>
      </c>
      <c r="N6" s="657">
        <f>'0101'!AD2</f>
        <v>0</v>
      </c>
      <c r="O6" s="656">
        <f>'0101'!AE2</f>
        <v>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96.330212970167608</v>
      </c>
      <c r="G7" s="676"/>
      <c r="H7" s="677">
        <f>AVERAGE(D14:H14,J14)</f>
        <v>93.598204953151878</v>
      </c>
      <c r="I7" s="677"/>
      <c r="J7" s="677">
        <f>AVERAGE(I14)</f>
        <v>112.72226107226192</v>
      </c>
      <c r="K7" s="677"/>
      <c r="L7" s="655"/>
      <c r="M7" s="656"/>
      <c r="N7" s="657"/>
      <c r="O7" s="656"/>
    </row>
    <row r="8" spans="2:15" ht="39.6" customHeight="1">
      <c r="B8" s="641"/>
      <c r="C8" s="641"/>
      <c r="D8" s="648" t="s">
        <v>27</v>
      </c>
      <c r="E8" s="648"/>
      <c r="F8" s="649">
        <f>F7/F6</f>
        <v>0.86843262491442275</v>
      </c>
      <c r="G8" s="649"/>
      <c r="H8" s="649">
        <f>H7/H6</f>
        <v>0.86590053722725158</v>
      </c>
      <c r="I8" s="649"/>
      <c r="J8" s="649">
        <f>J7/J6</f>
        <v>0.88127157688518998</v>
      </c>
      <c r="K8" s="649"/>
      <c r="L8" s="655"/>
      <c r="M8" s="656"/>
      <c r="N8" s="657"/>
      <c r="O8" s="65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VALUE('0101'!L15)</f>
        <v>116.40159221583372</v>
      </c>
      <c r="E13" s="13">
        <f>VALUE('0101'!L26)</f>
        <v>162.27564102564102</v>
      </c>
      <c r="F13" s="13">
        <f>VALUE('0101'!L37)</f>
        <v>84.77941176470587</v>
      </c>
      <c r="G13" s="13">
        <f>VALUE('0101'!L48)</f>
        <v>83.408991228070178</v>
      </c>
      <c r="H13" s="13">
        <f>VALUE('0101'!L58)</f>
        <v>89.195261437908499</v>
      </c>
      <c r="I13" s="13">
        <f>VALUE('0101'!L69)</f>
        <v>127.90865384615384</v>
      </c>
      <c r="J13" s="13">
        <f>'0101'!L79</f>
        <v>112.5</v>
      </c>
    </row>
    <row r="14" spans="2:15" ht="39.950000000000003" customHeight="1">
      <c r="B14" s="670"/>
      <c r="C14" s="12" t="s">
        <v>100</v>
      </c>
      <c r="D14" s="13">
        <f>VALUE('0101'!O15)</f>
        <v>103.81803229645909</v>
      </c>
      <c r="E14" s="13">
        <f>VALUE('0101'!O26)</f>
        <v>138.58068744283113</v>
      </c>
      <c r="F14" s="13">
        <f>VALUE('0101'!O37)</f>
        <v>78.256979114736453</v>
      </c>
      <c r="G14" s="13">
        <f>VALUE('0101'!O48)</f>
        <v>71.679400391011612</v>
      </c>
      <c r="H14" s="13">
        <f>VALUE('0101'!O58)</f>
        <v>80.992061508355349</v>
      </c>
      <c r="I14" s="13">
        <f>VALUE('0101'!O69)</f>
        <v>112.72226107226192</v>
      </c>
      <c r="J14" s="13">
        <f>'0101'!O79</f>
        <v>88.262068965517656</v>
      </c>
    </row>
    <row r="15" spans="2:15" ht="39.950000000000003" customHeight="1">
      <c r="B15" s="671"/>
      <c r="C15" s="10" t="s">
        <v>26</v>
      </c>
      <c r="D15" s="14">
        <f>D14/D13</f>
        <v>0.89189529387156508</v>
      </c>
      <c r="E15" s="14">
        <f t="shared" ref="E15:J15" si="0">E14/E13</f>
        <v>0.85398330006247902</v>
      </c>
      <c r="F15" s="14">
        <f t="shared" si="0"/>
        <v>0.92306584211657927</v>
      </c>
      <c r="G15" s="14">
        <f t="shared" si="0"/>
        <v>0.85937258484537182</v>
      </c>
      <c r="H15" s="14">
        <f t="shared" si="0"/>
        <v>0.90803098956928729</v>
      </c>
      <c r="I15" s="14">
        <f t="shared" si="0"/>
        <v>0.88127157688518998</v>
      </c>
      <c r="J15" s="14">
        <f t="shared" si="0"/>
        <v>0.78455172413793473</v>
      </c>
    </row>
    <row r="16" spans="2:15" ht="17.25" customHeight="1">
      <c r="B16" s="672" t="s">
        <v>101</v>
      </c>
      <c r="C16" s="10" t="s">
        <v>34</v>
      </c>
      <c r="D16" s="16">
        <f>'0101'!T5</f>
        <v>0.29027777777777802</v>
      </c>
      <c r="E16" s="16">
        <f>'0101'!T16</f>
        <v>0.29027777777777802</v>
      </c>
      <c r="F16" s="16">
        <f>'0101'!T27</f>
        <v>0.29166666666666702</v>
      </c>
      <c r="G16" s="16">
        <f>'0101'!T38</f>
        <v>0.33333333333333298</v>
      </c>
      <c r="H16" s="16">
        <f>'0101'!T49</f>
        <v>0.28888888888888897</v>
      </c>
      <c r="I16" s="16">
        <f>'0101'!T59</f>
        <v>0.29166666666666702</v>
      </c>
      <c r="J16" s="17">
        <f>'0101'!T70</f>
        <v>0.34027777777777801</v>
      </c>
    </row>
    <row r="17" spans="2:10" ht="17.25" customHeight="1">
      <c r="B17" s="673"/>
      <c r="C17" s="10" t="s">
        <v>35</v>
      </c>
      <c r="D17" s="22">
        <v>0.64583333333333304</v>
      </c>
      <c r="E17" s="183">
        <v>0.59652777777777799</v>
      </c>
      <c r="F17" s="19">
        <v>0.58333333333333304</v>
      </c>
      <c r="G17" s="20">
        <v>0.60902777777777795</v>
      </c>
      <c r="H17" s="21">
        <v>0.61458333333333304</v>
      </c>
      <c r="I17" s="22">
        <v>0.55902777777777801</v>
      </c>
      <c r="J17" s="110">
        <v>0.44097222222222199</v>
      </c>
    </row>
    <row r="18" spans="2:10" ht="17.25" customHeight="1">
      <c r="B18" s="674" t="s">
        <v>102</v>
      </c>
      <c r="C18" s="330" t="s">
        <v>36</v>
      </c>
      <c r="D18" s="358">
        <f>'0101'!Z15</f>
        <v>1</v>
      </c>
      <c r="E18" s="359">
        <f>'0101'!Z26</f>
        <v>1</v>
      </c>
      <c r="F18" s="359">
        <f>'0101'!Z37</f>
        <v>1</v>
      </c>
      <c r="G18" s="360">
        <f>'0101'!Z48</f>
        <v>1</v>
      </c>
      <c r="H18" s="360">
        <f>'0101'!Z58</f>
        <v>0</v>
      </c>
      <c r="I18" s="359">
        <f>'0101'!Z69</f>
        <v>0</v>
      </c>
      <c r="J18" s="359">
        <f>'0101'!Z79</f>
        <v>0</v>
      </c>
    </row>
    <row r="19" spans="2:10" ht="17.25" customHeight="1">
      <c r="B19" s="675"/>
      <c r="C19" s="330" t="s">
        <v>37</v>
      </c>
      <c r="D19" s="358">
        <f>'0101'!AA15</f>
        <v>23</v>
      </c>
      <c r="E19" s="359">
        <f>'0101'!AA26</f>
        <v>29</v>
      </c>
      <c r="F19" s="359">
        <f>'0101'!AA37</f>
        <v>15</v>
      </c>
      <c r="G19" s="360">
        <f>'0101'!AA48</f>
        <v>21</v>
      </c>
      <c r="H19" s="360">
        <f>'0101'!AA58</f>
        <v>0</v>
      </c>
      <c r="I19" s="359">
        <f>'0101'!AA69</f>
        <v>0</v>
      </c>
      <c r="J19" s="359">
        <f>'0101'!AA79</f>
        <v>0</v>
      </c>
    </row>
    <row r="20" spans="2:10" ht="17.25" customHeight="1">
      <c r="B20" s="674" t="s">
        <v>103</v>
      </c>
      <c r="C20" s="330" t="s">
        <v>36</v>
      </c>
      <c r="D20" s="358">
        <f>'0101'!AD15</f>
        <v>0</v>
      </c>
      <c r="E20" s="359">
        <f>'0101'!AD26</f>
        <v>0</v>
      </c>
      <c r="F20" s="359">
        <f>'0101'!AD37</f>
        <v>0</v>
      </c>
      <c r="G20" s="359">
        <f>'0101'!AD48</f>
        <v>0</v>
      </c>
      <c r="H20" s="360">
        <f>'0101'!AD58</f>
        <v>0</v>
      </c>
      <c r="I20" s="360">
        <f>'0101'!AD69</f>
        <v>0</v>
      </c>
      <c r="J20" s="360">
        <f>'0101'!AD79</f>
        <v>0</v>
      </c>
    </row>
    <row r="21" spans="2:10" ht="17.25" customHeight="1">
      <c r="B21" s="675"/>
      <c r="C21" s="330" t="s">
        <v>85</v>
      </c>
      <c r="D21" s="358">
        <f>'0101'!AE15</f>
        <v>0</v>
      </c>
      <c r="E21" s="358">
        <f>'0101'!AD15</f>
        <v>0</v>
      </c>
      <c r="F21" s="359">
        <f>'0101'!AE37</f>
        <v>0</v>
      </c>
      <c r="G21" s="359">
        <f>'0101'!AE48</f>
        <v>0</v>
      </c>
      <c r="H21" s="360">
        <f>'0101'!AE58</f>
        <v>0</v>
      </c>
      <c r="I21" s="360">
        <f>'0101'!AE69</f>
        <v>0</v>
      </c>
      <c r="J21" s="360">
        <f>'0101'!AE79</f>
        <v>0</v>
      </c>
    </row>
    <row r="22" spans="2:10" ht="17.25" customHeight="1">
      <c r="B22" s="658" t="s">
        <v>104</v>
      </c>
      <c r="C22" s="659"/>
      <c r="D22" s="23">
        <f>VALUE('0101'!M15)</f>
        <v>15.2</v>
      </c>
      <c r="E22" s="23">
        <f>VALUE('0101'!M26)</f>
        <v>12.75</v>
      </c>
      <c r="F22" s="23">
        <f>VALUE('0101'!M37)</f>
        <v>15.5</v>
      </c>
      <c r="G22" s="23">
        <f>VALUE('0101'!M48)</f>
        <v>14</v>
      </c>
      <c r="H22" s="23">
        <f>VALUE('0101'!M58)</f>
        <v>16.75</v>
      </c>
      <c r="I22" s="23">
        <f>VALUE('0101'!M69)</f>
        <v>11.75</v>
      </c>
      <c r="J22" s="23">
        <f>'0101'!M79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6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C608-CE4F-451D-83EB-56000690671F}">
  <sheetPr>
    <tabColor theme="9" tint="0.79998168889431442"/>
  </sheetPr>
  <dimension ref="A1:AJ92"/>
  <sheetViews>
    <sheetView zoomScale="69" zoomScaleNormal="69" workbookViewId="0">
      <pane xSplit="5" ySplit="4" topLeftCell="G38" activePane="bottomRight" state="frozen"/>
      <selection activeCell="G76" sqref="G76"/>
      <selection pane="topRight" activeCell="G76" sqref="G76"/>
      <selection pane="bottomLeft" activeCell="G76" sqref="G76"/>
      <selection pane="bottomRight" activeCell="AB70" sqref="AB70:AC7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46936</v>
      </c>
      <c r="F1" s="30" t="s">
        <v>2</v>
      </c>
      <c r="G1" s="31">
        <f>SUM(H5:H79)</f>
        <v>2271948.87</v>
      </c>
      <c r="H1" s="32" t="s">
        <v>3</v>
      </c>
      <c r="I1" s="33">
        <f>M15+M26+M48+M58+M69+M79+M37</f>
        <v>95.95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112</v>
      </c>
      <c r="B2" s="678"/>
      <c r="C2" s="28"/>
      <c r="D2" s="28" t="s">
        <v>14</v>
      </c>
      <c r="E2" s="35">
        <f>AVERAGE(O15,O26,O37,O48,O58,O69,O79)</f>
        <v>96.330212970167608</v>
      </c>
      <c r="F2" s="36" t="s">
        <v>15</v>
      </c>
      <c r="G2" s="37">
        <f>G1/E1</f>
        <v>48.405251193114033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4</v>
      </c>
      <c r="AA2" s="339">
        <f>AA15+AA26+AA37+AA48+AA58+AA69+AA79</f>
        <v>88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2682</v>
      </c>
      <c r="H5" s="43">
        <f>F5*G5</f>
        <v>127958.22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1436.7857142857101</v>
      </c>
      <c r="O5" s="47">
        <f t="shared" ref="O5:O7" si="2">N5/M5</f>
        <v>102.62755102040786</v>
      </c>
      <c r="P5" s="49">
        <f t="shared" ref="P5:P7" si="3">M5-J5</f>
        <v>0</v>
      </c>
      <c r="Q5" s="50">
        <f t="shared" ref="Q5:Q7" si="4">O5-L5</f>
        <v>-0.22959183673499695</v>
      </c>
      <c r="R5" s="51">
        <f t="shared" ref="R5:R7" si="5">O5/L5</f>
        <v>0.99776785714285421</v>
      </c>
      <c r="S5" s="718">
        <f>R15</f>
        <v>0.89189529387156508</v>
      </c>
      <c r="T5" s="319">
        <v>0.29027777777777802</v>
      </c>
      <c r="U5" s="320">
        <v>0.36805555555555602</v>
      </c>
      <c r="V5" s="53"/>
      <c r="W5" s="54">
        <f t="shared" ref="W5:W14" si="6">(U5-T5)*24*60</f>
        <v>112.00000000000033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-3.214285714289872</v>
      </c>
      <c r="AG5" s="52">
        <f t="shared" ref="AG5:AG11" si="8">N5/K5</f>
        <v>0.99776785714285421</v>
      </c>
      <c r="AH5" s="724">
        <f>AG15</f>
        <v>0.88224907592575386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1463</v>
      </c>
      <c r="H6" s="63">
        <f>F6*G6</f>
        <v>83698.23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1994.9999999999709</v>
      </c>
      <c r="O6" s="67">
        <f t="shared" si="2"/>
        <v>117.35294117646887</v>
      </c>
      <c r="P6" s="69">
        <f t="shared" si="3"/>
        <v>0</v>
      </c>
      <c r="Q6" s="70">
        <f t="shared" si="4"/>
        <v>-0.29411764706053134</v>
      </c>
      <c r="R6" s="71">
        <f t="shared" si="5"/>
        <v>0.99749999999998551</v>
      </c>
      <c r="S6" s="719"/>
      <c r="T6" s="16">
        <v>0.37361111111111101</v>
      </c>
      <c r="U6" s="16">
        <v>0.40416666666666701</v>
      </c>
      <c r="V6" s="30">
        <f>(T6-U5)*24*60</f>
        <v>7.9999999999991722</v>
      </c>
      <c r="W6" s="73">
        <f t="shared" si="6"/>
        <v>44.000000000000639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-5.0000000000291038</v>
      </c>
      <c r="AG6" s="72">
        <f t="shared" si="8"/>
        <v>0.9974999999999854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3223</v>
      </c>
      <c r="H7" s="78">
        <f>F7*G7</f>
        <v>158378.22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1993.6082474226826</v>
      </c>
      <c r="O7" s="81">
        <f t="shared" si="2"/>
        <v>142.40058910162017</v>
      </c>
      <c r="P7" s="74">
        <f t="shared" si="3"/>
        <v>0</v>
      </c>
      <c r="Q7" s="83">
        <f t="shared" si="4"/>
        <v>-0.45655375552269106</v>
      </c>
      <c r="R7" s="72">
        <f t="shared" si="5"/>
        <v>0.99680412371134119</v>
      </c>
      <c r="S7" s="719"/>
      <c r="T7" s="18">
        <v>0.41041666666666698</v>
      </c>
      <c r="U7" s="18">
        <v>0.47777777777777802</v>
      </c>
      <c r="V7" s="30">
        <f>(T7-U6)*24*60</f>
        <v>8.999999999999968</v>
      </c>
      <c r="W7" s="73">
        <f t="shared" si="6"/>
        <v>96.999999999999901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-6.3917525773174475</v>
      </c>
      <c r="AG7" s="72">
        <f t="shared" si="8"/>
        <v>0.99680412371134131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1111</v>
      </c>
      <c r="H8" s="78">
        <f>F8*G8</f>
        <v>54594.54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1190.3571428571368</v>
      </c>
      <c r="O8" s="81">
        <f>N8/M8</f>
        <v>85.025510204081201</v>
      </c>
      <c r="P8" s="74">
        <f>M8-J8</f>
        <v>0</v>
      </c>
      <c r="Q8" s="83">
        <f>O8-L8</f>
        <v>-57.831632653061661</v>
      </c>
      <c r="R8" s="72">
        <f>O8/L8</f>
        <v>0.59517857142856834</v>
      </c>
      <c r="S8" s="719"/>
      <c r="T8" s="16">
        <v>0.54027777777777797</v>
      </c>
      <c r="U8" s="16">
        <v>0.57916666666666705</v>
      </c>
      <c r="V8" s="30">
        <f>(T8-U7)*24*60</f>
        <v>89.999999999999915</v>
      </c>
      <c r="W8" s="73">
        <f t="shared" si="6"/>
        <v>56.000000000000284</v>
      </c>
      <c r="X8" s="22">
        <v>0.48611111111111099</v>
      </c>
      <c r="Y8" s="84">
        <v>0.52777777777777801</v>
      </c>
      <c r="Z8" s="90">
        <v>1</v>
      </c>
      <c r="AA8" s="90">
        <v>23</v>
      </c>
      <c r="AB8" s="728" t="s">
        <v>116</v>
      </c>
      <c r="AC8" s="728"/>
      <c r="AD8" s="149"/>
      <c r="AE8" s="149"/>
      <c r="AF8" s="307">
        <f t="shared" si="7"/>
        <v>-809.64285714286325</v>
      </c>
      <c r="AG8" s="72">
        <f>N8/K8</f>
        <v>0.59517857142856834</v>
      </c>
      <c r="AH8" s="725"/>
    </row>
    <row r="9" spans="1:34" ht="15" customHeight="1">
      <c r="A9" s="716"/>
      <c r="B9" s="75" t="s">
        <v>117</v>
      </c>
      <c r="C9" s="88"/>
      <c r="D9" s="59" t="s">
        <v>118</v>
      </c>
      <c r="E9" s="89"/>
      <c r="F9" s="75">
        <f>VLOOKUP(D9,廠價表!$C$1:$E$41,3,0)</f>
        <v>44.3</v>
      </c>
      <c r="G9" s="90">
        <v>1178</v>
      </c>
      <c r="H9" s="78">
        <f>F9*G9</f>
        <v>52185.399999999994</v>
      </c>
      <c r="I9" s="73"/>
      <c r="J9" s="79">
        <f>VLOOKUP(D9,產線配置圖!$A$3:$C$39,2,0)</f>
        <v>19</v>
      </c>
      <c r="K9" s="80">
        <f>VLOOKUP(D9,產線配置圖!$A$3:$C$39,3,0)</f>
        <v>1440</v>
      </c>
      <c r="L9" s="81">
        <f>K9/J9</f>
        <v>75.78947368421052</v>
      </c>
      <c r="M9" s="94">
        <v>17</v>
      </c>
      <c r="N9" s="80">
        <f>G9/W9*60</f>
        <v>1218.6206896551937</v>
      </c>
      <c r="O9" s="81">
        <f>N9/M9</f>
        <v>71.683569979717277</v>
      </c>
      <c r="P9" s="74">
        <f>M9-J9</f>
        <v>-2</v>
      </c>
      <c r="Q9" s="83">
        <f>O9-L9</f>
        <v>-4.1059037044932438</v>
      </c>
      <c r="R9" s="72">
        <f>O9/L9</f>
        <v>0.94582488167682521</v>
      </c>
      <c r="S9" s="720"/>
      <c r="T9" s="22">
        <v>0.60555555555555596</v>
      </c>
      <c r="U9" s="22">
        <v>0.64583333333333304</v>
      </c>
      <c r="V9" s="30"/>
      <c r="W9" s="73">
        <f t="shared" si="6"/>
        <v>57.999999999998991</v>
      </c>
      <c r="X9" s="22"/>
      <c r="Y9" s="84"/>
      <c r="Z9" s="90"/>
      <c r="AA9" s="90"/>
      <c r="AB9" s="728" t="s">
        <v>119</v>
      </c>
      <c r="AC9" s="728"/>
      <c r="AD9" s="149"/>
      <c r="AE9" s="149"/>
      <c r="AF9" s="307">
        <f t="shared" si="7"/>
        <v>-221.3793103448063</v>
      </c>
      <c r="AG9" s="72">
        <f t="shared" si="8"/>
        <v>0.8462643678161067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/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78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/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 t="s">
        <v>120</v>
      </c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15.6</v>
      </c>
      <c r="K15" s="120">
        <f t="shared" si="9"/>
        <v>1776</v>
      </c>
      <c r="L15" s="117">
        <f t="shared" si="9"/>
        <v>116.40159221583372</v>
      </c>
      <c r="M15" s="120">
        <f t="shared" si="9"/>
        <v>15.2</v>
      </c>
      <c r="N15" s="120">
        <f t="shared" si="9"/>
        <v>1566.8743588441389</v>
      </c>
      <c r="O15" s="117">
        <f t="shared" si="9"/>
        <v>103.81803229645909</v>
      </c>
      <c r="P15" s="121">
        <f t="shared" ref="P15:P18" si="10">M15-J15</f>
        <v>-0.40000000000000036</v>
      </c>
      <c r="Q15" s="122">
        <f t="shared" ref="Q15:Q18" si="11">O15-L15</f>
        <v>-12.583559919374622</v>
      </c>
      <c r="R15" s="123">
        <f t="shared" ref="R15:R18" si="12">O15/L15</f>
        <v>0.89189529387156508</v>
      </c>
      <c r="S15" s="72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23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-209.1256411558611</v>
      </c>
      <c r="AG15" s="124">
        <f t="shared" ref="AG15:AG19" si="14">N15/K15</f>
        <v>0.88224907592575386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2324</v>
      </c>
      <c r="H16" s="134">
        <f>F16*G16</f>
        <v>132956.04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1936.6666666666672</v>
      </c>
      <c r="O16" s="141">
        <f>N16/M16</f>
        <v>138.33333333333337</v>
      </c>
      <c r="P16" s="142">
        <f>M16-J16</f>
        <v>1</v>
      </c>
      <c r="Q16" s="143">
        <f t="shared" si="11"/>
        <v>-23.589743589743563</v>
      </c>
      <c r="R16" s="144">
        <f>O16/L16</f>
        <v>0.85431512272367394</v>
      </c>
      <c r="S16" s="734">
        <f>R26</f>
        <v>0.85398330006247902</v>
      </c>
      <c r="T16" s="145">
        <v>0.29027777777777802</v>
      </c>
      <c r="U16" s="145">
        <v>0.34027777777777801</v>
      </c>
      <c r="V16" s="135"/>
      <c r="W16" s="146">
        <f t="shared" ref="W16:W78" si="17">(U16-T16)*24*60</f>
        <v>71.999999999999986</v>
      </c>
      <c r="X16" s="141"/>
      <c r="Y16" s="296"/>
      <c r="Z16" s="169"/>
      <c r="AA16" s="169"/>
      <c r="AB16" s="723" t="s">
        <v>122</v>
      </c>
      <c r="AC16" s="723"/>
      <c r="AD16" s="135"/>
      <c r="AE16" s="135"/>
      <c r="AF16" s="229">
        <f t="shared" si="13"/>
        <v>-168.3333333333328</v>
      </c>
      <c r="AG16" s="52">
        <f t="shared" si="14"/>
        <v>0.92003167062549507</v>
      </c>
      <c r="AH16" s="724">
        <f>AG26</f>
        <v>0.87374293856501106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3285</v>
      </c>
      <c r="H17" s="78">
        <f>F17*G17</f>
        <v>166450.95000000001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1990.9090909090899</v>
      </c>
      <c r="O17" s="96">
        <f t="shared" ref="O17:O18" si="18">N17/M17</f>
        <v>153.14685314685306</v>
      </c>
      <c r="P17" s="97">
        <f t="shared" si="10"/>
        <v>0</v>
      </c>
      <c r="Q17" s="98">
        <f t="shared" si="11"/>
        <v>-0.69930069930077821</v>
      </c>
      <c r="R17" s="99">
        <f t="shared" si="12"/>
        <v>0.99545454545454493</v>
      </c>
      <c r="S17" s="735"/>
      <c r="T17" s="19">
        <v>0.34722222222222199</v>
      </c>
      <c r="U17" s="19">
        <v>0.41597222222222202</v>
      </c>
      <c r="V17" s="30">
        <f>(T17-U16)*24*60</f>
        <v>9.999999999999325</v>
      </c>
      <c r="W17" s="149">
        <f t="shared" si="17"/>
        <v>99.000000000000043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-9.0909090909101451</v>
      </c>
      <c r="AG17" s="72">
        <f t="shared" si="14"/>
        <v>0.99545454545454493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2487</v>
      </c>
      <c r="H18" s="78">
        <f>F18*G18</f>
        <v>125319.93000000001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1865.2499999999841</v>
      </c>
      <c r="O18" s="96">
        <f t="shared" si="18"/>
        <v>155.43749999999866</v>
      </c>
      <c r="P18" s="97">
        <f t="shared" si="10"/>
        <v>0</v>
      </c>
      <c r="Q18" s="98">
        <f t="shared" si="11"/>
        <v>-11.229166666667993</v>
      </c>
      <c r="R18" s="99">
        <f t="shared" si="12"/>
        <v>0.93262499999999204</v>
      </c>
      <c r="S18" s="735"/>
      <c r="T18" s="19">
        <v>0.42361111111111099</v>
      </c>
      <c r="U18" s="19">
        <v>0.47916666666666702</v>
      </c>
      <c r="V18" s="30">
        <f>(T18-U17)*24*60</f>
        <v>11.000000000000121</v>
      </c>
      <c r="W18" s="149">
        <f t="shared" si="17"/>
        <v>80.000000000000682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-134.75000000001592</v>
      </c>
      <c r="AG18" s="72">
        <f t="shared" si="14"/>
        <v>0.93262499999999204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1697</v>
      </c>
      <c r="H19" s="78">
        <f>F19*G19</f>
        <v>85511.83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1288.8607594936727</v>
      </c>
      <c r="O19" s="96">
        <f>N19/M19</f>
        <v>107.4050632911394</v>
      </c>
      <c r="P19" s="97">
        <f>M19-J19</f>
        <v>0</v>
      </c>
      <c r="Q19" s="98">
        <f>O19-L19</f>
        <v>-59.261603375527258</v>
      </c>
      <c r="R19" s="99">
        <f>O19/L19</f>
        <v>0.64443037974683648</v>
      </c>
      <c r="S19" s="735"/>
      <c r="T19" s="19">
        <v>0.54166666666666696</v>
      </c>
      <c r="U19" s="19">
        <v>0.59652777777777799</v>
      </c>
      <c r="V19" s="30">
        <f>(T19-U18)*24*60</f>
        <v>89.999999999999915</v>
      </c>
      <c r="W19" s="149">
        <f t="shared" si="17"/>
        <v>78.999999999999886</v>
      </c>
      <c r="X19" s="22"/>
      <c r="Y19" s="84"/>
      <c r="Z19" s="90">
        <v>1</v>
      </c>
      <c r="AA19" s="90">
        <v>29</v>
      </c>
      <c r="AB19" s="728" t="s">
        <v>116</v>
      </c>
      <c r="AC19" s="728"/>
      <c r="AD19" s="149"/>
      <c r="AE19" s="149"/>
      <c r="AF19" s="307">
        <f t="shared" si="13"/>
        <v>-711.13924050632727</v>
      </c>
      <c r="AG19" s="72">
        <f t="shared" si="14"/>
        <v>0.64443037974683637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1770.4216292673536</v>
      </c>
      <c r="O26" s="158">
        <f t="shared" si="20"/>
        <v>138.58068744283113</v>
      </c>
      <c r="P26" s="159">
        <f t="shared" ref="P26:P29" si="21">M26-J26</f>
        <v>0.25</v>
      </c>
      <c r="Q26" s="160">
        <f t="shared" ref="Q26:Q29" si="22">O26-L26</f>
        <v>-23.694953582809887</v>
      </c>
      <c r="R26" s="161">
        <f>O26/L26</f>
        <v>0.85398330006247902</v>
      </c>
      <c r="S26" s="736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29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23">N26-K26</f>
        <v>-255.82837073264636</v>
      </c>
      <c r="AG26" s="124">
        <f t="shared" ref="AG26:AG31" si="24">N26/K26</f>
        <v>0.87374293856501106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2725</v>
      </c>
      <c r="H27" s="134">
        <f>F27*G27</f>
        <v>156142.5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14</v>
      </c>
      <c r="N27" s="140">
        <f>G27/W27*60</f>
        <v>1202.2058823529471</v>
      </c>
      <c r="O27" s="141">
        <f>N27/M27</f>
        <v>85.87184873949623</v>
      </c>
      <c r="P27" s="142">
        <f t="shared" si="21"/>
        <v>-3</v>
      </c>
      <c r="Q27" s="143">
        <f t="shared" si="22"/>
        <v>-2.3634453781508284</v>
      </c>
      <c r="R27" s="144">
        <f>O27/L27</f>
        <v>0.97321428571429058</v>
      </c>
      <c r="S27" s="734">
        <f>R37</f>
        <v>0.92306584211657927</v>
      </c>
      <c r="T27" s="171">
        <v>0.29166666666666702</v>
      </c>
      <c r="U27" s="171">
        <v>0.38611111111111102</v>
      </c>
      <c r="V27" s="135"/>
      <c r="W27" s="146">
        <f t="shared" si="17"/>
        <v>135.99999999999935</v>
      </c>
      <c r="X27" s="135"/>
      <c r="Y27" s="300" t="s">
        <v>46</v>
      </c>
      <c r="Z27" s="169">
        <v>1</v>
      </c>
      <c r="AA27" s="169">
        <v>15</v>
      </c>
      <c r="AB27" s="723" t="s">
        <v>126</v>
      </c>
      <c r="AC27" s="723"/>
      <c r="AD27" s="135"/>
      <c r="AE27" s="135"/>
      <c r="AF27" s="310">
        <f t="shared" si="23"/>
        <v>-297.79411764705287</v>
      </c>
      <c r="AG27" s="172">
        <f t="shared" si="24"/>
        <v>0.80147058823529804</v>
      </c>
      <c r="AH27" s="724">
        <f>AG37</f>
        <v>0.83888406183079833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1609</v>
      </c>
      <c r="H28" s="91">
        <f>F28*G28</f>
        <v>88704.17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18</v>
      </c>
      <c r="N28" s="95">
        <f>G28/W28*60</f>
        <v>1359.7183098591704</v>
      </c>
      <c r="O28" s="96">
        <f>N28/M28</f>
        <v>75.539906103287251</v>
      </c>
      <c r="P28" s="97">
        <f t="shared" si="21"/>
        <v>1</v>
      </c>
      <c r="Q28" s="98">
        <f t="shared" si="22"/>
        <v>-5.930682132006865</v>
      </c>
      <c r="R28" s="99">
        <f t="shared" ref="R28:R29" si="26">O28/L28</f>
        <v>0.9272046236504573</v>
      </c>
      <c r="S28" s="735"/>
      <c r="T28" s="19">
        <v>0.391666666666667</v>
      </c>
      <c r="U28" s="19">
        <v>0.44097222222222199</v>
      </c>
      <c r="V28" s="92">
        <f>(T28-U27)*24*60</f>
        <v>8.0000000000006111</v>
      </c>
      <c r="W28" s="149">
        <f t="shared" si="17"/>
        <v>70.99999999999919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-25.281690140829596</v>
      </c>
      <c r="AG28" s="99">
        <f t="shared" si="24"/>
        <v>0.98174607210048404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1065</v>
      </c>
      <c r="H29" s="91">
        <f>F29*G29</f>
        <v>52738.8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15</v>
      </c>
      <c r="N29" s="95">
        <f>G29/W29*60</f>
        <v>1183.3333333333339</v>
      </c>
      <c r="O29" s="96">
        <f>N29/M29</f>
        <v>78.888888888888928</v>
      </c>
      <c r="P29" s="97">
        <f t="shared" si="21"/>
        <v>-2</v>
      </c>
      <c r="Q29" s="98">
        <f t="shared" si="22"/>
        <v>-5.8169934640522456</v>
      </c>
      <c r="R29" s="99">
        <f t="shared" si="26"/>
        <v>0.93132716049382769</v>
      </c>
      <c r="S29" s="735"/>
      <c r="T29" s="19">
        <v>0.44722222222222202</v>
      </c>
      <c r="U29" s="19">
        <v>0.484722222222222</v>
      </c>
      <c r="V29" s="92">
        <f>(T29-U28)*24*60</f>
        <v>9.000000000000048</v>
      </c>
      <c r="W29" s="149">
        <f t="shared" si="17"/>
        <v>53.999999999999972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-256.66666666666606</v>
      </c>
      <c r="AG29" s="99">
        <f t="shared" si="24"/>
        <v>0.82175925925925963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1000</v>
      </c>
      <c r="H30" s="91">
        <f>F30*G30</f>
        <v>49520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>K30/J30</f>
        <v>84.705882352941174</v>
      </c>
      <c r="M30" s="94">
        <v>15</v>
      </c>
      <c r="N30" s="95">
        <f>G30/W30*60</f>
        <v>1090.909090909101</v>
      </c>
      <c r="O30" s="96">
        <f>N30/M30</f>
        <v>72.727272727273402</v>
      </c>
      <c r="P30" s="97">
        <f>M30-J30</f>
        <v>-2</v>
      </c>
      <c r="Q30" s="98">
        <f>O30-L30</f>
        <v>-11.978609625667772</v>
      </c>
      <c r="R30" s="99">
        <f>O30/L30</f>
        <v>0.85858585858586656</v>
      </c>
      <c r="S30" s="735"/>
      <c r="T30" s="19">
        <v>0.54513888888888895</v>
      </c>
      <c r="U30" s="19">
        <v>0.58333333333333304</v>
      </c>
      <c r="V30" s="92">
        <f>(T30-U29)*24*60</f>
        <v>87.000000000000412</v>
      </c>
      <c r="W30" s="149">
        <f t="shared" si="17"/>
        <v>54.999999999999488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-349.090909090899</v>
      </c>
      <c r="AG30" s="99">
        <f t="shared" si="24"/>
        <v>0.75757575757576456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0</v>
      </c>
      <c r="AG31" s="99" t="e">
        <f t="shared" si="24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8">AVERAGE(J27:J36)</f>
        <v>17</v>
      </c>
      <c r="K37" s="155">
        <f t="shared" si="28"/>
        <v>1441.25</v>
      </c>
      <c r="L37" s="158">
        <f t="shared" si="28"/>
        <v>84.77941176470587</v>
      </c>
      <c r="M37" s="155">
        <f t="shared" si="28"/>
        <v>15.5</v>
      </c>
      <c r="N37" s="155">
        <f t="shared" si="28"/>
        <v>1209.0416541136381</v>
      </c>
      <c r="O37" s="158">
        <f t="shared" si="28"/>
        <v>78.256979114736453</v>
      </c>
      <c r="P37" s="159">
        <f>M37-J37</f>
        <v>-1.5</v>
      </c>
      <c r="Q37" s="160">
        <f>N37-K37</f>
        <v>-232.20834588636194</v>
      </c>
      <c r="R37" s="161">
        <f t="shared" ref="R37:R40" si="29">O37/L37</f>
        <v>0.92306584211657927</v>
      </c>
      <c r="S37" s="736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15</v>
      </c>
      <c r="AB37" s="739"/>
      <c r="AC37" s="739"/>
      <c r="AD37" s="361">
        <f>SUM(AD27:AD36)</f>
        <v>0</v>
      </c>
      <c r="AE37" s="361">
        <f>SUM(AE27:AE36)</f>
        <v>0</v>
      </c>
      <c r="AF37" s="309">
        <f t="shared" ref="AF37:AF41" si="30">N37-K37</f>
        <v>-232.20834588636194</v>
      </c>
      <c r="AG37" s="124">
        <f t="shared" ref="AG37:AG41" si="31">N37/K37</f>
        <v>0.83888406183079833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1821</v>
      </c>
      <c r="H38" s="134">
        <f>F38*G38</f>
        <v>104343.29999999999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2">K38/J38</f>
        <v>86.5625</v>
      </c>
      <c r="M38" s="190">
        <v>14</v>
      </c>
      <c r="N38" s="140">
        <f>G38/W38*60</f>
        <v>1150.1052631578805</v>
      </c>
      <c r="O38" s="141">
        <f>N38/M38</f>
        <v>82.150375939848601</v>
      </c>
      <c r="P38" s="142">
        <f t="shared" ref="P38:P40" si="33">M38-J38</f>
        <v>-2</v>
      </c>
      <c r="Q38" s="143">
        <f t="shared" ref="Q38:Q40" si="34">O38-L38</f>
        <v>-4.4121240601513989</v>
      </c>
      <c r="R38" s="144">
        <f>O38/L38</f>
        <v>0.9490296137455434</v>
      </c>
      <c r="S38" s="756">
        <f>R48</f>
        <v>0.85937258484537182</v>
      </c>
      <c r="T38" s="191">
        <v>0.33333333333333298</v>
      </c>
      <c r="U38" s="191">
        <v>0.39930555555555602</v>
      </c>
      <c r="V38" s="192"/>
      <c r="W38" s="193">
        <f t="shared" si="17"/>
        <v>95.00000000000118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0"/>
        <v>-234.89473684211953</v>
      </c>
      <c r="AG38" s="195">
        <f t="shared" si="31"/>
        <v>0.83040091202735056</v>
      </c>
      <c r="AH38" s="746">
        <f>AG48</f>
        <v>0.71154214521921233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1356</v>
      </c>
      <c r="H39" s="91">
        <f>F39*G39</f>
        <v>76519.08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2"/>
        <v>87.875</v>
      </c>
      <c r="M39" s="201">
        <v>14</v>
      </c>
      <c r="N39" s="202">
        <f>G39/W39*60</f>
        <v>838.76288659793897</v>
      </c>
      <c r="O39" s="203">
        <f t="shared" ref="O39:O40" si="35">N39/M39</f>
        <v>59.911634756995639</v>
      </c>
      <c r="P39" s="97">
        <f t="shared" si="33"/>
        <v>-2</v>
      </c>
      <c r="Q39" s="98">
        <f t="shared" si="34"/>
        <v>-27.963365243004361</v>
      </c>
      <c r="R39" s="99">
        <f t="shared" si="29"/>
        <v>0.68178247234134437</v>
      </c>
      <c r="S39" s="757"/>
      <c r="T39" s="20">
        <v>0.40972222222222199</v>
      </c>
      <c r="U39" s="20">
        <v>0.47708333333333303</v>
      </c>
      <c r="V39" s="92">
        <f>(T39-U38)*24*60</f>
        <v>14.999999999998987</v>
      </c>
      <c r="W39" s="205">
        <f t="shared" si="17"/>
        <v>96.999999999999901</v>
      </c>
      <c r="X39" s="22"/>
      <c r="Y39" s="84"/>
      <c r="Z39" s="90">
        <v>1</v>
      </c>
      <c r="AA39" s="90">
        <v>21</v>
      </c>
      <c r="AB39" s="749" t="s">
        <v>131</v>
      </c>
      <c r="AC39" s="749"/>
      <c r="AD39" s="200"/>
      <c r="AE39" s="200"/>
      <c r="AF39" s="314">
        <f t="shared" si="30"/>
        <v>-567.23711340206103</v>
      </c>
      <c r="AG39" s="206">
        <f t="shared" si="31"/>
        <v>0.59655966329867638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1226</v>
      </c>
      <c r="H40" s="91">
        <f>F40*G40</f>
        <v>54311.799999999996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2"/>
        <v>75.78947368421052</v>
      </c>
      <c r="M40" s="201">
        <v>14</v>
      </c>
      <c r="N40" s="202">
        <f>G40/W40*60</f>
        <v>1021.666666666668</v>
      </c>
      <c r="O40" s="203">
        <f t="shared" si="35"/>
        <v>72.976190476190567</v>
      </c>
      <c r="P40" s="97">
        <f t="shared" si="33"/>
        <v>-5</v>
      </c>
      <c r="Q40" s="98">
        <f t="shared" si="34"/>
        <v>-2.8132832080199535</v>
      </c>
      <c r="R40" s="99">
        <f t="shared" si="29"/>
        <v>0.96288029100529227</v>
      </c>
      <c r="S40" s="719"/>
      <c r="T40" s="20">
        <v>0.55902777777777801</v>
      </c>
      <c r="U40" s="20">
        <v>0.60902777777777795</v>
      </c>
      <c r="V40" s="92">
        <f>(T40-U39)*24*60</f>
        <v>118.00000000000078</v>
      </c>
      <c r="W40" s="205">
        <f t="shared" si="17"/>
        <v>71.999999999999901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0"/>
        <v>-418.33333333333201</v>
      </c>
      <c r="AG40" s="206">
        <f t="shared" si="31"/>
        <v>0.7094907407407417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0"/>
        <v>0</v>
      </c>
      <c r="AG41" s="206" t="e">
        <f t="shared" si="31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7">AVERAGE(J38:J47)</f>
        <v>17</v>
      </c>
      <c r="K48" s="155">
        <f t="shared" si="37"/>
        <v>1410.3333333333333</v>
      </c>
      <c r="L48" s="158">
        <f t="shared" si="37"/>
        <v>83.408991228070178</v>
      </c>
      <c r="M48" s="155">
        <f t="shared" si="37"/>
        <v>14</v>
      </c>
      <c r="N48" s="155">
        <f t="shared" si="37"/>
        <v>1003.5116054741625</v>
      </c>
      <c r="O48" s="158">
        <f t="shared" si="37"/>
        <v>71.679400391011612</v>
      </c>
      <c r="P48" s="221">
        <f>M48-J48</f>
        <v>-3</v>
      </c>
      <c r="Q48" s="222">
        <f>N48-K48</f>
        <v>-406.82172785917078</v>
      </c>
      <c r="R48" s="223">
        <f>O48/L48</f>
        <v>0.85937258484537182</v>
      </c>
      <c r="S48" s="722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1</v>
      </c>
      <c r="AA48" s="334">
        <f>SUM(AA38:AA47)</f>
        <v>21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38">N48-K48</f>
        <v>-406.82172785917078</v>
      </c>
      <c r="AG48" s="162">
        <f t="shared" ref="AG48:AG53" si="39">N48/K48</f>
        <v>0.71154214521921233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1500</v>
      </c>
      <c r="H49" s="134">
        <f>F49*G49</f>
        <v>85305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0">K49/J49</f>
        <v>86.944444444444443</v>
      </c>
      <c r="M49" s="170">
        <v>17</v>
      </c>
      <c r="N49" s="140">
        <f>G49/W49*60</f>
        <v>1200.0000000000068</v>
      </c>
      <c r="O49" s="141">
        <f>N49/M49</f>
        <v>70.58823529411805</v>
      </c>
      <c r="P49" s="229">
        <f>M49-J49</f>
        <v>-1</v>
      </c>
      <c r="Q49" s="230">
        <f>O49-L49</f>
        <v>-16.356209150326393</v>
      </c>
      <c r="R49" s="52">
        <f>O49/L49</f>
        <v>0.81187746664161342</v>
      </c>
      <c r="S49" s="718">
        <f>R58</f>
        <v>0.90803098956928729</v>
      </c>
      <c r="T49" s="191">
        <v>0.28888888888888897</v>
      </c>
      <c r="U49" s="191">
        <v>0.34097222222222201</v>
      </c>
      <c r="V49" s="55"/>
      <c r="W49" s="193">
        <f t="shared" si="17"/>
        <v>74.999999999999574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38"/>
        <v>-364.99999999999318</v>
      </c>
      <c r="AG49" s="52">
        <f t="shared" si="39"/>
        <v>0.76677316293930153</v>
      </c>
      <c r="AH49" s="724">
        <f>AG58</f>
        <v>0.85724198444163224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2510</v>
      </c>
      <c r="H50" s="231">
        <f>F50*G50</f>
        <v>125274.09999999999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0"/>
        <v>92.058823529411768</v>
      </c>
      <c r="M50" s="233">
        <v>17</v>
      </c>
      <c r="N50" s="234">
        <f>G50/W50*60</f>
        <v>1420.7547169811348</v>
      </c>
      <c r="O50" s="235">
        <f>N50/M50</f>
        <v>83.573806881243229</v>
      </c>
      <c r="P50" s="74">
        <f>M50-J50</f>
        <v>0</v>
      </c>
      <c r="Q50" s="83">
        <f>O50-L50</f>
        <v>-8.4850166481685392</v>
      </c>
      <c r="R50" s="72">
        <f>O50/L50</f>
        <v>0.90783049008379224</v>
      </c>
      <c r="S50" s="719"/>
      <c r="T50" s="21">
        <v>0.35208333333333303</v>
      </c>
      <c r="U50" s="21">
        <v>0.42569444444444399</v>
      </c>
      <c r="V50" s="30">
        <f t="shared" ref="V50:V52" si="41">(T50-U49)*24*60</f>
        <v>15.999999999999863</v>
      </c>
      <c r="W50" s="236">
        <f t="shared" si="17"/>
        <v>105.99999999999979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38"/>
        <v>-144.24528301886517</v>
      </c>
      <c r="AG50" s="72">
        <f t="shared" si="39"/>
        <v>0.90783049008379224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1233</v>
      </c>
      <c r="H51" s="231">
        <f>F51*G51</f>
        <v>61613.01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0"/>
        <v>88.888888888888886</v>
      </c>
      <c r="M51" s="233">
        <v>16</v>
      </c>
      <c r="N51" s="234">
        <f>G51/W51*60</f>
        <v>1297.8947368420843</v>
      </c>
      <c r="O51" s="235">
        <f>N51/M51</f>
        <v>81.118421052630268</v>
      </c>
      <c r="P51" s="74">
        <f>M51-J51</f>
        <v>-2</v>
      </c>
      <c r="Q51" s="83">
        <f>O51-L51</f>
        <v>-7.7704678362586179</v>
      </c>
      <c r="R51" s="72">
        <f>O51/L51</f>
        <v>0.9125822368420905</v>
      </c>
      <c r="S51" s="719"/>
      <c r="T51" s="21">
        <v>0.43472222222222201</v>
      </c>
      <c r="U51" s="19">
        <v>0.47430555555555598</v>
      </c>
      <c r="V51" s="30">
        <f t="shared" si="41"/>
        <v>13.000000000000353</v>
      </c>
      <c r="W51" s="236">
        <f t="shared" si="17"/>
        <v>57.000000000000917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38"/>
        <v>-302.10526315791572</v>
      </c>
      <c r="AG51" s="72">
        <f t="shared" si="39"/>
        <v>0.81118421052630263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2940</v>
      </c>
      <c r="H52" s="231">
        <f>F52*G52</f>
        <v>146911.79999999999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17</v>
      </c>
      <c r="N52" s="234">
        <f>G52/W52*60</f>
        <v>1507.6923076923069</v>
      </c>
      <c r="O52" s="235">
        <f>N52/M52</f>
        <v>88.687782805429819</v>
      </c>
      <c r="P52" s="74">
        <f>M52-J52</f>
        <v>-1</v>
      </c>
      <c r="Q52" s="83">
        <f>O52-L52</f>
        <v>-0.20110608345906655</v>
      </c>
      <c r="R52" s="72">
        <f>O52/L52</f>
        <v>0.99773755656108554</v>
      </c>
      <c r="S52" s="719"/>
      <c r="T52" s="21">
        <v>0.53333333333333299</v>
      </c>
      <c r="U52" s="21">
        <v>0.61458333333333304</v>
      </c>
      <c r="V52" s="30">
        <f t="shared" si="41"/>
        <v>84.999999999998892</v>
      </c>
      <c r="W52" s="236">
        <f t="shared" si="17"/>
        <v>117.00000000000006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38"/>
        <v>-92.30769230769306</v>
      </c>
      <c r="AG52" s="72">
        <f t="shared" si="39"/>
        <v>0.94230769230769185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38"/>
        <v>0</v>
      </c>
      <c r="AG53" s="72" t="e">
        <f t="shared" si="39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2">AVERAGE(J49:J57)</f>
        <v>17.75</v>
      </c>
      <c r="K58" s="120">
        <f t="shared" si="42"/>
        <v>1582.5</v>
      </c>
      <c r="L58" s="117">
        <f t="shared" si="42"/>
        <v>89.195261437908499</v>
      </c>
      <c r="M58" s="120">
        <f t="shared" si="42"/>
        <v>16.75</v>
      </c>
      <c r="N58" s="120">
        <f t="shared" si="42"/>
        <v>1356.585440378883</v>
      </c>
      <c r="O58" s="117">
        <f t="shared" si="42"/>
        <v>80.992061508355349</v>
      </c>
      <c r="P58" s="121">
        <f>M58-J58</f>
        <v>-1</v>
      </c>
      <c r="Q58" s="122">
        <f>N58-K58</f>
        <v>-225.91455962111695</v>
      </c>
      <c r="R58" s="123">
        <f t="shared" ref="R58:R60" si="43">O58/L58</f>
        <v>0.90803098956928729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44">N58-K58</f>
        <v>-225.91455962111695</v>
      </c>
      <c r="AG58" s="124">
        <f t="shared" ref="AG58:AG61" si="45">N58/K58</f>
        <v>0.85724198444163224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3662</v>
      </c>
      <c r="H59" s="243">
        <f>F59*G59</f>
        <v>98837.37999999999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6">K59/J59</f>
        <v>120.38461538461539</v>
      </c>
      <c r="M59" s="244">
        <v>13</v>
      </c>
      <c r="N59" s="137">
        <f t="shared" ref="N59:N61" si="47">G59/W59*60</f>
        <v>1464.80000000001</v>
      </c>
      <c r="O59" s="138">
        <f t="shared" ref="O59:O61" si="48">N59/M59</f>
        <v>112.67692307692384</v>
      </c>
      <c r="P59" s="56">
        <f t="shared" ref="P59:P61" si="49">M59-J59</f>
        <v>0</v>
      </c>
      <c r="Q59" s="230">
        <f t="shared" ref="Q59:Q61" si="50">O59-L59</f>
        <v>-7.7076923076915449</v>
      </c>
      <c r="R59" s="52">
        <f t="shared" si="43"/>
        <v>0.93597444089457504</v>
      </c>
      <c r="S59" s="718">
        <f>R69</f>
        <v>0.88127157688518998</v>
      </c>
      <c r="T59" s="245">
        <v>0.29166666666666702</v>
      </c>
      <c r="U59" s="245">
        <v>0.39583333333333298</v>
      </c>
      <c r="V59" s="55"/>
      <c r="W59" s="54">
        <f t="shared" si="17"/>
        <v>149.99999999999898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44"/>
        <v>-100.19999999999004</v>
      </c>
      <c r="AG59" s="246">
        <f t="shared" si="45"/>
        <v>0.93597444089457504</v>
      </c>
      <c r="AH59" s="724">
        <f>AG69</f>
        <v>0.84714589989351008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590</v>
      </c>
      <c r="H60" s="78">
        <f>F60*G60</f>
        <v>16797.3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6"/>
        <v>130.41666666666666</v>
      </c>
      <c r="M60" s="82">
        <v>12</v>
      </c>
      <c r="N60" s="80">
        <f t="shared" si="47"/>
        <v>1416.0000000000098</v>
      </c>
      <c r="O60" s="81">
        <f t="shared" si="48"/>
        <v>118.00000000000081</v>
      </c>
      <c r="P60" s="74">
        <f t="shared" si="49"/>
        <v>0</v>
      </c>
      <c r="Q60" s="83">
        <f t="shared" si="50"/>
        <v>-12.416666666665847</v>
      </c>
      <c r="R60" s="72">
        <f t="shared" si="43"/>
        <v>0.90479233226837685</v>
      </c>
      <c r="S60" s="768"/>
      <c r="T60" s="22">
        <v>0.40625</v>
      </c>
      <c r="U60" s="22">
        <v>0.42361111111111099</v>
      </c>
      <c r="V60" s="30">
        <f t="shared" ref="V60:V61" si="51">(T60-U59)*24*60</f>
        <v>15.000000000000506</v>
      </c>
      <c r="W60" s="248">
        <f t="shared" si="17"/>
        <v>24.999999999999829</v>
      </c>
      <c r="X60" s="232"/>
      <c r="Y60" s="177"/>
      <c r="Z60" s="90"/>
      <c r="AA60" s="90"/>
      <c r="AB60" s="713"/>
      <c r="AC60" s="713"/>
      <c r="AD60" s="92"/>
      <c r="AE60" s="92"/>
      <c r="AF60" s="316">
        <f t="shared" si="44"/>
        <v>-148.99999999999022</v>
      </c>
      <c r="AG60" s="249">
        <f t="shared" si="45"/>
        <v>0.90479233226837685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1197</v>
      </c>
      <c r="H61" s="254">
        <f>F61*G61</f>
        <v>33827.22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6"/>
        <v>130.41666666666666</v>
      </c>
      <c r="M61" s="108">
        <v>11</v>
      </c>
      <c r="N61" s="107">
        <f t="shared" si="47"/>
        <v>1197.0000000000202</v>
      </c>
      <c r="O61" s="238">
        <f t="shared" si="48"/>
        <v>108.81818181818366</v>
      </c>
      <c r="P61" s="111">
        <f t="shared" si="49"/>
        <v>-1</v>
      </c>
      <c r="Q61" s="255">
        <f t="shared" si="50"/>
        <v>-21.598484848482997</v>
      </c>
      <c r="R61" s="85">
        <f>O61/L61</f>
        <v>0.8343886145803221</v>
      </c>
      <c r="S61" s="719"/>
      <c r="T61" s="22">
        <v>0.43402777777777801</v>
      </c>
      <c r="U61" s="22">
        <v>0.47569444444444398</v>
      </c>
      <c r="V61" s="30">
        <f t="shared" si="51"/>
        <v>15.000000000000506</v>
      </c>
      <c r="W61" s="256">
        <f t="shared" si="17"/>
        <v>59.999999999998991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44"/>
        <v>-367.99999999997976</v>
      </c>
      <c r="AG61" s="247">
        <f t="shared" si="45"/>
        <v>0.76485623003196179</v>
      </c>
      <c r="AH61" s="725"/>
    </row>
    <row r="62" spans="1:34" ht="15" customHeight="1">
      <c r="A62" s="766"/>
      <c r="B62" s="250" t="s">
        <v>135</v>
      </c>
      <c r="C62" s="251"/>
      <c r="D62" s="257" t="s">
        <v>138</v>
      </c>
      <c r="E62" s="253"/>
      <c r="F62" s="250">
        <f>VLOOKUP(D62,廠價表!$C$1:$E$41,3,0)</f>
        <v>28.26</v>
      </c>
      <c r="G62" s="38">
        <v>919</v>
      </c>
      <c r="H62" s="254">
        <f t="shared" ref="H62:H67" si="52">F62*G62</f>
        <v>25970.940000000002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>K62/J62</f>
        <v>130.41666666666666</v>
      </c>
      <c r="M62" s="108">
        <v>11</v>
      </c>
      <c r="N62" s="107">
        <f>G62/W62*60</f>
        <v>1225.3333333333333</v>
      </c>
      <c r="O62" s="238">
        <f>N62/M62</f>
        <v>111.39393939393939</v>
      </c>
      <c r="P62" s="111">
        <f>M62-J62</f>
        <v>-1</v>
      </c>
      <c r="Q62" s="255">
        <f>O62-L62</f>
        <v>-19.022727272727266</v>
      </c>
      <c r="R62" s="85">
        <f>O62/L62</f>
        <v>0.85413883241359279</v>
      </c>
      <c r="S62" s="719"/>
      <c r="T62" s="22">
        <v>0.52777777777777801</v>
      </c>
      <c r="U62" s="22">
        <v>0.55902777777777801</v>
      </c>
      <c r="V62" s="30"/>
      <c r="W62" s="248">
        <f t="shared" si="17"/>
        <v>45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-339.66666666666674</v>
      </c>
      <c r="AG62" s="247">
        <f>N62/K62</f>
        <v>0.78296059637912663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>
        <f t="shared" si="52"/>
        <v>0</v>
      </c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>
        <f t="shared" si="52"/>
        <v>0</v>
      </c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254">
        <f t="shared" si="52"/>
        <v>0</v>
      </c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254">
        <f t="shared" si="52"/>
        <v>0</v>
      </c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254">
        <f t="shared" si="52"/>
        <v>0</v>
      </c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3">AVERAGE(J59:J68)</f>
        <v>12.25</v>
      </c>
      <c r="K69" s="240">
        <f t="shared" si="53"/>
        <v>1565</v>
      </c>
      <c r="L69" s="268">
        <f t="shared" si="53"/>
        <v>127.90865384615384</v>
      </c>
      <c r="M69" s="240">
        <f t="shared" si="53"/>
        <v>11.75</v>
      </c>
      <c r="N69" s="240">
        <f t="shared" si="53"/>
        <v>1325.7833333333433</v>
      </c>
      <c r="O69" s="268">
        <f t="shared" si="53"/>
        <v>112.72226107226192</v>
      </c>
      <c r="P69" s="269">
        <f>M69-J69</f>
        <v>-0.5</v>
      </c>
      <c r="Q69" s="222">
        <f>N69-K69</f>
        <v>-239.21666666665669</v>
      </c>
      <c r="R69" s="123">
        <f>O69/L69</f>
        <v>0.88127157688518998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-239.21666666665669</v>
      </c>
      <c r="AG69" s="124">
        <f>N69/K69</f>
        <v>0.84714589989351008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2133</v>
      </c>
      <c r="H70" s="243">
        <f>F70*G70</f>
        <v>108079.11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882.62068965517653</v>
      </c>
      <c r="O70" s="138">
        <f>N70/M70</f>
        <v>88.262068965517656</v>
      </c>
      <c r="P70" s="56">
        <f>M70-J70</f>
        <v>0</v>
      </c>
      <c r="Q70" s="230">
        <f>O70-L70</f>
        <v>-24.237931034482344</v>
      </c>
      <c r="R70" s="52">
        <f>O70/L70</f>
        <v>0.78455172413793473</v>
      </c>
      <c r="S70" s="718">
        <f>R79</f>
        <v>0.78455172413793473</v>
      </c>
      <c r="T70" s="245">
        <v>0.34027777777777801</v>
      </c>
      <c r="U70" s="245">
        <v>0.44097222222222199</v>
      </c>
      <c r="V70" s="55"/>
      <c r="W70" s="54">
        <f t="shared" si="17"/>
        <v>144.99999999999932</v>
      </c>
      <c r="X70" s="270"/>
      <c r="Y70" s="292"/>
      <c r="Z70" s="169"/>
      <c r="AA70" s="169"/>
      <c r="AB70" s="723" t="s">
        <v>131</v>
      </c>
      <c r="AC70" s="723"/>
      <c r="AD70" s="135"/>
      <c r="AE70" s="135"/>
      <c r="AF70" s="310">
        <f>N70-K70</f>
        <v>-242.37931034482347</v>
      </c>
      <c r="AG70" s="246">
        <f>N70/K70</f>
        <v>0.78455172413793473</v>
      </c>
      <c r="AH70" s="724">
        <f>AG79</f>
        <v>0.78455172413793473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55">AVERAGE(J70:J78)</f>
        <v>10</v>
      </c>
      <c r="K79" s="240">
        <f t="shared" si="55"/>
        <v>1125</v>
      </c>
      <c r="L79" s="268">
        <f t="shared" si="55"/>
        <v>112.5</v>
      </c>
      <c r="M79" s="240">
        <f t="shared" si="55"/>
        <v>10</v>
      </c>
      <c r="N79" s="240">
        <f t="shared" si="55"/>
        <v>882.62068965517653</v>
      </c>
      <c r="O79" s="268">
        <f t="shared" si="55"/>
        <v>88.262068965517656</v>
      </c>
      <c r="P79" s="269">
        <f>M79-J79</f>
        <v>0</v>
      </c>
      <c r="Q79" s="222">
        <f>N79-K79</f>
        <v>-242.37931034482347</v>
      </c>
      <c r="R79" s="223">
        <f>O79/L79</f>
        <v>0.78455172413793473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-242.37931034482347</v>
      </c>
      <c r="AG79" s="124">
        <f>N79/K79</f>
        <v>0.78455172413793473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0:AC10"/>
    <mergeCell ref="A5:A15"/>
    <mergeCell ref="S5:S15"/>
    <mergeCell ref="AB5:AC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D15:E15"/>
    <mergeCell ref="AB15:AC15"/>
    <mergeCell ref="G3:G4"/>
    <mergeCell ref="J1:L2"/>
    <mergeCell ref="M1:O2"/>
    <mergeCell ref="P1:S2"/>
    <mergeCell ref="H3:H4"/>
    <mergeCell ref="I3:I4"/>
    <mergeCell ref="J3:J4"/>
    <mergeCell ref="K3:K4"/>
    <mergeCell ref="N3:N4"/>
    <mergeCell ref="O3:O4"/>
    <mergeCell ref="P3:P4"/>
    <mergeCell ref="Q3:Q4"/>
    <mergeCell ref="L3:L4"/>
    <mergeCell ref="M3:M4"/>
    <mergeCell ref="AB1:AC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A2:B2"/>
    <mergeCell ref="A3:A4"/>
    <mergeCell ref="B3:B4"/>
    <mergeCell ref="D3:E4"/>
    <mergeCell ref="F3:F4"/>
  </mergeCells>
  <phoneticPr fontId="6" type="noConversion"/>
  <conditionalFormatting sqref="P5:P79">
    <cfRule type="cellIs" dxfId="359" priority="1" operator="greaterThan">
      <formula>0</formula>
    </cfRule>
  </conditionalFormatting>
  <conditionalFormatting sqref="Q5:Q79 AF5:AF79">
    <cfRule type="cellIs" dxfId="358" priority="4" operator="lessThan">
      <formula>0</formula>
    </cfRule>
  </conditionalFormatting>
  <conditionalFormatting sqref="R5:R79 AG5:AG79">
    <cfRule type="cellIs" dxfId="357" priority="2" operator="greaterThan">
      <formula>1</formula>
    </cfRule>
    <cfRule type="cellIs" dxfId="356" priority="3" operator="lessThan">
      <formula>0.8</formula>
    </cfRule>
  </conditionalFormatting>
  <conditionalFormatting sqref="S5:S10 S37:S62 AH59:AH62 S69:S76 AH69:AH76">
    <cfRule type="cellIs" dxfId="355" priority="7" operator="lessThan">
      <formula>0.8</formula>
    </cfRule>
  </conditionalFormatting>
  <conditionalFormatting sqref="S19:S25 AH19:AH25">
    <cfRule type="cellIs" dxfId="354" priority="6" operator="lessThan">
      <formula>0.8</formula>
    </cfRule>
  </conditionalFormatting>
  <conditionalFormatting sqref="S79">
    <cfRule type="cellIs" dxfId="353" priority="5" operator="lessThan">
      <formula>0.8</formula>
    </cfRule>
  </conditionalFormatting>
  <conditionalFormatting sqref="AH5:AH8 S15:S16 AH15:AH16 AH49 AH79">
    <cfRule type="cellIs" dxfId="352" priority="9" operator="lessThan">
      <formula>0.8</formula>
    </cfRule>
  </conditionalFormatting>
  <conditionalFormatting sqref="AH27 S27:S28">
    <cfRule type="cellIs" dxfId="35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257D-1453-4F99-BDB7-AA1AF89E3DAC}">
  <dimension ref="B1:O26"/>
  <sheetViews>
    <sheetView topLeftCell="B1" zoomScale="70" zoomScaleNormal="70" workbookViewId="0">
      <selection activeCell="M6" sqref="M6:M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46024</v>
      </c>
      <c r="E3" s="645"/>
      <c r="F3" s="3" t="s">
        <v>72</v>
      </c>
      <c r="G3" s="646">
        <f>'0102'!E1</f>
        <v>40942</v>
      </c>
      <c r="H3" s="646"/>
      <c r="I3" s="3" t="s">
        <v>2</v>
      </c>
      <c r="J3" s="647">
        <f>'0102'!G1</f>
        <v>1980092.7900000003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111.9982531811645</v>
      </c>
      <c r="G6" s="652"/>
      <c r="H6" s="653">
        <f>AVERAGE(D13:H13,J13)</f>
        <v>109.48585378258366</v>
      </c>
      <c r="I6" s="653"/>
      <c r="J6" s="653">
        <f>AVERAGE(I13)</f>
        <v>127.07264957264958</v>
      </c>
      <c r="K6" s="653"/>
      <c r="L6" s="655">
        <f>'0102'!Z2</f>
        <v>4</v>
      </c>
      <c r="M6" s="656">
        <f>'0102'!AA2</f>
        <v>48</v>
      </c>
      <c r="N6" s="657">
        <f>'0102'!AD2</f>
        <v>3</v>
      </c>
      <c r="O6" s="656">
        <f>'0102'!AE2</f>
        <v>2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92.00701955891256</v>
      </c>
      <c r="G7" s="676"/>
      <c r="H7" s="677">
        <f>AVERAGE(D14:H14,J14)</f>
        <v>91.724820077028554</v>
      </c>
      <c r="I7" s="677"/>
      <c r="J7" s="677">
        <f>AVERAGE(I14)</f>
        <v>93.700216450216644</v>
      </c>
      <c r="K7" s="677"/>
      <c r="L7" s="655"/>
      <c r="M7" s="656"/>
      <c r="N7" s="657"/>
      <c r="O7" s="656"/>
    </row>
    <row r="8" spans="2:15" ht="39.6" customHeight="1">
      <c r="B8" s="641"/>
      <c r="C8" s="641"/>
      <c r="D8" s="648" t="s">
        <v>27</v>
      </c>
      <c r="E8" s="648"/>
      <c r="F8" s="649">
        <f>F7/F6</f>
        <v>0.82150405872924814</v>
      </c>
      <c r="G8" s="649"/>
      <c r="H8" s="649">
        <f>H7/H6</f>
        <v>0.83777782159122716</v>
      </c>
      <c r="I8" s="649"/>
      <c r="J8" s="649">
        <f>J7/J6</f>
        <v>0.73737516897093303</v>
      </c>
      <c r="K8" s="649"/>
      <c r="L8" s="655"/>
      <c r="M8" s="656"/>
      <c r="N8" s="657"/>
      <c r="O8" s="65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VALUE('0102'!L15)</f>
        <v>126.55462184873952</v>
      </c>
      <c r="E13" s="13">
        <f>VALUE('0102'!L26)</f>
        <v>162.27564102564102</v>
      </c>
      <c r="F13" s="13">
        <f>VALUE('0102'!L37)</f>
        <v>85.661764705882348</v>
      </c>
      <c r="G13" s="13">
        <f>VALUE('0102'!L48)</f>
        <v>83.408991228070178</v>
      </c>
      <c r="H13" s="13">
        <f>VALUE('0102'!L58)</f>
        <v>86.514103887168901</v>
      </c>
      <c r="I13" s="13">
        <f>VALUE('0102'!L69)</f>
        <v>127.07264957264958</v>
      </c>
      <c r="J13" s="13">
        <f>'0102'!L79</f>
        <v>112.5</v>
      </c>
    </row>
    <row r="14" spans="2:15" ht="39.950000000000003" customHeight="1">
      <c r="B14" s="670"/>
      <c r="C14" s="12" t="s">
        <v>100</v>
      </c>
      <c r="D14" s="13">
        <f>VALUE('0102'!O15)</f>
        <v>105.12203015821765</v>
      </c>
      <c r="E14" s="13">
        <f>VALUE('0102'!O26)</f>
        <v>131.27021030646591</v>
      </c>
      <c r="F14" s="13">
        <f>VALUE('0102'!O37)</f>
        <v>78.069442837864003</v>
      </c>
      <c r="G14" s="13">
        <f>VALUE('0102'!O48)</f>
        <v>71.322761042164345</v>
      </c>
      <c r="H14" s="13">
        <f>VALUE('0102'!O58)</f>
        <v>78.928112481095425</v>
      </c>
      <c r="I14" s="13">
        <f>VALUE('0102'!O69)</f>
        <v>93.700216450216644</v>
      </c>
      <c r="J14" s="13">
        <f>'0102'!O79</f>
        <v>85.636363636363981</v>
      </c>
    </row>
    <row r="15" spans="2:15" ht="39.950000000000003" customHeight="1">
      <c r="B15" s="671"/>
      <c r="C15" s="10" t="s">
        <v>26</v>
      </c>
      <c r="D15" s="14">
        <f>D14/D13</f>
        <v>0.83064552382655377</v>
      </c>
      <c r="E15" s="14">
        <f t="shared" ref="E15:J15" si="0">E14/E13</f>
        <v>0.80893354958754426</v>
      </c>
      <c r="F15" s="14">
        <f t="shared" si="0"/>
        <v>0.91136860308579437</v>
      </c>
      <c r="G15" s="14">
        <f t="shared" si="0"/>
        <v>0.85509679462664001</v>
      </c>
      <c r="H15" s="14">
        <f t="shared" si="0"/>
        <v>0.91231497449286336</v>
      </c>
      <c r="I15" s="14">
        <f t="shared" si="0"/>
        <v>0.73737516897093303</v>
      </c>
      <c r="J15" s="15">
        <f t="shared" si="0"/>
        <v>0.76121212121212423</v>
      </c>
    </row>
    <row r="16" spans="2:15" ht="17.25" customHeight="1">
      <c r="B16" s="672" t="s">
        <v>101</v>
      </c>
      <c r="C16" s="10" t="s">
        <v>34</v>
      </c>
      <c r="D16" s="16">
        <f>'0102'!T5</f>
        <v>0.29027777777777802</v>
      </c>
      <c r="E16" s="16">
        <f>'0102'!T16</f>
        <v>0.29027777777777802</v>
      </c>
      <c r="F16" s="16">
        <f>'0102'!T27</f>
        <v>0.29027777777777802</v>
      </c>
      <c r="G16" s="16">
        <f>'0102'!T38</f>
        <v>0.33333333333333298</v>
      </c>
      <c r="H16" s="16">
        <f>'0102'!T49</f>
        <v>0.29097222222222202</v>
      </c>
      <c r="I16" s="16">
        <f>'0102'!T59</f>
        <v>0.29166666666666702</v>
      </c>
      <c r="J16" s="17">
        <f>'0102'!T70</f>
        <v>0.34027777777777801</v>
      </c>
    </row>
    <row r="17" spans="2:10" ht="17.25" customHeight="1">
      <c r="B17" s="673"/>
      <c r="C17" s="10" t="s">
        <v>35</v>
      </c>
      <c r="D17" s="16">
        <v>0.58472222222222203</v>
      </c>
      <c r="E17" s="19">
        <v>0.61111111111111105</v>
      </c>
      <c r="F17" s="19">
        <v>0.57291666666666696</v>
      </c>
      <c r="G17" s="328">
        <v>0.58333333333333304</v>
      </c>
      <c r="H17" s="20">
        <v>0.64583333333333304</v>
      </c>
      <c r="I17" s="22">
        <v>0.48263888888888901</v>
      </c>
      <c r="J17" s="110">
        <v>0.44722222222222202</v>
      </c>
    </row>
    <row r="18" spans="2:10" ht="17.25" customHeight="1">
      <c r="B18" s="674" t="s">
        <v>102</v>
      </c>
      <c r="C18" s="330" t="s">
        <v>36</v>
      </c>
      <c r="D18" s="358">
        <f>'0102'!Z15</f>
        <v>0</v>
      </c>
      <c r="E18" s="359">
        <f>'0102'!Z26</f>
        <v>2</v>
      </c>
      <c r="F18" s="359">
        <f>'0102'!Z37</f>
        <v>1</v>
      </c>
      <c r="G18" s="360">
        <f>'0102'!Z48</f>
        <v>1</v>
      </c>
      <c r="H18" s="360">
        <f>'0102'!Z58</f>
        <v>0</v>
      </c>
      <c r="I18" s="359">
        <f>'0102'!Z69</f>
        <v>0</v>
      </c>
      <c r="J18" s="359">
        <f>'0102'!Z79</f>
        <v>0</v>
      </c>
    </row>
    <row r="19" spans="2:10" ht="17.25" customHeight="1">
      <c r="B19" s="675"/>
      <c r="C19" s="330" t="s">
        <v>37</v>
      </c>
      <c r="D19" s="358">
        <f>'0102'!AA15</f>
        <v>0</v>
      </c>
      <c r="E19" s="359">
        <f>'0102'!AA26</f>
        <v>34</v>
      </c>
      <c r="F19" s="359">
        <f>'0102'!AA37</f>
        <v>8</v>
      </c>
      <c r="G19" s="360">
        <f>'0102'!AA48</f>
        <v>6</v>
      </c>
      <c r="H19" s="360">
        <f>'0102'!AA58</f>
        <v>0</v>
      </c>
      <c r="I19" s="359">
        <f>'0102'!AA69</f>
        <v>0</v>
      </c>
      <c r="J19" s="359">
        <f>'0102'!AA79</f>
        <v>0</v>
      </c>
    </row>
    <row r="20" spans="2:10" ht="17.25" customHeight="1">
      <c r="B20" s="674" t="s">
        <v>103</v>
      </c>
      <c r="C20" s="330" t="s">
        <v>36</v>
      </c>
      <c r="D20" s="358">
        <f>'0102'!AD15</f>
        <v>1</v>
      </c>
      <c r="E20" s="359">
        <f>'0102'!AD26</f>
        <v>2</v>
      </c>
      <c r="F20" s="359">
        <f>'0102'!AD37</f>
        <v>0</v>
      </c>
      <c r="G20" s="360">
        <f>'0102'!AD48</f>
        <v>0</v>
      </c>
      <c r="H20" s="360">
        <f>'0102'!AD58</f>
        <v>0</v>
      </c>
      <c r="I20" s="359">
        <f>'0102'!AD69</f>
        <v>0</v>
      </c>
      <c r="J20" s="359">
        <f>'0102'!AD79</f>
        <v>0</v>
      </c>
    </row>
    <row r="21" spans="2:10" ht="17.25" customHeight="1">
      <c r="B21" s="675"/>
      <c r="C21" s="330" t="s">
        <v>85</v>
      </c>
      <c r="D21" s="358">
        <f>'0102'!AE15</f>
        <v>1</v>
      </c>
      <c r="E21" s="359">
        <f>'0102'!AD15</f>
        <v>1</v>
      </c>
      <c r="F21" s="359">
        <f>'0102'!AE37</f>
        <v>0</v>
      </c>
      <c r="G21" s="360">
        <f>'0102'!AE48</f>
        <v>0</v>
      </c>
      <c r="H21" s="360">
        <f>'0102'!AE58</f>
        <v>0</v>
      </c>
      <c r="I21" s="359">
        <f>'0102'!AE69</f>
        <v>0</v>
      </c>
      <c r="J21" s="359">
        <f>'0102'!AE79</f>
        <v>0</v>
      </c>
    </row>
    <row r="22" spans="2:10" ht="17.25" customHeight="1">
      <c r="B22" s="658" t="s">
        <v>104</v>
      </c>
      <c r="C22" s="659"/>
      <c r="D22" s="23">
        <f>VALUE('0102'!M15)</f>
        <v>14.75</v>
      </c>
      <c r="E22" s="23">
        <f>VALUE('0102'!M26)</f>
        <v>12.75</v>
      </c>
      <c r="F22" s="23">
        <f>VALUE('0102'!M37)</f>
        <v>14.5</v>
      </c>
      <c r="G22" s="23">
        <f>VALUE('0102'!M48)</f>
        <v>14.666666666666666</v>
      </c>
      <c r="H22" s="23">
        <f>VALUE('0102'!M58)</f>
        <v>16.2</v>
      </c>
      <c r="I22" s="23">
        <f>VALUE('0102'!M69)</f>
        <v>11.666666666666666</v>
      </c>
      <c r="J22" s="23">
        <f>'0102'!M79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5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9681-F192-42E4-A677-633BEDD74ADC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G76" sqref="G76"/>
      <selection pane="topRight" activeCell="G76" sqref="G76"/>
      <selection pane="bottomLeft" activeCell="G76" sqref="G76"/>
      <selection pane="bottomRight" activeCell="T28" sqref="T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40942</v>
      </c>
      <c r="F1" s="30" t="s">
        <v>2</v>
      </c>
      <c r="G1" s="31">
        <f>SUM(H5:H79)</f>
        <v>1980092.7900000003</v>
      </c>
      <c r="H1" s="32" t="s">
        <v>3</v>
      </c>
      <c r="I1" s="33">
        <f>M15+M26+M48+M58+M69+M79+M37</f>
        <v>94.533333333333331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140</v>
      </c>
      <c r="B2" s="678"/>
      <c r="C2" s="28"/>
      <c r="D2" s="28" t="s">
        <v>14</v>
      </c>
      <c r="E2" s="35">
        <f>AVERAGE(O15,O26,O37,O48,O58,O69,O79)</f>
        <v>92.00701955891256</v>
      </c>
      <c r="F2" s="36" t="s">
        <v>15</v>
      </c>
      <c r="G2" s="37">
        <f>G1/E1</f>
        <v>48.363362561672616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4</v>
      </c>
      <c r="AA2" s="339">
        <f>AA15+AA26+AA37+AA48+AA58+AA69+AA79</f>
        <v>48</v>
      </c>
      <c r="AB2" s="684"/>
      <c r="AC2" s="684"/>
      <c r="AD2" s="340">
        <f>AD15+AD26+AD37+AD48+AD58+AD69+AD79</f>
        <v>3</v>
      </c>
      <c r="AE2" s="340">
        <f>AE15+AE26+AE37+AE48+AE58+AE69+AE79</f>
        <v>2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2393</v>
      </c>
      <c r="H5" s="43">
        <f>F5*G5</f>
        <v>114170.03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1227.1794871794873</v>
      </c>
      <c r="O5" s="47">
        <f t="shared" ref="O5:O7" si="2">N5/M5</f>
        <v>87.655677655677664</v>
      </c>
      <c r="P5" s="49">
        <f t="shared" ref="P5:P7" si="3">M5-J5</f>
        <v>0</v>
      </c>
      <c r="Q5" s="50">
        <f t="shared" ref="Q5:Q7" si="4">O5-L5</f>
        <v>-15.201465201465197</v>
      </c>
      <c r="R5" s="51">
        <f t="shared" ref="R5:R7" si="5">O5/L5</f>
        <v>0.85220797720797725</v>
      </c>
      <c r="S5" s="718">
        <f>R15</f>
        <v>0.83064552382655377</v>
      </c>
      <c r="T5" s="319">
        <v>0.29027777777777802</v>
      </c>
      <c r="U5" s="320">
        <v>0.37152777777777801</v>
      </c>
      <c r="V5" s="53"/>
      <c r="W5" s="54">
        <f t="shared" ref="W5:W14" si="6">(U5-T5)*24*60</f>
        <v>116.99999999999999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-212.8205128205127</v>
      </c>
      <c r="AG5" s="52">
        <f t="shared" ref="AG5:AG11" si="8">N5/K5</f>
        <v>0.85220797720797725</v>
      </c>
      <c r="AH5" s="724">
        <f>AG15</f>
        <v>0.82257884812320714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1101</v>
      </c>
      <c r="H6" s="63">
        <f>F6*G6</f>
        <v>62988.21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1321.2000000000069</v>
      </c>
      <c r="O6" s="67">
        <f t="shared" si="2"/>
        <v>77.717647058823928</v>
      </c>
      <c r="P6" s="69">
        <f t="shared" si="3"/>
        <v>0</v>
      </c>
      <c r="Q6" s="70">
        <f t="shared" si="4"/>
        <v>-39.929411764705478</v>
      </c>
      <c r="R6" s="71">
        <f t="shared" si="5"/>
        <v>0.66060000000000341</v>
      </c>
      <c r="S6" s="719"/>
      <c r="T6" s="16">
        <v>0.38055555555555598</v>
      </c>
      <c r="U6" s="16">
        <v>0.41527777777777802</v>
      </c>
      <c r="V6" s="30">
        <f>(T6-U5)*24*60</f>
        <v>13.000000000000274</v>
      </c>
      <c r="W6" s="73">
        <f t="shared" si="6"/>
        <v>49.999999999999744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-678.79999999999313</v>
      </c>
      <c r="AG6" s="72">
        <f t="shared" si="8"/>
        <v>0.66060000000000341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2288</v>
      </c>
      <c r="H7" s="78">
        <f>F7*G7</f>
        <v>112432.32000000001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1782.8571428571511</v>
      </c>
      <c r="O7" s="81">
        <f t="shared" si="2"/>
        <v>127.34693877551079</v>
      </c>
      <c r="P7" s="74">
        <f t="shared" si="3"/>
        <v>0</v>
      </c>
      <c r="Q7" s="83">
        <f t="shared" si="4"/>
        <v>-15.510204081632068</v>
      </c>
      <c r="R7" s="72">
        <f t="shared" si="5"/>
        <v>0.89142857142857557</v>
      </c>
      <c r="S7" s="719"/>
      <c r="T7" s="18">
        <v>0.422222222222222</v>
      </c>
      <c r="U7" s="18">
        <v>0.47569444444444398</v>
      </c>
      <c r="V7" s="30">
        <f>(T7-U6)*24*60</f>
        <v>9.999999999999325</v>
      </c>
      <c r="W7" s="73">
        <f t="shared" si="6"/>
        <v>76.999999999999645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-217.14285714284892</v>
      </c>
      <c r="AG7" s="72">
        <f t="shared" si="8"/>
        <v>0.89142857142857557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1908</v>
      </c>
      <c r="H8" s="78">
        <f>F8*G8</f>
        <v>93759.12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1788.7500000000155</v>
      </c>
      <c r="O8" s="81">
        <f>N8/M8</f>
        <v>127.76785714285825</v>
      </c>
      <c r="P8" s="74">
        <f>M8-J8</f>
        <v>0</v>
      </c>
      <c r="Q8" s="83">
        <f>O8-L8</f>
        <v>-15.089285714284614</v>
      </c>
      <c r="R8" s="72">
        <f>O8/L8</f>
        <v>0.89437500000000769</v>
      </c>
      <c r="S8" s="719"/>
      <c r="T8" s="16">
        <v>0.54027777777777797</v>
      </c>
      <c r="U8" s="16">
        <v>0.58472222222222203</v>
      </c>
      <c r="V8" s="30"/>
      <c r="W8" s="73">
        <f t="shared" si="6"/>
        <v>63.999999999999453</v>
      </c>
      <c r="X8" s="22">
        <v>0.48611111111111099</v>
      </c>
      <c r="Y8" s="84">
        <v>0.52777777777777801</v>
      </c>
      <c r="Z8" s="90"/>
      <c r="AA8" s="90"/>
      <c r="AB8" s="728" t="s">
        <v>141</v>
      </c>
      <c r="AC8" s="728"/>
      <c r="AD8" s="149">
        <v>1</v>
      </c>
      <c r="AE8" s="149">
        <v>1</v>
      </c>
      <c r="AF8" s="307">
        <f t="shared" si="7"/>
        <v>-211.24999999998454</v>
      </c>
      <c r="AG8" s="72">
        <f t="shared" si="8"/>
        <v>0.89437500000000769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1529.9966575091653</v>
      </c>
      <c r="O15" s="117">
        <f t="shared" si="9"/>
        <v>105.12203015821765</v>
      </c>
      <c r="P15" s="121">
        <f t="shared" ref="P15:P18" si="10">M15-J15</f>
        <v>0</v>
      </c>
      <c r="Q15" s="122">
        <f t="shared" ref="Q15:Q18" si="11">O15-L15</f>
        <v>-21.432591690521861</v>
      </c>
      <c r="R15" s="123">
        <f t="shared" ref="R15:R18" si="12">O15/L15</f>
        <v>0.83064552382655377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1</v>
      </c>
      <c r="AE15" s="323">
        <f>SUM(AE5:AE14)</f>
        <v>1</v>
      </c>
      <c r="AF15" s="309">
        <f t="shared" ref="AF15:AF19" si="13">N15-K15</f>
        <v>-330.00334249083471</v>
      </c>
      <c r="AG15" s="124">
        <f t="shared" ref="AG15:AG19" si="14">N15/K15</f>
        <v>0.82257884812320714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1841</v>
      </c>
      <c r="H16" s="134">
        <f>F16*G16</f>
        <v>105323.61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2008.3636363636608</v>
      </c>
      <c r="O16" s="141">
        <f>N16/M16</f>
        <v>143.4545454545472</v>
      </c>
      <c r="P16" s="142">
        <f>M16-J16</f>
        <v>1</v>
      </c>
      <c r="Q16" s="143">
        <f t="shared" si="11"/>
        <v>-18.468531468529733</v>
      </c>
      <c r="R16" s="144">
        <f>O16/L16</f>
        <v>0.88594256100195412</v>
      </c>
      <c r="S16" s="734">
        <f>R26</f>
        <v>0.80893354958754426</v>
      </c>
      <c r="T16" s="145">
        <v>0.29027777777777802</v>
      </c>
      <c r="U16" s="145">
        <v>0.328472222222222</v>
      </c>
      <c r="V16" s="135"/>
      <c r="W16" s="146">
        <f t="shared" ref="W16:W78" si="17">(U16-T16)*24*60</f>
        <v>54.999999999999325</v>
      </c>
      <c r="X16" s="141"/>
      <c r="Y16" s="296"/>
      <c r="Z16" s="169"/>
      <c r="AA16" s="169"/>
      <c r="AB16" s="723" t="s">
        <v>122</v>
      </c>
      <c r="AC16" s="723"/>
      <c r="AD16" s="135"/>
      <c r="AE16" s="135"/>
      <c r="AF16" s="229">
        <f t="shared" si="13"/>
        <v>-96.636363636339183</v>
      </c>
      <c r="AG16" s="52">
        <f t="shared" si="14"/>
        <v>0.95409198877133528</v>
      </c>
      <c r="AH16" s="724">
        <f>AG26</f>
        <v>0.82691390636133089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3144</v>
      </c>
      <c r="H17" s="78">
        <f>F17*G17</f>
        <v>159306.48000000001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1485.3543307086697</v>
      </c>
      <c r="O17" s="96">
        <f t="shared" ref="O17:O18" si="18">N17/M17</f>
        <v>114.25802543912845</v>
      </c>
      <c r="P17" s="97">
        <f t="shared" si="10"/>
        <v>0</v>
      </c>
      <c r="Q17" s="98">
        <f t="shared" si="11"/>
        <v>-39.588128407025394</v>
      </c>
      <c r="R17" s="99">
        <f t="shared" si="12"/>
        <v>0.74267716535433492</v>
      </c>
      <c r="S17" s="735"/>
      <c r="T17" s="19">
        <v>0.33680555555555602</v>
      </c>
      <c r="U17" s="19">
        <v>0.42499999999999999</v>
      </c>
      <c r="V17" s="30">
        <f>(T17-U16)*24*60</f>
        <v>12.000000000000997</v>
      </c>
      <c r="W17" s="149">
        <f t="shared" si="17"/>
        <v>126.9999999999993</v>
      </c>
      <c r="X17" s="19"/>
      <c r="Y17" s="297"/>
      <c r="Z17" s="90">
        <v>1</v>
      </c>
      <c r="AA17" s="90">
        <v>28</v>
      </c>
      <c r="AB17" s="728" t="s">
        <v>142</v>
      </c>
      <c r="AC17" s="713"/>
      <c r="AD17" s="92"/>
      <c r="AE17" s="92"/>
      <c r="AF17" s="307">
        <f t="shared" si="13"/>
        <v>-514.64566929133025</v>
      </c>
      <c r="AG17" s="72">
        <f t="shared" si="14"/>
        <v>0.74267716535433492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802</v>
      </c>
      <c r="H18" s="78">
        <f>F18*G18</f>
        <v>40412.78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1336.6666666666683</v>
      </c>
      <c r="O18" s="96">
        <f t="shared" si="18"/>
        <v>111.38888888888903</v>
      </c>
      <c r="P18" s="97">
        <f t="shared" si="10"/>
        <v>0</v>
      </c>
      <c r="Q18" s="98">
        <f t="shared" si="11"/>
        <v>-55.277777777777629</v>
      </c>
      <c r="R18" s="99">
        <f t="shared" si="12"/>
        <v>0.66833333333333422</v>
      </c>
      <c r="S18" s="735"/>
      <c r="T18" s="19">
        <v>0.43333333333333302</v>
      </c>
      <c r="U18" s="19">
        <v>0.45833333333333298</v>
      </c>
      <c r="V18" s="30">
        <f>(T18-U17)*24*60</f>
        <v>11.999999999999558</v>
      </c>
      <c r="W18" s="149">
        <f t="shared" si="17"/>
        <v>35.99999999999995</v>
      </c>
      <c r="X18" s="22">
        <v>0.48611111111111099</v>
      </c>
      <c r="Y18" s="84">
        <v>0.52777777777777801</v>
      </c>
      <c r="Z18" s="90">
        <v>1</v>
      </c>
      <c r="AA18" s="90">
        <v>6</v>
      </c>
      <c r="AB18" s="713" t="s">
        <v>142</v>
      </c>
      <c r="AC18" s="713"/>
      <c r="AD18" s="92"/>
      <c r="AE18" s="92"/>
      <c r="AF18" s="307">
        <f t="shared" si="13"/>
        <v>-663.33333333333167</v>
      </c>
      <c r="AG18" s="72">
        <f t="shared" si="14"/>
        <v>0.66833333333333411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3026</v>
      </c>
      <c r="H19" s="78">
        <f>F19*G19</f>
        <v>152480.14000000001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1871.7525773195882</v>
      </c>
      <c r="O19" s="96">
        <f>N19/M19</f>
        <v>155.97938144329902</v>
      </c>
      <c r="P19" s="97">
        <f>M19-J19</f>
        <v>0</v>
      </c>
      <c r="Q19" s="98">
        <f>O19-L19</f>
        <v>-10.687285223367638</v>
      </c>
      <c r="R19" s="99">
        <f>O19/L19</f>
        <v>0.93587628865979422</v>
      </c>
      <c r="S19" s="735"/>
      <c r="T19" s="19">
        <v>0.54374999999999996</v>
      </c>
      <c r="U19" s="19">
        <v>0.61111111111111105</v>
      </c>
      <c r="V19" s="30">
        <f>(T19-U18)*24*60</f>
        <v>123.00000000000044</v>
      </c>
      <c r="W19" s="149">
        <f t="shared" si="17"/>
        <v>96.999999999999972</v>
      </c>
      <c r="X19" s="22"/>
      <c r="Y19" s="84"/>
      <c r="Z19" s="90"/>
      <c r="AA19" s="90"/>
      <c r="AB19" s="728" t="s">
        <v>116</v>
      </c>
      <c r="AC19" s="728"/>
      <c r="AD19" s="149">
        <v>2</v>
      </c>
      <c r="AE19" s="149">
        <v>1</v>
      </c>
      <c r="AF19" s="307">
        <f t="shared" si="13"/>
        <v>-128.24742268041177</v>
      </c>
      <c r="AG19" s="72">
        <f t="shared" si="14"/>
        <v>0.93587628865979411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9"/>
      <c r="U21" s="19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1675.5343027646468</v>
      </c>
      <c r="O26" s="158">
        <f t="shared" si="20"/>
        <v>131.27021030646591</v>
      </c>
      <c r="P26" s="159">
        <f t="shared" ref="P26:P29" si="21">M26-J26</f>
        <v>0.25</v>
      </c>
      <c r="Q26" s="160">
        <f t="shared" ref="Q26:Q29" si="22">O26-L26</f>
        <v>-31.005430719175109</v>
      </c>
      <c r="R26" s="161">
        <f>O26/L26</f>
        <v>0.80893354958754426</v>
      </c>
      <c r="S26" s="736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34</v>
      </c>
      <c r="AB26" s="730"/>
      <c r="AC26" s="730"/>
      <c r="AD26" s="323">
        <f>SUM(AD16:AD25)</f>
        <v>2</v>
      </c>
      <c r="AE26" s="323">
        <f>SUM(AE16:AE25)</f>
        <v>1</v>
      </c>
      <c r="AF26" s="309">
        <f t="shared" ref="AF26:AF31" si="23">N26-K26</f>
        <v>-350.71569723535322</v>
      </c>
      <c r="AG26" s="124">
        <f t="shared" ref="AG26:AG31" si="24">N26/K26</f>
        <v>0.82691390636133089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1164</v>
      </c>
      <c r="H27" s="134">
        <f>F27*G27</f>
        <v>66697.2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14</v>
      </c>
      <c r="N27" s="140">
        <f>G27/W27*60</f>
        <v>1225.2631578947482</v>
      </c>
      <c r="O27" s="141">
        <f>N27/M27</f>
        <v>87.518796992482024</v>
      </c>
      <c r="P27" s="142">
        <f t="shared" si="21"/>
        <v>-3</v>
      </c>
      <c r="Q27" s="143">
        <f t="shared" si="22"/>
        <v>-0.71649712516503428</v>
      </c>
      <c r="R27" s="144">
        <f>O27/L27</f>
        <v>0.99187969924812958</v>
      </c>
      <c r="S27" s="734">
        <f>R37</f>
        <v>0.91136860308579437</v>
      </c>
      <c r="T27" s="171">
        <v>0.29027777777777802</v>
      </c>
      <c r="U27" s="171">
        <v>0.32986111111111099</v>
      </c>
      <c r="V27" s="135"/>
      <c r="W27" s="146">
        <f t="shared" si="17"/>
        <v>56.999999999999474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-274.73684210525175</v>
      </c>
      <c r="AG27" s="172">
        <f t="shared" si="24"/>
        <v>0.81684210526316547</v>
      </c>
      <c r="AH27" s="724">
        <f>AG37</f>
        <v>0.77559618425396704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1054</v>
      </c>
      <c r="H28" s="91">
        <f>F28*G28</f>
        <v>58107.020000000004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15</v>
      </c>
      <c r="N28" s="95">
        <f>G28/W28*60</f>
        <v>1054.0000000000177</v>
      </c>
      <c r="O28" s="96">
        <f>N28/M28</f>
        <v>70.266666666667845</v>
      </c>
      <c r="P28" s="97">
        <f t="shared" si="21"/>
        <v>-2</v>
      </c>
      <c r="Q28" s="98">
        <f t="shared" si="22"/>
        <v>-11.203921568626271</v>
      </c>
      <c r="R28" s="99">
        <f t="shared" ref="R28:R29" si="26">O28/L28</f>
        <v>0.86247894103491218</v>
      </c>
      <c r="S28" s="735"/>
      <c r="T28" s="19">
        <v>0.33680555555555602</v>
      </c>
      <c r="U28" s="19">
        <v>0.37847222222222199</v>
      </c>
      <c r="V28" s="92">
        <f>(T28-U27)*24*60</f>
        <v>10.000000000000844</v>
      </c>
      <c r="W28" s="149">
        <f t="shared" si="17"/>
        <v>59.999999999998991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-330.99999999998226</v>
      </c>
      <c r="AG28" s="99">
        <f t="shared" si="24"/>
        <v>0.76101083032492256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1722</v>
      </c>
      <c r="H29" s="91">
        <f>F29*G29</f>
        <v>85273.44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15</v>
      </c>
      <c r="N29" s="95">
        <f>G29/W29*60</f>
        <v>1135.3846153846055</v>
      </c>
      <c r="O29" s="96">
        <f>N29/M29</f>
        <v>75.692307692307025</v>
      </c>
      <c r="P29" s="97">
        <f t="shared" si="21"/>
        <v>-2</v>
      </c>
      <c r="Q29" s="98">
        <f t="shared" si="22"/>
        <v>-9.0135746606341485</v>
      </c>
      <c r="R29" s="99">
        <f t="shared" si="26"/>
        <v>0.89358974358973575</v>
      </c>
      <c r="S29" s="735"/>
      <c r="T29" s="19">
        <v>0.38611111111111102</v>
      </c>
      <c r="U29" s="19">
        <v>0.44930555555555601</v>
      </c>
      <c r="V29" s="92">
        <f>(T29-U28)*24*60</f>
        <v>11.000000000000201</v>
      </c>
      <c r="W29" s="149">
        <f t="shared" si="17"/>
        <v>91.000000000000796</v>
      </c>
      <c r="X29" s="22"/>
      <c r="Y29" s="84"/>
      <c r="Z29" s="90">
        <v>1</v>
      </c>
      <c r="AA29" s="90">
        <v>8</v>
      </c>
      <c r="AB29" s="713" t="s">
        <v>131</v>
      </c>
      <c r="AC29" s="713"/>
      <c r="AD29" s="92"/>
      <c r="AE29" s="92"/>
      <c r="AF29" s="312">
        <f t="shared" si="23"/>
        <v>-304.61538461539453</v>
      </c>
      <c r="AG29" s="99">
        <f t="shared" si="24"/>
        <v>0.78846153846153155</v>
      </c>
      <c r="AH29" s="744"/>
    </row>
    <row r="30" spans="1:34" ht="15" customHeight="1">
      <c r="A30" s="732"/>
      <c r="B30" s="75" t="s">
        <v>81</v>
      </c>
      <c r="C30" s="88"/>
      <c r="D30" s="59" t="s">
        <v>125</v>
      </c>
      <c r="E30" s="89"/>
      <c r="F30" s="75">
        <f>VLOOKUP(D30,廠價表!$C$1:$E$41,3,0)</f>
        <v>57.3</v>
      </c>
      <c r="G30" s="90">
        <v>1379</v>
      </c>
      <c r="H30" s="91">
        <f>F30*G30</f>
        <v>79016.7</v>
      </c>
      <c r="I30" s="92"/>
      <c r="J30" s="79">
        <f>VLOOKUP(D30,產線配置圖!$A$3:$C$39,2,0)</f>
        <v>17</v>
      </c>
      <c r="K30" s="80">
        <f>VLOOKUP(D30,產線配置圖!$A$3:$C$39,3,0)</f>
        <v>1500</v>
      </c>
      <c r="L30" s="93">
        <f>K30/J30</f>
        <v>88.235294117647058</v>
      </c>
      <c r="M30" s="94">
        <v>14</v>
      </c>
      <c r="N30" s="95">
        <f>G30/W30*60</f>
        <v>1103.1999999999875</v>
      </c>
      <c r="O30" s="96">
        <f>N30/M30</f>
        <v>78.799999999999116</v>
      </c>
      <c r="P30" s="97">
        <f>M30-J30</f>
        <v>-3</v>
      </c>
      <c r="Q30" s="98">
        <f>O30-L30</f>
        <v>-9.4352941176479419</v>
      </c>
      <c r="R30" s="99">
        <f>O30/L30</f>
        <v>0.89306666666665668</v>
      </c>
      <c r="S30" s="735"/>
      <c r="T30" s="19">
        <v>0.52083333333333304</v>
      </c>
      <c r="U30" s="19">
        <v>0.57291666666666696</v>
      </c>
      <c r="V30" s="92">
        <f>(T30-U29)*24*60</f>
        <v>102.99999999999892</v>
      </c>
      <c r="W30" s="149">
        <f t="shared" si="17"/>
        <v>75.000000000000853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-396.80000000001246</v>
      </c>
      <c r="AG30" s="99">
        <f t="shared" si="24"/>
        <v>0.73546666666665839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0</v>
      </c>
      <c r="AG31" s="99" t="e">
        <f t="shared" si="24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8">AVERAGE(J27:J36)</f>
        <v>17</v>
      </c>
      <c r="K37" s="155">
        <f t="shared" si="28"/>
        <v>1456.25</v>
      </c>
      <c r="L37" s="158">
        <f t="shared" si="28"/>
        <v>85.661764705882348</v>
      </c>
      <c r="M37" s="155">
        <f t="shared" si="28"/>
        <v>14.5</v>
      </c>
      <c r="N37" s="155">
        <f t="shared" si="28"/>
        <v>1129.4619433198395</v>
      </c>
      <c r="O37" s="158">
        <f t="shared" si="28"/>
        <v>78.069442837864003</v>
      </c>
      <c r="P37" s="159">
        <f>M37-J37</f>
        <v>-2.5</v>
      </c>
      <c r="Q37" s="160">
        <f>N37-K37</f>
        <v>-326.78805668016048</v>
      </c>
      <c r="R37" s="161">
        <f t="shared" ref="R37:R40" si="29">O37/L37</f>
        <v>0.91136860308579437</v>
      </c>
      <c r="S37" s="736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8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0">N37-K37</f>
        <v>-326.78805668016048</v>
      </c>
      <c r="AG37" s="124">
        <f t="shared" ref="AG37:AG41" si="31">N37/K37</f>
        <v>0.77559618425396704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1215</v>
      </c>
      <c r="H38" s="134">
        <f>F38*G38</f>
        <v>69619.5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2">K38/J38</f>
        <v>86.5625</v>
      </c>
      <c r="M38" s="190">
        <v>15</v>
      </c>
      <c r="N38" s="140">
        <f>G38/W38*60</f>
        <v>1121.5384615384587</v>
      </c>
      <c r="O38" s="141">
        <f>N38/M38</f>
        <v>74.769230769230575</v>
      </c>
      <c r="P38" s="142">
        <f t="shared" ref="P38:P40" si="33">M38-J38</f>
        <v>-1</v>
      </c>
      <c r="Q38" s="143">
        <f t="shared" ref="Q38:Q40" si="34">O38-L38</f>
        <v>-11.793269230769425</v>
      </c>
      <c r="R38" s="144">
        <f>O38/L38</f>
        <v>0.86376006664815108</v>
      </c>
      <c r="S38" s="756">
        <f>R48</f>
        <v>0.85509679462664001</v>
      </c>
      <c r="T38" s="191">
        <v>0.33333333333333298</v>
      </c>
      <c r="U38" s="191">
        <v>0.37847222222222199</v>
      </c>
      <c r="V38" s="192"/>
      <c r="W38" s="193">
        <f t="shared" si="17"/>
        <v>65.000000000000171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0"/>
        <v>-263.46153846154129</v>
      </c>
      <c r="AG38" s="195">
        <f t="shared" si="31"/>
        <v>0.80977506248264164</v>
      </c>
      <c r="AH38" s="746">
        <f>AG48</f>
        <v>0.74239677383495362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1070</v>
      </c>
      <c r="H39" s="91">
        <f>F39*G39</f>
        <v>60380.1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2"/>
        <v>87.875</v>
      </c>
      <c r="M39" s="201">
        <v>14</v>
      </c>
      <c r="N39" s="202">
        <f>G39/W39*60</f>
        <v>958.20895522389662</v>
      </c>
      <c r="O39" s="203">
        <f t="shared" ref="O39:O40" si="35">N39/M39</f>
        <v>68.4434968017069</v>
      </c>
      <c r="P39" s="97">
        <f t="shared" si="33"/>
        <v>-2</v>
      </c>
      <c r="Q39" s="98">
        <f t="shared" si="34"/>
        <v>-19.4315031982931</v>
      </c>
      <c r="R39" s="99">
        <f t="shared" si="29"/>
        <v>0.77887336331956647</v>
      </c>
      <c r="S39" s="757"/>
      <c r="T39" s="20">
        <v>0.38541666666666702</v>
      </c>
      <c r="U39" s="20">
        <v>0.43194444444444402</v>
      </c>
      <c r="V39" s="92">
        <f>(T39-U38)*24*60</f>
        <v>10.000000000000844</v>
      </c>
      <c r="W39" s="205">
        <f t="shared" si="17"/>
        <v>66.999999999998877</v>
      </c>
      <c r="X39" s="22"/>
      <c r="Y39" s="84"/>
      <c r="Z39" s="90">
        <v>1</v>
      </c>
      <c r="AA39" s="90">
        <v>6</v>
      </c>
      <c r="AB39" s="749" t="s">
        <v>131</v>
      </c>
      <c r="AC39" s="749"/>
      <c r="AD39" s="200"/>
      <c r="AE39" s="200"/>
      <c r="AF39" s="314">
        <f t="shared" si="30"/>
        <v>-447.79104477610338</v>
      </c>
      <c r="AG39" s="206">
        <f t="shared" si="31"/>
        <v>0.68151419290462067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796</v>
      </c>
      <c r="H40" s="91">
        <f>F40*G40</f>
        <v>35262.799999999996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2"/>
        <v>75.78947368421052</v>
      </c>
      <c r="M40" s="201">
        <v>15</v>
      </c>
      <c r="N40" s="202">
        <f>G40/W40*60</f>
        <v>1061.3333333333335</v>
      </c>
      <c r="O40" s="203">
        <f t="shared" si="35"/>
        <v>70.75555555555556</v>
      </c>
      <c r="P40" s="97">
        <f t="shared" si="33"/>
        <v>-4</v>
      </c>
      <c r="Q40" s="98">
        <f t="shared" si="34"/>
        <v>-5.0339181286549604</v>
      </c>
      <c r="R40" s="99">
        <f t="shared" si="29"/>
        <v>0.93358024691358032</v>
      </c>
      <c r="S40" s="719"/>
      <c r="T40" s="20">
        <v>0.55208333333333304</v>
      </c>
      <c r="U40" s="20">
        <v>0.58333333333333304</v>
      </c>
      <c r="V40" s="92">
        <f>(T40-U39)*24*60</f>
        <v>173.00000000000017</v>
      </c>
      <c r="W40" s="205">
        <f t="shared" si="17"/>
        <v>45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0"/>
        <v>-378.66666666666652</v>
      </c>
      <c r="AG40" s="206">
        <f t="shared" si="31"/>
        <v>0.73703703703703716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0"/>
        <v>0</v>
      </c>
      <c r="AG41" s="206" t="e">
        <f t="shared" si="31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7">AVERAGE(J38:J47)</f>
        <v>17</v>
      </c>
      <c r="K48" s="155">
        <f t="shared" si="37"/>
        <v>1410.3333333333333</v>
      </c>
      <c r="L48" s="158">
        <f t="shared" si="37"/>
        <v>83.408991228070178</v>
      </c>
      <c r="M48" s="155">
        <f t="shared" si="37"/>
        <v>14.666666666666666</v>
      </c>
      <c r="N48" s="155">
        <f t="shared" si="37"/>
        <v>1047.0269166985629</v>
      </c>
      <c r="O48" s="158">
        <f t="shared" si="37"/>
        <v>71.322761042164345</v>
      </c>
      <c r="P48" s="221">
        <f>M48-J48</f>
        <v>-2.3333333333333339</v>
      </c>
      <c r="Q48" s="222">
        <f>N48-K48</f>
        <v>-363.30641663477036</v>
      </c>
      <c r="R48" s="223">
        <f>O48/L48</f>
        <v>0.85509679462664001</v>
      </c>
      <c r="S48" s="722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1</v>
      </c>
      <c r="AA48" s="334">
        <f>SUM(AA38:AA47)</f>
        <v>6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38">N48-K48</f>
        <v>-363.30641663477036</v>
      </c>
      <c r="AG48" s="162">
        <f t="shared" ref="AG48:AG53" si="39">N48/K48</f>
        <v>0.74239677383495362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990</v>
      </c>
      <c r="H49" s="134">
        <f>F49*G49</f>
        <v>56301.299999999996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0">K49/J49</f>
        <v>86.944444444444443</v>
      </c>
      <c r="M49" s="170">
        <v>17</v>
      </c>
      <c r="N49" s="140">
        <f>G49/W49*60</f>
        <v>1381.3953488372142</v>
      </c>
      <c r="O49" s="141">
        <f>N49/M49</f>
        <v>81.258549931600839</v>
      </c>
      <c r="P49" s="229">
        <f>M49-J49</f>
        <v>-1</v>
      </c>
      <c r="Q49" s="230">
        <f>O49-L49</f>
        <v>-5.6858945128436034</v>
      </c>
      <c r="R49" s="52">
        <f>O49/L49</f>
        <v>0.93460313020371577</v>
      </c>
      <c r="S49" s="718">
        <f>R58</f>
        <v>0.91231497449286336</v>
      </c>
      <c r="T49" s="191">
        <v>0.29097222222222202</v>
      </c>
      <c r="U49" s="191">
        <v>0.32083333333333303</v>
      </c>
      <c r="V49" s="55"/>
      <c r="W49" s="193">
        <f t="shared" si="17"/>
        <v>42.999999999999844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38"/>
        <v>-183.60465116278579</v>
      </c>
      <c r="AG49" s="52">
        <f t="shared" si="39"/>
        <v>0.882680734081287</v>
      </c>
      <c r="AH49" s="724">
        <f>AG58</f>
        <v>0.82310264458420002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2010</v>
      </c>
      <c r="H50" s="231">
        <f>F50*G50</f>
        <v>100319.09999999999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0"/>
        <v>92.058823529411768</v>
      </c>
      <c r="M50" s="233">
        <v>16</v>
      </c>
      <c r="N50" s="234">
        <f>G50/W50*60</f>
        <v>1386.2068965517165</v>
      </c>
      <c r="O50" s="235">
        <f>N50/M50</f>
        <v>86.637931034482278</v>
      </c>
      <c r="P50" s="74">
        <f>M50-J50</f>
        <v>-1</v>
      </c>
      <c r="Q50" s="83">
        <f>O50-L50</f>
        <v>-5.4208924949294897</v>
      </c>
      <c r="R50" s="72">
        <f>O50/L50</f>
        <v>0.94111490580587776</v>
      </c>
      <c r="S50" s="719"/>
      <c r="T50" s="21">
        <v>0.328472222222222</v>
      </c>
      <c r="U50" s="21">
        <v>0.38888888888888901</v>
      </c>
      <c r="V50" s="30">
        <f t="shared" ref="V50:V52" si="41">(T50-U49)*24*60</f>
        <v>11.000000000000121</v>
      </c>
      <c r="W50" s="236">
        <f t="shared" si="17"/>
        <v>87.000000000000483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38"/>
        <v>-178.79310344828355</v>
      </c>
      <c r="AG50" s="72">
        <f t="shared" si="39"/>
        <v>0.8857552054643556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2263</v>
      </c>
      <c r="H51" s="231">
        <f>F51*G51</f>
        <v>113082.11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0"/>
        <v>88.888888888888886</v>
      </c>
      <c r="M51" s="233">
        <v>16</v>
      </c>
      <c r="N51" s="234">
        <f>G51/W51*60</f>
        <v>1414.374999999992</v>
      </c>
      <c r="O51" s="235">
        <f>N51/M51</f>
        <v>88.398437499999503</v>
      </c>
      <c r="P51" s="74">
        <f>M51-J51</f>
        <v>-2</v>
      </c>
      <c r="Q51" s="83">
        <f>O51-L51</f>
        <v>-0.49045138888938311</v>
      </c>
      <c r="R51" s="72">
        <f>O51/L51</f>
        <v>0.99448242187499447</v>
      </c>
      <c r="S51" s="719"/>
      <c r="T51" s="21">
        <v>0.39722222222222198</v>
      </c>
      <c r="U51" s="19">
        <v>0.46388888888888902</v>
      </c>
      <c r="V51" s="30">
        <f t="shared" si="41"/>
        <v>11.999999999999478</v>
      </c>
      <c r="W51" s="236">
        <f t="shared" si="17"/>
        <v>96.00000000000054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38"/>
        <v>-185.62500000000796</v>
      </c>
      <c r="AG51" s="72">
        <f t="shared" si="39"/>
        <v>0.88398437499999505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2051</v>
      </c>
      <c r="H52" s="231">
        <f t="shared" ref="H52:H53" si="42">F52*G52</f>
        <v>102488.47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ref="L52:L53" si="43">K52/J52</f>
        <v>88.888888888888886</v>
      </c>
      <c r="M52" s="233">
        <v>16</v>
      </c>
      <c r="N52" s="234">
        <f t="shared" ref="N52:N53" si="44">G52/W52*60</f>
        <v>1243.0303030303035</v>
      </c>
      <c r="O52" s="235">
        <f t="shared" ref="O52:O53" si="45">N52/M52</f>
        <v>77.689393939393966</v>
      </c>
      <c r="P52" s="74">
        <f t="shared" ref="P52:P53" si="46">M52-J52</f>
        <v>-2</v>
      </c>
      <c r="Q52" s="83">
        <f t="shared" ref="Q52:Q53" si="47">O52-L52</f>
        <v>-11.19949494949492</v>
      </c>
      <c r="R52" s="72">
        <f t="shared" ref="R52:R53" si="48">O52/L52</f>
        <v>0.87400568181818217</v>
      </c>
      <c r="S52" s="719"/>
      <c r="T52" s="21">
        <v>0.52083333333333304</v>
      </c>
      <c r="U52" s="21">
        <v>0.58958333333333302</v>
      </c>
      <c r="V52" s="30">
        <f t="shared" si="41"/>
        <v>81.999999999999389</v>
      </c>
      <c r="W52" s="236">
        <f t="shared" si="17"/>
        <v>98.999999999999972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38"/>
        <v>-356.96969696969654</v>
      </c>
      <c r="AG52" s="72">
        <f t="shared" si="39"/>
        <v>0.77689393939393969</v>
      </c>
      <c r="AH52" s="725"/>
    </row>
    <row r="53" spans="1:34" ht="15" customHeight="1">
      <c r="A53" s="751"/>
      <c r="B53" s="101" t="s">
        <v>117</v>
      </c>
      <c r="C53" s="102"/>
      <c r="D53" s="103" t="s">
        <v>118</v>
      </c>
      <c r="E53" s="104"/>
      <c r="F53" s="75">
        <f>VLOOKUP(D53,廠價表!$C$1:$E$41,3,0)</f>
        <v>44.3</v>
      </c>
      <c r="G53" s="202">
        <v>1294</v>
      </c>
      <c r="H53" s="231">
        <f t="shared" si="42"/>
        <v>57324.2</v>
      </c>
      <c r="I53" s="30"/>
      <c r="J53" s="79">
        <f>VLOOKUP(D53,產線配置圖!$A$3:$C$39,2,0)</f>
        <v>19</v>
      </c>
      <c r="K53" s="80">
        <f>VLOOKUP(D53,產線配置圖!$A$3:$C$39,3,0)</f>
        <v>1440</v>
      </c>
      <c r="L53" s="81">
        <f t="shared" si="43"/>
        <v>75.78947368421052</v>
      </c>
      <c r="M53" s="108">
        <v>16</v>
      </c>
      <c r="N53" s="234">
        <f t="shared" si="44"/>
        <v>970.50000000000921</v>
      </c>
      <c r="O53" s="235">
        <f t="shared" si="45"/>
        <v>60.656250000000576</v>
      </c>
      <c r="P53" s="74">
        <f t="shared" si="46"/>
        <v>-3</v>
      </c>
      <c r="Q53" s="83">
        <f t="shared" si="47"/>
        <v>-15.133223684209945</v>
      </c>
      <c r="R53" s="72">
        <f t="shared" si="48"/>
        <v>0.80032552083334096</v>
      </c>
      <c r="S53" s="719"/>
      <c r="T53" s="21">
        <v>0.59027777777777801</v>
      </c>
      <c r="U53" s="21">
        <v>0.64583333333333304</v>
      </c>
      <c r="V53" s="30"/>
      <c r="W53" s="236">
        <f t="shared" si="17"/>
        <v>79.999999999999233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38"/>
        <v>-469.49999999999079</v>
      </c>
      <c r="AG53" s="72">
        <f t="shared" si="39"/>
        <v>0.67395833333333977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9">AVERAGE(J49:J57)</f>
        <v>18</v>
      </c>
      <c r="K58" s="120">
        <f t="shared" si="49"/>
        <v>1554</v>
      </c>
      <c r="L58" s="117">
        <f t="shared" si="49"/>
        <v>86.514103887168901</v>
      </c>
      <c r="M58" s="120">
        <f t="shared" si="49"/>
        <v>16.2</v>
      </c>
      <c r="N58" s="120">
        <f t="shared" si="49"/>
        <v>1279.1015096838469</v>
      </c>
      <c r="O58" s="117">
        <f t="shared" si="49"/>
        <v>78.928112481095425</v>
      </c>
      <c r="P58" s="121">
        <f>M58-J58</f>
        <v>-1.8000000000000007</v>
      </c>
      <c r="Q58" s="122">
        <f>N58-K58</f>
        <v>-274.89849031615313</v>
      </c>
      <c r="R58" s="123">
        <f t="shared" ref="R58:R60" si="50">O58/L58</f>
        <v>0.91231497449286336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1">N58-K58</f>
        <v>-274.89849031615313</v>
      </c>
      <c r="AG58" s="124">
        <f t="shared" ref="AG58:AG61" si="52">N58/K58</f>
        <v>0.82310264458420002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3143</v>
      </c>
      <c r="H59" s="243">
        <f>F59*G59</f>
        <v>84829.569999999992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3">K59/J59</f>
        <v>120.38461538461539</v>
      </c>
      <c r="M59" s="244">
        <v>12</v>
      </c>
      <c r="N59" s="137">
        <f t="shared" ref="N59:N61" si="54">G59/W59*60</f>
        <v>1347.0000000000034</v>
      </c>
      <c r="O59" s="138">
        <f t="shared" ref="O59:O61" si="55">N59/M59</f>
        <v>112.25000000000028</v>
      </c>
      <c r="P59" s="56">
        <f t="shared" ref="P59:P61" si="56">M59-J59</f>
        <v>-1</v>
      </c>
      <c r="Q59" s="230">
        <f t="shared" ref="Q59:Q61" si="57">O59-L59</f>
        <v>-8.1346153846151026</v>
      </c>
      <c r="R59" s="52">
        <f t="shared" si="50"/>
        <v>0.93242811501597678</v>
      </c>
      <c r="S59" s="718">
        <f>R69</f>
        <v>0.73737516897093303</v>
      </c>
      <c r="T59" s="245">
        <v>0.29166666666666702</v>
      </c>
      <c r="U59" s="245">
        <v>0.38888888888888901</v>
      </c>
      <c r="V59" s="55"/>
      <c r="W59" s="54">
        <f t="shared" si="17"/>
        <v>139.99999999999966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1"/>
        <v>-217.99999999999659</v>
      </c>
      <c r="AG59" s="246">
        <f t="shared" si="52"/>
        <v>0.86070287539936319</v>
      </c>
      <c r="AH59" s="724">
        <f>AG69</f>
        <v>0.70832192301841013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393</v>
      </c>
      <c r="H60" s="78">
        <f>F60*G60</f>
        <v>11188.71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11</v>
      </c>
      <c r="N60" s="80">
        <f t="shared" si="54"/>
        <v>524</v>
      </c>
      <c r="O60" s="81">
        <f t="shared" si="55"/>
        <v>47.636363636363633</v>
      </c>
      <c r="P60" s="74">
        <f t="shared" si="56"/>
        <v>-1</v>
      </c>
      <c r="Q60" s="83">
        <f t="shared" si="57"/>
        <v>-82.780303030303031</v>
      </c>
      <c r="R60" s="72">
        <f t="shared" si="50"/>
        <v>0.36526285216381066</v>
      </c>
      <c r="S60" s="768"/>
      <c r="T60" s="22">
        <v>0.39930555555555602</v>
      </c>
      <c r="U60" s="22">
        <v>0.43055555555555602</v>
      </c>
      <c r="V60" s="30">
        <f t="shared" ref="V60:V61" si="58">(T60-U59)*24*60</f>
        <v>15.000000000000506</v>
      </c>
      <c r="W60" s="248">
        <f t="shared" si="17"/>
        <v>45</v>
      </c>
      <c r="X60" s="232"/>
      <c r="Y60" s="177"/>
      <c r="Z60" s="90"/>
      <c r="AA60" s="90"/>
      <c r="AB60" s="713" t="s">
        <v>143</v>
      </c>
      <c r="AC60" s="713"/>
      <c r="AD60" s="92"/>
      <c r="AE60" s="92"/>
      <c r="AF60" s="316">
        <f t="shared" si="51"/>
        <v>-1041</v>
      </c>
      <c r="AG60" s="249">
        <f t="shared" si="52"/>
        <v>0.33482428115015972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1697</v>
      </c>
      <c r="H61" s="254">
        <f>F61*G61</f>
        <v>47957.22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12</v>
      </c>
      <c r="N61" s="107">
        <f t="shared" si="54"/>
        <v>1454.5714285714321</v>
      </c>
      <c r="O61" s="238">
        <f t="shared" si="55"/>
        <v>121.21428571428601</v>
      </c>
      <c r="P61" s="111">
        <f t="shared" si="56"/>
        <v>0</v>
      </c>
      <c r="Q61" s="255">
        <f t="shared" si="57"/>
        <v>-9.2023809523806506</v>
      </c>
      <c r="R61" s="85">
        <f>O61/L61</f>
        <v>0.92943861250570747</v>
      </c>
      <c r="S61" s="719"/>
      <c r="T61" s="22">
        <v>0.43402777777777801</v>
      </c>
      <c r="U61" s="22">
        <v>0.48263888888888901</v>
      </c>
      <c r="V61" s="30">
        <f t="shared" si="58"/>
        <v>4.9999999999996625</v>
      </c>
      <c r="W61" s="256">
        <f t="shared" si="17"/>
        <v>69.999999999999829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1"/>
        <v>-110.42857142856792</v>
      </c>
      <c r="AG61" s="247">
        <f t="shared" si="52"/>
        <v>0.92943861250570736</v>
      </c>
      <c r="AH61" s="725"/>
    </row>
    <row r="62" spans="1:34" ht="15" customHeight="1">
      <c r="A62" s="76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19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0</v>
      </c>
      <c r="AG62" s="247" t="e">
        <f>N62/K62</f>
        <v>#DIV/0!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9">AVERAGE(J59:J68)</f>
        <v>12.333333333333334</v>
      </c>
      <c r="K69" s="240">
        <f t="shared" si="59"/>
        <v>1565</v>
      </c>
      <c r="L69" s="268">
        <f t="shared" si="59"/>
        <v>127.07264957264958</v>
      </c>
      <c r="M69" s="240">
        <f t="shared" si="59"/>
        <v>11.666666666666666</v>
      </c>
      <c r="N69" s="240">
        <f t="shared" si="59"/>
        <v>1108.5238095238119</v>
      </c>
      <c r="O69" s="268">
        <f t="shared" si="59"/>
        <v>93.700216450216644</v>
      </c>
      <c r="P69" s="269">
        <f>M69-J69</f>
        <v>-0.66666666666666785</v>
      </c>
      <c r="Q69" s="222">
        <f>N69-K69</f>
        <v>-456.47619047618809</v>
      </c>
      <c r="R69" s="123">
        <f>O69/L69</f>
        <v>0.73737516897093303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-456.47619047618809</v>
      </c>
      <c r="AG69" s="124">
        <f>N69/K69</f>
        <v>0.70832192301841013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2198</v>
      </c>
      <c r="H70" s="243">
        <f>F70*G70</f>
        <v>111372.66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856.36363636363978</v>
      </c>
      <c r="O70" s="138">
        <f>N70/M70</f>
        <v>85.636363636363981</v>
      </c>
      <c r="P70" s="56">
        <f>M70-J70</f>
        <v>0</v>
      </c>
      <c r="Q70" s="230">
        <f>O70-L70</f>
        <v>-26.863636363636019</v>
      </c>
      <c r="R70" s="52">
        <f>O70/L70</f>
        <v>0.76121212121212423</v>
      </c>
      <c r="S70" s="718">
        <f>R79</f>
        <v>0.76121212121212423</v>
      </c>
      <c r="T70" s="245">
        <v>0.34027777777777801</v>
      </c>
      <c r="U70" s="245">
        <v>0.44722222222222202</v>
      </c>
      <c r="V70" s="55"/>
      <c r="W70" s="54">
        <f t="shared" si="17"/>
        <v>153.99999999999937</v>
      </c>
      <c r="X70" s="270"/>
      <c r="Y70" s="292"/>
      <c r="Z70" s="169"/>
      <c r="AA70" s="169"/>
      <c r="AB70" s="723" t="s">
        <v>131</v>
      </c>
      <c r="AC70" s="723"/>
      <c r="AD70" s="135"/>
      <c r="AE70" s="135"/>
      <c r="AF70" s="310">
        <f>N70-K70</f>
        <v>-268.63636363636022</v>
      </c>
      <c r="AG70" s="246">
        <f>N70/K70</f>
        <v>0.76121212121212423</v>
      </c>
      <c r="AH70" s="724">
        <f>AG79</f>
        <v>0.76121212121212423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1">AVERAGE(J70:J78)</f>
        <v>10</v>
      </c>
      <c r="K79" s="240">
        <f t="shared" si="61"/>
        <v>1125</v>
      </c>
      <c r="L79" s="268">
        <f t="shared" si="61"/>
        <v>112.5</v>
      </c>
      <c r="M79" s="240">
        <f t="shared" si="61"/>
        <v>10</v>
      </c>
      <c r="N79" s="240">
        <f t="shared" si="61"/>
        <v>856.36363636363978</v>
      </c>
      <c r="O79" s="268">
        <f t="shared" si="61"/>
        <v>85.636363636363981</v>
      </c>
      <c r="P79" s="269">
        <f>M79-J79</f>
        <v>0</v>
      </c>
      <c r="Q79" s="222">
        <f>N79-K79</f>
        <v>-268.63636363636022</v>
      </c>
      <c r="R79" s="223">
        <f>O79/L79</f>
        <v>0.76121212121212423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-268.63636363636022</v>
      </c>
      <c r="AG79" s="124">
        <f>N79/K79</f>
        <v>0.76121212121212423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0:AC10"/>
    <mergeCell ref="A5:A15"/>
    <mergeCell ref="S5:S15"/>
    <mergeCell ref="AB5:AC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D15:E15"/>
    <mergeCell ref="AB15:AC15"/>
    <mergeCell ref="G3:G4"/>
    <mergeCell ref="J1:L2"/>
    <mergeCell ref="M1:O2"/>
    <mergeCell ref="P1:S2"/>
    <mergeCell ref="H3:H4"/>
    <mergeCell ref="I3:I4"/>
    <mergeCell ref="J3:J4"/>
    <mergeCell ref="K3:K4"/>
    <mergeCell ref="N3:N4"/>
    <mergeCell ref="O3:O4"/>
    <mergeCell ref="P3:P4"/>
    <mergeCell ref="Q3:Q4"/>
    <mergeCell ref="L3:L4"/>
    <mergeCell ref="M3:M4"/>
    <mergeCell ref="AB1:AC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A2:B2"/>
    <mergeCell ref="A3:A4"/>
    <mergeCell ref="B3:B4"/>
    <mergeCell ref="D3:E4"/>
    <mergeCell ref="F3:F4"/>
  </mergeCells>
  <phoneticPr fontId="6" type="noConversion"/>
  <conditionalFormatting sqref="P5:P79">
    <cfRule type="cellIs" dxfId="349" priority="1" operator="greaterThan">
      <formula>0</formula>
    </cfRule>
  </conditionalFormatting>
  <conditionalFormatting sqref="Q5:Q79 AF5:AF79">
    <cfRule type="cellIs" dxfId="348" priority="4" operator="lessThan">
      <formula>0</formula>
    </cfRule>
  </conditionalFormatting>
  <conditionalFormatting sqref="R5:R79 AG5:AG79">
    <cfRule type="cellIs" dxfId="347" priority="2" operator="greaterThan">
      <formula>1</formula>
    </cfRule>
    <cfRule type="cellIs" dxfId="346" priority="3" operator="lessThan">
      <formula>0.8</formula>
    </cfRule>
  </conditionalFormatting>
  <conditionalFormatting sqref="S5:S10 S37:S62 AH59:AH62 S69:S76 AH69:AH76">
    <cfRule type="cellIs" dxfId="345" priority="7" operator="lessThan">
      <formula>0.8</formula>
    </cfRule>
  </conditionalFormatting>
  <conditionalFormatting sqref="S19:S25 AH19:AH25">
    <cfRule type="cellIs" dxfId="344" priority="6" operator="lessThan">
      <formula>0.8</formula>
    </cfRule>
  </conditionalFormatting>
  <conditionalFormatting sqref="S79">
    <cfRule type="cellIs" dxfId="343" priority="5" operator="lessThan">
      <formula>0.8</formula>
    </cfRule>
  </conditionalFormatting>
  <conditionalFormatting sqref="AH5:AH8 S15:S16 AH15:AH16 AH49 AH79">
    <cfRule type="cellIs" dxfId="342" priority="9" operator="lessThan">
      <formula>0.8</formula>
    </cfRule>
  </conditionalFormatting>
  <conditionalFormatting sqref="AH27 S27:S28">
    <cfRule type="cellIs" dxfId="34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11D0-DD82-4664-9F49-5BBB13C35264}">
  <dimension ref="B1:O26"/>
  <sheetViews>
    <sheetView topLeftCell="B1" zoomScale="70" zoomScaleNormal="70" workbookViewId="0">
      <selection activeCell="L6" sqref="L6:L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46025</v>
      </c>
      <c r="E3" s="645"/>
      <c r="F3" s="3" t="s">
        <v>72</v>
      </c>
      <c r="G3" s="646">
        <f>'0103'!E1</f>
        <v>46190</v>
      </c>
      <c r="H3" s="646"/>
      <c r="I3" s="3" t="s">
        <v>2</v>
      </c>
      <c r="J3" s="647">
        <f>'0103'!G1</f>
        <v>2232274.08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111.74128865446313</v>
      </c>
      <c r="G6" s="652"/>
      <c r="H6" s="653">
        <f>AVERAGE(D13:H13,J13)</f>
        <v>109.63193078063433</v>
      </c>
      <c r="I6" s="653"/>
      <c r="J6" s="653">
        <f>AVERAGE(I13)</f>
        <v>124.39743589743588</v>
      </c>
      <c r="K6" s="653"/>
      <c r="L6" s="655">
        <f>'0103'!Z2</f>
        <v>2</v>
      </c>
      <c r="M6" s="656">
        <f>'0103'!AA2</f>
        <v>37</v>
      </c>
      <c r="N6" s="657">
        <f>'0103'!AD2</f>
        <v>4</v>
      </c>
      <c r="O6" s="656">
        <f>'0103'!AE2</f>
        <v>4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94.132744093418864</v>
      </c>
      <c r="G7" s="676"/>
      <c r="H7" s="677">
        <f>AVERAGE(D14:H14,J14)</f>
        <v>93.211961016081602</v>
      </c>
      <c r="I7" s="677"/>
      <c r="J7" s="677">
        <f>AVERAGE(I14)</f>
        <v>99.657442557442394</v>
      </c>
      <c r="K7" s="677"/>
      <c r="L7" s="655"/>
      <c r="M7" s="656"/>
      <c r="N7" s="657"/>
      <c r="O7" s="656"/>
    </row>
    <row r="8" spans="2:15" ht="39.6" customHeight="1">
      <c r="B8" s="641"/>
      <c r="C8" s="641"/>
      <c r="D8" s="648" t="s">
        <v>27</v>
      </c>
      <c r="E8" s="648"/>
      <c r="F8" s="649">
        <f>F7/F6</f>
        <v>0.84241684722739274</v>
      </c>
      <c r="G8" s="649"/>
      <c r="H8" s="649">
        <f>H7/H6</f>
        <v>0.85022639255156496</v>
      </c>
      <c r="I8" s="649"/>
      <c r="J8" s="649">
        <f>J7/J6</f>
        <v>0.80112135622802305</v>
      </c>
      <c r="K8" s="649"/>
      <c r="L8" s="655"/>
      <c r="M8" s="656"/>
      <c r="N8" s="657"/>
      <c r="O8" s="65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VALUE('0103'!L15)</f>
        <v>126.55462184873952</v>
      </c>
      <c r="E13" s="13">
        <f>VALUE('0103'!L26)</f>
        <v>162.27564102564102</v>
      </c>
      <c r="F13" s="13">
        <f>VALUE('0103'!L37)</f>
        <v>83.85706914344685</v>
      </c>
      <c r="G13" s="13">
        <f>VALUE('0103'!L48)</f>
        <v>83.408991228070178</v>
      </c>
      <c r="H13" s="13">
        <f>VALUE('0103'!L58)</f>
        <v>89.195261437908499</v>
      </c>
      <c r="I13" s="13">
        <f>VALUE('0103'!L69)</f>
        <v>124.39743589743588</v>
      </c>
      <c r="J13" s="13">
        <f>'0103'!L79</f>
        <v>112.5</v>
      </c>
    </row>
    <row r="14" spans="2:15" ht="39.950000000000003" customHeight="1">
      <c r="B14" s="670"/>
      <c r="C14" s="12" t="s">
        <v>100</v>
      </c>
      <c r="D14" s="13">
        <f>VALUE('0103'!O15)</f>
        <v>114.13838520091893</v>
      </c>
      <c r="E14" s="13">
        <f>VALUE('0103'!O26)</f>
        <v>155.21739047327799</v>
      </c>
      <c r="F14" s="13">
        <f>VALUE('0103'!O37)</f>
        <v>73.48003930273542</v>
      </c>
      <c r="G14" s="13">
        <f>VALUE('0103'!O48)</f>
        <v>74.634796677292044</v>
      </c>
      <c r="H14" s="13">
        <f>VALUE('0103'!O58)</f>
        <v>78.457205397678734</v>
      </c>
      <c r="I14" s="13">
        <f>VALUE('0103'!O69)</f>
        <v>99.657442557442394</v>
      </c>
      <c r="J14" s="13">
        <f>'0103'!O79</f>
        <v>63.343949044586431</v>
      </c>
    </row>
    <row r="15" spans="2:15" ht="39.950000000000003" customHeight="1">
      <c r="B15" s="671"/>
      <c r="C15" s="10" t="s">
        <v>26</v>
      </c>
      <c r="D15" s="14">
        <f>D14/D13</f>
        <v>0.90189029474829685</v>
      </c>
      <c r="E15" s="14">
        <f t="shared" ref="E15:J15" si="0">E14/E13</f>
        <v>0.95650455910848775</v>
      </c>
      <c r="F15" s="14">
        <f t="shared" si="0"/>
        <v>0.87625336841953816</v>
      </c>
      <c r="G15" s="14">
        <f t="shared" si="0"/>
        <v>0.89480517122205294</v>
      </c>
      <c r="H15" s="14">
        <f t="shared" si="0"/>
        <v>0.87961181045806058</v>
      </c>
      <c r="I15" s="14">
        <f t="shared" si="0"/>
        <v>0.80112135622802305</v>
      </c>
      <c r="J15" s="15">
        <f t="shared" si="0"/>
        <v>0.56305732484076831</v>
      </c>
    </row>
    <row r="16" spans="2:15" ht="17.25" customHeight="1">
      <c r="B16" s="672" t="s">
        <v>101</v>
      </c>
      <c r="C16" s="10" t="s">
        <v>34</v>
      </c>
      <c r="D16" s="16">
        <f>'0103'!T5</f>
        <v>0.30277777777777798</v>
      </c>
      <c r="E16" s="16">
        <f>'0103'!T16</f>
        <v>0.30208333333333298</v>
      </c>
      <c r="F16" s="16">
        <f>'0103'!T27</f>
        <v>0.29166666666666702</v>
      </c>
      <c r="G16" s="16">
        <f>'0103'!T38</f>
        <v>0.33194444444444399</v>
      </c>
      <c r="H16" s="16">
        <f>'0103'!T49</f>
        <v>0.295833333333333</v>
      </c>
      <c r="I16" s="16">
        <f>'0103'!T59</f>
        <v>0.29166666666666702</v>
      </c>
      <c r="J16" s="17">
        <f>'0103'!T70</f>
        <v>0.33541666666666697</v>
      </c>
    </row>
    <row r="17" spans="2:10" ht="17.25" customHeight="1">
      <c r="B17" s="673"/>
      <c r="C17" s="10" t="s">
        <v>35</v>
      </c>
      <c r="D17" s="16">
        <v>0.60069444444444398</v>
      </c>
      <c r="E17" s="183">
        <v>0.57986111111111105</v>
      </c>
      <c r="F17" s="19">
        <v>0.655555555555556</v>
      </c>
      <c r="G17" s="328">
        <v>0.61111111111111105</v>
      </c>
      <c r="H17" s="21">
        <v>0.63333333333333297</v>
      </c>
      <c r="I17" s="110">
        <v>0.57638888888888895</v>
      </c>
      <c r="J17" s="110">
        <v>0.44444444444444398</v>
      </c>
    </row>
    <row r="18" spans="2:10" ht="17.25" customHeight="1">
      <c r="B18" s="674" t="s">
        <v>102</v>
      </c>
      <c r="C18" s="330" t="s">
        <v>36</v>
      </c>
      <c r="D18" s="358">
        <f>'0103'!Z15</f>
        <v>0</v>
      </c>
      <c r="E18" s="359">
        <f>'0103'!Z26</f>
        <v>0</v>
      </c>
      <c r="F18" s="359">
        <f>'0103'!Z37</f>
        <v>0</v>
      </c>
      <c r="G18" s="360">
        <f>'0103'!Z48</f>
        <v>0</v>
      </c>
      <c r="H18" s="360">
        <f>'0103'!Z58</f>
        <v>1</v>
      </c>
      <c r="I18" s="359">
        <f>'0103'!Z69</f>
        <v>0</v>
      </c>
      <c r="J18" s="359">
        <f>'0103'!Z79</f>
        <v>1</v>
      </c>
    </row>
    <row r="19" spans="2:10" ht="17.25" customHeight="1">
      <c r="B19" s="675"/>
      <c r="C19" s="330" t="s">
        <v>37</v>
      </c>
      <c r="D19" s="358">
        <f>'0103'!AA15</f>
        <v>0</v>
      </c>
      <c r="E19" s="359">
        <f>'0103'!AA26</f>
        <v>0</v>
      </c>
      <c r="F19" s="359">
        <f>'0103'!AA37</f>
        <v>0</v>
      </c>
      <c r="G19" s="360">
        <f>'0103'!AA48</f>
        <v>0</v>
      </c>
      <c r="H19" s="360">
        <f>'0103'!AA58</f>
        <v>7</v>
      </c>
      <c r="I19" s="359">
        <f>'0103'!AA69</f>
        <v>0</v>
      </c>
      <c r="J19" s="359">
        <f>'0103'!AA79</f>
        <v>30</v>
      </c>
    </row>
    <row r="20" spans="2:10" ht="17.25" customHeight="1">
      <c r="B20" s="674" t="s">
        <v>103</v>
      </c>
      <c r="C20" s="330" t="s">
        <v>36</v>
      </c>
      <c r="D20" s="358">
        <f>'0103'!AD15</f>
        <v>0</v>
      </c>
      <c r="E20" s="359">
        <f>'0103'!AD26</f>
        <v>3</v>
      </c>
      <c r="F20" s="359">
        <f>'0103'!AD37</f>
        <v>0</v>
      </c>
      <c r="G20" s="360">
        <f>'0103'!AD48</f>
        <v>1</v>
      </c>
      <c r="H20" s="360">
        <f>'0103'!AD58</f>
        <v>0</v>
      </c>
      <c r="I20" s="359">
        <f>'0103'!AD69</f>
        <v>0</v>
      </c>
      <c r="J20" s="359">
        <f>'0103'!AD79</f>
        <v>0</v>
      </c>
    </row>
    <row r="21" spans="2:10" ht="17.25" customHeight="1">
      <c r="B21" s="675"/>
      <c r="C21" s="330" t="s">
        <v>85</v>
      </c>
      <c r="D21" s="358">
        <f>'0103'!AE15</f>
        <v>0</v>
      </c>
      <c r="E21" s="359">
        <f>'0103'!AE26</f>
        <v>3</v>
      </c>
      <c r="F21" s="359">
        <f>'0103'!AE37</f>
        <v>0</v>
      </c>
      <c r="G21" s="360">
        <f>'0103'!AE48</f>
        <v>1</v>
      </c>
      <c r="H21" s="360">
        <f>'0103'!AE58</f>
        <v>0</v>
      </c>
      <c r="I21" s="359">
        <f>'0103'!AE69</f>
        <v>0</v>
      </c>
      <c r="J21" s="359">
        <f>'0103'!AE79</f>
        <v>0</v>
      </c>
    </row>
    <row r="22" spans="2:10" ht="17.25" customHeight="1">
      <c r="B22" s="658" t="s">
        <v>104</v>
      </c>
      <c r="C22" s="659"/>
      <c r="D22" s="23">
        <f>VALUE('0103'!M15)</f>
        <v>14.75</v>
      </c>
      <c r="E22" s="23">
        <f>VALUE('0103'!M26)</f>
        <v>12.75</v>
      </c>
      <c r="F22" s="23">
        <f>VALUE('0103'!M37)</f>
        <v>14</v>
      </c>
      <c r="G22" s="23">
        <f>VALUE('0103'!M48)</f>
        <v>14.333333333333334</v>
      </c>
      <c r="H22" s="23">
        <f>VALUE('0103'!M58)</f>
        <v>16.5</v>
      </c>
      <c r="I22" s="23">
        <f>VALUE('0103'!M69)</f>
        <v>12.6</v>
      </c>
      <c r="J22" s="23">
        <f>'0103'!M79</f>
        <v>12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4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08E7-C18E-408D-A1C8-F777B4510DA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39" sqref="AB39:AC3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46190</v>
      </c>
      <c r="F1" s="30" t="s">
        <v>2</v>
      </c>
      <c r="G1" s="31">
        <f>SUM(H5:H79)</f>
        <v>2232274.08</v>
      </c>
      <c r="H1" s="32" t="s">
        <v>3</v>
      </c>
      <c r="I1" s="33">
        <f>M15+M26+M48+M58+M69+M79+M37</f>
        <v>96.933333333333337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144</v>
      </c>
      <c r="B2" s="678"/>
      <c r="C2" s="28"/>
      <c r="D2" s="28" t="s">
        <v>14</v>
      </c>
      <c r="E2" s="35">
        <f>AVERAGE(O15,O26,O37,O48,O58,O69,O79)</f>
        <v>94.132744093418864</v>
      </c>
      <c r="F2" s="36" t="s">
        <v>15</v>
      </c>
      <c r="G2" s="37">
        <f>G1/E1</f>
        <v>48.328081402901063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2</v>
      </c>
      <c r="AA2" s="339">
        <f>AA15+AA26+AA37+AA48+AA58+AA69+AA79</f>
        <v>37</v>
      </c>
      <c r="AB2" s="684"/>
      <c r="AC2" s="684"/>
      <c r="AD2" s="340">
        <f>AD15+AD26+AD37+AD48+AD58+AD69+AD79</f>
        <v>4</v>
      </c>
      <c r="AE2" s="340">
        <f>AE15+AE26+AE37+AE48+AE58+AE69+AE79</f>
        <v>4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2638</v>
      </c>
      <c r="H5" s="43">
        <f>F5*G5</f>
        <v>125858.98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1352.820512820512</v>
      </c>
      <c r="O5" s="47">
        <f t="shared" ref="O5:O7" si="2">N5/M5</f>
        <v>96.630036630036571</v>
      </c>
      <c r="P5" s="49">
        <f t="shared" ref="P5:P7" si="3">M5-J5</f>
        <v>0</v>
      </c>
      <c r="Q5" s="50">
        <f t="shared" ref="Q5:Q7" si="4">O5-L5</f>
        <v>-6.2271062271062902</v>
      </c>
      <c r="R5" s="51">
        <f t="shared" ref="R5:R7" si="5">O5/L5</f>
        <v>0.93945868945868882</v>
      </c>
      <c r="S5" s="718">
        <f>R15</f>
        <v>0.90189029474829685</v>
      </c>
      <c r="T5" s="319">
        <v>0.30277777777777798</v>
      </c>
      <c r="U5" s="320">
        <v>0.38402777777777802</v>
      </c>
      <c r="V5" s="53"/>
      <c r="W5" s="54">
        <f t="shared" ref="W5:W14" si="6">(U5-T5)*24*60</f>
        <v>117.00000000000006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-87.179487179487978</v>
      </c>
      <c r="AG5" s="52">
        <f t="shared" ref="AG5:AG11" si="8">N5/K5</f>
        <v>0.93945868945868893</v>
      </c>
      <c r="AH5" s="724">
        <f>AG15</f>
        <v>0.89977974945663231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1429</v>
      </c>
      <c r="H6" s="63">
        <f>F6*G6</f>
        <v>81753.09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1714.8000000000116</v>
      </c>
      <c r="O6" s="67">
        <f t="shared" si="2"/>
        <v>100.8705882352948</v>
      </c>
      <c r="P6" s="69">
        <f t="shared" si="3"/>
        <v>0</v>
      </c>
      <c r="Q6" s="70">
        <f t="shared" si="4"/>
        <v>-16.776470588234602</v>
      </c>
      <c r="R6" s="71">
        <f t="shared" si="5"/>
        <v>0.85740000000000582</v>
      </c>
      <c r="S6" s="719"/>
      <c r="T6" s="16">
        <v>0.39374999999999999</v>
      </c>
      <c r="U6" s="16">
        <v>0.42847222222222198</v>
      </c>
      <c r="V6" s="30">
        <f>(T6-U5)*24*60</f>
        <v>13.999999999999631</v>
      </c>
      <c r="W6" s="73">
        <f t="shared" si="6"/>
        <v>49.999999999999659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-285.19999999998845</v>
      </c>
      <c r="AG6" s="72">
        <f t="shared" si="8"/>
        <v>0.85740000000000582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1790</v>
      </c>
      <c r="H7" s="78">
        <f>F7*G7</f>
        <v>87960.6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1732.2580645161106</v>
      </c>
      <c r="O7" s="81">
        <f t="shared" si="2"/>
        <v>123.7327188940079</v>
      </c>
      <c r="P7" s="74">
        <f t="shared" si="3"/>
        <v>0</v>
      </c>
      <c r="Q7" s="83">
        <f t="shared" si="4"/>
        <v>-19.124423963134959</v>
      </c>
      <c r="R7" s="72">
        <f t="shared" si="5"/>
        <v>0.86612903225805526</v>
      </c>
      <c r="S7" s="719"/>
      <c r="T7" s="18">
        <v>0.43472222222222201</v>
      </c>
      <c r="U7" s="18">
        <v>0.47777777777777802</v>
      </c>
      <c r="V7" s="30">
        <f>(T7-U6)*24*60</f>
        <v>9.000000000000048</v>
      </c>
      <c r="W7" s="73">
        <f t="shared" si="6"/>
        <v>62.000000000000661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-267.74193548388939</v>
      </c>
      <c r="AG7" s="72">
        <f t="shared" si="8"/>
        <v>0.86612903225805526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2747</v>
      </c>
      <c r="H8" s="78">
        <f>F8*G8</f>
        <v>134987.57999999999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1894.4827586207105</v>
      </c>
      <c r="O8" s="81">
        <f>N8/M8</f>
        <v>135.32019704433645</v>
      </c>
      <c r="P8" s="74">
        <f>M8-J8</f>
        <v>0</v>
      </c>
      <c r="Q8" s="83">
        <f>O8-L8</f>
        <v>-7.5369458128064082</v>
      </c>
      <c r="R8" s="72">
        <f>O8/L8</f>
        <v>0.94724137931035512</v>
      </c>
      <c r="S8" s="719"/>
      <c r="T8" s="16">
        <v>0.54027777777777797</v>
      </c>
      <c r="U8" s="16">
        <v>0.60069444444444398</v>
      </c>
      <c r="V8" s="30"/>
      <c r="W8" s="73">
        <f t="shared" si="6"/>
        <v>86.999999999999048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-105.51724137928954</v>
      </c>
      <c r="AG8" s="72">
        <f t="shared" si="8"/>
        <v>0.94724137931035524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1673.5903339893362</v>
      </c>
      <c r="O15" s="117">
        <f t="shared" si="9"/>
        <v>114.13838520091893</v>
      </c>
      <c r="P15" s="121">
        <f t="shared" ref="P15:P18" si="10">M15-J15</f>
        <v>0</v>
      </c>
      <c r="Q15" s="122">
        <f t="shared" ref="Q15:Q18" si="11">O15-L15</f>
        <v>-12.416236647820583</v>
      </c>
      <c r="R15" s="123">
        <f t="shared" ref="R15:R18" si="12">O15/L15</f>
        <v>0.90189029474829685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-186.40966601066384</v>
      </c>
      <c r="AG15" s="124">
        <f t="shared" ref="AG15:AG19" si="14">N15/K15</f>
        <v>0.89977974945663231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2096</v>
      </c>
      <c r="H16" s="134">
        <f>F16*G16</f>
        <v>119912.16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2168.2758620689519</v>
      </c>
      <c r="O16" s="141">
        <f>N16/M16</f>
        <v>154.87684729063943</v>
      </c>
      <c r="P16" s="142">
        <f>M16-J16</f>
        <v>1</v>
      </c>
      <c r="Q16" s="143">
        <f t="shared" si="11"/>
        <v>-7.0462296324375018</v>
      </c>
      <c r="R16" s="144">
        <f>O16/L16</f>
        <v>0.95648409253126487</v>
      </c>
      <c r="S16" s="734">
        <f>R26</f>
        <v>0.95650455910848775</v>
      </c>
      <c r="T16" s="145">
        <v>0.30208333333333298</v>
      </c>
      <c r="U16" s="145">
        <v>0.34236111111111101</v>
      </c>
      <c r="V16" s="135"/>
      <c r="W16" s="146">
        <f t="shared" ref="W16:W78" si="17">(U16-T16)*24*60</f>
        <v>58.000000000000355</v>
      </c>
      <c r="X16" s="141"/>
      <c r="Y16" s="296"/>
      <c r="Z16" s="169"/>
      <c r="AA16" s="169"/>
      <c r="AB16" s="723"/>
      <c r="AC16" s="723"/>
      <c r="AD16" s="135">
        <v>1</v>
      </c>
      <c r="AE16" s="135">
        <v>1</v>
      </c>
      <c r="AF16" s="229">
        <f t="shared" si="13"/>
        <v>63.275862068951938</v>
      </c>
      <c r="AG16" s="52">
        <f t="shared" si="14"/>
        <v>1.0300597919567467</v>
      </c>
      <c r="AH16" s="724">
        <f>AG26</f>
        <v>0.97628129128563235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3471</v>
      </c>
      <c r="H17" s="78">
        <f>F17*G17</f>
        <v>175875.57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1983.4285714285616</v>
      </c>
      <c r="O17" s="96">
        <f t="shared" ref="O17:O18" si="18">N17/M17</f>
        <v>152.57142857142782</v>
      </c>
      <c r="P17" s="97">
        <f t="shared" si="10"/>
        <v>0</v>
      </c>
      <c r="Q17" s="98">
        <f t="shared" si="11"/>
        <v>-1.2747252747260234</v>
      </c>
      <c r="R17" s="99">
        <f t="shared" si="12"/>
        <v>0.99171428571428089</v>
      </c>
      <c r="S17" s="735"/>
      <c r="T17" s="19">
        <v>0.34722222222222199</v>
      </c>
      <c r="U17" s="19">
        <v>0.42013888888888901</v>
      </c>
      <c r="V17" s="30">
        <f>(T17-U16)*24*60</f>
        <v>6.9999999999998153</v>
      </c>
      <c r="W17" s="149">
        <f t="shared" si="17"/>
        <v>105.00000000000051</v>
      </c>
      <c r="X17" s="19"/>
      <c r="Y17" s="297"/>
      <c r="Z17" s="90"/>
      <c r="AA17" s="90"/>
      <c r="AB17" s="713"/>
      <c r="AC17" s="713"/>
      <c r="AD17" s="92">
        <v>1</v>
      </c>
      <c r="AE17" s="92">
        <v>1</v>
      </c>
      <c r="AF17" s="307">
        <f t="shared" si="13"/>
        <v>-16.571428571438446</v>
      </c>
      <c r="AG17" s="72">
        <f t="shared" si="14"/>
        <v>0.99171428571428077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2698</v>
      </c>
      <c r="H18" s="78">
        <f>F18*G18</f>
        <v>135952.22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1974.1463414634293</v>
      </c>
      <c r="O18" s="96">
        <f t="shared" si="18"/>
        <v>164.51219512195243</v>
      </c>
      <c r="P18" s="97">
        <f t="shared" si="10"/>
        <v>0</v>
      </c>
      <c r="Q18" s="98">
        <f t="shared" si="11"/>
        <v>-2.1544715447142266</v>
      </c>
      <c r="R18" s="99">
        <f t="shared" si="12"/>
        <v>0.98707317073171463</v>
      </c>
      <c r="S18" s="735"/>
      <c r="T18" s="19">
        <v>0.42499999999999999</v>
      </c>
      <c r="U18" s="19">
        <v>0.48194444444444401</v>
      </c>
      <c r="V18" s="30">
        <f>(T18-U17)*24*60</f>
        <v>6.9999999999998153</v>
      </c>
      <c r="W18" s="149">
        <f t="shared" si="17"/>
        <v>81.999999999999389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-25.85365853657072</v>
      </c>
      <c r="AG18" s="72">
        <f t="shared" si="14"/>
        <v>0.98707317073171463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1638</v>
      </c>
      <c r="H19" s="78">
        <f>F19*G19</f>
        <v>82538.820000000007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1786.9090909091076</v>
      </c>
      <c r="O19" s="96">
        <f>N19/M19</f>
        <v>148.9090909090923</v>
      </c>
      <c r="P19" s="97">
        <f>M19-J19</f>
        <v>0</v>
      </c>
      <c r="Q19" s="98">
        <f>O19-L19</f>
        <v>-17.757575757574358</v>
      </c>
      <c r="R19" s="99">
        <f>O19/L19</f>
        <v>0.89345454545455383</v>
      </c>
      <c r="S19" s="735"/>
      <c r="T19" s="19">
        <v>0.54166666666666696</v>
      </c>
      <c r="U19" s="19">
        <v>0.57986111111111105</v>
      </c>
      <c r="V19" s="30">
        <f>(T19-U18)*24*60</f>
        <v>86.000000000001052</v>
      </c>
      <c r="W19" s="149">
        <f t="shared" si="17"/>
        <v>54.999999999999488</v>
      </c>
      <c r="X19" s="22"/>
      <c r="Y19" s="84"/>
      <c r="Z19" s="90"/>
      <c r="AA19" s="90"/>
      <c r="AB19" s="728"/>
      <c r="AC19" s="728"/>
      <c r="AD19" s="149">
        <v>1</v>
      </c>
      <c r="AE19" s="149">
        <v>1</v>
      </c>
      <c r="AF19" s="307">
        <f t="shared" si="13"/>
        <v>-213.09090909089241</v>
      </c>
      <c r="AG19" s="72">
        <f t="shared" si="14"/>
        <v>0.89345454545455383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1978.1899664675125</v>
      </c>
      <c r="O26" s="158">
        <f t="shared" si="20"/>
        <v>155.21739047327799</v>
      </c>
      <c r="P26" s="159">
        <f>M26-J26</f>
        <v>0.25</v>
      </c>
      <c r="Q26" s="160">
        <f t="shared" ref="Q26:Q29" si="21">O26-L26</f>
        <v>-7.0582505523630346</v>
      </c>
      <c r="R26" s="161">
        <f>O26/L26</f>
        <v>0.95650455910848775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3</v>
      </c>
      <c r="AE26" s="323">
        <f>SUM(AE16:AE25)</f>
        <v>3</v>
      </c>
      <c r="AF26" s="309">
        <f t="shared" ref="AF26:AF31" si="22">N26-K26</f>
        <v>-48.060033532487523</v>
      </c>
      <c r="AG26" s="124">
        <f t="shared" ref="AG26:AG31" si="23">N26/K26</f>
        <v>0.97628129128563235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1924</v>
      </c>
      <c r="H27" s="134">
        <f>F27*G27</f>
        <v>110245.2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4">K27/J27</f>
        <v>88.235294117647058</v>
      </c>
      <c r="M27" s="170">
        <v>13</v>
      </c>
      <c r="N27" s="140">
        <f>G27/W27*60</f>
        <v>1099.428571428582</v>
      </c>
      <c r="O27" s="141">
        <f>N27/M27</f>
        <v>84.571428571429379</v>
      </c>
      <c r="P27" s="142">
        <f>M27-J27</f>
        <v>-4</v>
      </c>
      <c r="Q27" s="143">
        <f t="shared" si="21"/>
        <v>-3.6638655462176786</v>
      </c>
      <c r="R27" s="144">
        <f>O27/L27</f>
        <v>0.9584761904761997</v>
      </c>
      <c r="S27" s="734">
        <f>R37</f>
        <v>0.87625336841953816</v>
      </c>
      <c r="T27" s="171">
        <v>0.29166666666666702</v>
      </c>
      <c r="U27" s="171">
        <v>0.36458333333333298</v>
      </c>
      <c r="V27" s="135"/>
      <c r="W27" s="146">
        <f t="shared" si="17"/>
        <v>104.99999999999899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2"/>
        <v>-400.57142857141798</v>
      </c>
      <c r="AG27" s="172">
        <f t="shared" si="23"/>
        <v>0.73295238095238802</v>
      </c>
      <c r="AH27" s="724">
        <f>AG37</f>
        <v>0.70797014106680656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1465</v>
      </c>
      <c r="H28" s="91">
        <f>F28*G28</f>
        <v>80765.45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4"/>
        <v>81.470588235294116</v>
      </c>
      <c r="M28" s="94">
        <v>15</v>
      </c>
      <c r="N28" s="95">
        <f>G28/W28*60</f>
        <v>1126.9230769230915</v>
      </c>
      <c r="O28" s="96">
        <f>N28/M28</f>
        <v>75.128205128206091</v>
      </c>
      <c r="P28" s="97">
        <f>M28-J28</f>
        <v>-2</v>
      </c>
      <c r="Q28" s="98">
        <f t="shared" si="21"/>
        <v>-6.3423831070880254</v>
      </c>
      <c r="R28" s="99">
        <f t="shared" ref="R28:R29" si="25">O28/L28</f>
        <v>0.92215125428123002</v>
      </c>
      <c r="S28" s="735"/>
      <c r="T28" s="19">
        <v>0.37291666666666701</v>
      </c>
      <c r="U28" s="19">
        <v>0.42708333333333298</v>
      </c>
      <c r="V28" s="92">
        <f>(T28-U27)*24*60</f>
        <v>12.000000000000997</v>
      </c>
      <c r="W28" s="149">
        <f t="shared" si="17"/>
        <v>77.999999999999005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2"/>
        <v>-258.07692307690854</v>
      </c>
      <c r="AG28" s="99">
        <f t="shared" si="23"/>
        <v>0.8136628714246148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899</v>
      </c>
      <c r="H29" s="91">
        <f>F29*G29</f>
        <v>44518.48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4"/>
        <v>84.705882352941174</v>
      </c>
      <c r="M29" s="94">
        <v>14</v>
      </c>
      <c r="N29" s="95">
        <f>G29/W29*60</f>
        <v>963.21428571428373</v>
      </c>
      <c r="O29" s="96">
        <f>N29/M29</f>
        <v>68.801020408163126</v>
      </c>
      <c r="P29" s="97">
        <f>M29-J29</f>
        <v>-3</v>
      </c>
      <c r="Q29" s="98">
        <f t="shared" si="21"/>
        <v>-15.904861944778048</v>
      </c>
      <c r="R29" s="99">
        <f t="shared" si="25"/>
        <v>0.81223426870748139</v>
      </c>
      <c r="S29" s="735"/>
      <c r="T29" s="19">
        <v>0.43541666666666701</v>
      </c>
      <c r="U29" s="19">
        <v>0.47430555555555598</v>
      </c>
      <c r="V29" s="92">
        <f>(T29-U28)*24*60</f>
        <v>12.000000000000997</v>
      </c>
      <c r="W29" s="149">
        <f t="shared" si="17"/>
        <v>56.000000000000121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2"/>
        <v>-476.78571428571627</v>
      </c>
      <c r="AG29" s="99">
        <f t="shared" si="23"/>
        <v>0.6688988095238082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1062</v>
      </c>
      <c r="H30" s="91">
        <f>F30*G30</f>
        <v>52590.240000000005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>K30/J30</f>
        <v>84.705882352941174</v>
      </c>
      <c r="M30" s="94">
        <v>14</v>
      </c>
      <c r="N30" s="95">
        <f>G30/W30*60</f>
        <v>980.3076923076884</v>
      </c>
      <c r="O30" s="96">
        <f>N30/M30</f>
        <v>70.021978021977745</v>
      </c>
      <c r="P30" s="97">
        <f>M30-J30</f>
        <v>-3</v>
      </c>
      <c r="Q30" s="98">
        <f>O30-L30</f>
        <v>-14.683904330963429</v>
      </c>
      <c r="R30" s="99">
        <f>O30/L30</f>
        <v>0.82664835164834838</v>
      </c>
      <c r="S30" s="735"/>
      <c r="T30" s="19">
        <v>0.53472222222222199</v>
      </c>
      <c r="U30" s="19">
        <v>0.57986111111111105</v>
      </c>
      <c r="V30" s="92">
        <f>(T30-U29)*24*60</f>
        <v>86.999999999999048</v>
      </c>
      <c r="W30" s="149">
        <f t="shared" si="17"/>
        <v>65.000000000000256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2"/>
        <v>-459.6923076923116</v>
      </c>
      <c r="AG30" s="99">
        <f t="shared" si="23"/>
        <v>0.68076923076922802</v>
      </c>
      <c r="AH30" s="745"/>
    </row>
    <row r="31" spans="1:34" ht="15" customHeight="1">
      <c r="A31" s="732"/>
      <c r="B31" s="75" t="s">
        <v>81</v>
      </c>
      <c r="C31" s="88"/>
      <c r="D31" s="59" t="s">
        <v>125</v>
      </c>
      <c r="E31" s="89"/>
      <c r="F31" s="75">
        <f>VLOOKUP(D31,廠價表!$C$1:$E$41,3,0)</f>
        <v>57.3</v>
      </c>
      <c r="G31" s="90">
        <v>453</v>
      </c>
      <c r="H31" s="91">
        <f t="shared" ref="H31:H32" si="26">F31*G31</f>
        <v>25956.899999999998</v>
      </c>
      <c r="I31" s="92"/>
      <c r="J31" s="79">
        <f>VLOOKUP(D31,產線配置圖!$A$3:$C$39,2,0)</f>
        <v>17</v>
      </c>
      <c r="K31" s="80">
        <f>VLOOKUP(D31,產線配置圖!$A$3:$C$39,3,0)</f>
        <v>1500</v>
      </c>
      <c r="L31" s="93">
        <f t="shared" ref="L31:L32" si="27">K31/J31</f>
        <v>88.235294117647058</v>
      </c>
      <c r="M31" s="94">
        <v>14</v>
      </c>
      <c r="N31" s="95">
        <f t="shared" ref="N31:N32" si="28">G31/W31*60</f>
        <v>1087.2000000000107</v>
      </c>
      <c r="O31" s="96">
        <f t="shared" ref="O31:O32" si="29">N31/M31</f>
        <v>77.657142857143626</v>
      </c>
      <c r="P31" s="97">
        <f t="shared" ref="P31:P32" si="30">M31-J31</f>
        <v>-3</v>
      </c>
      <c r="Q31" s="98">
        <f t="shared" ref="Q31:Q32" si="31">O31-L31</f>
        <v>-10.578151260503432</v>
      </c>
      <c r="R31" s="99">
        <f t="shared" ref="R31:R32" si="32">O31/L31</f>
        <v>0.8801142857142944</v>
      </c>
      <c r="S31" s="735"/>
      <c r="T31" s="19">
        <v>0.58680555555555602</v>
      </c>
      <c r="U31" s="19">
        <v>0.60416666666666696</v>
      </c>
      <c r="V31" s="92">
        <f t="shared" ref="V31:V32" si="33">(T31-U30)*24*60</f>
        <v>10.000000000000764</v>
      </c>
      <c r="W31" s="149">
        <f t="shared" si="17"/>
        <v>24.999999999999751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2"/>
        <v>-412.79999999998927</v>
      </c>
      <c r="AG31" s="99">
        <f t="shared" si="23"/>
        <v>0.72480000000000711</v>
      </c>
      <c r="AH31" s="726"/>
    </row>
    <row r="32" spans="1:34" ht="15" customHeight="1">
      <c r="A32" s="732"/>
      <c r="B32" s="75" t="s">
        <v>117</v>
      </c>
      <c r="C32" s="102"/>
      <c r="D32" s="175" t="s">
        <v>118</v>
      </c>
      <c r="E32" s="176"/>
      <c r="F32" s="75">
        <f>VLOOKUP(D32,廠價表!$C$1:$E$41,3,0)</f>
        <v>44.3</v>
      </c>
      <c r="G32" s="90">
        <v>936</v>
      </c>
      <c r="H32" s="91">
        <f t="shared" si="26"/>
        <v>41464.799999999996</v>
      </c>
      <c r="I32" s="92"/>
      <c r="J32" s="79">
        <f>VLOOKUP(D32,產線配置圖!$A$3:$C$39,2,0)</f>
        <v>19</v>
      </c>
      <c r="K32" s="80">
        <f>VLOOKUP(D32,產線配置圖!$A$3:$C$39,3,0)</f>
        <v>1440</v>
      </c>
      <c r="L32" s="93">
        <f t="shared" si="27"/>
        <v>75.78947368421052</v>
      </c>
      <c r="M32" s="94">
        <v>14</v>
      </c>
      <c r="N32" s="95">
        <f t="shared" si="28"/>
        <v>905.80645161289476</v>
      </c>
      <c r="O32" s="96">
        <f t="shared" si="29"/>
        <v>64.700460829492485</v>
      </c>
      <c r="P32" s="97">
        <f t="shared" si="30"/>
        <v>-5</v>
      </c>
      <c r="Q32" s="98">
        <f t="shared" si="31"/>
        <v>-11.089012854718035</v>
      </c>
      <c r="R32" s="99">
        <f t="shared" si="32"/>
        <v>0.85368663594469263</v>
      </c>
      <c r="S32" s="735"/>
      <c r="T32" s="19">
        <v>0.61250000000000004</v>
      </c>
      <c r="U32" s="19">
        <v>0.655555555555556</v>
      </c>
      <c r="V32" s="92">
        <f t="shared" si="33"/>
        <v>11.999999999999638</v>
      </c>
      <c r="W32" s="149">
        <f t="shared" si="17"/>
        <v>62.000000000000583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5">AVERAGE(J27:J36)</f>
        <v>17.333333333333332</v>
      </c>
      <c r="K37" s="155">
        <f t="shared" si="35"/>
        <v>1450.8333333333333</v>
      </c>
      <c r="L37" s="158">
        <f t="shared" si="35"/>
        <v>83.85706914344685</v>
      </c>
      <c r="M37" s="155">
        <f t="shared" si="35"/>
        <v>14</v>
      </c>
      <c r="N37" s="155">
        <f t="shared" si="35"/>
        <v>1027.1466796644252</v>
      </c>
      <c r="O37" s="158">
        <f t="shared" si="35"/>
        <v>73.48003930273542</v>
      </c>
      <c r="P37" s="159">
        <f>M37-J37</f>
        <v>-3.3333333333333321</v>
      </c>
      <c r="Q37" s="160">
        <f>N37-K37</f>
        <v>-423.68665366890809</v>
      </c>
      <c r="R37" s="161">
        <f t="shared" ref="R37:R40" si="36">O37/L37</f>
        <v>0.87625336841953816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0" si="37">N37-K37</f>
        <v>-423.68665366890809</v>
      </c>
      <c r="AG37" s="124">
        <f t="shared" ref="AG37:AG40" si="38">N37/K37</f>
        <v>0.70797014106680656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1572</v>
      </c>
      <c r="H38" s="134">
        <f>F38*G38</f>
        <v>90075.599999999991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9">K38/J38</f>
        <v>86.5625</v>
      </c>
      <c r="M38" s="190">
        <v>14</v>
      </c>
      <c r="N38" s="140">
        <f>G38/W38*60</f>
        <v>1084.1379310344767</v>
      </c>
      <c r="O38" s="141">
        <f>N38/M38</f>
        <v>77.438423645319759</v>
      </c>
      <c r="P38" s="142">
        <f t="shared" ref="P38:P40" si="40">M38-J38</f>
        <v>-2</v>
      </c>
      <c r="Q38" s="143">
        <f t="shared" ref="Q38:Q40" si="41">O38-L38</f>
        <v>-9.1240763546802413</v>
      </c>
      <c r="R38" s="144">
        <f>O38/L38</f>
        <v>0.8945955078159683</v>
      </c>
      <c r="S38" s="756">
        <f>R48</f>
        <v>0.89480517122205294</v>
      </c>
      <c r="T38" s="191">
        <v>0.33194444444444399</v>
      </c>
      <c r="U38" s="191">
        <v>0.39236111111111099</v>
      </c>
      <c r="V38" s="192"/>
      <c r="W38" s="193">
        <f t="shared" si="17"/>
        <v>87.000000000000483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7"/>
        <v>-300.86206896552335</v>
      </c>
      <c r="AG38" s="195">
        <f t="shared" si="38"/>
        <v>0.78277106933897234</v>
      </c>
      <c r="AH38" s="746">
        <f>AG48</f>
        <v>0.75802681646094694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1466</v>
      </c>
      <c r="H39" s="91">
        <f>F39*G39</f>
        <v>82726.38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9"/>
        <v>87.875</v>
      </c>
      <c r="M39" s="201">
        <v>14</v>
      </c>
      <c r="N39" s="202">
        <f>G39/W39*60</f>
        <v>1034.8235294117792</v>
      </c>
      <c r="O39" s="203">
        <f t="shared" ref="O39:O40" si="42">N39/M39</f>
        <v>73.915966386555652</v>
      </c>
      <c r="P39" s="97">
        <f t="shared" si="40"/>
        <v>-2</v>
      </c>
      <c r="Q39" s="98">
        <f t="shared" si="41"/>
        <v>-13.959033613444348</v>
      </c>
      <c r="R39" s="99">
        <f t="shared" si="36"/>
        <v>0.84114897737189931</v>
      </c>
      <c r="S39" s="757"/>
      <c r="T39" s="20">
        <v>0.39930555555555602</v>
      </c>
      <c r="U39" s="20">
        <v>0.45833333333333298</v>
      </c>
      <c r="V39" s="92">
        <f>(T39-U38)*24*60</f>
        <v>10.000000000000844</v>
      </c>
      <c r="W39" s="205">
        <f t="shared" si="17"/>
        <v>84.99999999999882</v>
      </c>
      <c r="X39" s="22"/>
      <c r="Y39" s="84"/>
      <c r="Z39" s="90"/>
      <c r="AA39" s="90"/>
      <c r="AB39" s="749" t="s">
        <v>131</v>
      </c>
      <c r="AC39" s="749"/>
      <c r="AD39" s="200">
        <v>1</v>
      </c>
      <c r="AE39" s="200">
        <v>1</v>
      </c>
      <c r="AF39" s="314">
        <f t="shared" si="37"/>
        <v>-371.17647058822081</v>
      </c>
      <c r="AG39" s="206">
        <f t="shared" si="38"/>
        <v>0.73600535520041199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1451</v>
      </c>
      <c r="H40" s="91">
        <f>F40*G40</f>
        <v>64279.299999999996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9"/>
        <v>75.78947368421052</v>
      </c>
      <c r="M40" s="201">
        <v>15</v>
      </c>
      <c r="N40" s="202">
        <f>G40/W40*60</f>
        <v>1088.2500000000105</v>
      </c>
      <c r="O40" s="203">
        <f t="shared" si="42"/>
        <v>72.550000000000693</v>
      </c>
      <c r="P40" s="97">
        <f t="shared" si="40"/>
        <v>-4</v>
      </c>
      <c r="Q40" s="98">
        <f t="shared" si="41"/>
        <v>-3.2394736842098268</v>
      </c>
      <c r="R40" s="99">
        <f t="shared" si="36"/>
        <v>0.95725694444445364</v>
      </c>
      <c r="S40" s="719"/>
      <c r="T40" s="20">
        <v>0.55555555555555602</v>
      </c>
      <c r="U40" s="20">
        <v>0.61111111111111105</v>
      </c>
      <c r="V40" s="92">
        <f>(T40-U39)*24*60</f>
        <v>140.00000000000119</v>
      </c>
      <c r="W40" s="205">
        <f t="shared" si="17"/>
        <v>79.999999999999233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7"/>
        <v>-351.74999999998954</v>
      </c>
      <c r="AG40" s="206">
        <f t="shared" si="38"/>
        <v>0.75572916666667389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/>
      <c r="AG41" s="206"/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4">AVERAGE(J38:J47)</f>
        <v>17</v>
      </c>
      <c r="K48" s="155">
        <f t="shared" si="44"/>
        <v>1410.3333333333333</v>
      </c>
      <c r="L48" s="158">
        <f t="shared" si="44"/>
        <v>83.408991228070178</v>
      </c>
      <c r="M48" s="155">
        <f t="shared" si="44"/>
        <v>14.333333333333334</v>
      </c>
      <c r="N48" s="155">
        <f t="shared" si="44"/>
        <v>1069.0704868154221</v>
      </c>
      <c r="O48" s="158">
        <f t="shared" si="44"/>
        <v>74.634796677292044</v>
      </c>
      <c r="P48" s="221">
        <f>M48-J48</f>
        <v>-2.6666666666666661</v>
      </c>
      <c r="Q48" s="222">
        <f>N48-K48</f>
        <v>-341.26284651791116</v>
      </c>
      <c r="R48" s="223">
        <f>O48/L48</f>
        <v>0.89480517122205294</v>
      </c>
      <c r="S48" s="722"/>
      <c r="T48" s="224"/>
      <c r="U48" s="224"/>
      <c r="V48" s="225"/>
      <c r="W48" s="226">
        <f t="shared" si="4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1</v>
      </c>
      <c r="AE48" s="323">
        <f>SUM(AE38:AE47)</f>
        <v>1</v>
      </c>
      <c r="AF48" s="315">
        <f t="shared" ref="AF48:AF53" si="45">N48-K48</f>
        <v>-341.26284651791116</v>
      </c>
      <c r="AG48" s="162">
        <f t="shared" ref="AG48:AG53" si="46">N48/K48</f>
        <v>0.75802681646094694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1231</v>
      </c>
      <c r="H49" s="134">
        <f>F49*G49</f>
        <v>70006.97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7">K49/J49</f>
        <v>86.944444444444443</v>
      </c>
      <c r="M49" s="170">
        <v>16</v>
      </c>
      <c r="N49" s="140">
        <f>G49/W49*60</f>
        <v>1119.0909090908926</v>
      </c>
      <c r="O49" s="141">
        <f>N49/M49</f>
        <v>69.94318181818079</v>
      </c>
      <c r="P49" s="229">
        <f>M49-J49</f>
        <v>-2</v>
      </c>
      <c r="Q49" s="230">
        <f>O49-L49</f>
        <v>-17.001262626263653</v>
      </c>
      <c r="R49" s="52">
        <f>O49/L49</f>
        <v>0.80445832123147232</v>
      </c>
      <c r="S49" s="718">
        <f>R58</f>
        <v>0.87961181045806058</v>
      </c>
      <c r="T49" s="191">
        <v>0.295833333333333</v>
      </c>
      <c r="U49" s="191">
        <v>0.34166666666666701</v>
      </c>
      <c r="V49" s="55"/>
      <c r="W49" s="193">
        <f t="shared" si="17"/>
        <v>66.000000000000966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5"/>
        <v>-445.90909090910736</v>
      </c>
      <c r="AG49" s="52">
        <f t="shared" si="46"/>
        <v>0.71507406331686429</v>
      </c>
      <c r="AH49" s="724">
        <f>AG58</f>
        <v>0.81892073942355081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2322</v>
      </c>
      <c r="H50" s="231">
        <f>F50*G50</f>
        <v>115891.01999999999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7"/>
        <v>92.058823529411768</v>
      </c>
      <c r="M50" s="233">
        <v>16</v>
      </c>
      <c r="N50" s="234">
        <f>G50/W50*60</f>
        <v>1302.0560747663471</v>
      </c>
      <c r="O50" s="235">
        <f>N50/M50</f>
        <v>81.378504672896696</v>
      </c>
      <c r="P50" s="74">
        <f>M50-J50</f>
        <v>-1</v>
      </c>
      <c r="Q50" s="83">
        <f>O50-L50</f>
        <v>-10.680318856515072</v>
      </c>
      <c r="R50" s="72">
        <f>O50/L50</f>
        <v>0.88398375683018771</v>
      </c>
      <c r="S50" s="719"/>
      <c r="T50" s="21">
        <v>0.34861111111111098</v>
      </c>
      <c r="U50" s="21">
        <v>0.422916666666667</v>
      </c>
      <c r="V50" s="30">
        <f t="shared" ref="V50:V52" si="48">(T50-U49)*24*60</f>
        <v>9.999999999999325</v>
      </c>
      <c r="W50" s="236">
        <f t="shared" si="17"/>
        <v>107.00000000000065</v>
      </c>
      <c r="X50" s="22"/>
      <c r="Y50" s="84"/>
      <c r="Z50" s="90">
        <v>1</v>
      </c>
      <c r="AA50" s="90">
        <v>7</v>
      </c>
      <c r="AB50" s="713" t="s">
        <v>145</v>
      </c>
      <c r="AC50" s="713"/>
      <c r="AD50" s="92"/>
      <c r="AE50" s="92"/>
      <c r="AF50" s="307">
        <f t="shared" si="45"/>
        <v>-262.94392523365286</v>
      </c>
      <c r="AG50" s="72">
        <f t="shared" si="46"/>
        <v>0.83198471231076498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1495</v>
      </c>
      <c r="H51" s="231">
        <f>F51*G51</f>
        <v>74705.149999999994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7"/>
        <v>88.888888888888886</v>
      </c>
      <c r="M51" s="233">
        <v>17</v>
      </c>
      <c r="N51" s="234">
        <f>G51/W51*60</f>
        <v>1319.1176470588018</v>
      </c>
      <c r="O51" s="235">
        <f>N51/M51</f>
        <v>77.595155709341284</v>
      </c>
      <c r="P51" s="74">
        <f>M51-J51</f>
        <v>-1</v>
      </c>
      <c r="Q51" s="83">
        <f>O51-L51</f>
        <v>-11.293733179547601</v>
      </c>
      <c r="R51" s="72">
        <f>O51/L51</f>
        <v>0.87294550173008945</v>
      </c>
      <c r="S51" s="719"/>
      <c r="T51" s="21">
        <v>0.43194444444444402</v>
      </c>
      <c r="U51" s="19">
        <v>0.47916666666666702</v>
      </c>
      <c r="V51" s="30">
        <f t="shared" si="48"/>
        <v>12.999999999998915</v>
      </c>
      <c r="W51" s="236">
        <f t="shared" si="17"/>
        <v>68.000000000001123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5"/>
        <v>-280.88235294119818</v>
      </c>
      <c r="AG51" s="72">
        <f t="shared" si="46"/>
        <v>0.82444852941175117</v>
      </c>
      <c r="AH51" s="725"/>
    </row>
    <row r="52" spans="1:34" ht="15.7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3296</v>
      </c>
      <c r="H52" s="231">
        <f>F52*G52</f>
        <v>164701.12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17</v>
      </c>
      <c r="N52" s="234">
        <f>G52/W52*60</f>
        <v>1443.5036496350349</v>
      </c>
      <c r="O52" s="235">
        <f>N52/M52</f>
        <v>84.911979390296167</v>
      </c>
      <c r="P52" s="74">
        <f>M52-J52</f>
        <v>-1</v>
      </c>
      <c r="Q52" s="83">
        <f>O52-L52</f>
        <v>-3.9769094985927183</v>
      </c>
      <c r="R52" s="72">
        <f>O52/L52</f>
        <v>0.95525976814083191</v>
      </c>
      <c r="S52" s="719"/>
      <c r="T52" s="21">
        <v>0.53819444444444398</v>
      </c>
      <c r="U52" s="21">
        <v>0.63333333333333297</v>
      </c>
      <c r="V52" s="30">
        <f t="shared" si="48"/>
        <v>84.99999999999882</v>
      </c>
      <c r="W52" s="236">
        <f t="shared" si="17"/>
        <v>137.00000000000014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5"/>
        <v>-156.49635036496511</v>
      </c>
      <c r="AG52" s="72">
        <f t="shared" si="46"/>
        <v>0.90218978102189684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5"/>
        <v>0</v>
      </c>
      <c r="AG53" s="72" t="e">
        <f t="shared" si="46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9">AVERAGE(J49:J57)</f>
        <v>17.75</v>
      </c>
      <c r="K58" s="120">
        <f t="shared" si="49"/>
        <v>1582.5</v>
      </c>
      <c r="L58" s="117">
        <f t="shared" si="49"/>
        <v>89.195261437908499</v>
      </c>
      <c r="M58" s="120">
        <f t="shared" si="49"/>
        <v>16.5</v>
      </c>
      <c r="N58" s="120">
        <f t="shared" si="49"/>
        <v>1295.9420701377692</v>
      </c>
      <c r="O58" s="117">
        <f t="shared" si="49"/>
        <v>78.457205397678734</v>
      </c>
      <c r="P58" s="121">
        <f>M58-J58</f>
        <v>-1.25</v>
      </c>
      <c r="Q58" s="122">
        <f>N58-K58</f>
        <v>-286.55792986223082</v>
      </c>
      <c r="R58" s="123">
        <f t="shared" ref="R58:R63" si="50">O58/L58</f>
        <v>0.87961181045806058</v>
      </c>
      <c r="S58" s="72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7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1">N58-K58</f>
        <v>-286.55792986223082</v>
      </c>
      <c r="AG58" s="124">
        <f t="shared" ref="AG58:AG61" si="52">N58/K58</f>
        <v>0.81892073942355081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1484</v>
      </c>
      <c r="H59" s="243">
        <f>F59*G59</f>
        <v>40053.159999999996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3" si="53">K59/J59</f>
        <v>120.38461538461539</v>
      </c>
      <c r="M59" s="244">
        <v>13</v>
      </c>
      <c r="N59" s="137">
        <f t="shared" ref="N59:N63" si="54">G59/W59*60</f>
        <v>1272.0000000000032</v>
      </c>
      <c r="O59" s="138">
        <f t="shared" ref="O59:O63" si="55">N59/M59</f>
        <v>97.846153846154095</v>
      </c>
      <c r="P59" s="56">
        <f t="shared" ref="P59:P63" si="56">M59-J59</f>
        <v>0</v>
      </c>
      <c r="Q59" s="230">
        <f t="shared" ref="Q59:Q63" si="57">O59-L59</f>
        <v>-22.538461538461291</v>
      </c>
      <c r="R59" s="52">
        <f t="shared" si="50"/>
        <v>0.81277955271565705</v>
      </c>
      <c r="S59" s="718">
        <f>R69</f>
        <v>0.80112135622802305</v>
      </c>
      <c r="T59" s="245">
        <v>0.29166666666666702</v>
      </c>
      <c r="U59" s="245">
        <v>0.34027777777777801</v>
      </c>
      <c r="V59" s="55"/>
      <c r="W59" s="54">
        <f t="shared" si="17"/>
        <v>69.999999999999829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1"/>
        <v>-292.99999999999682</v>
      </c>
      <c r="AG59" s="246">
        <f t="shared" si="52"/>
        <v>0.81277955271565694</v>
      </c>
      <c r="AH59" s="724">
        <f>AG69</f>
        <v>0.80138998381809767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692</v>
      </c>
      <c r="H60" s="78">
        <f>F60*G60</f>
        <v>19701.239999999998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12</v>
      </c>
      <c r="N60" s="80">
        <f t="shared" si="54"/>
        <v>1186.2857142856913</v>
      </c>
      <c r="O60" s="81">
        <f t="shared" si="55"/>
        <v>98.857142857140943</v>
      </c>
      <c r="P60" s="74">
        <f t="shared" si="56"/>
        <v>0</v>
      </c>
      <c r="Q60" s="83">
        <f t="shared" si="57"/>
        <v>-31.559523809525714</v>
      </c>
      <c r="R60" s="72">
        <f t="shared" si="50"/>
        <v>0.75801004107711911</v>
      </c>
      <c r="S60" s="768"/>
      <c r="T60" s="22">
        <v>0.35069444444444398</v>
      </c>
      <c r="U60" s="22">
        <v>0.375</v>
      </c>
      <c r="V60" s="30">
        <f t="shared" ref="V60:V63" si="58">(T60-U59)*24*60</f>
        <v>14.999999999998987</v>
      </c>
      <c r="W60" s="248">
        <f t="shared" si="17"/>
        <v>35.000000000000675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1"/>
        <v>-378.71428571430874</v>
      </c>
      <c r="AG60" s="249">
        <f t="shared" si="52"/>
        <v>0.758010041077119</v>
      </c>
      <c r="AH60" s="759"/>
    </row>
    <row r="61" spans="1:34" ht="15" customHeight="1">
      <c r="A61" s="766"/>
      <c r="B61" s="250" t="s">
        <v>135</v>
      </c>
      <c r="C61" s="251"/>
      <c r="D61" s="257" t="s">
        <v>136</v>
      </c>
      <c r="E61" s="253"/>
      <c r="F61" s="250">
        <f>VLOOKUP(D61,廠價表!$C$1:$E$41,3,0)</f>
        <v>26.99</v>
      </c>
      <c r="G61" s="38">
        <v>1189</v>
      </c>
      <c r="H61" s="254">
        <f t="shared" ref="H61:H63" si="59">F61*G61</f>
        <v>32091.109999999997</v>
      </c>
      <c r="I61" s="182"/>
      <c r="J61" s="106">
        <f>VLOOKUP(D61,產線配置圖!$A$3:$C$39,2,0)</f>
        <v>13</v>
      </c>
      <c r="K61" s="107">
        <f>VLOOKUP(D61,產線配置圖!$A$3:$C$39,3,0)</f>
        <v>1565</v>
      </c>
      <c r="L61" s="238">
        <f t="shared" si="53"/>
        <v>120.38461538461539</v>
      </c>
      <c r="M61" s="108">
        <v>13</v>
      </c>
      <c r="N61" s="107">
        <f t="shared" si="54"/>
        <v>1297.0909090909249</v>
      </c>
      <c r="O61" s="238">
        <f t="shared" si="55"/>
        <v>99.776223776224995</v>
      </c>
      <c r="P61" s="111">
        <f t="shared" si="56"/>
        <v>0</v>
      </c>
      <c r="Q61" s="255">
        <f t="shared" si="57"/>
        <v>-20.608391608390392</v>
      </c>
      <c r="R61" s="85">
        <f t="shared" si="50"/>
        <v>0.82881208248621396</v>
      </c>
      <c r="S61" s="719"/>
      <c r="T61" s="22">
        <v>0.38541666666666702</v>
      </c>
      <c r="U61" s="22">
        <v>0.42361111111111099</v>
      </c>
      <c r="V61" s="30">
        <f t="shared" si="58"/>
        <v>15.000000000000506</v>
      </c>
      <c r="W61" s="256">
        <f t="shared" si="17"/>
        <v>54.999999999999325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1"/>
        <v>-267.90909090907508</v>
      </c>
      <c r="AG61" s="247">
        <f t="shared" si="52"/>
        <v>0.82881208248621396</v>
      </c>
      <c r="AH61" s="725"/>
    </row>
    <row r="62" spans="1:34" ht="15" customHeight="1">
      <c r="A62" s="766"/>
      <c r="B62" s="258" t="s">
        <v>135</v>
      </c>
      <c r="C62" s="58"/>
      <c r="D62" s="259" t="s">
        <v>138</v>
      </c>
      <c r="E62" s="60"/>
      <c r="F62" s="250">
        <f>VLOOKUP(D62,廠價表!$C$1:$E$41,3,0)</f>
        <v>28.26</v>
      </c>
      <c r="G62" s="260">
        <v>1944</v>
      </c>
      <c r="H62" s="254">
        <f t="shared" si="59"/>
        <v>54937.440000000002</v>
      </c>
      <c r="I62" s="260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3"/>
        <v>130.41666666666666</v>
      </c>
      <c r="M62" s="68">
        <v>12</v>
      </c>
      <c r="N62" s="107">
        <f t="shared" si="54"/>
        <v>1296</v>
      </c>
      <c r="O62" s="238">
        <f t="shared" si="55"/>
        <v>108</v>
      </c>
      <c r="P62" s="111">
        <f t="shared" si="56"/>
        <v>0</v>
      </c>
      <c r="Q62" s="255">
        <f t="shared" si="57"/>
        <v>-22.416666666666657</v>
      </c>
      <c r="R62" s="85">
        <f t="shared" si="50"/>
        <v>0.82811501597444093</v>
      </c>
      <c r="S62" s="719"/>
      <c r="T62" s="22">
        <v>0.43402777777777801</v>
      </c>
      <c r="U62" s="22">
        <v>0.49652777777777801</v>
      </c>
      <c r="V62" s="30">
        <f t="shared" si="58"/>
        <v>15.000000000000506</v>
      </c>
      <c r="W62" s="248">
        <f t="shared" si="17"/>
        <v>90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-269</v>
      </c>
      <c r="AG62" s="247">
        <f>N62/K62</f>
        <v>0.82811501597444093</v>
      </c>
      <c r="AH62" s="725"/>
    </row>
    <row r="63" spans="1:34" ht="15" customHeight="1">
      <c r="A63" s="766"/>
      <c r="B63" s="75" t="s">
        <v>135</v>
      </c>
      <c r="C63" s="76"/>
      <c r="D63" s="175" t="s">
        <v>136</v>
      </c>
      <c r="E63" s="77"/>
      <c r="F63" s="250">
        <f>VLOOKUP(D63,廠價表!$C$1:$E$41,3,0)</f>
        <v>26.99</v>
      </c>
      <c r="G63" s="30">
        <v>813</v>
      </c>
      <c r="H63" s="254">
        <f t="shared" si="59"/>
        <v>21942.87</v>
      </c>
      <c r="I63" s="182"/>
      <c r="J63" s="106">
        <f>VLOOKUP(D63,產線配置圖!$A$3:$C$39,2,0)</f>
        <v>13</v>
      </c>
      <c r="K63" s="107">
        <f>VLOOKUP(D63,產線配置圖!$A$3:$C$39,3,0)</f>
        <v>1565</v>
      </c>
      <c r="L63" s="238">
        <f t="shared" si="53"/>
        <v>120.38461538461539</v>
      </c>
      <c r="M63" s="82">
        <v>13</v>
      </c>
      <c r="N63" s="107">
        <f t="shared" si="54"/>
        <v>1219.4999999999945</v>
      </c>
      <c r="O63" s="238">
        <f t="shared" si="55"/>
        <v>93.807692307691894</v>
      </c>
      <c r="P63" s="111">
        <f t="shared" si="56"/>
        <v>0</v>
      </c>
      <c r="Q63" s="255">
        <f t="shared" si="57"/>
        <v>-26.576923076923492</v>
      </c>
      <c r="R63" s="85">
        <f t="shared" si="50"/>
        <v>0.7792332268370572</v>
      </c>
      <c r="S63" s="719"/>
      <c r="T63" s="22">
        <v>0.54861111111111105</v>
      </c>
      <c r="U63" s="22">
        <v>0.57638888888888895</v>
      </c>
      <c r="V63" s="30">
        <f t="shared" si="58"/>
        <v>74.999999999999574</v>
      </c>
      <c r="W63" s="248">
        <f t="shared" si="17"/>
        <v>40.000000000000178</v>
      </c>
      <c r="X63" s="261"/>
      <c r="Y63" s="291"/>
      <c r="Z63" s="335"/>
      <c r="AA63" s="335"/>
      <c r="AB63" s="713" t="s">
        <v>146</v>
      </c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60">AVERAGE(J59:J68)</f>
        <v>12.6</v>
      </c>
      <c r="K69" s="240">
        <f t="shared" si="60"/>
        <v>1565</v>
      </c>
      <c r="L69" s="268">
        <f t="shared" si="60"/>
        <v>124.39743589743588</v>
      </c>
      <c r="M69" s="240">
        <f t="shared" si="60"/>
        <v>12.6</v>
      </c>
      <c r="N69" s="240">
        <f t="shared" si="60"/>
        <v>1254.1753246753228</v>
      </c>
      <c r="O69" s="268">
        <f t="shared" si="60"/>
        <v>99.657442557442394</v>
      </c>
      <c r="P69" s="269">
        <f>M69-J69</f>
        <v>0</v>
      </c>
      <c r="Q69" s="222">
        <f>N69-K69</f>
        <v>-310.82467532467717</v>
      </c>
      <c r="R69" s="123">
        <f>O69/L69</f>
        <v>0.80112135622802305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-310.82467532467717</v>
      </c>
      <c r="AG69" s="124">
        <f>N69/K69</f>
        <v>0.80138998381809767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1989</v>
      </c>
      <c r="H70" s="243">
        <f>F70*G70</f>
        <v>100782.63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12</v>
      </c>
      <c r="N70" s="137">
        <f>G70/W70*60</f>
        <v>760.1273885350372</v>
      </c>
      <c r="O70" s="138">
        <f>N70/M70</f>
        <v>63.343949044586431</v>
      </c>
      <c r="P70" s="56">
        <f>M70-J70</f>
        <v>2</v>
      </c>
      <c r="Q70" s="230">
        <f>O70-L70</f>
        <v>-49.156050955413569</v>
      </c>
      <c r="R70" s="52">
        <f>O70/L70</f>
        <v>0.56305732484076831</v>
      </c>
      <c r="S70" s="718">
        <f>R79</f>
        <v>0.56305732484076831</v>
      </c>
      <c r="T70" s="245">
        <v>0.33541666666666697</v>
      </c>
      <c r="U70" s="245">
        <v>0.44444444444444398</v>
      </c>
      <c r="V70" s="55"/>
      <c r="W70" s="54">
        <f t="shared" si="17"/>
        <v>156.99999999999889</v>
      </c>
      <c r="X70" s="270"/>
      <c r="Y70" s="292"/>
      <c r="Z70" s="169">
        <v>1</v>
      </c>
      <c r="AA70" s="169">
        <v>30</v>
      </c>
      <c r="AB70" s="723" t="s">
        <v>147</v>
      </c>
      <c r="AC70" s="723"/>
      <c r="AD70" s="135"/>
      <c r="AE70" s="135"/>
      <c r="AF70" s="310">
        <f>N70-K70</f>
        <v>-364.8726114649628</v>
      </c>
      <c r="AG70" s="246">
        <f>N70/K70</f>
        <v>0.67566878980892198</v>
      </c>
      <c r="AH70" s="724">
        <f>AG79</f>
        <v>0.67566878980892198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1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1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1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1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2">AVERAGE(J70:J78)</f>
        <v>10</v>
      </c>
      <c r="K79" s="240">
        <f t="shared" si="62"/>
        <v>1125</v>
      </c>
      <c r="L79" s="268">
        <f t="shared" si="62"/>
        <v>112.5</v>
      </c>
      <c r="M79" s="240">
        <f t="shared" si="62"/>
        <v>12</v>
      </c>
      <c r="N79" s="240">
        <f t="shared" si="62"/>
        <v>760.1273885350372</v>
      </c>
      <c r="O79" s="268">
        <f t="shared" si="62"/>
        <v>63.343949044586431</v>
      </c>
      <c r="P79" s="269">
        <f>M79-J79</f>
        <v>2</v>
      </c>
      <c r="Q79" s="222">
        <f>N79-K79</f>
        <v>-364.8726114649628</v>
      </c>
      <c r="R79" s="223">
        <f>O79/L79</f>
        <v>0.56305732484076831</v>
      </c>
      <c r="S79" s="722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30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-364.8726114649628</v>
      </c>
      <c r="AG79" s="124">
        <f>N79/K79</f>
        <v>0.67566878980892198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0:AC10"/>
    <mergeCell ref="A5:A15"/>
    <mergeCell ref="S5:S15"/>
    <mergeCell ref="AB5:AC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D15:E15"/>
    <mergeCell ref="AB15:AC15"/>
    <mergeCell ref="G3:G4"/>
    <mergeCell ref="J1:L2"/>
    <mergeCell ref="M1:O2"/>
    <mergeCell ref="P1:S2"/>
    <mergeCell ref="H3:H4"/>
    <mergeCell ref="I3:I4"/>
    <mergeCell ref="J3:J4"/>
    <mergeCell ref="K3:K4"/>
    <mergeCell ref="N3:N4"/>
    <mergeCell ref="O3:O4"/>
    <mergeCell ref="P3:P4"/>
    <mergeCell ref="Q3:Q4"/>
    <mergeCell ref="L3:L4"/>
    <mergeCell ref="M3:M4"/>
    <mergeCell ref="AB1:AC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A2:B2"/>
    <mergeCell ref="A3:A4"/>
    <mergeCell ref="B3:B4"/>
    <mergeCell ref="D3:E4"/>
    <mergeCell ref="F3:F4"/>
  </mergeCells>
  <phoneticPr fontId="6" type="noConversion"/>
  <conditionalFormatting sqref="P5:P79">
    <cfRule type="cellIs" dxfId="339" priority="1" operator="greaterThan">
      <formula>0</formula>
    </cfRule>
  </conditionalFormatting>
  <conditionalFormatting sqref="Q5:Q79 AF5:AF79">
    <cfRule type="cellIs" dxfId="338" priority="4" operator="lessThan">
      <formula>0</formula>
    </cfRule>
  </conditionalFormatting>
  <conditionalFormatting sqref="R5:R79 AG5:AG79">
    <cfRule type="cellIs" dxfId="337" priority="2" operator="greaterThan">
      <formula>1</formula>
    </cfRule>
    <cfRule type="cellIs" dxfId="336" priority="3" operator="lessThan">
      <formula>0.8</formula>
    </cfRule>
  </conditionalFormatting>
  <conditionalFormatting sqref="S5:S10 S37:S62 AH59:AH62 S69:S76 AH69:AH76">
    <cfRule type="cellIs" dxfId="335" priority="7" operator="lessThan">
      <formula>0.8</formula>
    </cfRule>
  </conditionalFormatting>
  <conditionalFormatting sqref="S19:S25 AH19:AH25">
    <cfRule type="cellIs" dxfId="334" priority="6" operator="lessThan">
      <formula>0.8</formula>
    </cfRule>
  </conditionalFormatting>
  <conditionalFormatting sqref="S79">
    <cfRule type="cellIs" dxfId="333" priority="5" operator="lessThan">
      <formula>0.8</formula>
    </cfRule>
  </conditionalFormatting>
  <conditionalFormatting sqref="AH5:AH8 S15:S16 AH15:AH16 AH49 AH79">
    <cfRule type="cellIs" dxfId="332" priority="9" operator="lessThan">
      <formula>0.8</formula>
    </cfRule>
  </conditionalFormatting>
  <conditionalFormatting sqref="AH27 S27:S28">
    <cfRule type="cellIs" dxfId="33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BD9D-25A0-46DA-9F69-D7409FF796C4}">
  <dimension ref="B1:O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46026</v>
      </c>
      <c r="E3" s="645"/>
      <c r="F3" s="3" t="s">
        <v>72</v>
      </c>
      <c r="G3" s="646">
        <f>'0104'!E1</f>
        <v>53732</v>
      </c>
      <c r="H3" s="646"/>
      <c r="I3" s="3" t="s">
        <v>2</v>
      </c>
      <c r="J3" s="647">
        <f>'0104'!G1</f>
        <v>2590409.2599999998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111.29093057600907</v>
      </c>
      <c r="G6" s="652"/>
      <c r="H6" s="653">
        <f>AVERAGE(D13:H13,J13)</f>
        <v>108.9393121677371</v>
      </c>
      <c r="I6" s="653"/>
      <c r="J6" s="653">
        <f>AVERAGE(I13)</f>
        <v>125.40064102564102</v>
      </c>
      <c r="K6" s="653"/>
      <c r="L6" s="655">
        <f>'0104'!Z2</f>
        <v>4</v>
      </c>
      <c r="M6" s="656">
        <f>'0104'!AA2</f>
        <v>101</v>
      </c>
      <c r="N6" s="657">
        <f>'0104'!AD2</f>
        <v>4</v>
      </c>
      <c r="O6" s="656">
        <f>'0104'!AE2</f>
        <v>4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94.513110238952095</v>
      </c>
      <c r="G7" s="676"/>
      <c r="H7" s="677">
        <f>AVERAGE(D14:H14,J14)</f>
        <v>92.501573580968909</v>
      </c>
      <c r="I7" s="677"/>
      <c r="J7" s="677">
        <f>AVERAGE(I14)</f>
        <v>106.58233018685118</v>
      </c>
      <c r="K7" s="677"/>
      <c r="L7" s="655"/>
      <c r="M7" s="656"/>
      <c r="N7" s="657"/>
      <c r="O7" s="656"/>
    </row>
    <row r="8" spans="2:15" ht="39.6" customHeight="1">
      <c r="B8" s="641"/>
      <c r="C8" s="641"/>
      <c r="D8" s="648" t="s">
        <v>27</v>
      </c>
      <c r="E8" s="648"/>
      <c r="F8" s="649">
        <f>F7/F6</f>
        <v>0.84924359738731692</v>
      </c>
      <c r="G8" s="649"/>
      <c r="H8" s="649">
        <f>H7/H6</f>
        <v>0.84911104853077723</v>
      </c>
      <c r="I8" s="649"/>
      <c r="J8" s="649">
        <f>J7/J6</f>
        <v>0.84993449248044906</v>
      </c>
      <c r="K8" s="649"/>
      <c r="L8" s="655"/>
      <c r="M8" s="656"/>
      <c r="N8" s="657"/>
      <c r="O8" s="65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VALUE('0104'!L15)</f>
        <v>126.55462184873952</v>
      </c>
      <c r="E13" s="13">
        <f>VALUE('0104'!L26)</f>
        <v>160.58974358974359</v>
      </c>
      <c r="F13" s="13">
        <f>VALUE('0104'!L37)</f>
        <v>85.470588235294116</v>
      </c>
      <c r="G13" s="13">
        <f>VALUE('0104'!L48)</f>
        <v>83.408991228070178</v>
      </c>
      <c r="H13" s="13">
        <f>VALUE('0104'!L58)</f>
        <v>89.195261437908499</v>
      </c>
      <c r="I13" s="13">
        <f>VALUE('0104'!L69)</f>
        <v>125.40064102564102</v>
      </c>
      <c r="J13" s="13">
        <f>'0104'!L79</f>
        <v>108.41666666666666</v>
      </c>
    </row>
    <row r="14" spans="2:15" ht="39.950000000000003" customHeight="1">
      <c r="B14" s="670"/>
      <c r="C14" s="12" t="s">
        <v>100</v>
      </c>
      <c r="D14" s="13">
        <f>VALUE('0104'!O15)</f>
        <v>114.0311479498682</v>
      </c>
      <c r="E14" s="13">
        <f>VALUE('0104'!O26)</f>
        <v>130.89059162160311</v>
      </c>
      <c r="F14" s="13">
        <f>VALUE('0104'!O37)</f>
        <v>77.994128911862788</v>
      </c>
      <c r="G14" s="13">
        <f>VALUE('0104'!O48)</f>
        <v>72.058915507589816</v>
      </c>
      <c r="H14" s="13">
        <f>VALUE('0104'!O58)</f>
        <v>84.546895257126977</v>
      </c>
      <c r="I14" s="13">
        <f>VALUE('0104'!O69)</f>
        <v>106.58233018685118</v>
      </c>
      <c r="J14" s="13">
        <f>'0104'!O79</f>
        <v>75.487762237762624</v>
      </c>
    </row>
    <row r="15" spans="2:15" ht="39.950000000000003" customHeight="1">
      <c r="B15" s="671"/>
      <c r="C15" s="10" t="s">
        <v>26</v>
      </c>
      <c r="D15" s="14">
        <f>D14/D13</f>
        <v>0.90104293532764368</v>
      </c>
      <c r="E15" s="14">
        <f t="shared" ref="E15:I15" si="0">E14/E13</f>
        <v>0.81506196283610433</v>
      </c>
      <c r="F15" s="14">
        <f t="shared" si="0"/>
        <v>0.91252594046914481</v>
      </c>
      <c r="G15" s="14">
        <f>G14/G13</f>
        <v>0.8639226352774706</v>
      </c>
      <c r="H15" s="14">
        <f t="shared" si="0"/>
        <v>0.94788550304303565</v>
      </c>
      <c r="I15" s="14">
        <f t="shared" si="0"/>
        <v>0.84993449248044906</v>
      </c>
      <c r="J15" s="15">
        <f>'0104'!S70</f>
        <v>0.69627451718151545</v>
      </c>
    </row>
    <row r="16" spans="2:15" ht="17.25" customHeight="1">
      <c r="B16" s="672" t="s">
        <v>101</v>
      </c>
      <c r="C16" s="10" t="s">
        <v>34</v>
      </c>
      <c r="D16" s="16">
        <f>'0104'!T5</f>
        <v>0.29027777777777802</v>
      </c>
      <c r="E16" s="16">
        <f>'0104'!T16</f>
        <v>0.29166666666666702</v>
      </c>
      <c r="F16" s="16">
        <f>'0104'!T27</f>
        <v>0.29027777777777802</v>
      </c>
      <c r="G16" s="16">
        <f>'0104'!T38</f>
        <v>0.33124999999999999</v>
      </c>
      <c r="H16" s="16">
        <f>'0104'!T49</f>
        <v>0.29097222222222202</v>
      </c>
      <c r="I16" s="16">
        <f>'0104'!T59</f>
        <v>0.29166666666666702</v>
      </c>
      <c r="J16" s="17">
        <f>'0104'!T70</f>
        <v>0.34027777777777801</v>
      </c>
    </row>
    <row r="17" spans="2:10" ht="17.25" customHeight="1">
      <c r="B17" s="673"/>
      <c r="C17" s="10" t="s">
        <v>35</v>
      </c>
      <c r="D17" s="16">
        <v>0.61875000000000002</v>
      </c>
      <c r="E17" s="183">
        <v>0.64305555555555605</v>
      </c>
      <c r="F17" s="19">
        <v>0.57986111111111105</v>
      </c>
      <c r="G17" s="328">
        <v>0.69305555555555598</v>
      </c>
      <c r="H17" s="21">
        <v>0.63194444444444398</v>
      </c>
      <c r="I17" s="110">
        <v>0.57291666666666696</v>
      </c>
      <c r="J17" s="22">
        <v>0.63194444444444398</v>
      </c>
    </row>
    <row r="18" spans="2:10" ht="17.25" customHeight="1">
      <c r="B18" s="674" t="s">
        <v>102</v>
      </c>
      <c r="C18" s="330" t="s">
        <v>36</v>
      </c>
      <c r="D18" s="358">
        <f>'0104'!Z15</f>
        <v>0</v>
      </c>
      <c r="E18" s="359">
        <f>'0104'!Z26</f>
        <v>2</v>
      </c>
      <c r="F18" s="359">
        <f>'0104'!Z37</f>
        <v>0</v>
      </c>
      <c r="G18" s="360">
        <f>'0104'!Z48</f>
        <v>1</v>
      </c>
      <c r="H18" s="360">
        <f>'0104'!Z58</f>
        <v>0</v>
      </c>
      <c r="I18" s="359">
        <f>'0104'!Z69</f>
        <v>0</v>
      </c>
      <c r="J18" s="359">
        <f>'0104'!Z79</f>
        <v>1</v>
      </c>
    </row>
    <row r="19" spans="2:10" ht="17.25" customHeight="1">
      <c r="B19" s="675"/>
      <c r="C19" s="330" t="s">
        <v>37</v>
      </c>
      <c r="D19" s="358">
        <f>'0104'!AA15</f>
        <v>0</v>
      </c>
      <c r="E19" s="359">
        <f>'0104'!AA26</f>
        <v>38</v>
      </c>
      <c r="F19" s="359">
        <f>'0104'!AA37</f>
        <v>0</v>
      </c>
      <c r="G19" s="360">
        <f>'0104'!AA48</f>
        <v>13</v>
      </c>
      <c r="H19" s="360">
        <f>'0104'!AA58</f>
        <v>0</v>
      </c>
      <c r="I19" s="359">
        <f>'0104'!AA69</f>
        <v>0</v>
      </c>
      <c r="J19" s="359">
        <f>'0104'!AA79</f>
        <v>50</v>
      </c>
    </row>
    <row r="20" spans="2:10" ht="17.25" customHeight="1">
      <c r="B20" s="674" t="s">
        <v>103</v>
      </c>
      <c r="C20" s="330" t="s">
        <v>36</v>
      </c>
      <c r="D20" s="358">
        <f>'0104'!AD15</f>
        <v>0</v>
      </c>
      <c r="E20" s="359">
        <f>'0104'!AD26</f>
        <v>4</v>
      </c>
      <c r="F20" s="359">
        <f>'0104'!AD37</f>
        <v>0</v>
      </c>
      <c r="G20" s="360">
        <f>'0104'!AD48</f>
        <v>0</v>
      </c>
      <c r="H20" s="360">
        <f>'0104'!AD58</f>
        <v>0</v>
      </c>
      <c r="I20" s="359">
        <f>'0104'!AD69</f>
        <v>0</v>
      </c>
      <c r="J20" s="359">
        <f>'0104'!AD79</f>
        <v>0</v>
      </c>
    </row>
    <row r="21" spans="2:10" ht="17.25" customHeight="1">
      <c r="B21" s="675"/>
      <c r="C21" s="330" t="s">
        <v>85</v>
      </c>
      <c r="D21" s="358">
        <f>'0104'!AE15</f>
        <v>0</v>
      </c>
      <c r="E21" s="359">
        <f>'0104'!AE26</f>
        <v>4</v>
      </c>
      <c r="F21" s="359">
        <f>'0104'!AE37</f>
        <v>0</v>
      </c>
      <c r="G21" s="360">
        <f>'0104'!AE48</f>
        <v>0</v>
      </c>
      <c r="H21" s="360">
        <f>'0104'!AE58</f>
        <v>0</v>
      </c>
      <c r="I21" s="359">
        <f>'0104'!AE69</f>
        <v>0</v>
      </c>
      <c r="J21" s="359">
        <f>'0104'!AE79</f>
        <v>0</v>
      </c>
    </row>
    <row r="22" spans="2:10" ht="17.25" customHeight="1">
      <c r="B22" s="658" t="s">
        <v>104</v>
      </c>
      <c r="C22" s="659"/>
      <c r="D22" s="23">
        <f>VALUE('0104'!M15)</f>
        <v>14.75</v>
      </c>
      <c r="E22" s="23">
        <f>VALUE('0104'!M26)</f>
        <v>12.8</v>
      </c>
      <c r="F22" s="23">
        <f>VALUE('0104'!M37)</f>
        <v>17</v>
      </c>
      <c r="G22" s="23">
        <f>VALUE('0104'!M48)</f>
        <v>15.666666666666666</v>
      </c>
      <c r="H22" s="23">
        <f>VALUE('0104'!M58)</f>
        <v>18</v>
      </c>
      <c r="I22" s="23">
        <f>VALUE('0104'!M69)</f>
        <v>11.5</v>
      </c>
      <c r="J22" s="23">
        <f>'0104'!M79</f>
        <v>11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3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ACCE-2C7C-4AA1-B61F-1AEA76C9DD23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G76" sqref="G76"/>
      <selection pane="topRight" activeCell="G76" sqref="G76"/>
      <selection pane="bottomLeft" activeCell="G76" sqref="G76"/>
      <selection pane="bottomRight" activeCell="AB71" sqref="AB71:AC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53732</v>
      </c>
      <c r="F1" s="30" t="s">
        <v>2</v>
      </c>
      <c r="G1" s="31">
        <f>SUM(H5:H79)</f>
        <v>2590409.2599999998</v>
      </c>
      <c r="H1" s="32" t="s">
        <v>3</v>
      </c>
      <c r="I1" s="33">
        <f>M15+M26+M48+M58+M69+M79+M37</f>
        <v>100.71666666666667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148</v>
      </c>
      <c r="B2" s="678"/>
      <c r="C2" s="28"/>
      <c r="D2" s="28" t="s">
        <v>14</v>
      </c>
      <c r="E2" s="35">
        <f>AVERAGE(O15,O26,O37,O48,O58,O69,O79)</f>
        <v>94.513110238952095</v>
      </c>
      <c r="F2" s="36" t="s">
        <v>15</v>
      </c>
      <c r="G2" s="37">
        <f>G1/E1</f>
        <v>48.209805330157074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4</v>
      </c>
      <c r="AA2" s="339">
        <f>AA15+AA26+AA37+AA48+AA58+AA69+AA79</f>
        <v>101</v>
      </c>
      <c r="AB2" s="684"/>
      <c r="AC2" s="684"/>
      <c r="AD2" s="340">
        <f>AD15+AD26+AD37+AD48+AD58+AD69+AD79</f>
        <v>4</v>
      </c>
      <c r="AE2" s="340">
        <f>AE15+AE26+AE37+AE48+AE58+AE69+AE79</f>
        <v>4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3158</v>
      </c>
      <c r="H5" s="43">
        <f>F5*G5</f>
        <v>150668.18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1414.0298507462771</v>
      </c>
      <c r="O5" s="47">
        <f t="shared" ref="O5:O7" si="2">N5/M5</f>
        <v>101.00213219616265</v>
      </c>
      <c r="P5" s="49">
        <f t="shared" ref="P5:P7" si="3">M5-J5</f>
        <v>0</v>
      </c>
      <c r="Q5" s="50">
        <f t="shared" ref="Q5:Q7" si="4">O5-L5</f>
        <v>-1.8550106609802128</v>
      </c>
      <c r="R5" s="51">
        <f t="shared" ref="R5:R7" si="5">O5/L5</f>
        <v>0.98196517412935902</v>
      </c>
      <c r="S5" s="718">
        <f>R15</f>
        <v>0.90104293532764368</v>
      </c>
      <c r="T5" s="319">
        <v>0.29027777777777802</v>
      </c>
      <c r="U5" s="320">
        <v>0.38333333333333303</v>
      </c>
      <c r="V5" s="53"/>
      <c r="W5" s="54">
        <f t="shared" ref="W5:W14" si="6">(U5-T5)*24*60</f>
        <v>133.9999999999992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-25.970149253722866</v>
      </c>
      <c r="AG5" s="52">
        <f t="shared" ref="AG5:AG11" si="8">N5/K5</f>
        <v>0.98196517412935913</v>
      </c>
      <c r="AH5" s="724">
        <f>AG15</f>
        <v>0.89482647729502285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1309</v>
      </c>
      <c r="H6" s="63">
        <f>F6*G6</f>
        <v>74887.89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1539.9999999999861</v>
      </c>
      <c r="O6" s="67">
        <f t="shared" si="2"/>
        <v>90.588235294116828</v>
      </c>
      <c r="P6" s="69">
        <f t="shared" si="3"/>
        <v>0</v>
      </c>
      <c r="Q6" s="70">
        <f t="shared" si="4"/>
        <v>-27.058823529412578</v>
      </c>
      <c r="R6" s="71">
        <f t="shared" si="5"/>
        <v>0.76999999999999302</v>
      </c>
      <c r="S6" s="719"/>
      <c r="T6" s="16">
        <v>0.389583333333333</v>
      </c>
      <c r="U6" s="16">
        <v>0.42499999999999999</v>
      </c>
      <c r="V6" s="30">
        <f>(T6-U5)*24*60</f>
        <v>8.999999999999968</v>
      </c>
      <c r="W6" s="73">
        <f t="shared" si="6"/>
        <v>51.000000000000455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-460.00000000001387</v>
      </c>
      <c r="AG6" s="72">
        <f t="shared" si="8"/>
        <v>0.76999999999999302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2274</v>
      </c>
      <c r="H7" s="78">
        <f>F7*G7</f>
        <v>111744.36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1949.1428571428619</v>
      </c>
      <c r="O7" s="81">
        <f t="shared" si="2"/>
        <v>139.22448979591871</v>
      </c>
      <c r="P7" s="74">
        <f t="shared" si="3"/>
        <v>0</v>
      </c>
      <c r="Q7" s="83">
        <f t="shared" si="4"/>
        <v>-3.632653061224147</v>
      </c>
      <c r="R7" s="72">
        <f t="shared" si="5"/>
        <v>0.97457142857143098</v>
      </c>
      <c r="S7" s="719"/>
      <c r="T7" s="18">
        <v>0.43055555555555602</v>
      </c>
      <c r="U7" s="18">
        <v>0.47916666666666702</v>
      </c>
      <c r="V7" s="30">
        <f>(T7-U6)*24*60</f>
        <v>8.000000000000691</v>
      </c>
      <c r="W7" s="73">
        <f t="shared" si="6"/>
        <v>69.999999999999829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-50.857142857138115</v>
      </c>
      <c r="AG7" s="72">
        <f t="shared" si="8"/>
        <v>0.97457142857143098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3304</v>
      </c>
      <c r="H8" s="78">
        <f>F8*G8</f>
        <v>162358.56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1754.3362831858444</v>
      </c>
      <c r="O8" s="81">
        <f>N8/M8</f>
        <v>125.30973451327461</v>
      </c>
      <c r="P8" s="74">
        <f>M8-J8</f>
        <v>0</v>
      </c>
      <c r="Q8" s="83">
        <f>O8-L8</f>
        <v>-17.547408343868256</v>
      </c>
      <c r="R8" s="72">
        <f>O8/L8</f>
        <v>0.87716814159292222</v>
      </c>
      <c r="S8" s="719"/>
      <c r="T8" s="16">
        <v>0.54027777777777797</v>
      </c>
      <c r="U8" s="16">
        <v>0.61875000000000002</v>
      </c>
      <c r="V8" s="30">
        <f>(T8-U7)*24*60</f>
        <v>87.999999999999773</v>
      </c>
      <c r="W8" s="73">
        <f t="shared" si="6"/>
        <v>112.99999999999976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-245.66371681415558</v>
      </c>
      <c r="AG8" s="72">
        <f t="shared" si="8"/>
        <v>0.87716814159292222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1664.3772477687426</v>
      </c>
      <c r="O15" s="117">
        <f t="shared" si="9"/>
        <v>114.0311479498682</v>
      </c>
      <c r="P15" s="121">
        <f t="shared" ref="P15:P18" si="10">M15-J15</f>
        <v>0</v>
      </c>
      <c r="Q15" s="122">
        <f t="shared" ref="Q15:Q18" si="11">O15-L15</f>
        <v>-12.523473898871316</v>
      </c>
      <c r="R15" s="123">
        <f t="shared" ref="R15:R18" si="12">O15/L15</f>
        <v>0.90104293532764368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-195.62275223125744</v>
      </c>
      <c r="AG15" s="124">
        <f t="shared" ref="AG15:AG19" si="14">N15/K15</f>
        <v>0.89482647729502285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864</v>
      </c>
      <c r="H16" s="134">
        <f>F16*G16</f>
        <v>49429.440000000002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785.45454545455107</v>
      </c>
      <c r="O16" s="141">
        <f>N16/M16</f>
        <v>56.103896103896503</v>
      </c>
      <c r="P16" s="142">
        <f>M16-J16</f>
        <v>1</v>
      </c>
      <c r="Q16" s="143">
        <f t="shared" si="11"/>
        <v>-105.81918081918043</v>
      </c>
      <c r="R16" s="144">
        <f>O16/L16</f>
        <v>0.34648486905019216</v>
      </c>
      <c r="S16" s="734">
        <f>R26</f>
        <v>0.81506196283610433</v>
      </c>
      <c r="T16" s="145">
        <v>0.29166666666666702</v>
      </c>
      <c r="U16" s="145">
        <v>0.33750000000000002</v>
      </c>
      <c r="V16" s="135"/>
      <c r="W16" s="146">
        <f t="shared" ref="W16:W78" si="17">(U16-T16)*24*60</f>
        <v>65.999999999999531</v>
      </c>
      <c r="X16" s="141"/>
      <c r="Y16" s="296"/>
      <c r="Z16" s="169">
        <v>2</v>
      </c>
      <c r="AA16" s="169">
        <v>38</v>
      </c>
      <c r="AB16" s="723" t="s">
        <v>149</v>
      </c>
      <c r="AC16" s="723"/>
      <c r="AD16" s="135"/>
      <c r="AE16" s="135"/>
      <c r="AF16" s="229">
        <f t="shared" si="13"/>
        <v>-1319.545454545449</v>
      </c>
      <c r="AG16" s="52">
        <f t="shared" si="14"/>
        <v>0.37313755128482234</v>
      </c>
      <c r="AH16" s="724">
        <f>AG26</f>
        <v>0.81660870341408487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3020</v>
      </c>
      <c r="H17" s="78">
        <f>F17*G17</f>
        <v>153023.4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1991.208791208805</v>
      </c>
      <c r="O17" s="96">
        <f t="shared" ref="O17:O18" si="18">N17/M17</f>
        <v>153.16990701606193</v>
      </c>
      <c r="P17" s="97">
        <f t="shared" si="10"/>
        <v>0</v>
      </c>
      <c r="Q17" s="98">
        <f t="shared" si="11"/>
        <v>-0.67624683009191244</v>
      </c>
      <c r="R17" s="99">
        <f t="shared" si="12"/>
        <v>0.99560439560440261</v>
      </c>
      <c r="S17" s="735"/>
      <c r="T17" s="19">
        <v>0.35555555555555601</v>
      </c>
      <c r="U17" s="19">
        <v>0.41875000000000001</v>
      </c>
      <c r="V17" s="30">
        <f>(T17-U16)*24*60</f>
        <v>26.000000000000625</v>
      </c>
      <c r="W17" s="149">
        <f t="shared" si="17"/>
        <v>90.999999999999361</v>
      </c>
      <c r="X17" s="19"/>
      <c r="Y17" s="297"/>
      <c r="Z17" s="90"/>
      <c r="AA17" s="90"/>
      <c r="AB17" s="713" t="s">
        <v>116</v>
      </c>
      <c r="AC17" s="713"/>
      <c r="AD17" s="92">
        <v>1</v>
      </c>
      <c r="AE17" s="92">
        <v>1</v>
      </c>
      <c r="AF17" s="307">
        <f t="shared" si="13"/>
        <v>-8.7912087911950039</v>
      </c>
      <c r="AG17" s="72">
        <f t="shared" si="14"/>
        <v>0.9956043956044025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2239</v>
      </c>
      <c r="H18" s="78">
        <f>F18*G18</f>
        <v>112823.21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1791.1999999999757</v>
      </c>
      <c r="O18" s="96">
        <f t="shared" si="18"/>
        <v>149.26666666666463</v>
      </c>
      <c r="P18" s="97">
        <f t="shared" si="10"/>
        <v>0</v>
      </c>
      <c r="Q18" s="98">
        <f t="shared" si="11"/>
        <v>-17.400000000002024</v>
      </c>
      <c r="R18" s="99">
        <f t="shared" si="12"/>
        <v>0.89559999999998785</v>
      </c>
      <c r="S18" s="735"/>
      <c r="T18" s="19">
        <v>0.42708333333333298</v>
      </c>
      <c r="U18" s="19">
        <v>0.47916666666666702</v>
      </c>
      <c r="V18" s="30">
        <f>(T18-U17)*24*60</f>
        <v>11.999999999999478</v>
      </c>
      <c r="W18" s="149">
        <f t="shared" si="17"/>
        <v>75.000000000001009</v>
      </c>
      <c r="X18" s="22">
        <v>0.48611111111111099</v>
      </c>
      <c r="Y18" s="84">
        <v>0.52777777777777801</v>
      </c>
      <c r="Z18" s="90"/>
      <c r="AA18" s="90"/>
      <c r="AB18" s="713" t="s">
        <v>116</v>
      </c>
      <c r="AC18" s="713"/>
      <c r="AD18" s="92">
        <v>1</v>
      </c>
      <c r="AE18" s="92">
        <v>1</v>
      </c>
      <c r="AF18" s="307">
        <f t="shared" si="13"/>
        <v>-208.80000000002428</v>
      </c>
      <c r="AG18" s="72">
        <f t="shared" si="14"/>
        <v>0.89559999999998785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3095</v>
      </c>
      <c r="H19" s="78">
        <f t="shared" ref="H19:H20" si="19">F19*G19</f>
        <v>155957.04999999999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0" si="20">K19/J19</f>
        <v>166.66666666666666</v>
      </c>
      <c r="M19" s="148">
        <v>12</v>
      </c>
      <c r="N19" s="95">
        <f t="shared" ref="N19:N20" si="21">G19/W19*60</f>
        <v>1954.7368421052702</v>
      </c>
      <c r="O19" s="96">
        <f t="shared" ref="O19:O20" si="22">N19/M19</f>
        <v>162.89473684210586</v>
      </c>
      <c r="P19" s="97">
        <f t="shared" ref="P19:P20" si="23">M19-J19</f>
        <v>0</v>
      </c>
      <c r="Q19" s="98">
        <f t="shared" ref="Q19:Q20" si="24">O19-L19</f>
        <v>-3.7719298245608002</v>
      </c>
      <c r="R19" s="99">
        <f t="shared" ref="R19:R20" si="25">O19/L19</f>
        <v>0.97736842105263522</v>
      </c>
      <c r="S19" s="735"/>
      <c r="T19" s="19">
        <v>0.54166666666666696</v>
      </c>
      <c r="U19" s="19">
        <v>0.60763888888888895</v>
      </c>
      <c r="V19" s="30">
        <f>(T19-U18)*24*60</f>
        <v>89.999999999999915</v>
      </c>
      <c r="W19" s="149">
        <f t="shared" si="17"/>
        <v>94.999999999999659</v>
      </c>
      <c r="X19" s="22"/>
      <c r="Y19" s="84"/>
      <c r="Z19" s="90"/>
      <c r="AA19" s="90"/>
      <c r="AB19" s="713" t="s">
        <v>116</v>
      </c>
      <c r="AC19" s="713"/>
      <c r="AD19" s="149">
        <v>1</v>
      </c>
      <c r="AE19" s="149">
        <v>1</v>
      </c>
      <c r="AF19" s="307">
        <f t="shared" si="13"/>
        <v>-45.263157894729829</v>
      </c>
      <c r="AG19" s="72">
        <f t="shared" si="14"/>
        <v>0.97736842105263511</v>
      </c>
      <c r="AH19" s="726"/>
    </row>
    <row r="20" spans="1:34" ht="15" customHeight="1">
      <c r="A20" s="741"/>
      <c r="B20" s="75" t="s">
        <v>81</v>
      </c>
      <c r="C20" s="76"/>
      <c r="D20" s="59" t="s">
        <v>123</v>
      </c>
      <c r="E20" s="77"/>
      <c r="F20" s="75">
        <f>VLOOKUP(D20,廠價表!$C$1:$E$41,3,0)</f>
        <v>50.67</v>
      </c>
      <c r="G20" s="147">
        <v>1124</v>
      </c>
      <c r="H20" s="78">
        <f t="shared" si="19"/>
        <v>56953.08</v>
      </c>
      <c r="I20" s="30"/>
      <c r="J20" s="79">
        <f>VLOOKUP(D20,產線配置圖!$A$3:$C$39,2,0)</f>
        <v>13</v>
      </c>
      <c r="K20" s="80">
        <f>VLOOKUP(D20,產線配置圖!$A$3:$C$39,3,0)</f>
        <v>2000</v>
      </c>
      <c r="L20" s="81">
        <f t="shared" si="20"/>
        <v>153.84615384615384</v>
      </c>
      <c r="M20" s="148">
        <v>13</v>
      </c>
      <c r="N20" s="95">
        <f t="shared" si="21"/>
        <v>1729.2307692307259</v>
      </c>
      <c r="O20" s="96">
        <f t="shared" si="22"/>
        <v>133.0177514792866</v>
      </c>
      <c r="P20" s="97">
        <f t="shared" si="23"/>
        <v>0</v>
      </c>
      <c r="Q20" s="98">
        <f t="shared" si="24"/>
        <v>-20.828402366867238</v>
      </c>
      <c r="R20" s="99">
        <f t="shared" si="25"/>
        <v>0.86461538461536291</v>
      </c>
      <c r="S20" s="735"/>
      <c r="T20" s="19">
        <v>0.61597222222222203</v>
      </c>
      <c r="U20" s="19">
        <v>0.64305555555555605</v>
      </c>
      <c r="V20" s="30">
        <f>(T20-U19)*24*60</f>
        <v>11.999999999999638</v>
      </c>
      <c r="W20" s="149">
        <f t="shared" si="17"/>
        <v>39.000000000000981</v>
      </c>
      <c r="X20" s="19"/>
      <c r="Y20" s="297"/>
      <c r="Z20" s="90"/>
      <c r="AA20" s="90"/>
      <c r="AB20" s="713" t="s">
        <v>116</v>
      </c>
      <c r="AC20" s="713"/>
      <c r="AD20" s="92">
        <v>1</v>
      </c>
      <c r="AE20" s="92">
        <v>1</v>
      </c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6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6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7">AVERAGE(J16:J25)</f>
        <v>12.6</v>
      </c>
      <c r="K26" s="155">
        <f t="shared" si="27"/>
        <v>2021</v>
      </c>
      <c r="L26" s="158">
        <f t="shared" si="27"/>
        <v>160.58974358974359</v>
      </c>
      <c r="M26" s="155">
        <f t="shared" si="27"/>
        <v>12.8</v>
      </c>
      <c r="N26" s="155">
        <f t="shared" si="27"/>
        <v>1650.3661895998655</v>
      </c>
      <c r="O26" s="158">
        <f t="shared" si="27"/>
        <v>130.89059162160311</v>
      </c>
      <c r="P26" s="159">
        <f t="shared" ref="P26:P29" si="28">M26-J26</f>
        <v>0.20000000000000107</v>
      </c>
      <c r="Q26" s="160">
        <f t="shared" ref="Q26:Q29" si="29">O26-L26</f>
        <v>-29.699151968140484</v>
      </c>
      <c r="R26" s="161">
        <f>O26/L26</f>
        <v>0.81506196283610433</v>
      </c>
      <c r="S26" s="736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38</v>
      </c>
      <c r="AB26" s="730"/>
      <c r="AC26" s="730"/>
      <c r="AD26" s="323">
        <f>SUM(AD16:AD25)</f>
        <v>4</v>
      </c>
      <c r="AE26" s="323">
        <f>SUM(AE16:AE25)</f>
        <v>4</v>
      </c>
      <c r="AF26" s="309">
        <f t="shared" ref="AF26:AF31" si="30">N26-K26</f>
        <v>-370.63381040013451</v>
      </c>
      <c r="AG26" s="124">
        <f t="shared" ref="AG26:AG31" si="31">N26/K26</f>
        <v>0.81660870341408487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1671</v>
      </c>
      <c r="H27" s="134">
        <f>F27*G27</f>
        <v>95748.299999999988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32">K27/J27</f>
        <v>88.235294117647058</v>
      </c>
      <c r="M27" s="170">
        <v>17</v>
      </c>
      <c r="N27" s="140">
        <f>G27/W27*60</f>
        <v>1432.2857142857179</v>
      </c>
      <c r="O27" s="141">
        <f>N27/M27</f>
        <v>84.25210084033634</v>
      </c>
      <c r="P27" s="142">
        <f t="shared" si="28"/>
        <v>0</v>
      </c>
      <c r="Q27" s="143">
        <f t="shared" si="29"/>
        <v>-3.9831932773107184</v>
      </c>
      <c r="R27" s="144">
        <f>O27/L27</f>
        <v>0.95485714285714518</v>
      </c>
      <c r="S27" s="734">
        <f>R37</f>
        <v>0.91252594046914481</v>
      </c>
      <c r="T27" s="171">
        <v>0.29027777777777802</v>
      </c>
      <c r="U27" s="171">
        <v>0.33888888888888902</v>
      </c>
      <c r="V27" s="135"/>
      <c r="W27" s="146">
        <f t="shared" si="17"/>
        <v>69.999999999999829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30"/>
        <v>-67.714285714282141</v>
      </c>
      <c r="AG27" s="172">
        <f t="shared" si="31"/>
        <v>0.95485714285714529</v>
      </c>
      <c r="AH27" s="724">
        <f>AG37</f>
        <v>0.91252594046914481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1526</v>
      </c>
      <c r="H28" s="91">
        <f>F28*G28</f>
        <v>84128.38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32"/>
        <v>81.470588235294116</v>
      </c>
      <c r="M28" s="94">
        <v>17</v>
      </c>
      <c r="N28" s="95">
        <f>G28/W28*60</f>
        <v>1271.666666666667</v>
      </c>
      <c r="O28" s="96">
        <f>N28/M28</f>
        <v>74.803921568627473</v>
      </c>
      <c r="P28" s="97">
        <f t="shared" si="28"/>
        <v>0</v>
      </c>
      <c r="Q28" s="98">
        <f t="shared" si="29"/>
        <v>-6.666666666666643</v>
      </c>
      <c r="R28" s="99">
        <f t="shared" ref="R28:R29" si="33">O28/L28</f>
        <v>0.91817087845968737</v>
      </c>
      <c r="S28" s="735"/>
      <c r="T28" s="19">
        <v>0.34583333333333299</v>
      </c>
      <c r="U28" s="19">
        <v>0.39583333333333298</v>
      </c>
      <c r="V28" s="92">
        <f>(T28-U27)*24*60</f>
        <v>9.999999999999325</v>
      </c>
      <c r="W28" s="149">
        <f t="shared" si="17"/>
        <v>71.999999999999986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30"/>
        <v>-113.33333333333303</v>
      </c>
      <c r="AG28" s="99">
        <f t="shared" si="31"/>
        <v>0.91817087845968737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1690</v>
      </c>
      <c r="H29" s="91">
        <f>F29*G29</f>
        <v>83688.800000000003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32"/>
        <v>84.705882352941174</v>
      </c>
      <c r="M29" s="94">
        <v>17</v>
      </c>
      <c r="N29" s="95">
        <f>G29/W29*60</f>
        <v>1236.5853658536689</v>
      </c>
      <c r="O29" s="96">
        <f>N29/M29</f>
        <v>72.740315638451108</v>
      </c>
      <c r="P29" s="97">
        <f t="shared" si="28"/>
        <v>0</v>
      </c>
      <c r="Q29" s="98">
        <f t="shared" si="29"/>
        <v>-11.965566714490066</v>
      </c>
      <c r="R29" s="99">
        <f t="shared" si="33"/>
        <v>0.85873983739838111</v>
      </c>
      <c r="S29" s="735"/>
      <c r="T29" s="19">
        <v>0.40277777777777801</v>
      </c>
      <c r="U29" s="19">
        <v>0.45972222222222198</v>
      </c>
      <c r="V29" s="92">
        <f>(T29-U28)*24*60</f>
        <v>10.000000000000844</v>
      </c>
      <c r="W29" s="149">
        <f t="shared" si="17"/>
        <v>81.999999999999304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30"/>
        <v>-203.41463414633108</v>
      </c>
      <c r="AG29" s="99">
        <f t="shared" si="31"/>
        <v>0.85873983739838122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500</v>
      </c>
      <c r="H30" s="91">
        <f t="shared" ref="H30:H31" si="34">F30*G30</f>
        <v>24760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35">K30/J30</f>
        <v>84.705882352941174</v>
      </c>
      <c r="M30" s="94">
        <v>17</v>
      </c>
      <c r="N30" s="95">
        <f t="shared" ref="N30:N31" si="36">G30/W30*60</f>
        <v>1304.3478260868978</v>
      </c>
      <c r="O30" s="96">
        <f t="shared" ref="O30:O31" si="37">N30/M30</f>
        <v>76.72634271099399</v>
      </c>
      <c r="P30" s="97">
        <f t="shared" ref="P30:P31" si="38">M30-J30</f>
        <v>0</v>
      </c>
      <c r="Q30" s="98">
        <f t="shared" ref="Q30:Q31" si="39">O30-L30</f>
        <v>-7.9795396419471842</v>
      </c>
      <c r="R30" s="99">
        <f t="shared" ref="R30:R31" si="40">O30/L30</f>
        <v>0.90579710144923464</v>
      </c>
      <c r="S30" s="735"/>
      <c r="T30" s="19">
        <v>0.52083333333333304</v>
      </c>
      <c r="U30" s="19">
        <v>0.53680555555555598</v>
      </c>
      <c r="V30" s="92">
        <f>(T30-U29)*24*60</f>
        <v>87.999999999999929</v>
      </c>
      <c r="W30" s="149">
        <f t="shared" si="17"/>
        <v>23.000000000001037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30"/>
        <v>-135.65217391310216</v>
      </c>
      <c r="AG30" s="99">
        <f t="shared" si="31"/>
        <v>0.90579710144923464</v>
      </c>
      <c r="AH30" s="745"/>
    </row>
    <row r="31" spans="1:34" ht="15" customHeight="1">
      <c r="A31" s="732"/>
      <c r="B31" s="75" t="s">
        <v>81</v>
      </c>
      <c r="C31" s="88"/>
      <c r="D31" s="59" t="s">
        <v>125</v>
      </c>
      <c r="E31" s="89"/>
      <c r="F31" s="75">
        <f>VLOOKUP(D31,廠價表!$C$1:$E$41,3,0)</f>
        <v>57.3</v>
      </c>
      <c r="G31" s="90">
        <v>1200</v>
      </c>
      <c r="H31" s="91">
        <f t="shared" si="34"/>
        <v>68760</v>
      </c>
      <c r="I31" s="92"/>
      <c r="J31" s="79">
        <f>VLOOKUP(D31,產線配置圖!$A$3:$C$39,2,0)</f>
        <v>17</v>
      </c>
      <c r="K31" s="80">
        <f>VLOOKUP(D31,產線配置圖!$A$3:$C$39,3,0)</f>
        <v>1500</v>
      </c>
      <c r="L31" s="93">
        <f t="shared" si="35"/>
        <v>88.235294117647058</v>
      </c>
      <c r="M31" s="94">
        <v>17</v>
      </c>
      <c r="N31" s="95">
        <f t="shared" si="36"/>
        <v>1384.6153846153854</v>
      </c>
      <c r="O31" s="96">
        <f t="shared" si="37"/>
        <v>81.447963800905029</v>
      </c>
      <c r="P31" s="97">
        <f t="shared" si="38"/>
        <v>0</v>
      </c>
      <c r="Q31" s="98">
        <f t="shared" si="39"/>
        <v>-6.7873303167420289</v>
      </c>
      <c r="R31" s="99">
        <f t="shared" si="40"/>
        <v>0.92307692307692368</v>
      </c>
      <c r="S31" s="735"/>
      <c r="T31" s="19">
        <v>0.54374999999999996</v>
      </c>
      <c r="U31" s="19">
        <v>0.57986111111111105</v>
      </c>
      <c r="V31" s="92"/>
      <c r="W31" s="149">
        <f t="shared" si="17"/>
        <v>51.999999999999972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30"/>
        <v>-115.38461538461456</v>
      </c>
      <c r="AG31" s="99">
        <f t="shared" si="31"/>
        <v>0.92307692307692357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41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42">AVERAGE(J27:J36)</f>
        <v>17</v>
      </c>
      <c r="K37" s="155">
        <f t="shared" si="42"/>
        <v>1453</v>
      </c>
      <c r="L37" s="158">
        <f t="shared" si="42"/>
        <v>85.470588235294116</v>
      </c>
      <c r="M37" s="155">
        <f t="shared" si="42"/>
        <v>17</v>
      </c>
      <c r="N37" s="155">
        <f t="shared" si="42"/>
        <v>1325.9001915016675</v>
      </c>
      <c r="O37" s="158">
        <f t="shared" si="42"/>
        <v>77.994128911862788</v>
      </c>
      <c r="P37" s="159">
        <f>M37-J37</f>
        <v>0</v>
      </c>
      <c r="Q37" s="160">
        <f>N37-K37</f>
        <v>-127.09980849833255</v>
      </c>
      <c r="R37" s="161">
        <f t="shared" ref="R37:R40" si="43">O37/L37</f>
        <v>0.91252594046914481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44">N37-K37</f>
        <v>-127.09980849833255</v>
      </c>
      <c r="AG37" s="124">
        <f t="shared" ref="AG37:AG41" si="45">N37/K37</f>
        <v>0.91252594046914481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1602</v>
      </c>
      <c r="H38" s="134">
        <f>F38*G38</f>
        <v>91794.599999999991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46">K38/J38</f>
        <v>86.5625</v>
      </c>
      <c r="M38" s="190">
        <v>14</v>
      </c>
      <c r="N38" s="140">
        <f>G38/W38*60</f>
        <v>1158.0722891566238</v>
      </c>
      <c r="O38" s="141">
        <f>N38/M38</f>
        <v>82.719449225473127</v>
      </c>
      <c r="P38" s="142">
        <f t="shared" ref="P38:P40" si="47">M38-J38</f>
        <v>-2</v>
      </c>
      <c r="Q38" s="143">
        <f t="shared" ref="Q38:Q40" si="48">O38-L38</f>
        <v>-3.8430507745268727</v>
      </c>
      <c r="R38" s="144">
        <f>O38/L38</f>
        <v>0.95560374556503247</v>
      </c>
      <c r="S38" s="756">
        <f>R48</f>
        <v>0.8639226352774706</v>
      </c>
      <c r="T38" s="191">
        <v>0.33124999999999999</v>
      </c>
      <c r="U38" s="191">
        <v>0.38888888888888901</v>
      </c>
      <c r="V38" s="192"/>
      <c r="W38" s="193">
        <f t="shared" si="17"/>
        <v>83.000000000000185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44"/>
        <v>-226.92771084337619</v>
      </c>
      <c r="AG38" s="195">
        <f t="shared" si="45"/>
        <v>0.83615327736940348</v>
      </c>
      <c r="AH38" s="746">
        <f>AG48</f>
        <v>0.79693302777309383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1178</v>
      </c>
      <c r="H39" s="91">
        <f>F39*G39</f>
        <v>66474.539999999994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46"/>
        <v>87.875</v>
      </c>
      <c r="M39" s="201">
        <v>15</v>
      </c>
      <c r="N39" s="202">
        <f>G39/W39*60</f>
        <v>942.39999999998736</v>
      </c>
      <c r="O39" s="203">
        <f t="shared" ref="O39:O40" si="49">N39/M39</f>
        <v>62.826666666665822</v>
      </c>
      <c r="P39" s="97">
        <f t="shared" si="47"/>
        <v>-1</v>
      </c>
      <c r="Q39" s="98">
        <f t="shared" si="48"/>
        <v>-25.048333333334178</v>
      </c>
      <c r="R39" s="99">
        <f t="shared" si="43"/>
        <v>0.71495495495494532</v>
      </c>
      <c r="S39" s="757"/>
      <c r="T39" s="20">
        <v>0.39583333333333298</v>
      </c>
      <c r="U39" s="20">
        <v>0.44791666666666702</v>
      </c>
      <c r="V39" s="92">
        <f>(T39-U38)*24*60</f>
        <v>9.999999999999325</v>
      </c>
      <c r="W39" s="205">
        <f t="shared" si="17"/>
        <v>75.000000000001009</v>
      </c>
      <c r="X39" s="22"/>
      <c r="Y39" s="84"/>
      <c r="Z39" s="90">
        <v>1</v>
      </c>
      <c r="AA39" s="90">
        <v>13</v>
      </c>
      <c r="AB39" s="749" t="s">
        <v>150</v>
      </c>
      <c r="AC39" s="749"/>
      <c r="AD39" s="200"/>
      <c r="AE39" s="200"/>
      <c r="AF39" s="314">
        <f t="shared" si="44"/>
        <v>-463.60000000001264</v>
      </c>
      <c r="AG39" s="206">
        <f t="shared" si="45"/>
        <v>0.67027027027026131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3136</v>
      </c>
      <c r="H40" s="91">
        <f>F40*G40</f>
        <v>138924.79999999999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46"/>
        <v>75.78947368421052</v>
      </c>
      <c r="M40" s="201">
        <v>18</v>
      </c>
      <c r="N40" s="202">
        <f>G40/W40*60</f>
        <v>1271.3513513513487</v>
      </c>
      <c r="O40" s="203">
        <f t="shared" si="49"/>
        <v>70.630630630630492</v>
      </c>
      <c r="P40" s="97">
        <f t="shared" si="47"/>
        <v>-1</v>
      </c>
      <c r="Q40" s="98">
        <f t="shared" si="48"/>
        <v>-5.1588430535800285</v>
      </c>
      <c r="R40" s="99">
        <f t="shared" si="43"/>
        <v>0.93193193193193014</v>
      </c>
      <c r="S40" s="719"/>
      <c r="T40" s="20">
        <v>0.59027777777777801</v>
      </c>
      <c r="U40" s="20">
        <v>0.69305555555555598</v>
      </c>
      <c r="V40" s="92">
        <f>(T40-U39)*24*60</f>
        <v>204.99999999999983</v>
      </c>
      <c r="W40" s="205">
        <f t="shared" si="17"/>
        <v>148.00000000000028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44"/>
        <v>-168.64864864865126</v>
      </c>
      <c r="AG40" s="206">
        <f t="shared" si="45"/>
        <v>0.88288288288288108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44"/>
        <v>0</v>
      </c>
      <c r="AG41" s="206" t="e">
        <f t="shared" si="45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50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50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50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41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50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51">AVERAGE(J38:J47)</f>
        <v>17</v>
      </c>
      <c r="K48" s="155">
        <f t="shared" si="51"/>
        <v>1410.3333333333333</v>
      </c>
      <c r="L48" s="158">
        <f t="shared" si="51"/>
        <v>83.408991228070178</v>
      </c>
      <c r="M48" s="155">
        <f t="shared" si="51"/>
        <v>15.666666666666666</v>
      </c>
      <c r="N48" s="155">
        <f t="shared" si="51"/>
        <v>1123.9412135026532</v>
      </c>
      <c r="O48" s="158">
        <f t="shared" si="51"/>
        <v>72.058915507589816</v>
      </c>
      <c r="P48" s="221">
        <f>M48-J48</f>
        <v>-1.3333333333333339</v>
      </c>
      <c r="Q48" s="222">
        <f>N48-K48</f>
        <v>-286.39211983068003</v>
      </c>
      <c r="R48" s="223">
        <f>O48/L48</f>
        <v>0.8639226352774706</v>
      </c>
      <c r="S48" s="722"/>
      <c r="T48" s="224"/>
      <c r="U48" s="224"/>
      <c r="V48" s="225"/>
      <c r="W48" s="226">
        <f t="shared" si="50"/>
        <v>0</v>
      </c>
      <c r="X48" s="227"/>
      <c r="Y48" s="303"/>
      <c r="Z48" s="334">
        <f>SUM(Z38:Z47)</f>
        <v>1</v>
      </c>
      <c r="AA48" s="334">
        <f>SUM(AA38:AA47)</f>
        <v>13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52">N48-K48</f>
        <v>-286.39211983068003</v>
      </c>
      <c r="AG48" s="162">
        <f t="shared" ref="AG48:AG53" si="53">N48/K48</f>
        <v>0.79693302777309383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1400</v>
      </c>
      <c r="H49" s="134">
        <f>F49*G49</f>
        <v>79618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54">K49/J49</f>
        <v>86.944444444444443</v>
      </c>
      <c r="M49" s="170">
        <v>19</v>
      </c>
      <c r="N49" s="140">
        <f>G49/W49*60</f>
        <v>1423.728813559331</v>
      </c>
      <c r="O49" s="141">
        <f>N49/M49</f>
        <v>74.933095450491109</v>
      </c>
      <c r="P49" s="229">
        <f>M49-J49</f>
        <v>1</v>
      </c>
      <c r="Q49" s="230">
        <f>O49-L49</f>
        <v>-12.011348993953334</v>
      </c>
      <c r="R49" s="52">
        <f>O49/L49</f>
        <v>0.86185029911107991</v>
      </c>
      <c r="S49" s="718">
        <f>R58</f>
        <v>0.94788550304303565</v>
      </c>
      <c r="T49" s="191">
        <v>0.29097222222222202</v>
      </c>
      <c r="U49" s="191">
        <v>0.33194444444444399</v>
      </c>
      <c r="V49" s="55"/>
      <c r="W49" s="193">
        <f t="shared" si="17"/>
        <v>58.999999999999631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52"/>
        <v>-141.271186440669</v>
      </c>
      <c r="AG49" s="52">
        <f t="shared" si="53"/>
        <v>0.90973087128391761</v>
      </c>
      <c r="AH49" s="724">
        <f>AG58</f>
        <v>0.9592348519410997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2688</v>
      </c>
      <c r="H50" s="231">
        <f>F50*G50</f>
        <v>134158.07999999999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54"/>
        <v>92.058823529411768</v>
      </c>
      <c r="M50" s="233">
        <v>17</v>
      </c>
      <c r="N50" s="234">
        <f>G50/W50*60</f>
        <v>1536.0000000000148</v>
      </c>
      <c r="O50" s="235">
        <f>N50/M50</f>
        <v>90.352941176471461</v>
      </c>
      <c r="P50" s="74">
        <f>M50-J50</f>
        <v>0</v>
      </c>
      <c r="Q50" s="83">
        <f>O50-L50</f>
        <v>-1.7058823529403071</v>
      </c>
      <c r="R50" s="72">
        <f>O50/L50</f>
        <v>0.98146964856230978</v>
      </c>
      <c r="S50" s="719"/>
      <c r="T50" s="21">
        <v>0.34027777777777801</v>
      </c>
      <c r="U50" s="21">
        <v>0.41319444444444398</v>
      </c>
      <c r="V50" s="30">
        <f t="shared" ref="V50:V52" si="55">(T50-U49)*24*60</f>
        <v>12.000000000000997</v>
      </c>
      <c r="W50" s="236">
        <f t="shared" si="17"/>
        <v>104.99999999999899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52"/>
        <v>-28.999999999985221</v>
      </c>
      <c r="AG50" s="72">
        <f t="shared" si="53"/>
        <v>0.98146964856230978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1766</v>
      </c>
      <c r="H51" s="231">
        <f>F51*G51</f>
        <v>88247.02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54"/>
        <v>88.888888888888886</v>
      </c>
      <c r="M51" s="233">
        <v>18</v>
      </c>
      <c r="N51" s="234">
        <f>G51/W51*60</f>
        <v>1513.7142857142894</v>
      </c>
      <c r="O51" s="235">
        <f>N51/M51</f>
        <v>84.095238095238301</v>
      </c>
      <c r="P51" s="74">
        <f>M51-J51</f>
        <v>0</v>
      </c>
      <c r="Q51" s="83">
        <f>O51-L51</f>
        <v>-4.7936507936505848</v>
      </c>
      <c r="R51" s="72">
        <f>O51/L51</f>
        <v>0.94607142857143089</v>
      </c>
      <c r="S51" s="719"/>
      <c r="T51" s="21">
        <v>0.42013888888888901</v>
      </c>
      <c r="U51" s="19">
        <v>0.46875</v>
      </c>
      <c r="V51" s="30">
        <f t="shared" si="55"/>
        <v>10.000000000000844</v>
      </c>
      <c r="W51" s="236">
        <f t="shared" si="17"/>
        <v>69.999999999999829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52"/>
        <v>-86.285714285710583</v>
      </c>
      <c r="AG51" s="72">
        <f t="shared" si="53"/>
        <v>0.94607142857143089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3943</v>
      </c>
      <c r="H52" s="231">
        <f>F52*G52</f>
        <v>197031.71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1598.513513513526</v>
      </c>
      <c r="O52" s="235">
        <f>N52/M52</f>
        <v>88.806306306307008</v>
      </c>
      <c r="P52" s="74">
        <f>M52-J52</f>
        <v>0</v>
      </c>
      <c r="Q52" s="83">
        <f>O52-L52</f>
        <v>-8.2582582581878228E-2</v>
      </c>
      <c r="R52" s="72">
        <f>O52/L52</f>
        <v>0.99907094594595391</v>
      </c>
      <c r="S52" s="719"/>
      <c r="T52" s="21">
        <v>0.52916666666666701</v>
      </c>
      <c r="U52" s="21">
        <v>0.63194444444444398</v>
      </c>
      <c r="V52" s="30">
        <f t="shared" si="55"/>
        <v>87.000000000000483</v>
      </c>
      <c r="W52" s="236">
        <f t="shared" si="17"/>
        <v>147.99999999999883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52"/>
        <v>-1.4864864864739502</v>
      </c>
      <c r="AG52" s="72">
        <f t="shared" si="53"/>
        <v>0.9990709459459538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52"/>
        <v>0</v>
      </c>
      <c r="AG53" s="72" t="e">
        <f t="shared" si="53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56">AVERAGE(J49:J57)</f>
        <v>17.75</v>
      </c>
      <c r="K58" s="120">
        <f t="shared" si="56"/>
        <v>1582.5</v>
      </c>
      <c r="L58" s="117">
        <f t="shared" si="56"/>
        <v>89.195261437908499</v>
      </c>
      <c r="M58" s="120">
        <f t="shared" si="56"/>
        <v>18</v>
      </c>
      <c r="N58" s="120">
        <f t="shared" si="56"/>
        <v>1517.9891531967903</v>
      </c>
      <c r="O58" s="117">
        <f t="shared" si="56"/>
        <v>84.546895257126977</v>
      </c>
      <c r="P58" s="121">
        <f>M58-J58</f>
        <v>0.25</v>
      </c>
      <c r="Q58" s="122">
        <f>N58-K58</f>
        <v>-64.510846803209688</v>
      </c>
      <c r="R58" s="123">
        <f t="shared" ref="R58:R60" si="57">O58/L58</f>
        <v>0.94788550304303565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8">N58-K58</f>
        <v>-64.510846803209688</v>
      </c>
      <c r="AG58" s="124">
        <f t="shared" ref="AG58:AG61" si="59">N58/K58</f>
        <v>0.9592348519410997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3674</v>
      </c>
      <c r="H59" s="243">
        <f>F59*G59</f>
        <v>99161.26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60">K59/J59</f>
        <v>120.38461538461539</v>
      </c>
      <c r="M59" s="244">
        <v>13</v>
      </c>
      <c r="N59" s="137">
        <f t="shared" ref="N59:N61" si="61">G59/W59*60</f>
        <v>1552.3943661971848</v>
      </c>
      <c r="O59" s="138">
        <f t="shared" ref="O59:O61" si="62">N59/M59</f>
        <v>119.41495124593729</v>
      </c>
      <c r="P59" s="56">
        <f t="shared" ref="P59:P61" si="63">M59-J59</f>
        <v>0</v>
      </c>
      <c r="Q59" s="230">
        <f t="shared" ref="Q59:Q61" si="64">O59-L59</f>
        <v>-0.9696641386780982</v>
      </c>
      <c r="R59" s="52">
        <f t="shared" si="57"/>
        <v>0.99194528191513398</v>
      </c>
      <c r="S59" s="718">
        <f>R69</f>
        <v>0.84993449248044906</v>
      </c>
      <c r="T59" s="245">
        <v>0.29166666666666702</v>
      </c>
      <c r="U59" s="245">
        <v>0.390277777777778</v>
      </c>
      <c r="V59" s="55"/>
      <c r="W59" s="54">
        <f t="shared" si="17"/>
        <v>141.99999999999983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8"/>
        <v>-12.605633802815191</v>
      </c>
      <c r="AG59" s="246">
        <f t="shared" si="59"/>
        <v>0.99194528191513409</v>
      </c>
      <c r="AH59" s="724">
        <f>AG69</f>
        <v>0.78246843941107458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389</v>
      </c>
      <c r="H60" s="78">
        <f>F60*G60</f>
        <v>11074.83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60"/>
        <v>130.41666666666666</v>
      </c>
      <c r="M60" s="82">
        <v>12</v>
      </c>
      <c r="N60" s="80">
        <f t="shared" si="61"/>
        <v>933.60000000000628</v>
      </c>
      <c r="O60" s="81">
        <f t="shared" si="62"/>
        <v>77.800000000000523</v>
      </c>
      <c r="P60" s="74">
        <f t="shared" si="63"/>
        <v>0</v>
      </c>
      <c r="Q60" s="83">
        <f t="shared" si="64"/>
        <v>-52.616666666666134</v>
      </c>
      <c r="R60" s="72">
        <f t="shared" si="57"/>
        <v>0.59654952076677725</v>
      </c>
      <c r="S60" s="768"/>
      <c r="T60" s="22">
        <v>0.39930555555555602</v>
      </c>
      <c r="U60" s="22">
        <v>0.41666666666666702</v>
      </c>
      <c r="V60" s="30">
        <f t="shared" ref="V60:V61" si="65">(T60-U59)*24*60</f>
        <v>13.000000000000353</v>
      </c>
      <c r="W60" s="248">
        <f t="shared" si="17"/>
        <v>24.999999999999829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8"/>
        <v>-631.39999999999372</v>
      </c>
      <c r="AG60" s="249">
        <f t="shared" si="59"/>
        <v>0.59654952076677714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2065</v>
      </c>
      <c r="H61" s="254">
        <f>F61*G61</f>
        <v>58356.9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60"/>
        <v>130.41666666666666</v>
      </c>
      <c r="M61" s="108">
        <v>11</v>
      </c>
      <c r="N61" s="107">
        <f t="shared" si="61"/>
        <v>1332.2580645161361</v>
      </c>
      <c r="O61" s="238">
        <f t="shared" si="62"/>
        <v>121.11436950146691</v>
      </c>
      <c r="P61" s="111">
        <f t="shared" si="63"/>
        <v>-1</v>
      </c>
      <c r="Q61" s="255">
        <f t="shared" si="64"/>
        <v>-9.3022971651997466</v>
      </c>
      <c r="R61" s="85">
        <f>O61/L61</f>
        <v>0.92867248180038531</v>
      </c>
      <c r="S61" s="719"/>
      <c r="T61" s="22">
        <v>0.42499999999999999</v>
      </c>
      <c r="U61" s="22">
        <v>0.48958333333333298</v>
      </c>
      <c r="V61" s="30">
        <f t="shared" si="65"/>
        <v>11.999999999999478</v>
      </c>
      <c r="W61" s="256">
        <f t="shared" si="17"/>
        <v>92.999999999999517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8"/>
        <v>-232.74193548386393</v>
      </c>
      <c r="AG61" s="247">
        <f t="shared" si="59"/>
        <v>0.85128310831701981</v>
      </c>
      <c r="AH61" s="725"/>
    </row>
    <row r="62" spans="1:34" ht="15" customHeight="1">
      <c r="A62" s="766"/>
      <c r="B62" s="250" t="s">
        <v>135</v>
      </c>
      <c r="C62" s="251"/>
      <c r="D62" s="257" t="s">
        <v>136</v>
      </c>
      <c r="E62" s="253"/>
      <c r="F62" s="250">
        <f>VLOOKUP(D62,廠價表!$C$1:$E$41,3,0)</f>
        <v>26.99</v>
      </c>
      <c r="G62" s="38">
        <v>810</v>
      </c>
      <c r="H62" s="254">
        <f>F62*G62</f>
        <v>21861.899999999998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108">
        <v>10</v>
      </c>
      <c r="N62" s="107">
        <f>G62/W62*60</f>
        <v>1080</v>
      </c>
      <c r="O62" s="238">
        <f>N62/M62</f>
        <v>108</v>
      </c>
      <c r="P62" s="111">
        <f>M62-J62</f>
        <v>-3</v>
      </c>
      <c r="Q62" s="255">
        <f>O62-L62</f>
        <v>-12.384615384615387</v>
      </c>
      <c r="R62" s="85">
        <f>O62/L62</f>
        <v>0.89712460063897759</v>
      </c>
      <c r="S62" s="719"/>
      <c r="T62" s="22">
        <v>0.54166666666666696</v>
      </c>
      <c r="U62" s="22">
        <v>0.57291666666666696</v>
      </c>
      <c r="V62" s="30"/>
      <c r="W62" s="248">
        <f t="shared" si="17"/>
        <v>45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-485</v>
      </c>
      <c r="AG62" s="247">
        <f>N62/K62</f>
        <v>0.69009584664536738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66">AVERAGE(J59:J68)</f>
        <v>12.5</v>
      </c>
      <c r="K69" s="240">
        <f t="shared" si="66"/>
        <v>1565</v>
      </c>
      <c r="L69" s="268">
        <f t="shared" si="66"/>
        <v>125.40064102564102</v>
      </c>
      <c r="M69" s="240">
        <f t="shared" si="66"/>
        <v>11.5</v>
      </c>
      <c r="N69" s="240">
        <f t="shared" si="66"/>
        <v>1224.5631076783318</v>
      </c>
      <c r="O69" s="268">
        <f t="shared" si="66"/>
        <v>106.58233018685118</v>
      </c>
      <c r="P69" s="269">
        <f>M69-J69</f>
        <v>-1</v>
      </c>
      <c r="Q69" s="222">
        <f>N69-K69</f>
        <v>-340.43689232166821</v>
      </c>
      <c r="R69" s="123">
        <f>O69/L69</f>
        <v>0.84993449248044906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-340.43689232166821</v>
      </c>
      <c r="AG69" s="124">
        <f>N69/K69</f>
        <v>0.78246843941107458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2475</v>
      </c>
      <c r="H70" s="243">
        <f>F70*G70</f>
        <v>125408.25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9</v>
      </c>
      <c r="N70" s="137">
        <f>G70/W70*60</f>
        <v>742.49999999999932</v>
      </c>
      <c r="O70" s="138">
        <f>N70/M70</f>
        <v>82.499999999999929</v>
      </c>
      <c r="P70" s="56">
        <f>M70-J70</f>
        <v>-1</v>
      </c>
      <c r="Q70" s="230">
        <f>O70-L70</f>
        <v>-30.000000000000071</v>
      </c>
      <c r="R70" s="52">
        <f>O70/L70</f>
        <v>0.73333333333333273</v>
      </c>
      <c r="S70" s="718">
        <f>R79</f>
        <v>0.69627451718151545</v>
      </c>
      <c r="T70" s="245">
        <v>0.34027777777777801</v>
      </c>
      <c r="U70" s="245">
        <v>0.47916666666666702</v>
      </c>
      <c r="V70" s="55"/>
      <c r="W70" s="54">
        <f t="shared" si="17"/>
        <v>200.00000000000017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-382.50000000000068</v>
      </c>
      <c r="AG70" s="246">
        <f>N70/K70</f>
        <v>0.65999999999999936</v>
      </c>
      <c r="AH70" s="724">
        <f>AG79</f>
        <v>0.60694491382224103</v>
      </c>
    </row>
    <row r="71" spans="1:36" ht="15" customHeight="1">
      <c r="A71" s="761"/>
      <c r="B71" s="75" t="s">
        <v>81</v>
      </c>
      <c r="C71" s="76"/>
      <c r="D71" s="59" t="s">
        <v>121</v>
      </c>
      <c r="E71" s="77"/>
      <c r="F71" s="75">
        <f>VLOOKUP(D71,廠價表!$C$1:$E$41,3,0)</f>
        <v>57.21</v>
      </c>
      <c r="G71" s="30">
        <v>1632</v>
      </c>
      <c r="H71" s="78">
        <f>F71*G71</f>
        <v>93366.720000000001</v>
      </c>
      <c r="I71" s="232"/>
      <c r="J71" s="79">
        <v>15</v>
      </c>
      <c r="K71" s="80">
        <v>1565</v>
      </c>
      <c r="L71" s="81">
        <f>K71/J71</f>
        <v>104.33333333333333</v>
      </c>
      <c r="M71" s="82">
        <v>13</v>
      </c>
      <c r="N71" s="80">
        <f>G71/W71*60</f>
        <v>890.18181818182916</v>
      </c>
      <c r="O71" s="81">
        <f>N71/M71</f>
        <v>68.475524475525319</v>
      </c>
      <c r="P71" s="74">
        <f>M71-J71</f>
        <v>-2</v>
      </c>
      <c r="Q71" s="83">
        <f>O71-L71</f>
        <v>-35.85780885780801</v>
      </c>
      <c r="R71" s="72">
        <f>O71/L71</f>
        <v>0.65631493107532257</v>
      </c>
      <c r="S71" s="719"/>
      <c r="T71" s="22">
        <v>0.55555555555555602</v>
      </c>
      <c r="U71" s="22">
        <v>0.63194444444444398</v>
      </c>
      <c r="V71" s="30"/>
      <c r="W71" s="73">
        <f t="shared" si="17"/>
        <v>109.99999999999865</v>
      </c>
      <c r="X71" s="271"/>
      <c r="Y71" s="293"/>
      <c r="Z71" s="90">
        <v>1</v>
      </c>
      <c r="AA71" s="90">
        <v>50</v>
      </c>
      <c r="AB71" s="749" t="s">
        <v>142</v>
      </c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7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7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7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7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8">AVERAGE(J70:J78)</f>
        <v>12.5</v>
      </c>
      <c r="K79" s="240">
        <f t="shared" si="68"/>
        <v>1345</v>
      </c>
      <c r="L79" s="268">
        <f t="shared" si="68"/>
        <v>108.41666666666666</v>
      </c>
      <c r="M79" s="240">
        <f t="shared" si="68"/>
        <v>11</v>
      </c>
      <c r="N79" s="240">
        <f t="shared" si="68"/>
        <v>816.34090909091424</v>
      </c>
      <c r="O79" s="268">
        <f t="shared" si="68"/>
        <v>75.487762237762624</v>
      </c>
      <c r="P79" s="269">
        <f>M79-J79</f>
        <v>-1.5</v>
      </c>
      <c r="Q79" s="222">
        <f>N79-K79</f>
        <v>-528.65909090908576</v>
      </c>
      <c r="R79" s="223">
        <f>O79/L79</f>
        <v>0.69627451718151545</v>
      </c>
      <c r="S79" s="722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50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-528.65909090908576</v>
      </c>
      <c r="AG79" s="124">
        <f>N79/K79</f>
        <v>0.60694491382224103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0:AC10"/>
    <mergeCell ref="A5:A15"/>
    <mergeCell ref="S5:S15"/>
    <mergeCell ref="AB5:AC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D15:E15"/>
    <mergeCell ref="AB15:AC15"/>
    <mergeCell ref="G3:G4"/>
    <mergeCell ref="J1:L2"/>
    <mergeCell ref="M1:O2"/>
    <mergeCell ref="P1:S2"/>
    <mergeCell ref="H3:H4"/>
    <mergeCell ref="I3:I4"/>
    <mergeCell ref="J3:J4"/>
    <mergeCell ref="K3:K4"/>
    <mergeCell ref="N3:N4"/>
    <mergeCell ref="O3:O4"/>
    <mergeCell ref="P3:P4"/>
    <mergeCell ref="Q3:Q4"/>
    <mergeCell ref="L3:L4"/>
    <mergeCell ref="M3:M4"/>
    <mergeCell ref="AB1:AC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A2:B2"/>
    <mergeCell ref="A3:A4"/>
    <mergeCell ref="B3:B4"/>
    <mergeCell ref="D3:E4"/>
    <mergeCell ref="F3:F4"/>
  </mergeCells>
  <phoneticPr fontId="6" type="noConversion"/>
  <conditionalFormatting sqref="P5:P79">
    <cfRule type="cellIs" dxfId="329" priority="1" operator="greaterThan">
      <formula>0</formula>
    </cfRule>
  </conditionalFormatting>
  <conditionalFormatting sqref="Q5:Q79 AF5:AF79">
    <cfRule type="cellIs" dxfId="328" priority="4" operator="lessThan">
      <formula>0</formula>
    </cfRule>
  </conditionalFormatting>
  <conditionalFormatting sqref="R5:R79 AG5:AG79">
    <cfRule type="cellIs" dxfId="327" priority="2" operator="greaterThan">
      <formula>1</formula>
    </cfRule>
    <cfRule type="cellIs" dxfId="326" priority="3" operator="lessThan">
      <formula>0.8</formula>
    </cfRule>
  </conditionalFormatting>
  <conditionalFormatting sqref="S5:S10 S37:S62 AH59:AH62 S69:S76 AH69:AH76">
    <cfRule type="cellIs" dxfId="325" priority="7" operator="lessThan">
      <formula>0.8</formula>
    </cfRule>
  </conditionalFormatting>
  <conditionalFormatting sqref="S19:S25 AH19:AH25">
    <cfRule type="cellIs" dxfId="324" priority="6" operator="lessThan">
      <formula>0.8</formula>
    </cfRule>
  </conditionalFormatting>
  <conditionalFormatting sqref="S79">
    <cfRule type="cellIs" dxfId="323" priority="5" operator="lessThan">
      <formula>0.8</formula>
    </cfRule>
  </conditionalFormatting>
  <conditionalFormatting sqref="AH5:AH8 S15:S16 AH15:AH16 AH49 AH79">
    <cfRule type="cellIs" dxfId="322" priority="9" operator="lessThan">
      <formula>0.8</formula>
    </cfRule>
  </conditionalFormatting>
  <conditionalFormatting sqref="AH27 S27:S28">
    <cfRule type="cellIs" dxfId="32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4C9A-1FCB-4687-8350-9998DFE0437F}">
  <dimension ref="B1:O26"/>
  <sheetViews>
    <sheetView zoomScale="70" zoomScaleNormal="70" workbookViewId="0">
      <selection activeCell="L6" sqref="L6:L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46027</v>
      </c>
      <c r="E3" s="645"/>
      <c r="F3" s="3" t="s">
        <v>72</v>
      </c>
      <c r="G3" s="646">
        <f>'0105'!E1</f>
        <v>53395</v>
      </c>
      <c r="H3" s="646"/>
      <c r="I3" s="3" t="s">
        <v>2</v>
      </c>
      <c r="J3" s="647">
        <f>'0105'!G1</f>
        <v>2573763.5900000003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111.84298077361849</v>
      </c>
      <c r="G6" s="652"/>
      <c r="H6" s="653">
        <f>AVERAGE(D13:H13,J13)</f>
        <v>109.58337073161475</v>
      </c>
      <c r="I6" s="653"/>
      <c r="J6" s="653">
        <f>AVERAGE(I13)</f>
        <v>125.40064102564102</v>
      </c>
      <c r="K6" s="653"/>
      <c r="L6" s="655">
        <f>'0105'!Z2</f>
        <v>0</v>
      </c>
      <c r="M6" s="656">
        <f>'0105'!AA2</f>
        <v>0</v>
      </c>
      <c r="N6" s="657">
        <f>'0105'!AD2</f>
        <v>4</v>
      </c>
      <c r="O6" s="656">
        <f>'0105'!AE2</f>
        <v>4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102.03444227265574</v>
      </c>
      <c r="G7" s="676"/>
      <c r="H7" s="677">
        <f>AVERAGE(D14:H14,J14)</f>
        <v>100.6147196352759</v>
      </c>
      <c r="I7" s="677"/>
      <c r="J7" s="677">
        <f>AVERAGE(I14)</f>
        <v>110.55277809693479</v>
      </c>
      <c r="K7" s="677"/>
      <c r="L7" s="655"/>
      <c r="M7" s="656"/>
      <c r="N7" s="657"/>
      <c r="O7" s="656"/>
    </row>
    <row r="8" spans="2:15" ht="39.6" customHeight="1">
      <c r="B8" s="641"/>
      <c r="C8" s="641"/>
      <c r="D8" s="648" t="s">
        <v>27</v>
      </c>
      <c r="E8" s="648"/>
      <c r="F8" s="649">
        <f>F7/F6</f>
        <v>0.91230081286177245</v>
      </c>
      <c r="G8" s="649"/>
      <c r="H8" s="649">
        <f>H7/H6</f>
        <v>0.91815682401023835</v>
      </c>
      <c r="I8" s="649"/>
      <c r="J8" s="649">
        <f>J7/J6</f>
        <v>0.88159659466437457</v>
      </c>
      <c r="K8" s="649"/>
      <c r="L8" s="655"/>
      <c r="M8" s="656"/>
      <c r="N8" s="657"/>
      <c r="O8" s="656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VALUE('0105'!L15)</f>
        <v>126.55462184873952</v>
      </c>
      <c r="E13" s="13">
        <f>VALUE('0105'!L26)</f>
        <v>162.27564102564102</v>
      </c>
      <c r="F13" s="13">
        <f>VALUE('0105'!L37)</f>
        <v>85.470588235294116</v>
      </c>
      <c r="G13" s="13">
        <f>VALUE('0105'!L48)</f>
        <v>81.50411184210526</v>
      </c>
      <c r="H13" s="13">
        <f>VALUE('0105'!L58)</f>
        <v>89.195261437908499</v>
      </c>
      <c r="I13" s="13">
        <f>VALUE('0105'!L69)</f>
        <v>125.40064102564102</v>
      </c>
      <c r="J13" s="13">
        <f>'0105'!L79</f>
        <v>112.5</v>
      </c>
    </row>
    <row r="14" spans="2:15" ht="39.950000000000003" customHeight="1">
      <c r="B14" s="670"/>
      <c r="C14" s="12" t="s">
        <v>100</v>
      </c>
      <c r="D14" s="13">
        <f>VALUE('0105'!O15)</f>
        <v>118.4760640367264</v>
      </c>
      <c r="E14" s="13">
        <f>VALUE('0105'!O26)</f>
        <v>149.9243412163014</v>
      </c>
      <c r="F14" s="13">
        <f>VALUE('0105'!O37)</f>
        <v>79.948143094002972</v>
      </c>
      <c r="G14" s="13">
        <f>VALUE('0105'!O48)</f>
        <v>71.421155830753293</v>
      </c>
      <c r="H14" s="13">
        <f>VALUE('0105'!O58)</f>
        <v>88.580682599388297</v>
      </c>
      <c r="I14" s="13">
        <f>VALUE('0105'!O69)</f>
        <v>110.55277809693479</v>
      </c>
      <c r="J14" s="13">
        <f>'0105'!O79</f>
        <v>95.337931034483205</v>
      </c>
    </row>
    <row r="15" spans="2:15" ht="39.950000000000003" customHeight="1">
      <c r="B15" s="671"/>
      <c r="C15" s="10" t="s">
        <v>26</v>
      </c>
      <c r="D15" s="14">
        <f>D14/D13</f>
        <v>0.93616544623973696</v>
      </c>
      <c r="E15" s="14">
        <f t="shared" ref="E15:I15" si="0">E14/E13</f>
        <v>0.92388691407240842</v>
      </c>
      <c r="F15" s="14">
        <f t="shared" si="0"/>
        <v>0.9353877719188235</v>
      </c>
      <c r="G15" s="14">
        <f t="shared" si="0"/>
        <v>0.87628898980108771</v>
      </c>
      <c r="H15" s="14">
        <f t="shared" si="0"/>
        <v>0.99310973667644853</v>
      </c>
      <c r="I15" s="14">
        <f t="shared" si="0"/>
        <v>0.88159659466437457</v>
      </c>
      <c r="J15" s="15">
        <f>'0105'!S70</f>
        <v>0.84744827586207294</v>
      </c>
    </row>
    <row r="16" spans="2:15" ht="17.25" customHeight="1">
      <c r="B16" s="672" t="s">
        <v>101</v>
      </c>
      <c r="C16" s="10" t="s">
        <v>34</v>
      </c>
      <c r="D16" s="16">
        <f>'0105'!T5</f>
        <v>0.29027777777777802</v>
      </c>
      <c r="E16" s="16">
        <f>'0105'!T16</f>
        <v>0.29166666666666702</v>
      </c>
      <c r="F16" s="16">
        <f>'0105'!T27</f>
        <v>0.29166666666666702</v>
      </c>
      <c r="G16" s="16">
        <f>'0105'!T38</f>
        <v>0.33333333333333298</v>
      </c>
      <c r="H16" s="16">
        <f>'0105'!T49</f>
        <v>0.29027777777777802</v>
      </c>
      <c r="I16" s="16">
        <f>'0105'!T59</f>
        <v>0.29166666666666702</v>
      </c>
      <c r="J16" s="17">
        <f>'0105'!T70</f>
        <v>0.34027777777777801</v>
      </c>
    </row>
    <row r="17" spans="2:10" ht="17.25" customHeight="1">
      <c r="B17" s="673"/>
      <c r="C17" s="10" t="s">
        <v>35</v>
      </c>
      <c r="D17" s="16">
        <v>0.60694444444444395</v>
      </c>
      <c r="E17" s="183">
        <v>0.62083333333333302</v>
      </c>
      <c r="F17" s="19">
        <v>0.60208333333333297</v>
      </c>
      <c r="G17" s="328">
        <v>0.64236111111111105</v>
      </c>
      <c r="H17" s="21">
        <v>0.63888888888888895</v>
      </c>
      <c r="I17" s="110">
        <v>0.57986111111111105</v>
      </c>
      <c r="J17" s="110">
        <v>0.44097222222222199</v>
      </c>
    </row>
    <row r="18" spans="2:10" ht="17.25" customHeight="1">
      <c r="B18" s="674" t="s">
        <v>102</v>
      </c>
      <c r="C18" s="330" t="s">
        <v>36</v>
      </c>
      <c r="D18" s="358">
        <f>'0105'!Z15</f>
        <v>0</v>
      </c>
      <c r="E18" s="359">
        <f>'0105'!Z26</f>
        <v>0</v>
      </c>
      <c r="F18" s="359">
        <f>'0105'!Z37</f>
        <v>0</v>
      </c>
      <c r="G18" s="360">
        <f>'0105'!Z48</f>
        <v>0</v>
      </c>
      <c r="H18" s="360">
        <f>'0105'!Z58</f>
        <v>0</v>
      </c>
      <c r="I18" s="359">
        <f>'0105'!Z69</f>
        <v>0</v>
      </c>
      <c r="J18" s="359">
        <f>'0105'!Z79</f>
        <v>0</v>
      </c>
    </row>
    <row r="19" spans="2:10" ht="17.25" customHeight="1">
      <c r="B19" s="675"/>
      <c r="C19" s="330" t="s">
        <v>37</v>
      </c>
      <c r="D19" s="358">
        <f>'0105'!AA15</f>
        <v>0</v>
      </c>
      <c r="E19" s="359">
        <f>'0105'!AA26</f>
        <v>0</v>
      </c>
      <c r="F19" s="359">
        <f>'0105'!AA37</f>
        <v>0</v>
      </c>
      <c r="G19" s="360">
        <f>'0105'!AA48</f>
        <v>0</v>
      </c>
      <c r="H19" s="360">
        <f>'0105'!AA58</f>
        <v>0</v>
      </c>
      <c r="I19" s="359">
        <f>'0105'!AA69</f>
        <v>0</v>
      </c>
      <c r="J19" s="359">
        <f>'0105'!AA79</f>
        <v>0</v>
      </c>
    </row>
    <row r="20" spans="2:10" ht="17.25" customHeight="1">
      <c r="B20" s="674" t="s">
        <v>103</v>
      </c>
      <c r="C20" s="330" t="s">
        <v>36</v>
      </c>
      <c r="D20" s="358">
        <f>'0105'!AD15</f>
        <v>0</v>
      </c>
      <c r="E20" s="359">
        <f>'0105'!AD26</f>
        <v>4</v>
      </c>
      <c r="F20" s="359">
        <f>'0105'!AD37</f>
        <v>0</v>
      </c>
      <c r="G20" s="360">
        <f>'0105'!AD48</f>
        <v>0</v>
      </c>
      <c r="H20" s="360">
        <f>'0105'!AD58</f>
        <v>0</v>
      </c>
      <c r="I20" s="359">
        <f>'0105'!AD69</f>
        <v>0</v>
      </c>
      <c r="J20" s="359">
        <f>'0105'!AD79</f>
        <v>0</v>
      </c>
    </row>
    <row r="21" spans="2:10" ht="17.25" customHeight="1">
      <c r="B21" s="675"/>
      <c r="C21" s="330" t="s">
        <v>85</v>
      </c>
      <c r="D21" s="358">
        <f>'0105'!AE15</f>
        <v>0</v>
      </c>
      <c r="E21" s="359">
        <f>'0105'!AE26</f>
        <v>4</v>
      </c>
      <c r="F21" s="359">
        <f>'0105'!AE37</f>
        <v>0</v>
      </c>
      <c r="G21" s="360">
        <f>'0105'!AE48</f>
        <v>0</v>
      </c>
      <c r="H21" s="360">
        <f>'0105'!AE58</f>
        <v>0</v>
      </c>
      <c r="I21" s="359">
        <f>'0105'!AE69</f>
        <v>0</v>
      </c>
      <c r="J21" s="359">
        <f>'0105'!AE79</f>
        <v>0</v>
      </c>
    </row>
    <row r="22" spans="2:10" ht="17.25" customHeight="1">
      <c r="B22" s="658" t="s">
        <v>104</v>
      </c>
      <c r="C22" s="659"/>
      <c r="D22" s="23">
        <f>VALUE('0105'!M15)</f>
        <v>14.75</v>
      </c>
      <c r="E22" s="23">
        <f>VALUE('0105'!M26)</f>
        <v>12.75</v>
      </c>
      <c r="F22" s="23">
        <f>VALUE('0105'!M37)</f>
        <v>15.2</v>
      </c>
      <c r="G22" s="23">
        <f>VALUE('0105'!M48)</f>
        <v>16.5</v>
      </c>
      <c r="H22" s="23">
        <f>VALUE('0105'!M58)</f>
        <v>17.75</v>
      </c>
      <c r="I22" s="23">
        <f>VALUE('0105'!M69)</f>
        <v>12.5</v>
      </c>
      <c r="J22" s="23">
        <f>'0105'!M79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2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3922-31C8-4B99-8853-99F2F06E5B11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G76" sqref="G76"/>
      <selection pane="topRight" activeCell="G76" sqref="G76"/>
      <selection pane="bottomLeft" activeCell="G76" sqref="G76"/>
      <selection pane="bottomRight" activeCell="AB70" sqref="AB70:AC7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53395</v>
      </c>
      <c r="F1" s="30" t="s">
        <v>2</v>
      </c>
      <c r="G1" s="31">
        <f>SUM(H5:H79)</f>
        <v>2573763.5900000003</v>
      </c>
      <c r="H1" s="32" t="s">
        <v>3</v>
      </c>
      <c r="I1" s="33">
        <f>M15+M26+M48+M58+M69+M79+M37</f>
        <v>99.45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151</v>
      </c>
      <c r="B2" s="678"/>
      <c r="C2" s="28"/>
      <c r="D2" s="28" t="s">
        <v>14</v>
      </c>
      <c r="E2" s="35">
        <f>AVERAGE(O15,O26,O37,O48,O58,O69,O79)</f>
        <v>102.03444227265574</v>
      </c>
      <c r="F2" s="36" t="s">
        <v>15</v>
      </c>
      <c r="G2" s="37">
        <f>G1/E1</f>
        <v>48.20233336454725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4</v>
      </c>
      <c r="AE2" s="340">
        <f>AE15+AE26+AE37+AE48+AE58+AE69+AE79</f>
        <v>4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3068</v>
      </c>
      <c r="H5" s="43">
        <f>F5*G5</f>
        <v>146374.28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1438.1249999999986</v>
      </c>
      <c r="O5" s="47">
        <f t="shared" ref="O5:O7" si="2">N5/M5</f>
        <v>102.72321428571419</v>
      </c>
      <c r="P5" s="49">
        <f t="shared" ref="P5:P7" si="3">M5-J5</f>
        <v>0</v>
      </c>
      <c r="Q5" s="50">
        <f t="shared" ref="Q5:Q7" si="4">O5-L5</f>
        <v>-0.13392857142866887</v>
      </c>
      <c r="R5" s="51">
        <f t="shared" ref="R5:R7" si="5">O5/L5</f>
        <v>0.99869791666666574</v>
      </c>
      <c r="S5" s="718">
        <f>R15</f>
        <v>0.93616544623973696</v>
      </c>
      <c r="T5" s="319">
        <v>0.29027777777777802</v>
      </c>
      <c r="U5" s="320">
        <v>0.37916666666666698</v>
      </c>
      <c r="V5" s="53"/>
      <c r="W5" s="54">
        <f t="shared" ref="W5:W14" si="6">(U5-T5)*24*60</f>
        <v>128.00000000000011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-1.8750000000013642</v>
      </c>
      <c r="AG5" s="52">
        <f t="shared" ref="AG5:AG11" si="8">N5/K5</f>
        <v>0.99869791666666574</v>
      </c>
      <c r="AH5" s="724">
        <f>AG15</f>
        <v>0.93782979888491136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1554</v>
      </c>
      <c r="H6" s="63">
        <f>F6*G6</f>
        <v>88904.34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1942.50000000002</v>
      </c>
      <c r="O6" s="67">
        <f t="shared" si="2"/>
        <v>114.26470588235412</v>
      </c>
      <c r="P6" s="69">
        <f t="shared" si="3"/>
        <v>0</v>
      </c>
      <c r="Q6" s="70">
        <f t="shared" si="4"/>
        <v>-3.3823529411752844</v>
      </c>
      <c r="R6" s="71">
        <f t="shared" si="5"/>
        <v>0.97125000000001005</v>
      </c>
      <c r="S6" s="719"/>
      <c r="T6" s="16">
        <v>0.38541666666666702</v>
      </c>
      <c r="U6" s="16">
        <v>0.41875000000000001</v>
      </c>
      <c r="V6" s="30">
        <f>(T6-U5)*24*60</f>
        <v>9.000000000000048</v>
      </c>
      <c r="W6" s="73">
        <f t="shared" si="6"/>
        <v>47.99999999999951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-57.499999999979991</v>
      </c>
      <c r="AG6" s="72">
        <f t="shared" si="8"/>
        <v>0.97125000000001005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2381</v>
      </c>
      <c r="H7" s="78">
        <f>F7*G7</f>
        <v>117002.34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1763.7037037037032</v>
      </c>
      <c r="O7" s="81">
        <f t="shared" si="2"/>
        <v>125.97883597883595</v>
      </c>
      <c r="P7" s="74">
        <f t="shared" si="3"/>
        <v>0</v>
      </c>
      <c r="Q7" s="83">
        <f t="shared" si="4"/>
        <v>-16.878306878306915</v>
      </c>
      <c r="R7" s="72">
        <f t="shared" si="5"/>
        <v>0.88185185185185155</v>
      </c>
      <c r="S7" s="719"/>
      <c r="T7" s="18">
        <v>0.42430555555555599</v>
      </c>
      <c r="U7" s="18">
        <v>0.48055555555555601</v>
      </c>
      <c r="V7" s="30">
        <f>(T7-U6)*24*60</f>
        <v>8.0000000000006111</v>
      </c>
      <c r="W7" s="73">
        <f t="shared" si="6"/>
        <v>81.000000000000028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-236.29629629629676</v>
      </c>
      <c r="AG7" s="72">
        <f t="shared" si="8"/>
        <v>0.88185185185185166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2933</v>
      </c>
      <c r="H8" s="78">
        <f>F8*G8</f>
        <v>144127.62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1833.1250000000186</v>
      </c>
      <c r="O8" s="81">
        <f>N8/M8</f>
        <v>130.93750000000134</v>
      </c>
      <c r="P8" s="74">
        <f>M8-J8</f>
        <v>0</v>
      </c>
      <c r="Q8" s="83">
        <f>O8-L8</f>
        <v>-11.919642857141525</v>
      </c>
      <c r="R8" s="72">
        <f>O8/L8</f>
        <v>0.91656250000000927</v>
      </c>
      <c r="S8" s="719"/>
      <c r="T8" s="16">
        <v>0.54027777777777797</v>
      </c>
      <c r="U8" s="16">
        <v>0.60694444444444395</v>
      </c>
      <c r="V8" s="30">
        <f>(T8-U7)*24*60</f>
        <v>85.999999999999616</v>
      </c>
      <c r="W8" s="73">
        <f t="shared" si="6"/>
        <v>95.999999999999019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-166.87499999998136</v>
      </c>
      <c r="AG8" s="72">
        <f t="shared" si="8"/>
        <v>0.91656250000000927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1744.3634259259352</v>
      </c>
      <c r="O15" s="117">
        <f t="shared" si="9"/>
        <v>118.4760640367264</v>
      </c>
      <c r="P15" s="121">
        <f t="shared" ref="P15:P18" si="10">M15-J15</f>
        <v>0</v>
      </c>
      <c r="Q15" s="122">
        <f t="shared" ref="Q15:Q18" si="11">O15-L15</f>
        <v>-8.0785578120131163</v>
      </c>
      <c r="R15" s="123">
        <f t="shared" ref="R15:R18" si="12">O15/L15</f>
        <v>0.93616544623973696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-115.63657407406481</v>
      </c>
      <c r="AG15" s="124">
        <f t="shared" ref="AG15:AG19" si="14">N15/K15</f>
        <v>0.93782979888491136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2452</v>
      </c>
      <c r="H16" s="134">
        <f>F16*G16</f>
        <v>140278.92000000001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1961.6000000000133</v>
      </c>
      <c r="O16" s="141">
        <f>N16/M16</f>
        <v>140.11428571428667</v>
      </c>
      <c r="P16" s="142">
        <f>M16-J16</f>
        <v>1</v>
      </c>
      <c r="Q16" s="143">
        <f t="shared" si="11"/>
        <v>-21.808791208790268</v>
      </c>
      <c r="R16" s="144">
        <f>O16/L16</f>
        <v>0.86531387852053521</v>
      </c>
      <c r="S16" s="734">
        <f>R26</f>
        <v>0.92388691407240842</v>
      </c>
      <c r="T16" s="145">
        <v>0.29166666666666702</v>
      </c>
      <c r="U16" s="145">
        <v>0.34375</v>
      </c>
      <c r="V16" s="135"/>
      <c r="W16" s="146">
        <f t="shared" ref="W16:W78" si="17">(U16-T16)*24*60</f>
        <v>74.999999999999488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-143.39999999998668</v>
      </c>
      <c r="AG16" s="52">
        <f t="shared" si="14"/>
        <v>0.93187648456057637</v>
      </c>
      <c r="AH16" s="724">
        <f>AG26</f>
        <v>0.9403629454077953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4054</v>
      </c>
      <c r="H17" s="78">
        <f>F17*G17</f>
        <v>205416.18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1885.5813953488239</v>
      </c>
      <c r="O17" s="96">
        <f t="shared" ref="O17:O18" si="18">N17/M17</f>
        <v>145.04472271914031</v>
      </c>
      <c r="P17" s="97">
        <f t="shared" si="10"/>
        <v>0</v>
      </c>
      <c r="Q17" s="98">
        <f t="shared" si="11"/>
        <v>-8.8014311270135295</v>
      </c>
      <c r="R17" s="99">
        <f t="shared" si="12"/>
        <v>0.94279069767441204</v>
      </c>
      <c r="S17" s="735"/>
      <c r="T17" s="19">
        <v>0.35208333333333303</v>
      </c>
      <c r="U17" s="19">
        <v>0.44166666666666698</v>
      </c>
      <c r="V17" s="30">
        <f>(T17-U16)*24*60</f>
        <v>11.999999999999558</v>
      </c>
      <c r="W17" s="149">
        <f t="shared" si="17"/>
        <v>129.00000000000091</v>
      </c>
      <c r="X17" s="19"/>
      <c r="Y17" s="297"/>
      <c r="Z17" s="90"/>
      <c r="AA17" s="90"/>
      <c r="AB17" s="713" t="s">
        <v>116</v>
      </c>
      <c r="AC17" s="713"/>
      <c r="AD17" s="92">
        <v>1</v>
      </c>
      <c r="AE17" s="92">
        <v>1</v>
      </c>
      <c r="AF17" s="307">
        <f t="shared" si="13"/>
        <v>-114.41860465117611</v>
      </c>
      <c r="AG17" s="72">
        <f t="shared" si="14"/>
        <v>0.94279069767441193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1391</v>
      </c>
      <c r="H18" s="78">
        <f>F18*G18</f>
        <v>70092.490000000005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1775.7446808510581</v>
      </c>
      <c r="O18" s="96">
        <f t="shared" si="18"/>
        <v>147.97872340425485</v>
      </c>
      <c r="P18" s="97">
        <f t="shared" si="10"/>
        <v>0</v>
      </c>
      <c r="Q18" s="98">
        <f t="shared" si="11"/>
        <v>-18.687943262411807</v>
      </c>
      <c r="R18" s="99">
        <f t="shared" si="12"/>
        <v>0.88787234042552921</v>
      </c>
      <c r="S18" s="735"/>
      <c r="T18" s="19">
        <v>0.45</v>
      </c>
      <c r="U18" s="19">
        <v>0.48263888888888901</v>
      </c>
      <c r="V18" s="30">
        <f>(T18-U17)*24*60</f>
        <v>11.999999999999558</v>
      </c>
      <c r="W18" s="149">
        <f t="shared" si="17"/>
        <v>47.000000000000156</v>
      </c>
      <c r="X18" s="22">
        <v>0.48611111111111099</v>
      </c>
      <c r="Y18" s="84">
        <v>0.52777777777777801</v>
      </c>
      <c r="Z18" s="90"/>
      <c r="AA18" s="90"/>
      <c r="AB18" s="713" t="s">
        <v>116</v>
      </c>
      <c r="AC18" s="713"/>
      <c r="AD18" s="92">
        <v>1</v>
      </c>
      <c r="AE18" s="92">
        <v>1</v>
      </c>
      <c r="AF18" s="307">
        <f t="shared" si="13"/>
        <v>-224.25531914894191</v>
      </c>
      <c r="AG18" s="72">
        <f t="shared" si="14"/>
        <v>0.88787234042552909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3631</v>
      </c>
      <c r="H19" s="78">
        <f>F19*G19</f>
        <v>182966.09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1998.7155963302851</v>
      </c>
      <c r="O19" s="96">
        <f>N19/M19</f>
        <v>166.55963302752374</v>
      </c>
      <c r="P19" s="97">
        <f>M19-J19</f>
        <v>0</v>
      </c>
      <c r="Q19" s="98">
        <f>O19-L19</f>
        <v>-0.10703363914291231</v>
      </c>
      <c r="R19" s="99">
        <f>O19/L19</f>
        <v>0.99935779816514247</v>
      </c>
      <c r="S19" s="735"/>
      <c r="T19" s="19">
        <v>0.54513888888888895</v>
      </c>
      <c r="U19" s="19">
        <v>0.62083333333333302</v>
      </c>
      <c r="V19" s="30">
        <f>(T19-U18)*24*60</f>
        <v>89.999999999999915</v>
      </c>
      <c r="W19" s="149">
        <f t="shared" si="17"/>
        <v>108.99999999999946</v>
      </c>
      <c r="X19" s="22"/>
      <c r="Y19" s="84"/>
      <c r="Z19" s="90"/>
      <c r="AA19" s="90"/>
      <c r="AB19" s="728" t="s">
        <v>116</v>
      </c>
      <c r="AC19" s="728"/>
      <c r="AD19" s="149">
        <v>2</v>
      </c>
      <c r="AE19" s="149">
        <v>2</v>
      </c>
      <c r="AF19" s="307">
        <f t="shared" si="13"/>
        <v>-1.2844036697149477</v>
      </c>
      <c r="AG19" s="72">
        <f t="shared" si="14"/>
        <v>0.99935779816514247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1905.4104181325451</v>
      </c>
      <c r="O26" s="158">
        <f t="shared" si="20"/>
        <v>149.9243412163014</v>
      </c>
      <c r="P26" s="159">
        <f t="shared" ref="P26:P29" si="21">M26-J26</f>
        <v>0.25</v>
      </c>
      <c r="Q26" s="160">
        <f t="shared" ref="Q26:Q29" si="22">O26-L26</f>
        <v>-12.351299809339622</v>
      </c>
      <c r="R26" s="161">
        <f>O26/L26</f>
        <v>0.92388691407240842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4</v>
      </c>
      <c r="AE26" s="323">
        <f>SUM(AE16:AE25)</f>
        <v>4</v>
      </c>
      <c r="AF26" s="309">
        <f t="shared" ref="AF26:AF31" si="23">N26-K26</f>
        <v>-120.83958186745485</v>
      </c>
      <c r="AG26" s="124">
        <f t="shared" ref="AG26:AG31" si="24">N26/K26</f>
        <v>0.9403629454077953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1598</v>
      </c>
      <c r="H27" s="134">
        <f>F27*G27</f>
        <v>91565.4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15</v>
      </c>
      <c r="N27" s="140">
        <f>G27/W27*60</f>
        <v>1313.4246575342584</v>
      </c>
      <c r="O27" s="141">
        <f>N27/M27</f>
        <v>87.561643835617218</v>
      </c>
      <c r="P27" s="142">
        <f t="shared" si="21"/>
        <v>-2</v>
      </c>
      <c r="Q27" s="143">
        <f t="shared" si="22"/>
        <v>-0.67365028202983979</v>
      </c>
      <c r="R27" s="144">
        <f>O27/L27</f>
        <v>0.99236529680366181</v>
      </c>
      <c r="S27" s="734">
        <f>R37</f>
        <v>0.9353877719188235</v>
      </c>
      <c r="T27" s="171">
        <v>0.29166666666666702</v>
      </c>
      <c r="U27" s="171">
        <v>0.34236111111111101</v>
      </c>
      <c r="V27" s="135"/>
      <c r="W27" s="146">
        <f t="shared" si="17"/>
        <v>72.999999999999346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-186.57534246574164</v>
      </c>
      <c r="AG27" s="172">
        <f t="shared" si="24"/>
        <v>0.8756164383561722</v>
      </c>
      <c r="AH27" s="724">
        <f>AG37</f>
        <v>0.83538676806349055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1693</v>
      </c>
      <c r="H28" s="91">
        <f>F28*G28</f>
        <v>93335.090000000011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16</v>
      </c>
      <c r="N28" s="95">
        <f>G28/W28*60</f>
        <v>1167.5862068965646</v>
      </c>
      <c r="O28" s="96">
        <f>N28/M28</f>
        <v>72.974137931035287</v>
      </c>
      <c r="P28" s="97">
        <f t="shared" si="21"/>
        <v>-1</v>
      </c>
      <c r="Q28" s="98">
        <f t="shared" si="22"/>
        <v>-8.4964503042588291</v>
      </c>
      <c r="R28" s="99">
        <f t="shared" ref="R28:R29" si="26">O28/L28</f>
        <v>0.8957114403087364</v>
      </c>
      <c r="S28" s="735"/>
      <c r="T28" s="19">
        <v>0.34930555555555598</v>
      </c>
      <c r="U28" s="19">
        <v>0.40972222222222199</v>
      </c>
      <c r="V28" s="92">
        <f>(T28-U27)*24*60</f>
        <v>10.000000000000764</v>
      </c>
      <c r="W28" s="149">
        <f t="shared" si="17"/>
        <v>86.999999999999048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-217.41379310343541</v>
      </c>
      <c r="AG28" s="99">
        <f t="shared" si="24"/>
        <v>0.84302253205528133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1292</v>
      </c>
      <c r="H29" s="91">
        <f>F29*G29</f>
        <v>63979.840000000004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15</v>
      </c>
      <c r="N29" s="95">
        <f>G29/W29*60</f>
        <v>1123.4782608695809</v>
      </c>
      <c r="O29" s="96">
        <f>N29/M29</f>
        <v>74.898550724638724</v>
      </c>
      <c r="P29" s="97">
        <f t="shared" si="21"/>
        <v>-2</v>
      </c>
      <c r="Q29" s="98">
        <f t="shared" si="22"/>
        <v>-9.8073316283024496</v>
      </c>
      <c r="R29" s="99">
        <f t="shared" si="26"/>
        <v>0.8842190016103183</v>
      </c>
      <c r="S29" s="735"/>
      <c r="T29" s="19">
        <v>0.41666666666666702</v>
      </c>
      <c r="U29" s="19">
        <v>0.46458333333333302</v>
      </c>
      <c r="V29" s="92">
        <f>(T29-U28)*24*60</f>
        <v>10.000000000000844</v>
      </c>
      <c r="W29" s="149">
        <f t="shared" si="17"/>
        <v>68.999999999999034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-316.52173913041906</v>
      </c>
      <c r="AG29" s="99">
        <f t="shared" si="24"/>
        <v>0.78019323671498675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990</v>
      </c>
      <c r="H30" s="91">
        <f t="shared" ref="H30:H31" si="27">F30*G30</f>
        <v>49024.800000000003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28">K30/J30</f>
        <v>84.705882352941174</v>
      </c>
      <c r="M30" s="94">
        <v>15</v>
      </c>
      <c r="N30" s="95">
        <f t="shared" ref="N30:N31" si="29">G30/W30*60</f>
        <v>1188.0000000000082</v>
      </c>
      <c r="O30" s="96">
        <f t="shared" ref="O30:O31" si="30">N30/M30</f>
        <v>79.200000000000543</v>
      </c>
      <c r="P30" s="97">
        <f t="shared" ref="P30:P31" si="31">M30-J30</f>
        <v>-2</v>
      </c>
      <c r="Q30" s="98">
        <f t="shared" ref="Q30:Q31" si="32">O30-L30</f>
        <v>-5.5058823529406311</v>
      </c>
      <c r="R30" s="99">
        <f t="shared" ref="R30:R31" si="33">O30/L30</f>
        <v>0.93500000000000638</v>
      </c>
      <c r="S30" s="735"/>
      <c r="T30" s="19">
        <v>0.52916666666666701</v>
      </c>
      <c r="U30" s="19">
        <v>0.56388888888888899</v>
      </c>
      <c r="V30" s="92">
        <f>(T30-U29)*24*60</f>
        <v>93.000000000000952</v>
      </c>
      <c r="W30" s="149">
        <f t="shared" si="17"/>
        <v>49.999999999999659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-251.99999999999181</v>
      </c>
      <c r="AG30" s="99">
        <f t="shared" si="24"/>
        <v>0.82500000000000573</v>
      </c>
      <c r="AH30" s="745"/>
    </row>
    <row r="31" spans="1:34" ht="15" customHeight="1">
      <c r="A31" s="732"/>
      <c r="B31" s="75" t="s">
        <v>81</v>
      </c>
      <c r="C31" s="88"/>
      <c r="D31" s="59" t="s">
        <v>125</v>
      </c>
      <c r="E31" s="89"/>
      <c r="F31" s="75">
        <f>VLOOKUP(D31,廠價表!$C$1:$E$41,3,0)</f>
        <v>57.3</v>
      </c>
      <c r="G31" s="90">
        <v>1000</v>
      </c>
      <c r="H31" s="91">
        <f t="shared" si="27"/>
        <v>57300</v>
      </c>
      <c r="I31" s="92"/>
      <c r="J31" s="79">
        <f>VLOOKUP(D31,產線配置圖!$A$3:$C$39,2,0)</f>
        <v>17</v>
      </c>
      <c r="K31" s="80">
        <f>VLOOKUP(D31,產線配置圖!$A$3:$C$39,3,0)</f>
        <v>1500</v>
      </c>
      <c r="L31" s="93">
        <f t="shared" si="28"/>
        <v>88.235294117647058</v>
      </c>
      <c r="M31" s="94">
        <v>15</v>
      </c>
      <c r="N31" s="95">
        <f t="shared" si="29"/>
        <v>1276.5957446808468</v>
      </c>
      <c r="O31" s="96">
        <f t="shared" si="30"/>
        <v>85.106382978723119</v>
      </c>
      <c r="P31" s="97">
        <f t="shared" si="31"/>
        <v>-2</v>
      </c>
      <c r="Q31" s="98">
        <f t="shared" si="32"/>
        <v>-3.1289111389239395</v>
      </c>
      <c r="R31" s="99">
        <f t="shared" si="33"/>
        <v>0.96453900709219531</v>
      </c>
      <c r="S31" s="735"/>
      <c r="T31" s="19">
        <v>0.56944444444444398</v>
      </c>
      <c r="U31" s="19">
        <v>0.60208333333333297</v>
      </c>
      <c r="V31" s="92"/>
      <c r="W31" s="149">
        <f t="shared" si="17"/>
        <v>47.000000000000156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-223.40425531915321</v>
      </c>
      <c r="AG31" s="99">
        <f t="shared" si="24"/>
        <v>0.85106382978723116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5">AVERAGE(J27:J36)</f>
        <v>17</v>
      </c>
      <c r="K37" s="155">
        <f t="shared" si="35"/>
        <v>1453</v>
      </c>
      <c r="L37" s="158">
        <f t="shared" si="35"/>
        <v>85.470588235294116</v>
      </c>
      <c r="M37" s="155">
        <f t="shared" si="35"/>
        <v>15.2</v>
      </c>
      <c r="N37" s="155">
        <f t="shared" si="35"/>
        <v>1213.8169739962518</v>
      </c>
      <c r="O37" s="158">
        <f t="shared" si="35"/>
        <v>79.948143094002972</v>
      </c>
      <c r="P37" s="159">
        <f>M37-J37</f>
        <v>-1.8000000000000007</v>
      </c>
      <c r="Q37" s="160">
        <f>N37-K37</f>
        <v>-239.18302600374818</v>
      </c>
      <c r="R37" s="161">
        <f t="shared" ref="R37:R40" si="36">O37/L37</f>
        <v>0.9353877719188235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61">
        <f>SUM(AD27:AD36)</f>
        <v>0</v>
      </c>
      <c r="AE37" s="361">
        <f>SUM(AE27:AE36)</f>
        <v>0</v>
      </c>
      <c r="AF37" s="309">
        <f t="shared" ref="AF37:AF41" si="37">N37-K37</f>
        <v>-239.18302600374818</v>
      </c>
      <c r="AG37" s="124">
        <f t="shared" ref="AG37:AG41" si="38">N37/K37</f>
        <v>0.83538676806349055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1710</v>
      </c>
      <c r="H38" s="134">
        <f>F38*G38</f>
        <v>97983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9">K38/J38</f>
        <v>86.5625</v>
      </c>
      <c r="M38" s="190">
        <v>15</v>
      </c>
      <c r="N38" s="140">
        <f>G38/W38*60</f>
        <v>1207.0588235294069</v>
      </c>
      <c r="O38" s="141">
        <f>N38/M38</f>
        <v>80.470588235293789</v>
      </c>
      <c r="P38" s="142">
        <f t="shared" ref="P38:P40" si="40">M38-J38</f>
        <v>-1</v>
      </c>
      <c r="Q38" s="143">
        <f t="shared" ref="Q38:Q40" si="41">O38-L38</f>
        <v>-6.0919117647062109</v>
      </c>
      <c r="R38" s="144">
        <f>O38/L38</f>
        <v>0.92962412401783434</v>
      </c>
      <c r="S38" s="756">
        <f>R48</f>
        <v>0.87628898980108771</v>
      </c>
      <c r="T38" s="191">
        <v>0.33333333333333298</v>
      </c>
      <c r="U38" s="191">
        <v>0.39236111111111099</v>
      </c>
      <c r="V38" s="192"/>
      <c r="W38" s="193">
        <f t="shared" si="17"/>
        <v>85.000000000000341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7"/>
        <v>-177.94117647059306</v>
      </c>
      <c r="AG38" s="195">
        <f t="shared" si="38"/>
        <v>0.87152261626671979</v>
      </c>
      <c r="AH38" s="746">
        <f>AG48</f>
        <v>0.83217586842623825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1438</v>
      </c>
      <c r="H39" s="91">
        <f>F39*G39</f>
        <v>81146.34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9"/>
        <v>87.875</v>
      </c>
      <c r="M39" s="201">
        <v>15</v>
      </c>
      <c r="N39" s="202">
        <f>G39/W39*60</f>
        <v>908.21052631579278</v>
      </c>
      <c r="O39" s="203">
        <f t="shared" ref="O39:O40" si="42">N39/M39</f>
        <v>60.547368421052852</v>
      </c>
      <c r="P39" s="97">
        <f t="shared" si="40"/>
        <v>-1</v>
      </c>
      <c r="Q39" s="98">
        <f t="shared" si="41"/>
        <v>-27.327631578947148</v>
      </c>
      <c r="R39" s="99">
        <f t="shared" si="36"/>
        <v>0.68901699483417189</v>
      </c>
      <c r="S39" s="757"/>
      <c r="T39" s="20">
        <v>0.39930555555555602</v>
      </c>
      <c r="U39" s="20">
        <v>0.46527777777777801</v>
      </c>
      <c r="V39" s="92">
        <f>(T39-U38)*24*60</f>
        <v>10.000000000000844</v>
      </c>
      <c r="W39" s="205">
        <f t="shared" si="17"/>
        <v>94.999999999999659</v>
      </c>
      <c r="X39" s="22"/>
      <c r="Y39" s="84"/>
      <c r="Z39" s="90"/>
      <c r="AA39" s="90"/>
      <c r="AB39" s="749" t="s">
        <v>152</v>
      </c>
      <c r="AC39" s="749"/>
      <c r="AD39" s="200"/>
      <c r="AE39" s="200"/>
      <c r="AF39" s="314">
        <f t="shared" si="37"/>
        <v>-497.78947368420722</v>
      </c>
      <c r="AG39" s="206">
        <f t="shared" si="38"/>
        <v>0.64595343265703609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1610</v>
      </c>
      <c r="H40" s="91">
        <f>F40*G40</f>
        <v>71323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9"/>
        <v>75.78947368421052</v>
      </c>
      <c r="M40" s="201">
        <v>18</v>
      </c>
      <c r="N40" s="202">
        <f>G40/W40*60</f>
        <v>1288.00000000001</v>
      </c>
      <c r="O40" s="203">
        <f t="shared" si="42"/>
        <v>71.555555555556111</v>
      </c>
      <c r="P40" s="97">
        <f t="shared" si="40"/>
        <v>-1</v>
      </c>
      <c r="Q40" s="98">
        <f t="shared" si="41"/>
        <v>-4.233918128654409</v>
      </c>
      <c r="R40" s="99">
        <f t="shared" si="36"/>
        <v>0.94413580246914319</v>
      </c>
      <c r="S40" s="719"/>
      <c r="T40" s="20">
        <v>0.54861111111111105</v>
      </c>
      <c r="U40" s="20">
        <v>0.60069444444444398</v>
      </c>
      <c r="V40" s="92">
        <f>(T40-U39)*24*60</f>
        <v>119.99999999999957</v>
      </c>
      <c r="W40" s="205">
        <f t="shared" si="17"/>
        <v>74.999999999999417</v>
      </c>
      <c r="X40" s="208"/>
      <c r="Y40" s="209"/>
      <c r="Z40" s="337"/>
      <c r="AA40" s="337"/>
      <c r="AB40" s="713" t="s">
        <v>153</v>
      </c>
      <c r="AC40" s="713"/>
      <c r="AD40" s="92"/>
      <c r="AE40" s="92"/>
      <c r="AF40" s="314">
        <f t="shared" si="37"/>
        <v>-151.99999999999</v>
      </c>
      <c r="AG40" s="206">
        <f t="shared" si="38"/>
        <v>0.89444444444445137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1316</v>
      </c>
      <c r="H41" s="91">
        <f>F41*G41</f>
        <v>58298.799999999996</v>
      </c>
      <c r="I41" s="200"/>
      <c r="J41" s="148">
        <f>VLOOKUP(D41,產線配置圖!$A$3:$C$39,2,0)</f>
        <v>19</v>
      </c>
      <c r="K41" s="95">
        <f>VLOOKUP(D41,產線配置圖!$A$3:$C$39,3,0)</f>
        <v>1440</v>
      </c>
      <c r="L41" s="96">
        <f>K41/J41</f>
        <v>75.78947368421052</v>
      </c>
      <c r="M41" s="201">
        <v>18</v>
      </c>
      <c r="N41" s="202">
        <f>G41/W41*60</f>
        <v>1315.9999999999873</v>
      </c>
      <c r="O41" s="203">
        <f>N41/M41</f>
        <v>73.111111111110404</v>
      </c>
      <c r="P41" s="97">
        <f>M41-J41</f>
        <v>-1</v>
      </c>
      <c r="Q41" s="98">
        <f>O41-L41</f>
        <v>-2.6783625731001166</v>
      </c>
      <c r="R41" s="99">
        <f>O41/L41</f>
        <v>0.96466049382715124</v>
      </c>
      <c r="S41" s="719"/>
      <c r="T41" s="20">
        <v>0.60069444444444398</v>
      </c>
      <c r="U41" s="210">
        <v>0.64236111111111105</v>
      </c>
      <c r="V41" s="92">
        <f>(T41-U40)*24*60</f>
        <v>0</v>
      </c>
      <c r="W41" s="205">
        <f t="shared" si="17"/>
        <v>60.000000000000583</v>
      </c>
      <c r="X41" s="208"/>
      <c r="Y41" s="209"/>
      <c r="Z41" s="337"/>
      <c r="AA41" s="337"/>
      <c r="AB41" s="713" t="s">
        <v>154</v>
      </c>
      <c r="AC41" s="713"/>
      <c r="AD41" s="92"/>
      <c r="AE41" s="92"/>
      <c r="AF41" s="314">
        <f t="shared" si="37"/>
        <v>-124.00000000001273</v>
      </c>
      <c r="AG41" s="206">
        <f t="shared" si="38"/>
        <v>0.91388888888888009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4">AVERAGE(J38:J47)</f>
        <v>17.5</v>
      </c>
      <c r="K48" s="155">
        <f t="shared" si="44"/>
        <v>1417.75</v>
      </c>
      <c r="L48" s="158">
        <f t="shared" si="44"/>
        <v>81.50411184210526</v>
      </c>
      <c r="M48" s="155">
        <f t="shared" si="44"/>
        <v>16.5</v>
      </c>
      <c r="N48" s="155">
        <f t="shared" si="44"/>
        <v>1179.8173374612993</v>
      </c>
      <c r="O48" s="158">
        <f t="shared" si="44"/>
        <v>71.421155830753293</v>
      </c>
      <c r="P48" s="221">
        <f>M48-J48</f>
        <v>-1</v>
      </c>
      <c r="Q48" s="222">
        <f>N48-K48</f>
        <v>-237.9326625387007</v>
      </c>
      <c r="R48" s="223">
        <f>O48/L48</f>
        <v>0.87628898980108771</v>
      </c>
      <c r="S48" s="722"/>
      <c r="T48" s="224"/>
      <c r="U48" s="224"/>
      <c r="V48" s="225"/>
      <c r="W48" s="226">
        <f t="shared" si="4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5">N48-K48</f>
        <v>-237.9326625387007</v>
      </c>
      <c r="AG48" s="162">
        <f t="shared" ref="AG48:AG53" si="46">N48/K48</f>
        <v>0.83217586842623825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1617</v>
      </c>
      <c r="H49" s="134">
        <f>F49*G49</f>
        <v>91958.79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7">K49/J49</f>
        <v>86.944444444444443</v>
      </c>
      <c r="M49" s="170">
        <v>18</v>
      </c>
      <c r="N49" s="140">
        <f>G49/W49*60</f>
        <v>1564.8387096774409</v>
      </c>
      <c r="O49" s="141">
        <f>N49/M49</f>
        <v>86.935483870968937</v>
      </c>
      <c r="P49" s="229">
        <f>M49-J49</f>
        <v>0</v>
      </c>
      <c r="Q49" s="230">
        <f>O49-L49</f>
        <v>-8.9605734755053845E-3</v>
      </c>
      <c r="R49" s="52">
        <f>O49/L49</f>
        <v>0.99989693909101651</v>
      </c>
      <c r="S49" s="718">
        <f>R58</f>
        <v>0.99310973667644853</v>
      </c>
      <c r="T49" s="191">
        <v>0.29027777777777802</v>
      </c>
      <c r="U49" s="191">
        <v>0.33333333333333298</v>
      </c>
      <c r="V49" s="55"/>
      <c r="W49" s="193">
        <f t="shared" si="17"/>
        <v>61.99999999999914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5"/>
        <v>-0.16129032255912534</v>
      </c>
      <c r="AG49" s="52">
        <f t="shared" si="46"/>
        <v>0.99989693909101651</v>
      </c>
      <c r="AH49" s="724">
        <f>AG58</f>
        <v>0.99301810084330777</v>
      </c>
    </row>
    <row r="50" spans="1:34" ht="15" customHeight="1">
      <c r="A50" s="751"/>
      <c r="B50" s="75" t="s">
        <v>81</v>
      </c>
      <c r="C50" s="76"/>
      <c r="D50" s="59" t="s">
        <v>134</v>
      </c>
      <c r="E50" s="77"/>
      <c r="F50" s="75">
        <f>VLOOKUP(D50,廠價表!$C$1:$E$41,3,0)</f>
        <v>49.97</v>
      </c>
      <c r="G50" s="202">
        <v>1831</v>
      </c>
      <c r="H50" s="231">
        <f>F50*G50</f>
        <v>91495.069999999992</v>
      </c>
      <c r="I50" s="232"/>
      <c r="J50" s="79">
        <f>VLOOKUP(D50,產線配置圖!$A$3:$C$39,2,0)</f>
        <v>18</v>
      </c>
      <c r="K50" s="80">
        <f>VLOOKUP(D50,產線配置圖!$A$3:$C$39,3,0)</f>
        <v>1600</v>
      </c>
      <c r="L50" s="81">
        <f t="shared" si="47"/>
        <v>88.888888888888886</v>
      </c>
      <c r="M50" s="233">
        <v>18</v>
      </c>
      <c r="N50" s="234">
        <f>G50/W50*60</f>
        <v>1592.1739130435005</v>
      </c>
      <c r="O50" s="235">
        <f>N50/M50</f>
        <v>88.45410628019448</v>
      </c>
      <c r="P50" s="74">
        <f>M50-J50</f>
        <v>0</v>
      </c>
      <c r="Q50" s="83">
        <f>O50-L50</f>
        <v>-0.43478260869440533</v>
      </c>
      <c r="R50" s="72">
        <f>O50/L50</f>
        <v>0.99510869565218796</v>
      </c>
      <c r="S50" s="719"/>
      <c r="T50" s="21">
        <v>0.34027777777777801</v>
      </c>
      <c r="U50" s="21">
        <v>0.38819444444444401</v>
      </c>
      <c r="V50" s="30">
        <f t="shared" ref="V50:V52" si="48">(T50-U49)*24*60</f>
        <v>10.000000000000844</v>
      </c>
      <c r="W50" s="236">
        <f t="shared" si="17"/>
        <v>68.999999999999034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5"/>
        <v>-7.8260869564994664</v>
      </c>
      <c r="AG50" s="72">
        <f t="shared" si="46"/>
        <v>0.99510869565218785</v>
      </c>
      <c r="AH50" s="725"/>
    </row>
    <row r="51" spans="1:34" ht="15" customHeight="1">
      <c r="A51" s="751"/>
      <c r="B51" s="75" t="s">
        <v>117</v>
      </c>
      <c r="C51" s="76"/>
      <c r="D51" s="59" t="s">
        <v>133</v>
      </c>
      <c r="E51" s="77"/>
      <c r="F51" s="75">
        <f>VLOOKUP(D51,廠價表!$C$1:$E$41,3,0)</f>
        <v>49.91</v>
      </c>
      <c r="G51" s="202">
        <v>2685</v>
      </c>
      <c r="H51" s="231">
        <f>F51*G51</f>
        <v>134008.34999999998</v>
      </c>
      <c r="I51" s="232"/>
      <c r="J51" s="79">
        <f>VLOOKUP(D51,產線配置圖!$A$3:$C$39,2,0)</f>
        <v>17</v>
      </c>
      <c r="K51" s="80">
        <f>VLOOKUP(D51,產線配置圖!$A$3:$C$39,3,0)</f>
        <v>1565</v>
      </c>
      <c r="L51" s="81">
        <f t="shared" si="47"/>
        <v>92.058823529411768</v>
      </c>
      <c r="M51" s="233">
        <v>17</v>
      </c>
      <c r="N51" s="234">
        <f>G51/W51*60</f>
        <v>1564.0776699029072</v>
      </c>
      <c r="O51" s="235">
        <f>N51/M51</f>
        <v>92.004568817818068</v>
      </c>
      <c r="P51" s="74">
        <f>M51-J51</f>
        <v>0</v>
      </c>
      <c r="Q51" s="83">
        <f>O51-L51</f>
        <v>-5.4254711593699767E-2</v>
      </c>
      <c r="R51" s="72">
        <f>O51/L51</f>
        <v>0.99941065169514831</v>
      </c>
      <c r="S51" s="719"/>
      <c r="T51" s="21">
        <v>0.39374999999999999</v>
      </c>
      <c r="U51" s="19">
        <v>0.46527777777777801</v>
      </c>
      <c r="V51" s="30">
        <f t="shared" si="48"/>
        <v>8.0000000000006111</v>
      </c>
      <c r="W51" s="236">
        <f t="shared" si="17"/>
        <v>103.00000000000036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5"/>
        <v>-0.92233009709275393</v>
      </c>
      <c r="AG51" s="72">
        <f t="shared" si="46"/>
        <v>0.99941065169514842</v>
      </c>
      <c r="AH51" s="725"/>
    </row>
    <row r="52" spans="1:34" ht="15" customHeight="1">
      <c r="A52" s="751"/>
      <c r="B52" s="101" t="s">
        <v>81</v>
      </c>
      <c r="C52" s="102"/>
      <c r="D52" s="103" t="s">
        <v>134</v>
      </c>
      <c r="E52" s="104"/>
      <c r="F52" s="75">
        <f>VLOOKUP(D52,廠價表!$C$1:$E$41,3,0)</f>
        <v>49.97</v>
      </c>
      <c r="G52" s="202">
        <v>3651</v>
      </c>
      <c r="H52" s="231">
        <f>F52*G52</f>
        <v>182440.47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7"/>
        <v>88.888888888888886</v>
      </c>
      <c r="M52" s="108">
        <v>18</v>
      </c>
      <c r="N52" s="234">
        <f>G52/W52*60</f>
        <v>1564.7142857142896</v>
      </c>
      <c r="O52" s="235">
        <f>N52/M52</f>
        <v>86.928571428571644</v>
      </c>
      <c r="P52" s="74">
        <f>M52-J52</f>
        <v>0</v>
      </c>
      <c r="Q52" s="83">
        <f>O52-L52</f>
        <v>-1.960317460317242</v>
      </c>
      <c r="R52" s="72">
        <f>O52/L52</f>
        <v>0.97794642857143099</v>
      </c>
      <c r="S52" s="719"/>
      <c r="T52" s="21">
        <v>0.54166666666666696</v>
      </c>
      <c r="U52" s="21">
        <v>0.63888888888888895</v>
      </c>
      <c r="V52" s="30">
        <f t="shared" si="48"/>
        <v>110.00000000000009</v>
      </c>
      <c r="W52" s="236">
        <f t="shared" si="17"/>
        <v>139.99999999999966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5"/>
        <v>-35.285714285710355</v>
      </c>
      <c r="AG52" s="72">
        <f t="shared" si="46"/>
        <v>0.97794642857143099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5"/>
        <v>0</v>
      </c>
      <c r="AG53" s="72" t="e">
        <f t="shared" si="46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9">AVERAGE(J49:J57)</f>
        <v>17.75</v>
      </c>
      <c r="K58" s="120">
        <f t="shared" si="49"/>
        <v>1582.5</v>
      </c>
      <c r="L58" s="117">
        <f t="shared" si="49"/>
        <v>89.195261437908499</v>
      </c>
      <c r="M58" s="120">
        <f t="shared" si="49"/>
        <v>17.75</v>
      </c>
      <c r="N58" s="120">
        <f t="shared" si="49"/>
        <v>1571.4511445845346</v>
      </c>
      <c r="O58" s="117">
        <f t="shared" si="49"/>
        <v>88.580682599388297</v>
      </c>
      <c r="P58" s="121">
        <f>M58-J58</f>
        <v>0</v>
      </c>
      <c r="Q58" s="122">
        <f>N58-K58</f>
        <v>-11.048855415465368</v>
      </c>
      <c r="R58" s="123">
        <f t="shared" ref="R58:R60" si="50">O58/L58</f>
        <v>0.99310973667644853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1">N58-K58</f>
        <v>-11.048855415465368</v>
      </c>
      <c r="AG58" s="124">
        <f t="shared" ref="AG58:AG61" si="52">N58/K58</f>
        <v>0.99301810084330777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3233</v>
      </c>
      <c r="H59" s="243">
        <f>F59*G59</f>
        <v>87258.67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3">K59/J59</f>
        <v>120.38461538461539</v>
      </c>
      <c r="M59" s="244">
        <v>13</v>
      </c>
      <c r="N59" s="137">
        <f t="shared" ref="N59:N61" si="54">G59/W59*60</f>
        <v>1492.1538461538598</v>
      </c>
      <c r="O59" s="138">
        <f t="shared" ref="O59:O61" si="55">N59/M59</f>
        <v>114.78106508875845</v>
      </c>
      <c r="P59" s="56">
        <f t="shared" ref="P59:P61" si="56">M59-J59</f>
        <v>0</v>
      </c>
      <c r="Q59" s="230">
        <f t="shared" ref="Q59:Q61" si="57">O59-L59</f>
        <v>-5.6035502958569339</v>
      </c>
      <c r="R59" s="52">
        <f t="shared" si="50"/>
        <v>0.95345293683952703</v>
      </c>
      <c r="S59" s="718">
        <f>R69</f>
        <v>0.88159659466437457</v>
      </c>
      <c r="T59" s="245">
        <v>0.29166666666666702</v>
      </c>
      <c r="U59" s="245">
        <v>0.38194444444444398</v>
      </c>
      <c r="V59" s="55"/>
      <c r="W59" s="54">
        <f t="shared" si="17"/>
        <v>129.99999999999881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1"/>
        <v>-72.846153846140169</v>
      </c>
      <c r="AG59" s="246">
        <f t="shared" si="52"/>
        <v>0.95345293683952703</v>
      </c>
      <c r="AH59" s="724">
        <f>AG69</f>
        <v>0.88394880861769276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643</v>
      </c>
      <c r="H60" s="78">
        <f>F60*G60</f>
        <v>18306.21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12</v>
      </c>
      <c r="N60" s="80">
        <f t="shared" si="54"/>
        <v>1286.0000000000216</v>
      </c>
      <c r="O60" s="81">
        <f t="shared" si="55"/>
        <v>107.16666666666846</v>
      </c>
      <c r="P60" s="74">
        <f t="shared" si="56"/>
        <v>0</v>
      </c>
      <c r="Q60" s="83">
        <f t="shared" si="57"/>
        <v>-23.249999999998195</v>
      </c>
      <c r="R60" s="72">
        <f t="shared" si="50"/>
        <v>0.82172523961662725</v>
      </c>
      <c r="S60" s="768"/>
      <c r="T60" s="22">
        <v>0.39236111111111099</v>
      </c>
      <c r="U60" s="22">
        <v>0.41319444444444398</v>
      </c>
      <c r="V60" s="30">
        <f t="shared" ref="V60:V61" si="58">(T60-U59)*24*60</f>
        <v>15.000000000000506</v>
      </c>
      <c r="W60" s="248">
        <f t="shared" si="17"/>
        <v>29.999999999999496</v>
      </c>
      <c r="X60" s="232"/>
      <c r="Y60" s="177"/>
      <c r="Z60" s="90"/>
      <c r="AA60" s="90"/>
      <c r="AB60" s="713" t="s">
        <v>143</v>
      </c>
      <c r="AC60" s="713"/>
      <c r="AD60" s="92"/>
      <c r="AE60" s="92"/>
      <c r="AF60" s="316">
        <f t="shared" si="51"/>
        <v>-278.9999999999784</v>
      </c>
      <c r="AG60" s="249">
        <f t="shared" si="52"/>
        <v>0.82172523961662725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2226</v>
      </c>
      <c r="H61" s="254">
        <f>F61*G61</f>
        <v>62906.76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12</v>
      </c>
      <c r="N61" s="107">
        <f t="shared" si="54"/>
        <v>1296.6990291262091</v>
      </c>
      <c r="O61" s="238">
        <f t="shared" si="55"/>
        <v>108.05825242718409</v>
      </c>
      <c r="P61" s="111">
        <f t="shared" si="56"/>
        <v>0</v>
      </c>
      <c r="Q61" s="255">
        <f t="shared" si="57"/>
        <v>-22.35841423948257</v>
      </c>
      <c r="R61" s="85">
        <f>O61/L61</f>
        <v>0.82856167995284924</v>
      </c>
      <c r="S61" s="719"/>
      <c r="T61" s="22">
        <v>0.42499999999999999</v>
      </c>
      <c r="U61" s="22">
        <v>0.49652777777777801</v>
      </c>
      <c r="V61" s="30">
        <f t="shared" si="58"/>
        <v>17.000000000000661</v>
      </c>
      <c r="W61" s="256">
        <f t="shared" si="17"/>
        <v>103.00000000000036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1"/>
        <v>-268.3009708737909</v>
      </c>
      <c r="AG61" s="247">
        <f t="shared" si="52"/>
        <v>0.82856167995284924</v>
      </c>
      <c r="AH61" s="725"/>
    </row>
    <row r="62" spans="1:34" ht="15" customHeight="1">
      <c r="A62" s="766"/>
      <c r="B62" s="250" t="s">
        <v>135</v>
      </c>
      <c r="C62" s="251"/>
      <c r="D62" s="257" t="s">
        <v>136</v>
      </c>
      <c r="E62" s="253"/>
      <c r="F62" s="250">
        <f>VLOOKUP(D62,廠價表!$C$1:$E$41,3,0)</f>
        <v>26.99</v>
      </c>
      <c r="G62" s="38">
        <v>1094</v>
      </c>
      <c r="H62" s="254">
        <f>F62*G62</f>
        <v>29527.059999999998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108">
        <v>13</v>
      </c>
      <c r="N62" s="107">
        <f>G62/W62*60</f>
        <v>1458.6666666666665</v>
      </c>
      <c r="O62" s="238">
        <f>N62/M62</f>
        <v>112.20512820512819</v>
      </c>
      <c r="P62" s="111">
        <f>M62-J62</f>
        <v>0</v>
      </c>
      <c r="Q62" s="255">
        <f>O62-L62</f>
        <v>-8.1794871794871966</v>
      </c>
      <c r="R62" s="85">
        <f>O62/L62</f>
        <v>0.93205537806176775</v>
      </c>
      <c r="S62" s="719"/>
      <c r="T62" s="22">
        <v>0.54861111111111105</v>
      </c>
      <c r="U62" s="22">
        <v>0.57986111111111105</v>
      </c>
      <c r="V62" s="30"/>
      <c r="W62" s="248">
        <f t="shared" si="17"/>
        <v>45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-106.33333333333348</v>
      </c>
      <c r="AG62" s="247">
        <f>N62/K62</f>
        <v>0.93205537806176775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9">AVERAGE(J59:J68)</f>
        <v>12.5</v>
      </c>
      <c r="K69" s="240">
        <f t="shared" si="59"/>
        <v>1565</v>
      </c>
      <c r="L69" s="268">
        <f t="shared" si="59"/>
        <v>125.40064102564102</v>
      </c>
      <c r="M69" s="240">
        <f t="shared" si="59"/>
        <v>12.5</v>
      </c>
      <c r="N69" s="240">
        <f t="shared" si="59"/>
        <v>1383.3798854866891</v>
      </c>
      <c r="O69" s="268">
        <f t="shared" si="59"/>
        <v>110.55277809693479</v>
      </c>
      <c r="P69" s="269">
        <f>M69-J69</f>
        <v>0</v>
      </c>
      <c r="Q69" s="222">
        <f>N69-K69</f>
        <v>-181.62011451331091</v>
      </c>
      <c r="R69" s="123">
        <f>O69/L69</f>
        <v>0.88159659466437457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-181.62011451331091</v>
      </c>
      <c r="AG69" s="124">
        <f>N69/K69</f>
        <v>0.88394880861769276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2304</v>
      </c>
      <c r="H70" s="243">
        <f>F70*G70</f>
        <v>116743.68000000001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953.37931034483199</v>
      </c>
      <c r="O70" s="138">
        <f>N70/M70</f>
        <v>95.337931034483205</v>
      </c>
      <c r="P70" s="56">
        <f>M70-J70</f>
        <v>0</v>
      </c>
      <c r="Q70" s="230">
        <f>O70-L70</f>
        <v>-17.162068965516795</v>
      </c>
      <c r="R70" s="52">
        <f>O70/L70</f>
        <v>0.84744827586207294</v>
      </c>
      <c r="S70" s="718">
        <f>R79</f>
        <v>0.84744827586207294</v>
      </c>
      <c r="T70" s="245">
        <v>0.34027777777777801</v>
      </c>
      <c r="U70" s="245">
        <v>0.44097222222222199</v>
      </c>
      <c r="V70" s="55"/>
      <c r="W70" s="54">
        <f t="shared" si="17"/>
        <v>144.99999999999932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-171.62068965516801</v>
      </c>
      <c r="AG70" s="246">
        <f>N70/K70</f>
        <v>0.84744827586207283</v>
      </c>
      <c r="AH70" s="724">
        <f>AG79</f>
        <v>0.84744827586207283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1">AVERAGE(J70:J78)</f>
        <v>10</v>
      </c>
      <c r="K79" s="240">
        <f t="shared" si="61"/>
        <v>1125</v>
      </c>
      <c r="L79" s="268">
        <f t="shared" si="61"/>
        <v>112.5</v>
      </c>
      <c r="M79" s="240">
        <f t="shared" si="61"/>
        <v>10</v>
      </c>
      <c r="N79" s="240">
        <f t="shared" si="61"/>
        <v>953.37931034483199</v>
      </c>
      <c r="O79" s="268">
        <f t="shared" si="61"/>
        <v>95.337931034483205</v>
      </c>
      <c r="P79" s="269">
        <f>M79-J79</f>
        <v>0</v>
      </c>
      <c r="Q79" s="222">
        <f>N79-K79</f>
        <v>-171.62068965516801</v>
      </c>
      <c r="R79" s="223">
        <f>O79/L79</f>
        <v>0.84744827586207294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-171.62068965516801</v>
      </c>
      <c r="AG79" s="124">
        <f>N79/K79</f>
        <v>0.84744827586207283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0:AC10"/>
    <mergeCell ref="A5:A15"/>
    <mergeCell ref="S5:S15"/>
    <mergeCell ref="AB5:AC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D15:E15"/>
    <mergeCell ref="AB15:AC15"/>
    <mergeCell ref="G3:G4"/>
    <mergeCell ref="J1:L2"/>
    <mergeCell ref="M1:O2"/>
    <mergeCell ref="P1:S2"/>
    <mergeCell ref="H3:H4"/>
    <mergeCell ref="I3:I4"/>
    <mergeCell ref="J3:J4"/>
    <mergeCell ref="K3:K4"/>
    <mergeCell ref="N3:N4"/>
    <mergeCell ref="O3:O4"/>
    <mergeCell ref="P3:P4"/>
    <mergeCell ref="Q3:Q4"/>
    <mergeCell ref="L3:L4"/>
    <mergeCell ref="M3:M4"/>
    <mergeCell ref="AB1:AC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A2:B2"/>
    <mergeCell ref="A3:A4"/>
    <mergeCell ref="B3:B4"/>
    <mergeCell ref="D3:E4"/>
    <mergeCell ref="F3:F4"/>
  </mergeCells>
  <phoneticPr fontId="6" type="noConversion"/>
  <conditionalFormatting sqref="P5:P79">
    <cfRule type="cellIs" dxfId="319" priority="1" operator="greaterThan">
      <formula>0</formula>
    </cfRule>
  </conditionalFormatting>
  <conditionalFormatting sqref="Q5:Q79 AF5:AF79">
    <cfRule type="cellIs" dxfId="318" priority="4" operator="lessThan">
      <formula>0</formula>
    </cfRule>
  </conditionalFormatting>
  <conditionalFormatting sqref="R5:R79 AG5:AG79">
    <cfRule type="cellIs" dxfId="317" priority="2" operator="greaterThan">
      <formula>1</formula>
    </cfRule>
    <cfRule type="cellIs" dxfId="316" priority="3" operator="lessThan">
      <formula>0.8</formula>
    </cfRule>
  </conditionalFormatting>
  <conditionalFormatting sqref="S5:S10 S37:S62 AH59:AH62 S69:S76 AH69:AH76">
    <cfRule type="cellIs" dxfId="315" priority="7" operator="lessThan">
      <formula>0.8</formula>
    </cfRule>
  </conditionalFormatting>
  <conditionalFormatting sqref="S19:S25 AH19:AH25">
    <cfRule type="cellIs" dxfId="314" priority="6" operator="lessThan">
      <formula>0.8</formula>
    </cfRule>
  </conditionalFormatting>
  <conditionalFormatting sqref="S79">
    <cfRule type="cellIs" dxfId="313" priority="5" operator="lessThan">
      <formula>0.8</formula>
    </cfRule>
  </conditionalFormatting>
  <conditionalFormatting sqref="AH5:AH8 S15:S16 AH15:AH16 AH49 AH79">
    <cfRule type="cellIs" dxfId="312" priority="9" operator="lessThan">
      <formula>0.8</formula>
    </cfRule>
  </conditionalFormatting>
  <conditionalFormatting sqref="AH27 S27:S28">
    <cfRule type="cellIs" dxfId="31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0E6A-B9A2-4F13-978D-85CB45121972}">
  <dimension ref="B1:O26"/>
  <sheetViews>
    <sheetView topLeftCell="C1" zoomScale="70" zoomScaleNormal="70" workbookViewId="0">
      <selection activeCell="N6" sqref="N6:N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46028</v>
      </c>
      <c r="E3" s="645"/>
      <c r="F3" s="3" t="s">
        <v>72</v>
      </c>
      <c r="G3" s="646">
        <f>'0106'!E1</f>
        <v>50902</v>
      </c>
      <c r="H3" s="646"/>
      <c r="I3" s="3" t="s">
        <v>2</v>
      </c>
      <c r="J3" s="647">
        <f>'0106'!G1</f>
        <v>2449892.88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112.20126831940604</v>
      </c>
      <c r="G6" s="652"/>
      <c r="H6" s="653">
        <f>AVERAGE(D13:H13,J13)</f>
        <v>109.58337073161475</v>
      </c>
      <c r="I6" s="653"/>
      <c r="J6" s="653">
        <f>AVERAGE(I13)</f>
        <v>127.90865384615384</v>
      </c>
      <c r="K6" s="653"/>
      <c r="L6" s="769">
        <f>AVERAGE(D18:J18)</f>
        <v>0</v>
      </c>
      <c r="M6" s="656">
        <f>AVERAGE(D19:J19)</f>
        <v>0</v>
      </c>
      <c r="N6" s="769">
        <f>SUM(D20:J20)</f>
        <v>2</v>
      </c>
      <c r="O6" s="769">
        <f>SUM(D20:J20)</f>
        <v>2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101.18838786906316</v>
      </c>
      <c r="G7" s="676"/>
      <c r="H7" s="677">
        <f>AVERAGE(D14:H14,J14)</f>
        <v>100.24073364943808</v>
      </c>
      <c r="I7" s="677"/>
      <c r="J7" s="677">
        <f>AVERAGE(I14)</f>
        <v>106.87431318681364</v>
      </c>
      <c r="K7" s="677"/>
      <c r="L7" s="655" t="e">
        <f t="shared" ref="L7:M8" si="0">AVERAGE(K14:L14)</f>
        <v>#DIV/0!</v>
      </c>
      <c r="M7" s="656" t="e">
        <f t="shared" si="0"/>
        <v>#DIV/0!</v>
      </c>
      <c r="N7" s="655" t="e">
        <f>AVERAGE(M14:N14)</f>
        <v>#DIV/0!</v>
      </c>
      <c r="O7" s="655" t="e">
        <f>AVERAGE(N14:O14)</f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0.90184709482078007</v>
      </c>
      <c r="G8" s="649"/>
      <c r="H8" s="649">
        <f>H7/H6</f>
        <v>0.91474402530418497</v>
      </c>
      <c r="I8" s="649"/>
      <c r="J8" s="649">
        <f>J7/J6</f>
        <v>0.83555185652536135</v>
      </c>
      <c r="K8" s="649"/>
      <c r="L8" s="655" t="e">
        <f t="shared" si="0"/>
        <v>#DIV/0!</v>
      </c>
      <c r="M8" s="656" t="e">
        <f t="shared" si="0"/>
        <v>#DIV/0!</v>
      </c>
      <c r="N8" s="655" t="e">
        <f>AVERAGE(M15:N15)</f>
        <v>#DIV/0!</v>
      </c>
      <c r="O8" s="655" t="e">
        <f>AVERAGE(N15:O15)</f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VALUE('0106'!L15)</f>
        <v>126.55462184873952</v>
      </c>
      <c r="E13" s="13">
        <f>VALUE('0106'!L26)</f>
        <v>162.27564102564102</v>
      </c>
      <c r="F13" s="13">
        <f>VALUE('0106'!L37)</f>
        <v>85.470588235294116</v>
      </c>
      <c r="G13" s="13">
        <f>VALUE('0106'!L48)</f>
        <v>81.50411184210526</v>
      </c>
      <c r="H13" s="13">
        <f>VALUE('0106'!L58)</f>
        <v>89.195261437908499</v>
      </c>
      <c r="I13" s="13">
        <f>VALUE('0106'!L69)</f>
        <v>127.90865384615384</v>
      </c>
      <c r="J13" s="13">
        <f>'0106'!L79</f>
        <v>112.5</v>
      </c>
    </row>
    <row r="14" spans="2:15" ht="39.950000000000003" customHeight="1">
      <c r="B14" s="670"/>
      <c r="C14" s="12" t="s">
        <v>100</v>
      </c>
      <c r="D14" s="13">
        <f>VALUE('0106'!O15)</f>
        <v>114.71817161562433</v>
      </c>
      <c r="E14" s="13">
        <f>VALUE('0106'!O26)</f>
        <v>148.79752631593584</v>
      </c>
      <c r="F14" s="13">
        <f>VALUE('0106'!O37)</f>
        <v>76.485002652146591</v>
      </c>
      <c r="G14" s="13">
        <f>VALUE('0106'!O48)</f>
        <v>76.463228499202941</v>
      </c>
      <c r="H14" s="13">
        <f>VALUE('0106'!O58)</f>
        <v>84.713806147052139</v>
      </c>
      <c r="I14" s="13">
        <f>VALUE('0106'!O69)</f>
        <v>106.87431318681364</v>
      </c>
      <c r="J14" s="13">
        <f>'0106'!O79</f>
        <v>100.26666666666668</v>
      </c>
    </row>
    <row r="15" spans="2:15" ht="39.950000000000003" customHeight="1">
      <c r="B15" s="671"/>
      <c r="C15" s="10" t="s">
        <v>26</v>
      </c>
      <c r="D15" s="14">
        <f>D14/D13</f>
        <v>0.90647160838375118</v>
      </c>
      <c r="E15" s="14">
        <f t="shared" ref="E15:I15" si="1">E14/E13</f>
        <v>0.91694308138597636</v>
      </c>
      <c r="F15" s="14">
        <f t="shared" si="1"/>
        <v>0.89486926709324988</v>
      </c>
      <c r="G15" s="14">
        <f t="shared" si="1"/>
        <v>0.93815179100819079</v>
      </c>
      <c r="H15" s="14">
        <f t="shared" si="1"/>
        <v>0.949756800769332</v>
      </c>
      <c r="I15" s="14">
        <f t="shared" si="1"/>
        <v>0.83555185652536135</v>
      </c>
      <c r="J15" s="15">
        <f>'0106'!S70</f>
        <v>0.89125925925925942</v>
      </c>
    </row>
    <row r="16" spans="2:15" ht="17.25" customHeight="1">
      <c r="B16" s="672" t="s">
        <v>101</v>
      </c>
      <c r="C16" s="10" t="s">
        <v>34</v>
      </c>
      <c r="D16" s="16">
        <f>'0106'!T5</f>
        <v>0.29027777777777802</v>
      </c>
      <c r="E16" s="16">
        <f>'0106'!T16</f>
        <v>0.29027777777777802</v>
      </c>
      <c r="F16" s="16">
        <f>'0106'!T27</f>
        <v>0.29166666666666702</v>
      </c>
      <c r="G16" s="16">
        <f>'0106'!T38</f>
        <v>0.33124999999999999</v>
      </c>
      <c r="H16" s="16">
        <f>'0106'!T49</f>
        <v>0.29027777777777802</v>
      </c>
      <c r="I16" s="16">
        <f>'0106'!T59</f>
        <v>0.29166666666666702</v>
      </c>
      <c r="J16" s="17">
        <f>'0106'!T70</f>
        <v>0.33680555555555602</v>
      </c>
    </row>
    <row r="17" spans="2:10" ht="17.25" customHeight="1">
      <c r="B17" s="673"/>
      <c r="C17" s="10" t="s">
        <v>35</v>
      </c>
      <c r="D17" s="16">
        <v>0.59722222222222199</v>
      </c>
      <c r="E17" s="183">
        <v>0.60902777777777795</v>
      </c>
      <c r="F17" s="19">
        <v>0.59652777777777799</v>
      </c>
      <c r="G17" s="328">
        <v>0.65902777777777799</v>
      </c>
      <c r="H17" s="21">
        <v>0.61805555555555602</v>
      </c>
      <c r="I17" s="110">
        <v>0.57847222222222205</v>
      </c>
      <c r="J17" s="110">
        <v>0.43055555555555602</v>
      </c>
    </row>
    <row r="18" spans="2:10" ht="17.25" customHeight="1">
      <c r="B18" s="674" t="s">
        <v>102</v>
      </c>
      <c r="C18" s="330" t="s">
        <v>36</v>
      </c>
      <c r="D18" s="358">
        <f>'0106'!Z15</f>
        <v>0</v>
      </c>
      <c r="E18" s="359">
        <f>'0106'!Z26</f>
        <v>0</v>
      </c>
      <c r="F18" s="359">
        <f>'0106'!Z37</f>
        <v>0</v>
      </c>
      <c r="G18" s="360">
        <f>'0106'!Z48</f>
        <v>0</v>
      </c>
      <c r="H18" s="360">
        <f>'0106'!Z58</f>
        <v>0</v>
      </c>
      <c r="I18" s="359">
        <f>'0106'!Z69</f>
        <v>0</v>
      </c>
      <c r="J18" s="359">
        <f>'0106'!Z79</f>
        <v>0</v>
      </c>
    </row>
    <row r="19" spans="2:10" ht="17.25" customHeight="1">
      <c r="B19" s="675"/>
      <c r="C19" s="330" t="s">
        <v>37</v>
      </c>
      <c r="D19" s="358">
        <f>'0106'!AA15</f>
        <v>0</v>
      </c>
      <c r="E19" s="359">
        <f>'0106'!AA26</f>
        <v>0</v>
      </c>
      <c r="F19" s="359">
        <f>'0106'!AA37</f>
        <v>0</v>
      </c>
      <c r="G19" s="360">
        <f>'0106'!AA48</f>
        <v>0</v>
      </c>
      <c r="H19" s="360">
        <f>'0106'!AA58</f>
        <v>0</v>
      </c>
      <c r="I19" s="359">
        <f>'0106'!AA69</f>
        <v>0</v>
      </c>
      <c r="J19" s="359">
        <f>'0106'!AA79</f>
        <v>0</v>
      </c>
    </row>
    <row r="20" spans="2:10" ht="17.25" customHeight="1">
      <c r="B20" s="674" t="s">
        <v>103</v>
      </c>
      <c r="C20" s="330" t="s">
        <v>36</v>
      </c>
      <c r="D20" s="358">
        <f>'0106'!AD15</f>
        <v>0</v>
      </c>
      <c r="E20" s="359">
        <f>'0106'!AD26</f>
        <v>1</v>
      </c>
      <c r="F20" s="359">
        <f>'0106'!AD37</f>
        <v>0</v>
      </c>
      <c r="G20" s="360">
        <f>'0106'!AD48</f>
        <v>0</v>
      </c>
      <c r="H20" s="360">
        <f>'0106'!AD58</f>
        <v>1</v>
      </c>
      <c r="I20" s="359">
        <f>'0106'!AD69</f>
        <v>0</v>
      </c>
      <c r="J20" s="359">
        <f>'0106'!AD79</f>
        <v>0</v>
      </c>
    </row>
    <row r="21" spans="2:10" ht="17.25" customHeight="1">
      <c r="B21" s="675"/>
      <c r="C21" s="330" t="s">
        <v>85</v>
      </c>
      <c r="D21" s="358">
        <f>'0106'!AE15</f>
        <v>0</v>
      </c>
      <c r="E21" s="359">
        <f>'0106'!AE26</f>
        <v>1</v>
      </c>
      <c r="F21" s="359">
        <f>'0106'!AE37</f>
        <v>0</v>
      </c>
      <c r="G21" s="360">
        <f>'0106'!AE48</f>
        <v>0</v>
      </c>
      <c r="H21" s="360">
        <f>'0106'!AE58</f>
        <v>1</v>
      </c>
      <c r="I21" s="359">
        <f>'0106'!AE69</f>
        <v>0</v>
      </c>
      <c r="J21" s="359">
        <f>'0106'!AE79</f>
        <v>0</v>
      </c>
    </row>
    <row r="22" spans="2:10" ht="17.25" customHeight="1">
      <c r="B22" s="658" t="s">
        <v>104</v>
      </c>
      <c r="C22" s="659"/>
      <c r="D22" s="23">
        <f>VALUE('0106'!M15)</f>
        <v>14.75</v>
      </c>
      <c r="E22" s="23">
        <f>VALUE('0106'!M26)</f>
        <v>12.75</v>
      </c>
      <c r="F22" s="23">
        <f>VALUE('0106'!M37)</f>
        <v>16.399999999999999</v>
      </c>
      <c r="G22" s="23">
        <f>VALUE('0106'!M48)</f>
        <v>14.25</v>
      </c>
      <c r="H22" s="23">
        <f>VALUE('0106'!M58)</f>
        <v>17.75</v>
      </c>
      <c r="I22" s="23">
        <f>VALUE('0106'!M69)</f>
        <v>12.25</v>
      </c>
      <c r="J22" s="23">
        <f>'0106'!M79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1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4B15-2F54-428E-B05A-BA812A947EDB}">
  <sheetPr>
    <tabColor theme="9" tint="0.79998168889431442"/>
  </sheetPr>
  <dimension ref="A1:AJ92"/>
  <sheetViews>
    <sheetView zoomScale="69" zoomScaleNormal="69" workbookViewId="0">
      <pane xSplit="5" ySplit="4" topLeftCell="G5" activePane="bottomRight" state="frozen"/>
      <selection activeCell="G76" sqref="G76"/>
      <selection pane="topRight" activeCell="G76" sqref="G76"/>
      <selection pane="bottomLeft" activeCell="G76" sqref="G76"/>
      <selection pane="bottomRight" activeCell="T31" sqref="T3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50902</v>
      </c>
      <c r="F1" s="30" t="s">
        <v>2</v>
      </c>
      <c r="G1" s="31">
        <f>SUM(H5:H79)</f>
        <v>2449892.88</v>
      </c>
      <c r="H1" s="32" t="s">
        <v>3</v>
      </c>
      <c r="I1" s="33">
        <f>M15+M26+M48+M58+M69+M79+M37</f>
        <v>98.15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155</v>
      </c>
      <c r="B2" s="678"/>
      <c r="C2" s="28"/>
      <c r="D2" s="28" t="s">
        <v>14</v>
      </c>
      <c r="E2" s="35">
        <f>AVERAGE(O15,O26,O37,O48,O58,O69,O79)</f>
        <v>101.18838786906316</v>
      </c>
      <c r="F2" s="36" t="s">
        <v>15</v>
      </c>
      <c r="G2" s="37">
        <f>G1/E1</f>
        <v>48.129599622804605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2</v>
      </c>
      <c r="AE2" s="340">
        <f>AE15+AE26+AE37+AE48+AE58+AE69+AE79</f>
        <v>2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2780</v>
      </c>
      <c r="H5" s="43">
        <f>F5*G5</f>
        <v>132633.79999999999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8" si="0">K5/J5</f>
        <v>102.85714285714286</v>
      </c>
      <c r="M5" s="48">
        <v>14</v>
      </c>
      <c r="N5" s="46">
        <f t="shared" ref="N5:N8" si="1">G5/W5*60</f>
        <v>1437.9310344827686</v>
      </c>
      <c r="O5" s="47">
        <f t="shared" ref="O5:O8" si="2">N5/M5</f>
        <v>102.70935960591204</v>
      </c>
      <c r="P5" s="49">
        <f t="shared" ref="P5:P8" si="3">M5-J5</f>
        <v>0</v>
      </c>
      <c r="Q5" s="50">
        <f t="shared" ref="Q5:Q8" si="4">O5-L5</f>
        <v>-0.1477832512308197</v>
      </c>
      <c r="R5" s="51">
        <f t="shared" ref="R5:R8" si="5">O5/L5</f>
        <v>0.99856321839081152</v>
      </c>
      <c r="S5" s="718">
        <f>R15</f>
        <v>0.90647160838375118</v>
      </c>
      <c r="T5" s="319">
        <v>0.29027777777777802</v>
      </c>
      <c r="U5" s="320">
        <v>0.37083333333333302</v>
      </c>
      <c r="V5" s="53"/>
      <c r="W5" s="54">
        <f t="shared" ref="W5:W14" si="6">(U5-T5)*24*60</f>
        <v>115.99999999999919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-2.0689655172313905</v>
      </c>
      <c r="AG5" s="52">
        <f t="shared" ref="AG5:AG11" si="8">N5/K5</f>
        <v>0.99856321839081152</v>
      </c>
      <c r="AH5" s="724">
        <f>AG15</f>
        <v>0.90248589784318867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1453</v>
      </c>
      <c r="H6" s="63">
        <f>F6*G6</f>
        <v>83126.13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1644.905660377384</v>
      </c>
      <c r="O6" s="67">
        <f t="shared" si="2"/>
        <v>96.759156492787298</v>
      </c>
      <c r="P6" s="69">
        <f t="shared" si="3"/>
        <v>0</v>
      </c>
      <c r="Q6" s="70">
        <f t="shared" si="4"/>
        <v>-20.887902330742108</v>
      </c>
      <c r="R6" s="71">
        <f t="shared" si="5"/>
        <v>0.82245283018869209</v>
      </c>
      <c r="S6" s="719"/>
      <c r="T6" s="16">
        <v>0.37638888888888899</v>
      </c>
      <c r="U6" s="16">
        <v>0.41319444444444398</v>
      </c>
      <c r="V6" s="30">
        <f>(T6-U5)*24*60</f>
        <v>8.0000000000006111</v>
      </c>
      <c r="W6" s="73">
        <f t="shared" si="6"/>
        <v>52.999999999999176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-355.09433962261596</v>
      </c>
      <c r="AG6" s="72">
        <f t="shared" si="8"/>
        <v>0.82245283018869197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2961</v>
      </c>
      <c r="H7" s="78">
        <f>F7*G7</f>
        <v>145503.54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1931.0869565217358</v>
      </c>
      <c r="O7" s="81">
        <f t="shared" si="2"/>
        <v>137.93478260869543</v>
      </c>
      <c r="P7" s="74">
        <f t="shared" si="3"/>
        <v>0</v>
      </c>
      <c r="Q7" s="83">
        <f t="shared" si="4"/>
        <v>-4.9223602484474327</v>
      </c>
      <c r="R7" s="72">
        <f t="shared" si="5"/>
        <v>0.96554347826086795</v>
      </c>
      <c r="S7" s="719"/>
      <c r="T7" s="18">
        <v>0.421527777777778</v>
      </c>
      <c r="U7" s="18">
        <v>0.485416666666667</v>
      </c>
      <c r="V7" s="30">
        <f>(T7-U6)*24*60</f>
        <v>12.000000000000997</v>
      </c>
      <c r="W7" s="73">
        <f t="shared" si="6"/>
        <v>92.000000000000156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-68.913043478264171</v>
      </c>
      <c r="AG7" s="72">
        <f t="shared" si="8"/>
        <v>0.96554347826086795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1984</v>
      </c>
      <c r="H8" s="78">
        <f>F8*G8</f>
        <v>97493.759999999995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1700.5714285714346</v>
      </c>
      <c r="O8" s="81">
        <f t="shared" si="2"/>
        <v>121.46938775510247</v>
      </c>
      <c r="P8" s="74">
        <f t="shared" si="3"/>
        <v>0</v>
      </c>
      <c r="Q8" s="83">
        <f t="shared" si="4"/>
        <v>-21.387755102040387</v>
      </c>
      <c r="R8" s="72">
        <f t="shared" si="5"/>
        <v>0.85028571428571731</v>
      </c>
      <c r="S8" s="719"/>
      <c r="T8" s="16">
        <v>0.54861111111111105</v>
      </c>
      <c r="U8" s="16">
        <v>0.59722222222222199</v>
      </c>
      <c r="V8" s="30">
        <f>(T8-U7)*24*60</f>
        <v>90.999999999999432</v>
      </c>
      <c r="W8" s="73">
        <f t="shared" si="6"/>
        <v>69.999999999999744</v>
      </c>
      <c r="X8" s="22">
        <v>0.49305555555555602</v>
      </c>
      <c r="Y8" s="84">
        <v>0.53472222222222199</v>
      </c>
      <c r="Z8" s="90"/>
      <c r="AA8" s="90"/>
      <c r="AB8" s="728"/>
      <c r="AC8" s="728"/>
      <c r="AD8" s="149"/>
      <c r="AE8" s="149"/>
      <c r="AF8" s="307">
        <f t="shared" si="7"/>
        <v>-299.42857142856542</v>
      </c>
      <c r="AG8" s="72">
        <f t="shared" si="8"/>
        <v>0.85028571428571731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1678.6237699883309</v>
      </c>
      <c r="O15" s="117">
        <f t="shared" si="9"/>
        <v>114.71817161562433</v>
      </c>
      <c r="P15" s="121">
        <f t="shared" ref="P15:P19" si="10">M15-J15</f>
        <v>0</v>
      </c>
      <c r="Q15" s="122">
        <f t="shared" ref="Q15:Q19" si="11">O15-L15</f>
        <v>-11.836450233115187</v>
      </c>
      <c r="R15" s="123">
        <f t="shared" ref="R15:R19" si="12">O15/L15</f>
        <v>0.90647160838375118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-181.37623001166912</v>
      </c>
      <c r="AG15" s="124">
        <f t="shared" ref="AG15:AG19" si="14">N15/K15</f>
        <v>0.90248589784318867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2427</v>
      </c>
      <c r="H16" s="134">
        <f>F16*G16</f>
        <v>138848.67000000001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9" si="15">K16/J16</f>
        <v>161.92307692307693</v>
      </c>
      <c r="M16" s="139">
        <v>14</v>
      </c>
      <c r="N16" s="140">
        <f t="shared" ref="N16:N19" si="16">G16/W16*60</f>
        <v>1891.1688311688399</v>
      </c>
      <c r="O16" s="141">
        <f>N16/M16</f>
        <v>135.08348794063141</v>
      </c>
      <c r="P16" s="142">
        <f>M16-J16</f>
        <v>1</v>
      </c>
      <c r="Q16" s="143">
        <f t="shared" si="11"/>
        <v>-26.83958898244552</v>
      </c>
      <c r="R16" s="144">
        <f>O16/L16</f>
        <v>0.83424481863572841</v>
      </c>
      <c r="S16" s="734">
        <f>R26</f>
        <v>0.91694308138597636</v>
      </c>
      <c r="T16" s="145">
        <v>0.29027777777777802</v>
      </c>
      <c r="U16" s="145">
        <v>0.34375</v>
      </c>
      <c r="V16" s="135"/>
      <c r="W16" s="146">
        <f t="shared" ref="W16:W78" si="17">(U16-T16)*24*60</f>
        <v>76.999999999999645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-213.83116883116008</v>
      </c>
      <c r="AG16" s="52">
        <f t="shared" si="14"/>
        <v>0.89841749699232298</v>
      </c>
      <c r="AH16" s="724">
        <f>AG26</f>
        <v>0.9334256967320439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3712</v>
      </c>
      <c r="H17" s="78">
        <f>F17*G17</f>
        <v>188087.04000000001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1988.5714285714228</v>
      </c>
      <c r="O17" s="96">
        <f t="shared" ref="O17:O19" si="18">N17/M17</f>
        <v>152.96703296703251</v>
      </c>
      <c r="P17" s="97">
        <f t="shared" si="10"/>
        <v>0</v>
      </c>
      <c r="Q17" s="98">
        <f t="shared" si="11"/>
        <v>-0.87912087912133074</v>
      </c>
      <c r="R17" s="99">
        <f t="shared" si="12"/>
        <v>0.99428571428571133</v>
      </c>
      <c r="S17" s="735"/>
      <c r="T17" s="19">
        <v>0.35069444444444398</v>
      </c>
      <c r="U17" s="19">
        <v>0.42847222222222198</v>
      </c>
      <c r="V17" s="30">
        <f>(T17-U16)*24*60</f>
        <v>9.999999999999325</v>
      </c>
      <c r="W17" s="149">
        <f t="shared" si="17"/>
        <v>112.00000000000033</v>
      </c>
      <c r="X17" s="19"/>
      <c r="Y17" s="297"/>
      <c r="Z17" s="90"/>
      <c r="AA17" s="90"/>
      <c r="AB17" s="770" t="s">
        <v>116</v>
      </c>
      <c r="AC17" s="713"/>
      <c r="AD17" s="92">
        <v>1</v>
      </c>
      <c r="AE17" s="92">
        <v>1</v>
      </c>
      <c r="AF17" s="307">
        <f t="shared" si="13"/>
        <v>-11.428571428577243</v>
      </c>
      <c r="AG17" s="72">
        <f t="shared" si="14"/>
        <v>0.99428571428571133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1928</v>
      </c>
      <c r="H18" s="78">
        <f>F18*G18</f>
        <v>97151.92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1836.1904761904759</v>
      </c>
      <c r="O18" s="96">
        <f t="shared" si="18"/>
        <v>153.01587301587298</v>
      </c>
      <c r="P18" s="97">
        <f t="shared" si="10"/>
        <v>0</v>
      </c>
      <c r="Q18" s="98">
        <f t="shared" si="11"/>
        <v>-13.650793650793673</v>
      </c>
      <c r="R18" s="99">
        <f t="shared" si="12"/>
        <v>0.91809523809523796</v>
      </c>
      <c r="S18" s="735"/>
      <c r="T18" s="19">
        <v>0.43541666666666701</v>
      </c>
      <c r="U18" s="19">
        <v>0.47916666666666702</v>
      </c>
      <c r="V18" s="30">
        <f>(T18-U17)*24*60</f>
        <v>10.000000000000844</v>
      </c>
      <c r="W18" s="149">
        <f t="shared" si="17"/>
        <v>63.000000000000014</v>
      </c>
      <c r="X18" s="22">
        <v>0.49305555555555602</v>
      </c>
      <c r="Y18" s="84">
        <v>0.53472222222222199</v>
      </c>
      <c r="Z18" s="90"/>
      <c r="AA18" s="90"/>
      <c r="AB18" s="713"/>
      <c r="AC18" s="713"/>
      <c r="AD18" s="92"/>
      <c r="AE18" s="92"/>
      <c r="AF18" s="307">
        <f t="shared" si="13"/>
        <v>-163.80952380952408</v>
      </c>
      <c r="AG18" s="72">
        <f t="shared" si="14"/>
        <v>0.91809523809523796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2990</v>
      </c>
      <c r="H19" s="78">
        <f>F19*G19</f>
        <v>150666.1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5"/>
        <v>166.66666666666666</v>
      </c>
      <c r="M19" s="148">
        <v>12</v>
      </c>
      <c r="N19" s="95">
        <f t="shared" si="16"/>
        <v>1849.4845360824777</v>
      </c>
      <c r="O19" s="96">
        <f t="shared" si="18"/>
        <v>154.12371134020648</v>
      </c>
      <c r="P19" s="97">
        <f t="shared" si="10"/>
        <v>0</v>
      </c>
      <c r="Q19" s="98">
        <f t="shared" si="11"/>
        <v>-12.542955326460174</v>
      </c>
      <c r="R19" s="99">
        <f t="shared" si="12"/>
        <v>0.92474226804123894</v>
      </c>
      <c r="S19" s="735"/>
      <c r="T19" s="19">
        <v>0.54166666666666696</v>
      </c>
      <c r="U19" s="19">
        <v>0.60902777777777795</v>
      </c>
      <c r="V19" s="30">
        <f>(T19-U18)*24*60</f>
        <v>89.999999999999915</v>
      </c>
      <c r="W19" s="149">
        <f t="shared" si="17"/>
        <v>96.999999999999815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-150.51546391752231</v>
      </c>
      <c r="AG19" s="72">
        <f t="shared" si="14"/>
        <v>0.92474226804123882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1891.353818003304</v>
      </c>
      <c r="O26" s="158">
        <f t="shared" si="20"/>
        <v>148.79752631593584</v>
      </c>
      <c r="P26" s="159">
        <f t="shared" ref="P26:P31" si="21">M26-J26</f>
        <v>0.25</v>
      </c>
      <c r="Q26" s="160">
        <f t="shared" ref="Q26:Q31" si="22">O26-L26</f>
        <v>-13.478114709705181</v>
      </c>
      <c r="R26" s="161">
        <f>O26/L26</f>
        <v>0.91694308138597636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1</v>
      </c>
      <c r="AE26" s="323">
        <f>SUM(AE16:AE25)</f>
        <v>1</v>
      </c>
      <c r="AF26" s="309">
        <f t="shared" ref="AF26:AF31" si="23">N26-K26</f>
        <v>-134.89618199669599</v>
      </c>
      <c r="AG26" s="124">
        <f t="shared" ref="AG26:AG31" si="24">N26/K26</f>
        <v>0.9334256967320439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1560</v>
      </c>
      <c r="H27" s="134">
        <f>F27*G27</f>
        <v>89388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1" si="25">K27/J27</f>
        <v>88.235294117647058</v>
      </c>
      <c r="M27" s="170">
        <v>15</v>
      </c>
      <c r="N27" s="140">
        <f>G27/W27*60</f>
        <v>1231.5789473684397</v>
      </c>
      <c r="O27" s="141">
        <f>N27/M27</f>
        <v>82.105263157895976</v>
      </c>
      <c r="P27" s="142">
        <f t="shared" si="21"/>
        <v>-2</v>
      </c>
      <c r="Q27" s="143">
        <f t="shared" si="22"/>
        <v>-6.1300309597510818</v>
      </c>
      <c r="R27" s="144">
        <f>O27/L27</f>
        <v>0.93052631578948775</v>
      </c>
      <c r="S27" s="734">
        <f>R37</f>
        <v>0.89486926709324988</v>
      </c>
      <c r="T27" s="171">
        <v>0.29166666666666702</v>
      </c>
      <c r="U27" s="171">
        <v>0.344444444444444</v>
      </c>
      <c r="V27" s="135"/>
      <c r="W27" s="146">
        <f t="shared" si="17"/>
        <v>75.999999999998849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-268.42105263156031</v>
      </c>
      <c r="AG27" s="172">
        <f t="shared" si="24"/>
        <v>0.8210526315789598</v>
      </c>
      <c r="AH27" s="724">
        <f>AG37</f>
        <v>0.86171055734572155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1636</v>
      </c>
      <c r="H28" s="91">
        <f>F28*G28</f>
        <v>90192.680000000008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16</v>
      </c>
      <c r="N28" s="95">
        <f>G28/W28*60</f>
        <v>1227.000000000013</v>
      </c>
      <c r="O28" s="96">
        <f>N28/M28</f>
        <v>76.68750000000081</v>
      </c>
      <c r="P28" s="97">
        <f t="shared" si="21"/>
        <v>-1</v>
      </c>
      <c r="Q28" s="98">
        <f t="shared" si="22"/>
        <v>-4.783088235293306</v>
      </c>
      <c r="R28" s="99">
        <f t="shared" ref="R28:R31" si="26">O28/L28</f>
        <v>0.94129061371842149</v>
      </c>
      <c r="S28" s="735"/>
      <c r="T28" s="19">
        <v>0.35277777777777802</v>
      </c>
      <c r="U28" s="19">
        <v>0.40833333333333299</v>
      </c>
      <c r="V28" s="92">
        <f>(T28-U27)*24*60</f>
        <v>12.000000000000997</v>
      </c>
      <c r="W28" s="149">
        <f t="shared" si="17"/>
        <v>79.999999999999162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-157.99999999998704</v>
      </c>
      <c r="AG28" s="99">
        <f t="shared" si="24"/>
        <v>0.88592057761733789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1295</v>
      </c>
      <c r="H29" s="91">
        <f>F29*G29</f>
        <v>64128.4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17</v>
      </c>
      <c r="N29" s="95">
        <f>G29/W29*60</f>
        <v>1195.3846153846123</v>
      </c>
      <c r="O29" s="96">
        <f>N29/M29</f>
        <v>70.316742081447785</v>
      </c>
      <c r="P29" s="97">
        <f t="shared" si="21"/>
        <v>0</v>
      </c>
      <c r="Q29" s="98">
        <f t="shared" si="22"/>
        <v>-14.389140271493389</v>
      </c>
      <c r="R29" s="99">
        <f t="shared" si="26"/>
        <v>0.83012820512820307</v>
      </c>
      <c r="S29" s="735"/>
      <c r="T29" s="19">
        <v>0.41597222222222202</v>
      </c>
      <c r="U29" s="19">
        <v>0.46111111111111103</v>
      </c>
      <c r="V29" s="92">
        <f>(T29-U28)*24*60</f>
        <v>11.000000000000201</v>
      </c>
      <c r="W29" s="149">
        <f t="shared" si="17"/>
        <v>65.000000000000171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-244.61538461538771</v>
      </c>
      <c r="AG29" s="99">
        <f t="shared" si="24"/>
        <v>0.83012820512820296</v>
      </c>
      <c r="AH29" s="744"/>
    </row>
    <row r="30" spans="1:34" ht="15" customHeight="1">
      <c r="A30" s="732"/>
      <c r="B30" s="75" t="s">
        <v>81</v>
      </c>
      <c r="C30" s="88"/>
      <c r="D30" s="59" t="s">
        <v>128</v>
      </c>
      <c r="E30" s="89"/>
      <c r="F30" s="75">
        <f>VLOOKUP(D30,廠價表!$C$1:$E$41,3,0)</f>
        <v>49.52</v>
      </c>
      <c r="G30" s="90">
        <v>870</v>
      </c>
      <c r="H30" s="91">
        <f t="shared" ref="H30:H31" si="27">F30*G30</f>
        <v>43082.400000000001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5"/>
        <v>84.705882352941174</v>
      </c>
      <c r="M30" s="94">
        <v>17</v>
      </c>
      <c r="N30" s="95">
        <f t="shared" ref="N30:N31" si="28">G30/W30*60</f>
        <v>1186.3636363636192</v>
      </c>
      <c r="O30" s="96">
        <f t="shared" ref="O30:O31" si="29">N30/M30</f>
        <v>69.786096256683479</v>
      </c>
      <c r="P30" s="97">
        <f t="shared" si="21"/>
        <v>0</v>
      </c>
      <c r="Q30" s="98">
        <f t="shared" si="22"/>
        <v>-14.919786096257695</v>
      </c>
      <c r="R30" s="99">
        <f t="shared" si="26"/>
        <v>0.82386363636362447</v>
      </c>
      <c r="S30" s="735"/>
      <c r="T30" s="19">
        <v>0.52986111111111101</v>
      </c>
      <c r="U30" s="19">
        <v>0.56041666666666701</v>
      </c>
      <c r="V30" s="92">
        <f>(T30-U29)*24*60</f>
        <v>98.999999999999972</v>
      </c>
      <c r="W30" s="149">
        <f t="shared" si="17"/>
        <v>44.000000000000639</v>
      </c>
      <c r="X30" s="174">
        <v>0.47916666666666702</v>
      </c>
      <c r="Y30" s="301">
        <v>0.52083333333333304</v>
      </c>
      <c r="Z30" s="335"/>
      <c r="AA30" s="335"/>
      <c r="AB30" s="713"/>
      <c r="AC30" s="713"/>
      <c r="AD30" s="92"/>
      <c r="AE30" s="92"/>
      <c r="AF30" s="312">
        <f t="shared" si="23"/>
        <v>-253.63636363638079</v>
      </c>
      <c r="AG30" s="99">
        <f t="shared" si="24"/>
        <v>0.82386363636362447</v>
      </c>
      <c r="AH30" s="745"/>
    </row>
    <row r="31" spans="1:34" ht="15" customHeight="1">
      <c r="A31" s="732"/>
      <c r="B31" s="75" t="s">
        <v>81</v>
      </c>
      <c r="C31" s="88"/>
      <c r="D31" s="59" t="s">
        <v>125</v>
      </c>
      <c r="E31" s="89"/>
      <c r="F31" s="75">
        <f>VLOOKUP(D31,廠價表!$C$1:$E$41,3,0)</f>
        <v>57.3</v>
      </c>
      <c r="G31" s="90">
        <v>994</v>
      </c>
      <c r="H31" s="91">
        <f t="shared" si="27"/>
        <v>56956.2</v>
      </c>
      <c r="I31" s="92"/>
      <c r="J31" s="79">
        <f>VLOOKUP(D31,產線配置圖!$A$3:$C$39,2,0)</f>
        <v>17</v>
      </c>
      <c r="K31" s="80">
        <f>VLOOKUP(D31,產線配置圖!$A$3:$C$39,3,0)</f>
        <v>1500</v>
      </c>
      <c r="L31" s="93">
        <f t="shared" si="25"/>
        <v>88.235294117647058</v>
      </c>
      <c r="M31" s="94">
        <v>17</v>
      </c>
      <c r="N31" s="95">
        <f t="shared" si="28"/>
        <v>1419.9999999999834</v>
      </c>
      <c r="O31" s="96">
        <f t="shared" si="29"/>
        <v>83.529411764704903</v>
      </c>
      <c r="P31" s="97">
        <f t="shared" si="21"/>
        <v>0</v>
      </c>
      <c r="Q31" s="98">
        <f t="shared" si="22"/>
        <v>-4.7058823529421545</v>
      </c>
      <c r="R31" s="99">
        <f t="shared" si="26"/>
        <v>0.94666666666665555</v>
      </c>
      <c r="S31" s="735"/>
      <c r="T31" s="19">
        <v>0.56736111111111098</v>
      </c>
      <c r="U31" s="19">
        <v>0.59652777777777799</v>
      </c>
      <c r="V31" s="92">
        <f>(T31-U30)*24*60</f>
        <v>9.999999999999325</v>
      </c>
      <c r="W31" s="149">
        <f t="shared" si="17"/>
        <v>42.00000000000049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-80.000000000016598</v>
      </c>
      <c r="AG31" s="99">
        <f t="shared" si="24"/>
        <v>0.94666666666665555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1">AVERAGE(J27:J36)</f>
        <v>17</v>
      </c>
      <c r="K37" s="155">
        <f t="shared" si="31"/>
        <v>1453</v>
      </c>
      <c r="L37" s="158">
        <f t="shared" si="31"/>
        <v>85.470588235294116</v>
      </c>
      <c r="M37" s="155">
        <f t="shared" si="31"/>
        <v>16.399999999999999</v>
      </c>
      <c r="N37" s="155">
        <f t="shared" si="31"/>
        <v>1252.0654398233335</v>
      </c>
      <c r="O37" s="158">
        <f t="shared" si="31"/>
        <v>76.485002652146591</v>
      </c>
      <c r="P37" s="159">
        <f>M37-J37</f>
        <v>-0.60000000000000142</v>
      </c>
      <c r="Q37" s="160">
        <f>N37-K37</f>
        <v>-200.93456017666654</v>
      </c>
      <c r="R37" s="161">
        <f t="shared" ref="R37:R41" si="32">O37/L37</f>
        <v>0.89486926709324988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61">
        <f>SUM(AD27:AD36)</f>
        <v>0</v>
      </c>
      <c r="AE37" s="361">
        <f>SUM(AE27:AE36)</f>
        <v>0</v>
      </c>
      <c r="AF37" s="309">
        <f t="shared" ref="AF37:AF41" si="33">N37-K37</f>
        <v>-200.93456017666654</v>
      </c>
      <c r="AG37" s="124">
        <f t="shared" ref="AG37:AG41" si="34">N37/K37</f>
        <v>0.86171055734572155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1681</v>
      </c>
      <c r="H38" s="134">
        <f>F38*G38</f>
        <v>96321.299999999988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1" si="35">K38/J38</f>
        <v>86.5625</v>
      </c>
      <c r="M38" s="190">
        <v>14</v>
      </c>
      <c r="N38" s="140">
        <f>G38/W38*60</f>
        <v>1159.3103448275799</v>
      </c>
      <c r="O38" s="141">
        <f>N38/M38</f>
        <v>82.807881773398563</v>
      </c>
      <c r="P38" s="142">
        <f t="shared" ref="P38:P41" si="36">M38-J38</f>
        <v>-2</v>
      </c>
      <c r="Q38" s="143">
        <f t="shared" ref="Q38:Q41" si="37">O38-L38</f>
        <v>-3.754618226601437</v>
      </c>
      <c r="R38" s="144">
        <f>O38/L38</f>
        <v>0.95662534900677043</v>
      </c>
      <c r="S38" s="756">
        <f>R48</f>
        <v>0.93815179100819079</v>
      </c>
      <c r="T38" s="191">
        <v>0.33124999999999999</v>
      </c>
      <c r="U38" s="191">
        <v>0.391666666666667</v>
      </c>
      <c r="V38" s="192"/>
      <c r="W38" s="193">
        <f t="shared" si="17"/>
        <v>87.000000000000483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3"/>
        <v>-225.68965517242009</v>
      </c>
      <c r="AG38" s="195">
        <f t="shared" si="34"/>
        <v>0.83704718038092407</v>
      </c>
      <c r="AH38" s="746">
        <f>AG48</f>
        <v>0.76778624509881255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1353</v>
      </c>
      <c r="H39" s="91">
        <f>F39*G39</f>
        <v>76349.789999999994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5"/>
        <v>87.875</v>
      </c>
      <c r="M39" s="201">
        <v>14</v>
      </c>
      <c r="N39" s="202">
        <f>G39/W39*60</f>
        <v>1054.285714285719</v>
      </c>
      <c r="O39" s="203">
        <f t="shared" ref="O39:O41" si="38">N39/M39</f>
        <v>75.306122448979934</v>
      </c>
      <c r="P39" s="97">
        <f t="shared" si="36"/>
        <v>-2</v>
      </c>
      <c r="Q39" s="98">
        <f t="shared" si="37"/>
        <v>-12.568877551020066</v>
      </c>
      <c r="R39" s="99">
        <f t="shared" si="32"/>
        <v>0.8569686765175526</v>
      </c>
      <c r="S39" s="757"/>
      <c r="T39" s="20">
        <v>0.40138888888888902</v>
      </c>
      <c r="U39" s="20">
        <v>0.45486111111111099</v>
      </c>
      <c r="V39" s="92">
        <f>(T39-U38)*24*60</f>
        <v>13.99999999999971</v>
      </c>
      <c r="W39" s="205">
        <f t="shared" si="17"/>
        <v>76.999999999999645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3"/>
        <v>-351.714285714281</v>
      </c>
      <c r="AG39" s="206">
        <f t="shared" si="34"/>
        <v>0.74984759195285844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2887</v>
      </c>
      <c r="H40" s="91">
        <f>F40*G40</f>
        <v>127894.09999999999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5"/>
        <v>75.78947368421052</v>
      </c>
      <c r="M40" s="201">
        <v>15</v>
      </c>
      <c r="N40" s="202">
        <f>G40/W40*60</f>
        <v>1082.6250000000016</v>
      </c>
      <c r="O40" s="203">
        <f t="shared" si="38"/>
        <v>72.175000000000111</v>
      </c>
      <c r="P40" s="97">
        <f t="shared" si="36"/>
        <v>-4</v>
      </c>
      <c r="Q40" s="98">
        <f t="shared" si="37"/>
        <v>-3.6144736842104095</v>
      </c>
      <c r="R40" s="99">
        <f t="shared" si="32"/>
        <v>0.95230902777777926</v>
      </c>
      <c r="S40" s="719"/>
      <c r="T40" s="20">
        <v>0.52083333333333304</v>
      </c>
      <c r="U40" s="20">
        <v>0.63194444444444398</v>
      </c>
      <c r="V40" s="92">
        <f>(T40-U39)*24*60</f>
        <v>94.999999999999744</v>
      </c>
      <c r="W40" s="205">
        <f t="shared" si="17"/>
        <v>159.99999999999974</v>
      </c>
      <c r="X40" s="208">
        <v>0.46527777777777801</v>
      </c>
      <c r="Y40" s="209">
        <v>0.50694444444444398</v>
      </c>
      <c r="Z40" s="337"/>
      <c r="AA40" s="337"/>
      <c r="AB40" s="713"/>
      <c r="AC40" s="713"/>
      <c r="AD40" s="92"/>
      <c r="AE40" s="92"/>
      <c r="AF40" s="314">
        <f t="shared" si="33"/>
        <v>-357.37499999999841</v>
      </c>
      <c r="AG40" s="206">
        <f t="shared" si="34"/>
        <v>0.75182291666666778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335</v>
      </c>
      <c r="H41" s="91">
        <f>F41*G41</f>
        <v>14840.499999999998</v>
      </c>
      <c r="I41" s="200"/>
      <c r="J41" s="148">
        <f>VLOOKUP(D41,產線配置圖!$A$3:$C$39,2,0)</f>
        <v>19</v>
      </c>
      <c r="K41" s="95">
        <f>VLOOKUP(D41,產線配置圖!$A$3:$C$39,3,0)</f>
        <v>1440</v>
      </c>
      <c r="L41" s="96">
        <f t="shared" si="35"/>
        <v>75.78947368421052</v>
      </c>
      <c r="M41" s="201">
        <v>14</v>
      </c>
      <c r="N41" s="202">
        <f>G41/W41*60</f>
        <v>1057.8947368420645</v>
      </c>
      <c r="O41" s="203">
        <f t="shared" si="38"/>
        <v>75.563909774433185</v>
      </c>
      <c r="P41" s="97">
        <f t="shared" si="36"/>
        <v>-5</v>
      </c>
      <c r="Q41" s="98">
        <f t="shared" si="37"/>
        <v>-0.22556390977733543</v>
      </c>
      <c r="R41" s="99">
        <f t="shared" si="32"/>
        <v>0.99702380952377123</v>
      </c>
      <c r="S41" s="719"/>
      <c r="T41" s="20">
        <v>0.64583333333333304</v>
      </c>
      <c r="U41" s="210">
        <v>0.65902777777777799</v>
      </c>
      <c r="V41" s="92">
        <f>(T41-U40)*24*60</f>
        <v>20.000000000000249</v>
      </c>
      <c r="W41" s="205">
        <f t="shared" si="17"/>
        <v>19.000000000000732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3"/>
        <v>-382.1052631579355</v>
      </c>
      <c r="AG41" s="206">
        <f t="shared" si="34"/>
        <v>0.73464912280698924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0">AVERAGE(J38:J47)</f>
        <v>17.5</v>
      </c>
      <c r="K48" s="155">
        <f t="shared" si="40"/>
        <v>1417.75</v>
      </c>
      <c r="L48" s="158">
        <f t="shared" si="40"/>
        <v>81.50411184210526</v>
      </c>
      <c r="M48" s="155">
        <f t="shared" si="40"/>
        <v>14.25</v>
      </c>
      <c r="N48" s="155">
        <f t="shared" si="40"/>
        <v>1088.5289489888414</v>
      </c>
      <c r="O48" s="158">
        <f t="shared" si="40"/>
        <v>76.463228499202941</v>
      </c>
      <c r="P48" s="221">
        <f>M48-J48</f>
        <v>-3.25</v>
      </c>
      <c r="Q48" s="222">
        <f>N48-K48</f>
        <v>-329.22105101115858</v>
      </c>
      <c r="R48" s="223">
        <f>O48/L48</f>
        <v>0.93815179100819079</v>
      </c>
      <c r="S48" s="722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1">N48-K48</f>
        <v>-329.22105101115858</v>
      </c>
      <c r="AG48" s="162">
        <f t="shared" ref="AG48:AG53" si="42">N48/K48</f>
        <v>0.76778624509881255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1365</v>
      </c>
      <c r="H49" s="134">
        <f>F49*G49</f>
        <v>77627.55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3">K49/J49</f>
        <v>86.944444444444443</v>
      </c>
      <c r="M49" s="170">
        <v>18</v>
      </c>
      <c r="N49" s="140">
        <f>G49/W49*60</f>
        <v>1545.2830188679486</v>
      </c>
      <c r="O49" s="141">
        <f>N49/M49</f>
        <v>85.849056603774926</v>
      </c>
      <c r="P49" s="229">
        <f>M49-J49</f>
        <v>0</v>
      </c>
      <c r="Q49" s="230">
        <f>O49-L49</f>
        <v>-1.0953878406695168</v>
      </c>
      <c r="R49" s="52">
        <f>O49/L49</f>
        <v>0.98740129001146881</v>
      </c>
      <c r="S49" s="718">
        <f>R58</f>
        <v>0.949756800769332</v>
      </c>
      <c r="T49" s="191">
        <v>0.29027777777777802</v>
      </c>
      <c r="U49" s="191">
        <v>0.327083333333333</v>
      </c>
      <c r="V49" s="55"/>
      <c r="W49" s="193">
        <f t="shared" si="17"/>
        <v>52.999999999999176</v>
      </c>
      <c r="X49" s="55"/>
      <c r="Y49" s="290"/>
      <c r="Z49" s="169"/>
      <c r="AA49" s="169"/>
      <c r="AB49" s="723" t="s">
        <v>156</v>
      </c>
      <c r="AC49" s="723"/>
      <c r="AD49" s="135">
        <v>1</v>
      </c>
      <c r="AE49" s="135">
        <v>1</v>
      </c>
      <c r="AF49" s="229">
        <f t="shared" si="41"/>
        <v>-19.716981132051387</v>
      </c>
      <c r="AG49" s="52">
        <f t="shared" si="42"/>
        <v>0.98740129001146881</v>
      </c>
      <c r="AH49" s="724">
        <f>AG58</f>
        <v>0.94958461820284501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2458</v>
      </c>
      <c r="H50" s="231">
        <f>F50*G50</f>
        <v>122678.78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ref="L50:L51" si="44">K50/J50</f>
        <v>92.058823529411768</v>
      </c>
      <c r="M50" s="233">
        <v>17</v>
      </c>
      <c r="N50" s="234">
        <f>G50/W50*60</f>
        <v>1504.8979591836639</v>
      </c>
      <c r="O50" s="235">
        <f>N50/M50</f>
        <v>88.523409363744932</v>
      </c>
      <c r="P50" s="74">
        <f>M50-J50</f>
        <v>0</v>
      </c>
      <c r="Q50" s="83">
        <f>O50-L50</f>
        <v>-3.5354141656668361</v>
      </c>
      <c r="R50" s="72">
        <f>O50/L50</f>
        <v>0.96159614005345928</v>
      </c>
      <c r="S50" s="719"/>
      <c r="T50" s="21">
        <v>0.33611111111111103</v>
      </c>
      <c r="U50" s="21">
        <v>0.40416666666666701</v>
      </c>
      <c r="V50" s="30">
        <f t="shared" ref="V50:V52" si="45">(T50-U49)*24*60</f>
        <v>13.000000000000353</v>
      </c>
      <c r="W50" s="236">
        <f t="shared" si="17"/>
        <v>98.000000000000611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1"/>
        <v>-60.102040816336057</v>
      </c>
      <c r="AG50" s="72">
        <f t="shared" si="42"/>
        <v>0.96159614005345939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2043</v>
      </c>
      <c r="H51" s="231">
        <f>F51*G51</f>
        <v>102088.70999999999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4"/>
        <v>88.888888888888886</v>
      </c>
      <c r="M51" s="233">
        <v>18</v>
      </c>
      <c r="N51" s="234">
        <f>G51/W51*60</f>
        <v>1408.9655172413713</v>
      </c>
      <c r="O51" s="235">
        <f>N51/M51</f>
        <v>78.275862068965068</v>
      </c>
      <c r="P51" s="74">
        <f>M51-J51</f>
        <v>0</v>
      </c>
      <c r="Q51" s="83">
        <f>O51-L51</f>
        <v>-10.613026819923817</v>
      </c>
      <c r="R51" s="72">
        <f>O51/L51</f>
        <v>0.88060344827585701</v>
      </c>
      <c r="S51" s="719"/>
      <c r="T51" s="21">
        <v>0.41249999999999998</v>
      </c>
      <c r="U51" s="19">
        <v>0.47291666666666698</v>
      </c>
      <c r="V51" s="30">
        <f t="shared" si="45"/>
        <v>11.999999999999478</v>
      </c>
      <c r="W51" s="236">
        <f t="shared" si="17"/>
        <v>87.000000000000483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1"/>
        <v>-191.03448275862866</v>
      </c>
      <c r="AG51" s="72">
        <f t="shared" si="42"/>
        <v>0.88060344827585713</v>
      </c>
      <c r="AH51" s="725"/>
    </row>
    <row r="52" spans="1:34" ht="15" customHeight="1">
      <c r="A52" s="751"/>
      <c r="B52" s="101" t="s">
        <v>81</v>
      </c>
      <c r="C52" s="102"/>
      <c r="D52" s="103" t="s">
        <v>134</v>
      </c>
      <c r="E52" s="104"/>
      <c r="F52" s="75">
        <f>VLOOKUP(D52,廠價表!$C$1:$E$41,3,0)</f>
        <v>49.97</v>
      </c>
      <c r="G52" s="202">
        <v>3000</v>
      </c>
      <c r="H52" s="231">
        <f>F52*G52</f>
        <v>149910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3"/>
        <v>88.888888888888886</v>
      </c>
      <c r="M52" s="108">
        <v>18</v>
      </c>
      <c r="N52" s="234">
        <f>G52/W52*60</f>
        <v>1551.7241379310249</v>
      </c>
      <c r="O52" s="235">
        <f>N52/M52</f>
        <v>86.206896551723602</v>
      </c>
      <c r="P52" s="74">
        <f>M52-J52</f>
        <v>0</v>
      </c>
      <c r="Q52" s="83">
        <f>O52-L52</f>
        <v>-2.6819923371652834</v>
      </c>
      <c r="R52" s="72">
        <f>O52/L52</f>
        <v>0.96982758620689058</v>
      </c>
      <c r="S52" s="719"/>
      <c r="T52" s="21">
        <v>0.53749999999999998</v>
      </c>
      <c r="U52" s="21">
        <v>0.61805555555555602</v>
      </c>
      <c r="V52" s="30">
        <f t="shared" si="45"/>
        <v>92.999999999999517</v>
      </c>
      <c r="W52" s="236">
        <f t="shared" si="17"/>
        <v>116.00000000000071</v>
      </c>
      <c r="X52" s="22">
        <v>0.48611111111111099</v>
      </c>
      <c r="Y52" s="84">
        <v>0.52777777777777801</v>
      </c>
      <c r="Z52" s="90"/>
      <c r="AA52" s="90"/>
      <c r="AB52" s="713"/>
      <c r="AC52" s="713"/>
      <c r="AD52" s="92"/>
      <c r="AE52" s="92"/>
      <c r="AF52" s="307">
        <f t="shared" si="41"/>
        <v>-48.27586206897513</v>
      </c>
      <c r="AG52" s="72">
        <f t="shared" si="42"/>
        <v>0.96982758620689058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1"/>
        <v>0</v>
      </c>
      <c r="AG53" s="72" t="e">
        <f t="shared" si="42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6">AVERAGE(J49:J57)</f>
        <v>17.75</v>
      </c>
      <c r="K58" s="120">
        <f t="shared" si="46"/>
        <v>1582.5</v>
      </c>
      <c r="L58" s="117">
        <f t="shared" si="46"/>
        <v>89.195261437908499</v>
      </c>
      <c r="M58" s="120">
        <f t="shared" si="46"/>
        <v>17.75</v>
      </c>
      <c r="N58" s="120">
        <f t="shared" si="46"/>
        <v>1502.7176583060022</v>
      </c>
      <c r="O58" s="117">
        <f t="shared" si="46"/>
        <v>84.713806147052139</v>
      </c>
      <c r="P58" s="121">
        <f>M58-J58</f>
        <v>0</v>
      </c>
      <c r="Q58" s="122">
        <f>N58-K58</f>
        <v>-79.782341693997751</v>
      </c>
      <c r="R58" s="123">
        <f t="shared" ref="R58:R60" si="47">O58/L58</f>
        <v>0.949756800769332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1</v>
      </c>
      <c r="AE58" s="323">
        <f>SUM(AE49:AE57)</f>
        <v>1</v>
      </c>
      <c r="AF58" s="309">
        <f t="shared" ref="AF58:AF61" si="48">N58-K58</f>
        <v>-79.782341693997751</v>
      </c>
      <c r="AG58" s="124">
        <f t="shared" ref="AG58:AG61" si="49">N58/K58</f>
        <v>0.94958461820284501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4308</v>
      </c>
      <c r="H59" s="243">
        <f>F59*G59</f>
        <v>116272.92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0">K59/J59</f>
        <v>120.38461538461539</v>
      </c>
      <c r="M59" s="244">
        <v>13</v>
      </c>
      <c r="N59" s="137">
        <f t="shared" ref="N59:N61" si="51">G59/W59*60</f>
        <v>1436</v>
      </c>
      <c r="O59" s="138">
        <f t="shared" ref="O59:O61" si="52">N59/M59</f>
        <v>110.46153846153847</v>
      </c>
      <c r="P59" s="56">
        <f t="shared" ref="P59:P61" si="53">M59-J59</f>
        <v>0</v>
      </c>
      <c r="Q59" s="230">
        <f t="shared" ref="Q59:Q61" si="54">O59-L59</f>
        <v>-9.9230769230769198</v>
      </c>
      <c r="R59" s="52">
        <f t="shared" si="47"/>
        <v>0.91757188498402564</v>
      </c>
      <c r="S59" s="718">
        <f>R69</f>
        <v>0.83555185652536135</v>
      </c>
      <c r="T59" s="245">
        <v>0.29166666666666702</v>
      </c>
      <c r="U59" s="245">
        <v>0.41666666666666702</v>
      </c>
      <c r="V59" s="55"/>
      <c r="W59" s="54">
        <f t="shared" si="17"/>
        <v>180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48"/>
        <v>-129</v>
      </c>
      <c r="AG59" s="246">
        <f t="shared" si="49"/>
        <v>0.91757188498402553</v>
      </c>
      <c r="AH59" s="724">
        <f>AG69</f>
        <v>0.83712916476495103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611</v>
      </c>
      <c r="H60" s="78">
        <f>F60*G60</f>
        <v>17395.169999999998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0"/>
        <v>130.41666666666666</v>
      </c>
      <c r="M60" s="82">
        <v>12</v>
      </c>
      <c r="N60" s="80">
        <f t="shared" si="51"/>
        <v>1047.4285714285968</v>
      </c>
      <c r="O60" s="81">
        <f t="shared" si="52"/>
        <v>87.285714285716395</v>
      </c>
      <c r="P60" s="74">
        <f t="shared" si="53"/>
        <v>0</v>
      </c>
      <c r="Q60" s="83">
        <f t="shared" si="54"/>
        <v>-43.130952380950262</v>
      </c>
      <c r="R60" s="72">
        <f t="shared" si="47"/>
        <v>0.66928343222274556</v>
      </c>
      <c r="S60" s="768"/>
      <c r="T60" s="22">
        <v>0.43055555555555602</v>
      </c>
      <c r="U60" s="22">
        <v>0.45486111111111099</v>
      </c>
      <c r="V60" s="30">
        <f t="shared" ref="V60:V62" si="55">(T60-U59)*24*60</f>
        <v>20.000000000000171</v>
      </c>
      <c r="W60" s="248">
        <f t="shared" si="17"/>
        <v>34.999999999999154</v>
      </c>
      <c r="X60" s="232"/>
      <c r="Y60" s="177"/>
      <c r="Z60" s="90"/>
      <c r="AA60" s="90"/>
      <c r="AB60" s="713" t="s">
        <v>143</v>
      </c>
      <c r="AC60" s="713"/>
      <c r="AD60" s="92"/>
      <c r="AE60" s="92"/>
      <c r="AF60" s="316">
        <f t="shared" si="48"/>
        <v>-517.5714285714032</v>
      </c>
      <c r="AG60" s="249">
        <f t="shared" si="49"/>
        <v>0.66928343222274556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953</v>
      </c>
      <c r="H61" s="254">
        <f>F61*G61</f>
        <v>26931.780000000002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0"/>
        <v>130.41666666666666</v>
      </c>
      <c r="M61" s="108">
        <v>12</v>
      </c>
      <c r="N61" s="107">
        <f t="shared" si="51"/>
        <v>1429.4999999999877</v>
      </c>
      <c r="O61" s="238">
        <f t="shared" si="52"/>
        <v>119.12499999999898</v>
      </c>
      <c r="P61" s="111">
        <f t="shared" si="53"/>
        <v>0</v>
      </c>
      <c r="Q61" s="255">
        <f t="shared" si="54"/>
        <v>-11.29166666666768</v>
      </c>
      <c r="R61" s="85">
        <f>O61/L61</f>
        <v>0.91341853035142995</v>
      </c>
      <c r="S61" s="719"/>
      <c r="T61" s="22">
        <v>0.46527777777777801</v>
      </c>
      <c r="U61" s="22">
        <v>0.49305555555555602</v>
      </c>
      <c r="V61" s="30">
        <f t="shared" si="55"/>
        <v>15.000000000000506</v>
      </c>
      <c r="W61" s="256">
        <f t="shared" si="17"/>
        <v>40.000000000000341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48"/>
        <v>-135.50000000001228</v>
      </c>
      <c r="AG61" s="247">
        <f t="shared" si="49"/>
        <v>0.91341853035142984</v>
      </c>
      <c r="AH61" s="725"/>
    </row>
    <row r="62" spans="1:34" ht="15" customHeight="1">
      <c r="A62" s="766"/>
      <c r="B62" s="250" t="s">
        <v>135</v>
      </c>
      <c r="C62" s="251"/>
      <c r="D62" s="257" t="s">
        <v>138</v>
      </c>
      <c r="E62" s="253"/>
      <c r="F62" s="250">
        <f>VLOOKUP(D62,廠價表!$C$1:$E$41,3,0)</f>
        <v>28.26</v>
      </c>
      <c r="G62" s="38">
        <v>1062</v>
      </c>
      <c r="H62" s="254">
        <f>F62*G62</f>
        <v>30012.120000000003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>K62/J62</f>
        <v>130.41666666666666</v>
      </c>
      <c r="M62" s="108">
        <v>12</v>
      </c>
      <c r="N62" s="107">
        <f>G62/W62*60</f>
        <v>1327.5000000000089</v>
      </c>
      <c r="O62" s="238">
        <f>N62/M62</f>
        <v>110.62500000000074</v>
      </c>
      <c r="P62" s="111">
        <f>M62-J62</f>
        <v>0</v>
      </c>
      <c r="Q62" s="255">
        <f>O62-L62</f>
        <v>-19.791666666665918</v>
      </c>
      <c r="R62" s="85">
        <f>O62/L62</f>
        <v>0.84824281150160319</v>
      </c>
      <c r="S62" s="719"/>
      <c r="T62" s="22">
        <v>0.54513888888888895</v>
      </c>
      <c r="U62" s="22">
        <v>0.57847222222222205</v>
      </c>
      <c r="V62" s="30">
        <f t="shared" si="55"/>
        <v>74.999999999999417</v>
      </c>
      <c r="W62" s="248">
        <f t="shared" si="17"/>
        <v>47.999999999999673</v>
      </c>
      <c r="X62" s="22">
        <v>0.5</v>
      </c>
      <c r="Y62" s="84">
        <v>0.54166666666666696</v>
      </c>
      <c r="Z62" s="90"/>
      <c r="AA62" s="90"/>
      <c r="AB62" s="713"/>
      <c r="AC62" s="713"/>
      <c r="AD62" s="92"/>
      <c r="AE62" s="92"/>
      <c r="AF62" s="317">
        <f>N62-K62</f>
        <v>-237.49999999999113</v>
      </c>
      <c r="AG62" s="247">
        <f>N62/K62</f>
        <v>0.84824281150160308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6">AVERAGE(J59:J68)</f>
        <v>12.25</v>
      </c>
      <c r="K69" s="240">
        <f t="shared" si="56"/>
        <v>1565</v>
      </c>
      <c r="L69" s="268">
        <f t="shared" si="56"/>
        <v>127.90865384615384</v>
      </c>
      <c r="M69" s="240">
        <f t="shared" si="56"/>
        <v>12.25</v>
      </c>
      <c r="N69" s="240">
        <f t="shared" si="56"/>
        <v>1310.1071428571483</v>
      </c>
      <c r="O69" s="268">
        <f t="shared" si="56"/>
        <v>106.87431318681364</v>
      </c>
      <c r="P69" s="269">
        <f>M69-J69</f>
        <v>0</v>
      </c>
      <c r="Q69" s="222">
        <f>N69-K69</f>
        <v>-254.89285714285165</v>
      </c>
      <c r="R69" s="123">
        <f>O69/L69</f>
        <v>0.83555185652536135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-254.89285714285165</v>
      </c>
      <c r="AG69" s="124">
        <f>N69/K69</f>
        <v>0.83712916476495103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2256</v>
      </c>
      <c r="H70" s="243">
        <f>F70*G70</f>
        <v>114311.52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1002.6666666666667</v>
      </c>
      <c r="O70" s="138">
        <f>N70/M70</f>
        <v>100.26666666666668</v>
      </c>
      <c r="P70" s="56">
        <f>M70-J70</f>
        <v>0</v>
      </c>
      <c r="Q70" s="230">
        <f>O70-L70</f>
        <v>-12.23333333333332</v>
      </c>
      <c r="R70" s="52">
        <f>O70/L70</f>
        <v>0.89125925925925942</v>
      </c>
      <c r="S70" s="718">
        <f>R79</f>
        <v>0.89125925925925942</v>
      </c>
      <c r="T70" s="245">
        <v>0.33680555555555602</v>
      </c>
      <c r="U70" s="245">
        <v>0.43055555555555602</v>
      </c>
      <c r="V70" s="55"/>
      <c r="W70" s="54">
        <f t="shared" si="17"/>
        <v>135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-122.33333333333326</v>
      </c>
      <c r="AG70" s="246">
        <f>N70/K70</f>
        <v>0.89125925925925931</v>
      </c>
      <c r="AH70" s="724">
        <f>AG79</f>
        <v>0.89125925925925931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7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7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7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7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58">AVERAGE(J70:J78)</f>
        <v>10</v>
      </c>
      <c r="K79" s="240">
        <f t="shared" si="58"/>
        <v>1125</v>
      </c>
      <c r="L79" s="268">
        <f t="shared" si="58"/>
        <v>112.5</v>
      </c>
      <c r="M79" s="240">
        <f t="shared" si="58"/>
        <v>10</v>
      </c>
      <c r="N79" s="240">
        <f t="shared" si="58"/>
        <v>1002.6666666666667</v>
      </c>
      <c r="O79" s="268">
        <f t="shared" si="58"/>
        <v>100.26666666666668</v>
      </c>
      <c r="P79" s="269">
        <f>M79-J79</f>
        <v>0</v>
      </c>
      <c r="Q79" s="222">
        <f>N79-K79</f>
        <v>-122.33333333333326</v>
      </c>
      <c r="R79" s="223">
        <f>O79/L79</f>
        <v>0.89125925925925942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-122.33333333333326</v>
      </c>
      <c r="AG79" s="124">
        <f>N79/K79</f>
        <v>0.89125925925925931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1:S2"/>
    <mergeCell ref="T1:Y2"/>
    <mergeCell ref="AB1:AC2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N3:N4"/>
    <mergeCell ref="O3:O4"/>
    <mergeCell ref="P3:P4"/>
    <mergeCell ref="Q3:Q4"/>
    <mergeCell ref="R3:R4"/>
    <mergeCell ref="A5:A15"/>
    <mergeCell ref="S5:S15"/>
    <mergeCell ref="AB5:AC5"/>
    <mergeCell ref="D15:E15"/>
    <mergeCell ref="G3:G4"/>
    <mergeCell ref="H3:H4"/>
    <mergeCell ref="I3:I4"/>
    <mergeCell ref="AB3:AC4"/>
    <mergeCell ref="Z3:AA3"/>
    <mergeCell ref="S3:S4"/>
    <mergeCell ref="T3:U3"/>
    <mergeCell ref="V3:V4"/>
    <mergeCell ref="W3:W4"/>
    <mergeCell ref="X3:Y3"/>
    <mergeCell ref="A16:A26"/>
    <mergeCell ref="S16:S26"/>
    <mergeCell ref="AB16:AC16"/>
    <mergeCell ref="D26:E26"/>
    <mergeCell ref="AB26:AC26"/>
    <mergeCell ref="A2:B2"/>
    <mergeCell ref="A3:A4"/>
    <mergeCell ref="B3:B4"/>
    <mergeCell ref="D3:E4"/>
    <mergeCell ref="F3:F4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5:AC15"/>
    <mergeCell ref="AB13:AC1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31" type="noConversion"/>
  <conditionalFormatting sqref="P5:P79">
    <cfRule type="cellIs" dxfId="309" priority="1" operator="greaterThan">
      <formula>0</formula>
    </cfRule>
  </conditionalFormatting>
  <conditionalFormatting sqref="Q5:Q79 AF5:AF79">
    <cfRule type="cellIs" dxfId="308" priority="4" operator="lessThan">
      <formula>0</formula>
    </cfRule>
  </conditionalFormatting>
  <conditionalFormatting sqref="R5:R79 AG5:AG79">
    <cfRule type="cellIs" dxfId="307" priority="2" operator="greaterThan">
      <formula>1</formula>
    </cfRule>
    <cfRule type="cellIs" dxfId="306" priority="3" operator="lessThan">
      <formula>0.8</formula>
    </cfRule>
  </conditionalFormatting>
  <conditionalFormatting sqref="S5:S10 S37:S62 AH59:AH62 S69:S76 AH69:AH76">
    <cfRule type="cellIs" dxfId="305" priority="7" operator="lessThan">
      <formula>0.8</formula>
    </cfRule>
  </conditionalFormatting>
  <conditionalFormatting sqref="S19:S25 AH19:AH25">
    <cfRule type="cellIs" dxfId="304" priority="6" operator="lessThan">
      <formula>0.8</formula>
    </cfRule>
  </conditionalFormatting>
  <conditionalFormatting sqref="S79">
    <cfRule type="cellIs" dxfId="303" priority="5" operator="lessThan">
      <formula>0.8</formula>
    </cfRule>
  </conditionalFormatting>
  <conditionalFormatting sqref="AH5:AH8 S15:S16 AH15:AH16 AH49 AH79">
    <cfRule type="cellIs" dxfId="302" priority="9" operator="lessThan">
      <formula>0.8</formula>
    </cfRule>
  </conditionalFormatting>
  <conditionalFormatting sqref="AH27 S27:S28">
    <cfRule type="cellIs" dxfId="30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ADAD99-C1D7-4113-9015-884C7FCAE93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C3E7-1F75-4A3D-8C5D-85E2AFF82D87}">
  <dimension ref="B1:O26"/>
  <sheetViews>
    <sheetView topLeftCell="C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46029</v>
      </c>
      <c r="E3" s="645"/>
      <c r="F3" s="3" t="s">
        <v>72</v>
      </c>
      <c r="G3" s="646">
        <f>'0107'!E1</f>
        <v>50807</v>
      </c>
      <c r="H3" s="646"/>
      <c r="I3" s="3" t="s">
        <v>2</v>
      </c>
      <c r="J3" s="647">
        <f>'0107'!G1</f>
        <v>2444590.83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111.84298077361849</v>
      </c>
      <c r="G6" s="652"/>
      <c r="H6" s="653">
        <f>AVERAGE(D13:H13,J13)</f>
        <v>109.58337073161475</v>
      </c>
      <c r="I6" s="653"/>
      <c r="J6" s="653">
        <f>AVERAGE(I13)</f>
        <v>125.40064102564102</v>
      </c>
      <c r="K6" s="653"/>
      <c r="L6" s="769">
        <f>AVERAGE(D18:J18)</f>
        <v>0</v>
      </c>
      <c r="M6" s="656">
        <f>AVERAGE(D19:J19)</f>
        <v>0</v>
      </c>
      <c r="N6" s="771">
        <f>SUM(D20:J20)</f>
        <v>2</v>
      </c>
      <c r="O6" s="656">
        <f>SUM(D20:J20)</f>
        <v>2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94.725890618571285</v>
      </c>
      <c r="G7" s="676"/>
      <c r="H7" s="677">
        <f>AVERAGE(D14:H14,J14)</f>
        <v>94.225781548972932</v>
      </c>
      <c r="I7" s="677"/>
      <c r="J7" s="677">
        <f>AVERAGE(I14)</f>
        <v>97.726545036161426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0.84695427431700943</v>
      </c>
      <c r="G8" s="649"/>
      <c r="H8" s="649">
        <f>H7/H6</f>
        <v>0.85985474730235545</v>
      </c>
      <c r="I8" s="649"/>
      <c r="J8" s="649">
        <f>J7/J6</f>
        <v>0.77931455722127452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VALUE('0107'!L15)</f>
        <v>126.55462184873952</v>
      </c>
      <c r="E13" s="13">
        <f>VALUE('0107'!L26)</f>
        <v>162.27564102564102</v>
      </c>
      <c r="F13" s="13">
        <f>VALUE('0107'!L37)</f>
        <v>85.470588235294116</v>
      </c>
      <c r="G13" s="13">
        <f>VALUE('0107'!L48)</f>
        <v>81.50411184210526</v>
      </c>
      <c r="H13" s="13">
        <f>VALUE('0107'!L58)</f>
        <v>89.195261437908499</v>
      </c>
      <c r="I13" s="13">
        <f>VALUE('0107'!L69)</f>
        <v>125.40064102564102</v>
      </c>
      <c r="J13" s="13">
        <f>'0107'!L79</f>
        <v>112.5</v>
      </c>
    </row>
    <row r="14" spans="2:15" ht="39.950000000000003" customHeight="1">
      <c r="B14" s="670"/>
      <c r="C14" s="12" t="s">
        <v>100</v>
      </c>
      <c r="D14" s="13">
        <f>VALUE('0107'!O15)</f>
        <v>115.79786113688883</v>
      </c>
      <c r="E14" s="13">
        <f>VALUE('0107'!O26)</f>
        <v>145.647025912679</v>
      </c>
      <c r="F14" s="13">
        <f>VALUE('0107'!O37)</f>
        <v>77.695002516863738</v>
      </c>
      <c r="G14" s="13">
        <f>VALUE('0107'!O48)</f>
        <v>72.794418435338073</v>
      </c>
      <c r="H14" s="13">
        <f>VALUE('0107'!O58)</f>
        <v>84.256744928431516</v>
      </c>
      <c r="I14" s="13">
        <f>VALUE('0107'!O69)</f>
        <v>97.726545036161426</v>
      </c>
      <c r="J14" s="13">
        <f>'0107'!O79</f>
        <v>69.163636363636584</v>
      </c>
    </row>
    <row r="15" spans="2:15" ht="39.950000000000003" customHeight="1">
      <c r="B15" s="671"/>
      <c r="C15" s="10" t="s">
        <v>26</v>
      </c>
      <c r="D15" s="14">
        <f>D14/D13</f>
        <v>0.91500301960755437</v>
      </c>
      <c r="E15" s="14">
        <f t="shared" ref="E15:I15" si="1">E14/E13</f>
        <v>0.89752858156736814</v>
      </c>
      <c r="F15" s="14">
        <f t="shared" si="1"/>
        <v>0.90902618223446907</v>
      </c>
      <c r="G15" s="14">
        <f t="shared" si="1"/>
        <v>0.89313798764361563</v>
      </c>
      <c r="H15" s="14">
        <f>H14/H13</f>
        <v>0.94463252385985963</v>
      </c>
      <c r="I15" s="14">
        <f t="shared" si="1"/>
        <v>0.77931455722127452</v>
      </c>
      <c r="J15" s="14">
        <f>J14/J13</f>
        <v>0.61478787878788077</v>
      </c>
    </row>
    <row r="16" spans="2:15" ht="17.25" customHeight="1">
      <c r="B16" s="672" t="s">
        <v>101</v>
      </c>
      <c r="C16" s="10" t="s">
        <v>34</v>
      </c>
      <c r="D16" s="16">
        <f>'0107'!T5</f>
        <v>0.29375000000000001</v>
      </c>
      <c r="E16" s="16">
        <f>'0107'!T16</f>
        <v>0.29027777777777802</v>
      </c>
      <c r="F16" s="16">
        <f>'0107'!T27</f>
        <v>0.29166666666666702</v>
      </c>
      <c r="G16" s="16">
        <f>'0107'!T38</f>
        <v>0.33333333333333298</v>
      </c>
      <c r="H16" s="16">
        <f>'0107'!T49</f>
        <v>0.29166666666666702</v>
      </c>
      <c r="I16" s="16">
        <f>'0107'!T59</f>
        <v>0.29166666666666702</v>
      </c>
      <c r="J16" s="17">
        <f>'0107'!T70</f>
        <v>0.34027777777777801</v>
      </c>
    </row>
    <row r="17" spans="2:10" ht="17.25" customHeight="1">
      <c r="B17" s="673"/>
      <c r="C17" s="10" t="s">
        <v>35</v>
      </c>
      <c r="D17" s="575">
        <v>0.62361111111111101</v>
      </c>
      <c r="E17" s="484">
        <v>0.60347222222222197</v>
      </c>
      <c r="F17" s="484">
        <v>0.60277777777777797</v>
      </c>
      <c r="G17" s="520">
        <v>0.63888888888888895</v>
      </c>
      <c r="H17" s="482">
        <v>0.63402777777777797</v>
      </c>
      <c r="I17" s="422">
        <v>0.60069444444444398</v>
      </c>
      <c r="J17" s="450">
        <v>0.45486111111111099</v>
      </c>
    </row>
    <row r="18" spans="2:10" ht="17.25" customHeight="1">
      <c r="B18" s="674" t="s">
        <v>102</v>
      </c>
      <c r="C18" s="330" t="s">
        <v>36</v>
      </c>
      <c r="D18" s="358">
        <f>'0107'!Z15</f>
        <v>0</v>
      </c>
      <c r="E18" s="359">
        <f>'0107'!Z26</f>
        <v>0</v>
      </c>
      <c r="F18" s="359">
        <f>'0107'!Z37</f>
        <v>0</v>
      </c>
      <c r="G18" s="360">
        <f>'0107'!Z48</f>
        <v>0</v>
      </c>
      <c r="H18" s="360">
        <f>'0107'!Z58</f>
        <v>0</v>
      </c>
      <c r="I18" s="359">
        <f>'0107'!Z69</f>
        <v>0</v>
      </c>
      <c r="J18" s="359">
        <f>'0107'!Z79</f>
        <v>0</v>
      </c>
    </row>
    <row r="19" spans="2:10" ht="17.25" customHeight="1">
      <c r="B19" s="675"/>
      <c r="C19" s="330" t="s">
        <v>37</v>
      </c>
      <c r="D19" s="358">
        <f>'0107'!AA15</f>
        <v>0</v>
      </c>
      <c r="E19" s="359">
        <f>'0107'!AA26</f>
        <v>0</v>
      </c>
      <c r="F19" s="359">
        <f>'0107'!AA37</f>
        <v>0</v>
      </c>
      <c r="G19" s="360">
        <f>'0107'!AA48</f>
        <v>0</v>
      </c>
      <c r="H19" s="360">
        <f>'0107'!AA58</f>
        <v>0</v>
      </c>
      <c r="I19" s="359">
        <f>'0107'!AA69</f>
        <v>0</v>
      </c>
      <c r="J19" s="359">
        <f>'0107'!AA79</f>
        <v>0</v>
      </c>
    </row>
    <row r="20" spans="2:10" ht="17.25" customHeight="1">
      <c r="B20" s="674" t="s">
        <v>103</v>
      </c>
      <c r="C20" s="330" t="s">
        <v>36</v>
      </c>
      <c r="D20" s="358">
        <f>'0107'!AD15</f>
        <v>1</v>
      </c>
      <c r="E20" s="359">
        <f>'0107'!AD26</f>
        <v>1</v>
      </c>
      <c r="F20" s="359">
        <f>'0107'!AD37</f>
        <v>0</v>
      </c>
      <c r="G20" s="360">
        <f>'0107'!AD48</f>
        <v>0</v>
      </c>
      <c r="H20" s="360">
        <f>'0107'!AD58</f>
        <v>0</v>
      </c>
      <c r="I20" s="359">
        <f>'0107'!AD69</f>
        <v>0</v>
      </c>
      <c r="J20" s="359">
        <f>'0107'!AD79</f>
        <v>0</v>
      </c>
    </row>
    <row r="21" spans="2:10" ht="17.25" customHeight="1">
      <c r="B21" s="675"/>
      <c r="C21" s="330" t="s">
        <v>85</v>
      </c>
      <c r="D21" s="358">
        <f>'0107'!AE15</f>
        <v>1</v>
      </c>
      <c r="E21" s="359">
        <f>'0107'!AE26</f>
        <v>1</v>
      </c>
      <c r="F21" s="359">
        <f>'0107'!AE37</f>
        <v>0</v>
      </c>
      <c r="G21" s="360">
        <f>'0107'!AE48</f>
        <v>0</v>
      </c>
      <c r="H21" s="360">
        <f>'0107'!AE58</f>
        <v>0</v>
      </c>
      <c r="I21" s="359">
        <f>'0107'!AE69</f>
        <v>0</v>
      </c>
      <c r="J21" s="359">
        <f>'0107'!AE79</f>
        <v>0</v>
      </c>
    </row>
    <row r="22" spans="2:10" ht="17.25" customHeight="1">
      <c r="B22" s="658" t="s">
        <v>104</v>
      </c>
      <c r="C22" s="659"/>
      <c r="D22" s="23">
        <f>VALUE('0107'!M15)</f>
        <v>14.75</v>
      </c>
      <c r="E22" s="23">
        <f>VALUE('0107'!M26)</f>
        <v>12.75</v>
      </c>
      <c r="F22" s="23">
        <f>VALUE('0107'!M37)</f>
        <v>14.6</v>
      </c>
      <c r="G22" s="23">
        <f>VALUE('0107'!M48)</f>
        <v>14.5</v>
      </c>
      <c r="H22" s="23">
        <f>VALUE('0107'!M58)</f>
        <v>17.25</v>
      </c>
      <c r="I22" s="23">
        <f>VALUE('0107'!M69)</f>
        <v>12.25</v>
      </c>
      <c r="J22" s="23">
        <f>VALUE('0107'!M79)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0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BCE6-7885-4448-A018-D6A0D1DD1FC3}">
  <sheetPr>
    <tabColor theme="9" tint="0.79998168889431442"/>
  </sheetPr>
  <dimension ref="A1:AJ92"/>
  <sheetViews>
    <sheetView zoomScale="69" zoomScaleNormal="69" workbookViewId="0">
      <pane xSplit="5" ySplit="4" topLeftCell="F20" activePane="bottomRight" state="frozen"/>
      <selection activeCell="G76" sqref="G76"/>
      <selection pane="topRight" activeCell="G76" sqref="G76"/>
      <selection pane="bottomLeft" activeCell="G76" sqref="G76"/>
      <selection pane="bottomRight" activeCell="AB70" sqref="AB70:AC70"/>
    </sheetView>
  </sheetViews>
  <sheetFormatPr defaultColWidth="8.7109375" defaultRowHeight="15.75"/>
  <cols>
    <col min="1" max="1" width="16.42578125" style="362" customWidth="1"/>
    <col min="2" max="2" width="14.140625" style="362" customWidth="1"/>
    <col min="3" max="3" width="14.140625" style="362" hidden="1" customWidth="1"/>
    <col min="4" max="4" width="28.7109375" style="362" bestFit="1" customWidth="1"/>
    <col min="5" max="5" width="16.42578125" style="362" customWidth="1"/>
    <col min="6" max="6" width="9.85546875" style="362" bestFit="1" customWidth="1"/>
    <col min="7" max="7" width="22.140625" style="362" bestFit="1" customWidth="1"/>
    <col min="8" max="8" width="18" style="362" bestFit="1" customWidth="1"/>
    <col min="9" max="9" width="12" style="362" bestFit="1" customWidth="1"/>
    <col min="10" max="10" width="11.140625" style="362" bestFit="1" customWidth="1"/>
    <col min="11" max="11" width="11.7109375" style="362" customWidth="1"/>
    <col min="12" max="12" width="15.85546875" style="362" customWidth="1"/>
    <col min="13" max="13" width="11.140625" style="362" bestFit="1" customWidth="1"/>
    <col min="14" max="14" width="11.28515625" style="362" bestFit="1" customWidth="1"/>
    <col min="15" max="15" width="13.140625" style="362" customWidth="1"/>
    <col min="16" max="17" width="10" style="362" bestFit="1" customWidth="1"/>
    <col min="18" max="18" width="10" style="362" customWidth="1"/>
    <col min="19" max="19" width="9.140625" style="362" customWidth="1"/>
    <col min="20" max="21" width="10.28515625" style="362" bestFit="1" customWidth="1"/>
    <col min="22" max="22" width="11.7109375" style="362" customWidth="1"/>
    <col min="23" max="23" width="9.42578125" style="363" customWidth="1"/>
    <col min="24" max="24" width="8.140625" style="362" bestFit="1" customWidth="1"/>
    <col min="25" max="25" width="7.5703125" style="362" customWidth="1"/>
    <col min="26" max="27" width="14.7109375" style="362" customWidth="1"/>
    <col min="28" max="28" width="13.85546875" style="362" customWidth="1"/>
    <col min="29" max="29" width="36.7109375" style="362" customWidth="1"/>
    <col min="30" max="31" width="15.5703125" style="362" customWidth="1"/>
    <col min="32" max="32" width="14.42578125" style="362" bestFit="1" customWidth="1"/>
    <col min="33" max="33" width="11.42578125" style="362" customWidth="1"/>
    <col min="34" max="34" width="10" style="362" customWidth="1"/>
    <col min="35" max="35" width="8.7109375" style="362" customWidth="1"/>
    <col min="36" max="36" width="26.85546875" style="362" bestFit="1" customWidth="1"/>
    <col min="37" max="55" width="8.7109375" style="362" customWidth="1"/>
    <col min="56" max="16384" width="8.7109375" style="362"/>
  </cols>
  <sheetData>
    <row r="1" spans="1:34" ht="31.5">
      <c r="A1" s="612" t="s">
        <v>0</v>
      </c>
      <c r="B1" s="612"/>
      <c r="C1" s="612"/>
      <c r="D1" s="607" t="s">
        <v>1</v>
      </c>
      <c r="E1" s="611">
        <f>SUM(G5:G79)</f>
        <v>50807</v>
      </c>
      <c r="F1" s="399" t="s">
        <v>2</v>
      </c>
      <c r="G1" s="610">
        <f>SUM(H5:H79)</f>
        <v>2444590.83</v>
      </c>
      <c r="H1" s="601" t="s">
        <v>3</v>
      </c>
      <c r="I1" s="609">
        <f>M15+M26+M48+M58+M69+M79+M37</f>
        <v>96.1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608" t="s">
        <v>8</v>
      </c>
      <c r="AA1" s="608" t="s">
        <v>9</v>
      </c>
      <c r="AB1" s="787" t="s">
        <v>10</v>
      </c>
      <c r="AC1" s="787"/>
      <c r="AD1" s="608" t="s">
        <v>8</v>
      </c>
      <c r="AE1" s="608" t="s">
        <v>11</v>
      </c>
      <c r="AF1" s="787" t="s">
        <v>12</v>
      </c>
      <c r="AG1" s="808"/>
      <c r="AH1" s="808"/>
    </row>
    <row r="2" spans="1:34" ht="23.25">
      <c r="A2" s="772" t="s">
        <v>157</v>
      </c>
      <c r="B2" s="772"/>
      <c r="C2" s="607"/>
      <c r="D2" s="607" t="s">
        <v>14</v>
      </c>
      <c r="E2" s="606">
        <f>AVERAGE(O15,O26,O37,O48,O58,O69,O79)</f>
        <v>94.725890618571285</v>
      </c>
      <c r="F2" s="605" t="s">
        <v>15</v>
      </c>
      <c r="G2" s="604">
        <f>G1/E1</f>
        <v>48.115236679985045</v>
      </c>
      <c r="H2" s="601" t="s">
        <v>16</v>
      </c>
      <c r="I2" s="601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603">
        <f>Z15+Z26+Z37+Z48+Z58+Z69+Z79</f>
        <v>0</v>
      </c>
      <c r="AA2" s="603">
        <f>AA15+AA26+AA37+AA48+AA58+AA69+AA79</f>
        <v>0</v>
      </c>
      <c r="AB2" s="798"/>
      <c r="AC2" s="798"/>
      <c r="AD2" s="602">
        <f>AD15+AD26+AD37+AD48+AD58+AD69+AD79</f>
        <v>2</v>
      </c>
      <c r="AE2" s="602">
        <f>AE15+AE26+AE37+AE48+AE58+AE69+AE79</f>
        <v>2</v>
      </c>
      <c r="AF2" s="808"/>
      <c r="AG2" s="808"/>
      <c r="AH2" s="808"/>
    </row>
    <row r="3" spans="1:34" ht="32.1" customHeight="1">
      <c r="A3" s="773" t="s">
        <v>17</v>
      </c>
      <c r="B3" s="773" t="s">
        <v>18</v>
      </c>
      <c r="C3" s="399"/>
      <c r="D3" s="773" t="s">
        <v>19</v>
      </c>
      <c r="E3" s="773"/>
      <c r="F3" s="775" t="s">
        <v>20</v>
      </c>
      <c r="G3" s="777" t="s">
        <v>21</v>
      </c>
      <c r="H3" s="775" t="s">
        <v>22</v>
      </c>
      <c r="I3" s="783" t="s">
        <v>23</v>
      </c>
      <c r="J3" s="785" t="s">
        <v>24</v>
      </c>
      <c r="K3" s="779" t="s">
        <v>25</v>
      </c>
      <c r="L3" s="781" t="s">
        <v>14</v>
      </c>
      <c r="M3" s="777" t="s">
        <v>24</v>
      </c>
      <c r="N3" s="779" t="s">
        <v>25</v>
      </c>
      <c r="O3" s="781" t="s">
        <v>14</v>
      </c>
      <c r="P3" s="785" t="s">
        <v>24</v>
      </c>
      <c r="Q3" s="781" t="s">
        <v>14</v>
      </c>
      <c r="R3" s="792" t="s">
        <v>26</v>
      </c>
      <c r="S3" s="794" t="s">
        <v>27</v>
      </c>
      <c r="T3" s="777" t="s">
        <v>28</v>
      </c>
      <c r="U3" s="777"/>
      <c r="V3" s="796" t="s">
        <v>29</v>
      </c>
      <c r="W3" s="783" t="s">
        <v>30</v>
      </c>
      <c r="X3" s="777" t="s">
        <v>31</v>
      </c>
      <c r="Y3" s="797"/>
      <c r="Z3" s="803" t="s">
        <v>32</v>
      </c>
      <c r="AA3" s="804"/>
      <c r="AB3" s="805"/>
      <c r="AC3" s="806"/>
      <c r="AD3" s="803" t="s">
        <v>33</v>
      </c>
      <c r="AE3" s="804"/>
      <c r="AF3" s="799" t="s">
        <v>25</v>
      </c>
      <c r="AG3" s="801" t="s">
        <v>26</v>
      </c>
      <c r="AH3" s="790" t="s">
        <v>27</v>
      </c>
    </row>
    <row r="4" spans="1:34">
      <c r="A4" s="774"/>
      <c r="B4" s="774"/>
      <c r="C4" s="388"/>
      <c r="D4" s="774"/>
      <c r="E4" s="774"/>
      <c r="F4" s="776"/>
      <c r="G4" s="778"/>
      <c r="H4" s="776"/>
      <c r="I4" s="784"/>
      <c r="J4" s="786"/>
      <c r="K4" s="780"/>
      <c r="L4" s="782"/>
      <c r="M4" s="778"/>
      <c r="N4" s="780"/>
      <c r="O4" s="782"/>
      <c r="P4" s="786"/>
      <c r="Q4" s="782"/>
      <c r="R4" s="793"/>
      <c r="S4" s="795"/>
      <c r="T4" s="600" t="s">
        <v>34</v>
      </c>
      <c r="U4" s="600" t="s">
        <v>35</v>
      </c>
      <c r="V4" s="778"/>
      <c r="W4" s="784"/>
      <c r="X4" s="599" t="s">
        <v>34</v>
      </c>
      <c r="Y4" s="598" t="s">
        <v>35</v>
      </c>
      <c r="Z4" s="597" t="s">
        <v>36</v>
      </c>
      <c r="AA4" s="597" t="s">
        <v>37</v>
      </c>
      <c r="AB4" s="807"/>
      <c r="AC4" s="807"/>
      <c r="AD4" s="597" t="s">
        <v>38</v>
      </c>
      <c r="AE4" s="597" t="s">
        <v>39</v>
      </c>
      <c r="AF4" s="800"/>
      <c r="AG4" s="802"/>
      <c r="AH4" s="791"/>
    </row>
    <row r="5" spans="1:34" ht="15" customHeight="1">
      <c r="A5" s="809" t="s">
        <v>40</v>
      </c>
      <c r="B5" s="39" t="s">
        <v>81</v>
      </c>
      <c r="C5" s="596"/>
      <c r="D5" s="168" t="s">
        <v>113</v>
      </c>
      <c r="E5" s="41"/>
      <c r="F5" s="39">
        <f>VLOOKUP(D5,廠價表!$C$1:$E$41,3,0)</f>
        <v>47.71</v>
      </c>
      <c r="G5" s="595">
        <v>2869</v>
      </c>
      <c r="H5" s="594">
        <f>F5*G5</f>
        <v>136879.99</v>
      </c>
      <c r="I5" s="593"/>
      <c r="J5" s="592">
        <f>VLOOKUP(D5,產線配置圖!$A$3:$C$39,2,0)</f>
        <v>14</v>
      </c>
      <c r="K5" s="590">
        <f>VLOOKUP(D5,產線配置圖!$A$3:$C$39,3,0)</f>
        <v>1440</v>
      </c>
      <c r="L5" s="589">
        <f>K5/J5</f>
        <v>102.85714285714286</v>
      </c>
      <c r="M5" s="591">
        <v>14</v>
      </c>
      <c r="N5" s="590">
        <f>G5/W5*60</f>
        <v>1410.9836065573811</v>
      </c>
      <c r="O5" s="589">
        <f>N5/M5</f>
        <v>100.78454332552722</v>
      </c>
      <c r="P5" s="588">
        <f>M5-J5</f>
        <v>0</v>
      </c>
      <c r="Q5" s="587">
        <f>O5-L5</f>
        <v>-2.0725995316156371</v>
      </c>
      <c r="R5" s="51">
        <f>O5/L5</f>
        <v>0.97984972677595905</v>
      </c>
      <c r="S5" s="718">
        <f>R15</f>
        <v>0.91500301960755437</v>
      </c>
      <c r="T5" s="586">
        <v>0.29375000000000001</v>
      </c>
      <c r="U5" s="585">
        <v>0.37847222222222199</v>
      </c>
      <c r="V5" s="584"/>
      <c r="W5" s="448">
        <f t="shared" ref="W5:W14" si="0">(U5-T5)*24*60</f>
        <v>121.99999999999964</v>
      </c>
      <c r="X5" s="449"/>
      <c r="Y5" s="473"/>
      <c r="Z5" s="445"/>
      <c r="AA5" s="445"/>
      <c r="AB5" s="813" t="s">
        <v>142</v>
      </c>
      <c r="AC5" s="813"/>
      <c r="AD5" s="444">
        <v>1</v>
      </c>
      <c r="AE5" s="444">
        <v>1</v>
      </c>
      <c r="AF5" s="486">
        <f t="shared" ref="AF5:AF11" si="1">N5-K5</f>
        <v>-29.016393442618892</v>
      </c>
      <c r="AG5" s="52">
        <f t="shared" ref="AG5:AG11" si="2">N5/K5</f>
        <v>0.97984972677595905</v>
      </c>
      <c r="AH5" s="724">
        <f>AG15</f>
        <v>0.91295025630694804</v>
      </c>
    </row>
    <row r="6" spans="1:34" ht="15" customHeight="1">
      <c r="A6" s="810"/>
      <c r="B6" s="57" t="s">
        <v>81</v>
      </c>
      <c r="C6" s="427"/>
      <c r="D6" s="59" t="s">
        <v>114</v>
      </c>
      <c r="E6" s="60"/>
      <c r="F6" s="61">
        <f>VLOOKUP(D6,廠價表!$C$1:$E$41,3,0)</f>
        <v>57.21</v>
      </c>
      <c r="G6" s="573">
        <v>1511</v>
      </c>
      <c r="H6" s="583">
        <f>F6*G6</f>
        <v>86444.31</v>
      </c>
      <c r="I6" s="582"/>
      <c r="J6" s="581">
        <f>VLOOKUP(D6,產線配置圖!$A$3:$C$39,2,0)</f>
        <v>17</v>
      </c>
      <c r="K6" s="576">
        <f>VLOOKUP(D6,產線配置圖!$A$3:$C$39,3,0)</f>
        <v>2000</v>
      </c>
      <c r="L6" s="580">
        <f>K6/J6</f>
        <v>117.64705882352941</v>
      </c>
      <c r="M6" s="468">
        <v>17</v>
      </c>
      <c r="N6" s="576">
        <f>G6/W6*60</f>
        <v>1743.4615384615445</v>
      </c>
      <c r="O6" s="580">
        <f>N6/M6</f>
        <v>102.5565610859732</v>
      </c>
      <c r="P6" s="579">
        <f>M6-J6</f>
        <v>0</v>
      </c>
      <c r="Q6" s="578">
        <f>O6-L6</f>
        <v>-15.090497737556205</v>
      </c>
      <c r="R6" s="71">
        <f>O6/L6</f>
        <v>0.8717307692307722</v>
      </c>
      <c r="S6" s="719"/>
      <c r="T6" s="575">
        <v>0.38750000000000001</v>
      </c>
      <c r="U6" s="575">
        <v>0.42361111111111099</v>
      </c>
      <c r="V6" s="399">
        <f>(T6-U5)*24*60</f>
        <v>13.000000000000353</v>
      </c>
      <c r="W6" s="387">
        <f t="shared" si="0"/>
        <v>51.999999999999815</v>
      </c>
      <c r="X6" s="422"/>
      <c r="Y6" s="421"/>
      <c r="Z6" s="411"/>
      <c r="AA6" s="411"/>
      <c r="AB6" s="814"/>
      <c r="AC6" s="814"/>
      <c r="AD6" s="548"/>
      <c r="AE6" s="548"/>
      <c r="AF6" s="402">
        <f t="shared" si="1"/>
        <v>-256.53846153845552</v>
      </c>
      <c r="AG6" s="72">
        <f t="shared" si="2"/>
        <v>0.8717307692307722</v>
      </c>
      <c r="AH6" s="725"/>
    </row>
    <row r="7" spans="1:34" ht="15" customHeight="1">
      <c r="A7" s="810"/>
      <c r="B7" s="75" t="s">
        <v>81</v>
      </c>
      <c r="C7" s="439"/>
      <c r="D7" s="59" t="s">
        <v>115</v>
      </c>
      <c r="E7" s="77"/>
      <c r="F7" s="75">
        <f>VLOOKUP(D7,廠價表!$C$1:$E$41,3,0)</f>
        <v>49.14</v>
      </c>
      <c r="G7" s="576">
        <v>1997</v>
      </c>
      <c r="H7" s="398">
        <f>F7*G7</f>
        <v>98132.58</v>
      </c>
      <c r="I7" s="387"/>
      <c r="J7" s="433">
        <f>VLOOKUP(D7,產線配置圖!$A$3:$C$39,2,0)</f>
        <v>14</v>
      </c>
      <c r="K7" s="431">
        <f>VLOOKUP(D7,產線配置圖!$A$3:$C$39,3,0)</f>
        <v>2000</v>
      </c>
      <c r="L7" s="430">
        <f>K7/J7</f>
        <v>142.85714285714286</v>
      </c>
      <c r="M7" s="432">
        <v>14</v>
      </c>
      <c r="N7" s="431">
        <f>G7/W7*60</f>
        <v>1901.9047619047615</v>
      </c>
      <c r="O7" s="430">
        <f>N7/M7</f>
        <v>135.8503401360544</v>
      </c>
      <c r="P7" s="429">
        <f>M7-J7</f>
        <v>0</v>
      </c>
      <c r="Q7" s="428">
        <f>O7-L7</f>
        <v>-7.0068027210884622</v>
      </c>
      <c r="R7" s="72">
        <f>O7/L7</f>
        <v>0.95095238095238077</v>
      </c>
      <c r="S7" s="719"/>
      <c r="T7" s="577">
        <v>0.43402777777777801</v>
      </c>
      <c r="U7" s="577">
        <v>0.47777777777777802</v>
      </c>
      <c r="V7" s="399">
        <f>(T7-U6)*24*60</f>
        <v>15.000000000000506</v>
      </c>
      <c r="W7" s="387">
        <f t="shared" si="0"/>
        <v>63.000000000000014</v>
      </c>
      <c r="X7" s="422"/>
      <c r="Y7" s="421"/>
      <c r="Z7" s="411"/>
      <c r="AA7" s="411"/>
      <c r="AB7" s="815"/>
      <c r="AC7" s="815"/>
      <c r="AD7" s="386"/>
      <c r="AE7" s="386"/>
      <c r="AF7" s="402">
        <f t="shared" si="1"/>
        <v>-98.095238095238528</v>
      </c>
      <c r="AG7" s="72">
        <f t="shared" si="2"/>
        <v>0.95095238095238077</v>
      </c>
      <c r="AH7" s="725"/>
    </row>
    <row r="8" spans="1:34" ht="15" customHeight="1">
      <c r="A8" s="810"/>
      <c r="B8" s="75" t="s">
        <v>81</v>
      </c>
      <c r="C8" s="439"/>
      <c r="D8" s="59" t="s">
        <v>115</v>
      </c>
      <c r="E8" s="77"/>
      <c r="F8" s="75">
        <f>VLOOKUP(D8,廠價表!$C$1:$E$41,3,0)</f>
        <v>49.14</v>
      </c>
      <c r="G8" s="576">
        <v>3472</v>
      </c>
      <c r="H8" s="398">
        <f>F8*G8</f>
        <v>170614.08000000002</v>
      </c>
      <c r="I8" s="387"/>
      <c r="J8" s="433">
        <f>VLOOKUP(D8,產線配置圖!$A$3:$C$39,2,0)</f>
        <v>14</v>
      </c>
      <c r="K8" s="431">
        <f>VLOOKUP(D8,產線配置圖!$A$3:$C$39,3,0)</f>
        <v>2000</v>
      </c>
      <c r="L8" s="430">
        <f>K8/J8</f>
        <v>142.85714285714286</v>
      </c>
      <c r="M8" s="432">
        <v>14</v>
      </c>
      <c r="N8" s="431">
        <f>G8/W8*60</f>
        <v>1736.0000000000061</v>
      </c>
      <c r="O8" s="430">
        <f>N8/M8</f>
        <v>124.00000000000044</v>
      </c>
      <c r="P8" s="429">
        <f>M8-J8</f>
        <v>0</v>
      </c>
      <c r="Q8" s="428">
        <f>O8-L8</f>
        <v>-18.857142857142421</v>
      </c>
      <c r="R8" s="72">
        <f>O8/L8</f>
        <v>0.8680000000000031</v>
      </c>
      <c r="S8" s="719"/>
      <c r="T8" s="575">
        <v>0.54027777777777797</v>
      </c>
      <c r="U8" s="575">
        <v>0.62361111111111101</v>
      </c>
      <c r="V8" s="399">
        <f>(T8-U7)*24*60</f>
        <v>89.999999999999915</v>
      </c>
      <c r="W8" s="387">
        <f t="shared" si="0"/>
        <v>119.99999999999957</v>
      </c>
      <c r="X8" s="422">
        <v>0.48611111111111099</v>
      </c>
      <c r="Y8" s="421">
        <v>0.52777777777777801</v>
      </c>
      <c r="Z8" s="411"/>
      <c r="AA8" s="411"/>
      <c r="AB8" s="814"/>
      <c r="AC8" s="814"/>
      <c r="AD8" s="548"/>
      <c r="AE8" s="548"/>
      <c r="AF8" s="402">
        <f t="shared" si="1"/>
        <v>-263.99999999999386</v>
      </c>
      <c r="AG8" s="72">
        <f t="shared" si="2"/>
        <v>0.8680000000000031</v>
      </c>
      <c r="AH8" s="725"/>
    </row>
    <row r="9" spans="1:34" ht="15" customHeight="1">
      <c r="A9" s="811"/>
      <c r="B9" s="75"/>
      <c r="C9" s="439"/>
      <c r="D9" s="59"/>
      <c r="E9" s="77"/>
      <c r="F9" s="75"/>
      <c r="G9" s="576"/>
      <c r="H9" s="398"/>
      <c r="I9" s="387"/>
      <c r="J9" s="433"/>
      <c r="K9" s="431"/>
      <c r="L9" s="430"/>
      <c r="M9" s="432"/>
      <c r="N9" s="431"/>
      <c r="O9" s="430"/>
      <c r="P9" s="429"/>
      <c r="Q9" s="428"/>
      <c r="R9" s="72"/>
      <c r="S9" s="720"/>
      <c r="T9" s="575"/>
      <c r="U9" s="575"/>
      <c r="V9" s="399"/>
      <c r="W9" s="387">
        <f t="shared" si="0"/>
        <v>0</v>
      </c>
      <c r="X9" s="422"/>
      <c r="Y9" s="421"/>
      <c r="Z9" s="411"/>
      <c r="AA9" s="411"/>
      <c r="AB9" s="814"/>
      <c r="AC9" s="814"/>
      <c r="AD9" s="548"/>
      <c r="AE9" s="548"/>
      <c r="AF9" s="402">
        <f t="shared" si="1"/>
        <v>0</v>
      </c>
      <c r="AG9" s="72" t="e">
        <f t="shared" si="2"/>
        <v>#DIV/0!</v>
      </c>
      <c r="AH9" s="726"/>
    </row>
    <row r="10" spans="1:34" ht="15" customHeight="1">
      <c r="A10" s="811"/>
      <c r="B10" s="75"/>
      <c r="C10" s="436"/>
      <c r="D10" s="59"/>
      <c r="E10" s="87"/>
      <c r="F10" s="75"/>
      <c r="G10" s="573"/>
      <c r="H10" s="398"/>
      <c r="I10" s="387"/>
      <c r="J10" s="433"/>
      <c r="K10" s="431"/>
      <c r="L10" s="430"/>
      <c r="M10" s="432"/>
      <c r="N10" s="431"/>
      <c r="O10" s="430"/>
      <c r="P10" s="429"/>
      <c r="Q10" s="428"/>
      <c r="R10" s="72"/>
      <c r="S10" s="720"/>
      <c r="T10" s="422"/>
      <c r="U10" s="422"/>
      <c r="V10" s="399"/>
      <c r="W10" s="387">
        <f t="shared" si="0"/>
        <v>0</v>
      </c>
      <c r="X10" s="422"/>
      <c r="Y10" s="421"/>
      <c r="Z10" s="411"/>
      <c r="AA10" s="411"/>
      <c r="AB10" s="815"/>
      <c r="AC10" s="815"/>
      <c r="AD10" s="386"/>
      <c r="AE10" s="386"/>
      <c r="AF10" s="402">
        <f t="shared" si="1"/>
        <v>0</v>
      </c>
      <c r="AG10" s="72" t="e">
        <f t="shared" si="2"/>
        <v>#DIV/0!</v>
      </c>
      <c r="AH10" s="726"/>
    </row>
    <row r="11" spans="1:34" ht="15" customHeight="1">
      <c r="A11" s="811"/>
      <c r="B11" s="75"/>
      <c r="C11" s="553"/>
      <c r="D11" s="59"/>
      <c r="E11" s="89"/>
      <c r="F11" s="75"/>
      <c r="G11" s="411"/>
      <c r="H11" s="521"/>
      <c r="I11" s="386"/>
      <c r="J11" s="433"/>
      <c r="K11" s="431"/>
      <c r="L11" s="423"/>
      <c r="M11" s="394"/>
      <c r="N11" s="393"/>
      <c r="O11" s="392"/>
      <c r="P11" s="391"/>
      <c r="Q11" s="390"/>
      <c r="R11" s="99"/>
      <c r="S11" s="720"/>
      <c r="T11" s="422"/>
      <c r="U11" s="422"/>
      <c r="V11" s="399"/>
      <c r="W11" s="572">
        <f t="shared" si="0"/>
        <v>0</v>
      </c>
      <c r="X11" s="422"/>
      <c r="Y11" s="421"/>
      <c r="Z11" s="411"/>
      <c r="AA11" s="411"/>
      <c r="AB11" s="814"/>
      <c r="AC11" s="814"/>
      <c r="AD11" s="548"/>
      <c r="AE11" s="548"/>
      <c r="AF11" s="402">
        <f t="shared" si="1"/>
        <v>0</v>
      </c>
      <c r="AG11" s="72" t="e">
        <f t="shared" si="2"/>
        <v>#DIV/0!</v>
      </c>
      <c r="AH11" s="726"/>
    </row>
    <row r="12" spans="1:34" ht="15" customHeight="1">
      <c r="A12" s="811"/>
      <c r="B12" s="401"/>
      <c r="C12" s="400"/>
      <c r="D12" s="103"/>
      <c r="E12" s="104"/>
      <c r="F12" s="105"/>
      <c r="G12" s="573"/>
      <c r="H12" s="398"/>
      <c r="I12" s="388"/>
      <c r="J12" s="466"/>
      <c r="K12" s="465"/>
      <c r="L12" s="430"/>
      <c r="M12" s="407"/>
      <c r="N12" s="573"/>
      <c r="O12" s="430"/>
      <c r="P12" s="429"/>
      <c r="Q12" s="428"/>
      <c r="R12" s="72"/>
      <c r="S12" s="720"/>
      <c r="T12" s="389"/>
      <c r="U12" s="389"/>
      <c r="V12" s="388"/>
      <c r="W12" s="572">
        <f t="shared" si="0"/>
        <v>0</v>
      </c>
      <c r="X12" s="571"/>
      <c r="Y12" s="570"/>
      <c r="Z12" s="411"/>
      <c r="AA12" s="411"/>
      <c r="AB12" s="814"/>
      <c r="AC12" s="814"/>
      <c r="AD12" s="548"/>
      <c r="AE12" s="548"/>
      <c r="AF12" s="385"/>
      <c r="AG12" s="85"/>
      <c r="AH12" s="726"/>
    </row>
    <row r="13" spans="1:34" ht="15" customHeight="1">
      <c r="A13" s="811"/>
      <c r="B13" s="75"/>
      <c r="C13" s="439"/>
      <c r="D13" s="59"/>
      <c r="E13" s="77"/>
      <c r="F13" s="75"/>
      <c r="G13" s="573"/>
      <c r="H13" s="398"/>
      <c r="I13" s="387"/>
      <c r="J13" s="433"/>
      <c r="K13" s="431"/>
      <c r="L13" s="430"/>
      <c r="M13" s="432"/>
      <c r="N13" s="431"/>
      <c r="O13" s="430"/>
      <c r="P13" s="429"/>
      <c r="Q13" s="428"/>
      <c r="R13" s="72"/>
      <c r="S13" s="721"/>
      <c r="T13" s="574"/>
      <c r="U13" s="574"/>
      <c r="V13" s="401"/>
      <c r="W13" s="572">
        <f t="shared" si="0"/>
        <v>0</v>
      </c>
      <c r="X13" s="571"/>
      <c r="Y13" s="570"/>
      <c r="Z13" s="411"/>
      <c r="AA13" s="411"/>
      <c r="AB13" s="815"/>
      <c r="AC13" s="815"/>
      <c r="AD13" s="386"/>
      <c r="AE13" s="386"/>
      <c r="AF13" s="385"/>
      <c r="AG13" s="85"/>
      <c r="AH13" s="726"/>
    </row>
    <row r="14" spans="1:34" ht="15" customHeight="1">
      <c r="A14" s="811"/>
      <c r="B14" s="75"/>
      <c r="C14" s="439"/>
      <c r="D14" s="59"/>
      <c r="E14" s="77"/>
      <c r="F14" s="75"/>
      <c r="G14" s="573"/>
      <c r="H14" s="398"/>
      <c r="I14" s="387"/>
      <c r="J14" s="433"/>
      <c r="K14" s="431"/>
      <c r="L14" s="430"/>
      <c r="M14" s="432"/>
      <c r="N14" s="431"/>
      <c r="O14" s="430"/>
      <c r="P14" s="429"/>
      <c r="Q14" s="428"/>
      <c r="R14" s="72"/>
      <c r="S14" s="720"/>
      <c r="T14" s="481"/>
      <c r="U14" s="481"/>
      <c r="V14" s="388"/>
      <c r="W14" s="572">
        <f t="shared" si="0"/>
        <v>0</v>
      </c>
      <c r="X14" s="571"/>
      <c r="Y14" s="570"/>
      <c r="Z14" s="411"/>
      <c r="AA14" s="411"/>
      <c r="AB14" s="815"/>
      <c r="AC14" s="815"/>
      <c r="AD14" s="386"/>
      <c r="AE14" s="386"/>
      <c r="AF14" s="385"/>
      <c r="AG14" s="85"/>
      <c r="AH14" s="726"/>
    </row>
    <row r="15" spans="1:34" ht="15" customHeight="1">
      <c r="A15" s="812"/>
      <c r="B15" s="569"/>
      <c r="C15" s="569" t="s">
        <v>41</v>
      </c>
      <c r="D15" s="788" t="s">
        <v>42</v>
      </c>
      <c r="E15" s="788"/>
      <c r="F15" s="382"/>
      <c r="G15" s="381"/>
      <c r="H15" s="459"/>
      <c r="I15" s="568"/>
      <c r="J15" s="478">
        <f t="shared" ref="J15:O15" si="3">AVERAGE(J5:J14)</f>
        <v>14.75</v>
      </c>
      <c r="K15" s="478">
        <f t="shared" si="3"/>
        <v>1860</v>
      </c>
      <c r="L15" s="381">
        <f t="shared" si="3"/>
        <v>126.55462184873952</v>
      </c>
      <c r="M15" s="478">
        <f t="shared" si="3"/>
        <v>14.75</v>
      </c>
      <c r="N15" s="478">
        <f t="shared" si="3"/>
        <v>1698.0874767309233</v>
      </c>
      <c r="O15" s="381">
        <f t="shared" si="3"/>
        <v>115.79786113688883</v>
      </c>
      <c r="P15" s="477">
        <f>M15-J15</f>
        <v>0</v>
      </c>
      <c r="Q15" s="476">
        <f>O15-L15</f>
        <v>-10.756760711850688</v>
      </c>
      <c r="R15" s="123">
        <f>O15/L15</f>
        <v>0.91500301960755437</v>
      </c>
      <c r="S15" s="722"/>
      <c r="T15" s="375"/>
      <c r="U15" s="375"/>
      <c r="V15" s="374"/>
      <c r="W15" s="567"/>
      <c r="X15" s="372"/>
      <c r="Y15" s="371"/>
      <c r="Z15" s="370">
        <f>SUM(Z5:Z14)</f>
        <v>0</v>
      </c>
      <c r="AA15" s="370">
        <f>SUM(AA5:AA14)</f>
        <v>0</v>
      </c>
      <c r="AB15" s="789"/>
      <c r="AC15" s="789"/>
      <c r="AD15" s="368">
        <f>SUM(AD5:AD14)</f>
        <v>1</v>
      </c>
      <c r="AE15" s="368">
        <f>SUM(AE5:AE14)</f>
        <v>1</v>
      </c>
      <c r="AF15" s="367">
        <f>N15-K15</f>
        <v>-161.9125232690767</v>
      </c>
      <c r="AG15" s="124">
        <f>N15/K15</f>
        <v>0.91295025630694804</v>
      </c>
      <c r="AH15" s="727"/>
    </row>
    <row r="16" spans="1:34" ht="15" customHeight="1">
      <c r="A16" s="816" t="s">
        <v>43</v>
      </c>
      <c r="B16" s="129" t="s">
        <v>81</v>
      </c>
      <c r="C16" s="474"/>
      <c r="D16" s="131" t="s">
        <v>121</v>
      </c>
      <c r="E16" s="132"/>
      <c r="F16" s="129">
        <f>VLOOKUP(D16,廠價表!$C$1:$E$41,3,0)</f>
        <v>57.21</v>
      </c>
      <c r="G16" s="566">
        <v>2383</v>
      </c>
      <c r="H16" s="492">
        <f>F16*G16</f>
        <v>136331.43</v>
      </c>
      <c r="I16" s="444"/>
      <c r="J16" s="456">
        <f>VLOOKUP(D16,產線配置圖!$A$3:$C$39,2,0)</f>
        <v>13</v>
      </c>
      <c r="K16" s="454">
        <f>VLOOKUP(D16,產線配置圖!$A$3:$C$39,3,0)</f>
        <v>2105</v>
      </c>
      <c r="L16" s="453">
        <f>K16/J16</f>
        <v>161.92307692307693</v>
      </c>
      <c r="M16" s="565">
        <v>14</v>
      </c>
      <c r="N16" s="490">
        <f>G16/W16*60</f>
        <v>1881.3157894736771</v>
      </c>
      <c r="O16" s="489">
        <f>N16/M16</f>
        <v>134.37969924811981</v>
      </c>
      <c r="P16" s="535">
        <f>M16-J16</f>
        <v>1</v>
      </c>
      <c r="Q16" s="534">
        <f>O16-L16</f>
        <v>-27.543377674957128</v>
      </c>
      <c r="R16" s="144">
        <f>O16/L16</f>
        <v>0.82989838015465911</v>
      </c>
      <c r="S16" s="734">
        <f>R26</f>
        <v>0.89752858156736814</v>
      </c>
      <c r="T16" s="564">
        <v>0.29027777777777802</v>
      </c>
      <c r="U16" s="564">
        <v>0.343055555555556</v>
      </c>
      <c r="V16" s="444"/>
      <c r="W16" s="555">
        <f t="shared" ref="W16:W21" si="4">(U16-T16)*24*60</f>
        <v>76.000000000000284</v>
      </c>
      <c r="X16" s="489"/>
      <c r="Y16" s="563"/>
      <c r="Z16" s="445"/>
      <c r="AA16" s="445"/>
      <c r="AB16" s="813"/>
      <c r="AC16" s="813"/>
      <c r="AD16" s="444"/>
      <c r="AE16" s="444"/>
      <c r="AF16" s="486">
        <f>N16-K16</f>
        <v>-223.68421052632289</v>
      </c>
      <c r="AG16" s="52">
        <f>N16/K16</f>
        <v>0.89373671708963287</v>
      </c>
      <c r="AH16" s="724">
        <f>AG26</f>
        <v>0.91384736728883009</v>
      </c>
    </row>
    <row r="17" spans="1:34" ht="15" customHeight="1">
      <c r="A17" s="817"/>
      <c r="B17" s="75" t="s">
        <v>81</v>
      </c>
      <c r="C17" s="439"/>
      <c r="D17" s="59" t="s">
        <v>123</v>
      </c>
      <c r="E17" s="77"/>
      <c r="F17" s="75">
        <f>VLOOKUP(D17,廠價表!$C$1:$E$41,3,0)</f>
        <v>50.67</v>
      </c>
      <c r="G17" s="561">
        <v>3597</v>
      </c>
      <c r="H17" s="398">
        <f>F17*G17</f>
        <v>182259.99000000002</v>
      </c>
      <c r="I17" s="399"/>
      <c r="J17" s="433">
        <f>VLOOKUP(D17,產線配置圖!$A$3:$C$39,2,0)</f>
        <v>13</v>
      </c>
      <c r="K17" s="431">
        <f>VLOOKUP(D17,產線配置圖!$A$3:$C$39,3,0)</f>
        <v>2000</v>
      </c>
      <c r="L17" s="430">
        <f>K17/J17</f>
        <v>153.84615384615384</v>
      </c>
      <c r="M17" s="396">
        <v>13</v>
      </c>
      <c r="N17" s="393">
        <f>G17/W17*60</f>
        <v>1909.9115044247828</v>
      </c>
      <c r="O17" s="392">
        <f>N17/M17</f>
        <v>146.91626957113715</v>
      </c>
      <c r="P17" s="391">
        <f>M17-J17</f>
        <v>0</v>
      </c>
      <c r="Q17" s="390">
        <f>O17-L17</f>
        <v>-6.9298842750166898</v>
      </c>
      <c r="R17" s="99">
        <f>O17/L17</f>
        <v>0.95495575221239148</v>
      </c>
      <c r="S17" s="735"/>
      <c r="T17" s="484">
        <v>0.35138888888888897</v>
      </c>
      <c r="U17" s="484">
        <v>0.42986111111111103</v>
      </c>
      <c r="V17" s="399">
        <f>(T17-U16)*24*60</f>
        <v>11.999999999999478</v>
      </c>
      <c r="W17" s="548">
        <f t="shared" si="4"/>
        <v>112.99999999999976</v>
      </c>
      <c r="X17" s="484"/>
      <c r="Y17" s="562"/>
      <c r="Z17" s="411"/>
      <c r="AA17" s="411"/>
      <c r="AB17" s="826" t="s">
        <v>116</v>
      </c>
      <c r="AC17" s="815"/>
      <c r="AD17" s="386">
        <v>1</v>
      </c>
      <c r="AE17" s="386">
        <v>1</v>
      </c>
      <c r="AF17" s="402">
        <f>N17-K17</f>
        <v>-90.088495575217166</v>
      </c>
      <c r="AG17" s="72">
        <f>N17/K17</f>
        <v>0.95495575221239137</v>
      </c>
      <c r="AH17" s="725"/>
    </row>
    <row r="18" spans="1:34" ht="15" customHeight="1">
      <c r="A18" s="817"/>
      <c r="B18" s="75" t="s">
        <v>81</v>
      </c>
      <c r="C18" s="439"/>
      <c r="D18" s="59" t="s">
        <v>124</v>
      </c>
      <c r="E18" s="77"/>
      <c r="F18" s="75">
        <f>VLOOKUP(D18,廠價表!$C$1:$E$41,3,0)</f>
        <v>50.39</v>
      </c>
      <c r="G18" s="561">
        <v>1770</v>
      </c>
      <c r="H18" s="398">
        <f>F18*G18</f>
        <v>89190.3</v>
      </c>
      <c r="I18" s="399"/>
      <c r="J18" s="433">
        <f>VLOOKUP(D18,產線配置圖!$A$3:$C$39,2,0)</f>
        <v>12</v>
      </c>
      <c r="K18" s="431">
        <f>VLOOKUP(D18,產線配置圖!$A$3:$C$39,3,0)</f>
        <v>2000</v>
      </c>
      <c r="L18" s="430">
        <f>K18/J18</f>
        <v>166.66666666666666</v>
      </c>
      <c r="M18" s="396">
        <v>12</v>
      </c>
      <c r="N18" s="393">
        <f>G18/W18*60</f>
        <v>1799.9999999999648</v>
      </c>
      <c r="O18" s="392">
        <f>N18/M18</f>
        <v>149.99999999999707</v>
      </c>
      <c r="P18" s="391">
        <f>M18-J18</f>
        <v>0</v>
      </c>
      <c r="Q18" s="390">
        <f>O18-L18</f>
        <v>-16.666666666669585</v>
      </c>
      <c r="R18" s="99">
        <f>O18/L18</f>
        <v>0.89999999999998248</v>
      </c>
      <c r="S18" s="735"/>
      <c r="T18" s="484">
        <v>0.438194444444444</v>
      </c>
      <c r="U18" s="484">
        <v>0.47916666666666702</v>
      </c>
      <c r="V18" s="399">
        <f>(T18-U17)*24*60</f>
        <v>11.999999999999478</v>
      </c>
      <c r="W18" s="548">
        <f t="shared" si="4"/>
        <v>59.000000000001151</v>
      </c>
      <c r="X18" s="422">
        <v>0.48611111111111099</v>
      </c>
      <c r="Y18" s="421">
        <v>0.52777777777777801</v>
      </c>
      <c r="Z18" s="411"/>
      <c r="AA18" s="411"/>
      <c r="AB18" s="815"/>
      <c r="AC18" s="815"/>
      <c r="AD18" s="386"/>
      <c r="AE18" s="386"/>
      <c r="AF18" s="402">
        <f>N18-K18</f>
        <v>-200.00000000003524</v>
      </c>
      <c r="AG18" s="72">
        <f>N18/K18</f>
        <v>0.89999999999998237</v>
      </c>
      <c r="AH18" s="725"/>
    </row>
    <row r="19" spans="1:34" ht="15" customHeight="1">
      <c r="A19" s="817"/>
      <c r="B19" s="75" t="s">
        <v>81</v>
      </c>
      <c r="C19" s="439"/>
      <c r="D19" s="59" t="s">
        <v>124</v>
      </c>
      <c r="E19" s="77"/>
      <c r="F19" s="75">
        <f>VLOOKUP(D19,廠價表!$C$1:$E$41,3,0)</f>
        <v>50.39</v>
      </c>
      <c r="G19" s="561">
        <v>2693</v>
      </c>
      <c r="H19" s="398">
        <f>F19*G19</f>
        <v>135700.26999999999</v>
      </c>
      <c r="I19" s="399"/>
      <c r="J19" s="433">
        <f>VLOOKUP(D19,產線配置圖!$A$3:$C$39,2,0)</f>
        <v>12</v>
      </c>
      <c r="K19" s="431">
        <f>VLOOKUP(D19,產線配置圖!$A$3:$C$39,3,0)</f>
        <v>2000</v>
      </c>
      <c r="L19" s="430">
        <f>K19/J19</f>
        <v>166.66666666666666</v>
      </c>
      <c r="M19" s="396">
        <v>12</v>
      </c>
      <c r="N19" s="393">
        <f>G19/W19*60</f>
        <v>1815.5056179775443</v>
      </c>
      <c r="O19" s="392">
        <f>N19/M19</f>
        <v>151.29213483146202</v>
      </c>
      <c r="P19" s="391">
        <f>M19-J19</f>
        <v>0</v>
      </c>
      <c r="Q19" s="390">
        <f>O19-L19</f>
        <v>-15.374531835204635</v>
      </c>
      <c r="R19" s="99">
        <f>O19/L19</f>
        <v>0.9077528089887722</v>
      </c>
      <c r="S19" s="735"/>
      <c r="T19" s="484">
        <v>0.54166666666666696</v>
      </c>
      <c r="U19" s="484">
        <v>0.60347222222222197</v>
      </c>
      <c r="V19" s="399">
        <f>(T19-U18)*24*60</f>
        <v>89.999999999999915</v>
      </c>
      <c r="W19" s="548">
        <f t="shared" si="4"/>
        <v>88.999999999999204</v>
      </c>
      <c r="X19" s="422"/>
      <c r="Y19" s="421"/>
      <c r="Z19" s="411"/>
      <c r="AA19" s="411"/>
      <c r="AB19" s="814"/>
      <c r="AC19" s="814"/>
      <c r="AD19" s="548"/>
      <c r="AE19" s="548"/>
      <c r="AF19" s="402">
        <f>N19-K19</f>
        <v>-184.49438202245574</v>
      </c>
      <c r="AG19" s="72">
        <f>N19/K19</f>
        <v>0.90775280898877209</v>
      </c>
      <c r="AH19" s="726"/>
    </row>
    <row r="20" spans="1:34" ht="15" customHeight="1">
      <c r="A20" s="817"/>
      <c r="B20" s="75"/>
      <c r="C20" s="439"/>
      <c r="D20" s="59"/>
      <c r="E20" s="77"/>
      <c r="F20" s="75"/>
      <c r="G20" s="561"/>
      <c r="H20" s="398"/>
      <c r="I20" s="399"/>
      <c r="J20" s="433"/>
      <c r="K20" s="431"/>
      <c r="L20" s="430"/>
      <c r="M20" s="396"/>
      <c r="N20" s="393"/>
      <c r="O20" s="392"/>
      <c r="P20" s="391"/>
      <c r="Q20" s="390"/>
      <c r="R20" s="99"/>
      <c r="S20" s="735"/>
      <c r="T20" s="484"/>
      <c r="U20" s="484"/>
      <c r="V20" s="399"/>
      <c r="W20" s="548">
        <f t="shared" si="4"/>
        <v>0</v>
      </c>
      <c r="X20" s="484"/>
      <c r="Y20" s="562"/>
      <c r="Z20" s="411"/>
      <c r="AA20" s="411"/>
      <c r="AB20" s="815"/>
      <c r="AC20" s="815"/>
      <c r="AD20" s="386"/>
      <c r="AE20" s="386"/>
      <c r="AF20" s="402"/>
      <c r="AG20" s="72"/>
      <c r="AH20" s="726"/>
    </row>
    <row r="21" spans="1:34" ht="15" customHeight="1">
      <c r="A21" s="818"/>
      <c r="B21" s="75"/>
      <c r="C21" s="439"/>
      <c r="D21" s="59"/>
      <c r="E21" s="77"/>
      <c r="F21" s="75"/>
      <c r="G21" s="561"/>
      <c r="H21" s="398"/>
      <c r="I21" s="399"/>
      <c r="J21" s="433"/>
      <c r="K21" s="431"/>
      <c r="L21" s="430"/>
      <c r="M21" s="396"/>
      <c r="N21" s="393"/>
      <c r="O21" s="392"/>
      <c r="P21" s="391"/>
      <c r="Q21" s="390"/>
      <c r="R21" s="99"/>
      <c r="S21" s="735"/>
      <c r="T21" s="549"/>
      <c r="U21" s="549"/>
      <c r="V21" s="399"/>
      <c r="W21" s="548">
        <f t="shared" si="4"/>
        <v>0</v>
      </c>
      <c r="X21" s="386"/>
      <c r="Y21" s="560"/>
      <c r="Z21" s="411"/>
      <c r="AA21" s="411"/>
      <c r="AB21" s="815"/>
      <c r="AC21" s="815"/>
      <c r="AD21" s="386"/>
      <c r="AE21" s="386"/>
      <c r="AF21" s="385"/>
      <c r="AG21" s="85"/>
      <c r="AH21" s="726"/>
    </row>
    <row r="22" spans="1:34" ht="15" customHeight="1">
      <c r="A22" s="818"/>
      <c r="B22" s="399"/>
      <c r="C22" s="419"/>
      <c r="D22" s="59"/>
      <c r="E22" s="87"/>
      <c r="F22" s="105"/>
      <c r="G22" s="393"/>
      <c r="H22" s="398"/>
      <c r="I22" s="548"/>
      <c r="J22" s="396"/>
      <c r="K22" s="393"/>
      <c r="L22" s="392"/>
      <c r="M22" s="396"/>
      <c r="N22" s="393"/>
      <c r="O22" s="392"/>
      <c r="P22" s="391"/>
      <c r="Q22" s="390"/>
      <c r="R22" s="99"/>
      <c r="S22" s="735"/>
      <c r="T22" s="549"/>
      <c r="U22" s="549"/>
      <c r="V22" s="386"/>
      <c r="W22" s="548">
        <v>0</v>
      </c>
      <c r="X22" s="386"/>
      <c r="Y22" s="560"/>
      <c r="Z22" s="411"/>
      <c r="AA22" s="411"/>
      <c r="AB22" s="815"/>
      <c r="AC22" s="815"/>
      <c r="AD22" s="386"/>
      <c r="AE22" s="386"/>
      <c r="AF22" s="385"/>
      <c r="AG22" s="85"/>
      <c r="AH22" s="726"/>
    </row>
    <row r="23" spans="1:34" ht="15" customHeight="1">
      <c r="A23" s="818"/>
      <c r="B23" s="75"/>
      <c r="C23" s="436"/>
      <c r="D23" s="59"/>
      <c r="E23" s="87"/>
      <c r="F23" s="75"/>
      <c r="G23" s="561"/>
      <c r="H23" s="398"/>
      <c r="I23" s="399"/>
      <c r="J23" s="433"/>
      <c r="K23" s="431"/>
      <c r="L23" s="430"/>
      <c r="M23" s="396"/>
      <c r="N23" s="393"/>
      <c r="O23" s="392"/>
      <c r="P23" s="391"/>
      <c r="Q23" s="390"/>
      <c r="R23" s="99"/>
      <c r="S23" s="735"/>
      <c r="T23" s="549"/>
      <c r="U23" s="549"/>
      <c r="W23" s="548">
        <f>(U23-T23)*24*60</f>
        <v>0</v>
      </c>
      <c r="X23" s="386"/>
      <c r="Y23" s="560"/>
      <c r="Z23" s="411"/>
      <c r="AA23" s="411"/>
      <c r="AB23" s="815"/>
      <c r="AC23" s="815"/>
      <c r="AD23" s="386"/>
      <c r="AE23" s="386"/>
      <c r="AF23" s="385"/>
      <c r="AG23" s="85"/>
      <c r="AH23" s="726"/>
    </row>
    <row r="24" spans="1:34" ht="15" customHeight="1">
      <c r="A24" s="818"/>
      <c r="B24" s="401"/>
      <c r="C24" s="400"/>
      <c r="D24" s="103"/>
      <c r="E24" s="104"/>
      <c r="F24" s="105"/>
      <c r="G24" s="393"/>
      <c r="H24" s="398">
        <f>F24*G24</f>
        <v>0</v>
      </c>
      <c r="I24" s="548"/>
      <c r="J24" s="396"/>
      <c r="K24" s="393"/>
      <c r="L24" s="392"/>
      <c r="M24" s="396"/>
      <c r="N24" s="393"/>
      <c r="O24" s="392"/>
      <c r="P24" s="391"/>
      <c r="Q24" s="390"/>
      <c r="R24" s="99"/>
      <c r="S24" s="735"/>
      <c r="T24" s="549"/>
      <c r="U24" s="549"/>
      <c r="V24" s="386"/>
      <c r="W24" s="548">
        <f>(U24-T24)*24*60</f>
        <v>0</v>
      </c>
      <c r="X24" s="386"/>
      <c r="Y24" s="560"/>
      <c r="Z24" s="411"/>
      <c r="AA24" s="411"/>
      <c r="AB24" s="815"/>
      <c r="AC24" s="815"/>
      <c r="AD24" s="386"/>
      <c r="AE24" s="386"/>
      <c r="AF24" s="385"/>
      <c r="AG24" s="85"/>
      <c r="AH24" s="726"/>
    </row>
    <row r="25" spans="1:34" ht="15" customHeight="1">
      <c r="A25" s="818"/>
      <c r="B25" s="401"/>
      <c r="C25" s="400"/>
      <c r="D25" s="103"/>
      <c r="E25" s="104"/>
      <c r="F25" s="105"/>
      <c r="G25" s="393"/>
      <c r="H25" s="521">
        <f>F25*G25</f>
        <v>0</v>
      </c>
      <c r="I25" s="548"/>
      <c r="J25" s="396"/>
      <c r="K25" s="393"/>
      <c r="L25" s="392"/>
      <c r="M25" s="396"/>
      <c r="N25" s="393"/>
      <c r="O25" s="392"/>
      <c r="P25" s="391"/>
      <c r="Q25" s="390"/>
      <c r="R25" s="99"/>
      <c r="S25" s="735"/>
      <c r="T25" s="549"/>
      <c r="U25" s="549"/>
      <c r="V25" s="386"/>
      <c r="W25" s="548">
        <f>(U25-T25)*24*60</f>
        <v>0</v>
      </c>
      <c r="X25" s="386"/>
      <c r="Y25" s="560"/>
      <c r="Z25" s="411"/>
      <c r="AA25" s="411"/>
      <c r="AB25" s="815"/>
      <c r="AC25" s="815"/>
      <c r="AD25" s="386"/>
      <c r="AE25" s="386"/>
      <c r="AF25" s="385"/>
      <c r="AG25" s="85"/>
      <c r="AH25" s="726"/>
    </row>
    <row r="26" spans="1:34" ht="15" customHeight="1">
      <c r="A26" s="819"/>
      <c r="B26" s="547"/>
      <c r="C26" s="383" t="s">
        <v>44</v>
      </c>
      <c r="D26" s="788" t="s">
        <v>42</v>
      </c>
      <c r="E26" s="788"/>
      <c r="F26" s="506"/>
      <c r="G26" s="502"/>
      <c r="H26" s="504"/>
      <c r="I26" s="503"/>
      <c r="J26" s="502">
        <f t="shared" ref="J26:O26" si="5">AVERAGE(J16:J25)</f>
        <v>12.5</v>
      </c>
      <c r="K26" s="502">
        <f t="shared" si="5"/>
        <v>2026.25</v>
      </c>
      <c r="L26" s="501">
        <f t="shared" si="5"/>
        <v>162.27564102564102</v>
      </c>
      <c r="M26" s="502">
        <f t="shared" si="5"/>
        <v>12.75</v>
      </c>
      <c r="N26" s="502">
        <f t="shared" si="5"/>
        <v>1851.683227968992</v>
      </c>
      <c r="O26" s="501">
        <f t="shared" si="5"/>
        <v>145.647025912679</v>
      </c>
      <c r="P26" s="546">
        <f t="shared" ref="P26:P31" si="6">M26-J26</f>
        <v>0.25</v>
      </c>
      <c r="Q26" s="545">
        <f t="shared" ref="Q26:Q31" si="7">O26-L26</f>
        <v>-16.628615112962024</v>
      </c>
      <c r="R26" s="161">
        <f t="shared" ref="R26:R31" si="8">O26/L26</f>
        <v>0.89752858156736814</v>
      </c>
      <c r="S26" s="736"/>
      <c r="T26" s="544"/>
      <c r="U26" s="544"/>
      <c r="V26" s="369"/>
      <c r="W26" s="559"/>
      <c r="X26" s="558"/>
      <c r="Y26" s="557"/>
      <c r="Z26" s="370">
        <f>SUM(Z16:Z25)</f>
        <v>0</v>
      </c>
      <c r="AA26" s="370">
        <f>SUM(AA16:AA25)</f>
        <v>0</v>
      </c>
      <c r="AB26" s="789"/>
      <c r="AC26" s="789"/>
      <c r="AD26" s="368">
        <f>SUM(AD16:AD25)</f>
        <v>1</v>
      </c>
      <c r="AE26" s="368">
        <f>SUM(AE16:AE25)</f>
        <v>1</v>
      </c>
      <c r="AF26" s="367">
        <f t="shared" ref="AF26:AF31" si="9">N26-K26</f>
        <v>-174.56677203100799</v>
      </c>
      <c r="AG26" s="124">
        <f t="shared" ref="AG26:AG31" si="10">N26/K26</f>
        <v>0.91384736728883009</v>
      </c>
      <c r="AH26" s="727"/>
    </row>
    <row r="27" spans="1:34" ht="15" customHeight="1">
      <c r="A27" s="820" t="s">
        <v>45</v>
      </c>
      <c r="B27" s="167" t="s">
        <v>81</v>
      </c>
      <c r="C27" s="474"/>
      <c r="D27" s="168" t="s">
        <v>125</v>
      </c>
      <c r="E27" s="132"/>
      <c r="F27" s="129">
        <f>VLOOKUP(D27,廠價表!$C$1:$E$41,3,0)</f>
        <v>57.3</v>
      </c>
      <c r="G27" s="445">
        <v>1157</v>
      </c>
      <c r="H27" s="492">
        <f>F27*G27</f>
        <v>66296.099999999991</v>
      </c>
      <c r="I27" s="444"/>
      <c r="J27" s="456">
        <f>VLOOKUP(D27,產線配置圖!$A$3:$C$39,2,0)</f>
        <v>17</v>
      </c>
      <c r="K27" s="454">
        <f>VLOOKUP(D27,產線配置圖!$A$3:$C$39,3,0)</f>
        <v>1500</v>
      </c>
      <c r="L27" s="453">
        <f>K27/J27</f>
        <v>88.235294117647058</v>
      </c>
      <c r="M27" s="491">
        <v>15</v>
      </c>
      <c r="N27" s="490">
        <f>G27/W27*60</f>
        <v>1262.1818181818337</v>
      </c>
      <c r="O27" s="489">
        <f>N27/M27</f>
        <v>84.145454545455578</v>
      </c>
      <c r="P27" s="535">
        <f t="shared" si="6"/>
        <v>-2</v>
      </c>
      <c r="Q27" s="534">
        <f t="shared" si="7"/>
        <v>-4.0898395721914795</v>
      </c>
      <c r="R27" s="144">
        <f t="shared" si="8"/>
        <v>0.95364848484849651</v>
      </c>
      <c r="S27" s="734">
        <f>R37</f>
        <v>0.90902618223446907</v>
      </c>
      <c r="T27" s="556">
        <v>0.29166666666666702</v>
      </c>
      <c r="U27" s="556">
        <v>0.32986111111111099</v>
      </c>
      <c r="V27" s="444"/>
      <c r="W27" s="555">
        <f t="shared" ref="W27:W36" si="11">(U27-T27)*24*60</f>
        <v>54.999999999999325</v>
      </c>
      <c r="X27" s="444"/>
      <c r="Y27" s="554" t="s">
        <v>46</v>
      </c>
      <c r="Z27" s="445"/>
      <c r="AA27" s="445"/>
      <c r="AB27" s="813"/>
      <c r="AC27" s="813"/>
      <c r="AD27" s="444"/>
      <c r="AE27" s="444"/>
      <c r="AF27" s="443">
        <f t="shared" si="9"/>
        <v>-237.81818181816629</v>
      </c>
      <c r="AG27" s="172">
        <f t="shared" si="10"/>
        <v>0.84145454545455578</v>
      </c>
      <c r="AH27" s="724">
        <f>AG37</f>
        <v>0.78184218988489962</v>
      </c>
    </row>
    <row r="28" spans="1:34" ht="15" customHeight="1">
      <c r="A28" s="821"/>
      <c r="B28" s="75" t="s">
        <v>81</v>
      </c>
      <c r="C28" s="551"/>
      <c r="D28" s="59" t="s">
        <v>127</v>
      </c>
      <c r="E28" s="104"/>
      <c r="F28" s="75">
        <f>VLOOKUP(D28,廠價表!$C$1:$E$41,3,0)</f>
        <v>55.13</v>
      </c>
      <c r="G28" s="411">
        <v>1627</v>
      </c>
      <c r="H28" s="521">
        <f>F28*G28</f>
        <v>89696.510000000009</v>
      </c>
      <c r="I28" s="386"/>
      <c r="J28" s="433">
        <f>VLOOKUP(D28,產線配置圖!$A$3:$C$39,2,0)</f>
        <v>17</v>
      </c>
      <c r="K28" s="431">
        <f>VLOOKUP(D28,產線配置圖!$A$3:$C$39,3,0)</f>
        <v>1385</v>
      </c>
      <c r="L28" s="423">
        <f>K28/J28</f>
        <v>81.470588235294116</v>
      </c>
      <c r="M28" s="394">
        <v>15</v>
      </c>
      <c r="N28" s="393">
        <f>G28/W28*60</f>
        <v>1109.3181818181847</v>
      </c>
      <c r="O28" s="392">
        <f>N28/M28</f>
        <v>73.954545454545652</v>
      </c>
      <c r="P28" s="391">
        <f t="shared" si="6"/>
        <v>-2</v>
      </c>
      <c r="Q28" s="390">
        <f t="shared" si="7"/>
        <v>-7.5160427807484638</v>
      </c>
      <c r="R28" s="99">
        <f t="shared" si="8"/>
        <v>0.90774532326879143</v>
      </c>
      <c r="S28" s="735"/>
      <c r="T28" s="484">
        <v>0.33680555555555602</v>
      </c>
      <c r="U28" s="484">
        <v>0.39791666666666697</v>
      </c>
      <c r="V28" s="386">
        <f>(T28-U27)*24*60</f>
        <v>10.000000000000844</v>
      </c>
      <c r="W28" s="548">
        <f t="shared" si="11"/>
        <v>87.999999999999773</v>
      </c>
      <c r="X28" s="174"/>
      <c r="Y28" s="301"/>
      <c r="Z28" s="335"/>
      <c r="AA28" s="335"/>
      <c r="AB28" s="815"/>
      <c r="AC28" s="815"/>
      <c r="AD28" s="386"/>
      <c r="AE28" s="386"/>
      <c r="AF28" s="420">
        <f t="shared" si="9"/>
        <v>-275.68181818181529</v>
      </c>
      <c r="AG28" s="99">
        <f t="shared" si="10"/>
        <v>0.80095175582540412</v>
      </c>
      <c r="AH28" s="744"/>
    </row>
    <row r="29" spans="1:34" ht="15" customHeight="1">
      <c r="A29" s="821"/>
      <c r="B29" s="75" t="s">
        <v>117</v>
      </c>
      <c r="C29" s="551"/>
      <c r="D29" s="59" t="s">
        <v>128</v>
      </c>
      <c r="E29" s="104"/>
      <c r="F29" s="75">
        <f>VLOOKUP(D29,廠價表!$C$1:$E$41,3,0)</f>
        <v>49.52</v>
      </c>
      <c r="G29" s="411">
        <v>1387</v>
      </c>
      <c r="H29" s="521">
        <f>F29*G29</f>
        <v>68684.240000000005</v>
      </c>
      <c r="I29" s="386"/>
      <c r="J29" s="433">
        <f>VLOOKUP(D29,產線配置圖!$A$3:$C$39,2,0)</f>
        <v>17</v>
      </c>
      <c r="K29" s="431">
        <f>VLOOKUP(D29,產線配置圖!$A$3:$C$39,3,0)</f>
        <v>1440</v>
      </c>
      <c r="L29" s="423">
        <f>K29/J29</f>
        <v>84.705882352941174</v>
      </c>
      <c r="M29" s="394">
        <v>14</v>
      </c>
      <c r="N29" s="393">
        <f>G29/W29*60</f>
        <v>967.67441860465476</v>
      </c>
      <c r="O29" s="392">
        <f>N29/M29</f>
        <v>69.119601328903912</v>
      </c>
      <c r="P29" s="391">
        <f t="shared" si="6"/>
        <v>-3</v>
      </c>
      <c r="Q29" s="390">
        <f t="shared" si="7"/>
        <v>-15.586281024037262</v>
      </c>
      <c r="R29" s="99">
        <f t="shared" si="8"/>
        <v>0.81599529346622679</v>
      </c>
      <c r="S29" s="735"/>
      <c r="T29" s="484">
        <v>0.40902777777777799</v>
      </c>
      <c r="U29" s="484">
        <v>0.46875</v>
      </c>
      <c r="V29" s="386">
        <f>(T29-U28)*24*60</f>
        <v>15.999999999999863</v>
      </c>
      <c r="W29" s="548">
        <f t="shared" si="11"/>
        <v>85.999999999999687</v>
      </c>
      <c r="X29" s="422"/>
      <c r="Y29" s="421"/>
      <c r="Z29" s="411"/>
      <c r="AA29" s="411"/>
      <c r="AB29" s="815"/>
      <c r="AC29" s="815"/>
      <c r="AD29" s="386"/>
      <c r="AE29" s="386"/>
      <c r="AF29" s="552">
        <f t="shared" si="9"/>
        <v>-472.32558139534524</v>
      </c>
      <c r="AG29" s="99">
        <f t="shared" si="10"/>
        <v>0.67199612403101028</v>
      </c>
      <c r="AH29" s="744"/>
    </row>
    <row r="30" spans="1:34" ht="15" customHeight="1">
      <c r="A30" s="821"/>
      <c r="B30" s="75" t="s">
        <v>81</v>
      </c>
      <c r="C30" s="553"/>
      <c r="D30" s="59" t="s">
        <v>128</v>
      </c>
      <c r="E30" s="89"/>
      <c r="F30" s="75">
        <f>VLOOKUP(D30,廠價表!$C$1:$E$41,3,0)</f>
        <v>49.52</v>
      </c>
      <c r="G30" s="411">
        <v>600</v>
      </c>
      <c r="H30" s="521">
        <f>F30*G30</f>
        <v>29712.000000000004</v>
      </c>
      <c r="I30" s="386"/>
      <c r="J30" s="433">
        <f>VLOOKUP(D30,產線配置圖!$A$3:$C$39,2,0)</f>
        <v>17</v>
      </c>
      <c r="K30" s="431">
        <f>VLOOKUP(D30,產線配置圖!$A$3:$C$39,3,0)</f>
        <v>1440</v>
      </c>
      <c r="L30" s="423">
        <f>K30/J30</f>
        <v>84.705882352941174</v>
      </c>
      <c r="M30" s="394">
        <v>14</v>
      </c>
      <c r="N30" s="393">
        <f>G30/W30*60</f>
        <v>1090.9090909091212</v>
      </c>
      <c r="O30" s="392">
        <f>N30/M30</f>
        <v>77.922077922080092</v>
      </c>
      <c r="P30" s="391">
        <f t="shared" si="6"/>
        <v>-3</v>
      </c>
      <c r="Q30" s="390">
        <f t="shared" si="7"/>
        <v>-6.7838044308610819</v>
      </c>
      <c r="R30" s="99">
        <f t="shared" si="8"/>
        <v>0.91991341991344555</v>
      </c>
      <c r="S30" s="735"/>
      <c r="T30" s="484">
        <v>0.52430555555555602</v>
      </c>
      <c r="U30" s="484">
        <v>0.54722222222222205</v>
      </c>
      <c r="V30" s="386">
        <f>(T30-U29)*24*60</f>
        <v>80.000000000000682</v>
      </c>
      <c r="W30" s="548">
        <f t="shared" si="11"/>
        <v>32.999999999999083</v>
      </c>
      <c r="X30" s="174">
        <v>0.47569444444444398</v>
      </c>
      <c r="Y30" s="301">
        <v>0.51736111111111105</v>
      </c>
      <c r="Z30" s="335"/>
      <c r="AA30" s="335"/>
      <c r="AB30" s="815"/>
      <c r="AC30" s="815"/>
      <c r="AD30" s="386"/>
      <c r="AE30" s="386"/>
      <c r="AF30" s="552">
        <f t="shared" si="9"/>
        <v>-349.09090909087877</v>
      </c>
      <c r="AG30" s="99">
        <f t="shared" si="10"/>
        <v>0.75757575757577866</v>
      </c>
      <c r="AH30" s="745"/>
    </row>
    <row r="31" spans="1:34" ht="15" customHeight="1">
      <c r="A31" s="821"/>
      <c r="B31" s="75" t="s">
        <v>81</v>
      </c>
      <c r="C31" s="553"/>
      <c r="D31" s="59" t="s">
        <v>125</v>
      </c>
      <c r="E31" s="89"/>
      <c r="F31" s="75">
        <f>VLOOKUP(D31,廠價表!$C$1:$E$41,3,0)</f>
        <v>57.3</v>
      </c>
      <c r="G31" s="411">
        <v>1500</v>
      </c>
      <c r="H31" s="521">
        <f>F31*G31</f>
        <v>85950</v>
      </c>
      <c r="I31" s="386"/>
      <c r="J31" s="433">
        <f>VLOOKUP(D31,產線配置圖!$A$3:$C$39,2,0)</f>
        <v>17</v>
      </c>
      <c r="K31" s="431">
        <f>VLOOKUP(D31,產線配置圖!$A$3:$C$39,3,0)</f>
        <v>1500</v>
      </c>
      <c r="L31" s="423">
        <f>K31/J31</f>
        <v>88.235294117647058</v>
      </c>
      <c r="M31" s="394">
        <v>15</v>
      </c>
      <c r="N31" s="393">
        <f>G31/W31*60</f>
        <v>1250.0000000000016</v>
      </c>
      <c r="O31" s="392">
        <f>N31/M31</f>
        <v>83.333333333333442</v>
      </c>
      <c r="P31" s="391">
        <f t="shared" si="6"/>
        <v>-2</v>
      </c>
      <c r="Q31" s="390">
        <f t="shared" si="7"/>
        <v>-4.9019607843136157</v>
      </c>
      <c r="R31" s="99">
        <f t="shared" si="8"/>
        <v>0.94444444444444564</v>
      </c>
      <c r="S31" s="735"/>
      <c r="T31" s="484">
        <v>0.55277777777777803</v>
      </c>
      <c r="U31" s="484">
        <v>0.60277777777777797</v>
      </c>
      <c r="V31" s="386">
        <f>(T31-U30)*24*60</f>
        <v>8.0000000000006111</v>
      </c>
      <c r="W31" s="548">
        <f t="shared" si="11"/>
        <v>71.999999999999901</v>
      </c>
      <c r="X31" s="174"/>
      <c r="Y31" s="301"/>
      <c r="Z31" s="335"/>
      <c r="AA31" s="335"/>
      <c r="AB31" s="815"/>
      <c r="AC31" s="815"/>
      <c r="AD31" s="386"/>
      <c r="AE31" s="386"/>
      <c r="AF31" s="552">
        <f t="shared" si="9"/>
        <v>-249.99999999999841</v>
      </c>
      <c r="AG31" s="99">
        <f t="shared" si="10"/>
        <v>0.83333333333333437</v>
      </c>
      <c r="AH31" s="726"/>
    </row>
    <row r="32" spans="1:34" ht="15" customHeight="1">
      <c r="A32" s="821"/>
      <c r="B32" s="75"/>
      <c r="C32" s="400"/>
      <c r="D32" s="175"/>
      <c r="E32" s="176"/>
      <c r="F32" s="75"/>
      <c r="G32" s="411"/>
      <c r="H32" s="521"/>
      <c r="I32" s="386"/>
      <c r="J32" s="433"/>
      <c r="K32" s="431"/>
      <c r="L32" s="423"/>
      <c r="M32" s="394"/>
      <c r="N32" s="393"/>
      <c r="O32" s="392"/>
      <c r="P32" s="391"/>
      <c r="Q32" s="390"/>
      <c r="R32" s="99"/>
      <c r="S32" s="735"/>
      <c r="T32" s="549"/>
      <c r="U32" s="549"/>
      <c r="V32" s="386"/>
      <c r="W32" s="548">
        <f t="shared" si="11"/>
        <v>0</v>
      </c>
      <c r="X32" s="174"/>
      <c r="Y32" s="301"/>
      <c r="Z32" s="335"/>
      <c r="AA32" s="335"/>
      <c r="AB32" s="815"/>
      <c r="AC32" s="815"/>
      <c r="AD32" s="386"/>
      <c r="AE32" s="386"/>
      <c r="AF32" s="402"/>
      <c r="AG32" s="72"/>
      <c r="AH32" s="726"/>
    </row>
    <row r="33" spans="1:34" ht="15" customHeight="1">
      <c r="A33" s="821"/>
      <c r="B33" s="75"/>
      <c r="C33" s="472"/>
      <c r="D33" s="59"/>
      <c r="E33" s="178"/>
      <c r="F33" s="75"/>
      <c r="G33" s="411"/>
      <c r="H33" s="521"/>
      <c r="I33" s="386"/>
      <c r="J33" s="433"/>
      <c r="K33" s="431"/>
      <c r="L33" s="423"/>
      <c r="M33" s="394"/>
      <c r="N33" s="393"/>
      <c r="O33" s="392"/>
      <c r="P33" s="391"/>
      <c r="Q33" s="390"/>
      <c r="R33" s="99"/>
      <c r="S33" s="735"/>
      <c r="T33" s="549"/>
      <c r="U33" s="549"/>
      <c r="V33" s="386"/>
      <c r="W33" s="548">
        <f t="shared" si="11"/>
        <v>0</v>
      </c>
      <c r="X33" s="174"/>
      <c r="Y33" s="301"/>
      <c r="Z33" s="335"/>
      <c r="AA33" s="335"/>
      <c r="AB33" s="815"/>
      <c r="AC33" s="815"/>
      <c r="AD33" s="386"/>
      <c r="AE33" s="386"/>
      <c r="AF33" s="402"/>
      <c r="AG33" s="112"/>
      <c r="AH33" s="726"/>
    </row>
    <row r="34" spans="1:34" ht="15" customHeight="1">
      <c r="A34" s="821"/>
      <c r="B34" s="75"/>
      <c r="C34" s="551"/>
      <c r="D34" s="59"/>
      <c r="E34" s="104"/>
      <c r="F34" s="75"/>
      <c r="G34" s="411"/>
      <c r="H34" s="521"/>
      <c r="I34" s="386"/>
      <c r="J34" s="433"/>
      <c r="K34" s="431"/>
      <c r="L34" s="423"/>
      <c r="M34" s="394"/>
      <c r="N34" s="393"/>
      <c r="O34" s="392"/>
      <c r="P34" s="391"/>
      <c r="Q34" s="390"/>
      <c r="R34" s="99"/>
      <c r="S34" s="735"/>
      <c r="T34" s="549"/>
      <c r="U34" s="549"/>
      <c r="V34" s="386"/>
      <c r="W34" s="548">
        <f t="shared" si="11"/>
        <v>0</v>
      </c>
      <c r="X34" s="174"/>
      <c r="Y34" s="301"/>
      <c r="Z34" s="335"/>
      <c r="AA34" s="335"/>
      <c r="AB34" s="815"/>
      <c r="AC34" s="815"/>
      <c r="AD34" s="386"/>
      <c r="AE34" s="386"/>
      <c r="AF34" s="402"/>
      <c r="AG34" s="112"/>
      <c r="AH34" s="726"/>
    </row>
    <row r="35" spans="1:34" ht="15" customHeight="1">
      <c r="A35" s="821"/>
      <c r="B35" s="75"/>
      <c r="C35" s="551"/>
      <c r="D35" s="59"/>
      <c r="E35" s="104"/>
      <c r="F35" s="75"/>
      <c r="G35" s="411"/>
      <c r="H35" s="521"/>
      <c r="I35" s="386"/>
      <c r="J35" s="433"/>
      <c r="K35" s="431"/>
      <c r="L35" s="423"/>
      <c r="M35" s="394"/>
      <c r="N35" s="393"/>
      <c r="O35" s="392"/>
      <c r="P35" s="391"/>
      <c r="Q35" s="390"/>
      <c r="R35" s="99"/>
      <c r="S35" s="735"/>
      <c r="T35" s="549"/>
      <c r="U35" s="549"/>
      <c r="V35" s="386"/>
      <c r="W35" s="548">
        <f t="shared" si="11"/>
        <v>0</v>
      </c>
      <c r="X35" s="174"/>
      <c r="Y35" s="301"/>
      <c r="Z35" s="335"/>
      <c r="AA35" s="335"/>
      <c r="AB35" s="815"/>
      <c r="AC35" s="815"/>
      <c r="AD35" s="386"/>
      <c r="AE35" s="386"/>
      <c r="AF35" s="402"/>
      <c r="AG35" s="112"/>
      <c r="AH35" s="726"/>
    </row>
    <row r="36" spans="1:34" ht="15" customHeight="1">
      <c r="A36" s="821"/>
      <c r="B36" s="550"/>
      <c r="C36" s="400"/>
      <c r="D36" s="103"/>
      <c r="E36" s="104"/>
      <c r="F36" s="105"/>
      <c r="G36" s="411"/>
      <c r="H36" s="521">
        <f>F36*G36</f>
        <v>0</v>
      </c>
      <c r="I36" s="386"/>
      <c r="J36" s="396"/>
      <c r="K36" s="393"/>
      <c r="L36" s="392"/>
      <c r="M36" s="394"/>
      <c r="N36" s="393"/>
      <c r="O36" s="392"/>
      <c r="P36" s="391"/>
      <c r="Q36" s="390"/>
      <c r="R36" s="99"/>
      <c r="S36" s="735"/>
      <c r="T36" s="549"/>
      <c r="U36" s="549"/>
      <c r="V36" s="386"/>
      <c r="W36" s="548">
        <f t="shared" si="11"/>
        <v>0</v>
      </c>
      <c r="X36" s="174"/>
      <c r="Y36" s="301"/>
      <c r="Z36" s="335"/>
      <c r="AA36" s="335"/>
      <c r="AB36" s="815"/>
      <c r="AC36" s="815"/>
      <c r="AD36" s="386"/>
      <c r="AE36" s="386"/>
      <c r="AF36" s="402"/>
      <c r="AG36" s="112"/>
      <c r="AH36" s="726"/>
    </row>
    <row r="37" spans="1:34" ht="15" customHeight="1">
      <c r="A37" s="822"/>
      <c r="B37" s="547"/>
      <c r="C37" s="383" t="s">
        <v>47</v>
      </c>
      <c r="D37" s="823" t="s">
        <v>42</v>
      </c>
      <c r="E37" s="824"/>
      <c r="F37" s="506"/>
      <c r="G37" s="505"/>
      <c r="H37" s="504"/>
      <c r="I37" s="503"/>
      <c r="J37" s="502">
        <f t="shared" ref="J37:O37" si="12">AVERAGE(J27:J36)</f>
        <v>17</v>
      </c>
      <c r="K37" s="502">
        <f t="shared" si="12"/>
        <v>1453</v>
      </c>
      <c r="L37" s="501">
        <f t="shared" si="12"/>
        <v>85.470588235294116</v>
      </c>
      <c r="M37" s="502">
        <f t="shared" si="12"/>
        <v>14.6</v>
      </c>
      <c r="N37" s="502">
        <f t="shared" si="12"/>
        <v>1136.0167019027592</v>
      </c>
      <c r="O37" s="501">
        <f t="shared" si="12"/>
        <v>77.695002516863738</v>
      </c>
      <c r="P37" s="546">
        <f>M37-J37</f>
        <v>-2.4000000000000004</v>
      </c>
      <c r="Q37" s="545">
        <f>N37-K37</f>
        <v>-316.98329809724078</v>
      </c>
      <c r="R37" s="161">
        <f>O37/L37</f>
        <v>0.90902618223446907</v>
      </c>
      <c r="S37" s="736"/>
      <c r="T37" s="544"/>
      <c r="U37" s="544"/>
      <c r="V37" s="369"/>
      <c r="W37" s="369"/>
      <c r="X37" s="543"/>
      <c r="Y37" s="542"/>
      <c r="Z37" s="370">
        <f>SUM(Z27:Z36)</f>
        <v>0</v>
      </c>
      <c r="AA37" s="370">
        <f>SUM(AA27:AA36)</f>
        <v>0</v>
      </c>
      <c r="AB37" s="825"/>
      <c r="AC37" s="825"/>
      <c r="AD37" s="541">
        <f>SUM(AD27:AD36)</f>
        <v>0</v>
      </c>
      <c r="AE37" s="541">
        <f>SUM(AE27:AE36)</f>
        <v>0</v>
      </c>
      <c r="AF37" s="367">
        <f>N37-K37</f>
        <v>-316.98329809724078</v>
      </c>
      <c r="AG37" s="124">
        <f>N37/K37</f>
        <v>0.78184218988489962</v>
      </c>
      <c r="AH37" s="727"/>
    </row>
    <row r="38" spans="1:34" ht="15" customHeight="1">
      <c r="A38" s="827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540">
        <v>1734</v>
      </c>
      <c r="H38" s="492">
        <f>F38*G38</f>
        <v>99358.2</v>
      </c>
      <c r="I38" s="444"/>
      <c r="J38" s="539">
        <f>VLOOKUP(D38,產線配置圖!$A$3:$C$39,2,0)</f>
        <v>16</v>
      </c>
      <c r="K38" s="538">
        <f>VLOOKUP(D38,產線配置圖!$A$3:$C$39,3,0)</f>
        <v>1385</v>
      </c>
      <c r="L38" s="537">
        <f>K38/J38</f>
        <v>86.5625</v>
      </c>
      <c r="M38" s="536">
        <v>13</v>
      </c>
      <c r="N38" s="490">
        <f>G38/W38*60</f>
        <v>981.50943396226558</v>
      </c>
      <c r="O38" s="489">
        <f>N38/M38</f>
        <v>75.500725689405044</v>
      </c>
      <c r="P38" s="535">
        <f>M38-J38</f>
        <v>-3</v>
      </c>
      <c r="Q38" s="534">
        <f>O38-L38</f>
        <v>-11.061774310594956</v>
      </c>
      <c r="R38" s="144">
        <f>O38/L38</f>
        <v>0.87221054948049148</v>
      </c>
      <c r="S38" s="756">
        <f>R48</f>
        <v>0.89313798764361563</v>
      </c>
      <c r="T38" s="488">
        <v>0.33333333333333298</v>
      </c>
      <c r="U38" s="488">
        <v>0.406944444444444</v>
      </c>
      <c r="V38" s="530"/>
      <c r="W38" s="487">
        <f t="shared" ref="W38:W57" si="13">(U38-T38)*24*60</f>
        <v>105.99999999999986</v>
      </c>
      <c r="X38" s="533"/>
      <c r="Y38" s="532"/>
      <c r="Z38" s="531"/>
      <c r="AA38" s="531"/>
      <c r="AB38" s="830"/>
      <c r="AC38" s="830"/>
      <c r="AD38" s="530"/>
      <c r="AE38" s="530"/>
      <c r="AF38" s="529">
        <f>N38-K38</f>
        <v>-403.49056603773442</v>
      </c>
      <c r="AG38" s="195">
        <f>N38/K38</f>
        <v>0.70867107145289931</v>
      </c>
      <c r="AH38" s="746">
        <f>AG48</f>
        <v>0.74128239539151519</v>
      </c>
    </row>
    <row r="39" spans="1:34" ht="15" customHeight="1">
      <c r="A39" s="828"/>
      <c r="B39" s="75" t="s">
        <v>81</v>
      </c>
      <c r="C39" s="528"/>
      <c r="D39" s="198" t="s">
        <v>130</v>
      </c>
      <c r="E39" s="176"/>
      <c r="F39" s="75">
        <f>VLOOKUP(D39,廠價表!$C$1:$E$41,3,0)</f>
        <v>56.43</v>
      </c>
      <c r="G39" s="522">
        <v>1380</v>
      </c>
      <c r="H39" s="521">
        <f>F39*G39</f>
        <v>77873.399999999994</v>
      </c>
      <c r="I39" s="440"/>
      <c r="J39" s="396">
        <f>VLOOKUP(D39,產線配置圖!$A$3:$C$39,2,0)</f>
        <v>16</v>
      </c>
      <c r="K39" s="393">
        <f>VLOOKUP(D39,產線配置圖!$A$3:$C$39,3,0)</f>
        <v>1406</v>
      </c>
      <c r="L39" s="392">
        <f>K39/J39</f>
        <v>87.875</v>
      </c>
      <c r="M39" s="515">
        <v>14</v>
      </c>
      <c r="N39" s="435">
        <f>G39/W39*60</f>
        <v>1150.0000000000002</v>
      </c>
      <c r="O39" s="514">
        <f>N39/M39</f>
        <v>82.142857142857153</v>
      </c>
      <c r="P39" s="391">
        <f>M39-J39</f>
        <v>-2</v>
      </c>
      <c r="Q39" s="390">
        <f>O39-L39</f>
        <v>-5.732142857142847</v>
      </c>
      <c r="R39" s="99">
        <f>O39/L39</f>
        <v>0.9347693558219875</v>
      </c>
      <c r="S39" s="757"/>
      <c r="T39" s="527">
        <v>0.41527777777777802</v>
      </c>
      <c r="U39" s="527">
        <v>0.46527777777777801</v>
      </c>
      <c r="V39" s="386">
        <f>(T39-U38)*24*60</f>
        <v>12.000000000000997</v>
      </c>
      <c r="W39" s="512">
        <f t="shared" si="13"/>
        <v>71.999999999999986</v>
      </c>
      <c r="X39" s="422"/>
      <c r="Y39" s="421"/>
      <c r="Z39" s="411"/>
      <c r="AA39" s="411"/>
      <c r="AB39" s="831"/>
      <c r="AC39" s="831"/>
      <c r="AD39" s="440"/>
      <c r="AE39" s="440"/>
      <c r="AF39" s="523">
        <f>N39-K39</f>
        <v>-255.99999999999977</v>
      </c>
      <c r="AG39" s="206">
        <f>N39/K39</f>
        <v>0.81792318634423911</v>
      </c>
      <c r="AH39" s="747"/>
    </row>
    <row r="40" spans="1:34" ht="15" customHeight="1">
      <c r="A40" s="828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522">
        <v>1060</v>
      </c>
      <c r="H40" s="521">
        <f>F40*G40</f>
        <v>46958</v>
      </c>
      <c r="I40" s="440"/>
      <c r="J40" s="396">
        <f>VLOOKUP(D40,產線配置圖!$A$3:$C$39,2,0)</f>
        <v>19</v>
      </c>
      <c r="K40" s="393">
        <f>VLOOKUP(D40,產線配置圖!$A$3:$C$39,3,0)</f>
        <v>1440</v>
      </c>
      <c r="L40" s="392">
        <f>K40/J40</f>
        <v>75.78947368421052</v>
      </c>
      <c r="M40" s="515">
        <v>15</v>
      </c>
      <c r="N40" s="435">
        <f>G40/W40*60</f>
        <v>963.63636363635078</v>
      </c>
      <c r="O40" s="514">
        <f>N40/M40</f>
        <v>64.242424242423382</v>
      </c>
      <c r="P40" s="391">
        <f>M40-J40</f>
        <v>-4</v>
      </c>
      <c r="Q40" s="390">
        <f>O40-L40</f>
        <v>-11.547049441787138</v>
      </c>
      <c r="R40" s="99">
        <f>O40/L40</f>
        <v>0.84764309764308632</v>
      </c>
      <c r="S40" s="719"/>
      <c r="T40" s="527">
        <v>0.51944444444444404</v>
      </c>
      <c r="U40" s="527">
        <v>0.56527777777777799</v>
      </c>
      <c r="V40" s="386">
        <f>(T40-U39)*24*60</f>
        <v>77.999999999999091</v>
      </c>
      <c r="W40" s="512">
        <f t="shared" si="13"/>
        <v>66.000000000000881</v>
      </c>
      <c r="X40" s="511">
        <v>0.47222222222222199</v>
      </c>
      <c r="Y40" s="526">
        <v>0.51388888888888895</v>
      </c>
      <c r="Z40" s="525"/>
      <c r="AA40" s="525"/>
      <c r="AB40" s="815"/>
      <c r="AC40" s="815"/>
      <c r="AD40" s="386"/>
      <c r="AE40" s="386"/>
      <c r="AF40" s="523">
        <f>N40-K40</f>
        <v>-476.36363636364922</v>
      </c>
      <c r="AG40" s="206">
        <f>N40/K40</f>
        <v>0.66919191919191023</v>
      </c>
      <c r="AH40" s="747"/>
    </row>
    <row r="41" spans="1:34" ht="15" customHeight="1">
      <c r="A41" s="828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522">
        <v>1663</v>
      </c>
      <c r="H41" s="521">
        <f>F41*G41</f>
        <v>73670.899999999994</v>
      </c>
      <c r="I41" s="440"/>
      <c r="J41" s="396">
        <f>VLOOKUP(D41,產線配置圖!$A$3:$C$39,2,0)</f>
        <v>19</v>
      </c>
      <c r="K41" s="393">
        <f>VLOOKUP(D41,產線配置圖!$A$3:$C$39,3,0)</f>
        <v>1440</v>
      </c>
      <c r="L41" s="392">
        <f>K41/J41</f>
        <v>75.78947368421052</v>
      </c>
      <c r="M41" s="515">
        <v>16</v>
      </c>
      <c r="N41" s="435">
        <f>G41/W41*60</f>
        <v>1108.6666666666667</v>
      </c>
      <c r="O41" s="514">
        <f>N41/M41</f>
        <v>69.291666666666671</v>
      </c>
      <c r="P41" s="391">
        <f>M41-J41</f>
        <v>-3</v>
      </c>
      <c r="Q41" s="390">
        <f>O41-L41</f>
        <v>-6.4978070175438489</v>
      </c>
      <c r="R41" s="99">
        <f>O41/L41</f>
        <v>0.91426504629629646</v>
      </c>
      <c r="S41" s="719"/>
      <c r="T41" s="527">
        <v>0.57638888888888895</v>
      </c>
      <c r="U41" s="520">
        <v>0.63888888888888895</v>
      </c>
      <c r="V41" s="386">
        <f>(T41-U40)*24*60</f>
        <v>15.999999999999783</v>
      </c>
      <c r="W41" s="512">
        <f t="shared" si="13"/>
        <v>90</v>
      </c>
      <c r="X41" s="511"/>
      <c r="Y41" s="526"/>
      <c r="Z41" s="525"/>
      <c r="AA41" s="525"/>
      <c r="AB41" s="815"/>
      <c r="AC41" s="815"/>
      <c r="AD41" s="386"/>
      <c r="AE41" s="386"/>
      <c r="AF41" s="523">
        <f>N41-K41</f>
        <v>-331.33333333333326</v>
      </c>
      <c r="AG41" s="206">
        <f>N41/K41</f>
        <v>0.76990740740740748</v>
      </c>
      <c r="AH41" s="747"/>
    </row>
    <row r="42" spans="1:34" ht="15" customHeight="1">
      <c r="A42" s="828"/>
      <c r="B42" s="75"/>
      <c r="C42" s="436"/>
      <c r="D42" s="198"/>
      <c r="E42" s="87"/>
      <c r="F42" s="75"/>
      <c r="G42" s="522"/>
      <c r="H42" s="521"/>
      <c r="I42" s="440"/>
      <c r="J42" s="396"/>
      <c r="K42" s="393"/>
      <c r="L42" s="392"/>
      <c r="M42" s="515"/>
      <c r="N42" s="435"/>
      <c r="O42" s="514"/>
      <c r="P42" s="391"/>
      <c r="Q42" s="390"/>
      <c r="R42" s="99"/>
      <c r="S42" s="719"/>
      <c r="T42" s="520"/>
      <c r="U42" s="520"/>
      <c r="V42" s="386"/>
      <c r="W42" s="512">
        <f t="shared" si="13"/>
        <v>0</v>
      </c>
      <c r="X42" s="511"/>
      <c r="Y42" s="524"/>
      <c r="Z42" s="509"/>
      <c r="AA42" s="509"/>
      <c r="AB42" s="815"/>
      <c r="AC42" s="815"/>
      <c r="AD42" s="386"/>
      <c r="AE42" s="386"/>
      <c r="AF42" s="523"/>
      <c r="AG42" s="206"/>
      <c r="AH42" s="747"/>
    </row>
    <row r="43" spans="1:34" ht="15" customHeight="1">
      <c r="A43" s="828"/>
      <c r="B43" s="75"/>
      <c r="C43" s="400"/>
      <c r="D43" s="198"/>
      <c r="E43" s="104"/>
      <c r="F43" s="75"/>
      <c r="G43" s="435"/>
      <c r="H43" s="521"/>
      <c r="I43" s="440"/>
      <c r="J43" s="396"/>
      <c r="K43" s="393"/>
      <c r="L43" s="392"/>
      <c r="M43" s="515"/>
      <c r="N43" s="435"/>
      <c r="O43" s="514"/>
      <c r="P43" s="391"/>
      <c r="Q43" s="390"/>
      <c r="R43" s="99"/>
      <c r="S43" s="719"/>
      <c r="T43" s="520"/>
      <c r="U43" s="520"/>
      <c r="V43" s="386"/>
      <c r="W43" s="512">
        <f t="shared" si="13"/>
        <v>0</v>
      </c>
      <c r="X43" s="511"/>
      <c r="Y43" s="510"/>
      <c r="Z43" s="509"/>
      <c r="AA43" s="509"/>
      <c r="AB43" s="815"/>
      <c r="AC43" s="815"/>
      <c r="AD43" s="386"/>
      <c r="AE43" s="386"/>
      <c r="AF43" s="508"/>
      <c r="AG43" s="206"/>
      <c r="AH43" s="747"/>
    </row>
    <row r="44" spans="1:34" ht="15" customHeight="1">
      <c r="A44" s="828"/>
      <c r="B44" s="75"/>
      <c r="C44" s="436"/>
      <c r="D44" s="198"/>
      <c r="E44" s="87"/>
      <c r="F44" s="75"/>
      <c r="G44" s="522"/>
      <c r="H44" s="521"/>
      <c r="I44" s="440"/>
      <c r="J44" s="396"/>
      <c r="K44" s="393"/>
      <c r="L44" s="392"/>
      <c r="M44" s="515"/>
      <c r="N44" s="435"/>
      <c r="O44" s="514"/>
      <c r="P44" s="391"/>
      <c r="Q44" s="390"/>
      <c r="R44" s="99"/>
      <c r="S44" s="719"/>
      <c r="T44" s="520"/>
      <c r="U44" s="520"/>
      <c r="V44" s="386"/>
      <c r="W44" s="512">
        <f t="shared" si="13"/>
        <v>0</v>
      </c>
      <c r="X44" s="511"/>
      <c r="Y44" s="510"/>
      <c r="Z44" s="509"/>
      <c r="AA44" s="509"/>
      <c r="AB44" s="815"/>
      <c r="AC44" s="815"/>
      <c r="AD44" s="386"/>
      <c r="AE44" s="386"/>
      <c r="AF44" s="508"/>
      <c r="AG44" s="206"/>
      <c r="AH44" s="747"/>
    </row>
    <row r="45" spans="1:34" ht="15" customHeight="1">
      <c r="A45" s="828"/>
      <c r="B45" s="75"/>
      <c r="C45" s="436"/>
      <c r="D45" s="198"/>
      <c r="E45" s="87"/>
      <c r="F45" s="75"/>
      <c r="G45" s="522"/>
      <c r="H45" s="521"/>
      <c r="I45" s="440"/>
      <c r="J45" s="396"/>
      <c r="K45" s="393"/>
      <c r="L45" s="392"/>
      <c r="M45" s="515"/>
      <c r="N45" s="435"/>
      <c r="O45" s="514"/>
      <c r="P45" s="391"/>
      <c r="Q45" s="390"/>
      <c r="R45" s="99"/>
      <c r="S45" s="719"/>
      <c r="T45" s="520"/>
      <c r="U45" s="520"/>
      <c r="V45" s="440"/>
      <c r="W45" s="512">
        <f t="shared" si="13"/>
        <v>0</v>
      </c>
      <c r="X45" s="511"/>
      <c r="Y45" s="510"/>
      <c r="Z45" s="509"/>
      <c r="AA45" s="509"/>
      <c r="AB45" s="815"/>
      <c r="AC45" s="815"/>
      <c r="AD45" s="386"/>
      <c r="AE45" s="386"/>
      <c r="AF45" s="508"/>
      <c r="AG45" s="206"/>
      <c r="AH45" s="747"/>
    </row>
    <row r="46" spans="1:34" ht="15" customHeight="1">
      <c r="A46" s="828"/>
      <c r="B46" s="519"/>
      <c r="C46" s="400"/>
      <c r="D46" s="103"/>
      <c r="E46" s="104"/>
      <c r="F46" s="105"/>
      <c r="G46" s="435"/>
      <c r="H46" s="516"/>
      <c r="I46" s="440"/>
      <c r="J46" s="515"/>
      <c r="K46" s="435"/>
      <c r="L46" s="514"/>
      <c r="M46" s="515"/>
      <c r="N46" s="435"/>
      <c r="O46" s="514"/>
      <c r="P46" s="391"/>
      <c r="Q46" s="390"/>
      <c r="R46" s="204"/>
      <c r="S46" s="719"/>
      <c r="T46" s="518"/>
      <c r="U46" s="518"/>
      <c r="V46" s="440"/>
      <c r="W46" s="512">
        <f t="shared" si="13"/>
        <v>0</v>
      </c>
      <c r="X46" s="511"/>
      <c r="Y46" s="510"/>
      <c r="Z46" s="509"/>
      <c r="AA46" s="509"/>
      <c r="AB46" s="815"/>
      <c r="AC46" s="815"/>
      <c r="AD46" s="386"/>
      <c r="AE46" s="386"/>
      <c r="AF46" s="508"/>
      <c r="AG46" s="206"/>
      <c r="AH46" s="747"/>
    </row>
    <row r="47" spans="1:34" ht="15" customHeight="1">
      <c r="A47" s="828"/>
      <c r="B47" s="517"/>
      <c r="C47" s="400"/>
      <c r="D47" s="103"/>
      <c r="E47" s="104"/>
      <c r="F47" s="105"/>
      <c r="G47" s="435"/>
      <c r="H47" s="516">
        <f>F47*G47</f>
        <v>0</v>
      </c>
      <c r="I47" s="440"/>
      <c r="J47" s="515"/>
      <c r="K47" s="435"/>
      <c r="L47" s="514"/>
      <c r="M47" s="515"/>
      <c r="N47" s="435"/>
      <c r="O47" s="514"/>
      <c r="P47" s="391"/>
      <c r="Q47" s="390"/>
      <c r="R47" s="204"/>
      <c r="S47" s="719"/>
      <c r="T47" s="513"/>
      <c r="U47" s="513"/>
      <c r="V47" s="440"/>
      <c r="W47" s="512">
        <f t="shared" si="13"/>
        <v>0</v>
      </c>
      <c r="X47" s="511"/>
      <c r="Y47" s="510"/>
      <c r="Z47" s="509"/>
      <c r="AA47" s="509"/>
      <c r="AB47" s="815"/>
      <c r="AC47" s="815"/>
      <c r="AD47" s="386"/>
      <c r="AE47" s="386"/>
      <c r="AF47" s="508"/>
      <c r="AG47" s="206"/>
      <c r="AH47" s="747"/>
    </row>
    <row r="48" spans="1:34" ht="15" customHeight="1">
      <c r="A48" s="829"/>
      <c r="B48" s="507"/>
      <c r="C48" s="383" t="s">
        <v>49</v>
      </c>
      <c r="D48" s="788" t="s">
        <v>42</v>
      </c>
      <c r="E48" s="788"/>
      <c r="F48" s="506"/>
      <c r="G48" s="505"/>
      <c r="H48" s="504"/>
      <c r="I48" s="503"/>
      <c r="J48" s="502">
        <f t="shared" ref="J48:O48" si="14">AVERAGE(J38:J47)</f>
        <v>17.5</v>
      </c>
      <c r="K48" s="502">
        <f t="shared" si="14"/>
        <v>1417.75</v>
      </c>
      <c r="L48" s="501">
        <f t="shared" si="14"/>
        <v>81.50411184210526</v>
      </c>
      <c r="M48" s="502">
        <f t="shared" si="14"/>
        <v>14.5</v>
      </c>
      <c r="N48" s="502">
        <f t="shared" si="14"/>
        <v>1050.9531160663207</v>
      </c>
      <c r="O48" s="501">
        <f t="shared" si="14"/>
        <v>72.794418435338073</v>
      </c>
      <c r="P48" s="500">
        <f>M48-J48</f>
        <v>-3</v>
      </c>
      <c r="Q48" s="376">
        <f>N48-K48</f>
        <v>-366.79688393367928</v>
      </c>
      <c r="R48" s="223">
        <f>O48/L48</f>
        <v>0.89313798764361563</v>
      </c>
      <c r="S48" s="722"/>
      <c r="T48" s="499"/>
      <c r="U48" s="499"/>
      <c r="V48" s="498"/>
      <c r="W48" s="497">
        <f t="shared" si="13"/>
        <v>0</v>
      </c>
      <c r="X48" s="496"/>
      <c r="Y48" s="495"/>
      <c r="Z48" s="370">
        <f>SUM(Z38:Z47)</f>
        <v>0</v>
      </c>
      <c r="AA48" s="370">
        <f>SUM(AA38:AA47)</f>
        <v>0</v>
      </c>
      <c r="AB48" s="789"/>
      <c r="AC48" s="789"/>
      <c r="AD48" s="368">
        <f>SUM(AD38:AD47)</f>
        <v>0</v>
      </c>
      <c r="AE48" s="368">
        <f>SUM(AE38:AE47)</f>
        <v>0</v>
      </c>
      <c r="AF48" s="494">
        <f t="shared" ref="AF48:AF53" si="15">N48-K48</f>
        <v>-366.79688393367928</v>
      </c>
      <c r="AG48" s="162">
        <f t="shared" ref="AG48:AG53" si="16">N48/K48</f>
        <v>0.74128239539151519</v>
      </c>
      <c r="AH48" s="748"/>
    </row>
    <row r="49" spans="1:34" ht="15" customHeight="1">
      <c r="A49" s="839" t="s">
        <v>50</v>
      </c>
      <c r="B49" s="129" t="s">
        <v>81</v>
      </c>
      <c r="C49" s="474"/>
      <c r="D49" s="131" t="s">
        <v>132</v>
      </c>
      <c r="E49" s="132"/>
      <c r="F49" s="129">
        <f>VLOOKUP(D49,廠價表!$C$1:$E$41,3,0)</f>
        <v>56.87</v>
      </c>
      <c r="G49" s="493">
        <v>1520</v>
      </c>
      <c r="H49" s="492">
        <f>F49*G49</f>
        <v>86442.4</v>
      </c>
      <c r="I49" s="444"/>
      <c r="J49" s="456">
        <f>VLOOKUP(D49,產線配置圖!$A$3:$C$39,2,0)</f>
        <v>18</v>
      </c>
      <c r="K49" s="454">
        <f>VLOOKUP(D49,產線配置圖!$A$3:$C$39,3,0)</f>
        <v>1565</v>
      </c>
      <c r="L49" s="453">
        <f>K49/J49</f>
        <v>86.944444444444443</v>
      </c>
      <c r="M49" s="491">
        <v>18</v>
      </c>
      <c r="N49" s="490">
        <f>G49/W49*60</f>
        <v>1403.0769230769195</v>
      </c>
      <c r="O49" s="489">
        <f>N49/M49</f>
        <v>77.948717948717743</v>
      </c>
      <c r="P49" s="486">
        <f>M49-J49</f>
        <v>0</v>
      </c>
      <c r="Q49" s="451">
        <f>O49-L49</f>
        <v>-8.9957264957267</v>
      </c>
      <c r="R49" s="52">
        <f>O49/L49</f>
        <v>0.89653477512902202</v>
      </c>
      <c r="S49" s="718">
        <f>R58</f>
        <v>0.94463252385985963</v>
      </c>
      <c r="T49" s="488">
        <v>0.29166666666666702</v>
      </c>
      <c r="U49" s="488">
        <v>0.33680555555555602</v>
      </c>
      <c r="V49" s="449"/>
      <c r="W49" s="487">
        <f t="shared" si="13"/>
        <v>65.000000000000171</v>
      </c>
      <c r="X49" s="449"/>
      <c r="Y49" s="473"/>
      <c r="Z49" s="445"/>
      <c r="AA49" s="445"/>
      <c r="AB49" s="813"/>
      <c r="AC49" s="813"/>
      <c r="AD49" s="444"/>
      <c r="AE49" s="444"/>
      <c r="AF49" s="486">
        <f t="shared" si="15"/>
        <v>-161.92307692308054</v>
      </c>
      <c r="AG49" s="52">
        <f t="shared" si="16"/>
        <v>0.89653477512902202</v>
      </c>
      <c r="AH49" s="724">
        <f>AG58</f>
        <v>0.91782290176625625</v>
      </c>
    </row>
    <row r="50" spans="1:34" ht="15" customHeight="1">
      <c r="A50" s="840"/>
      <c r="B50" s="75" t="s">
        <v>117</v>
      </c>
      <c r="C50" s="439"/>
      <c r="D50" s="59" t="s">
        <v>133</v>
      </c>
      <c r="E50" s="77"/>
      <c r="F50" s="75">
        <f>VLOOKUP(D50,廠價表!$C$1:$E$41,3,0)</f>
        <v>49.91</v>
      </c>
      <c r="G50" s="435">
        <v>2310</v>
      </c>
      <c r="H50" s="425">
        <f>F50*G50</f>
        <v>115292.09999999999</v>
      </c>
      <c r="I50" s="434"/>
      <c r="J50" s="433">
        <f>VLOOKUP(D50,產線配置圖!$A$3:$C$39,2,0)</f>
        <v>17</v>
      </c>
      <c r="K50" s="431">
        <f>VLOOKUP(D50,產線配置圖!$A$3:$C$39,3,0)</f>
        <v>1565</v>
      </c>
      <c r="L50" s="430">
        <f>K50/J50</f>
        <v>92.058823529411768</v>
      </c>
      <c r="M50" s="485">
        <v>15</v>
      </c>
      <c r="N50" s="483">
        <f>G50/W50*60</f>
        <v>1283.333333333333</v>
      </c>
      <c r="O50" s="413">
        <f>N50/M50</f>
        <v>85.555555555555529</v>
      </c>
      <c r="P50" s="429">
        <f>M50-J50</f>
        <v>-2</v>
      </c>
      <c r="Q50" s="428">
        <f>O50-L50</f>
        <v>-6.5032679738562393</v>
      </c>
      <c r="R50" s="72">
        <f>O50/L50</f>
        <v>0.92935747248846257</v>
      </c>
      <c r="S50" s="719"/>
      <c r="T50" s="482">
        <v>0.34375</v>
      </c>
      <c r="U50" s="482">
        <v>0.41875000000000001</v>
      </c>
      <c r="V50" s="399">
        <f>(T50-U49)*24*60</f>
        <v>9.999999999999325</v>
      </c>
      <c r="W50" s="479">
        <f t="shared" si="13"/>
        <v>108.00000000000001</v>
      </c>
      <c r="X50" s="422"/>
      <c r="Y50" s="421"/>
      <c r="Z50" s="411"/>
      <c r="AA50" s="411"/>
      <c r="AB50" s="815"/>
      <c r="AC50" s="815"/>
      <c r="AD50" s="386"/>
      <c r="AE50" s="386"/>
      <c r="AF50" s="402">
        <f t="shared" si="15"/>
        <v>-281.66666666666697</v>
      </c>
      <c r="AG50" s="72">
        <f t="shared" si="16"/>
        <v>0.82002129925452594</v>
      </c>
      <c r="AH50" s="725"/>
    </row>
    <row r="51" spans="1:34" ht="15" customHeight="1">
      <c r="A51" s="840"/>
      <c r="B51" s="75" t="s">
        <v>81</v>
      </c>
      <c r="C51" s="439"/>
      <c r="D51" s="59" t="s">
        <v>134</v>
      </c>
      <c r="E51" s="77"/>
      <c r="F51" s="75">
        <f>VLOOKUP(D51,廠價表!$C$1:$E$41,3,0)</f>
        <v>49.97</v>
      </c>
      <c r="G51" s="435">
        <v>2194</v>
      </c>
      <c r="H51" s="425">
        <f>F51*G51</f>
        <v>109634.18</v>
      </c>
      <c r="I51" s="434"/>
      <c r="J51" s="433">
        <f>VLOOKUP(D51,產線配置圖!$A$3:$C$39,2,0)</f>
        <v>18</v>
      </c>
      <c r="K51" s="431">
        <f>VLOOKUP(D51,產線配置圖!$A$3:$C$39,3,0)</f>
        <v>1600</v>
      </c>
      <c r="L51" s="430">
        <f>K51/J51</f>
        <v>88.888888888888886</v>
      </c>
      <c r="M51" s="485">
        <v>18</v>
      </c>
      <c r="N51" s="483">
        <f>G51/W51*60</f>
        <v>1586.0240963855385</v>
      </c>
      <c r="O51" s="413">
        <f>N51/M51</f>
        <v>88.112449799196582</v>
      </c>
      <c r="P51" s="429">
        <f>M51-J51</f>
        <v>0</v>
      </c>
      <c r="Q51" s="428">
        <f>O51-L51</f>
        <v>-0.77643908969230324</v>
      </c>
      <c r="R51" s="72">
        <f>O51/L51</f>
        <v>0.99126506024096162</v>
      </c>
      <c r="S51" s="719"/>
      <c r="T51" s="482">
        <v>0.42708333333333298</v>
      </c>
      <c r="U51" s="484">
        <v>0.484722222222222</v>
      </c>
      <c r="V51" s="399">
        <f>(T51-U50)*24*60</f>
        <v>11.999999999999478</v>
      </c>
      <c r="W51" s="479">
        <f t="shared" si="13"/>
        <v>83.000000000000185</v>
      </c>
      <c r="X51" s="422"/>
      <c r="Y51" s="421"/>
      <c r="Z51" s="411"/>
      <c r="AA51" s="411"/>
      <c r="AB51" s="815"/>
      <c r="AC51" s="815"/>
      <c r="AD51" s="386"/>
      <c r="AE51" s="386"/>
      <c r="AF51" s="402">
        <f t="shared" si="15"/>
        <v>-13.975903614461458</v>
      </c>
      <c r="AG51" s="72">
        <f t="shared" si="16"/>
        <v>0.99126506024096162</v>
      </c>
      <c r="AH51" s="725"/>
    </row>
    <row r="52" spans="1:34" ht="15" customHeight="1">
      <c r="A52" s="840"/>
      <c r="B52" s="401" t="s">
        <v>81</v>
      </c>
      <c r="C52" s="400"/>
      <c r="D52" s="103" t="s">
        <v>134</v>
      </c>
      <c r="E52" s="104"/>
      <c r="F52" s="75">
        <f>VLOOKUP(D52,廠價表!$C$1:$E$41,3,0)</f>
        <v>49.97</v>
      </c>
      <c r="G52" s="435">
        <v>3331</v>
      </c>
      <c r="H52" s="425">
        <f>F52*G52</f>
        <v>166450.07</v>
      </c>
      <c r="I52" s="434"/>
      <c r="J52" s="433">
        <f>VLOOKUP(D52,產線配置圖!$A$3:$C$39,2,0)</f>
        <v>18</v>
      </c>
      <c r="K52" s="431">
        <f>VLOOKUP(D52,產線配置圖!$A$3:$C$39,3,0)</f>
        <v>1600</v>
      </c>
      <c r="L52" s="430">
        <f>K52/J52</f>
        <v>88.888888888888886</v>
      </c>
      <c r="M52" s="407">
        <v>18</v>
      </c>
      <c r="N52" s="483">
        <f>G52/W52*60</f>
        <v>1537.3846153846114</v>
      </c>
      <c r="O52" s="413">
        <f>N52/M52</f>
        <v>85.410256410256181</v>
      </c>
      <c r="P52" s="429">
        <f>M52-J52</f>
        <v>0</v>
      </c>
      <c r="Q52" s="428">
        <f>O52-L52</f>
        <v>-3.4786324786327043</v>
      </c>
      <c r="R52" s="72">
        <f>O52/L52</f>
        <v>0.96086538461538207</v>
      </c>
      <c r="S52" s="719"/>
      <c r="T52" s="482">
        <v>0.54374999999999996</v>
      </c>
      <c r="U52" s="482">
        <v>0.63402777777777797</v>
      </c>
      <c r="V52" s="399">
        <f>(T52-U51)*24*60</f>
        <v>85.000000000000256</v>
      </c>
      <c r="W52" s="479">
        <f t="shared" si="13"/>
        <v>130.00000000000034</v>
      </c>
      <c r="X52" s="422">
        <v>0.49305555555555602</v>
      </c>
      <c r="Y52" s="421">
        <v>0.53472222222222199</v>
      </c>
      <c r="Z52" s="411"/>
      <c r="AA52" s="411"/>
      <c r="AB52" s="815"/>
      <c r="AC52" s="815"/>
      <c r="AD52" s="386"/>
      <c r="AE52" s="386"/>
      <c r="AF52" s="402">
        <f t="shared" si="15"/>
        <v>-62.615384615388621</v>
      </c>
      <c r="AG52" s="72">
        <f t="shared" si="16"/>
        <v>0.96086538461538207</v>
      </c>
      <c r="AH52" s="725"/>
    </row>
    <row r="53" spans="1:34" ht="15" customHeight="1">
      <c r="A53" s="840"/>
      <c r="B53" s="401"/>
      <c r="C53" s="400"/>
      <c r="D53" s="103"/>
      <c r="E53" s="104"/>
      <c r="F53" s="75"/>
      <c r="G53" s="435"/>
      <c r="H53" s="425"/>
      <c r="I53" s="434"/>
      <c r="J53" s="433"/>
      <c r="K53" s="431"/>
      <c r="L53" s="430"/>
      <c r="M53" s="407"/>
      <c r="N53" s="483"/>
      <c r="O53" s="413"/>
      <c r="P53" s="429"/>
      <c r="Q53" s="428"/>
      <c r="R53" s="72"/>
      <c r="S53" s="719"/>
      <c r="T53" s="482"/>
      <c r="U53" s="482"/>
      <c r="V53" s="399"/>
      <c r="W53" s="479">
        <f t="shared" si="13"/>
        <v>0</v>
      </c>
      <c r="X53" s="399"/>
      <c r="Y53" s="419"/>
      <c r="Z53" s="411"/>
      <c r="AA53" s="411"/>
      <c r="AB53" s="815"/>
      <c r="AC53" s="815"/>
      <c r="AD53" s="386"/>
      <c r="AE53" s="386"/>
      <c r="AF53" s="402">
        <f t="shared" si="15"/>
        <v>0</v>
      </c>
      <c r="AG53" s="72" t="e">
        <f t="shared" si="16"/>
        <v>#DIV/0!</v>
      </c>
      <c r="AH53" s="725"/>
    </row>
    <row r="54" spans="1:34" ht="15" customHeight="1">
      <c r="A54" s="840"/>
      <c r="B54" s="401"/>
      <c r="C54" s="400"/>
      <c r="D54" s="103"/>
      <c r="E54" s="104"/>
      <c r="F54" s="75"/>
      <c r="G54" s="435"/>
      <c r="H54" s="398"/>
      <c r="I54" s="399"/>
      <c r="J54" s="433"/>
      <c r="K54" s="431"/>
      <c r="L54" s="430"/>
      <c r="M54" s="407"/>
      <c r="N54" s="483"/>
      <c r="O54" s="413"/>
      <c r="P54" s="429"/>
      <c r="Q54" s="428"/>
      <c r="R54" s="72"/>
      <c r="S54" s="719"/>
      <c r="T54" s="482"/>
      <c r="U54" s="482"/>
      <c r="V54" s="399"/>
      <c r="W54" s="479">
        <f t="shared" si="13"/>
        <v>0</v>
      </c>
      <c r="X54" s="399"/>
      <c r="Y54" s="419"/>
      <c r="Z54" s="411"/>
      <c r="AA54" s="411"/>
      <c r="AB54" s="815"/>
      <c r="AC54" s="815"/>
      <c r="AD54" s="386"/>
      <c r="AE54" s="386"/>
      <c r="AF54" s="402"/>
      <c r="AG54" s="72"/>
      <c r="AH54" s="725"/>
    </row>
    <row r="55" spans="1:34" ht="15" customHeight="1">
      <c r="A55" s="840"/>
      <c r="B55" s="401"/>
      <c r="C55" s="400"/>
      <c r="D55" s="103"/>
      <c r="E55" s="104"/>
      <c r="F55" s="75"/>
      <c r="G55" s="435"/>
      <c r="H55" s="398"/>
      <c r="I55" s="399"/>
      <c r="J55" s="433"/>
      <c r="K55" s="431"/>
      <c r="L55" s="430"/>
      <c r="M55" s="407"/>
      <c r="N55" s="483"/>
      <c r="O55" s="413"/>
      <c r="P55" s="429"/>
      <c r="Q55" s="428"/>
      <c r="R55" s="72"/>
      <c r="S55" s="719"/>
      <c r="T55" s="482"/>
      <c r="U55" s="482"/>
      <c r="V55" s="480"/>
      <c r="W55" s="479">
        <f t="shared" si="13"/>
        <v>0</v>
      </c>
      <c r="X55" s="399"/>
      <c r="Y55" s="419"/>
      <c r="Z55" s="411"/>
      <c r="AA55" s="411"/>
      <c r="AB55" s="815"/>
      <c r="AC55" s="815"/>
      <c r="AD55" s="386"/>
      <c r="AE55" s="386"/>
      <c r="AF55" s="402"/>
      <c r="AG55" s="72"/>
      <c r="AH55" s="725"/>
    </row>
    <row r="56" spans="1:34" ht="15" customHeight="1">
      <c r="A56" s="840"/>
      <c r="B56" s="401"/>
      <c r="C56" s="400"/>
      <c r="D56" s="103"/>
      <c r="E56" s="104"/>
      <c r="F56" s="75"/>
      <c r="G56" s="435"/>
      <c r="H56" s="398"/>
      <c r="I56" s="399"/>
      <c r="J56" s="433"/>
      <c r="K56" s="431"/>
      <c r="L56" s="430"/>
      <c r="M56" s="407"/>
      <c r="N56" s="483"/>
      <c r="O56" s="413"/>
      <c r="P56" s="429"/>
      <c r="Q56" s="428"/>
      <c r="R56" s="72"/>
      <c r="S56" s="719"/>
      <c r="T56" s="482"/>
      <c r="U56" s="482"/>
      <c r="V56" s="480"/>
      <c r="W56" s="479">
        <f t="shared" si="13"/>
        <v>0</v>
      </c>
      <c r="X56" s="399"/>
      <c r="Y56" s="419"/>
      <c r="Z56" s="411"/>
      <c r="AA56" s="411"/>
      <c r="AB56" s="815"/>
      <c r="AC56" s="815"/>
      <c r="AD56" s="386"/>
      <c r="AE56" s="386"/>
      <c r="AF56" s="402"/>
      <c r="AG56" s="72"/>
      <c r="AH56" s="725"/>
    </row>
    <row r="57" spans="1:34" ht="15" customHeight="1">
      <c r="A57" s="840"/>
      <c r="B57" s="401"/>
      <c r="C57" s="400"/>
      <c r="D57" s="103"/>
      <c r="E57" s="104"/>
      <c r="F57" s="105"/>
      <c r="G57" s="435"/>
      <c r="H57" s="398"/>
      <c r="I57" s="399"/>
      <c r="J57" s="466"/>
      <c r="K57" s="465"/>
      <c r="L57" s="392"/>
      <c r="M57" s="407"/>
      <c r="N57" s="465"/>
      <c r="O57" s="464"/>
      <c r="P57" s="429"/>
      <c r="Q57" s="428"/>
      <c r="R57" s="72"/>
      <c r="S57" s="719"/>
      <c r="T57" s="481"/>
      <c r="U57" s="481"/>
      <c r="V57" s="480"/>
      <c r="W57" s="479">
        <f t="shared" si="13"/>
        <v>0</v>
      </c>
      <c r="X57" s="399"/>
      <c r="Y57" s="419"/>
      <c r="Z57" s="411"/>
      <c r="AA57" s="411"/>
      <c r="AB57" s="815"/>
      <c r="AC57" s="815"/>
      <c r="AD57" s="386"/>
      <c r="AE57" s="386"/>
      <c r="AF57" s="402"/>
      <c r="AG57" s="72"/>
      <c r="AH57" s="725"/>
    </row>
    <row r="58" spans="1:34" ht="15" customHeight="1">
      <c r="A58" s="841"/>
      <c r="B58" s="384"/>
      <c r="C58" s="383" t="s">
        <v>51</v>
      </c>
      <c r="D58" s="788" t="s">
        <v>42</v>
      </c>
      <c r="E58" s="788"/>
      <c r="F58" s="382"/>
      <c r="G58" s="379"/>
      <c r="H58" s="459"/>
      <c r="I58" s="381"/>
      <c r="J58" s="478">
        <f t="shared" ref="J58:O58" si="17">AVERAGE(J49:J57)</f>
        <v>17.75</v>
      </c>
      <c r="K58" s="478">
        <f t="shared" si="17"/>
        <v>1582.5</v>
      </c>
      <c r="L58" s="381">
        <f t="shared" si="17"/>
        <v>89.195261437908499</v>
      </c>
      <c r="M58" s="478">
        <f t="shared" si="17"/>
        <v>17.25</v>
      </c>
      <c r="N58" s="478">
        <f t="shared" si="17"/>
        <v>1452.4547420451006</v>
      </c>
      <c r="O58" s="381">
        <f t="shared" si="17"/>
        <v>84.256744928431516</v>
      </c>
      <c r="P58" s="477">
        <f>M58-J58</f>
        <v>-0.5</v>
      </c>
      <c r="Q58" s="476">
        <f>N58-K58</f>
        <v>-130.0452579548994</v>
      </c>
      <c r="R58" s="123">
        <f>O58/L58</f>
        <v>0.94463252385985963</v>
      </c>
      <c r="S58" s="722"/>
      <c r="T58" s="475"/>
      <c r="U58" s="475"/>
      <c r="V58" s="374"/>
      <c r="W58" s="373"/>
      <c r="X58" s="372"/>
      <c r="Y58" s="371"/>
      <c r="Z58" s="370">
        <f>SUM(Z49:Z57)</f>
        <v>0</v>
      </c>
      <c r="AA58" s="370">
        <f>SUM(AA49:AA57)</f>
        <v>0</v>
      </c>
      <c r="AB58" s="789"/>
      <c r="AC58" s="789"/>
      <c r="AD58" s="368">
        <f>SUM(AD49:AD57)</f>
        <v>0</v>
      </c>
      <c r="AE58" s="368">
        <f>SUM(AE49:AE57)</f>
        <v>0</v>
      </c>
      <c r="AF58" s="367">
        <f>N58-K58</f>
        <v>-130.0452579548994</v>
      </c>
      <c r="AG58" s="124">
        <f>N58/K58</f>
        <v>0.91782290176625625</v>
      </c>
      <c r="AH58" s="727"/>
    </row>
    <row r="59" spans="1:34" ht="15" customHeight="1">
      <c r="A59" s="835" t="s">
        <v>52</v>
      </c>
      <c r="B59" s="129" t="s">
        <v>135</v>
      </c>
      <c r="C59" s="474"/>
      <c r="D59" s="131" t="s">
        <v>136</v>
      </c>
      <c r="E59" s="132"/>
      <c r="F59" s="129">
        <f>VLOOKUP(D59,廠價表!$C$1:$E$41,3,0)</f>
        <v>26.99</v>
      </c>
      <c r="G59" s="449">
        <v>2944</v>
      </c>
      <c r="H59" s="457">
        <f>F59*G59</f>
        <v>79458.559999999998</v>
      </c>
      <c r="I59" s="449"/>
      <c r="J59" s="456">
        <f>VLOOKUP(D59,產線配置圖!$A$3:$C$39,2,0)</f>
        <v>13</v>
      </c>
      <c r="K59" s="454">
        <f>VLOOKUP(D59,產線配置圖!$A$3:$C$39,3,0)</f>
        <v>1565</v>
      </c>
      <c r="L59" s="453">
        <f>K59/J59</f>
        <v>120.38461538461539</v>
      </c>
      <c r="M59" s="455">
        <v>13</v>
      </c>
      <c r="N59" s="454">
        <f>G59/W59*60</f>
        <v>1358.7692307692432</v>
      </c>
      <c r="O59" s="453">
        <f>N59/M59</f>
        <v>104.52071005917256</v>
      </c>
      <c r="P59" s="452">
        <f>M59-J59</f>
        <v>0</v>
      </c>
      <c r="Q59" s="451">
        <f>O59-L59</f>
        <v>-15.863905325442829</v>
      </c>
      <c r="R59" s="52">
        <f>O59/L59</f>
        <v>0.86822315065127365</v>
      </c>
      <c r="S59" s="718">
        <f>R69</f>
        <v>0.77931455722127452</v>
      </c>
      <c r="T59" s="450">
        <v>0.29166666666666702</v>
      </c>
      <c r="U59" s="450">
        <v>0.38194444444444398</v>
      </c>
      <c r="V59" s="449"/>
      <c r="W59" s="448">
        <f t="shared" ref="W59:W68" si="18">(U59-T59)*24*60</f>
        <v>129.99999999999881</v>
      </c>
      <c r="X59" s="449"/>
      <c r="Y59" s="473"/>
      <c r="Z59" s="445"/>
      <c r="AA59" s="445"/>
      <c r="AB59" s="813"/>
      <c r="AC59" s="813"/>
      <c r="AD59" s="444"/>
      <c r="AE59" s="444"/>
      <c r="AF59" s="443">
        <f>N59-K59</f>
        <v>-206.23076923075678</v>
      </c>
      <c r="AG59" s="246">
        <f>N59/K59</f>
        <v>0.86822315065127365</v>
      </c>
      <c r="AH59" s="724">
        <f>AG69</f>
        <v>0.76603751945605758</v>
      </c>
    </row>
    <row r="60" spans="1:34" ht="15" customHeight="1">
      <c r="A60" s="836"/>
      <c r="B60" s="75" t="s">
        <v>135</v>
      </c>
      <c r="C60" s="436"/>
      <c r="D60" s="175" t="s">
        <v>137</v>
      </c>
      <c r="E60" s="87"/>
      <c r="F60" s="75">
        <f>VLOOKUP(D60,廠價表!$C$1:$E$41,3,0)</f>
        <v>28.47</v>
      </c>
      <c r="G60" s="399">
        <v>619</v>
      </c>
      <c r="H60" s="398">
        <f>F60*G60</f>
        <v>17622.93</v>
      </c>
      <c r="I60" s="399"/>
      <c r="J60" s="433">
        <f>VLOOKUP(D60,產線配置圖!$A$3:$C$39,2,0)</f>
        <v>12</v>
      </c>
      <c r="K60" s="431">
        <f>VLOOKUP(D60,產線配置圖!$A$3:$C$39,3,0)</f>
        <v>1565</v>
      </c>
      <c r="L60" s="430">
        <f>K60/J60</f>
        <v>130.41666666666666</v>
      </c>
      <c r="M60" s="432">
        <v>12</v>
      </c>
      <c r="N60" s="431">
        <f>G60/W60*60</f>
        <v>825.33333333333337</v>
      </c>
      <c r="O60" s="430">
        <f>N60/M60</f>
        <v>68.777777777777786</v>
      </c>
      <c r="P60" s="429">
        <f>M60-J60</f>
        <v>0</v>
      </c>
      <c r="Q60" s="428">
        <f>O60-L60</f>
        <v>-61.638888888888872</v>
      </c>
      <c r="R60" s="72">
        <f>O60/L60</f>
        <v>0.52736954206602782</v>
      </c>
      <c r="S60" s="768"/>
      <c r="T60" s="422">
        <v>0.39236111111111099</v>
      </c>
      <c r="U60" s="422">
        <v>0.42361111111111099</v>
      </c>
      <c r="V60" s="399">
        <f>(T60-U59)*24*60</f>
        <v>15.000000000000506</v>
      </c>
      <c r="W60" s="414">
        <f t="shared" si="18"/>
        <v>45</v>
      </c>
      <c r="X60" s="434"/>
      <c r="Y60" s="472"/>
      <c r="Z60" s="411"/>
      <c r="AA60" s="411"/>
      <c r="AB60" s="815" t="s">
        <v>143</v>
      </c>
      <c r="AC60" s="815"/>
      <c r="AD60" s="386"/>
      <c r="AE60" s="386"/>
      <c r="AF60" s="471">
        <f>N60-K60</f>
        <v>-739.66666666666663</v>
      </c>
      <c r="AG60" s="249">
        <f>N60/K60</f>
        <v>0.52736954206602771</v>
      </c>
      <c r="AH60" s="759"/>
    </row>
    <row r="61" spans="1:34" ht="15" customHeight="1">
      <c r="A61" s="837"/>
      <c r="B61" s="250" t="s">
        <v>135</v>
      </c>
      <c r="C61" s="470"/>
      <c r="D61" s="252" t="s">
        <v>138</v>
      </c>
      <c r="E61" s="253"/>
      <c r="F61" s="250">
        <f>VLOOKUP(D61,廠價表!$C$1:$E$41,3,0)</f>
        <v>28.26</v>
      </c>
      <c r="G61" s="388">
        <v>2166</v>
      </c>
      <c r="H61" s="467">
        <f>F61*G61</f>
        <v>61211.16</v>
      </c>
      <c r="I61" s="409"/>
      <c r="J61" s="466">
        <f>VLOOKUP(D61,產線配置圖!$A$3:$C$39,2,0)</f>
        <v>12</v>
      </c>
      <c r="K61" s="465">
        <f>VLOOKUP(D61,產線配置圖!$A$3:$C$39,3,0)</f>
        <v>1565</v>
      </c>
      <c r="L61" s="464">
        <f>K61/J61</f>
        <v>130.41666666666666</v>
      </c>
      <c r="M61" s="407">
        <v>12</v>
      </c>
      <c r="N61" s="465">
        <f>G61/W61*60</f>
        <v>1299.600000000009</v>
      </c>
      <c r="O61" s="464">
        <f>N61/M61</f>
        <v>108.30000000000075</v>
      </c>
      <c r="P61" s="463">
        <f>M61-J61</f>
        <v>0</v>
      </c>
      <c r="Q61" s="462">
        <f>O61-L61</f>
        <v>-22.116666666665907</v>
      </c>
      <c r="R61" s="85">
        <f>O61/L61</f>
        <v>0.83041533546326463</v>
      </c>
      <c r="S61" s="719"/>
      <c r="T61" s="422">
        <v>0.43402777777777801</v>
      </c>
      <c r="U61" s="422">
        <v>0.50347222222222199</v>
      </c>
      <c r="V61" s="399">
        <f>(T61-U60)*24*60</f>
        <v>15.000000000000506</v>
      </c>
      <c r="W61" s="418">
        <f t="shared" si="18"/>
        <v>99.999999999999318</v>
      </c>
      <c r="X61" s="422"/>
      <c r="Y61" s="421"/>
      <c r="Z61" s="411"/>
      <c r="AA61" s="411"/>
      <c r="AB61" s="815"/>
      <c r="AC61" s="815"/>
      <c r="AD61" s="386"/>
      <c r="AE61" s="386"/>
      <c r="AF61" s="410">
        <f>N61-K61</f>
        <v>-265.399999999991</v>
      </c>
      <c r="AG61" s="247">
        <f>N61/K61</f>
        <v>0.83041533546326451</v>
      </c>
      <c r="AH61" s="725"/>
    </row>
    <row r="62" spans="1:34" ht="15" customHeight="1">
      <c r="A62" s="837"/>
      <c r="B62" s="250" t="s">
        <v>135</v>
      </c>
      <c r="C62" s="470"/>
      <c r="D62" s="257" t="s">
        <v>136</v>
      </c>
      <c r="E62" s="253"/>
      <c r="F62" s="250">
        <f>VLOOKUP(D62,廠價表!$C$1:$E$41,3,0)</f>
        <v>26.99</v>
      </c>
      <c r="G62" s="388">
        <v>1421</v>
      </c>
      <c r="H62" s="467">
        <f>F62*G62</f>
        <v>38352.79</v>
      </c>
      <c r="I62" s="409"/>
      <c r="J62" s="466">
        <f>VLOOKUP(D62,產線配置圖!$A$3:$C$39,2,0)</f>
        <v>13</v>
      </c>
      <c r="K62" s="465">
        <f>VLOOKUP(D62,產線配置圖!$A$3:$C$39,3,0)</f>
        <v>1565</v>
      </c>
      <c r="L62" s="464">
        <f>K62/J62</f>
        <v>120.38461538461539</v>
      </c>
      <c r="M62" s="407">
        <v>12</v>
      </c>
      <c r="N62" s="465">
        <f>G62/W62*60</f>
        <v>1311.6923076923349</v>
      </c>
      <c r="O62" s="464">
        <f>N62/M62</f>
        <v>109.30769230769458</v>
      </c>
      <c r="P62" s="463">
        <f>M62-J62</f>
        <v>-1</v>
      </c>
      <c r="Q62" s="462">
        <f>O62-L62</f>
        <v>-11.076923076920806</v>
      </c>
      <c r="R62" s="85">
        <f>O62/L62</f>
        <v>0.90798722044730318</v>
      </c>
      <c r="S62" s="719"/>
      <c r="T62" s="422">
        <v>0.55555555555555602</v>
      </c>
      <c r="U62" s="422">
        <v>0.60069444444444398</v>
      </c>
      <c r="V62" s="399">
        <f>(T62-U61)*24*60</f>
        <v>75.000000000001009</v>
      </c>
      <c r="W62" s="414">
        <f t="shared" si="18"/>
        <v>64.99999999999865</v>
      </c>
      <c r="X62" s="422">
        <v>0.51041666666666696</v>
      </c>
      <c r="Y62" s="421">
        <v>0.54166666666666696</v>
      </c>
      <c r="Z62" s="411"/>
      <c r="AA62" s="411"/>
      <c r="AB62" s="815"/>
      <c r="AC62" s="815"/>
      <c r="AD62" s="386"/>
      <c r="AE62" s="386"/>
      <c r="AF62" s="410">
        <f>N62-K62</f>
        <v>-253.30769230766509</v>
      </c>
      <c r="AG62" s="247">
        <f>N62/K62</f>
        <v>0.83814204964366446</v>
      </c>
      <c r="AH62" s="725"/>
    </row>
    <row r="63" spans="1:34" ht="15" customHeight="1">
      <c r="A63" s="837"/>
      <c r="B63" s="258"/>
      <c r="C63" s="427"/>
      <c r="D63" s="259"/>
      <c r="E63" s="60"/>
      <c r="F63" s="250"/>
      <c r="G63" s="469"/>
      <c r="H63" s="467"/>
      <c r="I63" s="469"/>
      <c r="J63" s="466"/>
      <c r="K63" s="465"/>
      <c r="L63" s="464"/>
      <c r="M63" s="468"/>
      <c r="N63" s="465"/>
      <c r="O63" s="464"/>
      <c r="P63" s="463"/>
      <c r="Q63" s="462"/>
      <c r="R63" s="85"/>
      <c r="S63" s="719"/>
      <c r="T63" s="422"/>
      <c r="U63" s="422"/>
      <c r="V63" s="399"/>
      <c r="W63" s="414">
        <f t="shared" si="18"/>
        <v>0</v>
      </c>
      <c r="X63" s="261"/>
      <c r="Y63" s="291"/>
      <c r="Z63" s="335"/>
      <c r="AA63" s="335"/>
      <c r="AB63" s="815"/>
      <c r="AC63" s="815"/>
      <c r="AD63" s="386"/>
      <c r="AE63" s="386"/>
      <c r="AF63" s="410"/>
      <c r="AG63" s="247"/>
      <c r="AH63" s="725"/>
    </row>
    <row r="64" spans="1:34" ht="15" customHeight="1">
      <c r="A64" s="837"/>
      <c r="B64" s="75"/>
      <c r="C64" s="439"/>
      <c r="D64" s="175"/>
      <c r="E64" s="77"/>
      <c r="F64" s="250"/>
      <c r="G64" s="399"/>
      <c r="H64" s="467"/>
      <c r="I64" s="409"/>
      <c r="J64" s="466"/>
      <c r="K64" s="465"/>
      <c r="L64" s="464"/>
      <c r="M64" s="432"/>
      <c r="N64" s="465"/>
      <c r="O64" s="464"/>
      <c r="P64" s="463"/>
      <c r="Q64" s="462"/>
      <c r="R64" s="85"/>
      <c r="S64" s="719"/>
      <c r="T64" s="422"/>
      <c r="U64" s="422"/>
      <c r="V64" s="399"/>
      <c r="W64" s="387">
        <f t="shared" si="18"/>
        <v>0</v>
      </c>
      <c r="X64" s="261"/>
      <c r="Y64" s="291"/>
      <c r="Z64" s="335"/>
      <c r="AA64" s="335"/>
      <c r="AB64" s="815"/>
      <c r="AC64" s="815"/>
      <c r="AD64" s="386"/>
      <c r="AE64" s="386"/>
      <c r="AF64" s="402"/>
      <c r="AG64" s="262"/>
      <c r="AH64" s="725"/>
    </row>
    <row r="65" spans="1:36" ht="15" customHeight="1">
      <c r="A65" s="837"/>
      <c r="B65" s="75"/>
      <c r="C65" s="436"/>
      <c r="D65" s="175"/>
      <c r="E65" s="87"/>
      <c r="F65" s="75"/>
      <c r="G65" s="399"/>
      <c r="H65" s="398"/>
      <c r="I65" s="399"/>
      <c r="J65" s="433"/>
      <c r="K65" s="431"/>
      <c r="L65" s="430"/>
      <c r="M65" s="432"/>
      <c r="N65" s="431"/>
      <c r="O65" s="430"/>
      <c r="P65" s="429"/>
      <c r="Q65" s="428"/>
      <c r="R65" s="72"/>
      <c r="S65" s="719"/>
      <c r="T65" s="403"/>
      <c r="U65" s="403"/>
      <c r="V65" s="399"/>
      <c r="W65" s="387">
        <f t="shared" si="18"/>
        <v>0</v>
      </c>
      <c r="X65" s="261"/>
      <c r="Y65" s="291"/>
      <c r="Z65" s="335"/>
      <c r="AA65" s="335"/>
      <c r="AB65" s="815"/>
      <c r="AC65" s="815"/>
      <c r="AD65" s="386"/>
      <c r="AE65" s="386"/>
      <c r="AF65" s="402"/>
      <c r="AG65" s="262"/>
      <c r="AH65" s="725"/>
    </row>
    <row r="66" spans="1:36" ht="15" customHeight="1">
      <c r="A66" s="837"/>
      <c r="B66" s="401"/>
      <c r="C66" s="400"/>
      <c r="D66" s="103"/>
      <c r="E66" s="104"/>
      <c r="F66" s="105"/>
      <c r="G66" s="419"/>
      <c r="H66" s="398"/>
      <c r="I66" s="397"/>
      <c r="J66" s="433"/>
      <c r="K66" s="431"/>
      <c r="L66" s="430"/>
      <c r="M66" s="394"/>
      <c r="N66" s="393"/>
      <c r="O66" s="392"/>
      <c r="P66" s="391"/>
      <c r="Q66" s="390"/>
      <c r="R66" s="204"/>
      <c r="S66" s="719"/>
      <c r="T66" s="403"/>
      <c r="U66" s="403"/>
      <c r="V66" s="399"/>
      <c r="W66" s="387">
        <f t="shared" si="18"/>
        <v>0</v>
      </c>
      <c r="X66" s="261"/>
      <c r="Y66" s="291"/>
      <c r="Z66" s="335"/>
      <c r="AA66" s="335"/>
      <c r="AB66" s="815"/>
      <c r="AC66" s="815"/>
      <c r="AD66" s="386"/>
      <c r="AE66" s="386"/>
      <c r="AF66" s="402"/>
      <c r="AG66" s="262"/>
      <c r="AH66" s="725"/>
    </row>
    <row r="67" spans="1:36" ht="15" customHeight="1">
      <c r="A67" s="837"/>
      <c r="B67" s="401"/>
      <c r="C67" s="400"/>
      <c r="D67" s="103"/>
      <c r="E67" s="104"/>
      <c r="F67" s="105"/>
      <c r="G67" s="399"/>
      <c r="H67" s="398"/>
      <c r="I67" s="399"/>
      <c r="J67" s="433"/>
      <c r="K67" s="431"/>
      <c r="L67" s="430"/>
      <c r="M67" s="394"/>
      <c r="N67" s="393"/>
      <c r="O67" s="392"/>
      <c r="P67" s="391"/>
      <c r="Q67" s="390"/>
      <c r="R67" s="204"/>
      <c r="S67" s="719"/>
      <c r="T67" s="403"/>
      <c r="U67" s="403"/>
      <c r="V67" s="399"/>
      <c r="W67" s="387">
        <f t="shared" si="18"/>
        <v>0</v>
      </c>
      <c r="X67" s="261"/>
      <c r="Y67" s="291"/>
      <c r="Z67" s="335"/>
      <c r="AA67" s="335"/>
      <c r="AB67" s="815"/>
      <c r="AC67" s="815"/>
      <c r="AD67" s="386"/>
      <c r="AE67" s="386"/>
      <c r="AF67" s="402"/>
      <c r="AG67" s="262"/>
      <c r="AH67" s="725"/>
    </row>
    <row r="68" spans="1:36" ht="15" customHeight="1">
      <c r="A68" s="837"/>
      <c r="B68" s="401"/>
      <c r="C68" s="400"/>
      <c r="D68" s="103"/>
      <c r="E68" s="104"/>
      <c r="F68" s="105"/>
      <c r="G68" s="419"/>
      <c r="H68" s="398">
        <f>F68*G68</f>
        <v>0</v>
      </c>
      <c r="I68" s="397"/>
      <c r="J68" s="433"/>
      <c r="K68" s="461"/>
      <c r="L68" s="460"/>
      <c r="M68" s="394"/>
      <c r="N68" s="393"/>
      <c r="O68" s="392"/>
      <c r="P68" s="391"/>
      <c r="Q68" s="390"/>
      <c r="R68" s="204"/>
      <c r="S68" s="719"/>
      <c r="T68" s="403"/>
      <c r="U68" s="403"/>
      <c r="V68" s="399"/>
      <c r="W68" s="387">
        <f t="shared" si="18"/>
        <v>0</v>
      </c>
      <c r="X68" s="261"/>
      <c r="Y68" s="291"/>
      <c r="Z68" s="335"/>
      <c r="AA68" s="335"/>
      <c r="AB68" s="815" t="s">
        <v>53</v>
      </c>
      <c r="AC68" s="815"/>
      <c r="AD68" s="386"/>
      <c r="AE68" s="386"/>
      <c r="AF68" s="402"/>
      <c r="AG68" s="262"/>
      <c r="AH68" s="725"/>
    </row>
    <row r="69" spans="1:36" ht="15" customHeight="1">
      <c r="A69" s="838"/>
      <c r="B69" s="384"/>
      <c r="C69" s="383" t="s">
        <v>54</v>
      </c>
      <c r="D69" s="788" t="s">
        <v>42</v>
      </c>
      <c r="E69" s="788"/>
      <c r="F69" s="382"/>
      <c r="G69" s="381"/>
      <c r="H69" s="459"/>
      <c r="I69" s="458"/>
      <c r="J69" s="379">
        <f t="shared" ref="J69:O69" si="19">AVERAGE(J59:J68)</f>
        <v>12.5</v>
      </c>
      <c r="K69" s="379">
        <f t="shared" si="19"/>
        <v>1565</v>
      </c>
      <c r="L69" s="378">
        <f t="shared" si="19"/>
        <v>125.40064102564102</v>
      </c>
      <c r="M69" s="379">
        <f t="shared" si="19"/>
        <v>12.25</v>
      </c>
      <c r="N69" s="379">
        <f t="shared" si="19"/>
        <v>1198.8487179487302</v>
      </c>
      <c r="O69" s="378">
        <f t="shared" si="19"/>
        <v>97.726545036161426</v>
      </c>
      <c r="P69" s="377">
        <f>M69-J69</f>
        <v>-0.25</v>
      </c>
      <c r="Q69" s="376">
        <f>N69-K69</f>
        <v>-366.15128205126985</v>
      </c>
      <c r="R69" s="123">
        <f>O69/L69</f>
        <v>0.77931455722127452</v>
      </c>
      <c r="S69" s="722"/>
      <c r="T69" s="375"/>
      <c r="U69" s="375"/>
      <c r="V69" s="374"/>
      <c r="W69" s="373"/>
      <c r="X69" s="372"/>
      <c r="Y69" s="371"/>
      <c r="Z69" s="370">
        <f>SUM(Z59:Z68)</f>
        <v>0</v>
      </c>
      <c r="AA69" s="370">
        <f>SUM(AA59:AA68)</f>
        <v>0</v>
      </c>
      <c r="AB69" s="789"/>
      <c r="AC69" s="789"/>
      <c r="AD69" s="368">
        <f>SUM(AD59:AD68)</f>
        <v>0</v>
      </c>
      <c r="AE69" s="368">
        <f>SUM(AE59:AE68)</f>
        <v>0</v>
      </c>
      <c r="AF69" s="367">
        <f>N69-K69</f>
        <v>-366.15128205126985</v>
      </c>
      <c r="AG69" s="124">
        <f>N69/K69</f>
        <v>0.76603751945605758</v>
      </c>
      <c r="AH69" s="727"/>
    </row>
    <row r="70" spans="1:36" ht="15" customHeight="1">
      <c r="A70" s="832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449">
        <v>1902</v>
      </c>
      <c r="H70" s="457">
        <f>F70*G70</f>
        <v>96374.34</v>
      </c>
      <c r="I70" s="449"/>
      <c r="J70" s="456">
        <f>VLOOKUP(D70,產線配置圖!$A$3:$C$39,2,0)</f>
        <v>10</v>
      </c>
      <c r="K70" s="454">
        <f>VLOOKUP(D70,產線配置圖!$A$3:$C$39,3,0)</f>
        <v>1125</v>
      </c>
      <c r="L70" s="453">
        <f>K70/J70</f>
        <v>112.5</v>
      </c>
      <c r="M70" s="455">
        <v>10</v>
      </c>
      <c r="N70" s="454">
        <f>G70/W70*60</f>
        <v>691.63636363636579</v>
      </c>
      <c r="O70" s="453">
        <f>N70/M70</f>
        <v>69.163636363636584</v>
      </c>
      <c r="P70" s="452">
        <f>M70-J70</f>
        <v>0</v>
      </c>
      <c r="Q70" s="451">
        <f>O70-L70</f>
        <v>-43.336363636363416</v>
      </c>
      <c r="R70" s="52">
        <f>O70/L70</f>
        <v>0.61478787878788077</v>
      </c>
      <c r="S70" s="718">
        <f>R79</f>
        <v>0.61478787878788077</v>
      </c>
      <c r="T70" s="450">
        <v>0.34027777777777801</v>
      </c>
      <c r="U70" s="450">
        <v>0.45486111111111099</v>
      </c>
      <c r="V70" s="449"/>
      <c r="W70" s="448">
        <f t="shared" ref="W70:W78" si="20">(U70-T70)*24*60</f>
        <v>164.99999999999949</v>
      </c>
      <c r="X70" s="447"/>
      <c r="Y70" s="446"/>
      <c r="Z70" s="445"/>
      <c r="AA70" s="445"/>
      <c r="AB70" s="813" t="s">
        <v>131</v>
      </c>
      <c r="AC70" s="813"/>
      <c r="AD70" s="444"/>
      <c r="AE70" s="444"/>
      <c r="AF70" s="443">
        <f>N70-K70</f>
        <v>-433.36363636363421</v>
      </c>
      <c r="AG70" s="246">
        <f>N70/K70</f>
        <v>0.61478787878788066</v>
      </c>
      <c r="AH70" s="724">
        <f>AG79</f>
        <v>0.61478787878788066</v>
      </c>
    </row>
    <row r="71" spans="1:36" ht="15" customHeight="1">
      <c r="A71" s="833"/>
      <c r="B71" s="75"/>
      <c r="C71" s="439"/>
      <c r="D71" s="59"/>
      <c r="E71" s="77"/>
      <c r="F71" s="75"/>
      <c r="G71" s="399"/>
      <c r="H71" s="398"/>
      <c r="I71" s="434"/>
      <c r="J71" s="433"/>
      <c r="K71" s="431"/>
      <c r="L71" s="430"/>
      <c r="M71" s="432"/>
      <c r="N71" s="431"/>
      <c r="O71" s="430"/>
      <c r="P71" s="429"/>
      <c r="Q71" s="428"/>
      <c r="R71" s="72"/>
      <c r="S71" s="719"/>
      <c r="T71" s="422"/>
      <c r="U71" s="422"/>
      <c r="V71" s="399"/>
      <c r="W71" s="387">
        <f t="shared" si="20"/>
        <v>0</v>
      </c>
      <c r="X71" s="442"/>
      <c r="Y71" s="441"/>
      <c r="Z71" s="411"/>
      <c r="AA71" s="411"/>
      <c r="AB71" s="831"/>
      <c r="AC71" s="831"/>
      <c r="AD71" s="440"/>
      <c r="AE71" s="440"/>
      <c r="AF71" s="420">
        <v>-300.31249999999704</v>
      </c>
      <c r="AG71" s="99">
        <v>0.80810702875399554</v>
      </c>
      <c r="AH71" s="744"/>
    </row>
    <row r="72" spans="1:36" ht="15" customHeight="1">
      <c r="A72" s="833"/>
      <c r="B72" s="75"/>
      <c r="C72" s="439"/>
      <c r="D72" s="59"/>
      <c r="E72" s="77"/>
      <c r="F72" s="75"/>
      <c r="G72" s="435"/>
      <c r="H72" s="425"/>
      <c r="I72" s="434"/>
      <c r="J72" s="433"/>
      <c r="K72" s="431"/>
      <c r="L72" s="430"/>
      <c r="M72" s="432"/>
      <c r="N72" s="431"/>
      <c r="O72" s="430"/>
      <c r="P72" s="429"/>
      <c r="Q72" s="428"/>
      <c r="R72" s="72"/>
      <c r="S72" s="719"/>
      <c r="T72" s="422"/>
      <c r="U72" s="422"/>
      <c r="V72" s="399"/>
      <c r="W72" s="387">
        <f t="shared" si="20"/>
        <v>0</v>
      </c>
      <c r="X72" s="438"/>
      <c r="Y72" s="437"/>
      <c r="Z72" s="411"/>
      <c r="AA72" s="411"/>
      <c r="AB72" s="815"/>
      <c r="AC72" s="815"/>
      <c r="AD72" s="386"/>
      <c r="AE72" s="386"/>
      <c r="AF72" s="420">
        <v>-130.33333333333326</v>
      </c>
      <c r="AG72" s="99">
        <v>0.91671991480298198</v>
      </c>
      <c r="AH72" s="744"/>
    </row>
    <row r="73" spans="1:36" ht="15" customHeight="1">
      <c r="A73" s="833"/>
      <c r="B73" s="75"/>
      <c r="C73" s="436"/>
      <c r="D73" s="59"/>
      <c r="E73" s="87"/>
      <c r="F73" s="75"/>
      <c r="G73" s="435"/>
      <c r="H73" s="425"/>
      <c r="I73" s="434"/>
      <c r="J73" s="433"/>
      <c r="K73" s="431"/>
      <c r="L73" s="430"/>
      <c r="M73" s="432"/>
      <c r="N73" s="431"/>
      <c r="O73" s="430"/>
      <c r="P73" s="429"/>
      <c r="Q73" s="428"/>
      <c r="R73" s="72"/>
      <c r="S73" s="719"/>
      <c r="T73" s="422"/>
      <c r="U73" s="422"/>
      <c r="V73" s="399"/>
      <c r="W73" s="387">
        <f t="shared" si="20"/>
        <v>0</v>
      </c>
      <c r="X73" s="422"/>
      <c r="Y73" s="421"/>
      <c r="Z73" s="411"/>
      <c r="AA73" s="411"/>
      <c r="AB73" s="815"/>
      <c r="AC73" s="815"/>
      <c r="AD73" s="386"/>
      <c r="AE73" s="386"/>
      <c r="AF73" s="420"/>
      <c r="AG73" s="99"/>
      <c r="AH73" s="744"/>
    </row>
    <row r="74" spans="1:36" ht="15" customHeight="1">
      <c r="A74" s="833"/>
      <c r="B74" s="75"/>
      <c r="C74" s="427"/>
      <c r="D74" s="259"/>
      <c r="E74" s="60"/>
      <c r="F74" s="75"/>
      <c r="G74" s="426"/>
      <c r="H74" s="425"/>
      <c r="I74" s="409"/>
      <c r="J74" s="424"/>
      <c r="K74" s="393"/>
      <c r="L74" s="423"/>
      <c r="M74" s="394"/>
      <c r="N74" s="393"/>
      <c r="O74" s="392"/>
      <c r="P74" s="391"/>
      <c r="Q74" s="390"/>
      <c r="R74" s="99"/>
      <c r="S74" s="719"/>
      <c r="T74" s="403"/>
      <c r="U74" s="403"/>
      <c r="V74" s="399"/>
      <c r="W74" s="387">
        <f t="shared" si="20"/>
        <v>0</v>
      </c>
      <c r="X74" s="422"/>
      <c r="Y74" s="421"/>
      <c r="Z74" s="411"/>
      <c r="AA74" s="411"/>
      <c r="AB74" s="815"/>
      <c r="AC74" s="815"/>
      <c r="AD74" s="386"/>
      <c r="AE74" s="386"/>
      <c r="AF74" s="420"/>
      <c r="AG74" s="99"/>
      <c r="AH74" s="744"/>
    </row>
    <row r="75" spans="1:36" ht="15" customHeight="1">
      <c r="A75" s="833"/>
      <c r="B75" s="399"/>
      <c r="C75" s="419"/>
      <c r="D75" s="59"/>
      <c r="E75" s="87"/>
      <c r="F75" s="105"/>
      <c r="G75" s="399"/>
      <c r="H75" s="398">
        <f>F75*G75</f>
        <v>0</v>
      </c>
      <c r="I75" s="409"/>
      <c r="J75" s="408"/>
      <c r="K75" s="406"/>
      <c r="L75" s="395"/>
      <c r="M75" s="407"/>
      <c r="N75" s="406"/>
      <c r="O75" s="395"/>
      <c r="P75" s="405"/>
      <c r="Q75" s="404"/>
      <c r="R75" s="278"/>
      <c r="S75" s="719"/>
      <c r="T75" s="403"/>
      <c r="U75" s="403"/>
      <c r="V75" s="399"/>
      <c r="W75" s="418">
        <f t="shared" si="20"/>
        <v>0</v>
      </c>
      <c r="X75" s="417"/>
      <c r="Y75" s="416"/>
      <c r="Z75" s="411"/>
      <c r="AA75" s="411"/>
      <c r="AB75" s="815"/>
      <c r="AC75" s="815"/>
      <c r="AD75" s="386"/>
      <c r="AE75" s="386"/>
      <c r="AF75" s="415"/>
      <c r="AG75" s="280"/>
      <c r="AH75" s="725"/>
    </row>
    <row r="76" spans="1:36" ht="15" customHeight="1">
      <c r="A76" s="833"/>
      <c r="B76" s="401"/>
      <c r="C76" s="400"/>
      <c r="D76" s="103"/>
      <c r="E76" s="104"/>
      <c r="F76" s="105"/>
      <c r="G76" s="399"/>
      <c r="H76" s="398">
        <f>F76*G76</f>
        <v>0</v>
      </c>
      <c r="I76" s="409"/>
      <c r="J76" s="408"/>
      <c r="K76" s="406"/>
      <c r="L76" s="395"/>
      <c r="M76" s="407"/>
      <c r="N76" s="406"/>
      <c r="O76" s="395"/>
      <c r="P76" s="405"/>
      <c r="Q76" s="404"/>
      <c r="R76" s="278"/>
      <c r="S76" s="720"/>
      <c r="T76" s="403"/>
      <c r="U76" s="403"/>
      <c r="V76" s="399"/>
      <c r="W76" s="414">
        <f t="shared" si="20"/>
        <v>0</v>
      </c>
      <c r="X76" s="413"/>
      <c r="Y76" s="412"/>
      <c r="Z76" s="411"/>
      <c r="AA76" s="411"/>
      <c r="AB76" s="815"/>
      <c r="AC76" s="815"/>
      <c r="AD76" s="386"/>
      <c r="AE76" s="386"/>
      <c r="AF76" s="410"/>
      <c r="AG76" s="247"/>
      <c r="AH76" s="726"/>
    </row>
    <row r="77" spans="1:36" ht="15" customHeight="1">
      <c r="A77" s="833"/>
      <c r="B77" s="401"/>
      <c r="C77" s="400"/>
      <c r="D77" s="103"/>
      <c r="E77" s="104"/>
      <c r="F77" s="105"/>
      <c r="G77" s="399"/>
      <c r="H77" s="398">
        <f>F77*G77</f>
        <v>0</v>
      </c>
      <c r="I77" s="409"/>
      <c r="J77" s="408"/>
      <c r="K77" s="406"/>
      <c r="L77" s="395"/>
      <c r="M77" s="407"/>
      <c r="N77" s="406"/>
      <c r="O77" s="395"/>
      <c r="P77" s="405"/>
      <c r="Q77" s="404"/>
      <c r="R77" s="278"/>
      <c r="S77" s="720"/>
      <c r="T77" s="403"/>
      <c r="U77" s="403"/>
      <c r="V77" s="399"/>
      <c r="W77" s="387">
        <f t="shared" si="20"/>
        <v>0</v>
      </c>
      <c r="X77" s="261"/>
      <c r="Y77" s="291"/>
      <c r="Z77" s="335"/>
      <c r="AA77" s="335"/>
      <c r="AB77" s="815"/>
      <c r="AC77" s="815"/>
      <c r="AD77" s="386"/>
      <c r="AE77" s="386"/>
      <c r="AF77" s="402"/>
      <c r="AG77" s="262"/>
      <c r="AH77" s="726"/>
    </row>
    <row r="78" spans="1:36" ht="15" customHeight="1">
      <c r="A78" s="833"/>
      <c r="B78" s="401"/>
      <c r="C78" s="400"/>
      <c r="D78" s="103"/>
      <c r="E78" s="104"/>
      <c r="F78" s="105"/>
      <c r="G78" s="399"/>
      <c r="H78" s="398">
        <f>F78*G78</f>
        <v>0</v>
      </c>
      <c r="I78" s="397"/>
      <c r="J78" s="396"/>
      <c r="K78" s="393"/>
      <c r="L78" s="395"/>
      <c r="M78" s="394"/>
      <c r="N78" s="393"/>
      <c r="O78" s="392"/>
      <c r="P78" s="391"/>
      <c r="Q78" s="390"/>
      <c r="R78" s="99"/>
      <c r="S78" s="763"/>
      <c r="T78" s="389"/>
      <c r="U78" s="389"/>
      <c r="V78" s="388"/>
      <c r="W78" s="387">
        <f t="shared" si="20"/>
        <v>0</v>
      </c>
      <c r="X78" s="281"/>
      <c r="Y78" s="306"/>
      <c r="Z78" s="335"/>
      <c r="AA78" s="335"/>
      <c r="AB78" s="815"/>
      <c r="AC78" s="815"/>
      <c r="AD78" s="386"/>
      <c r="AE78" s="386"/>
      <c r="AF78" s="385"/>
      <c r="AG78" s="112"/>
      <c r="AH78" s="726"/>
    </row>
    <row r="79" spans="1:36" ht="15" customHeight="1">
      <c r="A79" s="834"/>
      <c r="B79" s="384"/>
      <c r="C79" s="383" t="s">
        <v>56</v>
      </c>
      <c r="D79" s="788" t="s">
        <v>42</v>
      </c>
      <c r="E79" s="788"/>
      <c r="F79" s="382"/>
      <c r="G79" s="381"/>
      <c r="H79" s="380"/>
      <c r="I79" s="378"/>
      <c r="J79" s="379">
        <f t="shared" ref="J79:O79" si="21">AVERAGE(J70:J78)</f>
        <v>10</v>
      </c>
      <c r="K79" s="379">
        <f t="shared" si="21"/>
        <v>1125</v>
      </c>
      <c r="L79" s="378">
        <f t="shared" si="21"/>
        <v>112.5</v>
      </c>
      <c r="M79" s="379">
        <f t="shared" si="21"/>
        <v>10</v>
      </c>
      <c r="N79" s="379">
        <f t="shared" si="21"/>
        <v>691.63636363636579</v>
      </c>
      <c r="O79" s="378">
        <f t="shared" si="21"/>
        <v>69.163636363636584</v>
      </c>
      <c r="P79" s="377">
        <f>M79-J79</f>
        <v>0</v>
      </c>
      <c r="Q79" s="376">
        <f>N79-K79</f>
        <v>-433.36363636363421</v>
      </c>
      <c r="R79" s="223">
        <f>O79/L79</f>
        <v>0.61478787878788077</v>
      </c>
      <c r="S79" s="722"/>
      <c r="T79" s="375"/>
      <c r="U79" s="375"/>
      <c r="V79" s="374"/>
      <c r="W79" s="373"/>
      <c r="X79" s="372"/>
      <c r="Y79" s="371"/>
      <c r="Z79" s="370">
        <f>SUM(Z70:Z78)</f>
        <v>0</v>
      </c>
      <c r="AA79" s="370">
        <f>SUM(AA70:AA78)</f>
        <v>0</v>
      </c>
      <c r="AB79" s="789"/>
      <c r="AC79" s="789"/>
      <c r="AD79" s="368">
        <f>SUM(AD70:AD78)</f>
        <v>0</v>
      </c>
      <c r="AE79" s="368">
        <f>SUM(AE70:AE78)</f>
        <v>0</v>
      </c>
      <c r="AF79" s="367">
        <f>N79-K79</f>
        <v>-433.36363636363421</v>
      </c>
      <c r="AG79" s="124">
        <f>N79/K79</f>
        <v>0.61478787878788066</v>
      </c>
      <c r="AH79" s="727"/>
    </row>
    <row r="80" spans="1:36">
      <c r="AJ80" s="364" t="s">
        <v>57</v>
      </c>
    </row>
    <row r="81" spans="4:36">
      <c r="AJ81" s="364" t="s">
        <v>58</v>
      </c>
    </row>
    <row r="82" spans="4:36">
      <c r="AJ82" s="364" t="s">
        <v>59</v>
      </c>
    </row>
    <row r="83" spans="4:36">
      <c r="D83" s="285"/>
      <c r="W83" s="362"/>
      <c r="AJ83" s="364" t="s">
        <v>60</v>
      </c>
    </row>
    <row r="84" spans="4:36">
      <c r="D84" s="366"/>
      <c r="W84" s="362"/>
      <c r="AJ84" s="364" t="s">
        <v>61</v>
      </c>
    </row>
    <row r="85" spans="4:36">
      <c r="D85" s="366"/>
      <c r="W85" s="362"/>
      <c r="AJ85" s="364" t="s">
        <v>62</v>
      </c>
    </row>
    <row r="86" spans="4:36">
      <c r="D86" s="365"/>
      <c r="W86" s="362"/>
      <c r="AJ86" s="364" t="s">
        <v>63</v>
      </c>
    </row>
    <row r="87" spans="4:36">
      <c r="W87" s="362"/>
      <c r="AJ87" s="364" t="s">
        <v>64</v>
      </c>
    </row>
    <row r="88" spans="4:36">
      <c r="W88" s="362"/>
      <c r="AJ88" s="364" t="s">
        <v>65</v>
      </c>
    </row>
    <row r="89" spans="4:36">
      <c r="W89" s="362"/>
      <c r="AJ89" s="364" t="s">
        <v>66</v>
      </c>
    </row>
    <row r="90" spans="4:36">
      <c r="W90" s="362"/>
      <c r="AJ90" s="364" t="s">
        <v>67</v>
      </c>
    </row>
    <row r="91" spans="4:36">
      <c r="W91" s="362"/>
      <c r="AJ91" s="364" t="s">
        <v>68</v>
      </c>
    </row>
    <row r="92" spans="4:36">
      <c r="W92" s="362"/>
      <c r="AJ92" s="364" t="s">
        <v>69</v>
      </c>
    </row>
  </sheetData>
  <mergeCells count="137">
    <mergeCell ref="AH59:AH69"/>
    <mergeCell ref="AB66:AC66"/>
    <mergeCell ref="AB63:AC63"/>
    <mergeCell ref="AB64:AC64"/>
    <mergeCell ref="AB65:AC65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7:AC67"/>
    <mergeCell ref="AB68:AC68"/>
    <mergeCell ref="D79:E79"/>
    <mergeCell ref="AB79:AC79"/>
    <mergeCell ref="A70:A79"/>
    <mergeCell ref="S70:S79"/>
    <mergeCell ref="AB70:AC70"/>
    <mergeCell ref="AH38:AH48"/>
    <mergeCell ref="AB42:AC42"/>
    <mergeCell ref="AB43:AC43"/>
    <mergeCell ref="AB44:AC44"/>
    <mergeCell ref="AB45:AC45"/>
    <mergeCell ref="AB46:AC4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16:A26"/>
    <mergeCell ref="S16:S26"/>
    <mergeCell ref="AB16:AC16"/>
    <mergeCell ref="D26:E26"/>
    <mergeCell ref="AB26:AC26"/>
    <mergeCell ref="A5:A15"/>
    <mergeCell ref="S5:S15"/>
    <mergeCell ref="AB5:AC5"/>
    <mergeCell ref="AB6:AC6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:AC2"/>
    <mergeCell ref="AF3:AF4"/>
    <mergeCell ref="AG3:AG4"/>
    <mergeCell ref="Z3:AA3"/>
    <mergeCell ref="AB3:AC4"/>
    <mergeCell ref="AD3:AE3"/>
    <mergeCell ref="AF1:AH2"/>
    <mergeCell ref="D15:E15"/>
    <mergeCell ref="AB15:AC15"/>
    <mergeCell ref="AH5:AH15"/>
    <mergeCell ref="AH3:AH4"/>
    <mergeCell ref="Q3:Q4"/>
    <mergeCell ref="R3:R4"/>
    <mergeCell ref="S3:S4"/>
    <mergeCell ref="T3:U3"/>
    <mergeCell ref="V3:V4"/>
    <mergeCell ref="W3:W4"/>
    <mergeCell ref="X3:Y3"/>
    <mergeCell ref="P3:P4"/>
    <mergeCell ref="J1:L2"/>
    <mergeCell ref="M1:O2"/>
    <mergeCell ref="P1:S2"/>
    <mergeCell ref="T1:Y2"/>
    <mergeCell ref="L3:L4"/>
    <mergeCell ref="M3:M4"/>
    <mergeCell ref="N3:N4"/>
    <mergeCell ref="O3:O4"/>
    <mergeCell ref="G3:G4"/>
    <mergeCell ref="H3:H4"/>
    <mergeCell ref="I3:I4"/>
    <mergeCell ref="J3:J4"/>
    <mergeCell ref="K3:K4"/>
    <mergeCell ref="A2:B2"/>
    <mergeCell ref="A3:A4"/>
    <mergeCell ref="B3:B4"/>
    <mergeCell ref="D3:E4"/>
    <mergeCell ref="F3:F4"/>
  </mergeCells>
  <phoneticPr fontId="31" type="noConversion"/>
  <conditionalFormatting sqref="P5:P79">
    <cfRule type="cellIs" dxfId="299" priority="1" operator="greaterThan">
      <formula>0</formula>
    </cfRule>
  </conditionalFormatting>
  <conditionalFormatting sqref="Q5:Q79 AF5:AF79">
    <cfRule type="cellIs" dxfId="298" priority="4" operator="lessThan">
      <formula>0</formula>
    </cfRule>
  </conditionalFormatting>
  <conditionalFormatting sqref="R5:R79 AG5:AG79">
    <cfRule type="cellIs" dxfId="297" priority="2" operator="greaterThan">
      <formula>1</formula>
    </cfRule>
    <cfRule type="cellIs" dxfId="296" priority="3" operator="lessThan">
      <formula>0.8</formula>
    </cfRule>
  </conditionalFormatting>
  <conditionalFormatting sqref="S5:S10 S37:S62 AH59:AH62 S69:S76 AH69:AH76">
    <cfRule type="cellIs" dxfId="295" priority="7" operator="lessThan">
      <formula>0.8</formula>
    </cfRule>
  </conditionalFormatting>
  <conditionalFormatting sqref="S19:S25 AH19:AH25">
    <cfRule type="cellIs" dxfId="294" priority="6" operator="lessThan">
      <formula>0.8</formula>
    </cfRule>
  </conditionalFormatting>
  <conditionalFormatting sqref="S79">
    <cfRule type="cellIs" dxfId="293" priority="5" operator="lessThan">
      <formula>0.8</formula>
    </cfRule>
  </conditionalFormatting>
  <conditionalFormatting sqref="AH5:AH8 S15:S16 AH15:AH16 AH49 AH79">
    <cfRule type="cellIs" dxfId="292" priority="9" operator="lessThan">
      <formula>0.8</formula>
    </cfRule>
  </conditionalFormatting>
  <conditionalFormatting sqref="AH27 S27:S28">
    <cfRule type="cellIs" dxfId="29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F80E-898D-41F5-8170-DD48F7A4880D}">
  <dimension ref="B1:O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46030</v>
      </c>
      <c r="E3" s="645"/>
      <c r="F3" s="3" t="s">
        <v>72</v>
      </c>
      <c r="G3" s="646">
        <f>'0108'!E1</f>
        <v>46922</v>
      </c>
      <c r="H3" s="646"/>
      <c r="I3" s="3" t="s">
        <v>2</v>
      </c>
      <c r="J3" s="647">
        <f>'0108'!G1</f>
        <v>2254894.6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112.01636690438659</v>
      </c>
      <c r="G6" s="652"/>
      <c r="H6" s="653">
        <f>AVERAGE(D13:H13,J13)</f>
        <v>109.78565455084419</v>
      </c>
      <c r="I6" s="653"/>
      <c r="J6" s="653">
        <f>AVERAGE(I13)</f>
        <v>125.40064102564102</v>
      </c>
      <c r="K6" s="653"/>
      <c r="L6" s="769">
        <f>SUM(D18:J18)</f>
        <v>4</v>
      </c>
      <c r="M6" s="656">
        <f>SUM(D19:J19)</f>
        <v>80</v>
      </c>
      <c r="N6" s="771">
        <f>SUM(D20:J20)</f>
        <v>13</v>
      </c>
      <c r="O6" s="656">
        <f>SUM(D20:J20)</f>
        <v>13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92.059216275335302</v>
      </c>
      <c r="G7" s="676"/>
      <c r="H7" s="677">
        <f>AVERAGE(D14:H14,J14)</f>
        <v>89.545309199531289</v>
      </c>
      <c r="I7" s="677"/>
      <c r="J7" s="677">
        <f>AVERAGE(I14)</f>
        <v>107.14265873015943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0.82183719057692672</v>
      </c>
      <c r="G8" s="649"/>
      <c r="H8" s="649">
        <f>H7/H6</f>
        <v>0.81563761281817437</v>
      </c>
      <c r="I8" s="649"/>
      <c r="J8" s="649">
        <f>J7/J6</f>
        <v>0.85440279933060037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VALUE('0108'!L15)</f>
        <v>126.55462184873952</v>
      </c>
      <c r="E13" s="13">
        <f>VALUE('0108'!L26)</f>
        <v>162.27564102564102</v>
      </c>
      <c r="F13" s="13">
        <f>VALUE('0108'!L37)</f>
        <v>84.77941176470587</v>
      </c>
      <c r="G13" s="13">
        <f>VALUE('0108'!L48)</f>
        <v>83.408991228070178</v>
      </c>
      <c r="H13" s="13">
        <f>VALUE('0108'!L58)</f>
        <v>89.195261437908499</v>
      </c>
      <c r="I13" s="13">
        <f>VALUE('0108'!L69)</f>
        <v>125.40064102564102</v>
      </c>
      <c r="J13" s="13">
        <f>'0108'!L79</f>
        <v>112.5</v>
      </c>
    </row>
    <row r="14" spans="2:15" ht="39.950000000000003" customHeight="1">
      <c r="B14" s="670"/>
      <c r="C14" s="12" t="s">
        <v>100</v>
      </c>
      <c r="D14" s="13">
        <f>VALUE('0108'!O15)</f>
        <v>105.23266724989986</v>
      </c>
      <c r="E14" s="13">
        <f>VALUE('0108'!O26)</f>
        <v>130.83605200631783</v>
      </c>
      <c r="F14" s="13">
        <f>VALUE('0108'!O37)</f>
        <v>76.012574946126392</v>
      </c>
      <c r="G14" s="13">
        <f>VALUE('0108'!O48)</f>
        <v>72.967153674477302</v>
      </c>
      <c r="H14" s="13">
        <f>VALUE('0108'!O58)</f>
        <v>84.223407320366206</v>
      </c>
      <c r="I14" s="13">
        <f>VALUE('0108'!O69)</f>
        <v>107.14265873015943</v>
      </c>
      <c r="J14" s="13">
        <f>'0108'!O79</f>
        <v>68.000000000000128</v>
      </c>
    </row>
    <row r="15" spans="2:15" ht="39.950000000000003" customHeight="1">
      <c r="B15" s="671"/>
      <c r="C15" s="10" t="s">
        <v>26</v>
      </c>
      <c r="D15" s="14">
        <f>D14/D13</f>
        <v>0.83151974785777438</v>
      </c>
      <c r="E15" s="14">
        <f t="shared" ref="E15:J15" si="1">E14/E13</f>
        <v>0.80625811230438793</v>
      </c>
      <c r="F15" s="14">
        <f t="shared" si="1"/>
        <v>0.89659238444693767</v>
      </c>
      <c r="G15" s="14">
        <f t="shared" si="1"/>
        <v>0.87481160723978624</v>
      </c>
      <c r="H15" s="14">
        <f t="shared" si="1"/>
        <v>0.9442587640039225</v>
      </c>
      <c r="I15" s="14">
        <f t="shared" si="1"/>
        <v>0.85440279933060037</v>
      </c>
      <c r="J15" s="14">
        <f t="shared" si="1"/>
        <v>0.60444444444444556</v>
      </c>
    </row>
    <row r="16" spans="2:15" ht="17.25" customHeight="1">
      <c r="B16" s="672" t="s">
        <v>101</v>
      </c>
      <c r="C16" s="10" t="s">
        <v>34</v>
      </c>
      <c r="D16" s="16">
        <f>'0108'!T5</f>
        <v>0.29305555555555601</v>
      </c>
      <c r="E16" s="16">
        <f>'0108'!T16</f>
        <v>0.29027777777777802</v>
      </c>
      <c r="F16" s="16">
        <f>'0108'!T27</f>
        <v>0.29166666666666702</v>
      </c>
      <c r="G16" s="16">
        <f>'0108'!T38</f>
        <v>0.33194444444444399</v>
      </c>
      <c r="H16" s="16">
        <f>'0108'!T49</f>
        <v>0.29027777777777802</v>
      </c>
      <c r="I16" s="16">
        <f>'0108'!T59</f>
        <v>0.29166666666666702</v>
      </c>
      <c r="J16" s="17">
        <f>'0108'!T70</f>
        <v>0.34027777777777801</v>
      </c>
    </row>
    <row r="17" spans="2:10" ht="17.25" customHeight="1">
      <c r="B17" s="673"/>
      <c r="C17" s="10" t="s">
        <v>35</v>
      </c>
      <c r="D17" s="16">
        <v>0.61666666666666703</v>
      </c>
      <c r="E17" s="16">
        <v>0.61666666666666703</v>
      </c>
      <c r="F17" s="19">
        <v>0.56944444444444398</v>
      </c>
      <c r="G17" s="328">
        <v>0.61805555555555602</v>
      </c>
      <c r="H17" s="21">
        <v>0.60277777777777797</v>
      </c>
      <c r="I17" s="110">
        <v>0.58333333333333304</v>
      </c>
      <c r="J17" s="110">
        <v>0.46875</v>
      </c>
    </row>
    <row r="18" spans="2:10" ht="17.25" customHeight="1">
      <c r="B18" s="674" t="s">
        <v>102</v>
      </c>
      <c r="C18" s="330" t="s">
        <v>36</v>
      </c>
      <c r="D18" s="358">
        <f>'0108'!Z15</f>
        <v>1</v>
      </c>
      <c r="E18" s="359">
        <f>'0108'!Z26</f>
        <v>1</v>
      </c>
      <c r="F18" s="359">
        <f>'0108'!Z37</f>
        <v>0</v>
      </c>
      <c r="G18" s="360">
        <f>'0108'!Z48</f>
        <v>0</v>
      </c>
      <c r="H18" s="360">
        <f>'0108'!Z58</f>
        <v>1</v>
      </c>
      <c r="I18" s="359">
        <f>'0108'!Z69</f>
        <v>0</v>
      </c>
      <c r="J18" s="359">
        <f>'0108'!Z79</f>
        <v>1</v>
      </c>
    </row>
    <row r="19" spans="2:10" ht="17.25" customHeight="1">
      <c r="B19" s="675"/>
      <c r="C19" s="330" t="s">
        <v>37</v>
      </c>
      <c r="D19" s="358">
        <f>'0108'!AA15</f>
        <v>15</v>
      </c>
      <c r="E19" s="359">
        <f>'0108'!AA26</f>
        <v>17</v>
      </c>
      <c r="F19" s="359">
        <f>'0108'!AA37</f>
        <v>0</v>
      </c>
      <c r="G19" s="360">
        <f>'0108'!AA48</f>
        <v>0</v>
      </c>
      <c r="H19" s="360">
        <f>'0108'!AA58</f>
        <v>8</v>
      </c>
      <c r="I19" s="359">
        <f>'0108'!AA69</f>
        <v>0</v>
      </c>
      <c r="J19" s="359">
        <f>'0108'!AA79</f>
        <v>40</v>
      </c>
    </row>
    <row r="20" spans="2:10" ht="17.25" customHeight="1">
      <c r="B20" s="674" t="s">
        <v>103</v>
      </c>
      <c r="C20" s="330" t="s">
        <v>36</v>
      </c>
      <c r="D20" s="358">
        <f>'0108'!AD15</f>
        <v>4</v>
      </c>
      <c r="E20" s="359">
        <f>'0108'!AD26</f>
        <v>7</v>
      </c>
      <c r="F20" s="359">
        <f>'0108'!AD37</f>
        <v>0</v>
      </c>
      <c r="G20" s="360">
        <f>'0108'!AD48</f>
        <v>2</v>
      </c>
      <c r="H20" s="360">
        <f>'0108'!AD58</f>
        <v>0</v>
      </c>
      <c r="I20" s="359">
        <f>'0108'!AD69</f>
        <v>0</v>
      </c>
      <c r="J20" s="359">
        <f>'0108'!AD79</f>
        <v>0</v>
      </c>
    </row>
    <row r="21" spans="2:10" ht="17.25" customHeight="1">
      <c r="B21" s="675"/>
      <c r="C21" s="330" t="s">
        <v>85</v>
      </c>
      <c r="D21" s="358">
        <f>'0108'!AE15</f>
        <v>4</v>
      </c>
      <c r="E21" s="359">
        <f>'0108'!AE26</f>
        <v>7</v>
      </c>
      <c r="F21" s="359">
        <f>'0108'!AE37</f>
        <v>0</v>
      </c>
      <c r="G21" s="360">
        <f>'0108'!AE48</f>
        <v>2</v>
      </c>
      <c r="H21" s="360">
        <f>'0108'!AE58</f>
        <v>0</v>
      </c>
      <c r="I21" s="359">
        <f>'0108'!AE69</f>
        <v>0</v>
      </c>
      <c r="J21" s="359">
        <f>'0108'!AE79</f>
        <v>0</v>
      </c>
    </row>
    <row r="22" spans="2:10" ht="17.25" customHeight="1">
      <c r="B22" s="658" t="s">
        <v>104</v>
      </c>
      <c r="C22" s="659"/>
      <c r="D22" s="23">
        <f>VALUE('0108'!M15)</f>
        <v>14.75</v>
      </c>
      <c r="E22" s="23">
        <f>VALUE('0108'!M26)</f>
        <v>12.75</v>
      </c>
      <c r="F22" s="23">
        <f>VALUE('0108'!M37)</f>
        <v>16.25</v>
      </c>
      <c r="G22" s="23">
        <f>VALUE('0108'!M48)</f>
        <v>15.666666666666666</v>
      </c>
      <c r="H22" s="23">
        <f>VALUE('0108'!M58)</f>
        <v>18</v>
      </c>
      <c r="I22" s="23">
        <f>VALUE('0108'!M69)</f>
        <v>11.5</v>
      </c>
      <c r="J22" s="23">
        <f>'0108'!M79</f>
        <v>9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29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2CF3-8A22-4780-8EF7-3F205F11ED5F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G76" sqref="G76"/>
      <selection pane="topRight" activeCell="G76" sqref="G76"/>
      <selection pane="bottomLeft" activeCell="G76" sqref="G76"/>
      <selection pane="bottomRight" activeCell="AB70" sqref="AB70:AC7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46922</v>
      </c>
      <c r="F1" s="30" t="s">
        <v>2</v>
      </c>
      <c r="G1" s="31">
        <f>SUM(H5:H79)</f>
        <v>2254894.6</v>
      </c>
      <c r="H1" s="32" t="s">
        <v>3</v>
      </c>
      <c r="I1" s="33">
        <f>M15+M26+M48+M58+M69+M79+M37</f>
        <v>97.916666666666657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158</v>
      </c>
      <c r="B2" s="678"/>
      <c r="C2" s="28"/>
      <c r="D2" s="28" t="s">
        <v>14</v>
      </c>
      <c r="E2" s="35">
        <f>AVERAGE(O15,O26,O37,O48,O58,O69,O79)</f>
        <v>92.059216275335302</v>
      </c>
      <c r="F2" s="36" t="s">
        <v>15</v>
      </c>
      <c r="G2" s="37">
        <f>G1/E1</f>
        <v>48.05623374962704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4</v>
      </c>
      <c r="AA2" s="339">
        <f>AA15+AA26+AA37+AA48+AA58+AA69+AA79</f>
        <v>80</v>
      </c>
      <c r="AB2" s="684"/>
      <c r="AC2" s="684"/>
      <c r="AD2" s="340">
        <f>AD15+AD26+AD37+AD48+AD58+AD69+AD79</f>
        <v>13</v>
      </c>
      <c r="AE2" s="340">
        <f>AE15+AE26+AE37+AE48+AE58+AE69+AE79</f>
        <v>13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2632</v>
      </c>
      <c r="H5" s="43">
        <f>F5*G5</f>
        <v>125572.72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1435.6363636363801</v>
      </c>
      <c r="O5" s="47">
        <f t="shared" ref="O5:O7" si="2">N5/M5</f>
        <v>102.54545454545573</v>
      </c>
      <c r="P5" s="49">
        <f t="shared" ref="P5:P7" si="3">M5-J5</f>
        <v>0</v>
      </c>
      <c r="Q5" s="50">
        <f t="shared" ref="Q5:Q7" si="4">O5-L5</f>
        <v>-0.31168831168713496</v>
      </c>
      <c r="R5" s="51">
        <f t="shared" ref="R5:R7" si="5">O5/L5</f>
        <v>0.99696969696970839</v>
      </c>
      <c r="S5" s="718">
        <f>R15</f>
        <v>0.83151974785777438</v>
      </c>
      <c r="T5" s="319">
        <v>0.29305555555555601</v>
      </c>
      <c r="U5" s="320">
        <v>0.36944444444444402</v>
      </c>
      <c r="V5" s="53"/>
      <c r="W5" s="54">
        <f t="shared" ref="W5:W14" si="6">(U5-T5)*24*60</f>
        <v>109.99999999999874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-4.3636363636198894</v>
      </c>
      <c r="AG5" s="52">
        <f t="shared" ref="AG5:AG11" si="8">N5/K5</f>
        <v>0.99696969696970839</v>
      </c>
      <c r="AH5" s="724">
        <f>AG15</f>
        <v>0.82234083045532214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1510</v>
      </c>
      <c r="H6" s="63">
        <f>F6*G6</f>
        <v>86387.1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1276.0563380281578</v>
      </c>
      <c r="O6" s="67">
        <f t="shared" si="2"/>
        <v>75.062137531068103</v>
      </c>
      <c r="P6" s="69">
        <f t="shared" si="3"/>
        <v>0</v>
      </c>
      <c r="Q6" s="70">
        <f t="shared" si="4"/>
        <v>-42.584921292461303</v>
      </c>
      <c r="R6" s="71">
        <f t="shared" si="5"/>
        <v>0.63802816901407888</v>
      </c>
      <c r="S6" s="719"/>
      <c r="T6" s="16">
        <v>0.375</v>
      </c>
      <c r="U6" s="16">
        <v>0.42430555555555599</v>
      </c>
      <c r="V6" s="30">
        <f>(T6-U5)*24*60</f>
        <v>8.0000000000006111</v>
      </c>
      <c r="W6" s="73">
        <f t="shared" si="6"/>
        <v>71.000000000000625</v>
      </c>
      <c r="X6" s="22"/>
      <c r="Y6" s="84"/>
      <c r="Z6" s="90">
        <v>1</v>
      </c>
      <c r="AA6" s="90">
        <v>15</v>
      </c>
      <c r="AB6" s="728" t="s">
        <v>159</v>
      </c>
      <c r="AC6" s="728"/>
      <c r="AD6" s="149">
        <v>1</v>
      </c>
      <c r="AE6" s="149">
        <v>1</v>
      </c>
      <c r="AF6" s="307">
        <f t="shared" si="7"/>
        <v>-723.94366197184218</v>
      </c>
      <c r="AG6" s="72">
        <f t="shared" si="8"/>
        <v>0.63802816901407888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1808</v>
      </c>
      <c r="H7" s="78">
        <f>F7*G7</f>
        <v>88845.119999999995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1668.9230769230726</v>
      </c>
      <c r="O7" s="81">
        <f t="shared" si="2"/>
        <v>119.2087912087909</v>
      </c>
      <c r="P7" s="74">
        <f t="shared" si="3"/>
        <v>0</v>
      </c>
      <c r="Q7" s="83">
        <f t="shared" si="4"/>
        <v>-23.648351648351962</v>
      </c>
      <c r="R7" s="72">
        <f t="shared" si="5"/>
        <v>0.83446153846153626</v>
      </c>
      <c r="S7" s="719"/>
      <c r="T7" s="18">
        <v>0.43263888888888902</v>
      </c>
      <c r="U7" s="18">
        <v>0.47777777777777802</v>
      </c>
      <c r="V7" s="30">
        <f>(T7-U6)*24*60</f>
        <v>11.999999999999558</v>
      </c>
      <c r="W7" s="73">
        <f t="shared" si="6"/>
        <v>65.000000000000171</v>
      </c>
      <c r="X7" s="22"/>
      <c r="Y7" s="84"/>
      <c r="Z7" s="90"/>
      <c r="AA7" s="90"/>
      <c r="AB7" s="728" t="s">
        <v>160</v>
      </c>
      <c r="AC7" s="728"/>
      <c r="AD7" s="92">
        <v>2</v>
      </c>
      <c r="AE7" s="92">
        <v>2</v>
      </c>
      <c r="AF7" s="307">
        <f t="shared" si="7"/>
        <v>-331.07692307692741</v>
      </c>
      <c r="AG7" s="72">
        <f t="shared" si="8"/>
        <v>0.83446153846153626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2896</v>
      </c>
      <c r="H8" s="78">
        <f>F8*G8</f>
        <v>142309.44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1737.5999999999867</v>
      </c>
      <c r="O8" s="81">
        <f>N8/M8</f>
        <v>124.11428571428476</v>
      </c>
      <c r="P8" s="74">
        <f>M8-J8</f>
        <v>0</v>
      </c>
      <c r="Q8" s="83">
        <f>O8-L8</f>
        <v>-18.742857142858099</v>
      </c>
      <c r="R8" s="72">
        <f>O8/L8</f>
        <v>0.86879999999999336</v>
      </c>
      <c r="S8" s="719"/>
      <c r="T8" s="16">
        <v>0.54722222222222205</v>
      </c>
      <c r="U8" s="16">
        <v>0.61666666666666703</v>
      </c>
      <c r="V8" s="30">
        <f>(T8-U7)*24*60</f>
        <v>99.999999999999403</v>
      </c>
      <c r="W8" s="73">
        <f t="shared" si="6"/>
        <v>100.00000000000077</v>
      </c>
      <c r="X8" s="22">
        <v>0.48611111111111099</v>
      </c>
      <c r="Y8" s="84">
        <v>0.52777777777777801</v>
      </c>
      <c r="Z8" s="90"/>
      <c r="AA8" s="90"/>
      <c r="AB8" s="728" t="s">
        <v>159</v>
      </c>
      <c r="AC8" s="728"/>
      <c r="AD8" s="149">
        <v>1</v>
      </c>
      <c r="AE8" s="149">
        <v>1</v>
      </c>
      <c r="AF8" s="307">
        <f t="shared" si="7"/>
        <v>-262.40000000001328</v>
      </c>
      <c r="AG8" s="72">
        <f t="shared" si="8"/>
        <v>0.86879999999999336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1529.5539446468993</v>
      </c>
      <c r="O15" s="117">
        <f t="shared" si="9"/>
        <v>105.23266724989986</v>
      </c>
      <c r="P15" s="121">
        <f t="shared" ref="P15:P18" si="10">M15-J15</f>
        <v>0</v>
      </c>
      <c r="Q15" s="122">
        <f t="shared" ref="Q15:Q18" si="11">O15-L15</f>
        <v>-21.321954598839653</v>
      </c>
      <c r="R15" s="123">
        <f t="shared" ref="R15:R18" si="12">O15/L15</f>
        <v>0.83151974785777438</v>
      </c>
      <c r="S15" s="72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15</v>
      </c>
      <c r="AB15" s="730"/>
      <c r="AC15" s="730"/>
      <c r="AD15" s="323">
        <f>SUM(AD5:AD14)</f>
        <v>4</v>
      </c>
      <c r="AE15" s="323">
        <f>SUM(AE5:AE14)</f>
        <v>4</v>
      </c>
      <c r="AF15" s="309">
        <f t="shared" ref="AF15:AF19" si="13">N15-K15</f>
        <v>-330.44605535310075</v>
      </c>
      <c r="AG15" s="124">
        <f t="shared" ref="AG15:AG19" si="14">N15/K15</f>
        <v>0.82234083045532214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2301</v>
      </c>
      <c r="H16" s="134">
        <f>F16*G16</f>
        <v>131640.21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1792.9870129870214</v>
      </c>
      <c r="O16" s="141">
        <f>N16/M16</f>
        <v>128.07050092764439</v>
      </c>
      <c r="P16" s="142">
        <f>M16-J16</f>
        <v>1</v>
      </c>
      <c r="Q16" s="143">
        <f t="shared" si="11"/>
        <v>-33.852575995432545</v>
      </c>
      <c r="R16" s="144">
        <f>O16/L16</f>
        <v>0.79093421000445463</v>
      </c>
      <c r="S16" s="734">
        <f>R26</f>
        <v>0.80625811230438793</v>
      </c>
      <c r="T16" s="145">
        <v>0.29027777777777802</v>
      </c>
      <c r="U16" s="145">
        <v>0.34375</v>
      </c>
      <c r="V16" s="135"/>
      <c r="W16" s="146">
        <f t="shared" ref="W16:W78" si="17">(U16-T16)*24*60</f>
        <v>76.999999999999645</v>
      </c>
      <c r="X16" s="141"/>
      <c r="Y16" s="296"/>
      <c r="Z16" s="169"/>
      <c r="AA16" s="169"/>
      <c r="AB16" s="723" t="s">
        <v>161</v>
      </c>
      <c r="AC16" s="723"/>
      <c r="AD16" s="135"/>
      <c r="AE16" s="135"/>
      <c r="AF16" s="229">
        <f t="shared" si="13"/>
        <v>-312.01298701297856</v>
      </c>
      <c r="AG16" s="52">
        <f t="shared" si="14"/>
        <v>0.85177530308172045</v>
      </c>
      <c r="AH16" s="724">
        <f>AG26</f>
        <v>0.82010763144471321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3238</v>
      </c>
      <c r="H17" s="78">
        <f>F17*G17</f>
        <v>164069.46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1439.1111111111111</v>
      </c>
      <c r="O17" s="96">
        <f t="shared" ref="O17:O18" si="18">N17/M17</f>
        <v>110.70085470085471</v>
      </c>
      <c r="P17" s="97">
        <f t="shared" si="10"/>
        <v>0</v>
      </c>
      <c r="Q17" s="98">
        <f t="shared" si="11"/>
        <v>-43.145299145299134</v>
      </c>
      <c r="R17" s="99">
        <f t="shared" si="12"/>
        <v>0.71955555555555561</v>
      </c>
      <c r="S17" s="735"/>
      <c r="T17" s="19">
        <v>0.35208333333333303</v>
      </c>
      <c r="U17" s="19">
        <v>0.44583333333333303</v>
      </c>
      <c r="V17" s="30">
        <f>(T17-U16)*24*60</f>
        <v>11.999999999999558</v>
      </c>
      <c r="W17" s="149">
        <f t="shared" si="17"/>
        <v>135</v>
      </c>
      <c r="X17" s="19"/>
      <c r="Y17" s="297"/>
      <c r="Z17" s="90">
        <v>1</v>
      </c>
      <c r="AA17" s="90">
        <v>17</v>
      </c>
      <c r="AB17" s="713" t="s">
        <v>162</v>
      </c>
      <c r="AC17" s="713"/>
      <c r="AD17" s="92">
        <v>4</v>
      </c>
      <c r="AE17" s="92">
        <v>4</v>
      </c>
      <c r="AF17" s="307">
        <f t="shared" si="13"/>
        <v>-560.88888888888891</v>
      </c>
      <c r="AG17" s="72">
        <f t="shared" si="14"/>
        <v>0.7195555555555555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1217</v>
      </c>
      <c r="H18" s="78">
        <f>F18*G18</f>
        <v>61324.63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1698.139534883727</v>
      </c>
      <c r="O18" s="96">
        <f t="shared" si="18"/>
        <v>141.51162790697725</v>
      </c>
      <c r="P18" s="97">
        <f t="shared" si="10"/>
        <v>0</v>
      </c>
      <c r="Q18" s="98">
        <f t="shared" si="11"/>
        <v>-25.155038759689404</v>
      </c>
      <c r="R18" s="99">
        <f t="shared" si="12"/>
        <v>0.84906976744186358</v>
      </c>
      <c r="S18" s="735"/>
      <c r="T18" s="19">
        <v>0.45624999999999999</v>
      </c>
      <c r="U18" s="19">
        <v>0.48611111111111099</v>
      </c>
      <c r="V18" s="30">
        <f>(T18-U17)*24*60</f>
        <v>15.000000000000426</v>
      </c>
      <c r="W18" s="149">
        <f t="shared" si="17"/>
        <v>42.999999999999844</v>
      </c>
      <c r="X18" s="22">
        <v>0.48611111111111099</v>
      </c>
      <c r="Y18" s="84">
        <v>0.52777777777777801</v>
      </c>
      <c r="Z18" s="90"/>
      <c r="AA18" s="90"/>
      <c r="AB18" s="728" t="s">
        <v>159</v>
      </c>
      <c r="AC18" s="728"/>
      <c r="AD18" s="92">
        <v>1</v>
      </c>
      <c r="AE18" s="92">
        <v>1</v>
      </c>
      <c r="AF18" s="307">
        <f t="shared" si="13"/>
        <v>-301.86046511627296</v>
      </c>
      <c r="AG18" s="72">
        <f t="shared" si="14"/>
        <v>0.84906976744186347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2804</v>
      </c>
      <c r="H19" s="78">
        <f>F19*G19</f>
        <v>141293.56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1716.7346938775404</v>
      </c>
      <c r="O19" s="96">
        <f>N19/M19</f>
        <v>143.06122448979502</v>
      </c>
      <c r="P19" s="97">
        <f>M19-J19</f>
        <v>0</v>
      </c>
      <c r="Q19" s="98">
        <f>O19-L19</f>
        <v>-23.605442176871634</v>
      </c>
      <c r="R19" s="99">
        <f>O19/L19</f>
        <v>0.85836734693877015</v>
      </c>
      <c r="S19" s="735"/>
      <c r="T19" s="19">
        <v>0.54861111111111105</v>
      </c>
      <c r="U19" s="19">
        <v>0.61666666666666703</v>
      </c>
      <c r="V19" s="30">
        <f>(T19-U18)*24*60</f>
        <v>90.000000000000085</v>
      </c>
      <c r="W19" s="149">
        <f t="shared" si="17"/>
        <v>98.000000000000611</v>
      </c>
      <c r="X19" s="22"/>
      <c r="Y19" s="84"/>
      <c r="Z19" s="90"/>
      <c r="AA19" s="90"/>
      <c r="AB19" s="728" t="s">
        <v>159</v>
      </c>
      <c r="AC19" s="728"/>
      <c r="AD19" s="149">
        <v>2</v>
      </c>
      <c r="AE19" s="149">
        <v>2</v>
      </c>
      <c r="AF19" s="307">
        <f t="shared" si="13"/>
        <v>-283.26530612245961</v>
      </c>
      <c r="AG19" s="72">
        <f t="shared" si="14"/>
        <v>0.85836734693877015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1661.7430882148501</v>
      </c>
      <c r="O26" s="158">
        <f t="shared" si="20"/>
        <v>130.83605200631783</v>
      </c>
      <c r="P26" s="159">
        <f t="shared" ref="P26:P29" si="21">M26-J26</f>
        <v>0.25</v>
      </c>
      <c r="Q26" s="160">
        <f t="shared" ref="Q26:Q29" si="22">O26-L26</f>
        <v>-31.439589019323193</v>
      </c>
      <c r="R26" s="161">
        <f>O26/L26</f>
        <v>0.80625811230438793</v>
      </c>
      <c r="S26" s="736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17</v>
      </c>
      <c r="AB26" s="730"/>
      <c r="AC26" s="730"/>
      <c r="AD26" s="323">
        <f>SUM(AD16:AD25)</f>
        <v>7</v>
      </c>
      <c r="AE26" s="323">
        <f>SUM(AE16:AE25)</f>
        <v>7</v>
      </c>
      <c r="AF26" s="309">
        <f t="shared" ref="AF26:AF31" si="23">N26-K26</f>
        <v>-364.5069117851499</v>
      </c>
      <c r="AG26" s="124">
        <f t="shared" ref="AG26:AG31" si="24">N26/K26</f>
        <v>0.82010763144471321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2191</v>
      </c>
      <c r="H27" s="134">
        <f>F27*G27</f>
        <v>125544.29999999999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16</v>
      </c>
      <c r="N27" s="140">
        <f>G27/W27*60</f>
        <v>1369.3750000000139</v>
      </c>
      <c r="O27" s="141">
        <f>N27/M27</f>
        <v>85.585937500000867</v>
      </c>
      <c r="P27" s="142">
        <f t="shared" si="21"/>
        <v>-1</v>
      </c>
      <c r="Q27" s="143">
        <f t="shared" si="22"/>
        <v>-2.6493566176461911</v>
      </c>
      <c r="R27" s="144">
        <f>O27/L27</f>
        <v>0.96997395833334321</v>
      </c>
      <c r="S27" s="734">
        <f>R37</f>
        <v>0.89659238444693767</v>
      </c>
      <c r="T27" s="171">
        <v>0.29166666666666702</v>
      </c>
      <c r="U27" s="171">
        <v>0.358333333333333</v>
      </c>
      <c r="V27" s="135"/>
      <c r="W27" s="146">
        <f t="shared" si="17"/>
        <v>95.999999999999019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-130.62499999998613</v>
      </c>
      <c r="AG27" s="172">
        <f t="shared" si="24"/>
        <v>0.91291666666667592</v>
      </c>
      <c r="AH27" s="724">
        <f>AG37</f>
        <v>0.85712953668368141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1670</v>
      </c>
      <c r="H28" s="91">
        <f>F28*G28</f>
        <v>92067.1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17</v>
      </c>
      <c r="N28" s="95">
        <f>G28/W28*60</f>
        <v>1301.2987012986814</v>
      </c>
      <c r="O28" s="96">
        <f>N28/M28</f>
        <v>76.546982429334207</v>
      </c>
      <c r="P28" s="97">
        <f t="shared" si="21"/>
        <v>0</v>
      </c>
      <c r="Q28" s="98">
        <f t="shared" si="22"/>
        <v>-4.9236058059599088</v>
      </c>
      <c r="R28" s="99">
        <f t="shared" ref="R28:R29" si="26">O28/L28</f>
        <v>0.93956584931312748</v>
      </c>
      <c r="S28" s="735"/>
      <c r="T28" s="19">
        <v>0.36458333333333298</v>
      </c>
      <c r="U28" s="19">
        <v>0.41805555555555601</v>
      </c>
      <c r="V28" s="92">
        <f>(T28-U27)*24*60</f>
        <v>8.999999999999968</v>
      </c>
      <c r="W28" s="149">
        <f t="shared" si="17"/>
        <v>77.000000000001165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-83.701298701318592</v>
      </c>
      <c r="AG28" s="99">
        <f t="shared" si="24"/>
        <v>0.93956584931312737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906</v>
      </c>
      <c r="H29" s="91">
        <f>F29*G29</f>
        <v>44865.120000000003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16</v>
      </c>
      <c r="N29" s="95">
        <f>G29/W29*60</f>
        <v>1109.3877551020664</v>
      </c>
      <c r="O29" s="96">
        <f>N29/M29</f>
        <v>69.336734693879151</v>
      </c>
      <c r="P29" s="97">
        <f t="shared" si="21"/>
        <v>-1</v>
      </c>
      <c r="Q29" s="98">
        <f t="shared" si="22"/>
        <v>-15.369147659062023</v>
      </c>
      <c r="R29" s="99">
        <f t="shared" si="26"/>
        <v>0.81855867346940669</v>
      </c>
      <c r="S29" s="735"/>
      <c r="T29" s="19">
        <v>0.42430555555555599</v>
      </c>
      <c r="U29" s="19">
        <v>0.45833333333333298</v>
      </c>
      <c r="V29" s="92">
        <f>(T29-U28)*24*60</f>
        <v>8.999999999999968</v>
      </c>
      <c r="W29" s="149">
        <f t="shared" si="17"/>
        <v>48.999999999998863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-330.61224489793358</v>
      </c>
      <c r="AG29" s="99">
        <f t="shared" si="24"/>
        <v>0.77040816326532391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1200</v>
      </c>
      <c r="H30" s="91">
        <f>F30*G30</f>
        <v>59424.000000000007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>K30/J30</f>
        <v>84.705882352941174</v>
      </c>
      <c r="M30" s="94">
        <v>16</v>
      </c>
      <c r="N30" s="95">
        <f>G30/W30*60</f>
        <v>1161.2903225806613</v>
      </c>
      <c r="O30" s="96">
        <f>N30/M30</f>
        <v>72.580645161291329</v>
      </c>
      <c r="P30" s="97">
        <f>M30-J30</f>
        <v>-1</v>
      </c>
      <c r="Q30" s="98">
        <f>O30-L30</f>
        <v>-12.125237191649845</v>
      </c>
      <c r="R30" s="99">
        <f>O30/L30</f>
        <v>0.85685483870968937</v>
      </c>
      <c r="S30" s="735"/>
      <c r="T30" s="19">
        <v>0.52638888888888902</v>
      </c>
      <c r="U30" s="19">
        <v>0.56944444444444398</v>
      </c>
      <c r="V30" s="92">
        <f>(T30-U29)*24*60</f>
        <v>98.000000000000696</v>
      </c>
      <c r="W30" s="149">
        <f t="shared" si="17"/>
        <v>61.99999999999914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-278.70967741933873</v>
      </c>
      <c r="AG30" s="99">
        <f t="shared" si="24"/>
        <v>0.80645161290323697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0</v>
      </c>
      <c r="AG31" s="99" t="e">
        <f t="shared" si="24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8">AVERAGE(J27:J36)</f>
        <v>17</v>
      </c>
      <c r="K37" s="155">
        <f t="shared" si="28"/>
        <v>1441.25</v>
      </c>
      <c r="L37" s="158">
        <f t="shared" si="28"/>
        <v>84.77941176470587</v>
      </c>
      <c r="M37" s="155">
        <f t="shared" si="28"/>
        <v>16.25</v>
      </c>
      <c r="N37" s="155">
        <f t="shared" si="28"/>
        <v>1235.3379447453558</v>
      </c>
      <c r="O37" s="158">
        <f t="shared" si="28"/>
        <v>76.012574946126392</v>
      </c>
      <c r="P37" s="159">
        <f>M37-J37</f>
        <v>-0.75</v>
      </c>
      <c r="Q37" s="160">
        <f>N37-K37</f>
        <v>-205.9120552546442</v>
      </c>
      <c r="R37" s="161">
        <f t="shared" ref="R37:R40" si="29">O37/L37</f>
        <v>0.89659238444693767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0">N37-K37</f>
        <v>-205.9120552546442</v>
      </c>
      <c r="AG37" s="124">
        <f t="shared" ref="AG37:AG41" si="31">N37/K37</f>
        <v>0.85712953668368141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1499</v>
      </c>
      <c r="H38" s="134">
        <f>F38*G38</f>
        <v>85892.7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2">K38/J38</f>
        <v>86.5625</v>
      </c>
      <c r="M38" s="190">
        <v>15</v>
      </c>
      <c r="N38" s="140">
        <f>G38/W38*60</f>
        <v>1096.8292682926719</v>
      </c>
      <c r="O38" s="141">
        <f>N38/M38</f>
        <v>73.121951219511459</v>
      </c>
      <c r="P38" s="142">
        <f t="shared" ref="P38:P40" si="33">M38-J38</f>
        <v>-1</v>
      </c>
      <c r="Q38" s="143">
        <f t="shared" ref="Q38:Q40" si="34">O38-L38</f>
        <v>-13.440548780488541</v>
      </c>
      <c r="R38" s="144">
        <f>O38/L38</f>
        <v>0.84473012239146816</v>
      </c>
      <c r="S38" s="756">
        <f>R48</f>
        <v>0.87481160723978624</v>
      </c>
      <c r="T38" s="191">
        <v>0.33194444444444399</v>
      </c>
      <c r="U38" s="191">
        <v>0.38888888888888901</v>
      </c>
      <c r="V38" s="192"/>
      <c r="W38" s="193">
        <f t="shared" si="17"/>
        <v>82.000000000000824</v>
      </c>
      <c r="X38" s="194"/>
      <c r="Y38" s="302"/>
      <c r="Z38" s="336"/>
      <c r="AA38" s="336"/>
      <c r="AB38" s="758" t="s">
        <v>163</v>
      </c>
      <c r="AC38" s="758"/>
      <c r="AD38" s="192">
        <v>1</v>
      </c>
      <c r="AE38" s="192">
        <v>1</v>
      </c>
      <c r="AF38" s="313">
        <f t="shared" si="30"/>
        <v>-288.17073170732806</v>
      </c>
      <c r="AG38" s="195">
        <f t="shared" si="31"/>
        <v>0.79193448974200142</v>
      </c>
      <c r="AH38" s="746">
        <f>AG48</f>
        <v>0.81083769044969412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1354</v>
      </c>
      <c r="H39" s="91">
        <f>F39*G39</f>
        <v>76406.22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2"/>
        <v>87.875</v>
      </c>
      <c r="M39" s="201">
        <v>15</v>
      </c>
      <c r="N39" s="202">
        <f>G39/W39*60</f>
        <v>1083.1999999999853</v>
      </c>
      <c r="O39" s="203">
        <f t="shared" ref="O39:O40" si="35">N39/M39</f>
        <v>72.213333333332358</v>
      </c>
      <c r="P39" s="97">
        <f t="shared" si="33"/>
        <v>-1</v>
      </c>
      <c r="Q39" s="98">
        <f t="shared" si="34"/>
        <v>-15.661666666667642</v>
      </c>
      <c r="R39" s="99">
        <f t="shared" si="29"/>
        <v>0.82177335229965698</v>
      </c>
      <c r="S39" s="757"/>
      <c r="T39" s="20">
        <v>0.39583333333333298</v>
      </c>
      <c r="U39" s="20">
        <v>0.44791666666666702</v>
      </c>
      <c r="V39" s="92">
        <f>(T39-U38)*24*60</f>
        <v>9.999999999999325</v>
      </c>
      <c r="W39" s="205">
        <f t="shared" si="17"/>
        <v>75.000000000001009</v>
      </c>
      <c r="X39" s="22"/>
      <c r="Y39" s="84"/>
      <c r="Z39" s="90"/>
      <c r="AA39" s="90"/>
      <c r="AB39" s="749" t="s">
        <v>163</v>
      </c>
      <c r="AC39" s="749"/>
      <c r="AD39" s="200">
        <v>1</v>
      </c>
      <c r="AE39" s="200">
        <v>1</v>
      </c>
      <c r="AF39" s="314">
        <f t="shared" si="30"/>
        <v>-322.80000000001473</v>
      </c>
      <c r="AG39" s="206">
        <f t="shared" si="31"/>
        <v>0.77041251778092834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2668</v>
      </c>
      <c r="H40" s="91">
        <f>F40*G40</f>
        <v>118192.4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2"/>
        <v>75.78947368421052</v>
      </c>
      <c r="M40" s="201">
        <v>17</v>
      </c>
      <c r="N40" s="202">
        <f>G40/W40*60</f>
        <v>1250.6249999999982</v>
      </c>
      <c r="O40" s="203">
        <f t="shared" si="35"/>
        <v>73.566176470588132</v>
      </c>
      <c r="P40" s="97">
        <f t="shared" si="33"/>
        <v>-2</v>
      </c>
      <c r="Q40" s="98">
        <f t="shared" si="34"/>
        <v>-2.2232972136223879</v>
      </c>
      <c r="R40" s="99">
        <f t="shared" si="29"/>
        <v>0.97066482843137125</v>
      </c>
      <c r="S40" s="719"/>
      <c r="T40" s="20">
        <v>0.52916666666666701</v>
      </c>
      <c r="U40" s="20">
        <v>0.61805555555555602</v>
      </c>
      <c r="V40" s="92">
        <f>(T40-U39)*24*60</f>
        <v>116.99999999999999</v>
      </c>
      <c r="W40" s="205">
        <f t="shared" si="17"/>
        <v>128.00000000000017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0"/>
        <v>-189.37500000000182</v>
      </c>
      <c r="AG40" s="206">
        <f t="shared" si="31"/>
        <v>0.86848958333333204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0"/>
        <v>0</v>
      </c>
      <c r="AG41" s="206" t="e">
        <f t="shared" si="31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7">AVERAGE(J38:J47)</f>
        <v>17</v>
      </c>
      <c r="K48" s="155">
        <f t="shared" si="37"/>
        <v>1410.3333333333333</v>
      </c>
      <c r="L48" s="158">
        <f t="shared" si="37"/>
        <v>83.408991228070178</v>
      </c>
      <c r="M48" s="155">
        <f t="shared" si="37"/>
        <v>15.666666666666666</v>
      </c>
      <c r="N48" s="155">
        <f t="shared" si="37"/>
        <v>1143.5514227642186</v>
      </c>
      <c r="O48" s="158">
        <f t="shared" si="37"/>
        <v>72.967153674477302</v>
      </c>
      <c r="P48" s="221">
        <f>M48-J48</f>
        <v>-1.3333333333333339</v>
      </c>
      <c r="Q48" s="222">
        <f>N48-K48</f>
        <v>-266.78191056911464</v>
      </c>
      <c r="R48" s="223">
        <f>O48/L48</f>
        <v>0.87481160723978624</v>
      </c>
      <c r="S48" s="722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2</v>
      </c>
      <c r="AE48" s="323">
        <f>SUM(AE38:AE47)</f>
        <v>2</v>
      </c>
      <c r="AF48" s="315">
        <f t="shared" ref="AF48:AF53" si="38">N48-K48</f>
        <v>-266.78191056911464</v>
      </c>
      <c r="AG48" s="162">
        <f t="shared" ref="AG48:AG53" si="39">N48/K48</f>
        <v>0.81083769044969412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1436</v>
      </c>
      <c r="H49" s="134">
        <f>F49*G49</f>
        <v>81665.319999999992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0">K49/J49</f>
        <v>86.944444444444443</v>
      </c>
      <c r="M49" s="170">
        <v>19</v>
      </c>
      <c r="N49" s="140">
        <f>G49/W49*60</f>
        <v>1511.5789473684349</v>
      </c>
      <c r="O49" s="141">
        <f>N49/M49</f>
        <v>79.556786703601844</v>
      </c>
      <c r="P49" s="229">
        <f>M49-J49</f>
        <v>1</v>
      </c>
      <c r="Q49" s="230">
        <f>O49-L49</f>
        <v>-7.3876577408425987</v>
      </c>
      <c r="R49" s="52">
        <f>O49/L49</f>
        <v>0.91503013461011706</v>
      </c>
      <c r="S49" s="718">
        <f>R58</f>
        <v>0.9442587640039225</v>
      </c>
      <c r="T49" s="191">
        <v>0.29027777777777802</v>
      </c>
      <c r="U49" s="191">
        <v>0.32986111111111099</v>
      </c>
      <c r="V49" s="55"/>
      <c r="W49" s="193">
        <f t="shared" si="17"/>
        <v>56.999999999999474</v>
      </c>
      <c r="X49" s="55"/>
      <c r="Y49" s="290"/>
      <c r="Z49" s="169">
        <v>1</v>
      </c>
      <c r="AA49" s="169">
        <v>8</v>
      </c>
      <c r="AB49" s="723" t="s">
        <v>126</v>
      </c>
      <c r="AC49" s="723"/>
      <c r="AD49" s="135"/>
      <c r="AE49" s="135"/>
      <c r="AF49" s="229">
        <f t="shared" si="38"/>
        <v>-53.42105263156509</v>
      </c>
      <c r="AG49" s="52">
        <f t="shared" si="39"/>
        <v>0.96586514208845686</v>
      </c>
      <c r="AH49" s="724">
        <f>AG58</f>
        <v>0.95729619186708248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2355</v>
      </c>
      <c r="H50" s="231">
        <f>F50*G50</f>
        <v>117538.04999999999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0"/>
        <v>92.058823529411768</v>
      </c>
      <c r="M50" s="233">
        <v>17</v>
      </c>
      <c r="N50" s="234">
        <f>G50/W50*60</f>
        <v>1427.2727272727277</v>
      </c>
      <c r="O50" s="235">
        <f>N50/M50</f>
        <v>83.957219251336923</v>
      </c>
      <c r="P50" s="74">
        <f>M50-J50</f>
        <v>0</v>
      </c>
      <c r="Q50" s="83">
        <f>O50-L50</f>
        <v>-8.101604278074845</v>
      </c>
      <c r="R50" s="72">
        <f>O50/L50</f>
        <v>0.91199535288992184</v>
      </c>
      <c r="S50" s="719"/>
      <c r="T50" s="21">
        <v>0.34027777777777801</v>
      </c>
      <c r="U50" s="21">
        <v>0.40902777777777799</v>
      </c>
      <c r="V50" s="30">
        <f t="shared" ref="V50:V52" si="41">(T50-U49)*24*60</f>
        <v>15.000000000000506</v>
      </c>
      <c r="W50" s="236">
        <f t="shared" si="17"/>
        <v>98.999999999999972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38"/>
        <v>-137.72727272727229</v>
      </c>
      <c r="AG50" s="72">
        <f t="shared" si="39"/>
        <v>0.91199535288992184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1684</v>
      </c>
      <c r="H51" s="231">
        <f>F51*G51</f>
        <v>84149.48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0"/>
        <v>88.888888888888886</v>
      </c>
      <c r="M51" s="233">
        <v>18</v>
      </c>
      <c r="N51" s="234">
        <f>G51/W51*60</f>
        <v>1554.4615384615345</v>
      </c>
      <c r="O51" s="235">
        <f>N51/M51</f>
        <v>86.358974358974137</v>
      </c>
      <c r="P51" s="74">
        <f>M51-J51</f>
        <v>0</v>
      </c>
      <c r="Q51" s="83">
        <f>O51-L51</f>
        <v>-2.5299145299147483</v>
      </c>
      <c r="R51" s="72">
        <f>O51/L51</f>
        <v>0.97153846153845913</v>
      </c>
      <c r="S51" s="719"/>
      <c r="T51" s="21">
        <v>0.41736111111111102</v>
      </c>
      <c r="U51" s="19">
        <v>0.46250000000000002</v>
      </c>
      <c r="V51" s="30">
        <f t="shared" si="41"/>
        <v>11.999999999999558</v>
      </c>
      <c r="W51" s="236">
        <f t="shared" si="17"/>
        <v>65.000000000000171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38"/>
        <v>-45.538461538465526</v>
      </c>
      <c r="AG51" s="72">
        <f t="shared" si="39"/>
        <v>0.97153846153845902</v>
      </c>
      <c r="AH51" s="725"/>
    </row>
    <row r="52" spans="1:34" ht="15" customHeight="1">
      <c r="A52" s="751"/>
      <c r="B52" s="101" t="s">
        <v>81</v>
      </c>
      <c r="C52" s="102"/>
      <c r="D52" s="103" t="s">
        <v>134</v>
      </c>
      <c r="E52" s="104"/>
      <c r="F52" s="75">
        <f>VLOOKUP(D52,廠價表!$C$1:$E$41,3,0)</f>
        <v>49.97</v>
      </c>
      <c r="G52" s="202">
        <v>2950</v>
      </c>
      <c r="H52" s="231">
        <f>F52*G52</f>
        <v>147411.5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108">
        <v>18</v>
      </c>
      <c r="N52" s="234">
        <f>G52/W52*60</f>
        <v>1566.3716814159347</v>
      </c>
      <c r="O52" s="235">
        <f>N52/M52</f>
        <v>87.020648967551935</v>
      </c>
      <c r="P52" s="74">
        <f>M52-J52</f>
        <v>0</v>
      </c>
      <c r="Q52" s="83">
        <f>O52-L52</f>
        <v>-1.8682399213369507</v>
      </c>
      <c r="R52" s="72">
        <f>O52/L52</f>
        <v>0.9789823008849593</v>
      </c>
      <c r="S52" s="719"/>
      <c r="T52" s="21">
        <v>0.52430555555555602</v>
      </c>
      <c r="U52" s="21">
        <v>0.60277777777777797</v>
      </c>
      <c r="V52" s="30">
        <f t="shared" si="41"/>
        <v>89.000000000000639</v>
      </c>
      <c r="W52" s="236">
        <f t="shared" si="17"/>
        <v>112.9999999999996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38"/>
        <v>-33.628318584065255</v>
      </c>
      <c r="AG52" s="72">
        <f t="shared" si="39"/>
        <v>0.97898230088495919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38"/>
        <v>0</v>
      </c>
      <c r="AG53" s="72" t="e">
        <f t="shared" si="39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2">AVERAGE(J49:J57)</f>
        <v>17.75</v>
      </c>
      <c r="K58" s="120">
        <f t="shared" si="42"/>
        <v>1582.5</v>
      </c>
      <c r="L58" s="117">
        <f t="shared" si="42"/>
        <v>89.195261437908499</v>
      </c>
      <c r="M58" s="120">
        <f t="shared" si="42"/>
        <v>18</v>
      </c>
      <c r="N58" s="120">
        <f t="shared" si="42"/>
        <v>1514.921223629658</v>
      </c>
      <c r="O58" s="117">
        <f t="shared" si="42"/>
        <v>84.223407320366206</v>
      </c>
      <c r="P58" s="121">
        <f>M58-J58</f>
        <v>0.25</v>
      </c>
      <c r="Q58" s="122">
        <f>N58-K58</f>
        <v>-67.578776370341984</v>
      </c>
      <c r="R58" s="123">
        <f t="shared" ref="R58:R60" si="43">O58/L58</f>
        <v>0.9442587640039225</v>
      </c>
      <c r="S58" s="72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8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44">N58-K58</f>
        <v>-67.578776370341984</v>
      </c>
      <c r="AG58" s="124">
        <f t="shared" ref="AG58:AG61" si="45">N58/K58</f>
        <v>0.95729619186708248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3231</v>
      </c>
      <c r="H59" s="243">
        <f>F59*G59</f>
        <v>87204.689999999988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6">K59/J59</f>
        <v>120.38461538461539</v>
      </c>
      <c r="M59" s="244">
        <v>12</v>
      </c>
      <c r="N59" s="137">
        <f t="shared" ref="N59:N61" si="47">G59/W59*60</f>
        <v>1384.7142857142892</v>
      </c>
      <c r="O59" s="138">
        <f t="shared" ref="O59:O61" si="48">N59/M59</f>
        <v>115.39285714285744</v>
      </c>
      <c r="P59" s="56">
        <f t="shared" ref="P59:P61" si="49">M59-J59</f>
        <v>-1</v>
      </c>
      <c r="Q59" s="230">
        <f t="shared" ref="Q59:Q61" si="50">O59-L59</f>
        <v>-4.9917582417579496</v>
      </c>
      <c r="R59" s="52">
        <f t="shared" si="43"/>
        <v>0.95853491556367199</v>
      </c>
      <c r="S59" s="718">
        <f>R69</f>
        <v>0.85440279933060037</v>
      </c>
      <c r="T59" s="245">
        <v>0.29166666666666702</v>
      </c>
      <c r="U59" s="245">
        <v>0.38888888888888901</v>
      </c>
      <c r="V59" s="55"/>
      <c r="W59" s="54">
        <f t="shared" si="17"/>
        <v>139.99999999999966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44"/>
        <v>-180.28571428571081</v>
      </c>
      <c r="AG59" s="246">
        <f t="shared" si="45"/>
        <v>0.88480146052031261</v>
      </c>
      <c r="AH59" s="724">
        <f>AG69</f>
        <v>0.78729195192454471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572</v>
      </c>
      <c r="H60" s="78">
        <f>F60*G60</f>
        <v>16284.84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6"/>
        <v>130.41666666666666</v>
      </c>
      <c r="M60" s="82">
        <v>11</v>
      </c>
      <c r="N60" s="80">
        <f t="shared" si="47"/>
        <v>1144.0000000000191</v>
      </c>
      <c r="O60" s="81">
        <f t="shared" si="48"/>
        <v>104.00000000000173</v>
      </c>
      <c r="P60" s="74">
        <f t="shared" si="49"/>
        <v>-1</v>
      </c>
      <c r="Q60" s="83">
        <f t="shared" si="50"/>
        <v>-26.416666666664923</v>
      </c>
      <c r="R60" s="72">
        <f t="shared" si="43"/>
        <v>0.79744408945688239</v>
      </c>
      <c r="S60" s="768"/>
      <c r="T60" s="22">
        <v>0.39930555555555602</v>
      </c>
      <c r="U60" s="22">
        <v>0.42013888888888901</v>
      </c>
      <c r="V60" s="30">
        <f t="shared" ref="V60:V61" si="51">(T60-U59)*24*60</f>
        <v>15.000000000000506</v>
      </c>
      <c r="W60" s="248">
        <f t="shared" si="17"/>
        <v>29.999999999999496</v>
      </c>
      <c r="X60" s="232"/>
      <c r="Y60" s="177"/>
      <c r="Z60" s="90"/>
      <c r="AA60" s="90"/>
      <c r="AB60" s="713" t="s">
        <v>164</v>
      </c>
      <c r="AC60" s="713"/>
      <c r="AD60" s="92"/>
      <c r="AE60" s="92"/>
      <c r="AF60" s="316">
        <f t="shared" si="44"/>
        <v>-420.9999999999809</v>
      </c>
      <c r="AG60" s="249">
        <f t="shared" si="45"/>
        <v>0.73099041533547549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2024</v>
      </c>
      <c r="H61" s="254">
        <f>F61*G61</f>
        <v>57198.240000000005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6"/>
        <v>130.41666666666666</v>
      </c>
      <c r="M61" s="108">
        <v>11</v>
      </c>
      <c r="N61" s="107">
        <f t="shared" si="47"/>
        <v>1214.4000000000083</v>
      </c>
      <c r="O61" s="238">
        <f t="shared" si="48"/>
        <v>110.40000000000076</v>
      </c>
      <c r="P61" s="111">
        <f t="shared" si="49"/>
        <v>-1</v>
      </c>
      <c r="Q61" s="255">
        <f t="shared" si="50"/>
        <v>-20.016666666665898</v>
      </c>
      <c r="R61" s="85">
        <f>O61/L61</f>
        <v>0.84651757188498988</v>
      </c>
      <c r="S61" s="719"/>
      <c r="T61" s="22">
        <v>0.43055555555555602</v>
      </c>
      <c r="U61" s="22">
        <v>0.5</v>
      </c>
      <c r="V61" s="30">
        <f t="shared" si="51"/>
        <v>15.000000000000506</v>
      </c>
      <c r="W61" s="256">
        <f t="shared" si="17"/>
        <v>99.999999999999318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44"/>
        <v>-350.59999999999172</v>
      </c>
      <c r="AG61" s="247">
        <f t="shared" si="45"/>
        <v>0.77597444089457401</v>
      </c>
      <c r="AH61" s="725"/>
    </row>
    <row r="62" spans="1:34" ht="15" customHeight="1">
      <c r="A62" s="766"/>
      <c r="B62" s="250" t="s">
        <v>135</v>
      </c>
      <c r="C62" s="251"/>
      <c r="D62" s="257" t="s">
        <v>136</v>
      </c>
      <c r="E62" s="253"/>
      <c r="F62" s="250">
        <f>VLOOKUP(D62,廠價表!$C$1:$E$41,3,0)</f>
        <v>26.99</v>
      </c>
      <c r="G62" s="38">
        <v>889</v>
      </c>
      <c r="H62" s="254">
        <f>F62*G62</f>
        <v>23994.109999999997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108">
        <v>12</v>
      </c>
      <c r="N62" s="107">
        <f>G62/W62*60</f>
        <v>1185.3333333333335</v>
      </c>
      <c r="O62" s="238">
        <f>N62/M62</f>
        <v>98.777777777777786</v>
      </c>
      <c r="P62" s="111">
        <f>M62-J62</f>
        <v>-1</v>
      </c>
      <c r="Q62" s="255">
        <f>O62-L62</f>
        <v>-21.606837606837601</v>
      </c>
      <c r="R62" s="85">
        <f>O62/L62</f>
        <v>0.82051828186013498</v>
      </c>
      <c r="S62" s="719"/>
      <c r="T62" s="22">
        <v>0.55208333333333304</v>
      </c>
      <c r="U62" s="22">
        <v>0.58333333333333304</v>
      </c>
      <c r="V62" s="30"/>
      <c r="W62" s="248">
        <f t="shared" si="17"/>
        <v>45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-379.66666666666652</v>
      </c>
      <c r="AG62" s="247">
        <f>N62/K62</f>
        <v>0.75740149094781695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2">AVERAGE(J59:J68)</f>
        <v>12.5</v>
      </c>
      <c r="K69" s="240">
        <f t="shared" si="52"/>
        <v>1565</v>
      </c>
      <c r="L69" s="268">
        <f t="shared" si="52"/>
        <v>125.40064102564102</v>
      </c>
      <c r="M69" s="240">
        <f t="shared" si="52"/>
        <v>11.5</v>
      </c>
      <c r="N69" s="240">
        <f t="shared" si="52"/>
        <v>1232.1119047619125</v>
      </c>
      <c r="O69" s="268">
        <f t="shared" si="52"/>
        <v>107.14265873015943</v>
      </c>
      <c r="P69" s="269">
        <f>M69-J69</f>
        <v>-1</v>
      </c>
      <c r="Q69" s="222">
        <f>N69-K69</f>
        <v>-332.88809523808754</v>
      </c>
      <c r="R69" s="123">
        <f>O69/L69</f>
        <v>0.85440279933060037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-332.88809523808754</v>
      </c>
      <c r="AG69" s="124">
        <f>N69/K69</f>
        <v>0.78729195192454471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1887</v>
      </c>
      <c r="H70" s="243">
        <f>F70*G70</f>
        <v>95614.290000000008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9</v>
      </c>
      <c r="N70" s="137">
        <f>G70/W70*60</f>
        <v>612.00000000000114</v>
      </c>
      <c r="O70" s="138">
        <f>N70/M70</f>
        <v>68.000000000000128</v>
      </c>
      <c r="P70" s="56">
        <f>M70-J70</f>
        <v>-1</v>
      </c>
      <c r="Q70" s="230">
        <f>O70-L70</f>
        <v>-44.499999999999872</v>
      </c>
      <c r="R70" s="52">
        <f>O70/L70</f>
        <v>0.60444444444444556</v>
      </c>
      <c r="S70" s="718">
        <f>R79</f>
        <v>0.60444444444444556</v>
      </c>
      <c r="T70" s="245">
        <v>0.34027777777777801</v>
      </c>
      <c r="U70" s="245">
        <v>0.46875</v>
      </c>
      <c r="V70" s="55"/>
      <c r="W70" s="54">
        <f t="shared" si="17"/>
        <v>184.99999999999966</v>
      </c>
      <c r="X70" s="270"/>
      <c r="Y70" s="292"/>
      <c r="Z70" s="169">
        <v>1</v>
      </c>
      <c r="AA70" s="169">
        <v>40</v>
      </c>
      <c r="AB70" s="723" t="s">
        <v>163</v>
      </c>
      <c r="AC70" s="723"/>
      <c r="AD70" s="135"/>
      <c r="AE70" s="135"/>
      <c r="AF70" s="310">
        <f>N70-K70</f>
        <v>-512.99999999999886</v>
      </c>
      <c r="AG70" s="246">
        <f>N70/K70</f>
        <v>0.54400000000000104</v>
      </c>
      <c r="AH70" s="724">
        <f>AG79</f>
        <v>0.54400000000000104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54">AVERAGE(J70:J78)</f>
        <v>10</v>
      </c>
      <c r="K79" s="240">
        <f t="shared" si="54"/>
        <v>1125</v>
      </c>
      <c r="L79" s="268">
        <f t="shared" si="54"/>
        <v>112.5</v>
      </c>
      <c r="M79" s="240">
        <f t="shared" si="54"/>
        <v>9</v>
      </c>
      <c r="N79" s="240">
        <f t="shared" si="54"/>
        <v>612.00000000000114</v>
      </c>
      <c r="O79" s="268">
        <f t="shared" si="54"/>
        <v>68.000000000000128</v>
      </c>
      <c r="P79" s="269">
        <f>M79-J79</f>
        <v>-1</v>
      </c>
      <c r="Q79" s="222">
        <f>N79-K79</f>
        <v>-512.99999999999886</v>
      </c>
      <c r="R79" s="223">
        <f>O79/L79</f>
        <v>0.60444444444444556</v>
      </c>
      <c r="S79" s="722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40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-512.99999999999886</v>
      </c>
      <c r="AG79" s="124">
        <f>N79/K79</f>
        <v>0.54400000000000104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0:AC10"/>
    <mergeCell ref="A5:A15"/>
    <mergeCell ref="S5:S15"/>
    <mergeCell ref="AB5:AC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D15:E15"/>
    <mergeCell ref="AB15:AC15"/>
    <mergeCell ref="G3:G4"/>
    <mergeCell ref="J1:L2"/>
    <mergeCell ref="M1:O2"/>
    <mergeCell ref="P1:S2"/>
    <mergeCell ref="H3:H4"/>
    <mergeCell ref="I3:I4"/>
    <mergeCell ref="J3:J4"/>
    <mergeCell ref="K3:K4"/>
    <mergeCell ref="N3:N4"/>
    <mergeCell ref="O3:O4"/>
    <mergeCell ref="P3:P4"/>
    <mergeCell ref="Q3:Q4"/>
    <mergeCell ref="L3:L4"/>
    <mergeCell ref="M3:M4"/>
    <mergeCell ref="AB1:AC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A2:B2"/>
    <mergeCell ref="A3:A4"/>
    <mergeCell ref="B3:B4"/>
    <mergeCell ref="D3:E4"/>
    <mergeCell ref="F3:F4"/>
  </mergeCells>
  <phoneticPr fontId="6" type="noConversion"/>
  <conditionalFormatting sqref="P5:P79">
    <cfRule type="cellIs" dxfId="289" priority="1" operator="greaterThan">
      <formula>0</formula>
    </cfRule>
  </conditionalFormatting>
  <conditionalFormatting sqref="Q5:Q79 AF5:AF79">
    <cfRule type="cellIs" dxfId="288" priority="4" operator="lessThan">
      <formula>0</formula>
    </cfRule>
  </conditionalFormatting>
  <conditionalFormatting sqref="R5:R79 AG5:AG79">
    <cfRule type="cellIs" dxfId="287" priority="2" operator="greaterThan">
      <formula>1</formula>
    </cfRule>
    <cfRule type="cellIs" dxfId="286" priority="3" operator="lessThan">
      <formula>0.8</formula>
    </cfRule>
  </conditionalFormatting>
  <conditionalFormatting sqref="S5:S10 S37:S62 AH59:AH62 S69:S76 AH69:AH76">
    <cfRule type="cellIs" dxfId="285" priority="7" operator="lessThan">
      <formula>0.8</formula>
    </cfRule>
  </conditionalFormatting>
  <conditionalFormatting sqref="S19:S25 AH19:AH25">
    <cfRule type="cellIs" dxfId="284" priority="6" operator="lessThan">
      <formula>0.8</formula>
    </cfRule>
  </conditionalFormatting>
  <conditionalFormatting sqref="S79">
    <cfRule type="cellIs" dxfId="283" priority="5" operator="lessThan">
      <formula>0.8</formula>
    </cfRule>
  </conditionalFormatting>
  <conditionalFormatting sqref="AH5:AH8 S15:S16 AH15:AH16 AH49 AH79">
    <cfRule type="cellIs" dxfId="282" priority="9" operator="lessThan">
      <formula>0.8</formula>
    </cfRule>
  </conditionalFormatting>
  <conditionalFormatting sqref="AH27 S27:S28">
    <cfRule type="cellIs" dxfId="28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4534-9539-4684-9EDF-DB1075ED4F6A}">
  <dimension ref="B1:O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46031</v>
      </c>
      <c r="E3" s="645"/>
      <c r="F3" s="3" t="s">
        <v>72</v>
      </c>
      <c r="G3" s="646">
        <f>'0109'!E1</f>
        <v>40461</v>
      </c>
      <c r="H3" s="646"/>
      <c r="I3" s="3" t="s">
        <v>2</v>
      </c>
      <c r="J3" s="647">
        <f>'0109'!G1</f>
        <v>1935877.3199999998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112.1686264181786</v>
      </c>
      <c r="G6" s="652"/>
      <c r="H6" s="653">
        <f>AVERAGE(D13:H13,J13)</f>
        <v>109.68462255910011</v>
      </c>
      <c r="I6" s="653"/>
      <c r="J6" s="653">
        <f>AVERAGE(I13)</f>
        <v>127.07264957264958</v>
      </c>
      <c r="K6" s="653"/>
      <c r="L6" s="769">
        <f>SUM(D18:J18)</f>
        <v>3</v>
      </c>
      <c r="M6" s="656">
        <f>SUM(D19:J19)</f>
        <v>36</v>
      </c>
      <c r="N6" s="771">
        <f>SUM(D20:J20)</f>
        <v>4</v>
      </c>
      <c r="O6" s="656">
        <f>SUM(D20:J20)</f>
        <v>4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91.099610033750693</v>
      </c>
      <c r="G7" s="676"/>
      <c r="H7" s="677">
        <f>AVERAGE(D14:H14,J14)</f>
        <v>89.559644628800257</v>
      </c>
      <c r="I7" s="677"/>
      <c r="J7" s="677">
        <f>AVERAGE(I14)</f>
        <v>100.33940246345333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0.81216658296340372</v>
      </c>
      <c r="G8" s="649"/>
      <c r="H8" s="649">
        <f>H7/H6</f>
        <v>0.81651960447367056</v>
      </c>
      <c r="I8" s="649"/>
      <c r="J8" s="649">
        <f>J7/J6</f>
        <v>0.78962233652087022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VALUE('0109'!L15)</f>
        <v>126.55462184873952</v>
      </c>
      <c r="E13" s="13">
        <f>VALUE('0109'!L26)</f>
        <v>162.27564102564102</v>
      </c>
      <c r="F13" s="13">
        <f>VALUE('0109'!L37)</f>
        <v>84.803921568627445</v>
      </c>
      <c r="G13" s="13">
        <f>VALUE('0109'!L48)</f>
        <v>82.778289473684211</v>
      </c>
      <c r="H13" s="13">
        <f>VALUE('0109'!L58)</f>
        <v>89.195261437908499</v>
      </c>
      <c r="I13" s="13">
        <f>VALUE('0109'!L69)</f>
        <v>127.07264957264958</v>
      </c>
      <c r="J13" s="13">
        <f>'0109'!L79</f>
        <v>112.5</v>
      </c>
    </row>
    <row r="14" spans="2:15" ht="39.950000000000003" customHeight="1">
      <c r="B14" s="670"/>
      <c r="C14" s="12" t="s">
        <v>100</v>
      </c>
      <c r="D14" s="13">
        <f>VALUE('0109'!O15)</f>
        <v>108.93348018106454</v>
      </c>
      <c r="E14" s="13">
        <f>VALUE('0109'!O26)</f>
        <v>123.81044631044654</v>
      </c>
      <c r="F14" s="13">
        <f>VALUE('0109'!O37)</f>
        <v>77.160764062413421</v>
      </c>
      <c r="G14" s="13">
        <f>VALUE('0109'!O48)</f>
        <v>73.035341442871058</v>
      </c>
      <c r="H14" s="13">
        <f>VALUE('0109'!O58)</f>
        <v>76.508061339915713</v>
      </c>
      <c r="I14" s="13">
        <f>VALUE('0109'!O69)</f>
        <v>100.33940246345333</v>
      </c>
      <c r="J14" s="13">
        <f>'0109'!O79</f>
        <v>77.909774436090316</v>
      </c>
    </row>
    <row r="15" spans="2:15" ht="39.950000000000003" customHeight="1">
      <c r="B15" s="671"/>
      <c r="C15" s="10" t="s">
        <v>26</v>
      </c>
      <c r="D15" s="14">
        <f>D14/D13</f>
        <v>0.86076255919964662</v>
      </c>
      <c r="E15" s="14">
        <f t="shared" ref="E15:I15" si="1">E14/E13</f>
        <v>0.76296384058580524</v>
      </c>
      <c r="F15" s="14">
        <f t="shared" si="1"/>
        <v>0.90987259356834327</v>
      </c>
      <c r="G15" s="14">
        <f t="shared" si="1"/>
        <v>0.88230068424027408</v>
      </c>
      <c r="H15" s="14">
        <f t="shared" si="1"/>
        <v>0.85775925880519199</v>
      </c>
      <c r="I15" s="14">
        <f t="shared" si="1"/>
        <v>0.78962233652087022</v>
      </c>
      <c r="J15" s="15">
        <f>'0109'!S70</f>
        <v>0.69253132832080277</v>
      </c>
    </row>
    <row r="16" spans="2:15" ht="17.25" customHeight="1">
      <c r="B16" s="672" t="s">
        <v>101</v>
      </c>
      <c r="C16" s="10" t="s">
        <v>34</v>
      </c>
      <c r="D16" s="16">
        <f>'0109'!T5</f>
        <v>0.29166666666666702</v>
      </c>
      <c r="E16" s="16">
        <f>'0109'!T16</f>
        <v>0.29027777777777802</v>
      </c>
      <c r="F16" s="16">
        <f>'0109'!T27</f>
        <v>0.29166666666666702</v>
      </c>
      <c r="G16" s="16">
        <f>'0109'!T38</f>
        <v>0.33333333333333298</v>
      </c>
      <c r="H16" s="16">
        <f>'0109'!T49</f>
        <v>0.29166666666666702</v>
      </c>
      <c r="I16" s="16">
        <f>'0109'!T59</f>
        <v>0.29166666666666702</v>
      </c>
      <c r="J16" s="17">
        <f>'0109'!T70</f>
        <v>0.33472222222222198</v>
      </c>
    </row>
    <row r="17" spans="2:10" ht="17.25" customHeight="1">
      <c r="B17" s="673"/>
      <c r="C17" s="10" t="s">
        <v>35</v>
      </c>
      <c r="D17" s="16">
        <v>0.57499999999999996</v>
      </c>
      <c r="E17" s="16">
        <v>0.59513888888888899</v>
      </c>
      <c r="F17" s="19">
        <v>0.469444444444444</v>
      </c>
      <c r="G17" s="328">
        <v>0.58611111111111103</v>
      </c>
      <c r="H17" s="21">
        <v>0.61041666666666705</v>
      </c>
      <c r="I17" s="110">
        <v>0.48611111111111099</v>
      </c>
      <c r="J17" s="110">
        <v>0.42708333333333298</v>
      </c>
    </row>
    <row r="18" spans="2:10" ht="17.25" customHeight="1">
      <c r="B18" s="674" t="s">
        <v>102</v>
      </c>
      <c r="C18" s="330" t="s">
        <v>36</v>
      </c>
      <c r="D18" s="358">
        <f>'0109'!Z15</f>
        <v>0</v>
      </c>
      <c r="E18" s="359">
        <f>'0109'!Z26</f>
        <v>1</v>
      </c>
      <c r="F18" s="359">
        <f>'0109'!Z37</f>
        <v>0</v>
      </c>
      <c r="G18" s="360">
        <f>'0109'!Z48</f>
        <v>1</v>
      </c>
      <c r="H18" s="360">
        <f>'0109'!Z58</f>
        <v>1</v>
      </c>
      <c r="I18" s="359">
        <f>'0109'!Z69</f>
        <v>0</v>
      </c>
      <c r="J18" s="359">
        <f>'0109'!Z79</f>
        <v>0</v>
      </c>
    </row>
    <row r="19" spans="2:10" ht="17.25" customHeight="1">
      <c r="B19" s="675"/>
      <c r="C19" s="330" t="s">
        <v>37</v>
      </c>
      <c r="D19" s="358">
        <f>'0109'!AA15</f>
        <v>0</v>
      </c>
      <c r="E19" s="359">
        <f>'0109'!AA26</f>
        <v>15</v>
      </c>
      <c r="F19" s="359">
        <f>'0109'!AA37</f>
        <v>0</v>
      </c>
      <c r="G19" s="360">
        <f>'0109'!AA48</f>
        <v>6</v>
      </c>
      <c r="H19" s="360">
        <f>'0109'!AA58</f>
        <v>15</v>
      </c>
      <c r="I19" s="359">
        <f>'0109'!AA69</f>
        <v>0</v>
      </c>
      <c r="J19" s="359">
        <f>'0109'!AA79</f>
        <v>0</v>
      </c>
    </row>
    <row r="20" spans="2:10" ht="17.25" customHeight="1">
      <c r="B20" s="674" t="s">
        <v>103</v>
      </c>
      <c r="C20" s="330" t="s">
        <v>36</v>
      </c>
      <c r="D20" s="358">
        <f>'0109'!AD15</f>
        <v>0</v>
      </c>
      <c r="E20" s="359">
        <f>'0109'!AD26</f>
        <v>3</v>
      </c>
      <c r="F20" s="359">
        <f>'0109'!AD37</f>
        <v>0</v>
      </c>
      <c r="G20" s="360">
        <f>'0109'!AD48</f>
        <v>0</v>
      </c>
      <c r="H20" s="360">
        <f>'0109'!AD58</f>
        <v>1</v>
      </c>
      <c r="I20" s="359">
        <f>'0109'!AD69</f>
        <v>0</v>
      </c>
      <c r="J20" s="359">
        <f>'0109'!AD79</f>
        <v>0</v>
      </c>
    </row>
    <row r="21" spans="2:10" ht="17.25" customHeight="1">
      <c r="B21" s="675"/>
      <c r="C21" s="330" t="s">
        <v>85</v>
      </c>
      <c r="D21" s="358">
        <f>'0109'!AE15</f>
        <v>0</v>
      </c>
      <c r="E21" s="359">
        <f>'0109'!AE26</f>
        <v>3</v>
      </c>
      <c r="F21" s="359">
        <f>'0108'!AE37</f>
        <v>0</v>
      </c>
      <c r="G21" s="360">
        <f>'0109'!AE48</f>
        <v>0</v>
      </c>
      <c r="H21" s="360">
        <f>'0109'!AE58</f>
        <v>1</v>
      </c>
      <c r="I21" s="359">
        <f>'0109'!AE69</f>
        <v>0</v>
      </c>
      <c r="J21" s="359">
        <f>'0109'!AE79</f>
        <v>0</v>
      </c>
    </row>
    <row r="22" spans="2:10" ht="17.25" customHeight="1">
      <c r="B22" s="658" t="s">
        <v>104</v>
      </c>
      <c r="C22" s="659"/>
      <c r="D22" s="23">
        <f>VALUE('0109'!M15)</f>
        <v>14.75</v>
      </c>
      <c r="E22" s="23">
        <f>VALUE('0109'!M26)</f>
        <v>12.75</v>
      </c>
      <c r="F22" s="23">
        <f>VALUE('0109'!M37)</f>
        <v>15</v>
      </c>
      <c r="G22" s="23">
        <f>VALUE('0109'!M48)</f>
        <v>15.8</v>
      </c>
      <c r="H22" s="23">
        <f>VALUE('0109'!M58)</f>
        <v>17.75</v>
      </c>
      <c r="I22" s="23">
        <f>VALUE('0109'!M69)</f>
        <v>11.666666666666666</v>
      </c>
      <c r="J22" s="23">
        <f>'0109'!M79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28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35E7-3C3B-4F16-A8CE-0448A69D507D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O72" sqref="O72"/>
      <selection pane="topRight" activeCell="O72" sqref="O72"/>
      <selection pane="bottomLeft" activeCell="O72" sqref="O72"/>
      <selection pane="bottomRight" activeCell="AB70" sqref="AB70:AC7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40461</v>
      </c>
      <c r="F1" s="30" t="s">
        <v>2</v>
      </c>
      <c r="G1" s="31">
        <f>SUM(H5:H79)</f>
        <v>1935877.3199999998</v>
      </c>
      <c r="H1" s="32" t="s">
        <v>3</v>
      </c>
      <c r="I1" s="33">
        <f>M15+M26+M48+M58+M69+M79+M37</f>
        <v>97.716666666666669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165</v>
      </c>
      <c r="B2" s="678"/>
      <c r="C2" s="28"/>
      <c r="D2" s="28" t="s">
        <v>14</v>
      </c>
      <c r="E2" s="35">
        <f>AVERAGE(O15,O26,O37,O48,O58,O69,O79)</f>
        <v>91.099610033750693</v>
      </c>
      <c r="F2" s="36" t="s">
        <v>15</v>
      </c>
      <c r="G2" s="37">
        <f>G1/E1</f>
        <v>47.84551345740342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3</v>
      </c>
      <c r="AA2" s="339">
        <f>AA15+AA26+AA37+AA48+AA58+AA69+AA79</f>
        <v>36</v>
      </c>
      <c r="AB2" s="684"/>
      <c r="AC2" s="684"/>
      <c r="AD2" s="340">
        <f>AD15+AD26+AD37+AD48+AD58+AD69+AD79</f>
        <v>4</v>
      </c>
      <c r="AE2" s="340">
        <f>AE15+AE26+AE37+AE48+AE58+AE69+AE79</f>
        <v>4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2296</v>
      </c>
      <c r="H5" s="43">
        <f>F5*G5</f>
        <v>109542.16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1405.7142857142976</v>
      </c>
      <c r="O5" s="47">
        <f t="shared" ref="O5:O7" si="2">N5/M5</f>
        <v>100.40816326530697</v>
      </c>
      <c r="P5" s="49">
        <f t="shared" ref="P5:P7" si="3">M5-J5</f>
        <v>0</v>
      </c>
      <c r="Q5" s="50">
        <f t="shared" ref="Q5:Q7" si="4">O5-L5</f>
        <v>-2.4489795918358936</v>
      </c>
      <c r="R5" s="51">
        <f t="shared" ref="R5:R7" si="5">O5/L5</f>
        <v>0.97619047619048438</v>
      </c>
      <c r="S5" s="718">
        <f>R15</f>
        <v>0.86076255919964662</v>
      </c>
      <c r="T5" s="319">
        <v>0.29166666666666702</v>
      </c>
      <c r="U5" s="320">
        <v>0.359722222222222</v>
      </c>
      <c r="V5" s="53"/>
      <c r="W5" s="54">
        <f t="shared" ref="W5:W14" si="6">(U5-T5)*24*60</f>
        <v>97.999999999999176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-34.285714285702397</v>
      </c>
      <c r="AG5" s="52">
        <f t="shared" ref="AG5:AG11" si="8">N5/K5</f>
        <v>0.97619047619048449</v>
      </c>
      <c r="AH5" s="724">
        <f>AG15</f>
        <v>0.85856794064178998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1086</v>
      </c>
      <c r="H6" s="63">
        <f>F6*G6</f>
        <v>62130.06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1629.0000000000482</v>
      </c>
      <c r="O6" s="67">
        <f t="shared" si="2"/>
        <v>95.823529411767538</v>
      </c>
      <c r="P6" s="69">
        <f t="shared" si="3"/>
        <v>0</v>
      </c>
      <c r="Q6" s="70">
        <f t="shared" si="4"/>
        <v>-21.823529411761868</v>
      </c>
      <c r="R6" s="71">
        <f t="shared" si="5"/>
        <v>0.81450000000002409</v>
      </c>
      <c r="S6" s="719"/>
      <c r="T6" s="16">
        <v>0.36805555555555602</v>
      </c>
      <c r="U6" s="16">
        <v>0.39583333333333298</v>
      </c>
      <c r="V6" s="30">
        <f>(T6-U5)*24*60</f>
        <v>12.000000000000997</v>
      </c>
      <c r="W6" s="73">
        <f t="shared" si="6"/>
        <v>39.99999999999882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-370.9999999999518</v>
      </c>
      <c r="AG6" s="72">
        <f t="shared" si="8"/>
        <v>0.81450000000002409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3120</v>
      </c>
      <c r="H7" s="78">
        <f>F7*G7</f>
        <v>153316.79999999999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1717.4311926605603</v>
      </c>
      <c r="O7" s="81">
        <f t="shared" si="2"/>
        <v>122.67365661861145</v>
      </c>
      <c r="P7" s="74">
        <f t="shared" si="3"/>
        <v>0</v>
      </c>
      <c r="Q7" s="83">
        <f t="shared" si="4"/>
        <v>-20.183486238531415</v>
      </c>
      <c r="R7" s="72">
        <f t="shared" si="5"/>
        <v>0.85871559633028005</v>
      </c>
      <c r="S7" s="719"/>
      <c r="T7" s="18">
        <v>0.40277777777777801</v>
      </c>
      <c r="U7" s="18">
        <v>0.47847222222222202</v>
      </c>
      <c r="V7" s="30">
        <f>(T7-U6)*24*60</f>
        <v>10.000000000000844</v>
      </c>
      <c r="W7" s="73">
        <f t="shared" si="6"/>
        <v>108.99999999999937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-282.56880733943967</v>
      </c>
      <c r="AG7" s="72">
        <f t="shared" si="8"/>
        <v>0.85871559633028016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1363</v>
      </c>
      <c r="H8" s="78">
        <f>F8*G8</f>
        <v>66977.820000000007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1635.6000000000113</v>
      </c>
      <c r="O8" s="81">
        <f>N8/M8</f>
        <v>116.82857142857223</v>
      </c>
      <c r="P8" s="74">
        <f>M8-J8</f>
        <v>0</v>
      </c>
      <c r="Q8" s="83">
        <f>O8-L8</f>
        <v>-26.028571428570629</v>
      </c>
      <c r="R8" s="72">
        <f>O8/L8</f>
        <v>0.81780000000000563</v>
      </c>
      <c r="S8" s="719"/>
      <c r="T8" s="16">
        <v>0.54027777777777797</v>
      </c>
      <c r="U8" s="16">
        <v>0.57499999999999996</v>
      </c>
      <c r="V8" s="30">
        <f>(T8-U7)*24*60</f>
        <v>89.000000000000568</v>
      </c>
      <c r="W8" s="73">
        <f t="shared" si="6"/>
        <v>49.999999999999659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-364.39999999998872</v>
      </c>
      <c r="AG8" s="72">
        <f t="shared" si="8"/>
        <v>0.81780000000000563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1596.9363695937293</v>
      </c>
      <c r="O15" s="117">
        <f t="shared" si="9"/>
        <v>108.93348018106454</v>
      </c>
      <c r="P15" s="121">
        <f t="shared" ref="P15:P18" si="10">M15-J15</f>
        <v>0</v>
      </c>
      <c r="Q15" s="122">
        <f t="shared" ref="Q15:Q18" si="11">O15-L15</f>
        <v>-17.621141667674976</v>
      </c>
      <c r="R15" s="123">
        <f t="shared" ref="R15:R18" si="12">O15/L15</f>
        <v>0.86076255919964662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-263.0636304062707</v>
      </c>
      <c r="AG15" s="124">
        <f t="shared" ref="AG15:AG19" si="14">N15/K15</f>
        <v>0.85856794064178998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1750</v>
      </c>
      <c r="H16" s="134">
        <f>F16*G16</f>
        <v>100117.5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1750.0000000000296</v>
      </c>
      <c r="O16" s="141">
        <f>N16/M16</f>
        <v>125.00000000000212</v>
      </c>
      <c r="P16" s="142">
        <f>M16-J16</f>
        <v>1</v>
      </c>
      <c r="Q16" s="143">
        <f t="shared" si="11"/>
        <v>-36.923076923074817</v>
      </c>
      <c r="R16" s="144">
        <f>O16/L16</f>
        <v>0.77197149643706764</v>
      </c>
      <c r="S16" s="734">
        <f>R26</f>
        <v>0.76296384058580524</v>
      </c>
      <c r="T16" s="145">
        <v>0.29027777777777802</v>
      </c>
      <c r="U16" s="145">
        <v>0.33194444444444399</v>
      </c>
      <c r="V16" s="135"/>
      <c r="W16" s="146">
        <f t="shared" ref="W16:W78" si="17">(U16-T16)*24*60</f>
        <v>59.999999999998991</v>
      </c>
      <c r="X16" s="141"/>
      <c r="Y16" s="296"/>
      <c r="Z16" s="169"/>
      <c r="AA16" s="169"/>
      <c r="AB16" s="723" t="s">
        <v>161</v>
      </c>
      <c r="AC16" s="723"/>
      <c r="AD16" s="135"/>
      <c r="AE16" s="135"/>
      <c r="AF16" s="229">
        <f t="shared" si="13"/>
        <v>-354.99999999997044</v>
      </c>
      <c r="AG16" s="52">
        <f t="shared" si="14"/>
        <v>0.83135391923991908</v>
      </c>
      <c r="AH16" s="724">
        <f>AG26</f>
        <v>0.78017742299050319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3137</v>
      </c>
      <c r="H17" s="78">
        <f>F17*G17</f>
        <v>158951.79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1695.6756756756829</v>
      </c>
      <c r="O17" s="96">
        <f t="shared" ref="O17:O18" si="18">N17/M17</f>
        <v>130.43659043659099</v>
      </c>
      <c r="P17" s="97">
        <f t="shared" si="10"/>
        <v>0</v>
      </c>
      <c r="Q17" s="98">
        <f t="shared" si="11"/>
        <v>-23.40956340956285</v>
      </c>
      <c r="R17" s="99">
        <f t="shared" si="12"/>
        <v>0.8478378378378415</v>
      </c>
      <c r="S17" s="735"/>
      <c r="T17" s="19">
        <v>0.34027777777777801</v>
      </c>
      <c r="U17" s="19">
        <v>0.41736111111111102</v>
      </c>
      <c r="V17" s="30">
        <f>(T17-U16)*24*60</f>
        <v>12.000000000000997</v>
      </c>
      <c r="W17" s="149">
        <f t="shared" si="17"/>
        <v>110.99999999999953</v>
      </c>
      <c r="X17" s="19"/>
      <c r="Y17" s="297"/>
      <c r="Z17" s="90"/>
      <c r="AA17" s="90"/>
      <c r="AB17" s="713" t="s">
        <v>159</v>
      </c>
      <c r="AC17" s="713"/>
      <c r="AD17" s="92">
        <v>1</v>
      </c>
      <c r="AE17" s="92">
        <v>1</v>
      </c>
      <c r="AF17" s="307">
        <f t="shared" si="13"/>
        <v>-304.3243243243171</v>
      </c>
      <c r="AG17" s="72">
        <f t="shared" si="14"/>
        <v>0.8478378378378415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2180</v>
      </c>
      <c r="H18" s="78">
        <f>F18*G18</f>
        <v>109850.2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1698.7012987012731</v>
      </c>
      <c r="O18" s="96">
        <f t="shared" si="18"/>
        <v>141.55844155843943</v>
      </c>
      <c r="P18" s="97">
        <f t="shared" si="10"/>
        <v>0</v>
      </c>
      <c r="Q18" s="98">
        <f t="shared" si="11"/>
        <v>-25.108225108227231</v>
      </c>
      <c r="R18" s="99">
        <f t="shared" si="12"/>
        <v>0.84935064935063664</v>
      </c>
      <c r="S18" s="735"/>
      <c r="T18" s="19">
        <v>0.42569444444444399</v>
      </c>
      <c r="U18" s="19">
        <v>0.47916666666666702</v>
      </c>
      <c r="V18" s="30">
        <f>(T18-U17)*24*60</f>
        <v>11.999999999999478</v>
      </c>
      <c r="W18" s="149">
        <f t="shared" si="17"/>
        <v>77.000000000001165</v>
      </c>
      <c r="X18" s="22">
        <v>0.48611111111111099</v>
      </c>
      <c r="Y18" s="84">
        <v>0.52777777777777801</v>
      </c>
      <c r="Z18" s="90"/>
      <c r="AA18" s="90"/>
      <c r="AB18" s="713" t="s">
        <v>159</v>
      </c>
      <c r="AC18" s="713"/>
      <c r="AD18" s="92">
        <v>1</v>
      </c>
      <c r="AE18" s="92">
        <v>1</v>
      </c>
      <c r="AF18" s="307">
        <f t="shared" si="13"/>
        <v>-301.29870129872688</v>
      </c>
      <c r="AG18" s="72">
        <f t="shared" si="14"/>
        <v>0.84935064935063653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1513</v>
      </c>
      <c r="H19" s="78">
        <f>F19*G19</f>
        <v>76240.070000000007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1178.9610389610432</v>
      </c>
      <c r="O19" s="96">
        <f>N19/M19</f>
        <v>98.246753246753599</v>
      </c>
      <c r="P19" s="97">
        <f>M19-J19</f>
        <v>0</v>
      </c>
      <c r="Q19" s="98">
        <f>O19-L19</f>
        <v>-68.419913419913058</v>
      </c>
      <c r="R19" s="99">
        <f>O19/L19</f>
        <v>0.5894805194805216</v>
      </c>
      <c r="S19" s="735"/>
      <c r="T19" s="19">
        <v>0.54166666666666696</v>
      </c>
      <c r="U19" s="19">
        <v>0.59513888888888899</v>
      </c>
      <c r="V19" s="30">
        <f>(T19-U18)*24*60</f>
        <v>89.999999999999915</v>
      </c>
      <c r="W19" s="149">
        <f t="shared" si="17"/>
        <v>76.99999999999973</v>
      </c>
      <c r="X19" s="22"/>
      <c r="Y19" s="84"/>
      <c r="Z19" s="90">
        <v>1</v>
      </c>
      <c r="AA19" s="90">
        <v>15</v>
      </c>
      <c r="AB19" s="713" t="s">
        <v>159</v>
      </c>
      <c r="AC19" s="713"/>
      <c r="AD19" s="149">
        <v>1</v>
      </c>
      <c r="AE19" s="149">
        <v>1</v>
      </c>
      <c r="AF19" s="307">
        <f t="shared" si="13"/>
        <v>-821.03896103895681</v>
      </c>
      <c r="AG19" s="72">
        <f t="shared" si="14"/>
        <v>0.5894805194805216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1580.8345033345072</v>
      </c>
      <c r="O26" s="158">
        <f t="shared" si="20"/>
        <v>123.81044631044654</v>
      </c>
      <c r="P26" s="159">
        <f t="shared" ref="P26:P29" si="21">M26-J26</f>
        <v>0.25</v>
      </c>
      <c r="Q26" s="160">
        <f t="shared" ref="Q26:Q29" si="22">O26-L26</f>
        <v>-38.465194715194485</v>
      </c>
      <c r="R26" s="161">
        <f>O26/L26</f>
        <v>0.76296384058580524</v>
      </c>
      <c r="S26" s="736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15</v>
      </c>
      <c r="AB26" s="730"/>
      <c r="AC26" s="730"/>
      <c r="AD26" s="323">
        <f>SUM(AD16:AD25)</f>
        <v>3</v>
      </c>
      <c r="AE26" s="323">
        <f>SUM(AE16:AE25)</f>
        <v>3</v>
      </c>
      <c r="AF26" s="309">
        <f t="shared" ref="AF26:AF31" si="23">N26-K26</f>
        <v>-445.41549666549281</v>
      </c>
      <c r="AG26" s="124">
        <f t="shared" ref="AG26:AG31" si="24">N26/K26</f>
        <v>0.78017742299050319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1919</v>
      </c>
      <c r="H27" s="134">
        <f>F27*G27</f>
        <v>109958.7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15</v>
      </c>
      <c r="N27" s="140">
        <f>G27/W27*60</f>
        <v>1279.3333333333335</v>
      </c>
      <c r="O27" s="141">
        <f>N27/M27</f>
        <v>85.288888888888906</v>
      </c>
      <c r="P27" s="142">
        <f t="shared" si="21"/>
        <v>-2</v>
      </c>
      <c r="Q27" s="143">
        <f t="shared" si="22"/>
        <v>-2.9464052287581524</v>
      </c>
      <c r="R27" s="144">
        <f>O27/L27</f>
        <v>0.96660740740740758</v>
      </c>
      <c r="S27" s="734">
        <f>R37</f>
        <v>0.90987259356834327</v>
      </c>
      <c r="T27" s="171">
        <v>0.29166666666666702</v>
      </c>
      <c r="U27" s="171">
        <v>0.35416666666666702</v>
      </c>
      <c r="V27" s="135"/>
      <c r="W27" s="146">
        <f t="shared" si="17"/>
        <v>90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-220.66666666666652</v>
      </c>
      <c r="AG27" s="172">
        <f t="shared" si="24"/>
        <v>0.85288888888888903</v>
      </c>
      <c r="AH27" s="724">
        <f>AG37</f>
        <v>0.80282875903089113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1084</v>
      </c>
      <c r="H28" s="91">
        <f>F28*G28</f>
        <v>59760.920000000006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15</v>
      </c>
      <c r="N28" s="95">
        <f>G28/W28*60</f>
        <v>1121.3793103448209</v>
      </c>
      <c r="O28" s="96">
        <f>N28/M28</f>
        <v>74.75862068965472</v>
      </c>
      <c r="P28" s="97">
        <f t="shared" si="21"/>
        <v>-2</v>
      </c>
      <c r="Q28" s="98">
        <f t="shared" si="22"/>
        <v>-6.7119675456393963</v>
      </c>
      <c r="R28" s="99">
        <f t="shared" ref="R28:R29" si="26">O28/L28</f>
        <v>0.91761483878998573</v>
      </c>
      <c r="S28" s="735"/>
      <c r="T28" s="19">
        <v>0.359722222222222</v>
      </c>
      <c r="U28" s="19">
        <v>0.4</v>
      </c>
      <c r="V28" s="92">
        <f>(T28-U27)*24*60</f>
        <v>7.9999999999991722</v>
      </c>
      <c r="W28" s="149">
        <f t="shared" si="17"/>
        <v>58.000000000000355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-263.62068965517915</v>
      </c>
      <c r="AG28" s="99">
        <f t="shared" si="24"/>
        <v>0.80966015187351681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1643</v>
      </c>
      <c r="H29" s="91">
        <f>F29*G29</f>
        <v>81361.36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15</v>
      </c>
      <c r="N29" s="95">
        <f>G29/W29*60</f>
        <v>1071.5217391304498</v>
      </c>
      <c r="O29" s="96">
        <f>N29/M29</f>
        <v>71.434782608696651</v>
      </c>
      <c r="P29" s="97">
        <f t="shared" si="21"/>
        <v>-2</v>
      </c>
      <c r="Q29" s="98">
        <f t="shared" si="22"/>
        <v>-13.271099744244523</v>
      </c>
      <c r="R29" s="99">
        <f t="shared" si="26"/>
        <v>0.8433272946860022</v>
      </c>
      <c r="S29" s="735"/>
      <c r="T29" s="19">
        <v>0.405555555555556</v>
      </c>
      <c r="U29" s="19">
        <v>0.469444444444444</v>
      </c>
      <c r="V29" s="92">
        <f>(T29-U28)*24*60</f>
        <v>8.0000000000006111</v>
      </c>
      <c r="W29" s="149">
        <f t="shared" si="17"/>
        <v>91.999999999998721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-368.47826086955024</v>
      </c>
      <c r="AG29" s="99">
        <f t="shared" si="24"/>
        <v>0.74411231884059015</v>
      </c>
      <c r="AH29" s="744"/>
    </row>
    <row r="30" spans="1:34" ht="15" customHeight="1">
      <c r="A30" s="732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35"/>
      <c r="T30" s="19"/>
      <c r="U30" s="19"/>
      <c r="V30" s="92"/>
      <c r="W30" s="149">
        <f t="shared" si="17"/>
        <v>0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0</v>
      </c>
      <c r="AG30" s="99" t="e">
        <f t="shared" si="24"/>
        <v>#DIV/0!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0</v>
      </c>
      <c r="AG31" s="99" t="e">
        <f t="shared" si="24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8">AVERAGE(J27:J36)</f>
        <v>17</v>
      </c>
      <c r="K37" s="155">
        <f t="shared" si="28"/>
        <v>1441.6666666666667</v>
      </c>
      <c r="L37" s="158">
        <f t="shared" si="28"/>
        <v>84.803921568627445</v>
      </c>
      <c r="M37" s="155">
        <f t="shared" si="28"/>
        <v>15</v>
      </c>
      <c r="N37" s="155">
        <f t="shared" si="28"/>
        <v>1157.4114609362014</v>
      </c>
      <c r="O37" s="158">
        <f t="shared" si="28"/>
        <v>77.160764062413421</v>
      </c>
      <c r="P37" s="159">
        <f>M37-J37</f>
        <v>-2</v>
      </c>
      <c r="Q37" s="160">
        <f>N37-K37</f>
        <v>-284.25520573046538</v>
      </c>
      <c r="R37" s="161">
        <f t="shared" ref="R37:R40" si="29">O37/L37</f>
        <v>0.90987259356834327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0">N37-K37</f>
        <v>-284.25520573046538</v>
      </c>
      <c r="AG37" s="124">
        <f t="shared" ref="AG37:AG41" si="31">N37/K37</f>
        <v>0.80282875903089113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1089</v>
      </c>
      <c r="H38" s="134">
        <f>F38*G38</f>
        <v>62399.7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2">K38/J38</f>
        <v>86.5625</v>
      </c>
      <c r="M38" s="190">
        <v>15</v>
      </c>
      <c r="N38" s="140">
        <f>G38/W38*60</f>
        <v>1256.5384615384642</v>
      </c>
      <c r="O38" s="141">
        <f>N38/M38</f>
        <v>83.769230769230944</v>
      </c>
      <c r="P38" s="142">
        <f t="shared" ref="P38:P40" si="33">M38-J38</f>
        <v>-1</v>
      </c>
      <c r="Q38" s="143">
        <f t="shared" ref="Q38:Q40" si="34">O38-L38</f>
        <v>-2.7932692307690559</v>
      </c>
      <c r="R38" s="144">
        <f>O38/L38</f>
        <v>0.96773118578172934</v>
      </c>
      <c r="S38" s="756">
        <f>R48</f>
        <v>0.88230068424027408</v>
      </c>
      <c r="T38" s="191">
        <v>0.33333333333333298</v>
      </c>
      <c r="U38" s="191">
        <v>0.36944444444444402</v>
      </c>
      <c r="V38" s="192"/>
      <c r="W38" s="193">
        <f t="shared" si="17"/>
        <v>51.999999999999893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0"/>
        <v>-128.46153846153584</v>
      </c>
      <c r="AG38" s="195">
        <f t="shared" si="31"/>
        <v>0.90724798667037121</v>
      </c>
      <c r="AH38" s="746">
        <f>AG48</f>
        <v>0.81261508968164509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488</v>
      </c>
      <c r="H39" s="91">
        <f>F39*G39</f>
        <v>27537.84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2"/>
        <v>87.875</v>
      </c>
      <c r="M39" s="201">
        <v>15</v>
      </c>
      <c r="N39" s="202">
        <f>G39/W39*60</f>
        <v>1171.200000000008</v>
      </c>
      <c r="O39" s="203">
        <f t="shared" ref="O39:O40" si="35">N39/M39</f>
        <v>78.080000000000538</v>
      </c>
      <c r="P39" s="97">
        <f t="shared" si="33"/>
        <v>-1</v>
      </c>
      <c r="Q39" s="98">
        <f t="shared" si="34"/>
        <v>-9.7949999999994617</v>
      </c>
      <c r="R39" s="99">
        <f t="shared" si="29"/>
        <v>0.88853485064011994</v>
      </c>
      <c r="S39" s="757"/>
      <c r="T39" s="20">
        <v>0.38541666666666702</v>
      </c>
      <c r="U39" s="20">
        <v>0.40277777777777801</v>
      </c>
      <c r="V39" s="92">
        <f>(T39-U38)*24*60</f>
        <v>23.000000000001116</v>
      </c>
      <c r="W39" s="205">
        <f t="shared" si="17"/>
        <v>24.999999999999829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0"/>
        <v>-234.799999999992</v>
      </c>
      <c r="AG39" s="206">
        <f t="shared" si="31"/>
        <v>0.83300142247511233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1306</v>
      </c>
      <c r="H40" s="91">
        <f>F40*G40</f>
        <v>57855.799999999996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2"/>
        <v>75.78947368421052</v>
      </c>
      <c r="M40" s="201">
        <v>17</v>
      </c>
      <c r="N40" s="202">
        <f>G40/W40*60</f>
        <v>1088.3333333333335</v>
      </c>
      <c r="O40" s="203">
        <f t="shared" si="35"/>
        <v>64.019607843137265</v>
      </c>
      <c r="P40" s="97">
        <f t="shared" si="33"/>
        <v>-2</v>
      </c>
      <c r="Q40" s="98">
        <f t="shared" si="34"/>
        <v>-11.769865841073255</v>
      </c>
      <c r="R40" s="99">
        <f t="shared" si="29"/>
        <v>0.84470315904139459</v>
      </c>
      <c r="S40" s="719"/>
      <c r="T40" s="20">
        <v>0.42013888888888901</v>
      </c>
      <c r="U40" s="20">
        <v>0.47013888888888899</v>
      </c>
      <c r="V40" s="92">
        <f>(T40-U39)*24*60</f>
        <v>24.999999999999829</v>
      </c>
      <c r="W40" s="205">
        <f t="shared" si="17"/>
        <v>71.999999999999986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0"/>
        <v>-351.66666666666652</v>
      </c>
      <c r="AG40" s="206">
        <f t="shared" si="31"/>
        <v>0.75578703703703709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905</v>
      </c>
      <c r="H41" s="91">
        <f t="shared" ref="H41:H42" si="36">F41*G41</f>
        <v>40091.5</v>
      </c>
      <c r="I41" s="200"/>
      <c r="J41" s="148">
        <f>VLOOKUP(D41,產線配置圖!$A$3:$C$39,2,0)</f>
        <v>19</v>
      </c>
      <c r="K41" s="95">
        <f>VLOOKUP(D41,產線配置圖!$A$3:$C$39,3,0)</f>
        <v>1440</v>
      </c>
      <c r="L41" s="96">
        <f t="shared" ref="L41:L42" si="37">K41/J41</f>
        <v>75.78947368421052</v>
      </c>
      <c r="M41" s="201">
        <v>17</v>
      </c>
      <c r="N41" s="202">
        <f t="shared" ref="N41:N42" si="38">G41/W41*60</f>
        <v>1234.090909090891</v>
      </c>
      <c r="O41" s="203">
        <f t="shared" ref="O41:O42" si="39">N41/M41</f>
        <v>72.593582887699469</v>
      </c>
      <c r="P41" s="97">
        <f t="shared" ref="P41:P42" si="40">M41-J41</f>
        <v>-2</v>
      </c>
      <c r="Q41" s="98">
        <f t="shared" ref="Q41:Q42" si="41">O41-L41</f>
        <v>-3.1958907965110512</v>
      </c>
      <c r="R41" s="99">
        <f t="shared" ref="R41:R42" si="42">O41/L41</f>
        <v>0.95783199643492367</v>
      </c>
      <c r="S41" s="719"/>
      <c r="T41" s="20">
        <v>0.531944444444444</v>
      </c>
      <c r="U41" s="210">
        <v>0.5625</v>
      </c>
      <c r="V41" s="92">
        <f t="shared" ref="V41:V42" si="43">(T41-U40)*24*60</f>
        <v>88.999999999999204</v>
      </c>
      <c r="W41" s="205">
        <f t="shared" si="17"/>
        <v>44.000000000000639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0"/>
        <v>-205.90909090910895</v>
      </c>
      <c r="AG41" s="206">
        <f t="shared" si="31"/>
        <v>0.85700757575756326</v>
      </c>
      <c r="AH41" s="747"/>
    </row>
    <row r="42" spans="1:34" ht="15" customHeight="1">
      <c r="A42" s="754"/>
      <c r="B42" s="75" t="s">
        <v>81</v>
      </c>
      <c r="C42" s="86"/>
      <c r="D42" s="198" t="s">
        <v>130</v>
      </c>
      <c r="E42" s="87"/>
      <c r="F42" s="75">
        <f>VLOOKUP(D42,廠價表!$C$1:$E$41,3,0)</f>
        <v>56.43</v>
      </c>
      <c r="G42" s="199">
        <v>467</v>
      </c>
      <c r="H42" s="91">
        <f t="shared" si="36"/>
        <v>26352.81</v>
      </c>
      <c r="I42" s="200"/>
      <c r="J42" s="148">
        <f>VLOOKUP(D42,產線配置圖!$A$3:$C$39,2,0)</f>
        <v>16</v>
      </c>
      <c r="K42" s="95">
        <f>VLOOKUP(D42,產線配置圖!$A$3:$C$39,3,0)</f>
        <v>1406</v>
      </c>
      <c r="L42" s="96">
        <f t="shared" si="37"/>
        <v>87.875</v>
      </c>
      <c r="M42" s="201">
        <v>15</v>
      </c>
      <c r="N42" s="202">
        <f t="shared" si="38"/>
        <v>1000.7142857143065</v>
      </c>
      <c r="O42" s="203">
        <f t="shared" si="39"/>
        <v>66.714285714287101</v>
      </c>
      <c r="P42" s="97">
        <f t="shared" si="40"/>
        <v>-1</v>
      </c>
      <c r="Q42" s="98">
        <f t="shared" si="41"/>
        <v>-21.160714285712899</v>
      </c>
      <c r="R42" s="99">
        <f t="shared" si="42"/>
        <v>0.75919528551109072</v>
      </c>
      <c r="S42" s="719"/>
      <c r="T42" s="210">
        <v>0.56666666666666698</v>
      </c>
      <c r="U42" s="210">
        <v>0.58611111111111103</v>
      </c>
      <c r="V42" s="92">
        <f t="shared" si="43"/>
        <v>6.0000000000004583</v>
      </c>
      <c r="W42" s="205">
        <f t="shared" si="17"/>
        <v>27.999999999999421</v>
      </c>
      <c r="X42" s="208"/>
      <c r="Y42" s="211"/>
      <c r="Z42" s="338">
        <v>1</v>
      </c>
      <c r="AA42" s="338">
        <v>6</v>
      </c>
      <c r="AB42" s="749" t="s">
        <v>163</v>
      </c>
      <c r="AC42" s="749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4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4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4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4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5">AVERAGE(J38:J47)</f>
        <v>17.2</v>
      </c>
      <c r="K48" s="155">
        <f t="shared" si="45"/>
        <v>1415.4</v>
      </c>
      <c r="L48" s="158">
        <f t="shared" si="45"/>
        <v>82.778289473684211</v>
      </c>
      <c r="M48" s="155">
        <f t="shared" si="45"/>
        <v>15.8</v>
      </c>
      <c r="N48" s="155">
        <f t="shared" si="45"/>
        <v>1150.1753979354005</v>
      </c>
      <c r="O48" s="158">
        <f t="shared" si="45"/>
        <v>73.035341442871058</v>
      </c>
      <c r="P48" s="221">
        <f>M48-J48</f>
        <v>-1.3999999999999986</v>
      </c>
      <c r="Q48" s="222">
        <f>N48-K48</f>
        <v>-265.22460206459959</v>
      </c>
      <c r="R48" s="223">
        <f>O48/L48</f>
        <v>0.88230068424027408</v>
      </c>
      <c r="S48" s="722"/>
      <c r="T48" s="224"/>
      <c r="U48" s="224"/>
      <c r="V48" s="225"/>
      <c r="W48" s="226">
        <f t="shared" si="44"/>
        <v>0</v>
      </c>
      <c r="X48" s="227"/>
      <c r="Y48" s="303"/>
      <c r="Z48" s="334">
        <f>SUM(Z38:Z47)</f>
        <v>1</v>
      </c>
      <c r="AA48" s="334">
        <f>SUM(AA38:AA47)</f>
        <v>6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6">N48-K48</f>
        <v>-265.22460206459959</v>
      </c>
      <c r="AG48" s="162">
        <f t="shared" ref="AG48:AG53" si="47">N48/K48</f>
        <v>0.81261508968164509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929</v>
      </c>
      <c r="H49" s="134">
        <f>F49*G49</f>
        <v>52832.229999999996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8">K49/J49</f>
        <v>86.944444444444443</v>
      </c>
      <c r="M49" s="170">
        <v>18</v>
      </c>
      <c r="N49" s="140">
        <f>G49/W49*60</f>
        <v>1393.5000000000409</v>
      </c>
      <c r="O49" s="141">
        <f>N49/M49</f>
        <v>77.416666666668945</v>
      </c>
      <c r="P49" s="229">
        <f>M49-J49</f>
        <v>0</v>
      </c>
      <c r="Q49" s="230">
        <f>O49-L49</f>
        <v>-9.5277777777754977</v>
      </c>
      <c r="R49" s="52">
        <f>O49/L49</f>
        <v>0.890415335463285</v>
      </c>
      <c r="S49" s="718">
        <f>R58</f>
        <v>0.85775925880519199</v>
      </c>
      <c r="T49" s="191">
        <v>0.29166666666666702</v>
      </c>
      <c r="U49" s="191">
        <v>0.31944444444444398</v>
      </c>
      <c r="V49" s="55"/>
      <c r="W49" s="193">
        <f t="shared" si="17"/>
        <v>39.99999999999882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6"/>
        <v>-171.49999999995907</v>
      </c>
      <c r="AG49" s="52">
        <f t="shared" si="47"/>
        <v>0.89041533546328488</v>
      </c>
      <c r="AH49" s="724">
        <f>AG58</f>
        <v>0.85894583400895741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2065</v>
      </c>
      <c r="H50" s="231">
        <f>F50*G50</f>
        <v>103064.15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8"/>
        <v>92.058823529411768</v>
      </c>
      <c r="M50" s="233">
        <v>17</v>
      </c>
      <c r="N50" s="234">
        <f>G50/W50*60</f>
        <v>1214.7058823529303</v>
      </c>
      <c r="O50" s="235">
        <f>N50/M50</f>
        <v>71.453287197231191</v>
      </c>
      <c r="P50" s="74">
        <f>M50-J50</f>
        <v>0</v>
      </c>
      <c r="Q50" s="83">
        <f>O50-L50</f>
        <v>-20.605536332180577</v>
      </c>
      <c r="R50" s="72">
        <f>O50/L50</f>
        <v>0.77616989287727167</v>
      </c>
      <c r="S50" s="719"/>
      <c r="T50" s="21">
        <v>0.327083333333333</v>
      </c>
      <c r="U50" s="21">
        <v>0.39791666666666697</v>
      </c>
      <c r="V50" s="30">
        <f t="shared" ref="V50:V52" si="49">(T50-U49)*24*60</f>
        <v>11.000000000000201</v>
      </c>
      <c r="W50" s="236">
        <f t="shared" si="17"/>
        <v>102.00000000000091</v>
      </c>
      <c r="X50" s="22"/>
      <c r="Y50" s="84"/>
      <c r="Z50" s="90">
        <v>1</v>
      </c>
      <c r="AA50" s="90">
        <v>15</v>
      </c>
      <c r="AB50" s="713" t="s">
        <v>166</v>
      </c>
      <c r="AC50" s="713"/>
      <c r="AD50" s="92">
        <v>1</v>
      </c>
      <c r="AE50" s="92">
        <v>1</v>
      </c>
      <c r="AF50" s="307">
        <f t="shared" si="46"/>
        <v>-350.2941176470697</v>
      </c>
      <c r="AG50" s="72">
        <f t="shared" si="47"/>
        <v>0.77616989287727178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2259</v>
      </c>
      <c r="H51" s="231">
        <f>F51*G51</f>
        <v>112882.23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8"/>
        <v>88.888888888888886</v>
      </c>
      <c r="M51" s="233">
        <v>18</v>
      </c>
      <c r="N51" s="234">
        <f>G51/W51*60</f>
        <v>1473.260869565238</v>
      </c>
      <c r="O51" s="235">
        <f>N51/M51</f>
        <v>81.847826086957667</v>
      </c>
      <c r="P51" s="74">
        <f>M51-J51</f>
        <v>0</v>
      </c>
      <c r="Q51" s="83">
        <f>O51-L51</f>
        <v>-7.0410628019312185</v>
      </c>
      <c r="R51" s="72">
        <f>O51/L51</f>
        <v>0.92078804347827381</v>
      </c>
      <c r="S51" s="719"/>
      <c r="T51" s="21">
        <v>0.41180555555555598</v>
      </c>
      <c r="U51" s="19">
        <v>0.47569444444444398</v>
      </c>
      <c r="V51" s="30">
        <f t="shared" si="49"/>
        <v>20.000000000000171</v>
      </c>
      <c r="W51" s="236">
        <f t="shared" si="17"/>
        <v>91.999999999998721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6"/>
        <v>-126.73913043476205</v>
      </c>
      <c r="AG51" s="72">
        <f t="shared" si="47"/>
        <v>0.9207880434782737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2395</v>
      </c>
      <c r="H52" s="231">
        <f>F52*G52</f>
        <v>119678.15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1355.6603773584911</v>
      </c>
      <c r="O52" s="235">
        <f>N52/M52</f>
        <v>75.314465408805063</v>
      </c>
      <c r="P52" s="74">
        <f>M52-J52</f>
        <v>0</v>
      </c>
      <c r="Q52" s="83">
        <f>O52-L52</f>
        <v>-13.574423480083823</v>
      </c>
      <c r="R52" s="72">
        <f>O52/L52</f>
        <v>0.84728773584905703</v>
      </c>
      <c r="S52" s="719"/>
      <c r="T52" s="21">
        <v>0.53680555555555598</v>
      </c>
      <c r="U52" s="21">
        <v>0.61041666666666705</v>
      </c>
      <c r="V52" s="30">
        <f t="shared" si="49"/>
        <v>88.000000000001279</v>
      </c>
      <c r="W52" s="236">
        <f t="shared" si="17"/>
        <v>105.99999999999994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6"/>
        <v>-244.33962264150887</v>
      </c>
      <c r="AG52" s="72">
        <f t="shared" si="47"/>
        <v>0.84728773584905692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6"/>
        <v>0</v>
      </c>
      <c r="AG53" s="72" t="e">
        <f t="shared" si="47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50">AVERAGE(J49:J57)</f>
        <v>17.75</v>
      </c>
      <c r="K58" s="120">
        <f t="shared" si="50"/>
        <v>1582.5</v>
      </c>
      <c r="L58" s="117">
        <f t="shared" si="50"/>
        <v>89.195261437908499</v>
      </c>
      <c r="M58" s="120">
        <f t="shared" si="50"/>
        <v>17.75</v>
      </c>
      <c r="N58" s="120">
        <f t="shared" si="50"/>
        <v>1359.2817823191751</v>
      </c>
      <c r="O58" s="117">
        <f t="shared" si="50"/>
        <v>76.508061339915713</v>
      </c>
      <c r="P58" s="121">
        <f>M58-J58</f>
        <v>0</v>
      </c>
      <c r="Q58" s="122">
        <f>N58-K58</f>
        <v>-223.21821768082486</v>
      </c>
      <c r="R58" s="123">
        <f t="shared" ref="R58:R60" si="51">O58/L58</f>
        <v>0.85775925880519199</v>
      </c>
      <c r="S58" s="72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15</v>
      </c>
      <c r="AB58" s="730"/>
      <c r="AC58" s="730"/>
      <c r="AD58" s="323">
        <f>SUM(AD49:AD57)</f>
        <v>1</v>
      </c>
      <c r="AE58" s="323">
        <f>SUM(AE49:AE57)</f>
        <v>1</v>
      </c>
      <c r="AF58" s="309">
        <f t="shared" ref="AF58:AF61" si="52">N58-K58</f>
        <v>-223.21821768082486</v>
      </c>
      <c r="AG58" s="124">
        <f t="shared" ref="AG58:AG61" si="53">N58/K58</f>
        <v>0.85894583400895741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3786</v>
      </c>
      <c r="H59" s="243">
        <f>F59*G59</f>
        <v>102184.14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4">K59/J59</f>
        <v>120.38461538461539</v>
      </c>
      <c r="M59" s="244">
        <v>12</v>
      </c>
      <c r="N59" s="137">
        <f t="shared" ref="N59:N61" si="55">G59/W59*60</f>
        <v>1437.7215189873446</v>
      </c>
      <c r="O59" s="138">
        <f t="shared" ref="O59:O61" si="56">N59/M59</f>
        <v>119.81012658227871</v>
      </c>
      <c r="P59" s="56">
        <f t="shared" ref="P59:P61" si="57">M59-J59</f>
        <v>-1</v>
      </c>
      <c r="Q59" s="230">
        <f t="shared" ref="Q59:Q61" si="58">O59-L59</f>
        <v>-0.5744888023366741</v>
      </c>
      <c r="R59" s="52">
        <f t="shared" si="51"/>
        <v>0.99522788854289024</v>
      </c>
      <c r="S59" s="718">
        <f>R69</f>
        <v>0.78962233652087022</v>
      </c>
      <c r="T59" s="245">
        <v>0.29166666666666702</v>
      </c>
      <c r="U59" s="245">
        <v>0.40138888888888902</v>
      </c>
      <c r="V59" s="55"/>
      <c r="W59" s="54">
        <f t="shared" si="17"/>
        <v>157.99999999999969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2"/>
        <v>-127.27848101265545</v>
      </c>
      <c r="AG59" s="246">
        <f t="shared" si="53"/>
        <v>0.91867189711651409</v>
      </c>
      <c r="AH59" s="724">
        <f>AG69</f>
        <v>0.75515545310344689</v>
      </c>
    </row>
    <row r="60" spans="1:34" ht="15" customHeight="1">
      <c r="A60" s="765"/>
      <c r="B60" s="75" t="s">
        <v>135</v>
      </c>
      <c r="C60" s="86"/>
      <c r="D60" s="175" t="s">
        <v>138</v>
      </c>
      <c r="E60" s="87"/>
      <c r="F60" s="75">
        <f>VLOOKUP(D60,廠價表!$C$1:$E$41,3,0)</f>
        <v>28.26</v>
      </c>
      <c r="G60" s="30">
        <v>1648</v>
      </c>
      <c r="H60" s="78">
        <f>F60*G60</f>
        <v>46572.480000000003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4"/>
        <v>130.41666666666666</v>
      </c>
      <c r="M60" s="82">
        <v>12</v>
      </c>
      <c r="N60" s="80">
        <f t="shared" si="55"/>
        <v>1373.3333333333335</v>
      </c>
      <c r="O60" s="81">
        <f t="shared" si="56"/>
        <v>114.44444444444446</v>
      </c>
      <c r="P60" s="74">
        <f t="shared" si="57"/>
        <v>0</v>
      </c>
      <c r="Q60" s="83">
        <f t="shared" si="58"/>
        <v>-15.9722222222222</v>
      </c>
      <c r="R60" s="72">
        <f t="shared" si="51"/>
        <v>0.87752928647497352</v>
      </c>
      <c r="S60" s="768"/>
      <c r="T60" s="22">
        <v>0.40833333333333299</v>
      </c>
      <c r="U60" s="22">
        <v>0.45833333333333298</v>
      </c>
      <c r="V60" s="30">
        <f t="shared" ref="V60:V61" si="59">(T60-U59)*24*60</f>
        <v>9.999999999999325</v>
      </c>
      <c r="W60" s="248">
        <f t="shared" si="17"/>
        <v>71.999999999999986</v>
      </c>
      <c r="X60" s="232"/>
      <c r="Y60" s="177"/>
      <c r="Z60" s="90"/>
      <c r="AA60" s="90"/>
      <c r="AB60" s="713"/>
      <c r="AC60" s="713"/>
      <c r="AD60" s="92"/>
      <c r="AE60" s="92"/>
      <c r="AF60" s="316">
        <f t="shared" si="52"/>
        <v>-191.66666666666652</v>
      </c>
      <c r="AG60" s="249">
        <f t="shared" si="53"/>
        <v>0.87752928647497352</v>
      </c>
      <c r="AH60" s="759"/>
    </row>
    <row r="61" spans="1:34" ht="15" customHeight="1">
      <c r="A61" s="766"/>
      <c r="B61" s="250" t="s">
        <v>135</v>
      </c>
      <c r="C61" s="251"/>
      <c r="D61" s="252" t="s">
        <v>137</v>
      </c>
      <c r="E61" s="253"/>
      <c r="F61" s="250">
        <f>VLOOKUP(D61,廠價表!$C$1:$E$41,3,0)</f>
        <v>28.47</v>
      </c>
      <c r="G61" s="38">
        <v>306</v>
      </c>
      <c r="H61" s="254">
        <f>F61*G61</f>
        <v>8711.82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4"/>
        <v>130.41666666666666</v>
      </c>
      <c r="M61" s="108">
        <v>11</v>
      </c>
      <c r="N61" s="107">
        <f t="shared" si="55"/>
        <v>734.40000000000498</v>
      </c>
      <c r="O61" s="238">
        <f t="shared" si="56"/>
        <v>66.76363636363682</v>
      </c>
      <c r="P61" s="111">
        <f t="shared" si="57"/>
        <v>-1</v>
      </c>
      <c r="Q61" s="255">
        <f t="shared" si="58"/>
        <v>-63.653030303029837</v>
      </c>
      <c r="R61" s="85">
        <f>O61/L61</f>
        <v>0.51192564623874881</v>
      </c>
      <c r="S61" s="719"/>
      <c r="T61" s="22">
        <v>0.46875</v>
      </c>
      <c r="U61" s="22">
        <v>0.48611111111111099</v>
      </c>
      <c r="V61" s="30">
        <f t="shared" si="59"/>
        <v>15.000000000000506</v>
      </c>
      <c r="W61" s="256">
        <f t="shared" si="17"/>
        <v>24.999999999999829</v>
      </c>
      <c r="X61" s="22"/>
      <c r="Y61" s="84"/>
      <c r="Z61" s="90"/>
      <c r="AA61" s="90"/>
      <c r="AB61" s="713" t="s">
        <v>143</v>
      </c>
      <c r="AC61" s="713"/>
      <c r="AD61" s="92"/>
      <c r="AE61" s="92"/>
      <c r="AF61" s="317">
        <f t="shared" si="52"/>
        <v>-830.59999999999502</v>
      </c>
      <c r="AG61" s="247">
        <f t="shared" si="53"/>
        <v>0.46926517571885301</v>
      </c>
      <c r="AH61" s="725"/>
    </row>
    <row r="62" spans="1:34" ht="15" customHeight="1">
      <c r="A62" s="76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19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0</v>
      </c>
      <c r="AG62" s="247" t="e">
        <f>N62/K62</f>
        <v>#DIV/0!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60">AVERAGE(J59:J68)</f>
        <v>12.333333333333334</v>
      </c>
      <c r="K69" s="240">
        <f t="shared" si="60"/>
        <v>1565</v>
      </c>
      <c r="L69" s="268">
        <f t="shared" si="60"/>
        <v>127.07264957264958</v>
      </c>
      <c r="M69" s="240">
        <f t="shared" si="60"/>
        <v>11.666666666666666</v>
      </c>
      <c r="N69" s="240">
        <f t="shared" si="60"/>
        <v>1181.8182841068945</v>
      </c>
      <c r="O69" s="268">
        <f t="shared" si="60"/>
        <v>100.33940246345333</v>
      </c>
      <c r="P69" s="269">
        <f>M69-J69</f>
        <v>-0.66666666666666785</v>
      </c>
      <c r="Q69" s="222">
        <f>N69-K69</f>
        <v>-383.18171589310555</v>
      </c>
      <c r="R69" s="123">
        <f>O69/L69</f>
        <v>0.78962233652087022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-383.18171589310555</v>
      </c>
      <c r="AG69" s="124">
        <f>N69/K69</f>
        <v>0.75515545310344689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1727</v>
      </c>
      <c r="H70" s="243">
        <f>F70*G70</f>
        <v>87507.09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779.09774436090311</v>
      </c>
      <c r="O70" s="138">
        <f>N70/M70</f>
        <v>77.909774436090316</v>
      </c>
      <c r="P70" s="56">
        <f>M70-J70</f>
        <v>0</v>
      </c>
      <c r="Q70" s="230">
        <f>O70-L70</f>
        <v>-34.590225563909684</v>
      </c>
      <c r="R70" s="52">
        <f>O70/L70</f>
        <v>0.69253132832080277</v>
      </c>
      <c r="S70" s="718">
        <f>R79</f>
        <v>0.69253132832080277</v>
      </c>
      <c r="T70" s="245">
        <v>0.33472222222222198</v>
      </c>
      <c r="U70" s="245">
        <v>0.42708333333333298</v>
      </c>
      <c r="V70" s="55"/>
      <c r="W70" s="54">
        <f t="shared" si="17"/>
        <v>132.99999999999986</v>
      </c>
      <c r="X70" s="270"/>
      <c r="Y70" s="292"/>
      <c r="Z70" s="169"/>
      <c r="AA70" s="169"/>
      <c r="AB70" s="723" t="s">
        <v>163</v>
      </c>
      <c r="AC70" s="723"/>
      <c r="AD70" s="135"/>
      <c r="AE70" s="135"/>
      <c r="AF70" s="310">
        <f>N70-K70</f>
        <v>-345.90225563909689</v>
      </c>
      <c r="AG70" s="246">
        <f>N70/K70</f>
        <v>0.69253132832080277</v>
      </c>
      <c r="AH70" s="724">
        <f>AG79</f>
        <v>0.69253132832080277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1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1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1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1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2">AVERAGE(J70:J78)</f>
        <v>10</v>
      </c>
      <c r="K79" s="240">
        <f t="shared" si="62"/>
        <v>1125</v>
      </c>
      <c r="L79" s="268">
        <f t="shared" si="62"/>
        <v>112.5</v>
      </c>
      <c r="M79" s="240">
        <f t="shared" si="62"/>
        <v>10</v>
      </c>
      <c r="N79" s="240">
        <f t="shared" si="62"/>
        <v>779.09774436090311</v>
      </c>
      <c r="O79" s="268">
        <f t="shared" si="62"/>
        <v>77.909774436090316</v>
      </c>
      <c r="P79" s="269">
        <f>M79-J79</f>
        <v>0</v>
      </c>
      <c r="Q79" s="222">
        <f>N79-K79</f>
        <v>-345.90225563909689</v>
      </c>
      <c r="R79" s="223">
        <f>O79/L79</f>
        <v>0.69253132832080277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-345.90225563909689</v>
      </c>
      <c r="AG79" s="124">
        <f>N79/K79</f>
        <v>0.69253132832080277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B18:AC18"/>
    <mergeCell ref="AH16:AH26"/>
    <mergeCell ref="AB17:AC17"/>
    <mergeCell ref="AB19:AC19"/>
    <mergeCell ref="AB20:AC20"/>
    <mergeCell ref="AB21:AC21"/>
    <mergeCell ref="AB22:AC22"/>
    <mergeCell ref="AB23:AC23"/>
    <mergeCell ref="AB24:AC24"/>
    <mergeCell ref="AB25:AC25"/>
    <mergeCell ref="AB10:AC10"/>
    <mergeCell ref="A5:A15"/>
    <mergeCell ref="S5:S15"/>
    <mergeCell ref="AB5:AC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D15:E15"/>
    <mergeCell ref="AB15:AC15"/>
    <mergeCell ref="G3:G4"/>
    <mergeCell ref="J1:L2"/>
    <mergeCell ref="M1:O2"/>
    <mergeCell ref="P1:S2"/>
    <mergeCell ref="H3:H4"/>
    <mergeCell ref="I3:I4"/>
    <mergeCell ref="J3:J4"/>
    <mergeCell ref="K3:K4"/>
    <mergeCell ref="N3:N4"/>
    <mergeCell ref="O3:O4"/>
    <mergeCell ref="P3:P4"/>
    <mergeCell ref="Q3:Q4"/>
    <mergeCell ref="L3:L4"/>
    <mergeCell ref="M3:M4"/>
    <mergeCell ref="AB1:AC2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A2:B2"/>
    <mergeCell ref="A3:A4"/>
    <mergeCell ref="B3:B4"/>
    <mergeCell ref="D3:E4"/>
    <mergeCell ref="F3:F4"/>
  </mergeCells>
  <phoneticPr fontId="6" type="noConversion"/>
  <conditionalFormatting sqref="P5:P79">
    <cfRule type="cellIs" dxfId="279" priority="1" operator="greaterThan">
      <formula>0</formula>
    </cfRule>
  </conditionalFormatting>
  <conditionalFormatting sqref="Q5:Q79 AF5:AF79">
    <cfRule type="cellIs" dxfId="278" priority="4" operator="lessThan">
      <formula>0</formula>
    </cfRule>
  </conditionalFormatting>
  <conditionalFormatting sqref="R5:R79 AG5:AG79">
    <cfRule type="cellIs" dxfId="277" priority="2" operator="greaterThan">
      <formula>1</formula>
    </cfRule>
    <cfRule type="cellIs" dxfId="276" priority="3" operator="lessThan">
      <formula>0.8</formula>
    </cfRule>
  </conditionalFormatting>
  <conditionalFormatting sqref="S5:S10 S37:S62 AH59:AH62 S69:S76 AH69:AH76">
    <cfRule type="cellIs" dxfId="275" priority="7" operator="lessThan">
      <formula>0.8</formula>
    </cfRule>
  </conditionalFormatting>
  <conditionalFormatting sqref="S19:S25 AH19:AH25">
    <cfRule type="cellIs" dxfId="274" priority="6" operator="lessThan">
      <formula>0.8</formula>
    </cfRule>
  </conditionalFormatting>
  <conditionalFormatting sqref="S79">
    <cfRule type="cellIs" dxfId="273" priority="5" operator="lessThan">
      <formula>0.8</formula>
    </cfRule>
  </conditionalFormatting>
  <conditionalFormatting sqref="AH5:AH8 S15:S16 AH15:AH16 AH49 AH79">
    <cfRule type="cellIs" dxfId="272" priority="9" operator="lessThan">
      <formula>0.8</formula>
    </cfRule>
  </conditionalFormatting>
  <conditionalFormatting sqref="AH27 S27:S28">
    <cfRule type="cellIs" dxfId="27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4C5E-ADD0-49CF-AEB6-7AB3BF27F641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46032</v>
      </c>
      <c r="E3" s="645"/>
      <c r="F3" s="3" t="s">
        <v>72</v>
      </c>
      <c r="G3" s="646">
        <f>'0110'!E1</f>
        <v>44509</v>
      </c>
      <c r="H3" s="646"/>
      <c r="I3" s="3" t="s">
        <v>2</v>
      </c>
      <c r="J3" s="647">
        <f>'0110'!G1</f>
        <v>2137197.61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111.74424127782017</v>
      </c>
      <c r="G6" s="652"/>
      <c r="H6" s="653">
        <f>AVERAGE(D13:H13,J13)</f>
        <v>109.46817465318337</v>
      </c>
      <c r="I6" s="653"/>
      <c r="J6" s="653">
        <f>AVERAGE(I13)</f>
        <v>125.40064102564102</v>
      </c>
      <c r="K6" s="653"/>
      <c r="L6" s="769">
        <f>SUM(D18:J18)</f>
        <v>0</v>
      </c>
      <c r="M6" s="656">
        <f>SUM(D19:J19)</f>
        <v>0</v>
      </c>
      <c r="N6" s="771">
        <f>SUM(D20:J20)</f>
        <v>0</v>
      </c>
      <c r="O6" s="656">
        <f>SUM(D20:J20)</f>
        <v>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99.635000700427881</v>
      </c>
      <c r="G7" s="676"/>
      <c r="H7" s="677">
        <f>AVERAGE(D14:H14,J14)</f>
        <v>98.003908210941674</v>
      </c>
      <c r="I7" s="677"/>
      <c r="J7" s="677">
        <f>AVERAGE(I14)</f>
        <v>109.42155563734499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0.89163432102701279</v>
      </c>
      <c r="G8" s="649"/>
      <c r="H8" s="649">
        <f>H7/H6</f>
        <v>0.89527306471892187</v>
      </c>
      <c r="I8" s="649"/>
      <c r="J8" s="649">
        <f>J7/J6</f>
        <v>0.87257572802176708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VALUE('0110'!L15)</f>
        <v>126.55462184873952</v>
      </c>
      <c r="E13" s="13">
        <f>VALUE('0110'!L26)</f>
        <v>162.27564102564102</v>
      </c>
      <c r="F13" s="13">
        <f>VALUE('0110'!L37)</f>
        <v>84.77941176470587</v>
      </c>
      <c r="G13" s="13">
        <f>VALUE('0110'!L48)</f>
        <v>81.50411184210526</v>
      </c>
      <c r="H13" s="13">
        <f>VALUE('0110'!L58)</f>
        <v>89.195261437908499</v>
      </c>
      <c r="I13" s="13">
        <f>VALUE('0110'!L69)</f>
        <v>125.40064102564102</v>
      </c>
      <c r="J13" s="13">
        <f>'0110'!L79</f>
        <v>112.5</v>
      </c>
    </row>
    <row r="14" spans="2:15" ht="39.950000000000003" customHeight="1">
      <c r="B14" s="670"/>
      <c r="C14" s="12" t="s">
        <v>100</v>
      </c>
      <c r="D14" s="13">
        <f>VALUE('0110'!O15)</f>
        <v>117.92223139255771</v>
      </c>
      <c r="E14" s="13">
        <f>VALUE('0110'!O26)</f>
        <v>146.53249235749206</v>
      </c>
      <c r="F14" s="13">
        <f>VALUE('0110'!O37)</f>
        <v>73.178116774095486</v>
      </c>
      <c r="G14" s="13">
        <f>VALUE('0110'!O48)</f>
        <v>70.955244143111813</v>
      </c>
      <c r="H14" s="13">
        <f>VALUE('0110'!O58)</f>
        <v>86.722321120132023</v>
      </c>
      <c r="I14" s="13">
        <f>VALUE('0110'!O69)</f>
        <v>109.42155563734499</v>
      </c>
      <c r="J14" s="13">
        <f>'0110'!O79</f>
        <v>92.713043478261</v>
      </c>
    </row>
    <row r="15" spans="2:15" ht="39.950000000000003" customHeight="1">
      <c r="B15" s="671"/>
      <c r="C15" s="10" t="s">
        <v>26</v>
      </c>
      <c r="D15" s="14">
        <f>D14/D13</f>
        <v>0.93178921219882904</v>
      </c>
      <c r="E15" s="14">
        <f t="shared" ref="E15:I15" si="1">E14/E13</f>
        <v>0.90298513955239035</v>
      </c>
      <c r="F15" s="14">
        <f t="shared" si="1"/>
        <v>0.86315905301621743</v>
      </c>
      <c r="G15" s="14">
        <f t="shared" si="1"/>
        <v>0.87057257038234637</v>
      </c>
      <c r="H15" s="14">
        <f t="shared" si="1"/>
        <v>0.97227498100335785</v>
      </c>
      <c r="I15" s="14">
        <f t="shared" si="1"/>
        <v>0.87257572802176708</v>
      </c>
      <c r="J15" s="15">
        <f>'0110'!S70</f>
        <v>0.82411594202898664</v>
      </c>
    </row>
    <row r="16" spans="2:15" ht="17.25" customHeight="1">
      <c r="B16" s="672" t="s">
        <v>101</v>
      </c>
      <c r="C16" s="10" t="s">
        <v>34</v>
      </c>
      <c r="D16" s="16">
        <f>'0110'!T5</f>
        <v>0.29027777777777802</v>
      </c>
      <c r="E16" s="16">
        <f>'0110'!T16</f>
        <v>0.29166666666666702</v>
      </c>
      <c r="F16" s="16">
        <f>'0110'!T27</f>
        <v>0.29166666666666702</v>
      </c>
      <c r="G16" s="16">
        <f>'0110'!T38</f>
        <v>0.33333333333333298</v>
      </c>
      <c r="H16" s="16">
        <f>'0110'!T49</f>
        <v>0.29097222222222202</v>
      </c>
      <c r="I16" s="16">
        <f>'0110'!T59</f>
        <v>0.29166666666666702</v>
      </c>
      <c r="J16" s="17">
        <f>'0110'!T70</f>
        <v>0.33680555555555602</v>
      </c>
    </row>
    <row r="17" spans="2:10" ht="17.25" customHeight="1">
      <c r="B17" s="673"/>
      <c r="C17" s="10" t="s">
        <v>35</v>
      </c>
      <c r="D17" s="16">
        <v>0.57361111111111096</v>
      </c>
      <c r="E17" s="16">
        <v>0.58402777777777803</v>
      </c>
      <c r="F17" s="19">
        <v>0.57499999999999996</v>
      </c>
      <c r="G17" s="328">
        <v>0.63541666666666696</v>
      </c>
      <c r="H17" s="21">
        <v>0.60972222222222205</v>
      </c>
      <c r="I17" s="22">
        <v>0.57638888888888895</v>
      </c>
      <c r="J17" s="110">
        <v>0.41666666666666702</v>
      </c>
    </row>
    <row r="18" spans="2:10" ht="17.25" customHeight="1">
      <c r="B18" s="674" t="s">
        <v>102</v>
      </c>
      <c r="C18" s="330" t="s">
        <v>36</v>
      </c>
      <c r="D18" s="358">
        <f>'0110'!Z15</f>
        <v>0</v>
      </c>
      <c r="E18" s="359">
        <f>'0110'!Z26</f>
        <v>0</v>
      </c>
      <c r="F18" s="359">
        <f>'0110'!Z37</f>
        <v>0</v>
      </c>
      <c r="G18" s="360">
        <f>'0110'!Z48</f>
        <v>0</v>
      </c>
      <c r="H18" s="360">
        <f>'0110'!Z58</f>
        <v>0</v>
      </c>
      <c r="I18" s="359">
        <f>'0110'!Z69</f>
        <v>0</v>
      </c>
      <c r="J18" s="359">
        <f>'0110'!Z79</f>
        <v>0</v>
      </c>
    </row>
    <row r="19" spans="2:10" ht="17.25" customHeight="1">
      <c r="B19" s="675"/>
      <c r="C19" s="330" t="s">
        <v>37</v>
      </c>
      <c r="D19" s="358">
        <f>'0110'!AA15</f>
        <v>0</v>
      </c>
      <c r="E19" s="359">
        <f>'0110'!AA26</f>
        <v>0</v>
      </c>
      <c r="F19" s="359">
        <f>'0110'!AA37</f>
        <v>0</v>
      </c>
      <c r="G19" s="360">
        <f>'0110'!AA48</f>
        <v>0</v>
      </c>
      <c r="H19" s="360">
        <f>'0110'!AA58</f>
        <v>0</v>
      </c>
      <c r="I19" s="359">
        <f>'0110'!AA69</f>
        <v>0</v>
      </c>
      <c r="J19" s="359">
        <f>'0110'!AA79</f>
        <v>0</v>
      </c>
    </row>
    <row r="20" spans="2:10" ht="17.25" customHeight="1">
      <c r="B20" s="674" t="s">
        <v>103</v>
      </c>
      <c r="C20" s="330" t="s">
        <v>36</v>
      </c>
      <c r="D20" s="358">
        <f>'0110'!AD15</f>
        <v>0</v>
      </c>
      <c r="E20" s="359">
        <f>'0110'!AD26</f>
        <v>0</v>
      </c>
      <c r="F20" s="359">
        <f>'0110'!AD37</f>
        <v>0</v>
      </c>
      <c r="G20" s="360">
        <f>'0110'!AD48</f>
        <v>0</v>
      </c>
      <c r="H20" s="360">
        <f>'0110'!AD58</f>
        <v>0</v>
      </c>
      <c r="I20" s="359">
        <f>'0110'!AD69</f>
        <v>0</v>
      </c>
      <c r="J20" s="359">
        <f>'0110'!AD79</f>
        <v>0</v>
      </c>
    </row>
    <row r="21" spans="2:10" ht="17.25" customHeight="1">
      <c r="B21" s="675"/>
      <c r="C21" s="330" t="s">
        <v>85</v>
      </c>
      <c r="D21" s="358">
        <f>'0110'!AE15</f>
        <v>0</v>
      </c>
      <c r="E21" s="359">
        <f>'0110'!AE26</f>
        <v>0</v>
      </c>
      <c r="F21" s="359">
        <f>'0108'!AE37</f>
        <v>0</v>
      </c>
      <c r="G21" s="360">
        <f>'0110'!AE48</f>
        <v>0</v>
      </c>
      <c r="H21" s="360">
        <f>'0110'!AE58</f>
        <v>0</v>
      </c>
      <c r="I21" s="359">
        <f>'0110'!AE69</f>
        <v>0</v>
      </c>
      <c r="J21" s="359">
        <f>'0110'!AE79</f>
        <v>0</v>
      </c>
    </row>
    <row r="22" spans="2:10" ht="17.25" customHeight="1">
      <c r="B22" s="658" t="s">
        <v>104</v>
      </c>
      <c r="C22" s="659"/>
      <c r="D22" s="23">
        <f>VALUE('0110'!M15)</f>
        <v>14.75</v>
      </c>
      <c r="E22" s="23">
        <f>VALUE('0110'!M26)</f>
        <v>12.5</v>
      </c>
      <c r="F22" s="23">
        <f>VALUE('0110'!M37)</f>
        <v>15</v>
      </c>
      <c r="G22" s="23">
        <f>VALUE('0110'!M48)</f>
        <v>12</v>
      </c>
      <c r="H22" s="23">
        <f>VALUE('0110'!M58)</f>
        <v>16.25</v>
      </c>
      <c r="I22" s="23">
        <f>VALUE('0110'!M69)</f>
        <v>11.5</v>
      </c>
      <c r="J22" s="23">
        <f>'0110'!M79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7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39C4-E322-4162-94F4-B9D3C6AB7676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O72" sqref="O72"/>
      <selection pane="topRight" activeCell="O72" sqref="O72"/>
      <selection pane="bottomLeft" activeCell="O72" sqref="O72"/>
      <selection pane="bottomRight" activeCell="J47" sqref="J4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44509</v>
      </c>
      <c r="F1" s="30" t="s">
        <v>2</v>
      </c>
      <c r="G1" s="31">
        <f>SUM(H5:H79)</f>
        <v>2137197.61</v>
      </c>
      <c r="H1" s="32" t="s">
        <v>3</v>
      </c>
      <c r="I1" s="33">
        <f>M15+M26+M48+M58+M69+M79+M37</f>
        <v>92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167</v>
      </c>
      <c r="B2" s="678"/>
      <c r="C2" s="28"/>
      <c r="D2" s="28" t="s">
        <v>14</v>
      </c>
      <c r="E2" s="35">
        <f>AVERAGE(O15,O26,O37,O48,O58,O69,O79)</f>
        <v>99.635000700427881</v>
      </c>
      <c r="F2" s="36" t="s">
        <v>15</v>
      </c>
      <c r="G2" s="37">
        <f>G1/E1</f>
        <v>48.017201240198609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2428</v>
      </c>
      <c r="H5" s="43">
        <f>F5*G5</f>
        <v>115839.88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1428.2352941176543</v>
      </c>
      <c r="O5" s="47">
        <f t="shared" ref="O5:O7" si="2">N5/M5</f>
        <v>102.01680672268959</v>
      </c>
      <c r="P5" s="49">
        <f t="shared" ref="P5:P7" si="3">M5-J5</f>
        <v>0</v>
      </c>
      <c r="Q5" s="50">
        <f t="shared" ref="Q5:Q7" si="4">O5-L5</f>
        <v>-0.84033613445326694</v>
      </c>
      <c r="R5" s="51">
        <f t="shared" ref="R5:R7" si="5">O5/L5</f>
        <v>0.99183006535948215</v>
      </c>
      <c r="S5" s="718">
        <f>R15</f>
        <v>0.93178921219882904</v>
      </c>
      <c r="T5" s="319">
        <v>0.29027777777777802</v>
      </c>
      <c r="U5" s="320">
        <v>0.36111111111111099</v>
      </c>
      <c r="V5" s="53"/>
      <c r="W5" s="54">
        <f t="shared" ref="W5:W14" si="6">(U5-T5)*24*60</f>
        <v>101.99999999999947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-11.764705882345652</v>
      </c>
      <c r="AG5" s="52">
        <f t="shared" ref="AG5:AG11" si="8">N5/K5</f>
        <v>0.99183006535948215</v>
      </c>
      <c r="AH5" s="724">
        <f>AG15</f>
        <v>0.92900325452762367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1426</v>
      </c>
      <c r="H6" s="63">
        <f>F6*G6</f>
        <v>81581.460000000006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1746.1224489796293</v>
      </c>
      <c r="O6" s="67">
        <f t="shared" si="2"/>
        <v>102.71308523409584</v>
      </c>
      <c r="P6" s="69">
        <f t="shared" si="3"/>
        <v>0</v>
      </c>
      <c r="Q6" s="70">
        <f t="shared" si="4"/>
        <v>-14.933973589433563</v>
      </c>
      <c r="R6" s="71">
        <f t="shared" si="5"/>
        <v>0.87306122448981471</v>
      </c>
      <c r="S6" s="719"/>
      <c r="T6" s="16">
        <v>0.36666666666666697</v>
      </c>
      <c r="U6" s="16">
        <v>0.40069444444444402</v>
      </c>
      <c r="V6" s="30">
        <f>(T6-U5)*24*60</f>
        <v>8.0000000000006111</v>
      </c>
      <c r="W6" s="73">
        <f t="shared" si="6"/>
        <v>48.999999999998948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-253.87755102037067</v>
      </c>
      <c r="AG6" s="72">
        <f t="shared" si="8"/>
        <v>0.87306122448981471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3249</v>
      </c>
      <c r="H7" s="78">
        <f>F7*G7</f>
        <v>159655.86000000002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1911.1764705882167</v>
      </c>
      <c r="O7" s="81">
        <f t="shared" si="2"/>
        <v>136.51260504201548</v>
      </c>
      <c r="P7" s="74">
        <f t="shared" si="3"/>
        <v>0</v>
      </c>
      <c r="Q7" s="83">
        <f t="shared" si="4"/>
        <v>-6.3445378151273815</v>
      </c>
      <c r="R7" s="72">
        <f t="shared" si="5"/>
        <v>0.9555882352941083</v>
      </c>
      <c r="S7" s="719"/>
      <c r="T7" s="18">
        <v>0.406944444444444</v>
      </c>
      <c r="U7" s="18">
        <v>0.47777777777777802</v>
      </c>
      <c r="V7" s="30">
        <f>(T7-U6)*24*60</f>
        <v>8.999999999999968</v>
      </c>
      <c r="W7" s="73">
        <f t="shared" si="6"/>
        <v>102.00000000000099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-88.823529411783284</v>
      </c>
      <c r="AG7" s="72">
        <f t="shared" si="8"/>
        <v>0.95558823529410841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1461</v>
      </c>
      <c r="H8" s="78">
        <f>F8*G8</f>
        <v>71793.539999999994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1826.2500000000186</v>
      </c>
      <c r="O8" s="81">
        <f>N8/M8</f>
        <v>130.44642857142989</v>
      </c>
      <c r="P8" s="74">
        <f>M8-J8</f>
        <v>0</v>
      </c>
      <c r="Q8" s="83">
        <f>O8-L8</f>
        <v>-12.41071428571297</v>
      </c>
      <c r="R8" s="72">
        <f>O8/L8</f>
        <v>0.91312500000000918</v>
      </c>
      <c r="S8" s="719"/>
      <c r="T8" s="16">
        <v>0.54027777777777797</v>
      </c>
      <c r="U8" s="16">
        <v>0.57361111111111096</v>
      </c>
      <c r="V8" s="30">
        <f>(T8-U7)*24*60</f>
        <v>89.999999999999915</v>
      </c>
      <c r="W8" s="73">
        <f t="shared" si="6"/>
        <v>47.99999999999951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-173.74999999998136</v>
      </c>
      <c r="AG8" s="72">
        <f t="shared" si="8"/>
        <v>0.91312500000000929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1727.9460534213799</v>
      </c>
      <c r="O15" s="117">
        <f t="shared" si="9"/>
        <v>117.92223139255771</v>
      </c>
      <c r="P15" s="121">
        <f t="shared" ref="P15:P18" si="10">M15-J15</f>
        <v>0</v>
      </c>
      <c r="Q15" s="122">
        <f t="shared" ref="Q15:Q18" si="11">O15-L15</f>
        <v>-8.6323904561818097</v>
      </c>
      <c r="R15" s="123">
        <f t="shared" ref="R15:R18" si="12">O15/L15</f>
        <v>0.93178921219882904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-132.05394657862007</v>
      </c>
      <c r="AG15" s="124">
        <f t="shared" ref="AG15:AG19" si="14">N15/K15</f>
        <v>0.92900325452762367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2017</v>
      </c>
      <c r="H16" s="134">
        <f>F16*G16</f>
        <v>115392.57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13</v>
      </c>
      <c r="N16" s="140">
        <f t="shared" ref="N16:N18" si="16">G16/W16*60</f>
        <v>1704.5070422535405</v>
      </c>
      <c r="O16" s="141">
        <f>N16/M16</f>
        <v>131.11592632719541</v>
      </c>
      <c r="P16" s="142">
        <f>M16-J16</f>
        <v>0</v>
      </c>
      <c r="Q16" s="143">
        <f t="shared" si="11"/>
        <v>-30.807150595881524</v>
      </c>
      <c r="R16" s="144">
        <f>O16/L16</f>
        <v>0.80974206282828509</v>
      </c>
      <c r="S16" s="734">
        <f>R26</f>
        <v>0.90298513955239035</v>
      </c>
      <c r="T16" s="145">
        <v>0.29166666666666702</v>
      </c>
      <c r="U16" s="145">
        <v>0.34097222222222201</v>
      </c>
      <c r="V16" s="135"/>
      <c r="W16" s="146">
        <f t="shared" ref="W16:W78" si="17">(U16-T16)*24*60</f>
        <v>70.99999999999919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-400.49295774645952</v>
      </c>
      <c r="AG16" s="52">
        <f t="shared" si="14"/>
        <v>0.80974206282828531</v>
      </c>
      <c r="AH16" s="724">
        <f>AG26</f>
        <v>0.90246135905526503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3310</v>
      </c>
      <c r="H17" s="78">
        <f>F17*G17</f>
        <v>167717.70000000001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1947.0588235294199</v>
      </c>
      <c r="O17" s="96">
        <f t="shared" ref="O17:O18" si="18">N17/M17</f>
        <v>149.77375565610922</v>
      </c>
      <c r="P17" s="97">
        <f t="shared" si="10"/>
        <v>0</v>
      </c>
      <c r="Q17" s="98">
        <f t="shared" si="11"/>
        <v>-4.0723981900446233</v>
      </c>
      <c r="R17" s="99">
        <f t="shared" si="12"/>
        <v>0.97352941176470997</v>
      </c>
      <c r="S17" s="735"/>
      <c r="T17" s="19">
        <v>0.34930555555555598</v>
      </c>
      <c r="U17" s="19">
        <v>0.42013888888888901</v>
      </c>
      <c r="V17" s="30">
        <f>(T17-U16)*24*60</f>
        <v>12.000000000000917</v>
      </c>
      <c r="W17" s="149">
        <f t="shared" si="17"/>
        <v>101.99999999999956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-52.941176470580103</v>
      </c>
      <c r="AG17" s="72">
        <f t="shared" si="14"/>
        <v>0.97352941176470997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2160</v>
      </c>
      <c r="H18" s="78">
        <f>F18*G18</f>
        <v>108842.4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1775.3424657534038</v>
      </c>
      <c r="O18" s="96">
        <f t="shared" si="18"/>
        <v>147.94520547945032</v>
      </c>
      <c r="P18" s="97">
        <f t="shared" si="10"/>
        <v>0</v>
      </c>
      <c r="Q18" s="98">
        <f t="shared" si="11"/>
        <v>-18.721461187216335</v>
      </c>
      <c r="R18" s="99">
        <f t="shared" si="12"/>
        <v>0.88767123287670202</v>
      </c>
      <c r="S18" s="735"/>
      <c r="T18" s="19">
        <v>0.42847222222222198</v>
      </c>
      <c r="U18" s="19">
        <v>0.47916666666666702</v>
      </c>
      <c r="V18" s="30">
        <f>(T18-U17)*24*60</f>
        <v>11.999999999999478</v>
      </c>
      <c r="W18" s="149">
        <f t="shared" si="17"/>
        <v>73.000000000000853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-224.65753424659624</v>
      </c>
      <c r="AG18" s="72">
        <f t="shared" si="14"/>
        <v>0.88767123287670191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1919</v>
      </c>
      <c r="H19" s="78">
        <f>F19*G19</f>
        <v>96698.41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1887.5409836065592</v>
      </c>
      <c r="O19" s="96">
        <f>N19/M19</f>
        <v>157.29508196721326</v>
      </c>
      <c r="P19" s="97">
        <f>M19-J19</f>
        <v>0</v>
      </c>
      <c r="Q19" s="98">
        <f>O19-L19</f>
        <v>-9.3715846994533933</v>
      </c>
      <c r="R19" s="99">
        <f>O19/L19</f>
        <v>0.94377049180327965</v>
      </c>
      <c r="S19" s="735"/>
      <c r="T19" s="19">
        <v>0.54166666666666696</v>
      </c>
      <c r="U19" s="19">
        <v>0.58402777777777803</v>
      </c>
      <c r="V19" s="30">
        <f>(T19-U18)*24*60</f>
        <v>89.999999999999915</v>
      </c>
      <c r="W19" s="149">
        <f t="shared" si="17"/>
        <v>60.999999999999943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-112.45901639344083</v>
      </c>
      <c r="AG19" s="72">
        <f t="shared" si="14"/>
        <v>0.94377049180327954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12.5</v>
      </c>
      <c r="N26" s="155">
        <f t="shared" si="20"/>
        <v>1828.6123287857308</v>
      </c>
      <c r="O26" s="158">
        <f t="shared" si="20"/>
        <v>146.53249235749206</v>
      </c>
      <c r="P26" s="159">
        <f t="shared" ref="P26:P29" si="21">M26-J26</f>
        <v>0</v>
      </c>
      <c r="Q26" s="160">
        <f t="shared" ref="Q26:Q29" si="22">O26-L26</f>
        <v>-15.743148668148962</v>
      </c>
      <c r="R26" s="161">
        <f>O26/L26</f>
        <v>0.90298513955239035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23">N26-K26</f>
        <v>-197.63767121426918</v>
      </c>
      <c r="AG26" s="124">
        <f t="shared" ref="AG26:AG31" si="24">N26/K26</f>
        <v>0.90246135905526503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1886</v>
      </c>
      <c r="H27" s="134">
        <f>F27*G27</f>
        <v>108067.79999999999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15</v>
      </c>
      <c r="N27" s="140">
        <f>G27/W27*60</f>
        <v>1271.4606741573148</v>
      </c>
      <c r="O27" s="141">
        <f>N27/M27</f>
        <v>84.764044943820991</v>
      </c>
      <c r="P27" s="142">
        <f t="shared" si="21"/>
        <v>-2</v>
      </c>
      <c r="Q27" s="143">
        <f t="shared" si="22"/>
        <v>-3.4712491738260667</v>
      </c>
      <c r="R27" s="144">
        <f>O27/L27</f>
        <v>0.9606591760299712</v>
      </c>
      <c r="S27" s="734">
        <f>R37</f>
        <v>0.86315905301621743</v>
      </c>
      <c r="T27" s="171">
        <v>0.29166666666666702</v>
      </c>
      <c r="U27" s="171">
        <v>0.35347222222222202</v>
      </c>
      <c r="V27" s="135"/>
      <c r="W27" s="146">
        <f t="shared" si="17"/>
        <v>88.999999999999204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-228.53932584268523</v>
      </c>
      <c r="AG27" s="172">
        <f t="shared" si="24"/>
        <v>0.84764044943820982</v>
      </c>
      <c r="AH27" s="724">
        <f>AG37</f>
        <v>0.76161092913195649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1429</v>
      </c>
      <c r="H28" s="91">
        <f>F28*G28</f>
        <v>78780.77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15</v>
      </c>
      <c r="N28" s="95">
        <f>G28/W28*60</f>
        <v>985.51724137930478</v>
      </c>
      <c r="O28" s="96">
        <f>N28/M28</f>
        <v>65.701149425286985</v>
      </c>
      <c r="P28" s="97">
        <f t="shared" si="21"/>
        <v>-2</v>
      </c>
      <c r="Q28" s="98">
        <f t="shared" si="22"/>
        <v>-15.769438810007131</v>
      </c>
      <c r="R28" s="99">
        <f t="shared" ref="R28:R29" si="26">O28/L28</f>
        <v>0.80644010124900989</v>
      </c>
      <c r="S28" s="735"/>
      <c r="T28" s="19">
        <v>0.36111111111111099</v>
      </c>
      <c r="U28" s="19">
        <v>0.421527777777778</v>
      </c>
      <c r="V28" s="92">
        <f>(T28-U27)*24*60</f>
        <v>11.000000000000121</v>
      </c>
      <c r="W28" s="149">
        <f t="shared" si="17"/>
        <v>87.000000000000483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-399.48275862069522</v>
      </c>
      <c r="AG28" s="99">
        <f t="shared" si="24"/>
        <v>0.71156479521971461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869</v>
      </c>
      <c r="H29" s="91">
        <f>F29*G29</f>
        <v>43032.880000000005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15</v>
      </c>
      <c r="N29" s="95">
        <f>G29/W29*60</f>
        <v>1042.8000000000052</v>
      </c>
      <c r="O29" s="96">
        <f>N29/M29</f>
        <v>69.520000000000351</v>
      </c>
      <c r="P29" s="97">
        <f t="shared" si="21"/>
        <v>-2</v>
      </c>
      <c r="Q29" s="98">
        <f t="shared" si="22"/>
        <v>-15.185882352940823</v>
      </c>
      <c r="R29" s="99">
        <f t="shared" si="26"/>
        <v>0.82072222222222635</v>
      </c>
      <c r="S29" s="735"/>
      <c r="T29" s="19">
        <v>0.42777777777777798</v>
      </c>
      <c r="U29" s="19">
        <v>0.46250000000000002</v>
      </c>
      <c r="V29" s="92">
        <f>(T29-U28)*24*60</f>
        <v>8.999999999999968</v>
      </c>
      <c r="W29" s="149">
        <f t="shared" si="17"/>
        <v>49.999999999999744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-397.19999999999482</v>
      </c>
      <c r="AG29" s="99">
        <f t="shared" si="24"/>
        <v>0.72416666666667029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1000</v>
      </c>
      <c r="H30" s="91">
        <f>F30*G30</f>
        <v>49520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>K30/J30</f>
        <v>84.705882352941174</v>
      </c>
      <c r="M30" s="94">
        <v>15</v>
      </c>
      <c r="N30" s="95">
        <f>G30/W30*60</f>
        <v>1090.9090909091042</v>
      </c>
      <c r="O30" s="96">
        <f>N30/M30</f>
        <v>72.727272727273615</v>
      </c>
      <c r="P30" s="97">
        <f>M30-J30</f>
        <v>-2</v>
      </c>
      <c r="Q30" s="98">
        <f>O30-L30</f>
        <v>-11.978609625667559</v>
      </c>
      <c r="R30" s="99">
        <f>O30/L30</f>
        <v>0.85858585858586911</v>
      </c>
      <c r="S30" s="735"/>
      <c r="T30" s="19">
        <v>0.53680555555555598</v>
      </c>
      <c r="U30" s="19">
        <v>0.57499999999999996</v>
      </c>
      <c r="V30" s="92">
        <f>(T30-U29)*24*60</f>
        <v>107.00000000000058</v>
      </c>
      <c r="W30" s="149">
        <f t="shared" si="17"/>
        <v>54.999999999999325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-349.09090909089582</v>
      </c>
      <c r="AG30" s="99">
        <f t="shared" si="24"/>
        <v>0.75757575757576678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0</v>
      </c>
      <c r="AG31" s="99" t="e">
        <f t="shared" si="24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8">AVERAGE(J27:J36)</f>
        <v>17</v>
      </c>
      <c r="K37" s="155">
        <f t="shared" si="28"/>
        <v>1441.25</v>
      </c>
      <c r="L37" s="158">
        <f t="shared" si="28"/>
        <v>84.77941176470587</v>
      </c>
      <c r="M37" s="155">
        <f t="shared" si="28"/>
        <v>15</v>
      </c>
      <c r="N37" s="155">
        <f t="shared" si="28"/>
        <v>1097.6717516114322</v>
      </c>
      <c r="O37" s="158">
        <f t="shared" si="28"/>
        <v>73.178116774095486</v>
      </c>
      <c r="P37" s="159">
        <f>M37-J37</f>
        <v>-2</v>
      </c>
      <c r="Q37" s="160">
        <f>N37-K37</f>
        <v>-343.57824838856777</v>
      </c>
      <c r="R37" s="161">
        <f t="shared" ref="R37:R40" si="29">O37/L37</f>
        <v>0.86315905301621743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0">N37-K37</f>
        <v>-343.57824838856777</v>
      </c>
      <c r="AG37" s="124">
        <f t="shared" ref="AG37:AG41" si="31">N37/K37</f>
        <v>0.76161092913195649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1363</v>
      </c>
      <c r="H38" s="134">
        <f>F38*G38</f>
        <v>78099.899999999994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2">K38/J38</f>
        <v>86.5625</v>
      </c>
      <c r="M38" s="190">
        <v>11</v>
      </c>
      <c r="N38" s="140">
        <f>G38/W38*60</f>
        <v>908.66666666666663</v>
      </c>
      <c r="O38" s="141">
        <f>N38/M38</f>
        <v>82.606060606060609</v>
      </c>
      <c r="P38" s="142">
        <f t="shared" ref="P38:P40" si="33">M38-J38</f>
        <v>-5</v>
      </c>
      <c r="Q38" s="143">
        <f t="shared" ref="Q38:Q40" si="34">O38-L38</f>
        <v>-3.9564393939393909</v>
      </c>
      <c r="R38" s="144">
        <f>O38/L38</f>
        <v>0.95429384093644021</v>
      </c>
      <c r="S38" s="756">
        <f>R48</f>
        <v>0.87057257038234637</v>
      </c>
      <c r="T38" s="191">
        <v>0.33333333333333298</v>
      </c>
      <c r="U38" s="191">
        <v>0.39583333333333298</v>
      </c>
      <c r="V38" s="192"/>
      <c r="W38" s="193">
        <f t="shared" si="17"/>
        <v>90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0"/>
        <v>-476.33333333333337</v>
      </c>
      <c r="AG38" s="195">
        <f t="shared" si="31"/>
        <v>0.65607701564380261</v>
      </c>
      <c r="AH38" s="746">
        <f>AG48</f>
        <v>0.59607569001855687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1321</v>
      </c>
      <c r="H39" s="91">
        <f>F39*G39</f>
        <v>74544.03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2"/>
        <v>87.875</v>
      </c>
      <c r="M39" s="201">
        <v>10</v>
      </c>
      <c r="N39" s="202">
        <f>G39/W39*60</f>
        <v>707.67857142856928</v>
      </c>
      <c r="O39" s="203">
        <f t="shared" ref="O39:O40" si="35">N39/M39</f>
        <v>70.767857142856926</v>
      </c>
      <c r="P39" s="97">
        <f t="shared" si="33"/>
        <v>-6</v>
      </c>
      <c r="Q39" s="98">
        <f t="shared" si="34"/>
        <v>-17.107142857143074</v>
      </c>
      <c r="R39" s="99">
        <f t="shared" si="29"/>
        <v>0.80532412111359231</v>
      </c>
      <c r="S39" s="757"/>
      <c r="T39" s="20">
        <v>0.40625</v>
      </c>
      <c r="U39" s="20">
        <v>0.484027777777778</v>
      </c>
      <c r="V39" s="92">
        <f>(T39-U38)*24*60</f>
        <v>15.000000000000506</v>
      </c>
      <c r="W39" s="205">
        <f t="shared" si="17"/>
        <v>112.00000000000033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0"/>
        <v>-698.32142857143072</v>
      </c>
      <c r="AG39" s="206">
        <f t="shared" si="31"/>
        <v>0.50332757569599518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1953</v>
      </c>
      <c r="H40" s="91">
        <f>F40*G40</f>
        <v>86517.9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2"/>
        <v>75.78947368421052</v>
      </c>
      <c r="M40" s="201">
        <v>17</v>
      </c>
      <c r="N40" s="202">
        <f>G40/W40*60</f>
        <v>1115.9999999999939</v>
      </c>
      <c r="O40" s="203">
        <f t="shared" si="35"/>
        <v>65.647058823529051</v>
      </c>
      <c r="P40" s="97">
        <f t="shared" si="33"/>
        <v>-2</v>
      </c>
      <c r="Q40" s="98">
        <f t="shared" si="34"/>
        <v>-10.14241486068147</v>
      </c>
      <c r="R40" s="99">
        <f t="shared" si="29"/>
        <v>0.86617647058823055</v>
      </c>
      <c r="S40" s="719"/>
      <c r="T40" s="20">
        <v>0.54513888888888895</v>
      </c>
      <c r="U40" s="20">
        <v>0.61805555555555602</v>
      </c>
      <c r="V40" s="92">
        <f>(T40-U39)*24*60</f>
        <v>87.999999999999773</v>
      </c>
      <c r="W40" s="205">
        <f t="shared" si="17"/>
        <v>105.00000000000058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0"/>
        <v>-324.00000000000614</v>
      </c>
      <c r="AG40" s="206">
        <f t="shared" si="31"/>
        <v>0.77499999999999569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270</v>
      </c>
      <c r="H41" s="91">
        <f>F41*G41</f>
        <v>11961</v>
      </c>
      <c r="I41" s="200"/>
      <c r="J41" s="148">
        <f>VLOOKUP(D41,產線配置圖!$A$3:$C$39,2,0)</f>
        <v>19</v>
      </c>
      <c r="K41" s="95">
        <f>VLOOKUP(D41,產線配置圖!$A$3:$C$39,3,0)</f>
        <v>1440</v>
      </c>
      <c r="L41" s="96">
        <f>K41/J41</f>
        <v>75.78947368421052</v>
      </c>
      <c r="M41" s="201">
        <v>10</v>
      </c>
      <c r="N41" s="202">
        <f>G41/W41*60</f>
        <v>648.00000000000648</v>
      </c>
      <c r="O41" s="203">
        <f>N41/M41</f>
        <v>64.800000000000651</v>
      </c>
      <c r="P41" s="97">
        <f>M41-J41</f>
        <v>-9</v>
      </c>
      <c r="Q41" s="98">
        <f>O41-L41</f>
        <v>-10.989473684209869</v>
      </c>
      <c r="R41" s="99">
        <f>O41/L41</f>
        <v>0.85500000000000864</v>
      </c>
      <c r="S41" s="719"/>
      <c r="T41" s="20">
        <v>0.61805555555555602</v>
      </c>
      <c r="U41" s="210">
        <v>0.63541666666666696</v>
      </c>
      <c r="V41" s="92"/>
      <c r="W41" s="205">
        <f t="shared" si="17"/>
        <v>24.999999999999751</v>
      </c>
      <c r="X41" s="208"/>
      <c r="Y41" s="209"/>
      <c r="Z41" s="337"/>
      <c r="AA41" s="337"/>
      <c r="AB41" s="713" t="s">
        <v>168</v>
      </c>
      <c r="AC41" s="713"/>
      <c r="AD41" s="92"/>
      <c r="AE41" s="92"/>
      <c r="AF41" s="314">
        <f t="shared" si="30"/>
        <v>-791.99999999999352</v>
      </c>
      <c r="AG41" s="206">
        <f t="shared" si="31"/>
        <v>0.45000000000000451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7">AVERAGE(J38:J47)</f>
        <v>17.5</v>
      </c>
      <c r="K48" s="155">
        <f t="shared" si="37"/>
        <v>1417.75</v>
      </c>
      <c r="L48" s="158">
        <f t="shared" si="37"/>
        <v>81.50411184210526</v>
      </c>
      <c r="M48" s="155">
        <f t="shared" si="37"/>
        <v>12</v>
      </c>
      <c r="N48" s="155">
        <f t="shared" si="37"/>
        <v>845.08630952380895</v>
      </c>
      <c r="O48" s="158">
        <f t="shared" si="37"/>
        <v>70.955244143111813</v>
      </c>
      <c r="P48" s="221">
        <f>M48-J48</f>
        <v>-5.5</v>
      </c>
      <c r="Q48" s="222">
        <f>N48-K48</f>
        <v>-572.66369047619105</v>
      </c>
      <c r="R48" s="223">
        <f>O48/L48</f>
        <v>0.87057257038234637</v>
      </c>
      <c r="S48" s="722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38">N48-K48</f>
        <v>-572.66369047619105</v>
      </c>
      <c r="AG48" s="162">
        <f t="shared" ref="AG48:AG53" si="39">N48/K48</f>
        <v>0.59607569001855687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1240</v>
      </c>
      <c r="H49" s="134">
        <f>F49*G49</f>
        <v>70518.8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0">K49/J49</f>
        <v>86.944444444444443</v>
      </c>
      <c r="M49" s="170">
        <v>16</v>
      </c>
      <c r="N49" s="140">
        <f>G49/W49*60</f>
        <v>1352.7272727272539</v>
      </c>
      <c r="O49" s="141">
        <f>N49/M49</f>
        <v>84.545454545453367</v>
      </c>
      <c r="P49" s="229">
        <f>M49-J49</f>
        <v>-2</v>
      </c>
      <c r="Q49" s="230">
        <f>O49-L49</f>
        <v>-2.3989898989910756</v>
      </c>
      <c r="R49" s="52">
        <f>O49/L49</f>
        <v>0.97240778390936777</v>
      </c>
      <c r="S49" s="718">
        <f>R58</f>
        <v>0.97227498100335785</v>
      </c>
      <c r="T49" s="191">
        <v>0.29097222222222202</v>
      </c>
      <c r="U49" s="191">
        <v>0.329166666666667</v>
      </c>
      <c r="V49" s="55"/>
      <c r="W49" s="193">
        <f t="shared" si="17"/>
        <v>55.000000000000767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38"/>
        <v>-212.27272727274612</v>
      </c>
      <c r="AG49" s="52">
        <f t="shared" si="39"/>
        <v>0.86436247458610471</v>
      </c>
      <c r="AH49" s="724">
        <f>AG58</f>
        <v>0.8906824645610022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2291</v>
      </c>
      <c r="H50" s="231">
        <f>F50*G50</f>
        <v>114343.81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0"/>
        <v>92.058823529411768</v>
      </c>
      <c r="M50" s="233">
        <v>15</v>
      </c>
      <c r="N50" s="234">
        <f>G50/W50*60</f>
        <v>1309.1428571428519</v>
      </c>
      <c r="O50" s="235">
        <f>N50/M50</f>
        <v>87.276190476190123</v>
      </c>
      <c r="P50" s="74">
        <f>M50-J50</f>
        <v>-2</v>
      </c>
      <c r="Q50" s="83">
        <f>O50-L50</f>
        <v>-4.7826330532216446</v>
      </c>
      <c r="R50" s="72">
        <f>O50/L50</f>
        <v>0.94804807546021219</v>
      </c>
      <c r="S50" s="719"/>
      <c r="T50" s="21">
        <v>0.33819444444444402</v>
      </c>
      <c r="U50" s="21">
        <v>0.41111111111111098</v>
      </c>
      <c r="V50" s="30">
        <f t="shared" ref="V50:V52" si="41">(T50-U49)*24*60</f>
        <v>12.999999999998915</v>
      </c>
      <c r="W50" s="236">
        <f t="shared" si="17"/>
        <v>105.00000000000043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38"/>
        <v>-255.85714285714812</v>
      </c>
      <c r="AG50" s="72">
        <f t="shared" si="39"/>
        <v>0.83651300775901083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2162</v>
      </c>
      <c r="H51" s="231">
        <f>F51*G51</f>
        <v>108035.14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0"/>
        <v>88.888888888888886</v>
      </c>
      <c r="M51" s="233">
        <v>17</v>
      </c>
      <c r="N51" s="234">
        <f>G51/W51*60</f>
        <v>1508.3720930232614</v>
      </c>
      <c r="O51" s="235">
        <f>N51/M51</f>
        <v>88.727770177838906</v>
      </c>
      <c r="P51" s="74">
        <f>M51-J51</f>
        <v>-1</v>
      </c>
      <c r="Q51" s="83">
        <f>O51-L51</f>
        <v>-0.16111871104997988</v>
      </c>
      <c r="R51" s="72">
        <f>O51/L51</f>
        <v>0.99818741450068771</v>
      </c>
      <c r="S51" s="719"/>
      <c r="T51" s="21">
        <v>0.41805555555555601</v>
      </c>
      <c r="U51" s="19">
        <v>0.47777777777777802</v>
      </c>
      <c r="V51" s="30">
        <f t="shared" si="41"/>
        <v>10.000000000000844</v>
      </c>
      <c r="W51" s="236">
        <f t="shared" si="17"/>
        <v>85.999999999999687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38"/>
        <v>-91.627906976738586</v>
      </c>
      <c r="AG51" s="72">
        <f t="shared" si="39"/>
        <v>0.94273255813953838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2642</v>
      </c>
      <c r="H52" s="231">
        <f>F52*G52</f>
        <v>132020.74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17</v>
      </c>
      <c r="N52" s="234">
        <f>G52/W52*60</f>
        <v>1467.7777777777765</v>
      </c>
      <c r="O52" s="235">
        <f>N52/M52</f>
        <v>86.339869281045679</v>
      </c>
      <c r="P52" s="74">
        <f>M52-J52</f>
        <v>-1</v>
      </c>
      <c r="Q52" s="83">
        <f>O52-L52</f>
        <v>-2.5490196078432064</v>
      </c>
      <c r="R52" s="72">
        <f>O52/L52</f>
        <v>0.97132352941176392</v>
      </c>
      <c r="S52" s="719"/>
      <c r="T52" s="21">
        <v>0.53472222222222199</v>
      </c>
      <c r="U52" s="21">
        <v>0.60972222222222205</v>
      </c>
      <c r="V52" s="30">
        <f t="shared" si="41"/>
        <v>81.999999999999304</v>
      </c>
      <c r="W52" s="236">
        <f t="shared" si="17"/>
        <v>108.0000000000001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38"/>
        <v>-132.22222222222354</v>
      </c>
      <c r="AG52" s="72">
        <f t="shared" si="39"/>
        <v>0.91736111111111029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38"/>
        <v>0</v>
      </c>
      <c r="AG53" s="72" t="e">
        <f t="shared" si="39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2">AVERAGE(J49:J57)</f>
        <v>17.75</v>
      </c>
      <c r="K58" s="120">
        <f t="shared" si="42"/>
        <v>1582.5</v>
      </c>
      <c r="L58" s="117">
        <f t="shared" si="42"/>
        <v>89.195261437908499</v>
      </c>
      <c r="M58" s="120">
        <f t="shared" si="42"/>
        <v>16.25</v>
      </c>
      <c r="N58" s="120">
        <f t="shared" si="42"/>
        <v>1409.505000167786</v>
      </c>
      <c r="O58" s="117">
        <f t="shared" si="42"/>
        <v>86.722321120132023</v>
      </c>
      <c r="P58" s="121">
        <f>M58-J58</f>
        <v>-1.5</v>
      </c>
      <c r="Q58" s="122">
        <f>N58-K58</f>
        <v>-172.99499983221403</v>
      </c>
      <c r="R58" s="123">
        <f t="shared" ref="R58:R60" si="43">O58/L58</f>
        <v>0.97227498100335785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44">N58-K58</f>
        <v>-172.99499983221403</v>
      </c>
      <c r="AG58" s="124">
        <f t="shared" ref="AG58:AG61" si="45">N58/K58</f>
        <v>0.8906824645610022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2294</v>
      </c>
      <c r="H59" s="243">
        <f>F59*G59</f>
        <v>61915.06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6">K59/J59</f>
        <v>120.38461538461539</v>
      </c>
      <c r="M59" s="244">
        <v>13</v>
      </c>
      <c r="N59" s="137">
        <f t="shared" ref="N59:N61" si="47">G59/W59*60</f>
        <v>1529.3333333333333</v>
      </c>
      <c r="O59" s="138">
        <f t="shared" ref="O59:O61" si="48">N59/M59</f>
        <v>117.64102564102564</v>
      </c>
      <c r="P59" s="56">
        <f t="shared" ref="P59:P61" si="49">M59-J59</f>
        <v>0</v>
      </c>
      <c r="Q59" s="230">
        <f t="shared" ref="Q59:Q61" si="50">O59-L59</f>
        <v>-2.7435897435897516</v>
      </c>
      <c r="R59" s="52">
        <f t="shared" si="43"/>
        <v>0.97720979765708194</v>
      </c>
      <c r="S59" s="718">
        <f>R69</f>
        <v>0.87257572802176708</v>
      </c>
      <c r="T59" s="245">
        <v>0.29166666666666702</v>
      </c>
      <c r="U59" s="245">
        <v>0.35416666666666702</v>
      </c>
      <c r="V59" s="55"/>
      <c r="W59" s="54">
        <f t="shared" si="17"/>
        <v>90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44"/>
        <v>-35.666666666666742</v>
      </c>
      <c r="AG59" s="246">
        <f t="shared" si="45"/>
        <v>0.97720979765708194</v>
      </c>
      <c r="AH59" s="724">
        <f>AG69</f>
        <v>0.80359804536027823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568</v>
      </c>
      <c r="H60" s="78">
        <f>F60*G60</f>
        <v>16170.96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6"/>
        <v>130.41666666666666</v>
      </c>
      <c r="M60" s="82">
        <v>10</v>
      </c>
      <c r="N60" s="80">
        <f t="shared" si="47"/>
        <v>1032.7272727272561</v>
      </c>
      <c r="O60" s="81">
        <f t="shared" si="48"/>
        <v>103.27272727272562</v>
      </c>
      <c r="P60" s="74">
        <f t="shared" si="49"/>
        <v>-2</v>
      </c>
      <c r="Q60" s="83">
        <f t="shared" si="50"/>
        <v>-27.143939393941039</v>
      </c>
      <c r="R60" s="72">
        <f t="shared" si="43"/>
        <v>0.79186755736275238</v>
      </c>
      <c r="S60" s="768"/>
      <c r="T60" s="22">
        <v>0.36319444444444399</v>
      </c>
      <c r="U60" s="22">
        <v>0.38611111111111102</v>
      </c>
      <c r="V60" s="30">
        <f t="shared" ref="V60:V62" si="51">(T60-U59)*24*60</f>
        <v>12.999999999998835</v>
      </c>
      <c r="W60" s="248">
        <f t="shared" si="17"/>
        <v>33.000000000000526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44"/>
        <v>-532.27272727274385</v>
      </c>
      <c r="AG60" s="249">
        <f t="shared" si="45"/>
        <v>0.65988963113562693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1845</v>
      </c>
      <c r="H61" s="254">
        <f>F61*G61</f>
        <v>52139.700000000004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6"/>
        <v>130.41666666666666</v>
      </c>
      <c r="M61" s="108">
        <v>10</v>
      </c>
      <c r="N61" s="107">
        <f t="shared" si="47"/>
        <v>1165.263157894741</v>
      </c>
      <c r="O61" s="238">
        <f t="shared" si="48"/>
        <v>116.5263157894741</v>
      </c>
      <c r="P61" s="111">
        <f t="shared" si="49"/>
        <v>-2</v>
      </c>
      <c r="Q61" s="255">
        <f t="shared" si="50"/>
        <v>-13.89035087719256</v>
      </c>
      <c r="R61" s="85">
        <f>O61/L61</f>
        <v>0.8934925172355842</v>
      </c>
      <c r="S61" s="719"/>
      <c r="T61" s="22">
        <v>0.40625</v>
      </c>
      <c r="U61" s="22">
        <v>0.47222222222222199</v>
      </c>
      <c r="V61" s="30">
        <f t="shared" si="51"/>
        <v>29.000000000000135</v>
      </c>
      <c r="W61" s="256">
        <f t="shared" si="17"/>
        <v>94.999999999999659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44"/>
        <v>-399.73684210525903</v>
      </c>
      <c r="AG61" s="247">
        <f t="shared" si="45"/>
        <v>0.74457709769632008</v>
      </c>
      <c r="AH61" s="725"/>
    </row>
    <row r="62" spans="1:34" ht="15" customHeight="1">
      <c r="A62" s="766"/>
      <c r="B62" s="250" t="s">
        <v>135</v>
      </c>
      <c r="C62" s="251"/>
      <c r="D62" s="257" t="s">
        <v>136</v>
      </c>
      <c r="E62" s="253"/>
      <c r="F62" s="250">
        <f>VLOOKUP(D62,廠價表!$C$1:$E$41,3,0)</f>
        <v>26.99</v>
      </c>
      <c r="G62" s="38">
        <v>1629</v>
      </c>
      <c r="H62" s="254">
        <f>F62*G62</f>
        <v>43966.71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108">
        <v>13</v>
      </c>
      <c r="N62" s="107">
        <f>G62/W62*60</f>
        <v>1303.2000000000103</v>
      </c>
      <c r="O62" s="238">
        <f>N62/M62</f>
        <v>100.24615384615464</v>
      </c>
      <c r="P62" s="111">
        <f>M62-J62</f>
        <v>0</v>
      </c>
      <c r="Q62" s="255">
        <f>O62-L62</f>
        <v>-20.138461538460746</v>
      </c>
      <c r="R62" s="85">
        <f>O62/L62</f>
        <v>0.83271565495208322</v>
      </c>
      <c r="S62" s="719"/>
      <c r="T62" s="22">
        <v>0.52430555555555602</v>
      </c>
      <c r="U62" s="22">
        <v>0.57638888888888895</v>
      </c>
      <c r="V62" s="30">
        <f t="shared" si="51"/>
        <v>75.000000000001009</v>
      </c>
      <c r="W62" s="248">
        <f t="shared" si="17"/>
        <v>74.999999999999417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-261.79999999998972</v>
      </c>
      <c r="AG62" s="247">
        <f>N62/K62</f>
        <v>0.83271565495208322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2">AVERAGE(J59:J68)</f>
        <v>12.5</v>
      </c>
      <c r="K69" s="240">
        <f t="shared" si="52"/>
        <v>1565</v>
      </c>
      <c r="L69" s="268">
        <f t="shared" si="52"/>
        <v>125.40064102564102</v>
      </c>
      <c r="M69" s="240">
        <f t="shared" si="52"/>
        <v>11.5</v>
      </c>
      <c r="N69" s="240">
        <f t="shared" si="52"/>
        <v>1257.6309409888354</v>
      </c>
      <c r="O69" s="268">
        <f t="shared" si="52"/>
        <v>109.42155563734499</v>
      </c>
      <c r="P69" s="269">
        <f>M69-J69</f>
        <v>-1</v>
      </c>
      <c r="Q69" s="222">
        <f>N69-K69</f>
        <v>-307.36905901116461</v>
      </c>
      <c r="R69" s="123">
        <f>O69/L69</f>
        <v>0.87257572802176708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-307.36905901116461</v>
      </c>
      <c r="AG69" s="124">
        <f>N69/K69</f>
        <v>0.80359804536027823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1777</v>
      </c>
      <c r="H70" s="243">
        <f>F70*G70</f>
        <v>90040.59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927.13043478261</v>
      </c>
      <c r="O70" s="138">
        <f>N70/M70</f>
        <v>92.713043478261</v>
      </c>
      <c r="P70" s="56">
        <f>M70-J70</f>
        <v>0</v>
      </c>
      <c r="Q70" s="230">
        <f>O70-L70</f>
        <v>-19.786956521739</v>
      </c>
      <c r="R70" s="52">
        <f>O70/L70</f>
        <v>0.82411594202898664</v>
      </c>
      <c r="S70" s="718">
        <f>R79</f>
        <v>0.82411594202898664</v>
      </c>
      <c r="T70" s="245">
        <v>0.33680555555555602</v>
      </c>
      <c r="U70" s="245">
        <v>0.41666666666666702</v>
      </c>
      <c r="V70" s="55"/>
      <c r="W70" s="54">
        <f t="shared" si="17"/>
        <v>114.99999999999983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-197.86956521739</v>
      </c>
      <c r="AG70" s="246">
        <f>N70/K70</f>
        <v>0.82411594202898664</v>
      </c>
      <c r="AH70" s="724">
        <f>AG79</f>
        <v>0.82411594202898664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54">AVERAGE(J70:J78)</f>
        <v>10</v>
      </c>
      <c r="K79" s="240">
        <f t="shared" si="54"/>
        <v>1125</v>
      </c>
      <c r="L79" s="268">
        <f t="shared" si="54"/>
        <v>112.5</v>
      </c>
      <c r="M79" s="240">
        <f t="shared" si="54"/>
        <v>10</v>
      </c>
      <c r="N79" s="240">
        <f t="shared" si="54"/>
        <v>927.13043478261</v>
      </c>
      <c r="O79" s="268">
        <f t="shared" si="54"/>
        <v>92.713043478261</v>
      </c>
      <c r="P79" s="269">
        <f>M79-J79</f>
        <v>0</v>
      </c>
      <c r="Q79" s="222">
        <f>N79-K79</f>
        <v>-197.86956521739</v>
      </c>
      <c r="R79" s="223">
        <f>O79/L79</f>
        <v>0.82411594202898664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-197.86956521739</v>
      </c>
      <c r="AG79" s="124">
        <f>N79/K79</f>
        <v>0.82411594202898664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J1:L2"/>
    <mergeCell ref="M1:O2"/>
    <mergeCell ref="AD3:AE3"/>
    <mergeCell ref="AF3:AF4"/>
    <mergeCell ref="T3:U3"/>
    <mergeCell ref="V3:V4"/>
    <mergeCell ref="P1:S2"/>
    <mergeCell ref="J3:J4"/>
    <mergeCell ref="K3:K4"/>
    <mergeCell ref="L3:L4"/>
    <mergeCell ref="M3:M4"/>
    <mergeCell ref="AF1:AH2"/>
    <mergeCell ref="AH3:AH4"/>
    <mergeCell ref="A5:A15"/>
    <mergeCell ref="S5:S15"/>
    <mergeCell ref="AB5:AC5"/>
    <mergeCell ref="AB12:AC12"/>
    <mergeCell ref="AB13:AC13"/>
    <mergeCell ref="D15:E15"/>
    <mergeCell ref="AB15:AC15"/>
    <mergeCell ref="AB8:AC8"/>
    <mergeCell ref="AB14:AC14"/>
    <mergeCell ref="AB9:AC9"/>
    <mergeCell ref="AB10:AC10"/>
    <mergeCell ref="AB11:AC11"/>
    <mergeCell ref="X3:Y3"/>
    <mergeCell ref="Z3:AA3"/>
    <mergeCell ref="R3:R4"/>
    <mergeCell ref="W3:W4"/>
    <mergeCell ref="AG3:AG4"/>
    <mergeCell ref="S3:S4"/>
    <mergeCell ref="AH16:AH26"/>
    <mergeCell ref="AB17:AC17"/>
    <mergeCell ref="AB18:AC18"/>
    <mergeCell ref="AB19:AC19"/>
    <mergeCell ref="AB3:AC4"/>
    <mergeCell ref="AH5:AH15"/>
    <mergeCell ref="AB6:AC6"/>
    <mergeCell ref="AB7:AC7"/>
    <mergeCell ref="A2:B2"/>
    <mergeCell ref="A3:A4"/>
    <mergeCell ref="B3:B4"/>
    <mergeCell ref="T1:Y2"/>
    <mergeCell ref="AB1:AC2"/>
    <mergeCell ref="D3:E4"/>
    <mergeCell ref="F3:F4"/>
    <mergeCell ref="G3:G4"/>
    <mergeCell ref="H3:H4"/>
    <mergeCell ref="I3:I4"/>
    <mergeCell ref="N3:N4"/>
    <mergeCell ref="O3:O4"/>
    <mergeCell ref="P3:P4"/>
    <mergeCell ref="Q3:Q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16:A26"/>
    <mergeCell ref="S16:S26"/>
    <mergeCell ref="AB16:AC16"/>
    <mergeCell ref="D26:E26"/>
    <mergeCell ref="AB26:AC2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69" priority="1" operator="greaterThan">
      <formula>0</formula>
    </cfRule>
  </conditionalFormatting>
  <conditionalFormatting sqref="Q5:Q79 AF5:AF79">
    <cfRule type="cellIs" dxfId="268" priority="4" operator="lessThan">
      <formula>0</formula>
    </cfRule>
  </conditionalFormatting>
  <conditionalFormatting sqref="R5:R79 AG5:AG79">
    <cfRule type="cellIs" dxfId="267" priority="2" operator="greaterThan">
      <formula>1</formula>
    </cfRule>
    <cfRule type="cellIs" dxfId="266" priority="3" operator="lessThan">
      <formula>0.8</formula>
    </cfRule>
  </conditionalFormatting>
  <conditionalFormatting sqref="S5:S10 S37:S62 AH59:AH62 S69:S76 AH69:AH76">
    <cfRule type="cellIs" dxfId="265" priority="7" operator="lessThan">
      <formula>0.8</formula>
    </cfRule>
  </conditionalFormatting>
  <conditionalFormatting sqref="S19:S25 AH19:AH25">
    <cfRule type="cellIs" dxfId="264" priority="6" operator="lessThan">
      <formula>0.8</formula>
    </cfRule>
  </conditionalFormatting>
  <conditionalFormatting sqref="S79">
    <cfRule type="cellIs" dxfId="263" priority="5" operator="lessThan">
      <formula>0.8</formula>
    </cfRule>
  </conditionalFormatting>
  <conditionalFormatting sqref="AH5:AH8 S15:S16 AH15:AH16 AH49 AH79">
    <cfRule type="cellIs" dxfId="262" priority="9" operator="lessThan">
      <formula>0.8</formula>
    </cfRule>
  </conditionalFormatting>
  <conditionalFormatting sqref="AH27 S27:S28">
    <cfRule type="cellIs" dxfId="26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50EDD2-F0D0-49D1-BA23-C3874229685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7A20-C769-447F-8448-B3E60E537D9E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46033</v>
      </c>
      <c r="E3" s="645"/>
      <c r="F3" s="3" t="s">
        <v>72</v>
      </c>
      <c r="G3" s="646">
        <f>'0111'!E1</f>
        <v>53689</v>
      </c>
      <c r="H3" s="646"/>
      <c r="I3" s="3" t="s">
        <v>2</v>
      </c>
      <c r="J3" s="647">
        <f>'0111'!G1</f>
        <v>2565921.7900000005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112.2663355406265</v>
      </c>
      <c r="G6" s="652"/>
      <c r="H6" s="653">
        <f>AVERAGE(D13:H13,J13)</f>
        <v>110.07728462645741</v>
      </c>
      <c r="I6" s="653"/>
      <c r="J6" s="653">
        <f>AVERAGE(I13)</f>
        <v>125.40064102564102</v>
      </c>
      <c r="K6" s="653"/>
      <c r="L6" s="769">
        <f>SUM(D18:J18)</f>
        <v>0</v>
      </c>
      <c r="M6" s="656">
        <f>SUM(D19:J19)</f>
        <v>0</v>
      </c>
      <c r="N6" s="771">
        <f>SUM(D20:J20)</f>
        <v>0</v>
      </c>
      <c r="O6" s="656">
        <f>SUM(D20:J20)</f>
        <v>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101.26877101183986</v>
      </c>
      <c r="G7" s="676"/>
      <c r="H7" s="677">
        <f>AVERAGE(D14:H14,J14)</f>
        <v>100.18581510864982</v>
      </c>
      <c r="I7" s="677"/>
      <c r="J7" s="677">
        <f>AVERAGE(I14)</f>
        <v>107.7665064309801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0.90204040707459554</v>
      </c>
      <c r="G8" s="649"/>
      <c r="H8" s="649">
        <f>H7/H6</f>
        <v>0.91014068387157376</v>
      </c>
      <c r="I8" s="649"/>
      <c r="J8" s="649">
        <f>J7/J6</f>
        <v>0.85937763594800742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VALUE('0111'!L15)</f>
        <v>126.55462184873952</v>
      </c>
      <c r="E13" s="13">
        <f>VALUE('0111'!L26)</f>
        <v>160.58974358974359</v>
      </c>
      <c r="F13" s="13">
        <f>VALUE('0111'!L37)</f>
        <v>85.661764705882348</v>
      </c>
      <c r="G13" s="13">
        <f>VALUE('0111'!L48)</f>
        <v>85.96231617647058</v>
      </c>
      <c r="H13" s="13">
        <f>VALUE('0111'!L58)</f>
        <v>89.195261437908499</v>
      </c>
      <c r="I13" s="13">
        <f>VALUE('0111'!L69)</f>
        <v>125.40064102564102</v>
      </c>
      <c r="J13" s="13">
        <f>'0111'!L79</f>
        <v>112.5</v>
      </c>
    </row>
    <row r="14" spans="2:15" ht="39.950000000000003" customHeight="1">
      <c r="B14" s="670"/>
      <c r="C14" s="12" t="s">
        <v>100</v>
      </c>
      <c r="D14" s="13">
        <f>VALUE('0111'!O15)</f>
        <v>125.72639034600576</v>
      </c>
      <c r="E14" s="13">
        <f>VALUE('0111'!O26)</f>
        <v>150.35901029667224</v>
      </c>
      <c r="F14" s="13">
        <f>VALUE('0111'!O37)</f>
        <v>81.37071350617336</v>
      </c>
      <c r="G14" s="13">
        <f>VALUE('0111'!O48)</f>
        <v>68.764705882353141</v>
      </c>
      <c r="H14" s="13">
        <f>VALUE('0111'!O58)</f>
        <v>88.261812556177432</v>
      </c>
      <c r="I14" s="13">
        <f>VALUE('0111'!O69)</f>
        <v>107.7665064309801</v>
      </c>
      <c r="J14" s="13">
        <f>'0111'!O79</f>
        <v>86.63225806451689</v>
      </c>
    </row>
    <row r="15" spans="2:15" ht="39.950000000000003" customHeight="1">
      <c r="B15" s="671"/>
      <c r="C15" s="10" t="s">
        <v>26</v>
      </c>
      <c r="D15" s="14">
        <f>D14/D13</f>
        <v>0.99345554124665891</v>
      </c>
      <c r="E15" s="14">
        <f t="shared" ref="E15:I15" si="1">E14/E13</f>
        <v>0.93629273536168245</v>
      </c>
      <c r="F15" s="14">
        <f t="shared" si="1"/>
        <v>0.94990704178880492</v>
      </c>
      <c r="G15" s="14">
        <f t="shared" si="1"/>
        <v>0.79994012424219985</v>
      </c>
      <c r="H15" s="14">
        <f t="shared" si="1"/>
        <v>0.98953477049472105</v>
      </c>
      <c r="I15" s="14">
        <f t="shared" si="1"/>
        <v>0.85937763594800742</v>
      </c>
      <c r="J15" s="15">
        <f>'0111'!S70</f>
        <v>0.77006451612903903</v>
      </c>
    </row>
    <row r="16" spans="2:15" ht="17.25" customHeight="1">
      <c r="B16" s="672" t="s">
        <v>101</v>
      </c>
      <c r="C16" s="10" t="s">
        <v>34</v>
      </c>
      <c r="D16" s="16">
        <f>'0111'!T5</f>
        <v>0.29027777777777802</v>
      </c>
      <c r="E16" s="16">
        <f>'0111'!T16</f>
        <v>0.29027777777777802</v>
      </c>
      <c r="F16" s="16">
        <f>'0111'!T27</f>
        <v>0.29097222222222202</v>
      </c>
      <c r="G16" s="16">
        <f>'0111'!T38</f>
        <v>0.33333333333333298</v>
      </c>
      <c r="H16" s="16">
        <f>'0111'!T49</f>
        <v>0.28958333333333303</v>
      </c>
      <c r="I16" s="16">
        <f>'0111'!T59</f>
        <v>0.29166666666666702</v>
      </c>
      <c r="J16" s="17">
        <f>'0111'!T70</f>
        <v>0.33680555555555602</v>
      </c>
    </row>
    <row r="17" spans="2:10" ht="17.25" customHeight="1">
      <c r="B17" s="673"/>
      <c r="C17" s="10" t="s">
        <v>35</v>
      </c>
      <c r="D17" s="16">
        <v>0.6</v>
      </c>
      <c r="E17" s="16">
        <v>0.63749999999999996</v>
      </c>
      <c r="F17" s="19">
        <v>0.5625</v>
      </c>
      <c r="G17" s="328">
        <v>0.63541666666666696</v>
      </c>
      <c r="H17" s="21">
        <v>0.62777777777777799</v>
      </c>
      <c r="I17" s="22">
        <v>0.58680555555555602</v>
      </c>
      <c r="J17" s="110">
        <v>0.44444444444444398</v>
      </c>
    </row>
    <row r="18" spans="2:10" ht="17.25" customHeight="1">
      <c r="B18" s="674" t="s">
        <v>102</v>
      </c>
      <c r="C18" s="330" t="s">
        <v>36</v>
      </c>
      <c r="D18" s="358">
        <f>'0111'!Z15</f>
        <v>0</v>
      </c>
      <c r="E18" s="359">
        <f>'0111'!Z26</f>
        <v>0</v>
      </c>
      <c r="F18" s="359">
        <f>'0111'!Z37</f>
        <v>0</v>
      </c>
      <c r="G18" s="360">
        <f>'0111'!Z48</f>
        <v>0</v>
      </c>
      <c r="H18" s="360">
        <f>'0111'!Z58</f>
        <v>0</v>
      </c>
      <c r="I18" s="359">
        <f>'0111'!Z69</f>
        <v>0</v>
      </c>
      <c r="J18" s="359">
        <f>'0111'!Z79</f>
        <v>0</v>
      </c>
    </row>
    <row r="19" spans="2:10" ht="17.25" customHeight="1">
      <c r="B19" s="675"/>
      <c r="C19" s="330" t="s">
        <v>37</v>
      </c>
      <c r="D19" s="358">
        <f>'0111'!AA15</f>
        <v>0</v>
      </c>
      <c r="E19" s="359">
        <f>'0111'!AA26</f>
        <v>0</v>
      </c>
      <c r="F19" s="359">
        <f>'0111'!AA37</f>
        <v>0</v>
      </c>
      <c r="G19" s="360">
        <f>'0111'!AA48</f>
        <v>0</v>
      </c>
      <c r="H19" s="360">
        <f>'0111'!AA58</f>
        <v>0</v>
      </c>
      <c r="I19" s="359">
        <f>'0111'!AA69</f>
        <v>0</v>
      </c>
      <c r="J19" s="359">
        <f>'0111'!AA79</f>
        <v>0</v>
      </c>
    </row>
    <row r="20" spans="2:10" ht="17.25" customHeight="1">
      <c r="B20" s="674" t="s">
        <v>103</v>
      </c>
      <c r="C20" s="330" t="s">
        <v>36</v>
      </c>
      <c r="D20" s="358">
        <f>'0111'!AD15</f>
        <v>0</v>
      </c>
      <c r="E20" s="359">
        <f>'0111'!AD26</f>
        <v>0</v>
      </c>
      <c r="F20" s="359">
        <f>'0111'!AD37</f>
        <v>0</v>
      </c>
      <c r="G20" s="360">
        <f>'0111'!AD48</f>
        <v>0</v>
      </c>
      <c r="H20" s="360">
        <f>'0111'!AD58</f>
        <v>0</v>
      </c>
      <c r="I20" s="359">
        <f>'0111'!AD69</f>
        <v>0</v>
      </c>
      <c r="J20" s="359">
        <f>'0111'!AD79</f>
        <v>0</v>
      </c>
    </row>
    <row r="21" spans="2:10" ht="17.25" customHeight="1">
      <c r="B21" s="675"/>
      <c r="C21" s="330" t="s">
        <v>85</v>
      </c>
      <c r="D21" s="358">
        <f>'0111'!AE15</f>
        <v>0</v>
      </c>
      <c r="E21" s="359">
        <f>'0111'!AE26</f>
        <v>0</v>
      </c>
      <c r="F21" s="359">
        <f>'0108'!AE37</f>
        <v>0</v>
      </c>
      <c r="G21" s="360">
        <f>'0111'!AE48</f>
        <v>0</v>
      </c>
      <c r="H21" s="360">
        <f>'0111'!AE58</f>
        <v>0</v>
      </c>
      <c r="I21" s="359">
        <f>'0111'!AE69</f>
        <v>0</v>
      </c>
      <c r="J21" s="359">
        <f>'0111'!AE79</f>
        <v>0</v>
      </c>
    </row>
    <row r="22" spans="2:10" ht="17.25" customHeight="1">
      <c r="B22" s="658" t="s">
        <v>104</v>
      </c>
      <c r="C22" s="659"/>
      <c r="D22" s="23">
        <f>VALUE('0111'!M15)</f>
        <v>14.75</v>
      </c>
      <c r="E22" s="23">
        <f>VALUE('0111'!M26)</f>
        <v>12.6</v>
      </c>
      <c r="F22" s="23">
        <f>VALUE('0111'!M37)</f>
        <v>16</v>
      </c>
      <c r="G22" s="23">
        <f>VALUE('0111'!M48)</f>
        <v>16</v>
      </c>
      <c r="H22" s="23">
        <f>VALUE('0111'!M58)</f>
        <v>17.75</v>
      </c>
      <c r="I22" s="23">
        <f>VALUE('0111'!M69)</f>
        <v>12.25</v>
      </c>
      <c r="J22" s="23">
        <f>'0111'!M79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6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2159-50B3-4F84-8857-7E550E983A3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3" sqref="A3:A4"/>
      <selection pane="topRight" activeCell="A3" sqref="A3:A4"/>
      <selection pane="bottomLeft" activeCell="A3" sqref="A3:A4"/>
      <selection pane="bottomRight" activeCell="J42" sqref="J4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53689</v>
      </c>
      <c r="F1" s="30" t="s">
        <v>2</v>
      </c>
      <c r="G1" s="31">
        <f>SUM(H5:H79)</f>
        <v>2565921.7900000005</v>
      </c>
      <c r="H1" s="32" t="s">
        <v>3</v>
      </c>
      <c r="I1" s="33">
        <f>M15+M26+M48+M58+M69+M79+M37</f>
        <v>99.35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169</v>
      </c>
      <c r="B2" s="678"/>
      <c r="C2" s="28"/>
      <c r="D2" s="28" t="s">
        <v>14</v>
      </c>
      <c r="E2" s="35">
        <f>AVERAGE(O15,O26,O37,O48,O58,O69,O79)</f>
        <v>101.26877101183986</v>
      </c>
      <c r="F2" s="36" t="s">
        <v>15</v>
      </c>
      <c r="G2" s="37">
        <f>G1/E1</f>
        <v>47.792318538248068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2844</v>
      </c>
      <c r="H5" s="43">
        <f>F5*G5</f>
        <v>135687.24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1433.949579831931</v>
      </c>
      <c r="O5" s="47">
        <f t="shared" ref="O5:O7" si="2">N5/M5</f>
        <v>102.42496998799507</v>
      </c>
      <c r="P5" s="49">
        <f t="shared" ref="P5:P7" si="3">M5-J5</f>
        <v>0</v>
      </c>
      <c r="Q5" s="50">
        <f t="shared" ref="Q5:Q7" si="4">O5-L5</f>
        <v>-0.43217286914779152</v>
      </c>
      <c r="R5" s="51">
        <f t="shared" ref="R5:R7" si="5">O5/L5</f>
        <v>0.99579831932772978</v>
      </c>
      <c r="S5" s="718">
        <f>R15</f>
        <v>0.99345554124665891</v>
      </c>
      <c r="T5" s="319">
        <v>0.29027777777777802</v>
      </c>
      <c r="U5" s="320">
        <v>0.37291666666666701</v>
      </c>
      <c r="V5" s="53"/>
      <c r="W5" s="54">
        <f t="shared" ref="W5:W14" si="6">(U5-T5)*24*60</f>
        <v>119.00000000000014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-6.0504201680689675</v>
      </c>
      <c r="AG5" s="52">
        <f t="shared" ref="AG5:AG11" si="8">N5/K5</f>
        <v>0.99579831932772989</v>
      </c>
      <c r="AH5" s="724">
        <f>AG15</f>
        <v>0.99336459818649681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1289</v>
      </c>
      <c r="H6" s="63">
        <f>F6*G6</f>
        <v>73743.69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1983.0769230768733</v>
      </c>
      <c r="O6" s="67">
        <f t="shared" si="2"/>
        <v>116.65158371040431</v>
      </c>
      <c r="P6" s="69">
        <f t="shared" si="3"/>
        <v>0</v>
      </c>
      <c r="Q6" s="70">
        <f t="shared" si="4"/>
        <v>-0.99547511312509585</v>
      </c>
      <c r="R6" s="71">
        <f t="shared" si="5"/>
        <v>0.99153846153843672</v>
      </c>
      <c r="S6" s="719"/>
      <c r="T6" s="16">
        <v>0.37847222222222199</v>
      </c>
      <c r="U6" s="16">
        <v>0.405555555555556</v>
      </c>
      <c r="V6" s="30">
        <f>(T6-U5)*24*60</f>
        <v>7.9999999999991722</v>
      </c>
      <c r="W6" s="73">
        <f t="shared" si="6"/>
        <v>39.000000000000981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-16.9230769231267</v>
      </c>
      <c r="AG6" s="72">
        <f t="shared" si="8"/>
        <v>0.99153846153843661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3334</v>
      </c>
      <c r="H7" s="78">
        <f>F7*G7</f>
        <v>163832.76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1980.5940594059646</v>
      </c>
      <c r="O7" s="81">
        <f t="shared" si="2"/>
        <v>141.47100424328318</v>
      </c>
      <c r="P7" s="74">
        <f t="shared" si="3"/>
        <v>0</v>
      </c>
      <c r="Q7" s="83">
        <f t="shared" si="4"/>
        <v>-1.3861386138596856</v>
      </c>
      <c r="R7" s="72">
        <f t="shared" si="5"/>
        <v>0.99029702970298217</v>
      </c>
      <c r="S7" s="719"/>
      <c r="T7" s="18">
        <v>0.41180555555555598</v>
      </c>
      <c r="U7" s="18">
        <v>0.48194444444444401</v>
      </c>
      <c r="V7" s="30">
        <f>(T7-U6)*24*60</f>
        <v>8.999999999999968</v>
      </c>
      <c r="W7" s="73">
        <f t="shared" si="6"/>
        <v>100.99999999999876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-19.405940594035428</v>
      </c>
      <c r="AG7" s="72">
        <f t="shared" si="8"/>
        <v>0.99029702970298228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2757</v>
      </c>
      <c r="H8" s="78">
        <f>F8*G8</f>
        <v>135478.98000000001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1993.0120481927668</v>
      </c>
      <c r="O8" s="81">
        <f>N8/M8</f>
        <v>142.35800344234048</v>
      </c>
      <c r="P8" s="74">
        <f>M8-J8</f>
        <v>0</v>
      </c>
      <c r="Q8" s="83">
        <f>O8-L8</f>
        <v>-0.49913941480238577</v>
      </c>
      <c r="R8" s="72">
        <f>O8/L8</f>
        <v>0.99650602409638334</v>
      </c>
      <c r="S8" s="719"/>
      <c r="T8" s="16">
        <v>0.54236111111111096</v>
      </c>
      <c r="U8" s="16">
        <v>0.6</v>
      </c>
      <c r="V8" s="30">
        <f>(T8-U7)*24*60</f>
        <v>87.000000000000412</v>
      </c>
      <c r="W8" s="73">
        <f t="shared" si="6"/>
        <v>83.000000000000185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-6.9879518072332303</v>
      </c>
      <c r="AG8" s="72">
        <f t="shared" si="8"/>
        <v>0.99650602409638334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1847.658152626884</v>
      </c>
      <c r="O15" s="117">
        <f t="shared" si="9"/>
        <v>125.72639034600576</v>
      </c>
      <c r="P15" s="121">
        <f t="shared" ref="P15:P18" si="10">M15-J15</f>
        <v>0</v>
      </c>
      <c r="Q15" s="122">
        <f t="shared" ref="Q15:Q18" si="11">O15-L15</f>
        <v>-0.82823150273375745</v>
      </c>
      <c r="R15" s="123">
        <f t="shared" ref="R15:R18" si="12">O15/L15</f>
        <v>0.99345554124665891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-12.341847373116025</v>
      </c>
      <c r="AG15" s="124">
        <f t="shared" ref="AG15:AG19" si="14">N15/K15</f>
        <v>0.99336459818649681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2407</v>
      </c>
      <c r="H16" s="134">
        <f>F16*G16</f>
        <v>137704.47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13</v>
      </c>
      <c r="N16" s="140">
        <f t="shared" ref="N16:N18" si="16">G16/W16*60</f>
        <v>1828.1012658227894</v>
      </c>
      <c r="O16" s="141">
        <f>N16/M16</f>
        <v>140.62317429406073</v>
      </c>
      <c r="P16" s="142">
        <f>M16-J16</f>
        <v>0</v>
      </c>
      <c r="Q16" s="143">
        <f t="shared" si="11"/>
        <v>-21.299902629016202</v>
      </c>
      <c r="R16" s="144">
        <f>O16/L16</f>
        <v>0.86845665834811847</v>
      </c>
      <c r="S16" s="734">
        <f>R26</f>
        <v>0.93629273536168245</v>
      </c>
      <c r="T16" s="145">
        <v>0.29027777777777802</v>
      </c>
      <c r="U16" s="145">
        <v>0.34513888888888899</v>
      </c>
      <c r="V16" s="135"/>
      <c r="W16" s="146">
        <f t="shared" ref="W16:W78" si="17">(U16-T16)*24*60</f>
        <v>78.999999999999801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-276.8987341772106</v>
      </c>
      <c r="AG16" s="52">
        <f t="shared" si="14"/>
        <v>0.86845665834811847</v>
      </c>
      <c r="AH16" s="724">
        <f>AG26</f>
        <v>0.9349413751126372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3104</v>
      </c>
      <c r="H17" s="78">
        <f>F17*G17</f>
        <v>157279.67999999999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1724.4444444444453</v>
      </c>
      <c r="O17" s="96">
        <f t="shared" ref="O17:O18" si="18">N17/M17</f>
        <v>132.64957264957272</v>
      </c>
      <c r="P17" s="97">
        <f t="shared" si="10"/>
        <v>0</v>
      </c>
      <c r="Q17" s="98">
        <f t="shared" si="11"/>
        <v>-21.196581196581121</v>
      </c>
      <c r="R17" s="99">
        <f t="shared" si="12"/>
        <v>0.86222222222222267</v>
      </c>
      <c r="S17" s="735"/>
      <c r="T17" s="19">
        <v>0.35347222222222202</v>
      </c>
      <c r="U17" s="19">
        <v>0.42847222222222198</v>
      </c>
      <c r="V17" s="30">
        <f>(T17-U16)*24*60</f>
        <v>11.999999999999558</v>
      </c>
      <c r="W17" s="149">
        <f t="shared" si="17"/>
        <v>107.99999999999994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-275.55555555555475</v>
      </c>
      <c r="AG17" s="72">
        <f t="shared" si="14"/>
        <v>0.86222222222222267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1965</v>
      </c>
      <c r="H18" s="78">
        <f>F18*G18</f>
        <v>99016.35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1932.786885245906</v>
      </c>
      <c r="O18" s="96">
        <f t="shared" si="18"/>
        <v>161.06557377049216</v>
      </c>
      <c r="P18" s="97">
        <f t="shared" si="10"/>
        <v>0</v>
      </c>
      <c r="Q18" s="98">
        <f t="shared" si="11"/>
        <v>-5.6010928961744924</v>
      </c>
      <c r="R18" s="99">
        <f t="shared" si="12"/>
        <v>0.96639344262295301</v>
      </c>
      <c r="S18" s="735"/>
      <c r="T18" s="19">
        <v>0.436805555555556</v>
      </c>
      <c r="U18" s="19">
        <v>0.47916666666666702</v>
      </c>
      <c r="V18" s="30">
        <f>(T18-U17)*24*60</f>
        <v>12.000000000000997</v>
      </c>
      <c r="W18" s="149">
        <f t="shared" si="17"/>
        <v>60.999999999999865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-67.213114754094022</v>
      </c>
      <c r="AG18" s="72">
        <f t="shared" si="14"/>
        <v>0.96639344262295301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3162</v>
      </c>
      <c r="H19" s="78">
        <f t="shared" ref="H19:H20" si="19">F19*G19</f>
        <v>159333.18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0" si="20">K19/J19</f>
        <v>166.66666666666666</v>
      </c>
      <c r="M19" s="148">
        <v>12</v>
      </c>
      <c r="N19" s="95">
        <f t="shared" ref="N19:N20" si="21">G19/W19*60</f>
        <v>1976.25000000002</v>
      </c>
      <c r="O19" s="96">
        <f t="shared" ref="O19:O20" si="22">N19/M19</f>
        <v>164.68750000000168</v>
      </c>
      <c r="P19" s="97">
        <f t="shared" ref="P19:P20" si="23">M19-J19</f>
        <v>0</v>
      </c>
      <c r="Q19" s="98">
        <f t="shared" ref="Q19:Q20" si="24">O19-L19</f>
        <v>-1.9791666666649803</v>
      </c>
      <c r="R19" s="99">
        <f t="shared" ref="R19:R20" si="25">O19/L19</f>
        <v>0.98812500000001013</v>
      </c>
      <c r="S19" s="735"/>
      <c r="T19" s="19">
        <v>0.54166666666666696</v>
      </c>
      <c r="U19" s="19">
        <v>0.60833333333333295</v>
      </c>
      <c r="V19" s="30">
        <f>(T19-U18)*24*60</f>
        <v>89.999999999999915</v>
      </c>
      <c r="W19" s="149">
        <f t="shared" si="17"/>
        <v>95.999999999999019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-23.749999999979991</v>
      </c>
      <c r="AG19" s="72">
        <f t="shared" si="14"/>
        <v>0.98812500000001002</v>
      </c>
      <c r="AH19" s="726"/>
    </row>
    <row r="20" spans="1:34" ht="15" customHeight="1">
      <c r="A20" s="741"/>
      <c r="B20" s="75" t="s">
        <v>81</v>
      </c>
      <c r="C20" s="76"/>
      <c r="D20" s="59" t="s">
        <v>123</v>
      </c>
      <c r="E20" s="77"/>
      <c r="F20" s="75">
        <f>VLOOKUP(D20,廠價表!$C$1:$E$41,3,0)</f>
        <v>50.67</v>
      </c>
      <c r="G20" s="147">
        <v>993</v>
      </c>
      <c r="H20" s="78">
        <f t="shared" si="19"/>
        <v>50315.310000000005</v>
      </c>
      <c r="I20" s="30"/>
      <c r="J20" s="79">
        <f>VLOOKUP(D20,產線配置圖!$A$3:$C$39,2,0)</f>
        <v>13</v>
      </c>
      <c r="K20" s="80">
        <f>VLOOKUP(D20,產線配置圖!$A$3:$C$39,3,0)</f>
        <v>2000</v>
      </c>
      <c r="L20" s="81">
        <f t="shared" si="20"/>
        <v>153.84615384615384</v>
      </c>
      <c r="M20" s="148">
        <v>13</v>
      </c>
      <c r="N20" s="95">
        <f t="shared" si="21"/>
        <v>1986.0000000000389</v>
      </c>
      <c r="O20" s="96">
        <f t="shared" si="22"/>
        <v>152.76923076923376</v>
      </c>
      <c r="P20" s="97">
        <f t="shared" si="23"/>
        <v>0</v>
      </c>
      <c r="Q20" s="98">
        <f t="shared" si="24"/>
        <v>-1.0769230769200817</v>
      </c>
      <c r="R20" s="99">
        <f t="shared" si="25"/>
        <v>0.99300000000001942</v>
      </c>
      <c r="S20" s="735"/>
      <c r="T20" s="19">
        <v>0.61666666666666703</v>
      </c>
      <c r="U20" s="19">
        <v>0.63749999999999996</v>
      </c>
      <c r="V20" s="30">
        <f>(T20-U19)*24*60</f>
        <v>12.000000000001076</v>
      </c>
      <c r="W20" s="149">
        <f t="shared" si="17"/>
        <v>29.999999999999414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6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6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7">AVERAGE(J16:J25)</f>
        <v>12.6</v>
      </c>
      <c r="K26" s="155">
        <f t="shared" si="27"/>
        <v>2021</v>
      </c>
      <c r="L26" s="158">
        <f t="shared" si="27"/>
        <v>160.58974358974359</v>
      </c>
      <c r="M26" s="155">
        <f t="shared" si="27"/>
        <v>12.6</v>
      </c>
      <c r="N26" s="155">
        <f t="shared" si="27"/>
        <v>1889.5165191026397</v>
      </c>
      <c r="O26" s="158">
        <f t="shared" si="27"/>
        <v>150.35901029667224</v>
      </c>
      <c r="P26" s="159">
        <f t="shared" ref="P26:P29" si="28">M26-J26</f>
        <v>0</v>
      </c>
      <c r="Q26" s="160">
        <f t="shared" ref="Q26:Q29" si="29">O26-L26</f>
        <v>-10.230733293071353</v>
      </c>
      <c r="R26" s="161">
        <f>O26/L26</f>
        <v>0.93629273536168245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30">N26-K26</f>
        <v>-131.48348089736032</v>
      </c>
      <c r="AG26" s="124">
        <f t="shared" ref="AG26:AG31" si="31">N26/K26</f>
        <v>0.9349413751126372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1467</v>
      </c>
      <c r="H27" s="134">
        <f>F27*G27</f>
        <v>84059.099999999991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32">K27/J27</f>
        <v>88.235294117647058</v>
      </c>
      <c r="M27" s="170">
        <v>15</v>
      </c>
      <c r="N27" s="140">
        <f>G27/W27*60</f>
        <v>1313.7313432835756</v>
      </c>
      <c r="O27" s="141">
        <f>N27/M27</f>
        <v>87.582089552238372</v>
      </c>
      <c r="P27" s="142">
        <f t="shared" si="28"/>
        <v>-2</v>
      </c>
      <c r="Q27" s="143">
        <f t="shared" si="29"/>
        <v>-0.65320456540868577</v>
      </c>
      <c r="R27" s="144">
        <f>O27/L27</f>
        <v>0.99259701492536823</v>
      </c>
      <c r="S27" s="734">
        <f>R37</f>
        <v>0.94990704178880492</v>
      </c>
      <c r="T27" s="171">
        <v>0.29097222222222202</v>
      </c>
      <c r="U27" s="171">
        <v>0.33750000000000002</v>
      </c>
      <c r="V27" s="135"/>
      <c r="W27" s="146">
        <f t="shared" si="17"/>
        <v>67.000000000000327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30"/>
        <v>-186.2686567164244</v>
      </c>
      <c r="AG27" s="172">
        <f t="shared" si="31"/>
        <v>0.87582089552238374</v>
      </c>
      <c r="AH27" s="724">
        <f>AG37</f>
        <v>0.89255827952003464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1567</v>
      </c>
      <c r="H28" s="91">
        <f>F28*G28</f>
        <v>86388.71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32"/>
        <v>81.470588235294116</v>
      </c>
      <c r="M28" s="94">
        <v>17</v>
      </c>
      <c r="N28" s="95">
        <f>G28/W28*60</f>
        <v>1343.1428571428603</v>
      </c>
      <c r="O28" s="96">
        <f>N28/M28</f>
        <v>79.008403361344719</v>
      </c>
      <c r="P28" s="97">
        <f t="shared" si="28"/>
        <v>0</v>
      </c>
      <c r="Q28" s="98">
        <f t="shared" si="29"/>
        <v>-2.462184873949397</v>
      </c>
      <c r="R28" s="99">
        <f t="shared" ref="R28:R29" si="33">O28/L28</f>
        <v>0.9697782362042312</v>
      </c>
      <c r="S28" s="735"/>
      <c r="T28" s="19">
        <v>0.343055555555556</v>
      </c>
      <c r="U28" s="19">
        <v>0.391666666666667</v>
      </c>
      <c r="V28" s="92">
        <f>(T28-U27)*24*60</f>
        <v>8.0000000000006111</v>
      </c>
      <c r="W28" s="149">
        <f t="shared" si="17"/>
        <v>69.999999999999829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30"/>
        <v>-41.857142857139706</v>
      </c>
      <c r="AG28" s="99">
        <f t="shared" si="31"/>
        <v>0.96977823620423131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2165</v>
      </c>
      <c r="H29" s="91">
        <f>F29*G29</f>
        <v>107210.8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32"/>
        <v>84.705882352941174</v>
      </c>
      <c r="M29" s="94">
        <v>16</v>
      </c>
      <c r="N29" s="95">
        <f>G29/W29*60</f>
        <v>1202.7777777777776</v>
      </c>
      <c r="O29" s="96">
        <f>N29/M29</f>
        <v>75.1736111111111</v>
      </c>
      <c r="P29" s="97">
        <f t="shared" si="28"/>
        <v>-1</v>
      </c>
      <c r="Q29" s="98">
        <f t="shared" si="29"/>
        <v>-9.5322712418300739</v>
      </c>
      <c r="R29" s="99">
        <f t="shared" si="33"/>
        <v>0.88746624228395055</v>
      </c>
      <c r="S29" s="735"/>
      <c r="T29" s="19">
        <v>0.39722222222222198</v>
      </c>
      <c r="U29" s="19">
        <v>0.47222222222222199</v>
      </c>
      <c r="V29" s="92">
        <f>(T29-U28)*24*60</f>
        <v>7.9999999999991722</v>
      </c>
      <c r="W29" s="149">
        <f t="shared" si="17"/>
        <v>108.00000000000001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30"/>
        <v>-237.2222222222224</v>
      </c>
      <c r="AG29" s="99">
        <f t="shared" si="31"/>
        <v>0.83526234567901225</v>
      </c>
      <c r="AH29" s="744"/>
    </row>
    <row r="30" spans="1:34" ht="15" customHeight="1">
      <c r="A30" s="732"/>
      <c r="B30" s="75" t="s">
        <v>81</v>
      </c>
      <c r="C30" s="88"/>
      <c r="D30" s="59" t="s">
        <v>125</v>
      </c>
      <c r="E30" s="89"/>
      <c r="F30" s="75">
        <f>VLOOKUP(D30,廠價表!$C$1:$E$41,3,0)</f>
        <v>57.3</v>
      </c>
      <c r="G30" s="90">
        <v>893</v>
      </c>
      <c r="H30" s="91">
        <f>F30*G30</f>
        <v>51168.899999999994</v>
      </c>
      <c r="I30" s="92"/>
      <c r="J30" s="79">
        <f>VLOOKUP(D30,產線配置圖!$A$3:$C$39,2,0)</f>
        <v>17</v>
      </c>
      <c r="K30" s="80">
        <f>VLOOKUP(D30,產線配置圖!$A$3:$C$39,3,0)</f>
        <v>1500</v>
      </c>
      <c r="L30" s="93">
        <f>K30/J30</f>
        <v>88.235294117647058</v>
      </c>
      <c r="M30" s="94">
        <v>16</v>
      </c>
      <c r="N30" s="95">
        <f>G30/W30*60</f>
        <v>1339.4999999999886</v>
      </c>
      <c r="O30" s="96">
        <f>N30/M30</f>
        <v>83.718749999999289</v>
      </c>
      <c r="P30" s="97">
        <f>M30-J30</f>
        <v>-1</v>
      </c>
      <c r="Q30" s="98">
        <f>O30-L30</f>
        <v>-4.5165441176477685</v>
      </c>
      <c r="R30" s="99">
        <f>O30/L30</f>
        <v>0.94881249999999195</v>
      </c>
      <c r="S30" s="735"/>
      <c r="T30" s="19">
        <v>0.53472222222222199</v>
      </c>
      <c r="U30" s="19">
        <v>0.5625</v>
      </c>
      <c r="V30" s="92">
        <f>(T30-U29)*24*60</f>
        <v>90</v>
      </c>
      <c r="W30" s="149">
        <f t="shared" si="17"/>
        <v>40.000000000000341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30"/>
        <v>-160.50000000001137</v>
      </c>
      <c r="AG30" s="99">
        <f t="shared" si="31"/>
        <v>0.89299999999999247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30"/>
        <v>0</v>
      </c>
      <c r="AG31" s="99" t="e">
        <f t="shared" si="31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5">AVERAGE(J27:J36)</f>
        <v>17</v>
      </c>
      <c r="K37" s="155">
        <f t="shared" si="35"/>
        <v>1456.25</v>
      </c>
      <c r="L37" s="158">
        <f t="shared" si="35"/>
        <v>85.661764705882348</v>
      </c>
      <c r="M37" s="155">
        <f t="shared" si="35"/>
        <v>16</v>
      </c>
      <c r="N37" s="155">
        <f t="shared" si="35"/>
        <v>1299.7879945510504</v>
      </c>
      <c r="O37" s="158">
        <f t="shared" si="35"/>
        <v>81.37071350617336</v>
      </c>
      <c r="P37" s="159">
        <f>M37-J37</f>
        <v>-1</v>
      </c>
      <c r="Q37" s="160">
        <f>N37-K37</f>
        <v>-156.46200544894964</v>
      </c>
      <c r="R37" s="161">
        <f>O37/L37</f>
        <v>0.94990704178880492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6">N37-K37</f>
        <v>-156.46200544894964</v>
      </c>
      <c r="AG37" s="124">
        <f t="shared" ref="AG37:AG41" si="37">N37/K37</f>
        <v>0.89255827952003464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1358</v>
      </c>
      <c r="H38" s="134">
        <f>F38*G38</f>
        <v>77813.399999999994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>K38/J38</f>
        <v>86.5625</v>
      </c>
      <c r="M38" s="190">
        <v>15</v>
      </c>
      <c r="N38" s="140">
        <f>G38/W38*60</f>
        <v>1164.000000000003</v>
      </c>
      <c r="O38" s="141">
        <f>N38/M38</f>
        <v>77.600000000000193</v>
      </c>
      <c r="P38" s="142">
        <f>M38-J38</f>
        <v>-1</v>
      </c>
      <c r="Q38" s="143">
        <f>O38-L38</f>
        <v>-8.9624999999998067</v>
      </c>
      <c r="R38" s="144">
        <f>O38/L38</f>
        <v>0.89646209386281817</v>
      </c>
      <c r="S38" s="756">
        <f>R48</f>
        <v>0.79994012424219985</v>
      </c>
      <c r="T38" s="191">
        <v>0.33333333333333298</v>
      </c>
      <c r="U38" s="191">
        <v>0.38194444444444398</v>
      </c>
      <c r="V38" s="192"/>
      <c r="W38" s="193">
        <f t="shared" si="17"/>
        <v>69.999999999999829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6"/>
        <v>-220.99999999999704</v>
      </c>
      <c r="AG38" s="195">
        <f t="shared" si="37"/>
        <v>0.84043321299639207</v>
      </c>
      <c r="AH38" s="746">
        <f>AG48</f>
        <v>0.77300164127884341</v>
      </c>
    </row>
    <row r="39" spans="1:34" ht="15" customHeight="1">
      <c r="A39" s="754"/>
      <c r="B39" s="75" t="s">
        <v>81</v>
      </c>
      <c r="C39" s="207"/>
      <c r="D39" s="198" t="s">
        <v>130</v>
      </c>
      <c r="E39" s="613"/>
      <c r="F39" s="75">
        <f>VLOOKUP(D39,廠價表!$C$1:$E$41,3,0)</f>
        <v>56.43</v>
      </c>
      <c r="G39" s="199">
        <v>1114</v>
      </c>
      <c r="H39" s="91">
        <f>F39*G39</f>
        <v>62863.02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>K39/J39</f>
        <v>87.875</v>
      </c>
      <c r="M39" s="201">
        <v>15</v>
      </c>
      <c r="N39" s="202">
        <f>G39/W39*60</f>
        <v>1028.3076923076894</v>
      </c>
      <c r="O39" s="203">
        <f>N39/M39</f>
        <v>68.553846153845967</v>
      </c>
      <c r="P39" s="97">
        <f>M39-J39</f>
        <v>-1</v>
      </c>
      <c r="Q39" s="98">
        <f>O39-L39</f>
        <v>-19.321153846154033</v>
      </c>
      <c r="R39" s="99">
        <f>O39/L39</f>
        <v>0.78012911697122012</v>
      </c>
      <c r="S39" s="757"/>
      <c r="T39" s="20">
        <v>0.39236111111111099</v>
      </c>
      <c r="U39" s="20">
        <v>0.4375</v>
      </c>
      <c r="V39" s="92">
        <f>(T39-U38)*24*60</f>
        <v>15.000000000000506</v>
      </c>
      <c r="W39" s="205">
        <f t="shared" si="17"/>
        <v>65.000000000000171</v>
      </c>
      <c r="X39" s="22"/>
      <c r="Y39" s="84"/>
      <c r="Z39" s="90"/>
      <c r="AA39" s="90"/>
      <c r="AB39" s="749" t="s">
        <v>170</v>
      </c>
      <c r="AC39" s="749"/>
      <c r="AD39" s="200"/>
      <c r="AE39" s="200"/>
      <c r="AF39" s="314">
        <f t="shared" si="36"/>
        <v>-377.69230769231058</v>
      </c>
      <c r="AG39" s="206">
        <f t="shared" si="37"/>
        <v>0.73137104716051882</v>
      </c>
      <c r="AH39" s="747"/>
    </row>
    <row r="40" spans="1:34" ht="15" customHeight="1">
      <c r="A40" s="754"/>
      <c r="B40" s="75" t="s">
        <v>117</v>
      </c>
      <c r="C40" s="86"/>
      <c r="D40" s="198" t="s">
        <v>118</v>
      </c>
      <c r="E40" s="87"/>
      <c r="F40" s="75">
        <f>VLOOKUP(D40,廠價表!$C$1:$E$41,3,0)</f>
        <v>44.3</v>
      </c>
      <c r="G40" s="199">
        <v>2005</v>
      </c>
      <c r="H40" s="91">
        <f>F40*G40</f>
        <v>88821.5</v>
      </c>
      <c r="I40" s="200"/>
      <c r="J40" s="148">
        <v>17</v>
      </c>
      <c r="K40" s="95">
        <f>VLOOKUP(D40,產線配置圖!$A$3:$C$39,3,0)</f>
        <v>1440</v>
      </c>
      <c r="L40" s="96">
        <f>K40/J40</f>
        <v>84.705882352941174</v>
      </c>
      <c r="M40" s="201">
        <v>17</v>
      </c>
      <c r="N40" s="202">
        <f>G40/W40*60</f>
        <v>925.38461538462388</v>
      </c>
      <c r="O40" s="203">
        <f>N40/M40</f>
        <v>54.434389140271996</v>
      </c>
      <c r="P40" s="97">
        <f>M40-J40</f>
        <v>0</v>
      </c>
      <c r="Q40" s="98">
        <f>O40-L40</f>
        <v>-30.271493212669178</v>
      </c>
      <c r="R40" s="99">
        <f>O40/L40</f>
        <v>0.64262820512821106</v>
      </c>
      <c r="S40" s="719"/>
      <c r="T40" s="210">
        <v>0.44791666666666702</v>
      </c>
      <c r="U40" s="210">
        <v>0.53819444444444398</v>
      </c>
      <c r="V40" s="92">
        <f>(T40-U39)*24*60</f>
        <v>15.000000000000506</v>
      </c>
      <c r="W40" s="205">
        <f t="shared" si="17"/>
        <v>129.99999999999881</v>
      </c>
      <c r="X40" s="208"/>
      <c r="Y40" s="209"/>
      <c r="Z40" s="337"/>
      <c r="AA40" s="337"/>
      <c r="AB40" s="713" t="s">
        <v>170</v>
      </c>
      <c r="AC40" s="713"/>
      <c r="AD40" s="92"/>
      <c r="AE40" s="92"/>
      <c r="AF40" s="314">
        <f t="shared" si="36"/>
        <v>-514.61538461537612</v>
      </c>
      <c r="AG40" s="206">
        <f t="shared" si="37"/>
        <v>0.64262820512821106</v>
      </c>
      <c r="AH40" s="747"/>
    </row>
    <row r="41" spans="1:34" ht="15" customHeight="1">
      <c r="A41" s="754"/>
      <c r="B41" s="75" t="s">
        <v>117</v>
      </c>
      <c r="C41" s="102"/>
      <c r="D41" s="198" t="s">
        <v>118</v>
      </c>
      <c r="E41" s="104"/>
      <c r="F41" s="75">
        <f>VLOOKUP(D41,廠價表!$C$1:$E$41,3,0)</f>
        <v>44.3</v>
      </c>
      <c r="G41" s="202">
        <v>1477</v>
      </c>
      <c r="H41" s="91">
        <f>F41*G41</f>
        <v>65431.1</v>
      </c>
      <c r="I41" s="200"/>
      <c r="J41" s="148">
        <v>17</v>
      </c>
      <c r="K41" s="95">
        <f>VLOOKUP(D41,產線配置圖!$A$3:$C$39,3,0)</f>
        <v>1440</v>
      </c>
      <c r="L41" s="96">
        <f>K41/J41</f>
        <v>84.705882352941174</v>
      </c>
      <c r="M41" s="201">
        <v>17</v>
      </c>
      <c r="N41" s="202">
        <f>G41/W41*60</f>
        <v>1266.0000000000045</v>
      </c>
      <c r="O41" s="203">
        <f>N41/M41</f>
        <v>74.470588235294386</v>
      </c>
      <c r="P41" s="97">
        <f>M41-J41</f>
        <v>0</v>
      </c>
      <c r="Q41" s="98">
        <f>O41-L41</f>
        <v>-10.235294117646788</v>
      </c>
      <c r="R41" s="99">
        <f>O41/L41</f>
        <v>0.87916666666666987</v>
      </c>
      <c r="S41" s="719"/>
      <c r="T41" s="210">
        <v>0.58680555555555602</v>
      </c>
      <c r="U41" s="210">
        <v>0.63541666666666696</v>
      </c>
      <c r="V41" s="92">
        <f>(T41-U40)*24*60</f>
        <v>70.00000000000135</v>
      </c>
      <c r="W41" s="205">
        <f t="shared" si="17"/>
        <v>69.999999999999744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6"/>
        <v>-173.99999999999545</v>
      </c>
      <c r="AG41" s="206">
        <f t="shared" si="37"/>
        <v>0.87916666666666987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8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8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8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8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9">AVERAGE(J38:J47)</f>
        <v>16.5</v>
      </c>
      <c r="K48" s="155">
        <f t="shared" si="39"/>
        <v>1417.75</v>
      </c>
      <c r="L48" s="158">
        <f t="shared" si="39"/>
        <v>85.96231617647058</v>
      </c>
      <c r="M48" s="155">
        <f t="shared" si="39"/>
        <v>16</v>
      </c>
      <c r="N48" s="155">
        <f t="shared" si="39"/>
        <v>1095.9230769230803</v>
      </c>
      <c r="O48" s="158">
        <f t="shared" si="39"/>
        <v>68.764705882353141</v>
      </c>
      <c r="P48" s="221">
        <f>M48-J48</f>
        <v>-0.5</v>
      </c>
      <c r="Q48" s="222">
        <f>N48-K48</f>
        <v>-321.82692307691968</v>
      </c>
      <c r="R48" s="223">
        <f>O48/L48</f>
        <v>0.79994012424219985</v>
      </c>
      <c r="S48" s="722"/>
      <c r="T48" s="224"/>
      <c r="U48" s="224"/>
      <c r="V48" s="225"/>
      <c r="W48" s="226">
        <f t="shared" si="38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0">N48-K48</f>
        <v>-321.82692307691968</v>
      </c>
      <c r="AG48" s="162">
        <f t="shared" ref="AG48:AG53" si="41">N48/K48</f>
        <v>0.77300164127884341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1360</v>
      </c>
      <c r="H49" s="134">
        <f>F49*G49</f>
        <v>77343.199999999997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2">K49/J49</f>
        <v>86.944444444444443</v>
      </c>
      <c r="M49" s="170">
        <v>18</v>
      </c>
      <c r="N49" s="140">
        <f>G49/W49*60</f>
        <v>1539.6226415094161</v>
      </c>
      <c r="O49" s="141">
        <f>N49/M49</f>
        <v>85.534591194967561</v>
      </c>
      <c r="P49" s="229">
        <f>M49-J49</f>
        <v>0</v>
      </c>
      <c r="Q49" s="230">
        <f>O49-L49</f>
        <v>-1.4098532494768818</v>
      </c>
      <c r="R49" s="52">
        <f>O49/L49</f>
        <v>0.98378443546927552</v>
      </c>
      <c r="S49" s="718">
        <f>R58</f>
        <v>0.98953477049472105</v>
      </c>
      <c r="T49" s="191">
        <v>0.28958333333333303</v>
      </c>
      <c r="U49" s="191">
        <v>0.32638888888888901</v>
      </c>
      <c r="V49" s="55"/>
      <c r="W49" s="193">
        <f t="shared" si="17"/>
        <v>53.000000000000611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0"/>
        <v>-25.377358490583902</v>
      </c>
      <c r="AG49" s="52">
        <f t="shared" si="41"/>
        <v>0.98378443546927541</v>
      </c>
      <c r="AH49" s="724">
        <f>AG58</f>
        <v>0.98956569511303905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2627</v>
      </c>
      <c r="H50" s="231">
        <f>F50*G50</f>
        <v>131113.56999999998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2"/>
        <v>92.058823529411768</v>
      </c>
      <c r="M50" s="233">
        <v>17</v>
      </c>
      <c r="N50" s="234">
        <f>G50/W50*60</f>
        <v>1545.2941176470438</v>
      </c>
      <c r="O50" s="235">
        <f>N50/M50</f>
        <v>90.899653979237868</v>
      </c>
      <c r="P50" s="74">
        <f>M50-J50</f>
        <v>0</v>
      </c>
      <c r="Q50" s="83">
        <f>O50-L50</f>
        <v>-1.1591695501738997</v>
      </c>
      <c r="R50" s="72">
        <f>O50/L50</f>
        <v>0.98740838188309499</v>
      </c>
      <c r="S50" s="719"/>
      <c r="T50" s="21">
        <v>0.33194444444444399</v>
      </c>
      <c r="U50" s="21">
        <v>0.40277777777777801</v>
      </c>
      <c r="V50" s="30">
        <f t="shared" ref="V50:V52" si="43">(T50-U49)*24*60</f>
        <v>7.9999999999991722</v>
      </c>
      <c r="W50" s="236">
        <f t="shared" si="17"/>
        <v>102.00000000000099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0"/>
        <v>-19.705882352956223</v>
      </c>
      <c r="AG50" s="72">
        <f t="shared" si="41"/>
        <v>0.9874083818830951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2541</v>
      </c>
      <c r="H51" s="231">
        <f>F51*G51</f>
        <v>126973.77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2"/>
        <v>88.888888888888886</v>
      </c>
      <c r="M51" s="233">
        <v>18</v>
      </c>
      <c r="N51" s="234">
        <f>G51/W51*60</f>
        <v>1588.1249999999925</v>
      </c>
      <c r="O51" s="235">
        <f>N51/M51</f>
        <v>88.229166666666245</v>
      </c>
      <c r="P51" s="74">
        <f>M51-J51</f>
        <v>0</v>
      </c>
      <c r="Q51" s="83">
        <f>O51-L51</f>
        <v>-0.65972222222264065</v>
      </c>
      <c r="R51" s="72">
        <f>O51/L51</f>
        <v>0.99257812499999531</v>
      </c>
      <c r="S51" s="719"/>
      <c r="T51" s="21">
        <v>0.40763888888888899</v>
      </c>
      <c r="U51" s="19">
        <v>0.47430555555555598</v>
      </c>
      <c r="V51" s="30">
        <f t="shared" si="43"/>
        <v>6.9999999999998153</v>
      </c>
      <c r="W51" s="236">
        <f t="shared" si="17"/>
        <v>96.000000000000455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0"/>
        <v>-11.875000000007503</v>
      </c>
      <c r="AG51" s="72">
        <f t="shared" si="41"/>
        <v>0.99257812499999531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3500</v>
      </c>
      <c r="H52" s="231">
        <f>F52*G52</f>
        <v>174895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1590.9090909090851</v>
      </c>
      <c r="O52" s="235">
        <f>N52/M52</f>
        <v>88.383838383838054</v>
      </c>
      <c r="P52" s="74">
        <f>M52-J52</f>
        <v>0</v>
      </c>
      <c r="Q52" s="83">
        <f>O52-L52</f>
        <v>-0.50505050505083204</v>
      </c>
      <c r="R52" s="72">
        <f>O52/L52</f>
        <v>0.9943181818181781</v>
      </c>
      <c r="S52" s="719"/>
      <c r="T52" s="21">
        <v>0.53611111111111098</v>
      </c>
      <c r="U52" s="21">
        <v>0.62777777777777799</v>
      </c>
      <c r="V52" s="30">
        <f t="shared" si="43"/>
        <v>88.999999999999204</v>
      </c>
      <c r="W52" s="236">
        <f t="shared" si="17"/>
        <v>132.00000000000048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0"/>
        <v>-9.0909090909149199</v>
      </c>
      <c r="AG52" s="72">
        <f t="shared" si="41"/>
        <v>0.99431818181817822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0"/>
        <v>0</v>
      </c>
      <c r="AG53" s="72" t="e">
        <f t="shared" si="41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4">AVERAGE(J49:J57)</f>
        <v>17.75</v>
      </c>
      <c r="K58" s="120">
        <f t="shared" si="44"/>
        <v>1582.5</v>
      </c>
      <c r="L58" s="117">
        <f t="shared" si="44"/>
        <v>89.195261437908499</v>
      </c>
      <c r="M58" s="120">
        <f t="shared" si="44"/>
        <v>17.75</v>
      </c>
      <c r="N58" s="120">
        <f t="shared" si="44"/>
        <v>1565.9877125163844</v>
      </c>
      <c r="O58" s="117">
        <f t="shared" si="44"/>
        <v>88.261812556177432</v>
      </c>
      <c r="P58" s="121">
        <f>M58-J58</f>
        <v>0</v>
      </c>
      <c r="Q58" s="122">
        <f>N58-K58</f>
        <v>-16.512287483615637</v>
      </c>
      <c r="R58" s="123">
        <f t="shared" ref="R58:R60" si="45">O58/L58</f>
        <v>0.98953477049472105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46">N58-K58</f>
        <v>-16.512287483615637</v>
      </c>
      <c r="AG58" s="124">
        <f t="shared" ref="AG58:AG61" si="47">N58/K58</f>
        <v>0.98956569511303905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3804</v>
      </c>
      <c r="H59" s="243">
        <f>F59*G59</f>
        <v>102669.95999999999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8">K59/J59</f>
        <v>120.38461538461539</v>
      </c>
      <c r="M59" s="244">
        <v>13</v>
      </c>
      <c r="N59" s="137">
        <f t="shared" ref="N59:N61" si="49">G59/W59*60</f>
        <v>1542.1621621621744</v>
      </c>
      <c r="O59" s="138">
        <f t="shared" ref="O59:O61" si="50">N59/M59</f>
        <v>118.62785862785957</v>
      </c>
      <c r="P59" s="56">
        <f t="shared" ref="P59:P61" si="51">M59-J59</f>
        <v>0</v>
      </c>
      <c r="Q59" s="230">
        <f t="shared" ref="Q59:Q61" si="52">O59-L59</f>
        <v>-1.75675675675582</v>
      </c>
      <c r="R59" s="52">
        <f t="shared" si="45"/>
        <v>0.9854071323719964</v>
      </c>
      <c r="S59" s="718">
        <f>R69</f>
        <v>0.85937763594800742</v>
      </c>
      <c r="T59" s="245">
        <v>0.29166666666666702</v>
      </c>
      <c r="U59" s="245">
        <v>0.39444444444444399</v>
      </c>
      <c r="V59" s="55"/>
      <c r="W59" s="54">
        <f t="shared" si="17"/>
        <v>147.99999999999883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46"/>
        <v>-22.837837837825646</v>
      </c>
      <c r="AG59" s="246">
        <f t="shared" si="47"/>
        <v>0.9854071323719964</v>
      </c>
      <c r="AH59" s="724">
        <f>AG69</f>
        <v>0.85328881780874344</v>
      </c>
    </row>
    <row r="60" spans="1:34" ht="15" customHeight="1">
      <c r="A60" s="765"/>
      <c r="B60" s="75" t="s">
        <v>135</v>
      </c>
      <c r="C60" s="86"/>
      <c r="D60" s="175" t="s">
        <v>138</v>
      </c>
      <c r="E60" s="87"/>
      <c r="F60" s="75">
        <f>VLOOKUP(D60,廠價表!$C$1:$E$41,3,0)</f>
        <v>28.26</v>
      </c>
      <c r="G60" s="30">
        <v>1958</v>
      </c>
      <c r="H60" s="78">
        <f>F60*G60</f>
        <v>55333.08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8"/>
        <v>130.41666666666666</v>
      </c>
      <c r="M60" s="82">
        <v>12</v>
      </c>
      <c r="N60" s="80">
        <f t="shared" si="49"/>
        <v>1545.7894736842047</v>
      </c>
      <c r="O60" s="81">
        <f t="shared" si="50"/>
        <v>128.81578947368374</v>
      </c>
      <c r="P60" s="74">
        <f t="shared" si="51"/>
        <v>0</v>
      </c>
      <c r="Q60" s="83">
        <f t="shared" si="52"/>
        <v>-1.6008771929829209</v>
      </c>
      <c r="R60" s="72">
        <f t="shared" si="45"/>
        <v>0.987724903312591</v>
      </c>
      <c r="S60" s="768"/>
      <c r="T60" s="22">
        <v>0.40625</v>
      </c>
      <c r="U60" s="22">
        <v>0.45902777777777798</v>
      </c>
      <c r="V60" s="30">
        <f t="shared" ref="V60:V61" si="53">(T60-U59)*24*60</f>
        <v>17.000000000000661</v>
      </c>
      <c r="W60" s="248">
        <f t="shared" si="17"/>
        <v>76.000000000000284</v>
      </c>
      <c r="X60" s="232"/>
      <c r="Y60" s="177"/>
      <c r="Z60" s="90"/>
      <c r="AA60" s="90"/>
      <c r="AB60" s="713" t="s">
        <v>171</v>
      </c>
      <c r="AC60" s="713"/>
      <c r="AD60" s="92"/>
      <c r="AE60" s="92"/>
      <c r="AF60" s="316">
        <f t="shared" si="46"/>
        <v>-19.210526315795278</v>
      </c>
      <c r="AG60" s="249">
        <f t="shared" si="47"/>
        <v>0.98772490331259089</v>
      </c>
      <c r="AH60" s="759"/>
    </row>
    <row r="61" spans="1:34" ht="15" customHeight="1">
      <c r="A61" s="766"/>
      <c r="B61" s="250" t="s">
        <v>135</v>
      </c>
      <c r="C61" s="251"/>
      <c r="D61" s="252" t="s">
        <v>137</v>
      </c>
      <c r="E61" s="253"/>
      <c r="F61" s="250">
        <f>VLOOKUP(D61,廠價表!$C$1:$E$41,3,0)</f>
        <v>28.47</v>
      </c>
      <c r="G61" s="38">
        <v>367</v>
      </c>
      <c r="H61" s="254">
        <f>F61*G61</f>
        <v>10448.49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8"/>
        <v>130.41666666666666</v>
      </c>
      <c r="M61" s="108">
        <v>11</v>
      </c>
      <c r="N61" s="107">
        <f t="shared" si="49"/>
        <v>734.00000000001228</v>
      </c>
      <c r="O61" s="238">
        <f t="shared" si="50"/>
        <v>66.727272727273842</v>
      </c>
      <c r="P61" s="111">
        <f t="shared" si="51"/>
        <v>-1</v>
      </c>
      <c r="Q61" s="255">
        <f t="shared" si="52"/>
        <v>-63.689393939392815</v>
      </c>
      <c r="R61" s="85">
        <f>O61/L61</f>
        <v>0.51164681963404868</v>
      </c>
      <c r="S61" s="719"/>
      <c r="T61" s="22">
        <v>0.46875</v>
      </c>
      <c r="U61" s="22">
        <v>0.48958333333333298</v>
      </c>
      <c r="V61" s="30">
        <f t="shared" si="53"/>
        <v>13.99999999999971</v>
      </c>
      <c r="W61" s="256">
        <f t="shared" si="17"/>
        <v>29.999999999999496</v>
      </c>
      <c r="X61" s="22"/>
      <c r="Y61" s="84"/>
      <c r="Z61" s="90"/>
      <c r="AA61" s="90"/>
      <c r="AB61" s="713" t="s">
        <v>146</v>
      </c>
      <c r="AC61" s="713"/>
      <c r="AD61" s="92"/>
      <c r="AE61" s="92"/>
      <c r="AF61" s="317">
        <f t="shared" si="46"/>
        <v>-830.99999999998772</v>
      </c>
      <c r="AG61" s="247">
        <f t="shared" si="47"/>
        <v>0.46900958466454457</v>
      </c>
      <c r="AH61" s="725"/>
    </row>
    <row r="62" spans="1:34" ht="15" customHeight="1">
      <c r="A62" s="766"/>
      <c r="B62" s="250" t="s">
        <v>135</v>
      </c>
      <c r="C62" s="251"/>
      <c r="D62" s="257" t="s">
        <v>136</v>
      </c>
      <c r="E62" s="253"/>
      <c r="F62" s="250">
        <f>VLOOKUP(D62,廠價表!$C$1:$E$41,3,0)</f>
        <v>26.99</v>
      </c>
      <c r="G62" s="38">
        <v>1393</v>
      </c>
      <c r="H62" s="254">
        <f>F62*G62</f>
        <v>37597.07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108">
        <v>13</v>
      </c>
      <c r="N62" s="107">
        <f>G62/W62*60</f>
        <v>1519.6363636363424</v>
      </c>
      <c r="O62" s="238">
        <f>N62/M62</f>
        <v>116.89510489510326</v>
      </c>
      <c r="P62" s="111">
        <f>M62-J62</f>
        <v>0</v>
      </c>
      <c r="Q62" s="255">
        <f>O62-L62</f>
        <v>-3.4895104895121278</v>
      </c>
      <c r="R62" s="85">
        <f>O62/L62</f>
        <v>0.97101365088584179</v>
      </c>
      <c r="S62" s="719"/>
      <c r="T62" s="22">
        <v>0.54861111111111105</v>
      </c>
      <c r="U62" s="22">
        <v>0.58680555555555602</v>
      </c>
      <c r="V62" s="30"/>
      <c r="W62" s="248">
        <f t="shared" si="17"/>
        <v>55.000000000000767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-45.363636363657633</v>
      </c>
      <c r="AG62" s="247">
        <f>N62/K62</f>
        <v>0.97101365088584179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4">AVERAGE(J59:J68)</f>
        <v>12.5</v>
      </c>
      <c r="K69" s="240">
        <f t="shared" si="54"/>
        <v>1565</v>
      </c>
      <c r="L69" s="268">
        <f t="shared" si="54"/>
        <v>125.40064102564102</v>
      </c>
      <c r="M69" s="240">
        <f t="shared" si="54"/>
        <v>12.25</v>
      </c>
      <c r="N69" s="240">
        <f t="shared" si="54"/>
        <v>1335.3969998706834</v>
      </c>
      <c r="O69" s="268">
        <f t="shared" si="54"/>
        <v>107.7665064309801</v>
      </c>
      <c r="P69" s="269">
        <f>M69-J69</f>
        <v>-0.25</v>
      </c>
      <c r="Q69" s="222">
        <f>N69-K69</f>
        <v>-229.60300012931657</v>
      </c>
      <c r="R69" s="123">
        <f>O69/L69</f>
        <v>0.85937763594800742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-229.60300012931657</v>
      </c>
      <c r="AG69" s="124">
        <f>N69/K69</f>
        <v>0.85328881780874344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2238</v>
      </c>
      <c r="H70" s="243">
        <f>F70*G70</f>
        <v>113399.46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866.32258064516896</v>
      </c>
      <c r="O70" s="138">
        <f>N70/M70</f>
        <v>86.63225806451689</v>
      </c>
      <c r="P70" s="56">
        <f>M70-J70</f>
        <v>0</v>
      </c>
      <c r="Q70" s="230">
        <f>O70-L70</f>
        <v>-25.86774193548311</v>
      </c>
      <c r="R70" s="52">
        <f>O70/L70</f>
        <v>0.77006451612903903</v>
      </c>
      <c r="S70" s="718">
        <f>R79</f>
        <v>0.77006451612903903</v>
      </c>
      <c r="T70" s="245">
        <v>0.33680555555555602</v>
      </c>
      <c r="U70" s="245">
        <v>0.44444444444444398</v>
      </c>
      <c r="V70" s="55"/>
      <c r="W70" s="54">
        <f t="shared" si="17"/>
        <v>154.99999999999864</v>
      </c>
      <c r="X70" s="270"/>
      <c r="Y70" s="292"/>
      <c r="Z70" s="169"/>
      <c r="AA70" s="169"/>
      <c r="AB70" s="723" t="s">
        <v>172</v>
      </c>
      <c r="AC70" s="723"/>
      <c r="AD70" s="135"/>
      <c r="AE70" s="135"/>
      <c r="AF70" s="310">
        <f>N70-K70</f>
        <v>-258.67741935483104</v>
      </c>
      <c r="AG70" s="246">
        <f>N70/K70</f>
        <v>0.77006451612903903</v>
      </c>
      <c r="AH70" s="724">
        <f>AG79</f>
        <v>0.77006451612903903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5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5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5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5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56">AVERAGE(J70:J78)</f>
        <v>10</v>
      </c>
      <c r="K79" s="240">
        <f t="shared" si="56"/>
        <v>1125</v>
      </c>
      <c r="L79" s="268">
        <f t="shared" si="56"/>
        <v>112.5</v>
      </c>
      <c r="M79" s="240">
        <f t="shared" si="56"/>
        <v>10</v>
      </c>
      <c r="N79" s="240">
        <f t="shared" si="56"/>
        <v>866.32258064516896</v>
      </c>
      <c r="O79" s="268">
        <f t="shared" si="56"/>
        <v>86.63225806451689</v>
      </c>
      <c r="P79" s="269">
        <f>M79-J79</f>
        <v>0</v>
      </c>
      <c r="Q79" s="222">
        <f>N79-K79</f>
        <v>-258.67741935483104</v>
      </c>
      <c r="R79" s="223">
        <f>O79/L79</f>
        <v>0.77006451612903903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-258.67741935483104</v>
      </c>
      <c r="AG79" s="124">
        <f>N79/K79</f>
        <v>0.77006451612903903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AF3:AF4"/>
    <mergeCell ref="AG3:AG4"/>
    <mergeCell ref="AH3:AH4"/>
    <mergeCell ref="W3:W4"/>
    <mergeCell ref="X3:Y3"/>
    <mergeCell ref="Z3:AA3"/>
    <mergeCell ref="T1:Y2"/>
    <mergeCell ref="T3:U3"/>
    <mergeCell ref="V3:V4"/>
    <mergeCell ref="N3:N4"/>
    <mergeCell ref="O3:O4"/>
    <mergeCell ref="P3:P4"/>
    <mergeCell ref="Q3:Q4"/>
    <mergeCell ref="R3:R4"/>
    <mergeCell ref="I3:I4"/>
    <mergeCell ref="J3:J4"/>
    <mergeCell ref="K3:K4"/>
    <mergeCell ref="L3:L4"/>
    <mergeCell ref="M3:M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B15:AC15"/>
    <mergeCell ref="A5:A15"/>
    <mergeCell ref="S5:S15"/>
    <mergeCell ref="AB13:AC13"/>
    <mergeCell ref="AB5:AC5"/>
    <mergeCell ref="A2:B2"/>
    <mergeCell ref="A3:A4"/>
    <mergeCell ref="B3:B4"/>
    <mergeCell ref="D3:E4"/>
    <mergeCell ref="F3:F4"/>
    <mergeCell ref="D15:E15"/>
    <mergeCell ref="G3:G4"/>
    <mergeCell ref="J1:L2"/>
    <mergeCell ref="M1:O2"/>
    <mergeCell ref="P1:S2"/>
    <mergeCell ref="S3:S4"/>
    <mergeCell ref="H3:H4"/>
    <mergeCell ref="A16:A26"/>
    <mergeCell ref="S16:S26"/>
    <mergeCell ref="AB16:AC16"/>
    <mergeCell ref="D26:E26"/>
    <mergeCell ref="AB26:AC26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59" priority="1" operator="greaterThan">
      <formula>0</formula>
    </cfRule>
  </conditionalFormatting>
  <conditionalFormatting sqref="Q5:Q79 AF5:AF79">
    <cfRule type="cellIs" dxfId="258" priority="4" operator="lessThan">
      <formula>0</formula>
    </cfRule>
  </conditionalFormatting>
  <conditionalFormatting sqref="R5:R79 AG5:AG79">
    <cfRule type="cellIs" dxfId="257" priority="2" operator="greaterThan">
      <formula>1</formula>
    </cfRule>
    <cfRule type="cellIs" dxfId="256" priority="3" operator="lessThan">
      <formula>0.8</formula>
    </cfRule>
  </conditionalFormatting>
  <conditionalFormatting sqref="S5:S10 S37:S62 AH59:AH62 S69:S76 AH69:AH76">
    <cfRule type="cellIs" dxfId="255" priority="7" operator="lessThan">
      <formula>0.8</formula>
    </cfRule>
  </conditionalFormatting>
  <conditionalFormatting sqref="S19:S25 AH19:AH25">
    <cfRule type="cellIs" dxfId="254" priority="6" operator="lessThan">
      <formula>0.8</formula>
    </cfRule>
  </conditionalFormatting>
  <conditionalFormatting sqref="S79">
    <cfRule type="cellIs" dxfId="253" priority="5" operator="lessThan">
      <formula>0.8</formula>
    </cfRule>
  </conditionalFormatting>
  <conditionalFormatting sqref="AH5:AH8 S15:S16 AH15:AH16 AH49 AH79">
    <cfRule type="cellIs" dxfId="252" priority="9" operator="lessThan">
      <formula>0.8</formula>
    </cfRule>
  </conditionalFormatting>
  <conditionalFormatting sqref="AH27 S27:S28">
    <cfRule type="cellIs" dxfId="25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C10247-BDB2-4468-A54F-DDE9DFD28BD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3C0F-E976-47CB-807A-751F26E15426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46034</v>
      </c>
      <c r="E3" s="645"/>
      <c r="F3" s="3" t="s">
        <v>72</v>
      </c>
      <c r="G3" s="646">
        <f>'0112'!E1</f>
        <v>52731</v>
      </c>
      <c r="H3" s="646"/>
      <c r="I3" s="3" t="s">
        <v>2</v>
      </c>
      <c r="J3" s="647">
        <f>'0112'!G1</f>
        <v>2533482.7800000003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112.20011530253126</v>
      </c>
      <c r="G6" s="652"/>
      <c r="H6" s="653">
        <f>AVERAGE(D13:H13,J13)</f>
        <v>110.00002768201297</v>
      </c>
      <c r="I6" s="653"/>
      <c r="J6" s="653">
        <f>AVERAGE(I13)</f>
        <v>125.40064102564102</v>
      </c>
      <c r="K6" s="653"/>
      <c r="L6" s="769">
        <f>SUM(D18:J18)</f>
        <v>1</v>
      </c>
      <c r="M6" s="656">
        <f>SUM(D19:J19)</f>
        <v>21</v>
      </c>
      <c r="N6" s="771">
        <f>SUM(D20:J20)</f>
        <v>0</v>
      </c>
      <c r="O6" s="656">
        <f>SUM(D20:J20)</f>
        <v>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97.51690587113066</v>
      </c>
      <c r="G7" s="676"/>
      <c r="H7" s="677">
        <f>AVERAGE(D14:H14,J14)</f>
        <v>95.577276888885308</v>
      </c>
      <c r="I7" s="677"/>
      <c r="J7" s="677">
        <f>AVERAGE(I14)</f>
        <v>109.15467976460275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0.8691337402656899</v>
      </c>
      <c r="G8" s="649"/>
      <c r="H8" s="649">
        <f>H7/H6</f>
        <v>0.86888411669476295</v>
      </c>
      <c r="I8" s="649"/>
      <c r="J8" s="649">
        <f>J7/J6</f>
        <v>0.8704475421483977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VALUE('0112'!L15)</f>
        <v>126.55462184873952</v>
      </c>
      <c r="E13" s="13">
        <f>VALUE('0112'!L26)</f>
        <v>160.58974358974359</v>
      </c>
      <c r="F13" s="13">
        <f>VALUE('0112'!L37)</f>
        <v>84.77941176470587</v>
      </c>
      <c r="G13" s="13">
        <f>VALUE('0112'!L48)</f>
        <v>86.381127450980387</v>
      </c>
      <c r="H13" s="13">
        <f>VALUE('0112'!L58)</f>
        <v>89.195261437908499</v>
      </c>
      <c r="I13" s="13">
        <f>VALUE('0112'!L69)</f>
        <v>125.40064102564102</v>
      </c>
      <c r="J13" s="13">
        <f>'0112'!L79</f>
        <v>112.5</v>
      </c>
    </row>
    <row r="14" spans="2:15" ht="39.950000000000003" customHeight="1">
      <c r="B14" s="670"/>
      <c r="C14" s="12" t="s">
        <v>100</v>
      </c>
      <c r="D14" s="13">
        <f>VALUE('0112'!O15)</f>
        <v>122.71651780611194</v>
      </c>
      <c r="E14" s="13">
        <f>VALUE('0112'!O26)</f>
        <v>139.17528019412003</v>
      </c>
      <c r="F14" s="13">
        <f>VALUE('0112'!O37)</f>
        <v>78.877385021902512</v>
      </c>
      <c r="G14" s="13">
        <f>VALUE('0112'!O48)</f>
        <v>75.813314311231863</v>
      </c>
      <c r="H14" s="13">
        <f>VALUE('0112'!O58)</f>
        <v>88.416299135080479</v>
      </c>
      <c r="I14" s="13">
        <f>VALUE('0112'!O69)</f>
        <v>109.15467976460275</v>
      </c>
      <c r="J14" s="13">
        <f>'0112'!O79</f>
        <v>68.464864864864992</v>
      </c>
    </row>
    <row r="15" spans="2:15" ht="39.950000000000003" customHeight="1">
      <c r="B15" s="671"/>
      <c r="C15" s="10" t="s">
        <v>26</v>
      </c>
      <c r="D15" s="14">
        <f>D14/D13</f>
        <v>0.96967235185440359</v>
      </c>
      <c r="E15" s="14">
        <f t="shared" ref="E15:I15" si="1">E14/E13</f>
        <v>0.86665111409399354</v>
      </c>
      <c r="F15" s="14">
        <f t="shared" si="1"/>
        <v>0.93038372619069765</v>
      </c>
      <c r="G15" s="14">
        <f t="shared" si="1"/>
        <v>0.87766062505093423</v>
      </c>
      <c r="H15" s="14">
        <f t="shared" si="1"/>
        <v>0.99126677482334324</v>
      </c>
      <c r="I15" s="14">
        <f t="shared" si="1"/>
        <v>0.8704475421483977</v>
      </c>
      <c r="J15" s="15">
        <f>'0112'!S70</f>
        <v>0.60857657657657771</v>
      </c>
    </row>
    <row r="16" spans="2:15" ht="17.25" customHeight="1">
      <c r="B16" s="672" t="s">
        <v>101</v>
      </c>
      <c r="C16" s="10" t="s">
        <v>34</v>
      </c>
      <c r="D16" s="16">
        <f>'0112'!T5</f>
        <v>0.29027777777777802</v>
      </c>
      <c r="E16" s="16">
        <f>'0112'!T16</f>
        <v>0.28958333333333303</v>
      </c>
      <c r="F16" s="16">
        <f>'0112'!T27</f>
        <v>0.29027777777777802</v>
      </c>
      <c r="G16" s="16">
        <f>'0112'!T38</f>
        <v>0.33333333333333298</v>
      </c>
      <c r="H16" s="16">
        <f>'0112'!T49</f>
        <v>0.29027777777777802</v>
      </c>
      <c r="I16" s="16">
        <f>'0112'!T59</f>
        <v>0.29166666666666702</v>
      </c>
      <c r="J16" s="17">
        <f>'0112'!T70</f>
        <v>0.33680555555555602</v>
      </c>
    </row>
    <row r="17" spans="2:10" ht="17.25" customHeight="1">
      <c r="B17" s="673"/>
      <c r="C17" s="10" t="s">
        <v>35</v>
      </c>
      <c r="D17" s="16">
        <v>0.62152777777777801</v>
      </c>
      <c r="E17" s="16">
        <v>0.63749999999999996</v>
      </c>
      <c r="F17" s="19">
        <v>0.56944444444444398</v>
      </c>
      <c r="G17" s="328">
        <v>0.64930555555555602</v>
      </c>
      <c r="H17" s="21">
        <v>0.625</v>
      </c>
      <c r="I17" s="22">
        <v>0.58888888888888902</v>
      </c>
      <c r="J17" s="110">
        <v>0.46527777777777801</v>
      </c>
    </row>
    <row r="18" spans="2:10" ht="17.25" customHeight="1">
      <c r="B18" s="674" t="s">
        <v>102</v>
      </c>
      <c r="C18" s="330" t="s">
        <v>36</v>
      </c>
      <c r="D18" s="358">
        <f>'0112'!Z15</f>
        <v>0</v>
      </c>
      <c r="E18" s="359">
        <f>'0112'!Z26</f>
        <v>1</v>
      </c>
      <c r="F18" s="359">
        <f>'0112'!Z37</f>
        <v>0</v>
      </c>
      <c r="G18" s="360">
        <f>'0112'!Z48</f>
        <v>0</v>
      </c>
      <c r="H18" s="360">
        <f>'0112'!Z58</f>
        <v>0</v>
      </c>
      <c r="I18" s="359">
        <f>'0112'!Z69</f>
        <v>0</v>
      </c>
      <c r="J18" s="359">
        <f>'0112'!Z79</f>
        <v>0</v>
      </c>
    </row>
    <row r="19" spans="2:10" ht="17.25" customHeight="1">
      <c r="B19" s="675"/>
      <c r="C19" s="330" t="s">
        <v>37</v>
      </c>
      <c r="D19" s="358">
        <f>'0112'!AA15</f>
        <v>0</v>
      </c>
      <c r="E19" s="359">
        <f>'0112'!AA26</f>
        <v>21</v>
      </c>
      <c r="F19" s="359">
        <f>'0112'!AA37</f>
        <v>0</v>
      </c>
      <c r="G19" s="360">
        <f>'0112'!AA48</f>
        <v>0</v>
      </c>
      <c r="H19" s="360">
        <f>'0112'!AA58</f>
        <v>0</v>
      </c>
      <c r="I19" s="359">
        <f>'0112'!AA69</f>
        <v>0</v>
      </c>
      <c r="J19" s="359">
        <f>'0112'!AA79</f>
        <v>0</v>
      </c>
    </row>
    <row r="20" spans="2:10" ht="17.25" customHeight="1">
      <c r="B20" s="674" t="s">
        <v>103</v>
      </c>
      <c r="C20" s="330" t="s">
        <v>36</v>
      </c>
      <c r="D20" s="358">
        <f>'0112'!AD15</f>
        <v>0</v>
      </c>
      <c r="E20" s="359">
        <f>'0112'!AD26</f>
        <v>0</v>
      </c>
      <c r="F20" s="359">
        <f>'0112'!AD37</f>
        <v>0</v>
      </c>
      <c r="G20" s="360">
        <f>'0112'!AD48</f>
        <v>0</v>
      </c>
      <c r="H20" s="360">
        <f>'0112'!AD58</f>
        <v>0</v>
      </c>
      <c r="I20" s="359">
        <f>'0112'!AD69</f>
        <v>0</v>
      </c>
      <c r="J20" s="359">
        <f>'0112'!AD79</f>
        <v>0</v>
      </c>
    </row>
    <row r="21" spans="2:10" ht="17.25" customHeight="1">
      <c r="B21" s="675"/>
      <c r="C21" s="330" t="s">
        <v>85</v>
      </c>
      <c r="D21" s="358">
        <f>'0112'!AE15</f>
        <v>0</v>
      </c>
      <c r="E21" s="359">
        <f>'0112'!AE26</f>
        <v>0</v>
      </c>
      <c r="F21" s="359">
        <f>'0108'!AE37</f>
        <v>0</v>
      </c>
      <c r="G21" s="360">
        <f>'0112'!AE48</f>
        <v>0</v>
      </c>
      <c r="H21" s="360">
        <f>'0112'!AE58</f>
        <v>0</v>
      </c>
      <c r="I21" s="359">
        <f>'0112'!AE69</f>
        <v>0</v>
      </c>
      <c r="J21" s="359">
        <f>'0112'!AE79</f>
        <v>0</v>
      </c>
    </row>
    <row r="22" spans="2:10" ht="17.25" customHeight="1">
      <c r="B22" s="658" t="s">
        <v>104</v>
      </c>
      <c r="C22" s="659"/>
      <c r="D22" s="23">
        <f>VALUE('0112'!M15)</f>
        <v>14.75</v>
      </c>
      <c r="E22" s="23">
        <f>VALUE('0112'!M26)</f>
        <v>12.8</v>
      </c>
      <c r="F22" s="23">
        <f>VALUE('0112'!M37)</f>
        <v>16.25</v>
      </c>
      <c r="G22" s="23">
        <f>VALUE('0112'!M48)</f>
        <v>15.666666666666666</v>
      </c>
      <c r="H22" s="23">
        <f>VALUE('0112'!M58)</f>
        <v>17.75</v>
      </c>
      <c r="I22" s="23">
        <f>VALUE('0112'!M69)</f>
        <v>11.75</v>
      </c>
      <c r="J22" s="23">
        <f>'0112'!M79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5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91D9-BA27-47C1-A45B-AD2789B2FD61}">
  <sheetPr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A3" sqref="A3:A4"/>
      <selection pane="topRight" activeCell="A3" sqref="A3:A4"/>
      <selection pane="bottomLeft" activeCell="A3" sqref="A3:A4"/>
      <selection pane="bottomRight" activeCell="J41" sqref="J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52731</v>
      </c>
      <c r="F1" s="30" t="s">
        <v>2</v>
      </c>
      <c r="G1" s="31">
        <f>SUM(H5:H79)</f>
        <v>2533482.7800000003</v>
      </c>
      <c r="H1" s="32" t="s">
        <v>3</v>
      </c>
      <c r="I1" s="33">
        <f>M15+M26+M48+M58+M69+M79+M37</f>
        <v>98.966666666666669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173</v>
      </c>
      <c r="B2" s="678"/>
      <c r="C2" s="28"/>
      <c r="D2" s="28" t="s">
        <v>14</v>
      </c>
      <c r="E2" s="35">
        <f>AVERAGE(O15,O26,O37,O48,O58,O69,O79)</f>
        <v>97.51690587113066</v>
      </c>
      <c r="F2" s="36" t="s">
        <v>15</v>
      </c>
      <c r="G2" s="37">
        <f>G1/E1</f>
        <v>48.045415031006435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21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2864</v>
      </c>
      <c r="H5" s="43">
        <f>F5*G5</f>
        <v>136641.44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1432.0000000000061</v>
      </c>
      <c r="O5" s="47">
        <f t="shared" ref="O5:O7" si="2">N5/M5</f>
        <v>102.28571428571472</v>
      </c>
      <c r="P5" s="49">
        <f t="shared" ref="P5:P7" si="3">M5-J5</f>
        <v>0</v>
      </c>
      <c r="Q5" s="50">
        <f t="shared" ref="Q5:Q7" si="4">O5-L5</f>
        <v>-0.57142857142814307</v>
      </c>
      <c r="R5" s="51">
        <f t="shared" ref="R5:R7" si="5">O5/L5</f>
        <v>0.99444444444444857</v>
      </c>
      <c r="S5" s="718">
        <f>R15</f>
        <v>0.96967235185440359</v>
      </c>
      <c r="T5" s="319">
        <v>0.29027777777777802</v>
      </c>
      <c r="U5" s="320">
        <v>0.37361111111111101</v>
      </c>
      <c r="V5" s="53"/>
      <c r="W5" s="54">
        <f t="shared" ref="W5:W14" si="6">(U5-T5)*24*60</f>
        <v>119.99999999999949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-7.9999999999938609</v>
      </c>
      <c r="AG5" s="52">
        <f t="shared" ref="AG5:AG11" si="8">N5/K5</f>
        <v>0.99444444444444868</v>
      </c>
      <c r="AH5" s="724">
        <f>AG15</f>
        <v>0.97090350214594101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1593</v>
      </c>
      <c r="H6" s="63">
        <f>F6*G6</f>
        <v>91135.53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1991.2500000000205</v>
      </c>
      <c r="O6" s="67">
        <f t="shared" si="2"/>
        <v>117.13235294117767</v>
      </c>
      <c r="P6" s="69">
        <f t="shared" si="3"/>
        <v>0</v>
      </c>
      <c r="Q6" s="70">
        <f t="shared" si="4"/>
        <v>-0.51470588235173409</v>
      </c>
      <c r="R6" s="71">
        <f t="shared" si="5"/>
        <v>0.99562500000001031</v>
      </c>
      <c r="S6" s="719"/>
      <c r="T6" s="16">
        <v>0.38055555555555598</v>
      </c>
      <c r="U6" s="16">
        <v>0.41388888888888897</v>
      </c>
      <c r="V6" s="30">
        <f>(T6-U5)*24*60</f>
        <v>10.000000000000764</v>
      </c>
      <c r="W6" s="73">
        <f t="shared" si="6"/>
        <v>47.99999999999951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-8.7499999999795364</v>
      </c>
      <c r="AG6" s="72">
        <f t="shared" si="8"/>
        <v>0.9956250000000102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2618</v>
      </c>
      <c r="H7" s="78">
        <f>F7*G7</f>
        <v>128648.52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1892.5301204819236</v>
      </c>
      <c r="O7" s="81">
        <f t="shared" si="2"/>
        <v>135.18072289156598</v>
      </c>
      <c r="P7" s="74">
        <f t="shared" si="3"/>
        <v>0</v>
      </c>
      <c r="Q7" s="83">
        <f t="shared" si="4"/>
        <v>-7.6764199655768834</v>
      </c>
      <c r="R7" s="72">
        <f t="shared" si="5"/>
        <v>0.9462650602409618</v>
      </c>
      <c r="S7" s="719"/>
      <c r="T7" s="18">
        <v>0.42013888888888901</v>
      </c>
      <c r="U7" s="18">
        <v>0.47777777777777802</v>
      </c>
      <c r="V7" s="30">
        <f>(T7-U6)*24*60</f>
        <v>9.000000000000048</v>
      </c>
      <c r="W7" s="73">
        <f t="shared" si="6"/>
        <v>83.000000000000185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-107.46987951807637</v>
      </c>
      <c r="AG7" s="72">
        <f t="shared" si="8"/>
        <v>0.9462650602409618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2957</v>
      </c>
      <c r="H8" s="78">
        <f>F8*G8</f>
        <v>145306.98000000001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1907.7419354838514</v>
      </c>
      <c r="O8" s="81">
        <f>N8/M8</f>
        <v>136.26728110598938</v>
      </c>
      <c r="P8" s="74">
        <f>M8-J8</f>
        <v>0</v>
      </c>
      <c r="Q8" s="83">
        <f>O8-L8</f>
        <v>-6.5898617511534781</v>
      </c>
      <c r="R8" s="72">
        <f>O8/L8</f>
        <v>0.9538709677419257</v>
      </c>
      <c r="S8" s="719"/>
      <c r="T8" s="16">
        <v>0.55694444444444402</v>
      </c>
      <c r="U8" s="16">
        <v>0.62152777777777801</v>
      </c>
      <c r="V8" s="30">
        <f>(T8-U7)*24*60</f>
        <v>113.99999999999903</v>
      </c>
      <c r="W8" s="73">
        <f t="shared" si="6"/>
        <v>93.000000000000952</v>
      </c>
      <c r="X8" s="22">
        <v>0.48611111111111099</v>
      </c>
      <c r="Y8" s="84">
        <v>0.52777777777777801</v>
      </c>
      <c r="Z8" s="90"/>
      <c r="AA8" s="90"/>
      <c r="AB8" s="728" t="s">
        <v>174</v>
      </c>
      <c r="AC8" s="728"/>
      <c r="AD8" s="149"/>
      <c r="AE8" s="149"/>
      <c r="AF8" s="307">
        <f t="shared" si="7"/>
        <v>-92.258064516148579</v>
      </c>
      <c r="AG8" s="72">
        <f t="shared" si="8"/>
        <v>0.9538709677419257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1805.8805139914502</v>
      </c>
      <c r="O15" s="117">
        <f t="shared" si="9"/>
        <v>122.71651780611194</v>
      </c>
      <c r="P15" s="121">
        <f t="shared" ref="P15:P18" si="10">M15-J15</f>
        <v>0</v>
      </c>
      <c r="Q15" s="122">
        <f t="shared" ref="Q15:Q18" si="11">O15-L15</f>
        <v>-3.8381040426275774</v>
      </c>
      <c r="R15" s="123">
        <f t="shared" ref="R15:R18" si="12">O15/L15</f>
        <v>0.96967235185440359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-54.119486008549757</v>
      </c>
      <c r="AG15" s="124">
        <f t="shared" ref="AG15:AG19" si="14">N15/K15</f>
        <v>0.97090350214594101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2515</v>
      </c>
      <c r="H16" s="134">
        <f>F16*G16</f>
        <v>143883.15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1934.6153846153736</v>
      </c>
      <c r="O16" s="141">
        <f>N16/M16</f>
        <v>138.1868131868124</v>
      </c>
      <c r="P16" s="142">
        <f>M16-J16</f>
        <v>1</v>
      </c>
      <c r="Q16" s="143">
        <f t="shared" si="11"/>
        <v>-23.736263736264533</v>
      </c>
      <c r="R16" s="144">
        <f>O16/L16</f>
        <v>0.85341024770953022</v>
      </c>
      <c r="S16" s="734">
        <f>R26</f>
        <v>0.86665111409399354</v>
      </c>
      <c r="T16" s="145">
        <v>0.28958333333333303</v>
      </c>
      <c r="U16" s="145">
        <v>0.34375</v>
      </c>
      <c r="V16" s="135"/>
      <c r="W16" s="146">
        <f t="shared" ref="W16:W78" si="17">(U16-T16)*24*60</f>
        <v>78.000000000000441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-170.38461538462639</v>
      </c>
      <c r="AG16" s="52">
        <f t="shared" si="14"/>
        <v>0.91905718984103257</v>
      </c>
      <c r="AH16" s="724">
        <f>AG26</f>
        <v>0.87714462269759874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2749</v>
      </c>
      <c r="H17" s="78">
        <f>F17*G17</f>
        <v>139291.83000000002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1917.9069767441626</v>
      </c>
      <c r="O17" s="96">
        <f t="shared" ref="O17:O18" si="18">N17/M17</f>
        <v>147.53130590339714</v>
      </c>
      <c r="P17" s="97">
        <f t="shared" si="10"/>
        <v>0</v>
      </c>
      <c r="Q17" s="98">
        <f t="shared" si="11"/>
        <v>-6.3148479427566997</v>
      </c>
      <c r="R17" s="99">
        <f t="shared" si="12"/>
        <v>0.9589534883720815</v>
      </c>
      <c r="S17" s="735"/>
      <c r="T17" s="19">
        <v>0.35208333333333303</v>
      </c>
      <c r="U17" s="19">
        <v>0.41180555555555598</v>
      </c>
      <c r="V17" s="30">
        <f>(T17-U16)*24*60</f>
        <v>11.999999999999558</v>
      </c>
      <c r="W17" s="149">
        <f t="shared" si="17"/>
        <v>86.000000000001052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-82.093023255837352</v>
      </c>
      <c r="AG17" s="72">
        <f t="shared" si="14"/>
        <v>0.95895348837208128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2740</v>
      </c>
      <c r="H18" s="78">
        <f>F18*G18</f>
        <v>138068.6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1934.1176470588157</v>
      </c>
      <c r="O18" s="96">
        <f t="shared" si="18"/>
        <v>161.17647058823465</v>
      </c>
      <c r="P18" s="97">
        <f t="shared" si="10"/>
        <v>0</v>
      </c>
      <c r="Q18" s="98">
        <f t="shared" si="11"/>
        <v>-5.4901960784320067</v>
      </c>
      <c r="R18" s="99">
        <f t="shared" si="12"/>
        <v>0.96705882352940797</v>
      </c>
      <c r="S18" s="735"/>
      <c r="T18" s="19">
        <v>0.42013888888888901</v>
      </c>
      <c r="U18" s="19">
        <v>0.47916666666666702</v>
      </c>
      <c r="V18" s="30">
        <f>(T18-U17)*24*60</f>
        <v>11.999999999999558</v>
      </c>
      <c r="W18" s="149">
        <f t="shared" si="17"/>
        <v>85.000000000000341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-65.882352941184308</v>
      </c>
      <c r="AG18" s="72">
        <f t="shared" si="14"/>
        <v>0.96705882352940786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2238</v>
      </c>
      <c r="H19" s="78">
        <f t="shared" ref="H19:H20" si="19">F19*G19</f>
        <v>112772.82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0" si="20">K19/J19</f>
        <v>166.66666666666666</v>
      </c>
      <c r="M19" s="148">
        <v>12</v>
      </c>
      <c r="N19" s="95">
        <f t="shared" ref="N19:N20" si="21">G19/W19*60</f>
        <v>1918.2857142857167</v>
      </c>
      <c r="O19" s="96">
        <f t="shared" ref="O19:O20" si="22">N19/M19</f>
        <v>159.85714285714306</v>
      </c>
      <c r="P19" s="97">
        <f t="shared" ref="P19:P20" si="23">M19-J19</f>
        <v>0</v>
      </c>
      <c r="Q19" s="98">
        <f t="shared" ref="Q19:Q20" si="24">O19-L19</f>
        <v>-6.809523809523597</v>
      </c>
      <c r="R19" s="99">
        <f t="shared" ref="R19:R20" si="25">O19/L19</f>
        <v>0.95914285714285841</v>
      </c>
      <c r="S19" s="735"/>
      <c r="T19" s="19">
        <v>0.54166666666666696</v>
      </c>
      <c r="U19" s="19">
        <v>0.59027777777777801</v>
      </c>
      <c r="V19" s="30">
        <f>(T19-U18)*24*60</f>
        <v>89.999999999999915</v>
      </c>
      <c r="W19" s="149">
        <f t="shared" si="17"/>
        <v>69.999999999999915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-81.714285714283278</v>
      </c>
      <c r="AG19" s="72">
        <f t="shared" si="14"/>
        <v>0.95914285714285841</v>
      </c>
      <c r="AH19" s="726"/>
    </row>
    <row r="20" spans="1:34" ht="15" customHeight="1">
      <c r="A20" s="741"/>
      <c r="B20" s="75" t="s">
        <v>81</v>
      </c>
      <c r="C20" s="76"/>
      <c r="D20" s="59" t="s">
        <v>123</v>
      </c>
      <c r="E20" s="77"/>
      <c r="F20" s="75">
        <f>VLOOKUP(D20,廠價表!$C$1:$E$41,3,0)</f>
        <v>50.67</v>
      </c>
      <c r="G20" s="147">
        <v>1120</v>
      </c>
      <c r="H20" s="78">
        <f t="shared" si="19"/>
        <v>56750.400000000001</v>
      </c>
      <c r="I20" s="30"/>
      <c r="J20" s="79">
        <f>VLOOKUP(D20,產線配置圖!$A$3:$C$39,2,0)</f>
        <v>13</v>
      </c>
      <c r="K20" s="80">
        <f>VLOOKUP(D20,產線配置圖!$A$3:$C$39,3,0)</f>
        <v>2000</v>
      </c>
      <c r="L20" s="81">
        <f t="shared" si="20"/>
        <v>153.84615384615384</v>
      </c>
      <c r="M20" s="148">
        <v>13</v>
      </c>
      <c r="N20" s="95">
        <f t="shared" si="21"/>
        <v>1158.6206896551671</v>
      </c>
      <c r="O20" s="96">
        <f t="shared" si="22"/>
        <v>89.12466843501285</v>
      </c>
      <c r="P20" s="97">
        <f t="shared" si="23"/>
        <v>0</v>
      </c>
      <c r="Q20" s="98">
        <f t="shared" si="24"/>
        <v>-64.721485411140989</v>
      </c>
      <c r="R20" s="99">
        <f t="shared" si="25"/>
        <v>0.57931034482758359</v>
      </c>
      <c r="S20" s="735"/>
      <c r="T20" s="19">
        <v>0.59722222222222199</v>
      </c>
      <c r="U20" s="19">
        <v>0.63749999999999996</v>
      </c>
      <c r="V20" s="30">
        <f>(T20-U19)*24*60</f>
        <v>9.999999999999325</v>
      </c>
      <c r="W20" s="149">
        <f t="shared" si="17"/>
        <v>58.00000000000027</v>
      </c>
      <c r="X20" s="19"/>
      <c r="Y20" s="297"/>
      <c r="Z20" s="90">
        <v>1</v>
      </c>
      <c r="AA20" s="90">
        <v>21</v>
      </c>
      <c r="AB20" s="713" t="s">
        <v>175</v>
      </c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6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6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7">AVERAGE(J16:J25)</f>
        <v>12.6</v>
      </c>
      <c r="K26" s="155">
        <f t="shared" si="27"/>
        <v>2021</v>
      </c>
      <c r="L26" s="158">
        <f t="shared" si="27"/>
        <v>160.58974358974359</v>
      </c>
      <c r="M26" s="155">
        <f t="shared" si="27"/>
        <v>12.8</v>
      </c>
      <c r="N26" s="155">
        <f t="shared" si="27"/>
        <v>1772.709282471847</v>
      </c>
      <c r="O26" s="158">
        <f t="shared" si="27"/>
        <v>139.17528019412003</v>
      </c>
      <c r="P26" s="159">
        <f t="shared" ref="P26:P29" si="28">M26-J26</f>
        <v>0.20000000000000107</v>
      </c>
      <c r="Q26" s="160">
        <f t="shared" ref="Q26:Q29" si="29">O26-L26</f>
        <v>-21.414463395623557</v>
      </c>
      <c r="R26" s="161">
        <f>O26/L26</f>
        <v>0.86665111409399354</v>
      </c>
      <c r="S26" s="736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21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30">N26-K26</f>
        <v>-248.29071752815298</v>
      </c>
      <c r="AG26" s="124">
        <f t="shared" ref="AG26:AG31" si="31">N26/K26</f>
        <v>0.87714462269759874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2286</v>
      </c>
      <c r="H27" s="134">
        <f>F27*G27</f>
        <v>130987.79999999999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32">K27/J27</f>
        <v>88.235294117647058</v>
      </c>
      <c r="M27" s="170">
        <v>16</v>
      </c>
      <c r="N27" s="140">
        <f>G27/W27*60</f>
        <v>1385.4545454545457</v>
      </c>
      <c r="O27" s="141">
        <f>N27/M27</f>
        <v>86.590909090909108</v>
      </c>
      <c r="P27" s="142">
        <f t="shared" si="28"/>
        <v>-1</v>
      </c>
      <c r="Q27" s="143">
        <f t="shared" si="29"/>
        <v>-1.6443850267379503</v>
      </c>
      <c r="R27" s="144">
        <f>O27/L27</f>
        <v>0.98136363636363655</v>
      </c>
      <c r="S27" s="734">
        <f>R37</f>
        <v>0.93038372619069765</v>
      </c>
      <c r="T27" s="171">
        <v>0.29027777777777802</v>
      </c>
      <c r="U27" s="171">
        <v>0.359027777777778</v>
      </c>
      <c r="V27" s="135"/>
      <c r="W27" s="146">
        <f t="shared" si="17"/>
        <v>98.999999999999972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30"/>
        <v>-114.54545454545428</v>
      </c>
      <c r="AG27" s="172">
        <f t="shared" si="31"/>
        <v>0.92363636363636381</v>
      </c>
      <c r="AH27" s="724">
        <f>AG37</f>
        <v>0.88909948373888992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1685</v>
      </c>
      <c r="H28" s="91">
        <f>F28*G28</f>
        <v>92894.05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32"/>
        <v>81.470588235294116</v>
      </c>
      <c r="M28" s="94">
        <v>16</v>
      </c>
      <c r="N28" s="95">
        <f>G28/W28*60</f>
        <v>1279.7468354430398</v>
      </c>
      <c r="O28" s="96">
        <f>N28/M28</f>
        <v>79.984177215189987</v>
      </c>
      <c r="P28" s="97">
        <f t="shared" si="28"/>
        <v>-1</v>
      </c>
      <c r="Q28" s="98">
        <f t="shared" si="29"/>
        <v>-1.4864110201041285</v>
      </c>
      <c r="R28" s="99">
        <f t="shared" ref="R28:R29" si="33">O28/L28</f>
        <v>0.98175524379655588</v>
      </c>
      <c r="S28" s="735"/>
      <c r="T28" s="19">
        <v>0.36458333333333298</v>
      </c>
      <c r="U28" s="19">
        <v>0.41944444444444401</v>
      </c>
      <c r="V28" s="92">
        <f>(T28-U27)*24*60</f>
        <v>7.9999999999991722</v>
      </c>
      <c r="W28" s="149">
        <f t="shared" si="17"/>
        <v>78.999999999999886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30"/>
        <v>-105.2531645569602</v>
      </c>
      <c r="AG28" s="99">
        <f t="shared" si="31"/>
        <v>0.92400493533793482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1098</v>
      </c>
      <c r="H29" s="91">
        <f>F29*G29</f>
        <v>54372.960000000006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32"/>
        <v>84.705882352941174</v>
      </c>
      <c r="M29" s="94">
        <v>17</v>
      </c>
      <c r="N29" s="95">
        <f>G29/W29*60</f>
        <v>1317.599999999971</v>
      </c>
      <c r="O29" s="96">
        <f>N29/M29</f>
        <v>77.505882352939466</v>
      </c>
      <c r="P29" s="97">
        <f t="shared" si="28"/>
        <v>0</v>
      </c>
      <c r="Q29" s="98">
        <f t="shared" si="29"/>
        <v>-7.2000000000017081</v>
      </c>
      <c r="R29" s="99">
        <f t="shared" si="33"/>
        <v>0.91499999999997983</v>
      </c>
      <c r="S29" s="735"/>
      <c r="T29" s="19">
        <v>0.42569444444444399</v>
      </c>
      <c r="U29" s="19">
        <v>0.46041666666666697</v>
      </c>
      <c r="V29" s="92">
        <f>(T29-U28)*24*60</f>
        <v>8.999999999999968</v>
      </c>
      <c r="W29" s="149">
        <f t="shared" si="17"/>
        <v>50.000000000001101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30"/>
        <v>-122.40000000002897</v>
      </c>
      <c r="AG29" s="99">
        <f t="shared" si="31"/>
        <v>0.91499999999997983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1200</v>
      </c>
      <c r="H30" s="91">
        <f>F30*G30</f>
        <v>59424.000000000007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>K30/J30</f>
        <v>84.705882352941174</v>
      </c>
      <c r="M30" s="94">
        <v>16</v>
      </c>
      <c r="N30" s="95">
        <f>G30/W30*60</f>
        <v>1142.857142857144</v>
      </c>
      <c r="O30" s="96">
        <f>N30/M30</f>
        <v>71.428571428571502</v>
      </c>
      <c r="P30" s="97">
        <f>M30-J30</f>
        <v>-1</v>
      </c>
      <c r="Q30" s="98">
        <f>O30-L30</f>
        <v>-13.277310924369672</v>
      </c>
      <c r="R30" s="99">
        <f>O30/L30</f>
        <v>0.84325396825396914</v>
      </c>
      <c r="S30" s="735"/>
      <c r="T30" s="19">
        <v>0.52569444444444402</v>
      </c>
      <c r="U30" s="19">
        <v>0.56944444444444398</v>
      </c>
      <c r="V30" s="92">
        <f>(T30-U29)*24*60</f>
        <v>93.999999999998948</v>
      </c>
      <c r="W30" s="149">
        <f t="shared" si="17"/>
        <v>62.999999999999936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30"/>
        <v>-297.14285714285597</v>
      </c>
      <c r="AG30" s="99">
        <f t="shared" si="31"/>
        <v>0.79365079365079449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30"/>
        <v>0</v>
      </c>
      <c r="AG31" s="99" t="e">
        <f t="shared" si="31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5">AVERAGE(J27:J36)</f>
        <v>17</v>
      </c>
      <c r="K37" s="155">
        <f t="shared" si="35"/>
        <v>1441.25</v>
      </c>
      <c r="L37" s="158">
        <f t="shared" si="35"/>
        <v>84.77941176470587</v>
      </c>
      <c r="M37" s="155">
        <f t="shared" si="35"/>
        <v>16.25</v>
      </c>
      <c r="N37" s="155">
        <f t="shared" si="35"/>
        <v>1281.4146309386751</v>
      </c>
      <c r="O37" s="158">
        <f t="shared" si="35"/>
        <v>78.877385021902512</v>
      </c>
      <c r="P37" s="159">
        <f>M37-J37</f>
        <v>-0.75</v>
      </c>
      <c r="Q37" s="160">
        <f>N37-K37</f>
        <v>-159.83536906132485</v>
      </c>
      <c r="R37" s="161">
        <f t="shared" ref="R37:R40" si="36">O37/L37</f>
        <v>0.93038372619069765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7">N37-K37</f>
        <v>-159.83536906132485</v>
      </c>
      <c r="AG37" s="124">
        <f t="shared" ref="AG37:AG41" si="38">N37/K37</f>
        <v>0.88909948373888992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1602</v>
      </c>
      <c r="H38" s="134">
        <f>F38*G38</f>
        <v>91794.599999999991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9">K38/J38</f>
        <v>86.5625</v>
      </c>
      <c r="M38" s="190">
        <v>15</v>
      </c>
      <c r="N38" s="140">
        <f>G38/W38*60</f>
        <v>1130.8235294117603</v>
      </c>
      <c r="O38" s="141">
        <f>N38/M38</f>
        <v>75.388235294117351</v>
      </c>
      <c r="P38" s="142">
        <f t="shared" ref="P38:P40" si="40">M38-J38</f>
        <v>-1</v>
      </c>
      <c r="Q38" s="143">
        <f t="shared" ref="Q38:Q40" si="41">O38-L38</f>
        <v>-11.174264705882649</v>
      </c>
      <c r="R38" s="144">
        <f>O38/L38</f>
        <v>0.87091102144828714</v>
      </c>
      <c r="S38" s="756">
        <f>R48</f>
        <v>0.87766062505093423</v>
      </c>
      <c r="T38" s="191">
        <v>0.33333333333333298</v>
      </c>
      <c r="U38" s="191">
        <v>0.39236111111111099</v>
      </c>
      <c r="V38" s="192"/>
      <c r="W38" s="193">
        <f t="shared" si="17"/>
        <v>85.000000000000341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7"/>
        <v>-254.17647058823968</v>
      </c>
      <c r="AG38" s="195">
        <f t="shared" si="38"/>
        <v>0.81647908260776914</v>
      </c>
      <c r="AH38" s="746">
        <f>AG48</f>
        <v>0.84085879786748796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1363</v>
      </c>
      <c r="H39" s="91">
        <f>F39*G39</f>
        <v>76914.09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9"/>
        <v>87.875</v>
      </c>
      <c r="M39" s="201">
        <v>15</v>
      </c>
      <c r="N39" s="202">
        <f>G39/W39*60</f>
        <v>1185.2173913043644</v>
      </c>
      <c r="O39" s="203">
        <f t="shared" ref="O39:O40" si="42">N39/M39</f>
        <v>79.014492753624296</v>
      </c>
      <c r="P39" s="97">
        <f t="shared" si="40"/>
        <v>-1</v>
      </c>
      <c r="Q39" s="98">
        <f t="shared" si="41"/>
        <v>-8.860507246375704</v>
      </c>
      <c r="R39" s="99">
        <f t="shared" si="36"/>
        <v>0.89916919207538315</v>
      </c>
      <c r="S39" s="757"/>
      <c r="T39" s="20">
        <v>0.39930555555555602</v>
      </c>
      <c r="U39" s="20">
        <v>0.44722222222222202</v>
      </c>
      <c r="V39" s="92">
        <f>(T39-U38)*24*60</f>
        <v>10.000000000000844</v>
      </c>
      <c r="W39" s="205">
        <f t="shared" si="17"/>
        <v>68.999999999999034</v>
      </c>
      <c r="X39" s="22"/>
      <c r="Y39" s="84"/>
      <c r="Z39" s="90"/>
      <c r="AA39" s="90"/>
      <c r="AB39" s="713" t="s">
        <v>176</v>
      </c>
      <c r="AC39" s="713"/>
      <c r="AD39" s="200"/>
      <c r="AE39" s="200"/>
      <c r="AF39" s="314">
        <f t="shared" si="37"/>
        <v>-220.78260869563564</v>
      </c>
      <c r="AG39" s="206">
        <f t="shared" si="38"/>
        <v>0.84297111757067167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3042</v>
      </c>
      <c r="H40" s="91">
        <f>F40*G40</f>
        <v>134760.6</v>
      </c>
      <c r="I40" s="200"/>
      <c r="J40" s="148">
        <v>17</v>
      </c>
      <c r="K40" s="95">
        <f>VLOOKUP(D40,產線配置圖!$A$3:$C$39,3,0)</f>
        <v>1440</v>
      </c>
      <c r="L40" s="96">
        <f t="shared" si="39"/>
        <v>84.705882352941174</v>
      </c>
      <c r="M40" s="201">
        <v>17</v>
      </c>
      <c r="N40" s="202">
        <f>G40/W40*60</f>
        <v>1241.6326530612168</v>
      </c>
      <c r="O40" s="203">
        <f t="shared" si="42"/>
        <v>73.037214885953929</v>
      </c>
      <c r="P40" s="97">
        <f t="shared" si="40"/>
        <v>0</v>
      </c>
      <c r="Q40" s="98">
        <f t="shared" si="41"/>
        <v>-11.668667466987245</v>
      </c>
      <c r="R40" s="99">
        <f t="shared" si="36"/>
        <v>0.86224489795917836</v>
      </c>
      <c r="S40" s="719"/>
      <c r="T40" s="20">
        <v>0.54722222222222205</v>
      </c>
      <c r="U40" s="20">
        <v>0.64930555555555602</v>
      </c>
      <c r="V40" s="92">
        <f>(T40-U39)*24*60</f>
        <v>144.00000000000006</v>
      </c>
      <c r="W40" s="205">
        <f t="shared" si="17"/>
        <v>147.00000000000091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7"/>
        <v>-198.36734693878316</v>
      </c>
      <c r="AG40" s="206">
        <f t="shared" si="38"/>
        <v>0.86224489795917836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7"/>
        <v>0</v>
      </c>
      <c r="AG41" s="206" t="e">
        <f t="shared" si="38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4">AVERAGE(J38:J47)</f>
        <v>16.333333333333332</v>
      </c>
      <c r="K48" s="155">
        <f t="shared" si="44"/>
        <v>1410.3333333333333</v>
      </c>
      <c r="L48" s="158">
        <f t="shared" si="44"/>
        <v>86.381127450980387</v>
      </c>
      <c r="M48" s="155">
        <f t="shared" si="44"/>
        <v>15.666666666666666</v>
      </c>
      <c r="N48" s="155">
        <f t="shared" si="44"/>
        <v>1185.8911912591138</v>
      </c>
      <c r="O48" s="158">
        <f t="shared" si="44"/>
        <v>75.813314311231863</v>
      </c>
      <c r="P48" s="221">
        <f>M48-J48</f>
        <v>-0.66666666666666607</v>
      </c>
      <c r="Q48" s="222">
        <f>N48-K48</f>
        <v>-224.44214207421942</v>
      </c>
      <c r="R48" s="223">
        <f>O48/L48</f>
        <v>0.87766062505093423</v>
      </c>
      <c r="S48" s="722"/>
      <c r="T48" s="224"/>
      <c r="U48" s="224"/>
      <c r="V48" s="225"/>
      <c r="W48" s="226">
        <f t="shared" si="4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5">N48-K48</f>
        <v>-224.44214207421942</v>
      </c>
      <c r="AG48" s="162">
        <f t="shared" ref="AG48:AG53" si="46">N48/K48</f>
        <v>0.84085879786748796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1473</v>
      </c>
      <c r="H49" s="134">
        <f>F49*G49</f>
        <v>83769.509999999995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7">K49/J49</f>
        <v>86.944444444444443</v>
      </c>
      <c r="M49" s="170">
        <v>18</v>
      </c>
      <c r="N49" s="140">
        <f>G49/W49*60</f>
        <v>1550.5263157894879</v>
      </c>
      <c r="O49" s="141">
        <f>N49/M49</f>
        <v>86.140350877193768</v>
      </c>
      <c r="P49" s="229">
        <f>M49-J49</f>
        <v>0</v>
      </c>
      <c r="Q49" s="230">
        <f>O49-L49</f>
        <v>-0.80409356725067482</v>
      </c>
      <c r="R49" s="52">
        <f>O49/L49</f>
        <v>0.99075163948210088</v>
      </c>
      <c r="S49" s="718">
        <f>R58</f>
        <v>0.99126677482334324</v>
      </c>
      <c r="T49" s="191">
        <v>0.29027777777777802</v>
      </c>
      <c r="U49" s="191">
        <v>0.32986111111111099</v>
      </c>
      <c r="V49" s="55"/>
      <c r="W49" s="193">
        <f t="shared" si="17"/>
        <v>56.999999999999474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5"/>
        <v>-14.473684210512147</v>
      </c>
      <c r="AG49" s="52">
        <f t="shared" si="46"/>
        <v>0.99075163948210088</v>
      </c>
      <c r="AH49" s="724">
        <f>AG58</f>
        <v>0.99114796481999512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2659</v>
      </c>
      <c r="H50" s="231">
        <f>F50*G50</f>
        <v>132710.69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7"/>
        <v>92.058823529411768</v>
      </c>
      <c r="M50" s="233">
        <v>17</v>
      </c>
      <c r="N50" s="234">
        <f>G50/W50*60</f>
        <v>1564.1176470588316</v>
      </c>
      <c r="O50" s="235">
        <f>N50/M50</f>
        <v>92.006920415225395</v>
      </c>
      <c r="P50" s="74">
        <f>M50-J50</f>
        <v>0</v>
      </c>
      <c r="Q50" s="83">
        <f>O50-L50</f>
        <v>-5.19031141863735E-2</v>
      </c>
      <c r="R50" s="72">
        <f>O50/L50</f>
        <v>0.99943619620372626</v>
      </c>
      <c r="S50" s="719"/>
      <c r="T50" s="21">
        <v>0.33750000000000002</v>
      </c>
      <c r="U50" s="21">
        <v>0.40833333333333299</v>
      </c>
      <c r="V50" s="30">
        <f t="shared" ref="V50:V52" si="48">(T50-U49)*24*60</f>
        <v>11.000000000000201</v>
      </c>
      <c r="W50" s="236">
        <f t="shared" si="17"/>
        <v>101.99999999999947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5"/>
        <v>-0.88235294116839214</v>
      </c>
      <c r="AG50" s="72">
        <f t="shared" si="46"/>
        <v>0.99943619620372626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2524</v>
      </c>
      <c r="H51" s="231">
        <f>F51*G51</f>
        <v>126124.28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7"/>
        <v>88.888888888888886</v>
      </c>
      <c r="M51" s="233">
        <v>18</v>
      </c>
      <c r="N51" s="234">
        <f>G51/W51*60</f>
        <v>1594.1052631579005</v>
      </c>
      <c r="O51" s="235">
        <f>N51/M51</f>
        <v>88.561403508772244</v>
      </c>
      <c r="P51" s="74">
        <f>M51-J51</f>
        <v>0</v>
      </c>
      <c r="Q51" s="83">
        <f>O51-L51</f>
        <v>-0.32748538011664152</v>
      </c>
      <c r="R51" s="72">
        <f>O51/L51</f>
        <v>0.99631578947368782</v>
      </c>
      <c r="S51" s="719"/>
      <c r="T51" s="21">
        <v>0.41666666666666702</v>
      </c>
      <c r="U51" s="19">
        <v>0.48263888888888901</v>
      </c>
      <c r="V51" s="30">
        <f t="shared" si="48"/>
        <v>12.000000000000997</v>
      </c>
      <c r="W51" s="236">
        <f t="shared" si="17"/>
        <v>94.999999999999659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5"/>
        <v>-5.894736842099519</v>
      </c>
      <c r="AG51" s="72">
        <f t="shared" si="46"/>
        <v>0.99631578947368782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3000</v>
      </c>
      <c r="H52" s="231">
        <f>F52*G52</f>
        <v>149910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1565.2173913043491</v>
      </c>
      <c r="O52" s="235">
        <f>N52/M52</f>
        <v>86.956521739130508</v>
      </c>
      <c r="P52" s="74">
        <f>M52-J52</f>
        <v>0</v>
      </c>
      <c r="Q52" s="83">
        <f>O52-L52</f>
        <v>-1.9323671497583774</v>
      </c>
      <c r="R52" s="72">
        <f>O52/L52</f>
        <v>0.97826086956521829</v>
      </c>
      <c r="S52" s="719"/>
      <c r="T52" s="21">
        <v>0.54513888888888895</v>
      </c>
      <c r="U52" s="21">
        <v>0.625</v>
      </c>
      <c r="V52" s="30">
        <f t="shared" si="48"/>
        <v>89.999999999999915</v>
      </c>
      <c r="W52" s="236">
        <f t="shared" si="17"/>
        <v>114.99999999999991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5"/>
        <v>-34.782608695650879</v>
      </c>
      <c r="AG52" s="72">
        <f t="shared" si="46"/>
        <v>0.97826086956521818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5"/>
        <v>0</v>
      </c>
      <c r="AG53" s="72" t="e">
        <f t="shared" si="46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9">AVERAGE(J49:J57)</f>
        <v>17.75</v>
      </c>
      <c r="K58" s="120">
        <f t="shared" si="49"/>
        <v>1582.5</v>
      </c>
      <c r="L58" s="117">
        <f t="shared" si="49"/>
        <v>89.195261437908499</v>
      </c>
      <c r="M58" s="120">
        <f t="shared" si="49"/>
        <v>17.75</v>
      </c>
      <c r="N58" s="120">
        <f t="shared" si="49"/>
        <v>1568.4916543276422</v>
      </c>
      <c r="O58" s="117">
        <f t="shared" si="49"/>
        <v>88.416299135080479</v>
      </c>
      <c r="P58" s="121">
        <f>M58-J58</f>
        <v>0</v>
      </c>
      <c r="Q58" s="122">
        <f>N58-K58</f>
        <v>-14.008345672357791</v>
      </c>
      <c r="R58" s="123">
        <f t="shared" ref="R58:R60" si="50">O58/L58</f>
        <v>0.99126677482334324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1">N58-K58</f>
        <v>-14.008345672357791</v>
      </c>
      <c r="AG58" s="124">
        <f t="shared" ref="AG58:AG61" si="52">N58/K58</f>
        <v>0.99114796481999512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3261</v>
      </c>
      <c r="H59" s="243">
        <f>F59*G59</f>
        <v>88014.39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3">K59/J59</f>
        <v>120.38461538461539</v>
      </c>
      <c r="M59" s="244">
        <v>13</v>
      </c>
      <c r="N59" s="137">
        <f t="shared" ref="N59:N61" si="54">G59/W59*60</f>
        <v>1505.0769230769367</v>
      </c>
      <c r="O59" s="138">
        <f t="shared" ref="O59:O61" si="55">N59/M59</f>
        <v>115.77514792899514</v>
      </c>
      <c r="P59" s="56">
        <f t="shared" ref="P59:P61" si="56">M59-J59</f>
        <v>0</v>
      </c>
      <c r="Q59" s="230">
        <f t="shared" ref="Q59:Q61" si="57">O59-L59</f>
        <v>-4.6094674556202477</v>
      </c>
      <c r="R59" s="52">
        <f t="shared" si="50"/>
        <v>0.96171049397887332</v>
      </c>
      <c r="S59" s="718">
        <f>R69</f>
        <v>0.8704475421483977</v>
      </c>
      <c r="T59" s="245">
        <v>0.29166666666666702</v>
      </c>
      <c r="U59" s="245">
        <v>0.38194444444444398</v>
      </c>
      <c r="V59" s="55"/>
      <c r="W59" s="54">
        <f t="shared" si="17"/>
        <v>129.99999999999881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1"/>
        <v>-59.923076923063263</v>
      </c>
      <c r="AG59" s="246">
        <f t="shared" si="52"/>
        <v>0.96171049397887332</v>
      </c>
      <c r="AH59" s="724">
        <f>AG69</f>
        <v>0.82325564591558242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600</v>
      </c>
      <c r="H60" s="78">
        <f>F60*G60</f>
        <v>17082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11</v>
      </c>
      <c r="N60" s="80">
        <f t="shared" si="54"/>
        <v>923.07692307693389</v>
      </c>
      <c r="O60" s="81">
        <f t="shared" si="55"/>
        <v>83.916083916084901</v>
      </c>
      <c r="P60" s="74">
        <f t="shared" si="56"/>
        <v>-1</v>
      </c>
      <c r="Q60" s="83">
        <f t="shared" si="57"/>
        <v>-46.500582750581756</v>
      </c>
      <c r="R60" s="72">
        <f t="shared" si="50"/>
        <v>0.643446010858159</v>
      </c>
      <c r="S60" s="768"/>
      <c r="T60" s="22">
        <v>0.39236111111111099</v>
      </c>
      <c r="U60" s="22">
        <v>0.41944444444444401</v>
      </c>
      <c r="V60" s="30">
        <f t="shared" ref="V60:V61" si="58">(T60-U59)*24*60</f>
        <v>15.000000000000506</v>
      </c>
      <c r="W60" s="248">
        <f t="shared" si="17"/>
        <v>38.999999999999545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1"/>
        <v>-641.92307692306611</v>
      </c>
      <c r="AG60" s="249">
        <f t="shared" si="52"/>
        <v>0.5898255099533124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2050</v>
      </c>
      <c r="H61" s="254">
        <f>F61*G61</f>
        <v>57933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11</v>
      </c>
      <c r="N61" s="107">
        <f t="shared" si="54"/>
        <v>1294.7368421052677</v>
      </c>
      <c r="O61" s="238">
        <f t="shared" si="55"/>
        <v>117.70334928229705</v>
      </c>
      <c r="P61" s="111">
        <f t="shared" si="56"/>
        <v>-1</v>
      </c>
      <c r="Q61" s="255">
        <f t="shared" si="57"/>
        <v>-12.713317384369603</v>
      </c>
      <c r="R61" s="85">
        <f>O61/L61</f>
        <v>0.90251769417735772</v>
      </c>
      <c r="S61" s="719"/>
      <c r="T61" s="22">
        <v>0.43055555555555602</v>
      </c>
      <c r="U61" s="22">
        <v>0.49652777777777801</v>
      </c>
      <c r="V61" s="30">
        <f t="shared" si="58"/>
        <v>16.0000000000013</v>
      </c>
      <c r="W61" s="256">
        <f t="shared" si="17"/>
        <v>94.999999999999659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1"/>
        <v>-270.26315789473233</v>
      </c>
      <c r="AG61" s="247">
        <f t="shared" si="52"/>
        <v>0.82730788632924457</v>
      </c>
      <c r="AH61" s="725"/>
    </row>
    <row r="62" spans="1:34" ht="15" customHeight="1">
      <c r="A62" s="766"/>
      <c r="B62" s="258" t="s">
        <v>135</v>
      </c>
      <c r="C62" s="58"/>
      <c r="D62" s="259" t="s">
        <v>136</v>
      </c>
      <c r="E62" s="60"/>
      <c r="F62" s="250">
        <f>VLOOKUP(D62,廠價表!$C$1:$E$41,3,0)</f>
        <v>26.99</v>
      </c>
      <c r="G62" s="260">
        <v>1383</v>
      </c>
      <c r="H62" s="254">
        <f>F62*G62</f>
        <v>37327.17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68">
        <v>12</v>
      </c>
      <c r="N62" s="107">
        <f>G62/W62*60</f>
        <v>1430.6896551724071</v>
      </c>
      <c r="O62" s="238">
        <f>N62/M62</f>
        <v>119.22413793103392</v>
      </c>
      <c r="P62" s="111">
        <f>M62-J62</f>
        <v>-1</v>
      </c>
      <c r="Q62" s="255">
        <f>O62-L62</f>
        <v>-1.1604774535814641</v>
      </c>
      <c r="R62" s="85">
        <f>O62/L62</f>
        <v>0.99036025118430737</v>
      </c>
      <c r="S62" s="719"/>
      <c r="T62" s="22">
        <v>0.54861111111111105</v>
      </c>
      <c r="U62" s="22">
        <v>0.58888888888888902</v>
      </c>
      <c r="V62" s="30"/>
      <c r="W62" s="248">
        <f t="shared" si="17"/>
        <v>58.00000000000027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-134.31034482759287</v>
      </c>
      <c r="AG62" s="247">
        <f>N62/K62</f>
        <v>0.91417869340089908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9">AVERAGE(J59:J68)</f>
        <v>12.5</v>
      </c>
      <c r="K69" s="240">
        <f t="shared" si="59"/>
        <v>1565</v>
      </c>
      <c r="L69" s="268">
        <f t="shared" si="59"/>
        <v>125.40064102564102</v>
      </c>
      <c r="M69" s="240">
        <f t="shared" si="59"/>
        <v>11.75</v>
      </c>
      <c r="N69" s="240">
        <f t="shared" si="59"/>
        <v>1288.3950858578864</v>
      </c>
      <c r="O69" s="268">
        <f t="shared" si="59"/>
        <v>109.15467976460275</v>
      </c>
      <c r="P69" s="269">
        <f>M69-J69</f>
        <v>-0.75</v>
      </c>
      <c r="Q69" s="222">
        <f>N69-K69</f>
        <v>-276.60491414211356</v>
      </c>
      <c r="R69" s="123">
        <f>O69/L69</f>
        <v>0.8704475421483977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-276.60491414211356</v>
      </c>
      <c r="AG69" s="124">
        <f>N69/K69</f>
        <v>0.82325564591558242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2111</v>
      </c>
      <c r="H70" s="243">
        <f>F70*G70</f>
        <v>106964.37000000001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684.6486486486499</v>
      </c>
      <c r="O70" s="138">
        <f>N70/M70</f>
        <v>68.464864864864992</v>
      </c>
      <c r="P70" s="56">
        <f>M70-J70</f>
        <v>0</v>
      </c>
      <c r="Q70" s="230">
        <f>O70-L70</f>
        <v>-44.035135135135008</v>
      </c>
      <c r="R70" s="52">
        <f>O70/L70</f>
        <v>0.60857657657657771</v>
      </c>
      <c r="S70" s="718">
        <f>R79</f>
        <v>0.60857657657657771</v>
      </c>
      <c r="T70" s="245">
        <v>0.33680555555555602</v>
      </c>
      <c r="U70" s="245">
        <v>0.46527777777777801</v>
      </c>
      <c r="V70" s="55"/>
      <c r="W70" s="54">
        <f t="shared" si="17"/>
        <v>184.99999999999966</v>
      </c>
      <c r="X70" s="270"/>
      <c r="Y70" s="292"/>
      <c r="Z70" s="169"/>
      <c r="AA70" s="169"/>
      <c r="AB70" s="723" t="s">
        <v>177</v>
      </c>
      <c r="AC70" s="723"/>
      <c r="AD70" s="135"/>
      <c r="AE70" s="135"/>
      <c r="AF70" s="310">
        <f>N70-K70</f>
        <v>-440.3513513513501</v>
      </c>
      <c r="AG70" s="246">
        <f>N70/K70</f>
        <v>0.60857657657657771</v>
      </c>
      <c r="AH70" s="724">
        <f>AG79</f>
        <v>0.60857657657657771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1">AVERAGE(J70:J78)</f>
        <v>10</v>
      </c>
      <c r="K79" s="240">
        <f t="shared" si="61"/>
        <v>1125</v>
      </c>
      <c r="L79" s="268">
        <f t="shared" si="61"/>
        <v>112.5</v>
      </c>
      <c r="M79" s="240">
        <f t="shared" si="61"/>
        <v>10</v>
      </c>
      <c r="N79" s="240">
        <f t="shared" si="61"/>
        <v>684.6486486486499</v>
      </c>
      <c r="O79" s="268">
        <f t="shared" si="61"/>
        <v>68.464864864864992</v>
      </c>
      <c r="P79" s="269">
        <f>M79-J79</f>
        <v>0</v>
      </c>
      <c r="Q79" s="222">
        <f>N79-K79</f>
        <v>-440.3513513513501</v>
      </c>
      <c r="R79" s="223">
        <f>O79/L79</f>
        <v>0.60857657657657771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-440.3513513513501</v>
      </c>
      <c r="AG79" s="124">
        <f>N79/K79</f>
        <v>0.60857657657657771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AF3:AF4"/>
    <mergeCell ref="AG3:AG4"/>
    <mergeCell ref="AH3:AH4"/>
    <mergeCell ref="W3:W4"/>
    <mergeCell ref="X3:Y3"/>
    <mergeCell ref="Z3:AA3"/>
    <mergeCell ref="T1:Y2"/>
    <mergeCell ref="T3:U3"/>
    <mergeCell ref="V3:V4"/>
    <mergeCell ref="N3:N4"/>
    <mergeCell ref="O3:O4"/>
    <mergeCell ref="P3:P4"/>
    <mergeCell ref="Q3:Q4"/>
    <mergeCell ref="R3:R4"/>
    <mergeCell ref="I3:I4"/>
    <mergeCell ref="J3:J4"/>
    <mergeCell ref="K3:K4"/>
    <mergeCell ref="L3:L4"/>
    <mergeCell ref="M3:M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B15:AC15"/>
    <mergeCell ref="A5:A15"/>
    <mergeCell ref="S5:S15"/>
    <mergeCell ref="AB13:AC13"/>
    <mergeCell ref="AB5:AC5"/>
    <mergeCell ref="A2:B2"/>
    <mergeCell ref="A3:A4"/>
    <mergeCell ref="B3:B4"/>
    <mergeCell ref="D3:E4"/>
    <mergeCell ref="F3:F4"/>
    <mergeCell ref="D15:E15"/>
    <mergeCell ref="G3:G4"/>
    <mergeCell ref="J1:L2"/>
    <mergeCell ref="M1:O2"/>
    <mergeCell ref="P1:S2"/>
    <mergeCell ref="S3:S4"/>
    <mergeCell ref="H3:H4"/>
    <mergeCell ref="A16:A26"/>
    <mergeCell ref="S16:S26"/>
    <mergeCell ref="AB16:AC16"/>
    <mergeCell ref="D26:E26"/>
    <mergeCell ref="AB26:AC26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49" priority="1" operator="greaterThan">
      <formula>0</formula>
    </cfRule>
  </conditionalFormatting>
  <conditionalFormatting sqref="Q5:Q79 AF5:AF79">
    <cfRule type="cellIs" dxfId="248" priority="4" operator="lessThan">
      <formula>0</formula>
    </cfRule>
  </conditionalFormatting>
  <conditionalFormatting sqref="R5:R79 AG5:AG79">
    <cfRule type="cellIs" dxfId="247" priority="2" operator="greaterThan">
      <formula>1</formula>
    </cfRule>
    <cfRule type="cellIs" dxfId="246" priority="3" operator="lessThan">
      <formula>0.8</formula>
    </cfRule>
  </conditionalFormatting>
  <conditionalFormatting sqref="S5:S10 S37:S62 AH59:AH62 S69:S76 AH69:AH76">
    <cfRule type="cellIs" dxfId="245" priority="7" operator="lessThan">
      <formula>0.8</formula>
    </cfRule>
  </conditionalFormatting>
  <conditionalFormatting sqref="S19:S25 AH19:AH25">
    <cfRule type="cellIs" dxfId="244" priority="6" operator="lessThan">
      <formula>0.8</formula>
    </cfRule>
  </conditionalFormatting>
  <conditionalFormatting sqref="S79">
    <cfRule type="cellIs" dxfId="243" priority="5" operator="lessThan">
      <formula>0.8</formula>
    </cfRule>
  </conditionalFormatting>
  <conditionalFormatting sqref="AH5:AH8 S15:S16 AH15:AH16 AH49 AH79">
    <cfRule type="cellIs" dxfId="242" priority="9" operator="lessThan">
      <formula>0.8</formula>
    </cfRule>
  </conditionalFormatting>
  <conditionalFormatting sqref="AH27 S27:S28">
    <cfRule type="cellIs" dxfId="24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92627B-D658-4695-A57C-B2C0993E359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00DB-0C84-4149-BD0D-D25556AEEFB2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46035</v>
      </c>
      <c r="E3" s="645"/>
      <c r="F3" s="3" t="s">
        <v>72</v>
      </c>
      <c r="G3" s="646">
        <f>'0113'!E1</f>
        <v>52361</v>
      </c>
      <c r="H3" s="646"/>
      <c r="I3" s="3" t="s">
        <v>2</v>
      </c>
      <c r="J3" s="647">
        <f>'0113'!G1</f>
        <v>2495465.7399999993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110.25692552662089</v>
      </c>
      <c r="G6" s="652"/>
      <c r="H6" s="653">
        <f>AVERAGE(D13:H13,J13)</f>
        <v>107.73297294345087</v>
      </c>
      <c r="I6" s="653"/>
      <c r="J6" s="653">
        <f>AVERAGE(I13)</f>
        <v>125.40064102564102</v>
      </c>
      <c r="K6" s="653"/>
      <c r="L6" s="769">
        <f>SUM(D18:J18)</f>
        <v>1</v>
      </c>
      <c r="M6" s="656">
        <f>SUM(D19:J19)</f>
        <v>5</v>
      </c>
      <c r="N6" s="771">
        <f>SUM(D20:J20)</f>
        <v>3</v>
      </c>
      <c r="O6" s="656">
        <f>SUM(D20:J20)</f>
        <v>3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100.50417258630071</v>
      </c>
      <c r="G7" s="676"/>
      <c r="H7" s="677">
        <f>AVERAGE(D14:H14,J14)</f>
        <v>100.19562102652507</v>
      </c>
      <c r="I7" s="677"/>
      <c r="J7" s="677">
        <f>AVERAGE(I14)</f>
        <v>102.35548194495463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0.91154521229629759</v>
      </c>
      <c r="G8" s="649"/>
      <c r="H8" s="649">
        <f>H7/H6</f>
        <v>0.930036722175279</v>
      </c>
      <c r="I8" s="649"/>
      <c r="J8" s="649">
        <f>J7/J6</f>
        <v>0.8162277410051334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VALUE('0113'!L15)</f>
        <v>126.55462184873952</v>
      </c>
      <c r="E13" s="13">
        <f>VALUE('0113'!L26)</f>
        <v>160.58974358974359</v>
      </c>
      <c r="F13" s="13">
        <f>VALUE('0113'!L37)</f>
        <v>84.764705882352928</v>
      </c>
      <c r="G13" s="13">
        <f>VALUE('0113'!L48)</f>
        <v>85.762254901960773</v>
      </c>
      <c r="H13" s="13">
        <f>VALUE('0113'!L58)</f>
        <v>89.195261437908499</v>
      </c>
      <c r="I13" s="13">
        <f>VALUE('0113'!L69)</f>
        <v>125.40064102564102</v>
      </c>
      <c r="J13" s="13">
        <f>'0113'!L79</f>
        <v>99.53125</v>
      </c>
    </row>
    <row r="14" spans="2:15" ht="39.950000000000003" customHeight="1">
      <c r="B14" s="670"/>
      <c r="C14" s="12" t="s">
        <v>100</v>
      </c>
      <c r="D14" s="13">
        <f>VALUE('0113'!O15)</f>
        <v>122.34749906456079</v>
      </c>
      <c r="E14" s="13">
        <f>VALUE('0113'!O26)</f>
        <v>144.03977222223489</v>
      </c>
      <c r="F14" s="13">
        <f>VALUE('0113'!O37)</f>
        <v>76.653801624731571</v>
      </c>
      <c r="G14" s="13">
        <f>VALUE('0113'!O48)</f>
        <v>81.311054276782514</v>
      </c>
      <c r="H14" s="13">
        <f>VALUE('0113'!O58)</f>
        <v>88.411213455634453</v>
      </c>
      <c r="I14" s="13">
        <f>VALUE('0113'!O69)</f>
        <v>102.35548194495463</v>
      </c>
      <c r="J14" s="13">
        <f>'0113'!O79</f>
        <v>88.410385515206286</v>
      </c>
    </row>
    <row r="15" spans="2:15" ht="39.950000000000003" customHeight="1">
      <c r="B15" s="671"/>
      <c r="C15" s="10" t="s">
        <v>26</v>
      </c>
      <c r="D15" s="14">
        <f>D14/D13</f>
        <v>0.96675646671200077</v>
      </c>
      <c r="E15" s="14">
        <f t="shared" ref="E15:I15" si="1">E14/E13</f>
        <v>0.89694253818731606</v>
      </c>
      <c r="F15" s="14">
        <f t="shared" si="1"/>
        <v>0.90431271868177443</v>
      </c>
      <c r="G15" s="14">
        <f t="shared" si="1"/>
        <v>0.94809837229365468</v>
      </c>
      <c r="H15" s="14">
        <f t="shared" si="1"/>
        <v>0.99120975745085016</v>
      </c>
      <c r="I15" s="14">
        <f t="shared" si="1"/>
        <v>0.8162277410051334</v>
      </c>
      <c r="J15" s="15">
        <f>'0113'!S70</f>
        <v>0.88826760957193129</v>
      </c>
    </row>
    <row r="16" spans="2:15" ht="17.25" customHeight="1">
      <c r="B16" s="672" t="s">
        <v>101</v>
      </c>
      <c r="C16" s="10" t="s">
        <v>34</v>
      </c>
      <c r="D16" s="16">
        <f>'0113'!T5</f>
        <v>0.29027777777777802</v>
      </c>
      <c r="E16" s="16">
        <f>'0113'!T16</f>
        <v>0.28958333333333303</v>
      </c>
      <c r="F16" s="16">
        <f>'0113'!T27</f>
        <v>0.29166666666666702</v>
      </c>
      <c r="G16" s="16">
        <f>'0113'!T38</f>
        <v>0.33333333333333298</v>
      </c>
      <c r="H16" s="16">
        <f>'0113'!T49</f>
        <v>0.29166666666666702</v>
      </c>
      <c r="I16" s="16">
        <f>'0113'!T59</f>
        <v>0.29166666666666702</v>
      </c>
      <c r="J16" s="17">
        <f>'0113'!T70</f>
        <v>0.33333333333333298</v>
      </c>
    </row>
    <row r="17" spans="2:10" ht="17.25" customHeight="1">
      <c r="B17" s="673"/>
      <c r="C17" s="10" t="s">
        <v>35</v>
      </c>
      <c r="D17" s="16">
        <v>0.59375</v>
      </c>
      <c r="E17" s="19">
        <v>0.62152777777777801</v>
      </c>
      <c r="F17" s="19">
        <v>0.63888888888888895</v>
      </c>
      <c r="G17" s="20">
        <v>0.56527777777777799</v>
      </c>
      <c r="H17" s="21">
        <v>0.60555555555555596</v>
      </c>
      <c r="I17" s="22">
        <v>0.61805555555555602</v>
      </c>
      <c r="J17" s="22">
        <v>0.47916666666666702</v>
      </c>
    </row>
    <row r="18" spans="2:10" ht="17.25" customHeight="1">
      <c r="B18" s="674" t="s">
        <v>102</v>
      </c>
      <c r="C18" s="330" t="s">
        <v>36</v>
      </c>
      <c r="D18" s="358">
        <f>'0113'!Z15</f>
        <v>0</v>
      </c>
      <c r="E18" s="359">
        <f>'0113'!Z26</f>
        <v>1</v>
      </c>
      <c r="F18" s="359">
        <f>'0113'!Z37</f>
        <v>0</v>
      </c>
      <c r="G18" s="360">
        <f>'0113'!Z48</f>
        <v>0</v>
      </c>
      <c r="H18" s="360">
        <f>'0113'!Z58</f>
        <v>0</v>
      </c>
      <c r="I18" s="359">
        <f>'0113'!Z69</f>
        <v>0</v>
      </c>
      <c r="J18" s="359">
        <f>'0113'!Z79</f>
        <v>0</v>
      </c>
    </row>
    <row r="19" spans="2:10" ht="17.25" customHeight="1">
      <c r="B19" s="675"/>
      <c r="C19" s="330" t="s">
        <v>37</v>
      </c>
      <c r="D19" s="358">
        <f>'0113'!AA15</f>
        <v>0</v>
      </c>
      <c r="E19" s="359">
        <f>'0113'!AA26</f>
        <v>5</v>
      </c>
      <c r="F19" s="359">
        <f>'0113'!AA37</f>
        <v>0</v>
      </c>
      <c r="G19" s="360">
        <f>'0113'!AA48</f>
        <v>0</v>
      </c>
      <c r="H19" s="360">
        <f>'0113'!AA58</f>
        <v>0</v>
      </c>
      <c r="I19" s="359">
        <f>'0113'!AA69</f>
        <v>0</v>
      </c>
      <c r="J19" s="359">
        <f>'0113'!AA79</f>
        <v>0</v>
      </c>
    </row>
    <row r="20" spans="2:10" ht="17.25" customHeight="1">
      <c r="B20" s="674" t="s">
        <v>103</v>
      </c>
      <c r="C20" s="330" t="s">
        <v>36</v>
      </c>
      <c r="D20" s="358">
        <f>'0113'!AD15</f>
        <v>0</v>
      </c>
      <c r="E20" s="359">
        <f>'0113'!AD26</f>
        <v>3</v>
      </c>
      <c r="F20" s="359">
        <f>'0113'!AD37</f>
        <v>0</v>
      </c>
      <c r="G20" s="360">
        <f>'0113'!AD48</f>
        <v>0</v>
      </c>
      <c r="H20" s="360">
        <f>'0113'!AD58</f>
        <v>0</v>
      </c>
      <c r="I20" s="359">
        <f>'0113'!AD69</f>
        <v>0</v>
      </c>
      <c r="J20" s="359">
        <f>'0113'!AD79</f>
        <v>0</v>
      </c>
    </row>
    <row r="21" spans="2:10" ht="17.25" customHeight="1">
      <c r="B21" s="675"/>
      <c r="C21" s="330" t="s">
        <v>85</v>
      </c>
      <c r="D21" s="358">
        <f>'0113'!AE15</f>
        <v>0</v>
      </c>
      <c r="E21" s="359">
        <f>'0113'!AE26</f>
        <v>3</v>
      </c>
      <c r="F21" s="359">
        <f>'0108'!AE37</f>
        <v>0</v>
      </c>
      <c r="G21" s="360">
        <f>'0113'!AE48</f>
        <v>0</v>
      </c>
      <c r="H21" s="360">
        <f>'0113'!AE58</f>
        <v>0</v>
      </c>
      <c r="I21" s="359">
        <f>'0113'!AE69</f>
        <v>0</v>
      </c>
      <c r="J21" s="359">
        <f>'0113'!AE79</f>
        <v>0</v>
      </c>
    </row>
    <row r="22" spans="2:10" ht="17.25" customHeight="1">
      <c r="B22" s="658" t="s">
        <v>104</v>
      </c>
      <c r="C22" s="659"/>
      <c r="D22" s="23">
        <f>VALUE('0113'!M15)</f>
        <v>14.75</v>
      </c>
      <c r="E22" s="23">
        <f>VALUE('0113'!M26)</f>
        <v>12.8</v>
      </c>
      <c r="F22" s="23">
        <f>VALUE('0113'!M37)</f>
        <v>16.2</v>
      </c>
      <c r="G22" s="23">
        <f>VALUE('0113'!M48)</f>
        <v>16.333333333333332</v>
      </c>
      <c r="H22" s="23">
        <f>VALUE('0113'!M58)</f>
        <v>17.75</v>
      </c>
      <c r="I22" s="23">
        <f>VALUE('0113'!M69)</f>
        <v>12</v>
      </c>
      <c r="J22" s="23">
        <f>'0113'!M79</f>
        <v>11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4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A862-6D2E-4D45-AE88-EBDED9337A63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U20" sqref="U20"/>
      <selection pane="topRight" activeCell="U20" sqref="U20"/>
      <selection pane="bottomLeft" activeCell="U20" sqref="U20"/>
      <selection pane="bottomRight" activeCell="U20" sqref="U2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52361</v>
      </c>
      <c r="F1" s="30" t="s">
        <v>2</v>
      </c>
      <c r="G1" s="31">
        <f>SUM(H5:H79)</f>
        <v>2495465.7399999993</v>
      </c>
      <c r="H1" s="32" t="s">
        <v>3</v>
      </c>
      <c r="I1" s="33">
        <f>M15+M26+M48+M58+M69+M79+M37</f>
        <v>100.83333333333333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178</v>
      </c>
      <c r="B2" s="678"/>
      <c r="C2" s="28"/>
      <c r="D2" s="28" t="s">
        <v>14</v>
      </c>
      <c r="E2" s="35">
        <f>AVERAGE(O15,O26,O37,O48,O58,O69,O79)</f>
        <v>100.50417258630071</v>
      </c>
      <c r="F2" s="36" t="s">
        <v>15</v>
      </c>
      <c r="G2" s="37">
        <f>G1/E1</f>
        <v>47.65886327610243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5</v>
      </c>
      <c r="AB2" s="684"/>
      <c r="AC2" s="684"/>
      <c r="AD2" s="340">
        <f>AD15+AD26+AD37+AD48+AD58+AD69+AD79</f>
        <v>3</v>
      </c>
      <c r="AE2" s="340">
        <f>AE15+AE26+AE37+AE48+AE58+AE69+AE79</f>
        <v>3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2666</v>
      </c>
      <c r="H5" s="43">
        <f>F5*G5</f>
        <v>127194.86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1428.2142857142817</v>
      </c>
      <c r="O5" s="47">
        <f t="shared" ref="O5:O7" si="2">N5/M5</f>
        <v>102.01530612244869</v>
      </c>
      <c r="P5" s="49">
        <f t="shared" ref="P5:P7" si="3">M5-J5</f>
        <v>0</v>
      </c>
      <c r="Q5" s="50">
        <f t="shared" ref="Q5:Q7" si="4">O5-L5</f>
        <v>-0.84183673469416931</v>
      </c>
      <c r="R5" s="51">
        <f t="shared" ref="R5:R7" si="5">O5/L5</f>
        <v>0.99181547619047339</v>
      </c>
      <c r="S5" s="718">
        <f>R15</f>
        <v>0.96675646671200077</v>
      </c>
      <c r="T5" s="319">
        <v>0.29027777777777802</v>
      </c>
      <c r="U5" s="320">
        <v>0.36805555555555602</v>
      </c>
      <c r="V5" s="53"/>
      <c r="W5" s="54">
        <f t="shared" ref="W5:W14" si="6">(U5-T5)*24*60</f>
        <v>112.00000000000033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-11.785714285718313</v>
      </c>
      <c r="AG5" s="52">
        <f t="shared" ref="AG5:AG11" si="8">N5/K5</f>
        <v>0.99181547619047339</v>
      </c>
      <c r="AH5" s="724">
        <f>AG15</f>
        <v>0.96701814890178794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1426</v>
      </c>
      <c r="H6" s="63">
        <f>F6*G6</f>
        <v>81581.460000000006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1944.5454545454263</v>
      </c>
      <c r="O6" s="67">
        <f t="shared" si="2"/>
        <v>114.38502673796626</v>
      </c>
      <c r="P6" s="69">
        <f t="shared" si="3"/>
        <v>0</v>
      </c>
      <c r="Q6" s="70">
        <f t="shared" si="4"/>
        <v>-3.2620320855631491</v>
      </c>
      <c r="R6" s="71">
        <f t="shared" si="5"/>
        <v>0.97227272727271319</v>
      </c>
      <c r="S6" s="719"/>
      <c r="T6" s="16">
        <v>0.375</v>
      </c>
      <c r="U6" s="16">
        <v>0.405555555555556</v>
      </c>
      <c r="V6" s="30">
        <f>(T6-U5)*24*60</f>
        <v>9.999999999999325</v>
      </c>
      <c r="W6" s="73">
        <f t="shared" si="6"/>
        <v>44.000000000000639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-55.45454545457369</v>
      </c>
      <c r="AG6" s="72">
        <f t="shared" si="8"/>
        <v>0.97227272727271319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3142</v>
      </c>
      <c r="H7" s="78">
        <f>F7*G7</f>
        <v>154397.88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1923.67346938777</v>
      </c>
      <c r="O7" s="81">
        <f t="shared" si="2"/>
        <v>137.40524781341213</v>
      </c>
      <c r="P7" s="74">
        <f t="shared" si="3"/>
        <v>0</v>
      </c>
      <c r="Q7" s="83">
        <f t="shared" si="4"/>
        <v>-5.4518950437307296</v>
      </c>
      <c r="R7" s="72">
        <f t="shared" si="5"/>
        <v>0.96183673469388486</v>
      </c>
      <c r="S7" s="719"/>
      <c r="T7" s="18">
        <v>0.41041666666666698</v>
      </c>
      <c r="U7" s="18">
        <v>0.47847222222222202</v>
      </c>
      <c r="V7" s="30">
        <f>(T7-U6)*24*60</f>
        <v>6.9999999999998153</v>
      </c>
      <c r="W7" s="73">
        <f t="shared" si="6"/>
        <v>97.999999999999247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-76.326530612230044</v>
      </c>
      <c r="AG7" s="72">
        <f t="shared" si="8"/>
        <v>0.96183673469388498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2436</v>
      </c>
      <c r="H8" s="78">
        <f>F8*G8</f>
        <v>119705.04000000001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1898.1818181818248</v>
      </c>
      <c r="O8" s="81">
        <f>N8/M8</f>
        <v>135.58441558441606</v>
      </c>
      <c r="P8" s="74">
        <f>M8-J8</f>
        <v>0</v>
      </c>
      <c r="Q8" s="83">
        <f>O8-L8</f>
        <v>-7.2727272727267973</v>
      </c>
      <c r="R8" s="72">
        <f>O8/L8</f>
        <v>0.94909090909091243</v>
      </c>
      <c r="S8" s="719"/>
      <c r="T8" s="16">
        <v>0.54027777777777797</v>
      </c>
      <c r="U8" s="16">
        <v>0.59375</v>
      </c>
      <c r="V8" s="30"/>
      <c r="W8" s="73">
        <f t="shared" si="6"/>
        <v>76.99999999999973</v>
      </c>
      <c r="X8" s="22"/>
      <c r="Y8" s="84"/>
      <c r="Z8" s="90"/>
      <c r="AA8" s="90"/>
      <c r="AB8" s="728"/>
      <c r="AC8" s="728"/>
      <c r="AD8" s="149"/>
      <c r="AE8" s="149"/>
      <c r="AF8" s="307">
        <f t="shared" si="7"/>
        <v>-101.81818181817516</v>
      </c>
      <c r="AG8" s="72">
        <f t="shared" si="8"/>
        <v>0.94909090909091243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1798.6537569573256</v>
      </c>
      <c r="O15" s="117">
        <f t="shared" si="9"/>
        <v>122.34749906456079</v>
      </c>
      <c r="P15" s="121">
        <f t="shared" ref="P15:P18" si="10">M15-J15</f>
        <v>0</v>
      </c>
      <c r="Q15" s="122">
        <f t="shared" ref="Q15:Q18" si="11">O15-L15</f>
        <v>-4.207122784178722</v>
      </c>
      <c r="R15" s="123">
        <f t="shared" ref="R15:R18" si="12">O15/L15</f>
        <v>0.96675646671200077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-61.346243042674359</v>
      </c>
      <c r="AG15" s="124">
        <f t="shared" ref="AG15:AG19" si="14">N15/K15</f>
        <v>0.96701814890178794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2288</v>
      </c>
      <c r="H16" s="134">
        <f>F16*G16</f>
        <v>130896.48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1653.9759036144558</v>
      </c>
      <c r="O16" s="141">
        <f>N16/M16</f>
        <v>118.14113597246113</v>
      </c>
      <c r="P16" s="142">
        <f>M16-J16</f>
        <v>1</v>
      </c>
      <c r="Q16" s="143">
        <f t="shared" si="11"/>
        <v>-43.781940950615805</v>
      </c>
      <c r="R16" s="144">
        <f>O16/L16</f>
        <v>0.72961271621947488</v>
      </c>
      <c r="S16" s="734">
        <f>R26</f>
        <v>0.89694253818731606</v>
      </c>
      <c r="T16" s="145">
        <v>0.28958333333333303</v>
      </c>
      <c r="U16" s="145">
        <v>0.34722222222222199</v>
      </c>
      <c r="V16" s="135"/>
      <c r="W16" s="146">
        <f t="shared" ref="W16:W78" si="17">(U16-T16)*24*60</f>
        <v>83.000000000000099</v>
      </c>
      <c r="X16" s="141"/>
      <c r="Y16" s="296"/>
      <c r="Z16" s="169">
        <v>1</v>
      </c>
      <c r="AA16" s="169">
        <v>5</v>
      </c>
      <c r="AB16" s="723" t="s">
        <v>159</v>
      </c>
      <c r="AC16" s="723"/>
      <c r="AD16" s="135"/>
      <c r="AE16" s="135"/>
      <c r="AF16" s="229">
        <f t="shared" si="13"/>
        <v>-451.02409638554423</v>
      </c>
      <c r="AG16" s="52">
        <f t="shared" si="14"/>
        <v>0.78573677131328068</v>
      </c>
      <c r="AH16" s="724">
        <f>AG26</f>
        <v>0.90685277353861338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2581</v>
      </c>
      <c r="H17" s="78">
        <f>F17*G17</f>
        <v>130779.27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1759.7727272727304</v>
      </c>
      <c r="O17" s="96">
        <f t="shared" ref="O17:O18" si="18">N17/M17</f>
        <v>135.36713286713311</v>
      </c>
      <c r="P17" s="97">
        <f t="shared" si="10"/>
        <v>0</v>
      </c>
      <c r="Q17" s="98">
        <f t="shared" si="11"/>
        <v>-18.479020979020731</v>
      </c>
      <c r="R17" s="99">
        <f t="shared" si="12"/>
        <v>0.87988636363636519</v>
      </c>
      <c r="S17" s="735"/>
      <c r="T17" s="19">
        <v>0.35555555555555601</v>
      </c>
      <c r="U17" s="19">
        <v>0.41666666666666702</v>
      </c>
      <c r="V17" s="30">
        <f>(T17-U16)*24*60</f>
        <v>12.000000000000997</v>
      </c>
      <c r="W17" s="149">
        <f t="shared" si="17"/>
        <v>87.999999999999844</v>
      </c>
      <c r="X17" s="19"/>
      <c r="Y17" s="297"/>
      <c r="Z17" s="90"/>
      <c r="AA17" s="90"/>
      <c r="AB17" s="713"/>
      <c r="AC17" s="713"/>
      <c r="AD17" s="92">
        <v>2</v>
      </c>
      <c r="AE17" s="92">
        <v>2</v>
      </c>
      <c r="AF17" s="307">
        <f t="shared" si="13"/>
        <v>-240.22727272726956</v>
      </c>
      <c r="AG17" s="72">
        <f t="shared" si="14"/>
        <v>0.87988636363636519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2350</v>
      </c>
      <c r="H18" s="78">
        <f>F18*G18</f>
        <v>118416.5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1807.6923076922956</v>
      </c>
      <c r="O18" s="96">
        <f t="shared" si="18"/>
        <v>150.64102564102464</v>
      </c>
      <c r="P18" s="97">
        <f t="shared" si="10"/>
        <v>0</v>
      </c>
      <c r="Q18" s="98">
        <f t="shared" si="11"/>
        <v>-16.025641025642017</v>
      </c>
      <c r="R18" s="99">
        <f t="shared" si="12"/>
        <v>0.90384615384614786</v>
      </c>
      <c r="S18" s="735"/>
      <c r="T18" s="19">
        <v>0.42499999999999999</v>
      </c>
      <c r="U18" s="19">
        <v>0.47916666666666702</v>
      </c>
      <c r="V18" s="30">
        <f>(T18-U17)*24*60</f>
        <v>11.999999999999478</v>
      </c>
      <c r="W18" s="149">
        <f t="shared" si="17"/>
        <v>78.000000000000526</v>
      </c>
      <c r="X18" s="22"/>
      <c r="Y18" s="84"/>
      <c r="Z18" s="90"/>
      <c r="AA18" s="90"/>
      <c r="AB18" s="713"/>
      <c r="AC18" s="713"/>
      <c r="AD18" s="92"/>
      <c r="AE18" s="92"/>
      <c r="AF18" s="307">
        <f t="shared" si="13"/>
        <v>-192.30769230770443</v>
      </c>
      <c r="AG18" s="72">
        <f t="shared" si="14"/>
        <v>0.90384615384614775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2362</v>
      </c>
      <c r="H19" s="78">
        <f t="shared" ref="H19:H20" si="19">F19*G19</f>
        <v>119021.18000000001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0" si="20">K19/J19</f>
        <v>166.66666666666666</v>
      </c>
      <c r="M19" s="148">
        <v>12</v>
      </c>
      <c r="N19" s="95">
        <f t="shared" ref="N19:N20" si="21">G19/W19*60</f>
        <v>1996.0563380281899</v>
      </c>
      <c r="O19" s="96">
        <f t="shared" ref="O19:O20" si="22">N19/M19</f>
        <v>166.33802816901581</v>
      </c>
      <c r="P19" s="97">
        <f t="shared" ref="P19:P20" si="23">M19-J19</f>
        <v>0</v>
      </c>
      <c r="Q19" s="98">
        <f t="shared" ref="Q19:Q20" si="24">O19-L19</f>
        <v>-0.32863849765084296</v>
      </c>
      <c r="R19" s="99">
        <f t="shared" ref="R19:R20" si="25">O19/L19</f>
        <v>0.99802816901409497</v>
      </c>
      <c r="S19" s="735"/>
      <c r="T19" s="19">
        <v>0.54166666666666696</v>
      </c>
      <c r="U19" s="19">
        <v>0.59097222222222201</v>
      </c>
      <c r="V19" s="30">
        <f>(T19-U18)*24*60</f>
        <v>89.999999999999915</v>
      </c>
      <c r="W19" s="149">
        <f t="shared" si="17"/>
        <v>70.999999999999261</v>
      </c>
      <c r="X19" s="22"/>
      <c r="Y19" s="84"/>
      <c r="Z19" s="90"/>
      <c r="AA19" s="90"/>
      <c r="AB19" s="728"/>
      <c r="AC19" s="728"/>
      <c r="AD19" s="149">
        <v>1</v>
      </c>
      <c r="AE19" s="149">
        <v>1</v>
      </c>
      <c r="AF19" s="307">
        <f t="shared" si="13"/>
        <v>-3.9436619718101156</v>
      </c>
      <c r="AG19" s="72">
        <f t="shared" si="14"/>
        <v>0.99802816901409497</v>
      </c>
      <c r="AH19" s="726"/>
    </row>
    <row r="20" spans="1:34" ht="15" customHeight="1">
      <c r="A20" s="741"/>
      <c r="B20" s="75" t="s">
        <v>81</v>
      </c>
      <c r="C20" s="76"/>
      <c r="D20" s="59" t="s">
        <v>123</v>
      </c>
      <c r="E20" s="77"/>
      <c r="F20" s="75">
        <f>VLOOKUP(D20,廠價表!$C$1:$E$41,3,0)</f>
        <v>50.67</v>
      </c>
      <c r="G20" s="147">
        <v>1038</v>
      </c>
      <c r="H20" s="78">
        <f t="shared" si="19"/>
        <v>52595.46</v>
      </c>
      <c r="I20" s="30"/>
      <c r="J20" s="79">
        <f>VLOOKUP(D20,產線配置圖!$A$3:$C$39,2,0)</f>
        <v>13</v>
      </c>
      <c r="K20" s="80">
        <f>VLOOKUP(D20,產線配置圖!$A$3:$C$39,3,0)</f>
        <v>2000</v>
      </c>
      <c r="L20" s="81">
        <f t="shared" si="20"/>
        <v>153.84615384615384</v>
      </c>
      <c r="M20" s="148">
        <v>13</v>
      </c>
      <c r="N20" s="95">
        <f t="shared" si="21"/>
        <v>1946.2500000000166</v>
      </c>
      <c r="O20" s="96">
        <f t="shared" si="22"/>
        <v>149.71153846153973</v>
      </c>
      <c r="P20" s="97">
        <f t="shared" si="23"/>
        <v>0</v>
      </c>
      <c r="Q20" s="98">
        <f t="shared" si="24"/>
        <v>-4.1346153846141078</v>
      </c>
      <c r="R20" s="99">
        <f t="shared" si="25"/>
        <v>0.97312500000000834</v>
      </c>
      <c r="S20" s="735"/>
      <c r="T20" s="19">
        <v>0.59930555555555598</v>
      </c>
      <c r="U20" s="19">
        <v>0.62152777777777801</v>
      </c>
      <c r="V20" s="30">
        <f>(T20-U19)*24*60</f>
        <v>12.000000000000917</v>
      </c>
      <c r="W20" s="149">
        <f t="shared" si="17"/>
        <v>31.999999999999726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9"/>
      <c r="U21" s="19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6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6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7">AVERAGE(J16:J25)</f>
        <v>12.6</v>
      </c>
      <c r="K26" s="155">
        <f t="shared" si="27"/>
        <v>2021</v>
      </c>
      <c r="L26" s="158">
        <f t="shared" si="27"/>
        <v>160.58974358974359</v>
      </c>
      <c r="M26" s="155">
        <f t="shared" si="27"/>
        <v>12.8</v>
      </c>
      <c r="N26" s="155">
        <f t="shared" si="27"/>
        <v>1832.7494553215377</v>
      </c>
      <c r="O26" s="158">
        <f t="shared" si="27"/>
        <v>144.03977222223489</v>
      </c>
      <c r="P26" s="159">
        <f t="shared" ref="P26:P29" si="28">M26-J26</f>
        <v>0.20000000000000107</v>
      </c>
      <c r="Q26" s="160">
        <f t="shared" ref="Q26:Q29" si="29">O26-L26</f>
        <v>-16.549971367508704</v>
      </c>
      <c r="R26" s="161">
        <f>O26/L26</f>
        <v>0.89694253818731606</v>
      </c>
      <c r="S26" s="736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5</v>
      </c>
      <c r="AB26" s="730"/>
      <c r="AC26" s="730"/>
      <c r="AD26" s="323">
        <f>SUM(AD16:AD25)</f>
        <v>3</v>
      </c>
      <c r="AE26" s="323">
        <f>SUM(AE16:AE25)</f>
        <v>3</v>
      </c>
      <c r="AF26" s="309">
        <f t="shared" ref="AF26:AF31" si="30">N26-K26</f>
        <v>-188.25054467846235</v>
      </c>
      <c r="AG26" s="124">
        <f t="shared" ref="AG26:AG31" si="31">N26/K26</f>
        <v>0.90685277353861338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2149</v>
      </c>
      <c r="H27" s="134">
        <f>F27*G27</f>
        <v>123137.7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32">K27/J27</f>
        <v>88.235294117647058</v>
      </c>
      <c r="M27" s="170">
        <v>17</v>
      </c>
      <c r="N27" s="140">
        <f>G27/W27*60</f>
        <v>1499.3023255814021</v>
      </c>
      <c r="O27" s="141">
        <f>N27/M27</f>
        <v>88.19425444596483</v>
      </c>
      <c r="P27" s="142">
        <f t="shared" si="28"/>
        <v>0</v>
      </c>
      <c r="Q27" s="143">
        <f t="shared" si="29"/>
        <v>-4.1039671682227663E-2</v>
      </c>
      <c r="R27" s="144">
        <f>O27/L27</f>
        <v>0.9995348837209348</v>
      </c>
      <c r="S27" s="734">
        <f>R37</f>
        <v>0.90431271868177443</v>
      </c>
      <c r="T27" s="171">
        <v>0.29166666666666702</v>
      </c>
      <c r="U27" s="171">
        <v>0.35138888888888897</v>
      </c>
      <c r="V27" s="135"/>
      <c r="W27" s="146">
        <f t="shared" si="17"/>
        <v>85.999999999999616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30"/>
        <v>-0.69767441859789869</v>
      </c>
      <c r="AG27" s="172">
        <f t="shared" si="31"/>
        <v>0.99953488372093469</v>
      </c>
      <c r="AH27" s="724">
        <f>AG37</f>
        <v>0.86332362450045286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1567</v>
      </c>
      <c r="H28" s="91">
        <f>F28*G28</f>
        <v>86388.71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32"/>
        <v>81.470588235294116</v>
      </c>
      <c r="M28" s="94">
        <v>15</v>
      </c>
      <c r="N28" s="95">
        <f>G28/W28*60</f>
        <v>1033.1868131868041</v>
      </c>
      <c r="O28" s="96">
        <f>N28/M28</f>
        <v>68.879120879120279</v>
      </c>
      <c r="P28" s="97">
        <f t="shared" si="28"/>
        <v>-2</v>
      </c>
      <c r="Q28" s="98">
        <f t="shared" si="29"/>
        <v>-12.591467356173837</v>
      </c>
      <c r="R28" s="99">
        <f t="shared" ref="R28:R29" si="33">O28/L28</f>
        <v>0.84544769310111534</v>
      </c>
      <c r="S28" s="735"/>
      <c r="T28" s="19">
        <v>0.358333333333333</v>
      </c>
      <c r="U28" s="19">
        <v>0.421527777777778</v>
      </c>
      <c r="V28" s="92">
        <f>(T28-U27)*24*60</f>
        <v>9.9999999999994049</v>
      </c>
      <c r="W28" s="149">
        <f t="shared" si="17"/>
        <v>91.000000000000796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30"/>
        <v>-351.8131868131959</v>
      </c>
      <c r="AG28" s="99">
        <f t="shared" si="31"/>
        <v>0.74598325861863113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1211</v>
      </c>
      <c r="H29" s="91">
        <f>F29*G29</f>
        <v>59968.72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32"/>
        <v>84.705882352941174</v>
      </c>
      <c r="M29" s="94">
        <v>16</v>
      </c>
      <c r="N29" s="95">
        <f>G29/W29*60</f>
        <v>1321.0909090908888</v>
      </c>
      <c r="O29" s="96">
        <f>N29/M29</f>
        <v>82.568181818180548</v>
      </c>
      <c r="P29" s="97">
        <f t="shared" si="28"/>
        <v>-1</v>
      </c>
      <c r="Q29" s="98">
        <f t="shared" si="29"/>
        <v>-2.1377005347606257</v>
      </c>
      <c r="R29" s="99">
        <f t="shared" si="33"/>
        <v>0.97476325757574256</v>
      </c>
      <c r="S29" s="735"/>
      <c r="T29" s="19">
        <v>0.42708333333333298</v>
      </c>
      <c r="U29" s="19">
        <v>0.46527777777777801</v>
      </c>
      <c r="V29" s="92">
        <f>(T29-U28)*24*60</f>
        <v>7.9999999999991722</v>
      </c>
      <c r="W29" s="149">
        <f t="shared" si="17"/>
        <v>55.000000000000846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30"/>
        <v>-118.90909090911123</v>
      </c>
      <c r="AG29" s="99">
        <f t="shared" si="31"/>
        <v>0.91742424242422826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900</v>
      </c>
      <c r="H30" s="91">
        <f t="shared" ref="H30:H31" si="34">F30*G30</f>
        <v>44568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35">K30/J30</f>
        <v>84.705882352941174</v>
      </c>
      <c r="M30" s="94">
        <v>16</v>
      </c>
      <c r="N30" s="95">
        <f t="shared" ref="N30:N31" si="36">G30/W30*60</f>
        <v>1200</v>
      </c>
      <c r="O30" s="96">
        <f t="shared" ref="O30:O31" si="37">N30/M30</f>
        <v>75</v>
      </c>
      <c r="P30" s="97">
        <f t="shared" ref="P30:P31" si="38">M30-J30</f>
        <v>-1</v>
      </c>
      <c r="Q30" s="98">
        <f t="shared" ref="Q30:Q31" si="39">O30-L30</f>
        <v>-9.705882352941174</v>
      </c>
      <c r="R30" s="99">
        <f t="shared" ref="R30:R31" si="40">O30/L30</f>
        <v>0.88541666666666674</v>
      </c>
      <c r="S30" s="735"/>
      <c r="T30" s="19">
        <v>0.52430555555555602</v>
      </c>
      <c r="U30" s="19">
        <v>0.55555555555555602</v>
      </c>
      <c r="V30" s="92">
        <f>(T30-U29)*24*60</f>
        <v>85.000000000000341</v>
      </c>
      <c r="W30" s="149">
        <f t="shared" si="17"/>
        <v>45</v>
      </c>
      <c r="X30" s="174"/>
      <c r="Y30" s="301"/>
      <c r="Z30" s="335"/>
      <c r="AA30" s="335"/>
      <c r="AB30" s="713"/>
      <c r="AC30" s="713"/>
      <c r="AD30" s="92"/>
      <c r="AE30" s="92"/>
      <c r="AF30" s="312">
        <f t="shared" si="30"/>
        <v>-240</v>
      </c>
      <c r="AG30" s="99">
        <f t="shared" si="31"/>
        <v>0.83333333333333337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2100</v>
      </c>
      <c r="H31" s="91">
        <f t="shared" si="34"/>
        <v>93030</v>
      </c>
      <c r="I31" s="92"/>
      <c r="J31" s="79">
        <v>17</v>
      </c>
      <c r="K31" s="80">
        <f>VLOOKUP(D31,產線配置圖!$A$3:$C$39,3,0)</f>
        <v>1440</v>
      </c>
      <c r="L31" s="93">
        <f t="shared" si="35"/>
        <v>84.705882352941174</v>
      </c>
      <c r="M31" s="94">
        <v>17</v>
      </c>
      <c r="N31" s="95">
        <f t="shared" si="36"/>
        <v>1166.6666666666672</v>
      </c>
      <c r="O31" s="96">
        <f t="shared" si="37"/>
        <v>68.627450980392183</v>
      </c>
      <c r="P31" s="97">
        <f t="shared" si="38"/>
        <v>0</v>
      </c>
      <c r="Q31" s="98">
        <f t="shared" si="39"/>
        <v>-16.078431372548991</v>
      </c>
      <c r="R31" s="99">
        <f t="shared" si="40"/>
        <v>0.81018518518518556</v>
      </c>
      <c r="S31" s="735"/>
      <c r="T31" s="19">
        <v>0.56388888888888899</v>
      </c>
      <c r="U31" s="19">
        <v>0.63888888888888895</v>
      </c>
      <c r="V31" s="92">
        <f>(T31-U30)*24*60</f>
        <v>11.999999999999478</v>
      </c>
      <c r="W31" s="149">
        <f t="shared" si="17"/>
        <v>107.99999999999994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30"/>
        <v>-273.3333333333328</v>
      </c>
      <c r="AG31" s="99">
        <f t="shared" si="31"/>
        <v>0.81018518518518556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41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42">AVERAGE(J27:J36)</f>
        <v>17</v>
      </c>
      <c r="K37" s="155">
        <f t="shared" si="42"/>
        <v>1441</v>
      </c>
      <c r="L37" s="158">
        <f t="shared" si="42"/>
        <v>84.764705882352928</v>
      </c>
      <c r="M37" s="155">
        <f t="shared" si="42"/>
        <v>16.2</v>
      </c>
      <c r="N37" s="155">
        <f t="shared" si="42"/>
        <v>1244.0493429051526</v>
      </c>
      <c r="O37" s="158">
        <f t="shared" si="42"/>
        <v>76.653801624731571</v>
      </c>
      <c r="P37" s="159">
        <f>M37-J37</f>
        <v>-0.80000000000000071</v>
      </c>
      <c r="Q37" s="160">
        <f>N37-K37</f>
        <v>-196.95065709484743</v>
      </c>
      <c r="R37" s="161">
        <f t="shared" ref="R37:R40" si="43">O37/L37</f>
        <v>0.90431271868177443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44">N37-K37</f>
        <v>-196.95065709484743</v>
      </c>
      <c r="AG37" s="124">
        <f t="shared" ref="AG37:AG41" si="45">N37/K37</f>
        <v>0.86332362450045286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1228</v>
      </c>
      <c r="H38" s="134">
        <f>F38*G38</f>
        <v>69296.039999999994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46">K38/J38</f>
        <v>87.875</v>
      </c>
      <c r="M38" s="190">
        <v>15</v>
      </c>
      <c r="N38" s="140">
        <f>G38/W38*60</f>
        <v>1227.9999999999898</v>
      </c>
      <c r="O38" s="141">
        <f>N38/M38</f>
        <v>81.866666666665978</v>
      </c>
      <c r="P38" s="142">
        <f t="shared" ref="P38:P40" si="47">M38-J38</f>
        <v>-1</v>
      </c>
      <c r="Q38" s="143">
        <f t="shared" ref="Q38:Q40" si="48">O38-L38</f>
        <v>-6.0083333333340221</v>
      </c>
      <c r="R38" s="144">
        <f>O38/L38</f>
        <v>0.93162636320530279</v>
      </c>
      <c r="S38" s="756">
        <f>R48</f>
        <v>0.94809837229365468</v>
      </c>
      <c r="T38" s="191">
        <v>0.33333333333333298</v>
      </c>
      <c r="U38" s="191">
        <v>0.375</v>
      </c>
      <c r="V38" s="192"/>
      <c r="W38" s="193">
        <f t="shared" si="17"/>
        <v>60.000000000000504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44"/>
        <v>-178.00000000001023</v>
      </c>
      <c r="AG38" s="195">
        <f t="shared" si="45"/>
        <v>0.87339971550497142</v>
      </c>
      <c r="AH38" s="746">
        <f>AG48</f>
        <v>0.92933514577288312</v>
      </c>
    </row>
    <row r="39" spans="1:34" ht="15" customHeight="1">
      <c r="A39" s="754"/>
      <c r="B39" s="75" t="s">
        <v>117</v>
      </c>
      <c r="C39" s="197"/>
      <c r="D39" s="198" t="s">
        <v>118</v>
      </c>
      <c r="E39" s="176"/>
      <c r="F39" s="75">
        <f>VLOOKUP(D39,廠價表!$C$1:$E$41,3,0)</f>
        <v>44.3</v>
      </c>
      <c r="G39" s="199">
        <v>2559</v>
      </c>
      <c r="H39" s="91">
        <f>F39*G39</f>
        <v>113363.7</v>
      </c>
      <c r="I39" s="200"/>
      <c r="J39" s="148">
        <v>17</v>
      </c>
      <c r="K39" s="95">
        <f>VLOOKUP(D39,產線配置圖!$A$3:$C$39,3,0)</f>
        <v>1440</v>
      </c>
      <c r="L39" s="96">
        <f t="shared" si="46"/>
        <v>84.705882352941174</v>
      </c>
      <c r="M39" s="201">
        <v>17</v>
      </c>
      <c r="N39" s="202">
        <f>G39/W39*60</f>
        <v>1335.1304347826106</v>
      </c>
      <c r="O39" s="203">
        <f t="shared" ref="O39:O40" si="49">N39/M39</f>
        <v>78.537084398977086</v>
      </c>
      <c r="P39" s="97">
        <f t="shared" si="47"/>
        <v>0</v>
      </c>
      <c r="Q39" s="98">
        <f t="shared" si="48"/>
        <v>-6.1687979539640878</v>
      </c>
      <c r="R39" s="99">
        <f t="shared" si="43"/>
        <v>0.92717391304347951</v>
      </c>
      <c r="S39" s="757"/>
      <c r="T39" s="20">
        <v>0.40277777777777801</v>
      </c>
      <c r="U39" s="20">
        <v>0.48263888888888901</v>
      </c>
      <c r="V39" s="92">
        <f>(T39-U38)*24*60</f>
        <v>40.000000000000341</v>
      </c>
      <c r="W39" s="205">
        <f t="shared" si="17"/>
        <v>114.99999999999983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44"/>
        <v>-104.86956521738944</v>
      </c>
      <c r="AG39" s="206">
        <f t="shared" si="45"/>
        <v>0.92717391304347951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568</v>
      </c>
      <c r="H40" s="91">
        <f>F40*G40</f>
        <v>25162.399999999998</v>
      </c>
      <c r="I40" s="200"/>
      <c r="J40" s="148">
        <v>17</v>
      </c>
      <c r="K40" s="95">
        <f>VLOOKUP(D40,產線配置圖!$A$3:$C$39,3,0)</f>
        <v>1440</v>
      </c>
      <c r="L40" s="96">
        <f t="shared" si="46"/>
        <v>84.705882352941174</v>
      </c>
      <c r="M40" s="201">
        <v>17</v>
      </c>
      <c r="N40" s="202">
        <f>G40/W40*60</f>
        <v>1419.9999999999766</v>
      </c>
      <c r="O40" s="203">
        <f t="shared" si="49"/>
        <v>83.529411764704506</v>
      </c>
      <c r="P40" s="97">
        <f t="shared" si="47"/>
        <v>0</v>
      </c>
      <c r="Q40" s="98">
        <f t="shared" si="48"/>
        <v>-1.1764705882366684</v>
      </c>
      <c r="R40" s="99">
        <f t="shared" si="43"/>
        <v>0.98611111111109484</v>
      </c>
      <c r="S40" s="719"/>
      <c r="T40" s="20">
        <v>0.54861111111111105</v>
      </c>
      <c r="U40" s="20">
        <v>0.56527777777777799</v>
      </c>
      <c r="V40" s="92">
        <f>(T40-U39)*24*60</f>
        <v>94.999999999999744</v>
      </c>
      <c r="W40" s="205">
        <f t="shared" si="17"/>
        <v>24.000000000000394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44"/>
        <v>-20.000000000023419</v>
      </c>
      <c r="AG40" s="206">
        <f t="shared" si="45"/>
        <v>0.98611111111109484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44"/>
        <v>0</v>
      </c>
      <c r="AG41" s="206" t="e">
        <f t="shared" si="45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50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50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50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41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50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51">AVERAGE(J38:J47)</f>
        <v>16.666666666666668</v>
      </c>
      <c r="K48" s="155">
        <f t="shared" si="51"/>
        <v>1428.6666666666667</v>
      </c>
      <c r="L48" s="158">
        <f t="shared" si="51"/>
        <v>85.762254901960773</v>
      </c>
      <c r="M48" s="155">
        <f t="shared" si="51"/>
        <v>16.333333333333332</v>
      </c>
      <c r="N48" s="155">
        <f t="shared" si="51"/>
        <v>1327.7101449275258</v>
      </c>
      <c r="O48" s="158">
        <f t="shared" si="51"/>
        <v>81.311054276782514</v>
      </c>
      <c r="P48" s="221">
        <f>M48-J48</f>
        <v>-0.3333333333333357</v>
      </c>
      <c r="Q48" s="222">
        <f>N48-K48</f>
        <v>-100.95652173914095</v>
      </c>
      <c r="R48" s="223">
        <f>O48/L48</f>
        <v>0.94809837229365468</v>
      </c>
      <c r="S48" s="722"/>
      <c r="T48" s="224"/>
      <c r="U48" s="224"/>
      <c r="V48" s="225"/>
      <c r="W48" s="226">
        <f t="shared" si="50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52">N48-K48</f>
        <v>-100.95652173914095</v>
      </c>
      <c r="AG48" s="162">
        <f t="shared" ref="AG48:AG53" si="53">N48/K48</f>
        <v>0.92933514577288312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1270</v>
      </c>
      <c r="H49" s="134">
        <f>F49*G49</f>
        <v>72224.899999999994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54">K49/J49</f>
        <v>86.944444444444443</v>
      </c>
      <c r="M49" s="170">
        <v>18</v>
      </c>
      <c r="N49" s="140">
        <f>G49/W49*60</f>
        <v>1555.1020408163627</v>
      </c>
      <c r="O49" s="141">
        <f>N49/M49</f>
        <v>86.394557823131265</v>
      </c>
      <c r="P49" s="229">
        <f>M49-J49</f>
        <v>0</v>
      </c>
      <c r="Q49" s="230">
        <f>O49-L49</f>
        <v>-0.54988662131317767</v>
      </c>
      <c r="R49" s="52">
        <f>O49/L49</f>
        <v>0.99367542544176535</v>
      </c>
      <c r="S49" s="718">
        <f>R58</f>
        <v>0.99120975745085016</v>
      </c>
      <c r="T49" s="191">
        <v>0.29166666666666702</v>
      </c>
      <c r="U49" s="191">
        <v>0.32569444444444401</v>
      </c>
      <c r="V49" s="55"/>
      <c r="W49" s="193">
        <f t="shared" si="17"/>
        <v>48.999999999998863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52"/>
        <v>-9.8979591836373402</v>
      </c>
      <c r="AG49" s="52">
        <f t="shared" si="53"/>
        <v>0.99367542544176524</v>
      </c>
      <c r="AH49" s="724">
        <f>AG58</f>
        <v>0.9911401210630173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2468</v>
      </c>
      <c r="H50" s="231">
        <f>F50*G50</f>
        <v>123177.87999999999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54"/>
        <v>92.058823529411768</v>
      </c>
      <c r="M50" s="233">
        <v>17</v>
      </c>
      <c r="N50" s="234">
        <f>G50/W50*60</f>
        <v>1558.7368421052688</v>
      </c>
      <c r="O50" s="235">
        <f>N50/M50</f>
        <v>91.69040247678052</v>
      </c>
      <c r="P50" s="74">
        <f>M50-J50</f>
        <v>0</v>
      </c>
      <c r="Q50" s="83">
        <f>O50-L50</f>
        <v>-0.36842105263124836</v>
      </c>
      <c r="R50" s="72">
        <f>O50/L50</f>
        <v>0.99599798217589064</v>
      </c>
      <c r="S50" s="719"/>
      <c r="T50" s="21">
        <v>0.33124999999999999</v>
      </c>
      <c r="U50" s="21">
        <v>0.39722222222222198</v>
      </c>
      <c r="V50" s="30">
        <f t="shared" ref="V50:V52" si="55">(T50-U49)*24*60</f>
        <v>8.0000000000006111</v>
      </c>
      <c r="W50" s="236">
        <f t="shared" si="17"/>
        <v>94.999999999999659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52"/>
        <v>-6.2631578947311937</v>
      </c>
      <c r="AG50" s="72">
        <f t="shared" si="53"/>
        <v>0.99599798217589064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3041</v>
      </c>
      <c r="H51" s="231">
        <f>F51*G51</f>
        <v>151958.76999999999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54"/>
        <v>88.888888888888886</v>
      </c>
      <c r="M51" s="233">
        <v>18</v>
      </c>
      <c r="N51" s="234">
        <f>G51/W51*60</f>
        <v>1586.6086956521763</v>
      </c>
      <c r="O51" s="235">
        <f>N51/M51</f>
        <v>88.144927536232018</v>
      </c>
      <c r="P51" s="74">
        <f>M51-J51</f>
        <v>0</v>
      </c>
      <c r="Q51" s="83">
        <f>O51-L51</f>
        <v>-0.7439613526568678</v>
      </c>
      <c r="R51" s="72">
        <f>O51/L51</f>
        <v>0.99163043478261026</v>
      </c>
      <c r="S51" s="719"/>
      <c r="T51" s="21">
        <v>0.40277777777777801</v>
      </c>
      <c r="U51" s="19">
        <v>0.48263888888888901</v>
      </c>
      <c r="V51" s="30">
        <f t="shared" si="55"/>
        <v>8.000000000000691</v>
      </c>
      <c r="W51" s="236">
        <f t="shared" si="17"/>
        <v>114.99999999999983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52"/>
        <v>-13.391304347823734</v>
      </c>
      <c r="AG51" s="72">
        <f t="shared" si="53"/>
        <v>0.99163043478261015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2570</v>
      </c>
      <c r="H52" s="231">
        <f>F52*G52</f>
        <v>128422.9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1573.4693877550922</v>
      </c>
      <c r="O52" s="235">
        <f>N52/M52</f>
        <v>87.414965986394009</v>
      </c>
      <c r="P52" s="74">
        <f>M52-J52</f>
        <v>0</v>
      </c>
      <c r="Q52" s="83">
        <f>O52-L52</f>
        <v>-1.473922902494877</v>
      </c>
      <c r="R52" s="72">
        <f>O52/L52</f>
        <v>0.98341836734693266</v>
      </c>
      <c r="S52" s="719"/>
      <c r="T52" s="21">
        <v>0.53749999999999998</v>
      </c>
      <c r="U52" s="21">
        <v>0.60555555555555596</v>
      </c>
      <c r="V52" s="30">
        <f t="shared" si="55"/>
        <v>78.999999999999801</v>
      </c>
      <c r="W52" s="236">
        <f t="shared" si="17"/>
        <v>98.000000000000611</v>
      </c>
      <c r="X52" s="22"/>
      <c r="Y52" s="84"/>
      <c r="Z52" s="90"/>
      <c r="AA52" s="90"/>
      <c r="AB52" s="713"/>
      <c r="AC52" s="713"/>
      <c r="AD52" s="92"/>
      <c r="AE52" s="92"/>
      <c r="AF52" s="307">
        <f t="shared" si="52"/>
        <v>-26.530612244907843</v>
      </c>
      <c r="AG52" s="72">
        <f t="shared" si="53"/>
        <v>0.98341836734693255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52"/>
        <v>0</v>
      </c>
      <c r="AG53" s="72" t="e">
        <f t="shared" si="53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56">AVERAGE(J49:J57)</f>
        <v>17.75</v>
      </c>
      <c r="K58" s="120">
        <f t="shared" si="56"/>
        <v>1582.5</v>
      </c>
      <c r="L58" s="117">
        <f t="shared" si="56"/>
        <v>89.195261437908499</v>
      </c>
      <c r="M58" s="120">
        <f t="shared" si="56"/>
        <v>17.75</v>
      </c>
      <c r="N58" s="120">
        <f t="shared" si="56"/>
        <v>1568.4792415822249</v>
      </c>
      <c r="O58" s="117">
        <f t="shared" si="56"/>
        <v>88.411213455634453</v>
      </c>
      <c r="P58" s="121">
        <f>M58-J58</f>
        <v>0</v>
      </c>
      <c r="Q58" s="122">
        <f>N58-K58</f>
        <v>-14.020758417775141</v>
      </c>
      <c r="R58" s="123">
        <f t="shared" ref="R58:R60" si="57">O58/L58</f>
        <v>0.99120975745085016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8">N58-K58</f>
        <v>-14.020758417775141</v>
      </c>
      <c r="AG58" s="124">
        <f t="shared" ref="AG58:AG61" si="59">N58/K58</f>
        <v>0.9911401210630173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3497</v>
      </c>
      <c r="H59" s="243">
        <f>F59*G59</f>
        <v>94384.03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60">K59/J59</f>
        <v>120.38461538461539</v>
      </c>
      <c r="M59" s="244">
        <v>13</v>
      </c>
      <c r="N59" s="137">
        <f t="shared" ref="N59:N61" si="61">G59/W59*60</f>
        <v>1554.2222222222224</v>
      </c>
      <c r="O59" s="138">
        <f t="shared" ref="O59:O61" si="62">N59/M59</f>
        <v>119.55555555555557</v>
      </c>
      <c r="P59" s="56">
        <f t="shared" ref="P59:P61" si="63">M59-J59</f>
        <v>0</v>
      </c>
      <c r="Q59" s="230">
        <f t="shared" ref="Q59:Q61" si="64">O59-L59</f>
        <v>-0.82905982905981546</v>
      </c>
      <c r="R59" s="52">
        <f t="shared" si="57"/>
        <v>0.99311324103656384</v>
      </c>
      <c r="S59" s="718">
        <f>R69</f>
        <v>0.8162277410051334</v>
      </c>
      <c r="T59" s="245">
        <v>0.29166666666666702</v>
      </c>
      <c r="U59" s="245">
        <v>0.38541666666666702</v>
      </c>
      <c r="V59" s="55"/>
      <c r="W59" s="54">
        <f t="shared" si="17"/>
        <v>135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8"/>
        <v>-10.777777777777601</v>
      </c>
      <c r="AG59" s="246">
        <f t="shared" si="59"/>
        <v>0.99311324103656384</v>
      </c>
      <c r="AH59" s="724">
        <f>AG69</f>
        <v>0.79543598079329603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490</v>
      </c>
      <c r="H60" s="78">
        <f>F60*G60</f>
        <v>13950.3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60"/>
        <v>130.41666666666666</v>
      </c>
      <c r="M60" s="82">
        <v>11</v>
      </c>
      <c r="N60" s="80">
        <f t="shared" si="61"/>
        <v>653.33333333333337</v>
      </c>
      <c r="O60" s="81">
        <f t="shared" si="62"/>
        <v>59.393939393939398</v>
      </c>
      <c r="P60" s="74">
        <f t="shared" si="63"/>
        <v>-1</v>
      </c>
      <c r="Q60" s="83">
        <f t="shared" si="64"/>
        <v>-71.022727272727252</v>
      </c>
      <c r="R60" s="72">
        <f t="shared" si="57"/>
        <v>0.45541678768515836</v>
      </c>
      <c r="S60" s="768"/>
      <c r="T60" s="22">
        <v>0.39583333333333298</v>
      </c>
      <c r="U60" s="22">
        <v>0.42708333333333298</v>
      </c>
      <c r="V60" s="30">
        <f t="shared" ref="V60:V61" si="65">(T60-U59)*24*60</f>
        <v>14.999999999998987</v>
      </c>
      <c r="W60" s="248">
        <f t="shared" si="17"/>
        <v>45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8"/>
        <v>-911.66666666666663</v>
      </c>
      <c r="AG60" s="249">
        <f t="shared" si="59"/>
        <v>0.4174653887113951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1953</v>
      </c>
      <c r="H61" s="254">
        <f>F61*G61</f>
        <v>55191.780000000006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60"/>
        <v>130.41666666666666</v>
      </c>
      <c r="M61" s="108">
        <v>11</v>
      </c>
      <c r="N61" s="107">
        <f t="shared" si="61"/>
        <v>1233.473684210511</v>
      </c>
      <c r="O61" s="238">
        <f t="shared" si="62"/>
        <v>112.13397129186464</v>
      </c>
      <c r="P61" s="111">
        <f t="shared" si="63"/>
        <v>-1</v>
      </c>
      <c r="Q61" s="255">
        <f t="shared" si="64"/>
        <v>-18.282695374802017</v>
      </c>
      <c r="R61" s="85">
        <f>O61/L61</f>
        <v>0.859813198404074</v>
      </c>
      <c r="S61" s="719"/>
      <c r="T61" s="22">
        <v>0.42708333333333298</v>
      </c>
      <c r="U61" s="22">
        <v>0.49305555555555602</v>
      </c>
      <c r="V61" s="30">
        <f t="shared" si="65"/>
        <v>0</v>
      </c>
      <c r="W61" s="256">
        <f t="shared" si="17"/>
        <v>95.00000000000118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8"/>
        <v>-331.52631578948899</v>
      </c>
      <c r="AG61" s="247">
        <f t="shared" si="59"/>
        <v>0.78816209853706776</v>
      </c>
      <c r="AH61" s="725"/>
    </row>
    <row r="62" spans="1:34" ht="15" customHeight="1">
      <c r="A62" s="766"/>
      <c r="B62" s="250" t="s">
        <v>135</v>
      </c>
      <c r="C62" s="251"/>
      <c r="D62" s="257" t="s">
        <v>136</v>
      </c>
      <c r="E62" s="253"/>
      <c r="F62" s="250">
        <f>VLOOKUP(D62,廠價表!$C$1:$E$41,3,0)</f>
        <v>26.99</v>
      </c>
      <c r="G62" s="38">
        <v>1282</v>
      </c>
      <c r="H62" s="254">
        <f>F62*G62</f>
        <v>34601.18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108">
        <v>13</v>
      </c>
      <c r="N62" s="107">
        <f>G62/W62*60</f>
        <v>1538.3999999999662</v>
      </c>
      <c r="O62" s="238">
        <f>N62/M62</f>
        <v>118.33846153845894</v>
      </c>
      <c r="P62" s="111">
        <f>M62-J62</f>
        <v>0</v>
      </c>
      <c r="Q62" s="255">
        <f>O62-L62</f>
        <v>-2.046153846156443</v>
      </c>
      <c r="R62" s="85">
        <f>O62/L62</f>
        <v>0.98300319488815735</v>
      </c>
      <c r="S62" s="719"/>
      <c r="T62" s="22">
        <v>0.58333333333333304</v>
      </c>
      <c r="U62" s="22">
        <v>0.61805555555555602</v>
      </c>
      <c r="V62" s="30"/>
      <c r="W62" s="248">
        <f t="shared" si="17"/>
        <v>50.000000000001101</v>
      </c>
      <c r="X62" s="22"/>
      <c r="Y62" s="84"/>
      <c r="Z62" s="90"/>
      <c r="AA62" s="90"/>
      <c r="AB62" s="713"/>
      <c r="AC62" s="713"/>
      <c r="AD62" s="92"/>
      <c r="AE62" s="92"/>
      <c r="AF62" s="317">
        <f>N62-K62</f>
        <v>-26.600000000033788</v>
      </c>
      <c r="AG62" s="247">
        <f>N62/K62</f>
        <v>0.98300319488815735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66">AVERAGE(J59:J68)</f>
        <v>12.5</v>
      </c>
      <c r="K69" s="240">
        <f t="shared" si="66"/>
        <v>1565</v>
      </c>
      <c r="L69" s="268">
        <f t="shared" si="66"/>
        <v>125.40064102564102</v>
      </c>
      <c r="M69" s="240">
        <f t="shared" si="66"/>
        <v>12</v>
      </c>
      <c r="N69" s="240">
        <f t="shared" si="66"/>
        <v>1244.8573099415082</v>
      </c>
      <c r="O69" s="268">
        <f t="shared" si="66"/>
        <v>102.35548194495463</v>
      </c>
      <c r="P69" s="269">
        <f>M69-J69</f>
        <v>-0.5</v>
      </c>
      <c r="Q69" s="222">
        <f>N69-K69</f>
        <v>-320.14269005849178</v>
      </c>
      <c r="R69" s="123">
        <f>O69/L69</f>
        <v>0.8162277410051334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-320.14269005849178</v>
      </c>
      <c r="AG69" s="124">
        <f>N69/K69</f>
        <v>0.79543598079329603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129</v>
      </c>
      <c r="E70" s="132"/>
      <c r="F70" s="129">
        <f>VLOOKUP(D70,廠價表!$C$1:$E$41,3,0)</f>
        <v>57.3</v>
      </c>
      <c r="G70" s="55">
        <v>1349</v>
      </c>
      <c r="H70" s="243">
        <f>F70*G70</f>
        <v>77297.7</v>
      </c>
      <c r="I70" s="55"/>
      <c r="J70" s="136">
        <f>VLOOKUP(D70,產線配置圖!$A$3:$C$39,2,0)</f>
        <v>16</v>
      </c>
      <c r="K70" s="137">
        <f>VLOOKUP(D70,產線配置圖!$A$3:$C$39,3,0)</f>
        <v>1385</v>
      </c>
      <c r="L70" s="138">
        <f>K70/J70</f>
        <v>86.5625</v>
      </c>
      <c r="M70" s="244">
        <v>12</v>
      </c>
      <c r="N70" s="137">
        <f>G70/W70*60</f>
        <v>930.34482758620175</v>
      </c>
      <c r="O70" s="138">
        <f>N70/M70</f>
        <v>77.528735632183484</v>
      </c>
      <c r="P70" s="56">
        <f>M70-J70</f>
        <v>-4</v>
      </c>
      <c r="Q70" s="230">
        <f>O70-L70</f>
        <v>-9.0337643678165165</v>
      </c>
      <c r="R70" s="52">
        <f>O70/L70</f>
        <v>0.89563882318767918</v>
      </c>
      <c r="S70" s="718">
        <f>R79</f>
        <v>0.88826760957193129</v>
      </c>
      <c r="T70" s="245">
        <v>0.33333333333333298</v>
      </c>
      <c r="U70" s="245">
        <v>0.39374999999999999</v>
      </c>
      <c r="V70" s="55"/>
      <c r="W70" s="54">
        <f t="shared" si="17"/>
        <v>87.000000000000483</v>
      </c>
      <c r="X70" s="270"/>
      <c r="Y70" s="292"/>
      <c r="Z70" s="169"/>
      <c r="AA70" s="169"/>
      <c r="AB70" s="723" t="s">
        <v>179</v>
      </c>
      <c r="AC70" s="723"/>
      <c r="AD70" s="135"/>
      <c r="AE70" s="135"/>
      <c r="AF70" s="310">
        <f>N70-K70</f>
        <v>-454.65517241379825</v>
      </c>
      <c r="AG70" s="246">
        <f>N70/K70</f>
        <v>0.67172911739075936</v>
      </c>
      <c r="AH70" s="724">
        <f>AG79</f>
        <v>0.76624110819461866</v>
      </c>
    </row>
    <row r="71" spans="1:36" ht="15" customHeight="1">
      <c r="A71" s="761"/>
      <c r="B71" s="75" t="s">
        <v>81</v>
      </c>
      <c r="C71" s="76"/>
      <c r="D71" s="59" t="s">
        <v>139</v>
      </c>
      <c r="E71" s="77"/>
      <c r="F71" s="250">
        <f>VLOOKUP(D71,廠價表!$C$1:$E$41,3,0)</f>
        <v>50.67</v>
      </c>
      <c r="G71" s="202">
        <v>1870</v>
      </c>
      <c r="H71" s="614">
        <f>F71*G71</f>
        <v>94752.900000000009</v>
      </c>
      <c r="I71" s="232"/>
      <c r="J71" s="106">
        <f>VLOOKUP(D71,產線配置圖!$A$3:$C$39,2,0)</f>
        <v>10</v>
      </c>
      <c r="K71" s="107">
        <f>VLOOKUP(D71,產線配置圖!$A$3:$C$39,3,0)</f>
        <v>1125</v>
      </c>
      <c r="L71" s="238">
        <f>K71/J71</f>
        <v>112.5</v>
      </c>
      <c r="M71" s="82">
        <v>10</v>
      </c>
      <c r="N71" s="107">
        <f>G71/W71*60</f>
        <v>992.92035398229109</v>
      </c>
      <c r="O71" s="238">
        <f>N71/M71</f>
        <v>99.292035398229103</v>
      </c>
      <c r="P71" s="111">
        <f>M71-J71</f>
        <v>0</v>
      </c>
      <c r="Q71" s="255">
        <f>O71-L71</f>
        <v>-13.207964601770897</v>
      </c>
      <c r="R71" s="85">
        <f>O71/L71</f>
        <v>0.88259587020648089</v>
      </c>
      <c r="S71" s="719"/>
      <c r="T71" s="22">
        <v>0.40069444444444402</v>
      </c>
      <c r="U71" s="22">
        <v>0.47916666666666702</v>
      </c>
      <c r="V71" s="30"/>
      <c r="W71" s="73">
        <f t="shared" si="17"/>
        <v>113.00000000000112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7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7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7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7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8">AVERAGE(J70:J78)</f>
        <v>13</v>
      </c>
      <c r="K79" s="240">
        <f t="shared" si="68"/>
        <v>1255</v>
      </c>
      <c r="L79" s="268">
        <f t="shared" si="68"/>
        <v>99.53125</v>
      </c>
      <c r="M79" s="240">
        <f t="shared" si="68"/>
        <v>11</v>
      </c>
      <c r="N79" s="240">
        <f t="shared" si="68"/>
        <v>961.63259078424642</v>
      </c>
      <c r="O79" s="268">
        <f t="shared" si="68"/>
        <v>88.410385515206286</v>
      </c>
      <c r="P79" s="269">
        <f>M79-J79</f>
        <v>-2</v>
      </c>
      <c r="Q79" s="222">
        <f>N79-K79</f>
        <v>-293.36740921575358</v>
      </c>
      <c r="R79" s="223">
        <f>O79/L79</f>
        <v>0.88826760957193129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-293.36740921575358</v>
      </c>
      <c r="AG79" s="124">
        <f>N79/K79</f>
        <v>0.76624110819461866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P3:P4"/>
    <mergeCell ref="Q3:Q4"/>
    <mergeCell ref="R3:R4"/>
    <mergeCell ref="Z3:AA3"/>
    <mergeCell ref="D15:E15"/>
    <mergeCell ref="T3:U3"/>
    <mergeCell ref="V3:V4"/>
    <mergeCell ref="W3:W4"/>
    <mergeCell ref="X3:Y3"/>
    <mergeCell ref="AH3:AH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B15:AC15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39" priority="1" operator="greaterThan">
      <formula>0</formula>
    </cfRule>
  </conditionalFormatting>
  <conditionalFormatting sqref="Q5:Q79 AF5:AF79">
    <cfRule type="cellIs" dxfId="238" priority="4" operator="lessThan">
      <formula>0</formula>
    </cfRule>
  </conditionalFormatting>
  <conditionalFormatting sqref="R5:R79 AG5:AG79">
    <cfRule type="cellIs" dxfId="237" priority="2" operator="greaterThan">
      <formula>1</formula>
    </cfRule>
    <cfRule type="cellIs" dxfId="236" priority="3" operator="lessThan">
      <formula>0.8</formula>
    </cfRule>
  </conditionalFormatting>
  <conditionalFormatting sqref="S5:S10 S37:S62 AH59:AH62 S69:S76 AH69:AH76">
    <cfRule type="cellIs" dxfId="235" priority="7" operator="lessThan">
      <formula>0.8</formula>
    </cfRule>
  </conditionalFormatting>
  <conditionalFormatting sqref="S19:S25 AH19:AH25">
    <cfRule type="cellIs" dxfId="234" priority="6" operator="lessThan">
      <formula>0.8</formula>
    </cfRule>
  </conditionalFormatting>
  <conditionalFormatting sqref="S79">
    <cfRule type="cellIs" dxfId="233" priority="5" operator="lessThan">
      <formula>0.8</formula>
    </cfRule>
  </conditionalFormatting>
  <conditionalFormatting sqref="AH5:AH8 S15:S16 AH15:AH16 AH49 AH79">
    <cfRule type="cellIs" dxfId="232" priority="9" operator="lessThan">
      <formula>0.8</formula>
    </cfRule>
  </conditionalFormatting>
  <conditionalFormatting sqref="AH27 S27:S28">
    <cfRule type="cellIs" dxfId="23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FEEE09-E96A-4F16-91B7-8119A475C6A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E61B-3169-448F-ABC6-724310DA4B76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46036</v>
      </c>
      <c r="E3" s="645"/>
      <c r="F3" s="3" t="s">
        <v>72</v>
      </c>
      <c r="G3" s="646">
        <f>'0114'!E1</f>
        <v>47532</v>
      </c>
      <c r="H3" s="646"/>
      <c r="I3" s="3" t="s">
        <v>2</v>
      </c>
      <c r="J3" s="647">
        <f>'0114'!G1</f>
        <v>2272169.9099999997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110.49776801746339</v>
      </c>
      <c r="G6" s="652"/>
      <c r="H6" s="653">
        <f>AVERAGE(D13:H13,J13)</f>
        <v>108.01395584943378</v>
      </c>
      <c r="I6" s="653"/>
      <c r="J6" s="653">
        <f>AVERAGE(I13)</f>
        <v>125.40064102564102</v>
      </c>
      <c r="K6" s="653"/>
      <c r="L6" s="769">
        <f>SUM(D18:J18)</f>
        <v>1</v>
      </c>
      <c r="M6" s="656">
        <f>SUM(D19:J19)</f>
        <v>14</v>
      </c>
      <c r="N6" s="771">
        <f>SUM(D20:J20)</f>
        <v>2</v>
      </c>
      <c r="O6" s="656">
        <f>SUM(D20:J20)</f>
        <v>2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98.834974113411278</v>
      </c>
      <c r="G7" s="676"/>
      <c r="H7" s="677">
        <f>AVERAGE(D14:H14,J14)</f>
        <v>97.470901199503757</v>
      </c>
      <c r="I7" s="677"/>
      <c r="J7" s="677">
        <f>AVERAGE(I14)</f>
        <v>107.01941159685651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0.89445222185656381</v>
      </c>
      <c r="G8" s="649"/>
      <c r="H8" s="649">
        <f>H7/H6</f>
        <v>0.90239173663237982</v>
      </c>
      <c r="I8" s="649"/>
      <c r="J8" s="649">
        <f>J7/J6</f>
        <v>0.85341997235065137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VALUE('0114'!L15)</f>
        <v>126.55462184873952</v>
      </c>
      <c r="E13" s="13">
        <f>VALUE('0114'!L26)</f>
        <v>162.27564102564102</v>
      </c>
      <c r="F13" s="13">
        <f>VALUE('0114'!L37)</f>
        <v>84.764705882352928</v>
      </c>
      <c r="G13" s="13">
        <f>VALUE('0114'!L48)</f>
        <v>85.762254901960773</v>
      </c>
      <c r="H13" s="13">
        <f>VALUE('0114'!L58)</f>
        <v>89.195261437908499</v>
      </c>
      <c r="I13" s="13">
        <f>VALUE('0114'!L69)</f>
        <v>125.40064102564102</v>
      </c>
      <c r="J13" s="13">
        <f>'0114'!L79</f>
        <v>99.53125</v>
      </c>
    </row>
    <row r="14" spans="2:15" ht="39.950000000000003" customHeight="1">
      <c r="B14" s="670"/>
      <c r="C14" s="12" t="s">
        <v>100</v>
      </c>
      <c r="D14" s="13">
        <f>VALUE('0114'!O15)</f>
        <v>119.67430714357675</v>
      </c>
      <c r="E14" s="13">
        <f>VALUE('0114'!O26)</f>
        <v>146.93548327123551</v>
      </c>
      <c r="F14" s="13">
        <f>VALUE('0114'!O37)</f>
        <v>75.399551370872857</v>
      </c>
      <c r="G14" s="13">
        <f>VALUE('0114'!O48)</f>
        <v>76.809736711375209</v>
      </c>
      <c r="H14" s="13">
        <f>VALUE('0114'!O58)</f>
        <v>84.072356979168291</v>
      </c>
      <c r="I14" s="13">
        <f>VALUE('0114'!O69)</f>
        <v>107.01941159685651</v>
      </c>
      <c r="J14" s="13">
        <f>'0114'!O79</f>
        <v>81.933971720793878</v>
      </c>
    </row>
    <row r="15" spans="2:15" ht="39.950000000000003" customHeight="1">
      <c r="B15" s="671"/>
      <c r="C15" s="10" t="s">
        <v>26</v>
      </c>
      <c r="D15" s="14">
        <f>D14/D13</f>
        <v>0.94563363546385337</v>
      </c>
      <c r="E15" s="14">
        <f t="shared" ref="E15:I15" si="1">E14/E13</f>
        <v>0.9054685123568138</v>
      </c>
      <c r="F15" s="14">
        <f t="shared" si="1"/>
        <v>0.88951587321640446</v>
      </c>
      <c r="G15" s="14">
        <f t="shared" si="1"/>
        <v>0.89561237398877114</v>
      </c>
      <c r="H15" s="14">
        <f t="shared" si="1"/>
        <v>0.9425652845660818</v>
      </c>
      <c r="I15" s="14">
        <f t="shared" si="1"/>
        <v>0.85341997235065137</v>
      </c>
      <c r="J15" s="15">
        <f>'0114'!S70</f>
        <v>0.82319845998913788</v>
      </c>
    </row>
    <row r="16" spans="2:15" ht="17.25" customHeight="1">
      <c r="B16" s="672" t="s">
        <v>101</v>
      </c>
      <c r="C16" s="10" t="s">
        <v>34</v>
      </c>
      <c r="D16" s="16">
        <f>'0114'!T5</f>
        <v>0.29027777777777802</v>
      </c>
      <c r="E16" s="16">
        <f>'0114'!T16</f>
        <v>0.29027777777777802</v>
      </c>
      <c r="F16" s="16">
        <f>'0114'!T27</f>
        <v>0.29027777777777802</v>
      </c>
      <c r="G16" s="16">
        <f>'0114'!T38</f>
        <v>0.33194444444444399</v>
      </c>
      <c r="H16" s="16">
        <f>'0114'!T49</f>
        <v>0.28888888888888897</v>
      </c>
      <c r="I16" s="16">
        <f>'0114'!T59</f>
        <v>0.29166666666666702</v>
      </c>
      <c r="J16" s="17">
        <f>'0114'!T70</f>
        <v>0.33541666666666697</v>
      </c>
    </row>
    <row r="17" spans="2:10" ht="17.25" customHeight="1">
      <c r="B17" s="673"/>
      <c r="C17" s="10" t="s">
        <v>35</v>
      </c>
      <c r="D17" s="16">
        <v>0.59375</v>
      </c>
      <c r="E17" s="19">
        <v>0.58194444444444404</v>
      </c>
      <c r="F17" s="19">
        <v>0.61111111111111105</v>
      </c>
      <c r="G17" s="20">
        <v>0.56388888888888899</v>
      </c>
      <c r="H17" s="21">
        <v>0.60555555555555596</v>
      </c>
      <c r="I17" s="22">
        <v>0.56666666666666698</v>
      </c>
      <c r="J17" s="22">
        <v>0.48958333333333298</v>
      </c>
    </row>
    <row r="18" spans="2:10" ht="17.25" customHeight="1">
      <c r="B18" s="674" t="s">
        <v>102</v>
      </c>
      <c r="C18" s="330" t="s">
        <v>36</v>
      </c>
      <c r="D18" s="358">
        <f>'0114'!Z15</f>
        <v>0</v>
      </c>
      <c r="E18" s="359">
        <f>'0114'!Z26</f>
        <v>0</v>
      </c>
      <c r="F18" s="359">
        <f>'0114'!Z37</f>
        <v>0</v>
      </c>
      <c r="G18" s="360">
        <f>'0114'!Z48</f>
        <v>0</v>
      </c>
      <c r="H18" s="360">
        <f>'0114'!Z58</f>
        <v>1</v>
      </c>
      <c r="I18" s="359">
        <f>'0114'!Z69</f>
        <v>0</v>
      </c>
      <c r="J18" s="359">
        <f>'0114'!Z79</f>
        <v>0</v>
      </c>
    </row>
    <row r="19" spans="2:10" ht="17.25" customHeight="1">
      <c r="B19" s="675"/>
      <c r="C19" s="330" t="s">
        <v>37</v>
      </c>
      <c r="D19" s="358">
        <f>'0114'!AA15</f>
        <v>0</v>
      </c>
      <c r="E19" s="359">
        <f>'0114'!AA26</f>
        <v>0</v>
      </c>
      <c r="F19" s="359">
        <f>'0114'!AA37</f>
        <v>0</v>
      </c>
      <c r="G19" s="360">
        <f>'0114'!AA48</f>
        <v>0</v>
      </c>
      <c r="H19" s="360">
        <f>'0114'!AA58</f>
        <v>14</v>
      </c>
      <c r="I19" s="359">
        <f>'0114'!AA69</f>
        <v>0</v>
      </c>
      <c r="J19" s="359">
        <f>'0114'!AA79</f>
        <v>0</v>
      </c>
    </row>
    <row r="20" spans="2:10" ht="17.25" customHeight="1">
      <c r="B20" s="674" t="s">
        <v>103</v>
      </c>
      <c r="C20" s="330" t="s">
        <v>36</v>
      </c>
      <c r="D20" s="358">
        <f>'0114'!AD15</f>
        <v>0</v>
      </c>
      <c r="E20" s="359">
        <f>'0114'!AD26</f>
        <v>2</v>
      </c>
      <c r="F20" s="359">
        <f>'0114'!AD37</f>
        <v>0</v>
      </c>
      <c r="G20" s="360">
        <f>'0114'!AD48</f>
        <v>0</v>
      </c>
      <c r="H20" s="360">
        <f>'0114'!AD58</f>
        <v>0</v>
      </c>
      <c r="I20" s="359">
        <f>'0114'!AD69</f>
        <v>0</v>
      </c>
      <c r="J20" s="359">
        <f>'0114'!AD79</f>
        <v>0</v>
      </c>
    </row>
    <row r="21" spans="2:10" ht="17.25" customHeight="1">
      <c r="B21" s="675"/>
      <c r="C21" s="330" t="s">
        <v>85</v>
      </c>
      <c r="D21" s="358">
        <f>'0114'!AE15</f>
        <v>0</v>
      </c>
      <c r="E21" s="359">
        <f>'0114'!AE26</f>
        <v>2</v>
      </c>
      <c r="F21" s="359">
        <f>'0108'!AE37</f>
        <v>0</v>
      </c>
      <c r="G21" s="360">
        <f>'0114'!AE48</f>
        <v>0</v>
      </c>
      <c r="H21" s="360">
        <f>'0114'!AE58</f>
        <v>0</v>
      </c>
      <c r="I21" s="359">
        <f>'0114'!AE69</f>
        <v>0</v>
      </c>
      <c r="J21" s="359">
        <f>'0114'!AE79</f>
        <v>0</v>
      </c>
    </row>
    <row r="22" spans="2:10" ht="17.25" customHeight="1">
      <c r="B22" s="658" t="s">
        <v>104</v>
      </c>
      <c r="C22" s="659"/>
      <c r="D22" s="23">
        <f>VALUE('0114'!M15)</f>
        <v>14.25</v>
      </c>
      <c r="E22" s="23">
        <f>VALUE('0114'!M26)</f>
        <v>12.75</v>
      </c>
      <c r="F22" s="23">
        <f>VALUE('0114'!M37)</f>
        <v>15.4</v>
      </c>
      <c r="G22" s="23">
        <f>VALUE('0114'!M48)</f>
        <v>15.333333333333334</v>
      </c>
      <c r="H22" s="23">
        <f>VALUE('0114'!M58)</f>
        <v>17.75</v>
      </c>
      <c r="I22" s="23">
        <f>VALUE('0114'!M69)</f>
        <v>12.25</v>
      </c>
      <c r="J22" s="23">
        <f>'0114'!M79</f>
        <v>10.5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3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114C-52E1-4C62-9AAE-DC6EEF318902}">
  <sheetPr>
    <tabColor theme="9" tint="0.79998168889431442"/>
  </sheetPr>
  <dimension ref="A1:AJ92"/>
  <sheetViews>
    <sheetView zoomScale="69" zoomScaleNormal="69" workbookViewId="0">
      <pane xSplit="5" ySplit="4" topLeftCell="N53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47532</v>
      </c>
      <c r="F1" s="30" t="s">
        <v>2</v>
      </c>
      <c r="G1" s="31">
        <f>SUM(H5:H79)</f>
        <v>2272169.9099999997</v>
      </c>
      <c r="H1" s="32" t="s">
        <v>3</v>
      </c>
      <c r="I1" s="33">
        <f>M15+M26+M48+M58+M69+M79+M37</f>
        <v>98.233333333333348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180</v>
      </c>
      <c r="B2" s="678"/>
      <c r="C2" s="28"/>
      <c r="D2" s="28" t="s">
        <v>14</v>
      </c>
      <c r="E2" s="35">
        <f>AVERAGE(O15,O26,O37,O48,O58,O69,O79)</f>
        <v>98.834974113411278</v>
      </c>
      <c r="F2" s="36" t="s">
        <v>15</v>
      </c>
      <c r="G2" s="37">
        <f>G1/E1</f>
        <v>47.802951906084317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14</v>
      </c>
      <c r="AB2" s="684"/>
      <c r="AC2" s="684"/>
      <c r="AD2" s="340">
        <f>AD15+AD26+AD37+AD48+AD58+AD69+AD79</f>
        <v>2</v>
      </c>
      <c r="AE2" s="340">
        <f>AE15+AE26+AE37+AE48+AE58+AE69+AE79</f>
        <v>2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2574</v>
      </c>
      <c r="H5" s="43">
        <f>F5*G5</f>
        <v>122805.54000000001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1403.9999999999989</v>
      </c>
      <c r="O5" s="47">
        <f t="shared" ref="O5:O7" si="2">N5/M5</f>
        <v>100.28571428571421</v>
      </c>
      <c r="P5" s="49">
        <f t="shared" ref="P5:P7" si="3">M5-J5</f>
        <v>0</v>
      </c>
      <c r="Q5" s="50">
        <f t="shared" ref="Q5:Q7" si="4">O5-L5</f>
        <v>-2.5714285714286547</v>
      </c>
      <c r="R5" s="51">
        <f t="shared" ref="R5:R7" si="5">O5/L5</f>
        <v>0.9749999999999992</v>
      </c>
      <c r="S5" s="718">
        <f>R15</f>
        <v>0.94563363546385337</v>
      </c>
      <c r="T5" s="319">
        <v>0.29027777777777802</v>
      </c>
      <c r="U5" s="320">
        <v>0.36666666666666697</v>
      </c>
      <c r="V5" s="53"/>
      <c r="W5" s="54">
        <f t="shared" ref="W5:W14" si="6">(U5-T5)*24*60</f>
        <v>110.00000000000009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-36.000000000001137</v>
      </c>
      <c r="AG5" s="52">
        <f t="shared" ref="AG5:AG11" si="8">N5/K5</f>
        <v>0.9749999999999992</v>
      </c>
      <c r="AH5" s="724">
        <f>AG15</f>
        <v>0.91614173835667101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1372</v>
      </c>
      <c r="H6" s="63">
        <f>F6*G6</f>
        <v>78492.12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15</v>
      </c>
      <c r="N6" s="66">
        <f t="shared" si="1"/>
        <v>1715.0000000000177</v>
      </c>
      <c r="O6" s="67">
        <f t="shared" si="2"/>
        <v>114.33333333333452</v>
      </c>
      <c r="P6" s="69">
        <f t="shared" si="3"/>
        <v>-2</v>
      </c>
      <c r="Q6" s="70">
        <f t="shared" si="4"/>
        <v>-3.3137254901948836</v>
      </c>
      <c r="R6" s="71">
        <f t="shared" si="5"/>
        <v>0.97183333333334354</v>
      </c>
      <c r="S6" s="719"/>
      <c r="T6" s="16">
        <v>0.37638888888888899</v>
      </c>
      <c r="U6" s="16">
        <v>0.40972222222222199</v>
      </c>
      <c r="V6" s="30">
        <f>(T6-U5)*24*60</f>
        <v>13.99999999999971</v>
      </c>
      <c r="W6" s="73">
        <f t="shared" si="6"/>
        <v>47.99999999999951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-284.99999999998226</v>
      </c>
      <c r="AG6" s="72">
        <f t="shared" si="8"/>
        <v>0.85750000000000892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2622</v>
      </c>
      <c r="H7" s="78">
        <f>F7*G7</f>
        <v>128845.08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1829.3023255814019</v>
      </c>
      <c r="O7" s="81">
        <f t="shared" si="2"/>
        <v>130.664451827243</v>
      </c>
      <c r="P7" s="74">
        <f t="shared" si="3"/>
        <v>0</v>
      </c>
      <c r="Q7" s="83">
        <f t="shared" si="4"/>
        <v>-12.192691029899862</v>
      </c>
      <c r="R7" s="72">
        <f t="shared" si="5"/>
        <v>0.91465116279070102</v>
      </c>
      <c r="S7" s="719"/>
      <c r="T7" s="18">
        <v>0.41805555555555601</v>
      </c>
      <c r="U7" s="18">
        <v>0.47777777777777802</v>
      </c>
      <c r="V7" s="30">
        <f>(T7-U6)*24*60</f>
        <v>12.000000000000997</v>
      </c>
      <c r="W7" s="73">
        <f t="shared" si="6"/>
        <v>85.999999999999687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-170.69767441859813</v>
      </c>
      <c r="AG7" s="72">
        <f t="shared" si="8"/>
        <v>0.91465116279070091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2397</v>
      </c>
      <c r="H8" s="78">
        <f>F8*G8</f>
        <v>117788.58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1867.7922077922142</v>
      </c>
      <c r="O8" s="81">
        <f>N8/M8</f>
        <v>133.41372912801529</v>
      </c>
      <c r="P8" s="74">
        <f>M8-J8</f>
        <v>0</v>
      </c>
      <c r="Q8" s="83">
        <f>O8-L8</f>
        <v>-9.4434137291275704</v>
      </c>
      <c r="R8" s="72">
        <f>O8/L8</f>
        <v>0.933896103896107</v>
      </c>
      <c r="S8" s="719"/>
      <c r="T8" s="16">
        <v>0.54027777777777797</v>
      </c>
      <c r="U8" s="16">
        <v>0.59375</v>
      </c>
      <c r="V8" s="30"/>
      <c r="W8" s="73">
        <f t="shared" si="6"/>
        <v>76.99999999999973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-132.20779220778581</v>
      </c>
      <c r="AG8" s="72">
        <f t="shared" si="8"/>
        <v>0.93389610389610711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14.25</v>
      </c>
      <c r="N15" s="120">
        <f t="shared" si="9"/>
        <v>1704.0236333434082</v>
      </c>
      <c r="O15" s="117">
        <f t="shared" si="9"/>
        <v>119.67430714357675</v>
      </c>
      <c r="P15" s="121">
        <f t="shared" ref="P15:P18" si="10">M15-J15</f>
        <v>-0.5</v>
      </c>
      <c r="Q15" s="122">
        <f t="shared" ref="Q15:Q18" si="11">O15-L15</f>
        <v>-6.8803147051627604</v>
      </c>
      <c r="R15" s="123">
        <f t="shared" ref="R15:R18" si="12">O15/L15</f>
        <v>0.94563363546385337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-155.97636665659184</v>
      </c>
      <c r="AG15" s="124">
        <f t="shared" ref="AG15:AG19" si="14">N15/K15</f>
        <v>0.91614173835667101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2191</v>
      </c>
      <c r="H16" s="134">
        <f>F16*G16</f>
        <v>125347.11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1800.8219178082354</v>
      </c>
      <c r="O16" s="141">
        <f>N16/M16</f>
        <v>128.63013698630252</v>
      </c>
      <c r="P16" s="142">
        <f>M16-J16</f>
        <v>1</v>
      </c>
      <c r="Q16" s="143">
        <f t="shared" si="11"/>
        <v>-33.292939936774417</v>
      </c>
      <c r="R16" s="144">
        <f>O16/L16</f>
        <v>0.79439039468975425</v>
      </c>
      <c r="S16" s="734">
        <f>R26</f>
        <v>0.9054685123568138</v>
      </c>
      <c r="T16" s="145">
        <v>0.29027777777777802</v>
      </c>
      <c r="U16" s="145">
        <v>0.34097222222222201</v>
      </c>
      <c r="V16" s="135"/>
      <c r="W16" s="146">
        <f t="shared" ref="W16:W78" si="17">(U16-T16)*24*60</f>
        <v>72.999999999999346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-304.17808219176459</v>
      </c>
      <c r="AG16" s="52">
        <f t="shared" si="14"/>
        <v>0.85549734812742773</v>
      </c>
      <c r="AH16" s="724">
        <f>AG26</f>
        <v>0.92067261972609782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3258</v>
      </c>
      <c r="H17" s="78">
        <f>F17*G17</f>
        <v>165082.86000000002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1974.5454545454536</v>
      </c>
      <c r="O17" s="96">
        <f t="shared" ref="O17:O18" si="18">N17/M17</f>
        <v>151.88811188811181</v>
      </c>
      <c r="P17" s="97">
        <f t="shared" si="10"/>
        <v>0</v>
      </c>
      <c r="Q17" s="98">
        <f t="shared" si="11"/>
        <v>-1.9580419580420312</v>
      </c>
      <c r="R17" s="99">
        <f t="shared" si="12"/>
        <v>0.98727272727272675</v>
      </c>
      <c r="S17" s="735"/>
      <c r="T17" s="19">
        <v>0.34930555555555598</v>
      </c>
      <c r="U17" s="19">
        <v>0.41805555555555601</v>
      </c>
      <c r="V17" s="30">
        <f>(T17-U16)*24*60</f>
        <v>12.000000000000917</v>
      </c>
      <c r="W17" s="149">
        <f t="shared" si="17"/>
        <v>99.000000000000043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-25.454545454546405</v>
      </c>
      <c r="AG17" s="72">
        <f t="shared" si="14"/>
        <v>0.98727272727272675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2329</v>
      </c>
      <c r="H18" s="78">
        <f>F18*G18</f>
        <v>117358.31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1838.684210526307</v>
      </c>
      <c r="O18" s="96">
        <f t="shared" si="18"/>
        <v>153.22368421052559</v>
      </c>
      <c r="P18" s="97">
        <f t="shared" si="10"/>
        <v>0</v>
      </c>
      <c r="Q18" s="98">
        <f t="shared" si="11"/>
        <v>-13.442982456141067</v>
      </c>
      <c r="R18" s="99">
        <f t="shared" si="12"/>
        <v>0.91934210526315363</v>
      </c>
      <c r="S18" s="735"/>
      <c r="T18" s="19">
        <v>0.42499999999999999</v>
      </c>
      <c r="U18" s="19">
        <v>0.47777777777777802</v>
      </c>
      <c r="V18" s="30">
        <f>(T18-U17)*24*60</f>
        <v>9.999999999999325</v>
      </c>
      <c r="W18" s="149">
        <f t="shared" si="17"/>
        <v>76.000000000000369</v>
      </c>
      <c r="X18" s="22">
        <v>0.48611111111111099</v>
      </c>
      <c r="Y18" s="84">
        <v>0.52777777777777801</v>
      </c>
      <c r="Z18" s="90"/>
      <c r="AA18" s="90"/>
      <c r="AB18" s="713" t="s">
        <v>116</v>
      </c>
      <c r="AC18" s="713"/>
      <c r="AD18" s="92">
        <v>2</v>
      </c>
      <c r="AE18" s="92">
        <v>2</v>
      </c>
      <c r="AF18" s="307">
        <f t="shared" si="13"/>
        <v>-161.31578947369303</v>
      </c>
      <c r="AG18" s="72">
        <f t="shared" si="14"/>
        <v>0.91934210526315352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1848</v>
      </c>
      <c r="H19" s="78">
        <f>F19*G19</f>
        <v>93120.72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1848.0000000000264</v>
      </c>
      <c r="O19" s="96">
        <f>N19/M19</f>
        <v>154.00000000000219</v>
      </c>
      <c r="P19" s="97">
        <f>M19-J19</f>
        <v>0</v>
      </c>
      <c r="Q19" s="98">
        <f>O19-L19</f>
        <v>-12.666666666664469</v>
      </c>
      <c r="R19" s="99">
        <f>O19/L19</f>
        <v>0.92400000000001314</v>
      </c>
      <c r="S19" s="735"/>
      <c r="T19" s="19">
        <v>0.54027777777777797</v>
      </c>
      <c r="U19" s="19">
        <v>0.58194444444444404</v>
      </c>
      <c r="V19" s="30">
        <f>(T19-U18)*24*60</f>
        <v>89.999999999999915</v>
      </c>
      <c r="W19" s="149">
        <f t="shared" si="17"/>
        <v>59.999999999999147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-151.99999999997362</v>
      </c>
      <c r="AG19" s="72">
        <f t="shared" si="14"/>
        <v>0.92400000000001314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1865.5128957200056</v>
      </c>
      <c r="O26" s="158">
        <f t="shared" si="20"/>
        <v>146.93548327123551</v>
      </c>
      <c r="P26" s="159">
        <f t="shared" ref="P26:P29" si="21">M26-J26</f>
        <v>0.25</v>
      </c>
      <c r="Q26" s="160">
        <f t="shared" ref="Q26:Q29" si="22">O26-L26</f>
        <v>-15.34015775440551</v>
      </c>
      <c r="R26" s="161">
        <f>O26/L26</f>
        <v>0.9054685123568138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2</v>
      </c>
      <c r="AE26" s="323">
        <f>SUM(AE16:AE25)</f>
        <v>2</v>
      </c>
      <c r="AF26" s="309">
        <f t="shared" ref="AF26:AF31" si="23">N26-K26</f>
        <v>-160.73710427999436</v>
      </c>
      <c r="AG26" s="124">
        <f t="shared" ref="AG26:AG31" si="24">N26/K26</f>
        <v>0.92067261972609782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2174</v>
      </c>
      <c r="H27" s="134">
        <f>F27*G27</f>
        <v>124570.2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16</v>
      </c>
      <c r="N27" s="140">
        <f>G27/W27*60</f>
        <v>1402.5806451612978</v>
      </c>
      <c r="O27" s="141">
        <f>N27/M27</f>
        <v>87.66129032258111</v>
      </c>
      <c r="P27" s="142">
        <f t="shared" si="21"/>
        <v>-1</v>
      </c>
      <c r="Q27" s="143">
        <f t="shared" si="22"/>
        <v>-0.57400379506594845</v>
      </c>
      <c r="R27" s="144">
        <f>O27/L27</f>
        <v>0.99349462365591923</v>
      </c>
      <c r="S27" s="734">
        <f>R37</f>
        <v>0.88951587321640446</v>
      </c>
      <c r="T27" s="171">
        <v>0.29027777777777802</v>
      </c>
      <c r="U27" s="171">
        <v>0.35486111111111102</v>
      </c>
      <c r="V27" s="135"/>
      <c r="W27" s="146">
        <f t="shared" si="17"/>
        <v>92.999999999999517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-97.419354838702247</v>
      </c>
      <c r="AG27" s="172">
        <f t="shared" si="24"/>
        <v>0.93505376344086522</v>
      </c>
      <c r="AH27" s="724">
        <f>AG37</f>
        <v>0.80785044076984613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1434</v>
      </c>
      <c r="H28" s="91">
        <f>F28*G28</f>
        <v>79056.42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16</v>
      </c>
      <c r="N28" s="95">
        <f>G28/W28*60</f>
        <v>1246.9565217391478</v>
      </c>
      <c r="O28" s="96">
        <f>N28/M28</f>
        <v>77.934782608696736</v>
      </c>
      <c r="P28" s="97">
        <f t="shared" si="21"/>
        <v>-1</v>
      </c>
      <c r="Q28" s="98">
        <f t="shared" si="22"/>
        <v>-3.5358056265973801</v>
      </c>
      <c r="R28" s="99">
        <f t="shared" ref="R28:R29" si="26">O28/L28</f>
        <v>0.95660021974573617</v>
      </c>
      <c r="S28" s="735"/>
      <c r="T28" s="19">
        <v>0.360416666666667</v>
      </c>
      <c r="U28" s="19">
        <v>0.40833333333333299</v>
      </c>
      <c r="V28" s="92">
        <f>(T28-U27)*24*60</f>
        <v>8.0000000000006111</v>
      </c>
      <c r="W28" s="149">
        <f t="shared" si="17"/>
        <v>68.999999999999034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-138.04347826085223</v>
      </c>
      <c r="AG28" s="99">
        <f t="shared" si="24"/>
        <v>0.90032961858422222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1247</v>
      </c>
      <c r="H29" s="91">
        <f>F29*G29</f>
        <v>61751.44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15</v>
      </c>
      <c r="N29" s="95">
        <f>G29/W29*60</f>
        <v>1100.294117647064</v>
      </c>
      <c r="O29" s="96">
        <f>N29/M29</f>
        <v>73.352941176470935</v>
      </c>
      <c r="P29" s="97">
        <f t="shared" si="21"/>
        <v>-2</v>
      </c>
      <c r="Q29" s="98">
        <f t="shared" si="22"/>
        <v>-11.352941176470239</v>
      </c>
      <c r="R29" s="99">
        <f t="shared" si="26"/>
        <v>0.86597222222222636</v>
      </c>
      <c r="S29" s="735"/>
      <c r="T29" s="19">
        <v>0.41111111111111098</v>
      </c>
      <c r="U29" s="19">
        <v>0.45833333333333298</v>
      </c>
      <c r="V29" s="92">
        <f>(T29-U28)*24*60</f>
        <v>4.0000000000003055</v>
      </c>
      <c r="W29" s="149">
        <f t="shared" si="17"/>
        <v>67.999999999999673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-339.70588235293599</v>
      </c>
      <c r="AG29" s="99">
        <f t="shared" si="24"/>
        <v>0.76409313725490557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800</v>
      </c>
      <c r="H30" s="91">
        <f t="shared" ref="H30:H31" si="27">F30*G30</f>
        <v>39616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28">K30/J30</f>
        <v>84.705882352941174</v>
      </c>
      <c r="M30" s="94">
        <v>15</v>
      </c>
      <c r="N30" s="95">
        <f t="shared" ref="N30:N31" si="29">G30/W30*60</f>
        <v>1021.2765957446775</v>
      </c>
      <c r="O30" s="96">
        <f t="shared" ref="O30:O31" si="30">N30/M30</f>
        <v>68.085106382978495</v>
      </c>
      <c r="P30" s="97">
        <f t="shared" ref="P30:P31" si="31">M30-J30</f>
        <v>-2</v>
      </c>
      <c r="Q30" s="98">
        <f t="shared" ref="Q30:Q31" si="32">O30-L30</f>
        <v>-16.620775969962679</v>
      </c>
      <c r="R30" s="99">
        <f t="shared" ref="R30:R31" si="33">O30/L30</f>
        <v>0.80378250591016276</v>
      </c>
      <c r="S30" s="735"/>
      <c r="T30" s="19">
        <v>0.52638888888888902</v>
      </c>
      <c r="U30" s="19">
        <v>0.55902777777777801</v>
      </c>
      <c r="V30" s="92">
        <f>(T30-U29)*24*60</f>
        <v>98.000000000000696</v>
      </c>
      <c r="W30" s="149">
        <f t="shared" si="17"/>
        <v>47.000000000000156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-418.72340425532252</v>
      </c>
      <c r="AG30" s="99">
        <f t="shared" si="24"/>
        <v>0.70921985815602606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962</v>
      </c>
      <c r="H31" s="91">
        <f t="shared" si="27"/>
        <v>42616.6</v>
      </c>
      <c r="I31" s="92"/>
      <c r="J31" s="79">
        <v>17</v>
      </c>
      <c r="K31" s="80">
        <f>VLOOKUP(D31,產線配置圖!$A$3:$C$39,3,0)</f>
        <v>1440</v>
      </c>
      <c r="L31" s="93">
        <f t="shared" si="28"/>
        <v>84.705882352941174</v>
      </c>
      <c r="M31" s="94">
        <v>15</v>
      </c>
      <c r="N31" s="95">
        <f t="shared" si="29"/>
        <v>1049.454545454555</v>
      </c>
      <c r="O31" s="96">
        <f t="shared" si="30"/>
        <v>69.963636363637008</v>
      </c>
      <c r="P31" s="97">
        <f t="shared" si="31"/>
        <v>-2</v>
      </c>
      <c r="Q31" s="98">
        <f t="shared" si="32"/>
        <v>-14.742245989304166</v>
      </c>
      <c r="R31" s="99">
        <f t="shared" si="33"/>
        <v>0.82595959595960355</v>
      </c>
      <c r="S31" s="735"/>
      <c r="T31" s="19">
        <v>0.57291666666666696</v>
      </c>
      <c r="U31" s="19">
        <v>0.61111111111111105</v>
      </c>
      <c r="V31" s="92">
        <f>(T31-U30)*24*60</f>
        <v>20.000000000000089</v>
      </c>
      <c r="W31" s="149">
        <f t="shared" si="17"/>
        <v>54.999999999999488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-390.54545454544495</v>
      </c>
      <c r="AG31" s="99">
        <f t="shared" si="24"/>
        <v>0.72878787878788542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5">AVERAGE(J27:J36)</f>
        <v>17</v>
      </c>
      <c r="K37" s="155">
        <f t="shared" si="35"/>
        <v>1441</v>
      </c>
      <c r="L37" s="158">
        <f t="shared" si="35"/>
        <v>84.764705882352928</v>
      </c>
      <c r="M37" s="155">
        <f t="shared" si="35"/>
        <v>15.4</v>
      </c>
      <c r="N37" s="155">
        <f t="shared" si="35"/>
        <v>1164.1124851493482</v>
      </c>
      <c r="O37" s="158">
        <f t="shared" si="35"/>
        <v>75.399551370872857</v>
      </c>
      <c r="P37" s="159">
        <f>M37-J37</f>
        <v>-1.5999999999999996</v>
      </c>
      <c r="Q37" s="160">
        <f>N37-K37</f>
        <v>-276.88751485065177</v>
      </c>
      <c r="R37" s="161">
        <f t="shared" ref="R37:R40" si="36">O37/L37</f>
        <v>0.88951587321640446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7">N37-K37</f>
        <v>-276.88751485065177</v>
      </c>
      <c r="AG37" s="124">
        <f t="shared" ref="AG37:AG41" si="38">N37/K37</f>
        <v>0.80785044076984613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1221</v>
      </c>
      <c r="H38" s="134">
        <f>F38*G38</f>
        <v>68901.03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9">K38/J38</f>
        <v>87.875</v>
      </c>
      <c r="M38" s="190">
        <v>15</v>
      </c>
      <c r="N38" s="140">
        <f>G38/W38*60</f>
        <v>1200.9836065573513</v>
      </c>
      <c r="O38" s="141">
        <f>N38/M38</f>
        <v>80.06557377049009</v>
      </c>
      <c r="P38" s="142">
        <f t="shared" ref="P38:P40" si="40">M38-J38</f>
        <v>-1</v>
      </c>
      <c r="Q38" s="143">
        <f t="shared" ref="Q38:Q40" si="41">O38-L38</f>
        <v>-7.8094262295099099</v>
      </c>
      <c r="R38" s="144">
        <f>O38/L38</f>
        <v>0.91113028472819446</v>
      </c>
      <c r="S38" s="756">
        <f>R48</f>
        <v>0.89561237398877114</v>
      </c>
      <c r="T38" s="191">
        <v>0.33194444444444399</v>
      </c>
      <c r="U38" s="191">
        <v>0.374305555555556</v>
      </c>
      <c r="V38" s="192"/>
      <c r="W38" s="193">
        <f t="shared" si="17"/>
        <v>61.0000000000013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7"/>
        <v>-205.01639344264868</v>
      </c>
      <c r="AG38" s="195">
        <f t="shared" si="38"/>
        <v>0.85418464193268229</v>
      </c>
      <c r="AH38" s="746">
        <f>AG48</f>
        <v>0.82235650261168969</v>
      </c>
    </row>
    <row r="39" spans="1:34" ht="15" customHeight="1">
      <c r="A39" s="754"/>
      <c r="B39" s="75" t="s">
        <v>117</v>
      </c>
      <c r="C39" s="197"/>
      <c r="D39" s="198" t="s">
        <v>118</v>
      </c>
      <c r="E39" s="176"/>
      <c r="F39" s="75">
        <f>VLOOKUP(D39,廠價表!$C$1:$E$41,3,0)</f>
        <v>44.3</v>
      </c>
      <c r="G39" s="199">
        <v>1808</v>
      </c>
      <c r="H39" s="91">
        <f>F39*G39</f>
        <v>80094.399999999994</v>
      </c>
      <c r="I39" s="200"/>
      <c r="J39" s="148">
        <v>17</v>
      </c>
      <c r="K39" s="95">
        <f>VLOOKUP(D39,產線配置圖!$A$3:$C$39,3,0)</f>
        <v>1440</v>
      </c>
      <c r="L39" s="96">
        <f t="shared" si="39"/>
        <v>84.705882352941174</v>
      </c>
      <c r="M39" s="201">
        <v>15</v>
      </c>
      <c r="N39" s="202">
        <f>G39/W39*60</f>
        <v>1232.727272727275</v>
      </c>
      <c r="O39" s="203">
        <f t="shared" ref="O39:O40" si="42">N39/M39</f>
        <v>82.181818181818329</v>
      </c>
      <c r="P39" s="97">
        <f t="shared" si="40"/>
        <v>-2</v>
      </c>
      <c r="Q39" s="98">
        <f t="shared" si="41"/>
        <v>-2.5240641711228449</v>
      </c>
      <c r="R39" s="99">
        <f t="shared" si="36"/>
        <v>0.97020202020202195</v>
      </c>
      <c r="S39" s="757"/>
      <c r="T39" s="20">
        <v>0.39652777777777798</v>
      </c>
      <c r="U39" s="20">
        <v>0.45763888888888898</v>
      </c>
      <c r="V39" s="92">
        <f>(T39-U38)*24*60</f>
        <v>31.999999999999645</v>
      </c>
      <c r="W39" s="205">
        <f t="shared" si="17"/>
        <v>87.999999999999844</v>
      </c>
      <c r="X39" s="22"/>
      <c r="Y39" s="84"/>
      <c r="Z39" s="90"/>
      <c r="AA39" s="90"/>
      <c r="AB39" s="749" t="s">
        <v>181</v>
      </c>
      <c r="AC39" s="749"/>
      <c r="AD39" s="200"/>
      <c r="AE39" s="200"/>
      <c r="AF39" s="314">
        <f t="shared" si="37"/>
        <v>-207.27272727272498</v>
      </c>
      <c r="AG39" s="206">
        <f t="shared" si="38"/>
        <v>0.85606060606060763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1000</v>
      </c>
      <c r="H40" s="91">
        <f>F40*G40</f>
        <v>44300</v>
      </c>
      <c r="I40" s="200"/>
      <c r="J40" s="148">
        <v>17</v>
      </c>
      <c r="K40" s="95">
        <f>VLOOKUP(D40,產線配置圖!$A$3:$C$39,3,0)</f>
        <v>1440</v>
      </c>
      <c r="L40" s="96">
        <f t="shared" si="39"/>
        <v>84.705882352941174</v>
      </c>
      <c r="M40" s="201">
        <v>16</v>
      </c>
      <c r="N40" s="202">
        <f>G40/W40*60</f>
        <v>1090.9090909090758</v>
      </c>
      <c r="O40" s="203">
        <f t="shared" si="42"/>
        <v>68.181818181817235</v>
      </c>
      <c r="P40" s="97">
        <f t="shared" si="40"/>
        <v>-1</v>
      </c>
      <c r="Q40" s="98">
        <f t="shared" si="41"/>
        <v>-16.524064171123939</v>
      </c>
      <c r="R40" s="99">
        <f t="shared" si="36"/>
        <v>0.80492424242423122</v>
      </c>
      <c r="S40" s="719"/>
      <c r="T40" s="20">
        <v>0.52569444444444402</v>
      </c>
      <c r="U40" s="20">
        <v>0.56388888888888899</v>
      </c>
      <c r="V40" s="92">
        <f>(T40-U39)*24*60</f>
        <v>97.999999999999247</v>
      </c>
      <c r="W40" s="205">
        <f t="shared" si="17"/>
        <v>55.000000000000767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7"/>
        <v>-349.09090909092424</v>
      </c>
      <c r="AG40" s="206">
        <f t="shared" si="38"/>
        <v>0.75757575757574702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7"/>
        <v>0</v>
      </c>
      <c r="AG41" s="206" t="e">
        <f t="shared" si="38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4">AVERAGE(J38:J47)</f>
        <v>16.666666666666668</v>
      </c>
      <c r="K48" s="155">
        <f t="shared" si="44"/>
        <v>1428.6666666666667</v>
      </c>
      <c r="L48" s="158">
        <f t="shared" si="44"/>
        <v>85.762254901960773</v>
      </c>
      <c r="M48" s="155">
        <f t="shared" si="44"/>
        <v>15.333333333333334</v>
      </c>
      <c r="N48" s="155">
        <f t="shared" si="44"/>
        <v>1174.8733233979008</v>
      </c>
      <c r="O48" s="158">
        <f t="shared" si="44"/>
        <v>76.809736711375209</v>
      </c>
      <c r="P48" s="221">
        <f>M48-J48</f>
        <v>-1.3333333333333339</v>
      </c>
      <c r="Q48" s="222">
        <f>N48-K48</f>
        <v>-253.79334326876597</v>
      </c>
      <c r="R48" s="223">
        <f>O48/L48</f>
        <v>0.89561237398877114</v>
      </c>
      <c r="S48" s="722"/>
      <c r="T48" s="224"/>
      <c r="U48" s="224"/>
      <c r="V48" s="225"/>
      <c r="W48" s="226">
        <f t="shared" si="4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5">N48-K48</f>
        <v>-253.79334326876597</v>
      </c>
      <c r="AG48" s="162">
        <f t="shared" ref="AG48:AG53" si="46">N48/K48</f>
        <v>0.82235650261168969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1314</v>
      </c>
      <c r="H49" s="134">
        <f>F49*G49</f>
        <v>74727.179999999993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7">K49/J49</f>
        <v>86.944444444444443</v>
      </c>
      <c r="M49" s="170">
        <v>18</v>
      </c>
      <c r="N49" s="140">
        <f>G49/W49*60</f>
        <v>1516.1538461538491</v>
      </c>
      <c r="O49" s="141">
        <f>N49/M49</f>
        <v>84.230769230769397</v>
      </c>
      <c r="P49" s="229">
        <f>M49-J49</f>
        <v>0</v>
      </c>
      <c r="Q49" s="230">
        <f>O49-L49</f>
        <v>-2.7136752136750459</v>
      </c>
      <c r="R49" s="52">
        <f>O49/L49</f>
        <v>0.96878840009830613</v>
      </c>
      <c r="S49" s="718">
        <f>R58</f>
        <v>0.9425652845660818</v>
      </c>
      <c r="T49" s="191">
        <v>0.28888888888888897</v>
      </c>
      <c r="U49" s="191">
        <v>0.32500000000000001</v>
      </c>
      <c r="V49" s="55"/>
      <c r="W49" s="193">
        <f t="shared" si="17"/>
        <v>51.999999999999893</v>
      </c>
      <c r="X49" s="55"/>
      <c r="Y49" s="290"/>
      <c r="Z49" s="169">
        <v>1</v>
      </c>
      <c r="AA49" s="169">
        <v>14</v>
      </c>
      <c r="AB49" s="723" t="s">
        <v>142</v>
      </c>
      <c r="AC49" s="723"/>
      <c r="AD49" s="135"/>
      <c r="AE49" s="135"/>
      <c r="AF49" s="229">
        <f t="shared" si="45"/>
        <v>-48.846153846150855</v>
      </c>
      <c r="AG49" s="52">
        <f t="shared" si="46"/>
        <v>0.96878840009830613</v>
      </c>
      <c r="AH49" s="724">
        <f>AG58</f>
        <v>0.94385126078683401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2317</v>
      </c>
      <c r="H50" s="231">
        <f>F50*G50</f>
        <v>115641.46999999999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>K50/J50</f>
        <v>92.058823529411768</v>
      </c>
      <c r="M50" s="233">
        <v>17</v>
      </c>
      <c r="N50" s="234">
        <f>G50/W50*60</f>
        <v>1336.7307692307738</v>
      </c>
      <c r="O50" s="235">
        <f>N50/M50</f>
        <v>78.631221719457287</v>
      </c>
      <c r="P50" s="74">
        <f>M50-J50</f>
        <v>0</v>
      </c>
      <c r="Q50" s="83">
        <f>O50-L50</f>
        <v>-13.427601809954481</v>
      </c>
      <c r="R50" s="72">
        <f>O50/L50</f>
        <v>0.85414106660113343</v>
      </c>
      <c r="S50" s="719"/>
      <c r="T50" s="21">
        <v>0.33680555555555602</v>
      </c>
      <c r="U50" s="19">
        <v>0.40902777777777799</v>
      </c>
      <c r="V50" s="30">
        <f t="shared" ref="V50:V52" si="48">(T50-U49)*24*60</f>
        <v>17.000000000000661</v>
      </c>
      <c r="W50" s="236">
        <f t="shared" si="17"/>
        <v>103.99999999999963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5"/>
        <v>-228.26923076922617</v>
      </c>
      <c r="AG50" s="72">
        <f t="shared" si="46"/>
        <v>0.85414106660113343</v>
      </c>
      <c r="AH50" s="725"/>
    </row>
    <row r="51" spans="1:34" ht="15" customHeight="1">
      <c r="A51" s="751"/>
      <c r="B51" s="101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1888</v>
      </c>
      <c r="H51" s="231">
        <f>F51*G51</f>
        <v>94343.360000000001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7"/>
        <v>88.888888888888886</v>
      </c>
      <c r="M51" s="233">
        <v>18</v>
      </c>
      <c r="N51" s="234">
        <f>G51/W51*60</f>
        <v>1551.7808219177916</v>
      </c>
      <c r="O51" s="235">
        <f>N51/M51</f>
        <v>86.210045662099532</v>
      </c>
      <c r="P51" s="74">
        <f>M51-J51</f>
        <v>0</v>
      </c>
      <c r="Q51" s="83">
        <f>O51-L51</f>
        <v>-2.678843226789354</v>
      </c>
      <c r="R51" s="72">
        <f>O51/L51</f>
        <v>0.96986301369861971</v>
      </c>
      <c r="S51" s="719"/>
      <c r="T51" s="21">
        <v>0.41458333333333303</v>
      </c>
      <c r="U51" s="21">
        <v>0.46527777777777801</v>
      </c>
      <c r="V51" s="30">
        <f t="shared" si="48"/>
        <v>7.9999999999992522</v>
      </c>
      <c r="W51" s="236">
        <f t="shared" si="17"/>
        <v>73.000000000000782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5"/>
        <v>-48.219178082208373</v>
      </c>
      <c r="AG51" s="72">
        <f t="shared" si="46"/>
        <v>0.96986301369861971</v>
      </c>
      <c r="AH51" s="725"/>
    </row>
    <row r="52" spans="1:34" ht="15" customHeight="1">
      <c r="A52" s="751"/>
      <c r="B52" s="101" t="s">
        <v>81</v>
      </c>
      <c r="C52" s="102"/>
      <c r="D52" s="103" t="s">
        <v>134</v>
      </c>
      <c r="E52" s="104"/>
      <c r="F52" s="75">
        <f>VLOOKUP(D52,廠價表!$C$1:$E$41,3,0)</f>
        <v>49.97</v>
      </c>
      <c r="G52" s="202">
        <v>3009</v>
      </c>
      <c r="H52" s="231">
        <f>F52*G52</f>
        <v>150359.73000000001</v>
      </c>
      <c r="I52" s="30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108">
        <v>18</v>
      </c>
      <c r="N52" s="234">
        <f>G52/W52*60</f>
        <v>1569.9130434782446</v>
      </c>
      <c r="O52" s="235">
        <f>N52/M52</f>
        <v>87.217391304346918</v>
      </c>
      <c r="P52" s="74">
        <f>M52-J52</f>
        <v>0</v>
      </c>
      <c r="Q52" s="83">
        <f>O52-L52</f>
        <v>-1.6714975845419673</v>
      </c>
      <c r="R52" s="72">
        <f>O52/L52</f>
        <v>0.98119565217390292</v>
      </c>
      <c r="S52" s="719"/>
      <c r="T52" s="21">
        <v>0.52569444444444402</v>
      </c>
      <c r="U52" s="21">
        <v>0.60555555555555596</v>
      </c>
      <c r="V52" s="30">
        <f t="shared" si="48"/>
        <v>86.999999999999048</v>
      </c>
      <c r="W52" s="236">
        <f t="shared" si="17"/>
        <v>115.00000000000119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5"/>
        <v>-30.086956521755383</v>
      </c>
      <c r="AG52" s="72">
        <f t="shared" si="46"/>
        <v>0.98119565217390292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5"/>
        <v>0</v>
      </c>
      <c r="AG53" s="72" t="e">
        <f t="shared" si="46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9">AVERAGE(J49:J57)</f>
        <v>17.75</v>
      </c>
      <c r="K58" s="120">
        <f t="shared" si="49"/>
        <v>1582.5</v>
      </c>
      <c r="L58" s="117">
        <f t="shared" si="49"/>
        <v>89.195261437908499</v>
      </c>
      <c r="M58" s="120">
        <f t="shared" si="49"/>
        <v>17.75</v>
      </c>
      <c r="N58" s="120">
        <f t="shared" si="49"/>
        <v>1493.6446201951649</v>
      </c>
      <c r="O58" s="117">
        <f t="shared" si="49"/>
        <v>84.072356979168291</v>
      </c>
      <c r="P58" s="121">
        <f>M58-J58</f>
        <v>0</v>
      </c>
      <c r="Q58" s="122">
        <f>N58-K58</f>
        <v>-88.855379804835138</v>
      </c>
      <c r="R58" s="123">
        <f t="shared" ref="R58:R60" si="50">O58/L58</f>
        <v>0.9425652845660818</v>
      </c>
      <c r="S58" s="72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14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1">N58-K58</f>
        <v>-88.855379804835138</v>
      </c>
      <c r="AG58" s="124">
        <f t="shared" ref="AG58:AG61" si="52">N58/K58</f>
        <v>0.94385126078683401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2973</v>
      </c>
      <c r="H59" s="243">
        <f>F59*G59</f>
        <v>80241.26999999999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3">K59/J59</f>
        <v>120.38461538461539</v>
      </c>
      <c r="M59" s="244">
        <v>13</v>
      </c>
      <c r="N59" s="137">
        <f t="shared" ref="N59:N61" si="54">G59/W59*60</f>
        <v>1551.1304347826108</v>
      </c>
      <c r="O59" s="138">
        <f t="shared" ref="O59:O61" si="55">N59/M59</f>
        <v>119.31772575250852</v>
      </c>
      <c r="P59" s="56">
        <f t="shared" ref="P59:P61" si="56">M59-J59</f>
        <v>0</v>
      </c>
      <c r="Q59" s="230">
        <f t="shared" ref="Q59:Q61" si="57">O59-L59</f>
        <v>-1.0668896321068644</v>
      </c>
      <c r="R59" s="52">
        <f t="shared" si="50"/>
        <v>0.99113765800805798</v>
      </c>
      <c r="S59" s="718">
        <f>R69</f>
        <v>0.85341997235065137</v>
      </c>
      <c r="T59" s="245">
        <v>0.29166666666666702</v>
      </c>
      <c r="U59" s="245">
        <v>0.37152777777777801</v>
      </c>
      <c r="V59" s="55"/>
      <c r="W59" s="54">
        <f t="shared" si="17"/>
        <v>114.99999999999983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1"/>
        <v>-13.869565217389209</v>
      </c>
      <c r="AG59" s="246">
        <f t="shared" si="52"/>
        <v>0.99113765800805798</v>
      </c>
      <c r="AH59" s="724">
        <f>AG69</f>
        <v>0.83965646683731965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508</v>
      </c>
      <c r="H60" s="78">
        <f>F60*G60</f>
        <v>14462.76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12</v>
      </c>
      <c r="N60" s="80">
        <f t="shared" si="54"/>
        <v>1015.9999999999657</v>
      </c>
      <c r="O60" s="81">
        <f t="shared" si="55"/>
        <v>84.666666666663801</v>
      </c>
      <c r="P60" s="74">
        <f t="shared" si="56"/>
        <v>0</v>
      </c>
      <c r="Q60" s="83">
        <f t="shared" si="57"/>
        <v>-45.750000000002856</v>
      </c>
      <c r="R60" s="72">
        <f t="shared" si="50"/>
        <v>0.64920127795524962</v>
      </c>
      <c r="S60" s="768"/>
      <c r="T60" s="22">
        <v>0.38194444444444398</v>
      </c>
      <c r="U60" s="22">
        <v>0.40277777777777801</v>
      </c>
      <c r="V60" s="30">
        <f t="shared" ref="V60:V61" si="58">(T60-U59)*24*60</f>
        <v>14.999999999998987</v>
      </c>
      <c r="W60" s="248">
        <f t="shared" si="17"/>
        <v>30.000000000001013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1"/>
        <v>-549.00000000003433</v>
      </c>
      <c r="AG60" s="249">
        <f t="shared" si="52"/>
        <v>0.64920127795524962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1946</v>
      </c>
      <c r="H61" s="254">
        <f>F61*G61</f>
        <v>54993.960000000006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12</v>
      </c>
      <c r="N61" s="107">
        <f t="shared" si="54"/>
        <v>1297.3333333333335</v>
      </c>
      <c r="O61" s="238">
        <f t="shared" si="55"/>
        <v>108.11111111111113</v>
      </c>
      <c r="P61" s="111">
        <f t="shared" si="56"/>
        <v>0</v>
      </c>
      <c r="Q61" s="255">
        <f t="shared" si="57"/>
        <v>-22.305555555555529</v>
      </c>
      <c r="R61" s="85">
        <f>O61/L61</f>
        <v>0.8289669861554847</v>
      </c>
      <c r="S61" s="719"/>
      <c r="T61" s="22">
        <v>0.41319444444444398</v>
      </c>
      <c r="U61" s="22">
        <v>0.47569444444444398</v>
      </c>
      <c r="V61" s="30">
        <f t="shared" si="58"/>
        <v>14.999999999998987</v>
      </c>
      <c r="W61" s="256">
        <f t="shared" si="17"/>
        <v>90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1"/>
        <v>-267.66666666666652</v>
      </c>
      <c r="AG61" s="247">
        <f t="shared" si="52"/>
        <v>0.8289669861554847</v>
      </c>
      <c r="AH61" s="725"/>
    </row>
    <row r="62" spans="1:34" ht="15" customHeight="1">
      <c r="A62" s="766"/>
      <c r="B62" s="250" t="s">
        <v>135</v>
      </c>
      <c r="C62" s="251"/>
      <c r="D62" s="257" t="s">
        <v>136</v>
      </c>
      <c r="E62" s="253"/>
      <c r="F62" s="250">
        <f>VLOOKUP(D62,廠價表!$C$1:$E$41,3,0)</f>
        <v>26.99</v>
      </c>
      <c r="G62" s="38">
        <v>1299</v>
      </c>
      <c r="H62" s="254">
        <f>F62*G62</f>
        <v>35060.009999999995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108">
        <v>12</v>
      </c>
      <c r="N62" s="107">
        <f>G62/W62*60</f>
        <v>1391.7857142857113</v>
      </c>
      <c r="O62" s="238">
        <f>N62/M62</f>
        <v>115.98214285714261</v>
      </c>
      <c r="P62" s="111">
        <f>M62-J62</f>
        <v>-1</v>
      </c>
      <c r="Q62" s="255">
        <f>O62-L62</f>
        <v>-4.4024725274727814</v>
      </c>
      <c r="R62" s="85">
        <f>O62/L62</f>
        <v>0.96342994066636023</v>
      </c>
      <c r="S62" s="719"/>
      <c r="T62" s="22">
        <v>0.52777777777777801</v>
      </c>
      <c r="U62" s="22">
        <v>0.56666666666666698</v>
      </c>
      <c r="V62" s="30"/>
      <c r="W62" s="248">
        <f t="shared" si="17"/>
        <v>56.000000000000121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-173.21428571428874</v>
      </c>
      <c r="AG62" s="247">
        <f>N62/K62</f>
        <v>0.88931994523048641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9">AVERAGE(J59:J68)</f>
        <v>12.5</v>
      </c>
      <c r="K69" s="240">
        <f t="shared" si="59"/>
        <v>1565</v>
      </c>
      <c r="L69" s="268">
        <f t="shared" si="59"/>
        <v>125.40064102564102</v>
      </c>
      <c r="M69" s="240">
        <f t="shared" si="59"/>
        <v>12.25</v>
      </c>
      <c r="N69" s="240">
        <f t="shared" si="59"/>
        <v>1314.0623706004053</v>
      </c>
      <c r="O69" s="268">
        <f t="shared" si="59"/>
        <v>107.01941159685651</v>
      </c>
      <c r="P69" s="269">
        <f>M69-J69</f>
        <v>-0.25</v>
      </c>
      <c r="Q69" s="222">
        <f>N69-K69</f>
        <v>-250.9376293995947</v>
      </c>
      <c r="R69" s="123">
        <f>O69/L69</f>
        <v>0.85341997235065137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-250.9376293995947</v>
      </c>
      <c r="AG69" s="124">
        <f>N69/K69</f>
        <v>0.83965646683731965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129</v>
      </c>
      <c r="E70" s="132"/>
      <c r="F70" s="129">
        <f>VLOOKUP(D70,廠價表!$C$1:$E$41,3,0)</f>
        <v>57.3</v>
      </c>
      <c r="G70" s="55">
        <v>1283</v>
      </c>
      <c r="H70" s="243">
        <f>F70*G70</f>
        <v>73515.899999999994</v>
      </c>
      <c r="I70" s="55"/>
      <c r="J70" s="136">
        <f>VLOOKUP(D70,產線配置圖!$A$3:$C$39,2,0)</f>
        <v>16</v>
      </c>
      <c r="K70" s="137">
        <f>VLOOKUP(D70,產線配置圖!$A$3:$C$39,3,0)</f>
        <v>1385</v>
      </c>
      <c r="L70" s="138">
        <f>K70/J70</f>
        <v>86.5625</v>
      </c>
      <c r="M70" s="244">
        <v>11</v>
      </c>
      <c r="N70" s="137">
        <f>G70/W70*60</f>
        <v>793.60824742268119</v>
      </c>
      <c r="O70" s="138">
        <f>N70/M70</f>
        <v>72.146204311152829</v>
      </c>
      <c r="P70" s="56">
        <f>M70-J70</f>
        <v>-5</v>
      </c>
      <c r="Q70" s="230">
        <f>O70-L70</f>
        <v>-14.416295688847171</v>
      </c>
      <c r="R70" s="52">
        <f>O70/L70</f>
        <v>0.83345795594111571</v>
      </c>
      <c r="S70" s="718">
        <f>R79</f>
        <v>0.82319845998913788</v>
      </c>
      <c r="T70" s="245">
        <v>0.33541666666666697</v>
      </c>
      <c r="U70" s="245">
        <v>0.40277777777777801</v>
      </c>
      <c r="V70" s="55"/>
      <c r="W70" s="54">
        <f t="shared" si="17"/>
        <v>96.999999999999901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-591.39175257731881</v>
      </c>
      <c r="AG70" s="246">
        <f>N70/K70</f>
        <v>0.57300234470951705</v>
      </c>
      <c r="AH70" s="724">
        <f>AG79</f>
        <v>0.68160384013029096</v>
      </c>
    </row>
    <row r="71" spans="1:36" ht="15" customHeight="1">
      <c r="A71" s="761"/>
      <c r="B71" s="75" t="s">
        <v>81</v>
      </c>
      <c r="C71" s="76"/>
      <c r="D71" s="59" t="s">
        <v>139</v>
      </c>
      <c r="E71" s="77"/>
      <c r="F71" s="250">
        <f>VLOOKUP(D71,廠價表!$C$1:$E$41,3,0)</f>
        <v>50.67</v>
      </c>
      <c r="G71" s="30">
        <v>1758</v>
      </c>
      <c r="H71" s="254">
        <f>F71*G71</f>
        <v>89077.86</v>
      </c>
      <c r="I71" s="232"/>
      <c r="J71" s="106">
        <f>VLOOKUP(D71,產線配置圖!$A$3:$C$39,2,0)</f>
        <v>10</v>
      </c>
      <c r="K71" s="107">
        <f>VLOOKUP(D71,產線配置圖!$A$3:$C$39,3,0)</f>
        <v>1125</v>
      </c>
      <c r="L71" s="238">
        <f>K71/J71</f>
        <v>112.5</v>
      </c>
      <c r="M71" s="82">
        <v>10</v>
      </c>
      <c r="N71" s="107">
        <f>G71/W71*60</f>
        <v>917.21739130434923</v>
      </c>
      <c r="O71" s="238">
        <f>N71/M71</f>
        <v>91.721739130434926</v>
      </c>
      <c r="P71" s="111">
        <f>M71-J71</f>
        <v>0</v>
      </c>
      <c r="Q71" s="255">
        <f>O71-L71</f>
        <v>-20.778260869565074</v>
      </c>
      <c r="R71" s="85">
        <f>O71/L71</f>
        <v>0.81530434782608818</v>
      </c>
      <c r="S71" s="719"/>
      <c r="T71" s="22">
        <v>0.40972222222222199</v>
      </c>
      <c r="U71" s="22">
        <v>0.48958333333333298</v>
      </c>
      <c r="V71" s="30"/>
      <c r="W71" s="73">
        <f t="shared" si="17"/>
        <v>114.99999999999983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1">AVERAGE(J70:J78)</f>
        <v>13</v>
      </c>
      <c r="K79" s="240">
        <f t="shared" si="61"/>
        <v>1255</v>
      </c>
      <c r="L79" s="268">
        <f t="shared" si="61"/>
        <v>99.53125</v>
      </c>
      <c r="M79" s="240">
        <f t="shared" si="61"/>
        <v>10.5</v>
      </c>
      <c r="N79" s="240">
        <f t="shared" si="61"/>
        <v>855.41281936351515</v>
      </c>
      <c r="O79" s="268">
        <f t="shared" si="61"/>
        <v>81.933971720793878</v>
      </c>
      <c r="P79" s="269">
        <f>M79-J79</f>
        <v>-2.5</v>
      </c>
      <c r="Q79" s="222">
        <f>N79-K79</f>
        <v>-399.58718063648485</v>
      </c>
      <c r="R79" s="223">
        <f>O79/L79</f>
        <v>0.82319845998913788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-399.58718063648485</v>
      </c>
      <c r="AG79" s="124">
        <f>N79/K79</f>
        <v>0.68160384013029096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P3:P4"/>
    <mergeCell ref="Q3:Q4"/>
    <mergeCell ref="R3:R4"/>
    <mergeCell ref="Z3:AA3"/>
    <mergeCell ref="D15:E15"/>
    <mergeCell ref="T3:U3"/>
    <mergeCell ref="V3:V4"/>
    <mergeCell ref="W3:W4"/>
    <mergeCell ref="X3:Y3"/>
    <mergeCell ref="AH3:AH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B15:AC15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29" priority="1" operator="greaterThan">
      <formula>0</formula>
    </cfRule>
  </conditionalFormatting>
  <conditionalFormatting sqref="Q5:Q79 AF5:AF79">
    <cfRule type="cellIs" dxfId="228" priority="4" operator="lessThan">
      <formula>0</formula>
    </cfRule>
  </conditionalFormatting>
  <conditionalFormatting sqref="R5:R79 AG5:AG79">
    <cfRule type="cellIs" dxfId="227" priority="2" operator="greaterThan">
      <formula>1</formula>
    </cfRule>
    <cfRule type="cellIs" dxfId="226" priority="3" operator="lessThan">
      <formula>0.8</formula>
    </cfRule>
  </conditionalFormatting>
  <conditionalFormatting sqref="S5:S10 S37:S62 AH59:AH62 S69:S76 AH69:AH76">
    <cfRule type="cellIs" dxfId="225" priority="7" operator="lessThan">
      <formula>0.8</formula>
    </cfRule>
  </conditionalFormatting>
  <conditionalFormatting sqref="S19:S25 AH19:AH25">
    <cfRule type="cellIs" dxfId="224" priority="6" operator="lessThan">
      <formula>0.8</formula>
    </cfRule>
  </conditionalFormatting>
  <conditionalFormatting sqref="S79">
    <cfRule type="cellIs" dxfId="223" priority="5" operator="lessThan">
      <formula>0.8</formula>
    </cfRule>
  </conditionalFormatting>
  <conditionalFormatting sqref="AH5:AH8 S15:S16 AH15:AH16 AH49 AH79">
    <cfRule type="cellIs" dxfId="222" priority="9" operator="lessThan">
      <formula>0.8</formula>
    </cfRule>
  </conditionalFormatting>
  <conditionalFormatting sqref="AH27 S27:S28">
    <cfRule type="cellIs" dxfId="22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F0DDE7-1536-4FB0-9611-034578A5408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BEC5-9389-4512-B707-4A3C6B215F32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46037</v>
      </c>
      <c r="E3" s="645"/>
      <c r="F3" s="3" t="s">
        <v>72</v>
      </c>
      <c r="G3" s="646">
        <f>'0115'!E1</f>
        <v>43661</v>
      </c>
      <c r="H3" s="646"/>
      <c r="I3" s="3" t="s">
        <v>2</v>
      </c>
      <c r="J3" s="647">
        <f>'0115'!G1</f>
        <v>2081077.5799999996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110.49776801746339</v>
      </c>
      <c r="G6" s="652"/>
      <c r="H6" s="653">
        <f>AVERAGE(D13:H13,J13)</f>
        <v>108.01395584943378</v>
      </c>
      <c r="I6" s="653"/>
      <c r="J6" s="653">
        <f>AVERAGE(I13)</f>
        <v>125.40064102564102</v>
      </c>
      <c r="K6" s="653"/>
      <c r="L6" s="769">
        <f>SUM(D18:J18)</f>
        <v>1</v>
      </c>
      <c r="M6" s="656">
        <f>SUM(D19:J19)</f>
        <v>13</v>
      </c>
      <c r="N6" s="771">
        <f>SUM(D20:J20)</f>
        <v>0</v>
      </c>
      <c r="O6" s="656">
        <f>SUM(D20:J20)</f>
        <v>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98.870482541657481</v>
      </c>
      <c r="G7" s="676"/>
      <c r="H7" s="677">
        <f>AVERAGE(D14:H14,J14)</f>
        <v>96.568306752153106</v>
      </c>
      <c r="I7" s="677"/>
      <c r="J7" s="677">
        <f>AVERAGE(I14)</f>
        <v>112.68353727868367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0.89477357158953386</v>
      </c>
      <c r="G8" s="649"/>
      <c r="H8" s="649">
        <f>H7/H6</f>
        <v>0.89403546044332127</v>
      </c>
      <c r="I8" s="649"/>
      <c r="J8" s="649">
        <f>J7/J6</f>
        <v>0.89858820781979054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VALUE('0115'!L15)</f>
        <v>126.55462184873952</v>
      </c>
      <c r="E13" s="13">
        <f>VALUE('0115'!L26)</f>
        <v>162.27564102564102</v>
      </c>
      <c r="F13" s="13">
        <f>VALUE('0115'!L37)</f>
        <v>84.764705882352928</v>
      </c>
      <c r="G13" s="13">
        <f>VALUE('0115'!L48)</f>
        <v>85.762254901960773</v>
      </c>
      <c r="H13" s="13">
        <f>VALUE('0115'!L58)</f>
        <v>89.195261437908499</v>
      </c>
      <c r="I13" s="13">
        <f>VALUE('0115'!L69)</f>
        <v>125.40064102564102</v>
      </c>
      <c r="J13" s="13">
        <f>'0115'!L79</f>
        <v>99.53125</v>
      </c>
    </row>
    <row r="14" spans="2:15" ht="39.950000000000003" customHeight="1">
      <c r="B14" s="670"/>
      <c r="C14" s="12" t="s">
        <v>100</v>
      </c>
      <c r="D14" s="13">
        <f>VALUE('0115'!O15)</f>
        <v>118.6609841565093</v>
      </c>
      <c r="E14" s="13">
        <f>VALUE('0115'!O26)</f>
        <v>140.36160949024588</v>
      </c>
      <c r="F14" s="13">
        <f>VALUE('0115'!O37)</f>
        <v>76.598751412791088</v>
      </c>
      <c r="G14" s="13">
        <f>VALUE('0115'!O48)</f>
        <v>72.994337194337803</v>
      </c>
      <c r="H14" s="13">
        <f>VALUE('0115'!O58)</f>
        <v>80.318820772014377</v>
      </c>
      <c r="I14" s="13">
        <f>VALUE('0115'!O69)</f>
        <v>112.68353727868367</v>
      </c>
      <c r="J14" s="13">
        <f>'0115'!O79</f>
        <v>90.475337487020255</v>
      </c>
    </row>
    <row r="15" spans="2:15" ht="39.950000000000003" customHeight="1">
      <c r="B15" s="671"/>
      <c r="C15" s="10" t="s">
        <v>26</v>
      </c>
      <c r="D15" s="14">
        <f>D14/D13</f>
        <v>0.93762663443722472</v>
      </c>
      <c r="E15" s="14">
        <f t="shared" ref="E15:I15" si="1">E14/E13</f>
        <v>0.864957972762329</v>
      </c>
      <c r="F15" s="14">
        <f t="shared" si="1"/>
        <v>0.90366327135145641</v>
      </c>
      <c r="G15" s="14">
        <f t="shared" si="1"/>
        <v>0.85112427696521464</v>
      </c>
      <c r="H15" s="14">
        <f t="shared" si="1"/>
        <v>0.900483046713493</v>
      </c>
      <c r="I15" s="14">
        <f t="shared" si="1"/>
        <v>0.89858820781979054</v>
      </c>
      <c r="J15" s="15">
        <f>'0115'!S70</f>
        <v>0.90901437977539978</v>
      </c>
    </row>
    <row r="16" spans="2:15" ht="17.25" customHeight="1">
      <c r="B16" s="672" t="s">
        <v>101</v>
      </c>
      <c r="C16" s="10" t="s">
        <v>34</v>
      </c>
      <c r="D16" s="16">
        <f>'0115'!T5</f>
        <v>0.29027777777777802</v>
      </c>
      <c r="E16" s="16">
        <f>'0115'!T16</f>
        <v>0.29027777777777802</v>
      </c>
      <c r="F16" s="16">
        <f>'0115'!T27</f>
        <v>0.29166666666666702</v>
      </c>
      <c r="G16" s="16">
        <f>'0115'!T38</f>
        <v>0.33333333333333298</v>
      </c>
      <c r="H16" s="16">
        <f>'0115'!T49</f>
        <v>0.29027777777777802</v>
      </c>
      <c r="I16" s="16">
        <f>'0115'!T59</f>
        <v>0.29166666666666702</v>
      </c>
      <c r="J16" s="17">
        <f>'0115'!T70</f>
        <v>0.33541666666666697</v>
      </c>
    </row>
    <row r="17" spans="2:10" ht="17.25" customHeight="1">
      <c r="B17" s="673"/>
      <c r="C17" s="10" t="s">
        <v>35</v>
      </c>
      <c r="D17" s="16">
        <v>0.55625000000000002</v>
      </c>
      <c r="E17" s="19">
        <v>0.58125000000000004</v>
      </c>
      <c r="F17" s="19">
        <v>0.62361111111111101</v>
      </c>
      <c r="G17" s="20">
        <v>0.55000000000000004</v>
      </c>
      <c r="H17" s="21">
        <v>0.56874999999999998</v>
      </c>
      <c r="I17" s="22">
        <v>0.57847222222222205</v>
      </c>
      <c r="J17" s="22">
        <v>0.5</v>
      </c>
    </row>
    <row r="18" spans="2:10" ht="17.25" customHeight="1">
      <c r="B18" s="674" t="s">
        <v>102</v>
      </c>
      <c r="C18" s="330" t="s">
        <v>36</v>
      </c>
      <c r="D18" s="358">
        <f>'0115'!Z15</f>
        <v>0</v>
      </c>
      <c r="E18" s="359">
        <f>'0115'!Z26</f>
        <v>1</v>
      </c>
      <c r="F18" s="359">
        <f>'0115'!Z37</f>
        <v>0</v>
      </c>
      <c r="G18" s="360">
        <f>'0115'!Z48</f>
        <v>0</v>
      </c>
      <c r="H18" s="360">
        <f>'0115'!Z58</f>
        <v>0</v>
      </c>
      <c r="I18" s="359">
        <f>'0115'!Z69</f>
        <v>0</v>
      </c>
      <c r="J18" s="359">
        <f>'0115'!Z79</f>
        <v>0</v>
      </c>
    </row>
    <row r="19" spans="2:10" ht="17.25" customHeight="1">
      <c r="B19" s="675"/>
      <c r="C19" s="330" t="s">
        <v>37</v>
      </c>
      <c r="D19" s="358">
        <f>'0115'!AA15</f>
        <v>0</v>
      </c>
      <c r="E19" s="359">
        <f>'0115'!AA26</f>
        <v>13</v>
      </c>
      <c r="F19" s="359">
        <f>'0115'!AA37</f>
        <v>0</v>
      </c>
      <c r="G19" s="360">
        <f>'0115'!AA48</f>
        <v>0</v>
      </c>
      <c r="H19" s="360">
        <f>'0115'!AA58</f>
        <v>0</v>
      </c>
      <c r="I19" s="359">
        <f>'0115'!AA69</f>
        <v>0</v>
      </c>
      <c r="J19" s="359">
        <f>'0115'!AA79</f>
        <v>0</v>
      </c>
    </row>
    <row r="20" spans="2:10" ht="17.25" customHeight="1">
      <c r="B20" s="674" t="s">
        <v>103</v>
      </c>
      <c r="C20" s="330" t="s">
        <v>36</v>
      </c>
      <c r="D20" s="358">
        <f>'0115'!AD15</f>
        <v>0</v>
      </c>
      <c r="E20" s="359">
        <f>'0115'!AD26</f>
        <v>0</v>
      </c>
      <c r="F20" s="359">
        <f>'0115'!AD37</f>
        <v>0</v>
      </c>
      <c r="G20" s="360">
        <f>'0115'!AD48</f>
        <v>0</v>
      </c>
      <c r="H20" s="360">
        <f>'0115'!AD58</f>
        <v>0</v>
      </c>
      <c r="I20" s="359">
        <f>'0115'!AD69</f>
        <v>0</v>
      </c>
      <c r="J20" s="359">
        <f>'0115'!AD79</f>
        <v>0</v>
      </c>
    </row>
    <row r="21" spans="2:10" ht="17.25" customHeight="1">
      <c r="B21" s="675"/>
      <c r="C21" s="330" t="s">
        <v>85</v>
      </c>
      <c r="D21" s="358">
        <f>'0115'!AE15</f>
        <v>0</v>
      </c>
      <c r="E21" s="359">
        <f>'0115'!AE26</f>
        <v>0</v>
      </c>
      <c r="F21" s="359">
        <f>'0108'!AE37</f>
        <v>0</v>
      </c>
      <c r="G21" s="360">
        <f>'0115'!AE48</f>
        <v>0</v>
      </c>
      <c r="H21" s="360">
        <f>'0115'!AE58</f>
        <v>0</v>
      </c>
      <c r="I21" s="359">
        <f>'0115'!AE69</f>
        <v>0</v>
      </c>
      <c r="J21" s="359">
        <f>'0115'!AE79</f>
        <v>0</v>
      </c>
    </row>
    <row r="22" spans="2:10" ht="17.25" customHeight="1">
      <c r="B22" s="658" t="s">
        <v>104</v>
      </c>
      <c r="C22" s="659"/>
      <c r="D22" s="23">
        <f>VALUE('0115'!M15)</f>
        <v>14.75</v>
      </c>
      <c r="E22" s="23">
        <f>VALUE('0115'!M26)</f>
        <v>12.5</v>
      </c>
      <c r="F22" s="23">
        <f>VALUE('0115'!M37)</f>
        <v>15.2</v>
      </c>
      <c r="G22" s="23">
        <f>VALUE('0115'!M48)</f>
        <v>15</v>
      </c>
      <c r="H22" s="23">
        <f>VALUE('0115'!M58)</f>
        <v>17.75</v>
      </c>
      <c r="I22" s="23">
        <f>VALUE('0115'!M69)</f>
        <v>11.5</v>
      </c>
      <c r="J22" s="23">
        <f>'0115'!M79</f>
        <v>9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2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E490-3844-45C8-BBAB-8596E08EDB90}">
  <sheetPr>
    <tabColor theme="9" tint="0.79998168889431442"/>
  </sheetPr>
  <dimension ref="A1:AJ92"/>
  <sheetViews>
    <sheetView zoomScale="69" zoomScaleNormal="69" workbookViewId="0">
      <pane xSplit="5" ySplit="4" topLeftCell="F53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43661</v>
      </c>
      <c r="F1" s="30" t="s">
        <v>2</v>
      </c>
      <c r="G1" s="31">
        <f>SUM(H5:H79)</f>
        <v>2081077.5799999996</v>
      </c>
      <c r="H1" s="32" t="s">
        <v>3</v>
      </c>
      <c r="I1" s="33">
        <f>M15+M26+M48+M58+M69+M79+M37</f>
        <v>95.7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182</v>
      </c>
      <c r="B2" s="678"/>
      <c r="C2" s="28"/>
      <c r="D2" s="28" t="s">
        <v>14</v>
      </c>
      <c r="E2" s="35">
        <f>AVERAGE(O15,O26,O37,O48,O58,O69,O79)</f>
        <v>98.870482541657481</v>
      </c>
      <c r="F2" s="36" t="s">
        <v>15</v>
      </c>
      <c r="G2" s="37">
        <f>G1/E1</f>
        <v>47.664450653901639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13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2446</v>
      </c>
      <c r="H5" s="43">
        <f>F5*G5</f>
        <v>116698.66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1334.1818181818171</v>
      </c>
      <c r="O5" s="47">
        <f t="shared" ref="O5:O7" si="2">N5/M5</f>
        <v>95.298701298701218</v>
      </c>
      <c r="P5" s="49">
        <f t="shared" ref="P5:P7" si="3">M5-J5</f>
        <v>0</v>
      </c>
      <c r="Q5" s="50">
        <f t="shared" ref="Q5:Q7" si="4">O5-L5</f>
        <v>-7.5584415584416433</v>
      </c>
      <c r="R5" s="51">
        <f t="shared" ref="R5:R7" si="5">O5/L5</f>
        <v>0.92651515151515074</v>
      </c>
      <c r="S5" s="718">
        <f>R15</f>
        <v>0.93762663443722472</v>
      </c>
      <c r="T5" s="319">
        <v>0.29027777777777802</v>
      </c>
      <c r="U5" s="320">
        <v>0.36666666666666697</v>
      </c>
      <c r="V5" s="53"/>
      <c r="W5" s="54">
        <f t="shared" ref="W5:W14" si="6">(U5-T5)*24*60</f>
        <v>110.00000000000009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-105.81818181818289</v>
      </c>
      <c r="AG5" s="52">
        <f t="shared" ref="AG5:AG11" si="8">N5/K5</f>
        <v>0.92651515151515074</v>
      </c>
      <c r="AH5" s="724">
        <f>AG15</f>
        <v>0.93791172595521133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1384</v>
      </c>
      <c r="H6" s="63">
        <f>F6*G6</f>
        <v>79178.64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1887.2727272727614</v>
      </c>
      <c r="O6" s="67">
        <f t="shared" si="2"/>
        <v>111.01604278075067</v>
      </c>
      <c r="P6" s="69">
        <f t="shared" si="3"/>
        <v>0</v>
      </c>
      <c r="Q6" s="70">
        <f t="shared" si="4"/>
        <v>-6.6310160427787395</v>
      </c>
      <c r="R6" s="71">
        <f t="shared" si="5"/>
        <v>0.9436363636363807</v>
      </c>
      <c r="S6" s="719"/>
      <c r="T6" s="16">
        <v>0.37638888888888899</v>
      </c>
      <c r="U6" s="16">
        <v>0.406944444444444</v>
      </c>
      <c r="V6" s="30">
        <f>(T6-U5)*24*60</f>
        <v>13.99999999999971</v>
      </c>
      <c r="W6" s="73">
        <f t="shared" si="6"/>
        <v>43.999999999999204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-112.72727272723864</v>
      </c>
      <c r="AG6" s="72">
        <f t="shared" si="8"/>
        <v>0.9436363636363807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2751</v>
      </c>
      <c r="H7" s="78">
        <f>F7*G7</f>
        <v>135184.14000000001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1834</v>
      </c>
      <c r="O7" s="81">
        <f t="shared" si="2"/>
        <v>131</v>
      </c>
      <c r="P7" s="74">
        <f t="shared" si="3"/>
        <v>0</v>
      </c>
      <c r="Q7" s="83">
        <f t="shared" si="4"/>
        <v>-11.857142857142861</v>
      </c>
      <c r="R7" s="72">
        <f t="shared" si="5"/>
        <v>0.91699999999999993</v>
      </c>
      <c r="S7" s="719"/>
      <c r="T7" s="18">
        <v>0.41527777777777802</v>
      </c>
      <c r="U7" s="18">
        <v>0.47777777777777802</v>
      </c>
      <c r="V7" s="30">
        <f>(T7-U6)*24*60</f>
        <v>12.000000000000997</v>
      </c>
      <c r="W7" s="73">
        <f t="shared" si="6"/>
        <v>90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-166</v>
      </c>
      <c r="AG7" s="72">
        <f t="shared" si="8"/>
        <v>0.91700000000000004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737</v>
      </c>
      <c r="H8" s="78">
        <f>F8*G8</f>
        <v>36216.18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1922.6086956521942</v>
      </c>
      <c r="O8" s="81">
        <f>N8/M8</f>
        <v>137.32919254658529</v>
      </c>
      <c r="P8" s="74">
        <f>M8-J8</f>
        <v>0</v>
      </c>
      <c r="Q8" s="83">
        <f>O8-L8</f>
        <v>-5.5279503105575714</v>
      </c>
      <c r="R8" s="72">
        <f>O8/L8</f>
        <v>0.96130434782609697</v>
      </c>
      <c r="S8" s="719"/>
      <c r="T8" s="16">
        <v>0.54027777777777797</v>
      </c>
      <c r="U8" s="16">
        <v>0.55625000000000002</v>
      </c>
      <c r="V8" s="30"/>
      <c r="W8" s="73">
        <f t="shared" si="6"/>
        <v>22.999999999999758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-77.391304347805772</v>
      </c>
      <c r="AG8" s="72">
        <f t="shared" si="8"/>
        <v>0.96130434782609708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1744.5158102766932</v>
      </c>
      <c r="O15" s="117">
        <f t="shared" si="9"/>
        <v>118.6609841565093</v>
      </c>
      <c r="P15" s="121">
        <f t="shared" ref="P15:P18" si="10">M15-J15</f>
        <v>0</v>
      </c>
      <c r="Q15" s="122">
        <f t="shared" ref="Q15:Q18" si="11">O15-L15</f>
        <v>-7.8936376922302145</v>
      </c>
      <c r="R15" s="123">
        <f t="shared" ref="R15:R18" si="12">O15/L15</f>
        <v>0.93762663443722472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-115.48418972330683</v>
      </c>
      <c r="AG15" s="124">
        <f t="shared" ref="AG15:AG19" si="14">N15/K15</f>
        <v>0.93791172595521133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2139</v>
      </c>
      <c r="H16" s="134">
        <f>F16*G16</f>
        <v>122372.19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13</v>
      </c>
      <c r="N16" s="140">
        <f t="shared" ref="N16:N18" si="16">G16/W16*60</f>
        <v>1887.3529411764796</v>
      </c>
      <c r="O16" s="141">
        <f>N16/M16</f>
        <v>145.1809954751138</v>
      </c>
      <c r="P16" s="142">
        <f>M16-J16</f>
        <v>0</v>
      </c>
      <c r="Q16" s="143">
        <f t="shared" si="11"/>
        <v>-16.74208144796313</v>
      </c>
      <c r="R16" s="144">
        <f>O16/L16</f>
        <v>0.8966047226491588</v>
      </c>
      <c r="S16" s="734">
        <f>R26</f>
        <v>0.864957972762329</v>
      </c>
      <c r="T16" s="145">
        <v>0.29027777777777802</v>
      </c>
      <c r="U16" s="145">
        <v>0.33750000000000002</v>
      </c>
      <c r="V16" s="135"/>
      <c r="W16" s="146">
        <f t="shared" ref="W16:W78" si="17">(U16-T16)*24*60</f>
        <v>67.999999999999673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-217.64705882352041</v>
      </c>
      <c r="AG16" s="52">
        <f t="shared" si="14"/>
        <v>0.89660472264915891</v>
      </c>
      <c r="AH16" s="724">
        <f>AG26</f>
        <v>0.86697008860189695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3063</v>
      </c>
      <c r="H17" s="78">
        <f>F17*G17</f>
        <v>155202.21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1875.3061224489677</v>
      </c>
      <c r="O17" s="96">
        <f t="shared" ref="O17:O18" si="18">N17/M17</f>
        <v>144.25431711145905</v>
      </c>
      <c r="P17" s="97">
        <f t="shared" si="10"/>
        <v>0</v>
      </c>
      <c r="Q17" s="98">
        <f t="shared" si="11"/>
        <v>-9.5918367346947946</v>
      </c>
      <c r="R17" s="99">
        <f t="shared" si="12"/>
        <v>0.93765306122448389</v>
      </c>
      <c r="S17" s="735"/>
      <c r="T17" s="19">
        <v>0.34583333333333299</v>
      </c>
      <c r="U17" s="19">
        <v>0.41388888888888897</v>
      </c>
      <c r="V17" s="30">
        <f>(T17-U16)*24*60</f>
        <v>11.999999999999478</v>
      </c>
      <c r="W17" s="149">
        <f t="shared" si="17"/>
        <v>98.000000000000611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-124.6938775510323</v>
      </c>
      <c r="AG17" s="72">
        <f t="shared" si="14"/>
        <v>0.93765306122448389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2680</v>
      </c>
      <c r="H18" s="78">
        <f>F18*G18</f>
        <v>135045.20000000001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1960.9756097560778</v>
      </c>
      <c r="O18" s="96">
        <f t="shared" si="18"/>
        <v>163.41463414633981</v>
      </c>
      <c r="P18" s="97">
        <f t="shared" si="10"/>
        <v>0</v>
      </c>
      <c r="Q18" s="98">
        <f t="shared" si="11"/>
        <v>-3.2520325203268499</v>
      </c>
      <c r="R18" s="99">
        <f t="shared" si="12"/>
        <v>0.98048780487803888</v>
      </c>
      <c r="S18" s="735"/>
      <c r="T18" s="19">
        <v>0.422222222222222</v>
      </c>
      <c r="U18" s="19">
        <v>0.47916666666666702</v>
      </c>
      <c r="V18" s="30">
        <f>(T18-U17)*24*60</f>
        <v>11.999999999999558</v>
      </c>
      <c r="W18" s="149">
        <f t="shared" si="17"/>
        <v>82.000000000000824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-39.024390243922198</v>
      </c>
      <c r="AG18" s="72">
        <f t="shared" si="14"/>
        <v>0.98048780487803888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1238</v>
      </c>
      <c r="H19" s="78">
        <f>F19*G19</f>
        <v>62382.82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1303.1578947368503</v>
      </c>
      <c r="O19" s="96">
        <f>N19/M19</f>
        <v>108.59649122807086</v>
      </c>
      <c r="P19" s="97">
        <f>M19-J19</f>
        <v>0</v>
      </c>
      <c r="Q19" s="98">
        <f>O19-L19</f>
        <v>-58.070175438595797</v>
      </c>
      <c r="R19" s="99">
        <f>O19/L19</f>
        <v>0.65157894736842525</v>
      </c>
      <c r="S19" s="735"/>
      <c r="T19" s="19">
        <v>0.54166666666666696</v>
      </c>
      <c r="U19" s="19">
        <v>0.58125000000000004</v>
      </c>
      <c r="V19" s="30">
        <f>(T19-U18)*24*60</f>
        <v>89.999999999999915</v>
      </c>
      <c r="W19" s="149">
        <f t="shared" si="17"/>
        <v>56.999999999999638</v>
      </c>
      <c r="X19" s="22"/>
      <c r="Y19" s="84"/>
      <c r="Z19" s="90">
        <v>1</v>
      </c>
      <c r="AA19" s="90">
        <v>13</v>
      </c>
      <c r="AB19" s="728" t="s">
        <v>116</v>
      </c>
      <c r="AC19" s="728"/>
      <c r="AD19" s="149"/>
      <c r="AE19" s="149"/>
      <c r="AF19" s="307">
        <f t="shared" si="13"/>
        <v>-696.84210526314973</v>
      </c>
      <c r="AG19" s="72">
        <f t="shared" si="14"/>
        <v>0.65157894736842514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12.5</v>
      </c>
      <c r="N26" s="155">
        <f t="shared" si="20"/>
        <v>1756.6981420295938</v>
      </c>
      <c r="O26" s="158">
        <f t="shared" si="20"/>
        <v>140.36160949024588</v>
      </c>
      <c r="P26" s="159">
        <f t="shared" ref="P26:P29" si="21">M26-J26</f>
        <v>0</v>
      </c>
      <c r="Q26" s="160">
        <f t="shared" ref="Q26:Q29" si="22">O26-L26</f>
        <v>-21.914031535395139</v>
      </c>
      <c r="R26" s="161">
        <f>O26/L26</f>
        <v>0.864957972762329</v>
      </c>
      <c r="S26" s="736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13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23">N26-K26</f>
        <v>-269.55185797040622</v>
      </c>
      <c r="AG26" s="124">
        <f t="shared" ref="AG26:AG31" si="24">N26/K26</f>
        <v>0.86697008860189695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1967</v>
      </c>
      <c r="H27" s="134">
        <f>F27*G27</f>
        <v>112709.09999999999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16</v>
      </c>
      <c r="N27" s="140">
        <f>G27/W27*60</f>
        <v>1356.5517241379457</v>
      </c>
      <c r="O27" s="141">
        <f>N27/M27</f>
        <v>84.784482758621607</v>
      </c>
      <c r="P27" s="142">
        <f t="shared" si="21"/>
        <v>-1</v>
      </c>
      <c r="Q27" s="143">
        <f t="shared" si="22"/>
        <v>-3.450811359025451</v>
      </c>
      <c r="R27" s="144">
        <f>O27/L27</f>
        <v>0.96089080459771159</v>
      </c>
      <c r="S27" s="734">
        <f>R37</f>
        <v>0.90366327135145641</v>
      </c>
      <c r="T27" s="171">
        <v>0.29166666666666702</v>
      </c>
      <c r="U27" s="171">
        <v>0.35208333333333303</v>
      </c>
      <c r="V27" s="135"/>
      <c r="W27" s="146">
        <f t="shared" si="17"/>
        <v>86.999999999999048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-143.44827586205429</v>
      </c>
      <c r="AG27" s="172">
        <f t="shared" si="24"/>
        <v>0.90436781609196382</v>
      </c>
      <c r="AH27" s="724">
        <f>AG37</f>
        <v>0.80962419013102482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1506</v>
      </c>
      <c r="H28" s="91">
        <f>F28*G28</f>
        <v>83025.78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16</v>
      </c>
      <c r="N28" s="95">
        <f>G28/W28*60</f>
        <v>1173.5064935064991</v>
      </c>
      <c r="O28" s="96">
        <f>N28/M28</f>
        <v>73.344155844156191</v>
      </c>
      <c r="P28" s="97">
        <f t="shared" si="21"/>
        <v>-1</v>
      </c>
      <c r="Q28" s="98">
        <f t="shared" si="22"/>
        <v>-8.126432391137925</v>
      </c>
      <c r="R28" s="99">
        <f t="shared" ref="R28:R29" si="26">O28/L28</f>
        <v>0.90025317642646585</v>
      </c>
      <c r="S28" s="735"/>
      <c r="T28" s="19">
        <v>0.359027777777778</v>
      </c>
      <c r="U28" s="19">
        <v>0.41249999999999998</v>
      </c>
      <c r="V28" s="92">
        <f>(T28-U27)*24*60</f>
        <v>10.000000000000764</v>
      </c>
      <c r="W28" s="149">
        <f t="shared" si="17"/>
        <v>76.999999999999645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-211.49350649350094</v>
      </c>
      <c r="AG28" s="99">
        <f t="shared" si="24"/>
        <v>0.84729710722490903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1157</v>
      </c>
      <c r="H29" s="91">
        <f>F29*G29</f>
        <v>57294.640000000007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14</v>
      </c>
      <c r="N29" s="95">
        <f>G29/W29*60</f>
        <v>1101.9047619047617</v>
      </c>
      <c r="O29" s="96">
        <f>N29/M29</f>
        <v>78.70748299319726</v>
      </c>
      <c r="P29" s="97">
        <f t="shared" si="21"/>
        <v>-3</v>
      </c>
      <c r="Q29" s="98">
        <f t="shared" si="22"/>
        <v>-5.9983993597439138</v>
      </c>
      <c r="R29" s="99">
        <f t="shared" si="26"/>
        <v>0.92918556311413436</v>
      </c>
      <c r="S29" s="735"/>
      <c r="T29" s="19">
        <v>0.41875000000000001</v>
      </c>
      <c r="U29" s="19">
        <v>0.46250000000000002</v>
      </c>
      <c r="V29" s="92">
        <f>(T29-U28)*24*60</f>
        <v>9.000000000000048</v>
      </c>
      <c r="W29" s="149">
        <f t="shared" si="17"/>
        <v>63.000000000000014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-338.0952380952383</v>
      </c>
      <c r="AG29" s="99">
        <f t="shared" si="24"/>
        <v>0.76521164021164012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800</v>
      </c>
      <c r="H30" s="91">
        <f t="shared" ref="H30:H31" si="27">F30*G30</f>
        <v>39616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28">K30/J30</f>
        <v>84.705882352941174</v>
      </c>
      <c r="M30" s="94">
        <v>14</v>
      </c>
      <c r="N30" s="95">
        <f t="shared" ref="N30:N31" si="29">G30/W30*60</f>
        <v>960.00000000000659</v>
      </c>
      <c r="O30" s="96">
        <f t="shared" ref="O30:O31" si="30">N30/M30</f>
        <v>68.571428571429038</v>
      </c>
      <c r="P30" s="97">
        <f t="shared" ref="P30:P31" si="31">M30-J30</f>
        <v>-3</v>
      </c>
      <c r="Q30" s="98">
        <f t="shared" ref="Q30:Q31" si="32">O30-L30</f>
        <v>-16.134453781512136</v>
      </c>
      <c r="R30" s="99">
        <f t="shared" ref="R30:R31" si="33">O30/L30</f>
        <v>0.80952380952381509</v>
      </c>
      <c r="S30" s="735"/>
      <c r="T30" s="19">
        <v>0.52430555555555602</v>
      </c>
      <c r="U30" s="19">
        <v>0.55902777777777801</v>
      </c>
      <c r="V30" s="92">
        <f>(T30-U29)*24*60</f>
        <v>89.000000000000639</v>
      </c>
      <c r="W30" s="149">
        <f t="shared" si="17"/>
        <v>49.999999999999659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-479.99999999999341</v>
      </c>
      <c r="AG30" s="99">
        <f t="shared" si="24"/>
        <v>0.66666666666667129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1200</v>
      </c>
      <c r="H31" s="91">
        <f t="shared" si="27"/>
        <v>53160</v>
      </c>
      <c r="I31" s="92"/>
      <c r="J31" s="79">
        <v>17</v>
      </c>
      <c r="K31" s="80">
        <f>VLOOKUP(D31,產線配置圖!$A$3:$C$39,3,0)</f>
        <v>1440</v>
      </c>
      <c r="L31" s="93">
        <f t="shared" si="28"/>
        <v>84.705882352941174</v>
      </c>
      <c r="M31" s="94">
        <v>16</v>
      </c>
      <c r="N31" s="95">
        <f t="shared" si="29"/>
        <v>1241.3793103448218</v>
      </c>
      <c r="O31" s="96">
        <f t="shared" si="30"/>
        <v>77.58620689655136</v>
      </c>
      <c r="P31" s="97">
        <f t="shared" si="31"/>
        <v>-1</v>
      </c>
      <c r="Q31" s="98">
        <f t="shared" si="32"/>
        <v>-7.1196754563898139</v>
      </c>
      <c r="R31" s="99">
        <f t="shared" si="33"/>
        <v>0.91594827586206473</v>
      </c>
      <c r="S31" s="735"/>
      <c r="T31" s="19">
        <v>0.58333333333333304</v>
      </c>
      <c r="U31" s="19">
        <v>0.62361111111111101</v>
      </c>
      <c r="V31" s="92"/>
      <c r="W31" s="149">
        <f t="shared" si="17"/>
        <v>58.00000000000027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-198.62068965517824</v>
      </c>
      <c r="AG31" s="99">
        <f t="shared" si="24"/>
        <v>0.86206896551723733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5">AVERAGE(J27:J36)</f>
        <v>17</v>
      </c>
      <c r="K37" s="155">
        <f t="shared" si="35"/>
        <v>1441</v>
      </c>
      <c r="L37" s="158">
        <f t="shared" si="35"/>
        <v>84.764705882352928</v>
      </c>
      <c r="M37" s="155">
        <f t="shared" si="35"/>
        <v>15.2</v>
      </c>
      <c r="N37" s="155">
        <f t="shared" si="35"/>
        <v>1166.6684579788068</v>
      </c>
      <c r="O37" s="158">
        <f t="shared" si="35"/>
        <v>76.598751412791088</v>
      </c>
      <c r="P37" s="159">
        <f>M37-J37</f>
        <v>-1.8000000000000007</v>
      </c>
      <c r="Q37" s="160">
        <f>N37-K37</f>
        <v>-274.33154202119317</v>
      </c>
      <c r="R37" s="161">
        <f t="shared" ref="R37:R40" si="36">O37/L37</f>
        <v>0.90366327135145641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7">N37-K37</f>
        <v>-274.33154202119317</v>
      </c>
      <c r="AG37" s="124">
        <f t="shared" ref="AG37:AG41" si="38">N37/K37</f>
        <v>0.80962419013102482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1237</v>
      </c>
      <c r="H38" s="134">
        <f>F38*G38</f>
        <v>69803.91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9">K38/J38</f>
        <v>87.875</v>
      </c>
      <c r="M38" s="190">
        <v>15</v>
      </c>
      <c r="N38" s="140">
        <f>G38/W38*60</f>
        <v>1060.2857142857167</v>
      </c>
      <c r="O38" s="141">
        <f>N38/M38</f>
        <v>70.685714285714454</v>
      </c>
      <c r="P38" s="142">
        <f t="shared" ref="P38:P40" si="40">M38-J38</f>
        <v>-1</v>
      </c>
      <c r="Q38" s="143">
        <f t="shared" ref="Q38:Q40" si="41">O38-L38</f>
        <v>-17.189285714285546</v>
      </c>
      <c r="R38" s="144">
        <f>O38/L38</f>
        <v>0.80438935175777471</v>
      </c>
      <c r="S38" s="756">
        <f>R48</f>
        <v>0.85112427696521464</v>
      </c>
      <c r="T38" s="191">
        <v>0.33333333333333298</v>
      </c>
      <c r="U38" s="191">
        <v>0.38194444444444398</v>
      </c>
      <c r="V38" s="192"/>
      <c r="W38" s="193">
        <f t="shared" si="17"/>
        <v>69.999999999999829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7"/>
        <v>-345.71428571428328</v>
      </c>
      <c r="AG38" s="195">
        <f t="shared" si="38"/>
        <v>0.75411501727291375</v>
      </c>
      <c r="AH38" s="746">
        <f>AG48</f>
        <v>0.76638944791068619</v>
      </c>
    </row>
    <row r="39" spans="1:34" ht="15" customHeight="1">
      <c r="A39" s="754"/>
      <c r="B39" s="75" t="s">
        <v>117</v>
      </c>
      <c r="C39" s="197"/>
      <c r="D39" s="198" t="s">
        <v>118</v>
      </c>
      <c r="E39" s="176"/>
      <c r="F39" s="75">
        <f>VLOOKUP(D39,廠價表!$C$1:$E$41,3,0)</f>
        <v>44.3</v>
      </c>
      <c r="G39" s="199">
        <v>1975</v>
      </c>
      <c r="H39" s="91">
        <f>F39*G39</f>
        <v>87492.5</v>
      </c>
      <c r="I39" s="200"/>
      <c r="J39" s="148">
        <v>17</v>
      </c>
      <c r="K39" s="95">
        <f>VLOOKUP(D39,產線配置圖!$A$3:$C$39,3,0)</f>
        <v>1440</v>
      </c>
      <c r="L39" s="96">
        <f t="shared" si="39"/>
        <v>84.705882352941174</v>
      </c>
      <c r="M39" s="201">
        <v>15</v>
      </c>
      <c r="N39" s="202">
        <f>G39/W39*60</f>
        <v>1185.0000000000082</v>
      </c>
      <c r="O39" s="203">
        <f t="shared" ref="O39:O40" si="42">N39/M39</f>
        <v>79.00000000000054</v>
      </c>
      <c r="P39" s="97">
        <f t="shared" si="40"/>
        <v>-2</v>
      </c>
      <c r="Q39" s="98">
        <f t="shared" si="41"/>
        <v>-5.705882352940634</v>
      </c>
      <c r="R39" s="99">
        <f t="shared" si="36"/>
        <v>0.93263888888889535</v>
      </c>
      <c r="S39" s="757"/>
      <c r="T39" s="20">
        <v>0.38888888888888901</v>
      </c>
      <c r="U39" s="20">
        <v>0.45833333333333298</v>
      </c>
      <c r="V39" s="92">
        <f>(T39-U38)*24*60</f>
        <v>10.000000000000844</v>
      </c>
      <c r="W39" s="205">
        <f t="shared" si="17"/>
        <v>99.999999999999318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7"/>
        <v>-254.99999999999181</v>
      </c>
      <c r="AG39" s="206">
        <f t="shared" si="38"/>
        <v>0.8229166666666724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641</v>
      </c>
      <c r="H40" s="91">
        <f>F40*G40</f>
        <v>28396.3</v>
      </c>
      <c r="I40" s="200"/>
      <c r="J40" s="148">
        <v>17</v>
      </c>
      <c r="K40" s="95">
        <f>VLOOKUP(D40,產線配置圖!$A$3:$C$39,3,0)</f>
        <v>1440</v>
      </c>
      <c r="L40" s="96">
        <f t="shared" si="39"/>
        <v>84.705882352941174</v>
      </c>
      <c r="M40" s="201">
        <v>15</v>
      </c>
      <c r="N40" s="202">
        <f>G40/W40*60</f>
        <v>1039.4594594594766</v>
      </c>
      <c r="O40" s="203">
        <f t="shared" si="42"/>
        <v>69.297297297298442</v>
      </c>
      <c r="P40" s="97">
        <f t="shared" si="40"/>
        <v>-2</v>
      </c>
      <c r="Q40" s="98">
        <f t="shared" si="41"/>
        <v>-15.408585055642732</v>
      </c>
      <c r="R40" s="99">
        <f t="shared" si="36"/>
        <v>0.81809309309310663</v>
      </c>
      <c r="S40" s="719"/>
      <c r="T40" s="20">
        <v>0.52430555555555602</v>
      </c>
      <c r="U40" s="20">
        <v>0.55000000000000004</v>
      </c>
      <c r="V40" s="92">
        <f>(T40-U39)*24*60</f>
        <v>95.00000000000118</v>
      </c>
      <c r="W40" s="205">
        <f t="shared" si="17"/>
        <v>36.999999999999389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7"/>
        <v>-400.54054054052335</v>
      </c>
      <c r="AG40" s="206">
        <f t="shared" si="38"/>
        <v>0.72184684684685874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7"/>
        <v>0</v>
      </c>
      <c r="AG41" s="206" t="e">
        <f t="shared" si="38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4">AVERAGE(J38:J47)</f>
        <v>16.666666666666668</v>
      </c>
      <c r="K48" s="155">
        <f t="shared" si="44"/>
        <v>1428.6666666666667</v>
      </c>
      <c r="L48" s="158">
        <f t="shared" si="44"/>
        <v>85.762254901960773</v>
      </c>
      <c r="M48" s="155">
        <f t="shared" si="44"/>
        <v>15</v>
      </c>
      <c r="N48" s="155">
        <f t="shared" si="44"/>
        <v>1094.9150579150671</v>
      </c>
      <c r="O48" s="158">
        <f t="shared" si="44"/>
        <v>72.994337194337803</v>
      </c>
      <c r="P48" s="221">
        <f>M48-J48</f>
        <v>-1.6666666666666679</v>
      </c>
      <c r="Q48" s="222">
        <f>N48-K48</f>
        <v>-333.75160875159963</v>
      </c>
      <c r="R48" s="223">
        <f>O48/L48</f>
        <v>0.85112427696521464</v>
      </c>
      <c r="S48" s="722"/>
      <c r="T48" s="224"/>
      <c r="U48" s="224"/>
      <c r="V48" s="225"/>
      <c r="W48" s="226">
        <f t="shared" si="4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5">N48-K48</f>
        <v>-333.75160875159963</v>
      </c>
      <c r="AG48" s="162">
        <f t="shared" ref="AG48:AG53" si="46">N48/K48</f>
        <v>0.76638944791068619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1354</v>
      </c>
      <c r="H49" s="134">
        <f>F49*G49</f>
        <v>77001.98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7">K49/J49</f>
        <v>86.944444444444443</v>
      </c>
      <c r="M49" s="170">
        <v>18</v>
      </c>
      <c r="N49" s="140">
        <f>G49/W49*60</f>
        <v>1425.2631578947501</v>
      </c>
      <c r="O49" s="141">
        <f>N49/M49</f>
        <v>79.181286549708332</v>
      </c>
      <c r="P49" s="229">
        <f>M49-J49</f>
        <v>0</v>
      </c>
      <c r="Q49" s="230">
        <f>O49-L49</f>
        <v>-7.7631578947361106</v>
      </c>
      <c r="R49" s="52">
        <f>O49/L49</f>
        <v>0.91071128299984028</v>
      </c>
      <c r="S49" s="718">
        <f>R58</f>
        <v>0.900483046713493</v>
      </c>
      <c r="T49" s="191">
        <v>0.29027777777777802</v>
      </c>
      <c r="U49" s="191">
        <v>0.32986111111111099</v>
      </c>
      <c r="V49" s="55"/>
      <c r="W49" s="193">
        <f t="shared" si="17"/>
        <v>56.999999999999474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5"/>
        <v>-139.73684210524993</v>
      </c>
      <c r="AG49" s="52">
        <f t="shared" si="46"/>
        <v>0.91071128299984028</v>
      </c>
      <c r="AH49" s="724">
        <f>AG58</f>
        <v>0.89969373735302016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2316</v>
      </c>
      <c r="H50" s="231">
        <f>F50*G50</f>
        <v>115591.56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7"/>
        <v>92.058823529411768</v>
      </c>
      <c r="M50" s="233">
        <v>17</v>
      </c>
      <c r="N50" s="234">
        <f>G50/W50*60</f>
        <v>1494.1935483871046</v>
      </c>
      <c r="O50" s="235">
        <f>N50/M50</f>
        <v>87.893738140417909</v>
      </c>
      <c r="P50" s="74">
        <f>M50-J50</f>
        <v>0</v>
      </c>
      <c r="Q50" s="83">
        <f>O50-L50</f>
        <v>-4.1650853889938588</v>
      </c>
      <c r="R50" s="72">
        <f>O50/L50</f>
        <v>0.95475626095022648</v>
      </c>
      <c r="S50" s="719"/>
      <c r="T50" s="21">
        <v>0.33680555555555602</v>
      </c>
      <c r="U50" s="21">
        <v>0.40138888888888902</v>
      </c>
      <c r="V50" s="30">
        <f t="shared" ref="V50:V52" si="48">(T50-U49)*24*60</f>
        <v>10.000000000000844</v>
      </c>
      <c r="W50" s="236">
        <f t="shared" si="17"/>
        <v>92.999999999999517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5"/>
        <v>-70.806451612895444</v>
      </c>
      <c r="AG50" s="72">
        <f t="shared" si="46"/>
        <v>0.95475626095022659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1847</v>
      </c>
      <c r="H51" s="231">
        <f>F51*G51</f>
        <v>92294.59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7"/>
        <v>88.888888888888886</v>
      </c>
      <c r="M51" s="233">
        <v>18</v>
      </c>
      <c r="N51" s="234">
        <f>G51/W51*60</f>
        <v>1288.6046511627737</v>
      </c>
      <c r="O51" s="235">
        <f>N51/M51</f>
        <v>71.589147286820761</v>
      </c>
      <c r="P51" s="74">
        <f>M51-J51</f>
        <v>0</v>
      </c>
      <c r="Q51" s="83">
        <f>O51-L51</f>
        <v>-17.299741602068124</v>
      </c>
      <c r="R51" s="72">
        <f>O51/L51</f>
        <v>0.80537790697673362</v>
      </c>
      <c r="S51" s="719"/>
      <c r="T51" s="21">
        <v>0.40833333333333299</v>
      </c>
      <c r="U51" s="19">
        <v>0.468055555555556</v>
      </c>
      <c r="V51" s="30">
        <f t="shared" si="48"/>
        <v>9.999999999999325</v>
      </c>
      <c r="W51" s="236">
        <f t="shared" si="17"/>
        <v>86.000000000001137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5"/>
        <v>-311.39534883722627</v>
      </c>
      <c r="AG51" s="72">
        <f t="shared" si="46"/>
        <v>0.80537790697673362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1487</v>
      </c>
      <c r="H52" s="231">
        <f>F52*G52</f>
        <v>74305.39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1486.9999999999895</v>
      </c>
      <c r="O52" s="235">
        <f>N52/M52</f>
        <v>82.611111111110532</v>
      </c>
      <c r="P52" s="74">
        <f>M52-J52</f>
        <v>0</v>
      </c>
      <c r="Q52" s="83">
        <f>O52-L52</f>
        <v>-6.2777777777783541</v>
      </c>
      <c r="R52" s="72">
        <f>O52/L52</f>
        <v>0.92937499999999351</v>
      </c>
      <c r="S52" s="719"/>
      <c r="T52" s="21">
        <v>0.52708333333333302</v>
      </c>
      <c r="U52" s="21">
        <v>0.56874999999999998</v>
      </c>
      <c r="V52" s="30">
        <f t="shared" si="48"/>
        <v>84.999999999998892</v>
      </c>
      <c r="W52" s="236">
        <f t="shared" si="17"/>
        <v>60.000000000000426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5"/>
        <v>-113.00000000001046</v>
      </c>
      <c r="AG52" s="72">
        <f t="shared" si="46"/>
        <v>0.92937499999999351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5"/>
        <v>0</v>
      </c>
      <c r="AG53" s="72" t="e">
        <f t="shared" si="46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9">AVERAGE(J49:J57)</f>
        <v>17.75</v>
      </c>
      <c r="K58" s="120">
        <f t="shared" si="49"/>
        <v>1582.5</v>
      </c>
      <c r="L58" s="117">
        <f t="shared" si="49"/>
        <v>89.195261437908499</v>
      </c>
      <c r="M58" s="120">
        <f t="shared" si="49"/>
        <v>17.75</v>
      </c>
      <c r="N58" s="120">
        <f t="shared" si="49"/>
        <v>1423.7653393611545</v>
      </c>
      <c r="O58" s="117">
        <f t="shared" si="49"/>
        <v>80.318820772014377</v>
      </c>
      <c r="P58" s="121">
        <f>M58-J58</f>
        <v>0</v>
      </c>
      <c r="Q58" s="122">
        <f>N58-K58</f>
        <v>-158.73466063884553</v>
      </c>
      <c r="R58" s="123">
        <f t="shared" ref="R58:R60" si="50">O58/L58</f>
        <v>0.900483046713493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1">N58-K58</f>
        <v>-158.73466063884553</v>
      </c>
      <c r="AG58" s="124">
        <f t="shared" ref="AG58:AG61" si="52">N58/K58</f>
        <v>0.89969373735302016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2547</v>
      </c>
      <c r="H59" s="243">
        <f>F59*G59</f>
        <v>68743.53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3">K59/J59</f>
        <v>120.38461538461539</v>
      </c>
      <c r="M59" s="244">
        <v>12</v>
      </c>
      <c r="N59" s="137">
        <f t="shared" ref="N59:N61" si="54">G59/W59*60</f>
        <v>1328.8695652173933</v>
      </c>
      <c r="O59" s="138">
        <f t="shared" ref="O59:O61" si="55">N59/M59</f>
        <v>110.73913043478278</v>
      </c>
      <c r="P59" s="56">
        <f t="shared" ref="P59:P61" si="56">M59-J59</f>
        <v>-1</v>
      </c>
      <c r="Q59" s="230">
        <f t="shared" ref="Q59:Q61" si="57">O59-L59</f>
        <v>-9.645484949832607</v>
      </c>
      <c r="R59" s="52">
        <f t="shared" si="50"/>
        <v>0.91987776080011252</v>
      </c>
      <c r="S59" s="718">
        <f>R69</f>
        <v>0.89858820781979054</v>
      </c>
      <c r="T59" s="245">
        <v>0.29166666666666702</v>
      </c>
      <c r="U59" s="245">
        <v>0.37152777777777801</v>
      </c>
      <c r="V59" s="55"/>
      <c r="W59" s="54">
        <f t="shared" si="17"/>
        <v>114.99999999999983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1"/>
        <v>-236.1304347826067</v>
      </c>
      <c r="AG59" s="246">
        <f t="shared" si="52"/>
        <v>0.84911793304625771</v>
      </c>
      <c r="AH59" s="724">
        <f>AG69</f>
        <v>0.82870908630765283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495</v>
      </c>
      <c r="H60" s="78">
        <f>F60*G60</f>
        <v>14092.65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11</v>
      </c>
      <c r="N60" s="80">
        <f t="shared" si="54"/>
        <v>1188.0000000000082</v>
      </c>
      <c r="O60" s="81">
        <f t="shared" si="55"/>
        <v>108.00000000000074</v>
      </c>
      <c r="P60" s="74">
        <f t="shared" si="56"/>
        <v>-1</v>
      </c>
      <c r="Q60" s="83">
        <f t="shared" si="57"/>
        <v>-22.416666666665918</v>
      </c>
      <c r="R60" s="72">
        <f t="shared" si="50"/>
        <v>0.82811501597444659</v>
      </c>
      <c r="S60" s="768"/>
      <c r="T60" s="22">
        <v>0.38541666666666702</v>
      </c>
      <c r="U60" s="22">
        <v>0.40277777777777801</v>
      </c>
      <c r="V60" s="30">
        <f t="shared" ref="V60:V61" si="58">(T60-U59)*24*60</f>
        <v>20.000000000000171</v>
      </c>
      <c r="W60" s="248">
        <f t="shared" si="17"/>
        <v>24.999999999999829</v>
      </c>
      <c r="X60" s="232"/>
      <c r="Y60" s="177"/>
      <c r="Z60" s="90"/>
      <c r="AA60" s="90"/>
      <c r="AB60" s="713"/>
      <c r="AC60" s="713"/>
      <c r="AD60" s="92"/>
      <c r="AE60" s="92"/>
      <c r="AF60" s="316">
        <f t="shared" si="51"/>
        <v>-376.99999999999181</v>
      </c>
      <c r="AG60" s="249">
        <f t="shared" si="52"/>
        <v>0.75910543130990937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1866</v>
      </c>
      <c r="H61" s="254">
        <f>F61*G61</f>
        <v>52733.16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11</v>
      </c>
      <c r="N61" s="107">
        <f t="shared" si="54"/>
        <v>1244</v>
      </c>
      <c r="O61" s="238">
        <f t="shared" si="55"/>
        <v>113.09090909090909</v>
      </c>
      <c r="P61" s="111">
        <f t="shared" si="56"/>
        <v>-1</v>
      </c>
      <c r="Q61" s="255">
        <f t="shared" si="57"/>
        <v>-17.325757575757564</v>
      </c>
      <c r="R61" s="85">
        <f>O61/L61</f>
        <v>0.86715074063316888</v>
      </c>
      <c r="S61" s="719"/>
      <c r="T61" s="22">
        <v>0.41319444444444398</v>
      </c>
      <c r="U61" s="22">
        <v>0.47569444444444398</v>
      </c>
      <c r="V61" s="30">
        <f t="shared" si="58"/>
        <v>14.999999999998987</v>
      </c>
      <c r="W61" s="256">
        <f t="shared" si="17"/>
        <v>90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1"/>
        <v>-321</v>
      </c>
      <c r="AG61" s="247">
        <f t="shared" si="52"/>
        <v>0.79488817891373797</v>
      </c>
      <c r="AH61" s="725"/>
    </row>
    <row r="62" spans="1:34" ht="15" customHeight="1">
      <c r="A62" s="766"/>
      <c r="B62" s="250" t="s">
        <v>135</v>
      </c>
      <c r="C62" s="251"/>
      <c r="D62" s="257" t="s">
        <v>136</v>
      </c>
      <c r="E62" s="253"/>
      <c r="F62" s="250">
        <f>VLOOKUP(D62,廠價表!$C$1:$E$41,3,0)</f>
        <v>26.99</v>
      </c>
      <c r="G62" s="38">
        <v>1736</v>
      </c>
      <c r="H62" s="254">
        <f>F62*G62</f>
        <v>46854.64</v>
      </c>
      <c r="I62" s="182"/>
      <c r="J62" s="106">
        <f>VLOOKUP(D62,產線配置圖!$A$3:$C$39,2,0)</f>
        <v>13</v>
      </c>
      <c r="K62" s="107">
        <f>VLOOKUP(D62,產線配置圖!$A$3:$C$39,3,0)</f>
        <v>1565</v>
      </c>
      <c r="L62" s="238">
        <f>K62/J62</f>
        <v>120.38461538461539</v>
      </c>
      <c r="M62" s="108">
        <v>12</v>
      </c>
      <c r="N62" s="107">
        <f>G62/W62*60</f>
        <v>1426.8493150685047</v>
      </c>
      <c r="O62" s="238">
        <f>N62/M62</f>
        <v>118.90410958904205</v>
      </c>
      <c r="P62" s="111">
        <f>M62-J62</f>
        <v>-1</v>
      </c>
      <c r="Q62" s="255">
        <f>O62-L62</f>
        <v>-1.4805057955733361</v>
      </c>
      <c r="R62" s="85">
        <f>O62/L62</f>
        <v>0.9877018687907646</v>
      </c>
      <c r="S62" s="719"/>
      <c r="T62" s="22">
        <v>0.52777777777777801</v>
      </c>
      <c r="U62" s="22">
        <v>0.57847222222222205</v>
      </c>
      <c r="V62" s="30"/>
      <c r="W62" s="248">
        <f t="shared" si="17"/>
        <v>72.999999999999417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-138.15068493149533</v>
      </c>
      <c r="AG62" s="247">
        <f>N62/K62</f>
        <v>0.91172480196070582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9">AVERAGE(J59:J68)</f>
        <v>12.5</v>
      </c>
      <c r="K69" s="240">
        <f t="shared" si="59"/>
        <v>1565</v>
      </c>
      <c r="L69" s="268">
        <f t="shared" si="59"/>
        <v>125.40064102564102</v>
      </c>
      <c r="M69" s="240">
        <f t="shared" si="59"/>
        <v>11.5</v>
      </c>
      <c r="N69" s="240">
        <f t="shared" si="59"/>
        <v>1296.9297200714766</v>
      </c>
      <c r="O69" s="268">
        <f t="shared" si="59"/>
        <v>112.68353727868367</v>
      </c>
      <c r="P69" s="269">
        <f>M69-J69</f>
        <v>-1</v>
      </c>
      <c r="Q69" s="222">
        <f>N69-K69</f>
        <v>-268.07027992852341</v>
      </c>
      <c r="R69" s="123">
        <f>O69/L69</f>
        <v>0.89858820781979054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-268.07027992852341</v>
      </c>
      <c r="AG69" s="124">
        <f>N69/K69</f>
        <v>0.82870908630765283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129</v>
      </c>
      <c r="E70" s="132"/>
      <c r="F70" s="129">
        <f>VLOOKUP(D70,廠價表!$C$1:$E$41,3,0)</f>
        <v>57.3</v>
      </c>
      <c r="G70" s="55">
        <v>1359</v>
      </c>
      <c r="H70" s="243">
        <f>F70*G70</f>
        <v>77870.7</v>
      </c>
      <c r="I70" s="55"/>
      <c r="J70" s="136">
        <f>VLOOKUP(D70,產線配置圖!$A$3:$C$39,2,0)</f>
        <v>16</v>
      </c>
      <c r="K70" s="137">
        <f>VLOOKUP(D70,產線配置圖!$A$3:$C$39,3,0)</f>
        <v>1385</v>
      </c>
      <c r="L70" s="138">
        <f>K70/J70</f>
        <v>86.5625</v>
      </c>
      <c r="M70" s="244">
        <v>9</v>
      </c>
      <c r="N70" s="137">
        <f>G70/W70*60</f>
        <v>762.05607476636067</v>
      </c>
      <c r="O70" s="138">
        <f>N70/M70</f>
        <v>84.672897196262298</v>
      </c>
      <c r="P70" s="56">
        <f>M70-J70</f>
        <v>-7</v>
      </c>
      <c r="Q70" s="230">
        <f>O70-L70</f>
        <v>-1.8896028037377022</v>
      </c>
      <c r="R70" s="52">
        <f>O70/L70</f>
        <v>0.97817065353082799</v>
      </c>
      <c r="S70" s="718">
        <f>R79</f>
        <v>0.90901437977539978</v>
      </c>
      <c r="T70" s="245">
        <v>0.33541666666666697</v>
      </c>
      <c r="U70" s="245">
        <v>0.40972222222222199</v>
      </c>
      <c r="V70" s="55"/>
      <c r="W70" s="54">
        <f t="shared" si="17"/>
        <v>106.99999999999922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-622.94392523363933</v>
      </c>
      <c r="AG70" s="246">
        <f>N70/K70</f>
        <v>0.5502209926110907</v>
      </c>
      <c r="AH70" s="724">
        <f>AG79</f>
        <v>0.6488271214208623</v>
      </c>
    </row>
    <row r="71" spans="1:36" ht="15" customHeight="1">
      <c r="A71" s="761"/>
      <c r="B71" s="75" t="s">
        <v>81</v>
      </c>
      <c r="C71" s="76"/>
      <c r="D71" s="59" t="s">
        <v>139</v>
      </c>
      <c r="E71" s="77"/>
      <c r="F71" s="250">
        <f>VLOOKUP(D71,廠價表!$C$1:$E$41,3,0)</f>
        <v>50.67</v>
      </c>
      <c r="G71" s="30">
        <v>1733</v>
      </c>
      <c r="H71" s="254">
        <f>F71*G71</f>
        <v>87811.11</v>
      </c>
      <c r="I71" s="232"/>
      <c r="J71" s="106">
        <f>VLOOKUP(D71,產線配置圖!$A$3:$C$39,2,0)</f>
        <v>10</v>
      </c>
      <c r="K71" s="107">
        <f>VLOOKUP(D71,產線配置圖!$A$3:$C$39,3,0)</f>
        <v>1125</v>
      </c>
      <c r="L71" s="238">
        <f>K71/J71</f>
        <v>112.5</v>
      </c>
      <c r="M71" s="82">
        <v>9</v>
      </c>
      <c r="N71" s="107">
        <f>G71/W71*60</f>
        <v>866.50000000000375</v>
      </c>
      <c r="O71" s="238">
        <f>N71/M71</f>
        <v>96.277777777778198</v>
      </c>
      <c r="P71" s="111">
        <f>M71-J71</f>
        <v>-1</v>
      </c>
      <c r="Q71" s="255">
        <f>O71-L71</f>
        <v>-16.222222222221802</v>
      </c>
      <c r="R71" s="85">
        <f>O71/L71</f>
        <v>0.85580246913580615</v>
      </c>
      <c r="S71" s="719"/>
      <c r="T71" s="22">
        <v>0.41666666666666702</v>
      </c>
      <c r="U71" s="22">
        <v>0.5</v>
      </c>
      <c r="V71" s="30"/>
      <c r="W71" s="73">
        <f t="shared" si="17"/>
        <v>119.99999999999949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1">AVERAGE(J70:J78)</f>
        <v>13</v>
      </c>
      <c r="K79" s="240">
        <f t="shared" si="61"/>
        <v>1255</v>
      </c>
      <c r="L79" s="268">
        <f t="shared" si="61"/>
        <v>99.53125</v>
      </c>
      <c r="M79" s="240">
        <f t="shared" si="61"/>
        <v>9</v>
      </c>
      <c r="N79" s="240">
        <f t="shared" si="61"/>
        <v>814.27803738318221</v>
      </c>
      <c r="O79" s="268">
        <f t="shared" si="61"/>
        <v>90.475337487020255</v>
      </c>
      <c r="P79" s="269">
        <f>M79-J79</f>
        <v>-4</v>
      </c>
      <c r="Q79" s="222">
        <f>N79-K79</f>
        <v>-440.72196261681779</v>
      </c>
      <c r="R79" s="223">
        <f>O79/L79</f>
        <v>0.90901437977539978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-440.72196261681779</v>
      </c>
      <c r="AG79" s="124">
        <f>N79/K79</f>
        <v>0.6488271214208623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P3:P4"/>
    <mergeCell ref="Q3:Q4"/>
    <mergeCell ref="R3:R4"/>
    <mergeCell ref="Z3:AA3"/>
    <mergeCell ref="D15:E15"/>
    <mergeCell ref="T3:U3"/>
    <mergeCell ref="V3:V4"/>
    <mergeCell ref="W3:W4"/>
    <mergeCell ref="X3:Y3"/>
    <mergeCell ref="AH3:AH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B15:AC15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19" priority="1" operator="greaterThan">
      <formula>0</formula>
    </cfRule>
  </conditionalFormatting>
  <conditionalFormatting sqref="Q5:Q79 AF5:AF79">
    <cfRule type="cellIs" dxfId="218" priority="4" operator="lessThan">
      <formula>0</formula>
    </cfRule>
  </conditionalFormatting>
  <conditionalFormatting sqref="R5:R79 AG5:AG79">
    <cfRule type="cellIs" dxfId="217" priority="2" operator="greaterThan">
      <formula>1</formula>
    </cfRule>
    <cfRule type="cellIs" dxfId="216" priority="3" operator="lessThan">
      <formula>0.8</formula>
    </cfRule>
  </conditionalFormatting>
  <conditionalFormatting sqref="S5:S10 S37:S62 AH59:AH62 S69:S76 AH69:AH76">
    <cfRule type="cellIs" dxfId="215" priority="7" operator="lessThan">
      <formula>0.8</formula>
    </cfRule>
  </conditionalFormatting>
  <conditionalFormatting sqref="S19:S25 AH19:AH25">
    <cfRule type="cellIs" dxfId="214" priority="6" operator="lessThan">
      <formula>0.8</formula>
    </cfRule>
  </conditionalFormatting>
  <conditionalFormatting sqref="S79">
    <cfRule type="cellIs" dxfId="213" priority="5" operator="lessThan">
      <formula>0.8</formula>
    </cfRule>
  </conditionalFormatting>
  <conditionalFormatting sqref="AH5:AH8 S15:S16 AH15:AH16 AH49 AH79">
    <cfRule type="cellIs" dxfId="212" priority="9" operator="lessThan">
      <formula>0.8</formula>
    </cfRule>
  </conditionalFormatting>
  <conditionalFormatting sqref="AH27 S27:S28">
    <cfRule type="cellIs" dxfId="21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A68D64-0A78-41CB-A9C4-E118C4948D7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2153-E6A9-4423-B0DF-B1A81BF69340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46038</v>
      </c>
      <c r="E3" s="645"/>
      <c r="F3" s="3" t="s">
        <v>72</v>
      </c>
      <c r="G3" s="646">
        <f>'0116'!E1</f>
        <v>40479</v>
      </c>
      <c r="H3" s="646"/>
      <c r="I3" s="3" t="s">
        <v>2</v>
      </c>
      <c r="J3" s="647">
        <f>'0116'!G1</f>
        <v>1934147.48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111.61136174555291</v>
      </c>
      <c r="G6" s="652"/>
      <c r="H6" s="653">
        <f>AVERAGE(D13:H13,J13)</f>
        <v>108.51910418013358</v>
      </c>
      <c r="I6" s="653"/>
      <c r="J6" s="653">
        <f>AVERAGE(I13)</f>
        <v>127.07264957264958</v>
      </c>
      <c r="K6" s="653"/>
      <c r="L6" s="769">
        <f>SUM(D18:J18)</f>
        <v>0</v>
      </c>
      <c r="M6" s="656">
        <f>SUM(D19:J19)</f>
        <v>0</v>
      </c>
      <c r="N6" s="771">
        <f>SUM(D20:J20)</f>
        <v>0</v>
      </c>
      <c r="O6" s="656">
        <f>SUM(D20:J20)</f>
        <v>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102.24742939114559</v>
      </c>
      <c r="G7" s="676"/>
      <c r="H7" s="677">
        <f>AVERAGE(D14:H14,J14)</f>
        <v>102.91524860270809</v>
      </c>
      <c r="I7" s="677"/>
      <c r="J7" s="677">
        <f>AVERAGE(I14)</f>
        <v>98.908333333333033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0.91610233754019743</v>
      </c>
      <c r="G8" s="649"/>
      <c r="H8" s="649">
        <f>H7/H6</f>
        <v>0.94836065391653523</v>
      </c>
      <c r="I8" s="649"/>
      <c r="J8" s="649">
        <f>J7/J6</f>
        <v>0.77836051790818661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VALUE('0116'!L15)</f>
        <v>112.01680672268908</v>
      </c>
      <c r="E13" s="13">
        <f>VALUE('0116'!L26)</f>
        <v>160.81196581196582</v>
      </c>
      <c r="F13" s="13">
        <f>VALUE('0116'!L37)</f>
        <v>86.470588235294116</v>
      </c>
      <c r="G13" s="13">
        <f>VALUE('0116'!L48)</f>
        <v>95.645833333333329</v>
      </c>
      <c r="H13" s="13">
        <f>VALUE('0116'!L58)</f>
        <v>87.650326797385631</v>
      </c>
      <c r="I13" s="13">
        <f>VALUE('0116'!L69)</f>
        <v>127.07264957264958</v>
      </c>
      <c r="J13" s="13"/>
    </row>
    <row r="14" spans="2:15" ht="39.950000000000003" customHeight="1">
      <c r="B14" s="670"/>
      <c r="C14" s="12" t="s">
        <v>100</v>
      </c>
      <c r="D14" s="13">
        <f>VALUE('0116'!O15)</f>
        <v>102.24083526259724</v>
      </c>
      <c r="E14" s="13">
        <f>VALUE('0116'!O26)</f>
        <v>159.23227421873057</v>
      </c>
      <c r="F14" s="13">
        <f>VALUE('0116'!O37)</f>
        <v>82.453727070032443</v>
      </c>
      <c r="G14" s="13">
        <f>VALUE('0116'!O48)</f>
        <v>91.124893909508955</v>
      </c>
      <c r="H14" s="13">
        <f>VALUE('0116'!O58)</f>
        <v>79.524512552671226</v>
      </c>
      <c r="I14" s="13">
        <f>VALUE('0116'!O69)</f>
        <v>98.908333333333033</v>
      </c>
      <c r="J14" s="13"/>
    </row>
    <row r="15" spans="2:15" ht="39.950000000000003" customHeight="1">
      <c r="B15" s="671"/>
      <c r="C15" s="10" t="s">
        <v>26</v>
      </c>
      <c r="D15" s="14">
        <f>D14/D13</f>
        <v>0.91272763662783729</v>
      </c>
      <c r="E15" s="14">
        <f t="shared" ref="E15:I15" si="1">E14/E13</f>
        <v>0.9901767782934614</v>
      </c>
      <c r="F15" s="14">
        <f t="shared" si="1"/>
        <v>0.95354650353098747</v>
      </c>
      <c r="G15" s="14">
        <f t="shared" si="1"/>
        <v>0.95273250003407317</v>
      </c>
      <c r="H15" s="14">
        <f t="shared" si="1"/>
        <v>0.90729282432114355</v>
      </c>
      <c r="I15" s="14">
        <f t="shared" si="1"/>
        <v>0.77836051790818661</v>
      </c>
      <c r="J15" s="15"/>
    </row>
    <row r="16" spans="2:15" ht="17.25" customHeight="1">
      <c r="B16" s="672" t="s">
        <v>101</v>
      </c>
      <c r="C16" s="10" t="s">
        <v>34</v>
      </c>
      <c r="D16" s="16">
        <f>'0116'!T5</f>
        <v>0.29027777777777802</v>
      </c>
      <c r="E16" s="16">
        <f>'0116'!T16</f>
        <v>0.29027777777777802</v>
      </c>
      <c r="F16" s="16">
        <f>'0116'!T27</f>
        <v>0.358333333333333</v>
      </c>
      <c r="G16" s="16">
        <f>'0116'!T38</f>
        <v>0.33333333333333298</v>
      </c>
      <c r="H16" s="16">
        <f>'0116'!T49</f>
        <v>0.29097222222222202</v>
      </c>
      <c r="I16" s="16">
        <f>'0116'!T59</f>
        <v>0.29513888888888901</v>
      </c>
      <c r="J16" s="17"/>
    </row>
    <row r="17" spans="2:10" ht="17.25" customHeight="1">
      <c r="B17" s="673"/>
      <c r="C17" s="10" t="s">
        <v>35</v>
      </c>
      <c r="D17" s="16">
        <v>0.64861111111111103</v>
      </c>
      <c r="E17" s="19">
        <v>0.49583333333333302</v>
      </c>
      <c r="F17" s="19">
        <v>0.60069444444444398</v>
      </c>
      <c r="G17" s="20">
        <v>0.484027777777778</v>
      </c>
      <c r="H17" s="21">
        <v>0.61805555555555602</v>
      </c>
      <c r="I17" s="22">
        <v>0.49305555555555602</v>
      </c>
      <c r="J17" s="22"/>
    </row>
    <row r="18" spans="2:10" ht="17.25" customHeight="1">
      <c r="B18" s="674" t="s">
        <v>102</v>
      </c>
      <c r="C18" s="330" t="s">
        <v>36</v>
      </c>
      <c r="D18" s="358">
        <f>'0116'!Z15</f>
        <v>0</v>
      </c>
      <c r="E18" s="359">
        <f>'0116'!Z26</f>
        <v>0</v>
      </c>
      <c r="F18" s="359">
        <f>'0116'!Z37</f>
        <v>0</v>
      </c>
      <c r="G18" s="360">
        <f>'0116'!Z48</f>
        <v>0</v>
      </c>
      <c r="H18" s="360">
        <f>'0116'!Z58</f>
        <v>0</v>
      </c>
      <c r="I18" s="359">
        <f>'0116'!Z69</f>
        <v>0</v>
      </c>
      <c r="J18" s="359"/>
    </row>
    <row r="19" spans="2:10" ht="17.25" customHeight="1">
      <c r="B19" s="675"/>
      <c r="C19" s="330" t="s">
        <v>37</v>
      </c>
      <c r="D19" s="358">
        <f>'0116'!AA15</f>
        <v>0</v>
      </c>
      <c r="E19" s="359">
        <f>'0116'!AA26</f>
        <v>0</v>
      </c>
      <c r="F19" s="359">
        <f>'0116'!AA37</f>
        <v>0</v>
      </c>
      <c r="G19" s="360">
        <f>'0116'!AA48</f>
        <v>0</v>
      </c>
      <c r="H19" s="360">
        <f>'0116'!AA58</f>
        <v>0</v>
      </c>
      <c r="I19" s="359">
        <f>'0116'!AA69</f>
        <v>0</v>
      </c>
      <c r="J19" s="359"/>
    </row>
    <row r="20" spans="2:10" ht="17.25" customHeight="1">
      <c r="B20" s="674" t="s">
        <v>103</v>
      </c>
      <c r="C20" s="330" t="s">
        <v>36</v>
      </c>
      <c r="D20" s="358">
        <f>'0116'!AD15</f>
        <v>0</v>
      </c>
      <c r="E20" s="359">
        <f>'0116'!AD26</f>
        <v>0</v>
      </c>
      <c r="F20" s="359">
        <f>'0116'!AD37</f>
        <v>0</v>
      </c>
      <c r="G20" s="360">
        <f>'0116'!AD48</f>
        <v>0</v>
      </c>
      <c r="H20" s="360">
        <f>'0116'!AD58</f>
        <v>0</v>
      </c>
      <c r="I20" s="359">
        <f>'0116'!AD69</f>
        <v>0</v>
      </c>
      <c r="J20" s="359"/>
    </row>
    <row r="21" spans="2:10" ht="17.25" customHeight="1">
      <c r="B21" s="675"/>
      <c r="C21" s="330" t="s">
        <v>85</v>
      </c>
      <c r="D21" s="358">
        <f>'0116'!AE15</f>
        <v>0</v>
      </c>
      <c r="E21" s="359">
        <f>'0116'!AE26</f>
        <v>0</v>
      </c>
      <c r="F21" s="359">
        <f>'0108'!AE37</f>
        <v>0</v>
      </c>
      <c r="G21" s="360">
        <f>'0116'!AE48</f>
        <v>0</v>
      </c>
      <c r="H21" s="360">
        <f>'0116'!AE58</f>
        <v>0</v>
      </c>
      <c r="I21" s="359">
        <f>'0116'!AE69</f>
        <v>0</v>
      </c>
      <c r="J21" s="359"/>
    </row>
    <row r="22" spans="2:10" ht="17.25" customHeight="1">
      <c r="B22" s="658" t="s">
        <v>104</v>
      </c>
      <c r="C22" s="659"/>
      <c r="D22" s="23">
        <f>VALUE('0116'!M15)</f>
        <v>14.5</v>
      </c>
      <c r="E22" s="23">
        <f>VALUE('0116'!M26)</f>
        <v>12.666666666666666</v>
      </c>
      <c r="F22" s="23">
        <f>VALUE('0116'!M37)</f>
        <v>14.75</v>
      </c>
      <c r="G22" s="23">
        <f>VALUE('0116'!M48)</f>
        <v>12</v>
      </c>
      <c r="H22" s="23">
        <f>VALUE('0116'!M58)</f>
        <v>17.600000000000001</v>
      </c>
      <c r="I22" s="23">
        <f>VALUE('0116'!M69)</f>
        <v>11</v>
      </c>
      <c r="J22" s="23"/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1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36B3-B85B-4917-9D46-9B8C4D684778}">
  <sheetPr>
    <tabColor theme="9" tint="0.79998168889431442"/>
  </sheetPr>
  <dimension ref="A1:AJ92"/>
  <sheetViews>
    <sheetView zoomScale="69" zoomScaleNormal="69" workbookViewId="0">
      <pane xSplit="5" ySplit="4" topLeftCell="F59" activePane="bottomRight" state="frozen"/>
      <selection activeCell="U8" sqref="U8"/>
      <selection pane="topRight" activeCell="U8" sqref="U8"/>
      <selection pane="bottomLeft" activeCell="U8" sqref="U8"/>
      <selection pane="bottomRight" activeCell="J78" sqref="J78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40479</v>
      </c>
      <c r="F1" s="30" t="s">
        <v>2</v>
      </c>
      <c r="G1" s="31">
        <f>SUM(H5:H79)</f>
        <v>1934147.48</v>
      </c>
      <c r="H1" s="32" t="s">
        <v>3</v>
      </c>
      <c r="I1" s="33">
        <f>M15+M26+M48+M58+M69+M79+M37</f>
        <v>82.516666666666666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183</v>
      </c>
      <c r="B2" s="678"/>
      <c r="C2" s="28"/>
      <c r="D2" s="28" t="s">
        <v>14</v>
      </c>
      <c r="E2" s="35">
        <f>AVERAGE(O15,O26,O37,O48,O58,O69,O79)</f>
        <v>102.24742939114559</v>
      </c>
      <c r="F2" s="36" t="s">
        <v>15</v>
      </c>
      <c r="G2" s="37">
        <f>G1/E1</f>
        <v>47.781503495639711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2234</v>
      </c>
      <c r="H5" s="43">
        <f>F5*G5</f>
        <v>106584.14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1396.2500000000141</v>
      </c>
      <c r="O5" s="47">
        <f t="shared" ref="O5:O7" si="2">N5/M5</f>
        <v>99.73214285714387</v>
      </c>
      <c r="P5" s="49">
        <f t="shared" ref="P5:P7" si="3">M5-J5</f>
        <v>0</v>
      </c>
      <c r="Q5" s="50">
        <f t="shared" ref="Q5:Q7" si="4">O5-L5</f>
        <v>-3.124999999998991</v>
      </c>
      <c r="R5" s="51">
        <f t="shared" ref="R5:R7" si="5">O5/L5</f>
        <v>0.96961805555556535</v>
      </c>
      <c r="S5" s="718">
        <f>R15</f>
        <v>0.91272763662783729</v>
      </c>
      <c r="T5" s="319">
        <v>0.29027777777777802</v>
      </c>
      <c r="U5" s="320">
        <v>0.35694444444444401</v>
      </c>
      <c r="V5" s="53"/>
      <c r="W5" s="54">
        <f t="shared" ref="W5:W14" si="6">(U5-T5)*24*60</f>
        <v>95.999999999999019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-43.749999999985903</v>
      </c>
      <c r="AG5" s="52">
        <f t="shared" ref="AG5:AG11" si="8">N5/K5</f>
        <v>0.96961805555556535</v>
      </c>
      <c r="AH5" s="724">
        <f>AG15</f>
        <v>0.8565386176503087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1057</v>
      </c>
      <c r="H6" s="63">
        <f>F6*G6</f>
        <v>60470.97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15</v>
      </c>
      <c r="N6" s="66">
        <f t="shared" si="1"/>
        <v>1474.8837209301885</v>
      </c>
      <c r="O6" s="67">
        <f t="shared" si="2"/>
        <v>98.325581395345893</v>
      </c>
      <c r="P6" s="69">
        <f t="shared" si="3"/>
        <v>-2</v>
      </c>
      <c r="Q6" s="70">
        <f t="shared" si="4"/>
        <v>-19.321477428183513</v>
      </c>
      <c r="R6" s="71">
        <f t="shared" si="5"/>
        <v>0.83576744186044016</v>
      </c>
      <c r="S6" s="719"/>
      <c r="T6" s="16">
        <v>0.36319444444444399</v>
      </c>
      <c r="U6" s="16">
        <v>0.39305555555555599</v>
      </c>
      <c r="V6" s="30">
        <f>(T6-U5)*24*60</f>
        <v>8.999999999999968</v>
      </c>
      <c r="W6" s="73">
        <f t="shared" si="6"/>
        <v>43.000000000001286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-525.11627906981153</v>
      </c>
      <c r="AG6" s="72">
        <f t="shared" si="8"/>
        <v>0.73744186046509419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4200</v>
      </c>
      <c r="H7" s="78">
        <f>F7*G7</f>
        <v>206388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1984.2519685039254</v>
      </c>
      <c r="O7" s="81">
        <f t="shared" si="2"/>
        <v>141.73228346456611</v>
      </c>
      <c r="P7" s="74">
        <f t="shared" si="3"/>
        <v>0</v>
      </c>
      <c r="Q7" s="83">
        <f t="shared" si="4"/>
        <v>-1.1248593925767523</v>
      </c>
      <c r="R7" s="72">
        <f t="shared" si="5"/>
        <v>0.99212598425196274</v>
      </c>
      <c r="S7" s="719"/>
      <c r="T7" s="18">
        <v>0.39861111111111103</v>
      </c>
      <c r="U7" s="18">
        <v>0.48680555555555599</v>
      </c>
      <c r="V7" s="30">
        <f>(T7-U6)*24*60</f>
        <v>7.9999999999992522</v>
      </c>
      <c r="W7" s="73">
        <f t="shared" si="6"/>
        <v>127.00000000000075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-15.748031496074645</v>
      </c>
      <c r="AG7" s="72">
        <f t="shared" si="8"/>
        <v>0.99212598425196263</v>
      </c>
      <c r="AH7" s="725"/>
    </row>
    <row r="8" spans="1:34" ht="15" customHeight="1">
      <c r="A8" s="715"/>
      <c r="B8" s="75" t="s">
        <v>117</v>
      </c>
      <c r="C8" s="76"/>
      <c r="D8" s="59" t="s">
        <v>118</v>
      </c>
      <c r="E8" s="77"/>
      <c r="F8" s="75">
        <f>VLOOKUP(D8,廠價表!$C$1:$E$41,3,0)</f>
        <v>44.3</v>
      </c>
      <c r="G8" s="66">
        <v>2594</v>
      </c>
      <c r="H8" s="78">
        <f>F8*G8</f>
        <v>114914.2</v>
      </c>
      <c r="I8" s="73"/>
      <c r="J8" s="79">
        <v>17</v>
      </c>
      <c r="K8" s="80">
        <f>VLOOKUP(D8,產線配置圖!$A$3:$C$39,3,0)</f>
        <v>1440</v>
      </c>
      <c r="L8" s="81">
        <f>K8/J8</f>
        <v>84.705882352941174</v>
      </c>
      <c r="M8" s="82">
        <v>15</v>
      </c>
      <c r="N8" s="80">
        <f>G8/W8*60</f>
        <v>1037.5999999999958</v>
      </c>
      <c r="O8" s="81">
        <f>N8/M8</f>
        <v>69.173333333333048</v>
      </c>
      <c r="P8" s="74">
        <f>M8-J8</f>
        <v>-2</v>
      </c>
      <c r="Q8" s="83">
        <f>O8-L8</f>
        <v>-15.532549019608126</v>
      </c>
      <c r="R8" s="72">
        <f>O8/L8</f>
        <v>0.81662962962962626</v>
      </c>
      <c r="S8" s="719"/>
      <c r="T8" s="16">
        <v>0.54444444444444395</v>
      </c>
      <c r="U8" s="16">
        <v>0.64861111111111103</v>
      </c>
      <c r="V8" s="30">
        <f>(T8-U7)*24*60</f>
        <v>82.999999999998664</v>
      </c>
      <c r="W8" s="73">
        <f t="shared" si="6"/>
        <v>150.0000000000006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-402.40000000000418</v>
      </c>
      <c r="AG8" s="72">
        <f t="shared" si="8"/>
        <v>0.72055555555555262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15.5</v>
      </c>
      <c r="K15" s="120">
        <f t="shared" si="9"/>
        <v>1720</v>
      </c>
      <c r="L15" s="117">
        <f t="shared" si="9"/>
        <v>112.01680672268908</v>
      </c>
      <c r="M15" s="120">
        <f t="shared" si="9"/>
        <v>14.5</v>
      </c>
      <c r="N15" s="120">
        <f t="shared" si="9"/>
        <v>1473.2464223585309</v>
      </c>
      <c r="O15" s="117">
        <f t="shared" si="9"/>
        <v>102.24083526259724</v>
      </c>
      <c r="P15" s="121">
        <f t="shared" ref="P15:P18" si="10">M15-J15</f>
        <v>-1</v>
      </c>
      <c r="Q15" s="122">
        <f t="shared" ref="Q15:Q18" si="11">O15-L15</f>
        <v>-9.7759714600918386</v>
      </c>
      <c r="R15" s="123">
        <f t="shared" ref="R15:R18" si="12">O15/L15</f>
        <v>0.91272763662783729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-246.75357764146906</v>
      </c>
      <c r="AG15" s="124">
        <f t="shared" ref="AG15:AG19" si="14">N15/K15</f>
        <v>0.8565386176503087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1776</v>
      </c>
      <c r="H16" s="134">
        <f>F16*G16</f>
        <v>101604.96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13</v>
      </c>
      <c r="N16" s="140">
        <f t="shared" ref="N16:N18" si="16">G16/W16*60</f>
        <v>2089.4117647059229</v>
      </c>
      <c r="O16" s="141">
        <f>N16/M16</f>
        <v>160.72398190045561</v>
      </c>
      <c r="P16" s="142">
        <f>M16-J16</f>
        <v>0</v>
      </c>
      <c r="Q16" s="143">
        <f t="shared" si="11"/>
        <v>-1.1990950226213215</v>
      </c>
      <c r="R16" s="144">
        <f>O16/L16</f>
        <v>0.99259466256813433</v>
      </c>
      <c r="S16" s="734">
        <f>R26</f>
        <v>0.9901767782934614</v>
      </c>
      <c r="T16" s="145">
        <v>0.29027777777777802</v>
      </c>
      <c r="U16" s="145">
        <v>0.32569444444444401</v>
      </c>
      <c r="V16" s="135"/>
      <c r="W16" s="146">
        <f t="shared" ref="W16:W78" si="17">(U16-T16)*24*60</f>
        <v>50.999999999999019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-15.588235294077094</v>
      </c>
      <c r="AG16" s="52">
        <f t="shared" si="14"/>
        <v>0.99259466256813444</v>
      </c>
      <c r="AH16" s="724">
        <f>AG26</f>
        <v>0.99010257795088275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3151</v>
      </c>
      <c r="H17" s="78">
        <f>F17*G17</f>
        <v>159661.17000000001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1969.3749999999889</v>
      </c>
      <c r="O17" s="96">
        <f t="shared" ref="O17:O18" si="18">N17/M17</f>
        <v>151.49038461538376</v>
      </c>
      <c r="P17" s="97">
        <f t="shared" si="10"/>
        <v>0</v>
      </c>
      <c r="Q17" s="98">
        <f t="shared" si="11"/>
        <v>-2.355769230770079</v>
      </c>
      <c r="R17" s="99">
        <f t="shared" si="12"/>
        <v>0.9846874999999945</v>
      </c>
      <c r="S17" s="735"/>
      <c r="T17" s="19">
        <v>0.33194444444444399</v>
      </c>
      <c r="U17" s="19">
        <v>0.39861111111111103</v>
      </c>
      <c r="V17" s="30">
        <f>(T17-U16)*24*60</f>
        <v>8.999999999999968</v>
      </c>
      <c r="W17" s="149">
        <f t="shared" si="17"/>
        <v>96.00000000000054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-30.625000000011141</v>
      </c>
      <c r="AG17" s="72">
        <f t="shared" si="14"/>
        <v>0.98468749999999439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3773</v>
      </c>
      <c r="H18" s="78">
        <f>F18*G18</f>
        <v>190121.47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1985.7894736842272</v>
      </c>
      <c r="O18" s="96">
        <f t="shared" si="18"/>
        <v>165.48245614035227</v>
      </c>
      <c r="P18" s="97">
        <f t="shared" si="10"/>
        <v>0</v>
      </c>
      <c r="Q18" s="98">
        <f t="shared" si="11"/>
        <v>-1.1842105263143878</v>
      </c>
      <c r="R18" s="99">
        <f t="shared" si="12"/>
        <v>0.99289473684211371</v>
      </c>
      <c r="S18" s="735"/>
      <c r="T18" s="19">
        <v>0.41666666666666702</v>
      </c>
      <c r="U18" s="19">
        <v>0.49583333333333302</v>
      </c>
      <c r="V18" s="30">
        <f>(T18-U17)*24*60</f>
        <v>26.000000000000625</v>
      </c>
      <c r="W18" s="149">
        <f t="shared" si="17"/>
        <v>113.99999999999903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-14.210526315772768</v>
      </c>
      <c r="AG18" s="72">
        <f t="shared" si="14"/>
        <v>0.9928947368421136</v>
      </c>
      <c r="AH18" s="725"/>
    </row>
    <row r="19" spans="1:34" ht="15" customHeight="1">
      <c r="A19" s="741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35"/>
      <c r="T19" s="19"/>
      <c r="U19" s="19"/>
      <c r="V19" s="30"/>
      <c r="W19" s="149">
        <f t="shared" si="17"/>
        <v>0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0</v>
      </c>
      <c r="AG19" s="72" t="e">
        <f t="shared" si="14"/>
        <v>#DIV/0!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12.666666666666666</v>
      </c>
      <c r="K26" s="155">
        <f t="shared" si="20"/>
        <v>2035</v>
      </c>
      <c r="L26" s="158">
        <f t="shared" si="20"/>
        <v>160.81196581196582</v>
      </c>
      <c r="M26" s="155">
        <f t="shared" si="20"/>
        <v>12.666666666666666</v>
      </c>
      <c r="N26" s="155">
        <f t="shared" si="20"/>
        <v>2014.8587461300465</v>
      </c>
      <c r="O26" s="158">
        <f t="shared" si="20"/>
        <v>159.23227421873057</v>
      </c>
      <c r="P26" s="159">
        <f t="shared" ref="P26:P29" si="21">M26-J26</f>
        <v>0</v>
      </c>
      <c r="Q26" s="160">
        <f t="shared" ref="Q26:Q29" si="22">O26-L26</f>
        <v>-1.5796915932352533</v>
      </c>
      <c r="R26" s="161">
        <f>O26/L26</f>
        <v>0.9901767782934614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23">N26-K26</f>
        <v>-20.141253869953516</v>
      </c>
      <c r="AG26" s="124">
        <f t="shared" ref="AG26:AG31" si="24">N26/K26</f>
        <v>0.99010257795088275</v>
      </c>
      <c r="AH26" s="727"/>
    </row>
    <row r="27" spans="1:34" ht="15" customHeight="1">
      <c r="A27" s="731" t="s">
        <v>45</v>
      </c>
      <c r="B27" s="167" t="s">
        <v>117</v>
      </c>
      <c r="C27" s="130"/>
      <c r="D27" s="168" t="s">
        <v>128</v>
      </c>
      <c r="E27" s="132"/>
      <c r="F27" s="129">
        <f>VLOOKUP(D27,廠價表!$C$1:$E$41,3,0)</f>
        <v>49.52</v>
      </c>
      <c r="G27" s="169">
        <v>1694</v>
      </c>
      <c r="H27" s="134">
        <f>F27*G27</f>
        <v>83886.88</v>
      </c>
      <c r="I27" s="135"/>
      <c r="J27" s="136">
        <f>VLOOKUP(D27,產線配置圖!$A$3:$C$39,2,0)</f>
        <v>17</v>
      </c>
      <c r="K27" s="137">
        <f>VLOOKUP(D27,產線配置圖!$A$3:$C$39,3,0)</f>
        <v>1440</v>
      </c>
      <c r="L27" s="138">
        <f t="shared" ref="L27:L29" si="25">K27/J27</f>
        <v>84.705882352941174</v>
      </c>
      <c r="M27" s="170">
        <v>14</v>
      </c>
      <c r="N27" s="140">
        <f>G27/W27*60</f>
        <v>1104.7826086956504</v>
      </c>
      <c r="O27" s="141">
        <f>N27/M27</f>
        <v>78.913043478260747</v>
      </c>
      <c r="P27" s="142">
        <f t="shared" si="21"/>
        <v>-3</v>
      </c>
      <c r="Q27" s="143">
        <f t="shared" si="22"/>
        <v>-5.7928388746804274</v>
      </c>
      <c r="R27" s="144">
        <f>O27/L27</f>
        <v>0.93161231884057827</v>
      </c>
      <c r="S27" s="734">
        <f>R37</f>
        <v>0.95354650353098747</v>
      </c>
      <c r="T27" s="171">
        <v>0.358333333333333</v>
      </c>
      <c r="U27" s="171">
        <v>0.422222222222222</v>
      </c>
      <c r="V27" s="135"/>
      <c r="W27" s="146">
        <f t="shared" si="17"/>
        <v>92.000000000000156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-335.21739130434958</v>
      </c>
      <c r="AG27" s="172">
        <f t="shared" si="24"/>
        <v>0.76721014492753503</v>
      </c>
      <c r="AH27" s="724">
        <f>AG37</f>
        <v>0.8279439763135521</v>
      </c>
    </row>
    <row r="28" spans="1:34" ht="15" customHeight="1">
      <c r="A28" s="732"/>
      <c r="B28" s="75" t="s">
        <v>117</v>
      </c>
      <c r="C28" s="173"/>
      <c r="D28" s="59" t="s">
        <v>118</v>
      </c>
      <c r="E28" s="104"/>
      <c r="F28" s="75">
        <f>VLOOKUP(D28,廠價表!$C$1:$E$41,3,0)</f>
        <v>44.3</v>
      </c>
      <c r="G28" s="90">
        <v>1315</v>
      </c>
      <c r="H28" s="91">
        <f>F28*G28</f>
        <v>58254.499999999993</v>
      </c>
      <c r="I28" s="92"/>
      <c r="J28" s="79">
        <v>17</v>
      </c>
      <c r="K28" s="80">
        <f>VLOOKUP(D28,產線配置圖!$A$3:$C$39,3,0)</f>
        <v>1440</v>
      </c>
      <c r="L28" s="93">
        <f t="shared" si="25"/>
        <v>84.705882352941174</v>
      </c>
      <c r="M28" s="94">
        <v>15</v>
      </c>
      <c r="N28" s="95">
        <f>G28/W28*60</f>
        <v>1213.8461538461506</v>
      </c>
      <c r="O28" s="96">
        <f>N28/M28</f>
        <v>80.923076923076707</v>
      </c>
      <c r="P28" s="97">
        <f t="shared" si="21"/>
        <v>-2</v>
      </c>
      <c r="Q28" s="98">
        <f t="shared" si="22"/>
        <v>-3.7828054298644673</v>
      </c>
      <c r="R28" s="99">
        <f t="shared" ref="R28:R29" si="26">O28/L28</f>
        <v>0.95534188034187784</v>
      </c>
      <c r="S28" s="735"/>
      <c r="T28" s="19">
        <v>0.4375</v>
      </c>
      <c r="U28" s="19">
        <v>0.48263888888888901</v>
      </c>
      <c r="V28" s="92">
        <f>(T28-U27)*24*60</f>
        <v>22.00000000000032</v>
      </c>
      <c r="W28" s="149">
        <f t="shared" si="17"/>
        <v>65.000000000000171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-226.15384615384937</v>
      </c>
      <c r="AG28" s="99">
        <f t="shared" si="24"/>
        <v>0.84294871794871573</v>
      </c>
      <c r="AH28" s="744"/>
    </row>
    <row r="29" spans="1:34" ht="15" customHeight="1">
      <c r="A29" s="732"/>
      <c r="B29" s="75" t="s">
        <v>81</v>
      </c>
      <c r="C29" s="173"/>
      <c r="D29" s="59" t="s">
        <v>125</v>
      </c>
      <c r="E29" s="104"/>
      <c r="F29" s="75">
        <f>VLOOKUP(D29,廠價表!$C$1:$E$41,3,0)</f>
        <v>57.3</v>
      </c>
      <c r="G29" s="90">
        <v>515</v>
      </c>
      <c r="H29" s="91">
        <f>F29*G29</f>
        <v>29509.5</v>
      </c>
      <c r="I29" s="92"/>
      <c r="J29" s="79">
        <f>VLOOKUP(D29,產線配置圖!$A$3:$C$39,2,0)</f>
        <v>17</v>
      </c>
      <c r="K29" s="80">
        <f>VLOOKUP(D29,產線配置圖!$A$3:$C$39,3,0)</f>
        <v>1500</v>
      </c>
      <c r="L29" s="93">
        <f t="shared" si="25"/>
        <v>88.235294117647058</v>
      </c>
      <c r="M29" s="94">
        <v>15</v>
      </c>
      <c r="N29" s="95">
        <f>G29/W29*60</f>
        <v>1287.5000000000518</v>
      </c>
      <c r="O29" s="96">
        <f>N29/M29</f>
        <v>85.833333333336796</v>
      </c>
      <c r="P29" s="97">
        <f t="shared" si="21"/>
        <v>-2</v>
      </c>
      <c r="Q29" s="98">
        <f t="shared" si="22"/>
        <v>-2.4019607843102619</v>
      </c>
      <c r="R29" s="99">
        <f t="shared" si="26"/>
        <v>0.97277777777781704</v>
      </c>
      <c r="S29" s="735"/>
      <c r="T29" s="19">
        <v>0.485416666666667</v>
      </c>
      <c r="U29" s="19">
        <v>0.50208333333333299</v>
      </c>
      <c r="V29" s="92">
        <f>(T29-U28)*24*60</f>
        <v>4.0000000000003055</v>
      </c>
      <c r="W29" s="149">
        <f t="shared" si="17"/>
        <v>23.999999999999034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-212.49999999994816</v>
      </c>
      <c r="AG29" s="99">
        <f t="shared" si="24"/>
        <v>0.85833333333336792</v>
      </c>
      <c r="AH29" s="744"/>
    </row>
    <row r="30" spans="1:34" ht="15" customHeight="1">
      <c r="A30" s="732"/>
      <c r="B30" s="75" t="s">
        <v>81</v>
      </c>
      <c r="C30" s="88"/>
      <c r="D30" s="59" t="s">
        <v>125</v>
      </c>
      <c r="E30" s="89"/>
      <c r="F30" s="75">
        <f>VLOOKUP(D30,廠價表!$C$1:$E$41,3,0)</f>
        <v>57.3</v>
      </c>
      <c r="G30" s="90">
        <v>1157</v>
      </c>
      <c r="H30" s="91">
        <f>F30*G30</f>
        <v>66296.099999999991</v>
      </c>
      <c r="I30" s="92"/>
      <c r="J30" s="79">
        <f>VLOOKUP(D30,產線配置圖!$A$3:$C$39,2,0)</f>
        <v>17</v>
      </c>
      <c r="K30" s="80">
        <f>VLOOKUP(D30,產線配置圖!$A$3:$C$39,3,0)</f>
        <v>1500</v>
      </c>
      <c r="L30" s="93">
        <f>K30/J30</f>
        <v>88.235294117647058</v>
      </c>
      <c r="M30" s="94">
        <v>15</v>
      </c>
      <c r="N30" s="95">
        <f>G30/W30*60</f>
        <v>1262.1818181818337</v>
      </c>
      <c r="O30" s="96">
        <f>N30/M30</f>
        <v>84.145454545455578</v>
      </c>
      <c r="P30" s="97">
        <f>M30-J30</f>
        <v>-2</v>
      </c>
      <c r="Q30" s="98">
        <f>O30-L30</f>
        <v>-4.0898395721914795</v>
      </c>
      <c r="R30" s="99">
        <f>O30/L30</f>
        <v>0.95364848484849651</v>
      </c>
      <c r="S30" s="735"/>
      <c r="T30" s="19">
        <v>0.5625</v>
      </c>
      <c r="U30" s="19">
        <v>0.60069444444444398</v>
      </c>
      <c r="V30" s="92">
        <f>(T30-U29)*24*60</f>
        <v>87.000000000000483</v>
      </c>
      <c r="W30" s="149">
        <f t="shared" si="17"/>
        <v>54.999999999999325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-237.81818181816629</v>
      </c>
      <c r="AG30" s="99">
        <f t="shared" si="24"/>
        <v>0.84145454545455578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0</v>
      </c>
      <c r="AG31" s="99" t="e">
        <f t="shared" si="24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8">AVERAGE(J27:J36)</f>
        <v>17</v>
      </c>
      <c r="K37" s="155">
        <f t="shared" si="28"/>
        <v>1470</v>
      </c>
      <c r="L37" s="158">
        <f t="shared" si="28"/>
        <v>86.470588235294116</v>
      </c>
      <c r="M37" s="155">
        <f t="shared" si="28"/>
        <v>14.75</v>
      </c>
      <c r="N37" s="155">
        <f t="shared" si="28"/>
        <v>1217.0776451809215</v>
      </c>
      <c r="O37" s="158">
        <f t="shared" si="28"/>
        <v>82.453727070032443</v>
      </c>
      <c r="P37" s="159">
        <f>M37-J37</f>
        <v>-2.25</v>
      </c>
      <c r="Q37" s="160">
        <f>N37-K37</f>
        <v>-252.92235481907846</v>
      </c>
      <c r="R37" s="161">
        <f t="shared" ref="R37:R40" si="29">O37/L37</f>
        <v>0.95354650353098747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0">N37-K37</f>
        <v>-252.92235481907846</v>
      </c>
      <c r="AG37" s="124">
        <f t="shared" ref="AG37:AG41" si="31">N37/K37</f>
        <v>0.8279439763135521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932</v>
      </c>
      <c r="H38" s="134">
        <f>F38*G38</f>
        <v>52592.76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2">K38/J38</f>
        <v>87.875</v>
      </c>
      <c r="M38" s="190">
        <v>13</v>
      </c>
      <c r="N38" s="140">
        <f>G38/W38*60</f>
        <v>1016.7272727272572</v>
      </c>
      <c r="O38" s="141">
        <f>N38/M38</f>
        <v>78.20979020978902</v>
      </c>
      <c r="P38" s="142">
        <f t="shared" ref="P38:P40" si="33">M38-J38</f>
        <v>-3</v>
      </c>
      <c r="Q38" s="143">
        <f t="shared" ref="Q38:Q40" si="34">O38-L38</f>
        <v>-9.6652097902109801</v>
      </c>
      <c r="R38" s="144">
        <f>O38/L38</f>
        <v>0.89001183738024492</v>
      </c>
      <c r="S38" s="756">
        <f>R48</f>
        <v>0.95273250003407317</v>
      </c>
      <c r="T38" s="191">
        <v>0.33333333333333298</v>
      </c>
      <c r="U38" s="191">
        <v>0.37152777777777801</v>
      </c>
      <c r="V38" s="192"/>
      <c r="W38" s="193">
        <f t="shared" si="17"/>
        <v>55.000000000000846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0"/>
        <v>-389.27272727274283</v>
      </c>
      <c r="AG38" s="195">
        <f t="shared" si="31"/>
        <v>0.72313461787144895</v>
      </c>
      <c r="AH38" s="746">
        <f>AG48</f>
        <v>0.82213249807733635</v>
      </c>
    </row>
    <row r="39" spans="1:34" ht="15" customHeight="1">
      <c r="A39" s="754"/>
      <c r="B39" s="75" t="s">
        <v>81</v>
      </c>
      <c r="C39" s="197"/>
      <c r="D39" s="198" t="s">
        <v>129</v>
      </c>
      <c r="E39" s="176"/>
      <c r="F39" s="75">
        <f>VLOOKUP(D39,廠價表!$C$1:$E$41,3,0)</f>
        <v>57.3</v>
      </c>
      <c r="G39" s="199">
        <v>943</v>
      </c>
      <c r="H39" s="91">
        <f>F39*G39</f>
        <v>54033.899999999994</v>
      </c>
      <c r="I39" s="200"/>
      <c r="J39" s="148">
        <f>VLOOKUP(D39,產線配置圖!$A$3:$C$39,2,0)</f>
        <v>16</v>
      </c>
      <c r="K39" s="95">
        <f>VLOOKUP(D39,產線配置圖!$A$3:$C$39,3,0)</f>
        <v>1385</v>
      </c>
      <c r="L39" s="96">
        <f t="shared" si="32"/>
        <v>86.5625</v>
      </c>
      <c r="M39" s="201">
        <v>13</v>
      </c>
      <c r="N39" s="202">
        <f>G39/W39*60</f>
        <v>1088.0769230769254</v>
      </c>
      <c r="O39" s="203">
        <f t="shared" ref="O39:O40" si="35">N39/M39</f>
        <v>83.698224852071178</v>
      </c>
      <c r="P39" s="97">
        <f t="shared" si="33"/>
        <v>-3</v>
      </c>
      <c r="Q39" s="98">
        <f t="shared" si="34"/>
        <v>-2.8642751479288222</v>
      </c>
      <c r="R39" s="99">
        <f t="shared" si="29"/>
        <v>0.96691090081815079</v>
      </c>
      <c r="S39" s="757"/>
      <c r="T39" s="20">
        <v>0.37847222222222199</v>
      </c>
      <c r="U39" s="20">
        <v>0.41458333333333303</v>
      </c>
      <c r="V39" s="92">
        <f>(T39-U38)*24*60</f>
        <v>9.999999999999325</v>
      </c>
      <c r="W39" s="205">
        <f t="shared" si="17"/>
        <v>51.999999999999893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0"/>
        <v>-296.92307692307463</v>
      </c>
      <c r="AG39" s="206">
        <f t="shared" si="31"/>
        <v>0.78561510691474756</v>
      </c>
      <c r="AH39" s="747"/>
    </row>
    <row r="40" spans="1:34" ht="15" customHeight="1">
      <c r="A40" s="754"/>
      <c r="B40" s="75" t="s">
        <v>81</v>
      </c>
      <c r="C40" s="207"/>
      <c r="D40" s="198" t="s">
        <v>139</v>
      </c>
      <c r="E40" s="178"/>
      <c r="F40" s="75">
        <f>VLOOKUP(D40,廠價表!$C$1:$E$41,3,0)</f>
        <v>50.67</v>
      </c>
      <c r="G40" s="199">
        <v>1672</v>
      </c>
      <c r="H40" s="91">
        <f>F40*G40</f>
        <v>84720.24</v>
      </c>
      <c r="I40" s="200"/>
      <c r="J40" s="148">
        <f>VLOOKUP(D40,產線配置圖!$A$3:$C$39,2,0)</f>
        <v>10</v>
      </c>
      <c r="K40" s="95">
        <f>VLOOKUP(D40,產線配置圖!$A$3:$C$39,3,0)</f>
        <v>1125</v>
      </c>
      <c r="L40" s="96">
        <f t="shared" si="32"/>
        <v>112.5</v>
      </c>
      <c r="M40" s="201">
        <v>10</v>
      </c>
      <c r="N40" s="202">
        <f>G40/W40*60</f>
        <v>1114.6666666666667</v>
      </c>
      <c r="O40" s="203">
        <f t="shared" si="35"/>
        <v>111.46666666666667</v>
      </c>
      <c r="P40" s="97">
        <f t="shared" si="33"/>
        <v>0</v>
      </c>
      <c r="Q40" s="98">
        <f t="shared" si="34"/>
        <v>-1.0333333333333314</v>
      </c>
      <c r="R40" s="99">
        <f t="shared" si="29"/>
        <v>0.99081481481481481</v>
      </c>
      <c r="S40" s="719"/>
      <c r="T40" s="20">
        <v>0.421527777777778</v>
      </c>
      <c r="U40" s="20">
        <v>0.484027777777778</v>
      </c>
      <c r="V40" s="92">
        <f>(T40-U39)*24*60</f>
        <v>10.000000000000764</v>
      </c>
      <c r="W40" s="205">
        <f t="shared" si="17"/>
        <v>90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0"/>
        <v>-10.333333333333258</v>
      </c>
      <c r="AG40" s="206">
        <f t="shared" si="31"/>
        <v>0.99081481481481493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0"/>
        <v>0</v>
      </c>
      <c r="AG41" s="206" t="e">
        <f t="shared" si="31"/>
        <v>#DIV/0!</v>
      </c>
      <c r="AH41" s="747"/>
    </row>
    <row r="42" spans="1:34" ht="15" customHeight="1">
      <c r="A42" s="754"/>
      <c r="B42" s="75" t="s">
        <v>46</v>
      </c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7">AVERAGE(J38:J47)</f>
        <v>14</v>
      </c>
      <c r="K48" s="155">
        <f t="shared" si="37"/>
        <v>1305.3333333333333</v>
      </c>
      <c r="L48" s="158">
        <f t="shared" si="37"/>
        <v>95.645833333333329</v>
      </c>
      <c r="M48" s="155">
        <f t="shared" si="37"/>
        <v>12</v>
      </c>
      <c r="N48" s="155">
        <f t="shared" si="37"/>
        <v>1073.1569541569497</v>
      </c>
      <c r="O48" s="158">
        <f t="shared" si="37"/>
        <v>91.124893909508955</v>
      </c>
      <c r="P48" s="221">
        <f>M48-J48</f>
        <v>-2</v>
      </c>
      <c r="Q48" s="222">
        <f>N48-K48</f>
        <v>-232.17637917638353</v>
      </c>
      <c r="R48" s="223">
        <f>O48/L48</f>
        <v>0.95273250003407317</v>
      </c>
      <c r="S48" s="722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38">N48-K48</f>
        <v>-232.17637917638353</v>
      </c>
      <c r="AG48" s="162">
        <f t="shared" ref="AG48:AG53" si="39">N48/K48</f>
        <v>0.82213249807733635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900</v>
      </c>
      <c r="H49" s="134">
        <f>F49*G49</f>
        <v>51183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0">K49/J49</f>
        <v>86.944444444444443</v>
      </c>
      <c r="M49" s="170">
        <v>18</v>
      </c>
      <c r="N49" s="140">
        <f>G49/W49*60</f>
        <v>1459.45945945943</v>
      </c>
      <c r="O49" s="141">
        <f>N49/M49</f>
        <v>81.081081081079446</v>
      </c>
      <c r="P49" s="229">
        <f>M49-J49</f>
        <v>0</v>
      </c>
      <c r="Q49" s="230">
        <f>O49-L49</f>
        <v>-5.8633633633649964</v>
      </c>
      <c r="R49" s="52">
        <f>O49/L49</f>
        <v>0.93256195492615335</v>
      </c>
      <c r="S49" s="718">
        <f>R58</f>
        <v>0.90729282432114355</v>
      </c>
      <c r="T49" s="191">
        <v>0.29097222222222202</v>
      </c>
      <c r="U49" s="191">
        <v>0.31666666666666698</v>
      </c>
      <c r="V49" s="55"/>
      <c r="W49" s="193">
        <f t="shared" si="17"/>
        <v>37.000000000000746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38"/>
        <v>-105.54054054056996</v>
      </c>
      <c r="AG49" s="52">
        <f t="shared" si="39"/>
        <v>0.93256195492615335</v>
      </c>
      <c r="AH49" s="724">
        <f>AG58</f>
        <v>0.90725866842438263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2037</v>
      </c>
      <c r="H50" s="231">
        <f>F50*G50</f>
        <v>101666.67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0"/>
        <v>92.058823529411768</v>
      </c>
      <c r="M50" s="233">
        <v>17</v>
      </c>
      <c r="N50" s="234">
        <f>G50/W50*60</f>
        <v>1314.1935483871036</v>
      </c>
      <c r="O50" s="235">
        <f>N50/M50</f>
        <v>77.305502846300215</v>
      </c>
      <c r="P50" s="74">
        <f>M50-J50</f>
        <v>0</v>
      </c>
      <c r="Q50" s="83">
        <f>O50-L50</f>
        <v>-14.753320683111554</v>
      </c>
      <c r="R50" s="72">
        <f>O50/L50</f>
        <v>0.83974028650933141</v>
      </c>
      <c r="S50" s="719"/>
      <c r="T50" s="21">
        <v>0.32361111111111102</v>
      </c>
      <c r="U50" s="21">
        <v>0.38819444444444401</v>
      </c>
      <c r="V50" s="30">
        <f t="shared" ref="V50:V53" si="41">(T50-U49)*24*60</f>
        <v>9.9999999999994049</v>
      </c>
      <c r="W50" s="236">
        <f t="shared" si="17"/>
        <v>92.999999999999517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38"/>
        <v>-250.80645161289635</v>
      </c>
      <c r="AG50" s="72">
        <f t="shared" si="39"/>
        <v>0.83974028650933141</v>
      </c>
      <c r="AH50" s="725"/>
    </row>
    <row r="51" spans="1:34" ht="15" customHeight="1">
      <c r="A51" s="751"/>
      <c r="B51" s="75" t="s">
        <v>81</v>
      </c>
      <c r="C51" s="76"/>
      <c r="D51" s="59" t="s">
        <v>127</v>
      </c>
      <c r="E51" s="77"/>
      <c r="F51" s="75">
        <f>VLOOKUP(D51,廠價表!$C$1:$E$41,3,0)</f>
        <v>55.13</v>
      </c>
      <c r="G51" s="202">
        <v>1139</v>
      </c>
      <c r="H51" s="231">
        <f>F51*G51</f>
        <v>62793.07</v>
      </c>
      <c r="I51" s="232"/>
      <c r="J51" s="79">
        <f>VLOOKUP(D51,產線配置圖!$A$3:$C$39,2,0)</f>
        <v>17</v>
      </c>
      <c r="K51" s="80">
        <f>VLOOKUP(D51,產線配置圖!$A$3:$C$39,3,0)</f>
        <v>1385</v>
      </c>
      <c r="L51" s="81">
        <f t="shared" si="40"/>
        <v>81.470588235294116</v>
      </c>
      <c r="M51" s="233">
        <v>17</v>
      </c>
      <c r="N51" s="234">
        <f>G51/W51*60</f>
        <v>1366.7999999999677</v>
      </c>
      <c r="O51" s="235">
        <f>N51/M51</f>
        <v>80.399999999998101</v>
      </c>
      <c r="P51" s="74">
        <f>M51-J51</f>
        <v>0</v>
      </c>
      <c r="Q51" s="83">
        <f>O51-L51</f>
        <v>-1.0705882352960145</v>
      </c>
      <c r="R51" s="72">
        <f>O51/L51</f>
        <v>0.98685920577615005</v>
      </c>
      <c r="S51" s="719"/>
      <c r="T51" s="21">
        <v>0.39583333333333298</v>
      </c>
      <c r="U51" s="19">
        <v>0.43055555555555602</v>
      </c>
      <c r="V51" s="30">
        <f t="shared" si="41"/>
        <v>11.000000000000121</v>
      </c>
      <c r="W51" s="236">
        <f t="shared" si="17"/>
        <v>50.00000000000118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38"/>
        <v>-18.200000000032333</v>
      </c>
      <c r="AG51" s="72">
        <f t="shared" si="39"/>
        <v>0.98685920577614994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1391</v>
      </c>
      <c r="H52" s="231">
        <f t="shared" ref="H52:H53" si="42">F52*G52</f>
        <v>69508.27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ref="L52:L53" si="43">K52/J52</f>
        <v>88.888888888888886</v>
      </c>
      <c r="M52" s="233">
        <v>18</v>
      </c>
      <c r="N52" s="234">
        <f t="shared" ref="N52:N53" si="44">G52/W52*60</f>
        <v>1324.7619047619046</v>
      </c>
      <c r="O52" s="235">
        <f t="shared" ref="O52:O53" si="45">N52/M52</f>
        <v>73.597883597883595</v>
      </c>
      <c r="P52" s="74">
        <f t="shared" ref="P52:P53" si="46">M52-J52</f>
        <v>0</v>
      </c>
      <c r="Q52" s="83">
        <f t="shared" ref="Q52:Q53" si="47">O52-L52</f>
        <v>-15.291005291005291</v>
      </c>
      <c r="R52" s="72">
        <f t="shared" ref="R52:R53" si="48">O52/L52</f>
        <v>0.82797619047619042</v>
      </c>
      <c r="S52" s="719"/>
      <c r="T52" s="21">
        <v>0.43888888888888899</v>
      </c>
      <c r="U52" s="21">
        <v>0.48263888888888901</v>
      </c>
      <c r="V52" s="30">
        <f t="shared" si="41"/>
        <v>11.999999999999478</v>
      </c>
      <c r="W52" s="236">
        <f t="shared" si="17"/>
        <v>63.000000000000014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38"/>
        <v>-275.23809523809541</v>
      </c>
      <c r="AG52" s="72">
        <f t="shared" si="39"/>
        <v>0.82797619047619042</v>
      </c>
      <c r="AH52" s="725"/>
    </row>
    <row r="53" spans="1:34" ht="15" customHeight="1">
      <c r="A53" s="751"/>
      <c r="B53" s="101" t="s">
        <v>81</v>
      </c>
      <c r="C53" s="102"/>
      <c r="D53" s="103" t="s">
        <v>134</v>
      </c>
      <c r="E53" s="104"/>
      <c r="F53" s="75">
        <f>VLOOKUP(D53,廠價表!$C$1:$E$41,3,0)</f>
        <v>49.97</v>
      </c>
      <c r="G53" s="202">
        <v>2685</v>
      </c>
      <c r="H53" s="231">
        <f t="shared" si="42"/>
        <v>134169.44999999998</v>
      </c>
      <c r="I53" s="232"/>
      <c r="J53" s="79">
        <f>VLOOKUP(D53,產線配置圖!$A$3:$C$39,2,0)</f>
        <v>18</v>
      </c>
      <c r="K53" s="80">
        <f>VLOOKUP(D53,產線配置圖!$A$3:$C$39,3,0)</f>
        <v>1600</v>
      </c>
      <c r="L53" s="81">
        <f t="shared" si="43"/>
        <v>88.888888888888886</v>
      </c>
      <c r="M53" s="108">
        <v>18</v>
      </c>
      <c r="N53" s="234">
        <f t="shared" si="44"/>
        <v>1534.2857142857058</v>
      </c>
      <c r="O53" s="235">
        <f t="shared" si="45"/>
        <v>85.238095238094772</v>
      </c>
      <c r="P53" s="74">
        <f t="shared" si="46"/>
        <v>0</v>
      </c>
      <c r="Q53" s="83">
        <f t="shared" si="47"/>
        <v>-3.6507936507941139</v>
      </c>
      <c r="R53" s="72">
        <f t="shared" si="48"/>
        <v>0.95892857142856625</v>
      </c>
      <c r="S53" s="719"/>
      <c r="T53" s="21">
        <v>0.54513888888888895</v>
      </c>
      <c r="U53" s="21">
        <v>0.61805555555555602</v>
      </c>
      <c r="V53" s="30">
        <f t="shared" si="41"/>
        <v>89.999999999999915</v>
      </c>
      <c r="W53" s="236">
        <f t="shared" si="17"/>
        <v>105.00000000000058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38"/>
        <v>-65.714285714294192</v>
      </c>
      <c r="AG53" s="72">
        <f t="shared" si="39"/>
        <v>0.95892857142856613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9">AVERAGE(J49:J57)</f>
        <v>17.600000000000001</v>
      </c>
      <c r="K58" s="120">
        <f t="shared" si="49"/>
        <v>1543</v>
      </c>
      <c r="L58" s="117">
        <f t="shared" si="49"/>
        <v>87.650326797385631</v>
      </c>
      <c r="M58" s="120">
        <f t="shared" si="49"/>
        <v>17.600000000000001</v>
      </c>
      <c r="N58" s="120">
        <f t="shared" si="49"/>
        <v>1399.9001253788224</v>
      </c>
      <c r="O58" s="117">
        <f t="shared" si="49"/>
        <v>79.524512552671226</v>
      </c>
      <c r="P58" s="121">
        <f>M58-J58</f>
        <v>0</v>
      </c>
      <c r="Q58" s="122">
        <f>N58-K58</f>
        <v>-143.09987462117761</v>
      </c>
      <c r="R58" s="123">
        <f t="shared" ref="R58:R60" si="50">O58/L58</f>
        <v>0.90729282432114355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1">N58-K58</f>
        <v>-143.09987462117761</v>
      </c>
      <c r="AG58" s="124">
        <f t="shared" ref="AG58:AG61" si="52">N58/K58</f>
        <v>0.90725866842438263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3505</v>
      </c>
      <c r="H59" s="243">
        <f>F59*G59</f>
        <v>94599.95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3">K59/J59</f>
        <v>120.38461538461539</v>
      </c>
      <c r="M59" s="244">
        <v>11</v>
      </c>
      <c r="N59" s="137">
        <f t="shared" ref="N59:N61" si="54">G59/W59*60</f>
        <v>1314.3750000000016</v>
      </c>
      <c r="O59" s="138">
        <f t="shared" ref="O59:O61" si="55">N59/M59</f>
        <v>119.4886363636365</v>
      </c>
      <c r="P59" s="56">
        <f t="shared" ref="P59:P61" si="56">M59-J59</f>
        <v>-2</v>
      </c>
      <c r="Q59" s="230">
        <f t="shared" ref="Q59:Q61" si="57">O59-L59</f>
        <v>-0.89597902097888493</v>
      </c>
      <c r="R59" s="52">
        <f t="shared" si="50"/>
        <v>0.99255736276503159</v>
      </c>
      <c r="S59" s="718">
        <f>R69</f>
        <v>0.77836051790818661</v>
      </c>
      <c r="T59" s="245">
        <v>0.29513888888888901</v>
      </c>
      <c r="U59" s="245">
        <v>0.40625</v>
      </c>
      <c r="V59" s="55"/>
      <c r="W59" s="54">
        <f t="shared" si="17"/>
        <v>159.99999999999983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1"/>
        <v>-250.62499999999841</v>
      </c>
      <c r="AG59" s="246">
        <f t="shared" si="52"/>
        <v>0.83985623003194987</v>
      </c>
      <c r="AH59" s="724">
        <f>AG69</f>
        <v>0.69520234291799576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314</v>
      </c>
      <c r="H60" s="78">
        <f>F60*G60</f>
        <v>8939.58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11</v>
      </c>
      <c r="N60" s="80">
        <f t="shared" si="54"/>
        <v>753.60000000000514</v>
      </c>
      <c r="O60" s="81">
        <f t="shared" si="55"/>
        <v>68.50909090909137</v>
      </c>
      <c r="P60" s="74">
        <f t="shared" si="56"/>
        <v>-1</v>
      </c>
      <c r="Q60" s="83">
        <f t="shared" si="57"/>
        <v>-61.907575757575287</v>
      </c>
      <c r="R60" s="72">
        <f t="shared" si="50"/>
        <v>0.52530932326459845</v>
      </c>
      <c r="S60" s="768"/>
      <c r="T60" s="22">
        <v>0.40972222222222199</v>
      </c>
      <c r="U60" s="22">
        <v>0.42708333333333298</v>
      </c>
      <c r="V60" s="30">
        <f t="shared" ref="V60:V61" si="58">(T60-U59)*24*60</f>
        <v>4.9999999999996625</v>
      </c>
      <c r="W60" s="248">
        <f t="shared" si="17"/>
        <v>24.999999999999829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1"/>
        <v>-811.39999999999486</v>
      </c>
      <c r="AG60" s="249">
        <f t="shared" si="52"/>
        <v>0.48153354632588186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1495</v>
      </c>
      <c r="H61" s="254">
        <f>F61*G61</f>
        <v>42248.700000000004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11</v>
      </c>
      <c r="N61" s="107">
        <f t="shared" si="54"/>
        <v>1195.9999999999839</v>
      </c>
      <c r="O61" s="238">
        <f t="shared" si="55"/>
        <v>108.72727272727126</v>
      </c>
      <c r="P61" s="111">
        <f t="shared" si="56"/>
        <v>-1</v>
      </c>
      <c r="Q61" s="255">
        <f t="shared" si="57"/>
        <v>-21.689393939395401</v>
      </c>
      <c r="R61" s="85">
        <f>O61/L61</f>
        <v>0.83369154806853363</v>
      </c>
      <c r="S61" s="719"/>
      <c r="T61" s="22">
        <v>0.44097222222222199</v>
      </c>
      <c r="U61" s="22">
        <v>0.49305555555555602</v>
      </c>
      <c r="V61" s="30">
        <f t="shared" si="58"/>
        <v>20.000000000000171</v>
      </c>
      <c r="W61" s="256">
        <f t="shared" si="17"/>
        <v>75.000000000001009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1"/>
        <v>-369.00000000001614</v>
      </c>
      <c r="AG61" s="247">
        <f t="shared" si="52"/>
        <v>0.76421725239615579</v>
      </c>
      <c r="AH61" s="725"/>
    </row>
    <row r="62" spans="1:34" ht="15" customHeight="1">
      <c r="A62" s="76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19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0</v>
      </c>
      <c r="AG62" s="247" t="e">
        <f>N62/K62</f>
        <v>#DIV/0!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9">AVERAGE(J59:J68)</f>
        <v>12.333333333333334</v>
      </c>
      <c r="K69" s="240">
        <f t="shared" si="59"/>
        <v>1565</v>
      </c>
      <c r="L69" s="268">
        <f t="shared" si="59"/>
        <v>127.07264957264958</v>
      </c>
      <c r="M69" s="240">
        <f t="shared" si="59"/>
        <v>11</v>
      </c>
      <c r="N69" s="240">
        <f t="shared" si="59"/>
        <v>1087.9916666666634</v>
      </c>
      <c r="O69" s="268">
        <f t="shared" si="59"/>
        <v>98.908333333333033</v>
      </c>
      <c r="P69" s="269">
        <f>M69-J69</f>
        <v>-1.3333333333333339</v>
      </c>
      <c r="Q69" s="222">
        <f>N69-K69</f>
        <v>-477.00833333333662</v>
      </c>
      <c r="R69" s="123">
        <f>O69/L69</f>
        <v>0.77836051790818661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-477.00833333333662</v>
      </c>
      <c r="AG69" s="124">
        <f>N69/K69</f>
        <v>0.69520234291799576</v>
      </c>
      <c r="AH69" s="727"/>
    </row>
    <row r="70" spans="1:36" ht="15" customHeight="1">
      <c r="A70" s="760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718">
        <f>R79</f>
        <v>0</v>
      </c>
      <c r="T70" s="245"/>
      <c r="U70" s="245"/>
      <c r="V70" s="55"/>
      <c r="W70" s="54">
        <f t="shared" si="17"/>
        <v>0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0</v>
      </c>
      <c r="AG70" s="246" t="e">
        <f>N70/K70</f>
        <v>#DIV/0!</v>
      </c>
      <c r="AH70" s="724" t="e">
        <f>AG79</f>
        <v>#DIV/0!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P3:P4"/>
    <mergeCell ref="Q3:Q4"/>
    <mergeCell ref="R3:R4"/>
    <mergeCell ref="Z3:AA3"/>
    <mergeCell ref="D15:E15"/>
    <mergeCell ref="T3:U3"/>
    <mergeCell ref="V3:V4"/>
    <mergeCell ref="W3:W4"/>
    <mergeCell ref="X3:Y3"/>
    <mergeCell ref="AH3:AH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B15:AC15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09" priority="1" operator="greaterThan">
      <formula>0</formula>
    </cfRule>
  </conditionalFormatting>
  <conditionalFormatting sqref="Q5:Q79 AF5:AF79">
    <cfRule type="cellIs" dxfId="208" priority="4" operator="lessThan">
      <formula>0</formula>
    </cfRule>
  </conditionalFormatting>
  <conditionalFormatting sqref="R5:R79 AG5:AG79">
    <cfRule type="cellIs" dxfId="207" priority="2" operator="greaterThan">
      <formula>1</formula>
    </cfRule>
    <cfRule type="cellIs" dxfId="206" priority="3" operator="lessThan">
      <formula>0.8</formula>
    </cfRule>
  </conditionalFormatting>
  <conditionalFormatting sqref="S5:S10 S37:S62 AH59:AH62 S69:S76 AH69:AH76">
    <cfRule type="cellIs" dxfId="205" priority="7" operator="lessThan">
      <formula>0.8</formula>
    </cfRule>
  </conditionalFormatting>
  <conditionalFormatting sqref="S19:S25 AH19:AH25">
    <cfRule type="cellIs" dxfId="204" priority="6" operator="lessThan">
      <formula>0.8</formula>
    </cfRule>
  </conditionalFormatting>
  <conditionalFormatting sqref="S79">
    <cfRule type="cellIs" dxfId="203" priority="5" operator="lessThan">
      <formula>0.8</formula>
    </cfRule>
  </conditionalFormatting>
  <conditionalFormatting sqref="AH5:AH8 S15:S16 AH15:AH16 AH49 AH79">
    <cfRule type="cellIs" dxfId="202" priority="9" operator="lessThan">
      <formula>0.8</formula>
    </cfRule>
  </conditionalFormatting>
  <conditionalFormatting sqref="AH27 S27:S28">
    <cfRule type="cellIs" dxfId="20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C312EA-65D0-4CC3-A44B-DA163A7DBF8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AE84-994A-4B11-9082-D45BC45075A6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46039</v>
      </c>
      <c r="E3" s="645"/>
      <c r="F3" s="3" t="s">
        <v>72</v>
      </c>
      <c r="G3" s="646">
        <f>'0117'!E1</f>
        <v>45067</v>
      </c>
      <c r="H3" s="646"/>
      <c r="I3" s="3" t="s">
        <v>2</v>
      </c>
      <c r="J3" s="647">
        <f>'0117'!G1</f>
        <v>2159693.6300000008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113.88249584021644</v>
      </c>
      <c r="G6" s="652"/>
      <c r="H6" s="653">
        <f>AVERAGE(D13:H13,J13)</f>
        <v>111.37822577749048</v>
      </c>
      <c r="I6" s="653"/>
      <c r="J6" s="653">
        <f>AVERAGE(I13)</f>
        <v>126.40384615384615</v>
      </c>
      <c r="K6" s="653"/>
      <c r="L6" s="769">
        <f>SUM(D18:J18)</f>
        <v>1</v>
      </c>
      <c r="M6" s="656">
        <f>SUM(D19:J19)</f>
        <v>20</v>
      </c>
      <c r="N6" s="771">
        <f>SUM(D20:J20)</f>
        <v>1</v>
      </c>
      <c r="O6" s="656">
        <f>SUM(D20:J20)</f>
        <v>1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102.35001101182648</v>
      </c>
      <c r="G7" s="676"/>
      <c r="H7" s="677">
        <f>AVERAGE(D14:H14,J14)</f>
        <v>103.14073982510006</v>
      </c>
      <c r="I7" s="677"/>
      <c r="J7" s="677">
        <f>AVERAGE(I14)</f>
        <v>98.396366945458524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0.8987334731004607</v>
      </c>
      <c r="G8" s="649"/>
      <c r="H8" s="649">
        <f>H7/H6</f>
        <v>0.92604042760703387</v>
      </c>
      <c r="I8" s="649"/>
      <c r="J8" s="649">
        <f>J7/J6</f>
        <v>0.77842858377663826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VALUE('0117'!L15)</f>
        <v>126.55462184873952</v>
      </c>
      <c r="E13" s="13">
        <f>VALUE('0117'!L26)</f>
        <v>162.27564102564102</v>
      </c>
      <c r="F13" s="13">
        <f>VALUE('0117'!L37)</f>
        <v>84.764705882352928</v>
      </c>
      <c r="G13" s="13">
        <f>VALUE('0117'!L48)</f>
        <v>95.645833333333329</v>
      </c>
      <c r="H13" s="13">
        <f>VALUE('0117'!L58)</f>
        <v>87.650326797385631</v>
      </c>
      <c r="I13" s="13">
        <f>VALUE('0117'!L69)</f>
        <v>126.40384615384615</v>
      </c>
      <c r="J13" s="13"/>
    </row>
    <row r="14" spans="2:15" ht="39.950000000000003" customHeight="1">
      <c r="B14" s="670"/>
      <c r="C14" s="12" t="s">
        <v>100</v>
      </c>
      <c r="D14" s="13">
        <f>VALUE('0117'!O15)</f>
        <v>120.51690476190484</v>
      </c>
      <c r="E14" s="13">
        <f>VALUE('0117'!O26)</f>
        <v>150.88175784813092</v>
      </c>
      <c r="F14" s="13">
        <f>VALUE('0117'!O37)</f>
        <v>72.987616358553694</v>
      </c>
      <c r="G14" s="13">
        <f>VALUE('0117'!O48)</f>
        <v>88.09984073897094</v>
      </c>
      <c r="H14" s="13">
        <f>VALUE('0117'!O58)</f>
        <v>83.217579417939888</v>
      </c>
      <c r="I14" s="13">
        <f>VALUE('0117'!O69)</f>
        <v>98.396366945458524</v>
      </c>
      <c r="J14" s="13"/>
    </row>
    <row r="15" spans="2:15" ht="39.950000000000003" customHeight="1">
      <c r="B15" s="671"/>
      <c r="C15" s="10" t="s">
        <v>26</v>
      </c>
      <c r="D15" s="14">
        <f>D14/D13</f>
        <v>0.95229161133244844</v>
      </c>
      <c r="E15" s="14">
        <f t="shared" ref="E15:I15" si="1">E14/E13</f>
        <v>0.92978685460432253</v>
      </c>
      <c r="F15" s="14">
        <f t="shared" si="1"/>
        <v>0.86106140048259061</v>
      </c>
      <c r="G15" s="14">
        <f t="shared" si="1"/>
        <v>0.92110484763027778</v>
      </c>
      <c r="H15" s="14">
        <f t="shared" si="1"/>
        <v>0.9494269155471311</v>
      </c>
      <c r="I15" s="14">
        <f t="shared" si="1"/>
        <v>0.77842858377663826</v>
      </c>
      <c r="J15" s="15"/>
    </row>
    <row r="16" spans="2:15" ht="17.25" customHeight="1">
      <c r="B16" s="672" t="s">
        <v>101</v>
      </c>
      <c r="C16" s="10" t="s">
        <v>34</v>
      </c>
      <c r="D16" s="16">
        <f>'0117'!T5</f>
        <v>0.29027777777777802</v>
      </c>
      <c r="E16" s="16">
        <f>'0117'!T16</f>
        <v>0.29027777777777802</v>
      </c>
      <c r="F16" s="16">
        <f>'0117'!T27</f>
        <v>0.29027777777777802</v>
      </c>
      <c r="G16" s="16">
        <f>'0117'!T38</f>
        <v>0.33333333333333298</v>
      </c>
      <c r="H16" s="16">
        <f>'0117'!T49</f>
        <v>0.29166666666666702</v>
      </c>
      <c r="I16" s="16">
        <f>'0117'!T59</f>
        <v>0.29166666666666702</v>
      </c>
      <c r="J16" s="17"/>
    </row>
    <row r="17" spans="2:10" ht="17.25" customHeight="1">
      <c r="B17" s="673"/>
      <c r="C17" s="10" t="s">
        <v>35</v>
      </c>
      <c r="D17" s="16">
        <v>0.57152777777777797</v>
      </c>
      <c r="E17" s="19">
        <v>0.57361111111111096</v>
      </c>
      <c r="F17" s="19">
        <v>0.69097222222222199</v>
      </c>
      <c r="G17" s="20">
        <v>0.50833333333333297</v>
      </c>
      <c r="H17" s="21">
        <v>0.61250000000000004</v>
      </c>
      <c r="I17" s="22">
        <v>0.62847222222222199</v>
      </c>
      <c r="J17" s="22"/>
    </row>
    <row r="18" spans="2:10" ht="17.25" customHeight="1">
      <c r="B18" s="674" t="s">
        <v>102</v>
      </c>
      <c r="C18" s="330" t="s">
        <v>36</v>
      </c>
      <c r="D18" s="358">
        <f>'0117'!Z15</f>
        <v>0</v>
      </c>
      <c r="E18" s="359">
        <f>'0117'!Z26</f>
        <v>0</v>
      </c>
      <c r="F18" s="359">
        <f>'0117'!Z37</f>
        <v>1</v>
      </c>
      <c r="G18" s="360">
        <f>'0117'!Z48</f>
        <v>0</v>
      </c>
      <c r="H18" s="360">
        <f>'0117'!Z58</f>
        <v>0</v>
      </c>
      <c r="I18" s="359">
        <f>'0117'!Z69</f>
        <v>0</v>
      </c>
      <c r="J18" s="359"/>
    </row>
    <row r="19" spans="2:10" ht="17.25" customHeight="1">
      <c r="B19" s="675"/>
      <c r="C19" s="330" t="s">
        <v>37</v>
      </c>
      <c r="D19" s="358">
        <f>'0117'!AA15</f>
        <v>0</v>
      </c>
      <c r="E19" s="359">
        <f>'0117'!AA26</f>
        <v>0</v>
      </c>
      <c r="F19" s="359">
        <f>'0117'!AA37</f>
        <v>20</v>
      </c>
      <c r="G19" s="360">
        <f>'0117'!AA48</f>
        <v>0</v>
      </c>
      <c r="H19" s="360">
        <f>'0117'!AA58</f>
        <v>0</v>
      </c>
      <c r="I19" s="359">
        <f>'0117'!AA69</f>
        <v>0</v>
      </c>
      <c r="J19" s="359"/>
    </row>
    <row r="20" spans="2:10" ht="17.25" customHeight="1">
      <c r="B20" s="674" t="s">
        <v>103</v>
      </c>
      <c r="C20" s="330" t="s">
        <v>36</v>
      </c>
      <c r="D20" s="358">
        <f>'0117'!AD15</f>
        <v>0</v>
      </c>
      <c r="E20" s="359">
        <f>'0117'!AD26</f>
        <v>1</v>
      </c>
      <c r="F20" s="359">
        <f>'0117'!AD37</f>
        <v>0</v>
      </c>
      <c r="G20" s="360">
        <f>'0117'!AD48</f>
        <v>0</v>
      </c>
      <c r="H20" s="360">
        <f>'0117'!AD58</f>
        <v>0</v>
      </c>
      <c r="I20" s="359">
        <f>'0117'!AD69</f>
        <v>0</v>
      </c>
      <c r="J20" s="359"/>
    </row>
    <row r="21" spans="2:10" ht="17.25" customHeight="1">
      <c r="B21" s="675"/>
      <c r="C21" s="330" t="s">
        <v>85</v>
      </c>
      <c r="D21" s="358">
        <f>'0117'!AE15</f>
        <v>0</v>
      </c>
      <c r="E21" s="359">
        <f>'0117'!AE26</f>
        <v>1</v>
      </c>
      <c r="F21" s="359">
        <f>'0108'!AE37</f>
        <v>0</v>
      </c>
      <c r="G21" s="360">
        <f>'0117'!AE48</f>
        <v>0</v>
      </c>
      <c r="H21" s="360">
        <f>'0117'!AE58</f>
        <v>0</v>
      </c>
      <c r="I21" s="359">
        <f>'0117'!AE69</f>
        <v>0</v>
      </c>
      <c r="J21" s="359"/>
    </row>
    <row r="22" spans="2:10" ht="17.25" customHeight="1">
      <c r="B22" s="658" t="s">
        <v>104</v>
      </c>
      <c r="C22" s="659"/>
      <c r="D22" s="23">
        <f>VALUE('0117'!M15)</f>
        <v>14.25</v>
      </c>
      <c r="E22" s="23">
        <f>VALUE('0117'!M26)</f>
        <v>12.75</v>
      </c>
      <c r="F22" s="23">
        <f>VALUE('0117'!M37)</f>
        <v>16</v>
      </c>
      <c r="G22" s="23">
        <f>VALUE('0117'!M48)</f>
        <v>12.333333333333334</v>
      </c>
      <c r="H22" s="23">
        <f>VALUE('0117'!M58)</f>
        <v>17.399999999999999</v>
      </c>
      <c r="I22" s="23">
        <f>VALUE('0117'!M69)</f>
        <v>11.2</v>
      </c>
      <c r="J22" s="23"/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21AE-B3E8-4371-B624-7F2895F382B4}">
  <sheetPr>
    <tabColor theme="9" tint="0.79998168889431442"/>
  </sheetPr>
  <dimension ref="A1:AJ92"/>
  <sheetViews>
    <sheetView zoomScale="69" zoomScaleNormal="69" workbookViewId="0">
      <pane xSplit="5" ySplit="4" topLeftCell="F56" activePane="bottomRight" state="frozen"/>
      <selection activeCell="U8" sqref="U8"/>
      <selection pane="topRight" activeCell="U8" sqref="U8"/>
      <selection pane="bottomLeft" activeCell="U8" sqref="U8"/>
      <selection pane="bottomRight" activeCell="J78" sqref="J78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45067</v>
      </c>
      <c r="F1" s="30" t="s">
        <v>2</v>
      </c>
      <c r="G1" s="31">
        <f>SUM(H5:H79)</f>
        <v>2159693.6300000008</v>
      </c>
      <c r="H1" s="32" t="s">
        <v>3</v>
      </c>
      <c r="I1" s="33">
        <f>M15+M26+M48+M58+M69+M79+M37</f>
        <v>83.933333333333337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184</v>
      </c>
      <c r="B2" s="678"/>
      <c r="C2" s="28"/>
      <c r="D2" s="28" t="s">
        <v>14</v>
      </c>
      <c r="E2" s="35">
        <f>AVERAGE(O15,O26,O37,O48,O58,O69,O79)</f>
        <v>102.35001101182648</v>
      </c>
      <c r="F2" s="36" t="s">
        <v>15</v>
      </c>
      <c r="G2" s="37">
        <f>G1/E1</f>
        <v>47.92184148046244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20</v>
      </c>
      <c r="AB2" s="684"/>
      <c r="AC2" s="684"/>
      <c r="AD2" s="340">
        <f>AD15+AD26+AD37+AD48+AD58+AD69+AD79</f>
        <v>1</v>
      </c>
      <c r="AE2" s="340">
        <f>AE15+AE26+AE37+AE48+AE58+AE69+AE79</f>
        <v>1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2398</v>
      </c>
      <c r="H5" s="43">
        <f>F5*G5</f>
        <v>114408.58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1438.8000000000097</v>
      </c>
      <c r="O5" s="47">
        <f t="shared" ref="O5:O7" si="2">N5/M5</f>
        <v>102.77142857142927</v>
      </c>
      <c r="P5" s="49">
        <f t="shared" ref="P5:P7" si="3">M5-J5</f>
        <v>0</v>
      </c>
      <c r="Q5" s="50">
        <f t="shared" ref="Q5:Q7" si="4">O5-L5</f>
        <v>-8.5714285713592631E-2</v>
      </c>
      <c r="R5" s="51">
        <f t="shared" ref="R5:R7" si="5">O5/L5</f>
        <v>0.99916666666667342</v>
      </c>
      <c r="S5" s="718">
        <f>R15</f>
        <v>0.95229161133244844</v>
      </c>
      <c r="T5" s="319">
        <v>0.29027777777777802</v>
      </c>
      <c r="U5" s="320">
        <v>0.359722222222222</v>
      </c>
      <c r="V5" s="53"/>
      <c r="W5" s="54">
        <f t="shared" ref="W5:W14" si="6">(U5-T5)*24*60</f>
        <v>99.999999999999318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-1.1999999999902684</v>
      </c>
      <c r="AG5" s="52">
        <f t="shared" ref="AG5:AG11" si="8">N5/K5</f>
        <v>0.99916666666667342</v>
      </c>
      <c r="AH5" s="724">
        <f>AG15</f>
        <v>0.92210573476702562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1394</v>
      </c>
      <c r="H6" s="63">
        <f>F6*G6</f>
        <v>79750.740000000005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15</v>
      </c>
      <c r="N6" s="66">
        <f t="shared" si="1"/>
        <v>1672.8000000000116</v>
      </c>
      <c r="O6" s="67">
        <f t="shared" si="2"/>
        <v>111.52000000000076</v>
      </c>
      <c r="P6" s="69">
        <f t="shared" si="3"/>
        <v>-2</v>
      </c>
      <c r="Q6" s="70">
        <f t="shared" si="4"/>
        <v>-6.1270588235286425</v>
      </c>
      <c r="R6" s="71">
        <f t="shared" si="5"/>
        <v>0.94792000000000654</v>
      </c>
      <c r="S6" s="719"/>
      <c r="T6" s="16">
        <v>0.36805555555555602</v>
      </c>
      <c r="U6" s="16">
        <v>0.40277777777777801</v>
      </c>
      <c r="V6" s="30">
        <f>(T6-U5)*24*60</f>
        <v>12.000000000000997</v>
      </c>
      <c r="W6" s="73">
        <f t="shared" si="6"/>
        <v>49.999999999999659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-327.19999999998845</v>
      </c>
      <c r="AG6" s="72">
        <f t="shared" si="8"/>
        <v>0.83640000000000581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3217</v>
      </c>
      <c r="H7" s="78">
        <f>F7*G7</f>
        <v>158083.38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1930.1999999999839</v>
      </c>
      <c r="O7" s="81">
        <f t="shared" si="2"/>
        <v>137.87142857142743</v>
      </c>
      <c r="P7" s="74">
        <f t="shared" si="3"/>
        <v>0</v>
      </c>
      <c r="Q7" s="83">
        <f t="shared" si="4"/>
        <v>-4.9857142857154315</v>
      </c>
      <c r="R7" s="72">
        <f t="shared" si="5"/>
        <v>0.96509999999999196</v>
      </c>
      <c r="S7" s="719"/>
      <c r="T7" s="18">
        <v>0.40833333333333299</v>
      </c>
      <c r="U7" s="18">
        <v>0.47777777777777802</v>
      </c>
      <c r="V7" s="30">
        <f>(T7-U6)*24*60</f>
        <v>7.9999999999991722</v>
      </c>
      <c r="W7" s="73">
        <f t="shared" si="6"/>
        <v>100.00000000000084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-69.800000000016098</v>
      </c>
      <c r="AG7" s="72">
        <f t="shared" si="8"/>
        <v>0.96509999999999196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1364</v>
      </c>
      <c r="H8" s="78">
        <f>F8*G8</f>
        <v>67026.960000000006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1818.6666666666665</v>
      </c>
      <c r="O8" s="81">
        <f>N8/M8</f>
        <v>129.9047619047619</v>
      </c>
      <c r="P8" s="74">
        <f>M8-J8</f>
        <v>0</v>
      </c>
      <c r="Q8" s="83">
        <f>O8-L8</f>
        <v>-12.952380952380963</v>
      </c>
      <c r="R8" s="72">
        <f>O8/L8</f>
        <v>0.90933333333333322</v>
      </c>
      <c r="S8" s="719"/>
      <c r="T8" s="16">
        <v>0.54027777777777797</v>
      </c>
      <c r="U8" s="16">
        <v>0.57152777777777797</v>
      </c>
      <c r="V8" s="30"/>
      <c r="W8" s="73">
        <f t="shared" si="6"/>
        <v>45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-181.33333333333348</v>
      </c>
      <c r="AG8" s="72">
        <f t="shared" si="8"/>
        <v>0.90933333333333322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14.25</v>
      </c>
      <c r="N15" s="120">
        <f t="shared" si="9"/>
        <v>1715.1166666666677</v>
      </c>
      <c r="O15" s="117">
        <f t="shared" si="9"/>
        <v>120.51690476190484</v>
      </c>
      <c r="P15" s="121">
        <f t="shared" ref="P15:P18" si="10">M15-J15</f>
        <v>-0.5</v>
      </c>
      <c r="Q15" s="122">
        <f t="shared" ref="Q15:Q18" si="11">O15-L15</f>
        <v>-6.0377170868346752</v>
      </c>
      <c r="R15" s="123">
        <f t="shared" ref="R15:R18" si="12">O15/L15</f>
        <v>0.95229161133244844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-144.8833333333323</v>
      </c>
      <c r="AG15" s="124">
        <f t="shared" ref="AG15:AG19" si="14">N15/K15</f>
        <v>0.92210573476702562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2093</v>
      </c>
      <c r="H16" s="134">
        <f>F16*G16</f>
        <v>119740.53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1962.1875000000218</v>
      </c>
      <c r="O16" s="141">
        <f>N16/M16</f>
        <v>140.15625000000156</v>
      </c>
      <c r="P16" s="142">
        <f>M16-J16</f>
        <v>1</v>
      </c>
      <c r="Q16" s="143">
        <f t="shared" si="11"/>
        <v>-21.766826923075371</v>
      </c>
      <c r="R16" s="144">
        <f>O16/L16</f>
        <v>0.86557304038005711</v>
      </c>
      <c r="S16" s="734">
        <f>R26</f>
        <v>0.92978685460432253</v>
      </c>
      <c r="T16" s="145">
        <v>0.29027777777777802</v>
      </c>
      <c r="U16" s="145">
        <v>0.33472222222222198</v>
      </c>
      <c r="V16" s="135"/>
      <c r="W16" s="146">
        <f t="shared" ref="W16:W78" si="17">(U16-T16)*24*60</f>
        <v>63.999999999999289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-142.81249999997817</v>
      </c>
      <c r="AG16" s="52">
        <f t="shared" si="14"/>
        <v>0.93215558194775383</v>
      </c>
      <c r="AH16" s="724">
        <f>AG26</f>
        <v>0.94709479460539436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3294</v>
      </c>
      <c r="H17" s="78">
        <f>F17*G17</f>
        <v>166906.98000000001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1996.3636363636369</v>
      </c>
      <c r="O17" s="96">
        <f t="shared" ref="O17:O18" si="18">N17/M17</f>
        <v>153.5664335664336</v>
      </c>
      <c r="P17" s="97">
        <f t="shared" si="10"/>
        <v>0</v>
      </c>
      <c r="Q17" s="98">
        <f t="shared" si="11"/>
        <v>-0.27972027972023739</v>
      </c>
      <c r="R17" s="99">
        <f t="shared" si="12"/>
        <v>0.9981818181818185</v>
      </c>
      <c r="S17" s="735"/>
      <c r="T17" s="19">
        <v>0.343055555555556</v>
      </c>
      <c r="U17" s="19">
        <v>0.41180555555555598</v>
      </c>
      <c r="V17" s="30">
        <f>(T17-U16)*24*60</f>
        <v>12.000000000000997</v>
      </c>
      <c r="W17" s="149">
        <f t="shared" si="17"/>
        <v>98.999999999999972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-3.6363636363630576</v>
      </c>
      <c r="AG17" s="72">
        <f t="shared" si="14"/>
        <v>0.9981818181818185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2652</v>
      </c>
      <c r="H18" s="78">
        <f>F18*G18</f>
        <v>133634.28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1871.9999999999925</v>
      </c>
      <c r="O18" s="96">
        <f t="shared" si="18"/>
        <v>155.99999999999937</v>
      </c>
      <c r="P18" s="97">
        <f t="shared" si="10"/>
        <v>0</v>
      </c>
      <c r="Q18" s="98">
        <f t="shared" si="11"/>
        <v>-10.666666666667282</v>
      </c>
      <c r="R18" s="99">
        <f t="shared" si="12"/>
        <v>0.93599999999999628</v>
      </c>
      <c r="S18" s="735"/>
      <c r="T18" s="19">
        <v>0.42013888888888901</v>
      </c>
      <c r="U18" s="19">
        <v>0.47916666666666702</v>
      </c>
      <c r="V18" s="30">
        <f>(T18-U17)*24*60</f>
        <v>11.999999999999558</v>
      </c>
      <c r="W18" s="149">
        <f t="shared" si="17"/>
        <v>85.000000000000341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-128.0000000000075</v>
      </c>
      <c r="AG18" s="72">
        <f t="shared" si="14"/>
        <v>0.93599999999999628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1415</v>
      </c>
      <c r="H19" s="78">
        <f>F19*G19</f>
        <v>71301.850000000006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1845.6521739130692</v>
      </c>
      <c r="O19" s="96">
        <f>N19/M19</f>
        <v>153.8043478260891</v>
      </c>
      <c r="P19" s="97">
        <f>M19-J19</f>
        <v>0</v>
      </c>
      <c r="Q19" s="98">
        <f>O19-L19</f>
        <v>-12.862318840577558</v>
      </c>
      <c r="R19" s="99">
        <f>O19/L19</f>
        <v>0.92282608695653467</v>
      </c>
      <c r="S19" s="735"/>
      <c r="T19" s="19">
        <v>0.54166666666666696</v>
      </c>
      <c r="U19" s="19">
        <v>0.57361111111111096</v>
      </c>
      <c r="V19" s="30">
        <f>(T19-U18)*24*60</f>
        <v>89.999999999999915</v>
      </c>
      <c r="W19" s="149">
        <f t="shared" si="17"/>
        <v>45.999999999999361</v>
      </c>
      <c r="X19" s="22"/>
      <c r="Y19" s="84"/>
      <c r="Z19" s="90"/>
      <c r="AA19" s="90"/>
      <c r="AB19" s="728" t="s">
        <v>159</v>
      </c>
      <c r="AC19" s="728"/>
      <c r="AD19" s="149">
        <v>1</v>
      </c>
      <c r="AE19" s="149">
        <v>1</v>
      </c>
      <c r="AF19" s="307">
        <f t="shared" si="13"/>
        <v>-154.34782608693081</v>
      </c>
      <c r="AG19" s="72">
        <f t="shared" si="14"/>
        <v>0.92282608695653456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1919.0508275691802</v>
      </c>
      <c r="O26" s="158">
        <f t="shared" si="20"/>
        <v>150.88175784813092</v>
      </c>
      <c r="P26" s="159">
        <f t="shared" ref="P26:P29" si="21">M26-J26</f>
        <v>0.25</v>
      </c>
      <c r="Q26" s="160">
        <f t="shared" ref="Q26:Q29" si="22">O26-L26</f>
        <v>-11.393883177510105</v>
      </c>
      <c r="R26" s="161">
        <f>O26/L26</f>
        <v>0.92978685460432253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1</v>
      </c>
      <c r="AE26" s="323">
        <f>SUM(AE16:AE25)</f>
        <v>1</v>
      </c>
      <c r="AF26" s="309">
        <f t="shared" ref="AF26:AF31" si="23">N26-K26</f>
        <v>-107.19917243081977</v>
      </c>
      <c r="AG26" s="124">
        <f t="shared" ref="AG26:AG31" si="24">N26/K26</f>
        <v>0.94709479460539436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1671</v>
      </c>
      <c r="H27" s="134">
        <f>F27*G27</f>
        <v>95748.299999999988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17</v>
      </c>
      <c r="N27" s="140">
        <f>G27/W27*60</f>
        <v>1496.4179104477539</v>
      </c>
      <c r="O27" s="141">
        <f>N27/M27</f>
        <v>88.024582967514931</v>
      </c>
      <c r="P27" s="142">
        <f t="shared" si="21"/>
        <v>0</v>
      </c>
      <c r="Q27" s="143">
        <f t="shared" si="22"/>
        <v>-0.21071115013212705</v>
      </c>
      <c r="R27" s="144">
        <f>O27/L27</f>
        <v>0.99761194029850253</v>
      </c>
      <c r="S27" s="734">
        <f>R37</f>
        <v>0.86106140048259061</v>
      </c>
      <c r="T27" s="171">
        <v>0.29027777777777802</v>
      </c>
      <c r="U27" s="171">
        <v>0.33680555555555602</v>
      </c>
      <c r="V27" s="135"/>
      <c r="W27" s="146">
        <f t="shared" si="17"/>
        <v>67.000000000000327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-3.5820895522460887</v>
      </c>
      <c r="AG27" s="172">
        <f t="shared" si="24"/>
        <v>0.99761194029850264</v>
      </c>
      <c r="AH27" s="724">
        <f>AG37</f>
        <v>0.81531958912460922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896</v>
      </c>
      <c r="H28" s="91">
        <f>F28*G28</f>
        <v>49396.480000000003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15</v>
      </c>
      <c r="N28" s="95">
        <f>G28/W28*60</f>
        <v>1054.1176470588439</v>
      </c>
      <c r="O28" s="96">
        <f>N28/M28</f>
        <v>70.274509803922925</v>
      </c>
      <c r="P28" s="97">
        <f t="shared" si="21"/>
        <v>-2</v>
      </c>
      <c r="Q28" s="98">
        <f t="shared" si="22"/>
        <v>-11.196078431371191</v>
      </c>
      <c r="R28" s="99">
        <f t="shared" ref="R28:R29" si="26">O28/L28</f>
        <v>0.86257521058966768</v>
      </c>
      <c r="S28" s="735"/>
      <c r="T28" s="19">
        <v>0.34166666666666701</v>
      </c>
      <c r="U28" s="19">
        <v>0.37708333333333299</v>
      </c>
      <c r="V28" s="92">
        <f>(T28-U27)*24*60</f>
        <v>6.9999999999998153</v>
      </c>
      <c r="W28" s="149">
        <f t="shared" si="17"/>
        <v>50.999999999999019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-330.88235294115611</v>
      </c>
      <c r="AG28" s="99">
        <f t="shared" si="24"/>
        <v>0.76109577404970674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1964</v>
      </c>
      <c r="H29" s="91">
        <f>F29*G29</f>
        <v>97257.280000000013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16</v>
      </c>
      <c r="N29" s="95">
        <f>G29/W29*60</f>
        <v>1214.8453608247255</v>
      </c>
      <c r="O29" s="96">
        <f>N29/M29</f>
        <v>75.927835051545344</v>
      </c>
      <c r="P29" s="97">
        <f t="shared" si="21"/>
        <v>-1</v>
      </c>
      <c r="Q29" s="98">
        <f t="shared" si="22"/>
        <v>-8.77804730139583</v>
      </c>
      <c r="R29" s="99">
        <f t="shared" si="26"/>
        <v>0.89637027491407706</v>
      </c>
      <c r="S29" s="735"/>
      <c r="T29" s="19">
        <v>0.38194444444444398</v>
      </c>
      <c r="U29" s="19">
        <v>0.44930555555555601</v>
      </c>
      <c r="V29" s="92">
        <f>(T29-U28)*24*60</f>
        <v>6.9999999999998153</v>
      </c>
      <c r="W29" s="149">
        <f t="shared" si="17"/>
        <v>97.000000000001336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-225.1546391752745</v>
      </c>
      <c r="AG29" s="99">
        <f t="shared" si="24"/>
        <v>0.84364261168383714</v>
      </c>
      <c r="AH29" s="744"/>
    </row>
    <row r="30" spans="1:34" ht="15" customHeight="1">
      <c r="A30" s="732"/>
      <c r="B30" s="75" t="s">
        <v>117</v>
      </c>
      <c r="C30" s="88"/>
      <c r="D30" s="59" t="s">
        <v>118</v>
      </c>
      <c r="E30" s="89"/>
      <c r="F30" s="75">
        <f>VLOOKUP(D30,廠價表!$C$1:$E$41,3,0)</f>
        <v>44.3</v>
      </c>
      <c r="G30" s="90">
        <v>1576</v>
      </c>
      <c r="H30" s="91">
        <f t="shared" ref="H30:H31" si="27">F30*G30</f>
        <v>69816.799999999988</v>
      </c>
      <c r="I30" s="92"/>
      <c r="J30" s="79">
        <v>17</v>
      </c>
      <c r="K30" s="80">
        <f>VLOOKUP(D30,產線配置圖!$A$3:$C$39,3,0)</f>
        <v>1440</v>
      </c>
      <c r="L30" s="93">
        <f t="shared" ref="L30:L31" si="28">K30/J30</f>
        <v>84.705882352941174</v>
      </c>
      <c r="M30" s="94">
        <v>17</v>
      </c>
      <c r="N30" s="95">
        <f t="shared" ref="N30:N31" si="29">G30/W30*60</f>
        <v>1260.8000000000086</v>
      </c>
      <c r="O30" s="96">
        <f t="shared" ref="O30:O31" si="30">N30/M30</f>
        <v>74.164705882353445</v>
      </c>
      <c r="P30" s="97">
        <f t="shared" ref="P30:P31" si="31">M30-J30</f>
        <v>0</v>
      </c>
      <c r="Q30" s="98">
        <f t="shared" ref="Q30:Q31" si="32">O30-L30</f>
        <v>-10.541176470587729</v>
      </c>
      <c r="R30" s="99">
        <f t="shared" ref="R30:R31" si="33">O30/L30</f>
        <v>0.87555555555556153</v>
      </c>
      <c r="S30" s="735"/>
      <c r="T30" s="19">
        <v>0.45486111111111099</v>
      </c>
      <c r="U30" s="19">
        <v>0.50694444444444398</v>
      </c>
      <c r="V30" s="92">
        <f>(T30-U29)*24*60</f>
        <v>7.9999999999991722</v>
      </c>
      <c r="W30" s="149">
        <f t="shared" si="17"/>
        <v>74.999999999999488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-179.19999999999141</v>
      </c>
      <c r="AG30" s="99">
        <f t="shared" si="24"/>
        <v>0.87555555555556153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2587</v>
      </c>
      <c r="H31" s="91">
        <f t="shared" si="27"/>
        <v>114604.09999999999</v>
      </c>
      <c r="I31" s="92"/>
      <c r="J31" s="79">
        <v>17</v>
      </c>
      <c r="K31" s="80">
        <f>VLOOKUP(D31,產線配置圖!$A$3:$C$39,3,0)</f>
        <v>1440</v>
      </c>
      <c r="L31" s="93">
        <f t="shared" si="28"/>
        <v>84.705882352941174</v>
      </c>
      <c r="M31" s="94">
        <v>15</v>
      </c>
      <c r="N31" s="95">
        <f t="shared" si="29"/>
        <v>848.19672131147763</v>
      </c>
      <c r="O31" s="96">
        <f t="shared" si="30"/>
        <v>56.546448087431841</v>
      </c>
      <c r="P31" s="97">
        <f t="shared" si="31"/>
        <v>-2</v>
      </c>
      <c r="Q31" s="98">
        <f t="shared" si="32"/>
        <v>-28.159434265509333</v>
      </c>
      <c r="R31" s="99">
        <f t="shared" si="33"/>
        <v>0.66756223436551476</v>
      </c>
      <c r="S31" s="735"/>
      <c r="T31" s="19">
        <v>0.56388888888888899</v>
      </c>
      <c r="U31" s="19">
        <v>0.69097222222222199</v>
      </c>
      <c r="V31" s="92">
        <f>(T31-U30)*24*60</f>
        <v>82.000000000000824</v>
      </c>
      <c r="W31" s="149">
        <f t="shared" si="17"/>
        <v>182.99999999999952</v>
      </c>
      <c r="X31" s="174"/>
      <c r="Y31" s="301"/>
      <c r="Z31" s="335">
        <v>1</v>
      </c>
      <c r="AA31" s="335">
        <v>20</v>
      </c>
      <c r="AB31" s="713" t="s">
        <v>142</v>
      </c>
      <c r="AC31" s="713"/>
      <c r="AD31" s="92"/>
      <c r="AE31" s="92"/>
      <c r="AF31" s="312">
        <f t="shared" si="23"/>
        <v>-591.80327868852237</v>
      </c>
      <c r="AG31" s="99">
        <f t="shared" si="24"/>
        <v>0.58902550091074835</v>
      </c>
      <c r="AH31" s="726"/>
    </row>
    <row r="32" spans="1:34" ht="15" customHeight="1">
      <c r="A32" s="732"/>
      <c r="B32" s="75"/>
      <c r="C32" s="177"/>
      <c r="D32" s="59"/>
      <c r="E32" s="178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9"/>
      <c r="U33" s="19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5">AVERAGE(J27:J36)</f>
        <v>17</v>
      </c>
      <c r="K37" s="155">
        <f t="shared" si="35"/>
        <v>1441</v>
      </c>
      <c r="L37" s="158">
        <f t="shared" si="35"/>
        <v>84.764705882352928</v>
      </c>
      <c r="M37" s="155">
        <f t="shared" si="35"/>
        <v>16</v>
      </c>
      <c r="N37" s="155">
        <f t="shared" si="35"/>
        <v>1174.875527928562</v>
      </c>
      <c r="O37" s="158">
        <f t="shared" si="35"/>
        <v>72.987616358553694</v>
      </c>
      <c r="P37" s="159">
        <f>M37-J37</f>
        <v>-1</v>
      </c>
      <c r="Q37" s="160">
        <f>N37-K37</f>
        <v>-266.12447207143805</v>
      </c>
      <c r="R37" s="161">
        <f t="shared" ref="R37:R40" si="36">O37/L37</f>
        <v>0.86106140048259061</v>
      </c>
      <c r="S37" s="736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20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7">N37-K37</f>
        <v>-266.12447207143805</v>
      </c>
      <c r="AG37" s="124">
        <f t="shared" ref="AG37:AG41" si="38">N37/K37</f>
        <v>0.81531958912460922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1249</v>
      </c>
      <c r="H38" s="134">
        <f>F38*G38</f>
        <v>70481.069999999992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9">K38/J38</f>
        <v>87.875</v>
      </c>
      <c r="M38" s="190">
        <v>14</v>
      </c>
      <c r="N38" s="140">
        <f>G38/W38*60</f>
        <v>999.19999999998652</v>
      </c>
      <c r="O38" s="141">
        <f>N38/M38</f>
        <v>71.371428571427614</v>
      </c>
      <c r="P38" s="142">
        <f t="shared" ref="P38:P40" si="40">M38-J38</f>
        <v>-2</v>
      </c>
      <c r="Q38" s="143">
        <f t="shared" ref="Q38:Q40" si="41">O38-L38</f>
        <v>-16.503571428572386</v>
      </c>
      <c r="R38" s="144">
        <f>O38/L38</f>
        <v>0.81219264377158029</v>
      </c>
      <c r="S38" s="756">
        <f>R48</f>
        <v>0.92110484763027778</v>
      </c>
      <c r="T38" s="191">
        <v>0.33333333333333298</v>
      </c>
      <c r="U38" s="191">
        <v>0.38541666666666702</v>
      </c>
      <c r="V38" s="192"/>
      <c r="W38" s="193">
        <f t="shared" si="17"/>
        <v>75.000000000001009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7"/>
        <v>-406.80000000001348</v>
      </c>
      <c r="AG38" s="195">
        <f t="shared" si="38"/>
        <v>0.71066856330013262</v>
      </c>
      <c r="AH38" s="746">
        <f>AG48</f>
        <v>0.81323666563040997</v>
      </c>
    </row>
    <row r="39" spans="1:34" ht="15" customHeight="1">
      <c r="A39" s="754"/>
      <c r="B39" s="75" t="s">
        <v>81</v>
      </c>
      <c r="C39" s="197"/>
      <c r="D39" s="198" t="s">
        <v>129</v>
      </c>
      <c r="E39" s="176"/>
      <c r="F39" s="75">
        <f>VLOOKUP(D39,廠價表!$C$1:$E$41,3,0)</f>
        <v>57.3</v>
      </c>
      <c r="G39" s="199">
        <v>1258</v>
      </c>
      <c r="H39" s="91">
        <f>F39*G39</f>
        <v>72083.399999999994</v>
      </c>
      <c r="I39" s="200"/>
      <c r="J39" s="148">
        <f>VLOOKUP(D39,產線配置圖!$A$3:$C$39,2,0)</f>
        <v>16</v>
      </c>
      <c r="K39" s="95">
        <f>VLOOKUP(D39,產線配置圖!$A$3:$C$39,3,0)</f>
        <v>1385</v>
      </c>
      <c r="L39" s="96">
        <f t="shared" si="39"/>
        <v>86.5625</v>
      </c>
      <c r="M39" s="201">
        <v>13</v>
      </c>
      <c r="N39" s="202">
        <f>G39/W39*60</f>
        <v>1110.0000000000052</v>
      </c>
      <c r="O39" s="203">
        <f t="shared" ref="O39:O40" si="42">N39/M39</f>
        <v>85.384615384615785</v>
      </c>
      <c r="P39" s="97">
        <f t="shared" si="40"/>
        <v>-3</v>
      </c>
      <c r="Q39" s="98">
        <f t="shared" si="41"/>
        <v>-1.1778846153842153</v>
      </c>
      <c r="R39" s="99">
        <f t="shared" si="36"/>
        <v>0.98639266870314268</v>
      </c>
      <c r="S39" s="757"/>
      <c r="T39" s="20">
        <v>0.39236111111111099</v>
      </c>
      <c r="U39" s="20">
        <v>0.43958333333333299</v>
      </c>
      <c r="V39" s="92">
        <f>(T39-U38)*24*60</f>
        <v>9.999999999999325</v>
      </c>
      <c r="W39" s="205">
        <f t="shared" si="17"/>
        <v>67.999999999999673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7"/>
        <v>-274.99999999999477</v>
      </c>
      <c r="AG39" s="206">
        <f t="shared" si="38"/>
        <v>0.80144404332130337</v>
      </c>
      <c r="AH39" s="747"/>
    </row>
    <row r="40" spans="1:34" ht="15" customHeight="1">
      <c r="A40" s="754"/>
      <c r="B40" s="75" t="s">
        <v>81</v>
      </c>
      <c r="C40" s="207"/>
      <c r="D40" s="198" t="s">
        <v>139</v>
      </c>
      <c r="E40" s="178"/>
      <c r="F40" s="75">
        <f>VLOOKUP(D40,廠價表!$C$1:$E$41,3,0)</f>
        <v>50.67</v>
      </c>
      <c r="G40" s="199">
        <v>1649</v>
      </c>
      <c r="H40" s="91">
        <f>F40*G40</f>
        <v>83554.83</v>
      </c>
      <c r="I40" s="200"/>
      <c r="J40" s="148">
        <f>VLOOKUP(D40,產線配置圖!$A$3:$C$39,2,0)</f>
        <v>10</v>
      </c>
      <c r="K40" s="95">
        <f>VLOOKUP(D40,產線配置圖!$A$3:$C$39,3,0)</f>
        <v>1125</v>
      </c>
      <c r="L40" s="96">
        <f t="shared" si="39"/>
        <v>112.5</v>
      </c>
      <c r="M40" s="201">
        <v>10</v>
      </c>
      <c r="N40" s="202">
        <f>G40/W40*60</f>
        <v>1075.4347826086937</v>
      </c>
      <c r="O40" s="203">
        <f t="shared" si="42"/>
        <v>107.54347826086936</v>
      </c>
      <c r="P40" s="97">
        <f t="shared" si="40"/>
        <v>0</v>
      </c>
      <c r="Q40" s="98">
        <f t="shared" si="41"/>
        <v>-4.9565217391306362</v>
      </c>
      <c r="R40" s="99">
        <f t="shared" si="36"/>
        <v>0.95594202898550551</v>
      </c>
      <c r="S40" s="719"/>
      <c r="T40" s="20">
        <v>0.44444444444444398</v>
      </c>
      <c r="U40" s="20">
        <v>0.50833333333333297</v>
      </c>
      <c r="V40" s="92">
        <f>(T40-U39)*24*60</f>
        <v>6.9999999999998153</v>
      </c>
      <c r="W40" s="205">
        <f t="shared" si="17"/>
        <v>92.000000000000156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7"/>
        <v>-49.565217391306305</v>
      </c>
      <c r="AG40" s="206">
        <f t="shared" si="38"/>
        <v>0.95594202898550551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7"/>
        <v>0</v>
      </c>
      <c r="AG41" s="206" t="e">
        <f t="shared" si="38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4">AVERAGE(J38:J47)</f>
        <v>14</v>
      </c>
      <c r="K48" s="155">
        <f t="shared" si="44"/>
        <v>1305.3333333333333</v>
      </c>
      <c r="L48" s="158">
        <f t="shared" si="44"/>
        <v>95.645833333333329</v>
      </c>
      <c r="M48" s="155">
        <f t="shared" si="44"/>
        <v>12.333333333333334</v>
      </c>
      <c r="N48" s="155">
        <f t="shared" si="44"/>
        <v>1061.5449275362284</v>
      </c>
      <c r="O48" s="158">
        <f t="shared" si="44"/>
        <v>88.09984073897094</v>
      </c>
      <c r="P48" s="221">
        <f>M48-J48</f>
        <v>-1.6666666666666661</v>
      </c>
      <c r="Q48" s="222">
        <f>N48-K48</f>
        <v>-243.78840579710482</v>
      </c>
      <c r="R48" s="223">
        <f>O48/L48</f>
        <v>0.92110484763027778</v>
      </c>
      <c r="S48" s="722"/>
      <c r="T48" s="224"/>
      <c r="U48" s="224"/>
      <c r="V48" s="225"/>
      <c r="W48" s="226">
        <f t="shared" si="4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5">N48-K48</f>
        <v>-243.78840579710482</v>
      </c>
      <c r="AG48" s="162">
        <f t="shared" ref="AG48:AG53" si="46">N48/K48</f>
        <v>0.81323666563040997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1136</v>
      </c>
      <c r="H49" s="134">
        <f>F49*G49</f>
        <v>64604.32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7">K49/J49</f>
        <v>86.944444444444443</v>
      </c>
      <c r="M49" s="170">
        <v>18</v>
      </c>
      <c r="N49" s="140">
        <f>G49/W49*60</f>
        <v>1549.0909090909372</v>
      </c>
      <c r="O49" s="141">
        <f>N49/M49</f>
        <v>86.060606060607626</v>
      </c>
      <c r="P49" s="229">
        <f>M49-J49</f>
        <v>0</v>
      </c>
      <c r="Q49" s="230">
        <f>O49-L49</f>
        <v>-0.88383838383681734</v>
      </c>
      <c r="R49" s="52">
        <f>O49/L49</f>
        <v>0.98983444670347431</v>
      </c>
      <c r="S49" s="718">
        <f>R58</f>
        <v>0.9494269155471311</v>
      </c>
      <c r="T49" s="191">
        <v>0.29166666666666702</v>
      </c>
      <c r="U49" s="191">
        <v>0.32222222222222202</v>
      </c>
      <c r="V49" s="55"/>
      <c r="W49" s="193">
        <f t="shared" si="17"/>
        <v>43.999999999999204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5"/>
        <v>-15.909090909062797</v>
      </c>
      <c r="AG49" s="52">
        <f t="shared" si="46"/>
        <v>0.9898344467034742</v>
      </c>
      <c r="AH49" s="724">
        <f>AG58</f>
        <v>0.94125374466502321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2231</v>
      </c>
      <c r="H50" s="231">
        <f>F50*G50</f>
        <v>111349.20999999999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7"/>
        <v>92.058823529411768</v>
      </c>
      <c r="M50" s="233">
        <v>17</v>
      </c>
      <c r="N50" s="234">
        <f>G50/W50*60</f>
        <v>1556.5116279069825</v>
      </c>
      <c r="O50" s="235">
        <f>N50/M50</f>
        <v>91.559507523940155</v>
      </c>
      <c r="P50" s="74">
        <f>M50-J50</f>
        <v>0</v>
      </c>
      <c r="Q50" s="83">
        <f>O50-L50</f>
        <v>-0.49931600547161281</v>
      </c>
      <c r="R50" s="72">
        <f>O50/L50</f>
        <v>0.99457612006835949</v>
      </c>
      <c r="S50" s="719"/>
      <c r="T50" s="21">
        <v>0.329166666666667</v>
      </c>
      <c r="U50" s="21">
        <v>0.38888888888888901</v>
      </c>
      <c r="V50" s="30">
        <f t="shared" ref="V50:V52" si="48">(T50-U49)*24*60</f>
        <v>10.000000000000764</v>
      </c>
      <c r="W50" s="236">
        <f t="shared" si="17"/>
        <v>85.999999999999687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5"/>
        <v>-8.4883720930174604</v>
      </c>
      <c r="AG50" s="72">
        <f t="shared" si="46"/>
        <v>0.99457612006835949</v>
      </c>
      <c r="AH50" s="725"/>
    </row>
    <row r="51" spans="1:34" ht="15" customHeight="1">
      <c r="A51" s="751"/>
      <c r="B51" s="75" t="s">
        <v>81</v>
      </c>
      <c r="C51" s="76"/>
      <c r="D51" s="59" t="s">
        <v>127</v>
      </c>
      <c r="E51" s="77"/>
      <c r="F51" s="75">
        <f>VLOOKUP(D51,廠價表!$C$1:$E$41,3,0)</f>
        <v>55.13</v>
      </c>
      <c r="G51" s="202">
        <v>545</v>
      </c>
      <c r="H51" s="231">
        <f>F51*G51</f>
        <v>30045.850000000002</v>
      </c>
      <c r="I51" s="232"/>
      <c r="J51" s="79">
        <f>VLOOKUP(D51,產線配置圖!$A$3:$C$39,2,0)</f>
        <v>17</v>
      </c>
      <c r="K51" s="80">
        <f>VLOOKUP(D51,產線配置圖!$A$3:$C$39,3,0)</f>
        <v>1385</v>
      </c>
      <c r="L51" s="81">
        <f t="shared" si="47"/>
        <v>81.470588235294116</v>
      </c>
      <c r="M51" s="233">
        <v>16</v>
      </c>
      <c r="N51" s="234">
        <f>G51/W51*60</f>
        <v>1089.9999999999632</v>
      </c>
      <c r="O51" s="235">
        <f>N51/M51</f>
        <v>68.124999999997698</v>
      </c>
      <c r="P51" s="74">
        <f>M51-J51</f>
        <v>-1</v>
      </c>
      <c r="Q51" s="83">
        <f>O51-L51</f>
        <v>-13.345588235296418</v>
      </c>
      <c r="R51" s="72">
        <f>O51/L51</f>
        <v>0.83619133574004401</v>
      </c>
      <c r="S51" s="719"/>
      <c r="T51" s="21">
        <v>0.39583333333333298</v>
      </c>
      <c r="U51" s="19">
        <v>0.41666666666666702</v>
      </c>
      <c r="V51" s="30">
        <f t="shared" si="48"/>
        <v>9.999999999999325</v>
      </c>
      <c r="W51" s="236">
        <f t="shared" si="17"/>
        <v>30.000000000001013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5"/>
        <v>-295.00000000003683</v>
      </c>
      <c r="AG51" s="72">
        <f t="shared" si="46"/>
        <v>0.78700361010827669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2014</v>
      </c>
      <c r="H52" s="231">
        <f t="shared" ref="H52:H53" si="49">F52*G52</f>
        <v>100639.58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ref="L52:L53" si="50">K52/J52</f>
        <v>88.888888888888886</v>
      </c>
      <c r="M52" s="233">
        <v>18</v>
      </c>
      <c r="N52" s="234">
        <f t="shared" ref="N52:N53" si="51">G52/W52*60</f>
        <v>1510.499999999987</v>
      </c>
      <c r="O52" s="235">
        <f t="shared" ref="O52:O53" si="52">N52/M52</f>
        <v>83.916666666665947</v>
      </c>
      <c r="P52" s="74">
        <f t="shared" ref="P52:P53" si="53">M52-J52</f>
        <v>0</v>
      </c>
      <c r="Q52" s="83">
        <f t="shared" ref="Q52:Q53" si="54">O52-L52</f>
        <v>-4.9722222222229391</v>
      </c>
      <c r="R52" s="72">
        <f t="shared" ref="R52:R53" si="55">O52/L52</f>
        <v>0.94406249999999192</v>
      </c>
      <c r="S52" s="719"/>
      <c r="T52" s="21">
        <v>0.42361111111111099</v>
      </c>
      <c r="U52" s="21">
        <v>0.47916666666666702</v>
      </c>
      <c r="V52" s="30">
        <f t="shared" si="48"/>
        <v>9.999999999999325</v>
      </c>
      <c r="W52" s="236">
        <f t="shared" si="17"/>
        <v>80.000000000000682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5"/>
        <v>-89.50000000001296</v>
      </c>
      <c r="AG52" s="72">
        <f t="shared" si="46"/>
        <v>0.94406249999999192</v>
      </c>
      <c r="AH52" s="725"/>
    </row>
    <row r="53" spans="1:34" ht="15" customHeight="1">
      <c r="A53" s="751"/>
      <c r="B53" s="101" t="s">
        <v>81</v>
      </c>
      <c r="C53" s="102"/>
      <c r="D53" s="103" t="s">
        <v>134</v>
      </c>
      <c r="E53" s="104"/>
      <c r="F53" s="75">
        <f>VLOOKUP(D53,廠價表!$C$1:$E$41,3,0)</f>
        <v>49.97</v>
      </c>
      <c r="G53" s="202">
        <v>2515</v>
      </c>
      <c r="H53" s="231">
        <f t="shared" si="49"/>
        <v>125674.55</v>
      </c>
      <c r="I53" s="232"/>
      <c r="J53" s="79">
        <f>VLOOKUP(D53,產線配置圖!$A$3:$C$39,2,0)</f>
        <v>18</v>
      </c>
      <c r="K53" s="80">
        <f>VLOOKUP(D53,產線配置圖!$A$3:$C$39,3,0)</f>
        <v>1600</v>
      </c>
      <c r="L53" s="81">
        <f t="shared" si="50"/>
        <v>88.888888888888886</v>
      </c>
      <c r="M53" s="108">
        <v>18</v>
      </c>
      <c r="N53" s="234">
        <f t="shared" si="51"/>
        <v>1555.6701030927838</v>
      </c>
      <c r="O53" s="235">
        <f t="shared" si="52"/>
        <v>86.426116838487985</v>
      </c>
      <c r="P53" s="74">
        <f t="shared" si="53"/>
        <v>0</v>
      </c>
      <c r="Q53" s="83">
        <f t="shared" si="54"/>
        <v>-2.4627720504009005</v>
      </c>
      <c r="R53" s="72">
        <f t="shared" si="55"/>
        <v>0.9722938144329899</v>
      </c>
      <c r="S53" s="719"/>
      <c r="T53" s="21">
        <v>0.54513888888888895</v>
      </c>
      <c r="U53" s="21">
        <v>0.61250000000000004</v>
      </c>
      <c r="V53" s="30"/>
      <c r="W53" s="236">
        <f t="shared" si="17"/>
        <v>96.999999999999972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5"/>
        <v>-44.329896907216153</v>
      </c>
      <c r="AG53" s="72">
        <f t="shared" si="46"/>
        <v>0.9722938144329899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56">AVERAGE(J49:J57)</f>
        <v>17.600000000000001</v>
      </c>
      <c r="K58" s="120">
        <f t="shared" si="56"/>
        <v>1543</v>
      </c>
      <c r="L58" s="117">
        <f t="shared" si="56"/>
        <v>87.650326797385631</v>
      </c>
      <c r="M58" s="120">
        <f t="shared" si="56"/>
        <v>17.399999999999999</v>
      </c>
      <c r="N58" s="120">
        <f t="shared" si="56"/>
        <v>1452.3545280181308</v>
      </c>
      <c r="O58" s="117">
        <f t="shared" si="56"/>
        <v>83.217579417939888</v>
      </c>
      <c r="P58" s="121">
        <f>M58-J58</f>
        <v>-0.20000000000000284</v>
      </c>
      <c r="Q58" s="122">
        <f>N58-K58</f>
        <v>-90.64547198186915</v>
      </c>
      <c r="R58" s="123">
        <f t="shared" ref="R58:R60" si="57">O58/L58</f>
        <v>0.9494269155471311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8">N58-K58</f>
        <v>-90.64547198186915</v>
      </c>
      <c r="AG58" s="124">
        <f t="shared" ref="AG58:AG61" si="59">N58/K58</f>
        <v>0.94125374466502321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3110</v>
      </c>
      <c r="H59" s="243">
        <f>F59*G59</f>
        <v>83938.9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60">K59/J59</f>
        <v>120.38461538461539</v>
      </c>
      <c r="M59" s="244">
        <v>12</v>
      </c>
      <c r="N59" s="137">
        <f t="shared" ref="N59:N61" si="61">G59/W59*60</f>
        <v>1382.2222222222222</v>
      </c>
      <c r="O59" s="138">
        <f t="shared" ref="O59:O61" si="62">N59/M59</f>
        <v>115.18518518518518</v>
      </c>
      <c r="P59" s="56">
        <f t="shared" ref="P59:P61" si="63">M59-J59</f>
        <v>-1</v>
      </c>
      <c r="Q59" s="230">
        <f t="shared" ref="Q59:Q61" si="64">O59-L59</f>
        <v>-5.1994301994302106</v>
      </c>
      <c r="R59" s="52">
        <f t="shared" si="57"/>
        <v>0.95680984498875865</v>
      </c>
      <c r="S59" s="718">
        <f>R69</f>
        <v>0.77842858377663826</v>
      </c>
      <c r="T59" s="245">
        <v>0.29166666666666702</v>
      </c>
      <c r="U59" s="245">
        <v>0.38541666666666702</v>
      </c>
      <c r="V59" s="55"/>
      <c r="W59" s="54">
        <f t="shared" si="17"/>
        <v>135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8"/>
        <v>-182.77777777777783</v>
      </c>
      <c r="AG59" s="246">
        <f t="shared" si="59"/>
        <v>0.88320908768193107</v>
      </c>
      <c r="AH59" s="724">
        <f>AG69</f>
        <v>0.69948176698336917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549</v>
      </c>
      <c r="H60" s="78">
        <f>F60*G60</f>
        <v>15630.029999999999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60"/>
        <v>130.41666666666666</v>
      </c>
      <c r="M60" s="82">
        <v>11</v>
      </c>
      <c r="N60" s="80">
        <f t="shared" si="61"/>
        <v>598.90909090908167</v>
      </c>
      <c r="O60" s="81">
        <f t="shared" si="62"/>
        <v>54.446280991734696</v>
      </c>
      <c r="P60" s="74">
        <f t="shared" si="63"/>
        <v>-1</v>
      </c>
      <c r="Q60" s="83">
        <f t="shared" si="64"/>
        <v>-75.970385674931961</v>
      </c>
      <c r="R60" s="72">
        <f t="shared" si="57"/>
        <v>0.41747947086314147</v>
      </c>
      <c r="S60" s="768"/>
      <c r="T60" s="22">
        <v>0.39583333333333298</v>
      </c>
      <c r="U60" s="22">
        <v>0.43402777777777801</v>
      </c>
      <c r="V60" s="30">
        <f t="shared" ref="V60:V63" si="65">(T60-U59)*24*60</f>
        <v>14.999999999998987</v>
      </c>
      <c r="W60" s="248">
        <f t="shared" si="17"/>
        <v>55.000000000000846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8"/>
        <v>-966.09090909091833</v>
      </c>
      <c r="AG60" s="249">
        <f t="shared" si="59"/>
        <v>0.38268951495787967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640</v>
      </c>
      <c r="H61" s="254">
        <f>F61*G61</f>
        <v>18086.400000000001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60"/>
        <v>130.41666666666666</v>
      </c>
      <c r="M61" s="108">
        <v>10</v>
      </c>
      <c r="N61" s="107">
        <f t="shared" si="61"/>
        <v>1280.0000000000214</v>
      </c>
      <c r="O61" s="238">
        <f t="shared" si="62"/>
        <v>128.00000000000213</v>
      </c>
      <c r="P61" s="111">
        <f t="shared" si="63"/>
        <v>-2</v>
      </c>
      <c r="Q61" s="255">
        <f t="shared" si="64"/>
        <v>-2.4166666666645256</v>
      </c>
      <c r="R61" s="85">
        <f>O61/L61</f>
        <v>0.98146964856231678</v>
      </c>
      <c r="S61" s="719"/>
      <c r="T61" s="22">
        <v>0.47916666666666702</v>
      </c>
      <c r="U61" s="22">
        <v>0.5</v>
      </c>
      <c r="V61" s="30">
        <f t="shared" si="65"/>
        <v>65.000000000000171</v>
      </c>
      <c r="W61" s="256">
        <f t="shared" si="17"/>
        <v>29.999999999999496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8"/>
        <v>-284.99999999997863</v>
      </c>
      <c r="AG61" s="247">
        <f t="shared" si="59"/>
        <v>0.81789137380193055</v>
      </c>
      <c r="AH61" s="725"/>
    </row>
    <row r="62" spans="1:34" ht="15" customHeight="1">
      <c r="A62" s="766"/>
      <c r="B62" s="250" t="s">
        <v>135</v>
      </c>
      <c r="C62" s="251"/>
      <c r="D62" s="257" t="s">
        <v>138</v>
      </c>
      <c r="E62" s="253"/>
      <c r="F62" s="250">
        <f>VLOOKUP(D62,廠價表!$C$1:$E$41,3,0)</f>
        <v>28.26</v>
      </c>
      <c r="G62" s="38">
        <v>1099</v>
      </c>
      <c r="H62" s="254">
        <f>F62*G62</f>
        <v>31057.74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>K62/J62</f>
        <v>130.41666666666666</v>
      </c>
      <c r="M62" s="108">
        <v>11</v>
      </c>
      <c r="N62" s="107">
        <f>G62/W62*60</f>
        <v>1318.800000000009</v>
      </c>
      <c r="O62" s="238">
        <f>N62/M62</f>
        <v>119.89090909090991</v>
      </c>
      <c r="P62" s="111">
        <f>M62-J62</f>
        <v>-1</v>
      </c>
      <c r="Q62" s="255">
        <f>O62-L62</f>
        <v>-10.525757575756742</v>
      </c>
      <c r="R62" s="85">
        <f>O62/L62</f>
        <v>0.91929131571304734</v>
      </c>
      <c r="S62" s="719"/>
      <c r="T62" s="22">
        <v>0.55902777777777801</v>
      </c>
      <c r="U62" s="22">
        <v>0.59375</v>
      </c>
      <c r="V62" s="30">
        <f t="shared" si="65"/>
        <v>85.000000000000341</v>
      </c>
      <c r="W62" s="248">
        <f t="shared" si="17"/>
        <v>49.999999999999659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-246.19999999999095</v>
      </c>
      <c r="AG62" s="247">
        <f>N62/K62</f>
        <v>0.8426837060702933</v>
      </c>
      <c r="AH62" s="725"/>
    </row>
    <row r="63" spans="1:34" ht="15" customHeight="1">
      <c r="A63" s="766"/>
      <c r="B63" s="75" t="s">
        <v>135</v>
      </c>
      <c r="C63" s="76"/>
      <c r="D63" s="175" t="s">
        <v>136</v>
      </c>
      <c r="E63" s="77"/>
      <c r="F63" s="250">
        <f>VLOOKUP(D63,廠價表!$C$1:$E$41,3,0)</f>
        <v>26.99</v>
      </c>
      <c r="G63" s="30">
        <v>551</v>
      </c>
      <c r="H63" s="254">
        <f>F63*G63</f>
        <v>14871.49</v>
      </c>
      <c r="I63" s="182"/>
      <c r="J63" s="106">
        <f>VLOOKUP(D63,產線配置圖!$A$3:$C$39,2,0)</f>
        <v>13</v>
      </c>
      <c r="K63" s="107">
        <f>VLOOKUP(D63,產線配置圖!$A$3:$C$39,3,0)</f>
        <v>1565</v>
      </c>
      <c r="L63" s="238">
        <f>K63/J63</f>
        <v>120.38461538461539</v>
      </c>
      <c r="M63" s="82">
        <v>12</v>
      </c>
      <c r="N63" s="107">
        <f>G63/W63*60</f>
        <v>893.51351351352832</v>
      </c>
      <c r="O63" s="238">
        <f>N63/M63</f>
        <v>74.459459459460689</v>
      </c>
      <c r="P63" s="111">
        <f>M63-J63</f>
        <v>-1</v>
      </c>
      <c r="Q63" s="255">
        <f>O63-L63</f>
        <v>-45.925155925154698</v>
      </c>
      <c r="R63" s="85">
        <f>O63/L63</f>
        <v>0.61851308177187792</v>
      </c>
      <c r="S63" s="719"/>
      <c r="T63" s="22">
        <v>0.60277777777777797</v>
      </c>
      <c r="U63" s="22">
        <v>0.62847222222222199</v>
      </c>
      <c r="V63" s="30">
        <f t="shared" si="65"/>
        <v>13.000000000000274</v>
      </c>
      <c r="W63" s="248">
        <f t="shared" si="17"/>
        <v>36.999999999999389</v>
      </c>
      <c r="X63" s="261"/>
      <c r="Y63" s="291"/>
      <c r="Z63" s="335"/>
      <c r="AA63" s="335"/>
      <c r="AB63" s="713" t="s">
        <v>146</v>
      </c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66">AVERAGE(J59:J68)</f>
        <v>12.4</v>
      </c>
      <c r="K69" s="240">
        <f t="shared" si="66"/>
        <v>1565</v>
      </c>
      <c r="L69" s="268">
        <f t="shared" si="66"/>
        <v>126.40384615384615</v>
      </c>
      <c r="M69" s="240">
        <f t="shared" si="66"/>
        <v>11.2</v>
      </c>
      <c r="N69" s="240">
        <f t="shared" si="66"/>
        <v>1094.6889653289727</v>
      </c>
      <c r="O69" s="268">
        <f t="shared" si="66"/>
        <v>98.396366945458524</v>
      </c>
      <c r="P69" s="269">
        <f>M69-J69</f>
        <v>-1.2000000000000011</v>
      </c>
      <c r="Q69" s="222">
        <f>N69-K69</f>
        <v>-470.3110346710273</v>
      </c>
      <c r="R69" s="123">
        <f>O69/L69</f>
        <v>0.77842858377663826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-470.3110346710273</v>
      </c>
      <c r="AG69" s="124">
        <f>N69/K69</f>
        <v>0.69948176698336917</v>
      </c>
      <c r="AH69" s="727"/>
    </row>
    <row r="70" spans="1:36" ht="15" customHeight="1">
      <c r="A70" s="760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718">
        <f>R79</f>
        <v>0</v>
      </c>
      <c r="T70" s="245"/>
      <c r="U70" s="245"/>
      <c r="V70" s="55"/>
      <c r="W70" s="54">
        <f t="shared" si="17"/>
        <v>0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0</v>
      </c>
      <c r="AG70" s="246" t="e">
        <f>N70/K70</f>
        <v>#DIV/0!</v>
      </c>
      <c r="AH70" s="724" t="e">
        <f>AG79</f>
        <v>#DIV/0!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P3:P4"/>
    <mergeCell ref="Q3:Q4"/>
    <mergeCell ref="R3:R4"/>
    <mergeCell ref="Z3:AA3"/>
    <mergeCell ref="D15:E15"/>
    <mergeCell ref="T3:U3"/>
    <mergeCell ref="V3:V4"/>
    <mergeCell ref="W3:W4"/>
    <mergeCell ref="X3:Y3"/>
    <mergeCell ref="AH3:AH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B15:AC15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199" priority="1" operator="greaterThan">
      <formula>0</formula>
    </cfRule>
  </conditionalFormatting>
  <conditionalFormatting sqref="Q5:Q79 AF5:AF79">
    <cfRule type="cellIs" dxfId="198" priority="4" operator="lessThan">
      <formula>0</formula>
    </cfRule>
  </conditionalFormatting>
  <conditionalFormatting sqref="R5:R79 AG5:AG79">
    <cfRule type="cellIs" dxfId="197" priority="2" operator="greaterThan">
      <formula>1</formula>
    </cfRule>
    <cfRule type="cellIs" dxfId="196" priority="3" operator="lessThan">
      <formula>0.8</formula>
    </cfRule>
  </conditionalFormatting>
  <conditionalFormatting sqref="S5:S10 S37:S62 AH59:AH62 S69:S76 AH69:AH76">
    <cfRule type="cellIs" dxfId="195" priority="7" operator="lessThan">
      <formula>0.8</formula>
    </cfRule>
  </conditionalFormatting>
  <conditionalFormatting sqref="S19:S25 AH19:AH25">
    <cfRule type="cellIs" dxfId="194" priority="6" operator="lessThan">
      <formula>0.8</formula>
    </cfRule>
  </conditionalFormatting>
  <conditionalFormatting sqref="S79">
    <cfRule type="cellIs" dxfId="193" priority="5" operator="lessThan">
      <formula>0.8</formula>
    </cfRule>
  </conditionalFormatting>
  <conditionalFormatting sqref="AH5:AH8 S15:S16 AH15:AH16 AH49 AH79">
    <cfRule type="cellIs" dxfId="192" priority="9" operator="lessThan">
      <formula>0.8</formula>
    </cfRule>
  </conditionalFormatting>
  <conditionalFormatting sqref="AH27 S27:S28">
    <cfRule type="cellIs" dxfId="19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014E8B-C419-46A4-8F47-C38BC284738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4A5E-3435-4F8A-8513-336577F59A83}">
  <dimension ref="B1:O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46040</v>
      </c>
      <c r="E3" s="645"/>
      <c r="F3" s="3" t="s">
        <v>72</v>
      </c>
      <c r="G3" s="646">
        <f>'0118'!E1</f>
        <v>52042</v>
      </c>
      <c r="H3" s="646"/>
      <c r="I3" s="3" t="s">
        <v>2</v>
      </c>
      <c r="J3" s="647">
        <f>'0118'!G1</f>
        <v>2509993.5699999994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113.89352394269673</v>
      </c>
      <c r="G6" s="652"/>
      <c r="H6" s="653">
        <f>AVERAGE(D13:H13,J13)</f>
        <v>111.25769881670617</v>
      </c>
      <c r="I6" s="653"/>
      <c r="J6" s="653">
        <f>AVERAGE(I13)</f>
        <v>127.07264957264958</v>
      </c>
      <c r="K6" s="653"/>
      <c r="L6" s="769">
        <f>SUM(D18:J18)</f>
        <v>1</v>
      </c>
      <c r="M6" s="656">
        <f>SUM(D19:J19)</f>
        <v>5</v>
      </c>
      <c r="N6" s="771">
        <f>SUM(D20:J20)</f>
        <v>3</v>
      </c>
      <c r="O6" s="656">
        <f>SUM(D20:J20)</f>
        <v>3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103.26467416499611</v>
      </c>
      <c r="G7" s="676"/>
      <c r="H7" s="677">
        <f>AVERAGE(D14:H14,J14)</f>
        <v>105.74289454578089</v>
      </c>
      <c r="I7" s="677"/>
      <c r="J7" s="677">
        <f>AVERAGE(I14)</f>
        <v>90.873572261072198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0.9066773121968873</v>
      </c>
      <c r="G8" s="649"/>
      <c r="H8" s="649">
        <f>H7/H6</f>
        <v>0.95043215589052621</v>
      </c>
      <c r="I8" s="649"/>
      <c r="J8" s="649">
        <f>J7/J6</f>
        <v>0.71513085283641808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VALUE('0118'!L15)</f>
        <v>126.55462184873952</v>
      </c>
      <c r="E13" s="13">
        <f>VALUE('0118'!L26)</f>
        <v>162.27564102564102</v>
      </c>
      <c r="F13" s="13">
        <f>VALUE('0118'!L37)</f>
        <v>84.77941176470587</v>
      </c>
      <c r="G13" s="13">
        <f>VALUE('0118'!L48)</f>
        <v>92.91084558823529</v>
      </c>
      <c r="H13" s="13">
        <f>VALUE('0118'!L58)</f>
        <v>89.767973856209139</v>
      </c>
      <c r="I13" s="13">
        <f>VALUE('0118'!L69)</f>
        <v>127.07264957264958</v>
      </c>
      <c r="J13" s="13"/>
    </row>
    <row r="14" spans="2:15" ht="39.950000000000003" customHeight="1">
      <c r="B14" s="670"/>
      <c r="C14" s="12" t="s">
        <v>100</v>
      </c>
      <c r="D14" s="13">
        <f>VALUE('0118'!O15)</f>
        <v>122.85385628827768</v>
      </c>
      <c r="E14" s="13">
        <f>VALUE('0118'!O26)</f>
        <v>154.39097383737203</v>
      </c>
      <c r="F14" s="13">
        <f>VALUE('0118'!O37)</f>
        <v>78.602196915351669</v>
      </c>
      <c r="G14" s="13">
        <f>VALUE('0118'!O48)</f>
        <v>86.4188027430842</v>
      </c>
      <c r="H14" s="13">
        <f>VALUE('0118'!O58)</f>
        <v>86.448642944818815</v>
      </c>
      <c r="I14" s="13">
        <f>VALUE('0118'!O69)</f>
        <v>90.873572261072198</v>
      </c>
      <c r="J14" s="13"/>
    </row>
    <row r="15" spans="2:15" ht="39.950000000000003" customHeight="1">
      <c r="B15" s="671"/>
      <c r="C15" s="10" t="s">
        <v>26</v>
      </c>
      <c r="D15" s="14">
        <f>D14/D13</f>
        <v>0.97075756296846227</v>
      </c>
      <c r="E15" s="14">
        <f t="shared" ref="E15:I15" si="1">E14/E13</f>
        <v>0.95141188696938717</v>
      </c>
      <c r="F15" s="14">
        <f t="shared" si="1"/>
        <v>0.92713779535887497</v>
      </c>
      <c r="G15" s="14">
        <f t="shared" si="1"/>
        <v>0.93012610310401544</v>
      </c>
      <c r="H15" s="14">
        <f t="shared" si="1"/>
        <v>0.96302321675760172</v>
      </c>
      <c r="I15" s="14">
        <f t="shared" si="1"/>
        <v>0.71513085283641808</v>
      </c>
      <c r="J15" s="15"/>
    </row>
    <row r="16" spans="2:15" ht="17.25" customHeight="1">
      <c r="B16" s="672" t="s">
        <v>101</v>
      </c>
      <c r="C16" s="10" t="s">
        <v>34</v>
      </c>
      <c r="D16" s="16">
        <f>'0118'!T5</f>
        <v>0.28888888888888897</v>
      </c>
      <c r="E16" s="16">
        <f>'0118'!T16</f>
        <v>0.29027777777777802</v>
      </c>
      <c r="F16" s="16">
        <f>'0118'!T27</f>
        <v>0.29166666666666702</v>
      </c>
      <c r="G16" s="16">
        <f>'0118'!T38</f>
        <v>0.33333333333333298</v>
      </c>
      <c r="H16" s="16">
        <f>'0118'!T49</f>
        <v>0.29166666666666702</v>
      </c>
      <c r="I16" s="16">
        <f>'0118'!T59</f>
        <v>0.29166666666666702</v>
      </c>
      <c r="J16" s="17"/>
    </row>
    <row r="17" spans="2:10" ht="17.25" customHeight="1">
      <c r="B17" s="673"/>
      <c r="C17" s="10" t="s">
        <v>35</v>
      </c>
      <c r="D17" s="16">
        <v>0.59513888888888899</v>
      </c>
      <c r="E17" s="19">
        <v>0.61180555555555605</v>
      </c>
      <c r="F17" s="19">
        <v>0.66666666666666696</v>
      </c>
      <c r="G17" s="20">
        <v>0.63888888888888895</v>
      </c>
      <c r="H17" s="21">
        <v>0.63263888888888897</v>
      </c>
      <c r="I17" s="22">
        <v>0.49652777777777801</v>
      </c>
      <c r="J17" s="22"/>
    </row>
    <row r="18" spans="2:10" ht="17.25" customHeight="1">
      <c r="B18" s="674" t="s">
        <v>102</v>
      </c>
      <c r="C18" s="330" t="s">
        <v>36</v>
      </c>
      <c r="D18" s="358">
        <f>'0118'!Z15</f>
        <v>0</v>
      </c>
      <c r="E18" s="359">
        <f>'0118'!Z26</f>
        <v>0</v>
      </c>
      <c r="F18" s="359">
        <f>'0118'!Z37</f>
        <v>0</v>
      </c>
      <c r="G18" s="360">
        <f>'0118'!Z48</f>
        <v>0</v>
      </c>
      <c r="H18" s="360">
        <f>'0118'!Z58</f>
        <v>1</v>
      </c>
      <c r="I18" s="359">
        <f>'0118'!Z69</f>
        <v>0</v>
      </c>
      <c r="J18" s="359"/>
    </row>
    <row r="19" spans="2:10" ht="17.25" customHeight="1">
      <c r="B19" s="675"/>
      <c r="C19" s="330" t="s">
        <v>37</v>
      </c>
      <c r="D19" s="358">
        <f>'0118'!AA15</f>
        <v>0</v>
      </c>
      <c r="E19" s="359">
        <f>'0118'!AA26</f>
        <v>0</v>
      </c>
      <c r="F19" s="359">
        <f>'0118'!AA37</f>
        <v>0</v>
      </c>
      <c r="G19" s="360">
        <f>'0118'!AA48</f>
        <v>0</v>
      </c>
      <c r="H19" s="360">
        <f>'0118'!AA58</f>
        <v>5</v>
      </c>
      <c r="I19" s="359">
        <f>'0118'!AA69</f>
        <v>0</v>
      </c>
      <c r="J19" s="359"/>
    </row>
    <row r="20" spans="2:10" ht="17.25" customHeight="1">
      <c r="B20" s="674" t="s">
        <v>103</v>
      </c>
      <c r="C20" s="330" t="s">
        <v>36</v>
      </c>
      <c r="D20" s="358">
        <f>'0118'!AD15</f>
        <v>1</v>
      </c>
      <c r="E20" s="359">
        <f>'0118'!AD26</f>
        <v>2</v>
      </c>
      <c r="F20" s="359">
        <f>'0118'!AD37</f>
        <v>0</v>
      </c>
      <c r="G20" s="360">
        <f>'0118'!AD48</f>
        <v>0</v>
      </c>
      <c r="H20" s="360">
        <f>'0118'!AD58</f>
        <v>0</v>
      </c>
      <c r="I20" s="359">
        <f>'0118'!AD69</f>
        <v>0</v>
      </c>
      <c r="J20" s="359"/>
    </row>
    <row r="21" spans="2:10" ht="17.25" customHeight="1">
      <c r="B21" s="675"/>
      <c r="C21" s="330" t="s">
        <v>85</v>
      </c>
      <c r="D21" s="358">
        <f>'0118'!AE15</f>
        <v>1</v>
      </c>
      <c r="E21" s="359">
        <f>'0118'!AE26</f>
        <v>2</v>
      </c>
      <c r="F21" s="359">
        <f>'0108'!AE37</f>
        <v>0</v>
      </c>
      <c r="G21" s="360">
        <f>'0118'!AE48</f>
        <v>0</v>
      </c>
      <c r="H21" s="360">
        <f>'0118'!AE58</f>
        <v>0</v>
      </c>
      <c r="I21" s="359">
        <f>'0118'!AE69</f>
        <v>0</v>
      </c>
      <c r="J21" s="359"/>
    </row>
    <row r="22" spans="2:10" ht="17.25" customHeight="1">
      <c r="B22" s="658" t="s">
        <v>104</v>
      </c>
      <c r="C22" s="659"/>
      <c r="D22" s="23">
        <f>VALUE('0118'!M15)</f>
        <v>14.75</v>
      </c>
      <c r="E22" s="23">
        <f>VALUE('0118'!M26)</f>
        <v>12.75</v>
      </c>
      <c r="F22" s="23">
        <f>VALUE('0118'!M37)</f>
        <v>16.5</v>
      </c>
      <c r="G22" s="23">
        <f>VALUE('0118'!M48)</f>
        <v>13.75</v>
      </c>
      <c r="H22" s="23">
        <f>VALUE('0118'!M58)</f>
        <v>17.600000000000001</v>
      </c>
      <c r="I22" s="23">
        <f>VALUE('0118'!M69)</f>
        <v>12.666666666666666</v>
      </c>
      <c r="J22" s="23"/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9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A394-B605-47CE-AF44-6588ABAD316E}">
  <sheetPr>
    <tabColor theme="9" tint="0.79998168889431442"/>
  </sheetPr>
  <dimension ref="A1:AJ92"/>
  <sheetViews>
    <sheetView zoomScale="69" zoomScaleNormal="69" workbookViewId="0">
      <pane xSplit="5" ySplit="4" topLeftCell="Z5" activePane="bottomRight" state="frozen"/>
      <selection activeCell="U8" sqref="U8"/>
      <selection pane="topRight" activeCell="U8" sqref="U8"/>
      <selection pane="bottomLeft" activeCell="U8" sqref="U8"/>
      <selection pane="bottomRight" activeCell="J79" sqref="J78:R7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52042</v>
      </c>
      <c r="F1" s="30" t="s">
        <v>2</v>
      </c>
      <c r="G1" s="31">
        <f>SUM(H5:H79)</f>
        <v>2509993.5699999994</v>
      </c>
      <c r="H1" s="32" t="s">
        <v>3</v>
      </c>
      <c r="I1" s="33">
        <f>M15+M26+M48+M58+M69+M79+M37</f>
        <v>88.016666666666666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185</v>
      </c>
      <c r="B2" s="678"/>
      <c r="C2" s="28"/>
      <c r="D2" s="28" t="s">
        <v>14</v>
      </c>
      <c r="E2" s="35">
        <f>AVERAGE(O15,O26,O37,O48,O58,O69,O79)</f>
        <v>103.26467416499611</v>
      </c>
      <c r="F2" s="36" t="s">
        <v>15</v>
      </c>
      <c r="G2" s="37">
        <f>G1/E1</f>
        <v>48.23015199262133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5</v>
      </c>
      <c r="AB2" s="684"/>
      <c r="AC2" s="684"/>
      <c r="AD2" s="340">
        <f>AD15+AD26+AD37+AD48+AD58+AD69+AD79</f>
        <v>3</v>
      </c>
      <c r="AE2" s="340">
        <f>AE15+AE26+AE37+AE48+AE58+AE69+AE79</f>
        <v>3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2820</v>
      </c>
      <c r="H5" s="43">
        <f>F5*G5</f>
        <v>134542.20000000001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8" si="0">K5/J5</f>
        <v>102.85714285714286</v>
      </c>
      <c r="M5" s="48">
        <v>14</v>
      </c>
      <c r="N5" s="46">
        <f t="shared" ref="N5:N8" si="1">G5/W5*60</f>
        <v>1433.898305084753</v>
      </c>
      <c r="O5" s="47">
        <f t="shared" ref="O5:O8" si="2">N5/M5</f>
        <v>102.42130750605379</v>
      </c>
      <c r="P5" s="49">
        <f t="shared" ref="P5:P8" si="3">M5-J5</f>
        <v>0</v>
      </c>
      <c r="Q5" s="50">
        <f t="shared" ref="Q5:Q8" si="4">O5-L5</f>
        <v>-0.43583535108906801</v>
      </c>
      <c r="R5" s="51">
        <f t="shared" ref="R5:R8" si="5">O5/L5</f>
        <v>0.99576271186441179</v>
      </c>
      <c r="S5" s="718">
        <f>R15</f>
        <v>0.97075756296846227</v>
      </c>
      <c r="T5" s="319">
        <v>0.28888888888888897</v>
      </c>
      <c r="U5" s="320">
        <v>0.37083333333333302</v>
      </c>
      <c r="V5" s="53"/>
      <c r="W5" s="54">
        <f t="shared" ref="W5:W14" si="6">(U5-T5)*24*60</f>
        <v>117.99999999999942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-6.1016949152469806</v>
      </c>
      <c r="AG5" s="52">
        <f t="shared" ref="AG5:AG11" si="8">N5/K5</f>
        <v>0.99576271186441179</v>
      </c>
      <c r="AH5" s="724">
        <f>AG15</f>
        <v>0.97038955713504349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1284</v>
      </c>
      <c r="H6" s="63">
        <f>F6*G6</f>
        <v>73457.64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1925.9999999999834</v>
      </c>
      <c r="O6" s="67">
        <f t="shared" si="2"/>
        <v>113.29411764705785</v>
      </c>
      <c r="P6" s="69">
        <f t="shared" si="3"/>
        <v>0</v>
      </c>
      <c r="Q6" s="70">
        <f t="shared" si="4"/>
        <v>-4.3529411764715604</v>
      </c>
      <c r="R6" s="71">
        <f t="shared" si="5"/>
        <v>0.96299999999999175</v>
      </c>
      <c r="S6" s="719"/>
      <c r="T6" s="16">
        <v>0.37638888888888899</v>
      </c>
      <c r="U6" s="16">
        <v>0.40416666666666701</v>
      </c>
      <c r="V6" s="30">
        <f>(T6-U5)*24*60</f>
        <v>8.0000000000006111</v>
      </c>
      <c r="W6" s="73">
        <f t="shared" si="6"/>
        <v>40.000000000000341</v>
      </c>
      <c r="X6" s="22"/>
      <c r="Y6" s="84"/>
      <c r="Z6" s="90"/>
      <c r="AA6" s="90"/>
      <c r="AB6" s="728" t="s">
        <v>141</v>
      </c>
      <c r="AC6" s="728"/>
      <c r="AD6" s="149">
        <v>1</v>
      </c>
      <c r="AE6" s="149">
        <v>1</v>
      </c>
      <c r="AF6" s="307">
        <f t="shared" si="7"/>
        <v>-74.000000000016598</v>
      </c>
      <c r="AG6" s="72">
        <f t="shared" si="8"/>
        <v>0.96299999999999175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3133</v>
      </c>
      <c r="H7" s="78">
        <f>F7*G7</f>
        <v>153955.62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1879.7999999999843</v>
      </c>
      <c r="O7" s="81">
        <f t="shared" si="2"/>
        <v>134.27142857142744</v>
      </c>
      <c r="P7" s="74">
        <f t="shared" si="3"/>
        <v>0</v>
      </c>
      <c r="Q7" s="83">
        <f t="shared" si="4"/>
        <v>-8.5857142857154258</v>
      </c>
      <c r="R7" s="72">
        <f t="shared" si="5"/>
        <v>0.93989999999999208</v>
      </c>
      <c r="S7" s="719"/>
      <c r="T7" s="18">
        <v>0.40833333333333299</v>
      </c>
      <c r="U7" s="18">
        <v>0.47777777777777802</v>
      </c>
      <c r="V7" s="30">
        <f>(T7-U6)*24*60</f>
        <v>5.9999999999990195</v>
      </c>
      <c r="W7" s="73">
        <f t="shared" si="6"/>
        <v>100.00000000000084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-120.20000000001573</v>
      </c>
      <c r="AG7" s="72">
        <f t="shared" si="8"/>
        <v>0.93989999999999219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2607</v>
      </c>
      <c r="H8" s="78">
        <f>F8*G8</f>
        <v>128107.98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1980.000000000003</v>
      </c>
      <c r="O8" s="81">
        <f t="shared" si="2"/>
        <v>141.42857142857164</v>
      </c>
      <c r="P8" s="74">
        <f t="shared" si="3"/>
        <v>0</v>
      </c>
      <c r="Q8" s="83">
        <f t="shared" si="4"/>
        <v>-1.4285714285712174</v>
      </c>
      <c r="R8" s="72">
        <f t="shared" si="5"/>
        <v>0.99000000000000143</v>
      </c>
      <c r="S8" s="719"/>
      <c r="T8" s="16">
        <v>0.54027777777777797</v>
      </c>
      <c r="U8" s="16">
        <v>0.59513888888888899</v>
      </c>
      <c r="V8" s="30">
        <f>(T8-U7)*24*60</f>
        <v>89.999999999999915</v>
      </c>
      <c r="W8" s="73">
        <f t="shared" si="6"/>
        <v>78.999999999999886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-19.999999999997044</v>
      </c>
      <c r="AG8" s="72">
        <f t="shared" si="8"/>
        <v>0.99000000000000143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1804.924576271181</v>
      </c>
      <c r="O15" s="117">
        <f t="shared" si="9"/>
        <v>122.85385628827768</v>
      </c>
      <c r="P15" s="121">
        <f t="shared" ref="P15:P19" si="10">M15-J15</f>
        <v>0</v>
      </c>
      <c r="Q15" s="122">
        <f t="shared" ref="Q15:Q19" si="11">O15-L15</f>
        <v>-3.7007655604618321</v>
      </c>
      <c r="R15" s="123">
        <f t="shared" ref="R15:R19" si="12">O15/L15</f>
        <v>0.97075756296846227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1</v>
      </c>
      <c r="AE15" s="323">
        <f>SUM(AE5:AE14)</f>
        <v>1</v>
      </c>
      <c r="AF15" s="309">
        <f t="shared" ref="AF15:AF19" si="13">N15-K15</f>
        <v>-55.075423728819032</v>
      </c>
      <c r="AG15" s="124">
        <f t="shared" ref="AG15:AG19" si="14">N15/K15</f>
        <v>0.97038955713504349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2421</v>
      </c>
      <c r="H16" s="134">
        <f>F16*G16</f>
        <v>138505.41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9" si="15">K16/J16</f>
        <v>161.92307692307693</v>
      </c>
      <c r="M16" s="139">
        <v>14</v>
      </c>
      <c r="N16" s="140">
        <f t="shared" ref="N16:N19" si="16">G16/W16*60</f>
        <v>2105.2173913043775</v>
      </c>
      <c r="O16" s="141">
        <f>N16/M16</f>
        <v>150.37267080745553</v>
      </c>
      <c r="P16" s="142">
        <f>M16-J16</f>
        <v>1</v>
      </c>
      <c r="Q16" s="143">
        <f t="shared" si="11"/>
        <v>-11.550406115621399</v>
      </c>
      <c r="R16" s="144">
        <f>O16/L16</f>
        <v>0.92866732565174437</v>
      </c>
      <c r="S16" s="734">
        <f>R26</f>
        <v>0.95141188696938717</v>
      </c>
      <c r="T16" s="145">
        <v>0.29027777777777802</v>
      </c>
      <c r="U16" s="145">
        <v>0.33819444444444402</v>
      </c>
      <c r="V16" s="135"/>
      <c r="W16" s="146">
        <f t="shared" ref="W16:W78" si="17">(U16-T16)*24*60</f>
        <v>68.999999999999034</v>
      </c>
      <c r="X16" s="141"/>
      <c r="Y16" s="296"/>
      <c r="Z16" s="169"/>
      <c r="AA16" s="169"/>
      <c r="AB16" s="723"/>
      <c r="AC16" s="723"/>
      <c r="AD16" s="135">
        <v>2</v>
      </c>
      <c r="AE16" s="135">
        <v>2</v>
      </c>
      <c r="AF16" s="229">
        <f t="shared" si="13"/>
        <v>0.21739130437754284</v>
      </c>
      <c r="AG16" s="52">
        <f t="shared" si="14"/>
        <v>1.0001032737788016</v>
      </c>
      <c r="AH16" s="724">
        <f>AG26</f>
        <v>0.97028068198797279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4001</v>
      </c>
      <c r="H17" s="78">
        <f>F17*G17</f>
        <v>202730.67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1983.9669421487556</v>
      </c>
      <c r="O17" s="96">
        <f t="shared" ref="O17:O19" si="18">N17/M17</f>
        <v>152.61284170375043</v>
      </c>
      <c r="P17" s="97">
        <f t="shared" si="10"/>
        <v>0</v>
      </c>
      <c r="Q17" s="98">
        <f t="shared" si="11"/>
        <v>-1.2333121424034061</v>
      </c>
      <c r="R17" s="99">
        <f t="shared" si="12"/>
        <v>0.9919834710743779</v>
      </c>
      <c r="S17" s="735"/>
      <c r="T17" s="19">
        <v>0.34513888888888899</v>
      </c>
      <c r="U17" s="19">
        <v>0.42916666666666697</v>
      </c>
      <c r="V17" s="30">
        <f>(T17-U16)*24*60</f>
        <v>10.000000000000764</v>
      </c>
      <c r="W17" s="149">
        <f t="shared" si="17"/>
        <v>121.00000000000028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-16.033057851244394</v>
      </c>
      <c r="AG17" s="72">
        <f t="shared" si="14"/>
        <v>0.99198347107437779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1789</v>
      </c>
      <c r="H18" s="78">
        <f>F18*G18</f>
        <v>90147.71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1788.999999999985</v>
      </c>
      <c r="O18" s="96">
        <f t="shared" si="18"/>
        <v>149.08333333333209</v>
      </c>
      <c r="P18" s="97">
        <f t="shared" si="10"/>
        <v>0</v>
      </c>
      <c r="Q18" s="98">
        <f t="shared" si="11"/>
        <v>-17.583333333334565</v>
      </c>
      <c r="R18" s="99">
        <f t="shared" si="12"/>
        <v>0.89449999999999263</v>
      </c>
      <c r="S18" s="735"/>
      <c r="T18" s="19">
        <v>0.4375</v>
      </c>
      <c r="U18" s="19">
        <v>0.47916666666666702</v>
      </c>
      <c r="V18" s="30">
        <f>(T18-U17)*24*60</f>
        <v>11.999999999999558</v>
      </c>
      <c r="W18" s="149">
        <f t="shared" si="17"/>
        <v>60.000000000000504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-211.00000000001501</v>
      </c>
      <c r="AG18" s="72">
        <f t="shared" si="14"/>
        <v>0.89449999999999252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3343</v>
      </c>
      <c r="H19" s="78">
        <f>F19*G19</f>
        <v>168453.77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5"/>
        <v>166.66666666666666</v>
      </c>
      <c r="M19" s="148">
        <v>12</v>
      </c>
      <c r="N19" s="95">
        <f t="shared" si="16"/>
        <v>1985.9405940594004</v>
      </c>
      <c r="O19" s="96">
        <f t="shared" si="18"/>
        <v>165.49504950495003</v>
      </c>
      <c r="P19" s="97">
        <f t="shared" si="10"/>
        <v>0</v>
      </c>
      <c r="Q19" s="98">
        <f t="shared" si="11"/>
        <v>-1.1716171617166253</v>
      </c>
      <c r="R19" s="99">
        <f t="shared" si="12"/>
        <v>0.9929702970297003</v>
      </c>
      <c r="S19" s="735"/>
      <c r="T19" s="19">
        <v>0.54166666666666696</v>
      </c>
      <c r="U19" s="19">
        <v>0.61180555555555605</v>
      </c>
      <c r="V19" s="30">
        <f>(T19-U18)*24*60</f>
        <v>89.999999999999915</v>
      </c>
      <c r="W19" s="149">
        <f t="shared" si="17"/>
        <v>101.00000000000028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-14.059405940599618</v>
      </c>
      <c r="AG19" s="72">
        <f t="shared" si="14"/>
        <v>0.99297029702970019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1966.0312318781298</v>
      </c>
      <c r="O26" s="158">
        <f t="shared" si="20"/>
        <v>154.39097383737203</v>
      </c>
      <c r="P26" s="159">
        <f t="shared" ref="P26:P30" si="21">M26-J26</f>
        <v>0.25</v>
      </c>
      <c r="Q26" s="160">
        <f t="shared" ref="Q26:Q30" si="22">O26-L26</f>
        <v>-7.8846671882689918</v>
      </c>
      <c r="R26" s="161">
        <f>O26/L26</f>
        <v>0.95141188696938717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2</v>
      </c>
      <c r="AE26" s="323">
        <f>SUM(AE16:AE25)</f>
        <v>2</v>
      </c>
      <c r="AF26" s="309">
        <f t="shared" ref="AF26:AF31" si="23">N26-K26</f>
        <v>-60.218768121870198</v>
      </c>
      <c r="AG26" s="124">
        <f t="shared" ref="AG26:AG31" si="24">N26/K26</f>
        <v>0.97028068198797279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2019</v>
      </c>
      <c r="H27" s="134">
        <f>F27*G27</f>
        <v>115688.7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0" si="25">K27/J27</f>
        <v>88.235294117647058</v>
      </c>
      <c r="M27" s="170">
        <v>16</v>
      </c>
      <c r="N27" s="140">
        <f>G27/W27*60</f>
        <v>1346</v>
      </c>
      <c r="O27" s="141">
        <f>N27/M27</f>
        <v>84.125</v>
      </c>
      <c r="P27" s="142">
        <f t="shared" si="21"/>
        <v>-1</v>
      </c>
      <c r="Q27" s="143">
        <f t="shared" si="22"/>
        <v>-4.110294117647058</v>
      </c>
      <c r="R27" s="144">
        <f>O27/L27</f>
        <v>0.95341666666666669</v>
      </c>
      <c r="S27" s="734">
        <f>R37</f>
        <v>0.92713779535887497</v>
      </c>
      <c r="T27" s="171">
        <v>0.29166666666666702</v>
      </c>
      <c r="U27" s="171">
        <v>0.35416666666666702</v>
      </c>
      <c r="V27" s="135"/>
      <c r="W27" s="146">
        <f t="shared" si="17"/>
        <v>90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-154</v>
      </c>
      <c r="AG27" s="172">
        <f t="shared" si="24"/>
        <v>0.89733333333333332</v>
      </c>
      <c r="AH27" s="724">
        <f>AG37</f>
        <v>0.89911958200241315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1548</v>
      </c>
      <c r="H28" s="91">
        <f>F28*G28</f>
        <v>85341.24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16</v>
      </c>
      <c r="N28" s="95">
        <f>G28/W28*60</f>
        <v>1238.4000000000083</v>
      </c>
      <c r="O28" s="96">
        <f>N28/M28</f>
        <v>77.400000000000517</v>
      </c>
      <c r="P28" s="97">
        <f t="shared" si="21"/>
        <v>-1</v>
      </c>
      <c r="Q28" s="98">
        <f t="shared" si="22"/>
        <v>-4.0705882352935987</v>
      </c>
      <c r="R28" s="99">
        <f t="shared" ref="R28:R30" si="26">O28/L28</f>
        <v>0.95003610108303882</v>
      </c>
      <c r="S28" s="735"/>
      <c r="T28" s="19">
        <v>0.36111111111111099</v>
      </c>
      <c r="U28" s="19">
        <v>0.41319444444444398</v>
      </c>
      <c r="V28" s="92">
        <f>(T28-U27)*24*60</f>
        <v>9.999999999999325</v>
      </c>
      <c r="W28" s="149">
        <f t="shared" si="17"/>
        <v>74.999999999999488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-146.59999999999172</v>
      </c>
      <c r="AG28" s="99">
        <f t="shared" si="24"/>
        <v>0.89415162454874242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2112</v>
      </c>
      <c r="H29" s="91">
        <f>F29*G29</f>
        <v>104586.24000000001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17</v>
      </c>
      <c r="N29" s="95">
        <f>G29/W29*60</f>
        <v>1440.0000000000025</v>
      </c>
      <c r="O29" s="96">
        <f>N29/M29</f>
        <v>84.70588235294133</v>
      </c>
      <c r="P29" s="97">
        <f t="shared" si="21"/>
        <v>0</v>
      </c>
      <c r="Q29" s="98">
        <f t="shared" si="22"/>
        <v>1.5631940186722204E-13</v>
      </c>
      <c r="R29" s="99">
        <f t="shared" si="26"/>
        <v>1.0000000000000018</v>
      </c>
      <c r="S29" s="735"/>
      <c r="T29" s="19">
        <v>0.42013888888888901</v>
      </c>
      <c r="U29" s="19">
        <v>0.48125000000000001</v>
      </c>
      <c r="V29" s="92">
        <f>(T29-U28)*24*60</f>
        <v>10.000000000000844</v>
      </c>
      <c r="W29" s="149">
        <f t="shared" si="17"/>
        <v>87.999999999999844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2.5011104298755527E-12</v>
      </c>
      <c r="AG29" s="99">
        <f t="shared" si="24"/>
        <v>1.0000000000000018</v>
      </c>
      <c r="AH29" s="744"/>
    </row>
    <row r="30" spans="1:34" ht="15" customHeight="1">
      <c r="A30" s="732"/>
      <c r="B30" s="75" t="s">
        <v>117</v>
      </c>
      <c r="C30" s="88"/>
      <c r="D30" s="59" t="s">
        <v>118</v>
      </c>
      <c r="E30" s="89"/>
      <c r="F30" s="75">
        <f>VLOOKUP(D30,廠價表!$C$1:$E$41,3,0)</f>
        <v>44.3</v>
      </c>
      <c r="G30" s="90">
        <v>3168</v>
      </c>
      <c r="H30" s="91">
        <f>F30*G30</f>
        <v>140342.39999999999</v>
      </c>
      <c r="I30" s="92"/>
      <c r="J30" s="79">
        <v>17</v>
      </c>
      <c r="K30" s="80">
        <f>VLOOKUP(D30,產線配置圖!$A$3:$C$39,3,0)</f>
        <v>1440</v>
      </c>
      <c r="L30" s="93">
        <f t="shared" si="25"/>
        <v>84.705882352941174</v>
      </c>
      <c r="M30" s="94">
        <v>17</v>
      </c>
      <c r="N30" s="95">
        <f>G30/W30*60</f>
        <v>1159.024390243902</v>
      </c>
      <c r="O30" s="96">
        <f>N30/M30</f>
        <v>68.177905308464815</v>
      </c>
      <c r="P30" s="97">
        <f t="shared" si="21"/>
        <v>0</v>
      </c>
      <c r="Q30" s="98">
        <f t="shared" si="22"/>
        <v>-16.527977044476359</v>
      </c>
      <c r="R30" s="99">
        <f t="shared" si="26"/>
        <v>0.80487804878048741</v>
      </c>
      <c r="S30" s="735"/>
      <c r="T30" s="19">
        <v>0.55277777777777803</v>
      </c>
      <c r="U30" s="19">
        <v>0.66666666666666696</v>
      </c>
      <c r="V30" s="92">
        <f>(T30-U29)*24*60</f>
        <v>103.00000000000036</v>
      </c>
      <c r="W30" s="149">
        <f t="shared" si="17"/>
        <v>164.00000000000006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-280.97560975609804</v>
      </c>
      <c r="AG30" s="99">
        <f t="shared" si="24"/>
        <v>0.80487804878048752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0</v>
      </c>
      <c r="AG31" s="99" t="e">
        <f t="shared" si="24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8">AVERAGE(J27:J36)</f>
        <v>17</v>
      </c>
      <c r="K37" s="155">
        <f t="shared" si="28"/>
        <v>1441.25</v>
      </c>
      <c r="L37" s="158">
        <f t="shared" si="28"/>
        <v>84.77941176470587</v>
      </c>
      <c r="M37" s="155">
        <f t="shared" si="28"/>
        <v>16.5</v>
      </c>
      <c r="N37" s="155">
        <f t="shared" si="28"/>
        <v>1295.856097560978</v>
      </c>
      <c r="O37" s="158">
        <f t="shared" si="28"/>
        <v>78.602196915351669</v>
      </c>
      <c r="P37" s="159">
        <f>M37-J37</f>
        <v>-0.5</v>
      </c>
      <c r="Q37" s="160">
        <f>N37-K37</f>
        <v>-145.39390243902199</v>
      </c>
      <c r="R37" s="161">
        <f t="shared" ref="R37:R41" si="29">O37/L37</f>
        <v>0.92713779535887497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0">N37-K37</f>
        <v>-145.39390243902199</v>
      </c>
      <c r="AG37" s="124">
        <f t="shared" ref="AG37:AG41" si="31">N37/K37</f>
        <v>0.89911958200241315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1238</v>
      </c>
      <c r="H38" s="134">
        <f>F38*G38</f>
        <v>70937.399999999994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1" si="32">K38/J38</f>
        <v>86.5625</v>
      </c>
      <c r="M38" s="190">
        <v>14</v>
      </c>
      <c r="N38" s="140">
        <f>G38/W38*60</f>
        <v>990.39999999998668</v>
      </c>
      <c r="O38" s="141">
        <f>N38/M38</f>
        <v>70.742857142856195</v>
      </c>
      <c r="P38" s="142">
        <f t="shared" ref="P38:P41" si="33">M38-J38</f>
        <v>-2</v>
      </c>
      <c r="Q38" s="143">
        <f t="shared" ref="Q38:Q41" si="34">O38-L38</f>
        <v>-15.819642857143805</v>
      </c>
      <c r="R38" s="144">
        <f>O38/L38</f>
        <v>0.81724600309436757</v>
      </c>
      <c r="S38" s="756">
        <f>R48</f>
        <v>0.93012610310401544</v>
      </c>
      <c r="T38" s="191">
        <v>0.33333333333333298</v>
      </c>
      <c r="U38" s="191">
        <v>0.38541666666666702</v>
      </c>
      <c r="V38" s="192"/>
      <c r="W38" s="193">
        <f t="shared" si="17"/>
        <v>75.000000000001009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0"/>
        <v>-394.60000000001332</v>
      </c>
      <c r="AG38" s="195">
        <f t="shared" si="31"/>
        <v>0.71509025270757165</v>
      </c>
      <c r="AH38" s="746">
        <f>AG48</f>
        <v>0.86948355324963655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1069</v>
      </c>
      <c r="H39" s="91">
        <f>F39*G39</f>
        <v>60323.67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2"/>
        <v>87.875</v>
      </c>
      <c r="M39" s="201">
        <v>14</v>
      </c>
      <c r="N39" s="202">
        <f>G39/W39*60</f>
        <v>1166.1818181818003</v>
      </c>
      <c r="O39" s="203">
        <f t="shared" ref="O39:O41" si="35">N39/M39</f>
        <v>83.298701298700024</v>
      </c>
      <c r="P39" s="97">
        <f t="shared" si="33"/>
        <v>-2</v>
      </c>
      <c r="Q39" s="98">
        <f t="shared" si="34"/>
        <v>-4.5762987012999758</v>
      </c>
      <c r="R39" s="99">
        <f t="shared" si="29"/>
        <v>0.94792263213314398</v>
      </c>
      <c r="S39" s="757"/>
      <c r="T39" s="20">
        <v>0.39236111111111099</v>
      </c>
      <c r="U39" s="20">
        <v>0.43055555555555602</v>
      </c>
      <c r="V39" s="92">
        <f>(T39-U38)*24*60</f>
        <v>9.999999999999325</v>
      </c>
      <c r="W39" s="205">
        <f t="shared" si="17"/>
        <v>55.000000000000846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0"/>
        <v>-239.81818181819972</v>
      </c>
      <c r="AG39" s="206">
        <f t="shared" si="31"/>
        <v>0.82943230311650096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2033</v>
      </c>
      <c r="H40" s="91">
        <f>F40*G40</f>
        <v>90061.9</v>
      </c>
      <c r="I40" s="200"/>
      <c r="J40" s="148">
        <v>17</v>
      </c>
      <c r="K40" s="95">
        <f>VLOOKUP(D40,產線配置圖!$A$3:$C$39,3,0)</f>
        <v>1440</v>
      </c>
      <c r="L40" s="96">
        <f t="shared" si="32"/>
        <v>84.705882352941174</v>
      </c>
      <c r="M40" s="201">
        <v>17</v>
      </c>
      <c r="N40" s="202">
        <f>G40/W40*60</f>
        <v>1418.372093023261</v>
      </c>
      <c r="O40" s="203">
        <f t="shared" si="35"/>
        <v>83.433652530780051</v>
      </c>
      <c r="P40" s="97">
        <f t="shared" si="33"/>
        <v>0</v>
      </c>
      <c r="Q40" s="98">
        <f t="shared" si="34"/>
        <v>-1.2722298221611226</v>
      </c>
      <c r="R40" s="99">
        <f t="shared" si="29"/>
        <v>0.98498062015504229</v>
      </c>
      <c r="S40" s="719"/>
      <c r="T40" s="20">
        <v>0.44027777777777799</v>
      </c>
      <c r="U40" s="20">
        <v>0.5</v>
      </c>
      <c r="V40" s="92">
        <f>(T40-U39)*24*60</f>
        <v>13.999999999999631</v>
      </c>
      <c r="W40" s="205">
        <f t="shared" si="17"/>
        <v>85.999999999999687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0"/>
        <v>-21.627906976739041</v>
      </c>
      <c r="AG40" s="206">
        <f t="shared" si="31"/>
        <v>0.98498062015504229</v>
      </c>
      <c r="AH40" s="747"/>
    </row>
    <row r="41" spans="1:34" ht="15" customHeight="1">
      <c r="A41" s="754"/>
      <c r="B41" s="75" t="s">
        <v>81</v>
      </c>
      <c r="C41" s="207"/>
      <c r="D41" s="198" t="s">
        <v>139</v>
      </c>
      <c r="E41" s="178"/>
      <c r="F41" s="75">
        <f>VLOOKUP(D41,廠價表!$C$1:$E$41,3,0)</f>
        <v>50.67</v>
      </c>
      <c r="G41" s="199">
        <v>2164</v>
      </c>
      <c r="H41" s="91">
        <f>F41*G41</f>
        <v>109649.88</v>
      </c>
      <c r="I41" s="200"/>
      <c r="J41" s="148">
        <f>VLOOKUP(D41,產線配置圖!$A$3:$C$39,2,0)</f>
        <v>10</v>
      </c>
      <c r="K41" s="95">
        <f>VLOOKUP(D41,產線配置圖!$A$3:$C$39,3,0)</f>
        <v>1125</v>
      </c>
      <c r="L41" s="96">
        <f t="shared" si="32"/>
        <v>112.5</v>
      </c>
      <c r="M41" s="201">
        <v>10</v>
      </c>
      <c r="N41" s="202">
        <f>G41/W41*60</f>
        <v>1082.0000000000052</v>
      </c>
      <c r="O41" s="203">
        <f t="shared" si="35"/>
        <v>108.20000000000053</v>
      </c>
      <c r="P41" s="97">
        <f t="shared" si="33"/>
        <v>0</v>
      </c>
      <c r="Q41" s="98">
        <f t="shared" si="34"/>
        <v>-4.2999999999994714</v>
      </c>
      <c r="R41" s="99">
        <f t="shared" si="29"/>
        <v>0.96177777777778251</v>
      </c>
      <c r="S41" s="719"/>
      <c r="T41" s="20">
        <v>0.55555555555555602</v>
      </c>
      <c r="U41" s="210">
        <v>0.63888888888888895</v>
      </c>
      <c r="V41" s="92">
        <f>(T41-U40)*24*60</f>
        <v>80.000000000000682</v>
      </c>
      <c r="W41" s="205">
        <f t="shared" si="17"/>
        <v>119.99999999999942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0"/>
        <v>-42.99999999999477</v>
      </c>
      <c r="AG41" s="206">
        <f t="shared" si="31"/>
        <v>0.96177777777778239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7">AVERAGE(J38:J47)</f>
        <v>14.75</v>
      </c>
      <c r="K48" s="155">
        <f t="shared" si="37"/>
        <v>1339</v>
      </c>
      <c r="L48" s="158">
        <f t="shared" si="37"/>
        <v>92.91084558823529</v>
      </c>
      <c r="M48" s="155">
        <f t="shared" si="37"/>
        <v>13.75</v>
      </c>
      <c r="N48" s="155">
        <f t="shared" si="37"/>
        <v>1164.2384778012633</v>
      </c>
      <c r="O48" s="158">
        <f t="shared" si="37"/>
        <v>86.4188027430842</v>
      </c>
      <c r="P48" s="221">
        <f>M48-J48</f>
        <v>-1</v>
      </c>
      <c r="Q48" s="222">
        <f>N48-K48</f>
        <v>-174.76152219873666</v>
      </c>
      <c r="R48" s="223">
        <f>O48/L48</f>
        <v>0.93012610310401544</v>
      </c>
      <c r="S48" s="722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38">N48-K48</f>
        <v>-174.76152219873666</v>
      </c>
      <c r="AG48" s="162">
        <f t="shared" ref="AG48:AG53" si="39">N48/K48</f>
        <v>0.86948355324963655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1327</v>
      </c>
      <c r="H49" s="134">
        <f>F49*G49</f>
        <v>75466.489999999991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3" si="40">K49/J49</f>
        <v>86.944444444444443</v>
      </c>
      <c r="M49" s="170">
        <v>18</v>
      </c>
      <c r="N49" s="140">
        <f>G49/W49*60</f>
        <v>1502.2641509434195</v>
      </c>
      <c r="O49" s="141">
        <f>N49/M49</f>
        <v>83.459119496856644</v>
      </c>
      <c r="P49" s="229">
        <f>M49-J49</f>
        <v>0</v>
      </c>
      <c r="Q49" s="230">
        <f>O49-L49</f>
        <v>-3.4853249475877988</v>
      </c>
      <c r="R49" s="52">
        <f>O49/L49</f>
        <v>0.95991319549100296</v>
      </c>
      <c r="S49" s="718">
        <f>R58</f>
        <v>0.96302321675760172</v>
      </c>
      <c r="T49" s="191">
        <v>0.29166666666666702</v>
      </c>
      <c r="U49" s="191">
        <v>0.328472222222222</v>
      </c>
      <c r="V49" s="55"/>
      <c r="W49" s="193">
        <f t="shared" si="17"/>
        <v>52.999999999999176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38"/>
        <v>-62.735849056580491</v>
      </c>
      <c r="AG49" s="52">
        <f t="shared" si="39"/>
        <v>0.95991319549100285</v>
      </c>
      <c r="AH49" s="724">
        <f>AG58</f>
        <v>0.96318389174946306</v>
      </c>
    </row>
    <row r="50" spans="1:34" ht="15" customHeight="1">
      <c r="A50" s="751"/>
      <c r="B50" s="75" t="s">
        <v>81</v>
      </c>
      <c r="C50" s="76"/>
      <c r="D50" s="59" t="s">
        <v>134</v>
      </c>
      <c r="E50" s="77"/>
      <c r="F50" s="75">
        <f>VLOOKUP(D50,廠價表!$C$1:$E$41,3,0)</f>
        <v>49.97</v>
      </c>
      <c r="G50" s="202">
        <v>2495</v>
      </c>
      <c r="H50" s="231">
        <f>F50*G50</f>
        <v>124675.15</v>
      </c>
      <c r="I50" s="232"/>
      <c r="J50" s="79">
        <f>VLOOKUP(D50,產線配置圖!$A$3:$C$39,2,0)</f>
        <v>18</v>
      </c>
      <c r="K50" s="80">
        <f>VLOOKUP(D50,產線配置圖!$A$3:$C$39,3,0)</f>
        <v>1600</v>
      </c>
      <c r="L50" s="81">
        <f t="shared" si="40"/>
        <v>88.888888888888886</v>
      </c>
      <c r="M50" s="233">
        <v>18</v>
      </c>
      <c r="N50" s="234">
        <f>G50/W50*60</f>
        <v>1559.3750000000146</v>
      </c>
      <c r="O50" s="235">
        <f>N50/M50</f>
        <v>86.631944444445253</v>
      </c>
      <c r="P50" s="74">
        <f>M50-J50</f>
        <v>0</v>
      </c>
      <c r="Q50" s="83">
        <f>O50-L50</f>
        <v>-2.2569444444436328</v>
      </c>
      <c r="R50" s="72">
        <f>O50/L50</f>
        <v>0.9746093750000091</v>
      </c>
      <c r="S50" s="719"/>
      <c r="T50" s="21">
        <v>0.33541666666666697</v>
      </c>
      <c r="U50" s="21">
        <v>0.40208333333333302</v>
      </c>
      <c r="V50" s="30">
        <f t="shared" ref="V50:V53" si="41">(T50-U49)*24*60</f>
        <v>10.000000000000764</v>
      </c>
      <c r="W50" s="236">
        <f t="shared" si="17"/>
        <v>95.999999999999105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38"/>
        <v>-40.624999999985448</v>
      </c>
      <c r="AG50" s="72">
        <f t="shared" si="39"/>
        <v>0.9746093750000091</v>
      </c>
      <c r="AH50" s="725"/>
    </row>
    <row r="51" spans="1:34" ht="15" customHeight="1">
      <c r="A51" s="751"/>
      <c r="B51" s="75" t="s">
        <v>117</v>
      </c>
      <c r="C51" s="76"/>
      <c r="D51" s="59" t="s">
        <v>133</v>
      </c>
      <c r="E51" s="77"/>
      <c r="F51" s="75">
        <f>VLOOKUP(D51,廠價表!$C$1:$E$41,3,0)</f>
        <v>49.91</v>
      </c>
      <c r="G51" s="202">
        <v>2237</v>
      </c>
      <c r="H51" s="231">
        <f>F51*G51</f>
        <v>111648.67</v>
      </c>
      <c r="I51" s="232"/>
      <c r="J51" s="79">
        <f>VLOOKUP(D51,產線配置圖!$A$3:$C$39,2,0)</f>
        <v>17</v>
      </c>
      <c r="K51" s="80">
        <f>VLOOKUP(D51,產線配置圖!$A$3:$C$39,3,0)</f>
        <v>1565</v>
      </c>
      <c r="L51" s="81">
        <f t="shared" si="40"/>
        <v>92.058823529411768</v>
      </c>
      <c r="M51" s="233">
        <v>17</v>
      </c>
      <c r="N51" s="234">
        <f>G51/W51*60</f>
        <v>1560.6976744186102</v>
      </c>
      <c r="O51" s="235">
        <f>N51/M51</f>
        <v>91.805745554035894</v>
      </c>
      <c r="P51" s="74">
        <f>M51-J51</f>
        <v>0</v>
      </c>
      <c r="Q51" s="83">
        <f>O51-L51</f>
        <v>-0.25307797537587362</v>
      </c>
      <c r="R51" s="72">
        <f>O51/L51</f>
        <v>0.99725091017163592</v>
      </c>
      <c r="S51" s="719"/>
      <c r="T51" s="21">
        <v>0.40763888888888899</v>
      </c>
      <c r="U51" s="19">
        <v>0.46736111111111101</v>
      </c>
      <c r="V51" s="30">
        <f t="shared" si="41"/>
        <v>8.0000000000006111</v>
      </c>
      <c r="W51" s="236">
        <f t="shared" si="17"/>
        <v>85.999999999999687</v>
      </c>
      <c r="X51" s="22"/>
      <c r="Y51" s="84"/>
      <c r="Z51" s="90">
        <v>1</v>
      </c>
      <c r="AA51" s="90">
        <v>5</v>
      </c>
      <c r="AB51" s="713" t="s">
        <v>186</v>
      </c>
      <c r="AC51" s="713"/>
      <c r="AD51" s="92"/>
      <c r="AE51" s="92"/>
      <c r="AF51" s="307">
        <f t="shared" si="38"/>
        <v>-4.3023255813898231</v>
      </c>
      <c r="AG51" s="72">
        <f t="shared" si="39"/>
        <v>0.99725091017163592</v>
      </c>
      <c r="AH51" s="725"/>
    </row>
    <row r="52" spans="1:34" ht="15" customHeight="1">
      <c r="A52" s="751"/>
      <c r="B52" s="75" t="s">
        <v>117</v>
      </c>
      <c r="C52" s="86"/>
      <c r="D52" s="59" t="s">
        <v>133</v>
      </c>
      <c r="E52" s="87"/>
      <c r="F52" s="75">
        <f>VLOOKUP(D52,廠價表!$C$1:$E$41,3,0)</f>
        <v>49.91</v>
      </c>
      <c r="G52" s="202">
        <v>358</v>
      </c>
      <c r="H52" s="231">
        <f t="shared" ref="H52:H53" si="42">F52*G52</f>
        <v>17867.78</v>
      </c>
      <c r="I52" s="232"/>
      <c r="J52" s="79">
        <f>VLOOKUP(D52,產線配置圖!$A$3:$C$39,2,0)</f>
        <v>17</v>
      </c>
      <c r="K52" s="80">
        <f>VLOOKUP(D52,產線配置圖!$A$3:$C$39,3,0)</f>
        <v>1565</v>
      </c>
      <c r="L52" s="81">
        <f t="shared" si="40"/>
        <v>92.058823529411768</v>
      </c>
      <c r="M52" s="233">
        <v>17</v>
      </c>
      <c r="N52" s="234">
        <f t="shared" ref="N52:N53" si="43">G52/W52*60</f>
        <v>1431.9999999999593</v>
      </c>
      <c r="O52" s="235">
        <f t="shared" ref="O52:O53" si="44">N52/M52</f>
        <v>84.235294117644671</v>
      </c>
      <c r="P52" s="74">
        <f t="shared" ref="P52:P53" si="45">M52-J52</f>
        <v>0</v>
      </c>
      <c r="Q52" s="83">
        <f t="shared" ref="Q52:Q53" si="46">O52-L52</f>
        <v>-7.8235294117670975</v>
      </c>
      <c r="R52" s="72">
        <f t="shared" ref="R52:R53" si="47">O52/L52</f>
        <v>0.91501597444086857</v>
      </c>
      <c r="S52" s="719"/>
      <c r="T52" s="21">
        <v>0.53125</v>
      </c>
      <c r="U52" s="21">
        <v>0.54166666666666696</v>
      </c>
      <c r="V52" s="30">
        <f t="shared" si="41"/>
        <v>92.000000000000156</v>
      </c>
      <c r="W52" s="236">
        <f t="shared" si="17"/>
        <v>15.000000000000426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38"/>
        <v>-133.0000000000407</v>
      </c>
      <c r="AG52" s="72">
        <f t="shared" si="39"/>
        <v>0.91501597444086857</v>
      </c>
      <c r="AH52" s="725"/>
    </row>
    <row r="53" spans="1:34" ht="15" customHeight="1">
      <c r="A53" s="751"/>
      <c r="B53" s="101" t="s">
        <v>81</v>
      </c>
      <c r="C53" s="102"/>
      <c r="D53" s="103" t="s">
        <v>134</v>
      </c>
      <c r="E53" s="104"/>
      <c r="F53" s="75">
        <f>VLOOKUP(D53,廠價表!$C$1:$E$41,3,0)</f>
        <v>49.97</v>
      </c>
      <c r="G53" s="202">
        <v>3100</v>
      </c>
      <c r="H53" s="231">
        <f t="shared" si="42"/>
        <v>154907</v>
      </c>
      <c r="I53" s="30"/>
      <c r="J53" s="79">
        <f>VLOOKUP(D53,產線配置圖!$A$3:$C$39,2,0)</f>
        <v>18</v>
      </c>
      <c r="K53" s="80">
        <f>VLOOKUP(D53,產線配置圖!$A$3:$C$39,3,0)</f>
        <v>1600</v>
      </c>
      <c r="L53" s="81">
        <f t="shared" si="40"/>
        <v>88.888888888888886</v>
      </c>
      <c r="M53" s="108">
        <v>18</v>
      </c>
      <c r="N53" s="234">
        <f t="shared" si="43"/>
        <v>1550.0000000000075</v>
      </c>
      <c r="O53" s="235">
        <f t="shared" si="44"/>
        <v>86.111111111111526</v>
      </c>
      <c r="P53" s="74">
        <f t="shared" si="45"/>
        <v>0</v>
      </c>
      <c r="Q53" s="83">
        <f t="shared" si="46"/>
        <v>-2.7777777777773593</v>
      </c>
      <c r="R53" s="72">
        <f t="shared" si="47"/>
        <v>0.96875000000000466</v>
      </c>
      <c r="S53" s="719"/>
      <c r="T53" s="21">
        <v>0.54930555555555605</v>
      </c>
      <c r="U53" s="21">
        <v>0.63263888888888897</v>
      </c>
      <c r="V53" s="30">
        <f t="shared" si="41"/>
        <v>11.000000000000281</v>
      </c>
      <c r="W53" s="236">
        <f t="shared" si="17"/>
        <v>119.99999999999942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38"/>
        <v>-49.999999999992497</v>
      </c>
      <c r="AG53" s="72">
        <f t="shared" si="39"/>
        <v>0.96875000000000466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8">AVERAGE(J49:J57)</f>
        <v>17.600000000000001</v>
      </c>
      <c r="K58" s="120">
        <f t="shared" si="48"/>
        <v>1579</v>
      </c>
      <c r="L58" s="117">
        <f t="shared" si="48"/>
        <v>89.767973856209139</v>
      </c>
      <c r="M58" s="120">
        <f t="shared" si="48"/>
        <v>17.600000000000001</v>
      </c>
      <c r="N58" s="120">
        <f t="shared" si="48"/>
        <v>1520.8673650724022</v>
      </c>
      <c r="O58" s="117">
        <f t="shared" si="48"/>
        <v>86.448642944818815</v>
      </c>
      <c r="P58" s="121">
        <f>M58-J58</f>
        <v>0</v>
      </c>
      <c r="Q58" s="122">
        <f>N58-K58</f>
        <v>-58.132634927597792</v>
      </c>
      <c r="R58" s="123">
        <f t="shared" ref="R58:R60" si="49">O58/L58</f>
        <v>0.96302321675760172</v>
      </c>
      <c r="S58" s="72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5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0">N58-K58</f>
        <v>-58.132634927597792</v>
      </c>
      <c r="AG58" s="124">
        <f t="shared" ref="AG58:AG61" si="51">N58/K58</f>
        <v>0.96318389174946306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3702</v>
      </c>
      <c r="H59" s="243">
        <f>F59*G59</f>
        <v>99916.98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2">K59/J59</f>
        <v>120.38461538461539</v>
      </c>
      <c r="M59" s="244">
        <v>13</v>
      </c>
      <c r="N59" s="137">
        <f t="shared" ref="N59:N61" si="53">G59/W59*60</f>
        <v>1346.1818181818223</v>
      </c>
      <c r="O59" s="138">
        <f t="shared" ref="O59:O61" si="54">N59/M59</f>
        <v>103.55244755244787</v>
      </c>
      <c r="P59" s="56">
        <f t="shared" ref="P59:P61" si="55">M59-J59</f>
        <v>0</v>
      </c>
      <c r="Q59" s="230">
        <f t="shared" ref="Q59:Q61" si="56">O59-L59</f>
        <v>-16.832167832167514</v>
      </c>
      <c r="R59" s="52">
        <f t="shared" si="49"/>
        <v>0.86018007551554143</v>
      </c>
      <c r="S59" s="718">
        <f>R69</f>
        <v>0.71513085283641808</v>
      </c>
      <c r="T59" s="245">
        <v>0.29166666666666702</v>
      </c>
      <c r="U59" s="245">
        <v>0.40625</v>
      </c>
      <c r="V59" s="55"/>
      <c r="W59" s="54">
        <f t="shared" si="17"/>
        <v>164.99999999999949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0"/>
        <v>-218.81818181817766</v>
      </c>
      <c r="AG59" s="246">
        <f t="shared" si="51"/>
        <v>0.86018007551554143</v>
      </c>
      <c r="AH59" s="724">
        <f>AG69</f>
        <v>0.73155097298867244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323</v>
      </c>
      <c r="H60" s="78">
        <f>F60*G60</f>
        <v>9195.81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2"/>
        <v>130.41666666666666</v>
      </c>
      <c r="M60" s="82">
        <v>13</v>
      </c>
      <c r="N60" s="80">
        <f t="shared" si="53"/>
        <v>775.20000000000528</v>
      </c>
      <c r="O60" s="81">
        <f t="shared" si="54"/>
        <v>59.630769230769637</v>
      </c>
      <c r="P60" s="74">
        <f t="shared" si="55"/>
        <v>1</v>
      </c>
      <c r="Q60" s="83">
        <f t="shared" si="56"/>
        <v>-70.785897435897027</v>
      </c>
      <c r="R60" s="72">
        <f t="shared" si="49"/>
        <v>0.45723273531580555</v>
      </c>
      <c r="S60" s="768"/>
      <c r="T60" s="22">
        <v>0.42013888888888901</v>
      </c>
      <c r="U60" s="22">
        <v>0.4375</v>
      </c>
      <c r="V60" s="30">
        <f t="shared" ref="V60:V61" si="57">(T60-U59)*24*60</f>
        <v>20.000000000000171</v>
      </c>
      <c r="W60" s="248">
        <f t="shared" si="17"/>
        <v>24.999999999999829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0"/>
        <v>-789.79999999999472</v>
      </c>
      <c r="AG60" s="249">
        <f t="shared" si="51"/>
        <v>0.4953354632587893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1751</v>
      </c>
      <c r="H61" s="254">
        <f>F61*G61</f>
        <v>49483.26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2"/>
        <v>130.41666666666666</v>
      </c>
      <c r="M61" s="108">
        <v>12</v>
      </c>
      <c r="N61" s="107">
        <f t="shared" si="53"/>
        <v>1313.2499999999889</v>
      </c>
      <c r="O61" s="238">
        <f t="shared" si="54"/>
        <v>109.43749999999908</v>
      </c>
      <c r="P61" s="111">
        <f t="shared" si="55"/>
        <v>0</v>
      </c>
      <c r="Q61" s="255">
        <f t="shared" si="56"/>
        <v>-20.979166666667581</v>
      </c>
      <c r="R61" s="85">
        <f>O61/L61</f>
        <v>0.83913738019168627</v>
      </c>
      <c r="S61" s="719"/>
      <c r="T61" s="22">
        <v>0.44097222222222199</v>
      </c>
      <c r="U61" s="22">
        <v>0.49652777777777801</v>
      </c>
      <c r="V61" s="30">
        <f t="shared" si="57"/>
        <v>4.9999999999996625</v>
      </c>
      <c r="W61" s="256">
        <f t="shared" si="17"/>
        <v>80.000000000000682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0"/>
        <v>-251.75000000001114</v>
      </c>
      <c r="AG61" s="247">
        <f t="shared" si="51"/>
        <v>0.83913738019168616</v>
      </c>
      <c r="AH61" s="725"/>
    </row>
    <row r="62" spans="1:34" ht="15" customHeight="1">
      <c r="A62" s="76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19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0</v>
      </c>
      <c r="AG62" s="247" t="e">
        <f>N62/K62</f>
        <v>#DIV/0!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8">AVERAGE(J59:J68)</f>
        <v>12.333333333333334</v>
      </c>
      <c r="K69" s="240">
        <f t="shared" si="58"/>
        <v>1565</v>
      </c>
      <c r="L69" s="268">
        <f t="shared" si="58"/>
        <v>127.07264957264958</v>
      </c>
      <c r="M69" s="240">
        <f t="shared" si="58"/>
        <v>12.666666666666666</v>
      </c>
      <c r="N69" s="240">
        <f t="shared" si="58"/>
        <v>1144.8772727272724</v>
      </c>
      <c r="O69" s="268">
        <f t="shared" si="58"/>
        <v>90.873572261072198</v>
      </c>
      <c r="P69" s="269">
        <f>M69-J69</f>
        <v>0.33333333333333215</v>
      </c>
      <c r="Q69" s="222">
        <f>N69-K69</f>
        <v>-420.12272727272762</v>
      </c>
      <c r="R69" s="123">
        <f>O69/L69</f>
        <v>0.71513085283641808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-420.12272727272762</v>
      </c>
      <c r="AG69" s="124">
        <f>N69/K69</f>
        <v>0.73155097298867244</v>
      </c>
      <c r="AH69" s="727"/>
    </row>
    <row r="70" spans="1:36" ht="15" customHeight="1">
      <c r="A70" s="760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718">
        <f>R79</f>
        <v>0</v>
      </c>
      <c r="T70" s="245"/>
      <c r="U70" s="245"/>
      <c r="V70" s="55"/>
      <c r="W70" s="54">
        <f t="shared" si="17"/>
        <v>0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0</v>
      </c>
      <c r="AG70" s="246" t="e">
        <f>N70/K70</f>
        <v>#DIV/0!</v>
      </c>
      <c r="AH70" s="724" t="e">
        <f>AG79</f>
        <v>#DIV/0!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9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9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9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9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P1:S2"/>
    <mergeCell ref="W3:W4"/>
    <mergeCell ref="X3:Y3"/>
    <mergeCell ref="Z3:AA3"/>
    <mergeCell ref="AB3:AC4"/>
    <mergeCell ref="T1:Y2"/>
    <mergeCell ref="AB1:AC2"/>
    <mergeCell ref="P3:P4"/>
    <mergeCell ref="Q3:Q4"/>
    <mergeCell ref="A2:B2"/>
    <mergeCell ref="A3:A4"/>
    <mergeCell ref="B3:B4"/>
    <mergeCell ref="D3:E4"/>
    <mergeCell ref="F3:F4"/>
    <mergeCell ref="H3:H4"/>
    <mergeCell ref="I3:I4"/>
    <mergeCell ref="G3:G4"/>
    <mergeCell ref="N3:N4"/>
    <mergeCell ref="O3:O4"/>
    <mergeCell ref="A5:A15"/>
    <mergeCell ref="S5:S15"/>
    <mergeCell ref="AB5:AC5"/>
    <mergeCell ref="R3:R4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16:A26"/>
    <mergeCell ref="S16:S26"/>
    <mergeCell ref="AB16:AC16"/>
    <mergeCell ref="D26:E26"/>
    <mergeCell ref="AB26:AC2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89" priority="1" operator="greaterThan">
      <formula>0</formula>
    </cfRule>
  </conditionalFormatting>
  <conditionalFormatting sqref="Q5:Q79 AF5:AF79">
    <cfRule type="cellIs" dxfId="188" priority="4" operator="lessThan">
      <formula>0</formula>
    </cfRule>
  </conditionalFormatting>
  <conditionalFormatting sqref="R5:R79 AG5:AG79">
    <cfRule type="cellIs" dxfId="187" priority="2" operator="greaterThan">
      <formula>1</formula>
    </cfRule>
    <cfRule type="cellIs" dxfId="186" priority="3" operator="lessThan">
      <formula>0.8</formula>
    </cfRule>
  </conditionalFormatting>
  <conditionalFormatting sqref="S5:S10 S37:S62 AH59:AH62 S69:S76 AH69:AH76">
    <cfRule type="cellIs" dxfId="185" priority="7" operator="lessThan">
      <formula>0.8</formula>
    </cfRule>
  </conditionalFormatting>
  <conditionalFormatting sqref="S19:S25 AH19:AH25">
    <cfRule type="cellIs" dxfId="184" priority="6" operator="lessThan">
      <formula>0.8</formula>
    </cfRule>
  </conditionalFormatting>
  <conditionalFormatting sqref="S79">
    <cfRule type="cellIs" dxfId="183" priority="5" operator="lessThan">
      <formula>0.8</formula>
    </cfRule>
  </conditionalFormatting>
  <conditionalFormatting sqref="AH5:AH8 S15:S16 AH15:AH16 AH49 AH79">
    <cfRule type="cellIs" dxfId="182" priority="9" operator="lessThan">
      <formula>0.8</formula>
    </cfRule>
  </conditionalFormatting>
  <conditionalFormatting sqref="AH27 S27:S28">
    <cfRule type="cellIs" dxfId="18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A1EF03-A9FA-47CA-9E21-3AD9BE00FF8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A2BA-530C-4A3D-B6CA-A13585F04B14}">
  <dimension ref="B1:O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46041</v>
      </c>
      <c r="E3" s="645"/>
      <c r="F3" s="3" t="s">
        <v>72</v>
      </c>
      <c r="G3" s="646">
        <f>'0119'!E1</f>
        <v>52684</v>
      </c>
      <c r="H3" s="646"/>
      <c r="I3" s="3" t="s">
        <v>2</v>
      </c>
      <c r="J3" s="647">
        <f>'0119'!G1</f>
        <v>2538263.8800000004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113.79562089258781</v>
      </c>
      <c r="G6" s="652"/>
      <c r="H6" s="653">
        <f>AVERAGE(D13:H13,J13)</f>
        <v>111.14021515657547</v>
      </c>
      <c r="I6" s="653"/>
      <c r="J6" s="653">
        <f>AVERAGE(I13)</f>
        <v>127.07264957264958</v>
      </c>
      <c r="K6" s="653"/>
      <c r="L6" s="769">
        <f>SUM(D18:J18)</f>
        <v>1</v>
      </c>
      <c r="M6" s="656">
        <f>SUM(D19:J19)</f>
        <v>11</v>
      </c>
      <c r="N6" s="771">
        <f>SUM(D20:J20)</f>
        <v>3</v>
      </c>
      <c r="O6" s="656">
        <f>SUM(D20:J20)</f>
        <v>3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105.26803243461279</v>
      </c>
      <c r="G7" s="676"/>
      <c r="H7" s="677">
        <f>AVERAGE(D14:H14,J14)</f>
        <v>104.68819875059543</v>
      </c>
      <c r="I7" s="677"/>
      <c r="J7" s="677">
        <f>AVERAGE(I14)</f>
        <v>108.16720085469954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0.92506224412603499</v>
      </c>
      <c r="G8" s="649"/>
      <c r="H8" s="649">
        <f>H7/H6</f>
        <v>0.94194705852521188</v>
      </c>
      <c r="I8" s="649"/>
      <c r="J8" s="649">
        <f>J7/J6</f>
        <v>0.85122330586849471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VALUE('0119'!L15)</f>
        <v>126.55462184873952</v>
      </c>
      <c r="E13" s="13">
        <f>VALUE('0119'!L26)</f>
        <v>162.27564102564102</v>
      </c>
      <c r="F13" s="13">
        <f>VALUE('0119'!L37)</f>
        <v>84.764705882352928</v>
      </c>
      <c r="G13" s="13">
        <f>VALUE('0119'!L48)</f>
        <v>92.91084558823529</v>
      </c>
      <c r="H13" s="13">
        <f>VALUE('0119'!L58)</f>
        <v>89.195261437908499</v>
      </c>
      <c r="I13" s="13">
        <f>VALUE('0119'!L69)</f>
        <v>127.07264957264958</v>
      </c>
      <c r="J13" s="13"/>
    </row>
    <row r="14" spans="2:15" ht="39.950000000000003" customHeight="1">
      <c r="B14" s="670"/>
      <c r="C14" s="12" t="s">
        <v>100</v>
      </c>
      <c r="D14" s="13">
        <f>VALUE('0119'!O15)</f>
        <v>124.71530255014198</v>
      </c>
      <c r="E14" s="13">
        <f>VALUE('0119'!O26)</f>
        <v>150.55833810269419</v>
      </c>
      <c r="F14" s="13">
        <f>VALUE('0119'!O37)</f>
        <v>81.951493169878631</v>
      </c>
      <c r="G14" s="13">
        <f>VALUE('0119'!O48)</f>
        <v>79.734935897435321</v>
      </c>
      <c r="H14" s="13">
        <f>VALUE('0119'!O58)</f>
        <v>86.480924032827019</v>
      </c>
      <c r="I14" s="13">
        <f>VALUE('0119'!O69)</f>
        <v>108.16720085469954</v>
      </c>
      <c r="J14" s="13"/>
    </row>
    <row r="15" spans="2:15" ht="39.950000000000003" customHeight="1">
      <c r="B15" s="671"/>
      <c r="C15" s="10" t="s">
        <v>26</v>
      </c>
      <c r="D15" s="14">
        <f>D14/D13</f>
        <v>0.98546620208943514</v>
      </c>
      <c r="E15" s="14">
        <f t="shared" ref="E15:I15" si="1">E14/E13</f>
        <v>0.92779382753388484</v>
      </c>
      <c r="F15" s="14">
        <f t="shared" si="1"/>
        <v>0.96681150859676401</v>
      </c>
      <c r="G15" s="14">
        <f t="shared" si="1"/>
        <v>0.85818760331605082</v>
      </c>
      <c r="H15" s="14">
        <f t="shared" si="1"/>
        <v>0.96956859185876132</v>
      </c>
      <c r="I15" s="14">
        <f t="shared" si="1"/>
        <v>0.85122330586849471</v>
      </c>
      <c r="J15" s="15"/>
    </row>
    <row r="16" spans="2:15" ht="17.25" customHeight="1">
      <c r="B16" s="672" t="s">
        <v>101</v>
      </c>
      <c r="C16" s="10" t="s">
        <v>34</v>
      </c>
      <c r="D16" s="16">
        <f>'0119'!T5</f>
        <v>0.29027777777777802</v>
      </c>
      <c r="E16" s="16">
        <f>'0119'!T16</f>
        <v>0.29027777777777802</v>
      </c>
      <c r="F16" s="16">
        <f>'0119'!T27</f>
        <v>0.29027777777777802</v>
      </c>
      <c r="G16" s="16">
        <f>'0119'!T38</f>
        <v>0.33333333333333298</v>
      </c>
      <c r="H16" s="16">
        <f>'0119'!T49</f>
        <v>0.29166666666666702</v>
      </c>
      <c r="I16" s="16">
        <f>'0119'!T59</f>
        <v>0.29166666666666702</v>
      </c>
      <c r="J16" s="17"/>
    </row>
    <row r="17" spans="2:10" ht="17.25" customHeight="1">
      <c r="B17" s="673"/>
      <c r="C17" s="10" t="s">
        <v>35</v>
      </c>
      <c r="D17" s="16">
        <v>0.60138888888888897</v>
      </c>
      <c r="E17" s="19">
        <v>0.61458333333333304</v>
      </c>
      <c r="F17" s="19">
        <v>0.65277777777777801</v>
      </c>
      <c r="G17" s="210">
        <v>0.65972222222222199</v>
      </c>
      <c r="H17" s="21">
        <v>0.62152777777777801</v>
      </c>
      <c r="I17" s="22">
        <v>0.5</v>
      </c>
      <c r="J17" s="22"/>
    </row>
    <row r="18" spans="2:10" ht="17.25" customHeight="1">
      <c r="B18" s="674" t="s">
        <v>102</v>
      </c>
      <c r="C18" s="330" t="s">
        <v>36</v>
      </c>
      <c r="D18" s="358">
        <f>'0119'!Z15</f>
        <v>0</v>
      </c>
      <c r="E18" s="359">
        <f>'0119'!Z26</f>
        <v>0</v>
      </c>
      <c r="F18" s="359">
        <f>'0119'!Z37</f>
        <v>0</v>
      </c>
      <c r="G18" s="360">
        <f>'0119'!Z48</f>
        <v>0</v>
      </c>
      <c r="H18" s="360">
        <f>'0119'!Z58</f>
        <v>1</v>
      </c>
      <c r="I18" s="359">
        <f>'0119'!Z69</f>
        <v>0</v>
      </c>
      <c r="J18" s="359"/>
    </row>
    <row r="19" spans="2:10" ht="17.25" customHeight="1">
      <c r="B19" s="675"/>
      <c r="C19" s="330" t="s">
        <v>37</v>
      </c>
      <c r="D19" s="358">
        <f>'0119'!AA15</f>
        <v>0</v>
      </c>
      <c r="E19" s="359">
        <f>'0119'!AA26</f>
        <v>0</v>
      </c>
      <c r="F19" s="359">
        <f>'0119'!AA37</f>
        <v>0</v>
      </c>
      <c r="G19" s="360">
        <f>'0119'!AA48</f>
        <v>0</v>
      </c>
      <c r="H19" s="360">
        <f>'0119'!AA58</f>
        <v>11</v>
      </c>
      <c r="I19" s="359">
        <f>'0119'!AA69</f>
        <v>0</v>
      </c>
      <c r="J19" s="359"/>
    </row>
    <row r="20" spans="2:10" ht="17.25" customHeight="1">
      <c r="B20" s="674" t="s">
        <v>103</v>
      </c>
      <c r="C20" s="330" t="s">
        <v>36</v>
      </c>
      <c r="D20" s="358">
        <f>'0119'!AD15</f>
        <v>0</v>
      </c>
      <c r="E20" s="359">
        <f>'0119'!AD26</f>
        <v>3</v>
      </c>
      <c r="F20" s="359">
        <f>'0119'!AD37</f>
        <v>0</v>
      </c>
      <c r="G20" s="360">
        <f>'0119'!AD48</f>
        <v>0</v>
      </c>
      <c r="H20" s="360">
        <f>'0119'!AD58</f>
        <v>0</v>
      </c>
      <c r="I20" s="359">
        <f>'0119'!AD69</f>
        <v>0</v>
      </c>
      <c r="J20" s="359"/>
    </row>
    <row r="21" spans="2:10" ht="17.25" customHeight="1">
      <c r="B21" s="675"/>
      <c r="C21" s="330" t="s">
        <v>85</v>
      </c>
      <c r="D21" s="358">
        <f>'0119'!AE15</f>
        <v>0</v>
      </c>
      <c r="E21" s="359">
        <f>'0119'!AE26</f>
        <v>3</v>
      </c>
      <c r="F21" s="359">
        <f>'0108'!AE37</f>
        <v>0</v>
      </c>
      <c r="G21" s="360">
        <f>'0119'!AE48</f>
        <v>0</v>
      </c>
      <c r="H21" s="360">
        <f>'0119'!AE58</f>
        <v>0</v>
      </c>
      <c r="I21" s="359">
        <f>'0119'!AE69</f>
        <v>0</v>
      </c>
      <c r="J21" s="359"/>
    </row>
    <row r="22" spans="2:10" ht="17.25" customHeight="1">
      <c r="B22" s="658" t="s">
        <v>104</v>
      </c>
      <c r="C22" s="659"/>
      <c r="D22" s="23">
        <f>VALUE('0119'!M15)</f>
        <v>14.75</v>
      </c>
      <c r="E22" s="23">
        <f>VALUE('0119'!M26)</f>
        <v>12.75</v>
      </c>
      <c r="F22" s="23">
        <f>VALUE('0119'!M37)</f>
        <v>17</v>
      </c>
      <c r="G22" s="23">
        <f>VALUE('0119'!M48)</f>
        <v>13.75</v>
      </c>
      <c r="H22" s="23">
        <f>VALUE('0119'!M58)</f>
        <v>17.75</v>
      </c>
      <c r="I22" s="23">
        <f>VALUE('0119'!M69)</f>
        <v>12.333333333333334</v>
      </c>
      <c r="J22" s="23"/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8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3F8-1131-4F3B-96F5-41B504B81E0A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8" sqref="U8"/>
      <selection pane="topRight" activeCell="U8" sqref="U8"/>
      <selection pane="bottomLeft" activeCell="U8" sqref="U8"/>
      <selection pane="bottomRight" activeCell="B41" sqref="B41:R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52684</v>
      </c>
      <c r="F1" s="30" t="s">
        <v>2</v>
      </c>
      <c r="G1" s="31">
        <f>SUM(H5:H79)</f>
        <v>2538263.8800000004</v>
      </c>
      <c r="H1" s="32" t="s">
        <v>3</v>
      </c>
      <c r="I1" s="33">
        <f>M15+M26+M48+M58+M69+M79+M37</f>
        <v>88.333333333333329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187</v>
      </c>
      <c r="B2" s="678"/>
      <c r="C2" s="28"/>
      <c r="D2" s="28" t="s">
        <v>14</v>
      </c>
      <c r="E2" s="35">
        <f>AVERAGE(O15,O26,O37,O48,O58,O69,O79)</f>
        <v>105.26803243461279</v>
      </c>
      <c r="F2" s="36" t="s">
        <v>15</v>
      </c>
      <c r="G2" s="37">
        <f>G1/E1</f>
        <v>48.179027408700939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11</v>
      </c>
      <c r="AB2" s="684"/>
      <c r="AC2" s="684"/>
      <c r="AD2" s="340">
        <f>AD15+AD26+AD37+AD48+AD58+AD69+AD79</f>
        <v>3</v>
      </c>
      <c r="AE2" s="340">
        <f>AE15+AE26+AE37+AE48+AE58+AE69+AE79</f>
        <v>3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47.71</v>
      </c>
      <c r="G5" s="42">
        <v>2819</v>
      </c>
      <c r="H5" s="43">
        <f>F5*G5</f>
        <v>134494.49</v>
      </c>
      <c r="I5" s="44"/>
      <c r="J5" s="45">
        <f>VLOOKUP(D5,產線配置圖!$A$3:$C$39,2,0)</f>
        <v>14</v>
      </c>
      <c r="K5" s="46">
        <f>VLOOKUP(D5,產線配置圖!$A$3:$C$39,3,0)</f>
        <v>1440</v>
      </c>
      <c r="L5" s="47">
        <f t="shared" ref="L5:L7" si="0">K5/J5</f>
        <v>102.85714285714286</v>
      </c>
      <c r="M5" s="48">
        <v>14</v>
      </c>
      <c r="N5" s="46">
        <f t="shared" ref="N5:N7" si="1">G5/W5*60</f>
        <v>1433.3898305084826</v>
      </c>
      <c r="O5" s="47">
        <f t="shared" ref="O5:O7" si="2">N5/M5</f>
        <v>102.38498789346305</v>
      </c>
      <c r="P5" s="49">
        <f t="shared" ref="P5:P7" si="3">M5-J5</f>
        <v>0</v>
      </c>
      <c r="Q5" s="50">
        <f t="shared" ref="Q5:Q7" si="4">O5-L5</f>
        <v>-0.47215496367981302</v>
      </c>
      <c r="R5" s="51">
        <f t="shared" ref="R5:R7" si="5">O5/L5</f>
        <v>0.99540960451977956</v>
      </c>
      <c r="S5" s="718">
        <f>R15</f>
        <v>0.98546620208943514</v>
      </c>
      <c r="T5" s="319">
        <v>0.29027777777777802</v>
      </c>
      <c r="U5" s="320">
        <v>0.37222222222222201</v>
      </c>
      <c r="V5" s="53"/>
      <c r="W5" s="54">
        <f t="shared" ref="W5:W14" si="6">(U5-T5)*24*60</f>
        <v>117.99999999999935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-6.6101694915173539</v>
      </c>
      <c r="AG5" s="52">
        <f t="shared" ref="AG5:AG11" si="8">N5/K5</f>
        <v>0.99540960451977967</v>
      </c>
      <c r="AH5" s="724">
        <f>AG15</f>
        <v>0.98582952267342838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1589</v>
      </c>
      <c r="H6" s="63">
        <f>F6*G6</f>
        <v>90906.69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1986.2500000000202</v>
      </c>
      <c r="O6" s="67">
        <f t="shared" si="2"/>
        <v>116.83823529411883</v>
      </c>
      <c r="P6" s="69">
        <f t="shared" si="3"/>
        <v>0</v>
      </c>
      <c r="Q6" s="70">
        <f t="shared" si="4"/>
        <v>-0.80882352941057434</v>
      </c>
      <c r="R6" s="71">
        <f t="shared" si="5"/>
        <v>0.99312500000001014</v>
      </c>
      <c r="S6" s="719"/>
      <c r="T6" s="16">
        <v>0.38055555555555598</v>
      </c>
      <c r="U6" s="16">
        <v>0.41388888888888897</v>
      </c>
      <c r="V6" s="30">
        <f>(T6-U5)*24*60</f>
        <v>12.000000000000917</v>
      </c>
      <c r="W6" s="73">
        <f t="shared" si="6"/>
        <v>47.99999999999951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-13.749999999979764</v>
      </c>
      <c r="AG6" s="72">
        <f t="shared" si="8"/>
        <v>0.99312500000001014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2649</v>
      </c>
      <c r="H7" s="78">
        <f>F7*G7</f>
        <v>130171.86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1986.7499999999832</v>
      </c>
      <c r="O7" s="81">
        <f t="shared" si="2"/>
        <v>141.91071428571308</v>
      </c>
      <c r="P7" s="74">
        <f t="shared" si="3"/>
        <v>0</v>
      </c>
      <c r="Q7" s="83">
        <f t="shared" si="4"/>
        <v>-0.94642857142977732</v>
      </c>
      <c r="R7" s="72">
        <f t="shared" si="5"/>
        <v>0.99337499999999157</v>
      </c>
      <c r="S7" s="719"/>
      <c r="T7" s="18">
        <v>0.422222222222222</v>
      </c>
      <c r="U7" s="18">
        <v>0.47777777777777802</v>
      </c>
      <c r="V7" s="30">
        <f>(T7-U6)*24*60</f>
        <v>11.999999999999558</v>
      </c>
      <c r="W7" s="73">
        <f t="shared" si="6"/>
        <v>80.000000000000682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-13.250000000016826</v>
      </c>
      <c r="AG7" s="72">
        <f t="shared" si="8"/>
        <v>0.99337499999999157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2828</v>
      </c>
      <c r="H8" s="78">
        <f>F8*G8</f>
        <v>138967.92000000001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1928.1818181818214</v>
      </c>
      <c r="O8" s="81">
        <f>N8/M8</f>
        <v>137.72727272727295</v>
      </c>
      <c r="P8" s="74">
        <f>M8-J8</f>
        <v>0</v>
      </c>
      <c r="Q8" s="83">
        <f>O8-L8</f>
        <v>-5.1298701298699143</v>
      </c>
      <c r="R8" s="72">
        <f>O8/L8</f>
        <v>0.96409090909091055</v>
      </c>
      <c r="S8" s="719"/>
      <c r="T8" s="16">
        <v>0.54027777777777797</v>
      </c>
      <c r="U8" s="16">
        <v>0.60138888888888897</v>
      </c>
      <c r="V8" s="30"/>
      <c r="W8" s="73">
        <f t="shared" si="6"/>
        <v>87.999999999999844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-71.818181818178573</v>
      </c>
      <c r="AG8" s="72">
        <f t="shared" si="8"/>
        <v>0.96409090909091066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14.75</v>
      </c>
      <c r="K15" s="120">
        <f t="shared" si="9"/>
        <v>1860</v>
      </c>
      <c r="L15" s="117">
        <f t="shared" si="9"/>
        <v>126.55462184873952</v>
      </c>
      <c r="M15" s="120">
        <f t="shared" si="9"/>
        <v>14.75</v>
      </c>
      <c r="N15" s="120">
        <f t="shared" si="9"/>
        <v>1833.6429121725769</v>
      </c>
      <c r="O15" s="117">
        <f t="shared" si="9"/>
        <v>124.71530255014198</v>
      </c>
      <c r="P15" s="121">
        <f t="shared" ref="P15:P18" si="10">M15-J15</f>
        <v>0</v>
      </c>
      <c r="Q15" s="122">
        <f t="shared" ref="Q15:Q18" si="11">O15-L15</f>
        <v>-1.8393192985975304</v>
      </c>
      <c r="R15" s="123">
        <f t="shared" ref="R15:R18" si="12">O15/L15</f>
        <v>0.98546620208943514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-26.357087827423129</v>
      </c>
      <c r="AG15" s="124">
        <f t="shared" ref="AG15:AG19" si="14">N15/K15</f>
        <v>0.98582952267342838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2537</v>
      </c>
      <c r="H16" s="134">
        <f>F16*G16</f>
        <v>145141.76999999999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2002.8947368420977</v>
      </c>
      <c r="O16" s="141">
        <f>N16/M16</f>
        <v>143.06390977443556</v>
      </c>
      <c r="P16" s="142">
        <f>M16-J16</f>
        <v>1</v>
      </c>
      <c r="Q16" s="143">
        <f t="shared" si="11"/>
        <v>-18.859167148641376</v>
      </c>
      <c r="R16" s="144">
        <f>O16/L16</f>
        <v>0.88353008411765421</v>
      </c>
      <c r="S16" s="734">
        <f>R26</f>
        <v>0.92779382753388484</v>
      </c>
      <c r="T16" s="145">
        <v>0.29027777777777802</v>
      </c>
      <c r="U16" s="145">
        <v>0.343055555555556</v>
      </c>
      <c r="V16" s="135"/>
      <c r="W16" s="146">
        <f t="shared" ref="W16:W78" si="17">(U16-T16)*24*60</f>
        <v>76.000000000000284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-102.1052631579023</v>
      </c>
      <c r="AG16" s="52">
        <f t="shared" si="14"/>
        <v>0.95149393674208915</v>
      </c>
      <c r="AH16" s="724">
        <f>AG26</f>
        <v>0.9449221578968523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3882</v>
      </c>
      <c r="H17" s="78">
        <f>F17*G17</f>
        <v>196700.94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1893.6585365853578</v>
      </c>
      <c r="O17" s="96">
        <f t="shared" ref="O17:O18" si="18">N17/M17</f>
        <v>145.66604127579674</v>
      </c>
      <c r="P17" s="97">
        <f t="shared" si="10"/>
        <v>0</v>
      </c>
      <c r="Q17" s="98">
        <f t="shared" si="11"/>
        <v>-8.180112570357096</v>
      </c>
      <c r="R17" s="99">
        <f t="shared" si="12"/>
        <v>0.94682926829267888</v>
      </c>
      <c r="S17" s="735"/>
      <c r="T17" s="19">
        <v>0.35138888888888897</v>
      </c>
      <c r="U17" s="19">
        <v>0.436805555555556</v>
      </c>
      <c r="V17" s="30">
        <f>(T17-U16)*24*60</f>
        <v>11.999999999999478</v>
      </c>
      <c r="W17" s="149">
        <f t="shared" si="17"/>
        <v>123.00000000000053</v>
      </c>
      <c r="X17" s="19"/>
      <c r="Y17" s="297"/>
      <c r="Z17" s="90"/>
      <c r="AA17" s="90"/>
      <c r="AB17" s="713" t="s">
        <v>159</v>
      </c>
      <c r="AC17" s="713"/>
      <c r="AD17" s="92">
        <v>1</v>
      </c>
      <c r="AE17" s="92">
        <v>1</v>
      </c>
      <c r="AF17" s="307">
        <f t="shared" si="13"/>
        <v>-106.34146341464225</v>
      </c>
      <c r="AG17" s="72">
        <f t="shared" si="14"/>
        <v>0.94682926829267888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1460</v>
      </c>
      <c r="H18" s="78">
        <f>F18*G18</f>
        <v>73569.399999999994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1787.7551020408023</v>
      </c>
      <c r="O18" s="96">
        <f t="shared" si="18"/>
        <v>148.97959183673353</v>
      </c>
      <c r="P18" s="97">
        <f t="shared" si="10"/>
        <v>0</v>
      </c>
      <c r="Q18" s="98">
        <f t="shared" si="11"/>
        <v>-17.687074829933124</v>
      </c>
      <c r="R18" s="99">
        <f t="shared" si="12"/>
        <v>0.89387755102040123</v>
      </c>
      <c r="S18" s="735"/>
      <c r="T18" s="19">
        <v>0.44513888888888897</v>
      </c>
      <c r="U18" s="19">
        <v>0.47916666666666702</v>
      </c>
      <c r="V18" s="30">
        <f>(T18-U17)*24*60</f>
        <v>11.999999999999478</v>
      </c>
      <c r="W18" s="149">
        <f t="shared" si="17"/>
        <v>49.000000000000384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-212.24489795919771</v>
      </c>
      <c r="AG18" s="72">
        <f t="shared" si="14"/>
        <v>0.89387755102040112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3455</v>
      </c>
      <c r="H19" s="78">
        <f>F19*G19</f>
        <v>174097.45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>K19/J19</f>
        <v>166.66666666666666</v>
      </c>
      <c r="M19" s="148">
        <v>12</v>
      </c>
      <c r="N19" s="95">
        <f>G19/W19*60</f>
        <v>1974.2857142857306</v>
      </c>
      <c r="O19" s="96">
        <f>N19/M19</f>
        <v>164.52380952381088</v>
      </c>
      <c r="P19" s="97">
        <f>M19-J19</f>
        <v>0</v>
      </c>
      <c r="Q19" s="98">
        <f>O19-L19</f>
        <v>-2.1428571428557746</v>
      </c>
      <c r="R19" s="99">
        <f>O19/L19</f>
        <v>0.98714285714286532</v>
      </c>
      <c r="S19" s="735"/>
      <c r="T19" s="19">
        <v>0.54166666666666696</v>
      </c>
      <c r="U19" s="19">
        <v>0.61458333333333304</v>
      </c>
      <c r="V19" s="30">
        <f>(T19-U18)*24*60</f>
        <v>89.999999999999915</v>
      </c>
      <c r="W19" s="149">
        <f t="shared" si="17"/>
        <v>104.99999999999915</v>
      </c>
      <c r="X19" s="22"/>
      <c r="Y19" s="84"/>
      <c r="Z19" s="90"/>
      <c r="AA19" s="90"/>
      <c r="AB19" s="713" t="s">
        <v>159</v>
      </c>
      <c r="AC19" s="713"/>
      <c r="AD19" s="149">
        <v>2</v>
      </c>
      <c r="AE19" s="149">
        <v>2</v>
      </c>
      <c r="AF19" s="307">
        <f t="shared" si="13"/>
        <v>-25.714285714269408</v>
      </c>
      <c r="AG19" s="72">
        <f t="shared" si="14"/>
        <v>0.98714285714286532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>
        <f>(T20-U19)*24*60</f>
        <v>-884.99999999999955</v>
      </c>
      <c r="W20" s="149">
        <f t="shared" si="17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0">AVERAGE(J16:J25)</f>
        <v>12.5</v>
      </c>
      <c r="K26" s="155">
        <f t="shared" si="20"/>
        <v>2026.25</v>
      </c>
      <c r="L26" s="158">
        <f t="shared" si="20"/>
        <v>162.27564102564102</v>
      </c>
      <c r="M26" s="155">
        <f t="shared" si="20"/>
        <v>12.75</v>
      </c>
      <c r="N26" s="155">
        <f t="shared" si="20"/>
        <v>1914.6485224384969</v>
      </c>
      <c r="O26" s="158">
        <f t="shared" si="20"/>
        <v>150.55833810269419</v>
      </c>
      <c r="P26" s="159">
        <f t="shared" ref="P26:P29" si="21">M26-J26</f>
        <v>0.25</v>
      </c>
      <c r="Q26" s="160">
        <f t="shared" ref="Q26:Q29" si="22">O26-L26</f>
        <v>-11.717302922946828</v>
      </c>
      <c r="R26" s="161">
        <f>O26/L26</f>
        <v>0.92779382753388484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3</v>
      </c>
      <c r="AE26" s="323">
        <f>SUM(AE16:AE25)</f>
        <v>3</v>
      </c>
      <c r="AF26" s="309">
        <f t="shared" ref="AF26:AF31" si="23">N26-K26</f>
        <v>-111.60147756150309</v>
      </c>
      <c r="AG26" s="124">
        <f t="shared" ref="AG26:AG31" si="24">N26/K26</f>
        <v>0.9449221578968523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2044</v>
      </c>
      <c r="H27" s="134">
        <f>F27*G27</f>
        <v>117121.2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5">K27/J27</f>
        <v>88.235294117647058</v>
      </c>
      <c r="M27" s="170">
        <v>17</v>
      </c>
      <c r="N27" s="140">
        <f>G27/W27*60</f>
        <v>1495.6097560975736</v>
      </c>
      <c r="O27" s="141">
        <f>N27/M27</f>
        <v>87.977044476327862</v>
      </c>
      <c r="P27" s="142">
        <f t="shared" si="21"/>
        <v>0</v>
      </c>
      <c r="Q27" s="143">
        <f t="shared" si="22"/>
        <v>-0.25824964131919614</v>
      </c>
      <c r="R27" s="144">
        <f>O27/L27</f>
        <v>0.99707317073171575</v>
      </c>
      <c r="S27" s="734">
        <f>R37</f>
        <v>0.96681150859676401</v>
      </c>
      <c r="T27" s="171">
        <v>0.29027777777777802</v>
      </c>
      <c r="U27" s="171">
        <v>0.34722222222222199</v>
      </c>
      <c r="V27" s="135"/>
      <c r="W27" s="146">
        <f t="shared" si="17"/>
        <v>81.999999999999304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3"/>
        <v>-4.3902439024263913</v>
      </c>
      <c r="AG27" s="172">
        <f t="shared" si="24"/>
        <v>0.99707317073171575</v>
      </c>
      <c r="AH27" s="724">
        <f>AG37</f>
        <v>0.9668115085967639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1683</v>
      </c>
      <c r="H28" s="91">
        <f>F28*G28</f>
        <v>92783.790000000008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5"/>
        <v>81.470588235294116</v>
      </c>
      <c r="M28" s="94">
        <v>17</v>
      </c>
      <c r="N28" s="95">
        <f>G28/W28*60</f>
        <v>1328.6842105263358</v>
      </c>
      <c r="O28" s="96">
        <f>N28/M28</f>
        <v>78.157894736843289</v>
      </c>
      <c r="P28" s="97">
        <f t="shared" si="21"/>
        <v>0</v>
      </c>
      <c r="Q28" s="98">
        <f t="shared" si="22"/>
        <v>-3.3126934984508267</v>
      </c>
      <c r="R28" s="99">
        <f t="shared" ref="R28:R29" si="26">O28/L28</f>
        <v>0.95933878016341945</v>
      </c>
      <c r="S28" s="735"/>
      <c r="T28" s="19">
        <v>0.35416666666666702</v>
      </c>
      <c r="U28" s="19">
        <v>0.406944444444444</v>
      </c>
      <c r="V28" s="92">
        <f>(T28-U27)*24*60</f>
        <v>10.000000000000844</v>
      </c>
      <c r="W28" s="149">
        <f t="shared" si="17"/>
        <v>75.999999999998849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3"/>
        <v>-56.315789473664154</v>
      </c>
      <c r="AG28" s="99">
        <f t="shared" si="24"/>
        <v>0.95933878016341934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1589</v>
      </c>
      <c r="H29" s="91">
        <f>F29*G29</f>
        <v>78687.28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5"/>
        <v>84.705882352941174</v>
      </c>
      <c r="M29" s="94">
        <v>17</v>
      </c>
      <c r="N29" s="95">
        <f>G29/W29*60</f>
        <v>1306.0273972602588</v>
      </c>
      <c r="O29" s="96">
        <f>N29/M29</f>
        <v>76.825141015309342</v>
      </c>
      <c r="P29" s="97">
        <f t="shared" si="21"/>
        <v>0</v>
      </c>
      <c r="Q29" s="98">
        <f t="shared" si="22"/>
        <v>-7.8807413376318323</v>
      </c>
      <c r="R29" s="99">
        <f t="shared" si="26"/>
        <v>0.90696347031962421</v>
      </c>
      <c r="S29" s="735"/>
      <c r="T29" s="19">
        <v>0.41111111111111098</v>
      </c>
      <c r="U29" s="19">
        <v>0.46180555555555602</v>
      </c>
      <c r="V29" s="92">
        <f>(T29-U28)*24*60</f>
        <v>6.0000000000004583</v>
      </c>
      <c r="W29" s="149">
        <f t="shared" si="17"/>
        <v>73.000000000000853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3"/>
        <v>-133.97260273974121</v>
      </c>
      <c r="AG29" s="99">
        <f t="shared" si="24"/>
        <v>0.90696347031962421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700</v>
      </c>
      <c r="H30" s="91">
        <f t="shared" ref="H30:H31" si="27">F30*G30</f>
        <v>34664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28">K30/J30</f>
        <v>84.705882352941174</v>
      </c>
      <c r="M30" s="94">
        <v>17</v>
      </c>
      <c r="N30" s="95">
        <f t="shared" ref="N30:N31" si="29">G30/W30*60</f>
        <v>1399.9999999999602</v>
      </c>
      <c r="O30" s="96">
        <f t="shared" ref="O30:O31" si="30">N30/M30</f>
        <v>82.352941176468249</v>
      </c>
      <c r="P30" s="97">
        <f t="shared" ref="P30:P31" si="31">M30-J30</f>
        <v>0</v>
      </c>
      <c r="Q30" s="98">
        <f t="shared" ref="Q30:Q31" si="32">O30-L30</f>
        <v>-2.3529411764729247</v>
      </c>
      <c r="R30" s="99">
        <f t="shared" ref="R30:R31" si="33">O30/L30</f>
        <v>0.97222222222219468</v>
      </c>
      <c r="S30" s="735"/>
      <c r="T30" s="19">
        <v>0.51944444444444404</v>
      </c>
      <c r="U30" s="19">
        <v>0.54027777777777797</v>
      </c>
      <c r="V30" s="92">
        <f>(T30-U29)*24*60</f>
        <v>82.999999999998749</v>
      </c>
      <c r="W30" s="149">
        <f t="shared" si="17"/>
        <v>30.000000000000853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3"/>
        <v>-40.00000000003979</v>
      </c>
      <c r="AG30" s="99">
        <f t="shared" si="24"/>
        <v>0.97222222222219457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3230</v>
      </c>
      <c r="H31" s="91">
        <f t="shared" si="27"/>
        <v>143089</v>
      </c>
      <c r="I31" s="92"/>
      <c r="J31" s="79">
        <v>17</v>
      </c>
      <c r="K31" s="80">
        <f>VLOOKUP(D31,產線配置圖!$A$3:$C$39,3,0)</f>
        <v>1440</v>
      </c>
      <c r="L31" s="93">
        <f t="shared" si="28"/>
        <v>84.705882352941174</v>
      </c>
      <c r="M31" s="94">
        <v>17</v>
      </c>
      <c r="N31" s="95">
        <f t="shared" si="29"/>
        <v>1435.5555555555557</v>
      </c>
      <c r="O31" s="96">
        <f t="shared" si="30"/>
        <v>84.444444444444457</v>
      </c>
      <c r="P31" s="97">
        <f t="shared" si="31"/>
        <v>0</v>
      </c>
      <c r="Q31" s="98">
        <f t="shared" si="32"/>
        <v>-0.26143790849671689</v>
      </c>
      <c r="R31" s="99">
        <f t="shared" si="33"/>
        <v>0.99691358024691379</v>
      </c>
      <c r="S31" s="735"/>
      <c r="T31" s="19">
        <v>0.55902777777777801</v>
      </c>
      <c r="U31" s="19">
        <v>0.65277777777777801</v>
      </c>
      <c r="V31" s="92"/>
      <c r="W31" s="149">
        <f t="shared" si="17"/>
        <v>135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3"/>
        <v>-4.4444444444443434</v>
      </c>
      <c r="AG31" s="99">
        <f t="shared" si="24"/>
        <v>0.99691358024691368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5">AVERAGE(J27:J36)</f>
        <v>17</v>
      </c>
      <c r="K37" s="155">
        <f t="shared" si="35"/>
        <v>1441</v>
      </c>
      <c r="L37" s="158">
        <f t="shared" si="35"/>
        <v>84.764705882352928</v>
      </c>
      <c r="M37" s="155">
        <f t="shared" si="35"/>
        <v>17</v>
      </c>
      <c r="N37" s="155">
        <f t="shared" si="35"/>
        <v>1393.1753838879367</v>
      </c>
      <c r="O37" s="158">
        <f t="shared" si="35"/>
        <v>81.951493169878631</v>
      </c>
      <c r="P37" s="159">
        <f>M37-J37</f>
        <v>0</v>
      </c>
      <c r="Q37" s="160">
        <f>N37-K37</f>
        <v>-47.824616112063268</v>
      </c>
      <c r="R37" s="161">
        <f t="shared" ref="R37:R40" si="36">O37/L37</f>
        <v>0.96681150859676401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7">N37-K37</f>
        <v>-47.824616112063268</v>
      </c>
      <c r="AG37" s="124">
        <f t="shared" ref="AG37:AG41" si="38">N37/K37</f>
        <v>0.9668115085967639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57.3</v>
      </c>
      <c r="G38" s="186">
        <v>1419</v>
      </c>
      <c r="H38" s="134">
        <f>F38*G38</f>
        <v>81308.7</v>
      </c>
      <c r="I38" s="135"/>
      <c r="J38" s="187">
        <f>VLOOKUP(D38,產線配置圖!$A$3:$C$39,2,0)</f>
        <v>16</v>
      </c>
      <c r="K38" s="188">
        <f>VLOOKUP(D38,產線配置圖!$A$3:$C$39,3,0)</f>
        <v>1385</v>
      </c>
      <c r="L38" s="189">
        <f t="shared" ref="L38:L40" si="39">K38/J38</f>
        <v>86.5625</v>
      </c>
      <c r="M38" s="190">
        <v>15</v>
      </c>
      <c r="N38" s="140">
        <f>G38/W38*60</f>
        <v>1064.2499999999909</v>
      </c>
      <c r="O38" s="141">
        <f>N38/M38</f>
        <v>70.949999999999392</v>
      </c>
      <c r="P38" s="142">
        <f t="shared" ref="P38:P40" si="40">M38-J38</f>
        <v>-1</v>
      </c>
      <c r="Q38" s="143">
        <f t="shared" ref="Q38:Q40" si="41">O38-L38</f>
        <v>-15.612500000000608</v>
      </c>
      <c r="R38" s="144">
        <f>O38/L38</f>
        <v>0.81963898916966804</v>
      </c>
      <c r="S38" s="756">
        <f>R48</f>
        <v>0.85818760331605082</v>
      </c>
      <c r="T38" s="191">
        <v>0.33333333333333298</v>
      </c>
      <c r="U38" s="191">
        <v>0.38888888888888901</v>
      </c>
      <c r="V38" s="192"/>
      <c r="W38" s="193">
        <f t="shared" si="17"/>
        <v>80.000000000000682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7"/>
        <v>-320.75000000000909</v>
      </c>
      <c r="AG38" s="195">
        <f t="shared" si="38"/>
        <v>0.76841155234656378</v>
      </c>
      <c r="AH38" s="746">
        <f>AG48</f>
        <v>0.8078251565462109</v>
      </c>
    </row>
    <row r="39" spans="1:34" ht="15" customHeight="1">
      <c r="A39" s="754"/>
      <c r="B39" s="75" t="s">
        <v>81</v>
      </c>
      <c r="C39" s="197"/>
      <c r="D39" s="198" t="s">
        <v>130</v>
      </c>
      <c r="E39" s="176"/>
      <c r="F39" s="75">
        <f>VLOOKUP(D39,廠價表!$C$1:$E$41,3,0)</f>
        <v>56.43</v>
      </c>
      <c r="G39" s="199">
        <v>1400</v>
      </c>
      <c r="H39" s="91">
        <f>F39*G39</f>
        <v>79002</v>
      </c>
      <c r="I39" s="200"/>
      <c r="J39" s="148">
        <f>VLOOKUP(D39,產線配置圖!$A$3:$C$39,2,0)</f>
        <v>16</v>
      </c>
      <c r="K39" s="95">
        <f>VLOOKUP(D39,產線配置圖!$A$3:$C$39,3,0)</f>
        <v>1406</v>
      </c>
      <c r="L39" s="96">
        <f t="shared" si="39"/>
        <v>87.875</v>
      </c>
      <c r="M39" s="201">
        <v>15</v>
      </c>
      <c r="N39" s="202">
        <f>G39/W39*60</f>
        <v>1119.999999999985</v>
      </c>
      <c r="O39" s="203">
        <f t="shared" ref="O39:O40" si="42">N39/M39</f>
        <v>74.666666666665662</v>
      </c>
      <c r="P39" s="97">
        <f t="shared" si="40"/>
        <v>-1</v>
      </c>
      <c r="Q39" s="98">
        <f t="shared" si="41"/>
        <v>-13.208333333334338</v>
      </c>
      <c r="R39" s="99">
        <f t="shared" si="36"/>
        <v>0.8496917970602067</v>
      </c>
      <c r="S39" s="757"/>
      <c r="T39" s="20">
        <v>0.39583333333333298</v>
      </c>
      <c r="U39" s="20">
        <v>0.44791666666666702</v>
      </c>
      <c r="V39" s="92">
        <f>(T39-U38)*24*60</f>
        <v>9.999999999999325</v>
      </c>
      <c r="W39" s="205">
        <f t="shared" si="17"/>
        <v>75.000000000001009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7"/>
        <v>-286.00000000001501</v>
      </c>
      <c r="AG39" s="206">
        <f t="shared" si="38"/>
        <v>0.79658605974394381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1596</v>
      </c>
      <c r="H40" s="91">
        <f>F40*G40</f>
        <v>70702.799999999988</v>
      </c>
      <c r="I40" s="200"/>
      <c r="J40" s="148">
        <v>17</v>
      </c>
      <c r="K40" s="95">
        <f>VLOOKUP(D40,產線配置圖!$A$3:$C$39,3,0)</f>
        <v>1440</v>
      </c>
      <c r="L40" s="96">
        <f t="shared" si="39"/>
        <v>84.705882352941174</v>
      </c>
      <c r="M40" s="201">
        <v>15</v>
      </c>
      <c r="N40" s="202">
        <f>G40/W40*60</f>
        <v>1227.6923076923008</v>
      </c>
      <c r="O40" s="203">
        <f t="shared" si="42"/>
        <v>81.846153846153385</v>
      </c>
      <c r="P40" s="97">
        <f t="shared" si="40"/>
        <v>-2</v>
      </c>
      <c r="Q40" s="98">
        <f t="shared" si="41"/>
        <v>-2.8597285067877891</v>
      </c>
      <c r="R40" s="99">
        <f t="shared" si="36"/>
        <v>0.96623931623931081</v>
      </c>
      <c r="S40" s="719"/>
      <c r="T40" s="20">
        <v>0.45833333333333298</v>
      </c>
      <c r="U40" s="20">
        <v>0.51249999999999996</v>
      </c>
      <c r="V40" s="92">
        <f>(T40-U39)*24*60</f>
        <v>14.999999999998987</v>
      </c>
      <c r="W40" s="205">
        <f t="shared" si="17"/>
        <v>78.000000000000441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7"/>
        <v>-212.3076923076992</v>
      </c>
      <c r="AG40" s="206">
        <f t="shared" si="38"/>
        <v>0.85256410256409776</v>
      </c>
      <c r="AH40" s="747"/>
    </row>
    <row r="41" spans="1:34" ht="15" customHeight="1">
      <c r="A41" s="754"/>
      <c r="B41" s="75" t="s">
        <v>81</v>
      </c>
      <c r="C41" s="207"/>
      <c r="D41" s="198" t="s">
        <v>139</v>
      </c>
      <c r="E41" s="178"/>
      <c r="F41" s="75">
        <f>VLOOKUP(D41,廠價表!$C$1:$E$41,3,0)</f>
        <v>50.67</v>
      </c>
      <c r="G41" s="199">
        <v>1982</v>
      </c>
      <c r="H41" s="91">
        <f>F41*G41</f>
        <v>100427.94</v>
      </c>
      <c r="I41" s="200"/>
      <c r="J41" s="148">
        <f>VLOOKUP(D41,產線配置圖!$A$3:$C$39,2,0)</f>
        <v>10</v>
      </c>
      <c r="K41" s="95">
        <f>VLOOKUP(D41,產線配置圖!$A$3:$C$39,3,0)</f>
        <v>1125</v>
      </c>
      <c r="L41" s="96">
        <f>K41/J41</f>
        <v>112.5</v>
      </c>
      <c r="M41" s="201">
        <v>10</v>
      </c>
      <c r="N41" s="202">
        <f>G41/W41*60</f>
        <v>914.76923076922833</v>
      </c>
      <c r="O41" s="203">
        <f>N41/M41</f>
        <v>91.47692307692283</v>
      </c>
      <c r="P41" s="97">
        <f>M41-J41</f>
        <v>0</v>
      </c>
      <c r="Q41" s="98">
        <f>O41-L41</f>
        <v>-21.02307692307717</v>
      </c>
      <c r="R41" s="99">
        <f>O41/L41</f>
        <v>0.81312820512820294</v>
      </c>
      <c r="S41" s="719"/>
      <c r="T41" s="20">
        <v>0.56944444444444398</v>
      </c>
      <c r="U41" s="210">
        <v>0.65972222222222199</v>
      </c>
      <c r="V41" s="92"/>
      <c r="W41" s="205">
        <f t="shared" si="17"/>
        <v>130.00000000000034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7"/>
        <v>-210.23076923077167</v>
      </c>
      <c r="AG41" s="206">
        <f t="shared" si="38"/>
        <v>0.81312820512820294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4">AVERAGE(J38:J47)</f>
        <v>14.75</v>
      </c>
      <c r="K48" s="155">
        <f t="shared" si="44"/>
        <v>1339</v>
      </c>
      <c r="L48" s="158">
        <f t="shared" si="44"/>
        <v>92.91084558823529</v>
      </c>
      <c r="M48" s="155">
        <f t="shared" si="44"/>
        <v>13.75</v>
      </c>
      <c r="N48" s="155">
        <f t="shared" si="44"/>
        <v>1081.6778846153763</v>
      </c>
      <c r="O48" s="158">
        <f t="shared" si="44"/>
        <v>79.734935897435321</v>
      </c>
      <c r="P48" s="221">
        <f>M48-J48</f>
        <v>-1</v>
      </c>
      <c r="Q48" s="222">
        <f>N48-K48</f>
        <v>-257.32211538462366</v>
      </c>
      <c r="R48" s="223">
        <f>O48/L48</f>
        <v>0.85818760331605082</v>
      </c>
      <c r="S48" s="722"/>
      <c r="T48" s="224"/>
      <c r="U48" s="224"/>
      <c r="V48" s="225"/>
      <c r="W48" s="226">
        <f t="shared" si="4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5">N48-K48</f>
        <v>-257.32211538462366</v>
      </c>
      <c r="AG48" s="162">
        <f t="shared" ref="AG48:AG53" si="46">N48/K48</f>
        <v>0.8078251565462109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1440</v>
      </c>
      <c r="H49" s="134">
        <f>F49*G49</f>
        <v>81892.800000000003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47">K49/J49</f>
        <v>86.944444444444443</v>
      </c>
      <c r="M49" s="170">
        <v>18</v>
      </c>
      <c r="N49" s="140">
        <f>G49/W49*60</f>
        <v>1542.8571428571395</v>
      </c>
      <c r="O49" s="141">
        <f>N49/M49</f>
        <v>85.714285714285523</v>
      </c>
      <c r="P49" s="229">
        <f>M49-J49</f>
        <v>0</v>
      </c>
      <c r="Q49" s="230">
        <f>O49-L49</f>
        <v>-1.2301587301589194</v>
      </c>
      <c r="R49" s="52">
        <f>O49/L49</f>
        <v>0.98585120949337979</v>
      </c>
      <c r="S49" s="718">
        <f>R58</f>
        <v>0.96956859185876132</v>
      </c>
      <c r="T49" s="191">
        <v>0.29166666666666702</v>
      </c>
      <c r="U49" s="191">
        <v>0.33055555555555599</v>
      </c>
      <c r="V49" s="55"/>
      <c r="W49" s="193">
        <f t="shared" si="17"/>
        <v>56.000000000000121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5"/>
        <v>-22.142857142860521</v>
      </c>
      <c r="AG49" s="52">
        <f t="shared" si="46"/>
        <v>0.9858512094933799</v>
      </c>
      <c r="AH49" s="724">
        <f>AG58</f>
        <v>0.96942393680614869</v>
      </c>
    </row>
    <row r="50" spans="1:34" ht="15" customHeight="1">
      <c r="A50" s="751"/>
      <c r="B50" s="75" t="s">
        <v>117</v>
      </c>
      <c r="C50" s="76"/>
      <c r="D50" s="59" t="s">
        <v>133</v>
      </c>
      <c r="E50" s="77"/>
      <c r="F50" s="75">
        <f>VLOOKUP(D50,廠價表!$C$1:$E$41,3,0)</f>
        <v>49.91</v>
      </c>
      <c r="G50" s="202">
        <v>2606</v>
      </c>
      <c r="H50" s="231">
        <f>F50*G50</f>
        <v>130065.45999999999</v>
      </c>
      <c r="I50" s="232"/>
      <c r="J50" s="79">
        <f>VLOOKUP(D50,產線配置圖!$A$3:$C$39,2,0)</f>
        <v>17</v>
      </c>
      <c r="K50" s="80">
        <f>VLOOKUP(D50,產線配置圖!$A$3:$C$39,3,0)</f>
        <v>1565</v>
      </c>
      <c r="L50" s="81">
        <f t="shared" si="47"/>
        <v>92.058823529411768</v>
      </c>
      <c r="M50" s="233">
        <v>17</v>
      </c>
      <c r="N50" s="234">
        <f>G50/W50*60</f>
        <v>1532.9411764705962</v>
      </c>
      <c r="O50" s="235">
        <f>N50/M50</f>
        <v>90.17301038062331</v>
      </c>
      <c r="P50" s="74">
        <f>M50-J50</f>
        <v>0</v>
      </c>
      <c r="Q50" s="83">
        <f>O50-L50</f>
        <v>-1.8858131487884577</v>
      </c>
      <c r="R50" s="72">
        <f>O50/L50</f>
        <v>0.9795151287352053</v>
      </c>
      <c r="S50" s="719"/>
      <c r="T50" s="21">
        <v>0.33750000000000002</v>
      </c>
      <c r="U50" s="21">
        <v>0.40833333333333299</v>
      </c>
      <c r="V50" s="30">
        <f t="shared" ref="V50:V52" si="48">(T50-U49)*24*60</f>
        <v>9.9999999999994049</v>
      </c>
      <c r="W50" s="236">
        <f t="shared" si="17"/>
        <v>101.99999999999947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5"/>
        <v>-32.058823529403753</v>
      </c>
      <c r="AG50" s="72">
        <f t="shared" si="46"/>
        <v>0.9795151287352053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2419</v>
      </c>
      <c r="H51" s="231">
        <f>F51*G51</f>
        <v>120877.43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7"/>
        <v>88.888888888888886</v>
      </c>
      <c r="M51" s="233">
        <v>18</v>
      </c>
      <c r="N51" s="234">
        <f>G51/W51*60</f>
        <v>1466.0606060606065</v>
      </c>
      <c r="O51" s="235">
        <f>N51/M51</f>
        <v>81.447811447811475</v>
      </c>
      <c r="P51" s="74">
        <f>M51-J51</f>
        <v>0</v>
      </c>
      <c r="Q51" s="83">
        <f>O51-L51</f>
        <v>-7.441077441077411</v>
      </c>
      <c r="R51" s="72">
        <f>O51/L51</f>
        <v>0.9162878787878791</v>
      </c>
      <c r="S51" s="719"/>
      <c r="T51" s="21">
        <v>0.41527777777777802</v>
      </c>
      <c r="U51" s="19">
        <v>0.484027777777778</v>
      </c>
      <c r="V51" s="30">
        <f t="shared" si="48"/>
        <v>10.000000000000844</v>
      </c>
      <c r="W51" s="236">
        <f t="shared" si="17"/>
        <v>98.999999999999972</v>
      </c>
      <c r="X51" s="22"/>
      <c r="Y51" s="84"/>
      <c r="Z51" s="90">
        <v>1</v>
      </c>
      <c r="AA51" s="90">
        <v>11</v>
      </c>
      <c r="AB51" s="713" t="s">
        <v>188</v>
      </c>
      <c r="AC51" s="713"/>
      <c r="AD51" s="92"/>
      <c r="AE51" s="92"/>
      <c r="AF51" s="307">
        <f t="shared" si="45"/>
        <v>-133.93939393939354</v>
      </c>
      <c r="AG51" s="72">
        <f t="shared" si="46"/>
        <v>0.91628787878787898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2950</v>
      </c>
      <c r="H52" s="231">
        <f>F52*G52</f>
        <v>147411.5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1594.5945945945796</v>
      </c>
      <c r="O52" s="235">
        <f>N52/M52</f>
        <v>88.588588588587754</v>
      </c>
      <c r="P52" s="74">
        <f>M52-J52</f>
        <v>0</v>
      </c>
      <c r="Q52" s="83">
        <f>O52-L52</f>
        <v>-0.30030030030113153</v>
      </c>
      <c r="R52" s="72">
        <f>O52/L52</f>
        <v>0.99662162162161227</v>
      </c>
      <c r="S52" s="719"/>
      <c r="T52" s="21">
        <v>0.54444444444444395</v>
      </c>
      <c r="U52" s="21">
        <v>0.62152777777777801</v>
      </c>
      <c r="V52" s="30">
        <f t="shared" si="48"/>
        <v>86.999999999998977</v>
      </c>
      <c r="W52" s="236">
        <f t="shared" si="17"/>
        <v>111.00000000000105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5"/>
        <v>-5.4054054054204244</v>
      </c>
      <c r="AG52" s="72">
        <f t="shared" si="46"/>
        <v>0.99662162162161227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5"/>
        <v>0</v>
      </c>
      <c r="AG53" s="72" t="e">
        <f t="shared" si="46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9">AVERAGE(J49:J57)</f>
        <v>17.75</v>
      </c>
      <c r="K58" s="120">
        <f t="shared" si="49"/>
        <v>1582.5</v>
      </c>
      <c r="L58" s="117">
        <f t="shared" si="49"/>
        <v>89.195261437908499</v>
      </c>
      <c r="M58" s="120">
        <f t="shared" si="49"/>
        <v>17.75</v>
      </c>
      <c r="N58" s="120">
        <f t="shared" si="49"/>
        <v>1534.1133799957304</v>
      </c>
      <c r="O58" s="117">
        <f t="shared" si="49"/>
        <v>86.480924032827019</v>
      </c>
      <c r="P58" s="121">
        <f>M58-J58</f>
        <v>0</v>
      </c>
      <c r="Q58" s="122">
        <f>N58-K58</f>
        <v>-48.386620004269616</v>
      </c>
      <c r="R58" s="123">
        <f t="shared" ref="R58:R60" si="50">O58/L58</f>
        <v>0.96956859185876132</v>
      </c>
      <c r="S58" s="72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11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1">N58-K58</f>
        <v>-48.386620004269616</v>
      </c>
      <c r="AG58" s="124">
        <f t="shared" ref="AG58:AG61" si="52">N58/K58</f>
        <v>0.96942393680614869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3934</v>
      </c>
      <c r="H59" s="243">
        <f>F59*G59</f>
        <v>106178.65999999999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3">K59/J59</f>
        <v>120.38461538461539</v>
      </c>
      <c r="M59" s="244">
        <v>13</v>
      </c>
      <c r="N59" s="137">
        <f t="shared" ref="N59:N61" si="54">G59/W59*60</f>
        <v>1475.2500000000016</v>
      </c>
      <c r="O59" s="138">
        <f t="shared" ref="O59:O61" si="55">N59/M59</f>
        <v>113.48076923076935</v>
      </c>
      <c r="P59" s="56">
        <f t="shared" ref="P59:P61" si="56">M59-J59</f>
        <v>0</v>
      </c>
      <c r="Q59" s="230">
        <f t="shared" ref="Q59:Q61" si="57">O59-L59</f>
        <v>-6.9038461538460325</v>
      </c>
      <c r="R59" s="52">
        <f t="shared" si="50"/>
        <v>0.94265175718849936</v>
      </c>
      <c r="S59" s="718">
        <f>R69</f>
        <v>0.85122330586849471</v>
      </c>
      <c r="T59" s="245">
        <v>0.29166666666666702</v>
      </c>
      <c r="U59" s="245">
        <v>0.40277777777777801</v>
      </c>
      <c r="V59" s="55"/>
      <c r="W59" s="54">
        <f t="shared" si="17"/>
        <v>159.99999999999983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1"/>
        <v>-89.749999999998408</v>
      </c>
      <c r="AG59" s="246">
        <f t="shared" si="52"/>
        <v>0.94265175718849947</v>
      </c>
      <c r="AH59" s="724">
        <f>AG69</f>
        <v>0.85356762513311024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542</v>
      </c>
      <c r="H60" s="78">
        <f>F60*G60</f>
        <v>15430.74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12</v>
      </c>
      <c r="N60" s="80">
        <f t="shared" si="54"/>
        <v>1083.9999999999634</v>
      </c>
      <c r="O60" s="81">
        <f t="shared" si="55"/>
        <v>90.333333333330287</v>
      </c>
      <c r="P60" s="74">
        <f t="shared" si="56"/>
        <v>0</v>
      </c>
      <c r="Q60" s="83">
        <f t="shared" si="57"/>
        <v>-40.08333333333637</v>
      </c>
      <c r="R60" s="72">
        <f t="shared" si="50"/>
        <v>0.69265175718847505</v>
      </c>
      <c r="S60" s="768"/>
      <c r="T60" s="22">
        <v>0.41319444444444398</v>
      </c>
      <c r="U60" s="22">
        <v>0.43402777777777801</v>
      </c>
      <c r="V60" s="30">
        <f t="shared" ref="V60:V61" si="58">(T60-U59)*24*60</f>
        <v>14.999999999998987</v>
      </c>
      <c r="W60" s="248">
        <f t="shared" si="17"/>
        <v>30.000000000001013</v>
      </c>
      <c r="X60" s="232"/>
      <c r="Y60" s="177"/>
      <c r="Z60" s="90"/>
      <c r="AA60" s="90"/>
      <c r="AB60" s="713" t="s">
        <v>146</v>
      </c>
      <c r="AC60" s="713"/>
      <c r="AD60" s="92"/>
      <c r="AE60" s="92"/>
      <c r="AF60" s="316">
        <f t="shared" si="51"/>
        <v>-481.00000000003661</v>
      </c>
      <c r="AG60" s="249">
        <f t="shared" si="52"/>
        <v>0.69265175718847505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1931</v>
      </c>
      <c r="H61" s="254">
        <f>F61*G61</f>
        <v>54570.060000000005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12</v>
      </c>
      <c r="N61" s="107">
        <f t="shared" si="54"/>
        <v>1448.2499999999875</v>
      </c>
      <c r="O61" s="238">
        <f t="shared" si="55"/>
        <v>120.68749999999896</v>
      </c>
      <c r="P61" s="111">
        <f t="shared" si="56"/>
        <v>0</v>
      </c>
      <c r="Q61" s="255">
        <f t="shared" si="57"/>
        <v>-9.7291666666676946</v>
      </c>
      <c r="R61" s="85">
        <f>O61/L61</f>
        <v>0.92539936102235631</v>
      </c>
      <c r="S61" s="719"/>
      <c r="T61" s="22">
        <v>0.44444444444444398</v>
      </c>
      <c r="U61" s="22">
        <v>0.5</v>
      </c>
      <c r="V61" s="30">
        <f t="shared" si="58"/>
        <v>14.999999999998987</v>
      </c>
      <c r="W61" s="256">
        <f t="shared" si="17"/>
        <v>80.000000000000682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1"/>
        <v>-116.75000000001251</v>
      </c>
      <c r="AG61" s="247">
        <f t="shared" si="52"/>
        <v>0.9253993610223562</v>
      </c>
      <c r="AH61" s="725"/>
    </row>
    <row r="62" spans="1:34" ht="15" customHeight="1">
      <c r="A62" s="76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19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0</v>
      </c>
      <c r="AG62" s="247" t="e">
        <f>N62/K62</f>
        <v>#DIV/0!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9">AVERAGE(J59:J68)</f>
        <v>12.333333333333334</v>
      </c>
      <c r="K69" s="240">
        <f t="shared" si="59"/>
        <v>1565</v>
      </c>
      <c r="L69" s="268">
        <f t="shared" si="59"/>
        <v>127.07264957264958</v>
      </c>
      <c r="M69" s="240">
        <f t="shared" si="59"/>
        <v>12.333333333333334</v>
      </c>
      <c r="N69" s="240">
        <f t="shared" si="59"/>
        <v>1335.8333333333176</v>
      </c>
      <c r="O69" s="268">
        <f t="shared" si="59"/>
        <v>108.16720085469954</v>
      </c>
      <c r="P69" s="269">
        <f>M69-J69</f>
        <v>0</v>
      </c>
      <c r="Q69" s="222">
        <f>N69-K69</f>
        <v>-229.16666666668243</v>
      </c>
      <c r="R69" s="123">
        <f>O69/L69</f>
        <v>0.85122330586849471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-229.16666666668243</v>
      </c>
      <c r="AG69" s="124">
        <f>N69/K69</f>
        <v>0.85356762513311024</v>
      </c>
      <c r="AH69" s="727"/>
    </row>
    <row r="70" spans="1:36" ht="15" customHeight="1">
      <c r="A70" s="760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718">
        <f>R79</f>
        <v>0</v>
      </c>
      <c r="T70" s="245"/>
      <c r="U70" s="245"/>
      <c r="V70" s="55"/>
      <c r="W70" s="54">
        <f t="shared" si="17"/>
        <v>0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0</v>
      </c>
      <c r="AG70" s="246" t="e">
        <f>N70/K70</f>
        <v>#DIV/0!</v>
      </c>
      <c r="AH70" s="724" t="e">
        <f>AG79</f>
        <v>#DIV/0!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P1:S2"/>
    <mergeCell ref="W3:W4"/>
    <mergeCell ref="X3:Y3"/>
    <mergeCell ref="Z3:AA3"/>
    <mergeCell ref="AB3:AC4"/>
    <mergeCell ref="T1:Y2"/>
    <mergeCell ref="AB1:AC2"/>
    <mergeCell ref="P3:P4"/>
    <mergeCell ref="Q3:Q4"/>
    <mergeCell ref="A2:B2"/>
    <mergeCell ref="A3:A4"/>
    <mergeCell ref="B3:B4"/>
    <mergeCell ref="D3:E4"/>
    <mergeCell ref="F3:F4"/>
    <mergeCell ref="H3:H4"/>
    <mergeCell ref="I3:I4"/>
    <mergeCell ref="G3:G4"/>
    <mergeCell ref="N3:N4"/>
    <mergeCell ref="O3:O4"/>
    <mergeCell ref="A5:A15"/>
    <mergeCell ref="S5:S15"/>
    <mergeCell ref="AB5:AC5"/>
    <mergeCell ref="R3:R4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16:A26"/>
    <mergeCell ref="S16:S26"/>
    <mergeCell ref="AB16:AC16"/>
    <mergeCell ref="D26:E26"/>
    <mergeCell ref="AB26:AC2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79" priority="1" operator="greaterThan">
      <formula>0</formula>
    </cfRule>
  </conditionalFormatting>
  <conditionalFormatting sqref="Q5:Q79 AF5:AF79">
    <cfRule type="cellIs" dxfId="178" priority="4" operator="lessThan">
      <formula>0</formula>
    </cfRule>
  </conditionalFormatting>
  <conditionalFormatting sqref="R5:R79 AG5:AG79">
    <cfRule type="cellIs" dxfId="177" priority="2" operator="greaterThan">
      <formula>1</formula>
    </cfRule>
    <cfRule type="cellIs" dxfId="176" priority="3" operator="lessThan">
      <formula>0.8</formula>
    </cfRule>
  </conditionalFormatting>
  <conditionalFormatting sqref="S5:S10 S37:S62 AH59:AH62 S69:S76 AH69:AH76">
    <cfRule type="cellIs" dxfId="175" priority="7" operator="lessThan">
      <formula>0.8</formula>
    </cfRule>
  </conditionalFormatting>
  <conditionalFormatting sqref="S19:S25 AH19:AH25">
    <cfRule type="cellIs" dxfId="174" priority="6" operator="lessThan">
      <formula>0.8</formula>
    </cfRule>
  </conditionalFormatting>
  <conditionalFormatting sqref="S79">
    <cfRule type="cellIs" dxfId="173" priority="5" operator="lessThan">
      <formula>0.8</formula>
    </cfRule>
  </conditionalFormatting>
  <conditionalFormatting sqref="AH5:AH8 S15:S16 AH15:AH16 AH49 AH79">
    <cfRule type="cellIs" dxfId="172" priority="9" operator="lessThan">
      <formula>0.8</formula>
    </cfRule>
  </conditionalFormatting>
  <conditionalFormatting sqref="AH27 S27:S28">
    <cfRule type="cellIs" dxfId="171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C7B62A-4873-4A97-A60C-3D1A158C615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ED7E-4FDD-4964-8525-2FDCB68EA033}">
  <dimension ref="B1:O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46042</v>
      </c>
      <c r="E3" s="645"/>
      <c r="F3" s="3" t="s">
        <v>72</v>
      </c>
      <c r="G3" s="646">
        <f>'0120'!E1</f>
        <v>65681</v>
      </c>
      <c r="H3" s="646"/>
      <c r="I3" s="3" t="s">
        <v>2</v>
      </c>
      <c r="J3" s="647">
        <f>'0120'!G1</f>
        <v>3036245.0399999986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113.89449629379418</v>
      </c>
      <c r="G6" s="652"/>
      <c r="H6" s="653">
        <f>AVERAGE(D13:H13,J13)</f>
        <v>111.47520294105045</v>
      </c>
      <c r="I6" s="653"/>
      <c r="J6" s="653">
        <f>AVERAGE(I13)</f>
        <v>128.41025641025641</v>
      </c>
      <c r="K6" s="653"/>
      <c r="L6" s="769">
        <f>SUM(D18:J18)</f>
        <v>0</v>
      </c>
      <c r="M6" s="656">
        <f>SUM(D19:J19)</f>
        <v>0</v>
      </c>
      <c r="N6" s="771">
        <f>SUM(D20:J20)</f>
        <v>10</v>
      </c>
      <c r="O6" s="656">
        <f>SUM(D20:J20)</f>
        <v>10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94.493540954816581</v>
      </c>
      <c r="G7" s="676"/>
      <c r="H7" s="677">
        <f>AVERAGE(D14:H14,J14)</f>
        <v>94.115007986873081</v>
      </c>
      <c r="I7" s="677"/>
      <c r="J7" s="677">
        <f>AVERAGE(I14)</f>
        <v>96.764738762477492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0.8296585351329685</v>
      </c>
      <c r="G8" s="649"/>
      <c r="H8" s="649">
        <f>H7/H6</f>
        <v>0.84426855034874737</v>
      </c>
      <c r="I8" s="649"/>
      <c r="J8" s="649">
        <f>J7/J6</f>
        <v>0.75355926751929359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VALUE('0120'!L15)</f>
        <v>125.67226890756304</v>
      </c>
      <c r="E13" s="13">
        <f>VALUE('0120'!L26)</f>
        <v>152.32051282051282</v>
      </c>
      <c r="F13" s="13">
        <f>VALUE('0120'!L37)</f>
        <v>82.981424148606806</v>
      </c>
      <c r="G13" s="13">
        <f>VALUE('0120'!L48)</f>
        <v>89.345265737874101</v>
      </c>
      <c r="H13" s="13">
        <f>VALUE('0120'!L58)</f>
        <v>94.087301587301596</v>
      </c>
      <c r="I13" s="13">
        <f>VALUE('0120'!L69)</f>
        <v>128.41025641025641</v>
      </c>
      <c r="J13" s="13">
        <f>'0120'!L79</f>
        <v>124.44444444444444</v>
      </c>
    </row>
    <row r="14" spans="2:15" ht="39.950000000000003" customHeight="1">
      <c r="B14" s="670"/>
      <c r="C14" s="12" t="s">
        <v>100</v>
      </c>
      <c r="D14" s="13">
        <f>VALUE('0120'!O15)</f>
        <v>117.23224713918042</v>
      </c>
      <c r="E14" s="13">
        <f>VALUE('0120'!O26)</f>
        <v>131.46091928124741</v>
      </c>
      <c r="F14" s="13">
        <f>VALUE('0120'!O37)</f>
        <v>79.091920960198451</v>
      </c>
      <c r="G14" s="13">
        <f>VALUE('0120'!O48)</f>
        <v>76.47394616417624</v>
      </c>
      <c r="H14" s="13">
        <f>VALUE('0120'!O58)</f>
        <v>83.190330615752188</v>
      </c>
      <c r="I14" s="13">
        <f>VALUE('0120'!O69)</f>
        <v>96.764738762477492</v>
      </c>
      <c r="J14" s="13">
        <f>'0120'!O79</f>
        <v>77.240683760683837</v>
      </c>
    </row>
    <row r="15" spans="2:15" ht="39.950000000000003" customHeight="1">
      <c r="B15" s="671"/>
      <c r="C15" s="10" t="s">
        <v>26</v>
      </c>
      <c r="D15" s="14">
        <f>D14/D13</f>
        <v>0.93284101702189692</v>
      </c>
      <c r="E15" s="14">
        <f t="shared" ref="E15:I15" si="1">E14/E13</f>
        <v>0.86305460011255775</v>
      </c>
      <c r="F15" s="14">
        <f t="shared" si="1"/>
        <v>0.95312802559952625</v>
      </c>
      <c r="G15" s="14">
        <f t="shared" si="1"/>
        <v>0.85593730717125605</v>
      </c>
      <c r="H15" s="14">
        <f t="shared" si="1"/>
        <v>0.88418234142427454</v>
      </c>
      <c r="I15" s="14">
        <f t="shared" si="1"/>
        <v>0.75355926751929359</v>
      </c>
      <c r="J15" s="15">
        <f>'0120'!S70</f>
        <v>0.62068406593406655</v>
      </c>
    </row>
    <row r="16" spans="2:15" ht="17.25" customHeight="1">
      <c r="B16" s="672" t="s">
        <v>101</v>
      </c>
      <c r="C16" s="10" t="s">
        <v>34</v>
      </c>
      <c r="D16" s="16">
        <f>'0120'!T5</f>
        <v>0.296527777777778</v>
      </c>
      <c r="E16" s="16">
        <f>'0120'!T16</f>
        <v>0.297916666666667</v>
      </c>
      <c r="F16" s="16">
        <f>'0120'!T27</f>
        <v>0.33194444444444399</v>
      </c>
      <c r="G16" s="16">
        <f>'0120'!T38</f>
        <v>0.33333333333333298</v>
      </c>
      <c r="H16" s="16">
        <f>'0120'!T49</f>
        <v>0.29097222222222202</v>
      </c>
      <c r="I16" s="16">
        <f>'0120'!T59</f>
        <v>0.29166666666666702</v>
      </c>
      <c r="J16" s="17">
        <f>'0120'!T70</f>
        <v>0.29513888888888901</v>
      </c>
    </row>
    <row r="17" spans="2:10" ht="17.25" customHeight="1">
      <c r="B17" s="673"/>
      <c r="C17" s="10" t="s">
        <v>35</v>
      </c>
      <c r="D17" s="16">
        <v>0.69791666666666696</v>
      </c>
      <c r="E17" s="19">
        <v>0.68055555555555602</v>
      </c>
      <c r="F17" s="19">
        <v>0.68611111111111101</v>
      </c>
      <c r="G17" s="210">
        <v>0.69444444444444398</v>
      </c>
      <c r="H17" s="21">
        <v>0.62152777777777801</v>
      </c>
      <c r="I17" s="22">
        <v>0.75694444444444398</v>
      </c>
      <c r="J17" s="22">
        <v>0.71180555555555602</v>
      </c>
    </row>
    <row r="18" spans="2:10" ht="17.25" customHeight="1">
      <c r="B18" s="674" t="s">
        <v>102</v>
      </c>
      <c r="C18" s="330" t="s">
        <v>36</v>
      </c>
      <c r="D18" s="358"/>
      <c r="E18" s="359">
        <f>'0120'!Z26</f>
        <v>0</v>
      </c>
      <c r="F18" s="359">
        <f>'0120'!Z37</f>
        <v>0</v>
      </c>
      <c r="G18" s="360">
        <f>'0120'!Z48</f>
        <v>0</v>
      </c>
      <c r="H18" s="360">
        <f>'0120'!Z58</f>
        <v>0</v>
      </c>
      <c r="I18" s="359">
        <f>'0120'!Z69</f>
        <v>0</v>
      </c>
      <c r="J18" s="359">
        <f>'0120'!Z79</f>
        <v>0</v>
      </c>
    </row>
    <row r="19" spans="2:10" ht="17.25" customHeight="1">
      <c r="B19" s="675"/>
      <c r="C19" s="330" t="s">
        <v>37</v>
      </c>
      <c r="D19" s="358">
        <f>'0120'!AA15</f>
        <v>0</v>
      </c>
      <c r="E19" s="359">
        <f>'0120'!AA26</f>
        <v>0</v>
      </c>
      <c r="F19" s="359">
        <f>'0120'!AA37</f>
        <v>0</v>
      </c>
      <c r="G19" s="360">
        <f>'0120'!AA48</f>
        <v>0</v>
      </c>
      <c r="H19" s="360">
        <f>'0120'!AA58</f>
        <v>0</v>
      </c>
      <c r="I19" s="359">
        <f>'0120'!AA69</f>
        <v>0</v>
      </c>
      <c r="J19" s="359">
        <f>'0120'!AA79</f>
        <v>0</v>
      </c>
    </row>
    <row r="20" spans="2:10" ht="17.25" customHeight="1">
      <c r="B20" s="674" t="s">
        <v>103</v>
      </c>
      <c r="C20" s="330" t="s">
        <v>36</v>
      </c>
      <c r="D20" s="358">
        <f>'0120'!AD15</f>
        <v>2</v>
      </c>
      <c r="E20" s="359">
        <f>'0120'!AD26</f>
        <v>0</v>
      </c>
      <c r="F20" s="359">
        <f>'0120'!AD37</f>
        <v>0</v>
      </c>
      <c r="G20" s="360">
        <f>'0120'!AD48</f>
        <v>0</v>
      </c>
      <c r="H20" s="360">
        <f>'0120'!AD58</f>
        <v>1</v>
      </c>
      <c r="I20" s="359">
        <f>'0120'!AD69</f>
        <v>3</v>
      </c>
      <c r="J20" s="359">
        <f>'0120'!AD79</f>
        <v>4</v>
      </c>
    </row>
    <row r="21" spans="2:10" ht="17.25" customHeight="1">
      <c r="B21" s="675"/>
      <c r="C21" s="330" t="s">
        <v>85</v>
      </c>
      <c r="D21" s="358">
        <f>'0120'!AE15</f>
        <v>2</v>
      </c>
      <c r="E21" s="359">
        <f>'0120'!AE26</f>
        <v>0</v>
      </c>
      <c r="F21" s="359">
        <f>'0108'!AE37</f>
        <v>0</v>
      </c>
      <c r="G21" s="360">
        <f>'0120'!AE48</f>
        <v>0</v>
      </c>
      <c r="H21" s="360">
        <f>'0120'!AE58</f>
        <v>1</v>
      </c>
      <c r="I21" s="359">
        <f>'0120'!AE69</f>
        <v>3</v>
      </c>
      <c r="J21" s="359">
        <f>'0120'!AE79</f>
        <v>4</v>
      </c>
    </row>
    <row r="22" spans="2:10" ht="17.25" customHeight="1">
      <c r="B22" s="658" t="s">
        <v>104</v>
      </c>
      <c r="C22" s="659"/>
      <c r="D22" s="23">
        <f>VALUE('0120'!M15)</f>
        <v>15.4</v>
      </c>
      <c r="E22" s="23">
        <f>VALUE('0120'!M26)</f>
        <v>13.4</v>
      </c>
      <c r="F22" s="23">
        <f>VALUE('0120'!M37)</f>
        <v>14.6</v>
      </c>
      <c r="G22" s="23">
        <f>VALUE('0120'!M48)</f>
        <v>15.333333333333334</v>
      </c>
      <c r="H22" s="23">
        <f>VALUE('0120'!M58)</f>
        <v>16.399999999999999</v>
      </c>
      <c r="I22" s="23">
        <f>VALUE('0120'!M69)</f>
        <v>12.2</v>
      </c>
      <c r="J22" s="23">
        <f>'0120'!M79</f>
        <v>11.333333333333334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70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C727-3517-4A55-A409-ADB027D58C4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8" sqref="U8"/>
      <selection pane="topRight" activeCell="U8" sqref="U8"/>
      <selection pane="bottomLeft" activeCell="U8" sqref="U8"/>
      <selection pane="bottomRight" activeCell="M16" sqref="M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65681</v>
      </c>
      <c r="F1" s="30" t="s">
        <v>2</v>
      </c>
      <c r="G1" s="31">
        <f>SUM(H5:H79)</f>
        <v>3036245.0399999986</v>
      </c>
      <c r="H1" s="32" t="s">
        <v>3</v>
      </c>
      <c r="I1" s="33">
        <f>M15+M26+M48+M58+M69+M79+M37</f>
        <v>98.666666666666657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189</v>
      </c>
      <c r="B2" s="678"/>
      <c r="C2" s="28"/>
      <c r="D2" s="28" t="s">
        <v>14</v>
      </c>
      <c r="E2" s="35">
        <f>AVERAGE(O15,O26,O37,O48,O58,O69,O79)</f>
        <v>94.493540954816581</v>
      </c>
      <c r="F2" s="36" t="s">
        <v>15</v>
      </c>
      <c r="G2" s="37">
        <f>G1/E1</f>
        <v>46.227143922900055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10</v>
      </c>
      <c r="AE2" s="340">
        <f>AE15+AE26+AE37+AE48+AE58+AE69+AE79</f>
        <v>10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1368</v>
      </c>
      <c r="H5" s="43">
        <f>F5*G5</f>
        <v>78263.28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7" si="0">K5/J5</f>
        <v>117.64705882352941</v>
      </c>
      <c r="M5" s="48">
        <v>17</v>
      </c>
      <c r="N5" s="46">
        <f t="shared" ref="N5:N7" si="1">G5/W5*60</f>
        <v>1865.4545454545794</v>
      </c>
      <c r="O5" s="47">
        <f t="shared" ref="O5:O7" si="2">N5/M5</f>
        <v>109.73262032085761</v>
      </c>
      <c r="P5" s="49">
        <f t="shared" ref="P5:P7" si="3">M5-J5</f>
        <v>0</v>
      </c>
      <c r="Q5" s="50">
        <f t="shared" ref="Q5:Q7" si="4">O5-L5</f>
        <v>-7.9144385026717998</v>
      </c>
      <c r="R5" s="51">
        <f t="shared" ref="R5:R7" si="5">O5/L5</f>
        <v>0.93272727272728972</v>
      </c>
      <c r="S5" s="718">
        <f>R15</f>
        <v>0.93284101702189692</v>
      </c>
      <c r="T5" s="319">
        <v>0.296527777777778</v>
      </c>
      <c r="U5" s="320">
        <v>0.327083333333333</v>
      </c>
      <c r="V5" s="53"/>
      <c r="W5" s="54">
        <f t="shared" ref="W5:W14" si="6">(U5-T5)*24*60</f>
        <v>43.999999999999204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-134.54545454542063</v>
      </c>
      <c r="AG5" s="52">
        <f t="shared" ref="AG5:AG11" si="8">N5/K5</f>
        <v>0.93272727272728972</v>
      </c>
      <c r="AH5" s="724">
        <f>AG15</f>
        <v>0.93360716955283485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4231</v>
      </c>
      <c r="H6" s="63">
        <f>F6*G6</f>
        <v>238120.68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16</v>
      </c>
      <c r="N6" s="66">
        <f t="shared" si="1"/>
        <v>1787.7464788732409</v>
      </c>
      <c r="O6" s="67">
        <f t="shared" si="2"/>
        <v>111.73415492957756</v>
      </c>
      <c r="P6" s="69">
        <f t="shared" si="3"/>
        <v>0</v>
      </c>
      <c r="Q6" s="70">
        <f t="shared" si="4"/>
        <v>-0.76584507042244354</v>
      </c>
      <c r="R6" s="71">
        <f t="shared" si="5"/>
        <v>0.99319248826291162</v>
      </c>
      <c r="S6" s="719"/>
      <c r="T6" s="16">
        <v>0.33472222222222198</v>
      </c>
      <c r="U6" s="16">
        <v>0.43333333333333302</v>
      </c>
      <c r="V6" s="30">
        <f>(T6-U5)*24*60</f>
        <v>11.000000000000121</v>
      </c>
      <c r="W6" s="73">
        <f t="shared" si="6"/>
        <v>141.99999999999989</v>
      </c>
      <c r="X6" s="22"/>
      <c r="Y6" s="84"/>
      <c r="Z6" s="90"/>
      <c r="AA6" s="90"/>
      <c r="AB6" s="728" t="s">
        <v>191</v>
      </c>
      <c r="AC6" s="728"/>
      <c r="AD6" s="149">
        <v>1</v>
      </c>
      <c r="AE6" s="149">
        <v>1</v>
      </c>
      <c r="AF6" s="307">
        <f t="shared" si="7"/>
        <v>-12.253521126759097</v>
      </c>
      <c r="AG6" s="72">
        <f t="shared" si="8"/>
        <v>0.99319248826291162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1778</v>
      </c>
      <c r="H7" s="78">
        <f>F7*G7</f>
        <v>87370.92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1693.3333333333351</v>
      </c>
      <c r="O7" s="81">
        <f t="shared" si="2"/>
        <v>120.95238095238108</v>
      </c>
      <c r="P7" s="74">
        <f t="shared" si="3"/>
        <v>0</v>
      </c>
      <c r="Q7" s="83">
        <f t="shared" si="4"/>
        <v>-21.904761904761784</v>
      </c>
      <c r="R7" s="72">
        <f t="shared" si="5"/>
        <v>0.84666666666666757</v>
      </c>
      <c r="S7" s="719"/>
      <c r="T7" s="18">
        <v>0.44722222222222202</v>
      </c>
      <c r="U7" s="18">
        <v>0.49097222222222198</v>
      </c>
      <c r="V7" s="30">
        <f>(T7-U6)*24*60</f>
        <v>20.000000000000171</v>
      </c>
      <c r="W7" s="73">
        <f t="shared" si="6"/>
        <v>62.999999999999936</v>
      </c>
      <c r="X7" s="22"/>
      <c r="Y7" s="84"/>
      <c r="Z7" s="90"/>
      <c r="AA7" s="90"/>
      <c r="AB7" s="728" t="s">
        <v>192</v>
      </c>
      <c r="AC7" s="713"/>
      <c r="AD7" s="92">
        <v>1</v>
      </c>
      <c r="AE7" s="92">
        <v>1</v>
      </c>
      <c r="AF7" s="307">
        <f t="shared" si="7"/>
        <v>-306.66666666666492</v>
      </c>
      <c r="AG7" s="72">
        <f t="shared" si="8"/>
        <v>0.84666666666666757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3079</v>
      </c>
      <c r="H8" s="78">
        <f t="shared" ref="H8:H9" si="9">F8*G8</f>
        <v>151302.06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ref="L8:L9" si="10">K8/J8</f>
        <v>142.85714285714286</v>
      </c>
      <c r="M8" s="82">
        <v>14</v>
      </c>
      <c r="N8" s="80">
        <f t="shared" ref="N8:N9" si="11">G8/W8*60</f>
        <v>1986.4516129032054</v>
      </c>
      <c r="O8" s="81">
        <f t="shared" ref="O8:O9" si="12">N8/M8</f>
        <v>141.88940092165754</v>
      </c>
      <c r="P8" s="74">
        <f t="shared" ref="P8:P9" si="13">M8-J8</f>
        <v>0</v>
      </c>
      <c r="Q8" s="83">
        <f t="shared" ref="Q8:Q9" si="14">O8-L8</f>
        <v>-0.96774193548532139</v>
      </c>
      <c r="R8" s="72">
        <f t="shared" ref="R8:R9" si="15">O8/L8</f>
        <v>0.99322580645160274</v>
      </c>
      <c r="S8" s="719"/>
      <c r="T8" s="16">
        <v>0.55069444444444404</v>
      </c>
      <c r="U8" s="16">
        <v>0.61527777777777803</v>
      </c>
      <c r="V8" s="30">
        <f t="shared" ref="V8:V9" si="16">(T8-U7)*24*60</f>
        <v>85.999999999999773</v>
      </c>
      <c r="W8" s="73">
        <f t="shared" si="6"/>
        <v>93.000000000000952</v>
      </c>
      <c r="X8" s="22">
        <v>0.5</v>
      </c>
      <c r="Y8" s="84">
        <v>0.54166666666666696</v>
      </c>
      <c r="Z8" s="90"/>
      <c r="AA8" s="90"/>
      <c r="AB8" s="728"/>
      <c r="AC8" s="728"/>
      <c r="AD8" s="149"/>
      <c r="AE8" s="149"/>
      <c r="AF8" s="307">
        <f t="shared" si="7"/>
        <v>-13.548387096794613</v>
      </c>
      <c r="AG8" s="72">
        <f t="shared" si="8"/>
        <v>0.99322580645160274</v>
      </c>
      <c r="AH8" s="725"/>
    </row>
    <row r="9" spans="1:34" ht="15" customHeight="1">
      <c r="A9" s="716"/>
      <c r="B9" s="75" t="s">
        <v>81</v>
      </c>
      <c r="C9" s="76"/>
      <c r="D9" s="59" t="s">
        <v>190</v>
      </c>
      <c r="E9" s="77"/>
      <c r="F9" s="75">
        <f>VLOOKUP(D9,廠價表!$C$1:$E$41,3,0)</f>
        <v>56.28</v>
      </c>
      <c r="G9" s="66">
        <v>3042</v>
      </c>
      <c r="H9" s="78">
        <f t="shared" si="9"/>
        <v>171203.76</v>
      </c>
      <c r="I9" s="73"/>
      <c r="J9" s="79">
        <f>VLOOKUP(D9,產線配置圖!$A$3:$C$39,2,0)</f>
        <v>16</v>
      </c>
      <c r="K9" s="80">
        <f>VLOOKUP(D9,產線配置圖!$A$3:$C$39,3,0)</f>
        <v>1800</v>
      </c>
      <c r="L9" s="81">
        <f t="shared" si="10"/>
        <v>112.5</v>
      </c>
      <c r="M9" s="82">
        <v>16</v>
      </c>
      <c r="N9" s="80">
        <f t="shared" si="11"/>
        <v>1629.6428571428537</v>
      </c>
      <c r="O9" s="81">
        <f t="shared" si="12"/>
        <v>101.85267857142836</v>
      </c>
      <c r="P9" s="74">
        <f t="shared" si="13"/>
        <v>0</v>
      </c>
      <c r="Q9" s="83">
        <f t="shared" si="14"/>
        <v>-10.647321428571644</v>
      </c>
      <c r="R9" s="72">
        <f t="shared" si="15"/>
        <v>0.90535714285714097</v>
      </c>
      <c r="S9" s="720"/>
      <c r="T9" s="16">
        <v>0.62013888888888902</v>
      </c>
      <c r="U9" s="16">
        <v>0.69791666666666696</v>
      </c>
      <c r="V9" s="30">
        <f t="shared" si="16"/>
        <v>6.9999999999998153</v>
      </c>
      <c r="W9" s="73">
        <f t="shared" si="6"/>
        <v>112.00000000000024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-170.3571428571463</v>
      </c>
      <c r="AG9" s="72">
        <f t="shared" si="8"/>
        <v>0.90535714285714097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17">AVERAGE(J5:J14)</f>
        <v>15.4</v>
      </c>
      <c r="K15" s="120">
        <f t="shared" si="17"/>
        <v>1920</v>
      </c>
      <c r="L15" s="117">
        <f t="shared" si="17"/>
        <v>125.67226890756304</v>
      </c>
      <c r="M15" s="120">
        <f t="shared" si="17"/>
        <v>15.4</v>
      </c>
      <c r="N15" s="120">
        <f t="shared" si="17"/>
        <v>1792.525765541443</v>
      </c>
      <c r="O15" s="117">
        <f t="shared" si="17"/>
        <v>117.23224713918042</v>
      </c>
      <c r="P15" s="121">
        <f t="shared" ref="P15:P18" si="18">M15-J15</f>
        <v>0</v>
      </c>
      <c r="Q15" s="122">
        <f t="shared" ref="Q15:Q18" si="19">O15-L15</f>
        <v>-8.4400217683826213</v>
      </c>
      <c r="R15" s="123">
        <f t="shared" ref="R15:R18" si="20">O15/L15</f>
        <v>0.93284101702189692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2</v>
      </c>
      <c r="AE15" s="323">
        <f>SUM(AE5:AE14)</f>
        <v>2</v>
      </c>
      <c r="AF15" s="309">
        <f t="shared" ref="AF15:AF19" si="21">N15-K15</f>
        <v>-127.47423445855702</v>
      </c>
      <c r="AG15" s="124">
        <f t="shared" ref="AG15:AG19" si="22">N15/K15</f>
        <v>0.93360716955283485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123</v>
      </c>
      <c r="E16" s="132"/>
      <c r="F16" s="129">
        <f>VLOOKUP(D16,廠價表!$C$1:$E$41,3,0)</f>
        <v>50.67</v>
      </c>
      <c r="G16" s="133">
        <v>3521</v>
      </c>
      <c r="H16" s="134">
        <f>F16*G16</f>
        <v>178409.07</v>
      </c>
      <c r="I16" s="135"/>
      <c r="J16" s="136">
        <f>VLOOKUP(D16,產線配置圖!$A$3:$C$39,2,0)</f>
        <v>13</v>
      </c>
      <c r="K16" s="137">
        <f>VLOOKUP(D16,產線配置圖!$A$3:$C$39,3,0)</f>
        <v>2000</v>
      </c>
      <c r="L16" s="138">
        <f t="shared" ref="L16:L18" si="23">K16/J16</f>
        <v>153.84615384615384</v>
      </c>
      <c r="M16" s="139">
        <v>14</v>
      </c>
      <c r="N16" s="140">
        <f t="shared" ref="N16:N18" si="24">G16/W16*60</f>
        <v>1938.1651376146899</v>
      </c>
      <c r="O16" s="141">
        <f>N16/M16</f>
        <v>138.44036697247785</v>
      </c>
      <c r="P16" s="142">
        <f>M16-J16</f>
        <v>1</v>
      </c>
      <c r="Q16" s="143">
        <f t="shared" si="19"/>
        <v>-15.405786873675993</v>
      </c>
      <c r="R16" s="144">
        <f>O16/L16</f>
        <v>0.89986238532110607</v>
      </c>
      <c r="S16" s="734">
        <f>R26</f>
        <v>0.86305460011255775</v>
      </c>
      <c r="T16" s="145">
        <v>0.297916666666667</v>
      </c>
      <c r="U16" s="145">
        <v>0.37361111111111101</v>
      </c>
      <c r="V16" s="135"/>
      <c r="W16" s="146">
        <f t="shared" ref="W16:W78" si="25">(U16-T16)*24*60</f>
        <v>108.99999999999937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21"/>
        <v>-61.834862385310089</v>
      </c>
      <c r="AG16" s="52">
        <f t="shared" si="22"/>
        <v>0.969082568807345</v>
      </c>
      <c r="AH16" s="724">
        <f>AG26</f>
        <v>0.87952744111876169</v>
      </c>
    </row>
    <row r="17" spans="1:34" ht="15" customHeight="1">
      <c r="A17" s="741"/>
      <c r="B17" s="75" t="s">
        <v>81</v>
      </c>
      <c r="C17" s="76"/>
      <c r="D17" s="59" t="s">
        <v>121</v>
      </c>
      <c r="E17" s="77"/>
      <c r="F17" s="75">
        <f>VLOOKUP(D17,廠價表!$C$1:$E$41,3,0)</f>
        <v>57.21</v>
      </c>
      <c r="G17" s="147">
        <v>2324</v>
      </c>
      <c r="H17" s="78">
        <f>F17*G17</f>
        <v>132956.04</v>
      </c>
      <c r="I17" s="30"/>
      <c r="J17" s="79">
        <f>VLOOKUP(D17,產線配置圖!$A$3:$C$39,2,0)</f>
        <v>13</v>
      </c>
      <c r="K17" s="80">
        <f>VLOOKUP(D17,產線配置圖!$A$3:$C$39,3,0)</f>
        <v>2105</v>
      </c>
      <c r="L17" s="81">
        <f t="shared" si="23"/>
        <v>161.92307692307693</v>
      </c>
      <c r="M17" s="148">
        <v>13</v>
      </c>
      <c r="N17" s="95">
        <f>G17/W17*60</f>
        <v>1394.3999999999885</v>
      </c>
      <c r="O17" s="96">
        <f t="shared" ref="O17:O18" si="26">N17/M17</f>
        <v>107.26153846153758</v>
      </c>
      <c r="P17" s="97">
        <f t="shared" si="18"/>
        <v>0</v>
      </c>
      <c r="Q17" s="98">
        <f t="shared" si="19"/>
        <v>-54.661538461539351</v>
      </c>
      <c r="R17" s="99">
        <f t="shared" si="20"/>
        <v>0.66242280285035082</v>
      </c>
      <c r="S17" s="735"/>
      <c r="T17" s="19">
        <v>0.38194444444444398</v>
      </c>
      <c r="U17" s="19">
        <v>0.45138888888888901</v>
      </c>
      <c r="V17" s="30">
        <f>(T17-U16)*24*60</f>
        <v>11.999999999999478</v>
      </c>
      <c r="W17" s="149">
        <f t="shared" si="25"/>
        <v>100.00000000000084</v>
      </c>
      <c r="X17" s="19"/>
      <c r="Y17" s="297"/>
      <c r="Z17" s="90"/>
      <c r="AA17" s="90"/>
      <c r="AB17" s="713" t="s">
        <v>193</v>
      </c>
      <c r="AC17" s="713"/>
      <c r="AD17" s="92"/>
      <c r="AE17" s="92"/>
      <c r="AF17" s="307">
        <f t="shared" si="21"/>
        <v>-710.60000000001151</v>
      </c>
      <c r="AG17" s="72">
        <f t="shared" si="22"/>
        <v>0.66242280285035082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1244</v>
      </c>
      <c r="H18" s="78">
        <f>F18*G18</f>
        <v>62685.16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23"/>
        <v>166.66666666666666</v>
      </c>
      <c r="M18" s="148">
        <v>12</v>
      </c>
      <c r="N18" s="95">
        <f t="shared" si="24"/>
        <v>1658.6666666666667</v>
      </c>
      <c r="O18" s="96">
        <f t="shared" si="26"/>
        <v>138.22222222222223</v>
      </c>
      <c r="P18" s="97">
        <f t="shared" si="18"/>
        <v>0</v>
      </c>
      <c r="Q18" s="98">
        <f t="shared" si="19"/>
        <v>-28.444444444444429</v>
      </c>
      <c r="R18" s="99">
        <f t="shared" si="20"/>
        <v>0.82933333333333337</v>
      </c>
      <c r="S18" s="735"/>
      <c r="T18" s="19">
        <v>0.46180555555555602</v>
      </c>
      <c r="U18" s="19">
        <v>0.49305555555555602</v>
      </c>
      <c r="V18" s="30">
        <f>(T18-U17)*24*60</f>
        <v>15.000000000000506</v>
      </c>
      <c r="W18" s="149">
        <f t="shared" si="25"/>
        <v>45</v>
      </c>
      <c r="X18" s="22">
        <v>0.5</v>
      </c>
      <c r="Y18" s="84">
        <v>0.54166666666666696</v>
      </c>
      <c r="Z18" s="90"/>
      <c r="AA18" s="90"/>
      <c r="AB18" s="713"/>
      <c r="AC18" s="713"/>
      <c r="AD18" s="92"/>
      <c r="AE18" s="92"/>
      <c r="AF18" s="307">
        <f t="shared" si="21"/>
        <v>-341.33333333333326</v>
      </c>
      <c r="AG18" s="72">
        <f t="shared" si="22"/>
        <v>0.82933333333333337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3268</v>
      </c>
      <c r="H19" s="78">
        <f t="shared" ref="H19:H20" si="27">F19*G19</f>
        <v>164674.51999999999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0" si="28">K19/J19</f>
        <v>166.66666666666666</v>
      </c>
      <c r="M19" s="148">
        <v>12</v>
      </c>
      <c r="N19" s="95">
        <f t="shared" ref="N19:N20" si="29">G19/W19*60</f>
        <v>1960.8000000000131</v>
      </c>
      <c r="O19" s="96">
        <f t="shared" ref="O19:O20" si="30">N19/M19</f>
        <v>163.40000000000109</v>
      </c>
      <c r="P19" s="97">
        <f t="shared" ref="P19:P20" si="31">M19-J19</f>
        <v>0</v>
      </c>
      <c r="Q19" s="98">
        <f t="shared" ref="Q19:Q20" si="32">O19-L19</f>
        <v>-3.2666666666655715</v>
      </c>
      <c r="R19" s="99">
        <f t="shared" ref="R19:R20" si="33">O19/L19</f>
        <v>0.9804000000000066</v>
      </c>
      <c r="S19" s="735"/>
      <c r="T19" s="19">
        <v>0.55555555555555602</v>
      </c>
      <c r="U19" s="19">
        <v>0.625</v>
      </c>
      <c r="V19" s="30">
        <f>(T19-U18)*24*60</f>
        <v>90</v>
      </c>
      <c r="W19" s="149">
        <f t="shared" si="25"/>
        <v>99.999999999999318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21"/>
        <v>-39.199999999986858</v>
      </c>
      <c r="AG19" s="72">
        <f t="shared" si="22"/>
        <v>0.9804000000000066</v>
      </c>
      <c r="AH19" s="726"/>
    </row>
    <row r="20" spans="1:34" ht="15" customHeight="1">
      <c r="A20" s="741"/>
      <c r="B20" s="75" t="s">
        <v>81</v>
      </c>
      <c r="C20" s="76"/>
      <c r="D20" s="59" t="s">
        <v>190</v>
      </c>
      <c r="E20" s="77"/>
      <c r="F20" s="75">
        <f>VLOOKUP(D20,廠價表!$C$1:$E$41,3,0)</f>
        <v>56.28</v>
      </c>
      <c r="G20" s="147">
        <v>1877</v>
      </c>
      <c r="H20" s="78">
        <f t="shared" si="27"/>
        <v>105637.56</v>
      </c>
      <c r="I20" s="30"/>
      <c r="J20" s="79">
        <f>VLOOKUP(D20,產線配置圖!$A$3:$C$39,2,0)</f>
        <v>16</v>
      </c>
      <c r="K20" s="80">
        <f>VLOOKUP(D20,產線配置圖!$A$3:$C$39,3,0)</f>
        <v>1800</v>
      </c>
      <c r="L20" s="81">
        <f t="shared" si="28"/>
        <v>112.5</v>
      </c>
      <c r="M20" s="148">
        <v>16</v>
      </c>
      <c r="N20" s="95">
        <f t="shared" si="29"/>
        <v>1759.6874999999754</v>
      </c>
      <c r="O20" s="96">
        <f t="shared" si="30"/>
        <v>109.98046874999847</v>
      </c>
      <c r="P20" s="97">
        <f t="shared" si="31"/>
        <v>0</v>
      </c>
      <c r="Q20" s="98">
        <f t="shared" si="32"/>
        <v>-2.5195312500015348</v>
      </c>
      <c r="R20" s="99">
        <f t="shared" si="33"/>
        <v>0.97760416666665306</v>
      </c>
      <c r="S20" s="735"/>
      <c r="T20" s="19">
        <v>0.63611111111111096</v>
      </c>
      <c r="U20" s="19">
        <v>0.68055555555555602</v>
      </c>
      <c r="V20" s="30">
        <f>(T20-U19)*24*60</f>
        <v>15.999999999999783</v>
      </c>
      <c r="W20" s="149">
        <f t="shared" si="25"/>
        <v>64.000000000000895</v>
      </c>
      <c r="X20" s="19"/>
      <c r="Y20" s="297"/>
      <c r="Z20" s="90"/>
      <c r="AA20" s="90"/>
      <c r="AB20" s="713"/>
      <c r="AC20" s="713"/>
      <c r="AD20" s="92"/>
      <c r="AE20" s="92"/>
      <c r="AF20" s="307">
        <f>N20-K20</f>
        <v>-40.312500000024556</v>
      </c>
      <c r="AG20" s="72">
        <f>N20/K20</f>
        <v>0.97760416666665306</v>
      </c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9"/>
      <c r="U21" s="19"/>
      <c r="V21" s="30"/>
      <c r="W21" s="149">
        <f t="shared" si="25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25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34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25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34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25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35">AVERAGE(J16:J25)</f>
        <v>13.2</v>
      </c>
      <c r="K26" s="155">
        <f t="shared" si="35"/>
        <v>1981</v>
      </c>
      <c r="L26" s="158">
        <f t="shared" si="35"/>
        <v>152.32051282051282</v>
      </c>
      <c r="M26" s="155">
        <f t="shared" si="35"/>
        <v>13.4</v>
      </c>
      <c r="N26" s="155">
        <f t="shared" si="35"/>
        <v>1742.3438608562669</v>
      </c>
      <c r="O26" s="158">
        <f t="shared" si="35"/>
        <v>131.46091928124741</v>
      </c>
      <c r="P26" s="159">
        <f t="shared" ref="P26:P29" si="36">M26-J26</f>
        <v>0.20000000000000107</v>
      </c>
      <c r="Q26" s="160">
        <f t="shared" ref="Q26:Q29" si="37">O26-L26</f>
        <v>-20.859593539265404</v>
      </c>
      <c r="R26" s="161">
        <f>O26/L26</f>
        <v>0.86305460011255775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38">N26-K26</f>
        <v>-238.65613914373307</v>
      </c>
      <c r="AG26" s="124">
        <f t="shared" ref="AG26:AG31" si="39">N26/K26</f>
        <v>0.87952744111876169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1789</v>
      </c>
      <c r="H27" s="134">
        <f>F27*G27</f>
        <v>102509.7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40">K27/J27</f>
        <v>88.235294117647058</v>
      </c>
      <c r="M27" s="170">
        <v>15</v>
      </c>
      <c r="N27" s="140">
        <f>G27/W27*60</f>
        <v>1309.0243902438892</v>
      </c>
      <c r="O27" s="141">
        <f>N27/M27</f>
        <v>87.268292682925946</v>
      </c>
      <c r="P27" s="142">
        <f t="shared" si="36"/>
        <v>-2</v>
      </c>
      <c r="Q27" s="143">
        <f t="shared" si="37"/>
        <v>-0.96700143472111222</v>
      </c>
      <c r="R27" s="144">
        <f>O27/L27</f>
        <v>0.98904065040649403</v>
      </c>
      <c r="S27" s="734">
        <f>R37</f>
        <v>0.95312802559952625</v>
      </c>
      <c r="T27" s="171">
        <v>0.33194444444444399</v>
      </c>
      <c r="U27" s="171">
        <v>0.38888888888888901</v>
      </c>
      <c r="V27" s="135"/>
      <c r="W27" s="146">
        <f t="shared" si="25"/>
        <v>82.000000000000824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38"/>
        <v>-190.97560975611077</v>
      </c>
      <c r="AG27" s="172">
        <f t="shared" si="39"/>
        <v>0.87268292682925952</v>
      </c>
      <c r="AH27" s="724">
        <f>AG37</f>
        <v>0.8020743508327447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1452</v>
      </c>
      <c r="H28" s="91">
        <f>F28*G28</f>
        <v>80048.760000000009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40"/>
        <v>81.470588235294116</v>
      </c>
      <c r="M28" s="94">
        <v>15</v>
      </c>
      <c r="N28" s="95">
        <f>G28/W28*60</f>
        <v>1210.0000000000002</v>
      </c>
      <c r="O28" s="96">
        <f>N28/M28</f>
        <v>80.666666666666686</v>
      </c>
      <c r="P28" s="97">
        <f t="shared" si="36"/>
        <v>-2</v>
      </c>
      <c r="Q28" s="98">
        <f t="shared" si="37"/>
        <v>-0.80392156862743036</v>
      </c>
      <c r="R28" s="99">
        <f t="shared" ref="R28:R29" si="41">O28/L28</f>
        <v>0.99013237063778603</v>
      </c>
      <c r="S28" s="735"/>
      <c r="T28" s="19">
        <v>0.39374999999999999</v>
      </c>
      <c r="U28" s="19">
        <v>0.44374999999999998</v>
      </c>
      <c r="V28" s="92">
        <f>(T28-U27)*24*60</f>
        <v>6.9999999999998153</v>
      </c>
      <c r="W28" s="149">
        <f t="shared" si="25"/>
        <v>71.999999999999986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38"/>
        <v>-174.99999999999977</v>
      </c>
      <c r="AG28" s="99">
        <f t="shared" si="39"/>
        <v>0.87364620938628179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907</v>
      </c>
      <c r="H29" s="91">
        <f>F29*G29</f>
        <v>44914.64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40"/>
        <v>84.705882352941174</v>
      </c>
      <c r="M29" s="94">
        <v>14</v>
      </c>
      <c r="N29" s="95">
        <f>G29/W29*60</f>
        <v>971.78571428571229</v>
      </c>
      <c r="O29" s="96">
        <f>N29/M29</f>
        <v>69.413265306122312</v>
      </c>
      <c r="P29" s="97">
        <f t="shared" si="36"/>
        <v>-3</v>
      </c>
      <c r="Q29" s="98">
        <f t="shared" si="37"/>
        <v>-15.292617046818862</v>
      </c>
      <c r="R29" s="99">
        <f t="shared" si="41"/>
        <v>0.819462159863944</v>
      </c>
      <c r="S29" s="735"/>
      <c r="T29" s="19">
        <v>0.45069444444444401</v>
      </c>
      <c r="U29" s="19">
        <v>0.48958333333333298</v>
      </c>
      <c r="V29" s="92">
        <f>(T29-U28)*24*60</f>
        <v>9.9999999999994049</v>
      </c>
      <c r="W29" s="149">
        <f t="shared" si="25"/>
        <v>56.000000000000121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38"/>
        <v>-468.21428571428771</v>
      </c>
      <c r="AG29" s="99">
        <f t="shared" si="39"/>
        <v>0.67485119047618913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1150</v>
      </c>
      <c r="H30" s="91">
        <f t="shared" ref="H30:H31" si="42">F30*G30</f>
        <v>56948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43">K30/J30</f>
        <v>84.705882352941174</v>
      </c>
      <c r="M30" s="94">
        <v>14</v>
      </c>
      <c r="N30" s="95">
        <f t="shared" ref="N30:N31" si="44">G30/W30*60</f>
        <v>1169.4915254237076</v>
      </c>
      <c r="O30" s="96">
        <f t="shared" ref="O30:O31" si="45">N30/M30</f>
        <v>83.535108958836261</v>
      </c>
      <c r="P30" s="97">
        <f t="shared" ref="P30:P31" si="46">M30-J30</f>
        <v>-3</v>
      </c>
      <c r="Q30" s="98">
        <f t="shared" ref="Q30:Q31" si="47">O30-L30</f>
        <v>-1.1707733941049128</v>
      </c>
      <c r="R30" s="99">
        <f t="shared" ref="R30:R31" si="48">O30/L30</f>
        <v>0.98617836965292816</v>
      </c>
      <c r="S30" s="735"/>
      <c r="T30" s="19">
        <v>0.55208333333333304</v>
      </c>
      <c r="U30" s="19">
        <v>0.593055555555556</v>
      </c>
      <c r="V30" s="92">
        <f>(T30-U29)*24*60</f>
        <v>90.000000000000085</v>
      </c>
      <c r="W30" s="149">
        <f t="shared" si="25"/>
        <v>59.000000000001066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38"/>
        <v>-270.50847457629243</v>
      </c>
      <c r="AG30" s="99">
        <f t="shared" si="39"/>
        <v>0.81214689265535245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2200</v>
      </c>
      <c r="H31" s="91">
        <f t="shared" si="42"/>
        <v>97460</v>
      </c>
      <c r="I31" s="92"/>
      <c r="J31" s="79">
        <f>VLOOKUP(D31,產線配置圖!$A$3:$C$39,2,0)</f>
        <v>19</v>
      </c>
      <c r="K31" s="80">
        <f>VLOOKUP(D31,產線配置圖!$A$3:$C$39,3,0)</f>
        <v>1440</v>
      </c>
      <c r="L31" s="93">
        <f t="shared" si="43"/>
        <v>75.78947368421052</v>
      </c>
      <c r="M31" s="94">
        <v>15</v>
      </c>
      <c r="N31" s="95">
        <f t="shared" si="44"/>
        <v>1118.6440677966157</v>
      </c>
      <c r="O31" s="96">
        <f t="shared" si="45"/>
        <v>74.576271186441048</v>
      </c>
      <c r="P31" s="97">
        <f t="shared" si="46"/>
        <v>-4</v>
      </c>
      <c r="Q31" s="98">
        <f t="shared" si="47"/>
        <v>-1.2132024977694726</v>
      </c>
      <c r="R31" s="99">
        <f t="shared" si="48"/>
        <v>0.98399246704331944</v>
      </c>
      <c r="S31" s="735"/>
      <c r="T31" s="19">
        <v>0.60416666666666696</v>
      </c>
      <c r="U31" s="19">
        <v>0.68611111111111101</v>
      </c>
      <c r="V31" s="92"/>
      <c r="W31" s="149">
        <f t="shared" si="25"/>
        <v>117.99999999999942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38"/>
        <v>-321.35593220338433</v>
      </c>
      <c r="AG31" s="99">
        <f t="shared" si="39"/>
        <v>0.77683615819209417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25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25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25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25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49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25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50">AVERAGE(J27:J36)</f>
        <v>17.399999999999999</v>
      </c>
      <c r="K37" s="155">
        <f t="shared" si="50"/>
        <v>1441</v>
      </c>
      <c r="L37" s="158">
        <f t="shared" si="50"/>
        <v>82.981424148606806</v>
      </c>
      <c r="M37" s="155">
        <f t="shared" si="50"/>
        <v>14.6</v>
      </c>
      <c r="N37" s="155">
        <f t="shared" si="50"/>
        <v>1155.7891395499851</v>
      </c>
      <c r="O37" s="158">
        <f t="shared" si="50"/>
        <v>79.091920960198451</v>
      </c>
      <c r="P37" s="159">
        <f>M37-J37</f>
        <v>-2.7999999999999989</v>
      </c>
      <c r="Q37" s="160">
        <f>N37-K37</f>
        <v>-285.21086045001493</v>
      </c>
      <c r="R37" s="161">
        <f t="shared" ref="R37:R40" si="51">O37/L37</f>
        <v>0.95312802559952625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3">
        <f>SUM(AD27:AD36)</f>
        <v>0</v>
      </c>
      <c r="AE37" s="323">
        <f>SUM(AE27:AE36)</f>
        <v>0</v>
      </c>
      <c r="AF37" s="309">
        <f t="shared" ref="AF37:AF41" si="52">N37-K37</f>
        <v>-285.21086045001493</v>
      </c>
      <c r="AG37" s="124">
        <f t="shared" ref="AG37:AG41" si="53">N37/K37</f>
        <v>0.8020743508327447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1148</v>
      </c>
      <c r="H38" s="134">
        <f t="shared" ref="H38:H43" si="54">F38*G38</f>
        <v>64781.64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55">K38/J38</f>
        <v>87.875</v>
      </c>
      <c r="M38" s="190">
        <v>10</v>
      </c>
      <c r="N38" s="140">
        <f t="shared" ref="N38:N43" si="56">G38/W38*60</f>
        <v>810.35294117646743</v>
      </c>
      <c r="O38" s="141">
        <f>N38/M38</f>
        <v>81.035294117646743</v>
      </c>
      <c r="P38" s="142">
        <f t="shared" ref="P38:P40" si="57">M38-J38</f>
        <v>-6</v>
      </c>
      <c r="Q38" s="143">
        <f t="shared" ref="Q38:Q40" si="58">O38-L38</f>
        <v>-6.8397058823532575</v>
      </c>
      <c r="R38" s="144">
        <f>O38/L38</f>
        <v>0.92216550916240958</v>
      </c>
      <c r="S38" s="756">
        <f>R48</f>
        <v>0.85593730717125605</v>
      </c>
      <c r="T38" s="191">
        <v>0.33333333333333298</v>
      </c>
      <c r="U38" s="191">
        <v>0.39236111111111099</v>
      </c>
      <c r="V38" s="192"/>
      <c r="W38" s="193">
        <f t="shared" si="25"/>
        <v>85.000000000000341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52"/>
        <v>-595.64705882353257</v>
      </c>
      <c r="AG38" s="195">
        <f t="shared" si="53"/>
        <v>0.57635344322650595</v>
      </c>
      <c r="AH38" s="746">
        <f>AG48</f>
        <v>0.81003548547689141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1292</v>
      </c>
      <c r="H39" s="91">
        <f t="shared" si="54"/>
        <v>64483.719999999994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55"/>
        <v>92.058823529411768</v>
      </c>
      <c r="M39" s="201">
        <v>14</v>
      </c>
      <c r="N39" s="202">
        <f t="shared" si="56"/>
        <v>1033.600000000007</v>
      </c>
      <c r="O39" s="203">
        <f t="shared" ref="O39:O40" si="59">N39/M39</f>
        <v>73.828571428571919</v>
      </c>
      <c r="P39" s="97">
        <f t="shared" si="57"/>
        <v>-3</v>
      </c>
      <c r="Q39" s="98">
        <f t="shared" si="58"/>
        <v>-18.230252100839849</v>
      </c>
      <c r="R39" s="99">
        <f t="shared" si="51"/>
        <v>0.80197170241899207</v>
      </c>
      <c r="S39" s="757"/>
      <c r="T39" s="20">
        <v>0.39930555555555602</v>
      </c>
      <c r="U39" s="20">
        <v>0.45138888888888901</v>
      </c>
      <c r="V39" s="92">
        <f>(T39-U38)*24*60</f>
        <v>10.000000000000844</v>
      </c>
      <c r="W39" s="205">
        <f t="shared" si="25"/>
        <v>74.999999999999488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52"/>
        <v>-531.39999999999304</v>
      </c>
      <c r="AG39" s="206">
        <f t="shared" si="53"/>
        <v>0.6604472843450524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1538</v>
      </c>
      <c r="H40" s="91">
        <f t="shared" si="54"/>
        <v>68133.399999999994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55"/>
        <v>75.78947368421052</v>
      </c>
      <c r="M40" s="201">
        <v>19</v>
      </c>
      <c r="N40" s="202">
        <f t="shared" si="56"/>
        <v>1168.1012658227878</v>
      </c>
      <c r="O40" s="203">
        <f t="shared" si="59"/>
        <v>61.479013990673046</v>
      </c>
      <c r="P40" s="97">
        <f t="shared" si="57"/>
        <v>0</v>
      </c>
      <c r="Q40" s="98">
        <f t="shared" si="58"/>
        <v>-14.310459693537474</v>
      </c>
      <c r="R40" s="99">
        <f t="shared" si="51"/>
        <v>0.81118143459915826</v>
      </c>
      <c r="S40" s="719"/>
      <c r="T40" s="20">
        <v>0.45902777777777798</v>
      </c>
      <c r="U40" s="20">
        <v>0.51388888888888895</v>
      </c>
      <c r="V40" s="92">
        <f>(T40-U39)*24*60</f>
        <v>11.000000000000121</v>
      </c>
      <c r="W40" s="205">
        <f t="shared" si="25"/>
        <v>78.999999999999801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52"/>
        <v>-271.89873417721219</v>
      </c>
      <c r="AG40" s="206">
        <f t="shared" si="53"/>
        <v>0.81118143459915815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800</v>
      </c>
      <c r="H41" s="91">
        <f t="shared" si="54"/>
        <v>35440</v>
      </c>
      <c r="I41" s="200"/>
      <c r="J41" s="148">
        <f>VLOOKUP(D41,產線配置圖!$A$3:$C$39,2,0)</f>
        <v>19</v>
      </c>
      <c r="K41" s="95">
        <f>VLOOKUP(D41,產線配置圖!$A$3:$C$39,3,0)</f>
        <v>1440</v>
      </c>
      <c r="L41" s="96">
        <f>K41/J41</f>
        <v>75.78947368421052</v>
      </c>
      <c r="M41" s="201">
        <v>19</v>
      </c>
      <c r="N41" s="202">
        <f t="shared" si="56"/>
        <v>1371.4285714285513</v>
      </c>
      <c r="O41" s="203">
        <f>N41/M41</f>
        <v>72.180451127818486</v>
      </c>
      <c r="P41" s="97">
        <f>M41-J41</f>
        <v>0</v>
      </c>
      <c r="Q41" s="98">
        <f>O41-L41</f>
        <v>-3.6090225563920342</v>
      </c>
      <c r="R41" s="99">
        <f>O41/L41</f>
        <v>0.95238095238093845</v>
      </c>
      <c r="S41" s="719"/>
      <c r="T41" s="20">
        <v>0.57986111111111105</v>
      </c>
      <c r="U41" s="210">
        <v>0.60416666666666696</v>
      </c>
      <c r="V41" s="92">
        <f t="shared" ref="V41:V43" si="60">(T41-U40)*24*60</f>
        <v>94.999999999999829</v>
      </c>
      <c r="W41" s="205">
        <f t="shared" si="25"/>
        <v>35.000000000000512</v>
      </c>
      <c r="X41" s="208">
        <v>0.52083333333333304</v>
      </c>
      <c r="Y41" s="209">
        <v>0.5625</v>
      </c>
      <c r="Z41" s="337"/>
      <c r="AA41" s="337"/>
      <c r="AB41" s="713"/>
      <c r="AC41" s="713"/>
      <c r="AD41" s="92"/>
      <c r="AE41" s="92"/>
      <c r="AF41" s="314">
        <f t="shared" si="52"/>
        <v>-68.571428571448678</v>
      </c>
      <c r="AG41" s="206">
        <f t="shared" si="53"/>
        <v>0.95238095238093845</v>
      </c>
      <c r="AH41" s="747"/>
    </row>
    <row r="42" spans="1:34" ht="15" customHeight="1">
      <c r="A42" s="754"/>
      <c r="B42" s="75" t="s">
        <v>81</v>
      </c>
      <c r="C42" s="207"/>
      <c r="D42" s="198" t="s">
        <v>139</v>
      </c>
      <c r="E42" s="178"/>
      <c r="F42" s="75">
        <f>VLOOKUP(D42,廠價表!$C$1:$E$41,3,0)</f>
        <v>50.67</v>
      </c>
      <c r="G42" s="199">
        <v>998</v>
      </c>
      <c r="H42" s="91">
        <f t="shared" si="54"/>
        <v>50568.66</v>
      </c>
      <c r="I42" s="200"/>
      <c r="J42" s="148">
        <f>VLOOKUP(D42,產線配置圖!$A$3:$C$39,2,0)</f>
        <v>10</v>
      </c>
      <c r="K42" s="95">
        <f>VLOOKUP(D42,產線配置圖!$A$3:$C$39,3,0)</f>
        <v>1125</v>
      </c>
      <c r="L42" s="96">
        <f>K42/J42</f>
        <v>112.5</v>
      </c>
      <c r="M42" s="201">
        <v>14</v>
      </c>
      <c r="N42" s="202">
        <f t="shared" si="56"/>
        <v>1330.6666666666665</v>
      </c>
      <c r="O42" s="203">
        <f>N42/M42</f>
        <v>95.047619047619037</v>
      </c>
      <c r="P42" s="97">
        <f>M42-J42</f>
        <v>4</v>
      </c>
      <c r="Q42" s="98">
        <f>O42-L42</f>
        <v>-17.452380952380963</v>
      </c>
      <c r="R42" s="99">
        <f>O42/L42</f>
        <v>0.84486772486772477</v>
      </c>
      <c r="S42" s="719"/>
      <c r="T42" s="210">
        <v>0.61111111111111105</v>
      </c>
      <c r="U42" s="210">
        <v>0.64236111111111105</v>
      </c>
      <c r="V42" s="92">
        <f t="shared" si="60"/>
        <v>9.9999999999994849</v>
      </c>
      <c r="W42" s="205">
        <f t="shared" si="25"/>
        <v>45</v>
      </c>
      <c r="X42" s="208"/>
      <c r="Y42" s="211"/>
      <c r="Z42" s="338"/>
      <c r="AA42" s="338"/>
      <c r="AB42" s="713"/>
      <c r="AC42" s="713"/>
      <c r="AD42" s="92"/>
      <c r="AE42" s="92"/>
      <c r="AF42" s="314">
        <f t="shared" ref="AF42:AF43" si="61">N42-K42</f>
        <v>205.66666666666652</v>
      </c>
      <c r="AG42" s="206">
        <f t="shared" ref="AG42:AG43" si="62">N42/K42</f>
        <v>1.1828148148148148</v>
      </c>
      <c r="AH42" s="747"/>
    </row>
    <row r="43" spans="1:34" ht="15" customHeight="1">
      <c r="A43" s="754"/>
      <c r="B43" s="75" t="s">
        <v>117</v>
      </c>
      <c r="C43" s="197"/>
      <c r="D43" s="198" t="s">
        <v>133</v>
      </c>
      <c r="E43" s="176"/>
      <c r="F43" s="75">
        <f>VLOOKUP(D43,廠價表!$C$1:$E$41,3,0)</f>
        <v>49.91</v>
      </c>
      <c r="G43" s="199">
        <v>1104</v>
      </c>
      <c r="H43" s="91">
        <f t="shared" si="54"/>
        <v>55100.639999999999</v>
      </c>
      <c r="I43" s="200"/>
      <c r="J43" s="148">
        <f>VLOOKUP(D43,產線配置圖!$A$3:$C$39,2,0)</f>
        <v>17</v>
      </c>
      <c r="K43" s="95">
        <f>VLOOKUP(D43,產線配置圖!$A$3:$C$39,3,0)</f>
        <v>1565</v>
      </c>
      <c r="L43" s="96">
        <f>K43/J43</f>
        <v>92.058823529411768</v>
      </c>
      <c r="M43" s="201">
        <v>16</v>
      </c>
      <c r="N43" s="202">
        <f t="shared" si="56"/>
        <v>1204.363636363651</v>
      </c>
      <c r="O43" s="203">
        <f>N43/M43</f>
        <v>75.27272727272819</v>
      </c>
      <c r="P43" s="97">
        <f>M43-J43</f>
        <v>-1</v>
      </c>
      <c r="Q43" s="98">
        <f>O43-L43</f>
        <v>-16.786096256683578</v>
      </c>
      <c r="R43" s="99">
        <f>O43/L43</f>
        <v>0.81765901829800591</v>
      </c>
      <c r="S43" s="719"/>
      <c r="T43" s="210">
        <v>0.65625</v>
      </c>
      <c r="U43" s="210">
        <v>0.69444444444444398</v>
      </c>
      <c r="V43" s="92">
        <f t="shared" si="60"/>
        <v>20.000000000000089</v>
      </c>
      <c r="W43" s="205">
        <f>(U43-T43)*24*60</f>
        <v>54.999999999999325</v>
      </c>
      <c r="X43" s="208"/>
      <c r="Y43" s="212"/>
      <c r="Z43" s="338"/>
      <c r="AA43" s="338"/>
      <c r="AB43" s="713"/>
      <c r="AC43" s="713"/>
      <c r="AD43" s="92"/>
      <c r="AE43" s="92"/>
      <c r="AF43" s="314">
        <f t="shared" si="61"/>
        <v>-360.63636363634896</v>
      </c>
      <c r="AG43" s="206">
        <f t="shared" si="62"/>
        <v>0.76956142898635849</v>
      </c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6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6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6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49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6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64">AVERAGE(J38:J47)</f>
        <v>16.333333333333332</v>
      </c>
      <c r="K48" s="155">
        <f t="shared" si="64"/>
        <v>1423.5</v>
      </c>
      <c r="L48" s="158">
        <f t="shared" si="64"/>
        <v>89.345265737874101</v>
      </c>
      <c r="M48" s="155">
        <f t="shared" si="64"/>
        <v>15.333333333333334</v>
      </c>
      <c r="N48" s="155">
        <f t="shared" si="64"/>
        <v>1153.085513576355</v>
      </c>
      <c r="O48" s="158">
        <f t="shared" si="64"/>
        <v>76.47394616417624</v>
      </c>
      <c r="P48" s="221">
        <f>M48-J48</f>
        <v>-0.99999999999999822</v>
      </c>
      <c r="Q48" s="222">
        <f>N48-K48</f>
        <v>-270.41448642364503</v>
      </c>
      <c r="R48" s="223">
        <f t="shared" ref="R48:R53" si="65">O48/L48</f>
        <v>0.85593730717125605</v>
      </c>
      <c r="S48" s="722"/>
      <c r="T48" s="224"/>
      <c r="U48" s="224"/>
      <c r="V48" s="225"/>
      <c r="W48" s="226">
        <f t="shared" si="6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66">N48-K48</f>
        <v>-270.41448642364503</v>
      </c>
      <c r="AG48" s="162">
        <f t="shared" ref="AG48:AG53" si="67">N48/K48</f>
        <v>0.81003548547689141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1195</v>
      </c>
      <c r="H49" s="134">
        <f>F49*G49</f>
        <v>67959.649999999994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68">K49/J49</f>
        <v>86.944444444444443</v>
      </c>
      <c r="M49" s="170">
        <v>18</v>
      </c>
      <c r="N49" s="140">
        <f>G49/W49*60</f>
        <v>1463.2653061224398</v>
      </c>
      <c r="O49" s="141">
        <f>N49/M49</f>
        <v>81.292517006802214</v>
      </c>
      <c r="P49" s="229">
        <f>M49-J49</f>
        <v>0</v>
      </c>
      <c r="Q49" s="230">
        <f>O49-L49</f>
        <v>-5.6519274376422288</v>
      </c>
      <c r="R49" s="52">
        <f t="shared" si="65"/>
        <v>0.93499380582903502</v>
      </c>
      <c r="S49" s="718">
        <f>R58</f>
        <v>0.88418234142427454</v>
      </c>
      <c r="T49" s="191">
        <v>0.29097222222222202</v>
      </c>
      <c r="U49" s="191">
        <v>0.32500000000000001</v>
      </c>
      <c r="V49" s="55"/>
      <c r="W49" s="193">
        <f t="shared" si="25"/>
        <v>49.000000000000306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66"/>
        <v>-101.73469387756018</v>
      </c>
      <c r="AG49" s="52">
        <f t="shared" si="67"/>
        <v>0.93499380582903502</v>
      </c>
      <c r="AH49" s="724">
        <f>AG58</f>
        <v>0.88915457772429962</v>
      </c>
    </row>
    <row r="50" spans="1:34" ht="15" customHeight="1">
      <c r="A50" s="751"/>
      <c r="B50" s="75" t="s">
        <v>81</v>
      </c>
      <c r="C50" s="76"/>
      <c r="D50" s="59" t="s">
        <v>134</v>
      </c>
      <c r="E50" s="77"/>
      <c r="F50" s="75">
        <f>VLOOKUP(D50,廠價表!$C$1:$E$41,3,0)</f>
        <v>49.97</v>
      </c>
      <c r="G50" s="202">
        <v>3483</v>
      </c>
      <c r="H50" s="231">
        <f>F50*G50</f>
        <v>174045.51</v>
      </c>
      <c r="I50" s="232"/>
      <c r="J50" s="79">
        <f>VLOOKUP(D50,產線配置圖!$A$3:$C$39,2,0)</f>
        <v>18</v>
      </c>
      <c r="K50" s="80">
        <f>VLOOKUP(D50,產線配置圖!$A$3:$C$39,3,0)</f>
        <v>1600</v>
      </c>
      <c r="L50" s="81">
        <f t="shared" si="68"/>
        <v>88.888888888888886</v>
      </c>
      <c r="M50" s="233">
        <v>18</v>
      </c>
      <c r="N50" s="234">
        <f>G50/W50*60</f>
        <v>1471.6901408450567</v>
      </c>
      <c r="O50" s="235">
        <f>N50/M50</f>
        <v>81.760563380280928</v>
      </c>
      <c r="P50" s="74">
        <f>M50-J50</f>
        <v>0</v>
      </c>
      <c r="Q50" s="83">
        <f>O50-L50</f>
        <v>-7.1283255086079578</v>
      </c>
      <c r="R50" s="72">
        <f t="shared" si="65"/>
        <v>0.91980633802816048</v>
      </c>
      <c r="S50" s="719"/>
      <c r="T50" s="21">
        <v>0.33194444444444399</v>
      </c>
      <c r="U50" s="21">
        <v>0.43055555555555602</v>
      </c>
      <c r="V50" s="30">
        <f t="shared" ref="V50:V52" si="69">(T50-U49)*24*60</f>
        <v>9.999999999999325</v>
      </c>
      <c r="W50" s="236">
        <f t="shared" si="25"/>
        <v>142.00000000000134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66"/>
        <v>-128.3098591549433</v>
      </c>
      <c r="AG50" s="72">
        <f t="shared" si="67"/>
        <v>0.91980633802816048</v>
      </c>
      <c r="AH50" s="725"/>
    </row>
    <row r="51" spans="1:34" ht="15" customHeight="1">
      <c r="A51" s="751"/>
      <c r="B51" s="75" t="s">
        <v>81</v>
      </c>
      <c r="C51" s="76"/>
      <c r="D51" s="59" t="s">
        <v>113</v>
      </c>
      <c r="E51" s="77"/>
      <c r="F51" s="75">
        <f>VLOOKUP(D51,廠價表!$C$1:$E$41,3,0)</f>
        <v>47.71</v>
      </c>
      <c r="G51" s="202">
        <v>1189</v>
      </c>
      <c r="H51" s="231">
        <f>F51*G51</f>
        <v>56727.19</v>
      </c>
      <c r="I51" s="232"/>
      <c r="J51" s="79">
        <f>VLOOKUP(D51,產線配置圖!$A$3:$C$39,2,0)</f>
        <v>14</v>
      </c>
      <c r="K51" s="80">
        <f>VLOOKUP(D51,產線配置圖!$A$3:$C$39,3,0)</f>
        <v>1440</v>
      </c>
      <c r="L51" s="81">
        <f t="shared" si="68"/>
        <v>102.85714285714286</v>
      </c>
      <c r="M51" s="233">
        <v>14</v>
      </c>
      <c r="N51" s="234">
        <f>G51/W51*60</f>
        <v>1097.5384615384587</v>
      </c>
      <c r="O51" s="235">
        <f>N51/M51</f>
        <v>78.395604395604195</v>
      </c>
      <c r="P51" s="74">
        <f>M51-J51</f>
        <v>0</v>
      </c>
      <c r="Q51" s="83">
        <f>O51-L51</f>
        <v>-24.461538461538666</v>
      </c>
      <c r="R51" s="72">
        <f t="shared" si="65"/>
        <v>0.76217948717948525</v>
      </c>
      <c r="S51" s="719"/>
      <c r="T51" s="21">
        <v>0.4375</v>
      </c>
      <c r="U51" s="19">
        <v>0.48263888888888901</v>
      </c>
      <c r="V51" s="30">
        <f t="shared" si="69"/>
        <v>9.999999999999325</v>
      </c>
      <c r="W51" s="236">
        <f t="shared" si="25"/>
        <v>65.000000000000171</v>
      </c>
      <c r="X51" s="22"/>
      <c r="Y51" s="84"/>
      <c r="Z51" s="90"/>
      <c r="AA51" s="90"/>
      <c r="AB51" s="713" t="s">
        <v>194</v>
      </c>
      <c r="AC51" s="713"/>
      <c r="AD51" s="92">
        <v>1</v>
      </c>
      <c r="AE51" s="92">
        <v>1</v>
      </c>
      <c r="AF51" s="307">
        <f t="shared" si="66"/>
        <v>-342.46153846154129</v>
      </c>
      <c r="AG51" s="72">
        <f t="shared" si="67"/>
        <v>0.76217948717948525</v>
      </c>
      <c r="AH51" s="725"/>
    </row>
    <row r="52" spans="1:34" ht="15" customHeight="1">
      <c r="A52" s="751"/>
      <c r="B52" s="75" t="s">
        <v>81</v>
      </c>
      <c r="C52" s="76"/>
      <c r="D52" s="59" t="s">
        <v>113</v>
      </c>
      <c r="E52" s="77"/>
      <c r="F52" s="75">
        <f>VLOOKUP(D52,廠價表!$C$1:$E$41,3,0)</f>
        <v>47.71</v>
      </c>
      <c r="G52" s="202">
        <v>1272</v>
      </c>
      <c r="H52" s="231">
        <f>F52*G52</f>
        <v>60687.12</v>
      </c>
      <c r="I52" s="232"/>
      <c r="J52" s="79">
        <f>VLOOKUP(D52,產線配置圖!$A$3:$C$39,2,0)</f>
        <v>14</v>
      </c>
      <c r="K52" s="80">
        <f>VLOOKUP(D52,產線配置圖!$A$3:$C$39,3,0)</f>
        <v>1440</v>
      </c>
      <c r="L52" s="81">
        <f t="shared" ref="L52:L53" si="70">K52/J52</f>
        <v>102.85714285714286</v>
      </c>
      <c r="M52" s="233">
        <v>14</v>
      </c>
      <c r="N52" s="234">
        <f>G52/W52*60</f>
        <v>1315.8620689655402</v>
      </c>
      <c r="O52" s="235">
        <f>N52/M52</f>
        <v>93.990147783252866</v>
      </c>
      <c r="P52" s="74">
        <f>M52-J52</f>
        <v>0</v>
      </c>
      <c r="Q52" s="83">
        <f>O52-L52</f>
        <v>-8.8669950738899956</v>
      </c>
      <c r="R52" s="72">
        <f t="shared" si="65"/>
        <v>0.91379310344829168</v>
      </c>
      <c r="S52" s="719"/>
      <c r="T52" s="21">
        <v>0.54166666666666696</v>
      </c>
      <c r="U52" s="21">
        <v>0.58194444444444404</v>
      </c>
      <c r="V52" s="30">
        <f t="shared" si="69"/>
        <v>85.000000000000256</v>
      </c>
      <c r="W52" s="236">
        <f t="shared" si="25"/>
        <v>57.999999999998991</v>
      </c>
      <c r="X52" s="22">
        <v>0.49305555555555602</v>
      </c>
      <c r="Y52" s="84">
        <v>0.53472222222222199</v>
      </c>
      <c r="Z52" s="90"/>
      <c r="AA52" s="90"/>
      <c r="AB52" s="713"/>
      <c r="AC52" s="713"/>
      <c r="AD52" s="92"/>
      <c r="AE52" s="92"/>
      <c r="AF52" s="307">
        <f t="shared" si="66"/>
        <v>-124.13793103445983</v>
      </c>
      <c r="AG52" s="72">
        <f t="shared" si="67"/>
        <v>0.91379310344829179</v>
      </c>
      <c r="AH52" s="725"/>
    </row>
    <row r="53" spans="1:34" ht="15" customHeight="1">
      <c r="A53" s="751"/>
      <c r="B53" s="75" t="s">
        <v>81</v>
      </c>
      <c r="C53" s="76"/>
      <c r="D53" s="59" t="s">
        <v>134</v>
      </c>
      <c r="E53" s="77"/>
      <c r="F53" s="75">
        <f>VLOOKUP(D53,廠價表!$C$1:$E$41,3,0)</f>
        <v>49.97</v>
      </c>
      <c r="G53" s="202">
        <v>1256</v>
      </c>
      <c r="H53" s="231">
        <f>F53*G53</f>
        <v>62762.32</v>
      </c>
      <c r="I53" s="232"/>
      <c r="J53" s="79">
        <f>VLOOKUP(D53,產線配置圖!$A$3:$C$39,2,0)</f>
        <v>18</v>
      </c>
      <c r="K53" s="80">
        <f>VLOOKUP(D53,產線配置圖!$A$3:$C$39,3,0)</f>
        <v>1600</v>
      </c>
      <c r="L53" s="81">
        <f t="shared" si="70"/>
        <v>88.888888888888886</v>
      </c>
      <c r="M53" s="233">
        <v>18</v>
      </c>
      <c r="N53" s="234">
        <f>G53/W53*60</f>
        <v>1449.2307692307743</v>
      </c>
      <c r="O53" s="235">
        <f>N53/M53</f>
        <v>80.512820512820795</v>
      </c>
      <c r="P53" s="74">
        <f>M53-J53</f>
        <v>0</v>
      </c>
      <c r="Q53" s="83">
        <f>O53-L53</f>
        <v>-8.3760683760680905</v>
      </c>
      <c r="R53" s="72">
        <f t="shared" si="65"/>
        <v>0.90576923076923399</v>
      </c>
      <c r="S53" s="719"/>
      <c r="T53" s="21">
        <v>0.58541666666666703</v>
      </c>
      <c r="U53" s="21">
        <v>0.62152777777777801</v>
      </c>
      <c r="V53" s="30"/>
      <c r="W53" s="236">
        <f t="shared" si="25"/>
        <v>51.999999999999815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66"/>
        <v>-150.76923076922571</v>
      </c>
      <c r="AG53" s="72">
        <f t="shared" si="67"/>
        <v>0.90576923076923388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25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25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25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25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71">AVERAGE(J49:J57)</f>
        <v>16.399999999999999</v>
      </c>
      <c r="K58" s="120">
        <f t="shared" si="71"/>
        <v>1529</v>
      </c>
      <c r="L58" s="117">
        <f t="shared" si="71"/>
        <v>94.087301587301596</v>
      </c>
      <c r="M58" s="120">
        <f t="shared" si="71"/>
        <v>16.399999999999999</v>
      </c>
      <c r="N58" s="120">
        <f t="shared" si="71"/>
        <v>1359.5173493404541</v>
      </c>
      <c r="O58" s="117">
        <f t="shared" si="71"/>
        <v>83.190330615752188</v>
      </c>
      <c r="P58" s="121">
        <f>M58-J58</f>
        <v>0</v>
      </c>
      <c r="Q58" s="122">
        <f>N58-K58</f>
        <v>-169.48265065954593</v>
      </c>
      <c r="R58" s="123">
        <f t="shared" ref="R58:R60" si="72">O58/L58</f>
        <v>0.88418234142427454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1</v>
      </c>
      <c r="AE58" s="323">
        <f>SUM(AE49:AE57)</f>
        <v>1</v>
      </c>
      <c r="AF58" s="309">
        <f t="shared" ref="AF58:AF61" si="73">N58-K58</f>
        <v>-169.48265065954593</v>
      </c>
      <c r="AG58" s="124">
        <f t="shared" ref="AG58:AG61" si="74">N58/K58</f>
        <v>0.88915457772429962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4039</v>
      </c>
      <c r="H59" s="243">
        <f>F59*G59</f>
        <v>109012.61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75">K59/J59</f>
        <v>120.38461538461539</v>
      </c>
      <c r="M59" s="244">
        <v>13</v>
      </c>
      <c r="N59" s="137">
        <f t="shared" ref="N59:N61" si="76">G59/W59*60</f>
        <v>1486.7484662576746</v>
      </c>
      <c r="O59" s="138">
        <f t="shared" ref="O59:O61" si="77">N59/M59</f>
        <v>114.36526663520574</v>
      </c>
      <c r="P59" s="56">
        <f t="shared" ref="P59:P61" si="78">M59-J59</f>
        <v>0</v>
      </c>
      <c r="Q59" s="230">
        <f t="shared" ref="Q59:Q61" si="79">O59-L59</f>
        <v>-6.0193487494096445</v>
      </c>
      <c r="R59" s="52">
        <f t="shared" si="72"/>
        <v>0.94999901997295499</v>
      </c>
      <c r="S59" s="718">
        <f>R69</f>
        <v>0.75355926751929359</v>
      </c>
      <c r="T59" s="245">
        <v>0.29166666666666702</v>
      </c>
      <c r="U59" s="245">
        <v>0.40486111111111101</v>
      </c>
      <c r="V59" s="55"/>
      <c r="W59" s="54">
        <f t="shared" si="25"/>
        <v>162.99999999999935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73"/>
        <v>-78.251533742325364</v>
      </c>
      <c r="AG59" s="246">
        <f t="shared" si="74"/>
        <v>0.94999901997295499</v>
      </c>
      <c r="AH59" s="724">
        <f>AG69</f>
        <v>0.75658141755704222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456</v>
      </c>
      <c r="H60" s="78">
        <f>F60*G60</f>
        <v>12982.32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75"/>
        <v>130.41666666666666</v>
      </c>
      <c r="M60" s="82">
        <v>12</v>
      </c>
      <c r="N60" s="80">
        <f t="shared" si="76"/>
        <v>739.45945945947324</v>
      </c>
      <c r="O60" s="81">
        <f t="shared" si="77"/>
        <v>61.621621621622772</v>
      </c>
      <c r="P60" s="74">
        <f t="shared" si="78"/>
        <v>0</v>
      </c>
      <c r="Q60" s="83">
        <f t="shared" si="79"/>
        <v>-68.795045045043878</v>
      </c>
      <c r="R60" s="72">
        <f t="shared" si="72"/>
        <v>0.47249805716260274</v>
      </c>
      <c r="S60" s="768"/>
      <c r="T60" s="22">
        <v>0.41527777777777802</v>
      </c>
      <c r="U60" s="22">
        <v>0.44097222222222199</v>
      </c>
      <c r="V60" s="30">
        <f t="shared" ref="V60:V63" si="80">(T60-U59)*24*60</f>
        <v>15.000000000000506</v>
      </c>
      <c r="W60" s="248">
        <f t="shared" si="25"/>
        <v>36.999999999999311</v>
      </c>
      <c r="X60" s="232"/>
      <c r="Y60" s="177"/>
      <c r="AA60" s="90"/>
      <c r="AB60" s="713" t="s">
        <v>146</v>
      </c>
      <c r="AC60" s="713"/>
      <c r="AD60" s="92"/>
      <c r="AE60" s="92"/>
      <c r="AF60" s="316">
        <f t="shared" si="73"/>
        <v>-825.54054054052676</v>
      </c>
      <c r="AG60" s="249">
        <f t="shared" si="74"/>
        <v>0.47249805716260268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1684</v>
      </c>
      <c r="H61" s="254">
        <f>F61*G61</f>
        <v>47589.840000000004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75"/>
        <v>130.41666666666666</v>
      </c>
      <c r="M61" s="108">
        <v>12</v>
      </c>
      <c r="N61" s="107">
        <f t="shared" si="76"/>
        <v>1122.6666666666656</v>
      </c>
      <c r="O61" s="238">
        <f t="shared" si="77"/>
        <v>93.555555555555472</v>
      </c>
      <c r="P61" s="111">
        <f t="shared" si="78"/>
        <v>0</v>
      </c>
      <c r="Q61" s="255">
        <f t="shared" si="79"/>
        <v>-36.861111111111185</v>
      </c>
      <c r="R61" s="85">
        <f>O61/L61</f>
        <v>0.71735889243876405</v>
      </c>
      <c r="S61" s="719"/>
      <c r="T61" s="22">
        <v>0.45486111111111099</v>
      </c>
      <c r="U61" s="22">
        <v>0.51736111111111105</v>
      </c>
      <c r="V61" s="30">
        <f t="shared" si="80"/>
        <v>20.000000000000171</v>
      </c>
      <c r="W61" s="256">
        <f t="shared" si="25"/>
        <v>90.000000000000085</v>
      </c>
      <c r="X61" s="22"/>
      <c r="Y61" s="84"/>
      <c r="Z61" s="90"/>
      <c r="AA61" s="90"/>
      <c r="AB61" s="713" t="s">
        <v>195</v>
      </c>
      <c r="AC61" s="713"/>
      <c r="AD61" s="92">
        <v>1</v>
      </c>
      <c r="AE61" s="92">
        <v>1</v>
      </c>
      <c r="AF61" s="317">
        <f t="shared" si="73"/>
        <v>-442.33333333333439</v>
      </c>
      <c r="AG61" s="247">
        <f t="shared" si="74"/>
        <v>0.71735889243876394</v>
      </c>
      <c r="AH61" s="725"/>
    </row>
    <row r="62" spans="1:34" ht="15" customHeight="1">
      <c r="A62" s="766"/>
      <c r="B62" s="250" t="s">
        <v>135</v>
      </c>
      <c r="C62" s="251"/>
      <c r="D62" s="198" t="s">
        <v>196</v>
      </c>
      <c r="E62" s="253"/>
      <c r="F62" s="250">
        <f>VLOOKUP(D62,廠價表!$C$1:$E$41,3,0)</f>
        <v>28.26</v>
      </c>
      <c r="G62" s="38">
        <v>2857</v>
      </c>
      <c r="H62" s="254">
        <f>F62*G62</f>
        <v>80738.820000000007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>K62/J62</f>
        <v>130.41666666666666</v>
      </c>
      <c r="M62" s="108">
        <v>12</v>
      </c>
      <c r="N62" s="107">
        <f>G62/W62*60</f>
        <v>1071.3750000000007</v>
      </c>
      <c r="O62" s="238">
        <f>N62/M62</f>
        <v>89.281250000000057</v>
      </c>
      <c r="P62" s="111">
        <f>M62-J62</f>
        <v>0</v>
      </c>
      <c r="Q62" s="255">
        <f>O62-L62</f>
        <v>-41.1354166666666</v>
      </c>
      <c r="R62" s="85">
        <f>O62/L62</f>
        <v>0.68458466453674172</v>
      </c>
      <c r="S62" s="719"/>
      <c r="T62" s="22">
        <v>0.57638888888888895</v>
      </c>
      <c r="U62" s="22">
        <v>0.6875</v>
      </c>
      <c r="V62" s="30">
        <f t="shared" si="80"/>
        <v>85.000000000000171</v>
      </c>
      <c r="W62" s="248">
        <f t="shared" si="25"/>
        <v>159.99999999999991</v>
      </c>
      <c r="X62" s="22">
        <v>0.52777777777777801</v>
      </c>
      <c r="Y62" s="84">
        <v>0.56944444444444398</v>
      </c>
      <c r="Z62" s="90"/>
      <c r="AA62" s="90"/>
      <c r="AB62" s="713" t="s">
        <v>197</v>
      </c>
      <c r="AC62" s="713"/>
      <c r="AD62" s="92">
        <v>2</v>
      </c>
      <c r="AE62" s="92">
        <v>2</v>
      </c>
      <c r="AF62" s="317">
        <f>N62-K62</f>
        <v>-493.62499999999932</v>
      </c>
      <c r="AG62" s="247">
        <f>N62/K62</f>
        <v>0.68458466453674161</v>
      </c>
      <c r="AH62" s="725"/>
    </row>
    <row r="63" spans="1:34" ht="15" customHeight="1">
      <c r="A63" s="766"/>
      <c r="B63" s="250" t="s">
        <v>135</v>
      </c>
      <c r="C63" s="251"/>
      <c r="D63" s="198" t="s">
        <v>196</v>
      </c>
      <c r="E63" s="253"/>
      <c r="F63" s="250">
        <f>VLOOKUP(D63,廠價表!$C$1:$E$41,3,0)</f>
        <v>28.26</v>
      </c>
      <c r="G63" s="38">
        <v>1000</v>
      </c>
      <c r="H63" s="254">
        <f>F63*G63</f>
        <v>28260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>K63/J63</f>
        <v>130.41666666666666</v>
      </c>
      <c r="M63" s="108">
        <v>12</v>
      </c>
      <c r="N63" s="107">
        <f>G63/W63*60</f>
        <v>1500.0000000000414</v>
      </c>
      <c r="O63" s="238">
        <f>N63/M63</f>
        <v>125.00000000000345</v>
      </c>
      <c r="P63" s="111">
        <f>M63-J63</f>
        <v>0</v>
      </c>
      <c r="Q63" s="255">
        <f>O63-L63</f>
        <v>-5.416666666663204</v>
      </c>
      <c r="R63" s="85">
        <f>O63/L63</f>
        <v>0.95846645367414796</v>
      </c>
      <c r="S63" s="719"/>
      <c r="T63" s="22">
        <v>0.72916666666666696</v>
      </c>
      <c r="U63" s="22">
        <v>0.75694444444444398</v>
      </c>
      <c r="V63" s="30">
        <f t="shared" si="80"/>
        <v>60.000000000000426</v>
      </c>
      <c r="W63" s="248">
        <f t="shared" si="25"/>
        <v>39.999999999998899</v>
      </c>
      <c r="X63" s="261"/>
      <c r="Y63" s="291"/>
      <c r="Z63" s="335"/>
      <c r="AA63" s="335"/>
      <c r="AB63" s="713"/>
      <c r="AC63" s="713"/>
      <c r="AD63" s="92"/>
      <c r="AE63" s="92"/>
      <c r="AF63" s="317">
        <f>N63-K63</f>
        <v>-64.999999999958618</v>
      </c>
      <c r="AG63" s="247">
        <f>N63/K63</f>
        <v>0.95846645367414784</v>
      </c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25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2"/>
      <c r="U65" s="22"/>
      <c r="V65" s="30"/>
      <c r="W65" s="73">
        <f t="shared" si="25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25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25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25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81">AVERAGE(J59:J68)</f>
        <v>12.2</v>
      </c>
      <c r="K69" s="240">
        <f t="shared" si="81"/>
        <v>1565</v>
      </c>
      <c r="L69" s="268">
        <f t="shared" si="81"/>
        <v>128.41025641025641</v>
      </c>
      <c r="M69" s="240">
        <f t="shared" si="81"/>
        <v>12.2</v>
      </c>
      <c r="N69" s="240">
        <f t="shared" si="81"/>
        <v>1184.0499184767712</v>
      </c>
      <c r="O69" s="268">
        <f t="shared" si="81"/>
        <v>96.764738762477492</v>
      </c>
      <c r="P69" s="269">
        <f>M69-J69</f>
        <v>0</v>
      </c>
      <c r="Q69" s="222">
        <f>N69-K69</f>
        <v>-380.95008152322885</v>
      </c>
      <c r="R69" s="123">
        <f>O69/L69</f>
        <v>0.75355926751929359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3</v>
      </c>
      <c r="AE69" s="323">
        <f>SUM(AE59:AE68)</f>
        <v>3</v>
      </c>
      <c r="AF69" s="309">
        <f>N69-K69</f>
        <v>-380.95008152322885</v>
      </c>
      <c r="AG69" s="124">
        <f>N69/K69</f>
        <v>0.75658141755704222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1905</v>
      </c>
      <c r="H70" s="243">
        <f>F70*G70</f>
        <v>96526.35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914.40000000000612</v>
      </c>
      <c r="O70" s="138">
        <f>N70/M70</f>
        <v>91.440000000000609</v>
      </c>
      <c r="P70" s="56">
        <f>M70-J70</f>
        <v>0</v>
      </c>
      <c r="Q70" s="230">
        <f>O70-L70</f>
        <v>-21.059999999999391</v>
      </c>
      <c r="R70" s="52">
        <f>O70/L70</f>
        <v>0.81280000000000541</v>
      </c>
      <c r="S70" s="718">
        <f>R79</f>
        <v>0.62068406593406655</v>
      </c>
      <c r="T70" s="245">
        <v>0.29513888888888901</v>
      </c>
      <c r="U70" s="245">
        <v>0.38194444444444398</v>
      </c>
      <c r="V70" s="55"/>
      <c r="W70" s="54">
        <f t="shared" si="25"/>
        <v>124.99999999999916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-210.59999999999388</v>
      </c>
      <c r="AG70" s="246">
        <f>N70/K70</f>
        <v>0.81280000000000541</v>
      </c>
      <c r="AH70" s="724">
        <f>AG79</f>
        <v>0.61052517400343531</v>
      </c>
    </row>
    <row r="71" spans="1:36" ht="15" customHeight="1">
      <c r="A71" s="761"/>
      <c r="B71" s="250" t="s">
        <v>135</v>
      </c>
      <c r="C71" s="251"/>
      <c r="D71" s="198" t="s">
        <v>196</v>
      </c>
      <c r="E71" s="253"/>
      <c r="F71" s="250">
        <f>VLOOKUP(D71,廠價表!$C$1:$E$41,3,0)</f>
        <v>28.26</v>
      </c>
      <c r="G71" s="38">
        <v>1771</v>
      </c>
      <c r="H71" s="254">
        <f>F71*G71</f>
        <v>50048.460000000006</v>
      </c>
      <c r="I71" s="182"/>
      <c r="J71" s="106">
        <f>VLOOKUP(D71,產線配置圖!$A$3:$C$39,2,0)</f>
        <v>12</v>
      </c>
      <c r="K71" s="107">
        <f>VLOOKUP(D71,產線配置圖!$A$3:$C$39,3,0)</f>
        <v>1565</v>
      </c>
      <c r="L71" s="238">
        <f t="shared" ref="L71:L72" si="82">K71/J71</f>
        <v>130.41666666666666</v>
      </c>
      <c r="M71" s="108">
        <v>12</v>
      </c>
      <c r="N71" s="107">
        <f t="shared" ref="N71:N72" si="83">G71/W71*60</f>
        <v>817.3846153846132</v>
      </c>
      <c r="O71" s="238">
        <f t="shared" ref="O71:O72" si="84">N71/M71</f>
        <v>68.115384615384428</v>
      </c>
      <c r="P71" s="111">
        <f t="shared" ref="P71:P72" si="85">M71-J71</f>
        <v>0</v>
      </c>
      <c r="Q71" s="255">
        <f t="shared" ref="Q71:Q72" si="86">O71-L71</f>
        <v>-62.301282051282229</v>
      </c>
      <c r="R71" s="85">
        <f>O71/L71</f>
        <v>0.52229048906365061</v>
      </c>
      <c r="S71" s="719"/>
      <c r="T71" s="22">
        <v>0.40277777777777801</v>
      </c>
      <c r="U71" s="22">
        <v>0.49305555555555602</v>
      </c>
      <c r="V71" s="30">
        <f t="shared" ref="V71:V72" si="87">(T71-U70)*24*60</f>
        <v>30.000000000001013</v>
      </c>
      <c r="W71" s="73">
        <f t="shared" si="25"/>
        <v>130.00000000000034</v>
      </c>
      <c r="X71" s="271"/>
      <c r="Y71" s="293"/>
      <c r="Z71" s="90"/>
      <c r="AA71" s="90"/>
      <c r="AB71" s="713"/>
      <c r="AC71" s="713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250" t="s">
        <v>135</v>
      </c>
      <c r="C72" s="251"/>
      <c r="D72" s="198" t="s">
        <v>196</v>
      </c>
      <c r="E72" s="253"/>
      <c r="F72" s="250">
        <f>VLOOKUP(D72,廠價表!$C$1:$E$41,3,0)</f>
        <v>28.26</v>
      </c>
      <c r="G72" s="38">
        <v>3464</v>
      </c>
      <c r="H72" s="78">
        <f>F72*G72</f>
        <v>97892.64</v>
      </c>
      <c r="I72" s="30"/>
      <c r="J72" s="106">
        <f>VLOOKUP(D72,產線配置圖!$A$3:$C$39,2,0)</f>
        <v>12</v>
      </c>
      <c r="K72" s="107">
        <f>VLOOKUP(D72,產線配置圖!$A$3:$C$39,3,0)</f>
        <v>1565</v>
      </c>
      <c r="L72" s="238">
        <f t="shared" si="82"/>
        <v>130.41666666666666</v>
      </c>
      <c r="M72" s="108">
        <v>12</v>
      </c>
      <c r="N72" s="107">
        <f t="shared" si="83"/>
        <v>865.99999999999784</v>
      </c>
      <c r="O72" s="238">
        <f t="shared" si="84"/>
        <v>72.166666666666487</v>
      </c>
      <c r="P72" s="111">
        <f t="shared" si="85"/>
        <v>0</v>
      </c>
      <c r="Q72" s="255">
        <f t="shared" si="86"/>
        <v>-58.250000000000171</v>
      </c>
      <c r="R72" s="85">
        <f>O72/L72</f>
        <v>0.55335463258785811</v>
      </c>
      <c r="S72" s="719"/>
      <c r="T72" s="22">
        <v>0.54513888888888895</v>
      </c>
      <c r="U72" s="22">
        <v>0.71180555555555602</v>
      </c>
      <c r="V72" s="30">
        <f t="shared" si="87"/>
        <v>74.999999999999417</v>
      </c>
      <c r="W72" s="73">
        <f t="shared" si="25"/>
        <v>240.0000000000006</v>
      </c>
      <c r="X72" s="272"/>
      <c r="Y72" s="288"/>
      <c r="Z72" s="90"/>
      <c r="AA72" s="90"/>
      <c r="AB72" s="713" t="s">
        <v>198</v>
      </c>
      <c r="AC72" s="713"/>
      <c r="AD72" s="92">
        <v>4</v>
      </c>
      <c r="AE72" s="92">
        <v>4</v>
      </c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25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25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88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25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88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25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88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25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88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25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89">AVERAGE(J70:J78)</f>
        <v>11.333333333333334</v>
      </c>
      <c r="K79" s="240">
        <f t="shared" si="89"/>
        <v>1418.3333333333333</v>
      </c>
      <c r="L79" s="268">
        <f t="shared" si="89"/>
        <v>124.44444444444444</v>
      </c>
      <c r="M79" s="240">
        <f t="shared" si="89"/>
        <v>11.333333333333334</v>
      </c>
      <c r="N79" s="240">
        <f t="shared" si="89"/>
        <v>865.92820512820572</v>
      </c>
      <c r="O79" s="268">
        <f t="shared" si="89"/>
        <v>77.240683760683837</v>
      </c>
      <c r="P79" s="269">
        <f>M79-J79</f>
        <v>0</v>
      </c>
      <c r="Q79" s="222">
        <f>N79-K79</f>
        <v>-552.40512820512754</v>
      </c>
      <c r="R79" s="223">
        <f>O79/L79</f>
        <v>0.62068406593406655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4</v>
      </c>
      <c r="AE79" s="323">
        <f>SUM(AE70:AE78)</f>
        <v>4</v>
      </c>
      <c r="AF79" s="309">
        <f>N79-K79</f>
        <v>-552.40512820512754</v>
      </c>
      <c r="AG79" s="124">
        <f>N79/K79</f>
        <v>0.61052517400343531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AB72:AC72"/>
    <mergeCell ref="J3:J4"/>
    <mergeCell ref="K3:K4"/>
    <mergeCell ref="L3:L4"/>
    <mergeCell ref="M3:M4"/>
    <mergeCell ref="AF3:AF4"/>
    <mergeCell ref="AG3:AG4"/>
    <mergeCell ref="AH3:AH4"/>
    <mergeCell ref="AH27:AH37"/>
    <mergeCell ref="AB28:AC28"/>
    <mergeCell ref="AB29:AC29"/>
    <mergeCell ref="AB30:AC30"/>
    <mergeCell ref="AB31:AC31"/>
    <mergeCell ref="AB32:AC32"/>
    <mergeCell ref="AB33:AC33"/>
    <mergeCell ref="G3:G4"/>
    <mergeCell ref="AH49:AH58"/>
    <mergeCell ref="AB17:AC17"/>
    <mergeCell ref="AB18:AC18"/>
    <mergeCell ref="AB19:AC19"/>
    <mergeCell ref="AB44:AC44"/>
    <mergeCell ref="AB36:AC36"/>
    <mergeCell ref="AB55:AC55"/>
    <mergeCell ref="AB37:AC37"/>
    <mergeCell ref="AB57:AC57"/>
    <mergeCell ref="AB58:AC58"/>
    <mergeCell ref="AH16:AH26"/>
    <mergeCell ref="AB34:AC34"/>
    <mergeCell ref="AB35:AC35"/>
    <mergeCell ref="AH38:AH48"/>
    <mergeCell ref="AB45:AC45"/>
    <mergeCell ref="W3:W4"/>
    <mergeCell ref="Z3:AA3"/>
    <mergeCell ref="H3:H4"/>
    <mergeCell ref="I3:I4"/>
    <mergeCell ref="AB14:AC14"/>
    <mergeCell ref="J1:L2"/>
    <mergeCell ref="M1:O2"/>
    <mergeCell ref="AD3:AE3"/>
    <mergeCell ref="P1:S2"/>
    <mergeCell ref="T1:Y2"/>
    <mergeCell ref="AB1:AC2"/>
    <mergeCell ref="X3:Y3"/>
    <mergeCell ref="AB3:AC4"/>
    <mergeCell ref="N3:N4"/>
    <mergeCell ref="O3:O4"/>
    <mergeCell ref="P3:P4"/>
    <mergeCell ref="Q3:Q4"/>
    <mergeCell ref="R3:R4"/>
    <mergeCell ref="S3:S4"/>
    <mergeCell ref="T3:U3"/>
    <mergeCell ref="V3:V4"/>
    <mergeCell ref="A2:B2"/>
    <mergeCell ref="A3:A4"/>
    <mergeCell ref="B3:B4"/>
    <mergeCell ref="D3:E4"/>
    <mergeCell ref="F3:F4"/>
    <mergeCell ref="A5:A15"/>
    <mergeCell ref="S5:S15"/>
    <mergeCell ref="AB5:AC5"/>
    <mergeCell ref="AH5:AH15"/>
    <mergeCell ref="AB6:AC6"/>
    <mergeCell ref="AB7:AC7"/>
    <mergeCell ref="AB13:AC13"/>
    <mergeCell ref="AB8:AC8"/>
    <mergeCell ref="AB9:AC9"/>
    <mergeCell ref="AB10:AC10"/>
    <mergeCell ref="AB11:AC11"/>
    <mergeCell ref="AB12:AC12"/>
    <mergeCell ref="D15:E15"/>
    <mergeCell ref="AB15:AC15"/>
    <mergeCell ref="A16:A26"/>
    <mergeCell ref="S16:S26"/>
    <mergeCell ref="AB16:AC16"/>
    <mergeCell ref="D26:E26"/>
    <mergeCell ref="AB26:AC26"/>
    <mergeCell ref="AB21:AC21"/>
    <mergeCell ref="AB22:AC22"/>
    <mergeCell ref="AB23:AC23"/>
    <mergeCell ref="AB24:AC24"/>
    <mergeCell ref="AB25:AC25"/>
    <mergeCell ref="AB20:AC20"/>
    <mergeCell ref="A27:A37"/>
    <mergeCell ref="S27:S37"/>
    <mergeCell ref="AB27:AC27"/>
    <mergeCell ref="AB39:AC39"/>
    <mergeCell ref="AB40:AC40"/>
    <mergeCell ref="D37:E37"/>
    <mergeCell ref="A38:A48"/>
    <mergeCell ref="S38:S48"/>
    <mergeCell ref="AB38:AC38"/>
    <mergeCell ref="D48:E48"/>
    <mergeCell ref="AB48:AC48"/>
    <mergeCell ref="AB41:AC41"/>
    <mergeCell ref="AB42:AC42"/>
    <mergeCell ref="AB43:AC43"/>
    <mergeCell ref="AB46:AC46"/>
    <mergeCell ref="AB47:AC47"/>
    <mergeCell ref="A49:A58"/>
    <mergeCell ref="S49:S58"/>
    <mergeCell ref="AB49:AC49"/>
    <mergeCell ref="AB50:AC50"/>
    <mergeCell ref="AB51:AC51"/>
    <mergeCell ref="AB52:AC52"/>
    <mergeCell ref="AB53:AC53"/>
    <mergeCell ref="AB54:AC54"/>
    <mergeCell ref="D58:E58"/>
    <mergeCell ref="AB56:AC56"/>
    <mergeCell ref="A59:A69"/>
    <mergeCell ref="S59:S69"/>
    <mergeCell ref="AB59:AC59"/>
    <mergeCell ref="D69:E69"/>
    <mergeCell ref="AB69:AC6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70:A79"/>
    <mergeCell ref="S70:S79"/>
    <mergeCell ref="AB70:AC70"/>
    <mergeCell ref="AH70:AH79"/>
    <mergeCell ref="AB71:AC71"/>
    <mergeCell ref="AB73:AC73"/>
    <mergeCell ref="AB74:AC74"/>
    <mergeCell ref="AB75:AC75"/>
    <mergeCell ref="AB76:AC76"/>
    <mergeCell ref="AB77:AC77"/>
    <mergeCell ref="AB78:AC78"/>
    <mergeCell ref="D79:E79"/>
    <mergeCell ref="AB79:AC79"/>
  </mergeCells>
  <phoneticPr fontId="0" type="noConversion"/>
  <conditionalFormatting sqref="P5:P79">
    <cfRule type="cellIs" dxfId="169" priority="1" operator="greaterThan">
      <formula>0</formula>
    </cfRule>
  </conditionalFormatting>
  <conditionalFormatting sqref="Q5:Q79">
    <cfRule type="cellIs" dxfId="168" priority="4" operator="lessThan">
      <formula>0</formula>
    </cfRule>
  </conditionalFormatting>
  <conditionalFormatting sqref="R5:R79">
    <cfRule type="cellIs" dxfId="167" priority="2" operator="greaterThan">
      <formula>1</formula>
    </cfRule>
    <cfRule type="cellIs" dxfId="166" priority="3" operator="lessThan">
      <formula>0.8</formula>
    </cfRule>
  </conditionalFormatting>
  <conditionalFormatting sqref="S5:S10 S37:S62 AH59:AH62 S69:S76 AH69:AH76">
    <cfRule type="cellIs" dxfId="165" priority="11" operator="lessThan">
      <formula>0.8</formula>
    </cfRule>
  </conditionalFormatting>
  <conditionalFormatting sqref="S19:S25 AH19:AH25">
    <cfRule type="cellIs" dxfId="164" priority="10" operator="lessThan">
      <formula>0.8</formula>
    </cfRule>
  </conditionalFormatting>
  <conditionalFormatting sqref="S79">
    <cfRule type="cellIs" dxfId="163" priority="9" operator="lessThan">
      <formula>0.8</formula>
    </cfRule>
  </conditionalFormatting>
  <conditionalFormatting sqref="AF5:AF79">
    <cfRule type="cellIs" dxfId="162" priority="8" operator="lessThan">
      <formula>0</formula>
    </cfRule>
  </conditionalFormatting>
  <conditionalFormatting sqref="AG5:AG79">
    <cfRule type="cellIs" dxfId="161" priority="6" operator="greaterThan">
      <formula>1</formula>
    </cfRule>
    <cfRule type="cellIs" dxfId="160" priority="7" operator="lessThan">
      <formula>0.8</formula>
    </cfRule>
  </conditionalFormatting>
  <conditionalFormatting sqref="AH5:AH8 S15:S16 AH15:AH16 AH49 AH79">
    <cfRule type="cellIs" dxfId="159" priority="13" operator="lessThan">
      <formula>0.8</formula>
    </cfRule>
  </conditionalFormatting>
  <conditionalFormatting sqref="AH27 S27:S28">
    <cfRule type="cellIs" dxfId="158" priority="12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8C68E3-CCB8-4A9B-AB60-82E373CE68C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AC7C-1E6B-49FC-AA1F-9D7CA387BD2E}">
  <dimension ref="B1:O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46043</v>
      </c>
      <c r="E3" s="645"/>
      <c r="F3" s="3" t="s">
        <v>72</v>
      </c>
      <c r="G3" s="646">
        <f>'0121'!E1</f>
        <v>54921</v>
      </c>
      <c r="H3" s="646"/>
      <c r="I3" s="3" t="s">
        <v>2</v>
      </c>
      <c r="J3" s="647">
        <f>'0121'!G1</f>
        <v>2551792.7100000004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113.7458670884008</v>
      </c>
      <c r="G6" s="652"/>
      <c r="H6" s="653">
        <f>AVERAGE(D13:H13,J13)</f>
        <v>111.30180220142488</v>
      </c>
      <c r="I6" s="653"/>
      <c r="J6" s="653">
        <f>AVERAGE(I13)</f>
        <v>128.41025641025641</v>
      </c>
      <c r="K6" s="653"/>
      <c r="L6" s="769">
        <f>SUM(D18:J18)</f>
        <v>0</v>
      </c>
      <c r="M6" s="656">
        <f>SUM(D19:J19)</f>
        <v>0</v>
      </c>
      <c r="N6" s="771">
        <f>SUM(D20:J20)</f>
        <v>5</v>
      </c>
      <c r="O6" s="656">
        <f>SUM(D20:J20)</f>
        <v>5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99.101749031197897</v>
      </c>
      <c r="G7" s="676"/>
      <c r="H7" s="677">
        <f>AVERAGE(D14:H14,J14)</f>
        <v>95.379539777506579</v>
      </c>
      <c r="I7" s="677"/>
      <c r="J7" s="677">
        <f>AVERAGE(I14)</f>
        <v>121.43500455334583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0.87125582289665249</v>
      </c>
      <c r="G8" s="649"/>
      <c r="H8" s="649">
        <f>H7/H6</f>
        <v>0.85694515174962316</v>
      </c>
      <c r="I8" s="649"/>
      <c r="J8" s="649">
        <f>J7/J6</f>
        <v>0.94567994759993756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VALUE('0121'!L15)</f>
        <v>125.67226890756304</v>
      </c>
      <c r="E13" s="13">
        <f>VALUE('0121'!L26)</f>
        <v>162.27564102564102</v>
      </c>
      <c r="F13" s="13">
        <f>VALUE('0121'!L37)</f>
        <v>86.617647058823522</v>
      </c>
      <c r="G13" s="13">
        <f>VALUE('0121'!L48)</f>
        <v>82.878192724458202</v>
      </c>
      <c r="H13" s="13">
        <f>VALUE('0121'!L58)</f>
        <v>91.894841269841265</v>
      </c>
      <c r="I13" s="13">
        <f>VALUE('0121'!L69)</f>
        <v>128.41025641025641</v>
      </c>
      <c r="J13" s="13">
        <f>'0121'!L79</f>
        <v>118.47222222222221</v>
      </c>
    </row>
    <row r="14" spans="2:15" ht="39.950000000000003" customHeight="1">
      <c r="B14" s="670"/>
      <c r="C14" s="12" t="s">
        <v>100</v>
      </c>
      <c r="D14" s="13">
        <f>VALUE('0121'!O15)</f>
        <v>115.89891024822835</v>
      </c>
      <c r="E14" s="13">
        <f>VALUE('0121'!O26)</f>
        <v>142.49122769122664</v>
      </c>
      <c r="F14" s="13">
        <f>VALUE('0121'!O37)</f>
        <v>65.537856156694417</v>
      </c>
      <c r="G14" s="13">
        <f>VALUE('0121'!O48)</f>
        <v>69.74783617589037</v>
      </c>
      <c r="H14" s="13">
        <f>VALUE('0121'!O58)</f>
        <v>85.831222057596023</v>
      </c>
      <c r="I14" s="13">
        <f>VALUE('0121'!O69)</f>
        <v>121.43500455334583</v>
      </c>
      <c r="J14" s="13">
        <f>'0121'!O79</f>
        <v>92.77018633540365</v>
      </c>
    </row>
    <row r="15" spans="2:15" ht="39.950000000000003" customHeight="1">
      <c r="B15" s="671"/>
      <c r="C15" s="10" t="s">
        <v>26</v>
      </c>
      <c r="D15" s="14">
        <f>D14/D13</f>
        <v>0.92223138211562505</v>
      </c>
      <c r="E15" s="14">
        <f t="shared" ref="E15:I15" si="1">E14/E13</f>
        <v>0.87808143471583477</v>
      </c>
      <c r="F15" s="14">
        <f t="shared" si="1"/>
        <v>0.75663399298051282</v>
      </c>
      <c r="G15" s="14">
        <f t="shared" si="1"/>
        <v>0.84157042863830533</v>
      </c>
      <c r="H15" s="14">
        <f t="shared" si="1"/>
        <v>0.93401567347572922</v>
      </c>
      <c r="I15" s="14">
        <f t="shared" si="1"/>
        <v>0.94567994759993756</v>
      </c>
      <c r="J15" s="15">
        <f>'0121'!S70</f>
        <v>0.78305432780176587</v>
      </c>
    </row>
    <row r="16" spans="2:15" ht="17.25" customHeight="1">
      <c r="B16" s="672" t="s">
        <v>101</v>
      </c>
      <c r="C16" s="10" t="s">
        <v>34</v>
      </c>
      <c r="D16" s="16">
        <f>'0121'!T5</f>
        <v>0.30555555555555602</v>
      </c>
      <c r="E16" s="16">
        <f>'0121'!T16</f>
        <v>0.295833333333333</v>
      </c>
      <c r="F16" s="16">
        <f>'0121'!T27</f>
        <v>0.29513888888888901</v>
      </c>
      <c r="G16" s="16">
        <f>'0121'!T38</f>
        <v>0.33333333333333298</v>
      </c>
      <c r="H16" s="16">
        <f>'0121'!T49</f>
        <v>0.29027777777777802</v>
      </c>
      <c r="I16" s="16">
        <f>'0121'!T59</f>
        <v>0.29027777777777802</v>
      </c>
      <c r="J16" s="16">
        <f>'0121'!T70</f>
        <v>0.34375</v>
      </c>
    </row>
    <row r="17" spans="2:10" ht="17.25" customHeight="1">
      <c r="B17" s="673"/>
      <c r="C17" s="10" t="s">
        <v>35</v>
      </c>
      <c r="D17" s="16">
        <v>0.68263888888888902</v>
      </c>
      <c r="E17" s="19">
        <v>0.58680555555555602</v>
      </c>
      <c r="F17" s="19">
        <v>0.59722222222222199</v>
      </c>
      <c r="G17" s="210">
        <v>0.68055555555555602</v>
      </c>
      <c r="H17" s="21">
        <v>0.56805555555555598</v>
      </c>
      <c r="I17" s="22">
        <v>0.67361111111111105</v>
      </c>
      <c r="J17" s="22">
        <v>0.59375</v>
      </c>
    </row>
    <row r="18" spans="2:10" ht="17.25" customHeight="1">
      <c r="B18" s="674" t="s">
        <v>102</v>
      </c>
      <c r="C18" s="330" t="s">
        <v>36</v>
      </c>
      <c r="D18" s="358">
        <f>'0119'!Z15</f>
        <v>0</v>
      </c>
      <c r="E18" s="359">
        <f>'0119'!Z26</f>
        <v>0</v>
      </c>
      <c r="F18" s="359">
        <f>'0119'!Z37</f>
        <v>0</v>
      </c>
      <c r="G18" s="360">
        <f>'0119'!Z48</f>
        <v>0</v>
      </c>
      <c r="H18" s="360">
        <v>0</v>
      </c>
      <c r="I18" s="359">
        <f>'0119'!Z69</f>
        <v>0</v>
      </c>
      <c r="J18" s="359">
        <f>'0119'!AA69</f>
        <v>0</v>
      </c>
    </row>
    <row r="19" spans="2:10" ht="17.25" customHeight="1">
      <c r="B19" s="675"/>
      <c r="C19" s="330" t="s">
        <v>37</v>
      </c>
      <c r="D19" s="358">
        <f>'0119'!AA15</f>
        <v>0</v>
      </c>
      <c r="E19" s="359">
        <f>'0119'!AA26</f>
        <v>0</v>
      </c>
      <c r="F19" s="359">
        <f>'0119'!AA37</f>
        <v>0</v>
      </c>
      <c r="G19" s="360">
        <f>'0119'!AA48</f>
        <v>0</v>
      </c>
      <c r="H19" s="360">
        <v>0</v>
      </c>
      <c r="I19" s="359">
        <f>'0119'!AA69</f>
        <v>0</v>
      </c>
      <c r="J19" s="359">
        <f>'0119'!AB69</f>
        <v>0</v>
      </c>
    </row>
    <row r="20" spans="2:10" ht="17.25" customHeight="1">
      <c r="B20" s="674" t="s">
        <v>103</v>
      </c>
      <c r="C20" s="330" t="s">
        <v>36</v>
      </c>
      <c r="D20" s="358">
        <f>'0121'!AD15</f>
        <v>1</v>
      </c>
      <c r="E20" s="359">
        <f>'0121'!AD26</f>
        <v>0</v>
      </c>
      <c r="F20" s="359">
        <f>'0121'!AD37</f>
        <v>3</v>
      </c>
      <c r="G20" s="360">
        <f>'0121'!AD48</f>
        <v>0</v>
      </c>
      <c r="H20" s="360">
        <f>'0121'!AD58</f>
        <v>0</v>
      </c>
      <c r="I20" s="359">
        <f>'0121'!AD69</f>
        <v>1</v>
      </c>
      <c r="J20" s="359">
        <f>'0121'!AD79</f>
        <v>0</v>
      </c>
    </row>
    <row r="21" spans="2:10" ht="17.25" customHeight="1">
      <c r="B21" s="675"/>
      <c r="C21" s="330" t="s">
        <v>85</v>
      </c>
      <c r="D21" s="358">
        <f>'0121'!AE15</f>
        <v>1</v>
      </c>
      <c r="E21" s="359">
        <f>'0121'!AE26</f>
        <v>0</v>
      </c>
      <c r="F21" s="359">
        <f>'0121'!AE37</f>
        <v>3</v>
      </c>
      <c r="G21" s="360">
        <f>'0121'!AE48</f>
        <v>0</v>
      </c>
      <c r="H21" s="360">
        <f>'0121'!AE58</f>
        <v>0</v>
      </c>
      <c r="I21" s="359">
        <f>'0121'!AE69</f>
        <v>1</v>
      </c>
      <c r="J21" s="359">
        <f>'0121'!AE79</f>
        <v>0</v>
      </c>
    </row>
    <row r="22" spans="2:10" ht="17.25" customHeight="1">
      <c r="B22" s="658" t="s">
        <v>104</v>
      </c>
      <c r="C22" s="659"/>
      <c r="D22" s="23">
        <f>VALUE('0121'!M15)</f>
        <v>15.4</v>
      </c>
      <c r="E22" s="23">
        <f>VALUE('0119'!M26)</f>
        <v>12.75</v>
      </c>
      <c r="F22" s="23">
        <f>VALUE('0121'!M37)</f>
        <v>15.25</v>
      </c>
      <c r="G22" s="23">
        <f>VALUE('0121'!M48)</f>
        <v>16.5</v>
      </c>
      <c r="H22" s="23">
        <f>VALUE('0121'!M58)</f>
        <v>17.5</v>
      </c>
      <c r="I22" s="23">
        <f>VALUE('0121'!M69)</f>
        <v>12.2</v>
      </c>
      <c r="J22" s="23">
        <f>'0121'!M79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57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5749-CF29-41F0-A2EB-E3D86BD88ED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J21" sqref="J21"/>
      <selection pane="topRight" activeCell="J21" sqref="J21"/>
      <selection pane="bottomLeft" activeCell="J21" sqref="J21"/>
      <selection pane="bottomRight" activeCell="M16" sqref="M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54921</v>
      </c>
      <c r="F1" s="30" t="s">
        <v>2</v>
      </c>
      <c r="G1" s="31">
        <f>SUM(H5:H79)</f>
        <v>2551792.7100000004</v>
      </c>
      <c r="H1" s="32" t="s">
        <v>3</v>
      </c>
      <c r="I1" s="33">
        <f>M15+M26+M48+M58+M69+M79+M37</f>
        <v>99.6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199</v>
      </c>
      <c r="B2" s="678"/>
      <c r="C2" s="28"/>
      <c r="D2" s="28" t="s">
        <v>14</v>
      </c>
      <c r="E2" s="35">
        <f>AVERAGE(O15,O26,O37,O48,O58,O69,O79)</f>
        <v>99.101749031197897</v>
      </c>
      <c r="F2" s="36" t="s">
        <v>15</v>
      </c>
      <c r="G2" s="37">
        <f>G1/E1</f>
        <v>46.462968809744915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5</v>
      </c>
      <c r="AE2" s="340">
        <f>AE15+AE26+AE37+AE48+AE58+AE69+AE79</f>
        <v>5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1275</v>
      </c>
      <c r="H5" s="43">
        <f>F5*G5</f>
        <v>72942.75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9" si="0">K5/J5</f>
        <v>117.64705882352941</v>
      </c>
      <c r="M5" s="48">
        <v>17</v>
      </c>
      <c r="N5" s="46">
        <f t="shared" ref="N5:N9" si="1">G5/W5*60</f>
        <v>1738.6363636363951</v>
      </c>
      <c r="O5" s="47">
        <f t="shared" ref="O5:O9" si="2">N5/M5</f>
        <v>102.27272727272913</v>
      </c>
      <c r="P5" s="49">
        <f t="shared" ref="P5:P9" si="3">M5-J5</f>
        <v>0</v>
      </c>
      <c r="Q5" s="50">
        <f t="shared" ref="Q5:Q9" si="4">O5-L5</f>
        <v>-15.374331550800278</v>
      </c>
      <c r="R5" s="51">
        <f t="shared" ref="R5:R9" si="5">O5/L5</f>
        <v>0.86931818181819764</v>
      </c>
      <c r="S5" s="718">
        <f>R15</f>
        <v>0.92223138211562505</v>
      </c>
      <c r="T5" s="319">
        <v>0.30555555555555602</v>
      </c>
      <c r="U5" s="320">
        <v>0.33611111111111103</v>
      </c>
      <c r="V5" s="53"/>
      <c r="W5" s="54">
        <f t="shared" ref="W5:W14" si="6">(U5-T5)*24*60</f>
        <v>43.999999999999204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-261.36363636360488</v>
      </c>
      <c r="AG5" s="52">
        <f t="shared" ref="AG5:AG11" si="8">N5/K5</f>
        <v>0.86931818181819753</v>
      </c>
      <c r="AH5" s="724">
        <f>AG15</f>
        <v>0.91872833501392648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3533</v>
      </c>
      <c r="H6" s="63">
        <f>F6*G6</f>
        <v>198837.24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16</v>
      </c>
      <c r="N6" s="66">
        <f t="shared" si="1"/>
        <v>1723.4146341463343</v>
      </c>
      <c r="O6" s="67">
        <f t="shared" si="2"/>
        <v>107.71341463414589</v>
      </c>
      <c r="P6" s="69">
        <f t="shared" si="3"/>
        <v>0</v>
      </c>
      <c r="Q6" s="70">
        <f t="shared" si="4"/>
        <v>-4.7865853658541084</v>
      </c>
      <c r="R6" s="71">
        <f t="shared" si="5"/>
        <v>0.95745257452574128</v>
      </c>
      <c r="S6" s="719"/>
      <c r="T6" s="16">
        <v>0.34513888888888899</v>
      </c>
      <c r="U6" s="16">
        <v>0.43055555555555602</v>
      </c>
      <c r="V6" s="30">
        <f>(T6-U5)*24*60</f>
        <v>13.000000000000274</v>
      </c>
      <c r="W6" s="73">
        <f t="shared" si="6"/>
        <v>123.00000000000053</v>
      </c>
      <c r="X6" s="22"/>
      <c r="Y6" s="84"/>
      <c r="Z6" s="90"/>
      <c r="AA6" s="90"/>
      <c r="AB6" s="728" t="s">
        <v>142</v>
      </c>
      <c r="AC6" s="728"/>
      <c r="AD6" s="149">
        <v>1</v>
      </c>
      <c r="AE6" s="149">
        <v>1</v>
      </c>
      <c r="AF6" s="307">
        <f t="shared" si="7"/>
        <v>-76.585365853665735</v>
      </c>
      <c r="AG6" s="72">
        <f t="shared" si="8"/>
        <v>0.95745257452574128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1890</v>
      </c>
      <c r="H7" s="78">
        <f>F7*G7</f>
        <v>92874.6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1889.9999999999841</v>
      </c>
      <c r="O7" s="81">
        <f t="shared" si="2"/>
        <v>134.99999999999886</v>
      </c>
      <c r="P7" s="74">
        <f t="shared" si="3"/>
        <v>0</v>
      </c>
      <c r="Q7" s="83">
        <f t="shared" si="4"/>
        <v>-7.8571428571439981</v>
      </c>
      <c r="R7" s="72">
        <f t="shared" si="5"/>
        <v>0.94499999999999207</v>
      </c>
      <c r="S7" s="719"/>
      <c r="T7" s="18">
        <v>0.44444444444444398</v>
      </c>
      <c r="U7" s="18">
        <v>0.48611111111111099</v>
      </c>
      <c r="V7" s="30">
        <f>(T7-U6)*24*60</f>
        <v>19.99999999999865</v>
      </c>
      <c r="W7" s="73">
        <f t="shared" si="6"/>
        <v>60.000000000000504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-110.00000000001592</v>
      </c>
      <c r="AG7" s="72">
        <f t="shared" si="8"/>
        <v>0.94499999999999207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3517</v>
      </c>
      <c r="H8" s="78">
        <f t="shared" ref="H8:H9" si="9">F8*G8</f>
        <v>172825.38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1990.7547169811362</v>
      </c>
      <c r="O8" s="81">
        <f t="shared" si="2"/>
        <v>142.19676549865258</v>
      </c>
      <c r="P8" s="74">
        <f t="shared" si="3"/>
        <v>0</v>
      </c>
      <c r="Q8" s="83">
        <f t="shared" si="4"/>
        <v>-0.66037735849027968</v>
      </c>
      <c r="R8" s="72">
        <f t="shared" si="5"/>
        <v>0.99537735849056808</v>
      </c>
      <c r="S8" s="719"/>
      <c r="T8" s="16">
        <v>0.55138888888888904</v>
      </c>
      <c r="U8" s="16">
        <v>0.625</v>
      </c>
      <c r="V8" s="30">
        <f t="shared" ref="V8:V9" si="10">(T8-U7)*24*60</f>
        <v>94.000000000000384</v>
      </c>
      <c r="W8" s="73">
        <f t="shared" si="6"/>
        <v>105.99999999999979</v>
      </c>
      <c r="X8" s="22">
        <v>0.49305555555555602</v>
      </c>
      <c r="Y8" s="84">
        <v>0.53472222222222199</v>
      </c>
      <c r="Z8" s="90"/>
      <c r="AA8" s="90"/>
      <c r="AB8" s="728"/>
      <c r="AC8" s="728"/>
      <c r="AD8" s="149"/>
      <c r="AE8" s="149"/>
      <c r="AF8" s="307">
        <f t="shared" si="7"/>
        <v>-9.2452830188638018</v>
      </c>
      <c r="AG8" s="72">
        <f t="shared" si="8"/>
        <v>0.99537735849056808</v>
      </c>
      <c r="AH8" s="725"/>
    </row>
    <row r="9" spans="1:34" ht="15" customHeight="1">
      <c r="A9" s="716"/>
      <c r="B9" s="75" t="s">
        <v>81</v>
      </c>
      <c r="C9" s="76"/>
      <c r="D9" s="59" t="s">
        <v>190</v>
      </c>
      <c r="E9" s="77"/>
      <c r="F9" s="75">
        <f>VLOOKUP(D9,廠價表!$C$1:$E$41,3,0)</f>
        <v>56.28</v>
      </c>
      <c r="G9" s="66">
        <v>1797</v>
      </c>
      <c r="H9" s="78">
        <f t="shared" si="9"/>
        <v>101135.16</v>
      </c>
      <c r="I9" s="73"/>
      <c r="J9" s="79">
        <f>VLOOKUP(D9,產線配置圖!$A$3:$C$39,2,0)</f>
        <v>16</v>
      </c>
      <c r="K9" s="80">
        <f>VLOOKUP(D9,產線配置圖!$A$3:$C$39,3,0)</f>
        <v>1800</v>
      </c>
      <c r="L9" s="81">
        <f t="shared" si="0"/>
        <v>112.5</v>
      </c>
      <c r="M9" s="82">
        <v>16</v>
      </c>
      <c r="N9" s="80">
        <f t="shared" si="1"/>
        <v>1476.9863013698457</v>
      </c>
      <c r="O9" s="81">
        <f t="shared" si="2"/>
        <v>92.311643835615357</v>
      </c>
      <c r="P9" s="74">
        <f t="shared" si="3"/>
        <v>0</v>
      </c>
      <c r="Q9" s="83">
        <f t="shared" si="4"/>
        <v>-20.188356164384643</v>
      </c>
      <c r="R9" s="72">
        <f t="shared" si="5"/>
        <v>0.82054794520546981</v>
      </c>
      <c r="S9" s="720"/>
      <c r="T9" s="16">
        <v>0.63194444444444398</v>
      </c>
      <c r="U9" s="16">
        <v>0.68263888888888902</v>
      </c>
      <c r="V9" s="30">
        <f t="shared" si="10"/>
        <v>9.999999999999325</v>
      </c>
      <c r="W9" s="73">
        <f t="shared" si="6"/>
        <v>73.000000000000853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-323.01369863015429</v>
      </c>
      <c r="AG9" s="72">
        <f t="shared" si="8"/>
        <v>0.82054794520546981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11">AVERAGE(J5:J14)</f>
        <v>15.4</v>
      </c>
      <c r="K15" s="120">
        <f t="shared" si="11"/>
        <v>1920</v>
      </c>
      <c r="L15" s="117">
        <f t="shared" si="11"/>
        <v>125.67226890756304</v>
      </c>
      <c r="M15" s="120">
        <f t="shared" si="11"/>
        <v>15.4</v>
      </c>
      <c r="N15" s="120">
        <f t="shared" si="11"/>
        <v>1763.9584032267389</v>
      </c>
      <c r="O15" s="117">
        <f t="shared" si="11"/>
        <v>115.89891024822835</v>
      </c>
      <c r="P15" s="121">
        <f t="shared" ref="P15:P16" si="12">M15-J15</f>
        <v>0</v>
      </c>
      <c r="Q15" s="122">
        <f t="shared" ref="Q15:Q17" si="13">O15-L15</f>
        <v>-9.7733586593346899</v>
      </c>
      <c r="R15" s="123">
        <f t="shared" ref="R15:R16" si="14">O15/L15</f>
        <v>0.92223138211562505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1</v>
      </c>
      <c r="AE15" s="323">
        <f>SUM(AE5:AE14)</f>
        <v>1</v>
      </c>
      <c r="AF15" s="309">
        <f t="shared" ref="AF15:AF19" si="15">N15-K15</f>
        <v>-156.04159677326106</v>
      </c>
      <c r="AG15" s="124">
        <f t="shared" ref="AG15:AG19" si="16">N15/K15</f>
        <v>0.91872833501392648</v>
      </c>
      <c r="AH15" s="727"/>
    </row>
    <row r="16" spans="1:34" ht="15" customHeight="1">
      <c r="A16" s="740" t="s">
        <v>43</v>
      </c>
      <c r="B16" s="75" t="s">
        <v>81</v>
      </c>
      <c r="C16" s="76"/>
      <c r="D16" s="59" t="s">
        <v>121</v>
      </c>
      <c r="E16" s="77"/>
      <c r="F16" s="75">
        <f>VLOOKUP(D16,廠價表!$C$1:$E$41,3,0)</f>
        <v>57.21</v>
      </c>
      <c r="G16" s="147">
        <v>2084</v>
      </c>
      <c r="H16" s="78">
        <f>F16*G16</f>
        <v>119225.64</v>
      </c>
      <c r="I16" s="30"/>
      <c r="J16" s="79">
        <f>VLOOKUP(D16,產線配置圖!$A$3:$C$39,2,0)</f>
        <v>13</v>
      </c>
      <c r="K16" s="80">
        <f>VLOOKUP(D16,產線配置圖!$A$3:$C$39,3,0)</f>
        <v>2105</v>
      </c>
      <c r="L16" s="81">
        <f t="shared" ref="L16:L17" si="17">K16/J16</f>
        <v>161.92307692307693</v>
      </c>
      <c r="M16" s="148">
        <v>14</v>
      </c>
      <c r="N16" s="95">
        <f>G16/W16*60</f>
        <v>1689.7297297297264</v>
      </c>
      <c r="O16" s="96">
        <f>N16/M16</f>
        <v>120.69498069498046</v>
      </c>
      <c r="P16" s="97">
        <f t="shared" si="12"/>
        <v>1</v>
      </c>
      <c r="Q16" s="98">
        <f t="shared" si="13"/>
        <v>-41.228096228096476</v>
      </c>
      <c r="R16" s="99">
        <f t="shared" si="14"/>
        <v>0.74538467887636384</v>
      </c>
      <c r="S16" s="734">
        <f>R26</f>
        <v>0.87808143471583477</v>
      </c>
      <c r="T16" s="145">
        <v>0.295833333333333</v>
      </c>
      <c r="U16" s="145">
        <v>0.34722222222222199</v>
      </c>
      <c r="V16" s="135"/>
      <c r="W16" s="146">
        <f t="shared" ref="W16:W78" si="18">(U16-T16)*24*60</f>
        <v>74.000000000000142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5"/>
        <v>-415.27027027027361</v>
      </c>
      <c r="AG16" s="52">
        <f t="shared" si="16"/>
        <v>0.80272196186685341</v>
      </c>
      <c r="AH16" s="724">
        <f>AG26</f>
        <v>0.89248417954154524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2976</v>
      </c>
      <c r="H17" s="78">
        <f>F17*G17</f>
        <v>150793.92000000001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7"/>
        <v>153.84615384615384</v>
      </c>
      <c r="M17" s="148">
        <v>13</v>
      </c>
      <c r="N17" s="95">
        <f>G17/W17*60</f>
        <v>1984.0000000000002</v>
      </c>
      <c r="O17" s="96">
        <f>N17/M17</f>
        <v>152.61538461538464</v>
      </c>
      <c r="P17" s="97">
        <f>M17-J17</f>
        <v>0</v>
      </c>
      <c r="Q17" s="98">
        <f t="shared" si="13"/>
        <v>-1.230769230769198</v>
      </c>
      <c r="R17" s="99">
        <f>O17/L17</f>
        <v>0.99200000000000021</v>
      </c>
      <c r="S17" s="735"/>
      <c r="T17" s="19">
        <v>0.35416666666666702</v>
      </c>
      <c r="U17" s="19">
        <v>0.41666666666666702</v>
      </c>
      <c r="V17" s="30">
        <f>(T17-U16)*24*60</f>
        <v>10.000000000000844</v>
      </c>
      <c r="W17" s="149">
        <f t="shared" si="18"/>
        <v>90</v>
      </c>
      <c r="X17" s="19"/>
      <c r="Y17" s="297"/>
      <c r="Z17" s="90"/>
      <c r="AA17" s="90"/>
      <c r="AB17" s="713" t="s">
        <v>200</v>
      </c>
      <c r="AC17" s="713"/>
      <c r="AD17" s="92"/>
      <c r="AE17" s="92"/>
      <c r="AF17" s="307">
        <f t="shared" si="15"/>
        <v>-15.999999999999773</v>
      </c>
      <c r="AG17" s="72">
        <f t="shared" si="16"/>
        <v>0.9920000000000001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2268</v>
      </c>
      <c r="H18" s="78">
        <f>F18*G18</f>
        <v>114284.52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ref="L18:L19" si="19">K18/J18</f>
        <v>166.66666666666666</v>
      </c>
      <c r="M18" s="148">
        <v>12</v>
      </c>
      <c r="N18" s="95">
        <f t="shared" ref="N18:N19" si="20">G18/W18*60</f>
        <v>1814.3999999999755</v>
      </c>
      <c r="O18" s="96">
        <f t="shared" ref="O18:O19" si="21">N18/M18</f>
        <v>151.19999999999797</v>
      </c>
      <c r="P18" s="97">
        <f t="shared" ref="P18:P19" si="22">M18-J18</f>
        <v>0</v>
      </c>
      <c r="Q18" s="98">
        <f t="shared" ref="Q18:Q19" si="23">O18-L18</f>
        <v>-15.466666666668687</v>
      </c>
      <c r="R18" s="99">
        <f t="shared" ref="R18:R19" si="24">O18/L18</f>
        <v>0.9071999999999879</v>
      </c>
      <c r="S18" s="735"/>
      <c r="T18" s="19">
        <v>0.42708333333333298</v>
      </c>
      <c r="U18" s="19">
        <v>0.47916666666666702</v>
      </c>
      <c r="V18" s="30">
        <f>(T18-U17)*24*60</f>
        <v>14.999999999998987</v>
      </c>
      <c r="W18" s="149">
        <f t="shared" si="18"/>
        <v>75.000000000001009</v>
      </c>
      <c r="X18" s="22">
        <v>0.49305555555555602</v>
      </c>
      <c r="Y18" s="84">
        <v>0.53472222222222199</v>
      </c>
      <c r="Z18" s="90"/>
      <c r="AA18" s="90"/>
      <c r="AB18" s="713"/>
      <c r="AC18" s="713"/>
      <c r="AD18" s="92"/>
      <c r="AE18" s="92"/>
      <c r="AF18" s="307">
        <f t="shared" si="15"/>
        <v>-185.60000000002447</v>
      </c>
      <c r="AG18" s="72">
        <f t="shared" si="16"/>
        <v>0.90719999999998779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1600</v>
      </c>
      <c r="H19" s="78">
        <f>F19*G19</f>
        <v>80624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9"/>
        <v>166.66666666666666</v>
      </c>
      <c r="M19" s="148">
        <v>12</v>
      </c>
      <c r="N19" s="95">
        <f t="shared" si="20"/>
        <v>1745.4545454545212</v>
      </c>
      <c r="O19" s="96">
        <f t="shared" si="21"/>
        <v>145.45454545454342</v>
      </c>
      <c r="P19" s="97">
        <f t="shared" si="22"/>
        <v>0</v>
      </c>
      <c r="Q19" s="98">
        <f t="shared" si="23"/>
        <v>-21.212121212123236</v>
      </c>
      <c r="R19" s="99">
        <f t="shared" si="24"/>
        <v>0.87272727272726058</v>
      </c>
      <c r="S19" s="735"/>
      <c r="T19" s="19">
        <v>0.54861111111111105</v>
      </c>
      <c r="U19" s="19">
        <v>0.58680555555555602</v>
      </c>
      <c r="V19" s="30">
        <f>(T19-U18)*24*60</f>
        <v>99.999999999999403</v>
      </c>
      <c r="W19" s="149">
        <f t="shared" si="18"/>
        <v>55.000000000000767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5"/>
        <v>-254.54545454547883</v>
      </c>
      <c r="AG19" s="72">
        <f t="shared" si="16"/>
        <v>0.87272727272726058</v>
      </c>
      <c r="AH19" s="726"/>
    </row>
    <row r="20" spans="1:34" ht="15" customHeight="1">
      <c r="A20" s="741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 t="shared" si="18"/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9"/>
      <c r="U21" s="19"/>
      <c r="V21" s="30"/>
      <c r="W21" s="149">
        <f t="shared" si="18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8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5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5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6">AVERAGE(J16:J25)</f>
        <v>12.5</v>
      </c>
      <c r="K26" s="155">
        <f t="shared" si="26"/>
        <v>2026.25</v>
      </c>
      <c r="L26" s="158">
        <f t="shared" si="26"/>
        <v>162.27564102564102</v>
      </c>
      <c r="M26" s="155">
        <f t="shared" si="26"/>
        <v>12.75</v>
      </c>
      <c r="N26" s="155">
        <f t="shared" si="26"/>
        <v>1808.3960687960559</v>
      </c>
      <c r="O26" s="158">
        <f t="shared" si="26"/>
        <v>142.49122769122664</v>
      </c>
      <c r="P26" s="159">
        <f t="shared" ref="P26:P30" si="27">M26-J26</f>
        <v>0.25</v>
      </c>
      <c r="Q26" s="160">
        <f t="shared" ref="Q26:Q30" si="28">O26-L26</f>
        <v>-19.784413334414381</v>
      </c>
      <c r="R26" s="161">
        <f>O26/L26</f>
        <v>0.87808143471583477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29">N26-K26</f>
        <v>-217.85393120394406</v>
      </c>
      <c r="AG26" s="124">
        <f t="shared" ref="AG26:AG31" si="30">N26/K26</f>
        <v>0.89248417954154524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1452</v>
      </c>
      <c r="H27" s="134">
        <f>F27*G27</f>
        <v>83199.599999999991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0" si="31">K27/J27</f>
        <v>88.235294117647058</v>
      </c>
      <c r="M27" s="170">
        <v>13</v>
      </c>
      <c r="N27" s="140">
        <f>G27/W27*60</f>
        <v>936.77419354839196</v>
      </c>
      <c r="O27" s="141">
        <f>N27/M27</f>
        <v>72.05955334987631</v>
      </c>
      <c r="P27" s="142">
        <f t="shared" si="27"/>
        <v>-4</v>
      </c>
      <c r="Q27" s="143">
        <f t="shared" si="28"/>
        <v>-16.175740767770748</v>
      </c>
      <c r="R27" s="144">
        <f>O27/L27</f>
        <v>0.81667493796526491</v>
      </c>
      <c r="S27" s="734">
        <f>R37</f>
        <v>0.75663399298051282</v>
      </c>
      <c r="T27" s="171">
        <v>0.29513888888888901</v>
      </c>
      <c r="U27" s="171">
        <v>0.359722222222222</v>
      </c>
      <c r="V27" s="135"/>
      <c r="W27" s="146">
        <f t="shared" si="18"/>
        <v>92.999999999999517</v>
      </c>
      <c r="X27" s="135"/>
      <c r="Y27" s="300" t="s">
        <v>46</v>
      </c>
      <c r="Z27" s="335"/>
      <c r="AA27" s="169"/>
      <c r="AB27" s="723" t="s">
        <v>201</v>
      </c>
      <c r="AC27" s="723"/>
      <c r="AD27" s="135">
        <v>1</v>
      </c>
      <c r="AE27" s="135">
        <v>1</v>
      </c>
      <c r="AF27" s="310">
        <f t="shared" si="29"/>
        <v>-563.22580645160804</v>
      </c>
      <c r="AG27" s="172">
        <f t="shared" si="30"/>
        <v>0.62451612903226128</v>
      </c>
      <c r="AH27" s="724">
        <f>AG37</f>
        <v>0.67542345228842338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1442</v>
      </c>
      <c r="H28" s="91">
        <f>F28*G28</f>
        <v>79497.460000000006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31"/>
        <v>81.470588235294116</v>
      </c>
      <c r="M28" s="94">
        <v>16</v>
      </c>
      <c r="N28" s="95">
        <f>G28/W28*60</f>
        <v>1291.3432835821113</v>
      </c>
      <c r="O28" s="96">
        <f>N28/M28</f>
        <v>80.708955223881958</v>
      </c>
      <c r="P28" s="97">
        <f t="shared" si="27"/>
        <v>-1</v>
      </c>
      <c r="Q28" s="98">
        <f t="shared" si="28"/>
        <v>-0.76163301141215811</v>
      </c>
      <c r="R28" s="99">
        <f t="shared" ref="R28:R30" si="32">O28/L28</f>
        <v>0.99065143596100602</v>
      </c>
      <c r="S28" s="735"/>
      <c r="T28" s="19">
        <v>0.36666666666666697</v>
      </c>
      <c r="U28" s="19">
        <v>0.41319444444444398</v>
      </c>
      <c r="V28" s="92">
        <f>(T28-U27)*24*60</f>
        <v>10.000000000000764</v>
      </c>
      <c r="W28" s="149">
        <f t="shared" si="18"/>
        <v>66.999999999998877</v>
      </c>
      <c r="X28" s="174"/>
      <c r="Y28" s="174"/>
      <c r="AA28" s="335"/>
      <c r="AB28" s="713" t="s">
        <v>202</v>
      </c>
      <c r="AC28" s="713"/>
      <c r="AD28" s="92">
        <v>1</v>
      </c>
      <c r="AE28" s="92">
        <v>1</v>
      </c>
      <c r="AF28" s="311">
        <f t="shared" si="29"/>
        <v>-93.656716417888674</v>
      </c>
      <c r="AG28" s="99">
        <f t="shared" si="30"/>
        <v>0.93237782208094677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1876</v>
      </c>
      <c r="H29" s="91">
        <f>F29*G29</f>
        <v>92899.520000000004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31"/>
        <v>84.705882352941174</v>
      </c>
      <c r="M29" s="94">
        <v>16</v>
      </c>
      <c r="N29" s="95">
        <f>G29/W29*60</f>
        <v>1160.4123711340228</v>
      </c>
      <c r="O29" s="96">
        <f>N29/M29</f>
        <v>72.525773195876425</v>
      </c>
      <c r="P29" s="97">
        <f t="shared" si="27"/>
        <v>-1</v>
      </c>
      <c r="Q29" s="98">
        <f t="shared" si="28"/>
        <v>-12.180109157064749</v>
      </c>
      <c r="R29" s="99">
        <f t="shared" si="32"/>
        <v>0.85620704467354114</v>
      </c>
      <c r="S29" s="735"/>
      <c r="T29" s="19">
        <v>0.42013888888888901</v>
      </c>
      <c r="U29" s="19">
        <v>0.48749999999999999</v>
      </c>
      <c r="V29" s="92">
        <f>(T29-U28)*24*60</f>
        <v>10.000000000000844</v>
      </c>
      <c r="W29" s="149">
        <f t="shared" si="18"/>
        <v>96.999999999999815</v>
      </c>
      <c r="X29" s="19"/>
      <c r="Y29" s="19"/>
      <c r="Z29" s="615"/>
      <c r="AA29" s="90"/>
      <c r="AB29" s="713"/>
      <c r="AC29" s="713"/>
      <c r="AD29" s="92"/>
      <c r="AE29" s="92"/>
      <c r="AF29" s="312">
        <f t="shared" si="29"/>
        <v>-279.58762886597719</v>
      </c>
      <c r="AG29" s="99">
        <f t="shared" si="30"/>
        <v>0.8058419243986269</v>
      </c>
      <c r="AH29" s="744"/>
    </row>
    <row r="30" spans="1:34" ht="15" customHeight="1">
      <c r="A30" s="732"/>
      <c r="B30" s="75" t="s">
        <v>117</v>
      </c>
      <c r="C30" s="88"/>
      <c r="D30" s="59" t="s">
        <v>133</v>
      </c>
      <c r="E30" s="89"/>
      <c r="F30" s="75">
        <f>VLOOKUP(D30,廠價表!$C$1:$E$41,3,0)</f>
        <v>49.91</v>
      </c>
      <c r="G30" s="90">
        <v>688</v>
      </c>
      <c r="H30" s="91">
        <f>F30*G30</f>
        <v>34338.079999999994</v>
      </c>
      <c r="I30" s="92"/>
      <c r="J30" s="79">
        <f>VLOOKUP(D30,產線配置圖!$A$3:$C$39,2,0)</f>
        <v>17</v>
      </c>
      <c r="K30" s="80">
        <f>VLOOKUP(D30,產線配置圖!$A$3:$C$39,3,0)</f>
        <v>1565</v>
      </c>
      <c r="L30" s="93">
        <f t="shared" si="31"/>
        <v>92.058823529411768</v>
      </c>
      <c r="M30" s="94">
        <v>16</v>
      </c>
      <c r="N30" s="95">
        <f>G30/W30*60</f>
        <v>589.71428571428783</v>
      </c>
      <c r="O30" s="96">
        <f>N30/M30</f>
        <v>36.857142857142989</v>
      </c>
      <c r="P30" s="97">
        <f t="shared" si="27"/>
        <v>-1</v>
      </c>
      <c r="Q30" s="98">
        <f t="shared" si="28"/>
        <v>-55.201680672268779</v>
      </c>
      <c r="R30" s="99">
        <f t="shared" si="32"/>
        <v>0.40036513007759156</v>
      </c>
      <c r="S30" s="735"/>
      <c r="T30" s="19">
        <v>0.54861111111111105</v>
      </c>
      <c r="U30" s="19">
        <v>0.59722222222222199</v>
      </c>
      <c r="V30" s="92">
        <f>(T30-U29)*24*60</f>
        <v>87.999999999999929</v>
      </c>
      <c r="W30" s="149">
        <f t="shared" si="18"/>
        <v>69.999999999999744</v>
      </c>
      <c r="X30" s="174">
        <v>0.49652777777777801</v>
      </c>
      <c r="Y30" s="174">
        <v>0.53819444444444398</v>
      </c>
      <c r="Z30" s="616"/>
      <c r="AA30" s="335"/>
      <c r="AB30" s="713" t="s">
        <v>203</v>
      </c>
      <c r="AC30" s="713"/>
      <c r="AD30" s="92">
        <v>1</v>
      </c>
      <c r="AE30" s="92">
        <v>1</v>
      </c>
      <c r="AF30" s="312">
        <f t="shared" si="29"/>
        <v>-975.28571428571217</v>
      </c>
      <c r="AG30" s="99">
        <f t="shared" si="30"/>
        <v>0.37681424007302738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8"/>
        <v>0</v>
      </c>
      <c r="X31" s="174"/>
      <c r="Y31" s="174"/>
      <c r="AA31" s="335"/>
      <c r="AB31" s="713"/>
      <c r="AC31" s="713"/>
      <c r="AD31" s="92"/>
      <c r="AE31" s="92"/>
      <c r="AF31" s="312">
        <f t="shared" si="29"/>
        <v>0</v>
      </c>
      <c r="AG31" s="99" t="e">
        <f t="shared" si="30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18"/>
        <v>0</v>
      </c>
      <c r="X32" s="174"/>
      <c r="Y32" s="174"/>
      <c r="Z32" s="616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8"/>
        <v>0</v>
      </c>
      <c r="X33" s="174"/>
      <c r="Y33" s="174"/>
      <c r="Z33" s="616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3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4">AVERAGE(J27:J36)</f>
        <v>17</v>
      </c>
      <c r="K37" s="155">
        <f t="shared" si="34"/>
        <v>1472.5</v>
      </c>
      <c r="L37" s="158">
        <f t="shared" si="34"/>
        <v>86.617647058823522</v>
      </c>
      <c r="M37" s="155">
        <f t="shared" si="34"/>
        <v>15.25</v>
      </c>
      <c r="N37" s="155">
        <f t="shared" si="34"/>
        <v>994.56103349470345</v>
      </c>
      <c r="O37" s="158">
        <f t="shared" si="34"/>
        <v>65.537856156694417</v>
      </c>
      <c r="P37" s="159">
        <f>M37-J37</f>
        <v>-1.75</v>
      </c>
      <c r="Q37" s="160">
        <f>N37-K37</f>
        <v>-477.93896650529655</v>
      </c>
      <c r="R37" s="161">
        <f t="shared" ref="R37:R40" si="35">O37/L37</f>
        <v>0.75663399298051282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3">
        <f>SUM(AD27:AD36)</f>
        <v>3</v>
      </c>
      <c r="AE37" s="323">
        <f>SUM(AE27:AE36)</f>
        <v>3</v>
      </c>
      <c r="AF37" s="309">
        <f t="shared" ref="AF37:AF41" si="36">N37-K37</f>
        <v>-477.93896650529655</v>
      </c>
      <c r="AG37" s="124">
        <f t="shared" ref="AG37:AG41" si="37">N37/K37</f>
        <v>0.67542345228842338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1059</v>
      </c>
      <c r="H38" s="134">
        <f>F38*G38</f>
        <v>59759.37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8">K38/J38</f>
        <v>87.875</v>
      </c>
      <c r="M38" s="190">
        <v>13</v>
      </c>
      <c r="N38" s="140">
        <f>G38/W38*60</f>
        <v>977.53846153845893</v>
      </c>
      <c r="O38" s="141">
        <f>N38/M38</f>
        <v>75.195266272189144</v>
      </c>
      <c r="P38" s="142">
        <f t="shared" ref="P38:P40" si="39">M38-J38</f>
        <v>-3</v>
      </c>
      <c r="Q38" s="143">
        <f t="shared" ref="Q38:Q40" si="40">O38-L38</f>
        <v>-12.679733727810856</v>
      </c>
      <c r="R38" s="144">
        <f>O38/L38</f>
        <v>0.85570715530229469</v>
      </c>
      <c r="S38" s="756">
        <f>R48</f>
        <v>0.84157042863830533</v>
      </c>
      <c r="T38" s="191">
        <v>0.33333333333333298</v>
      </c>
      <c r="U38" s="191">
        <v>0.37847222222222199</v>
      </c>
      <c r="V38" s="192"/>
      <c r="W38" s="193">
        <f t="shared" si="18"/>
        <v>65.000000000000171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6"/>
        <v>-428.46153846154107</v>
      </c>
      <c r="AG38" s="195">
        <f t="shared" si="37"/>
        <v>0.6952620636831145</v>
      </c>
      <c r="AH38" s="746">
        <f>AG48</f>
        <v>0.77763298895935695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1405</v>
      </c>
      <c r="H39" s="91">
        <f>F39*G39</f>
        <v>70123.549999999988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8"/>
        <v>92.058823529411768</v>
      </c>
      <c r="M39" s="201">
        <v>15</v>
      </c>
      <c r="N39" s="202">
        <f>G39/W39*60</f>
        <v>1124.0000000000077</v>
      </c>
      <c r="O39" s="203">
        <f t="shared" ref="O39:O40" si="41">N39/M39</f>
        <v>74.933333333333849</v>
      </c>
      <c r="P39" s="97">
        <f t="shared" si="39"/>
        <v>-2</v>
      </c>
      <c r="Q39" s="98">
        <f t="shared" si="40"/>
        <v>-17.125490196077919</v>
      </c>
      <c r="R39" s="99">
        <f t="shared" si="35"/>
        <v>0.8139723109691217</v>
      </c>
      <c r="S39" s="757"/>
      <c r="T39" s="20">
        <v>0.38541666666666702</v>
      </c>
      <c r="U39" s="20">
        <v>0.4375</v>
      </c>
      <c r="V39" s="92">
        <f>(T39-U38)*24*60</f>
        <v>10.000000000000844</v>
      </c>
      <c r="W39" s="205">
        <f t="shared" si="18"/>
        <v>74.999999999999488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6"/>
        <v>-440.99999999999227</v>
      </c>
      <c r="AG39" s="206">
        <f t="shared" si="37"/>
        <v>0.71821086261981326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1881</v>
      </c>
      <c r="H40" s="91">
        <f>F40*G40</f>
        <v>83328.299999999988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8"/>
        <v>75.78947368421052</v>
      </c>
      <c r="M40" s="201">
        <v>19</v>
      </c>
      <c r="N40" s="202">
        <f>G40/W40*60</f>
        <v>1187.9999999999861</v>
      </c>
      <c r="O40" s="203">
        <f t="shared" si="41"/>
        <v>62.526315789472953</v>
      </c>
      <c r="P40" s="97">
        <f t="shared" si="39"/>
        <v>0</v>
      </c>
      <c r="Q40" s="98">
        <f t="shared" si="40"/>
        <v>-13.263157894737567</v>
      </c>
      <c r="R40" s="99">
        <f t="shared" si="35"/>
        <v>0.82499999999999041</v>
      </c>
      <c r="S40" s="719"/>
      <c r="T40" s="20">
        <v>0.44444444444444398</v>
      </c>
      <c r="U40" s="20">
        <v>0.51041666666666696</v>
      </c>
      <c r="V40" s="92">
        <f>(T40-U39)*24*60</f>
        <v>9.999999999999325</v>
      </c>
      <c r="W40" s="205">
        <f t="shared" si="18"/>
        <v>95.000000000001108</v>
      </c>
      <c r="X40" s="208">
        <v>0.52083333333333304</v>
      </c>
      <c r="Y40" s="209">
        <v>0.5625</v>
      </c>
      <c r="Z40" s="337"/>
      <c r="AA40" s="337"/>
      <c r="AB40" s="713"/>
      <c r="AC40" s="713"/>
      <c r="AD40" s="92"/>
      <c r="AE40" s="92"/>
      <c r="AF40" s="314">
        <f t="shared" si="36"/>
        <v>-252.00000000001387</v>
      </c>
      <c r="AG40" s="206">
        <f t="shared" si="37"/>
        <v>0.82499999999999041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3214</v>
      </c>
      <c r="H41" s="91">
        <f>F41*G41</f>
        <v>142380.19999999998</v>
      </c>
      <c r="I41" s="200"/>
      <c r="J41" s="148">
        <f>VLOOKUP(D41,產線配置圖!$A$3:$C$39,2,0)</f>
        <v>19</v>
      </c>
      <c r="K41" s="95">
        <f>VLOOKUP(D41,產線配置圖!$A$3:$C$39,3,0)</f>
        <v>1440</v>
      </c>
      <c r="L41" s="96">
        <f>K41/J41</f>
        <v>75.78947368421052</v>
      </c>
      <c r="M41" s="201">
        <v>19</v>
      </c>
      <c r="N41" s="202">
        <f>G41/W41*60</f>
        <v>1260.3921568627445</v>
      </c>
      <c r="O41" s="203">
        <f>N41/M41</f>
        <v>66.336429308565499</v>
      </c>
      <c r="P41" s="97">
        <f>M41-J41</f>
        <v>0</v>
      </c>
      <c r="Q41" s="98">
        <f>O41-L41</f>
        <v>-9.4530443756450211</v>
      </c>
      <c r="R41" s="99">
        <f>O41/L41</f>
        <v>0.87527233115468372</v>
      </c>
      <c r="S41" s="719"/>
      <c r="T41" s="20">
        <v>0.57430555555555596</v>
      </c>
      <c r="U41" s="210">
        <v>0.68055555555555602</v>
      </c>
      <c r="V41" s="92">
        <f>(T41-U40)*24*60</f>
        <v>92.000000000000156</v>
      </c>
      <c r="W41" s="205">
        <f t="shared" si="18"/>
        <v>153.00000000000009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6"/>
        <v>-179.60784313725549</v>
      </c>
      <c r="AG41" s="206">
        <f t="shared" si="37"/>
        <v>0.87527233115468372</v>
      </c>
      <c r="AH41" s="747"/>
    </row>
    <row r="42" spans="1:34" ht="15" customHeight="1">
      <c r="A42" s="754"/>
      <c r="B42" s="75"/>
      <c r="C42" s="207"/>
      <c r="D42" s="198"/>
      <c r="E42" s="178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2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2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2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3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2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3">AVERAGE(J38:J47)</f>
        <v>17.75</v>
      </c>
      <c r="K48" s="155">
        <f t="shared" si="43"/>
        <v>1462.75</v>
      </c>
      <c r="L48" s="158">
        <f t="shared" si="43"/>
        <v>82.878192724458202</v>
      </c>
      <c r="M48" s="155">
        <f t="shared" si="43"/>
        <v>16.5</v>
      </c>
      <c r="N48" s="155">
        <f t="shared" si="43"/>
        <v>1137.4826546002994</v>
      </c>
      <c r="O48" s="158">
        <f t="shared" si="43"/>
        <v>69.74783617589037</v>
      </c>
      <c r="P48" s="221">
        <f>M48-J48</f>
        <v>-1.25</v>
      </c>
      <c r="Q48" s="222">
        <f>N48-K48</f>
        <v>-325.26734539970062</v>
      </c>
      <c r="R48" s="223">
        <f>O48/L48</f>
        <v>0.84157042863830533</v>
      </c>
      <c r="S48" s="722"/>
      <c r="T48" s="224"/>
      <c r="U48" s="224"/>
      <c r="V48" s="225"/>
      <c r="W48" s="226">
        <f t="shared" si="42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4">N48-K48</f>
        <v>-325.26734539970062</v>
      </c>
      <c r="AG48" s="162">
        <f t="shared" ref="AG48:AG53" si="45">N48/K48</f>
        <v>0.77763298895935695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1214</v>
      </c>
      <c r="H49" s="134">
        <f>F49*G49</f>
        <v>69040.179999999993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>K49/J49</f>
        <v>86.944444444444443</v>
      </c>
      <c r="M49" s="170">
        <v>18</v>
      </c>
      <c r="N49" s="140">
        <f>G49/W49*60</f>
        <v>1549.7872340425481</v>
      </c>
      <c r="O49" s="141">
        <f>N49/M49</f>
        <v>86.099290780141558</v>
      </c>
      <c r="P49" s="229">
        <f>M49-J49</f>
        <v>0</v>
      </c>
      <c r="Q49" s="230">
        <f>O49-L49</f>
        <v>-0.84515366430288452</v>
      </c>
      <c r="R49" s="52">
        <f>O49/L49</f>
        <v>0.99027938277479111</v>
      </c>
      <c r="S49" s="718">
        <f>R58</f>
        <v>0.93401567347572922</v>
      </c>
      <c r="T49" s="191">
        <v>0.29027777777777802</v>
      </c>
      <c r="U49" s="191">
        <v>0.32291666666666702</v>
      </c>
      <c r="V49" s="55"/>
      <c r="W49" s="193">
        <f t="shared" si="18"/>
        <v>47.000000000000156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4"/>
        <v>-15.212765957451893</v>
      </c>
      <c r="AG49" s="52">
        <f t="shared" si="45"/>
        <v>0.99027938277479111</v>
      </c>
      <c r="AH49" s="724">
        <f>AG58</f>
        <v>0.96711618737991423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2099</v>
      </c>
      <c r="H50" s="231">
        <f>F50*G50</f>
        <v>100143.29000000001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ref="L50:L51" si="46">K50/J50</f>
        <v>102.85714285714286</v>
      </c>
      <c r="M50" s="233">
        <v>16</v>
      </c>
      <c r="N50" s="234">
        <f>G50/W50*60</f>
        <v>1431.1363636363662</v>
      </c>
      <c r="O50" s="235">
        <f>N50/M50</f>
        <v>89.44602272727289</v>
      </c>
      <c r="P50" s="74">
        <f>M50-J50</f>
        <v>2</v>
      </c>
      <c r="Q50" s="83">
        <f>O50-L50</f>
        <v>-13.411120129869971</v>
      </c>
      <c r="R50" s="72">
        <f>O50/L50</f>
        <v>0.86961410984848642</v>
      </c>
      <c r="S50" s="719"/>
      <c r="T50" s="21">
        <v>0.329166666666667</v>
      </c>
      <c r="U50" s="21">
        <v>0.390277777777778</v>
      </c>
      <c r="V50" s="30">
        <f t="shared" ref="V50:V52" si="47">(T50-U49)*24*60</f>
        <v>8.999999999999968</v>
      </c>
      <c r="W50" s="236">
        <f t="shared" si="18"/>
        <v>87.999999999999844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4"/>
        <v>-8.8636363636337592</v>
      </c>
      <c r="AG50" s="72">
        <f t="shared" si="45"/>
        <v>0.99384469696969879</v>
      </c>
      <c r="AH50" s="725"/>
    </row>
    <row r="51" spans="1:34" ht="15" customHeight="1">
      <c r="A51" s="751"/>
      <c r="B51" s="75" t="s">
        <v>81</v>
      </c>
      <c r="C51" s="86"/>
      <c r="D51" s="59" t="s">
        <v>134</v>
      </c>
      <c r="E51" s="87"/>
      <c r="F51" s="75">
        <f>VLOOKUP(D51,廠價表!$C$1:$E$41,3,0)</f>
        <v>49.97</v>
      </c>
      <c r="G51" s="202">
        <v>2561</v>
      </c>
      <c r="H51" s="231">
        <f>F51*G51</f>
        <v>127973.17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6"/>
        <v>88.888888888888886</v>
      </c>
      <c r="M51" s="233">
        <v>18</v>
      </c>
      <c r="N51" s="234">
        <f>G51/W51*60</f>
        <v>1463.4285714285656</v>
      </c>
      <c r="O51" s="235">
        <f>N51/M51</f>
        <v>81.301587301586977</v>
      </c>
      <c r="P51" s="74">
        <f>M51-J51</f>
        <v>0</v>
      </c>
      <c r="Q51" s="83">
        <f>O51-L51</f>
        <v>-7.5873015873019085</v>
      </c>
      <c r="R51" s="72">
        <f>O51/L51</f>
        <v>0.91464285714285354</v>
      </c>
      <c r="S51" s="719"/>
      <c r="T51" s="21">
        <v>0.39861111111111103</v>
      </c>
      <c r="U51" s="19">
        <v>0.47152777777777799</v>
      </c>
      <c r="V51" s="30">
        <f t="shared" si="47"/>
        <v>11.999999999999558</v>
      </c>
      <c r="W51" s="236">
        <f t="shared" si="18"/>
        <v>105.00000000000043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4"/>
        <v>-136.57142857143435</v>
      </c>
      <c r="AG51" s="72">
        <f t="shared" si="45"/>
        <v>0.91464285714285354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1375</v>
      </c>
      <c r="H52" s="231">
        <f>F52*G52</f>
        <v>68708.75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1556.6037735848877</v>
      </c>
      <c r="O52" s="235">
        <f>N52/M52</f>
        <v>86.47798742138265</v>
      </c>
      <c r="P52" s="74">
        <f>M52-J52</f>
        <v>0</v>
      </c>
      <c r="Q52" s="83">
        <f>O52-L52</f>
        <v>-2.4109014675062355</v>
      </c>
      <c r="R52" s="72">
        <f>O52/L52</f>
        <v>0.9728773584905549</v>
      </c>
      <c r="S52" s="719"/>
      <c r="T52" s="21">
        <v>0.53125</v>
      </c>
      <c r="U52" s="21">
        <v>0.56805555555555598</v>
      </c>
      <c r="V52" s="30">
        <f t="shared" si="47"/>
        <v>85.999999999999687</v>
      </c>
      <c r="W52" s="236">
        <f t="shared" si="18"/>
        <v>53.000000000000611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4"/>
        <v>-43.396226415112324</v>
      </c>
      <c r="AG52" s="72">
        <f t="shared" si="45"/>
        <v>0.97287735849055479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4"/>
        <v>0</v>
      </c>
      <c r="AG53" s="72" t="e">
        <f t="shared" si="45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8">AVERAGE(J49:J57)</f>
        <v>17</v>
      </c>
      <c r="K58" s="120">
        <f t="shared" si="48"/>
        <v>1551.25</v>
      </c>
      <c r="L58" s="117">
        <f t="shared" si="48"/>
        <v>91.894841269841265</v>
      </c>
      <c r="M58" s="120">
        <f t="shared" si="48"/>
        <v>17.5</v>
      </c>
      <c r="N58" s="120">
        <f t="shared" si="48"/>
        <v>1500.238985673092</v>
      </c>
      <c r="O58" s="117">
        <f t="shared" si="48"/>
        <v>85.831222057596023</v>
      </c>
      <c r="P58" s="121">
        <f>M58-J58</f>
        <v>0.5</v>
      </c>
      <c r="Q58" s="122">
        <f>N58-K58</f>
        <v>-51.011014326908025</v>
      </c>
      <c r="R58" s="123">
        <f t="shared" ref="R58:R59" si="49">O58/L58</f>
        <v>0.93401567347572922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0">N58-K58</f>
        <v>-51.011014326908025</v>
      </c>
      <c r="AG58" s="124">
        <f t="shared" ref="AG58:AG61" si="51">N58/K58</f>
        <v>0.96711618737991423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3977</v>
      </c>
      <c r="H59" s="243">
        <f>F59*G59</f>
        <v>107339.23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>K59/J59</f>
        <v>120.38461538461539</v>
      </c>
      <c r="M59" s="244">
        <v>13</v>
      </c>
      <c r="N59" s="137">
        <f>G59/W59*60</f>
        <v>1559.6078431372555</v>
      </c>
      <c r="O59" s="138">
        <f>N59/M59</f>
        <v>119.96983408748119</v>
      </c>
      <c r="P59" s="56">
        <f>M59-J59</f>
        <v>0</v>
      </c>
      <c r="Q59" s="230">
        <f>O59-L59</f>
        <v>-0.41478129713419776</v>
      </c>
      <c r="R59" s="52">
        <f t="shared" si="49"/>
        <v>0.99655453235607372</v>
      </c>
      <c r="S59" s="718">
        <f>R69</f>
        <v>0.94567994759993756</v>
      </c>
      <c r="T59" s="245">
        <v>0.29027777777777802</v>
      </c>
      <c r="U59" s="245">
        <v>0.39652777777777798</v>
      </c>
      <c r="V59" s="55"/>
      <c r="W59" s="54">
        <f t="shared" si="18"/>
        <v>152.99999999999994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0"/>
        <v>-5.392156862744514</v>
      </c>
      <c r="AG59" s="246">
        <f t="shared" si="51"/>
        <v>0.99655453235607383</v>
      </c>
      <c r="AH59" s="724">
        <f>AG69</f>
        <v>0.94646263351926274</v>
      </c>
    </row>
    <row r="60" spans="1:34" ht="15" customHeight="1">
      <c r="A60" s="765"/>
      <c r="B60" s="250" t="s">
        <v>135</v>
      </c>
      <c r="C60" s="251"/>
      <c r="D60" s="103" t="s">
        <v>138</v>
      </c>
      <c r="E60" s="253"/>
      <c r="F60" s="250">
        <f>VLOOKUP(D60,廠價表!$C$1:$E$41,3,0)</f>
        <v>28.26</v>
      </c>
      <c r="G60" s="38">
        <v>1435</v>
      </c>
      <c r="H60" s="254">
        <f>F60*G60</f>
        <v>40553.100000000006</v>
      </c>
      <c r="I60" s="182"/>
      <c r="J60" s="106">
        <f>VLOOKUP(D60,產線配置圖!$A$3:$C$39,2,0)</f>
        <v>12</v>
      </c>
      <c r="K60" s="107">
        <f>VLOOKUP(D60,產線配置圖!$A$3:$C$39,3,0)</f>
        <v>1565</v>
      </c>
      <c r="L60" s="238">
        <f t="shared" ref="L60:L61" si="52">K60/J60</f>
        <v>130.41666666666666</v>
      </c>
      <c r="M60" s="108">
        <v>12</v>
      </c>
      <c r="N60" s="107">
        <f t="shared" ref="N60:N61" si="53">G60/W60*60</f>
        <v>1537.4999999999945</v>
      </c>
      <c r="O60" s="238">
        <f t="shared" ref="O60:O61" si="54">N60/M60</f>
        <v>128.12499999999955</v>
      </c>
      <c r="P60" s="111">
        <f t="shared" ref="P60:P61" si="55">M60-J60</f>
        <v>0</v>
      </c>
      <c r="Q60" s="255">
        <f t="shared" ref="Q60:Q61" si="56">O60-L60</f>
        <v>-2.2916666666671119</v>
      </c>
      <c r="R60" s="85">
        <f>O60/L60</f>
        <v>0.98242811501597105</v>
      </c>
      <c r="S60" s="768"/>
      <c r="T60" s="22">
        <v>0.406944444444444</v>
      </c>
      <c r="U60" s="22">
        <v>0.44583333333333303</v>
      </c>
      <c r="V60" s="30">
        <f t="shared" ref="V60:V63" si="57">(T60-U59)*24*60</f>
        <v>14.999999999999067</v>
      </c>
      <c r="W60" s="248">
        <f t="shared" si="18"/>
        <v>56.000000000000199</v>
      </c>
      <c r="X60" s="232"/>
      <c r="Y60" s="177"/>
      <c r="Z60" s="90"/>
      <c r="AA60" s="90"/>
      <c r="AB60" s="713"/>
      <c r="AC60" s="713"/>
      <c r="AD60" s="92"/>
      <c r="AE60" s="92"/>
      <c r="AF60" s="316">
        <f t="shared" si="50"/>
        <v>-27.500000000005457</v>
      </c>
      <c r="AG60" s="249">
        <f t="shared" si="51"/>
        <v>0.98242811501597094</v>
      </c>
      <c r="AH60" s="759"/>
    </row>
    <row r="61" spans="1:34" ht="15" customHeight="1">
      <c r="A61" s="766"/>
      <c r="B61" s="250" t="s">
        <v>135</v>
      </c>
      <c r="C61" s="251"/>
      <c r="D61" s="198" t="s">
        <v>196</v>
      </c>
      <c r="E61" s="253"/>
      <c r="F61" s="250">
        <f>VLOOKUP(D61,廠價表!$C$1:$E$41,3,0)</f>
        <v>28.26</v>
      </c>
      <c r="G61" s="38">
        <v>1587</v>
      </c>
      <c r="H61" s="254">
        <f>F61*G61</f>
        <v>44848.62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2"/>
        <v>130.41666666666666</v>
      </c>
      <c r="M61" s="108">
        <v>12</v>
      </c>
      <c r="N61" s="107">
        <f t="shared" si="53"/>
        <v>1269.6000000000088</v>
      </c>
      <c r="O61" s="238">
        <f t="shared" si="54"/>
        <v>105.80000000000074</v>
      </c>
      <c r="P61" s="111">
        <f t="shared" si="55"/>
        <v>0</v>
      </c>
      <c r="Q61" s="255">
        <f t="shared" si="56"/>
        <v>-24.616666666665921</v>
      </c>
      <c r="R61" s="85">
        <f>O61/L61</f>
        <v>0.81124600638978206</v>
      </c>
      <c r="S61" s="719"/>
      <c r="T61" s="22">
        <v>0.45624999999999999</v>
      </c>
      <c r="U61" s="22">
        <v>0.50833333333333297</v>
      </c>
      <c r="V61" s="30">
        <f t="shared" si="57"/>
        <v>15.000000000000426</v>
      </c>
      <c r="W61" s="256">
        <f t="shared" si="18"/>
        <v>74.999999999999488</v>
      </c>
      <c r="X61" s="22"/>
      <c r="Y61" s="84"/>
      <c r="Z61" s="90"/>
      <c r="AA61" s="90"/>
      <c r="AB61" s="728" t="s">
        <v>204</v>
      </c>
      <c r="AC61" s="713"/>
      <c r="AD61" s="92"/>
      <c r="AE61" s="92"/>
      <c r="AF61" s="317">
        <f t="shared" si="50"/>
        <v>-295.39999999999122</v>
      </c>
      <c r="AG61" s="247">
        <f t="shared" si="51"/>
        <v>0.81124600638978195</v>
      </c>
      <c r="AH61" s="725"/>
    </row>
    <row r="62" spans="1:34" ht="15" customHeight="1">
      <c r="A62" s="766"/>
      <c r="B62" s="250" t="s">
        <v>135</v>
      </c>
      <c r="C62" s="251"/>
      <c r="D62" s="198" t="s">
        <v>196</v>
      </c>
      <c r="E62" s="253"/>
      <c r="F62" s="250">
        <f>VLOOKUP(D62,廠價表!$C$1:$E$41,3,0)</f>
        <v>28.26</v>
      </c>
      <c r="G62" s="38">
        <v>2509</v>
      </c>
      <c r="H62" s="254">
        <f>F62*G62</f>
        <v>70904.340000000011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>K62/J62</f>
        <v>130.41666666666666</v>
      </c>
      <c r="M62" s="108">
        <v>12</v>
      </c>
      <c r="N62" s="107">
        <f>G62/W62*60</f>
        <v>1505.4000000000103</v>
      </c>
      <c r="O62" s="238">
        <f>N62/M62</f>
        <v>125.45000000000086</v>
      </c>
      <c r="P62" s="111">
        <f>M62-J62</f>
        <v>0</v>
      </c>
      <c r="Q62" s="255">
        <f>O62-L62</f>
        <v>-4.9666666666658017</v>
      </c>
      <c r="R62" s="85">
        <f>O62/L62</f>
        <v>0.96191693290735492</v>
      </c>
      <c r="S62" s="719"/>
      <c r="T62" s="22">
        <v>0.56041666666666701</v>
      </c>
      <c r="U62" s="22">
        <v>0.62986111111111098</v>
      </c>
      <c r="V62" s="30">
        <f t="shared" si="57"/>
        <v>75.000000000001009</v>
      </c>
      <c r="W62" s="248">
        <f t="shared" si="18"/>
        <v>99.999999999999318</v>
      </c>
      <c r="X62" s="22">
        <v>0.51736111111111105</v>
      </c>
      <c r="Y62" s="84">
        <v>0.55902777777777801</v>
      </c>
      <c r="Z62" s="90"/>
      <c r="AA62" s="90"/>
      <c r="AB62" s="842" t="s">
        <v>205</v>
      </c>
      <c r="AC62" s="843"/>
      <c r="AD62" s="92">
        <v>1</v>
      </c>
      <c r="AE62" s="92">
        <v>1</v>
      </c>
      <c r="AF62" s="317">
        <f>N62-K62</f>
        <v>-59.599999999989677</v>
      </c>
      <c r="AG62" s="247">
        <f>N62/K62</f>
        <v>0.9619169329073548</v>
      </c>
      <c r="AH62" s="725"/>
    </row>
    <row r="63" spans="1:34" ht="15" customHeight="1">
      <c r="A63" s="766"/>
      <c r="B63" s="250" t="s">
        <v>135</v>
      </c>
      <c r="C63" s="251"/>
      <c r="D63" s="198" t="s">
        <v>196</v>
      </c>
      <c r="E63" s="253"/>
      <c r="F63" s="250">
        <f>VLOOKUP(D63,廠價表!$C$1:$E$41,3,0)</f>
        <v>28.26</v>
      </c>
      <c r="G63" s="38">
        <v>1355</v>
      </c>
      <c r="H63" s="254">
        <f>F63*G63</f>
        <v>38292.300000000003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>K63/J63</f>
        <v>130.41666666666666</v>
      </c>
      <c r="M63" s="108">
        <v>12</v>
      </c>
      <c r="N63" s="107">
        <f>G63/W63*60</f>
        <v>1533.9622641509627</v>
      </c>
      <c r="O63" s="238">
        <f>N63/M63</f>
        <v>127.83018867924689</v>
      </c>
      <c r="P63" s="111">
        <f>M63-J63</f>
        <v>0</v>
      </c>
      <c r="Q63" s="255">
        <f>O63-L63</f>
        <v>-2.5864779874197694</v>
      </c>
      <c r="R63" s="85">
        <f>O63/L63</f>
        <v>0.98016758092713274</v>
      </c>
      <c r="S63" s="719"/>
      <c r="T63" s="22">
        <v>0.63680555555555596</v>
      </c>
      <c r="U63" s="22">
        <v>0.67361111111111105</v>
      </c>
      <c r="V63" s="30">
        <f t="shared" si="57"/>
        <v>10.000000000000764</v>
      </c>
      <c r="W63" s="248">
        <f t="shared" si="18"/>
        <v>52.999999999999332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8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2"/>
      <c r="U65" s="22"/>
      <c r="V65" s="30"/>
      <c r="W65" s="73">
        <f t="shared" si="18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8">AVERAGE(J59:J68)</f>
        <v>12.2</v>
      </c>
      <c r="K69" s="240">
        <f t="shared" si="58"/>
        <v>1565</v>
      </c>
      <c r="L69" s="268">
        <f t="shared" si="58"/>
        <v>128.41025641025641</v>
      </c>
      <c r="M69" s="240">
        <f t="shared" si="58"/>
        <v>12.2</v>
      </c>
      <c r="N69" s="240">
        <f t="shared" si="58"/>
        <v>1481.2140214576461</v>
      </c>
      <c r="O69" s="268">
        <f t="shared" si="58"/>
        <v>121.43500455334583</v>
      </c>
      <c r="P69" s="269">
        <f>M69-J69</f>
        <v>0</v>
      </c>
      <c r="Q69" s="222">
        <f>N69-K69</f>
        <v>-83.78597854235386</v>
      </c>
      <c r="R69" s="123">
        <f>O69/L69</f>
        <v>0.94567994759993756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1</v>
      </c>
      <c r="AE69" s="323">
        <f>SUM(AE59:AE68)</f>
        <v>1</v>
      </c>
      <c r="AF69" s="309">
        <f>N69-K69</f>
        <v>-83.78597854235386</v>
      </c>
      <c r="AG69" s="124">
        <f>N69/K69</f>
        <v>0.94646263351926274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1766</v>
      </c>
      <c r="H70" s="243">
        <f>F70*G70</f>
        <v>89483.22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921.39130434782737</v>
      </c>
      <c r="O70" s="138">
        <f>N70/M70</f>
        <v>92.139130434782743</v>
      </c>
      <c r="P70" s="56">
        <f>M70-J70</f>
        <v>0</v>
      </c>
      <c r="Q70" s="230">
        <f>O70-L70</f>
        <v>-20.360869565217257</v>
      </c>
      <c r="R70" s="52">
        <f>O70/L70</f>
        <v>0.81901449275362437</v>
      </c>
      <c r="S70" s="718">
        <f>R79</f>
        <v>0.78305432780176587</v>
      </c>
      <c r="T70" s="245">
        <v>0.34375</v>
      </c>
      <c r="U70" s="245">
        <v>0.42361111111111099</v>
      </c>
      <c r="V70" s="55"/>
      <c r="W70" s="54">
        <f t="shared" si="18"/>
        <v>114.99999999999983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-203.60869565217263</v>
      </c>
      <c r="AG70" s="246">
        <f>N70/K70</f>
        <v>0.81901449275362437</v>
      </c>
      <c r="AH70" s="724">
        <f>AG79</f>
        <v>0.72951653736883604</v>
      </c>
    </row>
    <row r="71" spans="1:36" ht="15" customHeight="1">
      <c r="A71" s="761"/>
      <c r="B71" s="75" t="s">
        <v>135</v>
      </c>
      <c r="C71" s="76"/>
      <c r="D71" s="59" t="s">
        <v>137</v>
      </c>
      <c r="E71" s="77"/>
      <c r="F71" s="75">
        <f>VLOOKUP(D71,廠價表!$C$1:$E$41,3,0)</f>
        <v>28.47</v>
      </c>
      <c r="G71" s="30">
        <v>432</v>
      </c>
      <c r="H71" s="78">
        <f>F71*G71</f>
        <v>12299.039999999999</v>
      </c>
      <c r="I71" s="232"/>
      <c r="J71" s="79">
        <f>VLOOKUP(D71,產線配置圖!$A$3:$C$39,2,0)</f>
        <v>12</v>
      </c>
      <c r="K71" s="80">
        <f>VLOOKUP(D71,產線配置圖!$A$3:$C$39,3,0)</f>
        <v>1565</v>
      </c>
      <c r="L71" s="81">
        <f>K71/J71</f>
        <v>130.41666666666666</v>
      </c>
      <c r="M71" s="82">
        <v>10</v>
      </c>
      <c r="N71" s="80">
        <f>G71/W71*60</f>
        <v>740.57142857144652</v>
      </c>
      <c r="O71" s="81">
        <f>N71/M71</f>
        <v>74.057142857144655</v>
      </c>
      <c r="P71" s="74">
        <f>M71-J71</f>
        <v>-2</v>
      </c>
      <c r="Q71" s="83">
        <f>O71-L71</f>
        <v>-56.359523809522003</v>
      </c>
      <c r="R71" s="72">
        <f>O71/L71</f>
        <v>0.56785029666820186</v>
      </c>
      <c r="S71" s="719"/>
      <c r="T71" s="22">
        <v>0.43402777777777801</v>
      </c>
      <c r="U71" s="22">
        <v>0.45833333333333298</v>
      </c>
      <c r="V71" s="30">
        <f t="shared" ref="V71:V72" si="59">(T71-U70)*24*60</f>
        <v>15.000000000000506</v>
      </c>
      <c r="W71" s="73">
        <f t="shared" si="18"/>
        <v>34.999999999999154</v>
      </c>
      <c r="X71" s="271">
        <v>0.47222222222222199</v>
      </c>
      <c r="Y71" s="293">
        <v>0.51388888888888895</v>
      </c>
      <c r="Z71" s="90"/>
      <c r="AA71" s="90"/>
      <c r="AB71" s="749" t="s">
        <v>143</v>
      </c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 t="s">
        <v>81</v>
      </c>
      <c r="C72" s="76"/>
      <c r="D72" s="59" t="s">
        <v>139</v>
      </c>
      <c r="E72" s="77"/>
      <c r="F72" s="75">
        <f>VLOOKUP(D72,廠價表!$C$1:$E$41,3,0)</f>
        <v>50.67</v>
      </c>
      <c r="G72" s="202">
        <v>654</v>
      </c>
      <c r="H72" s="231">
        <f>F72*G72</f>
        <v>33138.18</v>
      </c>
      <c r="I72" s="232"/>
      <c r="J72" s="79">
        <f>VLOOKUP(D72,產線配置圖!$A$3:$C$39,2,0)</f>
        <v>10</v>
      </c>
      <c r="K72" s="80">
        <f>VLOOKUP(D72,產線配置圖!$A$3:$C$39,3,0)</f>
        <v>1125</v>
      </c>
      <c r="L72" s="81">
        <f>K72/J72</f>
        <v>112.5</v>
      </c>
      <c r="M72" s="82">
        <v>10</v>
      </c>
      <c r="N72" s="80">
        <f>G72/W72*60</f>
        <v>1121.1428571428355</v>
      </c>
      <c r="O72" s="81">
        <f>N72/M72</f>
        <v>112.11428571428355</v>
      </c>
      <c r="P72" s="74">
        <f>M72-J72</f>
        <v>0</v>
      </c>
      <c r="Q72" s="83">
        <f>O72-L72</f>
        <v>-0.38571428571644617</v>
      </c>
      <c r="R72" s="72">
        <f>O72/L72</f>
        <v>0.99657142857140935</v>
      </c>
      <c r="S72" s="719"/>
      <c r="T72" s="22">
        <v>0.56944444444444398</v>
      </c>
      <c r="U72" s="22">
        <v>0.59375</v>
      </c>
      <c r="V72" s="30">
        <f t="shared" si="59"/>
        <v>159.99999999999983</v>
      </c>
      <c r="W72" s="73">
        <f t="shared" si="18"/>
        <v>35.000000000000675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8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8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8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1">AVERAGE(J70:J78)</f>
        <v>10.666666666666666</v>
      </c>
      <c r="K79" s="240">
        <f t="shared" si="61"/>
        <v>1271.6666666666667</v>
      </c>
      <c r="L79" s="268">
        <f t="shared" si="61"/>
        <v>118.47222222222221</v>
      </c>
      <c r="M79" s="240">
        <f t="shared" si="61"/>
        <v>10</v>
      </c>
      <c r="N79" s="240">
        <f t="shared" si="61"/>
        <v>927.7018633540365</v>
      </c>
      <c r="O79" s="268">
        <f t="shared" si="61"/>
        <v>92.77018633540365</v>
      </c>
      <c r="P79" s="269">
        <f>M79-J79</f>
        <v>-0.66666666666666607</v>
      </c>
      <c r="Q79" s="222">
        <f>N79-K79</f>
        <v>-343.96480331263024</v>
      </c>
      <c r="R79" s="223">
        <f>O79/L79</f>
        <v>0.78305432780176587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-343.96480331263024</v>
      </c>
      <c r="AG79" s="124">
        <f>N79/K79</f>
        <v>0.72951653736883604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16:A26"/>
    <mergeCell ref="S16:S26"/>
    <mergeCell ref="AB16:AC16"/>
    <mergeCell ref="D26:E26"/>
    <mergeCell ref="AB26:AC26"/>
    <mergeCell ref="G3:G4"/>
    <mergeCell ref="J1:L2"/>
    <mergeCell ref="M1:O2"/>
    <mergeCell ref="N3:N4"/>
    <mergeCell ref="O3:O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Q3:Q4"/>
    <mergeCell ref="R3:R4"/>
    <mergeCell ref="S3:S4"/>
    <mergeCell ref="AB25:AC25"/>
    <mergeCell ref="AH49:AH58"/>
    <mergeCell ref="AB50:AC50"/>
    <mergeCell ref="AB51:AC51"/>
    <mergeCell ref="AB52:AC52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P1:S2"/>
    <mergeCell ref="T1:Y2"/>
    <mergeCell ref="AB1:AC2"/>
    <mergeCell ref="AF1:AH2"/>
    <mergeCell ref="AB62:AC62"/>
    <mergeCell ref="AD3:AE3"/>
    <mergeCell ref="AF3:AF4"/>
    <mergeCell ref="AG3:AG4"/>
    <mergeCell ref="AH3:AH4"/>
    <mergeCell ref="T3:U3"/>
    <mergeCell ref="V3:V4"/>
    <mergeCell ref="W3:W4"/>
    <mergeCell ref="X3:Y3"/>
    <mergeCell ref="Z3:AA3"/>
    <mergeCell ref="AB3:AC4"/>
    <mergeCell ref="P3:P4"/>
  </mergeCells>
  <phoneticPr fontId="0" type="noConversion"/>
  <conditionalFormatting sqref="P5:P79">
    <cfRule type="cellIs" dxfId="156" priority="1" operator="greaterThan">
      <formula>0</formula>
    </cfRule>
  </conditionalFormatting>
  <conditionalFormatting sqref="Q5:Q79 AF5:AF79">
    <cfRule type="cellIs" dxfId="155" priority="4" operator="lessThan">
      <formula>0</formula>
    </cfRule>
  </conditionalFormatting>
  <conditionalFormatting sqref="R5:R79 AG5:AG79">
    <cfRule type="cellIs" dxfId="154" priority="2" operator="greaterThan">
      <formula>1</formula>
    </cfRule>
    <cfRule type="cellIs" dxfId="153" priority="3" operator="lessThan">
      <formula>0.8</formula>
    </cfRule>
  </conditionalFormatting>
  <conditionalFormatting sqref="S5:S10 S37:S62 AH59:AH62 S69:S76 AH69:AH76">
    <cfRule type="cellIs" dxfId="152" priority="7" operator="lessThan">
      <formula>0.8</formula>
    </cfRule>
  </conditionalFormatting>
  <conditionalFormatting sqref="S19:S25 AH19:AH25">
    <cfRule type="cellIs" dxfId="151" priority="6" operator="lessThan">
      <formula>0.8</formula>
    </cfRule>
  </conditionalFormatting>
  <conditionalFormatting sqref="S79">
    <cfRule type="cellIs" dxfId="150" priority="5" operator="lessThan">
      <formula>0.8</formula>
    </cfRule>
  </conditionalFormatting>
  <conditionalFormatting sqref="AH5:AH8 S15:S16 AH15:AH16 AH49 AH79">
    <cfRule type="cellIs" dxfId="149" priority="9" operator="lessThan">
      <formula>0.8</formula>
    </cfRule>
  </conditionalFormatting>
  <conditionalFormatting sqref="AH27 S27:S28">
    <cfRule type="cellIs" dxfId="148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008940-702B-4C0C-B9D9-2EBB6825CD3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D919-404E-4594-BECF-FAD8C55CFD4E}">
  <dimension ref="B1:R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46044</v>
      </c>
      <c r="E3" s="645"/>
      <c r="F3" s="3" t="s">
        <v>72</v>
      </c>
      <c r="G3" s="646">
        <f>'0122'!E1</f>
        <v>56062</v>
      </c>
      <c r="H3" s="646"/>
      <c r="I3" s="3" t="s">
        <v>2</v>
      </c>
      <c r="J3" s="647">
        <f>'0122'!G1</f>
        <v>2658837.3500000006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112.24031736513768</v>
      </c>
      <c r="G6" s="652"/>
      <c r="H6" s="653">
        <f>AVERAGE(D13:H13,J13)</f>
        <v>109.6886425425996</v>
      </c>
      <c r="I6" s="653"/>
      <c r="J6" s="653">
        <f>AVERAGE(I13)</f>
        <v>127.55036630036628</v>
      </c>
      <c r="K6" s="653"/>
      <c r="L6" s="769">
        <f>SUM(D18:J18)</f>
        <v>0</v>
      </c>
      <c r="M6" s="656">
        <f>SUM(D19:J19)</f>
        <v>0</v>
      </c>
      <c r="N6" s="771">
        <f>SUM(D20:J20)</f>
        <v>2</v>
      </c>
      <c r="O6" s="656">
        <f>SUM(D20:J20)</f>
        <v>2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98.431575925974684</v>
      </c>
      <c r="G7" s="676"/>
      <c r="H7" s="677">
        <f>AVERAGE(D14:H14,J14)</f>
        <v>97.171924362868538</v>
      </c>
      <c r="I7" s="677"/>
      <c r="J7" s="677">
        <f>AVERAGE(I14)</f>
        <v>105.98948530461163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0.87697164652305182</v>
      </c>
      <c r="G8" s="649"/>
      <c r="H8" s="649">
        <f>H7/H6</f>
        <v>0.88588865820934959</v>
      </c>
      <c r="I8" s="649"/>
      <c r="J8" s="649">
        <f>J7/J6</f>
        <v>0.83096182613085345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VALUE('0122'!L15)</f>
        <v>125.67226890756304</v>
      </c>
      <c r="E13" s="13">
        <f>VALUE('0122'!L26)</f>
        <v>162.2051282051282</v>
      </c>
      <c r="F13" s="13">
        <f>VALUE('0122'!L37)</f>
        <v>82.981424148606806</v>
      </c>
      <c r="G13" s="13">
        <f>VALUE('0122'!L48)</f>
        <v>82.878192724458202</v>
      </c>
      <c r="H13" s="13">
        <f>VALUE('0122'!L58)</f>
        <v>91.894841269841265</v>
      </c>
      <c r="I13" s="13">
        <f>VALUE('0122'!L69)</f>
        <v>127.55036630036628</v>
      </c>
      <c r="J13" s="13">
        <f>'0122'!L79</f>
        <v>112.5</v>
      </c>
    </row>
    <row r="14" spans="2:15" ht="39.950000000000003" customHeight="1">
      <c r="B14" s="670"/>
      <c r="C14" s="12" t="s">
        <v>100</v>
      </c>
      <c r="D14" s="13">
        <f>VALUE('0122'!O15)</f>
        <v>119.60948418588325</v>
      </c>
      <c r="E14" s="13">
        <f>VALUE('0122'!O26)</f>
        <v>143.24268520033101</v>
      </c>
      <c r="F14" s="13">
        <f>VALUE('0122'!O37)</f>
        <v>68.720540114330873</v>
      </c>
      <c r="G14" s="13">
        <f>VALUE('0122'!O48)</f>
        <v>77.422394801076365</v>
      </c>
      <c r="H14" s="13">
        <f>VALUE('0122'!O58)</f>
        <v>83.964152718962552</v>
      </c>
      <c r="I14" s="13">
        <f>VALUE('0122'!O69)</f>
        <v>105.98948530461163</v>
      </c>
      <c r="J14" s="13">
        <f>'0122'!O79</f>
        <v>90.072289156627136</v>
      </c>
    </row>
    <row r="15" spans="2:15" ht="39.950000000000003" customHeight="1">
      <c r="B15" s="671"/>
      <c r="C15" s="10" t="s">
        <v>26</v>
      </c>
      <c r="D15" s="14">
        <f>D14/D13</f>
        <v>0.95175717941291238</v>
      </c>
      <c r="E15" s="14">
        <f t="shared" ref="E15:I15" si="1">E14/E13</f>
        <v>0.88309590939186045</v>
      </c>
      <c r="F15" s="14">
        <f t="shared" si="1"/>
        <v>0.8281436576849186</v>
      </c>
      <c r="G15" s="14">
        <f t="shared" si="1"/>
        <v>0.93417088688793548</v>
      </c>
      <c r="H15" s="14">
        <f t="shared" si="1"/>
        <v>0.91369821807960983</v>
      </c>
      <c r="I15" s="14">
        <f t="shared" si="1"/>
        <v>0.83096182613085345</v>
      </c>
      <c r="J15" s="15">
        <f>'0122'!S70</f>
        <v>0.80064257028113006</v>
      </c>
    </row>
    <row r="16" spans="2:15" ht="17.25" customHeight="1">
      <c r="B16" s="672" t="s">
        <v>101</v>
      </c>
      <c r="C16" s="10" t="s">
        <v>34</v>
      </c>
      <c r="D16" s="16">
        <f>'0122'!T5</f>
        <v>0.30902777777777801</v>
      </c>
      <c r="E16" s="16">
        <f>'0122'!T16</f>
        <v>0.29027777777777802</v>
      </c>
      <c r="F16" s="16">
        <f>'0122'!T27</f>
        <v>0.29166666666666702</v>
      </c>
      <c r="G16" s="16">
        <f>'0122'!T38</f>
        <v>0.33333333333333298</v>
      </c>
      <c r="H16" s="16">
        <f>'0122'!T49</f>
        <v>0.29166666666666702</v>
      </c>
      <c r="I16" s="16">
        <f>'0122'!T59</f>
        <v>0.29166666666666702</v>
      </c>
      <c r="J16" s="16">
        <f>'0122'!T70</f>
        <v>0.343055555555556</v>
      </c>
    </row>
    <row r="17" spans="2:18" ht="17.25" customHeight="1">
      <c r="B17" s="673"/>
      <c r="C17" s="10" t="s">
        <v>35</v>
      </c>
      <c r="D17" s="16">
        <v>0.63541666666666696</v>
      </c>
      <c r="E17" s="19">
        <v>0.66527777777777797</v>
      </c>
      <c r="F17" s="19">
        <v>0.67708333333333304</v>
      </c>
      <c r="G17" s="210">
        <v>0.57986111111111105</v>
      </c>
      <c r="H17" s="21">
        <v>0.58611111111111103</v>
      </c>
      <c r="I17" s="22">
        <v>0.71875</v>
      </c>
      <c r="J17" s="245">
        <v>0.45833333333333298</v>
      </c>
    </row>
    <row r="18" spans="2:18" ht="17.25" customHeight="1">
      <c r="B18" s="674" t="s">
        <v>102</v>
      </c>
      <c r="C18" s="330" t="s">
        <v>36</v>
      </c>
      <c r="D18" s="358">
        <f>'0122'!Z15</f>
        <v>0</v>
      </c>
      <c r="E18" s="359">
        <f>'0122'!Z26</f>
        <v>0</v>
      </c>
      <c r="F18" s="359">
        <f>'0122'!Z37</f>
        <v>0</v>
      </c>
      <c r="G18" s="360">
        <f>'0122'!Z48</f>
        <v>0</v>
      </c>
      <c r="H18" s="360">
        <f>'0122'!Z58</f>
        <v>0</v>
      </c>
      <c r="I18" s="359">
        <f>'0122'!Z69</f>
        <v>0</v>
      </c>
      <c r="J18" s="359">
        <f>'0122'!AA69</f>
        <v>0</v>
      </c>
    </row>
    <row r="19" spans="2:18" ht="17.25" customHeight="1">
      <c r="B19" s="675"/>
      <c r="C19" s="330" t="s">
        <v>37</v>
      </c>
      <c r="D19" s="358">
        <f>'0122'!AA15</f>
        <v>0</v>
      </c>
      <c r="E19" s="359">
        <f>'0122'!AA26</f>
        <v>0</v>
      </c>
      <c r="F19" s="359">
        <f>'0122'!AA37</f>
        <v>0</v>
      </c>
      <c r="G19" s="360">
        <f>'0122'!AA48</f>
        <v>0</v>
      </c>
      <c r="H19" s="360">
        <f>'0122'!AA58</f>
        <v>0</v>
      </c>
      <c r="I19" s="359">
        <f>'0122'!AA69</f>
        <v>0</v>
      </c>
      <c r="J19" s="359">
        <f>'0122'!AB69</f>
        <v>0</v>
      </c>
      <c r="R19" s="2" t="e">
        <f>O19/L19</f>
        <v>#DIV/0!</v>
      </c>
    </row>
    <row r="20" spans="2:18" ht="17.25" customHeight="1">
      <c r="B20" s="674" t="s">
        <v>103</v>
      </c>
      <c r="C20" s="330" t="s">
        <v>36</v>
      </c>
      <c r="D20" s="358">
        <f>'0122'!AD15</f>
        <v>0</v>
      </c>
      <c r="E20" s="359">
        <f>'0122'!AD26</f>
        <v>0</v>
      </c>
      <c r="F20" s="359">
        <f>'0122'!AD37</f>
        <v>2</v>
      </c>
      <c r="G20" s="360">
        <f>'0122'!AD48</f>
        <v>0</v>
      </c>
      <c r="H20" s="360">
        <f>'0122'!AD58</f>
        <v>0</v>
      </c>
      <c r="I20" s="359">
        <f>'0122'!AD69</f>
        <v>0</v>
      </c>
      <c r="J20" s="359">
        <f>'0122'!AD79</f>
        <v>0</v>
      </c>
    </row>
    <row r="21" spans="2:18" ht="17.25" customHeight="1">
      <c r="B21" s="675"/>
      <c r="C21" s="330" t="s">
        <v>85</v>
      </c>
      <c r="D21" s="358">
        <f>'0122'!AE15</f>
        <v>0</v>
      </c>
      <c r="E21" s="359">
        <f>'0122'!AE26</f>
        <v>0</v>
      </c>
      <c r="F21" s="359">
        <f>'0122'!AE37</f>
        <v>2</v>
      </c>
      <c r="G21" s="360">
        <f>'0122'!AE48</f>
        <v>0</v>
      </c>
      <c r="H21" s="360">
        <f>'0122'!AE58</f>
        <v>0</v>
      </c>
      <c r="I21" s="359">
        <f>'0122'!AE69</f>
        <v>0</v>
      </c>
      <c r="J21" s="359">
        <f>'0122'!AE79</f>
        <v>0</v>
      </c>
    </row>
    <row r="22" spans="2:18" ht="17.25" customHeight="1">
      <c r="B22" s="658" t="s">
        <v>104</v>
      </c>
      <c r="C22" s="659"/>
      <c r="D22" s="23">
        <f>VALUE('0122'!M15)</f>
        <v>15.4</v>
      </c>
      <c r="E22" s="23">
        <f>VALUE('0122'!M26)</f>
        <v>12.8</v>
      </c>
      <c r="F22" s="23">
        <f>VALUE('0122'!M37)</f>
        <v>14.6</v>
      </c>
      <c r="G22" s="23">
        <f>VALUE('0122'!M48)</f>
        <v>17.75</v>
      </c>
      <c r="H22" s="23">
        <f>VALUE('0122'!M58)</f>
        <v>17</v>
      </c>
      <c r="I22" s="23">
        <f>VALUE('0122'!M69)</f>
        <v>12.285714285714286</v>
      </c>
      <c r="J22" s="23">
        <f>'0122'!M79</f>
        <v>10</v>
      </c>
    </row>
    <row r="23" spans="2:18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8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8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8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47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D928-86E9-4C3E-B594-3DFED8890917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I20" sqref="I20"/>
      <selection pane="topRight" activeCell="I20" sqref="I20"/>
      <selection pane="bottomLeft" activeCell="I20" sqref="I20"/>
      <selection pane="bottomRight" activeCell="M16" sqref="M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56062</v>
      </c>
      <c r="F1" s="30" t="s">
        <v>2</v>
      </c>
      <c r="G1" s="31">
        <f>SUM(H5:H79)</f>
        <v>2658837.3500000006</v>
      </c>
      <c r="H1" s="32" t="s">
        <v>3</v>
      </c>
      <c r="I1" s="33">
        <f>M15+M26+M48+M58+M69+M79+M37</f>
        <v>99.835714285714289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206</v>
      </c>
      <c r="B2" s="678"/>
      <c r="C2" s="28"/>
      <c r="D2" s="28" t="s">
        <v>14</v>
      </c>
      <c r="E2" s="35">
        <f>AVERAGE(O15,O26,O37,O48,O58,O69,O79)</f>
        <v>98.431575925974684</v>
      </c>
      <c r="F2" s="36" t="s">
        <v>15</v>
      </c>
      <c r="G2" s="37">
        <f>G1/E1</f>
        <v>47.426730227248413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2</v>
      </c>
      <c r="AE2" s="340">
        <f>AE15+AE26+AE37+AE48+AE58+AE69+AE79</f>
        <v>2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844">
        <v>46044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1374</v>
      </c>
      <c r="H5" s="43">
        <f>F5*G5</f>
        <v>78606.540000000008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9" si="0">K5/J5</f>
        <v>117.64705882352941</v>
      </c>
      <c r="M5" s="48">
        <v>17</v>
      </c>
      <c r="N5" s="46">
        <f t="shared" ref="N5:N9" si="1">G5/W5*60</f>
        <v>1962.8571428571872</v>
      </c>
      <c r="O5" s="47">
        <f t="shared" ref="O5:O9" si="2">N5/M5</f>
        <v>115.4621848739522</v>
      </c>
      <c r="P5" s="49">
        <f t="shared" ref="P5:P9" si="3">M5-J5</f>
        <v>0</v>
      </c>
      <c r="Q5" s="50">
        <f t="shared" ref="Q5:Q9" si="4">O5-L5</f>
        <v>-2.1848739495772094</v>
      </c>
      <c r="R5" s="51">
        <f t="shared" ref="R5:R9" si="5">O5/L5</f>
        <v>0.98142857142859374</v>
      </c>
      <c r="S5" s="718">
        <f>R15</f>
        <v>0.95175717941291238</v>
      </c>
      <c r="T5" s="319">
        <v>0.30902777777777801</v>
      </c>
      <c r="U5" s="320">
        <v>0.33819444444444402</v>
      </c>
      <c r="V5" s="53"/>
      <c r="W5" s="54">
        <f t="shared" ref="W5:W14" si="6">(U5-T5)*24*60</f>
        <v>41.999999999999048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-37.142857142812773</v>
      </c>
      <c r="AG5" s="52">
        <f t="shared" ref="AG5:AG11" si="8">N5/K5</f>
        <v>0.98142857142859363</v>
      </c>
      <c r="AH5" s="724">
        <f>AG15</f>
        <v>0.95245402201149554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3626</v>
      </c>
      <c r="H6" s="63">
        <f>F6*G6</f>
        <v>204071.28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16</v>
      </c>
      <c r="N6" s="66">
        <f t="shared" si="1"/>
        <v>1798.0165289256156</v>
      </c>
      <c r="O6" s="67">
        <f t="shared" si="2"/>
        <v>112.37603305785098</v>
      </c>
      <c r="P6" s="69">
        <f t="shared" si="3"/>
        <v>0</v>
      </c>
      <c r="Q6" s="70">
        <f t="shared" si="4"/>
        <v>-0.12396694214902482</v>
      </c>
      <c r="R6" s="71">
        <f t="shared" si="5"/>
        <v>0.99889807162534205</v>
      </c>
      <c r="S6" s="719"/>
      <c r="T6" s="16">
        <v>0.34513888888888899</v>
      </c>
      <c r="U6" s="16">
        <v>0.42916666666666697</v>
      </c>
      <c r="V6" s="30">
        <f>(T6-U5)*24*60</f>
        <v>10.000000000000764</v>
      </c>
      <c r="W6" s="73">
        <f t="shared" si="6"/>
        <v>121.00000000000028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-1.9834710743843971</v>
      </c>
      <c r="AG6" s="72">
        <f t="shared" si="8"/>
        <v>0.99889807162534205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2058</v>
      </c>
      <c r="H7" s="78">
        <f>F7*G7</f>
        <v>101130.12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1991.6129032258318</v>
      </c>
      <c r="O7" s="81">
        <f t="shared" si="2"/>
        <v>142.25806451613084</v>
      </c>
      <c r="P7" s="74">
        <f t="shared" si="3"/>
        <v>0</v>
      </c>
      <c r="Q7" s="83">
        <f t="shared" si="4"/>
        <v>-0.59907834101201729</v>
      </c>
      <c r="R7" s="72">
        <f t="shared" si="5"/>
        <v>0.99580645161291592</v>
      </c>
      <c r="S7" s="719"/>
      <c r="T7" s="18">
        <v>0.43541666666666701</v>
      </c>
      <c r="U7" s="18">
        <v>0.47847222222222202</v>
      </c>
      <c r="V7" s="30">
        <f>(T7-U6)*24*60</f>
        <v>9.000000000000048</v>
      </c>
      <c r="W7" s="73">
        <f t="shared" si="6"/>
        <v>61.999999999999218</v>
      </c>
      <c r="X7" s="22"/>
      <c r="Y7" s="84"/>
      <c r="Z7" s="90"/>
      <c r="AA7" s="90"/>
      <c r="AB7" s="728"/>
      <c r="AC7" s="713"/>
      <c r="AD7" s="92"/>
      <c r="AE7" s="92"/>
      <c r="AF7" s="307">
        <f t="shared" si="7"/>
        <v>-8.3870967741681852</v>
      </c>
      <c r="AG7" s="72">
        <f t="shared" si="8"/>
        <v>0.99580645161291592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2570</v>
      </c>
      <c r="H8" s="78">
        <f t="shared" ref="H8:H9" si="9">F8*G8</f>
        <v>126289.8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1793.0232558139601</v>
      </c>
      <c r="O8" s="81">
        <f t="shared" si="2"/>
        <v>128.07308970099714</v>
      </c>
      <c r="P8" s="74">
        <f t="shared" si="3"/>
        <v>0</v>
      </c>
      <c r="Q8" s="83">
        <f t="shared" si="4"/>
        <v>-14.784053156145717</v>
      </c>
      <c r="R8" s="72">
        <f t="shared" si="5"/>
        <v>0.89651162790698002</v>
      </c>
      <c r="S8" s="719"/>
      <c r="T8" s="16">
        <v>0.54027777777777797</v>
      </c>
      <c r="U8" s="16">
        <v>0.6</v>
      </c>
      <c r="V8" s="30">
        <f t="shared" ref="V8:V9" si="10">(T8-U7)*24*60</f>
        <v>89.000000000000568</v>
      </c>
      <c r="W8" s="73">
        <f t="shared" si="6"/>
        <v>85.999999999999687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-206.97674418603992</v>
      </c>
      <c r="AG8" s="72">
        <f t="shared" si="8"/>
        <v>0.89651162790698002</v>
      </c>
      <c r="AH8" s="725"/>
    </row>
    <row r="9" spans="1:34" ht="15" customHeight="1">
      <c r="A9" s="716"/>
      <c r="B9" s="75" t="s">
        <v>81</v>
      </c>
      <c r="C9" s="76"/>
      <c r="D9" s="59" t="s">
        <v>190</v>
      </c>
      <c r="E9" s="77"/>
      <c r="F9" s="75">
        <f>VLOOKUP(D9,廠價表!$C$1:$E$41,3,0)</f>
        <v>56.28</v>
      </c>
      <c r="G9" s="66">
        <v>1092</v>
      </c>
      <c r="H9" s="78">
        <f t="shared" si="9"/>
        <v>61457.760000000002</v>
      </c>
      <c r="I9" s="73"/>
      <c r="J9" s="79">
        <f>VLOOKUP(D9,產線配置圖!$A$3:$C$39,2,0)</f>
        <v>16</v>
      </c>
      <c r="K9" s="80">
        <f>VLOOKUP(D9,產線配置圖!$A$3:$C$39,3,0)</f>
        <v>1800</v>
      </c>
      <c r="L9" s="81">
        <f t="shared" si="0"/>
        <v>112.5</v>
      </c>
      <c r="M9" s="82">
        <v>16</v>
      </c>
      <c r="N9" s="80">
        <f t="shared" si="1"/>
        <v>1598.0487804877605</v>
      </c>
      <c r="O9" s="81">
        <f t="shared" si="2"/>
        <v>99.878048780485031</v>
      </c>
      <c r="P9" s="74">
        <f t="shared" si="3"/>
        <v>0</v>
      </c>
      <c r="Q9" s="83">
        <f t="shared" si="4"/>
        <v>-12.621951219514969</v>
      </c>
      <c r="R9" s="72">
        <f t="shared" si="5"/>
        <v>0.88780487804875585</v>
      </c>
      <c r="S9" s="720"/>
      <c r="T9" s="16">
        <v>0.60694444444444395</v>
      </c>
      <c r="U9" s="16">
        <v>0.63541666666666696</v>
      </c>
      <c r="V9" s="30">
        <f t="shared" si="10"/>
        <v>9.999999999999325</v>
      </c>
      <c r="W9" s="73">
        <f t="shared" si="6"/>
        <v>41.000000000001137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-201.9512195122395</v>
      </c>
      <c r="AG9" s="72">
        <f t="shared" si="8"/>
        <v>0.88780487804875585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11">AVERAGE(J5:J14)</f>
        <v>15.4</v>
      </c>
      <c r="K15" s="120">
        <f t="shared" si="11"/>
        <v>1920</v>
      </c>
      <c r="L15" s="117">
        <f t="shared" si="11"/>
        <v>125.67226890756304</v>
      </c>
      <c r="M15" s="120">
        <f t="shared" si="11"/>
        <v>15.4</v>
      </c>
      <c r="N15" s="120">
        <f t="shared" si="11"/>
        <v>1828.7117222620714</v>
      </c>
      <c r="O15" s="117">
        <f t="shared" si="11"/>
        <v>119.60948418588325</v>
      </c>
      <c r="P15" s="121">
        <f t="shared" ref="P15:P20" si="12">M15-J15</f>
        <v>0</v>
      </c>
      <c r="Q15" s="122">
        <f t="shared" ref="Q15:Q20" si="13">O15-L15</f>
        <v>-6.0627847216797903</v>
      </c>
      <c r="R15" s="123">
        <f t="shared" ref="R15:R20" si="14">O15/L15</f>
        <v>0.95175717941291238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20" si="15">N15-K15</f>
        <v>-91.288277737928638</v>
      </c>
      <c r="AG15" s="124">
        <f t="shared" ref="AG15:AG20" si="16">N15/K15</f>
        <v>0.95245402201149554</v>
      </c>
      <c r="AH15" s="727"/>
    </row>
    <row r="16" spans="1:34" ht="15" customHeight="1">
      <c r="A16" s="740" t="s">
        <v>43</v>
      </c>
      <c r="B16" s="75" t="s">
        <v>81</v>
      </c>
      <c r="C16" s="628"/>
      <c r="D16" s="252" t="s">
        <v>121</v>
      </c>
      <c r="E16" s="629"/>
      <c r="F16" s="75">
        <f>VLOOKUP(D16,廠價表!$C$1:$E$41,3,0)</f>
        <v>57.21</v>
      </c>
      <c r="G16" s="147">
        <v>3381</v>
      </c>
      <c r="H16" s="630">
        <f>F16*G16</f>
        <v>193427.01</v>
      </c>
      <c r="I16" s="631"/>
      <c r="J16" s="632">
        <f>VLOOKUP(D16,產線配置圖!$A$3:$C$39,2,0)</f>
        <v>13</v>
      </c>
      <c r="K16" s="633">
        <f>VLOOKUP(D16,產線配置圖!$A$3:$C$39,3,0)</f>
        <v>2105</v>
      </c>
      <c r="L16" s="634">
        <f t="shared" ref="L16:L20" si="17">K16/J16</f>
        <v>161.92307692307693</v>
      </c>
      <c r="M16" s="148">
        <v>14</v>
      </c>
      <c r="N16" s="95">
        <f>G16/W16*60</f>
        <v>1811.2499999999948</v>
      </c>
      <c r="O16" s="96">
        <f>N16/M16</f>
        <v>129.37499999999963</v>
      </c>
      <c r="P16" s="97">
        <f t="shared" si="12"/>
        <v>1</v>
      </c>
      <c r="Q16" s="98">
        <f t="shared" si="13"/>
        <v>-32.548076923077303</v>
      </c>
      <c r="R16" s="99">
        <f t="shared" si="14"/>
        <v>0.79899049881234918</v>
      </c>
      <c r="S16" s="734">
        <f>R26</f>
        <v>0.88309590939186045</v>
      </c>
      <c r="T16" s="145">
        <v>0.29027777777777802</v>
      </c>
      <c r="U16" s="145">
        <v>0.36805555555555602</v>
      </c>
      <c r="V16" s="135"/>
      <c r="W16" s="146">
        <f t="shared" ref="W16:W78" si="18">(U16-T16)*24*60</f>
        <v>112.00000000000033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5"/>
        <v>-293.75000000000523</v>
      </c>
      <c r="AG16" s="52">
        <f t="shared" si="16"/>
        <v>0.86045130641329914</v>
      </c>
      <c r="AH16" s="724">
        <f>AG26</f>
        <v>0.89466964051154341</v>
      </c>
    </row>
    <row r="17" spans="1:34" ht="15" customHeight="1">
      <c r="A17" s="741"/>
      <c r="B17" s="207" t="s">
        <v>81</v>
      </c>
      <c r="C17" s="617"/>
      <c r="D17" s="175" t="s">
        <v>123</v>
      </c>
      <c r="E17" s="637"/>
      <c r="F17" s="75">
        <f>VLOOKUP(D17,廠價表!$C$1:$E$41,3,0)</f>
        <v>50.67</v>
      </c>
      <c r="G17" s="618">
        <v>2909</v>
      </c>
      <c r="H17" s="619">
        <f>F17*G17</f>
        <v>147399.03</v>
      </c>
      <c r="I17" s="620"/>
      <c r="J17" s="621">
        <f>VLOOKUP(D17,產線配置圖!$A$3:$C$39,2,0)</f>
        <v>13</v>
      </c>
      <c r="K17" s="234">
        <f>VLOOKUP(D17,產線配置圖!$A$3:$C$39,3,0)</f>
        <v>2000</v>
      </c>
      <c r="L17" s="235">
        <f t="shared" si="17"/>
        <v>153.84615384615384</v>
      </c>
      <c r="M17" s="622">
        <v>13</v>
      </c>
      <c r="N17" s="623">
        <f t="shared" ref="N17:N18" si="19">G17/W17*60</f>
        <v>1961.1235955056356</v>
      </c>
      <c r="O17" s="624">
        <f>N17/M17</f>
        <v>150.8556611927412</v>
      </c>
      <c r="P17" s="625">
        <f>M17-J17</f>
        <v>0</v>
      </c>
      <c r="Q17" s="626">
        <f t="shared" si="13"/>
        <v>-2.9904926534126446</v>
      </c>
      <c r="R17" s="627">
        <f>O17/L17</f>
        <v>0.98056179775281782</v>
      </c>
      <c r="S17" s="735"/>
      <c r="T17" s="19">
        <v>0.37638888888888899</v>
      </c>
      <c r="U17" s="19">
        <v>0.438194444444444</v>
      </c>
      <c r="V17" s="30">
        <f>(T17-U16)*24*60</f>
        <v>11.999999999999478</v>
      </c>
      <c r="W17" s="149">
        <f t="shared" si="18"/>
        <v>88.999999999999204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5"/>
        <v>-38.876404494364351</v>
      </c>
      <c r="AG17" s="72">
        <f t="shared" si="16"/>
        <v>0.98056179775281782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636"/>
      <c r="F18" s="75">
        <f>VLOOKUP(D18,廠價表!$C$1:$E$41,3,0)</f>
        <v>50.39</v>
      </c>
      <c r="G18" s="147">
        <v>1416</v>
      </c>
      <c r="H18" s="78">
        <f>F18*G18</f>
        <v>71352.240000000005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7"/>
        <v>166.66666666666666</v>
      </c>
      <c r="M18" s="148">
        <v>12</v>
      </c>
      <c r="N18" s="95">
        <f t="shared" si="19"/>
        <v>1807.659574468079</v>
      </c>
      <c r="O18" s="96">
        <f>N18/M18</f>
        <v>150.6382978723399</v>
      </c>
      <c r="P18" s="97">
        <f>M18-J18</f>
        <v>0</v>
      </c>
      <c r="Q18" s="98">
        <f t="shared" si="13"/>
        <v>-16.028368794326752</v>
      </c>
      <c r="R18" s="99">
        <f>O18/L18</f>
        <v>0.90382978723403951</v>
      </c>
      <c r="S18" s="735"/>
      <c r="T18" s="19">
        <v>0.44652777777777802</v>
      </c>
      <c r="U18" s="19">
        <v>0.47916666666666702</v>
      </c>
      <c r="V18" s="30">
        <f>(T18-U17)*24*60</f>
        <v>12.000000000000997</v>
      </c>
      <c r="W18" s="149">
        <f t="shared" si="18"/>
        <v>47.000000000000156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5"/>
        <v>-192.34042553192103</v>
      </c>
      <c r="AG18" s="72">
        <f t="shared" si="16"/>
        <v>0.90382978723403951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636"/>
      <c r="F19" s="75">
        <f>VLOOKUP(D19,廠價表!$C$1:$E$41,3,0)</f>
        <v>50.39</v>
      </c>
      <c r="G19" s="147">
        <v>2355</v>
      </c>
      <c r="H19" s="78">
        <f>F19*G19</f>
        <v>118668.45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7"/>
        <v>166.66666666666666</v>
      </c>
      <c r="M19" s="148">
        <v>12</v>
      </c>
      <c r="N19" s="95">
        <f>G19/W19*60</f>
        <v>1859.2105263158155</v>
      </c>
      <c r="O19" s="96">
        <f t="shared" ref="O19:O20" si="20">N19/M19</f>
        <v>154.93421052631797</v>
      </c>
      <c r="P19" s="97">
        <f t="shared" si="12"/>
        <v>0</v>
      </c>
      <c r="Q19" s="98">
        <f t="shared" si="13"/>
        <v>-11.732456140348688</v>
      </c>
      <c r="R19" s="99">
        <f>O19/L19</f>
        <v>0.92960526315790781</v>
      </c>
      <c r="S19" s="735"/>
      <c r="T19" s="19">
        <v>0.54166666666666696</v>
      </c>
      <c r="U19" s="19">
        <v>0.594444444444444</v>
      </c>
      <c r="V19" s="30">
        <f>(T19-U18)*24*60</f>
        <v>89.999999999999915</v>
      </c>
      <c r="W19" s="149">
        <f t="shared" si="18"/>
        <v>75.999999999998934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5"/>
        <v>-140.78947368418449</v>
      </c>
      <c r="AG19" s="72">
        <f t="shared" si="16"/>
        <v>0.9296052631579077</v>
      </c>
      <c r="AH19" s="726"/>
    </row>
    <row r="20" spans="1:34" ht="15" customHeight="1">
      <c r="A20" s="741"/>
      <c r="B20" s="75" t="s">
        <v>81</v>
      </c>
      <c r="C20" s="628"/>
      <c r="D20" s="252" t="s">
        <v>121</v>
      </c>
      <c r="E20" s="629"/>
      <c r="F20" s="75">
        <f>VLOOKUP(D20,廠價表!$C$1:$E$41,3,0)</f>
        <v>57.21</v>
      </c>
      <c r="G20" s="147">
        <v>2543</v>
      </c>
      <c r="H20" s="630">
        <f>F20*G20</f>
        <v>145485.03</v>
      </c>
      <c r="I20" s="631"/>
      <c r="J20" s="632">
        <f>VLOOKUP(D20,產線配置圖!$A$3:$C$39,2,0)</f>
        <v>13</v>
      </c>
      <c r="K20" s="633">
        <f>VLOOKUP(D20,產線配置圖!$A$3:$C$39,3,0)</f>
        <v>2105</v>
      </c>
      <c r="L20" s="634">
        <f t="shared" si="17"/>
        <v>161.92307692307693</v>
      </c>
      <c r="M20" s="148">
        <v>13</v>
      </c>
      <c r="N20" s="95">
        <f>G20/W20*60</f>
        <v>1695.3333333333335</v>
      </c>
      <c r="O20" s="96">
        <f t="shared" si="20"/>
        <v>130.41025641025641</v>
      </c>
      <c r="P20" s="97">
        <f t="shared" si="12"/>
        <v>0</v>
      </c>
      <c r="Q20" s="98">
        <f t="shared" si="13"/>
        <v>-31.512820512820525</v>
      </c>
      <c r="R20" s="99">
        <f t="shared" si="14"/>
        <v>0.80538400633412499</v>
      </c>
      <c r="S20" s="735"/>
      <c r="T20" s="19">
        <v>0.60277777777777797</v>
      </c>
      <c r="U20" s="19">
        <v>0.66527777777777797</v>
      </c>
      <c r="V20" s="30">
        <f>(T20-U19)*24*60</f>
        <v>12.000000000000917</v>
      </c>
      <c r="W20" s="149">
        <f t="shared" si="18"/>
        <v>90</v>
      </c>
      <c r="X20" s="19"/>
      <c r="Y20" s="297"/>
      <c r="Z20" s="90"/>
      <c r="AA20" s="90"/>
      <c r="AB20" s="713"/>
      <c r="AC20" s="713"/>
      <c r="AD20" s="92"/>
      <c r="AE20" s="92"/>
      <c r="AF20" s="307">
        <f t="shared" si="15"/>
        <v>-409.66666666666652</v>
      </c>
      <c r="AG20" s="72">
        <f t="shared" si="16"/>
        <v>0.80538400633412521</v>
      </c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9"/>
      <c r="U21" s="19"/>
      <c r="V21" s="30"/>
      <c r="W21" s="149">
        <f t="shared" si="18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8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2">AVERAGE(J16:J25)</f>
        <v>12.6</v>
      </c>
      <c r="K26" s="155">
        <f t="shared" si="22"/>
        <v>2042</v>
      </c>
      <c r="L26" s="158">
        <f t="shared" si="22"/>
        <v>162.2051282051282</v>
      </c>
      <c r="M26" s="155">
        <f t="shared" si="22"/>
        <v>12.8</v>
      </c>
      <c r="N26" s="155">
        <f t="shared" si="22"/>
        <v>1826.9154059245716</v>
      </c>
      <c r="O26" s="158">
        <f t="shared" si="22"/>
        <v>143.24268520033101</v>
      </c>
      <c r="P26" s="159">
        <f t="shared" ref="P26:P31" si="23">M26-J26</f>
        <v>0.20000000000000107</v>
      </c>
      <c r="Q26" s="160">
        <f t="shared" ref="Q26:Q31" si="24">O26-L26</f>
        <v>-18.962443004797194</v>
      </c>
      <c r="R26" s="161">
        <f>O26/L26</f>
        <v>0.88309590939186045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25">N26-K26</f>
        <v>-215.08459407542841</v>
      </c>
      <c r="AG26" s="124">
        <f t="shared" ref="AG26:AG31" si="26">N26/K26</f>
        <v>0.89466964051154341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1639</v>
      </c>
      <c r="H27" s="134">
        <f>F27*G27</f>
        <v>93914.7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1" si="27">K27/J27</f>
        <v>88.235294117647058</v>
      </c>
      <c r="M27" s="170">
        <v>15</v>
      </c>
      <c r="N27" s="140">
        <f>G27/W27*60</f>
        <v>1104.9438202247291</v>
      </c>
      <c r="O27" s="141">
        <f>N27/M27</f>
        <v>73.662921348315265</v>
      </c>
      <c r="P27" s="142">
        <f t="shared" si="23"/>
        <v>-2</v>
      </c>
      <c r="Q27" s="143">
        <f t="shared" si="24"/>
        <v>-14.572372769331793</v>
      </c>
      <c r="R27" s="144">
        <f>O27/L27</f>
        <v>0.83484644194757307</v>
      </c>
      <c r="S27" s="734">
        <f>R37</f>
        <v>0.8281436576849186</v>
      </c>
      <c r="T27" s="171">
        <v>0.29166666666666702</v>
      </c>
      <c r="U27" s="171">
        <v>0.35347222222222202</v>
      </c>
      <c r="V27" s="135"/>
      <c r="W27" s="146">
        <f t="shared" si="18"/>
        <v>88.999999999999204</v>
      </c>
      <c r="X27" s="135"/>
      <c r="Y27" s="300" t="s">
        <v>46</v>
      </c>
      <c r="Z27" s="169"/>
      <c r="AA27" s="169"/>
      <c r="AB27" s="723" t="s">
        <v>207</v>
      </c>
      <c r="AC27" s="723"/>
      <c r="AD27" s="135">
        <v>1</v>
      </c>
      <c r="AE27" s="135">
        <v>1</v>
      </c>
      <c r="AF27" s="310">
        <f t="shared" si="25"/>
        <v>-395.05617977527095</v>
      </c>
      <c r="AG27" s="172">
        <f t="shared" si="26"/>
        <v>0.73662921348315269</v>
      </c>
      <c r="AH27" s="724">
        <f>AG37</f>
        <v>0.69578340818087947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1506</v>
      </c>
      <c r="H28" s="91">
        <f>F28*G28</f>
        <v>83025.78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7"/>
        <v>81.470588235294116</v>
      </c>
      <c r="M28" s="94">
        <v>15</v>
      </c>
      <c r="N28" s="95">
        <f>G28/W28*60</f>
        <v>1015.2808988764135</v>
      </c>
      <c r="O28" s="96">
        <f>N28/M28</f>
        <v>67.685393258427567</v>
      </c>
      <c r="P28" s="97">
        <f t="shared" si="23"/>
        <v>-2</v>
      </c>
      <c r="Q28" s="98">
        <f t="shared" si="24"/>
        <v>-13.785194976866549</v>
      </c>
      <c r="R28" s="99">
        <f t="shared" ref="R28:R31" si="28">O28/L28</f>
        <v>0.83079544071716149</v>
      </c>
      <c r="S28" s="735"/>
      <c r="T28" s="19">
        <v>0.360416666666667</v>
      </c>
      <c r="U28" s="19">
        <v>0.422222222222222</v>
      </c>
      <c r="V28" s="92">
        <f>(T28-U27)*24*60</f>
        <v>10.000000000000764</v>
      </c>
      <c r="W28" s="149">
        <f t="shared" si="18"/>
        <v>88.999999999999204</v>
      </c>
      <c r="X28" s="174"/>
      <c r="Y28" s="301"/>
      <c r="Z28" s="335"/>
      <c r="AA28" s="335"/>
      <c r="AB28" s="713" t="s">
        <v>208</v>
      </c>
      <c r="AC28" s="713"/>
      <c r="AD28" s="92">
        <v>1</v>
      </c>
      <c r="AE28" s="92">
        <v>1</v>
      </c>
      <c r="AF28" s="311">
        <f t="shared" si="25"/>
        <v>-369.71910112358648</v>
      </c>
      <c r="AG28" s="99">
        <f t="shared" si="26"/>
        <v>0.73305480063278949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632</v>
      </c>
      <c r="H29" s="91">
        <f>F29*G29</f>
        <v>31296.640000000003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7"/>
        <v>84.705882352941174</v>
      </c>
      <c r="M29" s="94">
        <v>14</v>
      </c>
      <c r="N29" s="95">
        <f>G29/W29*60</f>
        <v>997.89473684210043</v>
      </c>
      <c r="O29" s="96">
        <f>N29/M29</f>
        <v>71.278195488721465</v>
      </c>
      <c r="P29" s="97">
        <f t="shared" si="23"/>
        <v>-3</v>
      </c>
      <c r="Q29" s="98">
        <f t="shared" si="24"/>
        <v>-13.427686864219709</v>
      </c>
      <c r="R29" s="99">
        <f t="shared" si="28"/>
        <v>0.84147869674185061</v>
      </c>
      <c r="S29" s="735"/>
      <c r="T29" s="19">
        <v>0.42916666666666697</v>
      </c>
      <c r="U29" s="19">
        <v>0.45555555555555599</v>
      </c>
      <c r="V29" s="92">
        <f>(T29-U28)*24*60</f>
        <v>10.000000000000764</v>
      </c>
      <c r="W29" s="149">
        <f t="shared" si="18"/>
        <v>38.000000000000185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5"/>
        <v>-442.10526315789957</v>
      </c>
      <c r="AG29" s="99">
        <f t="shared" si="26"/>
        <v>0.69298245614034748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1300</v>
      </c>
      <c r="H30" s="91">
        <f t="shared" ref="H30:H31" si="29">F30*G30</f>
        <v>64376.000000000007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7"/>
        <v>84.705882352941174</v>
      </c>
      <c r="M30" s="94">
        <v>14</v>
      </c>
      <c r="N30" s="95">
        <f t="shared" ref="N30:N31" si="30">G30/W30*60</f>
        <v>974.99999999999386</v>
      </c>
      <c r="O30" s="96">
        <f t="shared" ref="O30:O31" si="31">N30/M30</f>
        <v>69.642857142856698</v>
      </c>
      <c r="P30" s="97">
        <f t="shared" si="23"/>
        <v>-3</v>
      </c>
      <c r="Q30" s="98">
        <f t="shared" si="24"/>
        <v>-15.063025210084476</v>
      </c>
      <c r="R30" s="99">
        <f t="shared" si="28"/>
        <v>0.82217261904761385</v>
      </c>
      <c r="S30" s="735"/>
      <c r="T30" s="19">
        <v>0.51736111111111105</v>
      </c>
      <c r="U30" s="19">
        <v>0.57291666666666696</v>
      </c>
      <c r="V30" s="92">
        <f>(T30-U29)*24*60</f>
        <v>88.999999999999289</v>
      </c>
      <c r="W30" s="149">
        <f t="shared" si="18"/>
        <v>80.000000000000512</v>
      </c>
      <c r="X30" s="174">
        <v>0.46527777777777801</v>
      </c>
      <c r="Y30" s="301">
        <v>0.50694444444444398</v>
      </c>
      <c r="Z30" s="335"/>
      <c r="AA30" s="335"/>
      <c r="AB30" s="713"/>
      <c r="AC30" s="713"/>
      <c r="AD30" s="92"/>
      <c r="AE30" s="92"/>
      <c r="AF30" s="312">
        <f t="shared" si="25"/>
        <v>-465.00000000000614</v>
      </c>
      <c r="AG30" s="99">
        <f t="shared" si="26"/>
        <v>0.67708333333332904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2070</v>
      </c>
      <c r="H31" s="91">
        <f t="shared" si="29"/>
        <v>91701</v>
      </c>
      <c r="I31" s="92"/>
      <c r="J31" s="79">
        <f>VLOOKUP(D31,產線配置圖!$A$3:$C$39,2,0)</f>
        <v>19</v>
      </c>
      <c r="K31" s="80">
        <f>VLOOKUP(D31,產線配置圖!$A$3:$C$39,3,0)</f>
        <v>1440</v>
      </c>
      <c r="L31" s="93">
        <f t="shared" si="27"/>
        <v>75.78947368421052</v>
      </c>
      <c r="M31" s="94">
        <v>15</v>
      </c>
      <c r="N31" s="95">
        <f t="shared" si="30"/>
        <v>920</v>
      </c>
      <c r="O31" s="96">
        <f t="shared" si="31"/>
        <v>61.333333333333336</v>
      </c>
      <c r="P31" s="97">
        <f t="shared" si="23"/>
        <v>-4</v>
      </c>
      <c r="Q31" s="98">
        <f t="shared" si="24"/>
        <v>-14.456140350877185</v>
      </c>
      <c r="R31" s="99">
        <f t="shared" si="28"/>
        <v>0.80925925925925934</v>
      </c>
      <c r="S31" s="735"/>
      <c r="T31" s="19">
        <v>0.58333333333333304</v>
      </c>
      <c r="U31" s="19">
        <v>0.67708333333333304</v>
      </c>
      <c r="V31" s="92">
        <f>(T31-U30)*24*60</f>
        <v>14.999999999999147</v>
      </c>
      <c r="W31" s="149">
        <f t="shared" si="18"/>
        <v>135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5"/>
        <v>-520</v>
      </c>
      <c r="AG31" s="99">
        <f t="shared" si="26"/>
        <v>0.63888888888888884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2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3">AVERAGE(J27:J36)</f>
        <v>17.399999999999999</v>
      </c>
      <c r="K37" s="155">
        <f t="shared" si="33"/>
        <v>1441</v>
      </c>
      <c r="L37" s="158">
        <f t="shared" si="33"/>
        <v>82.981424148606806</v>
      </c>
      <c r="M37" s="155">
        <f t="shared" si="33"/>
        <v>14.6</v>
      </c>
      <c r="N37" s="155">
        <f t="shared" si="33"/>
        <v>1002.6238911886473</v>
      </c>
      <c r="O37" s="158">
        <f t="shared" si="33"/>
        <v>68.720540114330873</v>
      </c>
      <c r="P37" s="159">
        <f>M37-J37</f>
        <v>-2.7999999999999989</v>
      </c>
      <c r="Q37" s="160">
        <f>N37-K37</f>
        <v>-438.37610881135265</v>
      </c>
      <c r="R37" s="161">
        <f t="shared" ref="R37:R41" si="34">O37/L37</f>
        <v>0.8281436576849186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3">
        <f>SUM(AD27:AD36)</f>
        <v>2</v>
      </c>
      <c r="AE37" s="323">
        <f>SUM(AE27:AE36)</f>
        <v>2</v>
      </c>
      <c r="AF37" s="309">
        <f t="shared" ref="AF37:AF41" si="35">N37-K37</f>
        <v>-438.37610881135265</v>
      </c>
      <c r="AG37" s="124">
        <f t="shared" ref="AG37:AG41" si="36">N37/K37</f>
        <v>0.69578340818087947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1086</v>
      </c>
      <c r="H38" s="134">
        <f>F38*G38</f>
        <v>61282.98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7">K38/J38</f>
        <v>87.875</v>
      </c>
      <c r="M38" s="190">
        <v>16</v>
      </c>
      <c r="N38" s="140">
        <f>G38/W38*60</f>
        <v>1184.7272727272543</v>
      </c>
      <c r="O38" s="141">
        <f>N38/M38</f>
        <v>74.045454545453396</v>
      </c>
      <c r="P38" s="142">
        <f t="shared" ref="P38:P41" si="38">M38-J38</f>
        <v>0</v>
      </c>
      <c r="Q38" s="143">
        <f t="shared" ref="Q38:Q41" si="39">O38-L38</f>
        <v>-13.829545454546604</v>
      </c>
      <c r="R38" s="144">
        <f>O38/L38</f>
        <v>0.84262252683304006</v>
      </c>
      <c r="S38" s="756">
        <f>R48</f>
        <v>0.93417088688793548</v>
      </c>
      <c r="T38" s="191">
        <v>0.33333333333333298</v>
      </c>
      <c r="U38" s="191">
        <v>0.37152777777777801</v>
      </c>
      <c r="V38" s="192"/>
      <c r="W38" s="193">
        <f t="shared" si="18"/>
        <v>55.000000000000846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5"/>
        <v>-221.27272727274567</v>
      </c>
      <c r="AG38" s="195">
        <f t="shared" si="36"/>
        <v>0.84262252683304006</v>
      </c>
      <c r="AH38" s="746">
        <f>AG48</f>
        <v>0.93635419516463569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2130</v>
      </c>
      <c r="H39" s="91">
        <f>F39*G39</f>
        <v>106308.29999999999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7"/>
        <v>92.058823529411768</v>
      </c>
      <c r="M39" s="201">
        <v>17</v>
      </c>
      <c r="N39" s="202">
        <f>G39/W39*60</f>
        <v>1558.5365853658652</v>
      </c>
      <c r="O39" s="203">
        <f t="shared" ref="O39:O41" si="40">N39/M39</f>
        <v>91.678622668580303</v>
      </c>
      <c r="P39" s="97">
        <f t="shared" si="38"/>
        <v>0</v>
      </c>
      <c r="Q39" s="98">
        <f t="shared" si="39"/>
        <v>-0.38020086083146509</v>
      </c>
      <c r="R39" s="99">
        <f t="shared" si="34"/>
        <v>0.99587002259799684</v>
      </c>
      <c r="S39" s="757"/>
      <c r="T39" s="20">
        <v>0.37916666666666698</v>
      </c>
      <c r="U39" s="20">
        <v>0.43611111111111101</v>
      </c>
      <c r="V39" s="92">
        <f>(T39-U38)*24*60</f>
        <v>11.000000000000121</v>
      </c>
      <c r="W39" s="205">
        <f t="shared" si="18"/>
        <v>81.999999999999389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5"/>
        <v>-6.4634146341347787</v>
      </c>
      <c r="AG39" s="206">
        <f t="shared" si="36"/>
        <v>0.99587002259799695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1470</v>
      </c>
      <c r="H40" s="91">
        <f>F40*G40</f>
        <v>65120.999999999993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7"/>
        <v>75.78947368421052</v>
      </c>
      <c r="M40" s="201">
        <v>19</v>
      </c>
      <c r="N40" s="202">
        <f>G40/W40*60</f>
        <v>1297.0588235294179</v>
      </c>
      <c r="O40" s="203">
        <f t="shared" si="40"/>
        <v>68.266253869969361</v>
      </c>
      <c r="P40" s="97">
        <f t="shared" si="38"/>
        <v>0</v>
      </c>
      <c r="Q40" s="98">
        <f t="shared" si="39"/>
        <v>-7.523219814241159</v>
      </c>
      <c r="R40" s="99">
        <f t="shared" si="34"/>
        <v>0.90073529411765141</v>
      </c>
      <c r="S40" s="719"/>
      <c r="T40" s="20">
        <v>0.44236111111111098</v>
      </c>
      <c r="U40" s="20">
        <v>0.48958333333333298</v>
      </c>
      <c r="V40" s="92">
        <f>(T40-U39)*24*60</f>
        <v>8.999999999999968</v>
      </c>
      <c r="W40" s="205">
        <f t="shared" si="18"/>
        <v>67.999999999999673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5"/>
        <v>-142.94117647058215</v>
      </c>
      <c r="AG40" s="206">
        <f t="shared" si="36"/>
        <v>0.9007352941176513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839</v>
      </c>
      <c r="H41" s="91">
        <f>F41*G41</f>
        <v>37167.699999999997</v>
      </c>
      <c r="I41" s="200"/>
      <c r="J41" s="148">
        <f>VLOOKUP(D41,產線配置圖!$A$3:$C$39,2,0)</f>
        <v>19</v>
      </c>
      <c r="K41" s="95">
        <f>VLOOKUP(D41,產線配置圖!$A$3:$C$39,3,0)</f>
        <v>1440</v>
      </c>
      <c r="L41" s="96">
        <f t="shared" si="37"/>
        <v>75.78947368421052</v>
      </c>
      <c r="M41" s="201">
        <v>19</v>
      </c>
      <c r="N41" s="202">
        <f>G41/W41*60</f>
        <v>1438.2857142857458</v>
      </c>
      <c r="O41" s="203">
        <f t="shared" si="40"/>
        <v>75.699248120302414</v>
      </c>
      <c r="P41" s="97">
        <f t="shared" si="38"/>
        <v>0</v>
      </c>
      <c r="Q41" s="98">
        <f t="shared" si="39"/>
        <v>-9.022556390810621E-2</v>
      </c>
      <c r="R41" s="99">
        <f t="shared" si="34"/>
        <v>0.9988095238095458</v>
      </c>
      <c r="S41" s="719"/>
      <c r="T41" s="20">
        <v>0.55555555555555602</v>
      </c>
      <c r="U41" s="210">
        <v>0.57986111111111105</v>
      </c>
      <c r="V41" s="92">
        <f>(T41-U40)*24*60</f>
        <v>95.00000000000118</v>
      </c>
      <c r="W41" s="205">
        <f t="shared" si="18"/>
        <v>34.999999999999233</v>
      </c>
      <c r="X41" s="208">
        <v>0.5</v>
      </c>
      <c r="Y41" s="209">
        <v>0.54166666666666696</v>
      </c>
      <c r="Z41" s="337"/>
      <c r="AA41" s="337"/>
      <c r="AB41" s="713"/>
      <c r="AC41" s="713"/>
      <c r="AD41" s="92"/>
      <c r="AE41" s="92"/>
      <c r="AF41" s="314">
        <f t="shared" si="35"/>
        <v>-1.7142857142541743</v>
      </c>
      <c r="AG41" s="206">
        <f t="shared" si="36"/>
        <v>0.99880952380954569</v>
      </c>
      <c r="AH41" s="747"/>
    </row>
    <row r="42" spans="1:34" ht="15" customHeight="1">
      <c r="A42" s="754"/>
      <c r="B42" s="75"/>
      <c r="C42" s="207"/>
      <c r="D42" s="198"/>
      <c r="E42" s="178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97"/>
      <c r="D43" s="198"/>
      <c r="E43" s="176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314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1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1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1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2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1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2">AVERAGE(J38:J47)</f>
        <v>17.75</v>
      </c>
      <c r="K48" s="155">
        <f t="shared" si="42"/>
        <v>1462.75</v>
      </c>
      <c r="L48" s="158">
        <f t="shared" si="42"/>
        <v>82.878192724458202</v>
      </c>
      <c r="M48" s="155">
        <f t="shared" si="42"/>
        <v>17.75</v>
      </c>
      <c r="N48" s="155">
        <f t="shared" si="42"/>
        <v>1369.6520989770709</v>
      </c>
      <c r="O48" s="158">
        <f t="shared" si="42"/>
        <v>77.422394801076365</v>
      </c>
      <c r="P48" s="221">
        <f>M48-J48</f>
        <v>0</v>
      </c>
      <c r="Q48" s="222">
        <f>N48-K48</f>
        <v>-93.097901022929136</v>
      </c>
      <c r="R48" s="223">
        <f t="shared" ref="R48:R52" si="43">O48/L48</f>
        <v>0.93417088688793548</v>
      </c>
      <c r="S48" s="722"/>
      <c r="T48" s="224"/>
      <c r="U48" s="224"/>
      <c r="V48" s="225"/>
      <c r="W48" s="226">
        <f t="shared" si="41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4">N48-K48</f>
        <v>-93.097901022929136</v>
      </c>
      <c r="AG48" s="162">
        <f t="shared" ref="AG48:AG53" si="45">N48/K48</f>
        <v>0.93635419516463569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1131</v>
      </c>
      <c r="H49" s="134">
        <f>F49*G49</f>
        <v>64319.969999999994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6">K49/J49</f>
        <v>86.944444444444443</v>
      </c>
      <c r="M49" s="170">
        <v>18</v>
      </c>
      <c r="N49" s="140">
        <f>G49/W49*60</f>
        <v>1357.2000000000091</v>
      </c>
      <c r="O49" s="141">
        <f>N49/M49</f>
        <v>75.400000000000503</v>
      </c>
      <c r="P49" s="229">
        <f>M49-J49</f>
        <v>0</v>
      </c>
      <c r="Q49" s="230">
        <f>O49-L49</f>
        <v>-11.54444444444394</v>
      </c>
      <c r="R49" s="52">
        <f t="shared" si="43"/>
        <v>0.86722044728435088</v>
      </c>
      <c r="S49" s="718">
        <f>R58</f>
        <v>0.91369821807960983</v>
      </c>
      <c r="T49" s="191">
        <v>0.29166666666666702</v>
      </c>
      <c r="U49" s="191">
        <v>0.32638888888888901</v>
      </c>
      <c r="V49" s="55"/>
      <c r="W49" s="193">
        <f t="shared" si="18"/>
        <v>49.999999999999659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4"/>
        <v>-207.79999999999086</v>
      </c>
      <c r="AG49" s="52">
        <f t="shared" si="45"/>
        <v>0.86722044728435088</v>
      </c>
      <c r="AH49" s="724">
        <f>AG58</f>
        <v>0.91198915068103614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2142</v>
      </c>
      <c r="H50" s="231">
        <f>F50*G50</f>
        <v>102194.82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46"/>
        <v>102.85714285714286</v>
      </c>
      <c r="M50" s="233">
        <v>14</v>
      </c>
      <c r="N50" s="234">
        <f>G50/W50*60</f>
        <v>1352.8421052631627</v>
      </c>
      <c r="O50" s="235">
        <f>N50/M50</f>
        <v>96.631578947368766</v>
      </c>
      <c r="P50" s="74">
        <f>M50-J50</f>
        <v>0</v>
      </c>
      <c r="Q50" s="83">
        <f>O50-L50</f>
        <v>-6.2255639097740954</v>
      </c>
      <c r="R50" s="72">
        <f t="shared" si="43"/>
        <v>0.93947368421052968</v>
      </c>
      <c r="S50" s="719"/>
      <c r="T50" s="21">
        <v>0.34097222222222201</v>
      </c>
      <c r="U50" s="21">
        <v>0.406944444444444</v>
      </c>
      <c r="V50" s="30">
        <f t="shared" ref="V50:V52" si="47">(T50-U49)*24*60</f>
        <v>20.999999999999524</v>
      </c>
      <c r="W50" s="236">
        <f t="shared" si="18"/>
        <v>94.999999999999659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4"/>
        <v>-87.157894736837306</v>
      </c>
      <c r="AG50" s="72">
        <f t="shared" si="45"/>
        <v>0.93947368421052968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1980</v>
      </c>
      <c r="H51" s="231">
        <f>F51*G51</f>
        <v>98940.599999999991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6"/>
        <v>88.888888888888886</v>
      </c>
      <c r="M51" s="233">
        <v>18</v>
      </c>
      <c r="N51" s="234">
        <f>G51/W51*60</f>
        <v>1365.5172413793255</v>
      </c>
      <c r="O51" s="235">
        <f>N51/M51</f>
        <v>75.862068965518077</v>
      </c>
      <c r="P51" s="74">
        <f>M51-J51</f>
        <v>0</v>
      </c>
      <c r="Q51" s="83">
        <f>O51-L51</f>
        <v>-13.026819923370809</v>
      </c>
      <c r="R51" s="72">
        <f t="shared" si="43"/>
        <v>0.85344827586207839</v>
      </c>
      <c r="S51" s="719"/>
      <c r="T51" s="21">
        <v>0.41180555555555598</v>
      </c>
      <c r="U51" s="19">
        <v>0.47222222222222199</v>
      </c>
      <c r="V51" s="30">
        <f t="shared" si="47"/>
        <v>7.0000000000012541</v>
      </c>
      <c r="W51" s="236">
        <f t="shared" si="18"/>
        <v>86.999999999999048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4"/>
        <v>-234.48275862067453</v>
      </c>
      <c r="AG51" s="72">
        <f t="shared" si="45"/>
        <v>0.85344827586207839</v>
      </c>
      <c r="AH51" s="725"/>
    </row>
    <row r="52" spans="1:34" ht="15" customHeight="1">
      <c r="A52" s="751"/>
      <c r="B52" s="75" t="s">
        <v>81</v>
      </c>
      <c r="C52" s="76"/>
      <c r="D52" s="59" t="s">
        <v>134</v>
      </c>
      <c r="E52" s="77"/>
      <c r="F52" s="75">
        <f>VLOOKUP(D52,廠價表!$C$1:$E$41,3,0)</f>
        <v>49.97</v>
      </c>
      <c r="G52" s="202">
        <v>1900</v>
      </c>
      <c r="H52" s="231">
        <f>F52*G52</f>
        <v>94943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6"/>
        <v>88.888888888888886</v>
      </c>
      <c r="M52" s="233">
        <v>18</v>
      </c>
      <c r="N52" s="234">
        <f>G52/W52*60</f>
        <v>1583.3333333333321</v>
      </c>
      <c r="O52" s="235">
        <f>N52/M52</f>
        <v>87.962962962962891</v>
      </c>
      <c r="P52" s="74">
        <f>M52-J52</f>
        <v>0</v>
      </c>
      <c r="Q52" s="83">
        <f>O52-L52</f>
        <v>-0.92592592592599487</v>
      </c>
      <c r="R52" s="72">
        <f t="shared" si="43"/>
        <v>0.98958333333333259</v>
      </c>
      <c r="S52" s="719"/>
      <c r="T52" s="21">
        <v>0.53611111111111098</v>
      </c>
      <c r="U52" s="21">
        <v>0.58611111111111103</v>
      </c>
      <c r="V52" s="30">
        <f t="shared" si="47"/>
        <v>92.000000000000156</v>
      </c>
      <c r="W52" s="236">
        <f t="shared" si="18"/>
        <v>72.000000000000057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4"/>
        <v>-16.666666666667879</v>
      </c>
      <c r="AG52" s="72">
        <f t="shared" si="45"/>
        <v>0.98958333333333259</v>
      </c>
      <c r="AH52" s="725"/>
    </row>
    <row r="53" spans="1:34" ht="15" customHeight="1">
      <c r="A53" s="751"/>
      <c r="B53" s="75"/>
      <c r="C53" s="76"/>
      <c r="D53" s="59"/>
      <c r="E53" s="77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4"/>
        <v>0</v>
      </c>
      <c r="AG53" s="72" t="e">
        <f t="shared" si="45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8">AVERAGE(J49:J57)</f>
        <v>17</v>
      </c>
      <c r="K58" s="120">
        <f t="shared" si="48"/>
        <v>1551.25</v>
      </c>
      <c r="L58" s="117">
        <f t="shared" si="48"/>
        <v>91.894841269841265</v>
      </c>
      <c r="M58" s="120">
        <f t="shared" si="48"/>
        <v>17</v>
      </c>
      <c r="N58" s="120">
        <f t="shared" si="48"/>
        <v>1414.7231699939573</v>
      </c>
      <c r="O58" s="117">
        <f t="shared" si="48"/>
        <v>83.964152718962552</v>
      </c>
      <c r="P58" s="121">
        <f>M58-J58</f>
        <v>0</v>
      </c>
      <c r="Q58" s="122">
        <f>N58-K58</f>
        <v>-136.5268300060427</v>
      </c>
      <c r="R58" s="123">
        <f t="shared" ref="R58:R60" si="49">O58/L58</f>
        <v>0.91369821807960983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0">N58-K58</f>
        <v>-136.5268300060427</v>
      </c>
      <c r="AG58" s="124">
        <f t="shared" ref="AG58:AG61" si="51">N58/K58</f>
        <v>0.91198915068103614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2612</v>
      </c>
      <c r="H59" s="243">
        <f t="shared" ref="H59:H65" si="52">F59*G59</f>
        <v>70497.87999999999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3" si="53">K59/J59</f>
        <v>120.38461538461539</v>
      </c>
      <c r="M59" s="244">
        <v>13</v>
      </c>
      <c r="N59" s="137">
        <f t="shared" ref="N59:N63" si="54">G59/W59*60</f>
        <v>1424.7272727272705</v>
      </c>
      <c r="O59" s="138">
        <f t="shared" ref="O59:O63" si="55">N59/M59</f>
        <v>109.59440559440542</v>
      </c>
      <c r="P59" s="56">
        <f t="shared" ref="P59:P63" si="56">M59-J59</f>
        <v>0</v>
      </c>
      <c r="Q59" s="230">
        <f t="shared" ref="Q59:Q63" si="57">O59-L59</f>
        <v>-10.790209790209971</v>
      </c>
      <c r="R59" s="52">
        <f t="shared" si="49"/>
        <v>0.91036886436247311</v>
      </c>
      <c r="S59" s="718">
        <f>R69</f>
        <v>0.83096182613085345</v>
      </c>
      <c r="T59" s="245">
        <v>0.29166666666666702</v>
      </c>
      <c r="U59" s="245">
        <v>0.36805555555555602</v>
      </c>
      <c r="V59" s="55"/>
      <c r="W59" s="54">
        <f t="shared" si="18"/>
        <v>110.00000000000017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0"/>
        <v>-140.27272727272953</v>
      </c>
      <c r="AG59" s="246">
        <f t="shared" si="51"/>
        <v>0.91036886436247311</v>
      </c>
      <c r="AH59" s="724">
        <f>AG69</f>
        <v>0.8298191887850136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417</v>
      </c>
      <c r="H60" s="78">
        <f t="shared" si="52"/>
        <v>11871.99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12</v>
      </c>
      <c r="N60" s="80">
        <f t="shared" si="54"/>
        <v>1250.9999999999895</v>
      </c>
      <c r="O60" s="81">
        <f t="shared" si="55"/>
        <v>104.24999999999913</v>
      </c>
      <c r="P60" s="74">
        <f t="shared" si="56"/>
        <v>0</v>
      </c>
      <c r="Q60" s="83">
        <f t="shared" si="57"/>
        <v>-26.166666666667524</v>
      </c>
      <c r="R60" s="72">
        <f t="shared" si="49"/>
        <v>0.79936102236421069</v>
      </c>
      <c r="S60" s="768"/>
      <c r="T60" s="22">
        <v>0.37847222222222199</v>
      </c>
      <c r="U60" s="22">
        <v>0.39236111111111099</v>
      </c>
      <c r="V60" s="30">
        <f t="shared" ref="V60:V65" si="58">(T60-U59)*24*60</f>
        <v>14.999999999998987</v>
      </c>
      <c r="W60" s="248">
        <f t="shared" si="18"/>
        <v>20.000000000000171</v>
      </c>
      <c r="X60" s="232"/>
      <c r="Y60" s="177"/>
      <c r="AA60" s="90"/>
      <c r="AB60" s="713" t="s">
        <v>146</v>
      </c>
      <c r="AC60" s="713"/>
      <c r="AD60" s="92"/>
      <c r="AE60" s="92"/>
      <c r="AF60" s="316">
        <f t="shared" si="50"/>
        <v>-314.00000000001046</v>
      </c>
      <c r="AG60" s="249">
        <f t="shared" si="51"/>
        <v>0.79936102236421058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1635</v>
      </c>
      <c r="H61" s="254">
        <f t="shared" si="52"/>
        <v>46205.100000000006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12</v>
      </c>
      <c r="N61" s="107">
        <f t="shared" si="54"/>
        <v>1401.428571428575</v>
      </c>
      <c r="O61" s="238">
        <f t="shared" si="55"/>
        <v>116.78571428571458</v>
      </c>
      <c r="P61" s="111">
        <f t="shared" si="56"/>
        <v>0</v>
      </c>
      <c r="Q61" s="255">
        <f t="shared" si="57"/>
        <v>-13.630952380952081</v>
      </c>
      <c r="R61" s="85">
        <f>O61/L61</f>
        <v>0.89548151528982434</v>
      </c>
      <c r="S61" s="719"/>
      <c r="T61" s="22">
        <v>0.40277777777777801</v>
      </c>
      <c r="U61" s="22">
        <v>0.45138888888888901</v>
      </c>
      <c r="V61" s="30">
        <f t="shared" si="58"/>
        <v>15.000000000000506</v>
      </c>
      <c r="W61" s="256">
        <f t="shared" si="18"/>
        <v>69.999999999999829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0"/>
        <v>-163.57142857142503</v>
      </c>
      <c r="AG61" s="247">
        <f t="shared" si="51"/>
        <v>0.89548151528982423</v>
      </c>
      <c r="AH61" s="725"/>
    </row>
    <row r="62" spans="1:34" ht="15" customHeight="1">
      <c r="A62" s="766"/>
      <c r="B62" s="250" t="s">
        <v>135</v>
      </c>
      <c r="C62" s="251"/>
      <c r="D62" s="198" t="s">
        <v>196</v>
      </c>
      <c r="E62" s="253"/>
      <c r="F62" s="250">
        <f>VLOOKUP(D62,廠價表!$C$1:$E$41,3,0)</f>
        <v>28.26</v>
      </c>
      <c r="G62" s="38">
        <v>1897</v>
      </c>
      <c r="H62" s="254">
        <f t="shared" si="52"/>
        <v>53609.22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3"/>
        <v>130.41666666666666</v>
      </c>
      <c r="M62" s="108">
        <v>12</v>
      </c>
      <c r="N62" s="107">
        <f t="shared" si="54"/>
        <v>1339.0588235294292</v>
      </c>
      <c r="O62" s="238">
        <f t="shared" si="55"/>
        <v>111.5882352941191</v>
      </c>
      <c r="P62" s="111">
        <f t="shared" si="56"/>
        <v>0</v>
      </c>
      <c r="Q62" s="255">
        <f t="shared" si="57"/>
        <v>-18.828431372547556</v>
      </c>
      <c r="R62" s="85">
        <f>O62/L62</f>
        <v>0.8556286412328622</v>
      </c>
      <c r="S62" s="719"/>
      <c r="T62" s="22">
        <v>0.46180555555555602</v>
      </c>
      <c r="U62" s="22">
        <v>0.52083333333333304</v>
      </c>
      <c r="V62" s="30">
        <f t="shared" si="58"/>
        <v>15.000000000000506</v>
      </c>
      <c r="W62" s="248">
        <f t="shared" si="18"/>
        <v>84.999999999998892</v>
      </c>
      <c r="X62" s="22">
        <v>0.52777777777777801</v>
      </c>
      <c r="Y62" s="84">
        <v>0.56944444444444398</v>
      </c>
      <c r="Z62" s="90"/>
      <c r="AA62" s="90"/>
      <c r="AB62" s="713"/>
      <c r="AC62" s="713"/>
      <c r="AD62" s="92"/>
      <c r="AE62" s="92"/>
      <c r="AF62" s="317">
        <f>N62-K62</f>
        <v>-225.94117647057078</v>
      </c>
      <c r="AG62" s="247">
        <f>N62/K62</f>
        <v>0.85562864123286209</v>
      </c>
      <c r="AH62" s="725"/>
    </row>
    <row r="63" spans="1:34" ht="15" customHeight="1">
      <c r="A63" s="766"/>
      <c r="B63" s="250" t="s">
        <v>135</v>
      </c>
      <c r="C63" s="251"/>
      <c r="D63" s="198" t="s">
        <v>196</v>
      </c>
      <c r="E63" s="253"/>
      <c r="F63" s="250">
        <f>VLOOKUP(D63,廠價表!$C$1:$E$41,3,0)</f>
        <v>28.26</v>
      </c>
      <c r="G63" s="38">
        <v>1914</v>
      </c>
      <c r="H63" s="254">
        <f t="shared" si="52"/>
        <v>54089.64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 t="shared" si="53"/>
        <v>130.41666666666666</v>
      </c>
      <c r="M63" s="108">
        <v>12</v>
      </c>
      <c r="N63" s="107">
        <f t="shared" si="54"/>
        <v>1305.0000000000023</v>
      </c>
      <c r="O63" s="238">
        <f t="shared" si="55"/>
        <v>108.75000000000018</v>
      </c>
      <c r="P63" s="111">
        <f t="shared" si="56"/>
        <v>0</v>
      </c>
      <c r="Q63" s="255">
        <f t="shared" si="57"/>
        <v>-21.666666666666472</v>
      </c>
      <c r="R63" s="85">
        <f>O63/L63</f>
        <v>0.83386581469648713</v>
      </c>
      <c r="S63" s="719"/>
      <c r="T63" s="22">
        <v>0.57430555555555596</v>
      </c>
      <c r="U63" s="22">
        <v>0.63541666666666696</v>
      </c>
      <c r="V63" s="30">
        <f t="shared" si="58"/>
        <v>77.000000000001009</v>
      </c>
      <c r="W63" s="248">
        <f t="shared" si="18"/>
        <v>87.999999999999844</v>
      </c>
      <c r="X63" s="261"/>
      <c r="Y63" s="291"/>
      <c r="Z63" s="335"/>
      <c r="AA63" s="335"/>
      <c r="AB63" s="713"/>
      <c r="AC63" s="713"/>
      <c r="AD63" s="92"/>
      <c r="AE63" s="92"/>
      <c r="AF63" s="317">
        <f>N63-K63</f>
        <v>-259.99999999999773</v>
      </c>
      <c r="AG63" s="247">
        <f>N63/K63</f>
        <v>0.83386581469648713</v>
      </c>
      <c r="AH63" s="725"/>
    </row>
    <row r="64" spans="1:34" ht="15" customHeight="1">
      <c r="A64" s="766"/>
      <c r="B64" s="250" t="s">
        <v>135</v>
      </c>
      <c r="C64" s="251"/>
      <c r="D64" s="635" t="s">
        <v>196</v>
      </c>
      <c r="E64" s="253"/>
      <c r="F64" s="250">
        <f>VLOOKUP(D64,廠價表!$C$1:$E$41,3,0)</f>
        <v>28.26</v>
      </c>
      <c r="G64" s="38">
        <v>1017</v>
      </c>
      <c r="H64" s="254">
        <f t="shared" si="52"/>
        <v>28740.420000000002</v>
      </c>
      <c r="I64" s="182"/>
      <c r="J64" s="106">
        <f>VLOOKUP(D64,產線配置圖!$A$3:$C$39,2,0)</f>
        <v>12</v>
      </c>
      <c r="K64" s="107">
        <f>VLOOKUP(D64,產線配置圖!$A$3:$C$39,3,0)</f>
        <v>1565</v>
      </c>
      <c r="L64" s="238">
        <f>K64/J64</f>
        <v>130.41666666666666</v>
      </c>
      <c r="M64" s="108">
        <v>12</v>
      </c>
      <c r="N64" s="107">
        <f>G64/W64*60</f>
        <v>1356</v>
      </c>
      <c r="O64" s="238">
        <f>N64/M64</f>
        <v>113</v>
      </c>
      <c r="P64" s="111">
        <f>M64-J64</f>
        <v>0</v>
      </c>
      <c r="Q64" s="255">
        <f>O64-L64</f>
        <v>-17.416666666666657</v>
      </c>
      <c r="R64" s="85">
        <f>O64/L64</f>
        <v>0.86645367412140584</v>
      </c>
      <c r="S64" s="719"/>
      <c r="T64" s="22">
        <v>0.64236111111111105</v>
      </c>
      <c r="U64" s="22">
        <v>0.67361111111111105</v>
      </c>
      <c r="V64" s="30">
        <f t="shared" si="58"/>
        <v>9.9999999999994849</v>
      </c>
      <c r="W64" s="73">
        <f t="shared" si="18"/>
        <v>45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258" t="s">
        <v>135</v>
      </c>
      <c r="C65" s="58"/>
      <c r="D65" s="259" t="s">
        <v>136</v>
      </c>
      <c r="E65" s="60"/>
      <c r="F65" s="61">
        <f>VLOOKUP(D65,廠價表!$C$1:$E$41,3,0)</f>
        <v>26.99</v>
      </c>
      <c r="G65" s="260">
        <v>929</v>
      </c>
      <c r="H65" s="63">
        <f t="shared" si="52"/>
        <v>25073.71</v>
      </c>
      <c r="I65" s="260"/>
      <c r="J65" s="65">
        <f>VLOOKUP(D65,產線配置圖!$A$3:$C$39,2,0)</f>
        <v>13</v>
      </c>
      <c r="K65" s="66">
        <f>VLOOKUP(D65,產線配置圖!$A$3:$C$39,3,0)</f>
        <v>1565</v>
      </c>
      <c r="L65" s="67">
        <f>K65/J65</f>
        <v>120.38461538461539</v>
      </c>
      <c r="M65" s="68">
        <v>13</v>
      </c>
      <c r="N65" s="66">
        <f>G65/W65*60</f>
        <v>1013.4545454545578</v>
      </c>
      <c r="O65" s="67">
        <f>N65/M65</f>
        <v>77.958041958042912</v>
      </c>
      <c r="P65" s="69">
        <f>M65-J65</f>
        <v>0</v>
      </c>
      <c r="Q65" s="70">
        <f>O65-L65</f>
        <v>-42.426573426572475</v>
      </c>
      <c r="R65" s="71">
        <f>O65/L65</f>
        <v>0.64757478942783253</v>
      </c>
      <c r="S65" s="719"/>
      <c r="T65" s="22">
        <v>0.68055555555555602</v>
      </c>
      <c r="U65" s="22">
        <v>0.71875</v>
      </c>
      <c r="V65" s="30">
        <f t="shared" si="58"/>
        <v>10.000000000000764</v>
      </c>
      <c r="W65" s="73">
        <f t="shared" si="18"/>
        <v>54.999999999999325</v>
      </c>
      <c r="X65" s="261"/>
      <c r="Y65" s="291"/>
      <c r="Z65" s="335"/>
      <c r="AA65" s="335"/>
      <c r="AB65" s="713" t="s">
        <v>146</v>
      </c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9">AVERAGE(J59:J68)</f>
        <v>12.285714285714286</v>
      </c>
      <c r="K69" s="240">
        <f t="shared" si="59"/>
        <v>1565</v>
      </c>
      <c r="L69" s="268">
        <f t="shared" si="59"/>
        <v>127.55036630036628</v>
      </c>
      <c r="M69" s="240">
        <f t="shared" si="59"/>
        <v>12.285714285714286</v>
      </c>
      <c r="N69" s="240">
        <f t="shared" si="59"/>
        <v>1298.6670304485463</v>
      </c>
      <c r="O69" s="268">
        <f t="shared" si="59"/>
        <v>105.98948530461163</v>
      </c>
      <c r="P69" s="269">
        <f>M69-J69</f>
        <v>0</v>
      </c>
      <c r="Q69" s="222">
        <f>N69-K69</f>
        <v>-266.33296955145374</v>
      </c>
      <c r="R69" s="123">
        <f>O69/L69</f>
        <v>0.83096182613085345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-266.33296955145374</v>
      </c>
      <c r="AG69" s="124">
        <f>N69/K69</f>
        <v>0.8298191887850136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2492</v>
      </c>
      <c r="H70" s="243">
        <f>F70*G70</f>
        <v>126269.64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900.7228915662713</v>
      </c>
      <c r="O70" s="138">
        <f>N70/M70</f>
        <v>90.072289156627136</v>
      </c>
      <c r="P70" s="56">
        <f>M70-J70</f>
        <v>0</v>
      </c>
      <c r="Q70" s="230">
        <f>O70-L70</f>
        <v>-22.427710843372864</v>
      </c>
      <c r="R70" s="52">
        <f>O70/L70</f>
        <v>0.80064257028113006</v>
      </c>
      <c r="S70" s="718">
        <f>R79</f>
        <v>0.80064257028113006</v>
      </c>
      <c r="T70" s="245">
        <v>0.343055555555556</v>
      </c>
      <c r="U70" s="245">
        <v>0.45833333333333298</v>
      </c>
      <c r="V70" s="55"/>
      <c r="W70" s="54">
        <f t="shared" si="18"/>
        <v>165.99999999999886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-224.2771084337287</v>
      </c>
      <c r="AG70" s="246">
        <f>N70/K70</f>
        <v>0.80064257028113006</v>
      </c>
      <c r="AH70" s="724">
        <f>AG79</f>
        <v>0.80064257028113006</v>
      </c>
    </row>
    <row r="71" spans="1:36" ht="15" customHeight="1">
      <c r="A71" s="761"/>
      <c r="B71" s="250"/>
      <c r="C71" s="251"/>
      <c r="D71" s="198"/>
      <c r="E71" s="253"/>
      <c r="F71" s="250"/>
      <c r="G71" s="38"/>
      <c r="H71" s="254"/>
      <c r="I71" s="182"/>
      <c r="J71" s="106"/>
      <c r="K71" s="107"/>
      <c r="L71" s="238"/>
      <c r="M71" s="108"/>
      <c r="N71" s="107"/>
      <c r="O71" s="238"/>
      <c r="P71" s="111"/>
      <c r="Q71" s="255"/>
      <c r="R71" s="85"/>
      <c r="S71" s="719"/>
      <c r="T71" s="22"/>
      <c r="U71" s="22"/>
      <c r="V71" s="30"/>
      <c r="W71" s="73">
        <f t="shared" si="18"/>
        <v>0</v>
      </c>
      <c r="X71" s="271"/>
      <c r="Y71" s="293"/>
      <c r="Z71" s="90"/>
      <c r="AA71" s="90"/>
      <c r="AB71" s="713"/>
      <c r="AC71" s="713"/>
      <c r="AD71" s="200"/>
      <c r="AE71" s="200"/>
      <c r="AF71" s="311"/>
      <c r="AG71" s="99"/>
      <c r="AH71" s="744"/>
    </row>
    <row r="72" spans="1:36" ht="15" customHeight="1">
      <c r="A72" s="761"/>
      <c r="B72" s="250"/>
      <c r="C72" s="251"/>
      <c r="D72" s="198"/>
      <c r="E72" s="253"/>
      <c r="F72" s="250"/>
      <c r="G72" s="38"/>
      <c r="H72" s="78"/>
      <c r="I72" s="30"/>
      <c r="J72" s="106"/>
      <c r="K72" s="107"/>
      <c r="L72" s="238"/>
      <c r="M72" s="108"/>
      <c r="N72" s="107"/>
      <c r="O72" s="238"/>
      <c r="P72" s="111"/>
      <c r="Q72" s="255"/>
      <c r="R72" s="85"/>
      <c r="S72" s="719"/>
      <c r="T72" s="22"/>
      <c r="U72" s="22"/>
      <c r="V72" s="30"/>
      <c r="W72" s="73">
        <f t="shared" si="18"/>
        <v>0</v>
      </c>
      <c r="X72" s="272"/>
      <c r="Y72" s="288"/>
      <c r="Z72" s="90"/>
      <c r="AA72" s="90"/>
      <c r="AB72" s="713"/>
      <c r="AC72" s="713"/>
      <c r="AD72" s="92"/>
      <c r="AE72" s="92"/>
      <c r="AF72" s="311"/>
      <c r="AG72" s="99"/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8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8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8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1">AVERAGE(J70:J78)</f>
        <v>10</v>
      </c>
      <c r="K79" s="240">
        <f t="shared" si="61"/>
        <v>1125</v>
      </c>
      <c r="L79" s="268">
        <f t="shared" si="61"/>
        <v>112.5</v>
      </c>
      <c r="M79" s="240">
        <f t="shared" si="61"/>
        <v>10</v>
      </c>
      <c r="N79" s="240">
        <f t="shared" si="61"/>
        <v>900.7228915662713</v>
      </c>
      <c r="O79" s="268">
        <f t="shared" si="61"/>
        <v>90.072289156627136</v>
      </c>
      <c r="P79" s="269">
        <f>M79-J79</f>
        <v>0</v>
      </c>
      <c r="Q79" s="222">
        <f>N79-K79</f>
        <v>-224.2771084337287</v>
      </c>
      <c r="R79" s="223">
        <f>O79/L79</f>
        <v>0.80064257028113006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-224.2771084337287</v>
      </c>
      <c r="AG79" s="124">
        <f>N79/K79</f>
        <v>0.80064257028113006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V3:V4"/>
    <mergeCell ref="W3:W4"/>
    <mergeCell ref="X3:Y3"/>
    <mergeCell ref="Z3:AA3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</mergeCells>
  <phoneticPr fontId="0" type="noConversion"/>
  <conditionalFormatting sqref="P5:P79">
    <cfRule type="cellIs" dxfId="146" priority="1" operator="greaterThan">
      <formula>0</formula>
    </cfRule>
  </conditionalFormatting>
  <conditionalFormatting sqref="Q5:Q79">
    <cfRule type="cellIs" dxfId="145" priority="4" operator="lessThan">
      <formula>0</formula>
    </cfRule>
  </conditionalFormatting>
  <conditionalFormatting sqref="R5:R79">
    <cfRule type="cellIs" dxfId="144" priority="2" operator="greaterThan">
      <formula>1</formula>
    </cfRule>
    <cfRule type="cellIs" dxfId="143" priority="3" operator="lessThan">
      <formula>0.8</formula>
    </cfRule>
  </conditionalFormatting>
  <conditionalFormatting sqref="S5:S10 S37:S62 AH59:AH62 S69:S76 AH69:AH76">
    <cfRule type="cellIs" dxfId="142" priority="10" operator="lessThan">
      <formula>0.8</formula>
    </cfRule>
  </conditionalFormatting>
  <conditionalFormatting sqref="S19:S25 AH19:AH25">
    <cfRule type="cellIs" dxfId="141" priority="9" operator="lessThan">
      <formula>0.8</formula>
    </cfRule>
  </conditionalFormatting>
  <conditionalFormatting sqref="S79">
    <cfRule type="cellIs" dxfId="140" priority="8" operator="lessThan">
      <formula>0.8</formula>
    </cfRule>
  </conditionalFormatting>
  <conditionalFormatting sqref="AF5:AF79">
    <cfRule type="cellIs" dxfId="139" priority="7" operator="lessThan">
      <formula>0</formula>
    </cfRule>
  </conditionalFormatting>
  <conditionalFormatting sqref="AG5:AG79">
    <cfRule type="cellIs" dxfId="138" priority="5" operator="greaterThan">
      <formula>1</formula>
    </cfRule>
    <cfRule type="cellIs" dxfId="137" priority="6" operator="lessThan">
      <formula>0.8</formula>
    </cfRule>
  </conditionalFormatting>
  <conditionalFormatting sqref="AH5:AH8 S15:S16 AH15:AH16 AH49 AH79">
    <cfRule type="cellIs" dxfId="136" priority="12" operator="lessThan">
      <formula>0.8</formula>
    </cfRule>
  </conditionalFormatting>
  <conditionalFormatting sqref="AH27 S27:S28">
    <cfRule type="cellIs" dxfId="135" priority="11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B995C9-2B98-4A9A-ACD5-4EDEC753439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81EE-7FE9-447E-92E9-53DF205B4761}">
  <dimension ref="B1:R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46045</v>
      </c>
      <c r="E3" s="645"/>
      <c r="F3" s="3" t="s">
        <v>72</v>
      </c>
      <c r="G3" s="646">
        <f>'0123'!E1</f>
        <v>43593</v>
      </c>
      <c r="H3" s="646"/>
      <c r="I3" s="3" t="s">
        <v>2</v>
      </c>
      <c r="J3" s="647">
        <f>'0123'!G1</f>
        <v>2047916.6499999997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112.4581258954324</v>
      </c>
      <c r="G6" s="652"/>
      <c r="H6" s="653">
        <f>AVERAGE(D13:H13,J13)</f>
        <v>109.79943747629505</v>
      </c>
      <c r="I6" s="653"/>
      <c r="J6" s="653">
        <f>AVERAGE(I13)</f>
        <v>128.41025641025641</v>
      </c>
      <c r="K6" s="653"/>
      <c r="L6" s="769">
        <f>SUM(D18:J18)</f>
        <v>0</v>
      </c>
      <c r="M6" s="656">
        <f>SUM(D19:J19)</f>
        <v>0</v>
      </c>
      <c r="N6" s="771">
        <f>SUM(D20:J20)</f>
        <v>1</v>
      </c>
      <c r="O6" s="656">
        <f>SUM(D20:J20)</f>
        <v>1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97.876255966155639</v>
      </c>
      <c r="G7" s="676"/>
      <c r="H7" s="677">
        <f>AVERAGE(D14:H14,J14)</f>
        <v>96.865072519955518</v>
      </c>
      <c r="I7" s="677"/>
      <c r="J7" s="677">
        <f>AVERAGE(I14)</f>
        <v>103.9433566433562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0.87033511528695129</v>
      </c>
      <c r="G8" s="649"/>
      <c r="H8" s="649">
        <f>H7/H6</f>
        <v>0.88220007994911653</v>
      </c>
      <c r="I8" s="649"/>
      <c r="J8" s="649">
        <f>J7/J6</f>
        <v>0.80946304095265409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VALUE('0123'!L15)</f>
        <v>124.33473389355743</v>
      </c>
      <c r="E13" s="13">
        <f>VALUE('0123'!L26)</f>
        <v>162.27564102564102</v>
      </c>
      <c r="F13" s="13">
        <f>VALUE('0123'!L37)</f>
        <v>82.55030959752321</v>
      </c>
      <c r="G13" s="13">
        <f>VALUE('0123'!L48)</f>
        <v>85.241099071207429</v>
      </c>
      <c r="H13" s="13">
        <f>VALUE('0123'!L58)</f>
        <v>91.894841269841265</v>
      </c>
      <c r="I13" s="13">
        <f>VALUE('0123'!L69)</f>
        <v>128.41025641025641</v>
      </c>
      <c r="J13" s="13">
        <f>'0123'!L79</f>
        <v>112.5</v>
      </c>
    </row>
    <row r="14" spans="2:15" ht="39.950000000000003" customHeight="1">
      <c r="B14" s="670"/>
      <c r="C14" s="12" t="s">
        <v>100</v>
      </c>
      <c r="D14" s="13">
        <f>VALUE('0123'!O15)</f>
        <v>116.24275765308562</v>
      </c>
      <c r="E14" s="13">
        <f>VALUE('0123'!O26)</f>
        <v>139.57301532768884</v>
      </c>
      <c r="F14" s="13">
        <f>VALUE('0123'!O37)</f>
        <v>72.285149643603162</v>
      </c>
      <c r="G14" s="13">
        <f>VALUE('0123'!O48)</f>
        <v>75.343847049690126</v>
      </c>
      <c r="H14" s="13">
        <f>VALUE('0123'!O58)</f>
        <v>85.967887667887709</v>
      </c>
      <c r="I14" s="13">
        <f>VALUE('0123'!O69)</f>
        <v>103.9433566433562</v>
      </c>
      <c r="J14" s="13">
        <f>'0123'!O79</f>
        <v>91.777777777777771</v>
      </c>
    </row>
    <row r="15" spans="2:15" ht="39.950000000000003" customHeight="1">
      <c r="B15" s="671"/>
      <c r="C15" s="10" t="s">
        <v>26</v>
      </c>
      <c r="D15" s="14">
        <f>D14/D13</f>
        <v>0.93491781429797949</v>
      </c>
      <c r="E15" s="14">
        <f t="shared" ref="E15:I15" si="1">E14/E13</f>
        <v>0.86009837610584472</v>
      </c>
      <c r="F15" s="14">
        <f t="shared" si="1"/>
        <v>0.87564964923852884</v>
      </c>
      <c r="G15" s="14">
        <f t="shared" si="1"/>
        <v>0.88389107919350629</v>
      </c>
      <c r="H15" s="14">
        <f t="shared" si="1"/>
        <v>0.93550286914855674</v>
      </c>
      <c r="I15" s="14">
        <f t="shared" si="1"/>
        <v>0.80946304095265409</v>
      </c>
      <c r="J15" s="15">
        <f>'0123'!S70</f>
        <v>0.81580246913580245</v>
      </c>
    </row>
    <row r="16" spans="2:15" ht="17.25" customHeight="1">
      <c r="B16" s="672" t="s">
        <v>101</v>
      </c>
      <c r="C16" s="10" t="s">
        <v>34</v>
      </c>
      <c r="D16" s="16">
        <f>'0123'!T5</f>
        <v>0.30555555555555602</v>
      </c>
      <c r="E16" s="16">
        <f>'0123'!T16</f>
        <v>0.29027777777777802</v>
      </c>
      <c r="F16" s="16">
        <f>'0123'!T27</f>
        <v>0.29027777777777802</v>
      </c>
      <c r="G16" s="16">
        <f>'0123'!T38</f>
        <v>0.33263888888888898</v>
      </c>
      <c r="H16" s="16">
        <f>'0123'!T49</f>
        <v>0.29166666666666702</v>
      </c>
      <c r="I16" s="16">
        <f>'0123'!T59</f>
        <v>0.29166666666666702</v>
      </c>
      <c r="J16" s="16">
        <f>'0123'!T70</f>
        <v>0.33680555555555602</v>
      </c>
    </row>
    <row r="17" spans="2:18" ht="17.25" customHeight="1">
      <c r="B17" s="673"/>
      <c r="C17" s="10" t="s">
        <v>35</v>
      </c>
      <c r="D17" s="18">
        <v>0.48263888888888901</v>
      </c>
      <c r="E17" s="19">
        <v>0.59930555555555598</v>
      </c>
      <c r="F17" s="19">
        <v>0.63958333333333295</v>
      </c>
      <c r="G17" s="20">
        <v>0.48958333333333298</v>
      </c>
      <c r="H17" s="21">
        <v>0.57638888888888895</v>
      </c>
      <c r="I17" s="22">
        <v>0.59722222222222199</v>
      </c>
      <c r="J17" s="245">
        <v>0.46180555555555602</v>
      </c>
    </row>
    <row r="18" spans="2:18" ht="17.25" customHeight="1">
      <c r="B18" s="674" t="s">
        <v>102</v>
      </c>
      <c r="C18" s="330" t="s">
        <v>36</v>
      </c>
      <c r="D18" s="358">
        <f>'0123'!Z15</f>
        <v>0</v>
      </c>
      <c r="E18" s="359">
        <f>'0123'!Z26</f>
        <v>0</v>
      </c>
      <c r="F18" s="359">
        <f>'0123'!Z37</f>
        <v>0</v>
      </c>
      <c r="G18" s="360">
        <f>'0123'!Z48</f>
        <v>0</v>
      </c>
      <c r="H18" s="360">
        <f>'0123'!Z58</f>
        <v>0</v>
      </c>
      <c r="I18" s="359">
        <f>'0123'!Z69</f>
        <v>0</v>
      </c>
      <c r="J18" s="359">
        <f>'0123'!AA69</f>
        <v>0</v>
      </c>
    </row>
    <row r="19" spans="2:18" ht="17.25" customHeight="1">
      <c r="B19" s="675"/>
      <c r="C19" s="330" t="s">
        <v>37</v>
      </c>
      <c r="D19" s="358">
        <f>'0123'!AA15</f>
        <v>0</v>
      </c>
      <c r="E19" s="359">
        <f>'0123'!AA26</f>
        <v>0</v>
      </c>
      <c r="F19" s="359">
        <f>'0123'!AA37</f>
        <v>0</v>
      </c>
      <c r="G19" s="360">
        <f>'0123'!AA48</f>
        <v>0</v>
      </c>
      <c r="H19" s="360">
        <f>'0123'!AA58</f>
        <v>0</v>
      </c>
      <c r="I19" s="359">
        <f>'0123'!AA69</f>
        <v>0</v>
      </c>
      <c r="J19" s="359">
        <f>'0123'!AB69</f>
        <v>0</v>
      </c>
      <c r="R19" s="2" t="e">
        <f>O19/L19</f>
        <v>#DIV/0!</v>
      </c>
    </row>
    <row r="20" spans="2:18" ht="17.25" customHeight="1">
      <c r="B20" s="674" t="s">
        <v>103</v>
      </c>
      <c r="C20" s="330" t="s">
        <v>36</v>
      </c>
      <c r="D20" s="358">
        <f>'0123'!AD15</f>
        <v>0</v>
      </c>
      <c r="E20" s="359">
        <f>'0123'!AD26</f>
        <v>1</v>
      </c>
      <c r="F20" s="359">
        <f>'0123'!AD37</f>
        <v>0</v>
      </c>
      <c r="G20" s="360">
        <f>'0123'!AD48</f>
        <v>0</v>
      </c>
      <c r="H20" s="360">
        <f>'0123'!AD58</f>
        <v>0</v>
      </c>
      <c r="I20" s="359">
        <f>'0123'!AD69</f>
        <v>0</v>
      </c>
      <c r="J20" s="359">
        <f>'0123'!AD79</f>
        <v>0</v>
      </c>
    </row>
    <row r="21" spans="2:18" ht="17.25" customHeight="1">
      <c r="B21" s="675"/>
      <c r="C21" s="330" t="s">
        <v>85</v>
      </c>
      <c r="D21" s="358">
        <f>'0123'!AE15</f>
        <v>0</v>
      </c>
      <c r="E21" s="359">
        <f>'0123'!AE26</f>
        <v>1</v>
      </c>
      <c r="F21" s="359">
        <f>'0123'!AE37</f>
        <v>0</v>
      </c>
      <c r="G21" s="360">
        <f>'0123'!AE48</f>
        <v>0</v>
      </c>
      <c r="H21" s="360">
        <f>'0123'!AE58</f>
        <v>0</v>
      </c>
      <c r="I21" s="359">
        <f>'0123'!AE69</f>
        <v>0</v>
      </c>
      <c r="J21" s="359">
        <f>'0123'!AE79</f>
        <v>0</v>
      </c>
    </row>
    <row r="22" spans="2:18" ht="17.25" customHeight="1">
      <c r="B22" s="658" t="s">
        <v>104</v>
      </c>
      <c r="C22" s="659"/>
      <c r="D22" s="23">
        <f>VALUE('0123'!M15)</f>
        <v>15.666666666666666</v>
      </c>
      <c r="E22" s="23">
        <f>VALUE('0123'!M26)</f>
        <v>12.75</v>
      </c>
      <c r="F22" s="23">
        <f>VALUE('0123'!M37)</f>
        <v>15</v>
      </c>
      <c r="G22" s="23">
        <f>VALUE('0123'!M48)</f>
        <v>15.666666666666666</v>
      </c>
      <c r="H22" s="23">
        <f>VALUE('0123'!M58)</f>
        <v>17</v>
      </c>
      <c r="I22" s="23">
        <f>VALUE('0123'!M69)</f>
        <v>12.2</v>
      </c>
      <c r="J22" s="23">
        <f>'0123'!M79</f>
        <v>9</v>
      </c>
    </row>
    <row r="23" spans="2:18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8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8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8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34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D9D5-FAE2-4C35-A79C-4ADAE4B28E8D}">
  <sheetPr>
    <tabColor theme="9" tint="0.79998168889431442"/>
  </sheetPr>
  <dimension ref="A1:AJ92"/>
  <sheetViews>
    <sheetView zoomScale="69" zoomScaleNormal="69" workbookViewId="0">
      <pane xSplit="5" ySplit="4" topLeftCell="W5" activePane="bottomRight" state="frozen"/>
      <selection activeCell="J17" sqref="J17"/>
      <selection pane="topRight" activeCell="J17" sqref="J17"/>
      <selection pane="bottomLeft" activeCell="J17" sqref="J17"/>
      <selection pane="bottomRight" activeCell="M17" sqref="M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43593</v>
      </c>
      <c r="F1" s="30" t="s">
        <v>2</v>
      </c>
      <c r="G1" s="31">
        <f>SUM(H5:H79)</f>
        <v>2047916.6499999997</v>
      </c>
      <c r="H1" s="32" t="s">
        <v>3</v>
      </c>
      <c r="I1" s="33">
        <f>M15+M26+M48+M58+M69+M79+M37</f>
        <v>97.283333333333331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209</v>
      </c>
      <c r="B2" s="678"/>
      <c r="C2" s="28"/>
      <c r="D2" s="28" t="s">
        <v>14</v>
      </c>
      <c r="E2" s="35">
        <f>AVERAGE(O15,O26,O37,O48,O58,O69,O79)</f>
        <v>97.876255966155639</v>
      </c>
      <c r="F2" s="36" t="s">
        <v>15</v>
      </c>
      <c r="G2" s="37">
        <f>G1/E1</f>
        <v>46.978107723717102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1</v>
      </c>
      <c r="AE2" s="340">
        <f>AE15+AE26+AE37+AE48+AE58+AE69+AE79</f>
        <v>1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844">
        <v>46044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1001</v>
      </c>
      <c r="H5" s="43">
        <f>F5*G5</f>
        <v>57267.21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7" si="0">K5/J5</f>
        <v>117.64705882352941</v>
      </c>
      <c r="M5" s="48">
        <v>17</v>
      </c>
      <c r="N5" s="46">
        <f t="shared" ref="N5:N7" si="1">G5/W5*60</f>
        <v>1623.2432432432734</v>
      </c>
      <c r="O5" s="47">
        <f t="shared" ref="O5:O7" si="2">N5/M5</f>
        <v>95.484896661369021</v>
      </c>
      <c r="P5" s="49">
        <f t="shared" ref="P5:P7" si="3">M5-J5</f>
        <v>0</v>
      </c>
      <c r="Q5" s="50">
        <f t="shared" ref="Q5:Q7" si="4">O5-L5</f>
        <v>-22.162162162160385</v>
      </c>
      <c r="R5" s="51">
        <f t="shared" ref="R5:R7" si="5">O5/L5</f>
        <v>0.81162162162163676</v>
      </c>
      <c r="S5" s="718">
        <f>R15</f>
        <v>0.93491781429797949</v>
      </c>
      <c r="T5" s="319">
        <v>0.30555555555555602</v>
      </c>
      <c r="U5" s="320">
        <v>0.33124999999999999</v>
      </c>
      <c r="V5" s="53"/>
      <c r="W5" s="54">
        <f t="shared" ref="W5:W14" si="6">(U5-T5)*24*60</f>
        <v>36.999999999999311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-376.75675675672665</v>
      </c>
      <c r="AG5" s="52">
        <f t="shared" ref="AG5:AG11" si="8">N5/K5</f>
        <v>0.81162162162163665</v>
      </c>
      <c r="AH5" s="724">
        <f>AG15</f>
        <v>0.92930345434883221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1859</v>
      </c>
      <c r="H6" s="63">
        <f>F6*G6</f>
        <v>104624.52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16</v>
      </c>
      <c r="N6" s="66">
        <f t="shared" si="1"/>
        <v>1770.4761904761922</v>
      </c>
      <c r="O6" s="67">
        <f t="shared" si="2"/>
        <v>110.65476190476201</v>
      </c>
      <c r="P6" s="69">
        <f t="shared" si="3"/>
        <v>0</v>
      </c>
      <c r="Q6" s="70">
        <f t="shared" si="4"/>
        <v>-1.8452380952379883</v>
      </c>
      <c r="R6" s="71">
        <f t="shared" si="5"/>
        <v>0.98359788359788458</v>
      </c>
      <c r="S6" s="719"/>
      <c r="T6" s="16">
        <v>0.33819444444444402</v>
      </c>
      <c r="U6" s="16">
        <v>0.38194444444444398</v>
      </c>
      <c r="V6" s="30">
        <f>(T6-U5)*24*60</f>
        <v>9.9999999999994049</v>
      </c>
      <c r="W6" s="73">
        <f t="shared" si="6"/>
        <v>62.999999999999936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-29.523809523807813</v>
      </c>
      <c r="AG6" s="72">
        <f t="shared" si="8"/>
        <v>0.98359788359788458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4425</v>
      </c>
      <c r="H7" s="78">
        <f>F7*G7</f>
        <v>217444.5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1996.2406015037614</v>
      </c>
      <c r="O7" s="81">
        <f t="shared" si="2"/>
        <v>142.58861439312582</v>
      </c>
      <c r="P7" s="74">
        <f t="shared" si="3"/>
        <v>0</v>
      </c>
      <c r="Q7" s="83">
        <f t="shared" si="4"/>
        <v>-0.268528464017038</v>
      </c>
      <c r="R7" s="72">
        <f t="shared" si="5"/>
        <v>0.99812030075188074</v>
      </c>
      <c r="S7" s="719"/>
      <c r="T7" s="18">
        <v>0.390277777777778</v>
      </c>
      <c r="U7" s="18">
        <v>0.48263888888888901</v>
      </c>
      <c r="V7" s="30">
        <f>(T7-U6)*24*60</f>
        <v>12.000000000000997</v>
      </c>
      <c r="W7" s="73">
        <f t="shared" si="6"/>
        <v>132.99999999999986</v>
      </c>
      <c r="X7" s="22">
        <v>0.48958333333333298</v>
      </c>
      <c r="Y7" s="84">
        <v>0.53125</v>
      </c>
      <c r="Z7" s="90"/>
      <c r="AA7" s="90"/>
      <c r="AB7" s="728"/>
      <c r="AC7" s="713"/>
      <c r="AD7" s="92"/>
      <c r="AE7" s="92"/>
      <c r="AF7" s="307">
        <f t="shared" si="7"/>
        <v>-3.7593984962386457</v>
      </c>
      <c r="AG7" s="72">
        <f t="shared" si="8"/>
        <v>0.99812030075188063</v>
      </c>
      <c r="AH7" s="725"/>
    </row>
    <row r="8" spans="1:34" ht="15" customHeight="1">
      <c r="A8" s="715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19"/>
      <c r="T8" s="16"/>
      <c r="U8" s="16"/>
      <c r="V8" s="30"/>
      <c r="W8" s="73">
        <f t="shared" si="6"/>
        <v>0</v>
      </c>
      <c r="X8" s="22"/>
      <c r="Y8" s="84"/>
      <c r="Z8" s="90"/>
      <c r="AA8" s="90"/>
      <c r="AB8" s="728"/>
      <c r="AC8" s="728"/>
      <c r="AD8" s="149"/>
      <c r="AE8" s="149"/>
      <c r="AF8" s="307">
        <f t="shared" si="7"/>
        <v>0</v>
      </c>
      <c r="AG8" s="72" t="e">
        <f t="shared" si="8"/>
        <v>#DIV/0!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15.666666666666666</v>
      </c>
      <c r="K15" s="120">
        <f t="shared" si="9"/>
        <v>1933.3333333333333</v>
      </c>
      <c r="L15" s="117">
        <f t="shared" si="9"/>
        <v>124.33473389355743</v>
      </c>
      <c r="M15" s="120">
        <f t="shared" si="9"/>
        <v>15.666666666666666</v>
      </c>
      <c r="N15" s="120">
        <f t="shared" si="9"/>
        <v>1796.6533450744089</v>
      </c>
      <c r="O15" s="117">
        <f t="shared" si="9"/>
        <v>116.24275765308562</v>
      </c>
      <c r="P15" s="121">
        <f t="shared" ref="P15:P19" si="10">M15-J15</f>
        <v>0</v>
      </c>
      <c r="Q15" s="122">
        <f t="shared" ref="Q15:Q19" si="11">O15-L15</f>
        <v>-8.0919762404718085</v>
      </c>
      <c r="R15" s="123">
        <f t="shared" ref="R15:R16" si="12">O15/L15</f>
        <v>0.93491781429797949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-136.67998825892437</v>
      </c>
      <c r="AG15" s="124">
        <f t="shared" ref="AG15:AG19" si="14">N15/K15</f>
        <v>0.92930345434883221</v>
      </c>
      <c r="AH15" s="727"/>
    </row>
    <row r="16" spans="1:34" ht="15" customHeight="1">
      <c r="A16" s="740" t="s">
        <v>43</v>
      </c>
      <c r="B16" s="75" t="s">
        <v>81</v>
      </c>
      <c r="C16" s="628"/>
      <c r="D16" s="252" t="s">
        <v>121</v>
      </c>
      <c r="E16" s="629"/>
      <c r="F16" s="75">
        <f>VLOOKUP(D16,廠價表!$C$1:$E$41,3,0)</f>
        <v>57.21</v>
      </c>
      <c r="G16" s="147">
        <v>3079</v>
      </c>
      <c r="H16" s="630">
        <f>F16*G16</f>
        <v>176149.59</v>
      </c>
      <c r="I16" s="631"/>
      <c r="J16" s="632">
        <f>VLOOKUP(D16,產線配置圖!$A$3:$C$39,2,0)</f>
        <v>13</v>
      </c>
      <c r="K16" s="633">
        <f>VLOOKUP(D16,產線配置圖!$A$3:$C$39,3,0)</f>
        <v>2105</v>
      </c>
      <c r="L16" s="634">
        <f t="shared" ref="L16:L19" si="15">K16/J16</f>
        <v>161.92307692307693</v>
      </c>
      <c r="M16" s="148">
        <v>14</v>
      </c>
      <c r="N16" s="95">
        <f>G16/W16*60</f>
        <v>1885.1020408163424</v>
      </c>
      <c r="O16" s="96">
        <f>N16/M16</f>
        <v>134.65014577259589</v>
      </c>
      <c r="P16" s="97">
        <f t="shared" si="10"/>
        <v>1</v>
      </c>
      <c r="Q16" s="98">
        <f t="shared" si="11"/>
        <v>-27.272931150481043</v>
      </c>
      <c r="R16" s="99">
        <f t="shared" si="12"/>
        <v>0.8315685962203071</v>
      </c>
      <c r="S16" s="734">
        <f>R26</f>
        <v>0.86009837610584472</v>
      </c>
      <c r="T16" s="145">
        <v>0.29027777777777802</v>
      </c>
      <c r="U16" s="145">
        <v>0.358333333333333</v>
      </c>
      <c r="V16" s="135"/>
      <c r="W16" s="146">
        <f t="shared" ref="W16:W78" si="16">(U16-T16)*24*60</f>
        <v>97.999999999999176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-219.89795918365758</v>
      </c>
      <c r="AG16" s="52">
        <f t="shared" si="14"/>
        <v>0.89553541131417691</v>
      </c>
      <c r="AH16" s="724">
        <f>AG26</f>
        <v>0.87224852042485956</v>
      </c>
    </row>
    <row r="17" spans="1:34" ht="15" customHeight="1">
      <c r="A17" s="741"/>
      <c r="B17" s="207" t="s">
        <v>81</v>
      </c>
      <c r="C17" s="617"/>
      <c r="D17" s="175" t="s">
        <v>123</v>
      </c>
      <c r="E17" s="637"/>
      <c r="F17" s="75">
        <f>VLOOKUP(D17,廠價表!$C$1:$E$41,3,0)</f>
        <v>50.67</v>
      </c>
      <c r="G17" s="618">
        <v>1572</v>
      </c>
      <c r="H17" s="619">
        <f>F17*G17</f>
        <v>79653.240000000005</v>
      </c>
      <c r="I17" s="620"/>
      <c r="J17" s="621">
        <f>VLOOKUP(D17,產線配置圖!$A$3:$C$39,2,0)</f>
        <v>13</v>
      </c>
      <c r="K17" s="234">
        <f>VLOOKUP(D17,產線配置圖!$A$3:$C$39,3,0)</f>
        <v>2000</v>
      </c>
      <c r="L17" s="235">
        <f t="shared" si="15"/>
        <v>153.84615384615384</v>
      </c>
      <c r="M17" s="622">
        <v>13</v>
      </c>
      <c r="N17" s="623">
        <f t="shared" ref="N17:N18" si="17">G17/W17*60</f>
        <v>1309.9999999999989</v>
      </c>
      <c r="O17" s="624">
        <f>N17/M17</f>
        <v>100.76923076923069</v>
      </c>
      <c r="P17" s="625">
        <f>M17-J17</f>
        <v>0</v>
      </c>
      <c r="Q17" s="626">
        <f t="shared" si="11"/>
        <v>-53.076923076923151</v>
      </c>
      <c r="R17" s="627">
        <f>O17/L17</f>
        <v>0.65499999999999947</v>
      </c>
      <c r="S17" s="735"/>
      <c r="T17" s="19">
        <v>0.36666666666666697</v>
      </c>
      <c r="U17" s="19">
        <v>0.41666666666666702</v>
      </c>
      <c r="V17" s="30">
        <f>(T17-U16)*24*60</f>
        <v>12.000000000000917</v>
      </c>
      <c r="W17" s="149">
        <f t="shared" si="16"/>
        <v>72.000000000000057</v>
      </c>
      <c r="X17" s="19"/>
      <c r="Y17" s="297"/>
      <c r="Z17" s="90"/>
      <c r="AA17" s="90"/>
      <c r="AB17" s="713" t="s">
        <v>210</v>
      </c>
      <c r="AC17" s="713"/>
      <c r="AD17" s="92">
        <v>1</v>
      </c>
      <c r="AE17" s="92">
        <v>1</v>
      </c>
      <c r="AF17" s="307">
        <f t="shared" si="13"/>
        <v>-690.00000000000114</v>
      </c>
      <c r="AG17" s="72">
        <f t="shared" si="14"/>
        <v>0.65499999999999947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636"/>
      <c r="F18" s="75">
        <f>VLOOKUP(D18,廠價表!$C$1:$E$41,3,0)</f>
        <v>50.39</v>
      </c>
      <c r="G18" s="147">
        <v>2172</v>
      </c>
      <c r="H18" s="78">
        <f>F18*G18</f>
        <v>109447.08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7"/>
        <v>1945.074626865704</v>
      </c>
      <c r="O18" s="96">
        <f>N18/M18</f>
        <v>162.08955223880866</v>
      </c>
      <c r="P18" s="97">
        <f>M18-J18</f>
        <v>0</v>
      </c>
      <c r="Q18" s="98">
        <f t="shared" si="11"/>
        <v>-4.5771144278579925</v>
      </c>
      <c r="R18" s="99">
        <f>O18/L18</f>
        <v>0.97253731343285199</v>
      </c>
      <c r="S18" s="735"/>
      <c r="T18" s="19">
        <v>0.43055555555555602</v>
      </c>
      <c r="U18" s="19">
        <v>0.47708333333333303</v>
      </c>
      <c r="V18" s="30">
        <f>(T18-U17)*24*60</f>
        <v>20.000000000000171</v>
      </c>
      <c r="W18" s="149">
        <f t="shared" si="16"/>
        <v>66.999999999998877</v>
      </c>
      <c r="X18" s="22">
        <v>0.48958333333333298</v>
      </c>
      <c r="Y18" s="84">
        <v>0.53125</v>
      </c>
      <c r="Z18" s="90"/>
      <c r="AA18" s="90"/>
      <c r="AB18" s="713"/>
      <c r="AC18" s="713"/>
      <c r="AD18" s="92"/>
      <c r="AE18" s="92"/>
      <c r="AF18" s="307">
        <f t="shared" si="13"/>
        <v>-54.925373134296024</v>
      </c>
      <c r="AG18" s="72">
        <f t="shared" si="14"/>
        <v>0.97253731343285199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636"/>
      <c r="F19" s="75">
        <f>VLOOKUP(D19,廠價表!$C$1:$E$41,3,0)</f>
        <v>50.39</v>
      </c>
      <c r="G19" s="147">
        <v>2669</v>
      </c>
      <c r="H19" s="78">
        <f>F19*G19</f>
        <v>134490.91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5"/>
        <v>166.66666666666666</v>
      </c>
      <c r="M19" s="148">
        <v>12</v>
      </c>
      <c r="N19" s="95">
        <f>G19/W19*60</f>
        <v>1929.3975903614414</v>
      </c>
      <c r="O19" s="96">
        <f>N19/M19</f>
        <v>160.78313253012013</v>
      </c>
      <c r="P19" s="97">
        <f t="shared" si="10"/>
        <v>0</v>
      </c>
      <c r="Q19" s="98">
        <f t="shared" si="11"/>
        <v>-5.8835341365465297</v>
      </c>
      <c r="R19" s="99">
        <f>O19/L19</f>
        <v>0.96469879518072077</v>
      </c>
      <c r="S19" s="735"/>
      <c r="T19" s="19">
        <v>0.54166666666666696</v>
      </c>
      <c r="U19" s="19">
        <v>0.59930555555555598</v>
      </c>
      <c r="V19" s="30">
        <f>(T19-U18)*24*60</f>
        <v>93.000000000000867</v>
      </c>
      <c r="W19" s="149">
        <f>(U19-T19)*24*60</f>
        <v>83.000000000000185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-70.602409638558584</v>
      </c>
      <c r="AG19" s="72">
        <f t="shared" si="14"/>
        <v>0.96469879518072066</v>
      </c>
      <c r="AH19" s="726"/>
    </row>
    <row r="20" spans="1:34" ht="15" customHeight="1">
      <c r="A20" s="741"/>
      <c r="B20" s="75"/>
      <c r="C20" s="628"/>
      <c r="D20" s="252"/>
      <c r="E20" s="629"/>
      <c r="F20" s="75"/>
      <c r="G20" s="147"/>
      <c r="H20" s="630"/>
      <c r="I20" s="631"/>
      <c r="J20" s="632"/>
      <c r="K20" s="633"/>
      <c r="L20" s="634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>(U20-T20)*24*60</f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9"/>
      <c r="U21" s="19"/>
      <c r="V21" s="30"/>
      <c r="W21" s="149">
        <f t="shared" si="16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6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18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6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18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6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19">AVERAGE(J16:J25)</f>
        <v>12.5</v>
      </c>
      <c r="K26" s="155">
        <f t="shared" si="19"/>
        <v>2026.25</v>
      </c>
      <c r="L26" s="158">
        <f t="shared" si="19"/>
        <v>162.27564102564102</v>
      </c>
      <c r="M26" s="155">
        <f t="shared" si="19"/>
        <v>12.75</v>
      </c>
      <c r="N26" s="155">
        <f t="shared" si="19"/>
        <v>1767.3935645108718</v>
      </c>
      <c r="O26" s="158">
        <f t="shared" si="19"/>
        <v>139.57301532768884</v>
      </c>
      <c r="P26" s="159">
        <f t="shared" ref="P26:P29" si="20">M26-J26</f>
        <v>0.25</v>
      </c>
      <c r="Q26" s="160">
        <f t="shared" ref="Q26:Q29" si="21">O26-L26</f>
        <v>-22.702625697952186</v>
      </c>
      <c r="R26" s="161">
        <f>O26/L26</f>
        <v>0.86009837610584472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1</v>
      </c>
      <c r="AE26" s="323">
        <f>SUM(AE16:AE25)</f>
        <v>1</v>
      </c>
      <c r="AF26" s="309">
        <f t="shared" ref="AF26:AF31" si="22">N26-K26</f>
        <v>-258.85643548912822</v>
      </c>
      <c r="AG26" s="124">
        <f t="shared" ref="AG26:AG31" si="23">N26/K26</f>
        <v>0.87224852042485956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1376</v>
      </c>
      <c r="H27" s="134">
        <f>F27*G27</f>
        <v>78844.800000000003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4">K27/J27</f>
        <v>88.235294117647058</v>
      </c>
      <c r="M27" s="170">
        <v>16</v>
      </c>
      <c r="N27" s="140">
        <f>G27/W27*60</f>
        <v>1353.4426229508244</v>
      </c>
      <c r="O27" s="141">
        <f>N27/M27</f>
        <v>84.590163934426528</v>
      </c>
      <c r="P27" s="142">
        <f t="shared" si="20"/>
        <v>-1</v>
      </c>
      <c r="Q27" s="143">
        <f t="shared" si="21"/>
        <v>-3.6451301832205303</v>
      </c>
      <c r="R27" s="144">
        <f>O27/L27</f>
        <v>0.95868852459016729</v>
      </c>
      <c r="S27" s="734">
        <f>R37</f>
        <v>0.87564964923852884</v>
      </c>
      <c r="T27" s="171">
        <v>0.29027777777777802</v>
      </c>
      <c r="U27" s="171">
        <v>0.33263888888888898</v>
      </c>
      <c r="V27" s="135"/>
      <c r="W27" s="146">
        <f t="shared" si="16"/>
        <v>60.999999999999787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2"/>
        <v>-146.55737704917556</v>
      </c>
      <c r="AG27" s="172">
        <f t="shared" si="23"/>
        <v>0.90229508196721631</v>
      </c>
      <c r="AH27" s="724">
        <f>AG37</f>
        <v>0.75547312299470526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1038</v>
      </c>
      <c r="H28" s="91">
        <f>F28*G28</f>
        <v>57224.94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4"/>
        <v>81.470588235294116</v>
      </c>
      <c r="M28" s="94">
        <v>14</v>
      </c>
      <c r="N28" s="95">
        <f>G28/W28*60</f>
        <v>929.55223880596566</v>
      </c>
      <c r="O28" s="96">
        <f>N28/M28</f>
        <v>66.396588486140402</v>
      </c>
      <c r="P28" s="97">
        <f t="shared" si="20"/>
        <v>-3</v>
      </c>
      <c r="Q28" s="98">
        <f t="shared" si="21"/>
        <v>-15.073999749153714</v>
      </c>
      <c r="R28" s="99">
        <f t="shared" ref="R28:R29" si="25">O28/L28</f>
        <v>0.81497617636417818</v>
      </c>
      <c r="S28" s="735"/>
      <c r="T28" s="19">
        <v>0.33750000000000002</v>
      </c>
      <c r="U28" s="19">
        <v>0.38402777777777802</v>
      </c>
      <c r="V28" s="92">
        <f>(T28-U27)*24*60</f>
        <v>6.9999999999998952</v>
      </c>
      <c r="W28" s="149">
        <f t="shared" si="16"/>
        <v>67.000000000000327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2"/>
        <v>-455.44776119403434</v>
      </c>
      <c r="AG28" s="99">
        <f t="shared" si="23"/>
        <v>0.67115685112344092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1498</v>
      </c>
      <c r="H29" s="91">
        <f>F29*G29</f>
        <v>74180.960000000006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4"/>
        <v>84.705882352941174</v>
      </c>
      <c r="M29" s="94">
        <v>15</v>
      </c>
      <c r="N29" s="95">
        <f>G29/W29*60</f>
        <v>1152.3076923076858</v>
      </c>
      <c r="O29" s="96">
        <f>N29/M29</f>
        <v>76.820512820512391</v>
      </c>
      <c r="P29" s="97">
        <f t="shared" si="20"/>
        <v>-2</v>
      </c>
      <c r="Q29" s="98">
        <f t="shared" si="21"/>
        <v>-7.8853695324287827</v>
      </c>
      <c r="R29" s="99">
        <f t="shared" si="25"/>
        <v>0.90690883190882687</v>
      </c>
      <c r="S29" s="735"/>
      <c r="T29" s="19">
        <v>0.38888888888888901</v>
      </c>
      <c r="U29" s="19">
        <v>0.44305555555555598</v>
      </c>
      <c r="V29" s="92">
        <f>(T29-U28)*24*60</f>
        <v>6.9999999999998153</v>
      </c>
      <c r="W29" s="149">
        <f t="shared" si="16"/>
        <v>78.000000000000441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2"/>
        <v>-287.69230769231422</v>
      </c>
      <c r="AG29" s="99">
        <f t="shared" si="23"/>
        <v>0.80021367521367071</v>
      </c>
      <c r="AH29" s="744"/>
    </row>
    <row r="30" spans="1:34" ht="15" customHeight="1">
      <c r="A30" s="732"/>
      <c r="B30" s="75" t="s">
        <v>117</v>
      </c>
      <c r="C30" s="88"/>
      <c r="D30" s="59" t="s">
        <v>118</v>
      </c>
      <c r="E30" s="89"/>
      <c r="F30" s="75">
        <v>44.3</v>
      </c>
      <c r="G30" s="90">
        <v>2529</v>
      </c>
      <c r="H30" s="91">
        <v>91701</v>
      </c>
      <c r="I30" s="92"/>
      <c r="J30" s="79">
        <v>19</v>
      </c>
      <c r="K30" s="80">
        <v>1440</v>
      </c>
      <c r="L30" s="93">
        <v>75.78947368421052</v>
      </c>
      <c r="M30" s="94">
        <v>15</v>
      </c>
      <c r="N30" s="95">
        <v>920</v>
      </c>
      <c r="O30" s="96">
        <v>61.333333333333336</v>
      </c>
      <c r="P30" s="97">
        <v>-4</v>
      </c>
      <c r="Q30" s="98">
        <v>-14.456140350877185</v>
      </c>
      <c r="R30" s="99">
        <v>0.80925925925925934</v>
      </c>
      <c r="S30" s="735"/>
      <c r="T30" s="19">
        <v>0.55208333333333304</v>
      </c>
      <c r="U30" s="19">
        <v>0.63958333333333295</v>
      </c>
      <c r="V30" s="92">
        <f>(T30-U29)*24*60</f>
        <v>156.99999999999898</v>
      </c>
      <c r="W30" s="149">
        <f t="shared" si="16"/>
        <v>125.99999999999987</v>
      </c>
      <c r="X30" s="174">
        <v>0.45833333333333298</v>
      </c>
      <c r="Y30" s="301">
        <v>0.5</v>
      </c>
      <c r="Z30" s="335"/>
      <c r="AA30" s="335"/>
      <c r="AB30" s="713"/>
      <c r="AC30" s="713"/>
      <c r="AD30" s="92"/>
      <c r="AE30" s="92"/>
      <c r="AF30" s="312">
        <f t="shared" si="22"/>
        <v>-520</v>
      </c>
      <c r="AG30" s="99">
        <f t="shared" si="23"/>
        <v>0.63888888888888884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6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2"/>
        <v>0</v>
      </c>
      <c r="AG31" s="99" t="e">
        <f t="shared" si="23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16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6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6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6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6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6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7">AVERAGE(J27:J36)</f>
        <v>17.5</v>
      </c>
      <c r="K37" s="155">
        <f t="shared" si="27"/>
        <v>1441.25</v>
      </c>
      <c r="L37" s="158">
        <f t="shared" si="27"/>
        <v>82.55030959752321</v>
      </c>
      <c r="M37" s="155">
        <f t="shared" si="27"/>
        <v>15</v>
      </c>
      <c r="N37" s="155">
        <f t="shared" si="27"/>
        <v>1088.8256385161189</v>
      </c>
      <c r="O37" s="158">
        <f t="shared" si="27"/>
        <v>72.285149643603162</v>
      </c>
      <c r="P37" s="159">
        <f>M37-J37</f>
        <v>-2.5</v>
      </c>
      <c r="Q37" s="160">
        <f>N37-K37</f>
        <v>-352.42436148388106</v>
      </c>
      <c r="R37" s="161">
        <f t="shared" ref="R37:R40" si="28">O37/L37</f>
        <v>0.87564964923852884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3">
        <f>SUM(AD27:AD36)</f>
        <v>0</v>
      </c>
      <c r="AE37" s="323">
        <f>SUM(AE27:AE36)</f>
        <v>0</v>
      </c>
      <c r="AF37" s="309">
        <f t="shared" ref="AF37:AF40" si="29">N37-K37</f>
        <v>-352.42436148388106</v>
      </c>
      <c r="AG37" s="124">
        <f t="shared" ref="AG37:AG40" si="30">N37/K37</f>
        <v>0.75547312299470526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825</v>
      </c>
      <c r="H38" s="134">
        <f>F38*G38</f>
        <v>46554.75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1">K38/J38</f>
        <v>87.875</v>
      </c>
      <c r="M38" s="190">
        <v>15</v>
      </c>
      <c r="N38" s="140">
        <f>G38/W38*60</f>
        <v>1076.086956521754</v>
      </c>
      <c r="O38" s="141">
        <f>N38/M38</f>
        <v>71.739130434783604</v>
      </c>
      <c r="P38" s="142">
        <f t="shared" ref="P38:P40" si="32">M38-J38</f>
        <v>-1</v>
      </c>
      <c r="Q38" s="143">
        <f t="shared" ref="Q38:Q40" si="33">O38-L38</f>
        <v>-16.135869565216396</v>
      </c>
      <c r="R38" s="144">
        <f>O38/L38</f>
        <v>0.8163770177500268</v>
      </c>
      <c r="S38" s="756">
        <f>R48</f>
        <v>0.88389107919350629</v>
      </c>
      <c r="T38" s="191">
        <v>0.33263888888888898</v>
      </c>
      <c r="U38" s="191">
        <v>0.36458333333333298</v>
      </c>
      <c r="V38" s="192"/>
      <c r="W38" s="193">
        <f t="shared" si="16"/>
        <v>45.999999999999361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29"/>
        <v>-329.91304347824598</v>
      </c>
      <c r="AG38" s="195">
        <f t="shared" si="30"/>
        <v>0.76535345414065004</v>
      </c>
      <c r="AH38" s="746">
        <f>AG48</f>
        <v>0.80361948037867659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1807</v>
      </c>
      <c r="H39" s="91">
        <f>F39*G39</f>
        <v>90187.37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1"/>
        <v>92.058823529411768</v>
      </c>
      <c r="M39" s="201">
        <v>16</v>
      </c>
      <c r="N39" s="202">
        <f>G39/W39*60</f>
        <v>1355.2500000000141</v>
      </c>
      <c r="O39" s="203">
        <f t="shared" ref="O39:O40" si="34">N39/M39</f>
        <v>84.703125000000881</v>
      </c>
      <c r="P39" s="97">
        <f t="shared" si="32"/>
        <v>-1</v>
      </c>
      <c r="Q39" s="98">
        <f t="shared" si="33"/>
        <v>-7.355698529410887</v>
      </c>
      <c r="R39" s="99">
        <f t="shared" si="28"/>
        <v>0.92009784345048873</v>
      </c>
      <c r="S39" s="757"/>
      <c r="T39" s="20">
        <v>0.37291666666666701</v>
      </c>
      <c r="U39" s="20">
        <v>0.42847222222222198</v>
      </c>
      <c r="V39" s="92">
        <f>(T39-U38)*24*60</f>
        <v>12.000000000000997</v>
      </c>
      <c r="W39" s="205">
        <f t="shared" si="16"/>
        <v>79.999999999999162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29"/>
        <v>-209.7499999999859</v>
      </c>
      <c r="AG39" s="206">
        <f t="shared" si="30"/>
        <v>0.86597444089457765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1299</v>
      </c>
      <c r="H40" s="91">
        <f>F40*G40</f>
        <v>57545.7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1"/>
        <v>75.78947368421052</v>
      </c>
      <c r="M40" s="201">
        <v>16</v>
      </c>
      <c r="N40" s="202">
        <f>G40/W40*60</f>
        <v>1113.4285714285743</v>
      </c>
      <c r="O40" s="203">
        <f t="shared" si="34"/>
        <v>69.589285714285893</v>
      </c>
      <c r="P40" s="97">
        <f t="shared" si="32"/>
        <v>-3</v>
      </c>
      <c r="Q40" s="98">
        <f t="shared" si="33"/>
        <v>-6.2001879699246274</v>
      </c>
      <c r="R40" s="99">
        <f t="shared" si="28"/>
        <v>0.9181919642857167</v>
      </c>
      <c r="S40" s="719"/>
      <c r="T40" s="20">
        <v>0.44097222222222199</v>
      </c>
      <c r="U40" s="20">
        <v>0.48958333333333298</v>
      </c>
      <c r="V40" s="92">
        <f>(T40-U39)*24*60</f>
        <v>18.000000000000014</v>
      </c>
      <c r="W40" s="205">
        <f t="shared" si="16"/>
        <v>69.999999999999829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29"/>
        <v>-326.57142857142571</v>
      </c>
      <c r="AG40" s="206">
        <f t="shared" si="30"/>
        <v>0.77321428571428774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6"/>
        <v>0</v>
      </c>
      <c r="X41" s="208"/>
      <c r="Y41" s="209"/>
      <c r="Z41" s="337"/>
      <c r="AA41" s="337"/>
      <c r="AB41" s="713"/>
      <c r="AC41" s="713"/>
      <c r="AD41" s="92"/>
      <c r="AE41" s="92"/>
      <c r="AF41" s="314"/>
      <c r="AG41" s="206"/>
      <c r="AH41" s="747"/>
    </row>
    <row r="42" spans="1:34" ht="15" customHeight="1">
      <c r="A42" s="754"/>
      <c r="B42" s="75"/>
      <c r="C42" s="207"/>
      <c r="D42" s="198"/>
      <c r="E42" s="178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6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97"/>
      <c r="D43" s="198"/>
      <c r="E43" s="176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314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6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6">AVERAGE(J38:J47)</f>
        <v>17.333333333333332</v>
      </c>
      <c r="K48" s="155">
        <f t="shared" si="36"/>
        <v>1470.3333333333333</v>
      </c>
      <c r="L48" s="158">
        <f t="shared" si="36"/>
        <v>85.241099071207429</v>
      </c>
      <c r="M48" s="155">
        <f t="shared" si="36"/>
        <v>15.666666666666666</v>
      </c>
      <c r="N48" s="155">
        <f t="shared" si="36"/>
        <v>1181.5885093167808</v>
      </c>
      <c r="O48" s="158">
        <f t="shared" si="36"/>
        <v>75.343847049690126</v>
      </c>
      <c r="P48" s="221">
        <f>M48-J48</f>
        <v>-1.6666666666666661</v>
      </c>
      <c r="Q48" s="222">
        <f>N48-K48</f>
        <v>-288.74482401655246</v>
      </c>
      <c r="R48" s="223">
        <f t="shared" ref="R48:R52" si="37">O48/L48</f>
        <v>0.88389107919350629</v>
      </c>
      <c r="S48" s="722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38">N48-K48</f>
        <v>-288.74482401655246</v>
      </c>
      <c r="AG48" s="162">
        <f t="shared" ref="AG48:AG53" si="39">N48/K48</f>
        <v>0.80361948037867659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748</v>
      </c>
      <c r="H49" s="134">
        <f>F49*G49</f>
        <v>42538.759999999995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0">K49/J49</f>
        <v>86.944444444444443</v>
      </c>
      <c r="M49" s="170">
        <v>18</v>
      </c>
      <c r="N49" s="140">
        <f>G49/W49*60</f>
        <v>1496.0000000000252</v>
      </c>
      <c r="O49" s="141">
        <f>N49/M49</f>
        <v>83.111111111112507</v>
      </c>
      <c r="P49" s="229">
        <f>M49-J49</f>
        <v>0</v>
      </c>
      <c r="Q49" s="230">
        <f>O49-L49</f>
        <v>-3.8333333333319359</v>
      </c>
      <c r="R49" s="52">
        <f t="shared" si="37"/>
        <v>0.95591054313100654</v>
      </c>
      <c r="S49" s="718">
        <f>R58</f>
        <v>0.93550286914855674</v>
      </c>
      <c r="T49" s="191">
        <v>0.29166666666666702</v>
      </c>
      <c r="U49" s="191">
        <v>0.3125</v>
      </c>
      <c r="V49" s="55"/>
      <c r="W49" s="193">
        <f t="shared" si="16"/>
        <v>29.999999999999496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38"/>
        <v>-68.999999999974762</v>
      </c>
      <c r="AG49" s="52">
        <f t="shared" si="39"/>
        <v>0.95591054313100654</v>
      </c>
      <c r="AH49" s="724">
        <f>AG58</f>
        <v>0.93874100114229131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2128</v>
      </c>
      <c r="H50" s="231">
        <f>F50*G50</f>
        <v>101526.88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40"/>
        <v>102.85714285714286</v>
      </c>
      <c r="M50" s="233">
        <v>14</v>
      </c>
      <c r="N50" s="234">
        <f>G50/W50*60</f>
        <v>1276.7999999999893</v>
      </c>
      <c r="O50" s="235">
        <f>N50/M50</f>
        <v>91.199999999999235</v>
      </c>
      <c r="P50" s="74">
        <f>M50-J50</f>
        <v>0</v>
      </c>
      <c r="Q50" s="83">
        <f>O50-L50</f>
        <v>-11.657142857143626</v>
      </c>
      <c r="R50" s="72">
        <f t="shared" si="37"/>
        <v>0.88666666666665916</v>
      </c>
      <c r="S50" s="719"/>
      <c r="T50" s="21">
        <v>0.31944444444444398</v>
      </c>
      <c r="U50" s="21">
        <v>0.38888888888888901</v>
      </c>
      <c r="V50" s="30">
        <f t="shared" ref="V50:V52" si="41">(T50-U49)*24*60</f>
        <v>9.999999999999325</v>
      </c>
      <c r="W50" s="236">
        <f t="shared" si="16"/>
        <v>100.00000000000084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38"/>
        <v>-163.20000000001073</v>
      </c>
      <c r="AG50" s="72">
        <f t="shared" si="39"/>
        <v>0.88666666666665916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2595</v>
      </c>
      <c r="H51" s="231">
        <f>F51*G51</f>
        <v>129672.15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0"/>
        <v>88.888888888888886</v>
      </c>
      <c r="M51" s="233">
        <v>18</v>
      </c>
      <c r="N51" s="234">
        <f>G51/W51*60</f>
        <v>1482.8571428571356</v>
      </c>
      <c r="O51" s="235">
        <f>N51/M51</f>
        <v>82.380952380951982</v>
      </c>
      <c r="P51" s="74">
        <f>M51-J51</f>
        <v>0</v>
      </c>
      <c r="Q51" s="83">
        <f>O51-L51</f>
        <v>-6.507936507936904</v>
      </c>
      <c r="R51" s="72">
        <f t="shared" si="37"/>
        <v>0.92678571428570977</v>
      </c>
      <c r="S51" s="719"/>
      <c r="T51" s="21">
        <v>0.39722222222222198</v>
      </c>
      <c r="U51" s="19">
        <v>0.47013888888888899</v>
      </c>
      <c r="V51" s="30">
        <f t="shared" si="41"/>
        <v>11.999999999999478</v>
      </c>
      <c r="W51" s="236">
        <f t="shared" si="16"/>
        <v>105.00000000000051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38"/>
        <v>-117.14285714286439</v>
      </c>
      <c r="AG51" s="72">
        <f t="shared" si="39"/>
        <v>0.92678571428570977</v>
      </c>
      <c r="AH51" s="725"/>
    </row>
    <row r="52" spans="1:34" ht="15" customHeight="1">
      <c r="A52" s="751"/>
      <c r="B52" s="75" t="s">
        <v>81</v>
      </c>
      <c r="C52" s="76"/>
      <c r="D52" s="59" t="s">
        <v>134</v>
      </c>
      <c r="E52" s="77"/>
      <c r="F52" s="75">
        <f>VLOOKUP(D52,廠價表!$C$1:$E$41,3,0)</f>
        <v>49.97</v>
      </c>
      <c r="G52" s="202">
        <v>1700</v>
      </c>
      <c r="H52" s="231">
        <f>F52*G52</f>
        <v>84949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0"/>
        <v>88.888888888888886</v>
      </c>
      <c r="M52" s="233">
        <v>18</v>
      </c>
      <c r="N52" s="234">
        <f>G52/W52*60</f>
        <v>1569.230769230767</v>
      </c>
      <c r="O52" s="235">
        <f>N52/M52</f>
        <v>87.179487179487055</v>
      </c>
      <c r="P52" s="74">
        <f>M52-J52</f>
        <v>0</v>
      </c>
      <c r="Q52" s="83">
        <f>O52-L52</f>
        <v>-1.7094017094018312</v>
      </c>
      <c r="R52" s="72">
        <f t="shared" si="37"/>
        <v>0.98076923076922939</v>
      </c>
      <c r="S52" s="719"/>
      <c r="T52" s="21">
        <v>0.53125</v>
      </c>
      <c r="U52" s="21">
        <v>0.57638888888888895</v>
      </c>
      <c r="V52" s="30">
        <f t="shared" si="41"/>
        <v>87.999999999999844</v>
      </c>
      <c r="W52" s="236">
        <f t="shared" si="16"/>
        <v>65.000000000000085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38"/>
        <v>-30.76923076923299</v>
      </c>
      <c r="AG52" s="72">
        <f t="shared" si="39"/>
        <v>0.98076923076922939</v>
      </c>
      <c r="AH52" s="725"/>
    </row>
    <row r="53" spans="1:34" ht="15" customHeight="1">
      <c r="A53" s="751"/>
      <c r="B53" s="75"/>
      <c r="C53" s="76"/>
      <c r="D53" s="59"/>
      <c r="E53" s="77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6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38"/>
        <v>0</v>
      </c>
      <c r="AG53" s="72" t="e">
        <f t="shared" si="39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6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6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6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6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2">AVERAGE(J49:J57)</f>
        <v>17</v>
      </c>
      <c r="K58" s="120">
        <f t="shared" si="42"/>
        <v>1551.25</v>
      </c>
      <c r="L58" s="117">
        <f t="shared" si="42"/>
        <v>91.894841269841265</v>
      </c>
      <c r="M58" s="120">
        <f t="shared" si="42"/>
        <v>17</v>
      </c>
      <c r="N58" s="120">
        <f t="shared" si="42"/>
        <v>1456.2219780219793</v>
      </c>
      <c r="O58" s="117">
        <f t="shared" si="42"/>
        <v>85.967887667887709</v>
      </c>
      <c r="P58" s="121">
        <f>M58-J58</f>
        <v>0</v>
      </c>
      <c r="Q58" s="122">
        <f>N58-K58</f>
        <v>-95.028021978020661</v>
      </c>
      <c r="R58" s="123">
        <f t="shared" ref="R58:R60" si="43">O58/L58</f>
        <v>0.93550286914855674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44">N58-K58</f>
        <v>-95.028021978020661</v>
      </c>
      <c r="AG58" s="124">
        <f t="shared" ref="AG58:AG61" si="45">N58/K58</f>
        <v>0.93874100114229131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2933</v>
      </c>
      <c r="H59" s="243">
        <f t="shared" ref="H59:H63" si="46">F59*G59</f>
        <v>79161.67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3" si="47">K59/J59</f>
        <v>120.38461538461539</v>
      </c>
      <c r="M59" s="244">
        <v>13</v>
      </c>
      <c r="N59" s="137">
        <f t="shared" ref="N59:N63" si="48">G59/W59*60</f>
        <v>1466.5000000000061</v>
      </c>
      <c r="O59" s="138">
        <f t="shared" ref="O59:O63" si="49">N59/M59</f>
        <v>112.80769230769278</v>
      </c>
      <c r="P59" s="56">
        <f t="shared" ref="P59:P63" si="50">M59-J59</f>
        <v>0</v>
      </c>
      <c r="Q59" s="230">
        <f t="shared" ref="Q59:Q63" si="51">O59-L59</f>
        <v>-7.5769230769226112</v>
      </c>
      <c r="R59" s="52">
        <f t="shared" si="43"/>
        <v>0.93706070287540322</v>
      </c>
      <c r="S59" s="718">
        <f>R69</f>
        <v>0.80946304095265409</v>
      </c>
      <c r="T59" s="245">
        <v>0.29166666666666702</v>
      </c>
      <c r="U59" s="245">
        <v>0.375</v>
      </c>
      <c r="V59" s="55"/>
      <c r="W59" s="54">
        <f t="shared" si="16"/>
        <v>119.99999999999949</v>
      </c>
      <c r="X59" s="639"/>
      <c r="Y59" s="640"/>
      <c r="Z59" s="169"/>
      <c r="AA59" s="169"/>
      <c r="AB59" s="723"/>
      <c r="AC59" s="723"/>
      <c r="AD59" s="135"/>
      <c r="AE59" s="135"/>
      <c r="AF59" s="310">
        <f t="shared" si="44"/>
        <v>-98.499999999993861</v>
      </c>
      <c r="AG59" s="246">
        <f t="shared" si="45"/>
        <v>0.93706070287540333</v>
      </c>
      <c r="AH59" s="724">
        <f>AG69</f>
        <v>0.81142608190531174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244</v>
      </c>
      <c r="H60" s="78">
        <f t="shared" si="46"/>
        <v>6946.6799999999994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7"/>
        <v>130.41666666666666</v>
      </c>
      <c r="M60" s="82">
        <v>12</v>
      </c>
      <c r="N60" s="80">
        <f t="shared" si="48"/>
        <v>813.33333333333621</v>
      </c>
      <c r="O60" s="81">
        <f t="shared" si="49"/>
        <v>67.777777777778013</v>
      </c>
      <c r="P60" s="74">
        <f t="shared" si="50"/>
        <v>0</v>
      </c>
      <c r="Q60" s="83">
        <f t="shared" si="51"/>
        <v>-62.638888888888644</v>
      </c>
      <c r="R60" s="72">
        <f t="shared" si="43"/>
        <v>0.51970181043663655</v>
      </c>
      <c r="S60" s="768"/>
      <c r="T60" s="22">
        <v>0.38541666666666702</v>
      </c>
      <c r="U60" s="22">
        <v>0.39791666666666697</v>
      </c>
      <c r="V60" s="30">
        <f t="shared" ref="V60:V63" si="52">(T60-U59)*24*60</f>
        <v>15.000000000000506</v>
      </c>
      <c r="W60" s="638">
        <f t="shared" si="16"/>
        <v>17.999999999999936</v>
      </c>
      <c r="X60" s="92"/>
      <c r="Y60" s="92"/>
      <c r="AA60" s="90"/>
      <c r="AB60" s="713" t="s">
        <v>146</v>
      </c>
      <c r="AC60" s="713"/>
      <c r="AD60" s="92"/>
      <c r="AE60" s="92"/>
      <c r="AF60" s="316">
        <f t="shared" si="44"/>
        <v>-751.66666666666379</v>
      </c>
      <c r="AG60" s="249">
        <f t="shared" si="45"/>
        <v>0.51970181043663655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1374</v>
      </c>
      <c r="H61" s="254">
        <f t="shared" si="46"/>
        <v>38829.240000000005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7"/>
        <v>130.41666666666666</v>
      </c>
      <c r="M61" s="108">
        <v>12</v>
      </c>
      <c r="N61" s="107">
        <f t="shared" si="48"/>
        <v>1498.9090909090678</v>
      </c>
      <c r="O61" s="238">
        <f t="shared" si="49"/>
        <v>124.90909090908899</v>
      </c>
      <c r="P61" s="111">
        <f t="shared" si="50"/>
        <v>0</v>
      </c>
      <c r="Q61" s="255">
        <f t="shared" si="51"/>
        <v>-5.5075757575776692</v>
      </c>
      <c r="R61" s="85">
        <f>O61/L61</f>
        <v>0.95776938716234372</v>
      </c>
      <c r="S61" s="719"/>
      <c r="T61" s="22">
        <v>0.40972222222222199</v>
      </c>
      <c r="U61" s="22">
        <v>0.44791666666666702</v>
      </c>
      <c r="V61" s="30">
        <f t="shared" si="52"/>
        <v>16.999999999999218</v>
      </c>
      <c r="W61" s="256">
        <f t="shared" si="16"/>
        <v>55.000000000000846</v>
      </c>
      <c r="X61" s="272"/>
      <c r="Y61" s="288"/>
      <c r="Z61" s="90"/>
      <c r="AA61" s="90"/>
      <c r="AB61" s="713"/>
      <c r="AC61" s="713"/>
      <c r="AD61" s="92"/>
      <c r="AE61" s="92"/>
      <c r="AF61" s="317">
        <f t="shared" si="44"/>
        <v>-66.0909090909322</v>
      </c>
      <c r="AG61" s="247">
        <f t="shared" si="45"/>
        <v>0.95776938716234361</v>
      </c>
      <c r="AH61" s="725"/>
    </row>
    <row r="62" spans="1:34" ht="15" customHeight="1">
      <c r="A62" s="766"/>
      <c r="B62" s="250" t="s">
        <v>135</v>
      </c>
      <c r="C62" s="251"/>
      <c r="D62" s="198" t="s">
        <v>196</v>
      </c>
      <c r="E62" s="253"/>
      <c r="F62" s="250">
        <f>VLOOKUP(D62,廠價表!$C$1:$E$41,3,0)</f>
        <v>28.26</v>
      </c>
      <c r="G62" s="38">
        <v>1264</v>
      </c>
      <c r="H62" s="254">
        <f t="shared" si="46"/>
        <v>35720.639999999999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47"/>
        <v>130.41666666666666</v>
      </c>
      <c r="M62" s="108">
        <v>12</v>
      </c>
      <c r="N62" s="107">
        <f t="shared" si="48"/>
        <v>1263.9999999999877</v>
      </c>
      <c r="O62" s="238">
        <f t="shared" si="49"/>
        <v>105.33333333333231</v>
      </c>
      <c r="P62" s="111">
        <f t="shared" si="50"/>
        <v>0</v>
      </c>
      <c r="Q62" s="255">
        <f t="shared" si="51"/>
        <v>-25.083333333334352</v>
      </c>
      <c r="R62" s="85">
        <f>O62/L62</f>
        <v>0.8076677316293851</v>
      </c>
      <c r="S62" s="719"/>
      <c r="T62" s="22">
        <v>0.47569444444444398</v>
      </c>
      <c r="U62" s="22">
        <v>0.51736111111111105</v>
      </c>
      <c r="V62" s="30">
        <f t="shared" si="52"/>
        <v>39.99999999999882</v>
      </c>
      <c r="W62" s="248">
        <f t="shared" si="16"/>
        <v>60.000000000000583</v>
      </c>
      <c r="X62" s="22">
        <v>0.52083333333333304</v>
      </c>
      <c r="Y62" s="84">
        <v>0.5625</v>
      </c>
      <c r="Z62" s="90"/>
      <c r="AA62" s="90"/>
      <c r="AB62" s="713"/>
      <c r="AC62" s="713"/>
      <c r="AD62" s="92"/>
      <c r="AE62" s="92"/>
      <c r="AF62" s="317">
        <f>N62-K62</f>
        <v>-301.00000000001228</v>
      </c>
      <c r="AG62" s="247">
        <f>N62/K62</f>
        <v>0.8076677316293851</v>
      </c>
      <c r="AH62" s="725"/>
    </row>
    <row r="63" spans="1:34" ht="15" customHeight="1">
      <c r="A63" s="766"/>
      <c r="B63" s="250" t="s">
        <v>135</v>
      </c>
      <c r="C63" s="251"/>
      <c r="D63" s="198" t="s">
        <v>196</v>
      </c>
      <c r="E63" s="253"/>
      <c r="F63" s="250">
        <f>VLOOKUP(D63,廠價表!$C$1:$E$41,3,0)</f>
        <v>28.26</v>
      </c>
      <c r="G63" s="38">
        <v>980</v>
      </c>
      <c r="H63" s="254">
        <f t="shared" si="46"/>
        <v>27694.800000000003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 t="shared" si="47"/>
        <v>130.41666666666666</v>
      </c>
      <c r="M63" s="108">
        <v>12</v>
      </c>
      <c r="N63" s="107">
        <f t="shared" si="48"/>
        <v>1306.6666666666667</v>
      </c>
      <c r="O63" s="238">
        <f t="shared" si="49"/>
        <v>108.8888888888889</v>
      </c>
      <c r="P63" s="111">
        <f t="shared" si="50"/>
        <v>0</v>
      </c>
      <c r="Q63" s="255">
        <f t="shared" si="51"/>
        <v>-21.527777777777757</v>
      </c>
      <c r="R63" s="85">
        <f>O63/L63</f>
        <v>0.83493077742279032</v>
      </c>
      <c r="S63" s="719"/>
      <c r="T63" s="22">
        <v>0.56597222222222199</v>
      </c>
      <c r="U63" s="22">
        <v>0.59722222222222199</v>
      </c>
      <c r="V63" s="30">
        <f t="shared" si="52"/>
        <v>69.999999999999744</v>
      </c>
      <c r="W63" s="248">
        <f t="shared" si="16"/>
        <v>45</v>
      </c>
      <c r="X63" s="261"/>
      <c r="Y63" s="291"/>
      <c r="Z63" s="335"/>
      <c r="AA63" s="335"/>
      <c r="AB63" s="713"/>
      <c r="AC63" s="713"/>
      <c r="AD63" s="92"/>
      <c r="AE63" s="92"/>
      <c r="AF63" s="317">
        <f>N63-K63</f>
        <v>-258.33333333333326</v>
      </c>
      <c r="AG63" s="247">
        <f>N63/K63</f>
        <v>0.8349307774227902</v>
      </c>
      <c r="AH63" s="725"/>
    </row>
    <row r="64" spans="1:34" ht="15" customHeight="1">
      <c r="A64" s="766"/>
      <c r="B64" s="250"/>
      <c r="C64" s="251"/>
      <c r="D64" s="635"/>
      <c r="E64" s="253"/>
      <c r="F64" s="250"/>
      <c r="G64" s="38"/>
      <c r="H64" s="254"/>
      <c r="I64" s="182"/>
      <c r="J64" s="106"/>
      <c r="K64" s="107"/>
      <c r="L64" s="238"/>
      <c r="M64" s="108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6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258"/>
      <c r="C65" s="58"/>
      <c r="D65" s="259"/>
      <c r="E65" s="60"/>
      <c r="F65" s="61"/>
      <c r="G65" s="260"/>
      <c r="H65" s="63"/>
      <c r="I65" s="260"/>
      <c r="J65" s="65"/>
      <c r="K65" s="66"/>
      <c r="L65" s="67"/>
      <c r="M65" s="68"/>
      <c r="N65" s="66"/>
      <c r="O65" s="67"/>
      <c r="P65" s="69"/>
      <c r="Q65" s="70"/>
      <c r="R65" s="71"/>
      <c r="S65" s="719"/>
      <c r="T65" s="22"/>
      <c r="U65" s="22"/>
      <c r="V65" s="30"/>
      <c r="W65" s="73">
        <f t="shared" si="16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6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6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6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3">AVERAGE(J59:J68)</f>
        <v>12.2</v>
      </c>
      <c r="K69" s="240">
        <f t="shared" si="53"/>
        <v>1565</v>
      </c>
      <c r="L69" s="268">
        <f t="shared" si="53"/>
        <v>128.41025641025641</v>
      </c>
      <c r="M69" s="240">
        <f t="shared" si="53"/>
        <v>12.2</v>
      </c>
      <c r="N69" s="240">
        <f t="shared" si="53"/>
        <v>1269.8818181818128</v>
      </c>
      <c r="O69" s="268">
        <f t="shared" si="53"/>
        <v>103.9433566433562</v>
      </c>
      <c r="P69" s="269">
        <f>M69-J69</f>
        <v>0</v>
      </c>
      <c r="Q69" s="222">
        <f>N69-K69</f>
        <v>-295.11818181818717</v>
      </c>
      <c r="R69" s="123">
        <f>O69/L69</f>
        <v>0.80946304095265409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-295.11818181818717</v>
      </c>
      <c r="AG69" s="124">
        <f>N69/K69</f>
        <v>0.81142608190531174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2478</v>
      </c>
      <c r="H70" s="243">
        <f>F70*G70</f>
        <v>125560.26000000001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9</v>
      </c>
      <c r="N70" s="137">
        <f>G70/W70*60</f>
        <v>826</v>
      </c>
      <c r="O70" s="138">
        <f>N70/M70</f>
        <v>91.777777777777771</v>
      </c>
      <c r="P70" s="56">
        <f>M70-J70</f>
        <v>-1</v>
      </c>
      <c r="Q70" s="230">
        <f>O70-L70</f>
        <v>-20.722222222222229</v>
      </c>
      <c r="R70" s="52">
        <f>O70/L70</f>
        <v>0.81580246913580245</v>
      </c>
      <c r="S70" s="718">
        <f>R79</f>
        <v>0.81580246913580245</v>
      </c>
      <c r="T70" s="245">
        <v>0.33680555555555602</v>
      </c>
      <c r="U70" s="245">
        <v>0.46180555555555602</v>
      </c>
      <c r="V70" s="55"/>
      <c r="W70" s="54">
        <f t="shared" si="16"/>
        <v>180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-299</v>
      </c>
      <c r="AG70" s="246">
        <f>N70/K70</f>
        <v>0.73422222222222222</v>
      </c>
      <c r="AH70" s="724">
        <f>AG79</f>
        <v>0.73422222222222222</v>
      </c>
    </row>
    <row r="71" spans="1:36" ht="15" customHeight="1">
      <c r="A71" s="761"/>
      <c r="B71" s="250"/>
      <c r="C71" s="251"/>
      <c r="D71" s="198"/>
      <c r="E71" s="253"/>
      <c r="F71" s="250"/>
      <c r="G71" s="38"/>
      <c r="H71" s="254"/>
      <c r="I71" s="182"/>
      <c r="J71" s="106"/>
      <c r="K71" s="107"/>
      <c r="L71" s="238"/>
      <c r="M71" s="108"/>
      <c r="N71" s="107"/>
      <c r="O71" s="238"/>
      <c r="P71" s="111"/>
      <c r="Q71" s="255"/>
      <c r="R71" s="85"/>
      <c r="S71" s="719"/>
      <c r="T71" s="22"/>
      <c r="U71" s="22"/>
      <c r="V71" s="30"/>
      <c r="W71" s="73">
        <f t="shared" si="16"/>
        <v>0</v>
      </c>
      <c r="X71" s="271"/>
      <c r="Y71" s="293"/>
      <c r="Z71" s="90"/>
      <c r="AA71" s="90"/>
      <c r="AB71" s="713"/>
      <c r="AC71" s="713"/>
      <c r="AD71" s="200"/>
      <c r="AE71" s="200"/>
      <c r="AF71" s="311"/>
      <c r="AG71" s="99"/>
      <c r="AH71" s="744"/>
    </row>
    <row r="72" spans="1:36" ht="15" customHeight="1">
      <c r="A72" s="761"/>
      <c r="B72" s="250"/>
      <c r="C72" s="251"/>
      <c r="D72" s="198"/>
      <c r="E72" s="253"/>
      <c r="F72" s="250"/>
      <c r="G72" s="38"/>
      <c r="H72" s="78"/>
      <c r="I72" s="30"/>
      <c r="J72" s="106"/>
      <c r="K72" s="107"/>
      <c r="L72" s="238"/>
      <c r="M72" s="108"/>
      <c r="N72" s="107"/>
      <c r="O72" s="238"/>
      <c r="P72" s="111"/>
      <c r="Q72" s="255"/>
      <c r="R72" s="85"/>
      <c r="S72" s="719"/>
      <c r="T72" s="22"/>
      <c r="U72" s="22"/>
      <c r="V72" s="30"/>
      <c r="W72" s="73">
        <f t="shared" si="16"/>
        <v>0</v>
      </c>
      <c r="X72" s="272"/>
      <c r="Y72" s="288"/>
      <c r="Z72" s="90"/>
      <c r="AA72" s="90"/>
      <c r="AB72" s="713"/>
      <c r="AC72" s="713"/>
      <c r="AD72" s="92"/>
      <c r="AE72" s="92"/>
      <c r="AF72" s="311"/>
      <c r="AG72" s="99"/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6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6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6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6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6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6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55">AVERAGE(J70:J78)</f>
        <v>10</v>
      </c>
      <c r="K79" s="240">
        <f t="shared" si="55"/>
        <v>1125</v>
      </c>
      <c r="L79" s="268">
        <f t="shared" si="55"/>
        <v>112.5</v>
      </c>
      <c r="M79" s="240">
        <f t="shared" si="55"/>
        <v>9</v>
      </c>
      <c r="N79" s="240">
        <f t="shared" si="55"/>
        <v>826</v>
      </c>
      <c r="O79" s="268">
        <f t="shared" si="55"/>
        <v>91.777777777777771</v>
      </c>
      <c r="P79" s="269">
        <f>M79-J79</f>
        <v>-1</v>
      </c>
      <c r="Q79" s="222">
        <f>N79-K79</f>
        <v>-299</v>
      </c>
      <c r="R79" s="223">
        <f>O79/L79</f>
        <v>0.81580246913580245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-299</v>
      </c>
      <c r="AG79" s="124">
        <f>N79/K79</f>
        <v>0.73422222222222222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V3:V4"/>
    <mergeCell ref="W3:W4"/>
    <mergeCell ref="X3:Y3"/>
    <mergeCell ref="Z3:AA3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</mergeCells>
  <phoneticPr fontId="0" type="noConversion"/>
  <conditionalFormatting sqref="P5:P79">
    <cfRule type="cellIs" dxfId="133" priority="1" operator="greaterThan">
      <formula>0</formula>
    </cfRule>
  </conditionalFormatting>
  <conditionalFormatting sqref="Q5:Q79">
    <cfRule type="cellIs" dxfId="132" priority="4" operator="lessThan">
      <formula>0</formula>
    </cfRule>
  </conditionalFormatting>
  <conditionalFormatting sqref="R5:R79">
    <cfRule type="cellIs" dxfId="131" priority="2" operator="greaterThan">
      <formula>1</formula>
    </cfRule>
    <cfRule type="cellIs" dxfId="130" priority="3" operator="lessThan">
      <formula>0.8</formula>
    </cfRule>
  </conditionalFormatting>
  <conditionalFormatting sqref="S5:S10 S37:S62 AH59:AH62 S69:S76 AH69:AH76">
    <cfRule type="cellIs" dxfId="129" priority="10" operator="lessThan">
      <formula>0.8</formula>
    </cfRule>
  </conditionalFormatting>
  <conditionalFormatting sqref="S19:S25 AH19:AH25">
    <cfRule type="cellIs" dxfId="128" priority="9" operator="lessThan">
      <formula>0.8</formula>
    </cfRule>
  </conditionalFormatting>
  <conditionalFormatting sqref="S79">
    <cfRule type="cellIs" dxfId="127" priority="8" operator="lessThan">
      <formula>0.8</formula>
    </cfRule>
  </conditionalFormatting>
  <conditionalFormatting sqref="AF5:AF79">
    <cfRule type="cellIs" dxfId="126" priority="7" operator="lessThan">
      <formula>0</formula>
    </cfRule>
  </conditionalFormatting>
  <conditionalFormatting sqref="AG5:AG79">
    <cfRule type="cellIs" dxfId="125" priority="5" operator="greaterThan">
      <formula>1</formula>
    </cfRule>
    <cfRule type="cellIs" dxfId="124" priority="6" operator="lessThan">
      <formula>0.8</formula>
    </cfRule>
  </conditionalFormatting>
  <conditionalFormatting sqref="AH5:AH8 S15:S16 AH15:AH16 AH49 AH79">
    <cfRule type="cellIs" dxfId="123" priority="12" operator="lessThan">
      <formula>0.8</formula>
    </cfRule>
  </conditionalFormatting>
  <conditionalFormatting sqref="AH27 S27:S28">
    <cfRule type="cellIs" dxfId="122" priority="11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A03E9D-05AD-430E-A4DE-E634B860533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5FB-32BA-437B-B5B6-E810D9B4B0AA}">
  <dimension ref="B1:R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46046</v>
      </c>
      <c r="E3" s="645"/>
      <c r="F3" s="3" t="s">
        <v>72</v>
      </c>
      <c r="G3" s="646">
        <f>'0124'!E1</f>
        <v>50213</v>
      </c>
      <c r="H3" s="646"/>
      <c r="I3" s="3" t="s">
        <v>2</v>
      </c>
      <c r="J3" s="647">
        <f>'0124'!G1</f>
        <v>2405758.7900000005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114.06129023809252</v>
      </c>
      <c r="G6" s="652"/>
      <c r="H6" s="653">
        <f>AVERAGE(D13:H13,J13)</f>
        <v>111.66979587606522</v>
      </c>
      <c r="I6" s="653"/>
      <c r="J6" s="653">
        <f>AVERAGE(I13)</f>
        <v>128.41025641025641</v>
      </c>
      <c r="K6" s="653"/>
      <c r="L6" s="769">
        <f>SUM(D18:J18)</f>
        <v>0</v>
      </c>
      <c r="M6" s="656">
        <f>SUM(D19:J19)</f>
        <v>0</v>
      </c>
      <c r="N6" s="771">
        <f>SUM(D20:J20)</f>
        <v>1</v>
      </c>
      <c r="O6" s="656">
        <f>SUM(D20:J20)</f>
        <v>1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105.65380131424739</v>
      </c>
      <c r="G7" s="676"/>
      <c r="H7" s="677">
        <f>AVERAGE(D14:H14,J14)</f>
        <v>105.52346679061327</v>
      </c>
      <c r="I7" s="677"/>
      <c r="J7" s="677">
        <f>AVERAGE(I14)</f>
        <v>106.43580845605213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0.92628972628404194</v>
      </c>
      <c r="G8" s="649"/>
      <c r="H8" s="649">
        <f>H7/H6</f>
        <v>0.94495978937515612</v>
      </c>
      <c r="I8" s="649"/>
      <c r="J8" s="649">
        <f>J7/J6</f>
        <v>0.82887310898283406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VALUE('0124'!L15)</f>
        <v>135.55688429217841</v>
      </c>
      <c r="E13" s="13">
        <f>VALUE('0124'!L26)</f>
        <v>162.27564102564102</v>
      </c>
      <c r="F13" s="13">
        <f>VALUE('0124'!L37)</f>
        <v>82.55030959752321</v>
      </c>
      <c r="G13" s="13">
        <f>VALUE('0124'!L48)</f>
        <v>85.241099071207429</v>
      </c>
      <c r="H13" s="13">
        <f>VALUE('0124'!L58)</f>
        <v>91.894841269841265</v>
      </c>
      <c r="I13" s="13">
        <f>VALUE('0124'!L69)</f>
        <v>128.41025641025641</v>
      </c>
      <c r="J13" s="13">
        <f>'0124'!L79</f>
        <v>112.5</v>
      </c>
    </row>
    <row r="14" spans="2:15" ht="39.950000000000003" customHeight="1">
      <c r="B14" s="670"/>
      <c r="C14" s="12" t="s">
        <v>100</v>
      </c>
      <c r="D14" s="13">
        <f>VALUE('0124'!O15)</f>
        <v>130.94541060273338</v>
      </c>
      <c r="E14" s="13">
        <f>VALUE('0124'!O26)</f>
        <v>153.84628774627407</v>
      </c>
      <c r="F14" s="13">
        <f>VALUE('0124'!O37)</f>
        <v>73.055876927689397</v>
      </c>
      <c r="G14" s="13">
        <f>VALUE('0124'!O48)</f>
        <v>77.319767942295158</v>
      </c>
      <c r="H14" s="13">
        <f>VALUE('0124'!O58)</f>
        <v>86.951235302465435</v>
      </c>
      <c r="I14" s="13">
        <f>VALUE('0124'!O69)</f>
        <v>106.43580845605213</v>
      </c>
      <c r="J14" s="13">
        <f>'0124'!O79</f>
        <v>111.02222222222221</v>
      </c>
    </row>
    <row r="15" spans="2:15" ht="39.950000000000003" customHeight="1">
      <c r="B15" s="671"/>
      <c r="C15" s="10" t="s">
        <v>26</v>
      </c>
      <c r="D15" s="14">
        <f>D14/D13</f>
        <v>0.96598126525610095</v>
      </c>
      <c r="E15" s="14">
        <f t="shared" ref="E15:I15" si="1">E14/E13</f>
        <v>0.94805533827449162</v>
      </c>
      <c r="F15" s="14">
        <f t="shared" si="1"/>
        <v>0.88498610464183314</v>
      </c>
      <c r="G15" s="14">
        <f t="shared" si="1"/>
        <v>0.90707145713483739</v>
      </c>
      <c r="H15" s="14">
        <f t="shared" si="1"/>
        <v>0.94620366171742587</v>
      </c>
      <c r="I15" s="14">
        <f t="shared" si="1"/>
        <v>0.82887310898283406</v>
      </c>
      <c r="J15" s="15">
        <f>'0124'!S70</f>
        <v>0.98686419753086407</v>
      </c>
    </row>
    <row r="16" spans="2:15" ht="17.25" customHeight="1">
      <c r="B16" s="672" t="s">
        <v>101</v>
      </c>
      <c r="C16" s="10" t="s">
        <v>34</v>
      </c>
      <c r="D16" s="16">
        <f>'0124'!T5</f>
        <v>0.29444444444444401</v>
      </c>
      <c r="E16" s="16">
        <f>'0124'!T16</f>
        <v>0.29027777777777802</v>
      </c>
      <c r="F16" s="16">
        <f>'0124'!T27</f>
        <v>0.29166666666666702</v>
      </c>
      <c r="G16" s="16">
        <f>'0124'!T38</f>
        <v>0.33333333333333298</v>
      </c>
      <c r="H16" s="16">
        <f>'0124'!T49</f>
        <v>0.29027777777777802</v>
      </c>
      <c r="I16" s="16">
        <f>'0124'!T59</f>
        <v>0.29166666666666702</v>
      </c>
      <c r="J16" s="16">
        <f>'0124'!T70</f>
        <v>0.44444444444444398</v>
      </c>
    </row>
    <row r="17" spans="2:18" ht="17.25" customHeight="1">
      <c r="B17" s="673"/>
      <c r="C17" s="10" t="s">
        <v>35</v>
      </c>
      <c r="D17" s="16">
        <v>0.624305555555556</v>
      </c>
      <c r="E17" s="19">
        <v>0.59791666666666698</v>
      </c>
      <c r="F17" s="19">
        <v>0.65972222222222199</v>
      </c>
      <c r="G17" s="20">
        <v>0.53402777777777799</v>
      </c>
      <c r="H17" s="21">
        <v>0.56944444444444398</v>
      </c>
      <c r="I17" s="22">
        <v>0.625</v>
      </c>
      <c r="J17" s="245">
        <v>0.53819444444444398</v>
      </c>
    </row>
    <row r="18" spans="2:18" ht="17.25" customHeight="1">
      <c r="B18" s="674" t="s">
        <v>102</v>
      </c>
      <c r="C18" s="330" t="s">
        <v>36</v>
      </c>
      <c r="D18" s="358">
        <f>'0124'!Z15</f>
        <v>0</v>
      </c>
      <c r="E18" s="359">
        <f>'0124'!Z26</f>
        <v>0</v>
      </c>
      <c r="F18" s="359">
        <f>'0124'!Z37</f>
        <v>0</v>
      </c>
      <c r="G18" s="360">
        <f>'0124'!Z48</f>
        <v>0</v>
      </c>
      <c r="H18" s="360">
        <f>'0124'!Z58</f>
        <v>0</v>
      </c>
      <c r="I18" s="359">
        <f>'0124'!Z69</f>
        <v>0</v>
      </c>
      <c r="J18" s="359">
        <f>'0124'!AA69</f>
        <v>0</v>
      </c>
    </row>
    <row r="19" spans="2:18" ht="17.25" customHeight="1">
      <c r="B19" s="675"/>
      <c r="C19" s="330" t="s">
        <v>37</v>
      </c>
      <c r="D19" s="358">
        <f>'0124'!AA15</f>
        <v>0</v>
      </c>
      <c r="E19" s="359">
        <f>'0124'!AA26</f>
        <v>0</v>
      </c>
      <c r="F19" s="359">
        <f>'0124'!AA37</f>
        <v>0</v>
      </c>
      <c r="G19" s="360">
        <f>'0124'!AA48</f>
        <v>0</v>
      </c>
      <c r="H19" s="360">
        <f>'0124'!AA58</f>
        <v>0</v>
      </c>
      <c r="I19" s="359">
        <f>'0124'!AA69</f>
        <v>0</v>
      </c>
      <c r="J19" s="359">
        <f>'0124'!AB69</f>
        <v>0</v>
      </c>
      <c r="R19" s="2" t="e">
        <f>O19/L19</f>
        <v>#DIV/0!</v>
      </c>
    </row>
    <row r="20" spans="2:18" ht="17.25" customHeight="1">
      <c r="B20" s="674" t="s">
        <v>103</v>
      </c>
      <c r="C20" s="330" t="s">
        <v>36</v>
      </c>
      <c r="D20" s="358">
        <f>'0124'!AD15</f>
        <v>1</v>
      </c>
      <c r="E20" s="359">
        <f>'0124'!AD26</f>
        <v>0</v>
      </c>
      <c r="F20" s="359">
        <f>'0124'!AD37</f>
        <v>0</v>
      </c>
      <c r="G20" s="360">
        <f>'0124'!AD48</f>
        <v>0</v>
      </c>
      <c r="H20" s="360">
        <f>'0124'!AD58</f>
        <v>0</v>
      </c>
      <c r="I20" s="359">
        <f>'0124'!AD69</f>
        <v>0</v>
      </c>
      <c r="J20" s="359">
        <f>'0124'!AD79</f>
        <v>0</v>
      </c>
    </row>
    <row r="21" spans="2:18" ht="17.25" customHeight="1">
      <c r="B21" s="675"/>
      <c r="C21" s="330" t="s">
        <v>85</v>
      </c>
      <c r="D21" s="358">
        <f>'0124'!AE15</f>
        <v>1</v>
      </c>
      <c r="E21" s="359">
        <f>'0124'!AE26</f>
        <v>0</v>
      </c>
      <c r="F21" s="359">
        <f>'0124'!AE37</f>
        <v>0</v>
      </c>
      <c r="G21" s="360">
        <f>'0124'!AE48</f>
        <v>0</v>
      </c>
      <c r="H21" s="360">
        <f>'0124'!AE58</f>
        <v>0</v>
      </c>
      <c r="I21" s="359">
        <f>'0124'!AE69</f>
        <v>0</v>
      </c>
      <c r="J21" s="359">
        <f>'0124'!AE79</f>
        <v>0</v>
      </c>
    </row>
    <row r="22" spans="2:18" ht="17.25" customHeight="1">
      <c r="B22" s="658" t="s">
        <v>104</v>
      </c>
      <c r="C22" s="659"/>
      <c r="D22" s="23">
        <f>VALUE('0124'!M15)</f>
        <v>14.8</v>
      </c>
      <c r="E22" s="23">
        <f>VALUE('0124'!M26)</f>
        <v>12.75</v>
      </c>
      <c r="F22" s="23">
        <f>VALUE('0124'!M37)</f>
        <v>14.75</v>
      </c>
      <c r="G22" s="23">
        <f>VALUE('0124'!M48)</f>
        <v>15.333333333333334</v>
      </c>
      <c r="H22" s="23">
        <f>VALUE('0124'!M58)</f>
        <v>17.25</v>
      </c>
      <c r="I22" s="23">
        <f>VALUE('0124'!M69)</f>
        <v>12.2</v>
      </c>
      <c r="J22" s="23">
        <f>'0124'!M79</f>
        <v>10</v>
      </c>
    </row>
    <row r="23" spans="2:18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8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8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8">
      <c r="B26" s="660"/>
      <c r="C26" s="66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21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390C-6EB3-4532-B858-D4EC240F2281}">
  <sheetPr>
    <tabColor theme="9" tint="0.79998168889431442"/>
  </sheetPr>
  <dimension ref="A1:AJ92"/>
  <sheetViews>
    <sheetView zoomScale="69" zoomScaleNormal="69" workbookViewId="0">
      <pane xSplit="5" ySplit="4" topLeftCell="V5" activePane="bottomRight" state="frozen"/>
      <selection activeCell="N15" sqref="N15"/>
      <selection pane="topRight" activeCell="N15" sqref="N15"/>
      <selection pane="bottomLeft" activeCell="N15" sqref="N15"/>
      <selection pane="bottomRight" activeCell="M16" sqref="M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50213</v>
      </c>
      <c r="F1" s="30" t="s">
        <v>2</v>
      </c>
      <c r="G1" s="31">
        <f>SUM(H5:H79)</f>
        <v>2405758.7900000005</v>
      </c>
      <c r="H1" s="32" t="s">
        <v>3</v>
      </c>
      <c r="I1" s="33">
        <f>M15+M26+M48+M58+M69+M79+M37</f>
        <v>97.083333333333329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211</v>
      </c>
      <c r="B2" s="678"/>
      <c r="C2" s="28"/>
      <c r="D2" s="28" t="s">
        <v>14</v>
      </c>
      <c r="E2" s="35">
        <f>AVERAGE(O15,O26,O37,O48,O58,O69,O79)</f>
        <v>105.65380131424739</v>
      </c>
      <c r="F2" s="36" t="s">
        <v>15</v>
      </c>
      <c r="G2" s="37">
        <f>G1/E1</f>
        <v>47.911074622109822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1</v>
      </c>
      <c r="AE2" s="340">
        <f>AE15+AE26+AE37+AE48+AE58+AE69+AE79</f>
        <v>1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844">
        <v>46044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121</v>
      </c>
      <c r="E5" s="41"/>
      <c r="F5" s="39">
        <f>VLOOKUP(D5,廠價表!$C$1:$E$41,3,0)</f>
        <v>57.21</v>
      </c>
      <c r="G5" s="42">
        <v>2142</v>
      </c>
      <c r="H5" s="43">
        <f>F5*G5</f>
        <v>122543.82</v>
      </c>
      <c r="I5" s="44"/>
      <c r="J5" s="45">
        <f>VLOOKUP(D5,產線配置圖!$A$3:$C$39,2,0)</f>
        <v>13</v>
      </c>
      <c r="K5" s="46">
        <f>VLOOKUP(D5,產線配置圖!$A$3:$C$39,3,0)</f>
        <v>2105</v>
      </c>
      <c r="L5" s="47">
        <f t="shared" ref="L5:L9" si="0">K5/J5</f>
        <v>161.92307692307693</v>
      </c>
      <c r="M5" s="48">
        <v>13</v>
      </c>
      <c r="N5" s="46">
        <f t="shared" ref="N5:N9" si="1">G5/W5*60</f>
        <v>1977.2307692307638</v>
      </c>
      <c r="O5" s="47">
        <f t="shared" ref="O5:O9" si="2">N5/M5</f>
        <v>152.0946745562126</v>
      </c>
      <c r="P5" s="49">
        <f t="shared" ref="P5:P9" si="3">M5-J5</f>
        <v>0</v>
      </c>
      <c r="Q5" s="50">
        <f t="shared" ref="Q5:Q9" si="4">O5-L5</f>
        <v>-9.8284023668643385</v>
      </c>
      <c r="R5" s="51">
        <f t="shared" ref="R5:R9" si="5">O5/L5</f>
        <v>0.93930202813813002</v>
      </c>
      <c r="S5" s="718">
        <f>R15</f>
        <v>0.96598126525610095</v>
      </c>
      <c r="T5" s="319">
        <v>0.29444444444444401</v>
      </c>
      <c r="U5" s="320">
        <v>0.33958333333333302</v>
      </c>
      <c r="V5" s="53"/>
      <c r="W5" s="54">
        <f t="shared" ref="W5:W14" si="6">(U5-T5)*24*60</f>
        <v>65.000000000000171</v>
      </c>
      <c r="X5" s="55"/>
      <c r="Y5" s="290"/>
      <c r="Z5" s="169"/>
      <c r="AA5" s="169"/>
      <c r="AB5" s="723" t="s">
        <v>142</v>
      </c>
      <c r="AC5" s="723"/>
      <c r="AD5" s="135">
        <v>1</v>
      </c>
      <c r="AE5" s="135">
        <v>1</v>
      </c>
      <c r="AF5" s="229">
        <f t="shared" ref="AF5:AF11" si="7">N5-K5</f>
        <v>-127.76923076923617</v>
      </c>
      <c r="AG5" s="52">
        <f t="shared" ref="AG5:AG11" si="8">N5/K5</f>
        <v>0.93930202813813013</v>
      </c>
      <c r="AH5" s="724">
        <f>AG15</f>
        <v>0.96636492396131268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1335</v>
      </c>
      <c r="H6" s="63">
        <f>F6*G6</f>
        <v>76375.350000000006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1907.1428571428348</v>
      </c>
      <c r="O6" s="67">
        <f t="shared" si="2"/>
        <v>112.18487394957852</v>
      </c>
      <c r="P6" s="69">
        <f t="shared" si="3"/>
        <v>0</v>
      </c>
      <c r="Q6" s="70">
        <f t="shared" si="4"/>
        <v>-5.4621848739508891</v>
      </c>
      <c r="R6" s="71">
        <f t="shared" si="5"/>
        <v>0.95357142857141741</v>
      </c>
      <c r="S6" s="719"/>
      <c r="T6" s="16">
        <v>0.35486111111111102</v>
      </c>
      <c r="U6" s="16">
        <v>0.38402777777777802</v>
      </c>
      <c r="V6" s="30">
        <f>(T6-U5)*24*60</f>
        <v>22.00000000000032</v>
      </c>
      <c r="W6" s="73">
        <f t="shared" si="6"/>
        <v>42.00000000000049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-92.857142857165172</v>
      </c>
      <c r="AG6" s="72">
        <f t="shared" si="8"/>
        <v>0.95357142857141741</v>
      </c>
      <c r="AH6" s="725"/>
    </row>
    <row r="7" spans="1:34" ht="15" customHeight="1">
      <c r="A7" s="715"/>
      <c r="B7" s="75" t="s">
        <v>81</v>
      </c>
      <c r="C7" s="76"/>
      <c r="D7" s="59" t="s">
        <v>190</v>
      </c>
      <c r="E7" s="77"/>
      <c r="F7" s="75">
        <f>VLOOKUP(D7,廠價表!$C$1:$E$41,3,0)</f>
        <v>56.28</v>
      </c>
      <c r="G7" s="66">
        <v>2507</v>
      </c>
      <c r="H7" s="78">
        <f>F7*G7</f>
        <v>141093.96</v>
      </c>
      <c r="I7" s="73"/>
      <c r="J7" s="79">
        <f>VLOOKUP(D7,產線配置圖!$A$3:$C$39,2,0)</f>
        <v>16</v>
      </c>
      <c r="K7" s="80">
        <f>VLOOKUP(D7,產線配置圖!$A$3:$C$39,3,0)</f>
        <v>1800</v>
      </c>
      <c r="L7" s="81">
        <f t="shared" si="0"/>
        <v>112.5</v>
      </c>
      <c r="M7" s="82">
        <v>16</v>
      </c>
      <c r="N7" s="80">
        <f t="shared" si="1"/>
        <v>1769.6470588235525</v>
      </c>
      <c r="O7" s="81">
        <f t="shared" si="2"/>
        <v>110.60294117647203</v>
      </c>
      <c r="P7" s="74">
        <f t="shared" si="3"/>
        <v>0</v>
      </c>
      <c r="Q7" s="83">
        <f t="shared" si="4"/>
        <v>-1.8970588235279706</v>
      </c>
      <c r="R7" s="72">
        <f t="shared" si="5"/>
        <v>0.98313725490197357</v>
      </c>
      <c r="S7" s="719"/>
      <c r="T7" s="18">
        <v>0.391666666666667</v>
      </c>
      <c r="U7" s="18">
        <v>0.45069444444444401</v>
      </c>
      <c r="V7" s="30">
        <f>(T7-U6)*24*60</f>
        <v>11.000000000000121</v>
      </c>
      <c r="W7" s="73">
        <f t="shared" si="6"/>
        <v>84.999999999998892</v>
      </c>
      <c r="X7" s="22"/>
      <c r="Y7" s="84"/>
      <c r="Z7" s="90"/>
      <c r="AA7" s="90"/>
      <c r="AB7" s="728"/>
      <c r="AC7" s="713"/>
      <c r="AD7" s="92"/>
      <c r="AE7" s="92"/>
      <c r="AF7" s="307">
        <f t="shared" si="7"/>
        <v>-30.35294117644753</v>
      </c>
      <c r="AG7" s="72">
        <f t="shared" si="8"/>
        <v>0.98313725490197357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1243</v>
      </c>
      <c r="H8" s="78">
        <f t="shared" ref="H8:H9" si="9">F8*G8</f>
        <v>61081.020000000004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1962.6315789473629</v>
      </c>
      <c r="O8" s="81">
        <f t="shared" si="2"/>
        <v>140.18796992481163</v>
      </c>
      <c r="P8" s="74">
        <f t="shared" si="3"/>
        <v>0</v>
      </c>
      <c r="Q8" s="83">
        <f t="shared" si="4"/>
        <v>-2.6691729323312359</v>
      </c>
      <c r="R8" s="72">
        <f t="shared" si="5"/>
        <v>0.98131578947368137</v>
      </c>
      <c r="S8" s="719"/>
      <c r="T8" s="16">
        <v>0.46111111111111103</v>
      </c>
      <c r="U8" s="16">
        <v>0.48749999999999999</v>
      </c>
      <c r="V8" s="30">
        <f t="shared" ref="V8:V9" si="10">(T8-U7)*24*60</f>
        <v>15.000000000000506</v>
      </c>
      <c r="W8" s="73">
        <f t="shared" si="6"/>
        <v>38.000000000000107</v>
      </c>
      <c r="X8" s="22">
        <v>0.5</v>
      </c>
      <c r="Y8" s="84">
        <v>0.54166666666666696</v>
      </c>
      <c r="Z8" s="90"/>
      <c r="AA8" s="90"/>
      <c r="AB8" s="728"/>
      <c r="AC8" s="728"/>
      <c r="AD8" s="149"/>
      <c r="AE8" s="149"/>
      <c r="AF8" s="307">
        <f t="shared" si="7"/>
        <v>-37.368421052637132</v>
      </c>
      <c r="AG8" s="72">
        <f t="shared" si="8"/>
        <v>0.98131578947368148</v>
      </c>
      <c r="AH8" s="725"/>
    </row>
    <row r="9" spans="1:34" ht="15" customHeight="1">
      <c r="A9" s="716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3389</v>
      </c>
      <c r="H9" s="78">
        <f t="shared" si="9"/>
        <v>166535.46</v>
      </c>
      <c r="I9" s="73"/>
      <c r="J9" s="79">
        <f>VLOOKUP(D9,產線配置圖!$A$3:$C$39,2,0)</f>
        <v>14</v>
      </c>
      <c r="K9" s="80">
        <f>VLOOKUP(D9,產線配置圖!$A$3:$C$39,3,0)</f>
        <v>2000</v>
      </c>
      <c r="L9" s="81">
        <f t="shared" si="0"/>
        <v>142.85714285714286</v>
      </c>
      <c r="M9" s="82">
        <v>14</v>
      </c>
      <c r="N9" s="80">
        <f t="shared" si="1"/>
        <v>1955.1923076922876</v>
      </c>
      <c r="O9" s="81">
        <f t="shared" si="2"/>
        <v>139.65659340659198</v>
      </c>
      <c r="P9" s="74">
        <f t="shared" si="3"/>
        <v>0</v>
      </c>
      <c r="Q9" s="83">
        <f t="shared" si="4"/>
        <v>-3.2005494505508807</v>
      </c>
      <c r="R9" s="72">
        <f t="shared" si="5"/>
        <v>0.97759615384614384</v>
      </c>
      <c r="S9" s="720"/>
      <c r="T9" s="16">
        <v>0.55208333333333304</v>
      </c>
      <c r="U9" s="16">
        <v>0.624305555555556</v>
      </c>
      <c r="V9" s="30">
        <f t="shared" si="10"/>
        <v>92.999999999999588</v>
      </c>
      <c r="W9" s="73">
        <f t="shared" si="6"/>
        <v>104.00000000000107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-44.807692307712387</v>
      </c>
      <c r="AG9" s="72">
        <f t="shared" si="8"/>
        <v>0.97759615384614384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11">AVERAGE(J5:J14)</f>
        <v>14.8</v>
      </c>
      <c r="K15" s="120">
        <f t="shared" si="11"/>
        <v>1981</v>
      </c>
      <c r="L15" s="117">
        <f t="shared" si="11"/>
        <v>135.55688429217841</v>
      </c>
      <c r="M15" s="120">
        <f t="shared" si="11"/>
        <v>14.8</v>
      </c>
      <c r="N15" s="120">
        <f t="shared" si="11"/>
        <v>1914.3689143673605</v>
      </c>
      <c r="O15" s="117">
        <f t="shared" si="11"/>
        <v>130.94541060273338</v>
      </c>
      <c r="P15" s="121">
        <f t="shared" ref="P15:P19" si="12">M15-J15</f>
        <v>0</v>
      </c>
      <c r="Q15" s="122">
        <f t="shared" ref="Q15:Q19" si="13">O15-L15</f>
        <v>-4.6114736894450346</v>
      </c>
      <c r="R15" s="123">
        <f t="shared" ref="R15:R16" si="14">O15/L15</f>
        <v>0.96598126525610095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1</v>
      </c>
      <c r="AE15" s="323">
        <f>SUM(AE5:AE14)</f>
        <v>1</v>
      </c>
      <c r="AF15" s="309">
        <f t="shared" ref="AF15:AF19" si="15">N15-K15</f>
        <v>-66.631085632639497</v>
      </c>
      <c r="AG15" s="124">
        <f t="shared" ref="AG15:AG19" si="16">N15/K15</f>
        <v>0.96636492396131268</v>
      </c>
      <c r="AH15" s="727"/>
    </row>
    <row r="16" spans="1:34" ht="15" customHeight="1">
      <c r="A16" s="740" t="s">
        <v>43</v>
      </c>
      <c r="B16" s="75" t="s">
        <v>81</v>
      </c>
      <c r="C16" s="628"/>
      <c r="D16" s="252" t="s">
        <v>121</v>
      </c>
      <c r="E16" s="629"/>
      <c r="F16" s="75">
        <f>VLOOKUP(D16,廠價表!$C$1:$E$41,3,0)</f>
        <v>57.21</v>
      </c>
      <c r="G16" s="147">
        <v>3101</v>
      </c>
      <c r="H16" s="630">
        <f>F16*G16</f>
        <v>177408.21</v>
      </c>
      <c r="I16" s="631"/>
      <c r="J16" s="632">
        <f>VLOOKUP(D16,產線配置圖!$A$3:$C$39,2,0)</f>
        <v>13</v>
      </c>
      <c r="K16" s="633">
        <f>VLOOKUP(D16,產線配置圖!$A$3:$C$39,3,0)</f>
        <v>2105</v>
      </c>
      <c r="L16" s="634">
        <f t="shared" ref="L16:L19" si="17">K16/J16</f>
        <v>161.92307692307693</v>
      </c>
      <c r="M16" s="148">
        <v>14</v>
      </c>
      <c r="N16" s="95">
        <f>G16/W16*60</f>
        <v>2000.6451612903329</v>
      </c>
      <c r="O16" s="96">
        <f>N16/M16</f>
        <v>142.90322580645235</v>
      </c>
      <c r="P16" s="97">
        <f t="shared" si="12"/>
        <v>1</v>
      </c>
      <c r="Q16" s="98">
        <f t="shared" si="13"/>
        <v>-19.019851116624579</v>
      </c>
      <c r="R16" s="99">
        <f t="shared" si="14"/>
        <v>0.8825377365719147</v>
      </c>
      <c r="S16" s="734">
        <f>R26</f>
        <v>0.94805533827449162</v>
      </c>
      <c r="T16" s="145">
        <v>0.29027777777777802</v>
      </c>
      <c r="U16" s="145">
        <v>0.35486111111111102</v>
      </c>
      <c r="V16" s="135"/>
      <c r="W16" s="146">
        <f t="shared" ref="W16:W78" si="18">(U16-T16)*24*60</f>
        <v>92.999999999999517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5"/>
        <v>-104.35483870966709</v>
      </c>
      <c r="AG16" s="52">
        <f t="shared" si="16"/>
        <v>0.95042525476975437</v>
      </c>
      <c r="AH16" s="724">
        <f>AG26</f>
        <v>0.9646046355492125</v>
      </c>
    </row>
    <row r="17" spans="1:34" ht="15" customHeight="1">
      <c r="A17" s="741"/>
      <c r="B17" s="207" t="s">
        <v>81</v>
      </c>
      <c r="C17" s="617"/>
      <c r="D17" s="175" t="s">
        <v>123</v>
      </c>
      <c r="E17" s="637"/>
      <c r="F17" s="75">
        <f>VLOOKUP(D17,廠價表!$C$1:$E$41,3,0)</f>
        <v>50.67</v>
      </c>
      <c r="G17" s="618">
        <v>3040</v>
      </c>
      <c r="H17" s="619">
        <f>F17*G17</f>
        <v>154036.80000000002</v>
      </c>
      <c r="I17" s="620"/>
      <c r="J17" s="621">
        <f>VLOOKUP(D17,產線配置圖!$A$3:$C$39,2,0)</f>
        <v>13</v>
      </c>
      <c r="K17" s="234">
        <f>VLOOKUP(D17,產線配置圖!$A$3:$C$39,3,0)</f>
        <v>2000</v>
      </c>
      <c r="L17" s="235">
        <f t="shared" si="17"/>
        <v>153.84615384615384</v>
      </c>
      <c r="M17" s="622">
        <v>13</v>
      </c>
      <c r="N17" s="623">
        <f t="shared" ref="N17:N18" si="19">G17/W17*60</f>
        <v>1919.9999999999777</v>
      </c>
      <c r="O17" s="624">
        <f>N17/M17</f>
        <v>147.69230769230597</v>
      </c>
      <c r="P17" s="625">
        <f>M17-J17</f>
        <v>0</v>
      </c>
      <c r="Q17" s="626">
        <f t="shared" si="13"/>
        <v>-6.1538461538478657</v>
      </c>
      <c r="R17" s="627">
        <f>O17/L17</f>
        <v>0.95999999999998886</v>
      </c>
      <c r="S17" s="735"/>
      <c r="T17" s="19">
        <v>0.36319444444444399</v>
      </c>
      <c r="U17" s="19">
        <v>0.42916666666666697</v>
      </c>
      <c r="V17" s="30">
        <f>(T17-U16)*24*60</f>
        <v>11.999999999999478</v>
      </c>
      <c r="W17" s="149">
        <f t="shared" si="18"/>
        <v>95.000000000001108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5"/>
        <v>-80.000000000022283</v>
      </c>
      <c r="AG17" s="72">
        <f t="shared" si="16"/>
        <v>0.95999999999998886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636"/>
      <c r="F18" s="75">
        <f>VLOOKUP(D18,廠價表!$C$1:$E$41,3,0)</f>
        <v>50.39</v>
      </c>
      <c r="G18" s="147">
        <v>1946</v>
      </c>
      <c r="H18" s="78">
        <f>F18*G18</f>
        <v>98058.94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7"/>
        <v>166.66666666666666</v>
      </c>
      <c r="M18" s="148">
        <v>12</v>
      </c>
      <c r="N18" s="95">
        <f t="shared" si="19"/>
        <v>1945.9999999999836</v>
      </c>
      <c r="O18" s="96">
        <f>N18/M18</f>
        <v>162.16666666666529</v>
      </c>
      <c r="P18" s="97">
        <f>M18-J18</f>
        <v>0</v>
      </c>
      <c r="Q18" s="98">
        <f t="shared" si="13"/>
        <v>-4.5000000000013642</v>
      </c>
      <c r="R18" s="99">
        <f>O18/L18</f>
        <v>0.97299999999999176</v>
      </c>
      <c r="S18" s="735"/>
      <c r="T18" s="19">
        <v>0.4375</v>
      </c>
      <c r="U18" s="19">
        <v>0.47916666666666702</v>
      </c>
      <c r="V18" s="30">
        <f>(T18-U17)*24*60</f>
        <v>11.999999999999558</v>
      </c>
      <c r="W18" s="149">
        <f t="shared" si="18"/>
        <v>60.000000000000504</v>
      </c>
      <c r="X18" s="22">
        <v>0.48958333333333298</v>
      </c>
      <c r="Y18" s="84">
        <v>0.53125</v>
      </c>
      <c r="Z18" s="90"/>
      <c r="AA18" s="90"/>
      <c r="AB18" s="713"/>
      <c r="AC18" s="713"/>
      <c r="AD18" s="92"/>
      <c r="AE18" s="92"/>
      <c r="AF18" s="307">
        <f t="shared" si="15"/>
        <v>-54.000000000016371</v>
      </c>
      <c r="AG18" s="72">
        <f t="shared" si="16"/>
        <v>0.97299999999999176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636"/>
      <c r="F19" s="75">
        <f>VLOOKUP(D19,廠價表!$C$1:$E$41,3,0)</f>
        <v>50.39</v>
      </c>
      <c r="G19" s="147">
        <v>1984</v>
      </c>
      <c r="H19" s="78">
        <f>F19*G19</f>
        <v>99973.759999999995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7"/>
        <v>166.66666666666666</v>
      </c>
      <c r="M19" s="148">
        <v>12</v>
      </c>
      <c r="N19" s="95">
        <f>G19/W19*60</f>
        <v>1951.4754098360725</v>
      </c>
      <c r="O19" s="96">
        <f>N19/M19</f>
        <v>162.6229508196727</v>
      </c>
      <c r="P19" s="97">
        <f t="shared" si="12"/>
        <v>0</v>
      </c>
      <c r="Q19" s="98">
        <f t="shared" si="13"/>
        <v>-4.0437158469939618</v>
      </c>
      <c r="R19" s="99">
        <f>O19/L19</f>
        <v>0.97573770491803624</v>
      </c>
      <c r="S19" s="735"/>
      <c r="T19" s="19">
        <v>0.55555555555555602</v>
      </c>
      <c r="U19" s="19">
        <v>0.59791666666666698</v>
      </c>
      <c r="V19" s="30">
        <f>(T19-U18)*24*60</f>
        <v>110.00000000000017</v>
      </c>
      <c r="W19" s="149">
        <f>(U19-T19)*24*60</f>
        <v>60.999999999999787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5"/>
        <v>-48.524590163927542</v>
      </c>
      <c r="AG19" s="72">
        <f t="shared" si="16"/>
        <v>0.97573770491803624</v>
      </c>
      <c r="AH19" s="726"/>
    </row>
    <row r="20" spans="1:34" ht="15" customHeight="1">
      <c r="A20" s="741"/>
      <c r="B20" s="75"/>
      <c r="C20" s="628"/>
      <c r="D20" s="252"/>
      <c r="E20" s="629"/>
      <c r="F20" s="75"/>
      <c r="G20" s="147"/>
      <c r="H20" s="630"/>
      <c r="I20" s="631"/>
      <c r="J20" s="632"/>
      <c r="K20" s="633"/>
      <c r="L20" s="634"/>
      <c r="M20" s="148"/>
      <c r="N20" s="95"/>
      <c r="O20" s="96"/>
      <c r="P20" s="97"/>
      <c r="Q20" s="98"/>
      <c r="R20" s="99"/>
      <c r="S20" s="735"/>
      <c r="T20" s="19"/>
      <c r="U20" s="19"/>
      <c r="V20" s="30"/>
      <c r="W20" s="149">
        <f>(U20-T20)*24*60</f>
        <v>0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9"/>
      <c r="U21" s="19"/>
      <c r="V21" s="30"/>
      <c r="W21" s="149">
        <f t="shared" si="18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8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1">AVERAGE(J16:J25)</f>
        <v>12.5</v>
      </c>
      <c r="K26" s="155">
        <f t="shared" si="21"/>
        <v>2026.25</v>
      </c>
      <c r="L26" s="158">
        <f t="shared" si="21"/>
        <v>162.27564102564102</v>
      </c>
      <c r="M26" s="155">
        <f t="shared" si="21"/>
        <v>12.75</v>
      </c>
      <c r="N26" s="155">
        <f t="shared" si="21"/>
        <v>1954.5301427815918</v>
      </c>
      <c r="O26" s="158">
        <f t="shared" si="21"/>
        <v>153.84628774627407</v>
      </c>
      <c r="P26" s="159">
        <f t="shared" ref="P26:P29" si="22">M26-J26</f>
        <v>0.25</v>
      </c>
      <c r="Q26" s="160">
        <f t="shared" ref="Q26:Q29" si="23">O26-L26</f>
        <v>-8.4293532793669499</v>
      </c>
      <c r="R26" s="161">
        <f>O26/L26</f>
        <v>0.94805533827449162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24">N26-K26</f>
        <v>-71.719857218408151</v>
      </c>
      <c r="AG26" s="124">
        <f t="shared" ref="AG26:AG31" si="25">N26/K26</f>
        <v>0.9646046355492125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f>1378+23</f>
        <v>1401</v>
      </c>
      <c r="H27" s="134">
        <f>F27*G27</f>
        <v>80277.3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6">K27/J27</f>
        <v>88.235294117647058</v>
      </c>
      <c r="M27" s="170">
        <v>17</v>
      </c>
      <c r="N27" s="140">
        <f>G27/W27*60</f>
        <v>1401.0000000000236</v>
      </c>
      <c r="O27" s="141">
        <f>N27/M27</f>
        <v>82.411764705883741</v>
      </c>
      <c r="P27" s="142">
        <f t="shared" si="22"/>
        <v>0</v>
      </c>
      <c r="Q27" s="143">
        <f t="shared" si="23"/>
        <v>-5.8235294117633174</v>
      </c>
      <c r="R27" s="144">
        <f>O27/L27</f>
        <v>0.93400000000001571</v>
      </c>
      <c r="S27" s="734">
        <f>R37</f>
        <v>0.88498610464183314</v>
      </c>
      <c r="T27" s="171">
        <v>0.29166666666666702</v>
      </c>
      <c r="U27" s="171">
        <v>0.33333333333333298</v>
      </c>
      <c r="V27" s="135"/>
      <c r="W27" s="146">
        <f t="shared" si="18"/>
        <v>59.999999999998991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4"/>
        <v>-98.999999999976353</v>
      </c>
      <c r="AG27" s="172">
        <f t="shared" si="25"/>
        <v>0.93400000000001582</v>
      </c>
      <c r="AH27" s="724">
        <f>AG37</f>
        <v>0.76086889837775717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1335</v>
      </c>
      <c r="H28" s="91">
        <f>F28*G28</f>
        <v>73598.55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6"/>
        <v>81.470588235294116</v>
      </c>
      <c r="M28" s="94">
        <v>15</v>
      </c>
      <c r="N28" s="95">
        <f>G28/W28*60</f>
        <v>1013.9240506328956</v>
      </c>
      <c r="O28" s="96">
        <f>N28/M28</f>
        <v>67.594936708859706</v>
      </c>
      <c r="P28" s="97">
        <f t="shared" si="22"/>
        <v>-2</v>
      </c>
      <c r="Q28" s="98">
        <f t="shared" si="23"/>
        <v>-13.87565152643441</v>
      </c>
      <c r="R28" s="99">
        <f t="shared" ref="R28:R29" si="27">O28/L28</f>
        <v>0.8296851437188556</v>
      </c>
      <c r="S28" s="735"/>
      <c r="T28" s="19">
        <v>0.33819444444444402</v>
      </c>
      <c r="U28" s="19">
        <v>0.39305555555555599</v>
      </c>
      <c r="V28" s="92">
        <f>(T28-U27)*24*60</f>
        <v>6.9999999999998952</v>
      </c>
      <c r="W28" s="149">
        <f t="shared" si="18"/>
        <v>79.000000000001236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4"/>
        <v>-371.07594936710439</v>
      </c>
      <c r="AG28" s="99">
        <f t="shared" si="25"/>
        <v>0.73207512681075493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1770</v>
      </c>
      <c r="H29" s="91">
        <f>F29*G29</f>
        <v>87650.400000000009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6"/>
        <v>84.705882352941174</v>
      </c>
      <c r="M29" s="94">
        <v>13</v>
      </c>
      <c r="N29" s="95">
        <f>G29/W29*60</f>
        <v>1051.4851485148504</v>
      </c>
      <c r="O29" s="96">
        <f>N29/M29</f>
        <v>80.883472962680798</v>
      </c>
      <c r="P29" s="97">
        <f t="shared" si="22"/>
        <v>-4</v>
      </c>
      <c r="Q29" s="98">
        <f t="shared" si="23"/>
        <v>-3.8224093902603755</v>
      </c>
      <c r="R29" s="99">
        <f t="shared" si="27"/>
        <v>0.95487433358720386</v>
      </c>
      <c r="S29" s="735"/>
      <c r="T29" s="19">
        <v>0.39861111111111103</v>
      </c>
      <c r="U29" s="19">
        <v>0.46875</v>
      </c>
      <c r="V29" s="92">
        <f>(T29-U28)*24*60</f>
        <v>7.9999999999992522</v>
      </c>
      <c r="W29" s="149">
        <f t="shared" si="18"/>
        <v>101.00000000000011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4"/>
        <v>-388.51485148514962</v>
      </c>
      <c r="AG29" s="99">
        <f t="shared" si="25"/>
        <v>0.7301980198019794</v>
      </c>
      <c r="AH29" s="744"/>
    </row>
    <row r="30" spans="1:34" ht="15" customHeight="1">
      <c r="A30" s="732"/>
      <c r="B30" s="75" t="s">
        <v>117</v>
      </c>
      <c r="C30" s="88"/>
      <c r="D30" s="59" t="s">
        <v>118</v>
      </c>
      <c r="E30" s="89"/>
      <c r="F30" s="75">
        <v>44.3</v>
      </c>
      <c r="G30" s="90">
        <v>1998</v>
      </c>
      <c r="H30" s="91">
        <v>91701</v>
      </c>
      <c r="I30" s="92"/>
      <c r="J30" s="79">
        <v>19</v>
      </c>
      <c r="K30" s="80">
        <v>1440</v>
      </c>
      <c r="L30" s="93">
        <v>75.78947368421052</v>
      </c>
      <c r="M30" s="94">
        <v>14</v>
      </c>
      <c r="N30" s="95">
        <v>920</v>
      </c>
      <c r="O30" s="96">
        <v>61.333333333333336</v>
      </c>
      <c r="P30" s="97">
        <v>-4</v>
      </c>
      <c r="Q30" s="98">
        <v>-14.456140350877185</v>
      </c>
      <c r="R30" s="99">
        <v>0.80925925925925934</v>
      </c>
      <c r="S30" s="735"/>
      <c r="T30" s="19">
        <v>0.55833333333333302</v>
      </c>
      <c r="U30" s="19">
        <v>0.65972222222222199</v>
      </c>
      <c r="V30" s="92">
        <f>(T30-U29)*24*60</f>
        <v>128.99999999999955</v>
      </c>
      <c r="W30" s="149">
        <f t="shared" si="18"/>
        <v>146.00000000000011</v>
      </c>
      <c r="X30" s="174">
        <v>0.47916666666666702</v>
      </c>
      <c r="Y30" s="301">
        <v>0.52083333333333304</v>
      </c>
      <c r="Z30" s="335"/>
      <c r="AA30" s="335"/>
      <c r="AB30" s="713"/>
      <c r="AC30" s="713"/>
      <c r="AD30" s="92"/>
      <c r="AE30" s="92"/>
      <c r="AF30" s="312">
        <f t="shared" si="24"/>
        <v>-520</v>
      </c>
      <c r="AG30" s="99">
        <f t="shared" si="25"/>
        <v>0.63888888888888884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4"/>
        <v>0</v>
      </c>
      <c r="AG31" s="99" t="e">
        <f t="shared" si="25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18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28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29">AVERAGE(J27:J36)</f>
        <v>17.5</v>
      </c>
      <c r="K37" s="155">
        <f t="shared" si="29"/>
        <v>1441.25</v>
      </c>
      <c r="L37" s="158">
        <f t="shared" si="29"/>
        <v>82.55030959752321</v>
      </c>
      <c r="M37" s="155">
        <f t="shared" si="29"/>
        <v>14.75</v>
      </c>
      <c r="N37" s="155">
        <f t="shared" si="29"/>
        <v>1096.6022997869425</v>
      </c>
      <c r="O37" s="158">
        <f t="shared" si="29"/>
        <v>73.055876927689397</v>
      </c>
      <c r="P37" s="159">
        <f>M37-J37</f>
        <v>-2.75</v>
      </c>
      <c r="Q37" s="160">
        <f>N37-K37</f>
        <v>-344.64770021305753</v>
      </c>
      <c r="R37" s="161">
        <f t="shared" ref="R37:R40" si="30">O37/L37</f>
        <v>0.88498610464183314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3">
        <f>SUM(AD27:AD36)</f>
        <v>0</v>
      </c>
      <c r="AE37" s="323">
        <f>SUM(AE27:AE36)</f>
        <v>0</v>
      </c>
      <c r="AF37" s="309">
        <f t="shared" ref="AF37:AF40" si="31">N37-K37</f>
        <v>-344.64770021305753</v>
      </c>
      <c r="AG37" s="124">
        <f t="shared" ref="AG37:AG40" si="32">N37/K37</f>
        <v>0.76086889837775717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1150</v>
      </c>
      <c r="H38" s="134">
        <f>F38*G38</f>
        <v>64894.5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3">K38/J38</f>
        <v>87.875</v>
      </c>
      <c r="M38" s="190">
        <v>12</v>
      </c>
      <c r="N38" s="140">
        <f>G38/W38*60</f>
        <v>1029.8507462686518</v>
      </c>
      <c r="O38" s="141">
        <f>N38/M38</f>
        <v>85.820895522387659</v>
      </c>
      <c r="P38" s="142">
        <f t="shared" ref="P38:P40" si="34">M38-J38</f>
        <v>-4</v>
      </c>
      <c r="Q38" s="143">
        <f t="shared" ref="Q38:Q40" si="35">O38-L38</f>
        <v>-2.0541044776123414</v>
      </c>
      <c r="R38" s="144">
        <f>O38/L38</f>
        <v>0.97662470011251956</v>
      </c>
      <c r="S38" s="756">
        <f>R48</f>
        <v>0.90707145713483739</v>
      </c>
      <c r="T38" s="191">
        <v>0.33333333333333298</v>
      </c>
      <c r="U38" s="191">
        <v>0.37986111111111098</v>
      </c>
      <c r="V38" s="192"/>
      <c r="W38" s="193">
        <f t="shared" si="18"/>
        <v>67.000000000000327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1"/>
        <v>-376.14925373134815</v>
      </c>
      <c r="AG38" s="195">
        <f t="shared" si="32"/>
        <v>0.73246852508438964</v>
      </c>
      <c r="AH38" s="746">
        <f>AG48</f>
        <v>0.79669092891523807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2015</v>
      </c>
      <c r="H39" s="91">
        <f>F39*G39</f>
        <v>100568.65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3"/>
        <v>92.058823529411768</v>
      </c>
      <c r="M39" s="201">
        <v>17</v>
      </c>
      <c r="N39" s="202">
        <f>G39/W39*60</f>
        <v>1422.3529411764648</v>
      </c>
      <c r="O39" s="203">
        <f t="shared" ref="O39:O40" si="36">N39/M39</f>
        <v>83.667820069203813</v>
      </c>
      <c r="P39" s="97">
        <f t="shared" si="34"/>
        <v>0</v>
      </c>
      <c r="Q39" s="98">
        <f t="shared" si="35"/>
        <v>-8.3910034602079548</v>
      </c>
      <c r="R39" s="99">
        <f t="shared" si="30"/>
        <v>0.90885171960157496</v>
      </c>
      <c r="S39" s="757"/>
      <c r="T39" s="20">
        <v>0.38888888888888901</v>
      </c>
      <c r="U39" s="20">
        <v>0.44791666666666702</v>
      </c>
      <c r="V39" s="92">
        <f>(T39-U38)*24*60</f>
        <v>13.000000000000353</v>
      </c>
      <c r="W39" s="205">
        <f t="shared" si="18"/>
        <v>85.000000000000341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1"/>
        <v>-142.64705882353519</v>
      </c>
      <c r="AG39" s="206">
        <f t="shared" si="32"/>
        <v>0.90885171960157496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f>1293+654</f>
        <v>1947</v>
      </c>
      <c r="H40" s="91">
        <f>F40*G40</f>
        <v>86252.099999999991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33"/>
        <v>75.78947368421052</v>
      </c>
      <c r="M40" s="201">
        <v>17</v>
      </c>
      <c r="N40" s="202">
        <f>G40/W40*60</f>
        <v>1061.9999999999982</v>
      </c>
      <c r="O40" s="203">
        <f t="shared" si="36"/>
        <v>62.470588235294009</v>
      </c>
      <c r="P40" s="97">
        <f t="shared" si="34"/>
        <v>-2</v>
      </c>
      <c r="Q40" s="98">
        <f t="shared" si="35"/>
        <v>-13.318885448916511</v>
      </c>
      <c r="R40" s="99">
        <f t="shared" si="30"/>
        <v>0.82426470588235157</v>
      </c>
      <c r="S40" s="719"/>
      <c r="T40" s="20">
        <v>0.45763888888888898</v>
      </c>
      <c r="U40" s="20">
        <v>0.53402777777777799</v>
      </c>
      <c r="V40" s="92">
        <f>(T40-U39)*24*60</f>
        <v>13.999999999999631</v>
      </c>
      <c r="W40" s="205">
        <f t="shared" si="18"/>
        <v>110.00000000000017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1"/>
        <v>-378.00000000000182</v>
      </c>
      <c r="AG40" s="206">
        <f t="shared" si="32"/>
        <v>0.73749999999999871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18"/>
        <v>0</v>
      </c>
      <c r="X41" s="208"/>
      <c r="Y41" s="209"/>
      <c r="Z41" s="337"/>
      <c r="AA41" s="337"/>
      <c r="AB41" s="713"/>
      <c r="AC41" s="713"/>
      <c r="AD41" s="92"/>
      <c r="AE41" s="92"/>
      <c r="AF41" s="314"/>
      <c r="AG41" s="206"/>
      <c r="AH41" s="747"/>
    </row>
    <row r="42" spans="1:34" ht="15" customHeight="1">
      <c r="A42" s="754"/>
      <c r="B42" s="75"/>
      <c r="C42" s="207"/>
      <c r="D42" s="198"/>
      <c r="E42" s="178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97"/>
      <c r="D43" s="198"/>
      <c r="E43" s="176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314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37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37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37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28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37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38">AVERAGE(J38:J47)</f>
        <v>17.333333333333332</v>
      </c>
      <c r="K48" s="155">
        <f t="shared" si="38"/>
        <v>1470.3333333333333</v>
      </c>
      <c r="L48" s="158">
        <f t="shared" si="38"/>
        <v>85.241099071207429</v>
      </c>
      <c r="M48" s="155">
        <f t="shared" si="38"/>
        <v>15.333333333333334</v>
      </c>
      <c r="N48" s="155">
        <f t="shared" si="38"/>
        <v>1171.4012291483716</v>
      </c>
      <c r="O48" s="158">
        <f t="shared" si="38"/>
        <v>77.319767942295158</v>
      </c>
      <c r="P48" s="221">
        <f>M48-J48</f>
        <v>-1.9999999999999982</v>
      </c>
      <c r="Q48" s="222">
        <f>N48-K48</f>
        <v>-298.93210418496164</v>
      </c>
      <c r="R48" s="223">
        <f t="shared" ref="R48:R52" si="39">O48/L48</f>
        <v>0.90707145713483739</v>
      </c>
      <c r="S48" s="722"/>
      <c r="T48" s="224"/>
      <c r="U48" s="224"/>
      <c r="V48" s="225"/>
      <c r="W48" s="226">
        <f t="shared" si="37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2" si="40">N48-K48</f>
        <v>-298.93210418496164</v>
      </c>
      <c r="AG48" s="162">
        <f t="shared" ref="AG48:AG52" si="41">N48/K48</f>
        <v>0.79669092891523807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1063</v>
      </c>
      <c r="H49" s="134">
        <f>F49*G49</f>
        <v>60452.81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2">K49/J49</f>
        <v>86.944444444444443</v>
      </c>
      <c r="M49" s="170">
        <v>18</v>
      </c>
      <c r="N49" s="140">
        <f>G49/W49*60</f>
        <v>1518.571428571466</v>
      </c>
      <c r="O49" s="141">
        <f>N49/M49</f>
        <v>84.365079365081442</v>
      </c>
      <c r="P49" s="229">
        <f>M49-J49</f>
        <v>0</v>
      </c>
      <c r="Q49" s="230">
        <f>O49-L49</f>
        <v>-2.5793650793630007</v>
      </c>
      <c r="R49" s="52">
        <f t="shared" si="39"/>
        <v>0.9703331811958249</v>
      </c>
      <c r="S49" s="718">
        <f>R58</f>
        <v>0.94620366171742587</v>
      </c>
      <c r="T49" s="191">
        <v>0.29027777777777802</v>
      </c>
      <c r="U49" s="191">
        <v>0.31944444444444398</v>
      </c>
      <c r="V49" s="55"/>
      <c r="W49" s="193">
        <f t="shared" si="18"/>
        <v>41.99999999999897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0"/>
        <v>-46.428571428534042</v>
      </c>
      <c r="AG49" s="52">
        <f t="shared" si="41"/>
        <v>0.9703331811958249</v>
      </c>
      <c r="AH49" s="724">
        <f>AG58</f>
        <v>0.96141432688142658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2261</v>
      </c>
      <c r="H50" s="231">
        <f>F50*G50</f>
        <v>107872.31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42"/>
        <v>102.85714285714286</v>
      </c>
      <c r="M50" s="233">
        <v>15</v>
      </c>
      <c r="N50" s="234">
        <f>G50/W50*60</f>
        <v>1474.5652173913018</v>
      </c>
      <c r="O50" s="235">
        <f>N50/M50</f>
        <v>98.304347826086783</v>
      </c>
      <c r="P50" s="74">
        <f>M50-J50</f>
        <v>1</v>
      </c>
      <c r="Q50" s="83">
        <f>O50-L50</f>
        <v>-4.5527950310560783</v>
      </c>
      <c r="R50" s="72">
        <f t="shared" si="39"/>
        <v>0.95573671497584367</v>
      </c>
      <c r="S50" s="719"/>
      <c r="T50" s="21">
        <v>0.32638888888888901</v>
      </c>
      <c r="U50" s="21">
        <v>0.390277777777778</v>
      </c>
      <c r="V50" s="30">
        <f t="shared" ref="V50:V52" si="43">(T50-U49)*24*60</f>
        <v>10.000000000000844</v>
      </c>
      <c r="W50" s="236">
        <f t="shared" si="18"/>
        <v>92.000000000000156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0"/>
        <v>34.565217391301758</v>
      </c>
      <c r="AG50" s="72">
        <f t="shared" si="41"/>
        <v>1.024003623188404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2781</v>
      </c>
      <c r="H51" s="231">
        <f>F51*G51</f>
        <v>138966.57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2"/>
        <v>88.888888888888886</v>
      </c>
      <c r="M51" s="233">
        <v>18</v>
      </c>
      <c r="N51" s="234">
        <f>G51/W51*60</f>
        <v>1559.43925233646</v>
      </c>
      <c r="O51" s="235">
        <f>N51/M51</f>
        <v>86.63551401869222</v>
      </c>
      <c r="P51" s="74">
        <f>M51-J51</f>
        <v>0</v>
      </c>
      <c r="Q51" s="83">
        <f>O51-L51</f>
        <v>-2.2533748701966658</v>
      </c>
      <c r="R51" s="72">
        <f t="shared" si="39"/>
        <v>0.97464953271028754</v>
      </c>
      <c r="S51" s="719"/>
      <c r="T51" s="21">
        <v>0.39652777777777798</v>
      </c>
      <c r="U51" s="19">
        <v>0.47083333333333299</v>
      </c>
      <c r="V51" s="30">
        <f t="shared" si="43"/>
        <v>8.999999999999968</v>
      </c>
      <c r="W51" s="236">
        <f t="shared" si="18"/>
        <v>106.99999999999922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0"/>
        <v>-40.560747663540042</v>
      </c>
      <c r="AG51" s="72">
        <f t="shared" si="41"/>
        <v>0.97464953271028743</v>
      </c>
      <c r="AH51" s="725"/>
    </row>
    <row r="52" spans="1:34" ht="15" customHeight="1">
      <c r="A52" s="751"/>
      <c r="B52" s="75" t="s">
        <v>81</v>
      </c>
      <c r="C52" s="76"/>
      <c r="D52" s="59" t="s">
        <v>134</v>
      </c>
      <c r="E52" s="77"/>
      <c r="F52" s="75">
        <f>VLOOKUP(D52,廠價表!$C$1:$E$41,3,0)</f>
        <v>49.97</v>
      </c>
      <c r="G52" s="202">
        <f>1332+81</f>
        <v>1413</v>
      </c>
      <c r="H52" s="231">
        <f>F52*G52</f>
        <v>70607.61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2"/>
        <v>88.888888888888886</v>
      </c>
      <c r="M52" s="233">
        <v>18</v>
      </c>
      <c r="N52" s="234">
        <f>G52/W52*60</f>
        <v>1413.0000000000236</v>
      </c>
      <c r="O52" s="235">
        <f>N52/M52</f>
        <v>78.500000000001307</v>
      </c>
      <c r="P52" s="74">
        <f>M52-J52</f>
        <v>0</v>
      </c>
      <c r="Q52" s="83">
        <f>O52-L52</f>
        <v>-10.388888888887578</v>
      </c>
      <c r="R52" s="72">
        <f t="shared" si="39"/>
        <v>0.8831250000000147</v>
      </c>
      <c r="S52" s="719"/>
      <c r="T52" s="21">
        <v>0.52777777777777801</v>
      </c>
      <c r="U52" s="21">
        <v>0.56944444444444398</v>
      </c>
      <c r="V52" s="30">
        <f t="shared" si="43"/>
        <v>82.000000000000824</v>
      </c>
      <c r="W52" s="236">
        <f>(U52-T52)*24*60</f>
        <v>59.999999999998991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0"/>
        <v>-186.99999999997635</v>
      </c>
      <c r="AG52" s="72">
        <f t="shared" si="41"/>
        <v>0.88312500000001481</v>
      </c>
      <c r="AH52" s="725"/>
    </row>
    <row r="53" spans="1:34" ht="15" customHeight="1">
      <c r="A53" s="751"/>
      <c r="B53" s="75"/>
      <c r="C53" s="76"/>
      <c r="D53" s="59"/>
      <c r="E53" s="77"/>
      <c r="F53" s="75"/>
      <c r="G53" s="202"/>
      <c r="H53" s="231"/>
      <c r="I53" s="232"/>
      <c r="J53" s="79"/>
      <c r="K53" s="80"/>
      <c r="L53" s="81"/>
      <c r="M53" s="233"/>
      <c r="N53" s="234"/>
      <c r="O53" s="235"/>
      <c r="P53" s="74"/>
      <c r="Q53" s="83"/>
      <c r="R53" s="72"/>
      <c r="S53" s="719"/>
      <c r="T53" s="21"/>
      <c r="U53" s="21"/>
      <c r="V53" s="30"/>
      <c r="W53" s="236">
        <f>(U53-T53)*24*60</f>
        <v>0</v>
      </c>
      <c r="X53" s="30"/>
      <c r="Y53" s="151"/>
      <c r="Z53" s="90"/>
      <c r="AA53" s="90"/>
      <c r="AB53" s="713"/>
      <c r="AC53" s="713"/>
      <c r="AD53" s="92"/>
      <c r="AE53" s="92"/>
      <c r="AF53" s="307"/>
      <c r="AG53" s="72"/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4">AVERAGE(J49:J57)</f>
        <v>17</v>
      </c>
      <c r="K58" s="120">
        <f t="shared" si="44"/>
        <v>1551.25</v>
      </c>
      <c r="L58" s="117">
        <f t="shared" si="44"/>
        <v>91.894841269841265</v>
      </c>
      <c r="M58" s="120">
        <f t="shared" si="44"/>
        <v>17.25</v>
      </c>
      <c r="N58" s="120">
        <f t="shared" si="44"/>
        <v>1491.393974574813</v>
      </c>
      <c r="O58" s="117">
        <f t="shared" si="44"/>
        <v>86.951235302465435</v>
      </c>
      <c r="P58" s="121">
        <f>M58-J58</f>
        <v>0.25</v>
      </c>
      <c r="Q58" s="122">
        <f>N58-K58</f>
        <v>-59.856025425186999</v>
      </c>
      <c r="R58" s="123">
        <f t="shared" ref="R58:R60" si="45">O58/L58</f>
        <v>0.94620366171742587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46">N58-K58</f>
        <v>-59.856025425186999</v>
      </c>
      <c r="AG58" s="124">
        <f t="shared" ref="AG58:AG61" si="47">N58/K58</f>
        <v>0.96141432688142658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3105</v>
      </c>
      <c r="H59" s="243">
        <f t="shared" ref="H59:H63" si="48">F59*G59</f>
        <v>83803.95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3" si="49">K59/J59</f>
        <v>120.38461538461539</v>
      </c>
      <c r="M59" s="244">
        <v>13</v>
      </c>
      <c r="N59" s="137">
        <f t="shared" ref="N59:N63" si="50">G59/W59*60</f>
        <v>1433.0769230769363</v>
      </c>
      <c r="O59" s="138">
        <f t="shared" ref="O59:O63" si="51">N59/M59</f>
        <v>110.23668639053356</v>
      </c>
      <c r="P59" s="56">
        <f t="shared" ref="P59:P63" si="52">M59-J59</f>
        <v>0</v>
      </c>
      <c r="Q59" s="230">
        <f t="shared" ref="Q59:Q63" si="53">O59-L59</f>
        <v>-10.147928994081823</v>
      </c>
      <c r="R59" s="52">
        <f t="shared" si="45"/>
        <v>0.91570410420251525</v>
      </c>
      <c r="S59" s="718">
        <f>R69</f>
        <v>0.82887310898283406</v>
      </c>
      <c r="T59" s="245">
        <v>0.29166666666666702</v>
      </c>
      <c r="U59" s="245">
        <v>0.38194444444444398</v>
      </c>
      <c r="V59" s="55"/>
      <c r="W59" s="54">
        <f t="shared" si="18"/>
        <v>129.99999999999881</v>
      </c>
      <c r="X59" s="639"/>
      <c r="Y59" s="640"/>
      <c r="Z59" s="169"/>
      <c r="AA59" s="169"/>
      <c r="AB59" s="723"/>
      <c r="AC59" s="723"/>
      <c r="AD59" s="135"/>
      <c r="AE59" s="135"/>
      <c r="AF59" s="310">
        <f t="shared" si="46"/>
        <v>-131.92307692306372</v>
      </c>
      <c r="AG59" s="246">
        <f t="shared" si="47"/>
        <v>0.91570410420251525</v>
      </c>
      <c r="AH59" s="724">
        <f>AG69</f>
        <v>0.8302089704477521</v>
      </c>
    </row>
    <row r="60" spans="1:34" ht="15" customHeight="1">
      <c r="A60" s="765"/>
      <c r="B60" s="75" t="s">
        <v>135</v>
      </c>
      <c r="C60" s="86"/>
      <c r="D60" s="175" t="s">
        <v>138</v>
      </c>
      <c r="E60" s="87"/>
      <c r="F60" s="75">
        <f>VLOOKUP(D60,廠價表!$C$1:$E$41,3,0)</f>
        <v>28.26</v>
      </c>
      <c r="G60" s="30">
        <v>1592</v>
      </c>
      <c r="H60" s="78">
        <f t="shared" si="48"/>
        <v>44989.920000000006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9"/>
        <v>130.41666666666666</v>
      </c>
      <c r="M60" s="82">
        <v>12</v>
      </c>
      <c r="N60" s="80">
        <f t="shared" si="50"/>
        <v>1364.5714285714319</v>
      </c>
      <c r="O60" s="81">
        <f t="shared" si="51"/>
        <v>113.71428571428599</v>
      </c>
      <c r="P60" s="74">
        <f t="shared" si="52"/>
        <v>0</v>
      </c>
      <c r="Q60" s="83">
        <f t="shared" si="53"/>
        <v>-16.702380952380665</v>
      </c>
      <c r="R60" s="72">
        <f t="shared" si="45"/>
        <v>0.87193062528526011</v>
      </c>
      <c r="S60" s="768"/>
      <c r="T60" s="22">
        <v>0.39236111111111099</v>
      </c>
      <c r="U60" s="22">
        <v>0.44097222222222199</v>
      </c>
      <c r="V60" s="30">
        <f t="shared" ref="V60:V63" si="54">(T60-U59)*24*60</f>
        <v>15.000000000000506</v>
      </c>
      <c r="W60" s="638">
        <f t="shared" si="18"/>
        <v>69.999999999999829</v>
      </c>
      <c r="X60" s="92"/>
      <c r="Y60" s="92"/>
      <c r="AA60" s="90"/>
      <c r="AB60" s="713"/>
      <c r="AC60" s="713"/>
      <c r="AD60" s="92"/>
      <c r="AE60" s="92"/>
      <c r="AF60" s="316">
        <f t="shared" si="46"/>
        <v>-200.42857142856815</v>
      </c>
      <c r="AG60" s="249">
        <f t="shared" si="47"/>
        <v>0.87193062528526</v>
      </c>
      <c r="AH60" s="759"/>
    </row>
    <row r="61" spans="1:34" ht="15" customHeight="1">
      <c r="A61" s="766"/>
      <c r="B61" s="250" t="s">
        <v>135</v>
      </c>
      <c r="C61" s="251"/>
      <c r="D61" s="252" t="s">
        <v>196</v>
      </c>
      <c r="E61" s="253"/>
      <c r="F61" s="250">
        <f>VLOOKUP(D61,廠價表!$C$1:$E$41,3,0)</f>
        <v>28.26</v>
      </c>
      <c r="G61" s="38">
        <v>600</v>
      </c>
      <c r="H61" s="254">
        <f t="shared" si="48"/>
        <v>16956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9"/>
        <v>130.41666666666666</v>
      </c>
      <c r="M61" s="108">
        <v>12</v>
      </c>
      <c r="N61" s="107">
        <f t="shared" si="50"/>
        <v>1440.0000000000098</v>
      </c>
      <c r="O61" s="238">
        <f t="shared" si="51"/>
        <v>120.00000000000081</v>
      </c>
      <c r="P61" s="111">
        <f t="shared" si="52"/>
        <v>0</v>
      </c>
      <c r="Q61" s="255">
        <f t="shared" si="53"/>
        <v>-10.416666666665847</v>
      </c>
      <c r="R61" s="85">
        <f>O61/L61</f>
        <v>0.92012779552716284</v>
      </c>
      <c r="S61" s="719"/>
      <c r="T61" s="22">
        <v>0.45138888888888901</v>
      </c>
      <c r="U61" s="22">
        <v>0.46875</v>
      </c>
      <c r="V61" s="30">
        <f t="shared" si="54"/>
        <v>15.000000000000506</v>
      </c>
      <c r="W61" s="256">
        <f t="shared" si="18"/>
        <v>24.999999999999829</v>
      </c>
      <c r="X61" s="272"/>
      <c r="Y61" s="288"/>
      <c r="Z61" s="90"/>
      <c r="AA61" s="90"/>
      <c r="AB61" s="713"/>
      <c r="AC61" s="713"/>
      <c r="AD61" s="92"/>
      <c r="AE61" s="92"/>
      <c r="AF61" s="317">
        <f t="shared" si="46"/>
        <v>-124.99999999999022</v>
      </c>
      <c r="AG61" s="247">
        <f t="shared" si="47"/>
        <v>0.92012779552716284</v>
      </c>
      <c r="AH61" s="725"/>
    </row>
    <row r="62" spans="1:34" ht="15" customHeight="1">
      <c r="A62" s="766"/>
      <c r="B62" s="250" t="s">
        <v>135</v>
      </c>
      <c r="C62" s="251"/>
      <c r="D62" s="198" t="s">
        <v>137</v>
      </c>
      <c r="E62" s="253"/>
      <c r="F62" s="250">
        <f>VLOOKUP(D62,廠價表!$C$1:$E$41,3,0)</f>
        <v>28.47</v>
      </c>
      <c r="G62" s="38">
        <v>452</v>
      </c>
      <c r="H62" s="254">
        <f t="shared" si="48"/>
        <v>12868.439999999999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49"/>
        <v>130.41666666666666</v>
      </c>
      <c r="M62" s="108">
        <v>12</v>
      </c>
      <c r="N62" s="107">
        <f t="shared" si="50"/>
        <v>904.00000000001523</v>
      </c>
      <c r="O62" s="238">
        <f t="shared" si="51"/>
        <v>75.333333333334608</v>
      </c>
      <c r="P62" s="111">
        <f t="shared" si="52"/>
        <v>0</v>
      </c>
      <c r="Q62" s="255">
        <f t="shared" si="53"/>
        <v>-55.08333333333205</v>
      </c>
      <c r="R62" s="85">
        <f>O62/L62</f>
        <v>0.57763578274761362</v>
      </c>
      <c r="S62" s="719"/>
      <c r="T62" s="22">
        <v>0.47916666666666702</v>
      </c>
      <c r="U62" s="22">
        <v>0.5</v>
      </c>
      <c r="V62" s="30">
        <f t="shared" si="54"/>
        <v>15.000000000000506</v>
      </c>
      <c r="W62" s="248">
        <f t="shared" si="18"/>
        <v>29.999999999999496</v>
      </c>
      <c r="X62" s="22">
        <v>0.50694444444444398</v>
      </c>
      <c r="Y62" s="84">
        <v>0.54861111111111105</v>
      </c>
      <c r="Z62" s="90"/>
      <c r="AA62" s="90"/>
      <c r="AB62" s="713" t="s">
        <v>146</v>
      </c>
      <c r="AC62" s="713"/>
      <c r="AD62" s="92"/>
      <c r="AE62" s="92"/>
      <c r="AF62" s="317">
        <f>N62-K62</f>
        <v>-660.99999999998477</v>
      </c>
      <c r="AG62" s="247">
        <f>N62/K62</f>
        <v>0.57763578274761351</v>
      </c>
      <c r="AH62" s="725"/>
    </row>
    <row r="63" spans="1:34" ht="15" customHeight="1">
      <c r="A63" s="766"/>
      <c r="B63" s="250" t="s">
        <v>135</v>
      </c>
      <c r="C63" s="251"/>
      <c r="D63" s="198" t="s">
        <v>196</v>
      </c>
      <c r="E63" s="253"/>
      <c r="F63" s="250">
        <f>VLOOKUP(D63,廠價表!$C$1:$E$41,3,0)</f>
        <v>28.26</v>
      </c>
      <c r="G63" s="38">
        <v>2145</v>
      </c>
      <c r="H63" s="254">
        <f t="shared" si="48"/>
        <v>60617.700000000004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 t="shared" si="49"/>
        <v>130.41666666666666</v>
      </c>
      <c r="M63" s="108">
        <v>12</v>
      </c>
      <c r="N63" s="107">
        <f t="shared" si="50"/>
        <v>1354.7368421052679</v>
      </c>
      <c r="O63" s="238">
        <f t="shared" si="51"/>
        <v>112.89473684210566</v>
      </c>
      <c r="P63" s="111">
        <f t="shared" si="52"/>
        <v>0</v>
      </c>
      <c r="Q63" s="255">
        <f t="shared" si="53"/>
        <v>-17.521929824560999</v>
      </c>
      <c r="R63" s="85">
        <f>O63/L63</f>
        <v>0.86564654447620959</v>
      </c>
      <c r="S63" s="719"/>
      <c r="T63" s="22">
        <v>0.55902777777777801</v>
      </c>
      <c r="U63" s="22">
        <v>0.625</v>
      </c>
      <c r="V63" s="30">
        <f t="shared" si="54"/>
        <v>85.000000000000341</v>
      </c>
      <c r="W63" s="248">
        <f t="shared" si="18"/>
        <v>94.999999999999659</v>
      </c>
      <c r="X63" s="261"/>
      <c r="Y63" s="291"/>
      <c r="Z63" s="335"/>
      <c r="AA63" s="335"/>
      <c r="AD63" s="92"/>
      <c r="AE63" s="92"/>
      <c r="AF63" s="317">
        <f>N63-K63</f>
        <v>-210.2631578947321</v>
      </c>
      <c r="AG63" s="247">
        <f>N63/K63</f>
        <v>0.86564654447620948</v>
      </c>
      <c r="AH63" s="725"/>
    </row>
    <row r="64" spans="1:34" ht="15" customHeight="1">
      <c r="A64" s="766"/>
      <c r="B64" s="250"/>
      <c r="C64" s="251"/>
      <c r="D64" s="635"/>
      <c r="E64" s="253"/>
      <c r="F64" s="250"/>
      <c r="G64" s="38"/>
      <c r="H64" s="254"/>
      <c r="I64" s="182"/>
      <c r="J64" s="106"/>
      <c r="K64" s="107"/>
      <c r="L64" s="238"/>
      <c r="M64" s="108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8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258"/>
      <c r="C65" s="58"/>
      <c r="D65" s="259"/>
      <c r="E65" s="60"/>
      <c r="F65" s="61"/>
      <c r="G65" s="260"/>
      <c r="H65" s="63"/>
      <c r="I65" s="260"/>
      <c r="J65" s="65"/>
      <c r="K65" s="66"/>
      <c r="L65" s="67"/>
      <c r="M65" s="68"/>
      <c r="N65" s="66"/>
      <c r="O65" s="67"/>
      <c r="P65" s="69"/>
      <c r="Q65" s="70"/>
      <c r="R65" s="71"/>
      <c r="S65" s="719"/>
      <c r="T65" s="22"/>
      <c r="U65" s="22"/>
      <c r="V65" s="30"/>
      <c r="W65" s="73">
        <f t="shared" si="18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2"/>
      <c r="U66" s="22"/>
      <c r="V66" s="30"/>
      <c r="W66" s="73">
        <f t="shared" si="18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5">AVERAGE(J59:J68)</f>
        <v>12.2</v>
      </c>
      <c r="K69" s="240">
        <f t="shared" si="55"/>
        <v>1565</v>
      </c>
      <c r="L69" s="268">
        <f t="shared" si="55"/>
        <v>128.41025641025641</v>
      </c>
      <c r="M69" s="240">
        <f t="shared" si="55"/>
        <v>12.2</v>
      </c>
      <c r="N69" s="240">
        <f t="shared" si="55"/>
        <v>1299.2770387507321</v>
      </c>
      <c r="O69" s="268">
        <f t="shared" si="55"/>
        <v>106.43580845605213</v>
      </c>
      <c r="P69" s="269">
        <f>M69-J69</f>
        <v>0</v>
      </c>
      <c r="Q69" s="222">
        <f>N69-K69</f>
        <v>-265.72296124926788</v>
      </c>
      <c r="R69" s="123">
        <f>O69/L69</f>
        <v>0.82887310898283406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-265.72296124926788</v>
      </c>
      <c r="AG69" s="124">
        <f>N69/K69</f>
        <v>0.8302089704477521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2498</v>
      </c>
      <c r="H70" s="243">
        <f>F70*G70</f>
        <v>126573.66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1110.2222222222222</v>
      </c>
      <c r="O70" s="138">
        <f>N70/M70</f>
        <v>111.02222222222221</v>
      </c>
      <c r="P70" s="56">
        <f>M70-J70</f>
        <v>0</v>
      </c>
      <c r="Q70" s="230">
        <f>O70-L70</f>
        <v>-1.4777777777777885</v>
      </c>
      <c r="R70" s="52">
        <f>O70/L70</f>
        <v>0.98686419753086407</v>
      </c>
      <c r="S70" s="718">
        <f>R79</f>
        <v>0.98686419753086407</v>
      </c>
      <c r="T70" s="245">
        <v>0.44444444444444398</v>
      </c>
      <c r="U70" s="245">
        <v>0.53819444444444398</v>
      </c>
      <c r="V70" s="55"/>
      <c r="W70" s="54">
        <f t="shared" si="18"/>
        <v>135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-14.777777777777828</v>
      </c>
      <c r="AG70" s="246">
        <f>N70/K70</f>
        <v>0.98686419753086418</v>
      </c>
      <c r="AH70" s="724">
        <f>AG79</f>
        <v>0.98686419753086418</v>
      </c>
    </row>
    <row r="71" spans="1:36" ht="15" customHeight="1">
      <c r="A71" s="761"/>
      <c r="B71" s="250"/>
      <c r="C71" s="251"/>
      <c r="D71" s="198"/>
      <c r="E71" s="253"/>
      <c r="F71" s="250"/>
      <c r="G71" s="38"/>
      <c r="H71" s="254"/>
      <c r="I71" s="182"/>
      <c r="J71" s="106"/>
      <c r="K71" s="107"/>
      <c r="L71" s="238"/>
      <c r="M71" s="108"/>
      <c r="N71" s="107"/>
      <c r="O71" s="238"/>
      <c r="P71" s="111"/>
      <c r="Q71" s="255"/>
      <c r="R71" s="85"/>
      <c r="S71" s="719"/>
      <c r="T71" s="22"/>
      <c r="U71" s="22"/>
      <c r="V71" s="30"/>
      <c r="W71" s="73">
        <f t="shared" si="18"/>
        <v>0</v>
      </c>
      <c r="X71" s="271"/>
      <c r="Y71" s="293"/>
      <c r="Z71" s="90"/>
      <c r="AA71" s="90"/>
      <c r="AB71" s="713"/>
      <c r="AC71" s="713"/>
      <c r="AD71" s="200"/>
      <c r="AE71" s="200"/>
      <c r="AF71" s="311"/>
      <c r="AG71" s="99"/>
      <c r="AH71" s="744"/>
    </row>
    <row r="72" spans="1:36" ht="15" customHeight="1">
      <c r="A72" s="761"/>
      <c r="B72" s="250"/>
      <c r="C72" s="251"/>
      <c r="D72" s="198"/>
      <c r="E72" s="253"/>
      <c r="F72" s="250"/>
      <c r="G72" s="38"/>
      <c r="H72" s="78"/>
      <c r="I72" s="30"/>
      <c r="J72" s="106"/>
      <c r="K72" s="107"/>
      <c r="L72" s="238"/>
      <c r="M72" s="108"/>
      <c r="N72" s="107"/>
      <c r="O72" s="238"/>
      <c r="P72" s="111"/>
      <c r="Q72" s="255"/>
      <c r="R72" s="85"/>
      <c r="S72" s="719"/>
      <c r="T72" s="22"/>
      <c r="U72" s="22"/>
      <c r="V72" s="30"/>
      <c r="W72" s="73">
        <f t="shared" si="18"/>
        <v>0</v>
      </c>
      <c r="X72" s="272"/>
      <c r="Y72" s="288"/>
      <c r="Z72" s="90"/>
      <c r="AA72" s="90"/>
      <c r="AB72" s="713"/>
      <c r="AC72" s="713"/>
      <c r="AD72" s="92"/>
      <c r="AE72" s="92"/>
      <c r="AF72" s="311"/>
      <c r="AG72" s="99"/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8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8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6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8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6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6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6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57">AVERAGE(J70:J78)</f>
        <v>10</v>
      </c>
      <c r="K79" s="240">
        <f t="shared" si="57"/>
        <v>1125</v>
      </c>
      <c r="L79" s="268">
        <f t="shared" si="57"/>
        <v>112.5</v>
      </c>
      <c r="M79" s="240">
        <f t="shared" si="57"/>
        <v>10</v>
      </c>
      <c r="N79" s="240">
        <f t="shared" si="57"/>
        <v>1110.2222222222222</v>
      </c>
      <c r="O79" s="268">
        <f t="shared" si="57"/>
        <v>111.02222222222221</v>
      </c>
      <c r="P79" s="269">
        <f>M79-J79</f>
        <v>0</v>
      </c>
      <c r="Q79" s="222">
        <f>N79-K79</f>
        <v>-14.777777777777828</v>
      </c>
      <c r="R79" s="223">
        <f>O79/L79</f>
        <v>0.98686419753086407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-14.777777777777828</v>
      </c>
      <c r="AG79" s="124">
        <f>N79/K79</f>
        <v>0.98686419753086418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N3:N4"/>
    <mergeCell ref="O3:O4"/>
    <mergeCell ref="V3:V4"/>
    <mergeCell ref="AH3:AH4"/>
    <mergeCell ref="X3:Y3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P3:P4"/>
    <mergeCell ref="Q3:Q4"/>
    <mergeCell ref="R3:R4"/>
    <mergeCell ref="T3:U3"/>
    <mergeCell ref="W3:W4"/>
    <mergeCell ref="A2:B2"/>
    <mergeCell ref="A3:A4"/>
    <mergeCell ref="B3:B4"/>
    <mergeCell ref="D3:E4"/>
    <mergeCell ref="F3:F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4:AC64"/>
    <mergeCell ref="AB65:AC65"/>
    <mergeCell ref="AB66:AC66"/>
    <mergeCell ref="AH38:AH48"/>
    <mergeCell ref="AB42:AC42"/>
    <mergeCell ref="AB43:AC43"/>
    <mergeCell ref="AB44:AC44"/>
    <mergeCell ref="AB45:AC45"/>
    <mergeCell ref="AB46:AC46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7:AC67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20" priority="1" operator="greaterThan">
      <formula>0</formula>
    </cfRule>
  </conditionalFormatting>
  <conditionalFormatting sqref="Q5:Q79">
    <cfRule type="cellIs" dxfId="119" priority="4" operator="lessThan">
      <formula>0</formula>
    </cfRule>
  </conditionalFormatting>
  <conditionalFormatting sqref="R5:R79">
    <cfRule type="cellIs" dxfId="118" priority="2" operator="greaterThan">
      <formula>1</formula>
    </cfRule>
    <cfRule type="cellIs" dxfId="117" priority="3" operator="lessThan">
      <formula>0.8</formula>
    </cfRule>
  </conditionalFormatting>
  <conditionalFormatting sqref="S5:S10 S37:S62 AH59:AH62 S69:S76 AH69:AH76">
    <cfRule type="cellIs" dxfId="116" priority="10" operator="lessThan">
      <formula>0.8</formula>
    </cfRule>
  </conditionalFormatting>
  <conditionalFormatting sqref="S19:S25 AH19:AH25">
    <cfRule type="cellIs" dxfId="115" priority="9" operator="lessThan">
      <formula>0.8</formula>
    </cfRule>
  </conditionalFormatting>
  <conditionalFormatting sqref="S79">
    <cfRule type="cellIs" dxfId="114" priority="8" operator="lessThan">
      <formula>0.8</formula>
    </cfRule>
  </conditionalFormatting>
  <conditionalFormatting sqref="AF5:AF79">
    <cfRule type="cellIs" dxfId="113" priority="7" operator="lessThan">
      <formula>0</formula>
    </cfRule>
  </conditionalFormatting>
  <conditionalFormatting sqref="AG5:AG79">
    <cfRule type="cellIs" dxfId="112" priority="5" operator="greaterThan">
      <formula>1</formula>
    </cfRule>
    <cfRule type="cellIs" dxfId="111" priority="6" operator="lessThan">
      <formula>0.8</formula>
    </cfRule>
  </conditionalFormatting>
  <conditionalFormatting sqref="AH5:AH8 S15:S16 AH15:AH16 AH49 AH79">
    <cfRule type="cellIs" dxfId="110" priority="12" operator="lessThan">
      <formula>0.8</formula>
    </cfRule>
  </conditionalFormatting>
  <conditionalFormatting sqref="AH27 S27:S28">
    <cfRule type="cellIs" dxfId="109" priority="11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2C1756-5454-4EC3-B8EF-6716286A676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262D-6906-4027-8C36-045EA69E0B69}">
  <dimension ref="B1:R26"/>
  <sheetViews>
    <sheetView topLeftCell="B3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46047</v>
      </c>
      <c r="E3" s="645"/>
      <c r="F3" s="3" t="s">
        <v>72</v>
      </c>
      <c r="G3" s="646">
        <f>'0125'!E1</f>
        <v>63573</v>
      </c>
      <c r="H3" s="646"/>
      <c r="I3" s="3" t="s">
        <v>2</v>
      </c>
      <c r="J3" s="647">
        <f>'0125'!G1</f>
        <v>2998851.12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111.17653905016797</v>
      </c>
      <c r="G6" s="652"/>
      <c r="H6" s="653">
        <f>AVERAGE(D13:H13,J13)</f>
        <v>108.52718729642105</v>
      </c>
      <c r="I6" s="653"/>
      <c r="J6" s="653">
        <f>AVERAGE(I13)</f>
        <v>127.07264957264955</v>
      </c>
      <c r="K6" s="653"/>
      <c r="L6" s="769">
        <f>SUM(D18:J18)</f>
        <v>1</v>
      </c>
      <c r="M6" s="656">
        <f>SUM(D19:J19)</f>
        <v>21</v>
      </c>
      <c r="N6" s="771">
        <f>SUM(D20:J20)</f>
        <v>0</v>
      </c>
      <c r="O6" s="656">
        <f>SUM(D20:J20)</f>
        <v>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101.46929963679229</v>
      </c>
      <c r="G7" s="676"/>
      <c r="H7" s="677">
        <f>AVERAGE(D14:H14,J14)</f>
        <v>100.18003086158019</v>
      </c>
      <c r="I7" s="677"/>
      <c r="J7" s="677">
        <f>AVERAGE(I14)</f>
        <v>109.20491228806486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0.91268626010209464</v>
      </c>
      <c r="G8" s="649"/>
      <c r="H8" s="649">
        <f>H7/H6</f>
        <v>0.9230869550498696</v>
      </c>
      <c r="I8" s="649"/>
      <c r="J8" s="649">
        <f>J7/J6</f>
        <v>0.8593895905635508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VALUE('0125'!L15)</f>
        <v>131.71407024348201</v>
      </c>
      <c r="E13" s="13">
        <f>VALUE('0125'!L26)</f>
        <v>152.32051282051282</v>
      </c>
      <c r="F13" s="13">
        <f>VALUE('0125'!L37)</f>
        <v>84.494324045407623</v>
      </c>
      <c r="G13" s="13">
        <f>VALUE('0125'!L48)</f>
        <v>81.460448916408666</v>
      </c>
      <c r="H13" s="13">
        <f>VALUE('0125'!L58)</f>
        <v>88.673767752715122</v>
      </c>
      <c r="I13" s="13">
        <f>VALUE('0125'!L69)</f>
        <v>127.07264957264955</v>
      </c>
      <c r="J13" s="13">
        <f>'0125'!L79</f>
        <v>112.5</v>
      </c>
    </row>
    <row r="14" spans="2:15" ht="39.950000000000003" customHeight="1">
      <c r="B14" s="670"/>
      <c r="C14" s="12" t="s">
        <v>100</v>
      </c>
      <c r="D14" s="13">
        <f>VALUE('0125'!O15)</f>
        <v>124.79369010551652</v>
      </c>
      <c r="E14" s="13">
        <f>VALUE('0125'!O26)</f>
        <v>145.46171246225595</v>
      </c>
      <c r="F14" s="13">
        <f>VALUE('0125'!O37)</f>
        <v>75.415138798783616</v>
      </c>
      <c r="G14" s="13">
        <f>VALUE('0125'!O48)</f>
        <v>68.418561290274681</v>
      </c>
      <c r="H14" s="13">
        <f>VALUE('0125'!O58)</f>
        <v>82.522511084079198</v>
      </c>
      <c r="I14" s="13">
        <f>VALUE('0125'!O69)</f>
        <v>109.20491228806486</v>
      </c>
      <c r="J14" s="13">
        <f>'0125'!O79</f>
        <v>104.46857142857122</v>
      </c>
    </row>
    <row r="15" spans="2:15" ht="39.950000000000003" customHeight="1">
      <c r="B15" s="671"/>
      <c r="C15" s="10" t="s">
        <v>26</v>
      </c>
      <c r="D15" s="14">
        <f>D14/D13</f>
        <v>0.94745906701408045</v>
      </c>
      <c r="E15" s="14">
        <f t="shared" ref="E15:I15" si="1">E14/E13</f>
        <v>0.95497126269303623</v>
      </c>
      <c r="F15" s="14">
        <f t="shared" si="1"/>
        <v>0.89254680300484079</v>
      </c>
      <c r="G15" s="14">
        <f t="shared" si="1"/>
        <v>0.83989914369957586</v>
      </c>
      <c r="H15" s="14">
        <f t="shared" si="1"/>
        <v>0.9306304804168245</v>
      </c>
      <c r="I15" s="14">
        <f t="shared" si="1"/>
        <v>0.8593895905635508</v>
      </c>
      <c r="J15" s="15">
        <f>'0125'!S70</f>
        <v>0.928609523809522</v>
      </c>
    </row>
    <row r="16" spans="2:15" ht="17.25" customHeight="1">
      <c r="B16" s="672" t="s">
        <v>101</v>
      </c>
      <c r="C16" s="10" t="s">
        <v>34</v>
      </c>
      <c r="D16" s="16">
        <f>'0125'!T5</f>
        <v>0.29027777777777802</v>
      </c>
      <c r="E16" s="16">
        <f>'0125'!T16</f>
        <v>0.29027777777777802</v>
      </c>
      <c r="F16" s="16">
        <f>'0125'!T27</f>
        <v>0.29166666666666702</v>
      </c>
      <c r="G16" s="16">
        <f>'0125'!T38</f>
        <v>0.34513888888888899</v>
      </c>
      <c r="H16" s="16">
        <f>'0125'!T49</f>
        <v>0.28819444444444398</v>
      </c>
      <c r="I16" s="16">
        <f>'0125'!T59</f>
        <v>0.29027777777777802</v>
      </c>
      <c r="J16" s="16">
        <f>'0125'!T70</f>
        <v>0.35069444444444398</v>
      </c>
    </row>
    <row r="17" spans="2:18" ht="17.25" customHeight="1">
      <c r="B17" s="673"/>
      <c r="C17" s="10" t="s">
        <v>35</v>
      </c>
      <c r="D17" s="22">
        <v>0.72916666666666696</v>
      </c>
      <c r="E17" s="19">
        <v>0.63888888888888895</v>
      </c>
      <c r="F17" s="19">
        <v>0.63194444444444398</v>
      </c>
      <c r="G17" s="210">
        <v>0.69930555555555596</v>
      </c>
      <c r="H17" s="21">
        <v>0.66666666666666696</v>
      </c>
      <c r="I17" s="22">
        <v>0.70833333333333304</v>
      </c>
      <c r="J17" s="245">
        <v>0.47222222222222199</v>
      </c>
    </row>
    <row r="18" spans="2:18" ht="17.25" customHeight="1">
      <c r="B18" s="674" t="s">
        <v>102</v>
      </c>
      <c r="C18" s="330" t="s">
        <v>36</v>
      </c>
      <c r="D18" s="358">
        <f>'0125'!Z15</f>
        <v>0</v>
      </c>
      <c r="E18" s="359">
        <f>'0125'!Z26</f>
        <v>0</v>
      </c>
      <c r="F18" s="359">
        <f>'0125'!Z37</f>
        <v>1</v>
      </c>
      <c r="G18" s="360">
        <f>'0125'!Z48</f>
        <v>0</v>
      </c>
      <c r="H18" s="360">
        <f>'0125'!Z58</f>
        <v>0</v>
      </c>
      <c r="I18" s="359">
        <f>'0125'!Z69</f>
        <v>0</v>
      </c>
      <c r="J18" s="359">
        <f>'0125'!AA69</f>
        <v>0</v>
      </c>
    </row>
    <row r="19" spans="2:18" ht="17.25" customHeight="1">
      <c r="B19" s="675"/>
      <c r="C19" s="330" t="s">
        <v>37</v>
      </c>
      <c r="D19" s="358">
        <f>'0125'!AA15</f>
        <v>0</v>
      </c>
      <c r="E19" s="359">
        <f>'0125'!AA26</f>
        <v>0</v>
      </c>
      <c r="F19" s="359">
        <f>'0125'!AA37</f>
        <v>21</v>
      </c>
      <c r="G19" s="360">
        <f>'0125'!AA48</f>
        <v>0</v>
      </c>
      <c r="H19" s="360">
        <f>'0125'!AA58</f>
        <v>0</v>
      </c>
      <c r="I19" s="359">
        <f>'0125'!AA69</f>
        <v>0</v>
      </c>
      <c r="J19" s="359">
        <f>'0125'!AB69</f>
        <v>0</v>
      </c>
      <c r="R19" s="2" t="e">
        <f>O19/L19</f>
        <v>#DIV/0!</v>
      </c>
    </row>
    <row r="20" spans="2:18" ht="17.25" customHeight="1">
      <c r="B20" s="674" t="s">
        <v>103</v>
      </c>
      <c r="C20" s="330" t="s">
        <v>36</v>
      </c>
      <c r="D20" s="358">
        <f>'0125'!AD15</f>
        <v>0</v>
      </c>
      <c r="E20" s="359">
        <f>'0125'!AD26</f>
        <v>0</v>
      </c>
      <c r="F20" s="359">
        <f>'0125'!AD37</f>
        <v>0</v>
      </c>
      <c r="G20" s="360">
        <f>'0125'!AD48</f>
        <v>0</v>
      </c>
      <c r="H20" s="360">
        <f>'0125'!AD58</f>
        <v>0</v>
      </c>
      <c r="I20" s="359">
        <f>'0125'!AD69</f>
        <v>0</v>
      </c>
      <c r="J20" s="359">
        <f>'0125'!AD79</f>
        <v>0</v>
      </c>
    </row>
    <row r="21" spans="2:18" ht="17.25" customHeight="1">
      <c r="B21" s="675"/>
      <c r="C21" s="330" t="s">
        <v>85</v>
      </c>
      <c r="D21" s="358">
        <f>'0125'!AE15</f>
        <v>0</v>
      </c>
      <c r="E21" s="359">
        <f>'0125'!AE26</f>
        <v>0</v>
      </c>
      <c r="F21" s="359">
        <f>'0125'!AE37</f>
        <v>0</v>
      </c>
      <c r="G21" s="360">
        <f>'0125'!AE48</f>
        <v>0</v>
      </c>
      <c r="H21" s="360">
        <f>'0125'!AE58</f>
        <v>0</v>
      </c>
      <c r="I21" s="359">
        <f>'0125'!AE69</f>
        <v>0</v>
      </c>
      <c r="J21" s="359">
        <f>'0125'!AE79</f>
        <v>0</v>
      </c>
    </row>
    <row r="22" spans="2:18" ht="17.25" customHeight="1">
      <c r="B22" s="658" t="s">
        <v>104</v>
      </c>
      <c r="C22" s="659"/>
      <c r="D22" s="23">
        <f>VALUE('0125'!M15)</f>
        <v>15</v>
      </c>
      <c r="E22" s="23">
        <f>VALUE('0125'!M26)</f>
        <v>13.4</v>
      </c>
      <c r="F22" s="23">
        <f>VALUE('0125'!M37)</f>
        <v>16</v>
      </c>
      <c r="G22" s="23">
        <f>VALUE('0125'!M48)</f>
        <v>14.8</v>
      </c>
      <c r="H22" s="23">
        <f>VALUE('0125'!M58)</f>
        <v>17.600000000000001</v>
      </c>
      <c r="I22" s="23">
        <f>VALUE('0125'!M69)</f>
        <v>12.333333333333334</v>
      </c>
      <c r="J22" s="23">
        <f>'0125'!M79</f>
        <v>10</v>
      </c>
    </row>
    <row r="23" spans="2:18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8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8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8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0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D36D-DE5B-4A45-8742-C7C975C89E23}">
  <sheetPr>
    <tabColor theme="9" tint="0.79998168889431442"/>
  </sheetPr>
  <dimension ref="A1:AJ92"/>
  <sheetViews>
    <sheetView zoomScale="69" zoomScaleNormal="69" workbookViewId="0">
      <pane xSplit="5" ySplit="4" topLeftCell="W8" activePane="bottomRight" state="frozen"/>
      <selection activeCell="M16" sqref="M16"/>
      <selection pane="topRight" activeCell="M16" sqref="M16"/>
      <selection pane="bottomLeft" activeCell="M16" sqref="M16"/>
      <selection pane="bottomRight" activeCell="AB30" sqref="AB30:AC3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63573</v>
      </c>
      <c r="F1" s="30" t="s">
        <v>2</v>
      </c>
      <c r="G1" s="31">
        <f>SUM(H5:H79)</f>
        <v>2998851.12</v>
      </c>
      <c r="H1" s="32" t="s">
        <v>3</v>
      </c>
      <c r="I1" s="33">
        <f>M15+M26+M48+M58+M69+M79+M37</f>
        <v>99.13333333333334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212</v>
      </c>
      <c r="B2" s="678"/>
      <c r="C2" s="28"/>
      <c r="D2" s="28" t="s">
        <v>14</v>
      </c>
      <c r="E2" s="35">
        <f>AVERAGE(O15,O26,O37,O48,O58,O69,O79)</f>
        <v>101.46929963679229</v>
      </c>
      <c r="F2" s="36" t="s">
        <v>15</v>
      </c>
      <c r="G2" s="37">
        <f>G1/E1</f>
        <v>47.171772922467085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21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844">
        <v>46044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121</v>
      </c>
      <c r="E5" s="41"/>
      <c r="F5" s="39">
        <f>VLOOKUP(D5,廠價表!$C$1:$E$41,3,0)</f>
        <v>57.21</v>
      </c>
      <c r="G5" s="42">
        <v>2239</v>
      </c>
      <c r="H5" s="43">
        <f>F5*G5</f>
        <v>128093.19</v>
      </c>
      <c r="I5" s="44"/>
      <c r="J5" s="45">
        <f>VLOOKUP(D5,產線配置圖!$A$3:$C$39,2,0)</f>
        <v>13</v>
      </c>
      <c r="K5" s="46">
        <f>VLOOKUP(D5,產線配置圖!$A$3:$C$39,3,0)</f>
        <v>2105</v>
      </c>
      <c r="L5" s="47">
        <f t="shared" ref="L5:L9" si="0">K5/J5</f>
        <v>161.92307692307693</v>
      </c>
      <c r="M5" s="48">
        <v>13</v>
      </c>
      <c r="N5" s="46">
        <f t="shared" ref="N5:N9" si="1">G5/W5*60</f>
        <v>2099.0625000000236</v>
      </c>
      <c r="O5" s="47">
        <f t="shared" ref="O5:O9" si="2">N5/M5</f>
        <v>161.46634615384798</v>
      </c>
      <c r="P5" s="49">
        <f t="shared" ref="P5:P9" si="3">M5-J5</f>
        <v>0</v>
      </c>
      <c r="Q5" s="50">
        <f t="shared" ref="Q5:Q9" si="4">O5-L5</f>
        <v>-0.45673076922895461</v>
      </c>
      <c r="R5" s="51">
        <f t="shared" ref="R5:R9" si="5">O5/L5</f>
        <v>0.99717933491687583</v>
      </c>
      <c r="S5" s="718">
        <f>R15</f>
        <v>0.94745906701408045</v>
      </c>
      <c r="T5" s="319">
        <v>0.29027777777777802</v>
      </c>
      <c r="U5" s="320">
        <v>0.33472222222222198</v>
      </c>
      <c r="V5" s="53"/>
      <c r="W5" s="54">
        <f t="shared" ref="W5:W14" si="6">(U5-T5)*24*60</f>
        <v>63.999999999999289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0" si="7">N5-K5</f>
        <v>-5.9374999999763531</v>
      </c>
      <c r="AG5" s="52">
        <f t="shared" ref="AG5:AG10" si="8">N5/K5</f>
        <v>0.99717933491687583</v>
      </c>
      <c r="AH5" s="724">
        <f>AG15</f>
        <v>0.9432370014513668</v>
      </c>
    </row>
    <row r="6" spans="1:34" ht="15" customHeight="1">
      <c r="A6" s="715"/>
      <c r="B6" s="57" t="s">
        <v>81</v>
      </c>
      <c r="C6" s="58"/>
      <c r="D6" s="59" t="s">
        <v>114</v>
      </c>
      <c r="E6" s="60"/>
      <c r="F6" s="61">
        <f>VLOOKUP(D6,廠價表!$C$1:$E$41,3,0)</f>
        <v>57.21</v>
      </c>
      <c r="G6" s="62">
        <v>1190</v>
      </c>
      <c r="H6" s="63">
        <f>F6*G6</f>
        <v>68079.899999999994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1784.9999999999848</v>
      </c>
      <c r="O6" s="67">
        <f t="shared" si="2"/>
        <v>104.9999999999991</v>
      </c>
      <c r="P6" s="69">
        <f t="shared" si="3"/>
        <v>0</v>
      </c>
      <c r="Q6" s="70">
        <f t="shared" si="4"/>
        <v>-12.647058823530301</v>
      </c>
      <c r="R6" s="71">
        <f t="shared" si="5"/>
        <v>0.89249999999999241</v>
      </c>
      <c r="S6" s="719"/>
      <c r="T6" s="16">
        <v>0.34583333333333299</v>
      </c>
      <c r="U6" s="16">
        <v>0.37361111111111101</v>
      </c>
      <c r="V6" s="30">
        <f>(T6-U5)*24*60</f>
        <v>15.999999999999863</v>
      </c>
      <c r="W6" s="73">
        <f t="shared" si="6"/>
        <v>40.000000000000341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-215.00000000001523</v>
      </c>
      <c r="AG6" s="72">
        <f t="shared" si="8"/>
        <v>0.89249999999999241</v>
      </c>
      <c r="AH6" s="725"/>
    </row>
    <row r="7" spans="1:34" ht="15" customHeight="1">
      <c r="A7" s="715"/>
      <c r="B7" s="75" t="s">
        <v>81</v>
      </c>
      <c r="C7" s="76"/>
      <c r="D7" s="59" t="s">
        <v>190</v>
      </c>
      <c r="E7" s="77"/>
      <c r="F7" s="75">
        <f>VLOOKUP(D7,廠價表!$C$1:$E$41,3,0)</f>
        <v>56.28</v>
      </c>
      <c r="G7" s="66">
        <v>3231</v>
      </c>
      <c r="H7" s="78">
        <f>F7*G7</f>
        <v>181840.68</v>
      </c>
      <c r="I7" s="73"/>
      <c r="J7" s="79">
        <f>VLOOKUP(D7,產線配置圖!$A$3:$C$39,2,0)</f>
        <v>16</v>
      </c>
      <c r="K7" s="80">
        <f>VLOOKUP(D7,產線配置圖!$A$3:$C$39,3,0)</f>
        <v>1800</v>
      </c>
      <c r="L7" s="81">
        <f t="shared" si="0"/>
        <v>112.5</v>
      </c>
      <c r="M7" s="82">
        <v>16</v>
      </c>
      <c r="N7" s="80">
        <f t="shared" si="1"/>
        <v>1778.5321100917533</v>
      </c>
      <c r="O7" s="81">
        <f t="shared" si="2"/>
        <v>111.15825688073458</v>
      </c>
      <c r="P7" s="74">
        <f t="shared" si="3"/>
        <v>0</v>
      </c>
      <c r="Q7" s="83">
        <f t="shared" si="4"/>
        <v>-1.3417431192654163</v>
      </c>
      <c r="R7" s="72">
        <f t="shared" si="5"/>
        <v>0.98807339449541853</v>
      </c>
      <c r="S7" s="719"/>
      <c r="T7" s="18">
        <v>0.37916666666666698</v>
      </c>
      <c r="U7" s="18">
        <v>0.45486111111111099</v>
      </c>
      <c r="V7" s="30">
        <f>(T7-U6)*24*60</f>
        <v>8.0000000000006111</v>
      </c>
      <c r="W7" s="73">
        <f t="shared" si="6"/>
        <v>108.99999999999937</v>
      </c>
      <c r="X7" s="22"/>
      <c r="Y7" s="84"/>
      <c r="Z7" s="90"/>
      <c r="AA7" s="90"/>
      <c r="AB7" s="728"/>
      <c r="AC7" s="713"/>
      <c r="AD7" s="92"/>
      <c r="AE7" s="92"/>
      <c r="AF7" s="307">
        <f t="shared" si="7"/>
        <v>-21.467889908246661</v>
      </c>
      <c r="AG7" s="72">
        <f t="shared" si="8"/>
        <v>0.98807339449541853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1224</v>
      </c>
      <c r="H8" s="78">
        <f t="shared" ref="H8:H10" si="9">F8*G8</f>
        <v>60147.360000000001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1932.6315789473629</v>
      </c>
      <c r="O8" s="81">
        <f t="shared" si="2"/>
        <v>138.04511278195449</v>
      </c>
      <c r="P8" s="74">
        <f t="shared" si="3"/>
        <v>0</v>
      </c>
      <c r="Q8" s="83">
        <f t="shared" si="4"/>
        <v>-4.8120300751883747</v>
      </c>
      <c r="R8" s="72">
        <f t="shared" si="5"/>
        <v>0.96631578947368135</v>
      </c>
      <c r="S8" s="719"/>
      <c r="T8" s="16">
        <v>0.46111111111111103</v>
      </c>
      <c r="U8" s="16">
        <v>0.48749999999999999</v>
      </c>
      <c r="V8" s="30">
        <f t="shared" ref="V8:V10" si="10">(T8-U7)*24*60</f>
        <v>9.000000000000048</v>
      </c>
      <c r="W8" s="73">
        <f t="shared" si="6"/>
        <v>38.000000000000107</v>
      </c>
      <c r="X8" s="22">
        <v>0.49305555555555602</v>
      </c>
      <c r="Y8" s="84">
        <v>0.53472222222222199</v>
      </c>
      <c r="Z8" s="90"/>
      <c r="AA8" s="90"/>
      <c r="AB8" s="728"/>
      <c r="AC8" s="728"/>
      <c r="AD8" s="149"/>
      <c r="AE8" s="149"/>
      <c r="AF8" s="307">
        <f t="shared" si="7"/>
        <v>-67.368421052637132</v>
      </c>
      <c r="AG8" s="72">
        <f t="shared" si="8"/>
        <v>0.96631578947368146</v>
      </c>
      <c r="AH8" s="725"/>
    </row>
    <row r="9" spans="1:34" ht="15" customHeight="1">
      <c r="A9" s="716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4740</v>
      </c>
      <c r="H9" s="78">
        <f t="shared" si="9"/>
        <v>232923.6</v>
      </c>
      <c r="I9" s="73"/>
      <c r="J9" s="79">
        <f>VLOOKUP(D9,產線配置圖!$A$3:$C$39,2,0)</f>
        <v>14</v>
      </c>
      <c r="K9" s="80">
        <f>VLOOKUP(D9,產線配置圖!$A$3:$C$39,3,0)</f>
        <v>2000</v>
      </c>
      <c r="L9" s="81">
        <f t="shared" si="0"/>
        <v>142.85714285714286</v>
      </c>
      <c r="M9" s="82">
        <v>14</v>
      </c>
      <c r="N9" s="80">
        <f t="shared" si="1"/>
        <v>1988.8111888111982</v>
      </c>
      <c r="O9" s="81">
        <f t="shared" si="2"/>
        <v>142.05794205794274</v>
      </c>
      <c r="P9" s="74">
        <f t="shared" si="3"/>
        <v>0</v>
      </c>
      <c r="Q9" s="83">
        <f t="shared" si="4"/>
        <v>-0.79920079920012199</v>
      </c>
      <c r="R9" s="72">
        <f t="shared" si="5"/>
        <v>0.99440559440559917</v>
      </c>
      <c r="S9" s="720"/>
      <c r="T9" s="16">
        <v>0.54513888888888895</v>
      </c>
      <c r="U9" s="16">
        <v>0.64444444444444404</v>
      </c>
      <c r="V9" s="30">
        <f t="shared" si="10"/>
        <v>83.000000000000099</v>
      </c>
      <c r="W9" s="73">
        <f t="shared" si="6"/>
        <v>142.99999999999932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-11.188811188801765</v>
      </c>
      <c r="AG9" s="72">
        <f t="shared" si="8"/>
        <v>0.99440559440559917</v>
      </c>
      <c r="AH9" s="726"/>
    </row>
    <row r="10" spans="1:34" ht="15" customHeight="1">
      <c r="A10" s="716"/>
      <c r="B10" s="75" t="s">
        <v>81</v>
      </c>
      <c r="C10" s="86"/>
      <c r="D10" s="59" t="s">
        <v>190</v>
      </c>
      <c r="E10" s="87"/>
      <c r="F10" s="75">
        <f>VLOOKUP(D10,廠價表!$C$1:$E$41,3,0)</f>
        <v>56.28</v>
      </c>
      <c r="G10" s="62">
        <v>1408</v>
      </c>
      <c r="H10" s="78">
        <f t="shared" si="9"/>
        <v>79242.240000000005</v>
      </c>
      <c r="I10" s="73"/>
      <c r="J10" s="79">
        <f>VLOOKUP(D10,產線配置圖!$A$3:$C$39,2,0)</f>
        <v>16</v>
      </c>
      <c r="K10" s="80">
        <f>VLOOKUP(D10,產線配置圖!$A$3:$C$39,3,0)</f>
        <v>1800</v>
      </c>
      <c r="L10" s="81">
        <f>K10/J10</f>
        <v>112.5</v>
      </c>
      <c r="M10" s="82">
        <v>16</v>
      </c>
      <c r="N10" s="80">
        <f>G10/W10*60</f>
        <v>1456.5517241379243</v>
      </c>
      <c r="O10" s="81">
        <f>N10/M10</f>
        <v>91.034482758620271</v>
      </c>
      <c r="P10" s="74">
        <f>M10-J10</f>
        <v>0</v>
      </c>
      <c r="Q10" s="83">
        <f>O10-L10</f>
        <v>-21.465517241379729</v>
      </c>
      <c r="R10" s="72">
        <f>O10/L10</f>
        <v>0.8091954022988469</v>
      </c>
      <c r="S10" s="720"/>
      <c r="T10" s="22">
        <v>0.68888888888888899</v>
      </c>
      <c r="U10" s="22">
        <v>0.72916666666666696</v>
      </c>
      <c r="V10" s="30">
        <f t="shared" si="10"/>
        <v>64.000000000000739</v>
      </c>
      <c r="W10" s="73">
        <f t="shared" si="6"/>
        <v>58.00000000000027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-343.44827586207566</v>
      </c>
      <c r="AG10" s="72">
        <f t="shared" si="8"/>
        <v>0.8091954022988469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/>
      <c r="AG11" s="72"/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1950.8333333333333</v>
      </c>
      <c r="L15" s="117">
        <f t="shared" si="11"/>
        <v>131.71407024348201</v>
      </c>
      <c r="M15" s="120">
        <f t="shared" si="11"/>
        <v>15</v>
      </c>
      <c r="N15" s="120">
        <f t="shared" si="11"/>
        <v>1840.0981836647079</v>
      </c>
      <c r="O15" s="117">
        <f t="shared" si="11"/>
        <v>124.79369010551652</v>
      </c>
      <c r="P15" s="121">
        <f t="shared" ref="P15:P19" si="12">M15-J15</f>
        <v>0</v>
      </c>
      <c r="Q15" s="122">
        <f t="shared" ref="Q15:Q19" si="13">O15-L15</f>
        <v>-6.9203801379654948</v>
      </c>
      <c r="R15" s="123">
        <f t="shared" ref="R15:R16" si="14">O15/L15</f>
        <v>0.94745906701408045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5">N15-K15</f>
        <v>-110.73514966862535</v>
      </c>
      <c r="AG15" s="124">
        <f t="shared" ref="AG15:AG19" si="16">N15/K15</f>
        <v>0.9432370014513668</v>
      </c>
      <c r="AH15" s="727"/>
    </row>
    <row r="16" spans="1:34" ht="15" customHeight="1">
      <c r="A16" s="740" t="s">
        <v>43</v>
      </c>
      <c r="B16" s="75" t="s">
        <v>81</v>
      </c>
      <c r="C16" s="628"/>
      <c r="D16" s="252" t="s">
        <v>121</v>
      </c>
      <c r="E16" s="629"/>
      <c r="F16" s="75">
        <f>VLOOKUP(D16,廠價表!$C$1:$E$41,3,0)</f>
        <v>57.21</v>
      </c>
      <c r="G16" s="147">
        <v>2794</v>
      </c>
      <c r="H16" s="630">
        <f>F16*G16</f>
        <v>159844.74</v>
      </c>
      <c r="I16" s="631"/>
      <c r="J16" s="632">
        <f>VLOOKUP(D16,產線配置圖!$A$3:$C$39,2,0)</f>
        <v>13</v>
      </c>
      <c r="K16" s="633">
        <f>VLOOKUP(D16,產線配置圖!$A$3:$C$39,3,0)</f>
        <v>2105</v>
      </c>
      <c r="L16" s="634">
        <f t="shared" ref="L16:L19" si="17">K16/J16</f>
        <v>161.92307692307693</v>
      </c>
      <c r="M16" s="148">
        <v>14</v>
      </c>
      <c r="N16" s="95">
        <f>G16/W16*60</f>
        <v>2069.6296296296305</v>
      </c>
      <c r="O16" s="96">
        <f>N16/M16</f>
        <v>147.83068783068788</v>
      </c>
      <c r="P16" s="97">
        <f t="shared" si="12"/>
        <v>1</v>
      </c>
      <c r="Q16" s="98">
        <f t="shared" si="13"/>
        <v>-14.092389092389055</v>
      </c>
      <c r="R16" s="99">
        <f t="shared" si="14"/>
        <v>0.91296861843180155</v>
      </c>
      <c r="S16" s="734">
        <f>R26</f>
        <v>0.95497126269303623</v>
      </c>
      <c r="T16" s="145">
        <v>0.29027777777777802</v>
      </c>
      <c r="U16" s="145">
        <v>0.34652777777777799</v>
      </c>
      <c r="V16" s="135"/>
      <c r="W16" s="146">
        <f t="shared" ref="W16:W78" si="18">(U16-T16)*24*60</f>
        <v>80.999999999999957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5"/>
        <v>-35.370370370369528</v>
      </c>
      <c r="AG16" s="52">
        <f t="shared" si="16"/>
        <v>0.9831969736957864</v>
      </c>
      <c r="AH16" s="724">
        <f>AG26</f>
        <v>0.97026057678231548</v>
      </c>
    </row>
    <row r="17" spans="1:34" ht="15" customHeight="1">
      <c r="A17" s="741"/>
      <c r="B17" s="207" t="s">
        <v>81</v>
      </c>
      <c r="C17" s="617"/>
      <c r="D17" s="175" t="s">
        <v>123</v>
      </c>
      <c r="E17" s="637"/>
      <c r="F17" s="75">
        <f>VLOOKUP(D17,廠價表!$C$1:$E$41,3,0)</f>
        <v>50.67</v>
      </c>
      <c r="G17" s="618">
        <v>3789</v>
      </c>
      <c r="H17" s="619">
        <f>F17*G17</f>
        <v>191988.63</v>
      </c>
      <c r="I17" s="620"/>
      <c r="J17" s="621">
        <f>VLOOKUP(D17,產線配置圖!$A$3:$C$39,2,0)</f>
        <v>13</v>
      </c>
      <c r="K17" s="234">
        <f>VLOOKUP(D17,產線配置圖!$A$3:$C$39,3,0)</f>
        <v>2000</v>
      </c>
      <c r="L17" s="235">
        <f t="shared" si="17"/>
        <v>153.84615384615384</v>
      </c>
      <c r="M17" s="622">
        <v>13</v>
      </c>
      <c r="N17" s="623">
        <f t="shared" ref="N17:N18" si="19">G17/W17*60</f>
        <v>1976.869565217394</v>
      </c>
      <c r="O17" s="624">
        <f>N17/M17</f>
        <v>152.06688963210723</v>
      </c>
      <c r="P17" s="625">
        <f>M17-J17</f>
        <v>0</v>
      </c>
      <c r="Q17" s="626">
        <f t="shared" si="13"/>
        <v>-1.7792642140466057</v>
      </c>
      <c r="R17" s="627">
        <f>O17/L17</f>
        <v>0.9884347826086971</v>
      </c>
      <c r="S17" s="735"/>
      <c r="T17" s="19">
        <v>0.35347222222222202</v>
      </c>
      <c r="U17" s="19">
        <v>0.43333333333333302</v>
      </c>
      <c r="V17" s="30">
        <f>(T17-U16)*24*60</f>
        <v>9.9999999999994049</v>
      </c>
      <c r="W17" s="149">
        <f t="shared" si="18"/>
        <v>114.99999999999983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5"/>
        <v>-23.130434782606017</v>
      </c>
      <c r="AG17" s="72">
        <f t="shared" si="16"/>
        <v>0.98843478260869699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636"/>
      <c r="F18" s="75">
        <f>VLOOKUP(D18,廠價表!$C$1:$E$41,3,0)</f>
        <v>50.39</v>
      </c>
      <c r="G18" s="147">
        <v>1696</v>
      </c>
      <c r="H18" s="78">
        <f>F18*G18</f>
        <v>85461.440000000002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7"/>
        <v>166.66666666666666</v>
      </c>
      <c r="M18" s="148">
        <v>12</v>
      </c>
      <c r="N18" s="95">
        <f t="shared" si="19"/>
        <v>1850.1818181818383</v>
      </c>
      <c r="O18" s="96">
        <f>N18/M18</f>
        <v>154.18181818181986</v>
      </c>
      <c r="P18" s="97">
        <f>M18-J18</f>
        <v>0</v>
      </c>
      <c r="Q18" s="98">
        <f t="shared" si="13"/>
        <v>-12.484848484846793</v>
      </c>
      <c r="R18" s="99">
        <f>O18/L18</f>
        <v>0.92509090909091929</v>
      </c>
      <c r="S18" s="735"/>
      <c r="T18" s="19">
        <v>0.44027777777777799</v>
      </c>
      <c r="U18" s="19">
        <v>0.47847222222222202</v>
      </c>
      <c r="V18" s="30">
        <f>(T18-U17)*24*60</f>
        <v>10.000000000000764</v>
      </c>
      <c r="W18" s="149">
        <f t="shared" si="18"/>
        <v>54.999999999999403</v>
      </c>
      <c r="X18" s="22">
        <v>0.48958333333333298</v>
      </c>
      <c r="Y18" s="84">
        <v>0.53125</v>
      </c>
      <c r="Z18" s="90"/>
      <c r="AA18" s="90"/>
      <c r="AB18" s="713"/>
      <c r="AC18" s="713"/>
      <c r="AD18" s="92"/>
      <c r="AE18" s="92"/>
      <c r="AF18" s="307">
        <f t="shared" si="15"/>
        <v>-149.81818181816175</v>
      </c>
      <c r="AG18" s="72">
        <f t="shared" si="16"/>
        <v>0.92509090909091918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636"/>
      <c r="F19" s="75">
        <f>VLOOKUP(D19,廠價表!$C$1:$E$41,3,0)</f>
        <v>50.39</v>
      </c>
      <c r="G19" s="147">
        <v>3158</v>
      </c>
      <c r="H19" s="78">
        <f>F19*G19</f>
        <v>159131.62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7"/>
        <v>166.66666666666666</v>
      </c>
      <c r="M19" s="148">
        <v>12</v>
      </c>
      <c r="N19" s="95">
        <f>G19/W19*60</f>
        <v>1973.7499999999907</v>
      </c>
      <c r="O19" s="96">
        <f>N19/M19</f>
        <v>164.47916666666589</v>
      </c>
      <c r="P19" s="97">
        <f t="shared" si="12"/>
        <v>0</v>
      </c>
      <c r="Q19" s="98">
        <f t="shared" si="13"/>
        <v>-2.1875000000007674</v>
      </c>
      <c r="R19" s="99">
        <f>O19/L19</f>
        <v>0.98687499999999539</v>
      </c>
      <c r="S19" s="735"/>
      <c r="T19" s="19">
        <v>0.54861111111111105</v>
      </c>
      <c r="U19" s="19">
        <v>0.61527777777777803</v>
      </c>
      <c r="V19" s="30">
        <f>(T19-U18)*24*60</f>
        <v>101.0000000000002</v>
      </c>
      <c r="W19" s="149">
        <f>(U19-T19)*24*60</f>
        <v>96.000000000000455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5"/>
        <v>-26.250000000009322</v>
      </c>
      <c r="AG19" s="72">
        <f t="shared" si="16"/>
        <v>0.98687499999999528</v>
      </c>
      <c r="AH19" s="726"/>
    </row>
    <row r="20" spans="1:34" ht="15" customHeight="1">
      <c r="A20" s="741"/>
      <c r="B20" s="75" t="s">
        <v>81</v>
      </c>
      <c r="C20" s="628"/>
      <c r="D20" s="252" t="s">
        <v>190</v>
      </c>
      <c r="E20" s="629"/>
      <c r="F20" s="75">
        <f>VLOOKUP(D20,廠價表!$C$1:$E$41,3,0)</f>
        <v>56.28</v>
      </c>
      <c r="G20" s="147">
        <v>638</v>
      </c>
      <c r="H20" s="78">
        <f>F20*G20</f>
        <v>35906.639999999999</v>
      </c>
      <c r="I20" s="30"/>
      <c r="J20" s="79">
        <f>VLOOKUP(D20,產線配置圖!$A$3:$C$39,2,0)</f>
        <v>16</v>
      </c>
      <c r="K20" s="80">
        <f>VLOOKUP(D20,產線配置圖!$A$3:$C$39,3,0)</f>
        <v>1800</v>
      </c>
      <c r="L20" s="81">
        <f>K20/J20</f>
        <v>112.5</v>
      </c>
      <c r="M20" s="148">
        <v>16</v>
      </c>
      <c r="N20" s="95">
        <f>G20/W20*60</f>
        <v>1739.9999999999809</v>
      </c>
      <c r="O20" s="96">
        <f>N20/M20</f>
        <v>108.74999999999881</v>
      </c>
      <c r="P20" s="97">
        <f>M20-J20</f>
        <v>0</v>
      </c>
      <c r="Q20" s="98">
        <f>O20-L20</f>
        <v>-3.7500000000011937</v>
      </c>
      <c r="R20" s="99">
        <f>O20/L20</f>
        <v>0.96666666666665602</v>
      </c>
      <c r="S20" s="735"/>
      <c r="T20" s="19">
        <v>0.62361111111111101</v>
      </c>
      <c r="U20" s="19">
        <v>0.63888888888888895</v>
      </c>
      <c r="V20" s="30">
        <f>(T20-U19)*24*60</f>
        <v>11.999999999999478</v>
      </c>
      <c r="W20" s="149">
        <f>(U20-T20)*24*60</f>
        <v>22.000000000000242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9"/>
      <c r="U21" s="19"/>
      <c r="V21" s="30"/>
      <c r="W21" s="149">
        <f t="shared" si="18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8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1">AVERAGE(J16:J25)</f>
        <v>13.2</v>
      </c>
      <c r="K26" s="155">
        <f t="shared" si="21"/>
        <v>1981</v>
      </c>
      <c r="L26" s="158">
        <f t="shared" si="21"/>
        <v>152.32051282051282</v>
      </c>
      <c r="M26" s="155">
        <f t="shared" si="21"/>
        <v>13.4</v>
      </c>
      <c r="N26" s="155">
        <f t="shared" si="21"/>
        <v>1922.0862026057669</v>
      </c>
      <c r="O26" s="158">
        <f t="shared" si="21"/>
        <v>145.46171246225595</v>
      </c>
      <c r="P26" s="159">
        <f t="shared" ref="P26:P28" si="22">M26-J26</f>
        <v>0.20000000000000107</v>
      </c>
      <c r="Q26" s="160">
        <f t="shared" ref="Q26:Q28" si="23">O26-L26</f>
        <v>-6.8588003582568717</v>
      </c>
      <c r="R26" s="161">
        <f>O26/L26</f>
        <v>0.95497126269303623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24">N26-K26</f>
        <v>-58.913797394233143</v>
      </c>
      <c r="AG26" s="124">
        <f t="shared" ref="AG26:AG31" si="25">N26/K26</f>
        <v>0.97026057678231548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1606</v>
      </c>
      <c r="H27" s="134">
        <f>F27*G27</f>
        <v>92023.799999999988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8" si="26">K27/J27</f>
        <v>88.235294117647058</v>
      </c>
      <c r="M27" s="170">
        <v>17</v>
      </c>
      <c r="N27" s="140">
        <f>G27/W27*60</f>
        <v>1482.4615384615345</v>
      </c>
      <c r="O27" s="141">
        <f>N27/M27</f>
        <v>87.203619909502024</v>
      </c>
      <c r="P27" s="142">
        <f t="shared" si="22"/>
        <v>0</v>
      </c>
      <c r="Q27" s="143">
        <f t="shared" si="23"/>
        <v>-1.0316742081450343</v>
      </c>
      <c r="R27" s="144">
        <f>O27/L27</f>
        <v>0.98830769230768956</v>
      </c>
      <c r="S27" s="734">
        <f>R37</f>
        <v>0.89254680300484079</v>
      </c>
      <c r="T27" s="171">
        <v>0.29166666666666702</v>
      </c>
      <c r="U27" s="171">
        <v>0.33680555555555602</v>
      </c>
      <c r="V27" s="135"/>
      <c r="W27" s="146">
        <f t="shared" si="18"/>
        <v>65.000000000000171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4"/>
        <v>-17.538461538465526</v>
      </c>
      <c r="AG27" s="172">
        <f t="shared" si="25"/>
        <v>0.98830769230768967</v>
      </c>
      <c r="AH27" s="724">
        <f>AG37</f>
        <v>0.82262272641469747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1440</v>
      </c>
      <c r="H28" s="91">
        <f>F28*G28</f>
        <v>79387.199999999997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6"/>
        <v>81.470588235294116</v>
      </c>
      <c r="M28" s="94">
        <v>15</v>
      </c>
      <c r="N28" s="95">
        <f>G28/W28*60</f>
        <v>1107.6923076923219</v>
      </c>
      <c r="O28" s="96">
        <f>N28/M28</f>
        <v>73.846153846154792</v>
      </c>
      <c r="P28" s="97">
        <f t="shared" si="22"/>
        <v>-2</v>
      </c>
      <c r="Q28" s="98">
        <f t="shared" si="23"/>
        <v>-7.6244343891393243</v>
      </c>
      <c r="R28" s="99">
        <f>O28/L28</f>
        <v>0.90641488475424659</v>
      </c>
      <c r="S28" s="735"/>
      <c r="T28" s="19">
        <v>0.34166666666666701</v>
      </c>
      <c r="U28" s="19">
        <v>0.39583333333333298</v>
      </c>
      <c r="V28" s="92">
        <f>(T28-U27)*24*60</f>
        <v>6.9999999999998153</v>
      </c>
      <c r="W28" s="149">
        <f t="shared" si="18"/>
        <v>77.999999999999005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4"/>
        <v>-277.30769230767805</v>
      </c>
      <c r="AG28" s="99">
        <f t="shared" si="25"/>
        <v>0.79977783948904113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1456</v>
      </c>
      <c r="H29" s="91">
        <f t="shared" ref="H29:H32" si="27">F29*G29</f>
        <v>72101.12000000001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ref="L29:L32" si="28">K29/J29</f>
        <v>84.705882352941174</v>
      </c>
      <c r="M29" s="94">
        <v>15</v>
      </c>
      <c r="N29" s="95">
        <f t="shared" ref="N29:N32" si="29">G29/W29*60</f>
        <v>1027.76470588235</v>
      </c>
      <c r="O29" s="96">
        <f t="shared" ref="O29:O32" si="30">N29/M29</f>
        <v>68.517647058823329</v>
      </c>
      <c r="P29" s="97">
        <f t="shared" ref="P29:P32" si="31">M29-J29</f>
        <v>-2</v>
      </c>
      <c r="Q29" s="98">
        <f t="shared" ref="Q29:Q32" si="32">O29-L29</f>
        <v>-16.188235294117845</v>
      </c>
      <c r="R29" s="99">
        <f t="shared" ref="R29:R32" si="33">O29/L29</f>
        <v>0.80888888888888655</v>
      </c>
      <c r="S29" s="735"/>
      <c r="T29" s="19">
        <v>0.40138888888888902</v>
      </c>
      <c r="U29" s="19">
        <v>0.46041666666666697</v>
      </c>
      <c r="V29" s="92">
        <f>(T29-U28)*24*60</f>
        <v>8.000000000000691</v>
      </c>
      <c r="W29" s="149">
        <f t="shared" si="18"/>
        <v>85.000000000000256</v>
      </c>
      <c r="X29" s="22"/>
      <c r="Y29" s="84"/>
      <c r="Z29" s="90">
        <v>1</v>
      </c>
      <c r="AA29" s="90">
        <v>21</v>
      </c>
      <c r="AB29" s="713" t="s">
        <v>213</v>
      </c>
      <c r="AC29" s="713"/>
      <c r="AD29" s="92"/>
      <c r="AE29" s="92"/>
      <c r="AF29" s="312">
        <f t="shared" si="24"/>
        <v>-412.23529411765003</v>
      </c>
      <c r="AG29" s="99">
        <f t="shared" si="25"/>
        <v>0.71372549019607634</v>
      </c>
      <c r="AH29" s="744"/>
    </row>
    <row r="30" spans="1:34" ht="15" customHeight="1">
      <c r="A30" s="732"/>
      <c r="B30" s="75" t="s">
        <v>117</v>
      </c>
      <c r="C30" s="88"/>
      <c r="D30" s="59" t="s">
        <v>118</v>
      </c>
      <c r="E30" s="89"/>
      <c r="F30" s="75">
        <f>VLOOKUP(D30,廠價表!$C$1:$E$41,3,0)</f>
        <v>44.3</v>
      </c>
      <c r="G30" s="90">
        <v>900</v>
      </c>
      <c r="H30" s="91">
        <f t="shared" si="27"/>
        <v>39870</v>
      </c>
      <c r="I30" s="92"/>
      <c r="J30" s="79">
        <f>VLOOKUP(D30,產線配置圖!$A$3:$C$39,2,0)</f>
        <v>19</v>
      </c>
      <c r="K30" s="80">
        <f>VLOOKUP(D30,產線配置圖!$A$3:$C$39,3,0)</f>
        <v>1440</v>
      </c>
      <c r="L30" s="93">
        <f t="shared" si="28"/>
        <v>75.78947368421052</v>
      </c>
      <c r="M30" s="94">
        <v>19</v>
      </c>
      <c r="N30" s="95">
        <f t="shared" si="29"/>
        <v>1200</v>
      </c>
      <c r="O30" s="96">
        <f t="shared" si="30"/>
        <v>63.157894736842103</v>
      </c>
      <c r="P30" s="97">
        <f t="shared" si="31"/>
        <v>0</v>
      </c>
      <c r="Q30" s="98">
        <f t="shared" si="32"/>
        <v>-12.631578947368418</v>
      </c>
      <c r="R30" s="99">
        <f t="shared" si="33"/>
        <v>0.83333333333333337</v>
      </c>
      <c r="S30" s="735"/>
      <c r="T30" s="19">
        <v>0.52777777777777801</v>
      </c>
      <c r="U30" s="19">
        <v>0.55902777777777801</v>
      </c>
      <c r="V30" s="92">
        <f>(T30-U29)*24*60</f>
        <v>96.999999999999901</v>
      </c>
      <c r="W30" s="149">
        <f t="shared" si="18"/>
        <v>45</v>
      </c>
      <c r="X30" s="174">
        <v>0.47916666666666702</v>
      </c>
      <c r="Y30" s="301">
        <v>0.52083333333333304</v>
      </c>
      <c r="Z30" s="335"/>
      <c r="AA30" s="335"/>
      <c r="AB30" s="713"/>
      <c r="AC30" s="713"/>
      <c r="AD30" s="92"/>
      <c r="AE30" s="92"/>
      <c r="AF30" s="312">
        <f t="shared" si="24"/>
        <v>-240</v>
      </c>
      <c r="AG30" s="99">
        <f t="shared" si="25"/>
        <v>0.83333333333333337</v>
      </c>
      <c r="AH30" s="745"/>
    </row>
    <row r="31" spans="1:34" ht="15" customHeight="1">
      <c r="A31" s="732"/>
      <c r="B31" s="75" t="s">
        <v>117</v>
      </c>
      <c r="C31" s="88"/>
      <c r="D31" s="59" t="s">
        <v>128</v>
      </c>
      <c r="E31" s="89"/>
      <c r="F31" s="75">
        <f>VLOOKUP(D31,廠價表!$C$1:$E$41,3,0)</f>
        <v>49.52</v>
      </c>
      <c r="G31" s="90">
        <v>500</v>
      </c>
      <c r="H31" s="91">
        <f t="shared" si="27"/>
        <v>24760</v>
      </c>
      <c r="I31" s="92"/>
      <c r="J31" s="79">
        <f>VLOOKUP(D31,產線配置圖!$A$3:$C$39,2,0)</f>
        <v>17</v>
      </c>
      <c r="K31" s="80">
        <f>VLOOKUP(D31,產線配置圖!$A$3:$C$39,3,0)</f>
        <v>1440</v>
      </c>
      <c r="L31" s="93">
        <f t="shared" si="28"/>
        <v>84.705882352941174</v>
      </c>
      <c r="M31" s="94">
        <v>15</v>
      </c>
      <c r="N31" s="95">
        <f t="shared" si="29"/>
        <v>1034.4827586206818</v>
      </c>
      <c r="O31" s="96">
        <f t="shared" si="30"/>
        <v>68.965517241378791</v>
      </c>
      <c r="P31" s="97">
        <f t="shared" si="31"/>
        <v>-2</v>
      </c>
      <c r="Q31" s="98">
        <f t="shared" si="32"/>
        <v>-15.740365111562383</v>
      </c>
      <c r="R31" s="99">
        <f t="shared" si="33"/>
        <v>0.81417624521072185</v>
      </c>
      <c r="S31" s="735"/>
      <c r="T31" s="19">
        <v>0.56597222222222199</v>
      </c>
      <c r="U31" s="19">
        <v>0.58611111111111103</v>
      </c>
      <c r="V31" s="92">
        <f t="shared" ref="V31:V32" si="34">(T31-U30)*24*60</f>
        <v>9.999999999999325</v>
      </c>
      <c r="W31" s="149">
        <f t="shared" si="18"/>
        <v>29.000000000000217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4"/>
        <v>-405.51724137931819</v>
      </c>
      <c r="AG31" s="99">
        <f t="shared" si="25"/>
        <v>0.71839080459769566</v>
      </c>
      <c r="AH31" s="726"/>
    </row>
    <row r="32" spans="1:34" ht="15" customHeight="1">
      <c r="A32" s="732"/>
      <c r="B32" s="75" t="s">
        <v>117</v>
      </c>
      <c r="C32" s="102"/>
      <c r="D32" s="175" t="s">
        <v>133</v>
      </c>
      <c r="E32" s="176"/>
      <c r="F32" s="75">
        <f>VLOOKUP(D32,廠價表!$C$1:$E$41,3,0)</f>
        <v>49.91</v>
      </c>
      <c r="G32" s="90">
        <v>1135</v>
      </c>
      <c r="H32" s="91">
        <f t="shared" si="27"/>
        <v>56647.85</v>
      </c>
      <c r="I32" s="92"/>
      <c r="J32" s="79">
        <f>VLOOKUP(D32,產線配置圖!$A$3:$C$39,2,0)</f>
        <v>17</v>
      </c>
      <c r="K32" s="80">
        <f>VLOOKUP(D32,產線配置圖!$A$3:$C$39,3,0)</f>
        <v>1565</v>
      </c>
      <c r="L32" s="93">
        <f t="shared" si="28"/>
        <v>92.058823529411768</v>
      </c>
      <c r="M32" s="94">
        <v>15</v>
      </c>
      <c r="N32" s="95">
        <f t="shared" si="29"/>
        <v>1362.0000000000093</v>
      </c>
      <c r="O32" s="96">
        <f t="shared" si="30"/>
        <v>90.800000000000622</v>
      </c>
      <c r="P32" s="97">
        <f t="shared" si="31"/>
        <v>-2</v>
      </c>
      <c r="Q32" s="98">
        <f t="shared" si="32"/>
        <v>-1.2588235294111456</v>
      </c>
      <c r="R32" s="99">
        <f t="shared" si="33"/>
        <v>0.98632587859425591</v>
      </c>
      <c r="S32" s="735"/>
      <c r="T32" s="19">
        <v>0.59722222222222199</v>
      </c>
      <c r="U32" s="19">
        <v>0.63194444444444398</v>
      </c>
      <c r="V32" s="92">
        <f t="shared" si="34"/>
        <v>15.999999999999783</v>
      </c>
      <c r="W32" s="149">
        <f t="shared" si="18"/>
        <v>49.999999999999659</v>
      </c>
      <c r="X32" s="174"/>
      <c r="Y32" s="301"/>
      <c r="Z32" s="335"/>
      <c r="AA32" s="335"/>
      <c r="AB32" s="713"/>
      <c r="AC32" s="713"/>
      <c r="AD32" s="92"/>
      <c r="AE32" s="92"/>
      <c r="AF32" s="312">
        <f>N32-K32</f>
        <v>-202.99999999999068</v>
      </c>
      <c r="AG32" s="99">
        <f>N32/K32</f>
        <v>0.87028753993610819</v>
      </c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9"/>
      <c r="U33" s="19"/>
      <c r="V33" s="92"/>
      <c r="W33" s="149">
        <f t="shared" si="18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5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6">AVERAGE(J27:J36)</f>
        <v>17.333333333333332</v>
      </c>
      <c r="K37" s="155">
        <f t="shared" si="36"/>
        <v>1461.6666666666667</v>
      </c>
      <c r="L37" s="158">
        <f t="shared" si="36"/>
        <v>84.494324045407623</v>
      </c>
      <c r="M37" s="155">
        <f t="shared" si="36"/>
        <v>16</v>
      </c>
      <c r="N37" s="155">
        <f t="shared" si="36"/>
        <v>1202.4002184428161</v>
      </c>
      <c r="O37" s="158">
        <f t="shared" si="36"/>
        <v>75.415138798783616</v>
      </c>
      <c r="P37" s="159">
        <f>M37-J37</f>
        <v>-1.3333333333333321</v>
      </c>
      <c r="Q37" s="160">
        <f>N37-K37</f>
        <v>-259.2664482238506</v>
      </c>
      <c r="R37" s="161">
        <f t="shared" ref="R37:R40" si="37">O37/L37</f>
        <v>0.89254680300484079</v>
      </c>
      <c r="S37" s="736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21</v>
      </c>
      <c r="AB37" s="739"/>
      <c r="AC37" s="739"/>
      <c r="AD37" s="323">
        <f>SUM(AD27:AD36)</f>
        <v>0</v>
      </c>
      <c r="AE37" s="323">
        <f>SUM(AE27:AE36)</f>
        <v>0</v>
      </c>
      <c r="AF37" s="309">
        <f t="shared" ref="AF37:AF40" si="38">N37-K37</f>
        <v>-259.2664482238506</v>
      </c>
      <c r="AG37" s="124">
        <f t="shared" ref="AG37:AG40" si="39">N37/K37</f>
        <v>0.82262272641469747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945</v>
      </c>
      <c r="H38" s="134">
        <f>F38*G38</f>
        <v>53326.35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40">K38/J38</f>
        <v>87.875</v>
      </c>
      <c r="M38" s="190">
        <v>14</v>
      </c>
      <c r="N38" s="140">
        <f>G38/W38*60</f>
        <v>1090.3846153846193</v>
      </c>
      <c r="O38" s="141">
        <f>N38/M38</f>
        <v>77.884615384615671</v>
      </c>
      <c r="P38" s="142">
        <f t="shared" ref="P38:P40" si="41">M38-J38</f>
        <v>-2</v>
      </c>
      <c r="Q38" s="143">
        <f t="shared" ref="Q38:Q40" si="42">O38-L38</f>
        <v>-9.990384615384329</v>
      </c>
      <c r="R38" s="144">
        <f>O38/L38</f>
        <v>0.88631141262720536</v>
      </c>
      <c r="S38" s="756">
        <f>R48</f>
        <v>0.83989914369957586</v>
      </c>
      <c r="T38" s="191">
        <v>0.34513888888888899</v>
      </c>
      <c r="U38" s="191">
        <v>0.38124999999999998</v>
      </c>
      <c r="V38" s="192"/>
      <c r="W38" s="193">
        <f t="shared" si="18"/>
        <v>51.999999999999815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8"/>
        <v>-315.61538461538066</v>
      </c>
      <c r="AG38" s="195">
        <f t="shared" si="39"/>
        <v>0.77552248604880469</v>
      </c>
      <c r="AH38" s="746">
        <f>AG48</f>
        <v>0.69602103432193263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1349</v>
      </c>
      <c r="H39" s="91">
        <f>F39*G39</f>
        <v>67328.59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40"/>
        <v>92.058823529411768</v>
      </c>
      <c r="M39" s="201">
        <v>14</v>
      </c>
      <c r="N39" s="202">
        <f>G39/W39*60</f>
        <v>1173.0434782608615</v>
      </c>
      <c r="O39" s="203">
        <f t="shared" ref="O39:O40" si="43">N39/M39</f>
        <v>83.788819875775829</v>
      </c>
      <c r="P39" s="97">
        <f t="shared" si="41"/>
        <v>-3</v>
      </c>
      <c r="Q39" s="98">
        <f t="shared" si="42"/>
        <v>-8.2700036536359391</v>
      </c>
      <c r="R39" s="99">
        <f t="shared" si="37"/>
        <v>0.91016609449724539</v>
      </c>
      <c r="S39" s="757"/>
      <c r="T39" s="20">
        <v>0.38750000000000001</v>
      </c>
      <c r="U39" s="20">
        <v>0.43541666666666701</v>
      </c>
      <c r="V39" s="92">
        <f>(T39-U38)*24*60</f>
        <v>9.000000000000048</v>
      </c>
      <c r="W39" s="205">
        <f t="shared" si="18"/>
        <v>69.000000000000469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8"/>
        <v>-391.95652173913845</v>
      </c>
      <c r="AG39" s="206">
        <f t="shared" si="39"/>
        <v>0.74954854840949625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1218</v>
      </c>
      <c r="H40" s="91">
        <f>F40*G40</f>
        <v>53957.399999999994</v>
      </c>
      <c r="I40" s="200"/>
      <c r="J40" s="148">
        <f>VLOOKUP(D40,產線配置圖!$A$3:$C$39,2,0)</f>
        <v>19</v>
      </c>
      <c r="K40" s="95">
        <f>VLOOKUP(D40,產線配置圖!$A$3:$C$39,3,0)</f>
        <v>1440</v>
      </c>
      <c r="L40" s="96">
        <f t="shared" si="40"/>
        <v>75.78947368421052</v>
      </c>
      <c r="M40" s="201">
        <v>14</v>
      </c>
      <c r="N40" s="202">
        <f>G40/W40*60</f>
        <v>821.1235955056253</v>
      </c>
      <c r="O40" s="203">
        <f t="shared" si="43"/>
        <v>58.651685393258951</v>
      </c>
      <c r="P40" s="97">
        <f t="shared" si="41"/>
        <v>-5</v>
      </c>
      <c r="Q40" s="98">
        <f t="shared" si="42"/>
        <v>-17.137788290951569</v>
      </c>
      <c r="R40" s="99">
        <f t="shared" si="37"/>
        <v>0.77387640449438899</v>
      </c>
      <c r="S40" s="719"/>
      <c r="T40" s="20">
        <v>0.44166666666666698</v>
      </c>
      <c r="U40" s="20">
        <v>0.50347222222222199</v>
      </c>
      <c r="V40" s="92">
        <f>(T40-U39)*24*60</f>
        <v>8.999999999999968</v>
      </c>
      <c r="W40" s="205">
        <f t="shared" si="18"/>
        <v>88.999999999999204</v>
      </c>
      <c r="X40" s="208"/>
      <c r="Y40" s="209"/>
      <c r="Z40" s="337"/>
      <c r="AA40" s="337"/>
      <c r="AB40" s="713" t="s">
        <v>214</v>
      </c>
      <c r="AC40" s="713"/>
      <c r="AD40" s="92"/>
      <c r="AE40" s="92"/>
      <c r="AF40" s="314">
        <f t="shared" si="38"/>
        <v>-618.8764044943747</v>
      </c>
      <c r="AG40" s="206">
        <f t="shared" si="39"/>
        <v>0.57022471910112871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1000</v>
      </c>
      <c r="H41" s="91">
        <f t="shared" ref="H41:H42" si="44">F41*G41</f>
        <v>44300</v>
      </c>
      <c r="I41" s="200"/>
      <c r="J41" s="148">
        <f>VLOOKUP(D41,產線配置圖!$A$3:$C$39,2,0)</f>
        <v>19</v>
      </c>
      <c r="K41" s="95">
        <f>VLOOKUP(D41,產線配置圖!$A$3:$C$39,3,0)</f>
        <v>1440</v>
      </c>
      <c r="L41" s="96">
        <f t="shared" ref="L41:L42" si="45">K41/J41</f>
        <v>75.78947368421052</v>
      </c>
      <c r="M41" s="201">
        <v>14</v>
      </c>
      <c r="N41" s="202">
        <f t="shared" ref="N41:N42" si="46">G41/W41*60</f>
        <v>705.88235294117362</v>
      </c>
      <c r="O41" s="203">
        <f t="shared" ref="O41:O42" si="47">N41/M41</f>
        <v>50.42016806722669</v>
      </c>
      <c r="P41" s="97">
        <f t="shared" ref="P41:P42" si="48">M41-J41</f>
        <v>-5</v>
      </c>
      <c r="Q41" s="98">
        <f t="shared" ref="Q41:Q42" si="49">O41-L41</f>
        <v>-25.36930561698383</v>
      </c>
      <c r="R41" s="99">
        <f t="shared" ref="R41:R42" si="50">O41/L41</f>
        <v>0.66526610644257445</v>
      </c>
      <c r="S41" s="719"/>
      <c r="T41" s="20">
        <v>0.5625</v>
      </c>
      <c r="U41" s="210">
        <v>0.62152777777777801</v>
      </c>
      <c r="V41" s="92">
        <f t="shared" ref="V41:V42" si="51">(T41-U40)*24*60</f>
        <v>85.000000000000341</v>
      </c>
      <c r="W41" s="205">
        <f t="shared" si="18"/>
        <v>85.000000000000341</v>
      </c>
      <c r="X41" s="208"/>
      <c r="Y41" s="209"/>
      <c r="Z41" s="337"/>
      <c r="AA41" s="337"/>
      <c r="AB41" s="713" t="s">
        <v>214</v>
      </c>
      <c r="AC41" s="713"/>
      <c r="AD41" s="92"/>
      <c r="AE41" s="92"/>
      <c r="AF41" s="314"/>
      <c r="AG41" s="206"/>
      <c r="AH41" s="747"/>
    </row>
    <row r="42" spans="1:34" ht="15" customHeight="1">
      <c r="A42" s="754"/>
      <c r="B42" s="75" t="s">
        <v>117</v>
      </c>
      <c r="C42" s="197"/>
      <c r="D42" s="198" t="s">
        <v>118</v>
      </c>
      <c r="E42" s="176"/>
      <c r="F42" s="75">
        <f>VLOOKUP(D42,廠價表!$C$1:$E$41,3,0)</f>
        <v>44.3</v>
      </c>
      <c r="G42" s="199">
        <v>1006</v>
      </c>
      <c r="H42" s="91">
        <f t="shared" si="44"/>
        <v>44565.799999999996</v>
      </c>
      <c r="I42" s="200"/>
      <c r="J42" s="148">
        <f>VLOOKUP(D42,產線配置圖!$A$3:$C$39,2,0)</f>
        <v>19</v>
      </c>
      <c r="K42" s="95">
        <f>VLOOKUP(D42,產線配置圖!$A$3:$C$39,3,0)</f>
        <v>1440</v>
      </c>
      <c r="L42" s="96">
        <f t="shared" si="45"/>
        <v>75.78947368421052</v>
      </c>
      <c r="M42" s="201">
        <v>18</v>
      </c>
      <c r="N42" s="202">
        <f t="shared" si="46"/>
        <v>1284.2553191489319</v>
      </c>
      <c r="O42" s="203">
        <f t="shared" si="47"/>
        <v>71.347517730496222</v>
      </c>
      <c r="P42" s="97">
        <f t="shared" si="48"/>
        <v>-1</v>
      </c>
      <c r="Q42" s="98">
        <f t="shared" si="49"/>
        <v>-4.4419559537142987</v>
      </c>
      <c r="R42" s="99">
        <f t="shared" si="50"/>
        <v>0.94139085894404739</v>
      </c>
      <c r="S42" s="719"/>
      <c r="T42" s="210">
        <v>0.66666666666666696</v>
      </c>
      <c r="U42" s="210">
        <v>0.69930555555555596</v>
      </c>
      <c r="V42" s="92">
        <f t="shared" si="51"/>
        <v>65.000000000000085</v>
      </c>
      <c r="W42" s="205">
        <f t="shared" si="18"/>
        <v>47.000000000000156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97"/>
      <c r="D43" s="198"/>
      <c r="E43" s="176"/>
      <c r="F43" s="75"/>
      <c r="G43" s="199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314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52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52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52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5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52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53">AVERAGE(J38:J47)</f>
        <v>18</v>
      </c>
      <c r="K48" s="155">
        <f t="shared" si="53"/>
        <v>1458.2</v>
      </c>
      <c r="L48" s="158">
        <f t="shared" si="53"/>
        <v>81.460448916408666</v>
      </c>
      <c r="M48" s="155">
        <f t="shared" si="53"/>
        <v>14.8</v>
      </c>
      <c r="N48" s="155">
        <f t="shared" si="53"/>
        <v>1014.9378722482422</v>
      </c>
      <c r="O48" s="158">
        <f t="shared" si="53"/>
        <v>68.418561290274681</v>
      </c>
      <c r="P48" s="221">
        <f>M48-J48</f>
        <v>-3.1999999999999993</v>
      </c>
      <c r="Q48" s="222">
        <f>N48-K48</f>
        <v>-443.26212775175782</v>
      </c>
      <c r="R48" s="223">
        <f t="shared" ref="R48:R52" si="54">O48/L48</f>
        <v>0.83989914369957586</v>
      </c>
      <c r="S48" s="722"/>
      <c r="T48" s="224"/>
      <c r="U48" s="224"/>
      <c r="V48" s="225"/>
      <c r="W48" s="226">
        <f t="shared" si="52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2" si="55">N48-K48</f>
        <v>-443.26212775175782</v>
      </c>
      <c r="AG48" s="162">
        <f t="shared" ref="AG48:AG52" si="56">N48/K48</f>
        <v>0.69602103432193263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1162</v>
      </c>
      <c r="H49" s="134">
        <f>F49*G49</f>
        <v>66082.94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57">K49/J49</f>
        <v>86.944444444444443</v>
      </c>
      <c r="M49" s="170">
        <v>18</v>
      </c>
      <c r="N49" s="140">
        <f>G49/W49*60</f>
        <v>1267.6363636363442</v>
      </c>
      <c r="O49" s="141">
        <f>N49/M49</f>
        <v>70.424242424241342</v>
      </c>
      <c r="P49" s="229">
        <f>M49-J49</f>
        <v>0</v>
      </c>
      <c r="Q49" s="230">
        <f>O49-L49</f>
        <v>-16.520202020203101</v>
      </c>
      <c r="R49" s="52">
        <f t="shared" si="54"/>
        <v>0.80999128666859055</v>
      </c>
      <c r="S49" s="718">
        <f>R58</f>
        <v>0.9306304804168245</v>
      </c>
      <c r="T49" s="191">
        <v>0.28819444444444398</v>
      </c>
      <c r="U49" s="191">
        <v>0.32638888888888901</v>
      </c>
      <c r="V49" s="55"/>
      <c r="W49" s="193">
        <f t="shared" si="18"/>
        <v>55.000000000000846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55"/>
        <v>-297.36363636365581</v>
      </c>
      <c r="AG49" s="52">
        <f t="shared" si="56"/>
        <v>0.80999128666859055</v>
      </c>
      <c r="AH49" s="724">
        <f>AG58</f>
        <v>0.94349535471829438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2558</v>
      </c>
      <c r="H50" s="231">
        <f>F50*G50</f>
        <v>122042.18000000001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57"/>
        <v>102.85714285714286</v>
      </c>
      <c r="M50" s="233">
        <v>15</v>
      </c>
      <c r="N50" s="234">
        <f>G50/W50*60</f>
        <v>1434.3925233644773</v>
      </c>
      <c r="O50" s="235">
        <f>N50/M50</f>
        <v>95.626168224298482</v>
      </c>
      <c r="P50" s="74">
        <f>M50-J50</f>
        <v>1</v>
      </c>
      <c r="Q50" s="83">
        <f>O50-L50</f>
        <v>-7.2309746328443794</v>
      </c>
      <c r="R50" s="72">
        <f t="shared" si="54"/>
        <v>0.92969885773623517</v>
      </c>
      <c r="S50" s="719"/>
      <c r="T50" s="21">
        <v>0.33194444444444399</v>
      </c>
      <c r="U50" s="21">
        <v>0.40625</v>
      </c>
      <c r="V50" s="30">
        <f t="shared" ref="V50:V53" si="58">(T50-U49)*24*60</f>
        <v>7.9999999999991722</v>
      </c>
      <c r="W50" s="236">
        <f t="shared" si="18"/>
        <v>107.00000000000065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55"/>
        <v>-5.6074766355227439</v>
      </c>
      <c r="AG50" s="72">
        <f t="shared" si="56"/>
        <v>0.99610591900310919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2281</v>
      </c>
      <c r="H51" s="231">
        <f>F51*G51</f>
        <v>113981.56999999999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57"/>
        <v>88.888888888888886</v>
      </c>
      <c r="M51" s="233">
        <v>18</v>
      </c>
      <c r="N51" s="234">
        <f>G51/W51*60</f>
        <v>1555.2272727272755</v>
      </c>
      <c r="O51" s="235">
        <f>N51/M51</f>
        <v>86.401515151515298</v>
      </c>
      <c r="P51" s="74">
        <f>M51-J51</f>
        <v>0</v>
      </c>
      <c r="Q51" s="83">
        <f>O51-L51</f>
        <v>-2.4873737373735878</v>
      </c>
      <c r="R51" s="72">
        <f t="shared" si="54"/>
        <v>0.97201704545454715</v>
      </c>
      <c r="S51" s="719"/>
      <c r="T51" s="21">
        <v>0.41111111111111098</v>
      </c>
      <c r="U51" s="19">
        <v>0.47222222222222199</v>
      </c>
      <c r="V51" s="30">
        <f t="shared" si="58"/>
        <v>6.9999999999998153</v>
      </c>
      <c r="W51" s="236">
        <f t="shared" si="18"/>
        <v>87.999999999999844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55"/>
        <v>-44.772727272724524</v>
      </c>
      <c r="AG51" s="72">
        <f t="shared" si="56"/>
        <v>0.97201704545454715</v>
      </c>
      <c r="AH51" s="725"/>
    </row>
    <row r="52" spans="1:34" ht="15" customHeight="1">
      <c r="A52" s="751"/>
      <c r="B52" s="75" t="s">
        <v>81</v>
      </c>
      <c r="C52" s="76"/>
      <c r="D52" s="59" t="s">
        <v>134</v>
      </c>
      <c r="E52" s="77"/>
      <c r="F52" s="75">
        <f>VLOOKUP(D52,廠價表!$C$1:$E$41,3,0)</f>
        <v>49.97</v>
      </c>
      <c r="G52" s="202">
        <v>2959</v>
      </c>
      <c r="H52" s="231">
        <f>F52*G52</f>
        <v>147861.23000000001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57"/>
        <v>88.888888888888886</v>
      </c>
      <c r="M52" s="233">
        <v>18</v>
      </c>
      <c r="N52" s="234">
        <f>G52/W52*60</f>
        <v>1571.1504424778796</v>
      </c>
      <c r="O52" s="235">
        <f>N52/M52</f>
        <v>87.286135693215527</v>
      </c>
      <c r="P52" s="74">
        <f>M52-J52</f>
        <v>0</v>
      </c>
      <c r="Q52" s="83">
        <f>O52-L52</f>
        <v>-1.6027531956733583</v>
      </c>
      <c r="R52" s="72">
        <f t="shared" si="54"/>
        <v>0.98196902654867468</v>
      </c>
      <c r="S52" s="719"/>
      <c r="T52" s="21">
        <v>0.53125</v>
      </c>
      <c r="U52" s="21">
        <v>0.60972222222222205</v>
      </c>
      <c r="V52" s="30">
        <f t="shared" si="58"/>
        <v>85.000000000000341</v>
      </c>
      <c r="W52" s="236">
        <f>(U52-T52)*24*60</f>
        <v>112.99999999999976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55"/>
        <v>-28.849557522120449</v>
      </c>
      <c r="AG52" s="72">
        <f t="shared" si="56"/>
        <v>0.98196902654867468</v>
      </c>
      <c r="AH52" s="725"/>
    </row>
    <row r="53" spans="1:34" ht="15" customHeight="1">
      <c r="A53" s="751"/>
      <c r="B53" s="75" t="s">
        <v>117</v>
      </c>
      <c r="C53" s="76"/>
      <c r="D53" s="59" t="s">
        <v>118</v>
      </c>
      <c r="E53" s="77"/>
      <c r="F53" s="75">
        <f>VLOOKUP(D53,廠價表!$C$1:$E$41,3,0)</f>
        <v>44.3</v>
      </c>
      <c r="G53" s="202">
        <v>1500</v>
      </c>
      <c r="H53" s="231">
        <f>F53*G53</f>
        <v>66450</v>
      </c>
      <c r="I53" s="232"/>
      <c r="J53" s="79">
        <f>VLOOKUP(D53,產線配置圖!$A$3:$C$39,2,0)</f>
        <v>19</v>
      </c>
      <c r="K53" s="80">
        <f>VLOOKUP(D53,產線配置圖!$A$3:$C$39,3,0)</f>
        <v>1440</v>
      </c>
      <c r="L53" s="81">
        <f>K53/J53</f>
        <v>75.78947368421052</v>
      </c>
      <c r="M53" s="233">
        <v>19</v>
      </c>
      <c r="N53" s="234">
        <f>G53/W53*60</f>
        <v>1384.6153846153829</v>
      </c>
      <c r="O53" s="235">
        <f>N53/M53</f>
        <v>72.874493927125414</v>
      </c>
      <c r="P53" s="74">
        <f>M53-J53</f>
        <v>0</v>
      </c>
      <c r="Q53" s="83">
        <f>O53-L53</f>
        <v>-2.9149797570851064</v>
      </c>
      <c r="R53" s="72">
        <f>O53/L53</f>
        <v>0.96153846153846045</v>
      </c>
      <c r="S53" s="719"/>
      <c r="T53" s="21">
        <v>0.62152777777777801</v>
      </c>
      <c r="U53" s="21">
        <v>0.66666666666666696</v>
      </c>
      <c r="V53" s="30">
        <f t="shared" si="58"/>
        <v>17.000000000000579</v>
      </c>
      <c r="W53" s="236">
        <f>(U53-T53)*24*60</f>
        <v>65.000000000000085</v>
      </c>
      <c r="X53" s="30"/>
      <c r="Y53" s="151"/>
      <c r="Z53" s="90"/>
      <c r="AA53" s="90"/>
      <c r="AB53" s="713"/>
      <c r="AC53" s="713"/>
      <c r="AD53" s="92"/>
      <c r="AE53" s="92"/>
      <c r="AF53" s="307"/>
      <c r="AG53" s="72"/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59">AVERAGE(J49:J57)</f>
        <v>17.399999999999999</v>
      </c>
      <c r="K58" s="120">
        <f t="shared" si="59"/>
        <v>1529</v>
      </c>
      <c r="L58" s="117">
        <f t="shared" si="59"/>
        <v>88.673767752715122</v>
      </c>
      <c r="M58" s="120">
        <f t="shared" si="59"/>
        <v>17.600000000000001</v>
      </c>
      <c r="N58" s="120">
        <f t="shared" si="59"/>
        <v>1442.604397364272</v>
      </c>
      <c r="O58" s="117">
        <f t="shared" si="59"/>
        <v>82.522511084079198</v>
      </c>
      <c r="P58" s="121">
        <f>M58-J58</f>
        <v>0.20000000000000284</v>
      </c>
      <c r="Q58" s="122">
        <f>N58-K58</f>
        <v>-86.395602635727982</v>
      </c>
      <c r="R58" s="123">
        <f t="shared" ref="R58:R60" si="60">O58/L58</f>
        <v>0.9306304804168245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61">N58-K58</f>
        <v>-86.395602635727982</v>
      </c>
      <c r="AG58" s="124">
        <f t="shared" ref="AG58:AG61" si="62">N58/K58</f>
        <v>0.94349535471829438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2352</v>
      </c>
      <c r="H59" s="243">
        <f t="shared" ref="H59:H63" si="63">F59*G59</f>
        <v>63480.479999999996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3" si="64">K59/J59</f>
        <v>120.38461538461539</v>
      </c>
      <c r="M59" s="244">
        <v>13</v>
      </c>
      <c r="N59" s="137">
        <f t="shared" ref="N59:N63" si="65">G59/W59*60</f>
        <v>1533.9130434782583</v>
      </c>
      <c r="O59" s="138">
        <f t="shared" ref="O59:O63" si="66">N59/M59</f>
        <v>117.99331103678909</v>
      </c>
      <c r="P59" s="56">
        <f t="shared" ref="P59:P63" si="67">M59-J59</f>
        <v>0</v>
      </c>
      <c r="Q59" s="230">
        <f t="shared" ref="Q59:Q63" si="68">O59-L59</f>
        <v>-2.3913043478262921</v>
      </c>
      <c r="R59" s="52">
        <f t="shared" si="60"/>
        <v>0.98013613001805633</v>
      </c>
      <c r="S59" s="718">
        <f>R69</f>
        <v>0.8593895905635508</v>
      </c>
      <c r="T59" s="245">
        <v>0.29027777777777802</v>
      </c>
      <c r="U59" s="245">
        <v>0.35416666666666702</v>
      </c>
      <c r="V59" s="55"/>
      <c r="W59" s="54">
        <f t="shared" si="18"/>
        <v>92.000000000000156</v>
      </c>
      <c r="X59" s="639"/>
      <c r="Y59" s="640"/>
      <c r="Z59" s="169"/>
      <c r="AA59" s="169"/>
      <c r="AB59" s="723"/>
      <c r="AC59" s="723"/>
      <c r="AD59" s="135"/>
      <c r="AE59" s="135"/>
      <c r="AF59" s="310">
        <f t="shared" si="61"/>
        <v>-31.08695652174174</v>
      </c>
      <c r="AG59" s="246">
        <f t="shared" si="62"/>
        <v>0.98013613001805644</v>
      </c>
      <c r="AH59" s="724">
        <f>AG69</f>
        <v>0.86163661190609686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304</v>
      </c>
      <c r="H60" s="78">
        <f t="shared" si="63"/>
        <v>8654.8799999999992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64"/>
        <v>130.41666666666666</v>
      </c>
      <c r="M60" s="82">
        <v>12</v>
      </c>
      <c r="N60" s="80">
        <f t="shared" si="65"/>
        <v>729.60000000000502</v>
      </c>
      <c r="O60" s="81">
        <f t="shared" si="66"/>
        <v>60.800000000000416</v>
      </c>
      <c r="P60" s="74">
        <f t="shared" si="67"/>
        <v>0</v>
      </c>
      <c r="Q60" s="83">
        <f t="shared" si="68"/>
        <v>-69.616666666666248</v>
      </c>
      <c r="R60" s="72">
        <f t="shared" si="60"/>
        <v>0.46619808306709587</v>
      </c>
      <c r="S60" s="768"/>
      <c r="T60" s="22">
        <v>0.359722222222222</v>
      </c>
      <c r="U60" s="22">
        <v>0.37708333333333299</v>
      </c>
      <c r="V60" s="30">
        <f t="shared" ref="V60:V63" si="69">(T60-U59)*24*60</f>
        <v>7.9999999999991722</v>
      </c>
      <c r="W60" s="638">
        <f t="shared" si="18"/>
        <v>24.999999999999829</v>
      </c>
      <c r="X60" s="92"/>
      <c r="Y60" s="92"/>
      <c r="AA60" s="90"/>
      <c r="AB60" s="713" t="s">
        <v>146</v>
      </c>
      <c r="AC60" s="713"/>
      <c r="AD60" s="92"/>
      <c r="AE60" s="92"/>
      <c r="AF60" s="316">
        <f t="shared" si="61"/>
        <v>-835.39999999999498</v>
      </c>
      <c r="AG60" s="249">
        <f t="shared" si="62"/>
        <v>0.46619808306709587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1522</v>
      </c>
      <c r="H61" s="254">
        <f t="shared" si="63"/>
        <v>43011.72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64"/>
        <v>130.41666666666666</v>
      </c>
      <c r="M61" s="108">
        <v>12</v>
      </c>
      <c r="N61" s="107">
        <f t="shared" si="65"/>
        <v>1304.5714285714319</v>
      </c>
      <c r="O61" s="238">
        <f t="shared" si="66"/>
        <v>108.71428571428599</v>
      </c>
      <c r="P61" s="111">
        <f t="shared" si="67"/>
        <v>0</v>
      </c>
      <c r="Q61" s="255">
        <f t="shared" si="68"/>
        <v>-21.702380952380665</v>
      </c>
      <c r="R61" s="85">
        <f>O61/L61</f>
        <v>0.8335919671382952</v>
      </c>
      <c r="S61" s="719"/>
      <c r="T61" s="22">
        <v>0.38541666666666702</v>
      </c>
      <c r="U61" s="22">
        <v>0.43402777777777801</v>
      </c>
      <c r="V61" s="30">
        <f t="shared" si="69"/>
        <v>12.000000000000997</v>
      </c>
      <c r="W61" s="256">
        <f t="shared" si="18"/>
        <v>69.999999999999829</v>
      </c>
      <c r="X61" s="272"/>
      <c r="Y61" s="288"/>
      <c r="Z61" s="90"/>
      <c r="AA61" s="90"/>
      <c r="AB61" s="713"/>
      <c r="AC61" s="713"/>
      <c r="AD61" s="92"/>
      <c r="AE61" s="92"/>
      <c r="AF61" s="317">
        <f t="shared" si="61"/>
        <v>-260.42857142856815</v>
      </c>
      <c r="AG61" s="247">
        <f t="shared" si="62"/>
        <v>0.83359196713829509</v>
      </c>
      <c r="AH61" s="725"/>
    </row>
    <row r="62" spans="1:34" ht="15" customHeight="1">
      <c r="A62" s="766"/>
      <c r="B62" s="250" t="s">
        <v>135</v>
      </c>
      <c r="C62" s="251"/>
      <c r="D62" s="198" t="s">
        <v>196</v>
      </c>
      <c r="E62" s="253"/>
      <c r="F62" s="250">
        <f>VLOOKUP(D62,廠價表!$C$1:$E$41,3,0)</f>
        <v>28.26</v>
      </c>
      <c r="G62" s="38">
        <v>2375</v>
      </c>
      <c r="H62" s="254">
        <f t="shared" si="63"/>
        <v>67117.5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64"/>
        <v>130.41666666666666</v>
      </c>
      <c r="M62" s="108">
        <v>12</v>
      </c>
      <c r="N62" s="107">
        <f t="shared" si="65"/>
        <v>1548.9130434782824</v>
      </c>
      <c r="O62" s="238">
        <f t="shared" si="66"/>
        <v>129.07608695652354</v>
      </c>
      <c r="P62" s="111">
        <f t="shared" si="67"/>
        <v>0</v>
      </c>
      <c r="Q62" s="255">
        <f t="shared" si="68"/>
        <v>-1.3405797101431176</v>
      </c>
      <c r="R62" s="85">
        <f>O62/L62</f>
        <v>0.98972079455481321</v>
      </c>
      <c r="S62" s="719"/>
      <c r="T62" s="22">
        <v>0.44305555555555598</v>
      </c>
      <c r="U62" s="22">
        <v>0.50694444444444398</v>
      </c>
      <c r="V62" s="30">
        <f t="shared" si="69"/>
        <v>13.000000000000274</v>
      </c>
      <c r="W62" s="248">
        <f t="shared" si="18"/>
        <v>91.999999999998721</v>
      </c>
      <c r="X62" s="22">
        <v>0.50694444444444398</v>
      </c>
      <c r="Y62" s="84">
        <v>0.54861111111111105</v>
      </c>
      <c r="Z62" s="90"/>
      <c r="AA62" s="90"/>
      <c r="AB62" s="713"/>
      <c r="AC62" s="713"/>
      <c r="AD62" s="92"/>
      <c r="AE62" s="92"/>
      <c r="AF62" s="317">
        <f>N62-K62</f>
        <v>-16.086956521717639</v>
      </c>
      <c r="AG62" s="247">
        <f>N62/K62</f>
        <v>0.98972079455481299</v>
      </c>
      <c r="AH62" s="725"/>
    </row>
    <row r="63" spans="1:34" ht="15" customHeight="1">
      <c r="A63" s="766"/>
      <c r="B63" s="250" t="s">
        <v>135</v>
      </c>
      <c r="C63" s="251"/>
      <c r="D63" s="198" t="s">
        <v>196</v>
      </c>
      <c r="E63" s="253"/>
      <c r="F63" s="250">
        <f>VLOOKUP(D63,廠價表!$C$1:$E$41,3,0)</f>
        <v>28.26</v>
      </c>
      <c r="G63" s="38">
        <v>3087</v>
      </c>
      <c r="H63" s="254">
        <f t="shared" si="63"/>
        <v>87238.62000000001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 t="shared" si="64"/>
        <v>130.41666666666666</v>
      </c>
      <c r="M63" s="108">
        <v>12</v>
      </c>
      <c r="N63" s="107">
        <f t="shared" si="65"/>
        <v>1543.5000000000055</v>
      </c>
      <c r="O63" s="238">
        <f t="shared" si="66"/>
        <v>128.62500000000045</v>
      </c>
      <c r="P63" s="111">
        <f t="shared" si="67"/>
        <v>0</v>
      </c>
      <c r="Q63" s="255">
        <f t="shared" si="68"/>
        <v>-1.7916666666662024</v>
      </c>
      <c r="R63" s="85">
        <f>O63/L63</f>
        <v>0.98626198083067451</v>
      </c>
      <c r="S63" s="719"/>
      <c r="T63" s="22">
        <v>0.5625</v>
      </c>
      <c r="U63" s="22">
        <v>0.64583333333333304</v>
      </c>
      <c r="V63" s="30">
        <f t="shared" si="69"/>
        <v>80.000000000000682</v>
      </c>
      <c r="W63" s="248">
        <f t="shared" si="18"/>
        <v>119.99999999999957</v>
      </c>
      <c r="X63" s="261"/>
      <c r="Y63" s="291"/>
      <c r="Z63" s="335"/>
      <c r="AA63" s="335"/>
      <c r="AD63" s="92"/>
      <c r="AE63" s="92"/>
      <c r="AF63" s="317">
        <f>N63-K63</f>
        <v>-21.499999999994543</v>
      </c>
      <c r="AG63" s="247">
        <f>N63/K63</f>
        <v>0.9862619808306744</v>
      </c>
      <c r="AH63" s="725"/>
    </row>
    <row r="64" spans="1:34" ht="15" customHeight="1">
      <c r="A64" s="766"/>
      <c r="B64" s="250" t="s">
        <v>135</v>
      </c>
      <c r="C64" s="251"/>
      <c r="D64" s="635" t="s">
        <v>136</v>
      </c>
      <c r="E64" s="253"/>
      <c r="F64" s="250">
        <f>VLOOKUP(D64,廠價表!$C$1:$E$41,3,0)</f>
        <v>26.99</v>
      </c>
      <c r="G64" s="38">
        <v>1764</v>
      </c>
      <c r="H64" s="254">
        <f>F64*G64</f>
        <v>47610.36</v>
      </c>
      <c r="I64" s="182"/>
      <c r="J64" s="106">
        <f>VLOOKUP(D64,產線配置圖!$A$3:$C$39,2,0)</f>
        <v>13</v>
      </c>
      <c r="K64" s="107">
        <f>VLOOKUP(D64,產線配置圖!$A$3:$C$39,3,0)</f>
        <v>1565</v>
      </c>
      <c r="L64" s="238">
        <f>K64/J64</f>
        <v>120.38461538461539</v>
      </c>
      <c r="M64" s="108">
        <v>13</v>
      </c>
      <c r="N64" s="107">
        <f>G64/W64*60</f>
        <v>1430.2702702702661</v>
      </c>
      <c r="O64" s="238">
        <f>N64/M64</f>
        <v>110.0207900207897</v>
      </c>
      <c r="P64" s="111">
        <f>M64-J64</f>
        <v>0</v>
      </c>
      <c r="Q64" s="255">
        <f>O64-L64</f>
        <v>-10.363825363825683</v>
      </c>
      <c r="R64" s="85">
        <f>O64/L64</f>
        <v>0.91391071582764605</v>
      </c>
      <c r="S64" s="719"/>
      <c r="T64" s="22">
        <v>0.656944444444444</v>
      </c>
      <c r="U64" s="22">
        <v>0.70833333333333304</v>
      </c>
      <c r="V64" s="30"/>
      <c r="W64" s="73">
        <f t="shared" si="18"/>
        <v>74.000000000000213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258"/>
      <c r="C65" s="58"/>
      <c r="D65" s="259"/>
      <c r="E65" s="60"/>
      <c r="F65" s="61"/>
      <c r="G65" s="260"/>
      <c r="H65" s="63"/>
      <c r="I65" s="260"/>
      <c r="J65" s="65"/>
      <c r="K65" s="66"/>
      <c r="L65" s="67"/>
      <c r="M65" s="68"/>
      <c r="N65" s="66"/>
      <c r="O65" s="67"/>
      <c r="P65" s="69"/>
      <c r="Q65" s="70"/>
      <c r="R65" s="71"/>
      <c r="S65" s="719"/>
      <c r="T65" s="22"/>
      <c r="U65" s="22"/>
      <c r="V65" s="30"/>
      <c r="W65" s="73">
        <f t="shared" si="18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2"/>
      <c r="U66" s="22"/>
      <c r="V66" s="30"/>
      <c r="W66" s="73">
        <f t="shared" si="18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70">AVERAGE(J59:J68)</f>
        <v>12.333333333333334</v>
      </c>
      <c r="K69" s="240">
        <f t="shared" si="70"/>
        <v>1565</v>
      </c>
      <c r="L69" s="268">
        <f t="shared" si="70"/>
        <v>127.07264957264955</v>
      </c>
      <c r="M69" s="240">
        <f t="shared" si="70"/>
        <v>12.333333333333334</v>
      </c>
      <c r="N69" s="240">
        <f t="shared" si="70"/>
        <v>1348.4612976330416</v>
      </c>
      <c r="O69" s="268">
        <f t="shared" si="70"/>
        <v>109.20491228806486</v>
      </c>
      <c r="P69" s="269">
        <f>M69-J69</f>
        <v>0</v>
      </c>
      <c r="Q69" s="222">
        <f>N69-K69</f>
        <v>-216.53870236695843</v>
      </c>
      <c r="R69" s="123">
        <f>O69/L69</f>
        <v>0.8593895905635508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-216.53870236695843</v>
      </c>
      <c r="AG69" s="124">
        <f>N69/K69</f>
        <v>0.86163661190609686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3047</v>
      </c>
      <c r="H70" s="243">
        <f>F70*G70</f>
        <v>154391.49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1044.6857142857123</v>
      </c>
      <c r="O70" s="138">
        <f>N70/M70</f>
        <v>104.46857142857122</v>
      </c>
      <c r="P70" s="56">
        <f>M70-J70</f>
        <v>0</v>
      </c>
      <c r="Q70" s="230">
        <f>O70-L70</f>
        <v>-8.0314285714287763</v>
      </c>
      <c r="R70" s="52">
        <f>O70/L70</f>
        <v>0.928609523809522</v>
      </c>
      <c r="S70" s="718">
        <f>R79</f>
        <v>0.928609523809522</v>
      </c>
      <c r="T70" s="245">
        <v>0.35069444444444398</v>
      </c>
      <c r="U70" s="245">
        <v>0.47222222222222199</v>
      </c>
      <c r="V70" s="55"/>
      <c r="W70" s="54">
        <f t="shared" si="18"/>
        <v>175.00000000000034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-80.314285714287735</v>
      </c>
      <c r="AG70" s="246">
        <f>N70/K70</f>
        <v>0.928609523809522</v>
      </c>
      <c r="AH70" s="724">
        <f>AG79</f>
        <v>0.928609523809522</v>
      </c>
    </row>
    <row r="71" spans="1:36" ht="15" customHeight="1">
      <c r="A71" s="761"/>
      <c r="B71" s="250"/>
      <c r="C71" s="251"/>
      <c r="D71" s="198"/>
      <c r="E71" s="253"/>
      <c r="F71" s="250"/>
      <c r="G71" s="38"/>
      <c r="H71" s="254"/>
      <c r="I71" s="182"/>
      <c r="J71" s="106"/>
      <c r="K71" s="107"/>
      <c r="L71" s="238"/>
      <c r="M71" s="108"/>
      <c r="N71" s="107"/>
      <c r="O71" s="238"/>
      <c r="P71" s="111"/>
      <c r="Q71" s="255"/>
      <c r="R71" s="85"/>
      <c r="S71" s="719"/>
      <c r="T71" s="22"/>
      <c r="U71" s="22"/>
      <c r="V71" s="30"/>
      <c r="W71" s="73">
        <f t="shared" si="18"/>
        <v>0</v>
      </c>
      <c r="X71" s="271"/>
      <c r="Y71" s="293"/>
      <c r="Z71" s="90"/>
      <c r="AA71" s="90"/>
      <c r="AB71" s="713"/>
      <c r="AC71" s="713"/>
      <c r="AD71" s="200"/>
      <c r="AE71" s="200"/>
      <c r="AF71" s="311"/>
      <c r="AG71" s="99"/>
      <c r="AH71" s="744"/>
    </row>
    <row r="72" spans="1:36" ht="15" customHeight="1">
      <c r="A72" s="761"/>
      <c r="B72" s="250"/>
      <c r="C72" s="251"/>
      <c r="D72" s="198"/>
      <c r="E72" s="253"/>
      <c r="F72" s="250"/>
      <c r="G72" s="38"/>
      <c r="H72" s="78"/>
      <c r="I72" s="30"/>
      <c r="J72" s="106"/>
      <c r="K72" s="107"/>
      <c r="L72" s="238"/>
      <c r="M72" s="108"/>
      <c r="N72" s="107"/>
      <c r="O72" s="238"/>
      <c r="P72" s="111"/>
      <c r="Q72" s="255"/>
      <c r="R72" s="85"/>
      <c r="S72" s="719"/>
      <c r="T72" s="22"/>
      <c r="U72" s="22"/>
      <c r="V72" s="30"/>
      <c r="W72" s="73">
        <f t="shared" si="18"/>
        <v>0</v>
      </c>
      <c r="X72" s="272"/>
      <c r="Y72" s="288"/>
      <c r="Z72" s="90"/>
      <c r="AA72" s="90"/>
      <c r="AB72" s="713"/>
      <c r="AC72" s="713"/>
      <c r="AD72" s="92"/>
      <c r="AE72" s="92"/>
      <c r="AF72" s="311"/>
      <c r="AG72" s="99"/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8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8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71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8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71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71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71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72">AVERAGE(J70:J78)</f>
        <v>10</v>
      </c>
      <c r="K79" s="240">
        <f t="shared" si="72"/>
        <v>1125</v>
      </c>
      <c r="L79" s="268">
        <f t="shared" si="72"/>
        <v>112.5</v>
      </c>
      <c r="M79" s="240">
        <f t="shared" si="72"/>
        <v>10</v>
      </c>
      <c r="N79" s="240">
        <f t="shared" si="72"/>
        <v>1044.6857142857123</v>
      </c>
      <c r="O79" s="268">
        <f t="shared" si="72"/>
        <v>104.46857142857122</v>
      </c>
      <c r="P79" s="269">
        <f>M79-J79</f>
        <v>0</v>
      </c>
      <c r="Q79" s="222">
        <f>N79-K79</f>
        <v>-80.314285714287735</v>
      </c>
      <c r="R79" s="223">
        <f>O79/L79</f>
        <v>0.928609523809522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-80.314285714287735</v>
      </c>
      <c r="AG79" s="124">
        <f>N79/K79</f>
        <v>0.928609523809522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4:AC64"/>
    <mergeCell ref="AB65:AC65"/>
    <mergeCell ref="AB66:AC66"/>
    <mergeCell ref="AB67:AC67"/>
    <mergeCell ref="AB68:AC68"/>
    <mergeCell ref="AB69:AC69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D37:E37"/>
    <mergeCell ref="AB37:AC37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107" priority="1" operator="greaterThan">
      <formula>0</formula>
    </cfRule>
  </conditionalFormatting>
  <conditionalFormatting sqref="Q5:Q79">
    <cfRule type="cellIs" dxfId="106" priority="4" operator="lessThan">
      <formula>0</formula>
    </cfRule>
  </conditionalFormatting>
  <conditionalFormatting sqref="R5:R79">
    <cfRule type="cellIs" dxfId="105" priority="2" operator="greaterThan">
      <formula>1</formula>
    </cfRule>
    <cfRule type="cellIs" dxfId="104" priority="3" operator="lessThan">
      <formula>0.8</formula>
    </cfRule>
  </conditionalFormatting>
  <conditionalFormatting sqref="S5:S10 S37:S62 AH59:AH62 S69:S76 AH69:AH76">
    <cfRule type="cellIs" dxfId="103" priority="10" operator="lessThan">
      <formula>0.8</formula>
    </cfRule>
  </conditionalFormatting>
  <conditionalFormatting sqref="S19:S25 AH19:AH25">
    <cfRule type="cellIs" dxfId="102" priority="9" operator="lessThan">
      <formula>0.8</formula>
    </cfRule>
  </conditionalFormatting>
  <conditionalFormatting sqref="S79">
    <cfRule type="cellIs" dxfId="101" priority="8" operator="lessThan">
      <formula>0.8</formula>
    </cfRule>
  </conditionalFormatting>
  <conditionalFormatting sqref="AF5:AF79">
    <cfRule type="cellIs" dxfId="100" priority="7" operator="lessThan">
      <formula>0</formula>
    </cfRule>
  </conditionalFormatting>
  <conditionalFormatting sqref="AG5:AG79">
    <cfRule type="cellIs" dxfId="99" priority="5" operator="greaterThan">
      <formula>1</formula>
    </cfRule>
    <cfRule type="cellIs" dxfId="98" priority="6" operator="lessThan">
      <formula>0.8</formula>
    </cfRule>
  </conditionalFormatting>
  <conditionalFormatting sqref="AH5:AH8 S15:S16 AH15:AH16 AH49 AH79">
    <cfRule type="cellIs" dxfId="97" priority="12" operator="lessThan">
      <formula>0.8</formula>
    </cfRule>
  </conditionalFormatting>
  <conditionalFormatting sqref="AH27 S27:S28">
    <cfRule type="cellIs" dxfId="96" priority="11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D22AA6-185F-4ADB-92D1-8D3E0DF1485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C915-9B9C-464D-9D59-D9572484319A}">
  <dimension ref="B1:R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46048</v>
      </c>
      <c r="E3" s="645"/>
      <c r="F3" s="3" t="s">
        <v>72</v>
      </c>
      <c r="G3" s="646">
        <f>'0126'!E1</f>
        <v>58849</v>
      </c>
      <c r="H3" s="646"/>
      <c r="I3" s="3" t="s">
        <v>2</v>
      </c>
      <c r="J3" s="647">
        <f>'0126'!G1</f>
        <v>2801166.8300000005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113.79675620248098</v>
      </c>
      <c r="G6" s="652"/>
      <c r="H6" s="653">
        <f>AVERAGE(D13:H13,J13)</f>
        <v>111.58410730745288</v>
      </c>
      <c r="I6" s="653"/>
      <c r="J6" s="653">
        <f>AVERAGE(I13)</f>
        <v>127.07264957264955</v>
      </c>
      <c r="K6" s="653"/>
      <c r="L6" s="769">
        <f>SUM(D18:J18)</f>
        <v>4</v>
      </c>
      <c r="M6" s="656">
        <f>SUM(D19:J19)</f>
        <v>37</v>
      </c>
      <c r="N6" s="771">
        <f>SUM(D20:J20)</f>
        <v>0</v>
      </c>
      <c r="O6" s="656">
        <f>SUM(D20:J20)</f>
        <v>0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106.36867756462186</v>
      </c>
      <c r="G7" s="676"/>
      <c r="H7" s="677">
        <f>AVERAGE(D14:H14,J14)</f>
        <v>104.69977979034219</v>
      </c>
      <c r="I7" s="677"/>
      <c r="J7" s="677">
        <f>AVERAGE(I14)</f>
        <v>116.3820642102998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0.93472504062732531</v>
      </c>
      <c r="G8" s="649"/>
      <c r="H8" s="649">
        <f>H7/H6</f>
        <v>0.93830369141958558</v>
      </c>
      <c r="I8" s="649"/>
      <c r="J8" s="649">
        <f>J7/J6</f>
        <v>0.91587028838776385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VALUE('0126'!L15)</f>
        <v>128.96533613445379</v>
      </c>
      <c r="E13" s="13">
        <f>VALUE('0126'!L26)</f>
        <v>162.2051282051282</v>
      </c>
      <c r="F13" s="13">
        <f>VALUE('0126'!L37)</f>
        <v>84.764705882352928</v>
      </c>
      <c r="G13" s="13">
        <f>VALUE('0126'!L48)</f>
        <v>89.174632352941174</v>
      </c>
      <c r="H13" s="13">
        <f>VALUE('0126'!L58)</f>
        <v>91.894841269841265</v>
      </c>
      <c r="I13" s="13">
        <f>VALUE('0126'!L69)</f>
        <v>127.07264957264955</v>
      </c>
      <c r="J13" s="13">
        <f>'0126'!L79</f>
        <v>112.5</v>
      </c>
    </row>
    <row r="14" spans="2:15" ht="39.950000000000003" customHeight="1">
      <c r="B14" s="670"/>
      <c r="C14" s="12" t="s">
        <v>100</v>
      </c>
      <c r="D14" s="13">
        <f>VALUE('0126'!O15)</f>
        <v>122.09676833768745</v>
      </c>
      <c r="E14" s="13">
        <f>VALUE('0126'!O26)</f>
        <v>155.08984994577528</v>
      </c>
      <c r="F14" s="13">
        <f>VALUE('0126'!O37)</f>
        <v>80.234947188277744</v>
      </c>
      <c r="G14" s="13">
        <f>VALUE('0126'!O48)</f>
        <v>81.523652269126728</v>
      </c>
      <c r="H14" s="13">
        <f>VALUE('0126'!O58)</f>
        <v>88.851399145516723</v>
      </c>
      <c r="I14" s="13">
        <f>VALUE('0126'!O69)</f>
        <v>116.3820642102998</v>
      </c>
      <c r="J14" s="13">
        <f>'0126'!O79</f>
        <v>100.40206185566932</v>
      </c>
    </row>
    <row r="15" spans="2:15" ht="39.950000000000003" customHeight="1">
      <c r="B15" s="671"/>
      <c r="C15" s="10" t="s">
        <v>26</v>
      </c>
      <c r="D15" s="14">
        <f>D14/D13</f>
        <v>0.94674097705134141</v>
      </c>
      <c r="E15" s="14">
        <f t="shared" ref="E15:I15" si="1">E14/E13</f>
        <v>0.9561340733299456</v>
      </c>
      <c r="F15" s="14">
        <f t="shared" si="1"/>
        <v>0.94656079264449822</v>
      </c>
      <c r="G15" s="14">
        <f t="shared" si="1"/>
        <v>0.91420228060450082</v>
      </c>
      <c r="H15" s="14">
        <f t="shared" si="1"/>
        <v>0.96688125163209393</v>
      </c>
      <c r="I15" s="14">
        <f t="shared" si="1"/>
        <v>0.91587028838776385</v>
      </c>
      <c r="J15" s="15">
        <f>'0126'!S70</f>
        <v>0.89246277205039393</v>
      </c>
    </row>
    <row r="16" spans="2:15" ht="17.25" customHeight="1">
      <c r="B16" s="672" t="s">
        <v>101</v>
      </c>
      <c r="C16" s="10" t="s">
        <v>34</v>
      </c>
      <c r="D16" s="16">
        <f>'0126'!T5</f>
        <v>0.31666666666666698</v>
      </c>
      <c r="E16" s="16">
        <f>'0126'!T16</f>
        <v>0.29027777777777802</v>
      </c>
      <c r="F16" s="16">
        <f>'0126'!T27</f>
        <v>0.29027777777777802</v>
      </c>
      <c r="G16" s="16">
        <f>'0126'!T38</f>
        <v>0.33333333333333298</v>
      </c>
      <c r="H16" s="16">
        <f>'0126'!T49</f>
        <v>0.28888888888888897</v>
      </c>
      <c r="I16" s="16">
        <f>'0126'!T59</f>
        <v>0.29166666666666702</v>
      </c>
      <c r="J16" s="16">
        <f>'0126'!T70</f>
        <v>0.39444444444444399</v>
      </c>
    </row>
    <row r="17" spans="2:18" ht="17.25" customHeight="1">
      <c r="B17" s="673"/>
      <c r="C17" s="10" t="s">
        <v>35</v>
      </c>
      <c r="D17" s="16">
        <v>0.63611111111111096</v>
      </c>
      <c r="E17" s="19">
        <v>0.66180555555555598</v>
      </c>
      <c r="F17" s="19">
        <v>0.73055555555555596</v>
      </c>
      <c r="G17" s="210">
        <v>0.60763888888888895</v>
      </c>
      <c r="H17" s="21">
        <v>0.60416666666666696</v>
      </c>
      <c r="I17" s="22">
        <v>0.66666666666666696</v>
      </c>
      <c r="J17" s="22">
        <v>0.61805555555555602</v>
      </c>
    </row>
    <row r="18" spans="2:18" ht="17.25" customHeight="1">
      <c r="B18" s="674" t="s">
        <v>102</v>
      </c>
      <c r="C18" s="330" t="s">
        <v>36</v>
      </c>
      <c r="D18" s="358">
        <f>'0126'!Z15</f>
        <v>1</v>
      </c>
      <c r="E18" s="359">
        <f>'0126'!Z26</f>
        <v>2</v>
      </c>
      <c r="F18" s="359">
        <f>'0126'!Z37</f>
        <v>1</v>
      </c>
      <c r="G18" s="360">
        <f>'0126'!Z48</f>
        <v>0</v>
      </c>
      <c r="H18" s="360">
        <f>'0126'!Z58</f>
        <v>0</v>
      </c>
      <c r="I18" s="359">
        <f>'0126'!Z69</f>
        <v>0</v>
      </c>
      <c r="J18" s="359">
        <f>'0126'!AA69</f>
        <v>0</v>
      </c>
    </row>
    <row r="19" spans="2:18" ht="17.25" customHeight="1">
      <c r="B19" s="675"/>
      <c r="C19" s="330" t="s">
        <v>37</v>
      </c>
      <c r="D19" s="358">
        <f>'0126'!AA15</f>
        <v>7</v>
      </c>
      <c r="E19" s="359">
        <f>'0126'!AA26</f>
        <v>21</v>
      </c>
      <c r="F19" s="359">
        <f>'0126'!AA37</f>
        <v>9</v>
      </c>
      <c r="G19" s="360">
        <f>'0126'!AA48</f>
        <v>0</v>
      </c>
      <c r="H19" s="360">
        <f>'0126'!AA58</f>
        <v>0</v>
      </c>
      <c r="I19" s="359">
        <f>'0126'!AA69</f>
        <v>0</v>
      </c>
      <c r="J19" s="359">
        <f>'0126'!AB69</f>
        <v>0</v>
      </c>
      <c r="R19" s="2" t="e">
        <f>O19/L19</f>
        <v>#DIV/0!</v>
      </c>
    </row>
    <row r="20" spans="2:18" ht="17.25" customHeight="1">
      <c r="B20" s="674" t="s">
        <v>103</v>
      </c>
      <c r="C20" s="330" t="s">
        <v>36</v>
      </c>
      <c r="D20" s="358">
        <f>'0126'!AD15</f>
        <v>0</v>
      </c>
      <c r="E20" s="359">
        <f>'0126'!AD26</f>
        <v>0</v>
      </c>
      <c r="F20" s="359">
        <f>'0126'!AD37</f>
        <v>0</v>
      </c>
      <c r="G20" s="360">
        <f>'0126'!AD48</f>
        <v>0</v>
      </c>
      <c r="H20" s="360">
        <f>'0126'!AD58</f>
        <v>0</v>
      </c>
      <c r="I20" s="359">
        <f>'0126'!AD69</f>
        <v>0</v>
      </c>
      <c r="J20" s="359">
        <f>'0126'!AD79</f>
        <v>0</v>
      </c>
    </row>
    <row r="21" spans="2:18" ht="17.25" customHeight="1">
      <c r="B21" s="675"/>
      <c r="C21" s="330" t="s">
        <v>85</v>
      </c>
      <c r="D21" s="358">
        <f>'0126'!AE15</f>
        <v>0</v>
      </c>
      <c r="E21" s="359">
        <f>'0126'!AE26</f>
        <v>0</v>
      </c>
      <c r="F21" s="359">
        <f>'0126'!AE37</f>
        <v>0</v>
      </c>
      <c r="G21" s="360">
        <f>'0126'!AE48</f>
        <v>0</v>
      </c>
      <c r="H21" s="360">
        <f>'0126'!AE58</f>
        <v>0</v>
      </c>
      <c r="I21" s="359">
        <f>'0126'!AE69</f>
        <v>0</v>
      </c>
      <c r="J21" s="359">
        <f>'0126'!AE79</f>
        <v>0</v>
      </c>
    </row>
    <row r="22" spans="2:18" ht="17.25" customHeight="1">
      <c r="B22" s="658" t="s">
        <v>104</v>
      </c>
      <c r="C22" s="659"/>
      <c r="D22" s="23">
        <f>VALUE('0126'!M15)</f>
        <v>14</v>
      </c>
      <c r="E22" s="23">
        <f>VALUE('0126'!M26)</f>
        <v>12.8</v>
      </c>
      <c r="F22" s="23">
        <f>VALUE('0126'!M37)</f>
        <v>15</v>
      </c>
      <c r="G22" s="23">
        <f>VALUE('0126'!M48)</f>
        <v>14.75</v>
      </c>
      <c r="H22" s="23">
        <f>VALUE('0126'!M58)</f>
        <v>16.75</v>
      </c>
      <c r="I22" s="23">
        <f>VALUE('0126'!M69)</f>
        <v>12.166666666666666</v>
      </c>
      <c r="J22" s="23">
        <f>'0126'!M79</f>
        <v>10</v>
      </c>
    </row>
    <row r="23" spans="2:18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8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8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8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9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ECE1-6E96-4AD4-804A-8B4504B7FDD2}">
  <sheetPr>
    <tabColor theme="9" tint="0.79998168889431442"/>
  </sheetPr>
  <dimension ref="A1:AJ92"/>
  <sheetViews>
    <sheetView zoomScale="69" zoomScaleNormal="69" workbookViewId="0">
      <pane xSplit="5" ySplit="4" topLeftCell="W5" activePane="bottomRight" state="frozen"/>
      <selection activeCell="I29" sqref="I29"/>
      <selection pane="topRight" activeCell="I29" sqref="I29"/>
      <selection pane="bottomLeft" activeCell="I29" sqref="I29"/>
      <selection pane="bottomRight" activeCell="I29" sqref="I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58849</v>
      </c>
      <c r="F1" s="30" t="s">
        <v>2</v>
      </c>
      <c r="G1" s="31">
        <f>SUM(H5:H79)</f>
        <v>2801166.8300000005</v>
      </c>
      <c r="H1" s="32" t="s">
        <v>3</v>
      </c>
      <c r="I1" s="33">
        <f>M15+M26+M48+M58+M69+M79+M37</f>
        <v>95.466666666666669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215</v>
      </c>
      <c r="B2" s="678"/>
      <c r="C2" s="28"/>
      <c r="D2" s="28" t="s">
        <v>14</v>
      </c>
      <c r="E2" s="35">
        <f>AVERAGE(O15,O26,O37,O48,O58,O69,O79)</f>
        <v>106.36867756462186</v>
      </c>
      <c r="F2" s="36" t="s">
        <v>15</v>
      </c>
      <c r="G2" s="37">
        <f>G1/E1</f>
        <v>47.599225645295597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4</v>
      </c>
      <c r="AA2" s="339">
        <f>AA15+AA26+AA37+AA48+AA58+AA69+AA79</f>
        <v>37</v>
      </c>
      <c r="AB2" s="684"/>
      <c r="AC2" s="684"/>
      <c r="AD2" s="340">
        <f>AD15+AD26+AD37+AD48+AD58+AD69+AD79</f>
        <v>0</v>
      </c>
      <c r="AE2" s="340">
        <f>AE15+AE26+AE37+AE48+AE58+AE69+AE79</f>
        <v>0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1495</v>
      </c>
      <c r="H5" s="43">
        <f>F5*G5</f>
        <v>85528.95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7" si="0">K5/J5</f>
        <v>117.64705882352941</v>
      </c>
      <c r="M5" s="48">
        <v>14</v>
      </c>
      <c r="N5" s="46">
        <f t="shared" ref="N5:N7" si="1">G5/W5*60</f>
        <v>1520.3389830508549</v>
      </c>
      <c r="O5" s="47">
        <f t="shared" ref="O5:O7" si="2">N5/M5</f>
        <v>108.59564164648964</v>
      </c>
      <c r="P5" s="49">
        <f t="shared" ref="P5:P7" si="3">M5-J5</f>
        <v>-3</v>
      </c>
      <c r="Q5" s="50">
        <f t="shared" ref="Q5:Q7" si="4">O5-L5</f>
        <v>-9.0514171770397667</v>
      </c>
      <c r="R5" s="51">
        <f t="shared" ref="R5:R7" si="5">O5/L5</f>
        <v>0.92306295399516203</v>
      </c>
      <c r="S5" s="718">
        <f>R15</f>
        <v>0.94674097705134141</v>
      </c>
      <c r="T5" s="319">
        <v>0.31666666666666698</v>
      </c>
      <c r="U5" s="320">
        <v>0.35763888888888901</v>
      </c>
      <c r="V5" s="53"/>
      <c r="W5" s="54">
        <f t="shared" ref="W5:W14" si="6">(U5-T5)*24*60</f>
        <v>58.999999999999709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-479.66101694914505</v>
      </c>
      <c r="AG5" s="52">
        <f t="shared" ref="AG5:AG11" si="8">N5/K5</f>
        <v>0.76016949152542745</v>
      </c>
      <c r="AH5" s="724">
        <f>AG15</f>
        <v>0.87659218293724317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2933</v>
      </c>
      <c r="H6" s="63">
        <f>F6*G6</f>
        <v>165069.24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14</v>
      </c>
      <c r="N6" s="66">
        <f t="shared" si="1"/>
        <v>1543.6842105263095</v>
      </c>
      <c r="O6" s="67">
        <f t="shared" si="2"/>
        <v>110.26315789473639</v>
      </c>
      <c r="P6" s="69">
        <f t="shared" si="3"/>
        <v>-2</v>
      </c>
      <c r="Q6" s="70">
        <f t="shared" si="4"/>
        <v>-2.2368421052636052</v>
      </c>
      <c r="R6" s="71">
        <f t="shared" si="5"/>
        <v>0.9801169590643235</v>
      </c>
      <c r="S6" s="719"/>
      <c r="T6" s="16">
        <v>0.36458333333333298</v>
      </c>
      <c r="U6" s="16">
        <v>0.44374999999999998</v>
      </c>
      <c r="V6" s="30">
        <f>(T6-U5)*24*60</f>
        <v>9.999999999999325</v>
      </c>
      <c r="W6" s="73">
        <f t="shared" si="6"/>
        <v>114.00000000000047</v>
      </c>
      <c r="X6" s="22"/>
      <c r="Y6" s="84"/>
      <c r="Z6" s="90">
        <v>1</v>
      </c>
      <c r="AA6" s="90">
        <v>7</v>
      </c>
      <c r="AB6" s="728" t="s">
        <v>116</v>
      </c>
      <c r="AC6" s="728"/>
      <c r="AD6" s="149"/>
      <c r="AE6" s="149"/>
      <c r="AF6" s="307">
        <f t="shared" si="7"/>
        <v>-256.31578947369053</v>
      </c>
      <c r="AG6" s="72">
        <f t="shared" si="8"/>
        <v>0.85760233918128304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1357</v>
      </c>
      <c r="H7" s="78">
        <f>F7*G7</f>
        <v>66682.98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1809.3333333333333</v>
      </c>
      <c r="O7" s="81">
        <f t="shared" si="2"/>
        <v>129.23809523809524</v>
      </c>
      <c r="P7" s="74">
        <f t="shared" si="3"/>
        <v>0</v>
      </c>
      <c r="Q7" s="83">
        <f t="shared" si="4"/>
        <v>-13.61904761904762</v>
      </c>
      <c r="R7" s="72">
        <f t="shared" si="5"/>
        <v>0.90466666666666662</v>
      </c>
      <c r="S7" s="719"/>
      <c r="T7" s="18">
        <v>0.45486111111111099</v>
      </c>
      <c r="U7" s="18">
        <v>0.48611111111111099</v>
      </c>
      <c r="V7" s="30">
        <f>(T7-U6)*24*60</f>
        <v>15.999999999999863</v>
      </c>
      <c r="W7" s="73">
        <f t="shared" si="6"/>
        <v>45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-190.66666666666674</v>
      </c>
      <c r="AG7" s="72">
        <f t="shared" si="8"/>
        <v>0.90466666666666662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4190</v>
      </c>
      <c r="H8" s="78">
        <f>F8*G8</f>
        <v>205896.6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1964.0624999999995</v>
      </c>
      <c r="O8" s="81">
        <f>N8/M8</f>
        <v>140.29017857142853</v>
      </c>
      <c r="P8" s="74">
        <f>M8-J8</f>
        <v>0</v>
      </c>
      <c r="Q8" s="83">
        <f>O8-L8</f>
        <v>-2.5669642857143344</v>
      </c>
      <c r="R8" s="72">
        <f>O8/L8</f>
        <v>0.98203124999999969</v>
      </c>
      <c r="S8" s="719"/>
      <c r="T8" s="16">
        <v>0.54722222222222205</v>
      </c>
      <c r="U8" s="16">
        <v>0.63611111111111096</v>
      </c>
      <c r="V8" s="30">
        <f>(T8-U7)*24*60</f>
        <v>87.999999999999929</v>
      </c>
      <c r="W8" s="73">
        <f t="shared" si="6"/>
        <v>128.00000000000003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-35.937500000000455</v>
      </c>
      <c r="AG8" s="72">
        <f t="shared" si="8"/>
        <v>0.9820312499999998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15.25</v>
      </c>
      <c r="K15" s="120">
        <f t="shared" si="9"/>
        <v>1950</v>
      </c>
      <c r="L15" s="117">
        <f t="shared" si="9"/>
        <v>128.96533613445379</v>
      </c>
      <c r="M15" s="120">
        <f t="shared" si="9"/>
        <v>14</v>
      </c>
      <c r="N15" s="120">
        <f t="shared" si="9"/>
        <v>1709.3547567276241</v>
      </c>
      <c r="O15" s="117">
        <f t="shared" si="9"/>
        <v>122.09676833768745</v>
      </c>
      <c r="P15" s="121">
        <f t="shared" ref="P15:P18" si="10">M15-J15</f>
        <v>-1.25</v>
      </c>
      <c r="Q15" s="122">
        <f t="shared" ref="Q15:Q18" si="11">O15-L15</f>
        <v>-6.8685677967663423</v>
      </c>
      <c r="R15" s="123">
        <f t="shared" ref="R15:R18" si="12">O15/L15</f>
        <v>0.94674097705134141</v>
      </c>
      <c r="S15" s="72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7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-240.64524327237586</v>
      </c>
      <c r="AG15" s="124">
        <f t="shared" ref="AG15:AG19" si="14">N15/K15</f>
        <v>0.87659218293724317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2795</v>
      </c>
      <c r="H16" s="134">
        <f>F16*G16</f>
        <v>159901.95000000001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15">K16/J16</f>
        <v>161.92307692307693</v>
      </c>
      <c r="M16" s="139">
        <v>14</v>
      </c>
      <c r="N16" s="140">
        <f t="shared" ref="N16:N18" si="16">G16/W16*60</f>
        <v>2266.2162162162117</v>
      </c>
      <c r="O16" s="141">
        <f>N16/M16</f>
        <v>161.87258687258654</v>
      </c>
      <c r="P16" s="142">
        <f>M16-J16</f>
        <v>1</v>
      </c>
      <c r="Q16" s="143">
        <f t="shared" si="11"/>
        <v>-5.0490050490395788E-2</v>
      </c>
      <c r="R16" s="144">
        <f>O16/L16</f>
        <v>0.99968818496134193</v>
      </c>
      <c r="S16" s="734">
        <f>R26</f>
        <v>0.9561340733299456</v>
      </c>
      <c r="T16" s="145">
        <v>0.29027777777777802</v>
      </c>
      <c r="U16" s="145">
        <v>0.34166666666666701</v>
      </c>
      <c r="V16" s="135"/>
      <c r="W16" s="146">
        <f t="shared" ref="W16:W78" si="17">(U16-T16)*24*60</f>
        <v>74.000000000000142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161.21621621621171</v>
      </c>
      <c r="AG16" s="52">
        <f t="shared" si="14"/>
        <v>1.0765872761122146</v>
      </c>
      <c r="AH16" s="724">
        <f>AG26</f>
        <v>0.97131547222230341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3751</v>
      </c>
      <c r="H17" s="78">
        <f>F17*G17</f>
        <v>190063.17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1786.1904761904757</v>
      </c>
      <c r="O17" s="96">
        <f t="shared" ref="O17:O18" si="18">N17/M17</f>
        <v>137.39926739926736</v>
      </c>
      <c r="P17" s="97">
        <f t="shared" si="10"/>
        <v>0</v>
      </c>
      <c r="Q17" s="98">
        <f t="shared" si="11"/>
        <v>-16.446886446886481</v>
      </c>
      <c r="R17" s="99">
        <f t="shared" si="12"/>
        <v>0.89309523809523783</v>
      </c>
      <c r="S17" s="735"/>
      <c r="T17" s="19">
        <v>0.34722222222222199</v>
      </c>
      <c r="U17" s="19">
        <v>0.43472222222222201</v>
      </c>
      <c r="V17" s="30">
        <f>(T17-U16)*24*60</f>
        <v>7.9999999999991722</v>
      </c>
      <c r="W17" s="149">
        <f t="shared" si="17"/>
        <v>126.00000000000003</v>
      </c>
      <c r="X17" s="19"/>
      <c r="Y17" s="297"/>
      <c r="Z17" s="90">
        <v>1</v>
      </c>
      <c r="AA17" s="90">
        <v>16</v>
      </c>
      <c r="AB17" s="728" t="s">
        <v>116</v>
      </c>
      <c r="AC17" s="728"/>
      <c r="AD17" s="92"/>
      <c r="AE17" s="92"/>
      <c r="AF17" s="307">
        <f t="shared" si="13"/>
        <v>-213.80952380952431</v>
      </c>
      <c r="AG17" s="72">
        <f t="shared" si="14"/>
        <v>0.89309523809523783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1796</v>
      </c>
      <c r="H18" s="78">
        <f>F18*G18</f>
        <v>90500.44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1924.2857142857074</v>
      </c>
      <c r="O18" s="96">
        <f t="shared" si="18"/>
        <v>160.35714285714229</v>
      </c>
      <c r="P18" s="97">
        <f t="shared" si="10"/>
        <v>0</v>
      </c>
      <c r="Q18" s="98">
        <f t="shared" si="11"/>
        <v>-6.3095238095243644</v>
      </c>
      <c r="R18" s="99">
        <f t="shared" si="12"/>
        <v>0.96214285714285386</v>
      </c>
      <c r="S18" s="735"/>
      <c r="T18" s="19">
        <v>0.44027777777777799</v>
      </c>
      <c r="U18" s="19">
        <v>0.47916666666666702</v>
      </c>
      <c r="V18" s="30">
        <f>(T18-U17)*24*60</f>
        <v>8.0000000000006111</v>
      </c>
      <c r="W18" s="149">
        <f t="shared" si="17"/>
        <v>56.000000000000199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3"/>
        <v>-75.7142857142926</v>
      </c>
      <c r="AG18" s="72">
        <f t="shared" si="14"/>
        <v>0.96214285714285375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2941</v>
      </c>
      <c r="H19" s="78">
        <f t="shared" ref="H19:H20" si="19">F19*G19</f>
        <v>148196.99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0" si="20">K19/J19</f>
        <v>166.66666666666666</v>
      </c>
      <c r="M19" s="148">
        <v>12</v>
      </c>
      <c r="N19" s="95">
        <f t="shared" ref="N19:N20" si="21">G19/W19*60</f>
        <v>1982.6966292134689</v>
      </c>
      <c r="O19" s="96">
        <f t="shared" ref="O19:O20" si="22">N19/M19</f>
        <v>165.22471910112242</v>
      </c>
      <c r="P19" s="97">
        <f t="shared" ref="P19:P20" si="23">M19-J19</f>
        <v>0</v>
      </c>
      <c r="Q19" s="98">
        <f t="shared" ref="Q19:Q20" si="24">O19-L19</f>
        <v>-1.4419475655442398</v>
      </c>
      <c r="R19" s="99">
        <f t="shared" ref="R19:R20" si="25">O19/L19</f>
        <v>0.99134831460673456</v>
      </c>
      <c r="S19" s="735"/>
      <c r="T19" s="19">
        <v>0.54861111111111105</v>
      </c>
      <c r="U19" s="19">
        <v>0.61041666666666705</v>
      </c>
      <c r="V19" s="30">
        <f>(T19-U18)*24*60</f>
        <v>99.999999999999403</v>
      </c>
      <c r="W19" s="149">
        <f t="shared" si="17"/>
        <v>89.000000000000639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-17.303370786531104</v>
      </c>
      <c r="AG19" s="72">
        <f t="shared" si="14"/>
        <v>0.99134831460673445</v>
      </c>
      <c r="AH19" s="726"/>
    </row>
    <row r="20" spans="1:34" ht="15" customHeight="1">
      <c r="A20" s="741"/>
      <c r="B20" s="75" t="s">
        <v>81</v>
      </c>
      <c r="C20" s="76"/>
      <c r="D20" s="59" t="s">
        <v>121</v>
      </c>
      <c r="E20" s="77"/>
      <c r="F20" s="75">
        <f>VLOOKUP(D20,廠價表!$C$1:$E$41,3,0)</f>
        <v>57.21</v>
      </c>
      <c r="G20" s="147">
        <v>2023</v>
      </c>
      <c r="H20" s="78">
        <f t="shared" si="19"/>
        <v>115735.83</v>
      </c>
      <c r="I20" s="30"/>
      <c r="J20" s="79">
        <f>VLOOKUP(D20,產線配置圖!$A$3:$C$39,2,0)</f>
        <v>13</v>
      </c>
      <c r="K20" s="80">
        <f>VLOOKUP(D20,產線配置圖!$A$3:$C$39,3,0)</f>
        <v>2105</v>
      </c>
      <c r="L20" s="81">
        <f t="shared" si="20"/>
        <v>161.92307692307693</v>
      </c>
      <c r="M20" s="148">
        <v>13</v>
      </c>
      <c r="N20" s="95">
        <f t="shared" si="21"/>
        <v>1957.7419354838523</v>
      </c>
      <c r="O20" s="96">
        <f t="shared" si="22"/>
        <v>150.59553349875787</v>
      </c>
      <c r="P20" s="97">
        <f t="shared" si="23"/>
        <v>0</v>
      </c>
      <c r="Q20" s="98">
        <f t="shared" si="24"/>
        <v>-11.32754342431906</v>
      </c>
      <c r="R20" s="99">
        <f t="shared" si="25"/>
        <v>0.9300436748141816</v>
      </c>
      <c r="S20" s="735"/>
      <c r="T20" s="19">
        <v>0.61875000000000002</v>
      </c>
      <c r="U20" s="19">
        <v>0.66180555555555598</v>
      </c>
      <c r="V20" s="30">
        <f>(T20-U19)*24*60</f>
        <v>11.999999999999478</v>
      </c>
      <c r="W20" s="149">
        <f t="shared" si="17"/>
        <v>62.000000000000583</v>
      </c>
      <c r="X20" s="19"/>
      <c r="Y20" s="297"/>
      <c r="Z20" s="90">
        <v>1</v>
      </c>
      <c r="AA20" s="90">
        <v>5</v>
      </c>
      <c r="AB20" s="728" t="s">
        <v>116</v>
      </c>
      <c r="AC20" s="728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6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6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7">AVERAGE(J16:J25)</f>
        <v>12.6</v>
      </c>
      <c r="K26" s="155">
        <f t="shared" si="27"/>
        <v>2042</v>
      </c>
      <c r="L26" s="158">
        <f t="shared" si="27"/>
        <v>162.2051282051282</v>
      </c>
      <c r="M26" s="155">
        <f t="shared" si="27"/>
        <v>12.8</v>
      </c>
      <c r="N26" s="155">
        <f t="shared" si="27"/>
        <v>1983.4261942779435</v>
      </c>
      <c r="O26" s="158">
        <f t="shared" si="27"/>
        <v>155.08984994577528</v>
      </c>
      <c r="P26" s="159">
        <f t="shared" ref="P26:P29" si="28">M26-J26</f>
        <v>0.20000000000000107</v>
      </c>
      <c r="Q26" s="160">
        <f t="shared" ref="Q26:Q29" si="29">O26-L26</f>
        <v>-7.1152782593529196</v>
      </c>
      <c r="R26" s="161">
        <f>O26/L26</f>
        <v>0.9561340733299456</v>
      </c>
      <c r="S26" s="736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21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30">N26-K26</f>
        <v>-58.573805722056477</v>
      </c>
      <c r="AG26" s="124">
        <f t="shared" ref="AG26:AG31" si="31">N26/K26</f>
        <v>0.97131547222230341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1667</v>
      </c>
      <c r="H27" s="134">
        <f>F27*G27</f>
        <v>95519.099999999991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32">K27/J27</f>
        <v>88.235294117647058</v>
      </c>
      <c r="M27" s="170">
        <v>16</v>
      </c>
      <c r="N27" s="140">
        <f>G27/W27*60</f>
        <v>1408.7323943662132</v>
      </c>
      <c r="O27" s="141">
        <f>N27/M27</f>
        <v>88.045774647888322</v>
      </c>
      <c r="P27" s="142">
        <f t="shared" si="28"/>
        <v>-1</v>
      </c>
      <c r="Q27" s="143">
        <f t="shared" si="29"/>
        <v>-0.18951946975873568</v>
      </c>
      <c r="R27" s="144">
        <f>O27/L27</f>
        <v>0.99785211267606766</v>
      </c>
      <c r="S27" s="734">
        <f>R37</f>
        <v>0.94656079264449822</v>
      </c>
      <c r="T27" s="171">
        <v>0.29027777777777802</v>
      </c>
      <c r="U27" s="171">
        <v>0.33958333333333302</v>
      </c>
      <c r="V27" s="135"/>
      <c r="W27" s="146">
        <f t="shared" si="17"/>
        <v>70.99999999999919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30"/>
        <v>-91.267605633786843</v>
      </c>
      <c r="AG27" s="172">
        <f t="shared" si="31"/>
        <v>0.93915492957747548</v>
      </c>
      <c r="AH27" s="724">
        <f>AG37</f>
        <v>0.83571855553523167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1661</v>
      </c>
      <c r="H28" s="91">
        <f>F28*G28</f>
        <v>91570.930000000008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32"/>
        <v>81.470588235294116</v>
      </c>
      <c r="M28" s="94">
        <v>15</v>
      </c>
      <c r="N28" s="95">
        <f>G28/W28*60</f>
        <v>1145.5172413793041</v>
      </c>
      <c r="O28" s="96">
        <f>N28/M28</f>
        <v>76.3678160919536</v>
      </c>
      <c r="P28" s="97">
        <f t="shared" si="28"/>
        <v>-2</v>
      </c>
      <c r="Q28" s="98">
        <f t="shared" si="29"/>
        <v>-5.1027721433405162</v>
      </c>
      <c r="R28" s="99">
        <f t="shared" ref="R28:R29" si="33">O28/L28</f>
        <v>0.93736669571350995</v>
      </c>
      <c r="S28" s="735"/>
      <c r="T28" s="19">
        <v>0.344444444444444</v>
      </c>
      <c r="U28" s="19">
        <v>0.40486111111111101</v>
      </c>
      <c r="V28" s="92">
        <f>(T28-U27)*24*60</f>
        <v>6.9999999999998153</v>
      </c>
      <c r="W28" s="149">
        <f t="shared" si="17"/>
        <v>87.000000000000483</v>
      </c>
      <c r="X28" s="174"/>
      <c r="Y28" s="301"/>
      <c r="Z28" s="335">
        <v>1</v>
      </c>
      <c r="AA28" s="335">
        <v>9</v>
      </c>
      <c r="AB28" s="713" t="s">
        <v>216</v>
      </c>
      <c r="AC28" s="713"/>
      <c r="AD28" s="92"/>
      <c r="AE28" s="92"/>
      <c r="AF28" s="311">
        <f t="shared" si="30"/>
        <v>-239.4827586206959</v>
      </c>
      <c r="AG28" s="99">
        <f t="shared" si="31"/>
        <v>0.82708826092368526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1526</v>
      </c>
      <c r="H29" s="91">
        <f>F29*G29</f>
        <v>75567.520000000004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32"/>
        <v>84.705882352941174</v>
      </c>
      <c r="M29" s="94">
        <v>14</v>
      </c>
      <c r="N29" s="95">
        <f>G29/W29*60</f>
        <v>1173.8461538461459</v>
      </c>
      <c r="O29" s="96">
        <f>N29/M29</f>
        <v>83.846153846153271</v>
      </c>
      <c r="P29" s="97">
        <f t="shared" si="28"/>
        <v>-3</v>
      </c>
      <c r="Q29" s="98">
        <f t="shared" si="29"/>
        <v>-0.8597285067879028</v>
      </c>
      <c r="R29" s="99">
        <f t="shared" si="33"/>
        <v>0.98985042735042061</v>
      </c>
      <c r="S29" s="735"/>
      <c r="T29" s="19">
        <v>0.40972222222222199</v>
      </c>
      <c r="U29" s="19">
        <v>0.46388888888888902</v>
      </c>
      <c r="V29" s="92">
        <f>(T29-U28)*24*60</f>
        <v>6.9999999999998153</v>
      </c>
      <c r="W29" s="149">
        <f t="shared" si="17"/>
        <v>78.000000000000526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30"/>
        <v>-266.15384615385415</v>
      </c>
      <c r="AG29" s="99">
        <f t="shared" si="31"/>
        <v>0.81517094017093461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680</v>
      </c>
      <c r="H30" s="91">
        <f t="shared" ref="H30:H31" si="34">F30*G30</f>
        <v>33673.599999999999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35">K30/J30</f>
        <v>84.705882352941174</v>
      </c>
      <c r="M30" s="94">
        <v>14</v>
      </c>
      <c r="N30" s="95">
        <f t="shared" ref="N30:N31" si="36">G30/W30*60</f>
        <v>1073.6842105263104</v>
      </c>
      <c r="O30" s="96">
        <f t="shared" ref="O30:O31" si="37">N30/M30</f>
        <v>76.691729323307882</v>
      </c>
      <c r="P30" s="97">
        <f t="shared" ref="P30:P31" si="38">M30-J30</f>
        <v>-3</v>
      </c>
      <c r="Q30" s="98">
        <f t="shared" ref="Q30:Q31" si="39">O30-L30</f>
        <v>-8.0141530296332917</v>
      </c>
      <c r="R30" s="99">
        <f t="shared" ref="R30:R31" si="40">O30/L30</f>
        <v>0.9053884711779403</v>
      </c>
      <c r="S30" s="735"/>
      <c r="T30" s="19">
        <v>0.52638888888888902</v>
      </c>
      <c r="U30" s="19">
        <v>0.55277777777777803</v>
      </c>
      <c r="V30" s="92">
        <f>(T30-U29)*24*60</f>
        <v>90</v>
      </c>
      <c r="W30" s="149">
        <f t="shared" si="17"/>
        <v>38.000000000000185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30"/>
        <v>-366.31578947368962</v>
      </c>
      <c r="AG30" s="99">
        <f t="shared" si="31"/>
        <v>0.74561403508771551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3801</v>
      </c>
      <c r="H31" s="91">
        <f t="shared" si="34"/>
        <v>168384.3</v>
      </c>
      <c r="I31" s="92"/>
      <c r="J31" s="79">
        <v>17</v>
      </c>
      <c r="K31" s="80">
        <f>VLOOKUP(D31,產線配置圖!$A$3:$C$39,3,0)</f>
        <v>1440</v>
      </c>
      <c r="L31" s="93">
        <f t="shared" si="35"/>
        <v>84.705882352941174</v>
      </c>
      <c r="M31" s="94">
        <v>16</v>
      </c>
      <c r="N31" s="95">
        <f t="shared" si="36"/>
        <v>1219.5721925133701</v>
      </c>
      <c r="O31" s="96">
        <f t="shared" si="37"/>
        <v>76.223262032085628</v>
      </c>
      <c r="P31" s="97">
        <f t="shared" si="38"/>
        <v>-1</v>
      </c>
      <c r="Q31" s="98">
        <f t="shared" si="39"/>
        <v>-8.4826203208555455</v>
      </c>
      <c r="R31" s="99">
        <f t="shared" si="40"/>
        <v>0.89985795454545536</v>
      </c>
      <c r="S31" s="735"/>
      <c r="T31" s="19">
        <v>0.56111111111111101</v>
      </c>
      <c r="U31" s="19">
        <v>0.69097222222222199</v>
      </c>
      <c r="V31" s="92">
        <f>(T31-U30)*24*60</f>
        <v>11.999999999999478</v>
      </c>
      <c r="W31" s="149">
        <f t="shared" si="17"/>
        <v>186.99999999999983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30"/>
        <v>-220.42780748662994</v>
      </c>
      <c r="AG31" s="99">
        <f t="shared" si="31"/>
        <v>0.84692513368984035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>
        <v>0.72708333333333297</v>
      </c>
      <c r="U32" s="19">
        <v>0.73055555555555596</v>
      </c>
      <c r="V32" s="92"/>
      <c r="W32" s="149">
        <f t="shared" si="17"/>
        <v>5.0000000000011013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41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42">AVERAGE(J27:J36)</f>
        <v>17</v>
      </c>
      <c r="K37" s="155">
        <f t="shared" si="42"/>
        <v>1441</v>
      </c>
      <c r="L37" s="158">
        <f t="shared" si="42"/>
        <v>84.764705882352928</v>
      </c>
      <c r="M37" s="155">
        <f t="shared" si="42"/>
        <v>15</v>
      </c>
      <c r="N37" s="155">
        <f t="shared" si="42"/>
        <v>1204.2704385262689</v>
      </c>
      <c r="O37" s="158">
        <f t="shared" si="42"/>
        <v>80.234947188277744</v>
      </c>
      <c r="P37" s="159">
        <f>M37-J37</f>
        <v>-2</v>
      </c>
      <c r="Q37" s="160">
        <f>N37-K37</f>
        <v>-236.72956147373111</v>
      </c>
      <c r="R37" s="161">
        <f t="shared" ref="R37:R40" si="43">O37/L37</f>
        <v>0.94656079264449822</v>
      </c>
      <c r="S37" s="736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9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44">N37-K37</f>
        <v>-236.72956147373111</v>
      </c>
      <c r="AG37" s="124">
        <f t="shared" ref="AG37:AG41" si="45">N37/K37</f>
        <v>0.83571855553523167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1273</v>
      </c>
      <c r="H38" s="134">
        <f>F38*G38</f>
        <v>71835.39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46">K38/J38</f>
        <v>87.875</v>
      </c>
      <c r="M38" s="190">
        <v>14</v>
      </c>
      <c r="N38" s="140">
        <f>G38/W38*60</f>
        <v>1091.1428571428598</v>
      </c>
      <c r="O38" s="141">
        <f>N38/M38</f>
        <v>77.93877551020428</v>
      </c>
      <c r="P38" s="142">
        <f t="shared" ref="P38:P40" si="47">M38-J38</f>
        <v>-2</v>
      </c>
      <c r="Q38" s="143">
        <f t="shared" ref="Q38:Q40" si="48">O38-L38</f>
        <v>-9.9362244897957197</v>
      </c>
      <c r="R38" s="144">
        <f>O38/L38</f>
        <v>0.88692774407060349</v>
      </c>
      <c r="S38" s="756">
        <f>R48</f>
        <v>0.91420228060450082</v>
      </c>
      <c r="T38" s="191">
        <v>0.33333333333333298</v>
      </c>
      <c r="U38" s="191">
        <v>0.38194444444444398</v>
      </c>
      <c r="V38" s="192"/>
      <c r="W38" s="193">
        <f t="shared" si="17"/>
        <v>69.999999999999829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44"/>
        <v>-314.85714285714016</v>
      </c>
      <c r="AG38" s="195">
        <f t="shared" si="45"/>
        <v>0.77606177606177795</v>
      </c>
      <c r="AH38" s="746">
        <f>AG48</f>
        <v>0.80736536055070363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1399</v>
      </c>
      <c r="H39" s="91">
        <f>F39*G39</f>
        <v>69824.09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46"/>
        <v>92.058823529411768</v>
      </c>
      <c r="M39" s="201">
        <v>15</v>
      </c>
      <c r="N39" s="202">
        <f>G39/W39*60</f>
        <v>1149.863013698618</v>
      </c>
      <c r="O39" s="203">
        <f t="shared" ref="O39:O40" si="49">N39/M39</f>
        <v>76.657534246574542</v>
      </c>
      <c r="P39" s="97">
        <f t="shared" si="47"/>
        <v>-2</v>
      </c>
      <c r="Q39" s="98">
        <f t="shared" si="48"/>
        <v>-15.401289282837226</v>
      </c>
      <c r="R39" s="99">
        <f t="shared" si="43"/>
        <v>0.8327016499627905</v>
      </c>
      <c r="S39" s="757"/>
      <c r="T39" s="20">
        <v>0.38333333333333303</v>
      </c>
      <c r="U39" s="20">
        <v>0.43402777777777801</v>
      </c>
      <c r="V39" s="92">
        <f>(T39-U38)*24*60</f>
        <v>2.0000000000002327</v>
      </c>
      <c r="W39" s="205">
        <f t="shared" si="17"/>
        <v>73.000000000000782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44"/>
        <v>-415.13698630138197</v>
      </c>
      <c r="AG39" s="206">
        <f t="shared" si="45"/>
        <v>0.73473674996716809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1308</v>
      </c>
      <c r="H40" s="91">
        <f>F40*G40</f>
        <v>57944.399999999994</v>
      </c>
      <c r="I40" s="200"/>
      <c r="J40" s="148">
        <v>17</v>
      </c>
      <c r="K40" s="95">
        <f>VLOOKUP(D40,產線配置圖!$A$3:$C$39,3,0)</f>
        <v>1440</v>
      </c>
      <c r="L40" s="96">
        <f t="shared" si="46"/>
        <v>84.705882352941174</v>
      </c>
      <c r="M40" s="201">
        <v>14</v>
      </c>
      <c r="N40" s="202">
        <f>G40/W40*60</f>
        <v>1121.1428571428598</v>
      </c>
      <c r="O40" s="203">
        <f t="shared" si="49"/>
        <v>80.081632653061419</v>
      </c>
      <c r="P40" s="97">
        <f t="shared" si="47"/>
        <v>-3</v>
      </c>
      <c r="Q40" s="98">
        <f t="shared" si="48"/>
        <v>-4.6242496998797549</v>
      </c>
      <c r="R40" s="99">
        <f t="shared" si="43"/>
        <v>0.94540816326530841</v>
      </c>
      <c r="S40" s="719"/>
      <c r="T40" s="20">
        <v>0.44097222222222199</v>
      </c>
      <c r="U40" s="20">
        <v>0.48958333333333298</v>
      </c>
      <c r="V40" s="92">
        <f>(T40-U39)*24*60</f>
        <v>9.999999999999325</v>
      </c>
      <c r="W40" s="205">
        <f t="shared" si="17"/>
        <v>69.999999999999829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44"/>
        <v>-318.85714285714016</v>
      </c>
      <c r="AG40" s="206">
        <f t="shared" si="45"/>
        <v>0.77857142857143047</v>
      </c>
      <c r="AH40" s="747"/>
    </row>
    <row r="41" spans="1:34" ht="15" customHeight="1">
      <c r="A41" s="754"/>
      <c r="B41" s="75" t="s">
        <v>117</v>
      </c>
      <c r="C41" s="207"/>
      <c r="D41" s="198" t="s">
        <v>133</v>
      </c>
      <c r="E41" s="178"/>
      <c r="F41" s="75">
        <f>VLOOKUP(D41,廠價表!$C$1:$E$41,3,0)</f>
        <v>49.91</v>
      </c>
      <c r="G41" s="199">
        <v>1097</v>
      </c>
      <c r="H41" s="91">
        <f>F41*G41</f>
        <v>54751.27</v>
      </c>
      <c r="I41" s="200"/>
      <c r="J41" s="148">
        <f>VLOOKUP(D41,產線配置圖!$A$3:$C$39,2,0)</f>
        <v>17</v>
      </c>
      <c r="K41" s="95">
        <f>VLOOKUP(D41,產線配置圖!$A$3:$C$39,3,0)</f>
        <v>1565</v>
      </c>
      <c r="L41" s="96">
        <f>K41/J41</f>
        <v>92.058823529411768</v>
      </c>
      <c r="M41" s="201">
        <v>16</v>
      </c>
      <c r="N41" s="202">
        <f>G41/W41*60</f>
        <v>1462.6666666666665</v>
      </c>
      <c r="O41" s="203">
        <f>N41/M41</f>
        <v>91.416666666666657</v>
      </c>
      <c r="P41" s="97">
        <f>M41-J41</f>
        <v>-1</v>
      </c>
      <c r="Q41" s="98">
        <f>O41-L41</f>
        <v>-0.64215686274511086</v>
      </c>
      <c r="R41" s="99">
        <f>O41/L41</f>
        <v>0.99302449414270488</v>
      </c>
      <c r="S41" s="719"/>
      <c r="T41" s="20">
        <v>0.57638888888888895</v>
      </c>
      <c r="U41" s="210">
        <v>0.60763888888888895</v>
      </c>
      <c r="V41" s="92"/>
      <c r="W41" s="205">
        <f t="shared" si="17"/>
        <v>45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44"/>
        <v>-102.33333333333348</v>
      </c>
      <c r="AG41" s="206">
        <f t="shared" si="45"/>
        <v>0.93461128860489873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50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50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50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41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50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51">AVERAGE(J38:J47)</f>
        <v>16.75</v>
      </c>
      <c r="K48" s="155">
        <f t="shared" si="51"/>
        <v>1494</v>
      </c>
      <c r="L48" s="158">
        <f t="shared" si="51"/>
        <v>89.174632352941174</v>
      </c>
      <c r="M48" s="155">
        <f t="shared" si="51"/>
        <v>14.75</v>
      </c>
      <c r="N48" s="155">
        <f t="shared" si="51"/>
        <v>1206.2038486627512</v>
      </c>
      <c r="O48" s="158">
        <f t="shared" si="51"/>
        <v>81.523652269126728</v>
      </c>
      <c r="P48" s="221">
        <f>M48-J48</f>
        <v>-2</v>
      </c>
      <c r="Q48" s="222">
        <f>N48-K48</f>
        <v>-287.79615133724883</v>
      </c>
      <c r="R48" s="223">
        <f>O48/L48</f>
        <v>0.91420228060450082</v>
      </c>
      <c r="S48" s="722"/>
      <c r="T48" s="224"/>
      <c r="U48" s="224"/>
      <c r="V48" s="225"/>
      <c r="W48" s="226">
        <f t="shared" si="50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52">N48-K48</f>
        <v>-287.79615133724883</v>
      </c>
      <c r="AG48" s="162">
        <f t="shared" ref="AG48:AG53" si="53">N48/K48</f>
        <v>0.80736536055070363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1324</v>
      </c>
      <c r="H49" s="134">
        <f>F49*G49</f>
        <v>75295.87999999999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54">K49/J49</f>
        <v>86.944444444444443</v>
      </c>
      <c r="M49" s="170">
        <v>17</v>
      </c>
      <c r="N49" s="140">
        <f>G49/W49*60</f>
        <v>1471.1111111111097</v>
      </c>
      <c r="O49" s="141">
        <f>N49/M49</f>
        <v>86.535947712418221</v>
      </c>
      <c r="P49" s="229">
        <f>M49-J49</f>
        <v>-1</v>
      </c>
      <c r="Q49" s="230">
        <f>O49-L49</f>
        <v>-0.40849673202622228</v>
      </c>
      <c r="R49" s="52">
        <f>O49/L49</f>
        <v>0.99530163503100832</v>
      </c>
      <c r="S49" s="718">
        <f>R58</f>
        <v>0.96688125163209393</v>
      </c>
      <c r="T49" s="191">
        <v>0.28888888888888897</v>
      </c>
      <c r="U49" s="191">
        <v>0.32638888888888901</v>
      </c>
      <c r="V49" s="55"/>
      <c r="W49" s="193">
        <f t="shared" si="17"/>
        <v>54.00000000000005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52"/>
        <v>-93.888888888890278</v>
      </c>
      <c r="AG49" s="52">
        <f t="shared" si="53"/>
        <v>0.94000709975150776</v>
      </c>
      <c r="AH49" s="724">
        <f>AG58</f>
        <v>0.95136701421955183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2615</v>
      </c>
      <c r="H50" s="231">
        <f>F50*G50</f>
        <v>124761.65000000001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54"/>
        <v>102.85714285714286</v>
      </c>
      <c r="M50" s="233">
        <v>14</v>
      </c>
      <c r="N50" s="234">
        <f>G50/W50*60</f>
        <v>1426.363636363634</v>
      </c>
      <c r="O50" s="235">
        <f>N50/M50</f>
        <v>101.88311688311671</v>
      </c>
      <c r="P50" s="74">
        <f>M50-J50</f>
        <v>0</v>
      </c>
      <c r="Q50" s="83">
        <f>O50-L50</f>
        <v>-0.97402597402614788</v>
      </c>
      <c r="R50" s="72">
        <f>O50/L50</f>
        <v>0.99053030303030132</v>
      </c>
      <c r="S50" s="719"/>
      <c r="T50" s="21">
        <v>0.33194444444444399</v>
      </c>
      <c r="U50" s="21">
        <v>0.40833333333333299</v>
      </c>
      <c r="V50" s="30">
        <f t="shared" ref="V50:V52" si="55">(T50-U49)*24*60</f>
        <v>7.9999999999991722</v>
      </c>
      <c r="W50" s="236">
        <f t="shared" si="17"/>
        <v>110.00000000000017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52"/>
        <v>-13.636363636366013</v>
      </c>
      <c r="AG50" s="72">
        <f t="shared" si="53"/>
        <v>0.99053030303030143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2275</v>
      </c>
      <c r="H51" s="231">
        <f>F51*G51</f>
        <v>113681.75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54"/>
        <v>88.888888888888886</v>
      </c>
      <c r="M51" s="233">
        <v>18</v>
      </c>
      <c r="N51" s="234">
        <f>G51/W51*60</f>
        <v>1516.6666666666667</v>
      </c>
      <c r="O51" s="235">
        <f>N51/M51</f>
        <v>84.259259259259267</v>
      </c>
      <c r="P51" s="74">
        <f>M51-J51</f>
        <v>0</v>
      </c>
      <c r="Q51" s="83">
        <f>O51-L51</f>
        <v>-4.6296296296296191</v>
      </c>
      <c r="R51" s="72">
        <f>O51/L51</f>
        <v>0.94791666666666674</v>
      </c>
      <c r="S51" s="719"/>
      <c r="T51" s="21">
        <v>0.41527777777777802</v>
      </c>
      <c r="U51" s="19">
        <v>0.47777777777777802</v>
      </c>
      <c r="V51" s="30">
        <f t="shared" si="55"/>
        <v>10.000000000000844</v>
      </c>
      <c r="W51" s="236">
        <f t="shared" si="17"/>
        <v>90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52"/>
        <v>-83.333333333333258</v>
      </c>
      <c r="AG51" s="72">
        <f t="shared" si="53"/>
        <v>0.94791666666666674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2730</v>
      </c>
      <c r="H52" s="231">
        <f>F52*G52</f>
        <v>136418.1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1489.0909090909079</v>
      </c>
      <c r="O52" s="235">
        <f>N52/M52</f>
        <v>82.727272727272663</v>
      </c>
      <c r="P52" s="74">
        <f>M52-J52</f>
        <v>0</v>
      </c>
      <c r="Q52" s="83">
        <f>O52-L52</f>
        <v>-6.1616161616162231</v>
      </c>
      <c r="R52" s="72">
        <f>O52/L52</f>
        <v>0.9306818181818175</v>
      </c>
      <c r="S52" s="719"/>
      <c r="T52" s="21">
        <v>0.52777777777777801</v>
      </c>
      <c r="U52" s="21">
        <v>0.60416666666666696</v>
      </c>
      <c r="V52" s="30">
        <f t="shared" si="55"/>
        <v>71.999999999999986</v>
      </c>
      <c r="W52" s="236">
        <f t="shared" si="17"/>
        <v>110.00000000000009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52"/>
        <v>-110.90909090909213</v>
      </c>
      <c r="AG52" s="72">
        <f t="shared" si="53"/>
        <v>0.93068181818181739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52"/>
        <v>0</v>
      </c>
      <c r="AG53" s="72" t="e">
        <f t="shared" si="53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56">AVERAGE(J49:J57)</f>
        <v>17</v>
      </c>
      <c r="K58" s="120">
        <f t="shared" si="56"/>
        <v>1551.25</v>
      </c>
      <c r="L58" s="117">
        <f t="shared" si="56"/>
        <v>91.894841269841265</v>
      </c>
      <c r="M58" s="120">
        <f t="shared" si="56"/>
        <v>16.75</v>
      </c>
      <c r="N58" s="120">
        <f t="shared" si="56"/>
        <v>1475.8080808080797</v>
      </c>
      <c r="O58" s="117">
        <f t="shared" si="56"/>
        <v>88.851399145516723</v>
      </c>
      <c r="P58" s="121">
        <f>M58-J58</f>
        <v>-0.25</v>
      </c>
      <c r="Q58" s="122">
        <f>N58-K58</f>
        <v>-75.441919191920306</v>
      </c>
      <c r="R58" s="123">
        <f t="shared" ref="R58:R60" si="57">O58/L58</f>
        <v>0.96688125163209393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8">N58-K58</f>
        <v>-75.441919191920306</v>
      </c>
      <c r="AG58" s="124">
        <f t="shared" ref="AG58:AG61" si="59">N58/K58</f>
        <v>0.95136701421955183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3186</v>
      </c>
      <c r="H59" s="243">
        <f>F59*G59</f>
        <v>85990.14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60">K59/J59</f>
        <v>120.38461538461539</v>
      </c>
      <c r="M59" s="244">
        <v>13</v>
      </c>
      <c r="N59" s="137">
        <f t="shared" ref="N59:N61" si="61">G59/W59*60</f>
        <v>1529.2800000000102</v>
      </c>
      <c r="O59" s="138">
        <f t="shared" ref="O59:O61" si="62">N59/M59</f>
        <v>117.63692307692386</v>
      </c>
      <c r="P59" s="56">
        <f t="shared" ref="P59:P61" si="63">M59-J59</f>
        <v>0</v>
      </c>
      <c r="Q59" s="230">
        <f t="shared" ref="Q59:Q61" si="64">O59-L59</f>
        <v>-2.7476923076915227</v>
      </c>
      <c r="R59" s="52">
        <f t="shared" si="57"/>
        <v>0.97717571884984677</v>
      </c>
      <c r="S59" s="718">
        <f>R69</f>
        <v>0.91587028838776385</v>
      </c>
      <c r="T59" s="245">
        <v>0.29166666666666702</v>
      </c>
      <c r="U59" s="245">
        <v>0.37847222222222199</v>
      </c>
      <c r="V59" s="55"/>
      <c r="W59" s="54">
        <f t="shared" si="17"/>
        <v>124.99999999999916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8"/>
        <v>-35.719999999989795</v>
      </c>
      <c r="AG59" s="246">
        <f t="shared" si="59"/>
        <v>0.97717571884984677</v>
      </c>
      <c r="AH59" s="724">
        <f>AG69</f>
        <v>0.90491432867076782</v>
      </c>
    </row>
    <row r="60" spans="1:34" ht="15" customHeight="1">
      <c r="A60" s="765"/>
      <c r="B60" s="75" t="s">
        <v>135</v>
      </c>
      <c r="C60" s="86"/>
      <c r="D60" s="175" t="s">
        <v>138</v>
      </c>
      <c r="E60" s="87"/>
      <c r="F60" s="75">
        <f>VLOOKUP(D60,廠價表!$C$1:$E$41,3,0)</f>
        <v>28.26</v>
      </c>
      <c r="G60" s="30">
        <v>1729</v>
      </c>
      <c r="H60" s="78">
        <f>F60*G60</f>
        <v>48861.54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60"/>
        <v>130.41666666666666</v>
      </c>
      <c r="M60" s="82">
        <v>12</v>
      </c>
      <c r="N60" s="80">
        <f t="shared" si="61"/>
        <v>1525.5882352941251</v>
      </c>
      <c r="O60" s="81">
        <f t="shared" si="62"/>
        <v>127.13235294117709</v>
      </c>
      <c r="P60" s="74">
        <f t="shared" si="63"/>
        <v>0</v>
      </c>
      <c r="Q60" s="83">
        <f t="shared" si="64"/>
        <v>-3.284313725489568</v>
      </c>
      <c r="R60" s="72">
        <f t="shared" si="57"/>
        <v>0.97481676376621418</v>
      </c>
      <c r="S60" s="768"/>
      <c r="T60" s="22">
        <v>0.38888888888888901</v>
      </c>
      <c r="U60" s="22">
        <v>0.43611111111111101</v>
      </c>
      <c r="V60" s="30">
        <f t="shared" ref="V60:V64" si="65">(T60-U59)*24*60</f>
        <v>15.000000000000506</v>
      </c>
      <c r="W60" s="248">
        <f t="shared" si="17"/>
        <v>67.999999999999673</v>
      </c>
      <c r="X60" s="232"/>
      <c r="Y60" s="177"/>
      <c r="Z60" s="90"/>
      <c r="AA60" s="90"/>
      <c r="AB60" s="713"/>
      <c r="AC60" s="713"/>
      <c r="AD60" s="92"/>
      <c r="AE60" s="92"/>
      <c r="AF60" s="316">
        <f t="shared" si="58"/>
        <v>-39.41176470587493</v>
      </c>
      <c r="AG60" s="249">
        <f t="shared" si="59"/>
        <v>0.97481676376621407</v>
      </c>
      <c r="AH60" s="759"/>
    </row>
    <row r="61" spans="1:34" ht="15" customHeight="1">
      <c r="A61" s="766"/>
      <c r="B61" s="250" t="s">
        <v>135</v>
      </c>
      <c r="C61" s="251"/>
      <c r="D61" s="252" t="s">
        <v>137</v>
      </c>
      <c r="E61" s="253"/>
      <c r="F61" s="250">
        <f>VLOOKUP(D61,廠價表!$C$1:$E$41,3,0)</f>
        <v>28.47</v>
      </c>
      <c r="G61" s="38">
        <v>455</v>
      </c>
      <c r="H61" s="254">
        <f>F61*G61</f>
        <v>12953.85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60"/>
        <v>130.41666666666666</v>
      </c>
      <c r="M61" s="108">
        <v>12</v>
      </c>
      <c r="N61" s="107">
        <f t="shared" si="61"/>
        <v>1364.9999999999882</v>
      </c>
      <c r="O61" s="238">
        <f t="shared" si="62"/>
        <v>113.74999999999902</v>
      </c>
      <c r="P61" s="111">
        <f t="shared" si="63"/>
        <v>0</v>
      </c>
      <c r="Q61" s="255">
        <f t="shared" si="64"/>
        <v>-16.666666666667638</v>
      </c>
      <c r="R61" s="85">
        <f>O61/L61</f>
        <v>0.87220447284344305</v>
      </c>
      <c r="S61" s="719"/>
      <c r="T61" s="22">
        <v>0.44097222222222199</v>
      </c>
      <c r="U61" s="22">
        <v>0.45486111111111099</v>
      </c>
      <c r="V61" s="30">
        <f t="shared" si="65"/>
        <v>6.9999999999998153</v>
      </c>
      <c r="W61" s="256">
        <f t="shared" si="17"/>
        <v>20.000000000000171</v>
      </c>
      <c r="X61" s="22"/>
      <c r="Y61" s="84"/>
      <c r="Z61" s="90"/>
      <c r="AA61" s="90"/>
      <c r="AB61" s="713" t="s">
        <v>146</v>
      </c>
      <c r="AC61" s="713"/>
      <c r="AD61" s="92"/>
      <c r="AE61" s="92"/>
      <c r="AF61" s="317">
        <f t="shared" si="58"/>
        <v>-200.00000000001182</v>
      </c>
      <c r="AG61" s="247">
        <f t="shared" si="59"/>
        <v>0.87220447284344294</v>
      </c>
      <c r="AH61" s="725"/>
    </row>
    <row r="62" spans="1:34" ht="15" customHeight="1">
      <c r="A62" s="766"/>
      <c r="B62" s="250" t="s">
        <v>135</v>
      </c>
      <c r="C62" s="251"/>
      <c r="D62" s="257" t="s">
        <v>196</v>
      </c>
      <c r="E62" s="253"/>
      <c r="F62" s="250">
        <f>VLOOKUP(D62,廠價表!$C$1:$E$41,3,0)</f>
        <v>28.26</v>
      </c>
      <c r="G62" s="38">
        <v>1320</v>
      </c>
      <c r="H62" s="254">
        <f t="shared" ref="H62:H64" si="66">F62*G62</f>
        <v>37303.200000000004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ref="L62:L64" si="67">K62/J62</f>
        <v>130.41666666666666</v>
      </c>
      <c r="M62" s="108">
        <v>12</v>
      </c>
      <c r="N62" s="107">
        <f t="shared" ref="N62:N64" si="68">G62/W62*60</f>
        <v>1440.0000000000177</v>
      </c>
      <c r="O62" s="238">
        <f t="shared" ref="O62:O64" si="69">N62/M62</f>
        <v>120.00000000000148</v>
      </c>
      <c r="P62" s="111">
        <f t="shared" ref="P62:P64" si="70">M62-J62</f>
        <v>0</v>
      </c>
      <c r="Q62" s="255">
        <f t="shared" ref="Q62:Q64" si="71">O62-L62</f>
        <v>-10.416666666665179</v>
      </c>
      <c r="R62" s="85">
        <f t="shared" ref="R62:R64" si="72">O62/L62</f>
        <v>0.92012779552716795</v>
      </c>
      <c r="S62" s="719"/>
      <c r="T62" s="22">
        <v>0.46527777777777801</v>
      </c>
      <c r="U62" s="22">
        <v>0.50347222222222199</v>
      </c>
      <c r="V62" s="30">
        <f t="shared" si="65"/>
        <v>15.000000000000506</v>
      </c>
      <c r="W62" s="248">
        <f t="shared" si="17"/>
        <v>54.999999999999325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-124.99999999998226</v>
      </c>
      <c r="AG62" s="247">
        <f>N62/K62</f>
        <v>0.92012779552716784</v>
      </c>
      <c r="AH62" s="725"/>
    </row>
    <row r="63" spans="1:34" ht="15" customHeight="1">
      <c r="A63" s="766"/>
      <c r="B63" s="258" t="s">
        <v>135</v>
      </c>
      <c r="C63" s="58"/>
      <c r="D63" s="259" t="s">
        <v>196</v>
      </c>
      <c r="E63" s="60"/>
      <c r="F63" s="250">
        <f>VLOOKUP(D63,廠價表!$C$1:$E$41,3,0)</f>
        <v>28.26</v>
      </c>
      <c r="G63" s="260">
        <v>1905</v>
      </c>
      <c r="H63" s="254">
        <f t="shared" si="66"/>
        <v>53835.3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 t="shared" si="67"/>
        <v>130.41666666666666</v>
      </c>
      <c r="M63" s="68">
        <v>12</v>
      </c>
      <c r="N63" s="107">
        <f t="shared" si="68"/>
        <v>1344.7058823529587</v>
      </c>
      <c r="O63" s="238">
        <f t="shared" si="69"/>
        <v>112.05882352941323</v>
      </c>
      <c r="P63" s="111">
        <f t="shared" si="70"/>
        <v>0</v>
      </c>
      <c r="Q63" s="255">
        <f t="shared" si="71"/>
        <v>-18.357843137253425</v>
      </c>
      <c r="R63" s="85">
        <f t="shared" si="72"/>
        <v>0.85923698552904726</v>
      </c>
      <c r="S63" s="719"/>
      <c r="T63" s="22">
        <v>0.57291666666666696</v>
      </c>
      <c r="U63" s="22">
        <v>0.63194444444444398</v>
      </c>
      <c r="V63" s="30">
        <f t="shared" si="65"/>
        <v>100.00000000000077</v>
      </c>
      <c r="W63" s="248">
        <f t="shared" si="17"/>
        <v>84.999999999998892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 t="s">
        <v>135</v>
      </c>
      <c r="C64" s="76"/>
      <c r="D64" s="175" t="s">
        <v>136</v>
      </c>
      <c r="E64" s="77"/>
      <c r="F64" s="250">
        <f>VLOOKUP(D64,廠價表!$C$1:$E$41,3,0)</f>
        <v>26.99</v>
      </c>
      <c r="G64" s="30">
        <v>754</v>
      </c>
      <c r="H64" s="254">
        <f t="shared" si="66"/>
        <v>20350.46</v>
      </c>
      <c r="I64" s="182"/>
      <c r="J64" s="106">
        <f>VLOOKUP(D64,產線配置圖!$A$3:$C$39,2,0)</f>
        <v>13</v>
      </c>
      <c r="K64" s="107">
        <f>VLOOKUP(D64,產線配置圖!$A$3:$C$39,3,0)</f>
        <v>1565</v>
      </c>
      <c r="L64" s="238">
        <f t="shared" si="67"/>
        <v>120.38461538461539</v>
      </c>
      <c r="M64" s="82">
        <v>12</v>
      </c>
      <c r="N64" s="107">
        <f t="shared" si="68"/>
        <v>1292.5714285714098</v>
      </c>
      <c r="O64" s="238">
        <f t="shared" si="69"/>
        <v>107.71428571428415</v>
      </c>
      <c r="P64" s="111">
        <f t="shared" si="70"/>
        <v>-1</v>
      </c>
      <c r="Q64" s="255">
        <f t="shared" si="71"/>
        <v>-12.670329670331242</v>
      </c>
      <c r="R64" s="85">
        <f t="shared" si="72"/>
        <v>0.89475125513462861</v>
      </c>
      <c r="S64" s="719"/>
      <c r="T64" s="22">
        <v>0.64236111111111105</v>
      </c>
      <c r="U64" s="22">
        <v>0.66666666666666696</v>
      </c>
      <c r="V64" s="30">
        <f t="shared" si="65"/>
        <v>15.000000000000586</v>
      </c>
      <c r="W64" s="73">
        <f t="shared" si="17"/>
        <v>35.000000000000512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73">AVERAGE(J59:J68)</f>
        <v>12.333333333333334</v>
      </c>
      <c r="K69" s="240">
        <f t="shared" si="73"/>
        <v>1565</v>
      </c>
      <c r="L69" s="268">
        <f t="shared" si="73"/>
        <v>127.07264957264955</v>
      </c>
      <c r="M69" s="240">
        <f t="shared" si="73"/>
        <v>12.166666666666666</v>
      </c>
      <c r="N69" s="240">
        <f t="shared" si="73"/>
        <v>1416.1909243697517</v>
      </c>
      <c r="O69" s="268">
        <f t="shared" si="73"/>
        <v>116.3820642102998</v>
      </c>
      <c r="P69" s="269">
        <f>M69-J69</f>
        <v>-0.16666666666666785</v>
      </c>
      <c r="Q69" s="222">
        <f>N69-K69</f>
        <v>-148.80907563024834</v>
      </c>
      <c r="R69" s="123">
        <f>O69/L69</f>
        <v>0.91587028838776385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-148.80907563024834</v>
      </c>
      <c r="AG69" s="124">
        <f>N69/K69</f>
        <v>0.90491432867076782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1759</v>
      </c>
      <c r="H70" s="243">
        <f>F70*G70</f>
        <v>89128.53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1088.0412371133871</v>
      </c>
      <c r="O70" s="138">
        <f>N70/M70</f>
        <v>108.8041237113387</v>
      </c>
      <c r="P70" s="56">
        <f>M70-J70</f>
        <v>0</v>
      </c>
      <c r="Q70" s="230">
        <f>O70-L70</f>
        <v>-3.6958762886612959</v>
      </c>
      <c r="R70" s="52">
        <f>O70/L70</f>
        <v>0.96714776632301069</v>
      </c>
      <c r="S70" s="718">
        <f>R79</f>
        <v>0.89246277205039393</v>
      </c>
      <c r="T70" s="245">
        <v>0.39444444444444399</v>
      </c>
      <c r="U70" s="245">
        <v>0.46180555555555602</v>
      </c>
      <c r="V70" s="55"/>
      <c r="W70" s="54">
        <f t="shared" si="17"/>
        <v>97.000000000001336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-36.958762886612931</v>
      </c>
      <c r="AG70" s="246">
        <f>N70/K70</f>
        <v>0.96714776632301069</v>
      </c>
      <c r="AH70" s="724">
        <f>AG79</f>
        <v>0.89246277205039393</v>
      </c>
    </row>
    <row r="71" spans="1:36" ht="15" customHeight="1">
      <c r="A71" s="761"/>
      <c r="B71" s="75" t="s">
        <v>81</v>
      </c>
      <c r="C71" s="76"/>
      <c r="D71" s="59" t="s">
        <v>139</v>
      </c>
      <c r="E71" s="77"/>
      <c r="F71" s="250">
        <f>VLOOKUP(D71,廠價表!$C$1:$E$41,3,0)</f>
        <v>50.67</v>
      </c>
      <c r="G71" s="30">
        <v>1104</v>
      </c>
      <c r="H71" s="254">
        <f>F71*G71</f>
        <v>55939.68</v>
      </c>
      <c r="I71" s="232"/>
      <c r="J71" s="106">
        <f>VLOOKUP(D71,產線配置圖!$A$3:$C$39,2,0)</f>
        <v>10</v>
      </c>
      <c r="K71" s="107">
        <f>VLOOKUP(D71,產線配置圖!$A$3:$C$39,3,0)</f>
        <v>1125</v>
      </c>
      <c r="L71" s="238">
        <f>K71/J71</f>
        <v>112.5</v>
      </c>
      <c r="M71" s="82">
        <v>10</v>
      </c>
      <c r="N71" s="107">
        <f>G71/W71*60</f>
        <v>919.99999999999932</v>
      </c>
      <c r="O71" s="238">
        <f>N71/M71</f>
        <v>91.999999999999929</v>
      </c>
      <c r="P71" s="111">
        <f>M71-J71</f>
        <v>0</v>
      </c>
      <c r="Q71" s="255">
        <f>O71-L71</f>
        <v>-20.500000000000071</v>
      </c>
      <c r="R71" s="85">
        <f>O71/L71</f>
        <v>0.81777777777777716</v>
      </c>
      <c r="S71" s="719"/>
      <c r="T71" s="22">
        <v>0.56805555555555598</v>
      </c>
      <c r="U71" s="22">
        <v>0.61805555555555602</v>
      </c>
      <c r="V71" s="30"/>
      <c r="W71" s="73">
        <f t="shared" si="17"/>
        <v>72.000000000000057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7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7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7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7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75">AVERAGE(J70:J78)</f>
        <v>10</v>
      </c>
      <c r="K79" s="240">
        <f t="shared" si="75"/>
        <v>1125</v>
      </c>
      <c r="L79" s="268">
        <f t="shared" si="75"/>
        <v>112.5</v>
      </c>
      <c r="M79" s="240">
        <f t="shared" si="75"/>
        <v>10</v>
      </c>
      <c r="N79" s="240">
        <f t="shared" si="75"/>
        <v>1004.0206185566932</v>
      </c>
      <c r="O79" s="268">
        <f t="shared" si="75"/>
        <v>100.40206185566932</v>
      </c>
      <c r="P79" s="269">
        <f>M79-J79</f>
        <v>0</v>
      </c>
      <c r="Q79" s="222">
        <f>N79-K79</f>
        <v>-120.97938144330681</v>
      </c>
      <c r="R79" s="223">
        <f>O79/L79</f>
        <v>0.89246277205039393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-120.97938144330681</v>
      </c>
      <c r="AG79" s="124">
        <f>N79/K79</f>
        <v>0.89246277205039393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59:AH69"/>
    <mergeCell ref="AB60:AC60"/>
    <mergeCell ref="AB61:AC61"/>
    <mergeCell ref="AB62:AC62"/>
    <mergeCell ref="AB64:AC64"/>
    <mergeCell ref="AB65:AC65"/>
    <mergeCell ref="AB66:AC66"/>
    <mergeCell ref="AB67:AC67"/>
    <mergeCell ref="AB68:AC68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B63:AC63"/>
    <mergeCell ref="A59:A69"/>
    <mergeCell ref="S59:S69"/>
    <mergeCell ref="AB59:AC59"/>
    <mergeCell ref="D69:E69"/>
    <mergeCell ref="A49:A58"/>
    <mergeCell ref="S49:S58"/>
    <mergeCell ref="AB49:AC49"/>
    <mergeCell ref="AB69:AC69"/>
    <mergeCell ref="AB56:AC56"/>
    <mergeCell ref="AB57:AC57"/>
    <mergeCell ref="D58:E58"/>
    <mergeCell ref="AB58:AC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5:A15"/>
    <mergeCell ref="S5:S15"/>
    <mergeCell ref="AB5:AC5"/>
    <mergeCell ref="AH5:AH15"/>
    <mergeCell ref="AB6:AC6"/>
    <mergeCell ref="AB7:AC7"/>
    <mergeCell ref="G3:G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</mergeCells>
  <phoneticPr fontId="0" type="noConversion"/>
  <conditionalFormatting sqref="P5:P79">
    <cfRule type="cellIs" dxfId="94" priority="1" operator="greaterThan">
      <formula>0</formula>
    </cfRule>
  </conditionalFormatting>
  <conditionalFormatting sqref="Q5:Q79 AF5:AF79">
    <cfRule type="cellIs" dxfId="93" priority="4" operator="lessThan">
      <formula>0</formula>
    </cfRule>
  </conditionalFormatting>
  <conditionalFormatting sqref="R5:R79 AG5:AG79">
    <cfRule type="cellIs" dxfId="92" priority="2" operator="greaterThan">
      <formula>1</formula>
    </cfRule>
    <cfRule type="cellIs" dxfId="91" priority="3" operator="lessThan">
      <formula>0.8</formula>
    </cfRule>
  </conditionalFormatting>
  <conditionalFormatting sqref="S5:S10 S37:S62 AH59:AH62 S69:S76 AH69:AH76">
    <cfRule type="cellIs" dxfId="90" priority="7" operator="lessThan">
      <formula>0.8</formula>
    </cfRule>
  </conditionalFormatting>
  <conditionalFormatting sqref="S19:S25 AH19:AH25">
    <cfRule type="cellIs" dxfId="89" priority="6" operator="lessThan">
      <formula>0.8</formula>
    </cfRule>
  </conditionalFormatting>
  <conditionalFormatting sqref="S79">
    <cfRule type="cellIs" dxfId="88" priority="5" operator="lessThan">
      <formula>0.8</formula>
    </cfRule>
  </conditionalFormatting>
  <conditionalFormatting sqref="AH5:AH8 S15:S16 AH15:AH16 AH49 AH79">
    <cfRule type="cellIs" dxfId="87" priority="9" operator="lessThan">
      <formula>0.8</formula>
    </cfRule>
  </conditionalFormatting>
  <conditionalFormatting sqref="AH27 S27:S28">
    <cfRule type="cellIs" dxfId="8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12174E-4129-4ED6-AE33-483EDC781CAB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769F-6BF3-4D2C-80D9-B15EDF13D27B}">
  <dimension ref="B1:R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46049</v>
      </c>
      <c r="E3" s="645"/>
      <c r="F3" s="3" t="s">
        <v>72</v>
      </c>
      <c r="G3" s="646">
        <f>'0127'!E1</f>
        <v>56818</v>
      </c>
      <c r="H3" s="646"/>
      <c r="I3" s="3" t="s">
        <v>2</v>
      </c>
      <c r="J3" s="647">
        <f>'0127'!G1</f>
        <v>2686342.73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113.56598697171175</v>
      </c>
      <c r="G6" s="652"/>
      <c r="H6" s="653">
        <f>AVERAGE(D13:H13,J13)</f>
        <v>111.31487653822212</v>
      </c>
      <c r="I6" s="653"/>
      <c r="J6" s="653">
        <f>AVERAGE(I13)</f>
        <v>127.07264957264955</v>
      </c>
      <c r="K6" s="653"/>
      <c r="L6" s="769">
        <f>SUM(D18:J18)</f>
        <v>1</v>
      </c>
      <c r="M6" s="656">
        <f>SUM(D19:J19)</f>
        <v>9</v>
      </c>
      <c r="N6" s="771">
        <f>SUM(D20:J20)</f>
        <v>2</v>
      </c>
      <c r="O6" s="656">
        <f>SUM(D20:J20)</f>
        <v>2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104.49079041326362</v>
      </c>
      <c r="G7" s="676"/>
      <c r="H7" s="677">
        <f>AVERAGE(D14:H14,J14)</f>
        <v>102.50891144709091</v>
      </c>
      <c r="I7" s="677"/>
      <c r="J7" s="677">
        <f>AVERAGE(I14)</f>
        <v>116.3820642102998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0.92008878009655592</v>
      </c>
      <c r="G8" s="649"/>
      <c r="H8" s="649">
        <f>H7/H6</f>
        <v>0.92089139057610581</v>
      </c>
      <c r="I8" s="649"/>
      <c r="J8" s="649">
        <f>J7/J6</f>
        <v>0.91587028838776385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VALUE('0127'!L15)</f>
        <v>128.96533613445379</v>
      </c>
      <c r="E13" s="13">
        <f>VALUE('0127'!L26)</f>
        <v>160.58974358974359</v>
      </c>
      <c r="F13" s="13">
        <f>VALUE('0127'!L37)</f>
        <v>84.764705882352928</v>
      </c>
      <c r="G13" s="13">
        <f>VALUE('0127'!L48)</f>
        <v>89.174632352941174</v>
      </c>
      <c r="H13" s="13">
        <f>VALUE('0127'!L58)</f>
        <v>91.894841269841265</v>
      </c>
      <c r="I13" s="13">
        <f>VALUE('0127'!L69)</f>
        <v>127.07264957264955</v>
      </c>
      <c r="J13" s="13">
        <f>'0127'!L79</f>
        <v>112.5</v>
      </c>
    </row>
    <row r="14" spans="2:15" ht="39.950000000000003" customHeight="1">
      <c r="B14" s="670"/>
      <c r="C14" s="12" t="s">
        <v>100</v>
      </c>
      <c r="D14" s="13">
        <f>VALUE('0127'!O15)</f>
        <v>119.36594419948818</v>
      </c>
      <c r="E14" s="13">
        <f>VALUE('0127'!O26)</f>
        <v>144.67546402446686</v>
      </c>
      <c r="F14" s="13">
        <f>VALUE('0127'!O37)</f>
        <v>80.234947188277744</v>
      </c>
      <c r="G14" s="13">
        <f>VALUE('0127'!O48)</f>
        <v>81.523652269126728</v>
      </c>
      <c r="H14" s="13">
        <f>VALUE('0127'!O58)</f>
        <v>88.851399145516723</v>
      </c>
      <c r="I14" s="13">
        <f>VALUE('0127'!O69)</f>
        <v>116.3820642102998</v>
      </c>
      <c r="J14" s="13">
        <f>'0127'!O79</f>
        <v>100.40206185566932</v>
      </c>
    </row>
    <row r="15" spans="2:15" ht="39.950000000000003" customHeight="1">
      <c r="B15" s="671"/>
      <c r="C15" s="10" t="s">
        <v>26</v>
      </c>
      <c r="D15" s="14">
        <f>D14/D13</f>
        <v>0.92556610774109338</v>
      </c>
      <c r="E15" s="14">
        <f t="shared" ref="E15:I15" si="1">E14/E13</f>
        <v>0.90090102138818573</v>
      </c>
      <c r="F15" s="14">
        <f t="shared" si="1"/>
        <v>0.94656079264449822</v>
      </c>
      <c r="G15" s="14">
        <f t="shared" si="1"/>
        <v>0.91420228060450082</v>
      </c>
      <c r="H15" s="14">
        <f t="shared" si="1"/>
        <v>0.96688125163209393</v>
      </c>
      <c r="I15" s="14">
        <f t="shared" si="1"/>
        <v>0.91587028838776385</v>
      </c>
      <c r="J15" s="15">
        <f>'0127'!S70</f>
        <v>0.89246277205039393</v>
      </c>
    </row>
    <row r="16" spans="2:15" ht="17.25" customHeight="1">
      <c r="B16" s="672" t="s">
        <v>101</v>
      </c>
      <c r="C16" s="10" t="s">
        <v>34</v>
      </c>
      <c r="D16" s="16">
        <f>'0127'!T5</f>
        <v>0.31111111111111101</v>
      </c>
      <c r="E16" s="16">
        <f>'0127'!T16</f>
        <v>0.29166666666666702</v>
      </c>
      <c r="F16" s="16">
        <f>'0127'!T27</f>
        <v>0.29027777777777802</v>
      </c>
      <c r="G16" s="16">
        <f>'0127'!T38</f>
        <v>0.33333333333333298</v>
      </c>
      <c r="H16" s="16">
        <f>'0127'!T49</f>
        <v>0.28888888888888897</v>
      </c>
      <c r="I16" s="16">
        <f>'0127'!T59</f>
        <v>0.29166666666666702</v>
      </c>
      <c r="J16" s="16">
        <f>'0127'!T70</f>
        <v>0.39444444444444399</v>
      </c>
    </row>
    <row r="17" spans="2:18" ht="17.25" customHeight="1">
      <c r="B17" s="673"/>
      <c r="C17" s="10" t="s">
        <v>35</v>
      </c>
      <c r="D17" s="16">
        <v>0.63611111111111096</v>
      </c>
      <c r="E17" s="19">
        <v>0.66180555555555598</v>
      </c>
      <c r="F17" s="19">
        <v>0.73055555555555596</v>
      </c>
      <c r="G17" s="210">
        <v>0.60763888888888895</v>
      </c>
      <c r="H17" s="21">
        <v>0.60416666666666696</v>
      </c>
      <c r="I17" s="22">
        <v>0.66666666666666696</v>
      </c>
      <c r="J17" s="22">
        <v>0.61805555555555602</v>
      </c>
    </row>
    <row r="18" spans="2:18" ht="17.25" customHeight="1">
      <c r="B18" s="674" t="s">
        <v>102</v>
      </c>
      <c r="C18" s="330" t="s">
        <v>36</v>
      </c>
      <c r="D18" s="358">
        <f>'0127'!Z15</f>
        <v>0</v>
      </c>
      <c r="E18" s="359">
        <f>'0127'!Z26</f>
        <v>0</v>
      </c>
      <c r="F18" s="359">
        <f>'0127'!Z37</f>
        <v>1</v>
      </c>
      <c r="G18" s="360">
        <f>'0127'!Z48</f>
        <v>0</v>
      </c>
      <c r="H18" s="360">
        <f>'0127'!Z58</f>
        <v>0</v>
      </c>
      <c r="I18" s="359">
        <f>'0127'!Z69</f>
        <v>0</v>
      </c>
      <c r="J18" s="359">
        <f>'0127'!AA69</f>
        <v>0</v>
      </c>
    </row>
    <row r="19" spans="2:18" ht="17.25" customHeight="1">
      <c r="B19" s="675"/>
      <c r="C19" s="330" t="s">
        <v>37</v>
      </c>
      <c r="D19" s="358">
        <f>'0127'!AA15</f>
        <v>0</v>
      </c>
      <c r="E19" s="359">
        <f>'0127'!AA26</f>
        <v>0</v>
      </c>
      <c r="F19" s="359">
        <f>'0127'!AA37</f>
        <v>9</v>
      </c>
      <c r="G19" s="360">
        <f>'0127'!AA48</f>
        <v>0</v>
      </c>
      <c r="H19" s="360">
        <f>'0127'!AA58</f>
        <v>0</v>
      </c>
      <c r="I19" s="359">
        <f>'0127'!AA69</f>
        <v>0</v>
      </c>
      <c r="J19" s="359">
        <f>'0127'!AB69</f>
        <v>0</v>
      </c>
      <c r="R19" s="2" t="e">
        <f>O19/L19</f>
        <v>#DIV/0!</v>
      </c>
    </row>
    <row r="20" spans="2:18" ht="17.25" customHeight="1">
      <c r="B20" s="674" t="s">
        <v>103</v>
      </c>
      <c r="C20" s="330" t="s">
        <v>36</v>
      </c>
      <c r="D20" s="358">
        <f>'0127'!AD15</f>
        <v>0</v>
      </c>
      <c r="E20" s="359">
        <f>'0127'!AD26</f>
        <v>2</v>
      </c>
      <c r="F20" s="359">
        <f>'0127'!AD37</f>
        <v>0</v>
      </c>
      <c r="G20" s="360">
        <f>'0127'!AD48</f>
        <v>0</v>
      </c>
      <c r="H20" s="360">
        <f>'0127'!AD58</f>
        <v>0</v>
      </c>
      <c r="I20" s="359">
        <f>'0127'!AD69</f>
        <v>0</v>
      </c>
      <c r="J20" s="359">
        <f>'0127'!AD79</f>
        <v>0</v>
      </c>
    </row>
    <row r="21" spans="2:18" ht="17.25" customHeight="1">
      <c r="B21" s="675"/>
      <c r="C21" s="330" t="s">
        <v>85</v>
      </c>
      <c r="D21" s="358">
        <f>'0127'!AE15</f>
        <v>0</v>
      </c>
      <c r="E21" s="359">
        <f>'0127'!AE26</f>
        <v>2</v>
      </c>
      <c r="F21" s="359">
        <f>'0127'!AE37</f>
        <v>0</v>
      </c>
      <c r="G21" s="360">
        <f>'0127'!AE48</f>
        <v>0</v>
      </c>
      <c r="H21" s="360">
        <f>'0127'!AE58</f>
        <v>0</v>
      </c>
      <c r="I21" s="359">
        <f>'0127'!AE69</f>
        <v>0</v>
      </c>
      <c r="J21" s="359">
        <f>'0127'!AE79</f>
        <v>0</v>
      </c>
    </row>
    <row r="22" spans="2:18" ht="17.25" customHeight="1">
      <c r="B22" s="658" t="s">
        <v>104</v>
      </c>
      <c r="C22" s="659"/>
      <c r="D22" s="23">
        <f>VALUE('0127'!M15)</f>
        <v>15.25</v>
      </c>
      <c r="E22" s="23">
        <f>VALUE('0127'!M26)</f>
        <v>12.6</v>
      </c>
      <c r="F22" s="23">
        <f>VALUE('0127'!M37)</f>
        <v>15</v>
      </c>
      <c r="G22" s="23">
        <f>VALUE('0127'!M48)</f>
        <v>14.75</v>
      </c>
      <c r="H22" s="23">
        <f>VALUE('0127'!M58)</f>
        <v>16.75</v>
      </c>
      <c r="I22" s="23">
        <f>VALUE('0127'!M69)</f>
        <v>12.166666666666666</v>
      </c>
      <c r="J22" s="23">
        <f>'0127'!M79</f>
        <v>10</v>
      </c>
    </row>
    <row r="23" spans="2:18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8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8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8">
      <c r="B26" s="660"/>
      <c r="C26" s="66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D7:E7"/>
    <mergeCell ref="F7:G7"/>
    <mergeCell ref="H7:I7"/>
    <mergeCell ref="J7:K7"/>
    <mergeCell ref="D8:E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8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BDB8-4B8D-485F-B991-726A4801C92A}">
  <sheetPr>
    <tabColor theme="9" tint="0.79998168889431442"/>
  </sheetPr>
  <dimension ref="A1:AJ92"/>
  <sheetViews>
    <sheetView zoomScale="69" zoomScaleNormal="69" workbookViewId="0">
      <pane xSplit="5" ySplit="4" topLeftCell="O5" activePane="bottomRight" state="frozen"/>
      <selection activeCell="W24" sqref="W24"/>
      <selection pane="topRight" activeCell="W24" sqref="W24"/>
      <selection pane="bottomLeft" activeCell="W24" sqref="W24"/>
      <selection pane="bottomRight" activeCell="W24" sqref="W2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56818</v>
      </c>
      <c r="F1" s="30" t="s">
        <v>2</v>
      </c>
      <c r="G1" s="31">
        <f>SUM(H5:H79)</f>
        <v>2686342.73</v>
      </c>
      <c r="H1" s="32" t="s">
        <v>3</v>
      </c>
      <c r="I1" s="33">
        <f>M15+M26+M48+M58+M69+M79+M37</f>
        <v>96.516666666666666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217</v>
      </c>
      <c r="B2" s="678"/>
      <c r="C2" s="28"/>
      <c r="D2" s="28" t="s">
        <v>14</v>
      </c>
      <c r="E2" s="35">
        <f>AVERAGE(O15,O26,O37,O48,O58,O69,O79)</f>
        <v>104.49079041326362</v>
      </c>
      <c r="F2" s="36" t="s">
        <v>15</v>
      </c>
      <c r="G2" s="37">
        <f>G1/E1</f>
        <v>47.279783343306697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9</v>
      </c>
      <c r="AB2" s="684"/>
      <c r="AC2" s="684"/>
      <c r="AD2" s="340">
        <f>AD15+AD26+AD37+AD48+AD58+AD69+AD79</f>
        <v>2</v>
      </c>
      <c r="AE2" s="340">
        <f>AE15+AE26+AE37+AE48+AE58+AE69+AE79</f>
        <v>2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1406</v>
      </c>
      <c r="H5" s="43">
        <f>F5*G5</f>
        <v>80437.259999999995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8" si="0">K5/J5</f>
        <v>117.64705882352941</v>
      </c>
      <c r="M5" s="48">
        <v>17</v>
      </c>
      <c r="N5" s="46">
        <f t="shared" ref="N5:N8" si="1">G5/W5*60</f>
        <v>1917.2727272726995</v>
      </c>
      <c r="O5" s="47">
        <f t="shared" ref="O5:O8" si="2">N5/M5</f>
        <v>112.78074866309997</v>
      </c>
      <c r="P5" s="49">
        <f t="shared" ref="P5:P8" si="3">M5-J5</f>
        <v>0</v>
      </c>
      <c r="Q5" s="50">
        <f t="shared" ref="Q5:Q8" si="4">O5-L5</f>
        <v>-4.8663101604294354</v>
      </c>
      <c r="R5" s="51">
        <f t="shared" ref="R5:R8" si="5">O5/L5</f>
        <v>0.95863636363634974</v>
      </c>
      <c r="S5" s="718">
        <f>R15</f>
        <v>0.92556610774109338</v>
      </c>
      <c r="T5" s="319">
        <v>0.31111111111111101</v>
      </c>
      <c r="U5" s="320">
        <v>0.34166666666666701</v>
      </c>
      <c r="V5" s="53"/>
      <c r="W5" s="54">
        <f t="shared" ref="W5:W14" si="6">(U5-T5)*24*60</f>
        <v>44.000000000000639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-82.727272727300488</v>
      </c>
      <c r="AG5" s="52">
        <f t="shared" ref="AG5:AG11" si="8">N5/K5</f>
        <v>0.95863636363634974</v>
      </c>
      <c r="AH5" s="724">
        <f>AG15</f>
        <v>0.92814687788159322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2196</v>
      </c>
      <c r="H6" s="63">
        <f>F6*G6</f>
        <v>123590.88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16</v>
      </c>
      <c r="N6" s="66">
        <f t="shared" si="1"/>
        <v>1733.6842105263072</v>
      </c>
      <c r="O6" s="67">
        <f t="shared" si="2"/>
        <v>108.3552631578942</v>
      </c>
      <c r="P6" s="69">
        <f t="shared" si="3"/>
        <v>0</v>
      </c>
      <c r="Q6" s="70">
        <f t="shared" si="4"/>
        <v>-4.1447368421058002</v>
      </c>
      <c r="R6" s="71">
        <f t="shared" si="5"/>
        <v>0.96315789473683733</v>
      </c>
      <c r="S6" s="719"/>
      <c r="T6" s="16">
        <v>0.34861111111111098</v>
      </c>
      <c r="U6" s="16">
        <v>0.40138888888888902</v>
      </c>
      <c r="V6" s="30">
        <f>(T6-U5)*24*60</f>
        <v>9.999999999999325</v>
      </c>
      <c r="W6" s="73">
        <f t="shared" si="6"/>
        <v>76.000000000000369</v>
      </c>
      <c r="X6" s="22"/>
      <c r="Y6" s="84"/>
      <c r="Z6" s="90"/>
      <c r="AA6" s="90"/>
      <c r="AB6" s="728" t="s">
        <v>116</v>
      </c>
      <c r="AC6" s="728"/>
      <c r="AD6" s="149"/>
      <c r="AE6" s="149"/>
      <c r="AF6" s="307">
        <f t="shared" si="7"/>
        <v>-66.315789473692803</v>
      </c>
      <c r="AG6" s="72">
        <f t="shared" si="8"/>
        <v>0.96315789473683733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2646</v>
      </c>
      <c r="H7" s="78">
        <f>F7*G7</f>
        <v>130024.44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1653.7499999999907</v>
      </c>
      <c r="O7" s="81">
        <f t="shared" si="2"/>
        <v>118.12499999999933</v>
      </c>
      <c r="P7" s="74">
        <f t="shared" si="3"/>
        <v>0</v>
      </c>
      <c r="Q7" s="83">
        <f t="shared" si="4"/>
        <v>-24.732142857143529</v>
      </c>
      <c r="R7" s="72">
        <f t="shared" si="5"/>
        <v>0.82687499999999525</v>
      </c>
      <c r="S7" s="719"/>
      <c r="T7" s="18">
        <v>0.41111111111111098</v>
      </c>
      <c r="U7" s="18">
        <v>0.47777777777777802</v>
      </c>
      <c r="V7" s="30">
        <f>(T7-U6)*24*60</f>
        <v>13.999999999999631</v>
      </c>
      <c r="W7" s="73">
        <f t="shared" si="6"/>
        <v>96.00000000000054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-346.25000000000932</v>
      </c>
      <c r="AG7" s="72">
        <f t="shared" si="8"/>
        <v>0.82687499999999536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2999</v>
      </c>
      <c r="H8" s="78">
        <f>F8*G8</f>
        <v>147370.86000000002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1934.8387096774293</v>
      </c>
      <c r="O8" s="81">
        <f t="shared" si="2"/>
        <v>138.20276497695923</v>
      </c>
      <c r="P8" s="74">
        <f t="shared" si="3"/>
        <v>0</v>
      </c>
      <c r="Q8" s="83">
        <f t="shared" si="4"/>
        <v>-4.6543778801836311</v>
      </c>
      <c r="R8" s="72">
        <f t="shared" si="5"/>
        <v>0.96741935483871455</v>
      </c>
      <c r="S8" s="719"/>
      <c r="T8" s="16">
        <v>0.54374999999999996</v>
      </c>
      <c r="U8" s="16">
        <v>0.60833333333333295</v>
      </c>
      <c r="V8" s="30">
        <f>(T8-U7)*24*60</f>
        <v>94.999999999999588</v>
      </c>
      <c r="W8" s="73">
        <f t="shared" si="6"/>
        <v>92.999999999999517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-65.161290322570721</v>
      </c>
      <c r="AG8" s="72">
        <f t="shared" si="8"/>
        <v>0.96741935483871466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15.25</v>
      </c>
      <c r="K15" s="120">
        <f t="shared" si="9"/>
        <v>1950</v>
      </c>
      <c r="L15" s="117">
        <f t="shared" si="9"/>
        <v>128.96533613445379</v>
      </c>
      <c r="M15" s="120">
        <f t="shared" si="9"/>
        <v>15.25</v>
      </c>
      <c r="N15" s="120">
        <f t="shared" si="9"/>
        <v>1809.8864118691067</v>
      </c>
      <c r="O15" s="117">
        <f t="shared" si="9"/>
        <v>119.36594419948818</v>
      </c>
      <c r="P15" s="121">
        <f t="shared" ref="P15:P19" si="10">M15-J15</f>
        <v>0</v>
      </c>
      <c r="Q15" s="122">
        <f t="shared" ref="Q15:Q19" si="11">O15-L15</f>
        <v>-9.5993919349656096</v>
      </c>
      <c r="R15" s="123">
        <f t="shared" ref="R15:R19" si="12">O15/L15</f>
        <v>0.92556610774109338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-140.11358813089328</v>
      </c>
      <c r="AG15" s="124">
        <f t="shared" ref="AG15:AG19" si="14">N15/K15</f>
        <v>0.92814687788159322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3740</v>
      </c>
      <c r="H16" s="134">
        <f>F16*G16</f>
        <v>213965.4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9" si="15">K16/J16</f>
        <v>161.92307692307693</v>
      </c>
      <c r="M16" s="139">
        <v>13</v>
      </c>
      <c r="N16" s="140">
        <f t="shared" ref="N16:N19" si="16">G16/W16*60</f>
        <v>1700.0000000000121</v>
      </c>
      <c r="O16" s="141">
        <f>N16/M16</f>
        <v>130.76923076923168</v>
      </c>
      <c r="P16" s="142">
        <f>M16-J16</f>
        <v>0</v>
      </c>
      <c r="Q16" s="143">
        <f t="shared" si="11"/>
        <v>-31.153846153845251</v>
      </c>
      <c r="R16" s="144">
        <f>O16/L16</f>
        <v>0.80760095011877042</v>
      </c>
      <c r="S16" s="734">
        <f>R26</f>
        <v>0.90090102138818573</v>
      </c>
      <c r="T16" s="145">
        <v>0.29166666666666702</v>
      </c>
      <c r="U16" s="145">
        <v>0.38333333333333303</v>
      </c>
      <c r="V16" s="135"/>
      <c r="W16" s="146">
        <f t="shared" ref="W16:W78" si="17">(U16-T16)*24*60</f>
        <v>131.99999999999906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-404.99999999998795</v>
      </c>
      <c r="AG16" s="52">
        <f t="shared" si="14"/>
        <v>0.80760095011877053</v>
      </c>
      <c r="AH16" s="724">
        <f>AG26</f>
        <v>0.90090221932669301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2061</v>
      </c>
      <c r="H17" s="78">
        <f>F17*G17</f>
        <v>104430.87000000001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15"/>
        <v>153.84615384615384</v>
      </c>
      <c r="M17" s="148">
        <v>13</v>
      </c>
      <c r="N17" s="95">
        <f>G17/W17*60</f>
        <v>1873.6363636363769</v>
      </c>
      <c r="O17" s="96">
        <f t="shared" ref="O17:O19" si="18">N17/M17</f>
        <v>144.12587412587516</v>
      </c>
      <c r="P17" s="97">
        <f t="shared" si="10"/>
        <v>0</v>
      </c>
      <c r="Q17" s="98">
        <f t="shared" si="11"/>
        <v>-9.7202797202786826</v>
      </c>
      <c r="R17" s="99">
        <f t="shared" si="12"/>
        <v>0.93681818181818854</v>
      </c>
      <c r="S17" s="735"/>
      <c r="T17" s="19">
        <v>0.391666666666667</v>
      </c>
      <c r="U17" s="19">
        <v>0.4375</v>
      </c>
      <c r="V17" s="30">
        <f>(T17-U16)*24*60</f>
        <v>12.000000000000917</v>
      </c>
      <c r="W17" s="149">
        <f t="shared" si="17"/>
        <v>65.999999999999531</v>
      </c>
      <c r="X17" s="19"/>
      <c r="Y17" s="297"/>
      <c r="Z17" s="90"/>
      <c r="AA17" s="90"/>
      <c r="AB17" s="728" t="s">
        <v>116</v>
      </c>
      <c r="AC17" s="728"/>
      <c r="AD17" s="92">
        <v>1</v>
      </c>
      <c r="AE17" s="92">
        <v>1</v>
      </c>
      <c r="AF17" s="307">
        <f t="shared" si="13"/>
        <v>-126.36363636362307</v>
      </c>
      <c r="AG17" s="72">
        <f t="shared" si="14"/>
        <v>0.93681818181818843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1347</v>
      </c>
      <c r="H18" s="78">
        <f>F18*G18</f>
        <v>67875.33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1616.3999999999619</v>
      </c>
      <c r="O18" s="96">
        <f t="shared" si="18"/>
        <v>134.69999999999683</v>
      </c>
      <c r="P18" s="97">
        <f t="shared" si="10"/>
        <v>0</v>
      </c>
      <c r="Q18" s="98">
        <f t="shared" si="11"/>
        <v>-31.966666666669823</v>
      </c>
      <c r="R18" s="99">
        <f t="shared" si="12"/>
        <v>0.80819999999998104</v>
      </c>
      <c r="S18" s="735"/>
      <c r="T18" s="19">
        <v>0.44444444444444398</v>
      </c>
      <c r="U18" s="19">
        <v>0.47916666666666702</v>
      </c>
      <c r="V18" s="30">
        <f>(T18-U17)*24*60</f>
        <v>9.999999999999325</v>
      </c>
      <c r="W18" s="149">
        <f t="shared" si="17"/>
        <v>50.00000000000118</v>
      </c>
      <c r="X18" s="22">
        <v>0.48611111111111099</v>
      </c>
      <c r="Y18" s="84">
        <v>0.52777777777777801</v>
      </c>
      <c r="Z18" s="90"/>
      <c r="AA18" s="90"/>
      <c r="AB18" s="728" t="s">
        <v>116</v>
      </c>
      <c r="AC18" s="728"/>
      <c r="AD18" s="92">
        <v>1</v>
      </c>
      <c r="AE18" s="92">
        <v>1</v>
      </c>
      <c r="AF18" s="307">
        <f t="shared" si="13"/>
        <v>-383.60000000003811</v>
      </c>
      <c r="AG18" s="72">
        <f t="shared" si="14"/>
        <v>0.80819999999998093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3378</v>
      </c>
      <c r="H19" s="78">
        <f t="shared" ref="H19" si="19">F19*G19</f>
        <v>170217.42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5"/>
        <v>166.66666666666666</v>
      </c>
      <c r="M19" s="148">
        <v>12</v>
      </c>
      <c r="N19" s="95">
        <f t="shared" si="16"/>
        <v>1987.058823529419</v>
      </c>
      <c r="O19" s="96">
        <f t="shared" si="18"/>
        <v>165.58823529411825</v>
      </c>
      <c r="P19" s="97">
        <f t="shared" si="10"/>
        <v>0</v>
      </c>
      <c r="Q19" s="98">
        <f t="shared" si="11"/>
        <v>-1.0784313725484083</v>
      </c>
      <c r="R19" s="99">
        <f t="shared" si="12"/>
        <v>0.99352941176470955</v>
      </c>
      <c r="S19" s="735"/>
      <c r="T19" s="19">
        <v>0.54513888888888895</v>
      </c>
      <c r="U19" s="19">
        <v>0.61597222222222203</v>
      </c>
      <c r="V19" s="30">
        <f>(T19-U18)*24*60</f>
        <v>94.999999999999588</v>
      </c>
      <c r="W19" s="149">
        <f t="shared" si="17"/>
        <v>101.99999999999963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3"/>
        <v>-12.941176470581013</v>
      </c>
      <c r="AG19" s="72">
        <f t="shared" si="14"/>
        <v>0.99352941176470955</v>
      </c>
      <c r="AH19" s="726"/>
    </row>
    <row r="20" spans="1:34" ht="15" customHeight="1">
      <c r="A20" s="741"/>
      <c r="B20" s="75" t="s">
        <v>81</v>
      </c>
      <c r="C20" s="76"/>
      <c r="D20" s="59" t="s">
        <v>123</v>
      </c>
      <c r="E20" s="77"/>
      <c r="F20" s="75">
        <f>VLOOKUP(D20,廠價表!$C$1:$E$41,3,0)</f>
        <v>50.67</v>
      </c>
      <c r="G20" s="147">
        <v>1477</v>
      </c>
      <c r="H20" s="78">
        <f>F20*G20</f>
        <v>74839.59</v>
      </c>
      <c r="I20" s="30"/>
      <c r="J20" s="79">
        <f>VLOOKUP(D20,產線配置圖!$A$3:$C$39,2,0)</f>
        <v>13</v>
      </c>
      <c r="K20" s="80">
        <f>VLOOKUP(D20,產線配置圖!$A$3:$C$39,3,0)</f>
        <v>2000</v>
      </c>
      <c r="L20" s="81">
        <f>K20/J20</f>
        <v>153.84615384615384</v>
      </c>
      <c r="M20" s="148">
        <v>13</v>
      </c>
      <c r="N20" s="95">
        <f>G20/W20*60</f>
        <v>1926.5217391304618</v>
      </c>
      <c r="O20" s="96">
        <f>N20/M20</f>
        <v>148.19397993311244</v>
      </c>
      <c r="P20" s="97">
        <f>M20-J20</f>
        <v>0</v>
      </c>
      <c r="Q20" s="98">
        <f>O20-L20</f>
        <v>-5.6521739130413948</v>
      </c>
      <c r="R20" s="99">
        <f>O20/L20</f>
        <v>0.96326086956523094</v>
      </c>
      <c r="S20" s="735"/>
      <c r="T20" s="19">
        <v>0.62152777777777801</v>
      </c>
      <c r="U20" s="19">
        <v>0.65347222222222201</v>
      </c>
      <c r="V20" s="30">
        <f>(T20-U19)*24*60</f>
        <v>8.0000000000006111</v>
      </c>
      <c r="W20" s="149">
        <f t="shared" si="17"/>
        <v>45.999999999999361</v>
      </c>
      <c r="X20" s="19"/>
      <c r="Y20" s="297"/>
      <c r="Z20" s="90"/>
      <c r="AA20" s="90"/>
      <c r="AB20" s="728"/>
      <c r="AC20" s="728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V21" s="30"/>
      <c r="W21" s="149">
        <f>(U22-T21)*24*60</f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1">AVERAGE(J16:J25)</f>
        <v>12.6</v>
      </c>
      <c r="K26" s="155">
        <f t="shared" si="21"/>
        <v>2021</v>
      </c>
      <c r="L26" s="158">
        <f t="shared" si="21"/>
        <v>160.58974358974359</v>
      </c>
      <c r="M26" s="155">
        <f t="shared" si="21"/>
        <v>12.6</v>
      </c>
      <c r="N26" s="155">
        <f t="shared" si="21"/>
        <v>1820.7233852592465</v>
      </c>
      <c r="O26" s="158">
        <f t="shared" si="21"/>
        <v>144.67546402446686</v>
      </c>
      <c r="P26" s="159">
        <f t="shared" ref="P26:P31" si="22">M26-J26</f>
        <v>0</v>
      </c>
      <c r="Q26" s="160">
        <f t="shared" ref="Q26:Q31" si="23">O26-L26</f>
        <v>-15.914279565276729</v>
      </c>
      <c r="R26" s="161">
        <f>O26/L26</f>
        <v>0.90090102138818573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2</v>
      </c>
      <c r="AE26" s="323">
        <f>SUM(AE16:AE25)</f>
        <v>2</v>
      </c>
      <c r="AF26" s="309">
        <f t="shared" ref="AF26:AF31" si="24">N26-K26</f>
        <v>-200.27661474075353</v>
      </c>
      <c r="AG26" s="124">
        <f t="shared" ref="AG26:AG31" si="25">N26/K26</f>
        <v>0.90090221932669301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1667</v>
      </c>
      <c r="H27" s="134">
        <f>F27*G27</f>
        <v>95519.099999999991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1" si="26">K27/J27</f>
        <v>88.235294117647058</v>
      </c>
      <c r="M27" s="170">
        <v>16</v>
      </c>
      <c r="N27" s="140">
        <f>G27/W27*60</f>
        <v>1408.7323943662132</v>
      </c>
      <c r="O27" s="141">
        <f>N27/M27</f>
        <v>88.045774647888322</v>
      </c>
      <c r="P27" s="142">
        <f t="shared" si="22"/>
        <v>-1</v>
      </c>
      <c r="Q27" s="143">
        <f t="shared" si="23"/>
        <v>-0.18951946975873568</v>
      </c>
      <c r="R27" s="144">
        <f>O27/L27</f>
        <v>0.99785211267606766</v>
      </c>
      <c r="S27" s="734">
        <f>R37</f>
        <v>0.94656079264449822</v>
      </c>
      <c r="T27" s="171">
        <v>0.29027777777777802</v>
      </c>
      <c r="U27" s="171">
        <v>0.33958333333333302</v>
      </c>
      <c r="V27" s="135"/>
      <c r="W27" s="146">
        <f t="shared" si="17"/>
        <v>70.99999999999919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4"/>
        <v>-91.267605633786843</v>
      </c>
      <c r="AG27" s="172">
        <f t="shared" si="25"/>
        <v>0.93915492957747548</v>
      </c>
      <c r="AH27" s="724">
        <f>AG37</f>
        <v>0.83571855553523167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1661</v>
      </c>
      <c r="H28" s="91">
        <f>F28*G28</f>
        <v>91570.930000000008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6"/>
        <v>81.470588235294116</v>
      </c>
      <c r="M28" s="94">
        <v>15</v>
      </c>
      <c r="N28" s="95">
        <f>G28/W28*60</f>
        <v>1145.5172413793041</v>
      </c>
      <c r="O28" s="96">
        <f>N28/M28</f>
        <v>76.3678160919536</v>
      </c>
      <c r="P28" s="97">
        <f t="shared" si="22"/>
        <v>-2</v>
      </c>
      <c r="Q28" s="98">
        <f t="shared" si="23"/>
        <v>-5.1027721433405162</v>
      </c>
      <c r="R28" s="99">
        <f t="shared" ref="R28:R31" si="27">O28/L28</f>
        <v>0.93736669571350995</v>
      </c>
      <c r="S28" s="735"/>
      <c r="T28" s="19">
        <v>0.344444444444444</v>
      </c>
      <c r="U28" s="19">
        <v>0.40486111111111101</v>
      </c>
      <c r="V28" s="92">
        <f>(T28-U27)*24*60</f>
        <v>6.9999999999998153</v>
      </c>
      <c r="W28" s="149">
        <f t="shared" si="17"/>
        <v>87.000000000000483</v>
      </c>
      <c r="X28" s="174"/>
      <c r="Y28" s="301"/>
      <c r="Z28" s="335">
        <v>1</v>
      </c>
      <c r="AA28" s="335">
        <v>9</v>
      </c>
      <c r="AB28" s="713" t="s">
        <v>216</v>
      </c>
      <c r="AC28" s="713"/>
      <c r="AD28" s="92"/>
      <c r="AE28" s="92"/>
      <c r="AF28" s="311">
        <f t="shared" si="24"/>
        <v>-239.4827586206959</v>
      </c>
      <c r="AG28" s="99">
        <f t="shared" si="25"/>
        <v>0.82708826092368526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1526</v>
      </c>
      <c r="H29" s="91">
        <f>F29*G29</f>
        <v>75567.520000000004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6"/>
        <v>84.705882352941174</v>
      </c>
      <c r="M29" s="94">
        <v>14</v>
      </c>
      <c r="N29" s="95">
        <f>G29/W29*60</f>
        <v>1173.8461538461459</v>
      </c>
      <c r="O29" s="96">
        <f>N29/M29</f>
        <v>83.846153846153271</v>
      </c>
      <c r="P29" s="97">
        <f t="shared" si="22"/>
        <v>-3</v>
      </c>
      <c r="Q29" s="98">
        <f t="shared" si="23"/>
        <v>-0.8597285067879028</v>
      </c>
      <c r="R29" s="99">
        <f t="shared" si="27"/>
        <v>0.98985042735042061</v>
      </c>
      <c r="S29" s="735"/>
      <c r="T29" s="19">
        <v>0.40972222222222199</v>
      </c>
      <c r="U29" s="19">
        <v>0.46388888888888902</v>
      </c>
      <c r="V29" s="92">
        <f>(T29-U28)*24*60</f>
        <v>6.9999999999998153</v>
      </c>
      <c r="W29" s="149">
        <f t="shared" si="17"/>
        <v>78.000000000000526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4"/>
        <v>-266.15384615385415</v>
      </c>
      <c r="AG29" s="99">
        <f t="shared" si="25"/>
        <v>0.81517094017093461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680</v>
      </c>
      <c r="H30" s="91">
        <f t="shared" ref="H30:H31" si="28">F30*G30</f>
        <v>33673.599999999999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6"/>
        <v>84.705882352941174</v>
      </c>
      <c r="M30" s="94">
        <v>14</v>
      </c>
      <c r="N30" s="95">
        <f t="shared" ref="N30:N31" si="29">G30/W30*60</f>
        <v>1073.6842105263104</v>
      </c>
      <c r="O30" s="96">
        <f t="shared" ref="O30:O31" si="30">N30/M30</f>
        <v>76.691729323307882</v>
      </c>
      <c r="P30" s="97">
        <f t="shared" si="22"/>
        <v>-3</v>
      </c>
      <c r="Q30" s="98">
        <f t="shared" si="23"/>
        <v>-8.0141530296332917</v>
      </c>
      <c r="R30" s="99">
        <f t="shared" si="27"/>
        <v>0.9053884711779403</v>
      </c>
      <c r="S30" s="735"/>
      <c r="T30" s="19">
        <v>0.52638888888888902</v>
      </c>
      <c r="U30" s="19">
        <v>0.55277777777777803</v>
      </c>
      <c r="V30" s="92">
        <f>(T30-U29)*24*60</f>
        <v>90</v>
      </c>
      <c r="W30" s="149">
        <f t="shared" si="17"/>
        <v>38.000000000000185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24"/>
        <v>-366.31578947368962</v>
      </c>
      <c r="AG30" s="99">
        <f t="shared" si="25"/>
        <v>0.74561403508771551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3801</v>
      </c>
      <c r="H31" s="91">
        <f t="shared" si="28"/>
        <v>168384.3</v>
      </c>
      <c r="I31" s="92"/>
      <c r="J31" s="79">
        <v>17</v>
      </c>
      <c r="K31" s="80">
        <f>VLOOKUP(D31,產線配置圖!$A$3:$C$39,3,0)</f>
        <v>1440</v>
      </c>
      <c r="L31" s="93">
        <f t="shared" si="26"/>
        <v>84.705882352941174</v>
      </c>
      <c r="M31" s="94">
        <v>16</v>
      </c>
      <c r="N31" s="95">
        <f t="shared" si="29"/>
        <v>1219.5721925133701</v>
      </c>
      <c r="O31" s="96">
        <f t="shared" si="30"/>
        <v>76.223262032085628</v>
      </c>
      <c r="P31" s="97">
        <f t="shared" si="22"/>
        <v>-1</v>
      </c>
      <c r="Q31" s="98">
        <f t="shared" si="23"/>
        <v>-8.4826203208555455</v>
      </c>
      <c r="R31" s="99">
        <f t="shared" si="27"/>
        <v>0.89985795454545536</v>
      </c>
      <c r="S31" s="735"/>
      <c r="T31" s="19">
        <v>0.56111111111111101</v>
      </c>
      <c r="U31" s="19">
        <v>0.69097222222222199</v>
      </c>
      <c r="V31" s="92">
        <f>(T31-U30)*24*60</f>
        <v>11.999999999999478</v>
      </c>
      <c r="W31" s="149">
        <f t="shared" si="17"/>
        <v>186.99999999999983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24"/>
        <v>-220.42780748662994</v>
      </c>
      <c r="AG31" s="99">
        <f t="shared" si="25"/>
        <v>0.84692513368984035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>
        <v>0.72708333333333297</v>
      </c>
      <c r="U32" s="19">
        <v>0.73055555555555596</v>
      </c>
      <c r="V32" s="92"/>
      <c r="W32" s="149">
        <f t="shared" si="17"/>
        <v>5.0000000000011013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1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2">AVERAGE(J27:J36)</f>
        <v>17</v>
      </c>
      <c r="K37" s="155">
        <f t="shared" si="32"/>
        <v>1441</v>
      </c>
      <c r="L37" s="158">
        <f t="shared" si="32"/>
        <v>84.764705882352928</v>
      </c>
      <c r="M37" s="155">
        <f t="shared" si="32"/>
        <v>15</v>
      </c>
      <c r="N37" s="155">
        <f t="shared" si="32"/>
        <v>1204.2704385262689</v>
      </c>
      <c r="O37" s="158">
        <f t="shared" si="32"/>
        <v>80.234947188277744</v>
      </c>
      <c r="P37" s="159">
        <f>M37-J37</f>
        <v>-2</v>
      </c>
      <c r="Q37" s="160">
        <f>N37-K37</f>
        <v>-236.72956147373111</v>
      </c>
      <c r="R37" s="161">
        <f t="shared" ref="R37:R41" si="33">O37/L37</f>
        <v>0.94656079264449822</v>
      </c>
      <c r="S37" s="736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9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4">N37-K37</f>
        <v>-236.72956147373111</v>
      </c>
      <c r="AG37" s="124">
        <f t="shared" ref="AG37:AG41" si="35">N37/K37</f>
        <v>0.83571855553523167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1273</v>
      </c>
      <c r="H38" s="134">
        <f>F38*G38</f>
        <v>71835.39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6">K38/J38</f>
        <v>87.875</v>
      </c>
      <c r="M38" s="190">
        <v>14</v>
      </c>
      <c r="N38" s="140">
        <f>G38/W38*60</f>
        <v>1091.1428571428598</v>
      </c>
      <c r="O38" s="141">
        <f>N38/M38</f>
        <v>77.93877551020428</v>
      </c>
      <c r="P38" s="142">
        <f t="shared" ref="P38:P41" si="37">M38-J38</f>
        <v>-2</v>
      </c>
      <c r="Q38" s="143">
        <f t="shared" ref="Q38:Q41" si="38">O38-L38</f>
        <v>-9.9362244897957197</v>
      </c>
      <c r="R38" s="144">
        <f>O38/L38</f>
        <v>0.88692774407060349</v>
      </c>
      <c r="S38" s="756">
        <f>R48</f>
        <v>0.91420228060450082</v>
      </c>
      <c r="T38" s="191">
        <v>0.33333333333333298</v>
      </c>
      <c r="U38" s="191">
        <v>0.38194444444444398</v>
      </c>
      <c r="V38" s="192"/>
      <c r="W38" s="193">
        <f t="shared" si="17"/>
        <v>69.999999999999829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34"/>
        <v>-314.85714285714016</v>
      </c>
      <c r="AG38" s="195">
        <f t="shared" si="35"/>
        <v>0.77606177606177795</v>
      </c>
      <c r="AH38" s="746">
        <f>AG48</f>
        <v>0.80736536055070363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1399</v>
      </c>
      <c r="H39" s="91">
        <f>F39*G39</f>
        <v>69824.09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6"/>
        <v>92.058823529411768</v>
      </c>
      <c r="M39" s="201">
        <v>15</v>
      </c>
      <c r="N39" s="202">
        <f>G39/W39*60</f>
        <v>1149.863013698618</v>
      </c>
      <c r="O39" s="203">
        <f t="shared" ref="O39:O41" si="39">N39/M39</f>
        <v>76.657534246574542</v>
      </c>
      <c r="P39" s="97">
        <f t="shared" si="37"/>
        <v>-2</v>
      </c>
      <c r="Q39" s="98">
        <f t="shared" si="38"/>
        <v>-15.401289282837226</v>
      </c>
      <c r="R39" s="99">
        <f t="shared" si="33"/>
        <v>0.8327016499627905</v>
      </c>
      <c r="S39" s="757"/>
      <c r="T39" s="20">
        <v>0.38333333333333303</v>
      </c>
      <c r="U39" s="20">
        <v>0.43402777777777801</v>
      </c>
      <c r="V39" s="92">
        <f>(T39-U38)*24*60</f>
        <v>2.0000000000002327</v>
      </c>
      <c r="W39" s="205">
        <f t="shared" si="17"/>
        <v>73.000000000000782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4"/>
        <v>-415.13698630138197</v>
      </c>
      <c r="AG39" s="206">
        <f t="shared" si="35"/>
        <v>0.73473674996716809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1308</v>
      </c>
      <c r="H40" s="91">
        <f>F40*G40</f>
        <v>57944.399999999994</v>
      </c>
      <c r="I40" s="200"/>
      <c r="J40" s="148">
        <v>17</v>
      </c>
      <c r="K40" s="95">
        <f>VLOOKUP(D40,產線配置圖!$A$3:$C$39,3,0)</f>
        <v>1440</v>
      </c>
      <c r="L40" s="96">
        <f t="shared" si="36"/>
        <v>84.705882352941174</v>
      </c>
      <c r="M40" s="201">
        <v>14</v>
      </c>
      <c r="N40" s="202">
        <f>G40/W40*60</f>
        <v>1121.1428571428598</v>
      </c>
      <c r="O40" s="203">
        <f t="shared" si="39"/>
        <v>80.081632653061419</v>
      </c>
      <c r="P40" s="97">
        <f t="shared" si="37"/>
        <v>-3</v>
      </c>
      <c r="Q40" s="98">
        <f t="shared" si="38"/>
        <v>-4.6242496998797549</v>
      </c>
      <c r="R40" s="99">
        <f t="shared" si="33"/>
        <v>0.94540816326530841</v>
      </c>
      <c r="S40" s="719"/>
      <c r="T40" s="20">
        <v>0.44097222222222199</v>
      </c>
      <c r="U40" s="20">
        <v>0.48958333333333298</v>
      </c>
      <c r="V40" s="92">
        <f>(T40-U39)*24*60</f>
        <v>9.999999999999325</v>
      </c>
      <c r="W40" s="205">
        <f t="shared" si="17"/>
        <v>69.999999999999829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34"/>
        <v>-318.85714285714016</v>
      </c>
      <c r="AG40" s="206">
        <f t="shared" si="35"/>
        <v>0.77857142857143047</v>
      </c>
      <c r="AH40" s="747"/>
    </row>
    <row r="41" spans="1:34" ht="15" customHeight="1">
      <c r="A41" s="754"/>
      <c r="B41" s="75" t="s">
        <v>117</v>
      </c>
      <c r="C41" s="207"/>
      <c r="D41" s="198" t="s">
        <v>133</v>
      </c>
      <c r="E41" s="178"/>
      <c r="F41" s="75">
        <f>VLOOKUP(D41,廠價表!$C$1:$E$41,3,0)</f>
        <v>49.91</v>
      </c>
      <c r="G41" s="199">
        <v>1097</v>
      </c>
      <c r="H41" s="91">
        <f>F41*G41</f>
        <v>54751.27</v>
      </c>
      <c r="I41" s="200"/>
      <c r="J41" s="148">
        <f>VLOOKUP(D41,產線配置圖!$A$3:$C$39,2,0)</f>
        <v>17</v>
      </c>
      <c r="K41" s="95">
        <f>VLOOKUP(D41,產線配置圖!$A$3:$C$39,3,0)</f>
        <v>1565</v>
      </c>
      <c r="L41" s="96">
        <f t="shared" si="36"/>
        <v>92.058823529411768</v>
      </c>
      <c r="M41" s="201">
        <v>16</v>
      </c>
      <c r="N41" s="202">
        <f>G41/W41*60</f>
        <v>1462.6666666666665</v>
      </c>
      <c r="O41" s="203">
        <f t="shared" si="39"/>
        <v>91.416666666666657</v>
      </c>
      <c r="P41" s="97">
        <f t="shared" si="37"/>
        <v>-1</v>
      </c>
      <c r="Q41" s="98">
        <f t="shared" si="38"/>
        <v>-0.64215686274511086</v>
      </c>
      <c r="R41" s="99">
        <f t="shared" si="33"/>
        <v>0.99302449414270488</v>
      </c>
      <c r="S41" s="719"/>
      <c r="T41" s="20">
        <v>0.57638888888888895</v>
      </c>
      <c r="U41" s="210">
        <v>0.60763888888888895</v>
      </c>
      <c r="V41" s="92"/>
      <c r="W41" s="205">
        <f t="shared" si="17"/>
        <v>45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34"/>
        <v>-102.33333333333348</v>
      </c>
      <c r="AG41" s="206">
        <f t="shared" si="35"/>
        <v>0.93461128860489873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0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0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0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1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0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1">AVERAGE(J38:J47)</f>
        <v>16.75</v>
      </c>
      <c r="K48" s="155">
        <f t="shared" si="41"/>
        <v>1494</v>
      </c>
      <c r="L48" s="158">
        <f t="shared" si="41"/>
        <v>89.174632352941174</v>
      </c>
      <c r="M48" s="155">
        <f t="shared" si="41"/>
        <v>14.75</v>
      </c>
      <c r="N48" s="155">
        <f t="shared" si="41"/>
        <v>1206.2038486627512</v>
      </c>
      <c r="O48" s="158">
        <f t="shared" si="41"/>
        <v>81.523652269126728</v>
      </c>
      <c r="P48" s="221">
        <f>M48-J48</f>
        <v>-2</v>
      </c>
      <c r="Q48" s="222">
        <f>N48-K48</f>
        <v>-287.79615133724883</v>
      </c>
      <c r="R48" s="223">
        <f>O48/L48</f>
        <v>0.91420228060450082</v>
      </c>
      <c r="S48" s="722"/>
      <c r="T48" s="224"/>
      <c r="U48" s="224"/>
      <c r="V48" s="225"/>
      <c r="W48" s="226">
        <f t="shared" si="40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2">N48-K48</f>
        <v>-287.79615133724883</v>
      </c>
      <c r="AG48" s="162">
        <f t="shared" ref="AG48:AG53" si="43">N48/K48</f>
        <v>0.80736536055070363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1324</v>
      </c>
      <c r="H49" s="134">
        <f>F49*G49</f>
        <v>75295.87999999999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4">K49/J49</f>
        <v>86.944444444444443</v>
      </c>
      <c r="M49" s="170">
        <v>17</v>
      </c>
      <c r="N49" s="140">
        <f>G49/W49*60</f>
        <v>1471.1111111111097</v>
      </c>
      <c r="O49" s="141">
        <f>N49/M49</f>
        <v>86.535947712418221</v>
      </c>
      <c r="P49" s="229">
        <f>M49-J49</f>
        <v>-1</v>
      </c>
      <c r="Q49" s="230">
        <f>O49-L49</f>
        <v>-0.40849673202622228</v>
      </c>
      <c r="R49" s="52">
        <f>O49/L49</f>
        <v>0.99530163503100832</v>
      </c>
      <c r="S49" s="718">
        <f>R58</f>
        <v>0.96688125163209393</v>
      </c>
      <c r="T49" s="191">
        <v>0.28888888888888897</v>
      </c>
      <c r="U49" s="191">
        <v>0.32638888888888901</v>
      </c>
      <c r="V49" s="55"/>
      <c r="W49" s="193">
        <f t="shared" si="17"/>
        <v>54.00000000000005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2"/>
        <v>-93.888888888890278</v>
      </c>
      <c r="AG49" s="52">
        <f t="shared" si="43"/>
        <v>0.94000709975150776</v>
      </c>
      <c r="AH49" s="724">
        <f>AG58</f>
        <v>0.95136701421955183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2615</v>
      </c>
      <c r="H50" s="231">
        <f>F50*G50</f>
        <v>124761.65000000001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44"/>
        <v>102.85714285714286</v>
      </c>
      <c r="M50" s="233">
        <v>14</v>
      </c>
      <c r="N50" s="234">
        <f>G50/W50*60</f>
        <v>1426.363636363634</v>
      </c>
      <c r="O50" s="235">
        <f>N50/M50</f>
        <v>101.88311688311671</v>
      </c>
      <c r="P50" s="74">
        <f>M50-J50</f>
        <v>0</v>
      </c>
      <c r="Q50" s="83">
        <f>O50-L50</f>
        <v>-0.97402597402614788</v>
      </c>
      <c r="R50" s="72">
        <f>O50/L50</f>
        <v>0.99053030303030132</v>
      </c>
      <c r="S50" s="719"/>
      <c r="T50" s="21">
        <v>0.33194444444444399</v>
      </c>
      <c r="U50" s="21">
        <v>0.40833333333333299</v>
      </c>
      <c r="V50" s="30">
        <f t="shared" ref="V50:V52" si="45">(T50-U49)*24*60</f>
        <v>7.9999999999991722</v>
      </c>
      <c r="W50" s="236">
        <f t="shared" si="17"/>
        <v>110.00000000000017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2"/>
        <v>-13.636363636366013</v>
      </c>
      <c r="AG50" s="72">
        <f t="shared" si="43"/>
        <v>0.99053030303030143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2275</v>
      </c>
      <c r="H51" s="231">
        <f>F51*G51</f>
        <v>113681.75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4"/>
        <v>88.888888888888886</v>
      </c>
      <c r="M51" s="233">
        <v>18</v>
      </c>
      <c r="N51" s="234">
        <f>G51/W51*60</f>
        <v>1516.6666666666667</v>
      </c>
      <c r="O51" s="235">
        <f>N51/M51</f>
        <v>84.259259259259267</v>
      </c>
      <c r="P51" s="74">
        <f>M51-J51</f>
        <v>0</v>
      </c>
      <c r="Q51" s="83">
        <f>O51-L51</f>
        <v>-4.6296296296296191</v>
      </c>
      <c r="R51" s="72">
        <f>O51/L51</f>
        <v>0.94791666666666674</v>
      </c>
      <c r="S51" s="719"/>
      <c r="T51" s="21">
        <v>0.41527777777777802</v>
      </c>
      <c r="U51" s="19">
        <v>0.47777777777777802</v>
      </c>
      <c r="V51" s="30">
        <f t="shared" si="45"/>
        <v>10.000000000000844</v>
      </c>
      <c r="W51" s="236">
        <f t="shared" si="17"/>
        <v>90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2"/>
        <v>-83.333333333333258</v>
      </c>
      <c r="AG51" s="72">
        <f t="shared" si="43"/>
        <v>0.94791666666666674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2730</v>
      </c>
      <c r="H52" s="231">
        <f>F52*G52</f>
        <v>136418.1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4"/>
        <v>88.888888888888886</v>
      </c>
      <c r="M52" s="233">
        <v>18</v>
      </c>
      <c r="N52" s="234">
        <f>G52/W52*60</f>
        <v>1489.0909090909079</v>
      </c>
      <c r="O52" s="235">
        <f>N52/M52</f>
        <v>82.727272727272663</v>
      </c>
      <c r="P52" s="74">
        <f>M52-J52</f>
        <v>0</v>
      </c>
      <c r="Q52" s="83">
        <f>O52-L52</f>
        <v>-6.1616161616162231</v>
      </c>
      <c r="R52" s="72">
        <f>O52/L52</f>
        <v>0.9306818181818175</v>
      </c>
      <c r="S52" s="719"/>
      <c r="T52" s="21">
        <v>0.52777777777777801</v>
      </c>
      <c r="U52" s="21">
        <v>0.60416666666666696</v>
      </c>
      <c r="V52" s="30">
        <f t="shared" si="45"/>
        <v>71.999999999999986</v>
      </c>
      <c r="W52" s="236">
        <f t="shared" si="17"/>
        <v>110.00000000000009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2"/>
        <v>-110.90909090909213</v>
      </c>
      <c r="AG52" s="72">
        <f t="shared" si="43"/>
        <v>0.93068181818181739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2"/>
        <v>0</v>
      </c>
      <c r="AG53" s="72" t="e">
        <f t="shared" si="43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46">AVERAGE(J49:J57)</f>
        <v>17</v>
      </c>
      <c r="K58" s="120">
        <f t="shared" si="46"/>
        <v>1551.25</v>
      </c>
      <c r="L58" s="117">
        <f t="shared" si="46"/>
        <v>91.894841269841265</v>
      </c>
      <c r="M58" s="120">
        <f t="shared" si="46"/>
        <v>16.75</v>
      </c>
      <c r="N58" s="120">
        <f t="shared" si="46"/>
        <v>1475.8080808080797</v>
      </c>
      <c r="O58" s="117">
        <f t="shared" si="46"/>
        <v>88.851399145516723</v>
      </c>
      <c r="P58" s="121">
        <f>M58-J58</f>
        <v>-0.25</v>
      </c>
      <c r="Q58" s="122">
        <f>N58-K58</f>
        <v>-75.441919191920306</v>
      </c>
      <c r="R58" s="123">
        <f t="shared" ref="R58:R60" si="47">O58/L58</f>
        <v>0.96688125163209393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48">N58-K58</f>
        <v>-75.441919191920306</v>
      </c>
      <c r="AG58" s="124">
        <f t="shared" ref="AG58:AG61" si="49">N58/K58</f>
        <v>0.95136701421955183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3186</v>
      </c>
      <c r="H59" s="243">
        <f>F59*G59</f>
        <v>85990.14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4" si="50">K59/J59</f>
        <v>120.38461538461539</v>
      </c>
      <c r="M59" s="244">
        <v>13</v>
      </c>
      <c r="N59" s="137">
        <f t="shared" ref="N59:N64" si="51">G59/W59*60</f>
        <v>1529.2800000000102</v>
      </c>
      <c r="O59" s="138">
        <f t="shared" ref="O59:O64" si="52">N59/M59</f>
        <v>117.63692307692386</v>
      </c>
      <c r="P59" s="56">
        <f t="shared" ref="P59:P64" si="53">M59-J59</f>
        <v>0</v>
      </c>
      <c r="Q59" s="230">
        <f t="shared" ref="Q59:Q64" si="54">O59-L59</f>
        <v>-2.7476923076915227</v>
      </c>
      <c r="R59" s="52">
        <f t="shared" si="47"/>
        <v>0.97717571884984677</v>
      </c>
      <c r="S59" s="718">
        <f>R69</f>
        <v>0.91587028838776385</v>
      </c>
      <c r="T59" s="245">
        <v>0.29166666666666702</v>
      </c>
      <c r="U59" s="245">
        <v>0.37847222222222199</v>
      </c>
      <c r="V59" s="55"/>
      <c r="W59" s="54">
        <f t="shared" si="17"/>
        <v>124.99999999999916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48"/>
        <v>-35.719999999989795</v>
      </c>
      <c r="AG59" s="246">
        <f t="shared" si="49"/>
        <v>0.97717571884984677</v>
      </c>
      <c r="AH59" s="724">
        <f>AG69</f>
        <v>0.90491432867076782</v>
      </c>
    </row>
    <row r="60" spans="1:34" ht="15" customHeight="1">
      <c r="A60" s="765"/>
      <c r="B60" s="75" t="s">
        <v>135</v>
      </c>
      <c r="C60" s="86"/>
      <c r="D60" s="175" t="s">
        <v>138</v>
      </c>
      <c r="E60" s="87"/>
      <c r="F60" s="75">
        <f>VLOOKUP(D60,廠價表!$C$1:$E$41,3,0)</f>
        <v>28.26</v>
      </c>
      <c r="G60" s="30">
        <v>1729</v>
      </c>
      <c r="H60" s="78">
        <f>F60*G60</f>
        <v>48861.54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0"/>
        <v>130.41666666666666</v>
      </c>
      <c r="M60" s="82">
        <v>12</v>
      </c>
      <c r="N60" s="80">
        <f t="shared" si="51"/>
        <v>1525.5882352941251</v>
      </c>
      <c r="O60" s="81">
        <f t="shared" si="52"/>
        <v>127.13235294117709</v>
      </c>
      <c r="P60" s="74">
        <f t="shared" si="53"/>
        <v>0</v>
      </c>
      <c r="Q60" s="83">
        <f t="shared" si="54"/>
        <v>-3.284313725489568</v>
      </c>
      <c r="R60" s="72">
        <f t="shared" si="47"/>
        <v>0.97481676376621418</v>
      </c>
      <c r="S60" s="768"/>
      <c r="T60" s="22">
        <v>0.38888888888888901</v>
      </c>
      <c r="U60" s="22">
        <v>0.43611111111111101</v>
      </c>
      <c r="V60" s="30">
        <f t="shared" ref="V60:V64" si="55">(T60-U59)*24*60</f>
        <v>15.000000000000506</v>
      </c>
      <c r="W60" s="248">
        <f t="shared" si="17"/>
        <v>67.999999999999673</v>
      </c>
      <c r="X60" s="232"/>
      <c r="Y60" s="177"/>
      <c r="Z60" s="90"/>
      <c r="AA60" s="90"/>
      <c r="AB60" s="713"/>
      <c r="AC60" s="713"/>
      <c r="AD60" s="92"/>
      <c r="AE60" s="92"/>
      <c r="AF60" s="316">
        <f t="shared" si="48"/>
        <v>-39.41176470587493</v>
      </c>
      <c r="AG60" s="249">
        <f t="shared" si="49"/>
        <v>0.97481676376621407</v>
      </c>
      <c r="AH60" s="759"/>
    </row>
    <row r="61" spans="1:34" ht="15" customHeight="1">
      <c r="A61" s="766"/>
      <c r="B61" s="250" t="s">
        <v>135</v>
      </c>
      <c r="C61" s="251"/>
      <c r="D61" s="252" t="s">
        <v>137</v>
      </c>
      <c r="E61" s="253"/>
      <c r="F61" s="250">
        <f>VLOOKUP(D61,廠價表!$C$1:$E$41,3,0)</f>
        <v>28.47</v>
      </c>
      <c r="G61" s="38">
        <v>455</v>
      </c>
      <c r="H61" s="254">
        <f>F61*G61</f>
        <v>12953.85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0"/>
        <v>130.41666666666666</v>
      </c>
      <c r="M61" s="108">
        <v>12</v>
      </c>
      <c r="N61" s="107">
        <f t="shared" si="51"/>
        <v>1364.9999999999882</v>
      </c>
      <c r="O61" s="238">
        <f t="shared" si="52"/>
        <v>113.74999999999902</v>
      </c>
      <c r="P61" s="111">
        <f t="shared" si="53"/>
        <v>0</v>
      </c>
      <c r="Q61" s="255">
        <f t="shared" si="54"/>
        <v>-16.666666666667638</v>
      </c>
      <c r="R61" s="85">
        <f>O61/L61</f>
        <v>0.87220447284344305</v>
      </c>
      <c r="S61" s="719"/>
      <c r="T61" s="22">
        <v>0.44097222222222199</v>
      </c>
      <c r="U61" s="22">
        <v>0.45486111111111099</v>
      </c>
      <c r="V61" s="30">
        <f t="shared" si="55"/>
        <v>6.9999999999998153</v>
      </c>
      <c r="W61" s="256">
        <f t="shared" si="17"/>
        <v>20.000000000000171</v>
      </c>
      <c r="X61" s="22"/>
      <c r="Y61" s="84"/>
      <c r="Z61" s="90"/>
      <c r="AA61" s="90"/>
      <c r="AB61" s="713" t="s">
        <v>146</v>
      </c>
      <c r="AC61" s="713"/>
      <c r="AD61" s="92"/>
      <c r="AE61" s="92"/>
      <c r="AF61" s="317">
        <f t="shared" si="48"/>
        <v>-200.00000000001182</v>
      </c>
      <c r="AG61" s="247">
        <f t="shared" si="49"/>
        <v>0.87220447284344294</v>
      </c>
      <c r="AH61" s="725"/>
    </row>
    <row r="62" spans="1:34" ht="15" customHeight="1">
      <c r="A62" s="766"/>
      <c r="B62" s="250" t="s">
        <v>135</v>
      </c>
      <c r="C62" s="251"/>
      <c r="D62" s="257" t="s">
        <v>196</v>
      </c>
      <c r="E62" s="253"/>
      <c r="F62" s="250">
        <f>VLOOKUP(D62,廠價表!$C$1:$E$41,3,0)</f>
        <v>28.26</v>
      </c>
      <c r="G62" s="38">
        <v>1320</v>
      </c>
      <c r="H62" s="254">
        <f t="shared" ref="H62:H64" si="56">F62*G62</f>
        <v>37303.200000000004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0"/>
        <v>130.41666666666666</v>
      </c>
      <c r="M62" s="108">
        <v>12</v>
      </c>
      <c r="N62" s="107">
        <f t="shared" si="51"/>
        <v>1440.0000000000177</v>
      </c>
      <c r="O62" s="238">
        <f t="shared" si="52"/>
        <v>120.00000000000148</v>
      </c>
      <c r="P62" s="111">
        <f t="shared" si="53"/>
        <v>0</v>
      </c>
      <c r="Q62" s="255">
        <f t="shared" si="54"/>
        <v>-10.416666666665179</v>
      </c>
      <c r="R62" s="85">
        <f t="shared" ref="R62:R64" si="57">O62/L62</f>
        <v>0.92012779552716795</v>
      </c>
      <c r="S62" s="719"/>
      <c r="T62" s="22">
        <v>0.46527777777777801</v>
      </c>
      <c r="U62" s="22">
        <v>0.50347222222222199</v>
      </c>
      <c r="V62" s="30">
        <f t="shared" si="55"/>
        <v>15.000000000000506</v>
      </c>
      <c r="W62" s="248">
        <f t="shared" si="17"/>
        <v>54.999999999999325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-124.99999999998226</v>
      </c>
      <c r="AG62" s="247">
        <f>N62/K62</f>
        <v>0.92012779552716784</v>
      </c>
      <c r="AH62" s="725"/>
    </row>
    <row r="63" spans="1:34" ht="15" customHeight="1">
      <c r="A63" s="766"/>
      <c r="B63" s="258" t="s">
        <v>135</v>
      </c>
      <c r="C63" s="58"/>
      <c r="D63" s="259" t="s">
        <v>196</v>
      </c>
      <c r="E63" s="60"/>
      <c r="F63" s="250">
        <f>VLOOKUP(D63,廠價表!$C$1:$E$41,3,0)</f>
        <v>28.26</v>
      </c>
      <c r="G63" s="260">
        <v>1905</v>
      </c>
      <c r="H63" s="254">
        <f t="shared" si="56"/>
        <v>53835.3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 t="shared" si="50"/>
        <v>130.41666666666666</v>
      </c>
      <c r="M63" s="68">
        <v>12</v>
      </c>
      <c r="N63" s="107">
        <f t="shared" si="51"/>
        <v>1344.7058823529587</v>
      </c>
      <c r="O63" s="238">
        <f t="shared" si="52"/>
        <v>112.05882352941323</v>
      </c>
      <c r="P63" s="111">
        <f t="shared" si="53"/>
        <v>0</v>
      </c>
      <c r="Q63" s="255">
        <f t="shared" si="54"/>
        <v>-18.357843137253425</v>
      </c>
      <c r="R63" s="85">
        <f t="shared" si="57"/>
        <v>0.85923698552904726</v>
      </c>
      <c r="S63" s="719"/>
      <c r="T63" s="22">
        <v>0.57291666666666696</v>
      </c>
      <c r="U63" s="22">
        <v>0.63194444444444398</v>
      </c>
      <c r="V63" s="30">
        <f t="shared" si="55"/>
        <v>100.00000000000077</v>
      </c>
      <c r="W63" s="248">
        <f t="shared" si="17"/>
        <v>84.999999999998892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 t="s">
        <v>135</v>
      </c>
      <c r="C64" s="76"/>
      <c r="D64" s="175" t="s">
        <v>136</v>
      </c>
      <c r="E64" s="77"/>
      <c r="F64" s="250">
        <f>VLOOKUP(D64,廠價表!$C$1:$E$41,3,0)</f>
        <v>26.99</v>
      </c>
      <c r="G64" s="30">
        <v>754</v>
      </c>
      <c r="H64" s="254">
        <f t="shared" si="56"/>
        <v>20350.46</v>
      </c>
      <c r="I64" s="182"/>
      <c r="J64" s="106">
        <f>VLOOKUP(D64,產線配置圖!$A$3:$C$39,2,0)</f>
        <v>13</v>
      </c>
      <c r="K64" s="107">
        <f>VLOOKUP(D64,產線配置圖!$A$3:$C$39,3,0)</f>
        <v>1565</v>
      </c>
      <c r="L64" s="238">
        <f t="shared" si="50"/>
        <v>120.38461538461539</v>
      </c>
      <c r="M64" s="82">
        <v>12</v>
      </c>
      <c r="N64" s="107">
        <f t="shared" si="51"/>
        <v>1292.5714285714098</v>
      </c>
      <c r="O64" s="238">
        <f t="shared" si="52"/>
        <v>107.71428571428415</v>
      </c>
      <c r="P64" s="111">
        <f t="shared" si="53"/>
        <v>-1</v>
      </c>
      <c r="Q64" s="255">
        <f t="shared" si="54"/>
        <v>-12.670329670331242</v>
      </c>
      <c r="R64" s="85">
        <f t="shared" si="57"/>
        <v>0.89475125513462861</v>
      </c>
      <c r="S64" s="719"/>
      <c r="T64" s="22">
        <v>0.64236111111111105</v>
      </c>
      <c r="U64" s="22">
        <v>0.66666666666666696</v>
      </c>
      <c r="V64" s="30">
        <f t="shared" si="55"/>
        <v>15.000000000000586</v>
      </c>
      <c r="W64" s="73">
        <f t="shared" si="17"/>
        <v>35.000000000000512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58">AVERAGE(J59:J68)</f>
        <v>12.333333333333334</v>
      </c>
      <c r="K69" s="240">
        <f t="shared" si="58"/>
        <v>1565</v>
      </c>
      <c r="L69" s="268">
        <f t="shared" si="58"/>
        <v>127.07264957264955</v>
      </c>
      <c r="M69" s="240">
        <f t="shared" si="58"/>
        <v>12.166666666666666</v>
      </c>
      <c r="N69" s="240">
        <f t="shared" si="58"/>
        <v>1416.1909243697517</v>
      </c>
      <c r="O69" s="268">
        <f t="shared" si="58"/>
        <v>116.3820642102998</v>
      </c>
      <c r="P69" s="269">
        <f>M69-J69</f>
        <v>-0.16666666666666785</v>
      </c>
      <c r="Q69" s="222">
        <f>N69-K69</f>
        <v>-148.80907563024834</v>
      </c>
      <c r="R69" s="123">
        <f>O69/L69</f>
        <v>0.91587028838776385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-148.80907563024834</v>
      </c>
      <c r="AG69" s="124">
        <f>N69/K69</f>
        <v>0.90491432867076782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1759</v>
      </c>
      <c r="H70" s="243">
        <f>F70*G70</f>
        <v>89128.53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1088.0412371133871</v>
      </c>
      <c r="O70" s="138">
        <f>N70/M70</f>
        <v>108.8041237113387</v>
      </c>
      <c r="P70" s="56">
        <f>M70-J70</f>
        <v>0</v>
      </c>
      <c r="Q70" s="230">
        <f>O70-L70</f>
        <v>-3.6958762886612959</v>
      </c>
      <c r="R70" s="52">
        <f>O70/L70</f>
        <v>0.96714776632301069</v>
      </c>
      <c r="S70" s="718">
        <f>R79</f>
        <v>0.89246277205039393</v>
      </c>
      <c r="T70" s="245">
        <v>0.39444444444444399</v>
      </c>
      <c r="U70" s="245">
        <v>0.46180555555555602</v>
      </c>
      <c r="V70" s="55"/>
      <c r="W70" s="54">
        <f t="shared" si="17"/>
        <v>97.000000000001336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-36.958762886612931</v>
      </c>
      <c r="AG70" s="246">
        <f>N70/K70</f>
        <v>0.96714776632301069</v>
      </c>
      <c r="AH70" s="724">
        <f>AG79</f>
        <v>0.89246277205039393</v>
      </c>
    </row>
    <row r="71" spans="1:36" ht="15" customHeight="1">
      <c r="A71" s="761"/>
      <c r="B71" s="75" t="s">
        <v>81</v>
      </c>
      <c r="C71" s="76"/>
      <c r="D71" s="59" t="s">
        <v>139</v>
      </c>
      <c r="E71" s="77"/>
      <c r="F71" s="250">
        <f>VLOOKUP(D71,廠價表!$C$1:$E$41,3,0)</f>
        <v>50.67</v>
      </c>
      <c r="G71" s="30">
        <v>1104</v>
      </c>
      <c r="H71" s="254">
        <f>F71*G71</f>
        <v>55939.68</v>
      </c>
      <c r="I71" s="232"/>
      <c r="J71" s="106">
        <f>VLOOKUP(D71,產線配置圖!$A$3:$C$39,2,0)</f>
        <v>10</v>
      </c>
      <c r="K71" s="107">
        <f>VLOOKUP(D71,產線配置圖!$A$3:$C$39,3,0)</f>
        <v>1125</v>
      </c>
      <c r="L71" s="238">
        <f>K71/J71</f>
        <v>112.5</v>
      </c>
      <c r="M71" s="82">
        <v>10</v>
      </c>
      <c r="N71" s="107">
        <f>G71/W71*60</f>
        <v>919.99999999999932</v>
      </c>
      <c r="O71" s="238">
        <f>N71/M71</f>
        <v>91.999999999999929</v>
      </c>
      <c r="P71" s="111">
        <f>M71-J71</f>
        <v>0</v>
      </c>
      <c r="Q71" s="255">
        <f>O71-L71</f>
        <v>-20.500000000000071</v>
      </c>
      <c r="R71" s="85">
        <f>O71/L71</f>
        <v>0.81777777777777716</v>
      </c>
      <c r="S71" s="719"/>
      <c r="T71" s="22">
        <v>0.56805555555555598</v>
      </c>
      <c r="U71" s="22">
        <v>0.61805555555555602</v>
      </c>
      <c r="V71" s="30"/>
      <c r="W71" s="73">
        <f t="shared" si="17"/>
        <v>72.000000000000057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59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59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59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59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0">AVERAGE(J70:J78)</f>
        <v>10</v>
      </c>
      <c r="K79" s="240">
        <f t="shared" si="60"/>
        <v>1125</v>
      </c>
      <c r="L79" s="268">
        <f t="shared" si="60"/>
        <v>112.5</v>
      </c>
      <c r="M79" s="240">
        <f t="shared" si="60"/>
        <v>10</v>
      </c>
      <c r="N79" s="240">
        <f t="shared" si="60"/>
        <v>1004.0206185566932</v>
      </c>
      <c r="O79" s="268">
        <f t="shared" si="60"/>
        <v>100.40206185566932</v>
      </c>
      <c r="P79" s="269">
        <f>M79-J79</f>
        <v>0</v>
      </c>
      <c r="Q79" s="222">
        <f>N79-K79</f>
        <v>-120.97938144330681</v>
      </c>
      <c r="R79" s="223">
        <f>O79/L79</f>
        <v>0.89246277205039393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-120.97938144330681</v>
      </c>
      <c r="AG79" s="124">
        <f>N79/K79</f>
        <v>0.89246277205039393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84" priority="1" operator="greaterThan">
      <formula>0</formula>
    </cfRule>
  </conditionalFormatting>
  <conditionalFormatting sqref="Q5:Q79 AF5:AF79">
    <cfRule type="cellIs" dxfId="83" priority="4" operator="lessThan">
      <formula>0</formula>
    </cfRule>
  </conditionalFormatting>
  <conditionalFormatting sqref="R5:R79 AG5:AG79">
    <cfRule type="cellIs" dxfId="82" priority="2" operator="greaterThan">
      <formula>1</formula>
    </cfRule>
    <cfRule type="cellIs" dxfId="81" priority="3" operator="lessThan">
      <formula>0.8</formula>
    </cfRule>
  </conditionalFormatting>
  <conditionalFormatting sqref="S5:S10 S37:S62 AH59:AH62 S69:S76 AH69:AH76">
    <cfRule type="cellIs" dxfId="80" priority="7" operator="lessThan">
      <formula>0.8</formula>
    </cfRule>
  </conditionalFormatting>
  <conditionalFormatting sqref="S19:S25 AH19:AH25">
    <cfRule type="cellIs" dxfId="79" priority="6" operator="lessThan">
      <formula>0.8</formula>
    </cfRule>
  </conditionalFormatting>
  <conditionalFormatting sqref="S79">
    <cfRule type="cellIs" dxfId="78" priority="5" operator="lessThan">
      <formula>0.8</formula>
    </cfRule>
  </conditionalFormatting>
  <conditionalFormatting sqref="AH5:AH8 S15:S16 AH15:AH16 AH49 AH79">
    <cfRule type="cellIs" dxfId="77" priority="9" operator="lessThan">
      <formula>0.8</formula>
    </cfRule>
  </conditionalFormatting>
  <conditionalFormatting sqref="AH27 S27:S28">
    <cfRule type="cellIs" dxfId="76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097CF9-FBB2-4579-BB15-F379417725C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AF75-FA99-4D18-896E-8FB1254A5F6B}">
  <dimension ref="B1:O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46050</v>
      </c>
      <c r="E3" s="645"/>
      <c r="F3" s="3" t="s">
        <v>72</v>
      </c>
      <c r="G3" s="646">
        <f>'0128'!E1</f>
        <v>54168</v>
      </c>
      <c r="H3" s="646"/>
      <c r="I3" s="3" t="s">
        <v>2</v>
      </c>
      <c r="J3" s="647">
        <f>'0128'!G1</f>
        <v>2580113.879999999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113.85728650434531</v>
      </c>
      <c r="G6" s="652"/>
      <c r="H6" s="653">
        <f>AVERAGE(D13:H13,J13)</f>
        <v>111.43179152002681</v>
      </c>
      <c r="I6" s="653"/>
      <c r="J6" s="653">
        <f>AVERAGE(I13)</f>
        <v>128.41025641025641</v>
      </c>
      <c r="K6" s="653"/>
      <c r="L6" s="769">
        <f>SUM(D18:J18)</f>
        <v>1</v>
      </c>
      <c r="M6" s="656">
        <f>SUM(D19:J19)</f>
        <v>7</v>
      </c>
      <c r="N6" s="771">
        <f>SUM(D20:J20)</f>
        <v>3</v>
      </c>
      <c r="O6" s="656">
        <f>SUM(D20:J20)</f>
        <v>3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104.23634618181551</v>
      </c>
      <c r="G7" s="676"/>
      <c r="H7" s="677">
        <f>AVERAGE(D14:H14,J14)</f>
        <v>102.79199595337688</v>
      </c>
      <c r="I7" s="677"/>
      <c r="J7" s="677">
        <f>AVERAGE(I14)</f>
        <v>112.90244755244728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0.91550000339975934</v>
      </c>
      <c r="G8" s="649"/>
      <c r="H8" s="649">
        <f>H7/H6</f>
        <v>0.92246561372840208</v>
      </c>
      <c r="I8" s="649"/>
      <c r="J8" s="649">
        <f>J7/J6</f>
        <v>0.87923231919837141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VALUE('0128'!L15)</f>
        <v>128.96533613445379</v>
      </c>
      <c r="E13" s="13">
        <f>VALUE('0128'!L26)</f>
        <v>162.2051282051282</v>
      </c>
      <c r="F13" s="13">
        <f>VALUE('0128'!L37)</f>
        <v>84.77941176470587</v>
      </c>
      <c r="G13" s="13">
        <f>VALUE('0128'!L48)</f>
        <v>88.213235294117638</v>
      </c>
      <c r="H13" s="13">
        <f>VALUE('0128'!L58)</f>
        <v>91.92763772175536</v>
      </c>
      <c r="I13" s="13">
        <f>VALUE('0128'!L69)</f>
        <v>128.41025641025641</v>
      </c>
      <c r="J13" s="13">
        <f>'0128'!L79</f>
        <v>112.5</v>
      </c>
    </row>
    <row r="14" spans="2:15" ht="39.950000000000003" customHeight="1">
      <c r="B14" s="670"/>
      <c r="C14" s="12" t="s">
        <v>100</v>
      </c>
      <c r="D14" s="13">
        <f>VALUE('0128'!O15)</f>
        <v>120.18402350164205</v>
      </c>
      <c r="E14" s="13">
        <f>VALUE('0128'!O26)</f>
        <v>150.63656288760166</v>
      </c>
      <c r="F14" s="13">
        <f>VALUE('0128'!O37)</f>
        <v>76.051688997976953</v>
      </c>
      <c r="G14" s="13">
        <f>VALUE('0128'!O48)</f>
        <v>80.777935789700237</v>
      </c>
      <c r="H14" s="13">
        <f>VALUE('0128'!O58)</f>
        <v>89.31994636152281</v>
      </c>
      <c r="I14" s="13">
        <f>VALUE('0128'!O69)</f>
        <v>112.90244755244728</v>
      </c>
      <c r="J14" s="13">
        <f>'0128'!O79</f>
        <v>99.781818181817556</v>
      </c>
    </row>
    <row r="15" spans="2:15" ht="39.950000000000003" customHeight="1">
      <c r="B15" s="671"/>
      <c r="C15" s="10" t="s">
        <v>26</v>
      </c>
      <c r="D15" s="14">
        <f>D14/D13</f>
        <v>0.93190951230758068</v>
      </c>
      <c r="E15" s="14">
        <f t="shared" ref="E15:I15" si="1">E14/E13</f>
        <v>0.92867941078350691</v>
      </c>
      <c r="F15" s="14">
        <f t="shared" si="1"/>
        <v>0.89705374707067365</v>
      </c>
      <c r="G15" s="14">
        <f t="shared" si="1"/>
        <v>0.91571220033335277</v>
      </c>
      <c r="H15" s="14">
        <f t="shared" si="1"/>
        <v>0.97163321689908477</v>
      </c>
      <c r="I15" s="14">
        <f t="shared" si="1"/>
        <v>0.87923231919837141</v>
      </c>
      <c r="J15" s="15">
        <f>'0128'!S70</f>
        <v>0.88694949494948938</v>
      </c>
    </row>
    <row r="16" spans="2:15" ht="17.25" customHeight="1">
      <c r="B16" s="672" t="s">
        <v>101</v>
      </c>
      <c r="C16" s="10" t="s">
        <v>34</v>
      </c>
      <c r="D16" s="16">
        <f>'0128'!T5</f>
        <v>0.31597222222222199</v>
      </c>
      <c r="E16" s="16">
        <f>'0128'!T16</f>
        <v>0.29097222222222202</v>
      </c>
      <c r="F16" s="16">
        <f>'0128'!T27</f>
        <v>0.2902777777777778</v>
      </c>
      <c r="G16" s="16">
        <f>'0128'!T38</f>
        <v>0.33333333333333298</v>
      </c>
      <c r="H16" s="16">
        <f>'0128'!T49</f>
        <v>0.29166666666666702</v>
      </c>
      <c r="I16" s="16">
        <f>'0128'!T59</f>
        <v>0.28819444444444442</v>
      </c>
      <c r="J16" s="16">
        <f>'0128'!T70</f>
        <v>0.33333333333333298</v>
      </c>
    </row>
    <row r="17" spans="2:10" ht="17.25" customHeight="1">
      <c r="B17" s="673"/>
      <c r="C17" s="10" t="s">
        <v>35</v>
      </c>
      <c r="D17" s="16">
        <v>0.60277777777777797</v>
      </c>
      <c r="E17" s="19">
        <v>0.63402777777777775</v>
      </c>
      <c r="F17" s="19">
        <v>0.63749999999999996</v>
      </c>
      <c r="G17" s="20">
        <v>0.49166666666666664</v>
      </c>
      <c r="H17" s="21">
        <v>0.62152777777777779</v>
      </c>
      <c r="I17" s="22">
        <v>0.60416666666666696</v>
      </c>
      <c r="J17" s="22">
        <v>0.44791666666666669</v>
      </c>
    </row>
    <row r="18" spans="2:10" ht="17.25" customHeight="1">
      <c r="B18" s="674" t="s">
        <v>102</v>
      </c>
      <c r="C18" s="330" t="s">
        <v>36</v>
      </c>
      <c r="D18" s="358">
        <f>'0128'!Z15</f>
        <v>0</v>
      </c>
      <c r="E18" s="359">
        <f>'0128'!Z26</f>
        <v>0</v>
      </c>
      <c r="F18" s="359">
        <f>'0128'!Z37</f>
        <v>0</v>
      </c>
      <c r="G18" s="360">
        <f>'0128'!Z48</f>
        <v>0</v>
      </c>
      <c r="H18" s="360">
        <f>'0128'!Z58</f>
        <v>1</v>
      </c>
      <c r="I18" s="359">
        <f>'0128'!Z69</f>
        <v>0</v>
      </c>
      <c r="J18" s="359">
        <f>'0128'!AA69</f>
        <v>0</v>
      </c>
    </row>
    <row r="19" spans="2:10" ht="17.25" customHeight="1">
      <c r="B19" s="675"/>
      <c r="C19" s="330" t="s">
        <v>37</v>
      </c>
      <c r="D19" s="358">
        <f>'0128'!AA15</f>
        <v>0</v>
      </c>
      <c r="E19" s="359">
        <f>'0128'!AA26</f>
        <v>0</v>
      </c>
      <c r="F19" s="359">
        <f>'0128'!AA37</f>
        <v>0</v>
      </c>
      <c r="G19" s="360">
        <f>'0128'!AA48</f>
        <v>0</v>
      </c>
      <c r="H19" s="360">
        <f>'0128'!AA58</f>
        <v>7</v>
      </c>
      <c r="I19" s="359">
        <f>'0128'!AA69</f>
        <v>0</v>
      </c>
      <c r="J19" s="359">
        <f>'0128'!AB69</f>
        <v>0</v>
      </c>
    </row>
    <row r="20" spans="2:10" ht="17.25" customHeight="1">
      <c r="B20" s="674" t="s">
        <v>103</v>
      </c>
      <c r="C20" s="330" t="s">
        <v>36</v>
      </c>
      <c r="D20" s="358">
        <f>'0128'!AD15</f>
        <v>0</v>
      </c>
      <c r="E20" s="359">
        <f>'0128'!AD26</f>
        <v>0</v>
      </c>
      <c r="F20" s="359">
        <f>'0128'!AD37</f>
        <v>0</v>
      </c>
      <c r="G20" s="360">
        <f>'0128'!AD48</f>
        <v>1</v>
      </c>
      <c r="H20" s="360">
        <f>'0128'!AD58</f>
        <v>1</v>
      </c>
      <c r="I20" s="359">
        <f>'0128'!AD69</f>
        <v>1</v>
      </c>
      <c r="J20" s="359">
        <f>'0128'!AD79</f>
        <v>0</v>
      </c>
    </row>
    <row r="21" spans="2:10" ht="17.25" customHeight="1">
      <c r="B21" s="675"/>
      <c r="C21" s="330" t="s">
        <v>85</v>
      </c>
      <c r="D21" s="358">
        <f>'0128'!AE15</f>
        <v>0</v>
      </c>
      <c r="E21" s="359">
        <f>'0128'!AE26</f>
        <v>0</v>
      </c>
      <c r="F21" s="359">
        <f>'0128'!AE37</f>
        <v>0</v>
      </c>
      <c r="G21" s="360">
        <f>'0128'!AE48</f>
        <v>1</v>
      </c>
      <c r="H21" s="360">
        <f>'0128'!AE58</f>
        <v>1</v>
      </c>
      <c r="I21" s="359">
        <f>'0128'!AE69</f>
        <v>1</v>
      </c>
      <c r="J21" s="359">
        <f>'0128'!AE79</f>
        <v>0</v>
      </c>
    </row>
    <row r="22" spans="2:10" ht="17.25" customHeight="1">
      <c r="B22" s="658" t="s">
        <v>104</v>
      </c>
      <c r="C22" s="659"/>
      <c r="D22" s="23">
        <f>VALUE('0128'!M15)</f>
        <v>15.25</v>
      </c>
      <c r="E22" s="23">
        <f>VALUE('0128'!M26)</f>
        <v>13</v>
      </c>
      <c r="F22" s="23">
        <f>VALUE('0128'!M37)</f>
        <v>17</v>
      </c>
      <c r="G22" s="23">
        <f>VALUE('0128'!M48)</f>
        <v>15.333333333333334</v>
      </c>
      <c r="H22" s="23">
        <f>VALUE('0128'!M58)</f>
        <v>17</v>
      </c>
      <c r="I22" s="23">
        <f>VALUE('0128'!M69)</f>
        <v>12.2</v>
      </c>
      <c r="J22" s="23">
        <f>'0128'!M79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75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A776-BC21-4069-B2C4-10AE99D8DC5E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54168</v>
      </c>
      <c r="F1" s="30" t="s">
        <v>2</v>
      </c>
      <c r="G1" s="31">
        <f>SUM(H5:H79)</f>
        <v>2580113.879999999</v>
      </c>
      <c r="H1" s="32" t="s">
        <v>3</v>
      </c>
      <c r="I1" s="33">
        <f>M15+M26+M48+M58+M69+M79+M37</f>
        <v>99.783333333333331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240</v>
      </c>
      <c r="B2" s="678"/>
      <c r="C2" s="28"/>
      <c r="D2" s="28" t="s">
        <v>14</v>
      </c>
      <c r="E2" s="35">
        <f>AVERAGE(O15,O26,O37,O48,O58,O69,O79)</f>
        <v>104.23634618181551</v>
      </c>
      <c r="F2" s="36" t="s">
        <v>15</v>
      </c>
      <c r="G2" s="37">
        <f>G1/E1</f>
        <v>47.631699158174548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1</v>
      </c>
      <c r="AA2" s="339">
        <f>AA15+AA26+AA37+AA48+AA58+AA69+AA79</f>
        <v>7</v>
      </c>
      <c r="AB2" s="684"/>
      <c r="AC2" s="684"/>
      <c r="AD2" s="340">
        <f>AD15+AD26+AD37+AD48+AD58+AD69+AD79</f>
        <v>3</v>
      </c>
      <c r="AE2" s="340">
        <f>AE15+AE26+AE37+AE48+AE58+AE69+AE79</f>
        <v>3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 ht="16.5" thickBot="1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1445</v>
      </c>
      <c r="H5" s="43">
        <f>F5*G5</f>
        <v>82668.45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7" si="0">K5/J5</f>
        <v>117.64705882352941</v>
      </c>
      <c r="M5" s="48">
        <v>17</v>
      </c>
      <c r="N5" s="46">
        <f t="shared" ref="N5:N7" si="1">G5/W5*60</f>
        <v>1926.666666666667</v>
      </c>
      <c r="O5" s="47">
        <f t="shared" ref="O5:O7" si="2">N5/M5</f>
        <v>113.33333333333336</v>
      </c>
      <c r="P5" s="49">
        <f t="shared" ref="P5:P7" si="3">M5-J5</f>
        <v>0</v>
      </c>
      <c r="Q5" s="50">
        <f t="shared" ref="Q5:Q7" si="4">O5-L5</f>
        <v>-4.3137254901960489</v>
      </c>
      <c r="R5" s="51">
        <f t="shared" ref="R5:R7" si="5">O5/L5</f>
        <v>0.9633333333333336</v>
      </c>
      <c r="S5" s="718">
        <f>R15</f>
        <v>0.93190951230758068</v>
      </c>
      <c r="T5" s="319">
        <v>0.31597222222222199</v>
      </c>
      <c r="U5" s="320">
        <v>0.34722222222222199</v>
      </c>
      <c r="V5" s="53"/>
      <c r="W5" s="54">
        <f t="shared" ref="W5:W14" si="6">(U5-T5)*24*60</f>
        <v>45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-73.33333333333303</v>
      </c>
      <c r="AG5" s="52">
        <f t="shared" ref="AG5:AG11" si="8">N5/K5</f>
        <v>0.96333333333333349</v>
      </c>
      <c r="AH5" s="724">
        <f>AG15</f>
        <v>0.93498305334512244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2374</v>
      </c>
      <c r="H6" s="63">
        <f>F6*G6</f>
        <v>133608.72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16</v>
      </c>
      <c r="N6" s="66">
        <f t="shared" si="1"/>
        <v>1780.5000000000118</v>
      </c>
      <c r="O6" s="67">
        <f t="shared" si="2"/>
        <v>111.28125000000074</v>
      </c>
      <c r="P6" s="69">
        <f t="shared" si="3"/>
        <v>0</v>
      </c>
      <c r="Q6" s="70">
        <f t="shared" si="4"/>
        <v>-1.218749999999261</v>
      </c>
      <c r="R6" s="71">
        <f t="shared" si="5"/>
        <v>0.98916666666667319</v>
      </c>
      <c r="S6" s="719"/>
      <c r="T6" s="16">
        <v>0.35416666666666702</v>
      </c>
      <c r="U6" s="16">
        <v>0.40972222222222221</v>
      </c>
      <c r="V6" s="30">
        <f>(T6-U5)*24*60</f>
        <v>10.000000000000844</v>
      </c>
      <c r="W6" s="73">
        <f t="shared" si="6"/>
        <v>79.999999999999474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-19.499999999988177</v>
      </c>
      <c r="AG6" s="72">
        <f t="shared" si="8"/>
        <v>0.98916666666667319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2655</v>
      </c>
      <c r="H7" s="78">
        <f>F7*G7</f>
        <v>130466.7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1831.0344827586105</v>
      </c>
      <c r="O7" s="81">
        <f t="shared" si="2"/>
        <v>130.78817733990076</v>
      </c>
      <c r="P7" s="74">
        <f t="shared" si="3"/>
        <v>0</v>
      </c>
      <c r="Q7" s="83">
        <f t="shared" si="4"/>
        <v>-12.068965517242106</v>
      </c>
      <c r="R7" s="72">
        <f t="shared" si="5"/>
        <v>0.91551724137930524</v>
      </c>
      <c r="S7" s="719"/>
      <c r="T7" s="18">
        <v>0.41736111111111102</v>
      </c>
      <c r="U7" s="18">
        <v>0.47777777777777802</v>
      </c>
      <c r="V7" s="30">
        <f>(T7-U6)*24*60</f>
        <v>10.999999999999881</v>
      </c>
      <c r="W7" s="73">
        <f t="shared" si="6"/>
        <v>87.000000000000483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-168.96551724138953</v>
      </c>
      <c r="AG7" s="72">
        <f t="shared" si="8"/>
        <v>0.91551724137930524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2632</v>
      </c>
      <c r="H8" s="78">
        <f>F8*G8</f>
        <v>129336.48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ref="L8" si="9">K8/J8</f>
        <v>142.85714285714286</v>
      </c>
      <c r="M8" s="82">
        <v>14</v>
      </c>
      <c r="N8" s="80">
        <f t="shared" ref="N8" si="10">G8/W8*60</f>
        <v>1754.6666666666665</v>
      </c>
      <c r="O8" s="81">
        <f t="shared" ref="O8" si="11">N8/M8</f>
        <v>125.33333333333333</v>
      </c>
      <c r="P8" s="74">
        <f t="shared" ref="P8" si="12">M8-J8</f>
        <v>0</v>
      </c>
      <c r="Q8" s="83">
        <f t="shared" ref="Q8" si="13">O8-L8</f>
        <v>-17.523809523809533</v>
      </c>
      <c r="R8" s="72">
        <f t="shared" ref="R8" si="14">O8/L8</f>
        <v>0.8773333333333333</v>
      </c>
      <c r="S8" s="719"/>
      <c r="T8" s="16">
        <v>0.54027777777777797</v>
      </c>
      <c r="U8" s="16">
        <v>0.60277777777777797</v>
      </c>
      <c r="V8" s="30">
        <f>(T8-U7)*24*60</f>
        <v>89.999999999999915</v>
      </c>
      <c r="W8" s="73">
        <f t="shared" si="6"/>
        <v>90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-245.33333333333348</v>
      </c>
      <c r="AG8" s="72">
        <f t="shared" si="8"/>
        <v>0.8773333333333333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 thickBo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15">AVERAGE(J5:J14)</f>
        <v>15.25</v>
      </c>
      <c r="K15" s="120">
        <f t="shared" si="15"/>
        <v>1950</v>
      </c>
      <c r="L15" s="117">
        <f t="shared" si="15"/>
        <v>128.96533613445379</v>
      </c>
      <c r="M15" s="120">
        <f t="shared" si="15"/>
        <v>15.25</v>
      </c>
      <c r="N15" s="120">
        <f t="shared" si="15"/>
        <v>1823.2169540229888</v>
      </c>
      <c r="O15" s="117">
        <f t="shared" si="15"/>
        <v>120.18402350164205</v>
      </c>
      <c r="P15" s="121">
        <f t="shared" ref="P15:P18" si="16">M15-J15</f>
        <v>0</v>
      </c>
      <c r="Q15" s="122">
        <f t="shared" ref="Q15:Q18" si="17">O15-L15</f>
        <v>-8.7813126328117477</v>
      </c>
      <c r="R15" s="123">
        <f t="shared" ref="R15:R18" si="18">O15/L15</f>
        <v>0.93190951230758068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9">N15-K15</f>
        <v>-126.78304597701117</v>
      </c>
      <c r="AG15" s="124">
        <f t="shared" ref="AG15:AG19" si="20">N15/K15</f>
        <v>0.93498305334512244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2556</v>
      </c>
      <c r="H16" s="134">
        <f>F16*G16</f>
        <v>146228.76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21">K16/J16</f>
        <v>161.92307692307693</v>
      </c>
      <c r="M16" s="139">
        <v>14</v>
      </c>
      <c r="N16" s="140">
        <f t="shared" ref="N16:N18" si="22">G16/W16*60</f>
        <v>2222.608695652164</v>
      </c>
      <c r="O16" s="141">
        <f>N16/M16</f>
        <v>158.75776397515457</v>
      </c>
      <c r="P16" s="142">
        <f>M16-J16</f>
        <v>1</v>
      </c>
      <c r="Q16" s="143">
        <f t="shared" si="17"/>
        <v>-3.1653129479223594</v>
      </c>
      <c r="R16" s="144">
        <f>O16/L16</f>
        <v>0.98045174901520638</v>
      </c>
      <c r="S16" s="734">
        <f>R26</f>
        <v>0.92867941078350691</v>
      </c>
      <c r="T16" s="145">
        <v>0.29097222222222202</v>
      </c>
      <c r="U16" s="145">
        <v>0.33888888888888891</v>
      </c>
      <c r="V16" s="135"/>
      <c r="W16" s="146">
        <f t="shared" ref="W16:W78" si="23">(U16-T16)*24*60</f>
        <v>69.000000000000313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9"/>
        <v>117.60869565216399</v>
      </c>
      <c r="AG16" s="52">
        <f t="shared" si="20"/>
        <v>1.0558711143240684</v>
      </c>
      <c r="AH16" s="724">
        <f>AG26</f>
        <v>0.95862902192498889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3468</v>
      </c>
      <c r="H17" s="78">
        <f>F17*G17</f>
        <v>175723.56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21"/>
        <v>153.84615384615384</v>
      </c>
      <c r="M17" s="148">
        <v>14</v>
      </c>
      <c r="N17" s="95">
        <f>G17/W17*60</f>
        <v>2040.0000000000055</v>
      </c>
      <c r="O17" s="96">
        <f t="shared" ref="O17:O18" si="24">N17/M17</f>
        <v>145.71428571428609</v>
      </c>
      <c r="P17" s="97">
        <f t="shared" si="16"/>
        <v>1</v>
      </c>
      <c r="Q17" s="98">
        <f t="shared" si="17"/>
        <v>-8.1318681318677477</v>
      </c>
      <c r="R17" s="99">
        <f t="shared" si="18"/>
        <v>0.94714285714285962</v>
      </c>
      <c r="S17" s="735"/>
      <c r="T17" s="19">
        <v>0.34513888888888888</v>
      </c>
      <c r="U17" s="19">
        <v>0.41597222222222202</v>
      </c>
      <c r="V17" s="30">
        <f>(T17-U16)*24*60</f>
        <v>8.999999999999968</v>
      </c>
      <c r="W17" s="149">
        <f t="shared" si="23"/>
        <v>101.99999999999972</v>
      </c>
      <c r="X17" s="19"/>
      <c r="Y17" s="297"/>
      <c r="Z17" s="90"/>
      <c r="AA17" s="90"/>
      <c r="AB17" s="713" t="s">
        <v>243</v>
      </c>
      <c r="AC17" s="713"/>
      <c r="AD17" s="92"/>
      <c r="AE17" s="92"/>
      <c r="AF17" s="307">
        <f t="shared" si="19"/>
        <v>40.000000000005457</v>
      </c>
      <c r="AG17" s="72">
        <f t="shared" si="20"/>
        <v>1.0200000000000027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2359</v>
      </c>
      <c r="H18" s="78">
        <f>F18*G18</f>
        <v>118870.01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21"/>
        <v>166.66666666666666</v>
      </c>
      <c r="M18" s="148">
        <v>12</v>
      </c>
      <c r="N18" s="95">
        <f t="shared" si="22"/>
        <v>1769.249999999985</v>
      </c>
      <c r="O18" s="96">
        <f t="shared" si="24"/>
        <v>147.43749999999875</v>
      </c>
      <c r="P18" s="97">
        <f t="shared" si="16"/>
        <v>0</v>
      </c>
      <c r="Q18" s="98">
        <f t="shared" si="17"/>
        <v>-19.229166666667908</v>
      </c>
      <c r="R18" s="99">
        <f t="shared" si="18"/>
        <v>0.88462499999999256</v>
      </c>
      <c r="S18" s="735"/>
      <c r="T18" s="19">
        <v>0.42361111111111099</v>
      </c>
      <c r="U18" s="19">
        <v>0.47916666666666702</v>
      </c>
      <c r="V18" s="30">
        <f>(T18-U17)*24*60</f>
        <v>11.000000000000121</v>
      </c>
      <c r="W18" s="149">
        <f t="shared" si="23"/>
        <v>80.000000000000682</v>
      </c>
      <c r="X18" s="22">
        <v>0.48611111111111099</v>
      </c>
      <c r="Y18" s="84">
        <v>0.52777777777777801</v>
      </c>
      <c r="Z18" s="90"/>
      <c r="AA18" s="90"/>
      <c r="AB18" s="713"/>
      <c r="AC18" s="713"/>
      <c r="AD18" s="92"/>
      <c r="AE18" s="92"/>
      <c r="AF18" s="307">
        <f t="shared" si="19"/>
        <v>-230.75000000001501</v>
      </c>
      <c r="AG18" s="72">
        <f t="shared" si="20"/>
        <v>0.88462499999999245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2187</v>
      </c>
      <c r="H19" s="78">
        <f t="shared" ref="H19:H20" si="25">F19*G19</f>
        <v>110202.93000000001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0" si="26">K19/J19</f>
        <v>166.66666666666666</v>
      </c>
      <c r="M19" s="148">
        <v>12</v>
      </c>
      <c r="N19" s="95">
        <f t="shared" ref="N19:N20" si="27">G19/W19*60</f>
        <v>1929.705882352948</v>
      </c>
      <c r="O19" s="96">
        <f t="shared" ref="O19:O20" si="28">N19/M19</f>
        <v>160.80882352941234</v>
      </c>
      <c r="P19" s="97">
        <f t="shared" ref="P19:P20" si="29">M19-J19</f>
        <v>0</v>
      </c>
      <c r="Q19" s="98">
        <f t="shared" ref="Q19:Q20" si="30">O19-L19</f>
        <v>-5.8578431372543207</v>
      </c>
      <c r="R19" s="99">
        <f t="shared" ref="R19:R20" si="31">O19/L19</f>
        <v>0.96485294117647402</v>
      </c>
      <c r="S19" s="735"/>
      <c r="T19" s="19">
        <v>0.54166666666666696</v>
      </c>
      <c r="U19" s="19">
        <v>0.58888888888888902</v>
      </c>
      <c r="V19" s="30">
        <f>(T19-U18)*24*60</f>
        <v>89.999999999999915</v>
      </c>
      <c r="W19" s="149">
        <f t="shared" si="23"/>
        <v>67.999999999999758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19"/>
        <v>-70.294117647051962</v>
      </c>
      <c r="AG19" s="72">
        <f t="shared" si="20"/>
        <v>0.96485294117647402</v>
      </c>
      <c r="AH19" s="726"/>
    </row>
    <row r="20" spans="1:34" ht="15" customHeight="1">
      <c r="A20" s="741"/>
      <c r="B20" s="75" t="s">
        <v>81</v>
      </c>
      <c r="C20" s="76"/>
      <c r="D20" s="59" t="s">
        <v>121</v>
      </c>
      <c r="E20" s="77"/>
      <c r="F20" s="75">
        <f>VLOOKUP(D20,廠價表!$C$1:$E$41,3,0)</f>
        <v>57.21</v>
      </c>
      <c r="G20" s="147">
        <v>1613</v>
      </c>
      <c r="H20" s="78">
        <f t="shared" si="25"/>
        <v>92279.73</v>
      </c>
      <c r="I20" s="30"/>
      <c r="J20" s="79">
        <f>VLOOKUP(D20,產線配置圖!$A$3:$C$39,2,0)</f>
        <v>13</v>
      </c>
      <c r="K20" s="80">
        <f>VLOOKUP(D20,產線配置圖!$A$3:$C$39,3,0)</f>
        <v>2105</v>
      </c>
      <c r="L20" s="81">
        <f t="shared" si="26"/>
        <v>161.92307692307693</v>
      </c>
      <c r="M20" s="148">
        <v>13</v>
      </c>
      <c r="N20" s="95">
        <f t="shared" si="27"/>
        <v>1826.0377358490357</v>
      </c>
      <c r="O20" s="96">
        <f t="shared" si="28"/>
        <v>140.46444121915658</v>
      </c>
      <c r="P20" s="97">
        <f t="shared" si="29"/>
        <v>0</v>
      </c>
      <c r="Q20" s="98">
        <f t="shared" si="30"/>
        <v>-21.458635703920351</v>
      </c>
      <c r="R20" s="99">
        <f t="shared" si="31"/>
        <v>0.867476359073176</v>
      </c>
      <c r="S20" s="735"/>
      <c r="T20" s="19">
        <v>0.59722222222222199</v>
      </c>
      <c r="U20" s="19">
        <v>0.63402777777777797</v>
      </c>
      <c r="V20" s="30">
        <f>(T20-U19)*24*60</f>
        <v>11.999999999999478</v>
      </c>
      <c r="W20" s="149">
        <f t="shared" si="23"/>
        <v>53.000000000000611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23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23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32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23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32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23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 thickBo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33">AVERAGE(J16:J25)</f>
        <v>12.6</v>
      </c>
      <c r="K26" s="155">
        <f t="shared" si="33"/>
        <v>2042</v>
      </c>
      <c r="L26" s="158">
        <f t="shared" si="33"/>
        <v>162.2051282051282</v>
      </c>
      <c r="M26" s="155">
        <f t="shared" si="33"/>
        <v>13</v>
      </c>
      <c r="N26" s="155">
        <f t="shared" si="33"/>
        <v>1957.5204627708274</v>
      </c>
      <c r="O26" s="158">
        <f t="shared" si="33"/>
        <v>150.63656288760166</v>
      </c>
      <c r="P26" s="159">
        <f t="shared" ref="P26:P29" si="34">M26-J26</f>
        <v>0.40000000000000036</v>
      </c>
      <c r="Q26" s="160">
        <f t="shared" ref="Q26:Q29" si="35">O26-L26</f>
        <v>-11.568565317526549</v>
      </c>
      <c r="R26" s="161">
        <f>O26/L26</f>
        <v>0.92867941078350691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0</v>
      </c>
      <c r="AE26" s="323">
        <f>SUM(AE16:AE25)</f>
        <v>0</v>
      </c>
      <c r="AF26" s="309">
        <f t="shared" ref="AF26:AF31" si="36">N26-K26</f>
        <v>-84.479537229172593</v>
      </c>
      <c r="AG26" s="124">
        <f t="shared" ref="AG26:AG31" si="37">N26/K26</f>
        <v>0.95862902192498889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1705</v>
      </c>
      <c r="H27" s="134">
        <f>F27*G27</f>
        <v>97696.5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38">K27/J27</f>
        <v>88.235294117647058</v>
      </c>
      <c r="M27" s="170">
        <v>17</v>
      </c>
      <c r="N27" s="140">
        <f>G27/W27*60</f>
        <v>1461.4285714285716</v>
      </c>
      <c r="O27" s="141">
        <f>N27/M27</f>
        <v>85.966386554621863</v>
      </c>
      <c r="P27" s="142">
        <f t="shared" si="34"/>
        <v>0</v>
      </c>
      <c r="Q27" s="143">
        <f t="shared" si="35"/>
        <v>-2.2689075630251949</v>
      </c>
      <c r="R27" s="144">
        <f>O27/L27</f>
        <v>0.97428571428571442</v>
      </c>
      <c r="S27" s="734">
        <f>R37</f>
        <v>0.89705374707067365</v>
      </c>
      <c r="T27" s="171">
        <v>0.2902777777777778</v>
      </c>
      <c r="U27" s="171">
        <v>0.33888888888888891</v>
      </c>
      <c r="V27" s="135"/>
      <c r="W27" s="146">
        <f t="shared" si="23"/>
        <v>69.999999999999986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36"/>
        <v>-38.571428571428442</v>
      </c>
      <c r="AG27" s="172">
        <f t="shared" si="37"/>
        <v>0.97428571428571442</v>
      </c>
      <c r="AH27" s="724">
        <f>AG37</f>
        <v>0.89705374707067354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1580</v>
      </c>
      <c r="H28" s="91">
        <f>F28*G28</f>
        <v>87105.400000000009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38"/>
        <v>81.470588235294116</v>
      </c>
      <c r="M28" s="94">
        <v>17</v>
      </c>
      <c r="N28" s="95">
        <f>G28/W28*60</f>
        <v>1373.9130434782608</v>
      </c>
      <c r="O28" s="96">
        <f>N28/M28</f>
        <v>80.818414322250632</v>
      </c>
      <c r="P28" s="97">
        <f t="shared" si="34"/>
        <v>0</v>
      </c>
      <c r="Q28" s="98">
        <f t="shared" si="35"/>
        <v>-0.65217391304348382</v>
      </c>
      <c r="R28" s="99">
        <f t="shared" ref="R28:R29" si="39">O28/L28</f>
        <v>0.99199497724062147</v>
      </c>
      <c r="S28" s="735"/>
      <c r="T28" s="19">
        <v>0.34375</v>
      </c>
      <c r="U28" s="19">
        <v>0.39166666666666666</v>
      </c>
      <c r="V28" s="92">
        <f>(T28-U27)*24*60</f>
        <v>6.9999999999999751</v>
      </c>
      <c r="W28" s="149">
        <f t="shared" si="23"/>
        <v>69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36"/>
        <v>-11.086956521739239</v>
      </c>
      <c r="AG28" s="99">
        <f t="shared" si="37"/>
        <v>0.99199497724062147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1977</v>
      </c>
      <c r="H29" s="91">
        <f>F29*G29</f>
        <v>97901.040000000008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38"/>
        <v>84.705882352941174</v>
      </c>
      <c r="M29" s="94">
        <v>17</v>
      </c>
      <c r="N29" s="95">
        <f>G29/W29*60</f>
        <v>1174.4554455445523</v>
      </c>
      <c r="O29" s="96">
        <f>N29/M29</f>
        <v>69.085614443797198</v>
      </c>
      <c r="P29" s="97">
        <f t="shared" si="34"/>
        <v>0</v>
      </c>
      <c r="Q29" s="98">
        <f t="shared" si="35"/>
        <v>-15.620267909143976</v>
      </c>
      <c r="R29" s="99">
        <f t="shared" si="39"/>
        <v>0.81559405940593921</v>
      </c>
      <c r="S29" s="735"/>
      <c r="T29" s="19">
        <v>0.39652777777777798</v>
      </c>
      <c r="U29" s="19">
        <v>0.46666666666666701</v>
      </c>
      <c r="V29" s="92">
        <f>(T29-U28)*24*60</f>
        <v>7.0000000000002949</v>
      </c>
      <c r="W29" s="149">
        <f t="shared" si="23"/>
        <v>101.0000000000002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36"/>
        <v>-265.54455445544772</v>
      </c>
      <c r="AG29" s="99">
        <f t="shared" si="37"/>
        <v>0.8155940594059391</v>
      </c>
      <c r="AH29" s="744"/>
    </row>
    <row r="30" spans="1:34" ht="15" customHeight="1">
      <c r="A30" s="732"/>
      <c r="B30" s="75" t="s">
        <v>117</v>
      </c>
      <c r="C30" s="88"/>
      <c r="D30" s="59" t="s">
        <v>118</v>
      </c>
      <c r="E30" s="89"/>
      <c r="F30" s="75">
        <f>VLOOKUP(D30,廠價表!$C$1:$E$41,3,0)</f>
        <v>44.3</v>
      </c>
      <c r="G30" s="90">
        <v>3156</v>
      </c>
      <c r="H30" s="91">
        <f>F30*G30</f>
        <v>139810.79999999999</v>
      </c>
      <c r="I30" s="92"/>
      <c r="J30" s="79">
        <v>17</v>
      </c>
      <c r="K30" s="80">
        <f>VLOOKUP(D30,產線配置圖!$A$3:$C$39,3,0)</f>
        <v>1440</v>
      </c>
      <c r="L30" s="93">
        <f t="shared" ref="L30" si="40">K30/J30</f>
        <v>84.705882352941174</v>
      </c>
      <c r="M30" s="94">
        <v>17</v>
      </c>
      <c r="N30" s="95">
        <f>G30/W30*60</f>
        <v>1161.7177914110482</v>
      </c>
      <c r="O30" s="96">
        <f>N30/M30</f>
        <v>68.336340671238133</v>
      </c>
      <c r="P30" s="97">
        <f t="shared" ref="P30" si="41">M30-J30</f>
        <v>0</v>
      </c>
      <c r="Q30" s="98">
        <f t="shared" ref="Q30" si="42">O30-L30</f>
        <v>-16.369541681703041</v>
      </c>
      <c r="R30" s="99">
        <f t="shared" ref="R30" si="43">O30/L30</f>
        <v>0.80674846625767238</v>
      </c>
      <c r="S30" s="735"/>
      <c r="T30" s="19">
        <v>0.52430555555555602</v>
      </c>
      <c r="U30" s="19">
        <v>0.63749999999999996</v>
      </c>
      <c r="V30" s="92">
        <f>(T30-U29)*24*60</f>
        <v>83.000000000000185</v>
      </c>
      <c r="W30" s="149">
        <f t="shared" si="23"/>
        <v>162.99999999999926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36"/>
        <v>-278.28220858895179</v>
      </c>
      <c r="AG30" s="99">
        <f t="shared" si="37"/>
        <v>0.80674846625767238</v>
      </c>
      <c r="AH30" s="745"/>
    </row>
    <row r="31" spans="1:34" ht="15" customHeight="1">
      <c r="A31" s="732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35"/>
      <c r="T31" s="19"/>
      <c r="U31" s="19"/>
      <c r="V31" s="92"/>
      <c r="W31" s="149">
        <f t="shared" si="23"/>
        <v>0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36"/>
        <v>0</v>
      </c>
      <c r="AG31" s="99" t="e">
        <f t="shared" si="37"/>
        <v>#DIV/0!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23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23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23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23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44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23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 thickBo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45">AVERAGE(J27:J36)</f>
        <v>17</v>
      </c>
      <c r="K37" s="155">
        <f t="shared" si="45"/>
        <v>1441.25</v>
      </c>
      <c r="L37" s="158">
        <f t="shared" si="45"/>
        <v>84.77941176470587</v>
      </c>
      <c r="M37" s="155">
        <f t="shared" si="45"/>
        <v>17</v>
      </c>
      <c r="N37" s="155">
        <f t="shared" si="45"/>
        <v>1292.8787129656082</v>
      </c>
      <c r="O37" s="158">
        <f t="shared" si="45"/>
        <v>76.051688997976953</v>
      </c>
      <c r="P37" s="159">
        <f>M37-J37</f>
        <v>0</v>
      </c>
      <c r="Q37" s="160">
        <f>N37-K37</f>
        <v>-148.3712870343918</v>
      </c>
      <c r="R37" s="161">
        <f t="shared" ref="R37:R40" si="46">O37/L37</f>
        <v>0.89705374707067365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47">N37-K37</f>
        <v>-148.3712870343918</v>
      </c>
      <c r="AG37" s="124">
        <f t="shared" ref="AG37:AG41" si="48">N37/K37</f>
        <v>0.89705374707067354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1114</v>
      </c>
      <c r="H38" s="134">
        <f>F38*G38</f>
        <v>62863.02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49">K38/J38</f>
        <v>87.875</v>
      </c>
      <c r="M38" s="190">
        <v>14</v>
      </c>
      <c r="N38" s="140">
        <f>G38/W38*60</f>
        <v>1028.3076923076846</v>
      </c>
      <c r="O38" s="141">
        <f>N38/M38</f>
        <v>73.450549450548905</v>
      </c>
      <c r="P38" s="142">
        <f t="shared" ref="P38:P40" si="50">M38-J38</f>
        <v>-2</v>
      </c>
      <c r="Q38" s="143">
        <f t="shared" ref="Q38:Q40" si="51">O38-L38</f>
        <v>-14.424450549451095</v>
      </c>
      <c r="R38" s="144">
        <f>O38/L38</f>
        <v>0.83585262532630333</v>
      </c>
      <c r="S38" s="756">
        <f>R48</f>
        <v>0.91571220033335277</v>
      </c>
      <c r="T38" s="191">
        <v>0.33333333333333298</v>
      </c>
      <c r="U38" s="191">
        <v>0.37847222222222221</v>
      </c>
      <c r="V38" s="192"/>
      <c r="W38" s="193">
        <f t="shared" si="23"/>
        <v>65.000000000000483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47"/>
        <v>-377.69230769231535</v>
      </c>
      <c r="AG38" s="195">
        <f t="shared" si="48"/>
        <v>0.73137104716051538</v>
      </c>
      <c r="AH38" s="746">
        <f>AG48</f>
        <v>0.84529933906492272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1387</v>
      </c>
      <c r="H39" s="91">
        <f>F39*G39</f>
        <v>69225.17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49"/>
        <v>92.058823529411768</v>
      </c>
      <c r="M39" s="201">
        <v>15</v>
      </c>
      <c r="N39" s="202">
        <f>G39/W39*60</f>
        <v>1280.307692307689</v>
      </c>
      <c r="O39" s="203">
        <f t="shared" ref="O39:O40" si="52">N39/M39</f>
        <v>85.353846153845936</v>
      </c>
      <c r="P39" s="97">
        <f t="shared" si="50"/>
        <v>-2</v>
      </c>
      <c r="Q39" s="98">
        <f t="shared" si="51"/>
        <v>-6.7049773755658322</v>
      </c>
      <c r="R39" s="99">
        <f t="shared" si="46"/>
        <v>0.92716637994593021</v>
      </c>
      <c r="S39" s="757"/>
      <c r="T39" s="20">
        <v>0.38888888888888901</v>
      </c>
      <c r="U39" s="20">
        <v>0.43402777777777801</v>
      </c>
      <c r="V39" s="92">
        <f>(T39-U38)*24*60</f>
        <v>15.000000000000187</v>
      </c>
      <c r="W39" s="205">
        <f t="shared" si="23"/>
        <v>65.000000000000171</v>
      </c>
      <c r="X39" s="22"/>
      <c r="Y39" s="84"/>
      <c r="Z39" s="90"/>
      <c r="AA39" s="90"/>
      <c r="AB39" s="749" t="s">
        <v>242</v>
      </c>
      <c r="AC39" s="749"/>
      <c r="AD39" s="200">
        <v>1</v>
      </c>
      <c r="AE39" s="200">
        <v>1</v>
      </c>
      <c r="AF39" s="314">
        <f t="shared" si="47"/>
        <v>-284.69230769231103</v>
      </c>
      <c r="AG39" s="206">
        <f t="shared" si="48"/>
        <v>0.81808798230523261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1633</v>
      </c>
      <c r="H40" s="91">
        <f>F40*G40</f>
        <v>72341.899999999994</v>
      </c>
      <c r="I40" s="200"/>
      <c r="J40" s="148">
        <v>17</v>
      </c>
      <c r="K40" s="95">
        <f>VLOOKUP(D40,產線配置圖!$A$3:$C$39,3,0)</f>
        <v>1440</v>
      </c>
      <c r="L40" s="96">
        <f t="shared" si="49"/>
        <v>84.705882352941174</v>
      </c>
      <c r="M40" s="201">
        <v>17</v>
      </c>
      <c r="N40" s="202">
        <f>G40/W40*60</f>
        <v>1420</v>
      </c>
      <c r="O40" s="203">
        <f t="shared" si="52"/>
        <v>83.529411764705884</v>
      </c>
      <c r="P40" s="97">
        <f t="shared" si="50"/>
        <v>0</v>
      </c>
      <c r="Q40" s="98">
        <f t="shared" si="51"/>
        <v>-1.1764705882352899</v>
      </c>
      <c r="R40" s="99">
        <f t="shared" si="46"/>
        <v>0.98611111111111116</v>
      </c>
      <c r="S40" s="719"/>
      <c r="T40" s="20">
        <v>0.44374999999999998</v>
      </c>
      <c r="U40" s="20">
        <v>0.49166666666666664</v>
      </c>
      <c r="V40" s="92">
        <f>(T40-U39)*24*60</f>
        <v>13.999999999999631</v>
      </c>
      <c r="W40" s="205">
        <f t="shared" si="23"/>
        <v>69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47"/>
        <v>-20</v>
      </c>
      <c r="AG40" s="206">
        <f t="shared" si="48"/>
        <v>0.98611111111111116</v>
      </c>
      <c r="AH40" s="747"/>
    </row>
    <row r="41" spans="1:34" ht="15" customHeight="1">
      <c r="A41" s="75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19"/>
      <c r="T41" s="20"/>
      <c r="U41" s="210"/>
      <c r="V41" s="92"/>
      <c r="W41" s="205">
        <f t="shared" si="23"/>
        <v>0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47"/>
        <v>0</v>
      </c>
      <c r="AG41" s="206" t="e">
        <f t="shared" si="48"/>
        <v>#DIV/0!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23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53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53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53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44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53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 thickBo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54">AVERAGE(J38:J47)</f>
        <v>16.666666666666668</v>
      </c>
      <c r="K48" s="155">
        <f t="shared" si="54"/>
        <v>1470.3333333333333</v>
      </c>
      <c r="L48" s="158">
        <f t="shared" si="54"/>
        <v>88.213235294117638</v>
      </c>
      <c r="M48" s="155">
        <f t="shared" si="54"/>
        <v>15.333333333333334</v>
      </c>
      <c r="N48" s="155">
        <f t="shared" si="54"/>
        <v>1242.8717948717913</v>
      </c>
      <c r="O48" s="158">
        <f t="shared" si="54"/>
        <v>80.777935789700237</v>
      </c>
      <c r="P48" s="221">
        <f>M48-J48</f>
        <v>-1.3333333333333339</v>
      </c>
      <c r="Q48" s="222">
        <f>N48-K48</f>
        <v>-227.46153846154198</v>
      </c>
      <c r="R48" s="223">
        <f>O48/L48</f>
        <v>0.91571220033335277</v>
      </c>
      <c r="S48" s="722"/>
      <c r="T48" s="224"/>
      <c r="U48" s="224"/>
      <c r="V48" s="225"/>
      <c r="W48" s="226">
        <f t="shared" si="53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1</v>
      </c>
      <c r="AE48" s="323">
        <f>SUM(AE38:AE47)</f>
        <v>1</v>
      </c>
      <c r="AF48" s="315">
        <f t="shared" ref="AF48:AF53" si="55">N48-K48</f>
        <v>-227.46153846154198</v>
      </c>
      <c r="AG48" s="162">
        <f t="shared" ref="AG48:AG53" si="56">N48/K48</f>
        <v>0.84529933906492272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1217</v>
      </c>
      <c r="H49" s="134">
        <f>F49*G49</f>
        <v>69210.789999999994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57">K49/J49</f>
        <v>86.944444444444443</v>
      </c>
      <c r="M49" s="170">
        <v>18</v>
      </c>
      <c r="N49" s="140">
        <f>G49/W49*60</f>
        <v>1553.6170212765905</v>
      </c>
      <c r="O49" s="141">
        <f>N49/M49</f>
        <v>86.312056737588364</v>
      </c>
      <c r="P49" s="229">
        <f>M49-J49</f>
        <v>0</v>
      </c>
      <c r="Q49" s="230">
        <f>O49-L49</f>
        <v>-0.63238770685607903</v>
      </c>
      <c r="R49" s="52">
        <f>O49/L49</f>
        <v>0.99272653116715048</v>
      </c>
      <c r="S49" s="718">
        <f>R58</f>
        <v>0.97163321689908477</v>
      </c>
      <c r="T49" s="191">
        <v>0.29166666666666702</v>
      </c>
      <c r="U49" s="191">
        <v>0.32430555555555601</v>
      </c>
      <c r="V49" s="55"/>
      <c r="W49" s="193">
        <f t="shared" si="23"/>
        <v>47.000000000000156</v>
      </c>
      <c r="X49" s="55"/>
      <c r="Y49" s="290"/>
      <c r="Z49" s="169"/>
      <c r="AA49" s="169"/>
      <c r="AB49" s="723" t="s">
        <v>244</v>
      </c>
      <c r="AC49" s="723"/>
      <c r="AD49" s="135">
        <v>1</v>
      </c>
      <c r="AE49" s="135">
        <v>1</v>
      </c>
      <c r="AF49" s="229">
        <f t="shared" si="55"/>
        <v>-11.382978723409451</v>
      </c>
      <c r="AG49" s="52">
        <f t="shared" si="56"/>
        <v>0.99272653116715048</v>
      </c>
      <c r="AH49" s="724">
        <f>AG58</f>
        <v>0.97100529458476303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2440</v>
      </c>
      <c r="H50" s="231">
        <f>F50*G50</f>
        <v>116412.40000000001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57"/>
        <v>102.85714285714286</v>
      </c>
      <c r="M50" s="233">
        <v>14</v>
      </c>
      <c r="N50" s="234">
        <f>G50/W50*60</f>
        <v>1435.2941176470581</v>
      </c>
      <c r="O50" s="235">
        <f>N50/M50</f>
        <v>102.52100840336129</v>
      </c>
      <c r="P50" s="74">
        <f>M50-J50</f>
        <v>0</v>
      </c>
      <c r="Q50" s="83">
        <f>O50-L50</f>
        <v>-0.33613445378156825</v>
      </c>
      <c r="R50" s="72">
        <f>O50/L50</f>
        <v>0.99673202614379031</v>
      </c>
      <c r="S50" s="719"/>
      <c r="T50" s="21">
        <v>0.3298611111111111</v>
      </c>
      <c r="U50" s="21">
        <v>0.40069444444444446</v>
      </c>
      <c r="V50" s="30">
        <f t="shared" ref="V50:V53" si="58">(T50-U49)*24*60</f>
        <v>7.9999999999993321</v>
      </c>
      <c r="W50" s="236">
        <f t="shared" si="23"/>
        <v>102.00000000000004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55"/>
        <v>-4.7058823529418987</v>
      </c>
      <c r="AG50" s="72">
        <f t="shared" si="56"/>
        <v>0.99673202614379031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2613</v>
      </c>
      <c r="H51" s="231">
        <f>F51*G51</f>
        <v>130571.61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57"/>
        <v>88.888888888888886</v>
      </c>
      <c r="M51" s="233">
        <v>18</v>
      </c>
      <c r="N51" s="234">
        <f>G51/W51*60</f>
        <v>1567.8000000000004</v>
      </c>
      <c r="O51" s="235">
        <f>N51/M51</f>
        <v>87.100000000000023</v>
      </c>
      <c r="P51" s="74">
        <f>M51-J51</f>
        <v>0</v>
      </c>
      <c r="Q51" s="83">
        <f>O51-L51</f>
        <v>-1.788888888888863</v>
      </c>
      <c r="R51" s="72">
        <f>O51/L51</f>
        <v>0.97987500000000027</v>
      </c>
      <c r="S51" s="719"/>
      <c r="T51" s="21">
        <v>0.40625</v>
      </c>
      <c r="U51" s="19">
        <v>0.47569444444444442</v>
      </c>
      <c r="V51" s="30">
        <f t="shared" si="58"/>
        <v>7.9999999999999716</v>
      </c>
      <c r="W51" s="236">
        <f t="shared" si="23"/>
        <v>99.999999999999972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55"/>
        <v>-32.199999999999591</v>
      </c>
      <c r="AG51" s="72">
        <f t="shared" si="56"/>
        <v>0.97987500000000027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2080</v>
      </c>
      <c r="H52" s="231">
        <f t="shared" ref="H52:H54" si="59">F52*G52</f>
        <v>103937.59999999999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ref="L52:L54" si="60">K52/J52</f>
        <v>88.888888888888886</v>
      </c>
      <c r="M52" s="233">
        <v>18</v>
      </c>
      <c r="N52" s="234">
        <f t="shared" ref="N52:N54" si="61">G52/W52*60</f>
        <v>1559.9999999999868</v>
      </c>
      <c r="O52" s="235">
        <f t="shared" ref="O52:O54" si="62">N52/M52</f>
        <v>86.666666666665932</v>
      </c>
      <c r="P52" s="74">
        <f t="shared" ref="P52:P54" si="63">M52-J52</f>
        <v>0</v>
      </c>
      <c r="Q52" s="83">
        <f t="shared" ref="Q52:Q54" si="64">O52-L52</f>
        <v>-2.2222222222229533</v>
      </c>
      <c r="R52" s="72">
        <f t="shared" ref="R52:R54" si="65">O52/L52</f>
        <v>0.97499999999999176</v>
      </c>
      <c r="S52" s="719"/>
      <c r="T52" s="21">
        <v>0.53125</v>
      </c>
      <c r="U52" s="21">
        <v>0.58680555555555602</v>
      </c>
      <c r="V52" s="30">
        <f t="shared" si="58"/>
        <v>80.000000000000028</v>
      </c>
      <c r="W52" s="236">
        <f t="shared" si="23"/>
        <v>80.000000000000682</v>
      </c>
      <c r="X52" s="22">
        <v>0.47916666666666702</v>
      </c>
      <c r="Y52" s="84">
        <v>0.52083333333333304</v>
      </c>
      <c r="Z52" s="90">
        <v>1</v>
      </c>
      <c r="AA52" s="90">
        <v>7</v>
      </c>
      <c r="AB52" s="713" t="s">
        <v>242</v>
      </c>
      <c r="AC52" s="713"/>
      <c r="AD52" s="92"/>
      <c r="AE52" s="92"/>
      <c r="AF52" s="307">
        <f t="shared" si="55"/>
        <v>-40.000000000013188</v>
      </c>
      <c r="AG52" s="72">
        <f t="shared" si="56"/>
        <v>0.97499999999999176</v>
      </c>
      <c r="AH52" s="725"/>
    </row>
    <row r="53" spans="1:34" ht="15" customHeight="1">
      <c r="A53" s="751"/>
      <c r="B53" s="101" t="s">
        <v>117</v>
      </c>
      <c r="C53" s="102"/>
      <c r="D53" s="103" t="s">
        <v>133</v>
      </c>
      <c r="E53" s="104"/>
      <c r="F53" s="75">
        <f>VLOOKUP(D53,廠價表!$C$1:$E$41,3,0)</f>
        <v>49.91</v>
      </c>
      <c r="G53" s="202">
        <v>833</v>
      </c>
      <c r="H53" s="231">
        <f t="shared" si="59"/>
        <v>41575.03</v>
      </c>
      <c r="I53" s="30"/>
      <c r="J53" s="79">
        <f>VLOOKUP(D53,產線配置圖!$A$3:$C$39,2,0)</f>
        <v>17</v>
      </c>
      <c r="K53" s="80">
        <f>VLOOKUP(D53,產線配置圖!$A$3:$C$39,3,0)</f>
        <v>1565</v>
      </c>
      <c r="L53" s="81">
        <f t="shared" si="60"/>
        <v>92.058823529411768</v>
      </c>
      <c r="M53" s="108">
        <v>17</v>
      </c>
      <c r="N53" s="234">
        <f t="shared" si="61"/>
        <v>1427.9999999999725</v>
      </c>
      <c r="O53" s="235">
        <f t="shared" si="62"/>
        <v>83.99999999999838</v>
      </c>
      <c r="P53" s="74">
        <f t="shared" si="63"/>
        <v>0</v>
      </c>
      <c r="Q53" s="83">
        <f t="shared" si="64"/>
        <v>-8.0588235294133881</v>
      </c>
      <c r="R53" s="72">
        <f t="shared" si="65"/>
        <v>0.91246006389774592</v>
      </c>
      <c r="S53" s="719"/>
      <c r="T53" s="21">
        <v>0.59722222222222199</v>
      </c>
      <c r="U53" s="21">
        <v>0.62152777777777801</v>
      </c>
      <c r="V53" s="30">
        <f t="shared" si="58"/>
        <v>14.999999999998987</v>
      </c>
      <c r="W53" s="236">
        <f t="shared" si="23"/>
        <v>35.000000000000675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55"/>
        <v>-137.00000000002751</v>
      </c>
      <c r="AG53" s="72">
        <f t="shared" si="56"/>
        <v>0.91246006389774603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231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23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23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23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23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 thickBo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66">AVERAGE(J49:J57)</f>
        <v>17</v>
      </c>
      <c r="K58" s="120">
        <f t="shared" si="66"/>
        <v>1554</v>
      </c>
      <c r="L58" s="117">
        <f t="shared" si="66"/>
        <v>91.92763772175536</v>
      </c>
      <c r="M58" s="120">
        <f t="shared" si="66"/>
        <v>17</v>
      </c>
      <c r="N58" s="120">
        <f t="shared" si="66"/>
        <v>1508.9422277847218</v>
      </c>
      <c r="O58" s="117">
        <f t="shared" si="66"/>
        <v>89.31994636152281</v>
      </c>
      <c r="P58" s="121">
        <f>M58-J58</f>
        <v>0</v>
      </c>
      <c r="Q58" s="122">
        <f>N58-K58</f>
        <v>-45.057772215278192</v>
      </c>
      <c r="R58" s="123">
        <f t="shared" ref="R58:R60" si="67">O58/L58</f>
        <v>0.97163321689908477</v>
      </c>
      <c r="S58" s="72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7</v>
      </c>
      <c r="AB58" s="730"/>
      <c r="AC58" s="730"/>
      <c r="AD58" s="323">
        <f>SUM(AD49:AD57)</f>
        <v>1</v>
      </c>
      <c r="AE58" s="323">
        <f>SUM(AE49:AE57)</f>
        <v>1</v>
      </c>
      <c r="AF58" s="309">
        <f t="shared" ref="AF58:AF61" si="68">N58-K58</f>
        <v>-45.057772215278192</v>
      </c>
      <c r="AG58" s="124">
        <f t="shared" ref="AG58:AG61" si="69">N58/K58</f>
        <v>0.97100529458476303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3495</v>
      </c>
      <c r="H59" s="243">
        <f>F59*G59</f>
        <v>94330.049999999988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70">K59/J59</f>
        <v>120.38461538461539</v>
      </c>
      <c r="M59" s="244">
        <v>13</v>
      </c>
      <c r="N59" s="137">
        <f t="shared" ref="N59:N61" si="71">G59/W59*60</f>
        <v>1553.3333333333333</v>
      </c>
      <c r="O59" s="138">
        <f t="shared" ref="O59:O61" si="72">N59/M59</f>
        <v>119.48717948717947</v>
      </c>
      <c r="P59" s="56">
        <f t="shared" ref="P59:P61" si="73">M59-J59</f>
        <v>0</v>
      </c>
      <c r="Q59" s="230">
        <f t="shared" ref="Q59:Q61" si="74">O59-L59</f>
        <v>-0.89743589743591201</v>
      </c>
      <c r="R59" s="52">
        <f t="shared" si="67"/>
        <v>0.99254526091586781</v>
      </c>
      <c r="S59" s="718">
        <f>R69</f>
        <v>0.87923231919837141</v>
      </c>
      <c r="T59" s="245">
        <v>0.28819444444444442</v>
      </c>
      <c r="U59" s="245">
        <v>0.38194444444444442</v>
      </c>
      <c r="V59" s="55"/>
      <c r="W59" s="54">
        <f t="shared" si="23"/>
        <v>135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68"/>
        <v>-11.666666666666742</v>
      </c>
      <c r="AG59" s="246">
        <f t="shared" si="69"/>
        <v>0.99254526091586792</v>
      </c>
      <c r="AH59" s="724">
        <f>AG69</f>
        <v>0.88097559522479441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445</v>
      </c>
      <c r="H60" s="78">
        <f>F60*G60</f>
        <v>12669.15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70"/>
        <v>130.41666666666666</v>
      </c>
      <c r="M60" s="82">
        <v>12</v>
      </c>
      <c r="N60" s="80">
        <f t="shared" si="71"/>
        <v>890.00000000001501</v>
      </c>
      <c r="O60" s="81">
        <f t="shared" si="72"/>
        <v>74.166666666667922</v>
      </c>
      <c r="P60" s="74">
        <f t="shared" si="73"/>
        <v>0</v>
      </c>
      <c r="Q60" s="83">
        <f t="shared" si="74"/>
        <v>-56.249999999998735</v>
      </c>
      <c r="R60" s="72">
        <f t="shared" si="67"/>
        <v>0.56869009584665509</v>
      </c>
      <c r="S60" s="768"/>
      <c r="T60" s="22">
        <v>0.38888888888888901</v>
      </c>
      <c r="U60" s="22">
        <v>0.40972222222222199</v>
      </c>
      <c r="V60" s="30">
        <f t="shared" ref="V60:V63" si="75">(T60-U59)*24*60</f>
        <v>10.000000000000204</v>
      </c>
      <c r="W60" s="248">
        <f t="shared" si="23"/>
        <v>29.999999999999496</v>
      </c>
      <c r="X60" s="232"/>
      <c r="Y60" s="177"/>
      <c r="Z60" s="90"/>
      <c r="AA60" s="90"/>
      <c r="AB60" s="713" t="s">
        <v>241</v>
      </c>
      <c r="AC60" s="713"/>
      <c r="AD60" s="92"/>
      <c r="AE60" s="92"/>
      <c r="AF60" s="316">
        <f t="shared" si="68"/>
        <v>-674.99999999998499</v>
      </c>
      <c r="AG60" s="249">
        <f t="shared" si="69"/>
        <v>0.56869009584665497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75">
        <f>VLOOKUP(D61,廠價表!$C$1:$E$41,3,0)</f>
        <v>28.26</v>
      </c>
      <c r="G61" s="38">
        <v>1653</v>
      </c>
      <c r="H61" s="78">
        <f t="shared" ref="H61:H63" si="76">F61*G61</f>
        <v>46713.780000000006</v>
      </c>
      <c r="I61" s="30"/>
      <c r="J61" s="79">
        <f>VLOOKUP(D61,產線配置圖!$A$3:$C$39,2,0)</f>
        <v>12</v>
      </c>
      <c r="K61" s="80">
        <f>VLOOKUP(D61,產線配置圖!$A$3:$C$39,3,0)</f>
        <v>1565</v>
      </c>
      <c r="L61" s="81">
        <f t="shared" ref="L61:L63" si="77">K61/J61</f>
        <v>130.41666666666666</v>
      </c>
      <c r="M61" s="108">
        <v>12</v>
      </c>
      <c r="N61" s="80">
        <f t="shared" ref="N61:N63" si="78">G61/W61*60</f>
        <v>1525.8461538461536</v>
      </c>
      <c r="O61" s="81">
        <f t="shared" ref="O61:O63" si="79">N61/M61</f>
        <v>127.15384615384613</v>
      </c>
      <c r="P61" s="74">
        <f t="shared" ref="P61:P63" si="80">M61-J61</f>
        <v>0</v>
      </c>
      <c r="Q61" s="83">
        <f t="shared" ref="Q61:Q63" si="81">O61-L61</f>
        <v>-3.2628205128205252</v>
      </c>
      <c r="R61" s="72">
        <f t="shared" ref="R61:R63" si="82">O61/L61</f>
        <v>0.97498156795281388</v>
      </c>
      <c r="S61" s="719"/>
      <c r="T61" s="22">
        <v>0.4201388888888889</v>
      </c>
      <c r="U61" s="22">
        <v>0.46527777777777779</v>
      </c>
      <c r="V61" s="30">
        <f t="shared" si="75"/>
        <v>15.000000000000346</v>
      </c>
      <c r="W61" s="256">
        <f t="shared" si="23"/>
        <v>65.000000000000014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68"/>
        <v>-39.153846153846416</v>
      </c>
      <c r="AG61" s="247">
        <f t="shared" si="69"/>
        <v>0.97498156795281377</v>
      </c>
      <c r="AH61" s="725"/>
    </row>
    <row r="62" spans="1:34" ht="15" customHeight="1">
      <c r="A62" s="766"/>
      <c r="B62" s="75" t="s">
        <v>135</v>
      </c>
      <c r="C62" s="76"/>
      <c r="D62" s="175" t="s">
        <v>196</v>
      </c>
      <c r="E62" s="253"/>
      <c r="F62" s="75">
        <f>VLOOKUP(D62,廠價表!$C$1:$E$41,3,0)</f>
        <v>28.26</v>
      </c>
      <c r="G62" s="260">
        <v>1292</v>
      </c>
      <c r="H62" s="78">
        <f t="shared" si="76"/>
        <v>36511.920000000006</v>
      </c>
      <c r="I62" s="30"/>
      <c r="J62" s="79">
        <f>VLOOKUP(D62,產線配置圖!$A$3:$C$39,2,0)</f>
        <v>12</v>
      </c>
      <c r="K62" s="80">
        <f>VLOOKUP(D62,產線配置圖!$A$3:$C$39,3,0)</f>
        <v>1565</v>
      </c>
      <c r="L62" s="81">
        <f t="shared" si="77"/>
        <v>130.41666666666666</v>
      </c>
      <c r="M62" s="108">
        <v>12</v>
      </c>
      <c r="N62" s="80">
        <f t="shared" si="78"/>
        <v>1409.4545454545257</v>
      </c>
      <c r="O62" s="81">
        <f t="shared" si="79"/>
        <v>117.4545454545438</v>
      </c>
      <c r="P62" s="74">
        <f t="shared" si="80"/>
        <v>0</v>
      </c>
      <c r="Q62" s="83">
        <f t="shared" si="81"/>
        <v>-12.962121212122852</v>
      </c>
      <c r="R62" s="72">
        <f t="shared" si="82"/>
        <v>0.90060993319778004</v>
      </c>
      <c r="S62" s="719"/>
      <c r="T62" s="22">
        <v>0.47222222222222199</v>
      </c>
      <c r="U62" s="22">
        <v>0.51041666666666696</v>
      </c>
      <c r="V62" s="30">
        <f t="shared" si="75"/>
        <v>9.9999999999996447</v>
      </c>
      <c r="W62" s="248">
        <f t="shared" si="23"/>
        <v>55.000000000000767</v>
      </c>
      <c r="X62" s="22">
        <v>0.50347222222222199</v>
      </c>
      <c r="Y62" s="84">
        <v>0.54513888888888895</v>
      </c>
      <c r="Z62" s="90"/>
      <c r="AA62" s="90"/>
      <c r="AB62" s="713" t="s">
        <v>245</v>
      </c>
      <c r="AC62" s="713"/>
      <c r="AD62" s="92">
        <v>1</v>
      </c>
      <c r="AE62" s="92">
        <v>1</v>
      </c>
      <c r="AF62" s="317">
        <f>N62-K62</f>
        <v>-155.54545454547429</v>
      </c>
      <c r="AG62" s="247">
        <f>N62/K62</f>
        <v>0.90060993319778004</v>
      </c>
      <c r="AH62" s="725"/>
    </row>
    <row r="63" spans="1:34" ht="15" customHeight="1">
      <c r="A63" s="766"/>
      <c r="B63" s="258" t="s">
        <v>135</v>
      </c>
      <c r="C63" s="58"/>
      <c r="D63" s="259" t="s">
        <v>196</v>
      </c>
      <c r="E63" s="60"/>
      <c r="F63" s="75">
        <f>VLOOKUP(D63,廠價表!$C$1:$E$41,3,0)</f>
        <v>28.26</v>
      </c>
      <c r="G63" s="30">
        <v>1515</v>
      </c>
      <c r="H63" s="78">
        <f t="shared" si="76"/>
        <v>42813.9</v>
      </c>
      <c r="I63" s="30"/>
      <c r="J63" s="79">
        <f>VLOOKUP(D63,產線配置圖!$A$3:$C$39,2,0)</f>
        <v>12</v>
      </c>
      <c r="K63" s="80">
        <f>VLOOKUP(D63,產線配置圖!$A$3:$C$39,3,0)</f>
        <v>1565</v>
      </c>
      <c r="L63" s="81">
        <f t="shared" si="77"/>
        <v>130.41666666666666</v>
      </c>
      <c r="M63" s="68">
        <v>12</v>
      </c>
      <c r="N63" s="80">
        <f t="shared" si="78"/>
        <v>1514.9999999999893</v>
      </c>
      <c r="O63" s="81">
        <f t="shared" si="79"/>
        <v>126.2499999999991</v>
      </c>
      <c r="P63" s="74">
        <f t="shared" si="80"/>
        <v>0</v>
      </c>
      <c r="Q63" s="83">
        <f t="shared" si="81"/>
        <v>-4.1666666666675525</v>
      </c>
      <c r="R63" s="72">
        <f t="shared" si="82"/>
        <v>0.96805111821085588</v>
      </c>
      <c r="S63" s="719"/>
      <c r="T63" s="22">
        <v>0.5625</v>
      </c>
      <c r="U63" s="22">
        <v>0.60416666666666696</v>
      </c>
      <c r="V63" s="30">
        <f t="shared" si="75"/>
        <v>74.999999999999574</v>
      </c>
      <c r="W63" s="248">
        <f t="shared" si="23"/>
        <v>60.000000000000426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23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2"/>
      <c r="U65" s="22"/>
      <c r="V65" s="30"/>
      <c r="W65" s="73">
        <f t="shared" si="23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23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23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23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 thickBo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83">AVERAGE(J59:J68)</f>
        <v>12.2</v>
      </c>
      <c r="K69" s="240">
        <f t="shared" si="83"/>
        <v>1565</v>
      </c>
      <c r="L69" s="268">
        <f t="shared" si="83"/>
        <v>128.41025641025641</v>
      </c>
      <c r="M69" s="240">
        <f t="shared" si="83"/>
        <v>12.2</v>
      </c>
      <c r="N69" s="240">
        <f t="shared" si="83"/>
        <v>1378.7268065268033</v>
      </c>
      <c r="O69" s="268">
        <f t="shared" si="83"/>
        <v>112.90244755244728</v>
      </c>
      <c r="P69" s="269">
        <f>M69-J69</f>
        <v>0</v>
      </c>
      <c r="Q69" s="222">
        <f>N69-K69</f>
        <v>-186.27319347319667</v>
      </c>
      <c r="R69" s="123">
        <f>O69/L69</f>
        <v>0.87923231919837141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1</v>
      </c>
      <c r="AE69" s="323">
        <f>SUM(AE59:AE68)</f>
        <v>1</v>
      </c>
      <c r="AF69" s="309">
        <f>N69-K69</f>
        <v>-186.27319347319667</v>
      </c>
      <c r="AG69" s="124">
        <f>N69/K69</f>
        <v>0.88097559522479441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2744</v>
      </c>
      <c r="H70" s="243">
        <f>F70*G70</f>
        <v>139038.48000000001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997.81818181817562</v>
      </c>
      <c r="O70" s="138">
        <f>N70/M70</f>
        <v>99.781818181817556</v>
      </c>
      <c r="P70" s="56">
        <f>M70-J70</f>
        <v>0</v>
      </c>
      <c r="Q70" s="230">
        <f>O70-L70</f>
        <v>-12.718181818182444</v>
      </c>
      <c r="R70" s="52">
        <f>O70/L70</f>
        <v>0.88694949494948938</v>
      </c>
      <c r="S70" s="718">
        <f>R79</f>
        <v>0.88694949494948938</v>
      </c>
      <c r="T70" s="245">
        <v>0.33333333333333298</v>
      </c>
      <c r="U70" s="245">
        <v>0.44791666666666702</v>
      </c>
      <c r="V70" s="55"/>
      <c r="W70" s="54">
        <f t="shared" si="23"/>
        <v>165.00000000000102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-127.18181818182438</v>
      </c>
      <c r="AG70" s="246">
        <f>N70/K70</f>
        <v>0.88694949494948949</v>
      </c>
      <c r="AH70" s="724">
        <f>AG79</f>
        <v>0.88694949494948949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23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23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23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23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8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23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8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23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8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23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8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23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 thickBo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85">AVERAGE(J70:J78)</f>
        <v>10</v>
      </c>
      <c r="K79" s="240">
        <f t="shared" si="85"/>
        <v>1125</v>
      </c>
      <c r="L79" s="268">
        <f t="shared" si="85"/>
        <v>112.5</v>
      </c>
      <c r="M79" s="240">
        <f t="shared" si="85"/>
        <v>10</v>
      </c>
      <c r="N79" s="240">
        <f t="shared" si="85"/>
        <v>997.81818181817562</v>
      </c>
      <c r="O79" s="268">
        <f t="shared" si="85"/>
        <v>99.781818181817556</v>
      </c>
      <c r="P79" s="269">
        <f>M79-J79</f>
        <v>0</v>
      </c>
      <c r="Q79" s="222">
        <f>N79-K79</f>
        <v>-127.18181818182438</v>
      </c>
      <c r="R79" s="223">
        <f>O79/L79</f>
        <v>0.88694949494948938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-127.18181818182438</v>
      </c>
      <c r="AG79" s="124">
        <f>N79/K79</f>
        <v>0.88694949494948949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65" priority="1" operator="greaterThan">
      <formula>0</formula>
    </cfRule>
  </conditionalFormatting>
  <conditionalFormatting sqref="AF5:AF79 Q5:Q79">
    <cfRule type="cellIs" dxfId="64" priority="4" operator="lessThan">
      <formula>0</formula>
    </cfRule>
  </conditionalFormatting>
  <conditionalFormatting sqref="AG5:AG79 R5:R79">
    <cfRule type="cellIs" dxfId="63" priority="2" operator="greaterThan">
      <formula>1</formula>
    </cfRule>
    <cfRule type="cellIs" dxfId="62" priority="3" operator="lessThan">
      <formula>0.8</formula>
    </cfRule>
  </conditionalFormatting>
  <conditionalFormatting sqref="S5:S10 S37:S62 AH59:AH62 S69:S76 AH69:AH76">
    <cfRule type="cellIs" dxfId="61" priority="7" operator="lessThan">
      <formula>0.8</formula>
    </cfRule>
  </conditionalFormatting>
  <conditionalFormatting sqref="S19:S25 AH19:AH25">
    <cfRule type="cellIs" dxfId="60" priority="6" operator="lessThan">
      <formula>0.8</formula>
    </cfRule>
  </conditionalFormatting>
  <conditionalFormatting sqref="S79">
    <cfRule type="cellIs" dxfId="59" priority="5" operator="lessThan">
      <formula>0.8</formula>
    </cfRule>
  </conditionalFormatting>
  <conditionalFormatting sqref="AH5:AH8 S15:S16 AH15:AH16 AH49 AH79">
    <cfRule type="cellIs" dxfId="58" priority="9" operator="lessThan">
      <formula>0.8</formula>
    </cfRule>
  </conditionalFormatting>
  <conditionalFormatting sqref="AH27 S27:S28">
    <cfRule type="cellIs" dxfId="5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B41977-50A7-4616-9F95-5420D057422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E8D2-08CE-49E3-86AA-53ACD5F9888F}">
  <dimension ref="B1:O26"/>
  <sheetViews>
    <sheetView topLeftCell="B1" zoomScale="70" zoomScaleNormal="70" workbookViewId="0">
      <selection activeCell="L6" sqref="L6:O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46051</v>
      </c>
      <c r="E3" s="645"/>
      <c r="F3" s="3" t="s">
        <v>72</v>
      </c>
      <c r="G3" s="646">
        <f>'0129'!E1</f>
        <v>54574</v>
      </c>
      <c r="H3" s="646"/>
      <c r="I3" s="3" t="s">
        <v>2</v>
      </c>
      <c r="J3" s="647">
        <f>'0129'!G1</f>
        <v>2634882.4499999988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113.82607818768533</v>
      </c>
      <c r="G6" s="652"/>
      <c r="H6" s="653">
        <f>AVERAGE(D13:H13,J13)</f>
        <v>111.39538181725682</v>
      </c>
      <c r="I6" s="653"/>
      <c r="J6" s="653">
        <f>AVERAGE(I13)</f>
        <v>128.41025641025641</v>
      </c>
      <c r="K6" s="653"/>
      <c r="L6" s="769">
        <f>SUM(D18:J18)</f>
        <v>10</v>
      </c>
      <c r="M6" s="656">
        <f>SUM(D19:J19)</f>
        <v>42</v>
      </c>
      <c r="N6" s="771">
        <f>SUM(D20:J20)</f>
        <v>6</v>
      </c>
      <c r="O6" s="656">
        <f>SUM(D20:J20)</f>
        <v>6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102.79165425806619</v>
      </c>
      <c r="G7" s="676"/>
      <c r="H7" s="677">
        <f>AVERAGE(D14:H14,J14)</f>
        <v>101.56973979680369</v>
      </c>
      <c r="I7" s="677"/>
      <c r="J7" s="677">
        <f>AVERAGE(I14)</f>
        <v>110.12314102564115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0.90305891140846728</v>
      </c>
      <c r="G8" s="649"/>
      <c r="H8" s="649">
        <f>H7/H6</f>
        <v>0.91179488897868299</v>
      </c>
      <c r="I8" s="649"/>
      <c r="J8" s="649">
        <f>J7/J6</f>
        <v>0.85758835862619909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VALUE('0129'!L15)</f>
        <v>128.96533613445379</v>
      </c>
      <c r="E13" s="13">
        <f>VALUE('0129'!L26)</f>
        <v>162.2051282051282</v>
      </c>
      <c r="F13" s="13">
        <f>VALUE('0129'!L37)</f>
        <v>85.470588235294116</v>
      </c>
      <c r="G13" s="13">
        <f>VALUE('0129'!L48)</f>
        <v>87.336397058823522</v>
      </c>
      <c r="H13" s="13">
        <f>VALUE('0129'!L58)</f>
        <v>91.894841269841265</v>
      </c>
      <c r="I13" s="13">
        <f>VALUE('0129'!L69)</f>
        <v>128.41025641025641</v>
      </c>
      <c r="J13" s="13">
        <f>'0129'!L79</f>
        <v>112.5</v>
      </c>
    </row>
    <row r="14" spans="2:15" ht="39.950000000000003" customHeight="1">
      <c r="B14" s="670"/>
      <c r="C14" s="12" t="s">
        <v>100</v>
      </c>
      <c r="D14" s="13">
        <f>VALUE('0129'!O15)</f>
        <v>112.62754720486809</v>
      </c>
      <c r="E14" s="13">
        <f>VALUE('0129'!O26)</f>
        <v>148.01651959152002</v>
      </c>
      <c r="F14" s="13">
        <f>VALUE('0129'!O37)</f>
        <v>70.315562861893</v>
      </c>
      <c r="G14" s="13">
        <f>VALUE('0129'!O48)</f>
        <v>77.029456721960372</v>
      </c>
      <c r="H14" s="13">
        <f>VALUE('0129'!O58)</f>
        <v>91.236248952304564</v>
      </c>
      <c r="I14" s="13">
        <f>VALUE('0129'!O69)</f>
        <v>110.12314102564115</v>
      </c>
      <c r="J14" s="13">
        <f>'0129'!O79</f>
        <v>110.19310344827613</v>
      </c>
    </row>
    <row r="15" spans="2:15" ht="39.950000000000003" customHeight="1">
      <c r="B15" s="671"/>
      <c r="C15" s="10" t="s">
        <v>26</v>
      </c>
      <c r="D15" s="14">
        <f>D14/D13</f>
        <v>0.87331643200190934</v>
      </c>
      <c r="E15" s="14">
        <f t="shared" ref="E15:I15" si="1">E14/E13</f>
        <v>0.91252675688733498</v>
      </c>
      <c r="F15" s="14">
        <f t="shared" si="1"/>
        <v>0.82268724614740607</v>
      </c>
      <c r="G15" s="14">
        <f t="shared" si="1"/>
        <v>0.88198573923399726</v>
      </c>
      <c r="H15" s="14">
        <f t="shared" si="1"/>
        <v>0.9928331959831912</v>
      </c>
      <c r="I15" s="14">
        <f t="shared" si="1"/>
        <v>0.85758835862619909</v>
      </c>
      <c r="J15" s="15">
        <f>'0129'!S70</f>
        <v>0.97949425287356562</v>
      </c>
    </row>
    <row r="16" spans="2:15" ht="17.25" customHeight="1">
      <c r="B16" s="672" t="s">
        <v>101</v>
      </c>
      <c r="C16" s="10" t="s">
        <v>34</v>
      </c>
      <c r="D16" s="16">
        <f>'0129'!T5</f>
        <v>0.30694444444444402</v>
      </c>
      <c r="E16" s="16">
        <f>'0129'!T16</f>
        <v>0.29027777777777802</v>
      </c>
      <c r="F16" s="16">
        <f>'0129'!T27</f>
        <v>0.29166666666666702</v>
      </c>
      <c r="G16" s="16">
        <f>'0129'!T38</f>
        <v>0.33333333333333298</v>
      </c>
      <c r="H16" s="16">
        <f>'0129'!T49</f>
        <v>0.29166666666666702</v>
      </c>
      <c r="I16" s="16">
        <f>'0129'!T59</f>
        <v>0.29166666666666702</v>
      </c>
      <c r="J16" s="16">
        <f>'0129'!T70</f>
        <v>0.34027777777777801</v>
      </c>
    </row>
    <row r="17" spans="2:10" ht="17.25" customHeight="1">
      <c r="B17" s="673"/>
      <c r="C17" s="10" t="s">
        <v>35</v>
      </c>
      <c r="D17" s="16">
        <v>0.57986111111111116</v>
      </c>
      <c r="E17" s="19">
        <v>0.64722222222222225</v>
      </c>
      <c r="F17" s="19">
        <v>0.65069444444444402</v>
      </c>
      <c r="G17" s="210">
        <v>0.64236111111111105</v>
      </c>
      <c r="H17" s="21">
        <v>0.60555555555555551</v>
      </c>
      <c r="I17" s="22">
        <v>0.61111111111111105</v>
      </c>
      <c r="J17" s="22">
        <v>0.44097222222222221</v>
      </c>
    </row>
    <row r="18" spans="2:10" ht="17.25" customHeight="1">
      <c r="B18" s="674" t="s">
        <v>102</v>
      </c>
      <c r="C18" s="330" t="s">
        <v>36</v>
      </c>
      <c r="D18" s="358">
        <f>'0129'!Z15</f>
        <v>1</v>
      </c>
      <c r="E18" s="359">
        <f>'0129'!Z26</f>
        <v>1</v>
      </c>
      <c r="F18" s="359">
        <f>'0129'!Z37</f>
        <v>1</v>
      </c>
      <c r="G18" s="360">
        <f>'0129'!Z48</f>
        <v>0</v>
      </c>
      <c r="H18" s="360">
        <f>'0129'!Z58</f>
        <v>1</v>
      </c>
      <c r="I18" s="359">
        <f>'0129'!Z69</f>
        <v>1</v>
      </c>
      <c r="J18" s="359">
        <f>'0129'!AA69</f>
        <v>5</v>
      </c>
    </row>
    <row r="19" spans="2:10" ht="17.25" customHeight="1">
      <c r="B19" s="675"/>
      <c r="C19" s="330" t="s">
        <v>37</v>
      </c>
      <c r="D19" s="358">
        <f>'0129'!AA15</f>
        <v>5</v>
      </c>
      <c r="E19" s="359">
        <f>'0129'!AA26</f>
        <v>6</v>
      </c>
      <c r="F19" s="359">
        <f>'0129'!AA37</f>
        <v>18</v>
      </c>
      <c r="G19" s="360">
        <f>'0129'!AA48</f>
        <v>0</v>
      </c>
      <c r="H19" s="360">
        <f>'0129'!AA58</f>
        <v>8</v>
      </c>
      <c r="I19" s="359">
        <f>'0129'!AA69</f>
        <v>5</v>
      </c>
      <c r="J19" s="359">
        <f>'0129'!AB69</f>
        <v>0</v>
      </c>
    </row>
    <row r="20" spans="2:10" ht="17.25" customHeight="1">
      <c r="B20" s="674" t="s">
        <v>103</v>
      </c>
      <c r="C20" s="330" t="s">
        <v>36</v>
      </c>
      <c r="D20" s="358">
        <f>'0129'!AD15</f>
        <v>2</v>
      </c>
      <c r="E20" s="359">
        <f>'0129'!AD26</f>
        <v>4</v>
      </c>
      <c r="F20" s="359">
        <f>'0129'!AD37</f>
        <v>0</v>
      </c>
      <c r="G20" s="360">
        <f>'0129'!AD48</f>
        <v>0</v>
      </c>
      <c r="H20" s="360">
        <f>'0129'!AD58</f>
        <v>0</v>
      </c>
      <c r="I20" s="359">
        <f>'0129'!AD69</f>
        <v>0</v>
      </c>
      <c r="J20" s="359">
        <f>'0129'!AD79</f>
        <v>0</v>
      </c>
    </row>
    <row r="21" spans="2:10" ht="17.25" customHeight="1">
      <c r="B21" s="675"/>
      <c r="C21" s="330" t="s">
        <v>85</v>
      </c>
      <c r="D21" s="358">
        <f>'0129'!AE15</f>
        <v>2</v>
      </c>
      <c r="E21" s="359">
        <f>'0129'!AE26</f>
        <v>4</v>
      </c>
      <c r="F21" s="359">
        <f>'0129'!AE37</f>
        <v>0</v>
      </c>
      <c r="G21" s="360">
        <f>'0129'!AE48</f>
        <v>0</v>
      </c>
      <c r="H21" s="360">
        <f>'0129'!AE58</f>
        <v>0</v>
      </c>
      <c r="I21" s="359">
        <f>'0129'!AE69</f>
        <v>0</v>
      </c>
      <c r="J21" s="359">
        <f>'0129'!AE79</f>
        <v>0</v>
      </c>
    </row>
    <row r="22" spans="2:10" ht="17.25" customHeight="1">
      <c r="B22" s="658" t="s">
        <v>104</v>
      </c>
      <c r="C22" s="659"/>
      <c r="D22" s="23">
        <f>VALUE('0129'!M15)</f>
        <v>15.25</v>
      </c>
      <c r="E22" s="23">
        <f>VALUE('0129'!M26)</f>
        <v>12.8</v>
      </c>
      <c r="F22" s="23">
        <f>VALUE('0129'!M37)</f>
        <v>17</v>
      </c>
      <c r="G22" s="23">
        <f>VALUE('0129'!M48)</f>
        <v>15.75</v>
      </c>
      <c r="H22" s="23">
        <f>VALUE('0129'!M58)</f>
        <v>17</v>
      </c>
      <c r="I22" s="23">
        <f>VALUE('0129'!M69)</f>
        <v>12.2</v>
      </c>
      <c r="J22" s="23">
        <f>'0129'!M79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5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8CA9E-6499-4A18-9DD2-DDA357C723D3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A2" sqref="A1:K2"/>
      <selection pane="topRight" activeCell="A2" sqref="A1:K2"/>
      <selection pane="bottomLeft" activeCell="A2" sqref="A1:K2"/>
      <selection pane="bottomRight" activeCell="A2" sqref="A1:K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54574</v>
      </c>
      <c r="F1" s="30" t="s">
        <v>2</v>
      </c>
      <c r="G1" s="31">
        <f>SUM(H5:H79)</f>
        <v>2634882.4499999988</v>
      </c>
      <c r="H1" s="32" t="s">
        <v>3</v>
      </c>
      <c r="I1" s="33">
        <f>M15+M26+M48+M58+M69+M79+M37</f>
        <v>100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246</v>
      </c>
      <c r="B2" s="678"/>
      <c r="C2" s="28"/>
      <c r="D2" s="28" t="s">
        <v>14</v>
      </c>
      <c r="E2" s="35">
        <f>AVERAGE(O15,O26,O37,O48,O58,O69,O79)</f>
        <v>102.79165425806619</v>
      </c>
      <c r="F2" s="36" t="s">
        <v>15</v>
      </c>
      <c r="G2" s="37">
        <f>G1/E1</f>
        <v>48.280911239784487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6</v>
      </c>
      <c r="AA2" s="339">
        <f>AA15+AA26+AA37+AA48+AA58+AA69+AA79</f>
        <v>67</v>
      </c>
      <c r="AB2" s="684"/>
      <c r="AC2" s="684"/>
      <c r="AD2" s="340">
        <f>AD15+AD26+AD37+AD48+AD58+AD69+AD79</f>
        <v>6</v>
      </c>
      <c r="AE2" s="340">
        <f>AE15+AE26+AE37+AE48+AE58+AE69+AE79</f>
        <v>6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 ht="16.5" thickBot="1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1510</v>
      </c>
      <c r="H5" s="43">
        <f>F5*G5</f>
        <v>86387.1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7" si="0">K5/J5</f>
        <v>117.64705882352941</v>
      </c>
      <c r="M5" s="48">
        <v>17</v>
      </c>
      <c r="N5" s="46">
        <f t="shared" ref="N5:N7" si="1">G5/W5*60</f>
        <v>1776.4705882352728</v>
      </c>
      <c r="O5" s="47">
        <f t="shared" ref="O5:O7" si="2">N5/M5</f>
        <v>104.49826989619251</v>
      </c>
      <c r="P5" s="49">
        <f t="shared" ref="P5:P7" si="3">M5-J5</f>
        <v>0</v>
      </c>
      <c r="Q5" s="50">
        <f t="shared" ref="Q5:Q7" si="4">O5-L5</f>
        <v>-13.148788927336895</v>
      </c>
      <c r="R5" s="51">
        <f t="shared" ref="R5:R7" si="5">O5/L5</f>
        <v>0.88823529411763635</v>
      </c>
      <c r="S5" s="718">
        <f>R15</f>
        <v>0.87331643200190934</v>
      </c>
      <c r="T5" s="319">
        <v>0.30694444444444402</v>
      </c>
      <c r="U5" s="320">
        <v>0.34236111111111112</v>
      </c>
      <c r="V5" s="53"/>
      <c r="W5" s="54">
        <f t="shared" ref="W5:W14" si="6">(U5-T5)*24*60</f>
        <v>51.000000000000618</v>
      </c>
      <c r="X5" s="55"/>
      <c r="Y5" s="290"/>
      <c r="Z5" s="169">
        <v>1</v>
      </c>
      <c r="AA5" s="169">
        <v>5</v>
      </c>
      <c r="AB5" s="723" t="s">
        <v>244</v>
      </c>
      <c r="AC5" s="723"/>
      <c r="AD5" s="135"/>
      <c r="AE5" s="135"/>
      <c r="AF5" s="229">
        <f t="shared" ref="AF5:AF11" si="7">N5-K5</f>
        <v>-223.52941176472723</v>
      </c>
      <c r="AG5" s="52">
        <f t="shared" ref="AG5:AG11" si="8">N5/K5</f>
        <v>0.88823529411763635</v>
      </c>
      <c r="AH5" s="724">
        <f>AG15</f>
        <v>0.87346425308864395</v>
      </c>
    </row>
    <row r="6" spans="1:34" ht="15" customHeight="1">
      <c r="A6" s="715"/>
      <c r="B6" s="75" t="s">
        <v>81</v>
      </c>
      <c r="C6" s="76"/>
      <c r="D6" s="59" t="s">
        <v>190</v>
      </c>
      <c r="E6" s="77"/>
      <c r="F6" s="75">
        <f>VLOOKUP(D6,廠價表!$C$1:$E$41,3,0)</f>
        <v>56.28</v>
      </c>
      <c r="G6" s="66">
        <v>2206</v>
      </c>
      <c r="H6" s="78">
        <f>F6*G6</f>
        <v>124153.68000000001</v>
      </c>
      <c r="I6" s="73"/>
      <c r="J6" s="79">
        <f>VLOOKUP(D6,產線配置圖!$A$3:$C$39,2,0)</f>
        <v>16</v>
      </c>
      <c r="K6" s="80">
        <f>VLOOKUP(D6,產線配置圖!$A$3:$C$39,3,0)</f>
        <v>1800</v>
      </c>
      <c r="L6" s="81">
        <f t="shared" ref="L6" si="9">K6/J6</f>
        <v>112.5</v>
      </c>
      <c r="M6" s="82">
        <v>16</v>
      </c>
      <c r="N6" s="80">
        <f t="shared" ref="N6" si="10">G6/W6*60</f>
        <v>1539.0697674418573</v>
      </c>
      <c r="O6" s="81">
        <f t="shared" ref="O6" si="11">N6/M6</f>
        <v>96.191860465116079</v>
      </c>
      <c r="P6" s="74">
        <f t="shared" ref="P6" si="12">M6-J6</f>
        <v>0</v>
      </c>
      <c r="Q6" s="83">
        <f t="shared" ref="Q6" si="13">O6-L6</f>
        <v>-16.308139534883921</v>
      </c>
      <c r="R6" s="72">
        <f t="shared" ref="R6" si="14">O6/L6</f>
        <v>0.85503875968992071</v>
      </c>
      <c r="S6" s="719"/>
      <c r="T6" s="18">
        <v>0.34861111111111098</v>
      </c>
      <c r="U6" s="18">
        <v>0.40833333333333333</v>
      </c>
      <c r="V6" s="30">
        <f>(T6-U5)*24*60</f>
        <v>8.9999999999998082</v>
      </c>
      <c r="W6" s="73">
        <f t="shared" si="6"/>
        <v>86.000000000000171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-260.93023255814273</v>
      </c>
      <c r="AG6" s="72">
        <f t="shared" si="8"/>
        <v>0.85503875968992071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2877</v>
      </c>
      <c r="H7" s="78">
        <f>F7*G7</f>
        <v>141375.78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1876.3043478260824</v>
      </c>
      <c r="O7" s="81">
        <f t="shared" si="2"/>
        <v>134.02173913043447</v>
      </c>
      <c r="P7" s="74">
        <f t="shared" si="3"/>
        <v>0</v>
      </c>
      <c r="Q7" s="83">
        <f t="shared" si="4"/>
        <v>-8.8354037267083925</v>
      </c>
      <c r="R7" s="72">
        <f t="shared" si="5"/>
        <v>0.93815217391304129</v>
      </c>
      <c r="S7" s="719"/>
      <c r="T7" s="16">
        <v>0.41388888888888897</v>
      </c>
      <c r="U7" s="16">
        <v>0.47777777777777802</v>
      </c>
      <c r="V7" s="30">
        <f>(T7-U6)*24*60</f>
        <v>8.0000000000001315</v>
      </c>
      <c r="W7" s="73">
        <f t="shared" si="6"/>
        <v>92.000000000000227</v>
      </c>
      <c r="X7" s="22"/>
      <c r="Y7" s="84"/>
      <c r="Z7" s="90"/>
      <c r="AA7" s="90"/>
      <c r="AB7" s="713" t="s">
        <v>249</v>
      </c>
      <c r="AC7" s="713"/>
      <c r="AD7" s="92">
        <v>2</v>
      </c>
      <c r="AE7" s="92">
        <v>2</v>
      </c>
      <c r="AF7" s="307">
        <f t="shared" si="7"/>
        <v>-123.69565217391755</v>
      </c>
      <c r="AG7" s="72">
        <f t="shared" si="8"/>
        <v>0.93815217391304118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1378</v>
      </c>
      <c r="H8" s="78">
        <f>F8*G8</f>
        <v>67714.92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ref="L8" si="15">K8/J8</f>
        <v>142.85714285714286</v>
      </c>
      <c r="M8" s="82">
        <v>14</v>
      </c>
      <c r="N8" s="80">
        <f t="shared" ref="N8" si="16">G8/W8*60</f>
        <v>1621.1764705882103</v>
      </c>
      <c r="O8" s="81">
        <f t="shared" ref="O8" si="17">N8/M8</f>
        <v>115.79831932772932</v>
      </c>
      <c r="P8" s="74">
        <f t="shared" ref="P8" si="18">M8-J8</f>
        <v>0</v>
      </c>
      <c r="Q8" s="83">
        <f t="shared" ref="Q8" si="19">O8-L8</f>
        <v>-27.058823529413544</v>
      </c>
      <c r="R8" s="72">
        <f t="shared" ref="R8" si="20">O8/L8</f>
        <v>0.81058823529410517</v>
      </c>
      <c r="S8" s="719"/>
      <c r="T8" s="16">
        <v>0.54444444444444395</v>
      </c>
      <c r="U8" s="16">
        <v>0.57986111111111116</v>
      </c>
      <c r="V8" s="30">
        <f>(T8-U7)*24*60</f>
        <v>95.999999999998934</v>
      </c>
      <c r="W8" s="73">
        <f t="shared" si="6"/>
        <v>51.000000000000782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-378.82352941178965</v>
      </c>
      <c r="AG8" s="72">
        <f t="shared" si="8"/>
        <v>0.81058823529410517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 thickBo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21">AVERAGE(J5:J14)</f>
        <v>15.25</v>
      </c>
      <c r="K15" s="120">
        <f t="shared" si="21"/>
        <v>1950</v>
      </c>
      <c r="L15" s="117">
        <f t="shared" si="21"/>
        <v>128.96533613445379</v>
      </c>
      <c r="M15" s="120">
        <f t="shared" si="21"/>
        <v>15.25</v>
      </c>
      <c r="N15" s="120">
        <f t="shared" si="21"/>
        <v>1703.2552935228557</v>
      </c>
      <c r="O15" s="117">
        <f t="shared" si="21"/>
        <v>112.62754720486809</v>
      </c>
      <c r="P15" s="121">
        <f t="shared" ref="P15:P18" si="22">M15-J15</f>
        <v>0</v>
      </c>
      <c r="Q15" s="122">
        <f t="shared" ref="Q15:Q18" si="23">O15-L15</f>
        <v>-16.337788929585699</v>
      </c>
      <c r="R15" s="123">
        <f t="shared" ref="R15:R18" si="24">O15/L15</f>
        <v>0.87331643200190934</v>
      </c>
      <c r="S15" s="72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5</v>
      </c>
      <c r="AB15" s="730"/>
      <c r="AC15" s="730"/>
      <c r="AD15" s="323">
        <f>SUM(AD5:AD14)</f>
        <v>2</v>
      </c>
      <c r="AE15" s="323">
        <f>SUM(AE5:AE14)</f>
        <v>2</v>
      </c>
      <c r="AF15" s="309">
        <f t="shared" ref="AF15:AF19" si="25">N15-K15</f>
        <v>-246.74470647714429</v>
      </c>
      <c r="AG15" s="124">
        <f t="shared" ref="AG15:AG19" si="26">N15/K15</f>
        <v>0.87346425308864395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1974</v>
      </c>
      <c r="H16" s="134">
        <f>F16*G16</f>
        <v>112932.54000000001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27">K16/J16</f>
        <v>161.92307692307693</v>
      </c>
      <c r="M16" s="139">
        <v>14</v>
      </c>
      <c r="N16" s="140">
        <f t="shared" ref="N16:N18" si="28">G16/W16*60</f>
        <v>1692.0000000000043</v>
      </c>
      <c r="O16" s="141">
        <f>N16/M16</f>
        <v>120.85714285714316</v>
      </c>
      <c r="P16" s="142">
        <f>M16-J16</f>
        <v>1</v>
      </c>
      <c r="Q16" s="143">
        <f t="shared" si="23"/>
        <v>-41.065934065933774</v>
      </c>
      <c r="R16" s="144">
        <f>O16/L16</f>
        <v>0.74638615541228548</v>
      </c>
      <c r="S16" s="734">
        <f>R26</f>
        <v>0.91252675688733498</v>
      </c>
      <c r="T16" s="145">
        <v>0.29027777777777802</v>
      </c>
      <c r="U16" s="145">
        <v>0.33888888888888902</v>
      </c>
      <c r="V16" s="135"/>
      <c r="W16" s="146">
        <f t="shared" ref="W16:W78" si="29">(U16-T16)*24*60</f>
        <v>69.999999999999829</v>
      </c>
      <c r="X16" s="141"/>
      <c r="Y16" s="296"/>
      <c r="Z16" s="169">
        <v>1</v>
      </c>
      <c r="AA16" s="169">
        <v>6</v>
      </c>
      <c r="AB16" s="723" t="s">
        <v>250</v>
      </c>
      <c r="AC16" s="723"/>
      <c r="AD16" s="135"/>
      <c r="AE16" s="135"/>
      <c r="AF16" s="229">
        <f t="shared" si="25"/>
        <v>-412.99999999999568</v>
      </c>
      <c r="AG16" s="52">
        <f t="shared" si="26"/>
        <v>0.80380047505938446</v>
      </c>
      <c r="AH16" s="724">
        <f>AG26</f>
        <v>0.9227648140846012</v>
      </c>
    </row>
    <row r="17" spans="1:34" ht="15" customHeight="1">
      <c r="A17" s="741"/>
      <c r="B17" s="75" t="s">
        <v>81</v>
      </c>
      <c r="C17" s="76"/>
      <c r="D17" s="59" t="s">
        <v>123</v>
      </c>
      <c r="E17" s="77"/>
      <c r="F17" s="75">
        <f>VLOOKUP(D17,廠價表!$C$1:$E$41,3,0)</f>
        <v>50.67</v>
      </c>
      <c r="G17" s="147">
        <v>3362</v>
      </c>
      <c r="H17" s="78">
        <f>F17*G17</f>
        <v>170352.54</v>
      </c>
      <c r="I17" s="30"/>
      <c r="J17" s="79">
        <f>VLOOKUP(D17,產線配置圖!$A$3:$C$39,2,0)</f>
        <v>13</v>
      </c>
      <c r="K17" s="80">
        <f>VLOOKUP(D17,產線配置圖!$A$3:$C$39,3,0)</f>
        <v>2000</v>
      </c>
      <c r="L17" s="81">
        <f t="shared" si="27"/>
        <v>153.84615384615384</v>
      </c>
      <c r="M17" s="148">
        <v>13</v>
      </c>
      <c r="N17" s="95">
        <f>G17/W17*60</f>
        <v>1867.7777777777776</v>
      </c>
      <c r="O17" s="96">
        <f t="shared" ref="O17:O18" si="30">N17/M17</f>
        <v>143.67521367521366</v>
      </c>
      <c r="P17" s="97">
        <f t="shared" si="22"/>
        <v>0</v>
      </c>
      <c r="Q17" s="98">
        <f t="shared" si="23"/>
        <v>-10.170940170940185</v>
      </c>
      <c r="R17" s="99">
        <f t="shared" si="24"/>
        <v>0.93388888888888877</v>
      </c>
      <c r="S17" s="735"/>
      <c r="T17" s="19">
        <v>0.34722222222222199</v>
      </c>
      <c r="U17" s="19">
        <v>0.422222222222222</v>
      </c>
      <c r="V17" s="30">
        <f>(T17-U16)*24*60</f>
        <v>11.999999999999478</v>
      </c>
      <c r="W17" s="149">
        <f t="shared" si="29"/>
        <v>108.00000000000001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25"/>
        <v>-132.2222222222224</v>
      </c>
      <c r="AG17" s="72">
        <f t="shared" si="26"/>
        <v>0.93388888888888877</v>
      </c>
      <c r="AH17" s="725"/>
    </row>
    <row r="18" spans="1:34" ht="15" customHeight="1">
      <c r="A18" s="741"/>
      <c r="B18" s="75" t="s">
        <v>81</v>
      </c>
      <c r="C18" s="76"/>
      <c r="D18" s="59" t="s">
        <v>124</v>
      </c>
      <c r="E18" s="77"/>
      <c r="F18" s="75">
        <f>VLOOKUP(D18,廠價表!$C$1:$E$41,3,0)</f>
        <v>50.39</v>
      </c>
      <c r="G18" s="147">
        <v>2299</v>
      </c>
      <c r="H18" s="78">
        <f>F18*G18</f>
        <v>115846.61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27"/>
        <v>166.66666666666666</v>
      </c>
      <c r="M18" s="148">
        <v>12</v>
      </c>
      <c r="N18" s="95">
        <f t="shared" si="28"/>
        <v>1970.5714285714332</v>
      </c>
      <c r="O18" s="96">
        <f t="shared" si="30"/>
        <v>164.21428571428609</v>
      </c>
      <c r="P18" s="97">
        <f t="shared" si="22"/>
        <v>0</v>
      </c>
      <c r="Q18" s="98">
        <f t="shared" si="23"/>
        <v>-2.4523809523805653</v>
      </c>
      <c r="R18" s="99">
        <f t="shared" si="24"/>
        <v>0.98528571428571665</v>
      </c>
      <c r="S18" s="735"/>
      <c r="T18" s="19">
        <v>0.43055555555555602</v>
      </c>
      <c r="U18" s="19">
        <v>0.47916666666666702</v>
      </c>
      <c r="V18" s="30">
        <f>(T18-U17)*24*60</f>
        <v>12.000000000000997</v>
      </c>
      <c r="W18" s="149">
        <f t="shared" si="29"/>
        <v>69.999999999999829</v>
      </c>
      <c r="X18" s="22">
        <v>0.48611111111111099</v>
      </c>
      <c r="Y18" s="84">
        <v>0.52777777777777801</v>
      </c>
      <c r="Z18" s="90"/>
      <c r="AA18" s="90"/>
      <c r="AB18" s="713" t="s">
        <v>249</v>
      </c>
      <c r="AC18" s="713"/>
      <c r="AD18" s="92">
        <v>3</v>
      </c>
      <c r="AE18" s="92">
        <v>3</v>
      </c>
      <c r="AF18" s="307">
        <f t="shared" si="25"/>
        <v>-29.428571428566784</v>
      </c>
      <c r="AG18" s="72">
        <f t="shared" si="26"/>
        <v>0.98528571428571665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2063</v>
      </c>
      <c r="H19" s="78">
        <f t="shared" ref="H19:H20" si="31">F19*G19</f>
        <v>103954.57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0" si="32">K19/J19</f>
        <v>166.66666666666666</v>
      </c>
      <c r="M19" s="148">
        <v>12</v>
      </c>
      <c r="N19" s="95">
        <f t="shared" ref="N19:N20" si="33">G19/W19*60</f>
        <v>1875.4545454545569</v>
      </c>
      <c r="O19" s="96">
        <f t="shared" ref="O19:O20" si="34">N19/M19</f>
        <v>156.28787878787975</v>
      </c>
      <c r="P19" s="97">
        <f t="shared" ref="P19:P20" si="35">M19-J19</f>
        <v>0</v>
      </c>
      <c r="Q19" s="98">
        <f t="shared" ref="Q19:Q20" si="36">O19-L19</f>
        <v>-10.378787878786909</v>
      </c>
      <c r="R19" s="99">
        <f t="shared" ref="R19:R20" si="37">O19/L19</f>
        <v>0.93772727272727852</v>
      </c>
      <c r="S19" s="735"/>
      <c r="T19" s="19">
        <v>0.54166666666666696</v>
      </c>
      <c r="U19" s="19">
        <v>0.58750000000000002</v>
      </c>
      <c r="V19" s="30">
        <f>(T19-U18)*24*60</f>
        <v>89.999999999999915</v>
      </c>
      <c r="W19" s="149">
        <f t="shared" si="29"/>
        <v>65.999999999999602</v>
      </c>
      <c r="X19" s="22"/>
      <c r="Y19" s="84"/>
      <c r="Z19" s="90"/>
      <c r="AA19" s="90"/>
      <c r="AB19" s="728"/>
      <c r="AC19" s="728"/>
      <c r="AD19" s="149"/>
      <c r="AE19" s="149"/>
      <c r="AF19" s="307">
        <f t="shared" si="25"/>
        <v>-124.54545454544314</v>
      </c>
      <c r="AG19" s="72">
        <f t="shared" si="26"/>
        <v>0.9377272727272784</v>
      </c>
      <c r="AH19" s="726"/>
    </row>
    <row r="20" spans="1:34" ht="15" customHeight="1">
      <c r="A20" s="741"/>
      <c r="B20" s="75" t="s">
        <v>81</v>
      </c>
      <c r="C20" s="76"/>
      <c r="D20" s="59" t="s">
        <v>121</v>
      </c>
      <c r="E20" s="77"/>
      <c r="F20" s="75">
        <f>VLOOKUP(D20,廠價表!$C$1:$E$41,3,0)</f>
        <v>57.21</v>
      </c>
      <c r="G20" s="147">
        <v>2150</v>
      </c>
      <c r="H20" s="78">
        <f t="shared" si="31"/>
        <v>123001.5</v>
      </c>
      <c r="I20" s="30"/>
      <c r="J20" s="79">
        <f>VLOOKUP(D20,產線配置圖!$A$3:$C$39,2,0)</f>
        <v>13</v>
      </c>
      <c r="K20" s="80">
        <f>VLOOKUP(D20,產線配置圖!$A$3:$C$39,3,0)</f>
        <v>2105</v>
      </c>
      <c r="L20" s="81">
        <f t="shared" si="32"/>
        <v>161.92307692307693</v>
      </c>
      <c r="M20" s="148">
        <v>13</v>
      </c>
      <c r="N20" s="95">
        <f t="shared" si="33"/>
        <v>2015.6250000000073</v>
      </c>
      <c r="O20" s="96">
        <f t="shared" si="34"/>
        <v>155.04807692307747</v>
      </c>
      <c r="P20" s="97">
        <f t="shared" si="35"/>
        <v>0</v>
      </c>
      <c r="Q20" s="98">
        <f t="shared" si="36"/>
        <v>-6.87499999999946</v>
      </c>
      <c r="R20" s="99">
        <f t="shared" si="37"/>
        <v>0.95754156769596532</v>
      </c>
      <c r="S20" s="735"/>
      <c r="T20" s="19">
        <v>0.60277777777777797</v>
      </c>
      <c r="U20" s="19">
        <v>0.64722222222222225</v>
      </c>
      <c r="V20" s="30">
        <f>(T20-U19)*24*60</f>
        <v>22.000000000000242</v>
      </c>
      <c r="W20" s="149">
        <f t="shared" si="29"/>
        <v>63.999999999999773</v>
      </c>
      <c r="X20" s="19"/>
      <c r="Y20" s="297"/>
      <c r="Z20" s="90"/>
      <c r="AA20" s="90"/>
      <c r="AB20" s="713" t="s">
        <v>249</v>
      </c>
      <c r="AC20" s="713"/>
      <c r="AD20" s="92">
        <v>1</v>
      </c>
      <c r="AE20" s="92">
        <v>1</v>
      </c>
      <c r="AF20" s="307"/>
      <c r="AG20" s="72"/>
      <c r="AH20" s="726"/>
    </row>
    <row r="21" spans="1:34" ht="15" customHeight="1">
      <c r="A21" s="742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35"/>
      <c r="T21" s="150"/>
      <c r="U21" s="150"/>
      <c r="V21" s="30"/>
      <c r="W21" s="149">
        <f t="shared" si="29"/>
        <v>0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50"/>
      <c r="U22" s="150"/>
      <c r="V22" s="92"/>
      <c r="W22" s="149"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29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38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29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38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29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 thickBo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39">AVERAGE(J16:J25)</f>
        <v>12.6</v>
      </c>
      <c r="K26" s="155">
        <f t="shared" si="39"/>
        <v>2042</v>
      </c>
      <c r="L26" s="158">
        <f t="shared" si="39"/>
        <v>162.2051282051282</v>
      </c>
      <c r="M26" s="155">
        <f t="shared" si="39"/>
        <v>12.8</v>
      </c>
      <c r="N26" s="155">
        <f t="shared" si="39"/>
        <v>1884.2857503607556</v>
      </c>
      <c r="O26" s="158">
        <f t="shared" si="39"/>
        <v>148.01651959152002</v>
      </c>
      <c r="P26" s="159">
        <f t="shared" ref="P26:P29" si="40">M26-J26</f>
        <v>0.20000000000000107</v>
      </c>
      <c r="Q26" s="160">
        <f t="shared" ref="Q26:Q29" si="41">O26-L26</f>
        <v>-14.188608613608181</v>
      </c>
      <c r="R26" s="161">
        <f>O26/L26</f>
        <v>0.91252675688733498</v>
      </c>
      <c r="S26" s="736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6</v>
      </c>
      <c r="AB26" s="730"/>
      <c r="AC26" s="730"/>
      <c r="AD26" s="323">
        <f>SUM(AD16:AD25)</f>
        <v>4</v>
      </c>
      <c r="AE26" s="323">
        <f>SUM(AE16:AE25)</f>
        <v>4</v>
      </c>
      <c r="AF26" s="309">
        <f t="shared" ref="AF26:AF31" si="42">N26-K26</f>
        <v>-157.71424963924437</v>
      </c>
      <c r="AG26" s="124">
        <f t="shared" ref="AG26:AG31" si="43">N26/K26</f>
        <v>0.9227648140846012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1982</v>
      </c>
      <c r="H27" s="134">
        <f>F27*G27</f>
        <v>113568.59999999999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44">K27/J27</f>
        <v>88.235294117647058</v>
      </c>
      <c r="M27" s="170">
        <v>17</v>
      </c>
      <c r="N27" s="140">
        <f>G27/W27*60</f>
        <v>1238.7500000000127</v>
      </c>
      <c r="O27" s="141">
        <f>N27/M27</f>
        <v>72.867647058824275</v>
      </c>
      <c r="P27" s="142">
        <f t="shared" si="40"/>
        <v>0</v>
      </c>
      <c r="Q27" s="143">
        <f t="shared" si="41"/>
        <v>-15.367647058822783</v>
      </c>
      <c r="R27" s="144">
        <f>O27/L27</f>
        <v>0.82583333333334175</v>
      </c>
      <c r="S27" s="734">
        <f>R37</f>
        <v>0.82268724614740607</v>
      </c>
      <c r="T27" s="171">
        <v>0.29166666666666702</v>
      </c>
      <c r="U27" s="171">
        <v>0.358333333333333</v>
      </c>
      <c r="V27" s="135"/>
      <c r="W27" s="146">
        <f t="shared" si="29"/>
        <v>95.999999999999019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42"/>
        <v>-261.24999999998727</v>
      </c>
      <c r="AG27" s="172">
        <f t="shared" si="43"/>
        <v>0.82583333333334186</v>
      </c>
      <c r="AH27" s="724">
        <f>AG37</f>
        <v>0.82268724614740596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1669</v>
      </c>
      <c r="H28" s="91">
        <f>F28*G28</f>
        <v>92011.97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44"/>
        <v>81.470588235294116</v>
      </c>
      <c r="M28" s="94">
        <v>17</v>
      </c>
      <c r="N28" s="95">
        <f>G28/W28*60</f>
        <v>1100.4395604395509</v>
      </c>
      <c r="O28" s="96">
        <f>N28/M28</f>
        <v>64.731738849385351</v>
      </c>
      <c r="P28" s="97">
        <f t="shared" si="40"/>
        <v>0</v>
      </c>
      <c r="Q28" s="98">
        <f t="shared" si="41"/>
        <v>-16.738849385908765</v>
      </c>
      <c r="R28" s="99">
        <f t="shared" ref="R28:R29" si="45">O28/L28</f>
        <v>0.79454119887332197</v>
      </c>
      <c r="S28" s="735"/>
      <c r="T28" s="19">
        <v>0.36458333333333298</v>
      </c>
      <c r="U28" s="19">
        <v>0.42777777777777798</v>
      </c>
      <c r="V28" s="92">
        <f>(T28-U27)*24*60</f>
        <v>8.999999999999968</v>
      </c>
      <c r="W28" s="149">
        <f t="shared" si="29"/>
        <v>91.000000000000796</v>
      </c>
      <c r="X28" s="174"/>
      <c r="Y28" s="301"/>
      <c r="Z28" s="335"/>
      <c r="AA28" s="335"/>
      <c r="AB28" s="713" t="s">
        <v>248</v>
      </c>
      <c r="AC28" s="713"/>
      <c r="AD28" s="92"/>
      <c r="AE28" s="92"/>
      <c r="AF28" s="311">
        <f t="shared" si="42"/>
        <v>-284.56043956044914</v>
      </c>
      <c r="AG28" s="99">
        <f t="shared" si="43"/>
        <v>0.79454119887332197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1207</v>
      </c>
      <c r="H29" s="91">
        <f>F29*G29</f>
        <v>59770.640000000007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44"/>
        <v>84.705882352941174</v>
      </c>
      <c r="M29" s="94">
        <v>17</v>
      </c>
      <c r="N29" s="95">
        <f>G29/W29*60</f>
        <v>1187.2131147541118</v>
      </c>
      <c r="O29" s="96">
        <f>N29/M29</f>
        <v>69.836065573771279</v>
      </c>
      <c r="P29" s="97">
        <f t="shared" si="40"/>
        <v>0</v>
      </c>
      <c r="Q29" s="98">
        <f t="shared" si="41"/>
        <v>-14.869816779169895</v>
      </c>
      <c r="R29" s="99">
        <f t="shared" si="45"/>
        <v>0.82445355191257763</v>
      </c>
      <c r="S29" s="735"/>
      <c r="T29" s="19">
        <v>0.43333333333333335</v>
      </c>
      <c r="U29" s="19">
        <v>0.47569444444444398</v>
      </c>
      <c r="V29" s="92">
        <f>(T29-U28)*24*60</f>
        <v>7.9999999999997318</v>
      </c>
      <c r="W29" s="149">
        <f t="shared" si="29"/>
        <v>60.999999999999304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42"/>
        <v>-252.78688524588824</v>
      </c>
      <c r="AG29" s="99">
        <f t="shared" si="43"/>
        <v>0.82445355191257763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800</v>
      </c>
      <c r="H30" s="91">
        <f t="shared" ref="H30:H31" si="46">F30*G30</f>
        <v>39616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:L31" si="47">K30/J30</f>
        <v>84.705882352941174</v>
      </c>
      <c r="M30" s="94">
        <v>17</v>
      </c>
      <c r="N30" s="95">
        <f t="shared" ref="N30:N31" si="48">G30/W30*60</f>
        <v>1199.9999999999898</v>
      </c>
      <c r="O30" s="96">
        <f t="shared" ref="O30:O31" si="49">N30/M30</f>
        <v>70.588235294117041</v>
      </c>
      <c r="P30" s="97">
        <f t="shared" ref="P30:P31" si="50">M30-J30</f>
        <v>0</v>
      </c>
      <c r="Q30" s="98">
        <f t="shared" ref="Q30:Q31" si="51">O30-L30</f>
        <v>-14.117647058824133</v>
      </c>
      <c r="R30" s="99">
        <f t="shared" ref="R30:R31" si="52">O30/L30</f>
        <v>0.83333333333332615</v>
      </c>
      <c r="S30" s="735"/>
      <c r="T30" s="19">
        <v>0.53472222222222199</v>
      </c>
      <c r="U30" s="19">
        <v>0.5625</v>
      </c>
      <c r="V30" s="92">
        <f>(T30-U29)*24*60</f>
        <v>85.000000000000341</v>
      </c>
      <c r="W30" s="149">
        <f t="shared" si="29"/>
        <v>40.000000000000341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42"/>
        <v>-240.00000000001023</v>
      </c>
      <c r="AG30" s="99">
        <f t="shared" si="43"/>
        <v>0.83333333333332626</v>
      </c>
      <c r="AH30" s="745"/>
    </row>
    <row r="31" spans="1:34" ht="15" customHeight="1">
      <c r="A31" s="732"/>
      <c r="B31" s="75" t="s">
        <v>81</v>
      </c>
      <c r="C31" s="88"/>
      <c r="D31" s="59" t="s">
        <v>125</v>
      </c>
      <c r="E31" s="89"/>
      <c r="F31" s="75">
        <f>VLOOKUP(D31,廠價表!$C$1:$E$41,3,0)</f>
        <v>57.3</v>
      </c>
      <c r="G31" s="90">
        <v>2480</v>
      </c>
      <c r="H31" s="91">
        <f t="shared" si="46"/>
        <v>142104</v>
      </c>
      <c r="I31" s="92"/>
      <c r="J31" s="79">
        <f>VLOOKUP(D31,產線配置圖!$A$3:$C$39,2,0)</f>
        <v>17</v>
      </c>
      <c r="K31" s="80">
        <f>VLOOKUP(D31,產線配置圖!$A$3:$C$39,3,0)</f>
        <v>1500</v>
      </c>
      <c r="L31" s="93">
        <f t="shared" si="47"/>
        <v>88.235294117647058</v>
      </c>
      <c r="M31" s="94">
        <v>17</v>
      </c>
      <c r="N31" s="95">
        <f t="shared" si="48"/>
        <v>1250.4201680672397</v>
      </c>
      <c r="O31" s="96">
        <f t="shared" si="49"/>
        <v>73.554127533367037</v>
      </c>
      <c r="P31" s="97">
        <f t="shared" si="50"/>
        <v>0</v>
      </c>
      <c r="Q31" s="98">
        <f t="shared" si="51"/>
        <v>-14.681166584280021</v>
      </c>
      <c r="R31" s="99">
        <f t="shared" si="52"/>
        <v>0.83361344537815973</v>
      </c>
      <c r="S31" s="735"/>
      <c r="T31" s="19">
        <v>0.56805555555555598</v>
      </c>
      <c r="U31" s="19">
        <v>0.65069444444444402</v>
      </c>
      <c r="V31" s="92"/>
      <c r="W31" s="149">
        <f t="shared" si="29"/>
        <v>118.99999999999878</v>
      </c>
      <c r="X31" s="174"/>
      <c r="Y31" s="301"/>
      <c r="Z31" s="335">
        <v>1</v>
      </c>
      <c r="AA31" s="335">
        <v>18</v>
      </c>
      <c r="AB31" s="713" t="s">
        <v>251</v>
      </c>
      <c r="AC31" s="713"/>
      <c r="AD31" s="92"/>
      <c r="AE31" s="92"/>
      <c r="AF31" s="312">
        <f t="shared" si="42"/>
        <v>-249.57983193276027</v>
      </c>
      <c r="AG31" s="99">
        <f t="shared" si="43"/>
        <v>0.83361344537815985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50"/>
      <c r="U32" s="150"/>
      <c r="V32" s="92"/>
      <c r="W32" s="149">
        <f t="shared" si="29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29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29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29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53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29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 thickBo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54">AVERAGE(J27:J36)</f>
        <v>17</v>
      </c>
      <c r="K37" s="155">
        <f t="shared" si="54"/>
        <v>1453</v>
      </c>
      <c r="L37" s="158">
        <f t="shared" si="54"/>
        <v>85.470588235294116</v>
      </c>
      <c r="M37" s="155">
        <f t="shared" si="54"/>
        <v>17</v>
      </c>
      <c r="N37" s="155">
        <f t="shared" si="54"/>
        <v>1195.3645686521809</v>
      </c>
      <c r="O37" s="158">
        <f t="shared" si="54"/>
        <v>70.315562861893</v>
      </c>
      <c r="P37" s="159">
        <f>M37-J37</f>
        <v>0</v>
      </c>
      <c r="Q37" s="160">
        <f>N37-K37</f>
        <v>-257.63543134781912</v>
      </c>
      <c r="R37" s="161">
        <f t="shared" ref="R37:R40" si="55">O37/L37</f>
        <v>0.82268724614740607</v>
      </c>
      <c r="S37" s="736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18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56">N37-K37</f>
        <v>-257.63543134781912</v>
      </c>
      <c r="AG37" s="124">
        <f t="shared" ref="AG37:AG41" si="57">N37/K37</f>
        <v>0.82268724614740596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1159</v>
      </c>
      <c r="H38" s="134">
        <f>F38*G38</f>
        <v>65402.37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58">K38/J38</f>
        <v>87.875</v>
      </c>
      <c r="M38" s="190">
        <v>14</v>
      </c>
      <c r="N38" s="140">
        <f>G38/W38*60</f>
        <v>993.42857142857372</v>
      </c>
      <c r="O38" s="141">
        <f>N38/M38</f>
        <v>70.959183673469553</v>
      </c>
      <c r="P38" s="142">
        <f t="shared" ref="P38:P40" si="59">M38-J38</f>
        <v>-2</v>
      </c>
      <c r="Q38" s="143">
        <f t="shared" ref="Q38:Q40" si="60">O38-L38</f>
        <v>-16.915816326530447</v>
      </c>
      <c r="R38" s="144">
        <f>O38/L38</f>
        <v>0.80750137892995222</v>
      </c>
      <c r="S38" s="756">
        <f>R48</f>
        <v>0.88198573923399726</v>
      </c>
      <c r="T38" s="191">
        <v>0.33333333333333298</v>
      </c>
      <c r="U38" s="191">
        <v>0.38194444444444398</v>
      </c>
      <c r="V38" s="192"/>
      <c r="W38" s="193">
        <f t="shared" si="29"/>
        <v>69.999999999999829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56"/>
        <v>-412.57142857142628</v>
      </c>
      <c r="AG38" s="195">
        <f t="shared" si="57"/>
        <v>0.70656370656370815</v>
      </c>
      <c r="AH38" s="746">
        <f>AG48</f>
        <v>0.83232963098753376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2207</v>
      </c>
      <c r="H39" s="91">
        <f>F39*G39</f>
        <v>110151.37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58"/>
        <v>92.058823529411768</v>
      </c>
      <c r="M39" s="201">
        <v>17</v>
      </c>
      <c r="N39" s="202">
        <f>G39/W39*60</f>
        <v>1393.8947368421077</v>
      </c>
      <c r="O39" s="203">
        <f t="shared" ref="O39:O40" si="61">N39/M39</f>
        <v>81.993808049535744</v>
      </c>
      <c r="P39" s="97">
        <f t="shared" si="59"/>
        <v>0</v>
      </c>
      <c r="Q39" s="98">
        <f t="shared" si="60"/>
        <v>-10.065015479876024</v>
      </c>
      <c r="R39" s="99">
        <f t="shared" si="55"/>
        <v>0.89066756347738507</v>
      </c>
      <c r="S39" s="757"/>
      <c r="T39" s="20">
        <v>0.38888888888888901</v>
      </c>
      <c r="U39" s="20">
        <v>0.4548611111111111</v>
      </c>
      <c r="V39" s="92">
        <f>(T39-U38)*24*60</f>
        <v>10.000000000000844</v>
      </c>
      <c r="W39" s="205">
        <f t="shared" si="29"/>
        <v>94.999999999999829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56"/>
        <v>-171.1052631578923</v>
      </c>
      <c r="AG39" s="206">
        <f t="shared" si="57"/>
        <v>0.89066756347738507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1223</v>
      </c>
      <c r="H40" s="91">
        <f>F40*G40</f>
        <v>54178.899999999994</v>
      </c>
      <c r="I40" s="200"/>
      <c r="J40" s="148">
        <v>17</v>
      </c>
      <c r="K40" s="95">
        <f>VLOOKUP(D40,產線配置圖!$A$3:$C$39,3,0)</f>
        <v>1440</v>
      </c>
      <c r="L40" s="96">
        <f t="shared" si="58"/>
        <v>84.705882352941174</v>
      </c>
      <c r="M40" s="201">
        <v>16</v>
      </c>
      <c r="N40" s="202">
        <f>G40/W40*60</f>
        <v>1128.9230769231003</v>
      </c>
      <c r="O40" s="203">
        <f t="shared" si="61"/>
        <v>70.55769230769377</v>
      </c>
      <c r="P40" s="97">
        <f t="shared" si="59"/>
        <v>-1</v>
      </c>
      <c r="Q40" s="98">
        <f t="shared" si="60"/>
        <v>-14.148190045247404</v>
      </c>
      <c r="R40" s="99">
        <f t="shared" si="55"/>
        <v>0.83297275641027368</v>
      </c>
      <c r="S40" s="719"/>
      <c r="T40" s="20">
        <v>0.46180555555555602</v>
      </c>
      <c r="U40" s="20">
        <v>0.50694444444444398</v>
      </c>
      <c r="V40" s="92">
        <f>(T40-U39)*24*60</f>
        <v>10.000000000000684</v>
      </c>
      <c r="W40" s="205">
        <f t="shared" si="29"/>
        <v>64.99999999999865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56"/>
        <v>-311.07692307689967</v>
      </c>
      <c r="AG40" s="206">
        <f t="shared" si="57"/>
        <v>0.78397435897437517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2369</v>
      </c>
      <c r="H41" s="91">
        <f>F41*G41</f>
        <v>104946.7</v>
      </c>
      <c r="I41" s="200"/>
      <c r="J41" s="148">
        <v>17</v>
      </c>
      <c r="K41" s="95">
        <f>VLOOKUP(D41,產線配置圖!$A$3:$C$39,3,0)</f>
        <v>1440</v>
      </c>
      <c r="L41" s="96">
        <f t="shared" ref="L41" si="62">K41/J41</f>
        <v>84.705882352941174</v>
      </c>
      <c r="M41" s="201">
        <v>16</v>
      </c>
      <c r="N41" s="202">
        <f>G41/W41*60</f>
        <v>1353.714285714278</v>
      </c>
      <c r="O41" s="203">
        <f t="shared" ref="O41" si="63">N41/M41</f>
        <v>84.607142857142378</v>
      </c>
      <c r="P41" s="97">
        <f t="shared" ref="P41" si="64">M41-J41</f>
        <v>-1</v>
      </c>
      <c r="Q41" s="98">
        <f t="shared" ref="Q41" si="65">O41-L41</f>
        <v>-9.8739495798795929E-2</v>
      </c>
      <c r="R41" s="99">
        <f t="shared" ref="R41" si="66">O41/L41</f>
        <v>0.99883432539681982</v>
      </c>
      <c r="S41" s="719"/>
      <c r="T41" s="20">
        <v>0.56944444444444398</v>
      </c>
      <c r="U41" s="210">
        <v>0.64236111111111105</v>
      </c>
      <c r="V41" s="92">
        <f>(T41-U40)*24*60</f>
        <v>90</v>
      </c>
      <c r="W41" s="205">
        <f t="shared" si="29"/>
        <v>105.00000000000058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56"/>
        <v>-86.285714285721951</v>
      </c>
      <c r="AG41" s="206">
        <f t="shared" si="57"/>
        <v>0.94007936507935974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29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67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67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67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53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67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 thickBo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68">AVERAGE(J38:J47)</f>
        <v>16.75</v>
      </c>
      <c r="K48" s="155">
        <f t="shared" si="68"/>
        <v>1462.75</v>
      </c>
      <c r="L48" s="158">
        <f t="shared" si="68"/>
        <v>87.336397058823522</v>
      </c>
      <c r="M48" s="155">
        <f t="shared" si="68"/>
        <v>15.75</v>
      </c>
      <c r="N48" s="155">
        <f t="shared" si="68"/>
        <v>1217.490167727015</v>
      </c>
      <c r="O48" s="158">
        <f t="shared" si="68"/>
        <v>77.029456721960372</v>
      </c>
      <c r="P48" s="221">
        <f>M48-J48</f>
        <v>-1</v>
      </c>
      <c r="Q48" s="222">
        <f>N48-K48</f>
        <v>-245.25983227298502</v>
      </c>
      <c r="R48" s="223">
        <f>O48/L48</f>
        <v>0.88198573923399726</v>
      </c>
      <c r="S48" s="722"/>
      <c r="T48" s="224"/>
      <c r="U48" s="224"/>
      <c r="V48" s="225"/>
      <c r="W48" s="226">
        <f t="shared" si="67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69">N48-K48</f>
        <v>-245.25983227298502</v>
      </c>
      <c r="AG48" s="162">
        <f t="shared" ref="AG48:AG53" si="70">N48/K48</f>
        <v>0.83232963098753376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1212</v>
      </c>
      <c r="H49" s="134">
        <f>F49*G49</f>
        <v>68926.44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71">K49/J49</f>
        <v>86.944444444444443</v>
      </c>
      <c r="M49" s="170">
        <v>18</v>
      </c>
      <c r="N49" s="140">
        <f>G49/W49*60</f>
        <v>1547.2340425532075</v>
      </c>
      <c r="O49" s="141">
        <f>N49/M49</f>
        <v>85.95744680851152</v>
      </c>
      <c r="P49" s="229">
        <f>M49-J49</f>
        <v>0</v>
      </c>
      <c r="Q49" s="230">
        <f>O49-L49</f>
        <v>-0.98699763593292289</v>
      </c>
      <c r="R49" s="52">
        <f>O49/L49</f>
        <v>0.98864795051323151</v>
      </c>
      <c r="S49" s="718">
        <f>R58</f>
        <v>0.9928331959831912</v>
      </c>
      <c r="T49" s="191">
        <v>0.29166666666666702</v>
      </c>
      <c r="U49" s="191">
        <v>0.32430555555555557</v>
      </c>
      <c r="V49" s="55"/>
      <c r="W49" s="193">
        <f t="shared" si="29"/>
        <v>46.999999999999517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69"/>
        <v>-17.765957446792527</v>
      </c>
      <c r="AG49" s="52">
        <f t="shared" si="70"/>
        <v>0.98864795051323162</v>
      </c>
      <c r="AH49" s="724">
        <f>AG58</f>
        <v>0.99275646746331758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2481</v>
      </c>
      <c r="H50" s="231">
        <f>F50*G50</f>
        <v>118368.51000000001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71"/>
        <v>102.85714285714286</v>
      </c>
      <c r="M50" s="233">
        <v>14</v>
      </c>
      <c r="N50" s="234">
        <f>G50/W50*60</f>
        <v>1431.3461538461534</v>
      </c>
      <c r="O50" s="235">
        <f>N50/M50</f>
        <v>102.23901098901095</v>
      </c>
      <c r="P50" s="74">
        <f>M50-J50</f>
        <v>0</v>
      </c>
      <c r="Q50" s="83">
        <f>O50-L50</f>
        <v>-0.61813186813191123</v>
      </c>
      <c r="R50" s="72">
        <f>O50/L50</f>
        <v>0.99399038461538425</v>
      </c>
      <c r="S50" s="719"/>
      <c r="T50" s="21">
        <v>0.3298611111111111</v>
      </c>
      <c r="U50" s="21">
        <v>0.40208333333333335</v>
      </c>
      <c r="V50" s="30">
        <f t="shared" ref="V50:V53" si="72">(T50-U49)*24*60</f>
        <v>7.9999999999999716</v>
      </c>
      <c r="W50" s="236">
        <f t="shared" si="29"/>
        <v>104.00000000000003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69"/>
        <v>-8.6538461538466436</v>
      </c>
      <c r="AG50" s="72">
        <f t="shared" si="70"/>
        <v>0.99399038461538425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2504</v>
      </c>
      <c r="H51" s="231">
        <f>F51*G51</f>
        <v>125124.87999999999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71"/>
        <v>88.888888888888886</v>
      </c>
      <c r="M51" s="233">
        <v>18</v>
      </c>
      <c r="N51" s="234">
        <f>G51/W51*60</f>
        <v>1581.4736842105292</v>
      </c>
      <c r="O51" s="235">
        <f>N51/M51</f>
        <v>87.859649122807184</v>
      </c>
      <c r="P51" s="74">
        <f>M51-J51</f>
        <v>0</v>
      </c>
      <c r="Q51" s="83">
        <f>O51-L51</f>
        <v>-1.0292397660817016</v>
      </c>
      <c r="R51" s="72">
        <f>O51/L51</f>
        <v>0.98842105263158087</v>
      </c>
      <c r="S51" s="719"/>
      <c r="T51" s="21">
        <v>0.40763888888888888</v>
      </c>
      <c r="U51" s="19">
        <v>0.47361111111111098</v>
      </c>
      <c r="V51" s="30">
        <f t="shared" si="72"/>
        <v>7.9999999999999716</v>
      </c>
      <c r="W51" s="236">
        <f t="shared" si="29"/>
        <v>94.999999999999829</v>
      </c>
      <c r="X51" s="22"/>
      <c r="Y51" s="84"/>
      <c r="Z51" s="90">
        <v>1</v>
      </c>
      <c r="AA51" s="90">
        <v>8</v>
      </c>
      <c r="AB51" s="713" t="s">
        <v>242</v>
      </c>
      <c r="AC51" s="713"/>
      <c r="AD51" s="92"/>
      <c r="AE51" s="92"/>
      <c r="AF51" s="307">
        <f t="shared" si="69"/>
        <v>-18.5263157894708</v>
      </c>
      <c r="AG51" s="72">
        <f t="shared" si="70"/>
        <v>0.98842105263158075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2720</v>
      </c>
      <c r="H52" s="231">
        <f t="shared" ref="H52:H53" si="73">F52*G52</f>
        <v>135918.39999999999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ref="L52:L53" si="74">K52/J52</f>
        <v>88.888888888888886</v>
      </c>
      <c r="M52" s="233">
        <v>18</v>
      </c>
      <c r="N52" s="234">
        <f t="shared" ref="N52:N53" si="75">G52/W52*60</f>
        <v>1599.9999999999957</v>
      </c>
      <c r="O52" s="235">
        <f t="shared" ref="O52:O53" si="76">N52/M52</f>
        <v>88.888888888888644</v>
      </c>
      <c r="P52" s="74">
        <f t="shared" ref="P52:P53" si="77">M52-J52</f>
        <v>0</v>
      </c>
      <c r="Q52" s="83">
        <f t="shared" ref="Q52:Q53" si="78">O52-L52</f>
        <v>-2.4158453015843406E-13</v>
      </c>
      <c r="R52" s="72">
        <f t="shared" ref="R52:R53" si="79">O52/L52</f>
        <v>0.99999999999999734</v>
      </c>
      <c r="S52" s="719"/>
      <c r="T52" s="21">
        <v>0.53472222222222199</v>
      </c>
      <c r="U52" s="21">
        <v>0.60555555555555551</v>
      </c>
      <c r="V52" s="30">
        <f t="shared" si="72"/>
        <v>87.999999999999844</v>
      </c>
      <c r="W52" s="236">
        <f t="shared" si="29"/>
        <v>102.00000000000028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69"/>
        <v>-4.3200998334214091E-12</v>
      </c>
      <c r="AG52" s="72">
        <f t="shared" si="70"/>
        <v>0.99999999999999734</v>
      </c>
      <c r="AH52" s="725"/>
    </row>
    <row r="53" spans="1:34" ht="15" customHeight="1">
      <c r="A53" s="751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719"/>
      <c r="T53" s="21"/>
      <c r="U53" s="21"/>
      <c r="V53" s="30"/>
      <c r="W53" s="236">
        <f t="shared" si="29"/>
        <v>0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69"/>
        <v>0</v>
      </c>
      <c r="AG53" s="72" t="e">
        <f t="shared" si="70"/>
        <v>#DIV/0!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29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29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29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29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 thickBo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80">AVERAGE(J49:J57)</f>
        <v>17</v>
      </c>
      <c r="K58" s="120">
        <f t="shared" si="80"/>
        <v>1551.25</v>
      </c>
      <c r="L58" s="117">
        <f t="shared" si="80"/>
        <v>91.894841269841265</v>
      </c>
      <c r="M58" s="120">
        <f t="shared" si="80"/>
        <v>17</v>
      </c>
      <c r="N58" s="120">
        <f t="shared" si="80"/>
        <v>1540.0134701524714</v>
      </c>
      <c r="O58" s="117">
        <f t="shared" si="80"/>
        <v>91.236248952304564</v>
      </c>
      <c r="P58" s="121">
        <f>M58-J58</f>
        <v>0</v>
      </c>
      <c r="Q58" s="122">
        <f>N58-K58</f>
        <v>-11.236529847528573</v>
      </c>
      <c r="R58" s="123">
        <f t="shared" ref="R58:R60" si="81">O58/L58</f>
        <v>0.9928331959831912</v>
      </c>
      <c r="S58" s="72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8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82">N58-K58</f>
        <v>-11.236529847528573</v>
      </c>
      <c r="AG58" s="124">
        <f t="shared" ref="AG58:AG61" si="83">N58/K58</f>
        <v>0.99275646746331758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3343</v>
      </c>
      <c r="H59" s="243">
        <f>F59*G59</f>
        <v>90227.569999999992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84">K59/J59</f>
        <v>120.38461538461539</v>
      </c>
      <c r="M59" s="244">
        <v>13</v>
      </c>
      <c r="N59" s="137">
        <f t="shared" ref="N59:N61" si="85">G59/W59*60</f>
        <v>1337.2000000000091</v>
      </c>
      <c r="O59" s="138">
        <f t="shared" ref="O59:O61" si="86">N59/M59</f>
        <v>102.86153846153917</v>
      </c>
      <c r="P59" s="56">
        <f t="shared" ref="P59:P61" si="87">M59-J59</f>
        <v>0</v>
      </c>
      <c r="Q59" s="230">
        <f t="shared" ref="Q59:Q61" si="88">O59-L59</f>
        <v>-17.523076923076218</v>
      </c>
      <c r="R59" s="52">
        <f t="shared" si="81"/>
        <v>0.85444089456869599</v>
      </c>
      <c r="S59" s="718">
        <f>R69</f>
        <v>0.85758835862619909</v>
      </c>
      <c r="T59" s="245">
        <v>0.29166666666666702</v>
      </c>
      <c r="U59" s="245">
        <v>0.39583333333333298</v>
      </c>
      <c r="V59" s="55"/>
      <c r="W59" s="54">
        <f t="shared" si="29"/>
        <v>149.99999999999898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82"/>
        <v>-227.79999999999086</v>
      </c>
      <c r="AG59" s="246">
        <f t="shared" si="83"/>
        <v>0.85444089456869599</v>
      </c>
      <c r="AH59" s="724">
        <f>AG69</f>
        <v>0.85753993610223744</v>
      </c>
    </row>
    <row r="60" spans="1:34" ht="15" customHeight="1">
      <c r="A60" s="765"/>
      <c r="B60" s="75" t="s">
        <v>135</v>
      </c>
      <c r="C60" s="86"/>
      <c r="D60" s="175" t="s">
        <v>138</v>
      </c>
      <c r="E60" s="87"/>
      <c r="F60" s="75">
        <f>VLOOKUP(D60,廠價表!$C$1:$E$41,3,0)</f>
        <v>28.26</v>
      </c>
      <c r="G60" s="30">
        <v>1628</v>
      </c>
      <c r="H60" s="78">
        <f>F60*G60</f>
        <v>46007.280000000006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84"/>
        <v>130.41666666666666</v>
      </c>
      <c r="M60" s="82">
        <v>12</v>
      </c>
      <c r="N60" s="80">
        <f t="shared" si="85"/>
        <v>1526.2499999999995</v>
      </c>
      <c r="O60" s="81">
        <f t="shared" si="86"/>
        <v>127.18749999999996</v>
      </c>
      <c r="P60" s="74">
        <f t="shared" si="87"/>
        <v>0</v>
      </c>
      <c r="Q60" s="83">
        <f t="shared" si="88"/>
        <v>-3.2291666666666998</v>
      </c>
      <c r="R60" s="72">
        <f t="shared" si="81"/>
        <v>0.97523961661341829</v>
      </c>
      <c r="S60" s="768"/>
      <c r="T60" s="22">
        <v>0.40486111111111112</v>
      </c>
      <c r="U60" s="22">
        <v>0.44930555555555557</v>
      </c>
      <c r="V60" s="30">
        <f t="shared" ref="V60:V63" si="89">(T60-U59)*24*60</f>
        <v>13.000000000000513</v>
      </c>
      <c r="W60" s="248">
        <f t="shared" si="29"/>
        <v>64.000000000000014</v>
      </c>
      <c r="X60" s="232"/>
      <c r="Y60" s="177"/>
      <c r="Z60" s="90"/>
      <c r="AA60" s="90"/>
      <c r="AB60" s="713"/>
      <c r="AC60" s="713"/>
      <c r="AD60" s="92"/>
      <c r="AE60" s="92"/>
      <c r="AF60" s="316">
        <f t="shared" si="82"/>
        <v>-38.750000000000455</v>
      </c>
      <c r="AG60" s="249">
        <f t="shared" si="83"/>
        <v>0.97523961661341829</v>
      </c>
      <c r="AH60" s="759"/>
    </row>
    <row r="61" spans="1:34" ht="15" customHeight="1">
      <c r="A61" s="766"/>
      <c r="B61" s="250" t="s">
        <v>135</v>
      </c>
      <c r="C61" s="251"/>
      <c r="D61" s="252" t="s">
        <v>137</v>
      </c>
      <c r="E61" s="253"/>
      <c r="F61" s="250">
        <f>VLOOKUP(D61,廠價表!$C$1:$E$41,3,0)</f>
        <v>28.47</v>
      </c>
      <c r="G61" s="38">
        <v>349</v>
      </c>
      <c r="H61" s="254">
        <f>F61*G61</f>
        <v>9936.0299999999988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84"/>
        <v>130.41666666666666</v>
      </c>
      <c r="M61" s="108">
        <v>12</v>
      </c>
      <c r="N61" s="107">
        <f t="shared" si="85"/>
        <v>837.60000000000571</v>
      </c>
      <c r="O61" s="238">
        <f t="shared" si="86"/>
        <v>69.80000000000048</v>
      </c>
      <c r="P61" s="111">
        <f t="shared" si="87"/>
        <v>0</v>
      </c>
      <c r="Q61" s="255">
        <f t="shared" si="88"/>
        <v>-60.616666666666177</v>
      </c>
      <c r="R61" s="85">
        <f>O61/L61</f>
        <v>0.53520766773163309</v>
      </c>
      <c r="S61" s="719"/>
      <c r="T61" s="22">
        <v>0.45833333333333298</v>
      </c>
      <c r="U61" s="22">
        <v>0.47569444444444398</v>
      </c>
      <c r="V61" s="30">
        <f t="shared" si="89"/>
        <v>12.999999999999474</v>
      </c>
      <c r="W61" s="256">
        <f t="shared" si="29"/>
        <v>24.999999999999829</v>
      </c>
      <c r="X61" s="22"/>
      <c r="Y61" s="84"/>
      <c r="Z61" s="90"/>
      <c r="AA61" s="90"/>
      <c r="AB61" s="713" t="s">
        <v>241</v>
      </c>
      <c r="AC61" s="713"/>
      <c r="AD61" s="92"/>
      <c r="AE61" s="92"/>
      <c r="AF61" s="317">
        <f t="shared" si="82"/>
        <v>-727.39999999999429</v>
      </c>
      <c r="AG61" s="247">
        <f t="shared" si="83"/>
        <v>0.53520766773163309</v>
      </c>
      <c r="AH61" s="725"/>
    </row>
    <row r="62" spans="1:34" ht="15" customHeight="1">
      <c r="A62" s="766"/>
      <c r="B62" s="250" t="s">
        <v>135</v>
      </c>
      <c r="C62" s="251"/>
      <c r="D62" s="257" t="s">
        <v>196</v>
      </c>
      <c r="E62" s="253"/>
      <c r="F62" s="250">
        <f>VLOOKUP(D62,廠價表!$C$1:$E$41,3,0)</f>
        <v>28.26</v>
      </c>
      <c r="G62" s="38">
        <v>1251</v>
      </c>
      <c r="H62" s="254">
        <f t="shared" ref="H62:H63" si="90">F62*G62</f>
        <v>35353.26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ref="L62:L63" si="91">K62/J62</f>
        <v>130.41666666666666</v>
      </c>
      <c r="M62" s="108">
        <v>12</v>
      </c>
      <c r="N62" s="107">
        <f t="shared" ref="N62:N63" si="92">G62/W62*60</f>
        <v>1501.2000000000075</v>
      </c>
      <c r="O62" s="238">
        <f t="shared" ref="O62:O63" si="93">N62/M62</f>
        <v>125.10000000000063</v>
      </c>
      <c r="P62" s="111">
        <f t="shared" ref="P62:P63" si="94">M62-J62</f>
        <v>0</v>
      </c>
      <c r="Q62" s="255">
        <f t="shared" ref="Q62:Q63" si="95">O62-L62</f>
        <v>-5.3166666666660234</v>
      </c>
      <c r="R62" s="85">
        <f t="shared" ref="R62:R63" si="96">O62/L62</f>
        <v>0.95923322683706558</v>
      </c>
      <c r="S62" s="719"/>
      <c r="T62" s="22">
        <v>0.48263888888888901</v>
      </c>
      <c r="U62" s="22">
        <v>0.51736111111111105</v>
      </c>
      <c r="V62" s="30">
        <f t="shared" si="89"/>
        <v>10.000000000000844</v>
      </c>
      <c r="W62" s="248">
        <f t="shared" si="29"/>
        <v>49.999999999999744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-63.799999999992451</v>
      </c>
      <c r="AG62" s="247">
        <f>N62/K62</f>
        <v>0.95923322683706558</v>
      </c>
      <c r="AH62" s="725"/>
    </row>
    <row r="63" spans="1:34" ht="15" customHeight="1">
      <c r="A63" s="766"/>
      <c r="B63" s="258" t="s">
        <v>135</v>
      </c>
      <c r="C63" s="58"/>
      <c r="D63" s="259" t="s">
        <v>196</v>
      </c>
      <c r="E63" s="60"/>
      <c r="F63" s="250">
        <f>VLOOKUP(D63,廠價表!$C$1:$E$41,3,0)</f>
        <v>28.26</v>
      </c>
      <c r="G63" s="260">
        <v>1508</v>
      </c>
      <c r="H63" s="254">
        <f t="shared" si="90"/>
        <v>42616.08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 t="shared" si="91"/>
        <v>130.41666666666666</v>
      </c>
      <c r="M63" s="68">
        <v>12</v>
      </c>
      <c r="N63" s="107">
        <f t="shared" si="92"/>
        <v>1507.9999999999852</v>
      </c>
      <c r="O63" s="238">
        <f t="shared" si="93"/>
        <v>125.66666666666544</v>
      </c>
      <c r="P63" s="111">
        <f t="shared" si="94"/>
        <v>0</v>
      </c>
      <c r="Q63" s="255">
        <f t="shared" si="95"/>
        <v>-4.7500000000012221</v>
      </c>
      <c r="R63" s="85">
        <f t="shared" si="96"/>
        <v>0.96357827476037405</v>
      </c>
      <c r="S63" s="719"/>
      <c r="T63" s="22">
        <v>0.56944444444444398</v>
      </c>
      <c r="U63" s="22">
        <v>0.61111111111111105</v>
      </c>
      <c r="V63" s="30">
        <f t="shared" si="89"/>
        <v>74.999999999999417</v>
      </c>
      <c r="W63" s="248">
        <f t="shared" si="29"/>
        <v>60.000000000000583</v>
      </c>
      <c r="X63" s="261"/>
      <c r="Y63" s="291"/>
      <c r="Z63" s="335">
        <v>1</v>
      </c>
      <c r="AA63" s="335">
        <v>5</v>
      </c>
      <c r="AB63" s="713" t="s">
        <v>247</v>
      </c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29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29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29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29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29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 thickBo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97">AVERAGE(J59:J68)</f>
        <v>12.2</v>
      </c>
      <c r="K69" s="240">
        <f t="shared" si="97"/>
        <v>1565</v>
      </c>
      <c r="L69" s="268">
        <f t="shared" si="97"/>
        <v>128.41025641025641</v>
      </c>
      <c r="M69" s="240">
        <f t="shared" si="97"/>
        <v>12.2</v>
      </c>
      <c r="N69" s="240">
        <f t="shared" si="97"/>
        <v>1342.0500000000015</v>
      </c>
      <c r="O69" s="268">
        <f t="shared" si="97"/>
        <v>110.12314102564115</v>
      </c>
      <c r="P69" s="269">
        <f>M69-J69</f>
        <v>0</v>
      </c>
      <c r="Q69" s="222">
        <f>N69-K69</f>
        <v>-222.94999999999845</v>
      </c>
      <c r="R69" s="123">
        <f>O69/L69</f>
        <v>0.85758835862619909</v>
      </c>
      <c r="S69" s="722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5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-222.94999999999845</v>
      </c>
      <c r="AG69" s="124">
        <f>N69/K69</f>
        <v>0.85753993610223744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2663</v>
      </c>
      <c r="H70" s="243">
        <f>F70*G70</f>
        <v>134934.21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1101.9310344827613</v>
      </c>
      <c r="O70" s="138">
        <f>N70/M70</f>
        <v>110.19310344827613</v>
      </c>
      <c r="P70" s="56">
        <f>M70-J70</f>
        <v>0</v>
      </c>
      <c r="Q70" s="230">
        <f>O70-L70</f>
        <v>-2.3068965517238667</v>
      </c>
      <c r="R70" s="52">
        <f>O70/L70</f>
        <v>0.97949425287356562</v>
      </c>
      <c r="S70" s="718">
        <f>R79</f>
        <v>0.97949425287356562</v>
      </c>
      <c r="T70" s="245">
        <v>0.34027777777777801</v>
      </c>
      <c r="U70" s="245">
        <v>0.44097222222222221</v>
      </c>
      <c r="V70" s="55"/>
      <c r="W70" s="54">
        <f t="shared" si="29"/>
        <v>144.99999999999966</v>
      </c>
      <c r="X70" s="270"/>
      <c r="Y70" s="292"/>
      <c r="Z70" s="169">
        <v>1</v>
      </c>
      <c r="AA70" s="169">
        <v>25</v>
      </c>
      <c r="AB70" s="723" t="s">
        <v>252</v>
      </c>
      <c r="AC70" s="723"/>
      <c r="AD70" s="135"/>
      <c r="AE70" s="135"/>
      <c r="AF70" s="310">
        <f>N70-K70</f>
        <v>-23.068965517238667</v>
      </c>
      <c r="AG70" s="246">
        <f>N70/K70</f>
        <v>0.97949425287356562</v>
      </c>
      <c r="AH70" s="724">
        <f>AG79</f>
        <v>0.97949425287356562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29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29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29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29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98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29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98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29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98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29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98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29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 thickBo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99">AVERAGE(J70:J78)</f>
        <v>10</v>
      </c>
      <c r="K79" s="240">
        <f t="shared" si="99"/>
        <v>1125</v>
      </c>
      <c r="L79" s="268">
        <f t="shared" si="99"/>
        <v>112.5</v>
      </c>
      <c r="M79" s="240">
        <f t="shared" si="99"/>
        <v>10</v>
      </c>
      <c r="N79" s="240">
        <f t="shared" si="99"/>
        <v>1101.9310344827613</v>
      </c>
      <c r="O79" s="268">
        <f t="shared" si="99"/>
        <v>110.19310344827613</v>
      </c>
      <c r="P79" s="269">
        <f>M79-J79</f>
        <v>0</v>
      </c>
      <c r="Q79" s="222">
        <f>N79-K79</f>
        <v>-23.068965517238667</v>
      </c>
      <c r="R79" s="223">
        <f>O79/L79</f>
        <v>0.97949425287356562</v>
      </c>
      <c r="S79" s="722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25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-23.068965517238667</v>
      </c>
      <c r="AG79" s="124">
        <f>N79/K79</f>
        <v>0.97949425287356562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46" priority="1" operator="greaterThan">
      <formula>0</formula>
    </cfRule>
  </conditionalFormatting>
  <conditionalFormatting sqref="AF5:AF79 Q5:Q79">
    <cfRule type="cellIs" dxfId="45" priority="4" operator="lessThan">
      <formula>0</formula>
    </cfRule>
  </conditionalFormatting>
  <conditionalFormatting sqref="AG5:AG79 R5:R79">
    <cfRule type="cellIs" dxfId="44" priority="2" operator="greaterThan">
      <formula>1</formula>
    </cfRule>
    <cfRule type="cellIs" dxfId="43" priority="3" operator="lessThan">
      <formula>0.8</formula>
    </cfRule>
  </conditionalFormatting>
  <conditionalFormatting sqref="S5:S10 S37:S62 AH59:AH62 S69:S76 AH69:AH76">
    <cfRule type="cellIs" dxfId="42" priority="7" operator="lessThan">
      <formula>0.8</formula>
    </cfRule>
  </conditionalFormatting>
  <conditionalFormatting sqref="S19:S25 AH19:AH25">
    <cfRule type="cellIs" dxfId="41" priority="6" operator="lessThan">
      <formula>0.8</formula>
    </cfRule>
  </conditionalFormatting>
  <conditionalFormatting sqref="S79">
    <cfRule type="cellIs" dxfId="40" priority="5" operator="lessThan">
      <formula>0.8</formula>
    </cfRule>
  </conditionalFormatting>
  <conditionalFormatting sqref="AH5:AH8 S15:S16 AH15:AH16 AH49 AH79">
    <cfRule type="cellIs" dxfId="39" priority="9" operator="lessThan">
      <formula>0.8</formula>
    </cfRule>
  </conditionalFormatting>
  <conditionalFormatting sqref="AH27 S27:S28">
    <cfRule type="cellIs" dxfId="38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3E17A1-D0DC-4FE5-A14E-92FBE177D3F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7D85-72E8-48E7-8C4F-71B7E9E093D4}">
  <dimension ref="B1:O26"/>
  <sheetViews>
    <sheetView topLeftCell="B1" zoomScale="70" zoomScaleNormal="70" workbookViewId="0">
      <selection activeCell="U8" sqref="U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46052</v>
      </c>
      <c r="E3" s="645"/>
      <c r="F3" s="3" t="s">
        <v>72</v>
      </c>
      <c r="G3" s="646">
        <f>'0130'!E1</f>
        <v>49058</v>
      </c>
      <c r="H3" s="646"/>
      <c r="I3" s="3" t="s">
        <v>2</v>
      </c>
      <c r="J3" s="647">
        <f>'0130'!G1</f>
        <v>2329466.3900000006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113.51312351863824</v>
      </c>
      <c r="G6" s="652"/>
      <c r="H6" s="653">
        <f>AVERAGE(D13:H13,J13)</f>
        <v>111.03026803670186</v>
      </c>
      <c r="I6" s="653"/>
      <c r="J6" s="653">
        <f>AVERAGE(I13)</f>
        <v>128.41025641025641</v>
      </c>
      <c r="K6" s="653"/>
      <c r="L6" s="769">
        <f>SUM(D18:J18)</f>
        <v>1</v>
      </c>
      <c r="M6" s="656">
        <f>SUM(D19:J19)</f>
        <v>10</v>
      </c>
      <c r="N6" s="771">
        <f>SUM(D20:J20)</f>
        <v>9</v>
      </c>
      <c r="O6" s="656">
        <f>SUM(D20:J20)</f>
        <v>9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100.80398719578685</v>
      </c>
      <c r="G7" s="676"/>
      <c r="H7" s="677">
        <f>AVERAGE(D14:H14,J14)</f>
        <v>99.961264795200634</v>
      </c>
      <c r="I7" s="677"/>
      <c r="J7" s="677">
        <f>AVERAGE(I14)</f>
        <v>105.8603215993041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0.88803817630157433</v>
      </c>
      <c r="G8" s="649"/>
      <c r="H8" s="649">
        <f>H7/H6</f>
        <v>0.90030643501786123</v>
      </c>
      <c r="I8" s="649"/>
      <c r="J8" s="649">
        <f>J7/J6</f>
        <v>0.8243914821032069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VALUE('0130'!L15)</f>
        <v>128.96533613445379</v>
      </c>
      <c r="E13" s="13">
        <f>VALUE('0130'!L26)</f>
        <v>162.15811965811966</v>
      </c>
      <c r="F13" s="13">
        <f>VALUE('0130'!L37)</f>
        <v>84.764705882352928</v>
      </c>
      <c r="G13" s="13">
        <f>VALUE('0130'!L48)</f>
        <v>87.336397058823522</v>
      </c>
      <c r="H13" s="13">
        <f>VALUE('0130'!L58)</f>
        <v>90.457049486461244</v>
      </c>
      <c r="I13" s="13">
        <f>VALUE('0130'!L69)</f>
        <v>128.41025641025641</v>
      </c>
      <c r="J13" s="13">
        <f>'0130'!L79</f>
        <v>112.5</v>
      </c>
    </row>
    <row r="14" spans="2:15" ht="39.950000000000003" customHeight="1">
      <c r="B14" s="670"/>
      <c r="C14" s="12" t="s">
        <v>100</v>
      </c>
      <c r="D14" s="13">
        <f>VALUE('0130'!O15)</f>
        <v>116.96396535114226</v>
      </c>
      <c r="E14" s="13">
        <f>VALUE('0130'!O26)</f>
        <v>146.90440029166857</v>
      </c>
      <c r="F14" s="13">
        <f>VALUE('0130'!O37)</f>
        <v>71.322429562814648</v>
      </c>
      <c r="G14" s="13">
        <f>VALUE('0130'!O48)</f>
        <v>67.599910873439853</v>
      </c>
      <c r="H14" s="13">
        <f>VALUE('0130'!O58)</f>
        <v>87.19910491436039</v>
      </c>
      <c r="I14" s="13">
        <f>VALUE('0130'!O69)</f>
        <v>105.8603215993041</v>
      </c>
      <c r="J14" s="13">
        <f>'0130'!O79</f>
        <v>109.77777777777803</v>
      </c>
    </row>
    <row r="15" spans="2:15" ht="39.950000000000003" customHeight="1">
      <c r="B15" s="671"/>
      <c r="C15" s="10" t="s">
        <v>26</v>
      </c>
      <c r="D15" s="14">
        <f>D14/D13</f>
        <v>0.90694111190623028</v>
      </c>
      <c r="E15" s="14">
        <f t="shared" ref="E15:I15" si="1">E14/E13</f>
        <v>0.90593305226644993</v>
      </c>
      <c r="F15" s="14">
        <f t="shared" si="1"/>
        <v>0.84141658748636305</v>
      </c>
      <c r="G15" s="14">
        <f t="shared" si="1"/>
        <v>0.77401762781569072</v>
      </c>
      <c r="H15" s="14">
        <f t="shared" si="1"/>
        <v>0.9639835193542492</v>
      </c>
      <c r="I15" s="14">
        <f t="shared" si="1"/>
        <v>0.8243914821032069</v>
      </c>
      <c r="J15" s="15">
        <f>'0130'!S70</f>
        <v>0.97580246913580471</v>
      </c>
    </row>
    <row r="16" spans="2:15" ht="17.25" customHeight="1">
      <c r="B16" s="672" t="s">
        <v>101</v>
      </c>
      <c r="C16" s="10" t="s">
        <v>34</v>
      </c>
      <c r="D16" s="16">
        <f>'0130'!T5</f>
        <v>0.30694444444444402</v>
      </c>
      <c r="E16" s="16">
        <f>'0130'!T16</f>
        <v>0.29097222222222202</v>
      </c>
      <c r="F16" s="16">
        <f>'0130'!T27</f>
        <v>0.29166666666666702</v>
      </c>
      <c r="G16" s="16">
        <f>'0130'!T38</f>
        <v>0.33333333333333298</v>
      </c>
      <c r="H16" s="16">
        <f>'0130'!T49</f>
        <v>0.29166666666666702</v>
      </c>
      <c r="I16" s="16">
        <f>'0130'!T59</f>
        <v>0.29166666666666702</v>
      </c>
      <c r="J16" s="16">
        <f>'0130'!T70</f>
        <v>0.34027777777777801</v>
      </c>
    </row>
    <row r="17" spans="2:10" ht="17.25" customHeight="1">
      <c r="B17" s="673"/>
      <c r="C17" s="10" t="s">
        <v>35</v>
      </c>
      <c r="D17" s="16">
        <v>0.59375</v>
      </c>
      <c r="E17" s="19">
        <v>0.63888888888888884</v>
      </c>
      <c r="F17" s="19">
        <v>0.65277777777777801</v>
      </c>
      <c r="G17" s="210">
        <v>0.51041666666666663</v>
      </c>
      <c r="H17" s="21">
        <v>0.61111111111111105</v>
      </c>
      <c r="I17" s="22">
        <v>0.60416666666666696</v>
      </c>
      <c r="J17" s="22">
        <v>0.43402777777777779</v>
      </c>
    </row>
    <row r="18" spans="2:10" ht="17.25" customHeight="1">
      <c r="B18" s="674" t="s">
        <v>102</v>
      </c>
      <c r="C18" s="330" t="s">
        <v>36</v>
      </c>
      <c r="D18" s="358">
        <f>'0130'!Z15</f>
        <v>0</v>
      </c>
      <c r="E18" s="359">
        <f>'0130'!Z26</f>
        <v>0</v>
      </c>
      <c r="F18" s="359">
        <f>'0130'!Z37</f>
        <v>1</v>
      </c>
      <c r="G18" s="360">
        <f>'0130'!Z48</f>
        <v>0</v>
      </c>
      <c r="H18" s="360">
        <f>'0130'!Z58</f>
        <v>0</v>
      </c>
      <c r="I18" s="359">
        <f>'0130'!Z69</f>
        <v>0</v>
      </c>
      <c r="J18" s="359">
        <f>'0130'!AA69</f>
        <v>0</v>
      </c>
    </row>
    <row r="19" spans="2:10" ht="17.25" customHeight="1">
      <c r="B19" s="675"/>
      <c r="C19" s="330" t="s">
        <v>37</v>
      </c>
      <c r="D19" s="358">
        <f>'0130'!AA15</f>
        <v>0</v>
      </c>
      <c r="E19" s="359">
        <f>'0130'!AA26</f>
        <v>0</v>
      </c>
      <c r="F19" s="359">
        <f>'0130'!AA37</f>
        <v>10</v>
      </c>
      <c r="G19" s="360">
        <f>'0130'!AA48</f>
        <v>0</v>
      </c>
      <c r="H19" s="360">
        <f>'0130'!AA58</f>
        <v>0</v>
      </c>
      <c r="I19" s="359">
        <f>'0130'!AA69</f>
        <v>0</v>
      </c>
      <c r="J19" s="359">
        <f>'0130'!AB69</f>
        <v>0</v>
      </c>
    </row>
    <row r="20" spans="2:10" ht="17.25" customHeight="1">
      <c r="B20" s="674" t="s">
        <v>103</v>
      </c>
      <c r="C20" s="330" t="s">
        <v>36</v>
      </c>
      <c r="D20" s="358">
        <f>'0130'!AD15</f>
        <v>0</v>
      </c>
      <c r="E20" s="359">
        <f>'0130'!AD26</f>
        <v>9</v>
      </c>
      <c r="F20" s="359">
        <f>'0130'!AD37</f>
        <v>0</v>
      </c>
      <c r="G20" s="360">
        <f>'0130'!AD48</f>
        <v>0</v>
      </c>
      <c r="H20" s="360">
        <f>'0130'!AD58</f>
        <v>0</v>
      </c>
      <c r="I20" s="359">
        <f>'0130'!AD69</f>
        <v>0</v>
      </c>
      <c r="J20" s="359">
        <f>'0130'!AD79</f>
        <v>0</v>
      </c>
    </row>
    <row r="21" spans="2:10" ht="17.25" customHeight="1">
      <c r="B21" s="675"/>
      <c r="C21" s="330" t="s">
        <v>85</v>
      </c>
      <c r="D21" s="358">
        <f>'0130'!AE15</f>
        <v>0</v>
      </c>
      <c r="E21" s="359">
        <f>'0130'!AE26</f>
        <v>9</v>
      </c>
      <c r="F21" s="359">
        <f>'0130'!AE37</f>
        <v>0</v>
      </c>
      <c r="G21" s="360">
        <f>'0130'!AE48</f>
        <v>0</v>
      </c>
      <c r="H21" s="360">
        <f>'0130'!AE58</f>
        <v>0</v>
      </c>
      <c r="I21" s="359">
        <f>'0130'!AE69</f>
        <v>0</v>
      </c>
      <c r="J21" s="359">
        <f>'0130'!AE79</f>
        <v>0</v>
      </c>
    </row>
    <row r="22" spans="2:10" ht="17.25" customHeight="1">
      <c r="B22" s="658" t="s">
        <v>104</v>
      </c>
      <c r="C22" s="659"/>
      <c r="D22" s="23">
        <f>VALUE('0130'!M15)</f>
        <v>15.25</v>
      </c>
      <c r="E22" s="23">
        <f>VALUE('0130'!M26)</f>
        <v>12.666666666666666</v>
      </c>
      <c r="F22" s="23">
        <f>VALUE('0130'!M37)</f>
        <v>14.6</v>
      </c>
      <c r="G22" s="23">
        <f>VALUE('0130'!M48)</f>
        <v>14.25</v>
      </c>
      <c r="H22" s="23">
        <f>VALUE('0130'!M58)</f>
        <v>16</v>
      </c>
      <c r="I22" s="23">
        <f>VALUE('0130'!M69)</f>
        <v>12.2</v>
      </c>
      <c r="J22" s="23">
        <f>'0130'!M79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37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FE57-C4A0-403E-8D03-F387A16DDA44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U8" sqref="U8"/>
      <selection pane="topRight" activeCell="U8" sqref="U8"/>
      <selection pane="bottomLeft" activeCell="U8" sqref="U8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49058</v>
      </c>
      <c r="F1" s="30" t="s">
        <v>2</v>
      </c>
      <c r="G1" s="31">
        <f>SUM(H5:H79)</f>
        <v>2329466.3900000006</v>
      </c>
      <c r="H1" s="32" t="s">
        <v>3</v>
      </c>
      <c r="I1" s="33">
        <f>M15+M26+M48+M58+M69+M79+M37</f>
        <v>94.966666666666654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258</v>
      </c>
      <c r="B2" s="678"/>
      <c r="C2" s="28"/>
      <c r="D2" s="28" t="s">
        <v>14</v>
      </c>
      <c r="E2" s="35">
        <f>AVERAGE(O15,O26,O37,O48,O58,O69,O79)</f>
        <v>100.80398719578685</v>
      </c>
      <c r="F2" s="36" t="s">
        <v>15</v>
      </c>
      <c r="G2" s="37">
        <f>G1/E1</f>
        <v>47.483924945982317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2</v>
      </c>
      <c r="AA2" s="339">
        <f>AA15+AA26+AA37+AA48+AA58+AA69+AA79</f>
        <v>40</v>
      </c>
      <c r="AB2" s="684"/>
      <c r="AC2" s="684"/>
      <c r="AD2" s="340">
        <f>AD15+AD26+AD37+AD48+AD58+AD69+AD79</f>
        <v>9</v>
      </c>
      <c r="AE2" s="340">
        <f>AE15+AE26+AE37+AE48+AE58+AE69+AE79</f>
        <v>9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 ht="16.5" thickBot="1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1167</v>
      </c>
      <c r="H5" s="43">
        <f>F5*G5</f>
        <v>66764.070000000007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8" si="0">K5/J5</f>
        <v>117.64705882352941</v>
      </c>
      <c r="M5" s="48">
        <v>17</v>
      </c>
      <c r="N5" s="46">
        <f t="shared" ref="N5:N8" si="1">G5/W5*60</f>
        <v>1795.3846153845739</v>
      </c>
      <c r="O5" s="47">
        <f t="shared" ref="O5:O8" si="2">N5/M5</f>
        <v>105.61085972850435</v>
      </c>
      <c r="P5" s="49">
        <f t="shared" ref="P5:P8" si="3">M5-J5</f>
        <v>0</v>
      </c>
      <c r="Q5" s="50">
        <f t="shared" ref="Q5:Q8" si="4">O5-L5</f>
        <v>-12.036199095025054</v>
      </c>
      <c r="R5" s="51">
        <f t="shared" ref="R5:R8" si="5">O5/L5</f>
        <v>0.89769230769228703</v>
      </c>
      <c r="S5" s="718">
        <f>R15</f>
        <v>0.90694111190623028</v>
      </c>
      <c r="T5" s="319">
        <v>0.30694444444444402</v>
      </c>
      <c r="U5" s="320">
        <v>0.33402777777777798</v>
      </c>
      <c r="V5" s="53"/>
      <c r="W5" s="54">
        <f t="shared" ref="W5:W14" si="6">(U5-T5)*24*60</f>
        <v>39.000000000000902</v>
      </c>
      <c r="X5" s="55"/>
      <c r="Y5" s="290"/>
      <c r="Z5" s="169"/>
      <c r="AA5" s="169"/>
      <c r="AB5" s="723" t="s">
        <v>255</v>
      </c>
      <c r="AC5" s="723"/>
      <c r="AD5" s="135"/>
      <c r="AE5" s="135"/>
      <c r="AF5" s="229">
        <f t="shared" ref="AF5:AF11" si="7">N5-K5</f>
        <v>-204.61538461542614</v>
      </c>
      <c r="AG5" s="52">
        <f t="shared" ref="AG5:AG11" si="8">N5/K5</f>
        <v>0.89769230769228692</v>
      </c>
      <c r="AH5" s="724">
        <f>AG15</f>
        <v>0.90919643862398203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2729</v>
      </c>
      <c r="H6" s="63">
        <f>F6*G6</f>
        <v>153588.12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16</v>
      </c>
      <c r="N6" s="66">
        <f t="shared" si="1"/>
        <v>1799.3406593406435</v>
      </c>
      <c r="O6" s="67">
        <f t="shared" si="2"/>
        <v>112.45879120879022</v>
      </c>
      <c r="P6" s="69">
        <f t="shared" si="3"/>
        <v>0</v>
      </c>
      <c r="Q6" s="70">
        <f t="shared" si="4"/>
        <v>-4.1208791209783158E-2</v>
      </c>
      <c r="R6" s="71">
        <f t="shared" si="5"/>
        <v>0.99963369963369086</v>
      </c>
      <c r="S6" s="719"/>
      <c r="T6" s="16">
        <v>0.34236111111111101</v>
      </c>
      <c r="U6" s="16">
        <v>0.405555555555556</v>
      </c>
      <c r="V6" s="30">
        <f>(T6-U5)*24*60</f>
        <v>11.999999999999558</v>
      </c>
      <c r="W6" s="73">
        <f t="shared" si="6"/>
        <v>91.000000000000796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-0.65934065935653052</v>
      </c>
      <c r="AG6" s="72">
        <f t="shared" si="8"/>
        <v>0.99963369963369086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2467</v>
      </c>
      <c r="H7" s="78">
        <f>F7*G7</f>
        <v>121228.38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1721.1627906976805</v>
      </c>
      <c r="O7" s="81">
        <f t="shared" si="2"/>
        <v>122.94019933554861</v>
      </c>
      <c r="P7" s="74">
        <f t="shared" si="3"/>
        <v>0</v>
      </c>
      <c r="Q7" s="83">
        <f t="shared" si="4"/>
        <v>-19.916943521594249</v>
      </c>
      <c r="R7" s="72">
        <f t="shared" si="5"/>
        <v>0.86058139534884026</v>
      </c>
      <c r="S7" s="719"/>
      <c r="T7" s="18">
        <v>0.41805555555555601</v>
      </c>
      <c r="U7" s="18">
        <v>0.47777777777777802</v>
      </c>
      <c r="V7" s="30">
        <f>(T7-U6)*24*60</f>
        <v>18.000000000000014</v>
      </c>
      <c r="W7" s="73">
        <f t="shared" si="6"/>
        <v>85.999999999999687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-278.83720930231948</v>
      </c>
      <c r="AG7" s="72">
        <f t="shared" si="8"/>
        <v>0.86058139534884026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2279</v>
      </c>
      <c r="H8" s="78">
        <f>F8*G8</f>
        <v>111990.06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1775.8441558441621</v>
      </c>
      <c r="O8" s="81">
        <f t="shared" si="2"/>
        <v>126.84601113172586</v>
      </c>
      <c r="P8" s="74">
        <f t="shared" si="3"/>
        <v>0</v>
      </c>
      <c r="Q8" s="83">
        <f t="shared" si="4"/>
        <v>-16.011131725417002</v>
      </c>
      <c r="R8" s="72">
        <f t="shared" si="5"/>
        <v>0.887922077922081</v>
      </c>
      <c r="S8" s="719"/>
      <c r="T8" s="16">
        <v>0.54027777777777797</v>
      </c>
      <c r="U8" s="16">
        <v>0.59375</v>
      </c>
      <c r="V8" s="30"/>
      <c r="W8" s="73">
        <f t="shared" si="6"/>
        <v>76.99999999999973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-224.15584415583794</v>
      </c>
      <c r="AG8" s="72">
        <f t="shared" si="8"/>
        <v>0.887922077922081</v>
      </c>
      <c r="AH8" s="725"/>
    </row>
    <row r="9" spans="1:34" ht="15" customHeight="1">
      <c r="A9" s="71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20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0</v>
      </c>
      <c r="AG9" s="72" t="e">
        <f t="shared" si="8"/>
        <v>#DIV/0!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 thickBo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9">AVERAGE(J5:J14)</f>
        <v>15.25</v>
      </c>
      <c r="K15" s="120">
        <f t="shared" si="9"/>
        <v>1950</v>
      </c>
      <c r="L15" s="117">
        <f t="shared" si="9"/>
        <v>128.96533613445379</v>
      </c>
      <c r="M15" s="120">
        <f t="shared" si="9"/>
        <v>15.25</v>
      </c>
      <c r="N15" s="120">
        <f t="shared" si="9"/>
        <v>1772.9330553167649</v>
      </c>
      <c r="O15" s="117">
        <f t="shared" si="9"/>
        <v>116.96396535114226</v>
      </c>
      <c r="P15" s="121">
        <f t="shared" ref="P15:P21" si="10">M15-J15</f>
        <v>0</v>
      </c>
      <c r="Q15" s="122">
        <f t="shared" ref="Q15:Q21" si="11">O15-L15</f>
        <v>-12.001370783311529</v>
      </c>
      <c r="R15" s="123">
        <f t="shared" ref="R15:R21" si="12">O15/L15</f>
        <v>0.90694111190623028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13">N15-K15</f>
        <v>-177.06694468323508</v>
      </c>
      <c r="AG15" s="124">
        <f t="shared" ref="AG15:AG19" si="14">N15/K15</f>
        <v>0.90919643862398203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613</v>
      </c>
      <c r="H16" s="134">
        <f>F16*G16</f>
        <v>35069.730000000003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21" si="15">K16/J16</f>
        <v>161.92307692307693</v>
      </c>
      <c r="M16" s="139">
        <v>13</v>
      </c>
      <c r="N16" s="140">
        <f t="shared" ref="N16:N21" si="16">G16/W16*60</f>
        <v>1838.9999999999843</v>
      </c>
      <c r="O16" s="141">
        <f>N16/M16</f>
        <v>141.46153846153726</v>
      </c>
      <c r="P16" s="142">
        <f>M16-J16</f>
        <v>0</v>
      </c>
      <c r="Q16" s="143">
        <f t="shared" si="11"/>
        <v>-20.461538461539675</v>
      </c>
      <c r="R16" s="144">
        <f>O16/L16</f>
        <v>0.87363420427552696</v>
      </c>
      <c r="S16" s="734">
        <f>R26</f>
        <v>0.90593305226644993</v>
      </c>
      <c r="T16" s="145">
        <v>0.29097222222222202</v>
      </c>
      <c r="U16" s="145">
        <v>0.30486111111111103</v>
      </c>
      <c r="V16" s="135"/>
      <c r="W16" s="146">
        <f t="shared" ref="W16:W78" si="17">(U16-T16)*24*60</f>
        <v>20.000000000000171</v>
      </c>
      <c r="X16" s="141"/>
      <c r="Y16" s="296"/>
      <c r="Z16" s="169"/>
      <c r="AA16" s="169"/>
      <c r="AB16" s="723"/>
      <c r="AC16" s="723"/>
      <c r="AD16" s="135"/>
      <c r="AE16" s="135"/>
      <c r="AF16" s="229">
        <f t="shared" si="13"/>
        <v>-266.00000000001569</v>
      </c>
      <c r="AG16" s="52">
        <f t="shared" si="14"/>
        <v>0.87363420427552696</v>
      </c>
      <c r="AH16" s="724">
        <f>AG26</f>
        <v>0.90613595672655278</v>
      </c>
    </row>
    <row r="17" spans="1:34" ht="15" customHeight="1">
      <c r="A17" s="741"/>
      <c r="B17" s="75" t="s">
        <v>81</v>
      </c>
      <c r="C17" s="76"/>
      <c r="D17" s="59" t="s">
        <v>121</v>
      </c>
      <c r="E17" s="77"/>
      <c r="F17" s="75">
        <f>VLOOKUP(D17,廠價表!$C$1:$E$41,3,0)</f>
        <v>57.21</v>
      </c>
      <c r="G17" s="147">
        <v>906</v>
      </c>
      <c r="H17" s="78">
        <f>F17*G17</f>
        <v>51832.26</v>
      </c>
      <c r="I17" s="30"/>
      <c r="J17" s="79">
        <f>VLOOKUP(D17,產線配置圖!$A$3:$C$39,2,0)</f>
        <v>13</v>
      </c>
      <c r="K17" s="80">
        <f>VLOOKUP(D17,產線配置圖!$A$3:$C$39,3,0)</f>
        <v>2105</v>
      </c>
      <c r="L17" s="81">
        <f t="shared" si="15"/>
        <v>161.92307692307693</v>
      </c>
      <c r="M17" s="148">
        <v>13</v>
      </c>
      <c r="N17" s="95">
        <f>G17/W17*60</f>
        <v>1753.5483870968033</v>
      </c>
      <c r="O17" s="96">
        <f t="shared" ref="O17:O21" si="18">N17/M17</f>
        <v>134.88833746898487</v>
      </c>
      <c r="P17" s="97">
        <f t="shared" si="10"/>
        <v>0</v>
      </c>
      <c r="Q17" s="98">
        <f t="shared" si="11"/>
        <v>-27.034739454092062</v>
      </c>
      <c r="R17" s="99">
        <f t="shared" si="12"/>
        <v>0.83303961382270941</v>
      </c>
      <c r="S17" s="735"/>
      <c r="T17" s="19">
        <v>0.31180555555555556</v>
      </c>
      <c r="U17" s="19">
        <v>0.33333333333333298</v>
      </c>
      <c r="V17" s="30">
        <f>(T17-U16)*24*60</f>
        <v>10.000000000000124</v>
      </c>
      <c r="W17" s="149">
        <f t="shared" si="17"/>
        <v>30.999999999999488</v>
      </c>
      <c r="X17" s="19"/>
      <c r="Y17" s="297"/>
      <c r="Z17" s="90"/>
      <c r="AA17" s="90"/>
      <c r="AB17" s="713"/>
      <c r="AC17" s="713"/>
      <c r="AD17" s="92"/>
      <c r="AE17" s="92"/>
      <c r="AF17" s="307">
        <f t="shared" si="13"/>
        <v>-351.45161290319675</v>
      </c>
      <c r="AG17" s="72">
        <f t="shared" si="14"/>
        <v>0.83303961382270941</v>
      </c>
      <c r="AH17" s="725"/>
    </row>
    <row r="18" spans="1:34" ht="15" customHeight="1">
      <c r="A18" s="741"/>
      <c r="B18" s="75" t="s">
        <v>81</v>
      </c>
      <c r="C18" s="76"/>
      <c r="D18" s="59" t="s">
        <v>123</v>
      </c>
      <c r="E18" s="77"/>
      <c r="F18" s="75">
        <f>VLOOKUP(D18,廠價表!$C$1:$E$41,3,0)</f>
        <v>50.67</v>
      </c>
      <c r="G18" s="147">
        <v>3252</v>
      </c>
      <c r="H18" s="78">
        <f>F18*G18</f>
        <v>164778.84</v>
      </c>
      <c r="I18" s="30"/>
      <c r="J18" s="79">
        <f>VLOOKUP(D18,產線配置圖!$A$3:$C$39,2,0)</f>
        <v>13</v>
      </c>
      <c r="K18" s="80">
        <f>VLOOKUP(D18,產線配置圖!$A$3:$C$39,3,0)</f>
        <v>2000</v>
      </c>
      <c r="L18" s="81">
        <f t="shared" si="15"/>
        <v>153.84615384615384</v>
      </c>
      <c r="M18" s="148">
        <v>13</v>
      </c>
      <c r="N18" s="95">
        <f t="shared" si="16"/>
        <v>1894.3689320388564</v>
      </c>
      <c r="O18" s="96">
        <f t="shared" si="18"/>
        <v>145.72068707991204</v>
      </c>
      <c r="P18" s="97">
        <f t="shared" si="10"/>
        <v>0</v>
      </c>
      <c r="Q18" s="98">
        <f t="shared" si="11"/>
        <v>-8.1254667662418001</v>
      </c>
      <c r="R18" s="99">
        <f t="shared" si="12"/>
        <v>0.94718446601942829</v>
      </c>
      <c r="S18" s="735"/>
      <c r="T18" s="19">
        <v>0.34166666666666701</v>
      </c>
      <c r="U18" s="19">
        <v>0.41319444444444398</v>
      </c>
      <c r="V18" s="30">
        <f>(T18-U17)*24*60</f>
        <v>12.000000000000997</v>
      </c>
      <c r="W18" s="149">
        <f t="shared" si="17"/>
        <v>102.99999999999883</v>
      </c>
      <c r="X18" s="22">
        <v>0.48611111111111099</v>
      </c>
      <c r="Y18" s="84">
        <v>0.52777777777777801</v>
      </c>
      <c r="Z18" s="90"/>
      <c r="AA18" s="90"/>
      <c r="AB18" s="713" t="s">
        <v>256</v>
      </c>
      <c r="AC18" s="713"/>
      <c r="AD18" s="92">
        <v>3</v>
      </c>
      <c r="AE18" s="92">
        <v>3</v>
      </c>
      <c r="AF18" s="307">
        <f t="shared" si="13"/>
        <v>-105.63106796114357</v>
      </c>
      <c r="AG18" s="72">
        <f t="shared" si="14"/>
        <v>0.94718446601942818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2278</v>
      </c>
      <c r="H19" s="78">
        <f t="shared" ref="H19:H21" si="19">F19*G19</f>
        <v>114788.42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si="15"/>
        <v>166.66666666666666</v>
      </c>
      <c r="M19" s="148">
        <v>12</v>
      </c>
      <c r="N19" s="95">
        <f t="shared" si="16"/>
        <v>1646.7469879518037</v>
      </c>
      <c r="O19" s="96">
        <f t="shared" si="18"/>
        <v>137.22891566265031</v>
      </c>
      <c r="P19" s="97">
        <f t="shared" si="10"/>
        <v>0</v>
      </c>
      <c r="Q19" s="98">
        <f t="shared" si="11"/>
        <v>-29.437751004016349</v>
      </c>
      <c r="R19" s="99">
        <f t="shared" si="12"/>
        <v>0.82337349397590187</v>
      </c>
      <c r="S19" s="735"/>
      <c r="T19" s="19">
        <v>0.421527777777778</v>
      </c>
      <c r="U19" s="19">
        <v>0.47916666666666702</v>
      </c>
      <c r="V19" s="30">
        <f>(T19-U18)*24*60</f>
        <v>12.000000000000997</v>
      </c>
      <c r="W19" s="149">
        <f t="shared" si="17"/>
        <v>83.000000000000185</v>
      </c>
      <c r="X19" s="22"/>
      <c r="Y19" s="84"/>
      <c r="Z19" s="90"/>
      <c r="AA19" s="90"/>
      <c r="AB19" s="713" t="s">
        <v>256</v>
      </c>
      <c r="AC19" s="713"/>
      <c r="AD19" s="149">
        <v>6</v>
      </c>
      <c r="AE19" s="149">
        <v>6</v>
      </c>
      <c r="AF19" s="307">
        <f t="shared" si="13"/>
        <v>-353.2530120481963</v>
      </c>
      <c r="AG19" s="72">
        <f t="shared" si="14"/>
        <v>0.82337349397590187</v>
      </c>
      <c r="AH19" s="726"/>
    </row>
    <row r="20" spans="1:34" ht="15" customHeight="1">
      <c r="A20" s="741"/>
      <c r="B20" s="75" t="s">
        <v>81</v>
      </c>
      <c r="C20" s="76"/>
      <c r="D20" s="59" t="s">
        <v>124</v>
      </c>
      <c r="E20" s="77"/>
      <c r="F20" s="75">
        <f>VLOOKUP(D20,廠價表!$C$1:$E$41,3,0)</f>
        <v>50.39</v>
      </c>
      <c r="G20" s="147">
        <v>1947</v>
      </c>
      <c r="H20" s="78">
        <f t="shared" si="19"/>
        <v>98109.33</v>
      </c>
      <c r="I20" s="30"/>
      <c r="J20" s="79">
        <f>VLOOKUP(D20,產線配置圖!$A$3:$C$39,2,0)</f>
        <v>12</v>
      </c>
      <c r="K20" s="80">
        <f>VLOOKUP(D20,產線配置圖!$A$3:$C$39,3,0)</f>
        <v>2000</v>
      </c>
      <c r="L20" s="81">
        <f t="shared" si="15"/>
        <v>166.66666666666666</v>
      </c>
      <c r="M20" s="148">
        <v>12</v>
      </c>
      <c r="N20" s="95">
        <f t="shared" si="16"/>
        <v>1947.0000000000275</v>
      </c>
      <c r="O20" s="96">
        <f t="shared" si="18"/>
        <v>162.2500000000023</v>
      </c>
      <c r="P20" s="97">
        <f t="shared" si="10"/>
        <v>0</v>
      </c>
      <c r="Q20" s="98">
        <f t="shared" si="11"/>
        <v>-4.416666666664355</v>
      </c>
      <c r="R20" s="99">
        <f t="shared" si="12"/>
        <v>0.97350000000001391</v>
      </c>
      <c r="S20" s="735"/>
      <c r="T20" s="19">
        <v>0.54166666666666696</v>
      </c>
      <c r="U20" s="19">
        <v>0.58333333333333304</v>
      </c>
      <c r="V20" s="30">
        <f>(T20-U19)*24*60</f>
        <v>89.999999999999915</v>
      </c>
      <c r="W20" s="149">
        <f t="shared" si="17"/>
        <v>59.999999999999147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 t="s">
        <v>81</v>
      </c>
      <c r="C21" s="76"/>
      <c r="D21" s="59" t="s">
        <v>121</v>
      </c>
      <c r="E21" s="77"/>
      <c r="F21" s="75">
        <f>VLOOKUP(D21,廠價表!$C$1:$E$41,3,0)</f>
        <v>57.21</v>
      </c>
      <c r="G21" s="147">
        <v>1732</v>
      </c>
      <c r="H21" s="78">
        <f t="shared" si="19"/>
        <v>99087.72</v>
      </c>
      <c r="I21" s="30"/>
      <c r="J21" s="79">
        <f>VLOOKUP(D21,產線配置圖!$A$3:$C$39,2,0)</f>
        <v>13</v>
      </c>
      <c r="K21" s="80">
        <f>VLOOKUP(D21,產線配置圖!$A$3:$C$39,3,0)</f>
        <v>2105</v>
      </c>
      <c r="L21" s="81">
        <f t="shared" si="15"/>
        <v>161.92307692307693</v>
      </c>
      <c r="M21" s="148">
        <v>13</v>
      </c>
      <c r="N21" s="95">
        <f t="shared" si="16"/>
        <v>2078.4000000000206</v>
      </c>
      <c r="O21" s="96">
        <f t="shared" si="18"/>
        <v>159.87692307692467</v>
      </c>
      <c r="P21" s="97">
        <f t="shared" si="10"/>
        <v>0</v>
      </c>
      <c r="Q21" s="98">
        <f t="shared" si="11"/>
        <v>-2.046153846152265</v>
      </c>
      <c r="R21" s="99">
        <f t="shared" si="12"/>
        <v>0.9873634204275632</v>
      </c>
      <c r="S21" s="735"/>
      <c r="T21" s="19">
        <v>0.60416666666666696</v>
      </c>
      <c r="U21" s="19">
        <v>0.63888888888888884</v>
      </c>
      <c r="V21" s="30">
        <f t="shared" ref="V21:V22" si="20">(T21-U20)*24*60</f>
        <v>30.000000000000853</v>
      </c>
      <c r="W21" s="149">
        <f t="shared" si="17"/>
        <v>49.999999999999503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35"/>
      <c r="T22" s="19"/>
      <c r="U22" s="19"/>
      <c r="V22" s="30"/>
      <c r="W22" s="149">
        <f t="shared" si="17"/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50"/>
      <c r="U23" s="150"/>
      <c r="W23" s="149">
        <f t="shared" si="17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 thickBo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22">AVERAGE(J16:J25)</f>
        <v>12.666666666666666</v>
      </c>
      <c r="K26" s="155">
        <f t="shared" si="22"/>
        <v>2052.5</v>
      </c>
      <c r="L26" s="158">
        <f t="shared" si="22"/>
        <v>162.15811965811966</v>
      </c>
      <c r="M26" s="155">
        <f t="shared" si="22"/>
        <v>12.666666666666666</v>
      </c>
      <c r="N26" s="155">
        <f t="shared" si="22"/>
        <v>1859.8440511812496</v>
      </c>
      <c r="O26" s="158">
        <f t="shared" si="22"/>
        <v>146.90440029166857</v>
      </c>
      <c r="P26" s="159">
        <f t="shared" ref="P26:P31" si="23">M26-J26</f>
        <v>0</v>
      </c>
      <c r="Q26" s="160">
        <f t="shared" ref="Q26:Q31" si="24">O26-L26</f>
        <v>-15.253719366451094</v>
      </c>
      <c r="R26" s="161">
        <f>O26/L26</f>
        <v>0.90593305226644993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9</v>
      </c>
      <c r="AE26" s="323">
        <f>SUM(AE16:AE25)</f>
        <v>9</v>
      </c>
      <c r="AF26" s="309">
        <f t="shared" ref="AF26:AF31" si="25">N26-K26</f>
        <v>-192.6559488187504</v>
      </c>
      <c r="AG26" s="124">
        <f t="shared" ref="AG26:AG31" si="26">N26/K26</f>
        <v>0.90613595672655278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2037</v>
      </c>
      <c r="H27" s="134">
        <f>F27*G27</f>
        <v>116720.09999999999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1" si="27">K27/J27</f>
        <v>88.235294117647058</v>
      </c>
      <c r="M27" s="170">
        <v>17</v>
      </c>
      <c r="N27" s="140">
        <f>G27/W27*60</f>
        <v>1437.8823529411966</v>
      </c>
      <c r="O27" s="141">
        <f>N27/M27</f>
        <v>84.58131487889392</v>
      </c>
      <c r="P27" s="142">
        <f t="shared" si="23"/>
        <v>0</v>
      </c>
      <c r="Q27" s="143">
        <f t="shared" si="24"/>
        <v>-3.6539792387531378</v>
      </c>
      <c r="R27" s="144">
        <f>O27/L27</f>
        <v>0.95858823529413106</v>
      </c>
      <c r="S27" s="734">
        <f>R37</f>
        <v>0.84141658748636305</v>
      </c>
      <c r="T27" s="171">
        <v>0.29166666666666702</v>
      </c>
      <c r="U27" s="171">
        <v>0.35069444444444398</v>
      </c>
      <c r="V27" s="135"/>
      <c r="W27" s="146">
        <f t="shared" si="17"/>
        <v>84.99999999999882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25"/>
        <v>-62.117647058803414</v>
      </c>
      <c r="AG27" s="172">
        <f t="shared" si="26"/>
        <v>0.95858823529413106</v>
      </c>
      <c r="AH27" s="724">
        <f>AG37</f>
        <v>0.72784605137351088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1116</v>
      </c>
      <c r="H28" s="91">
        <f>F28*G28</f>
        <v>61525.08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7"/>
        <v>81.470588235294116</v>
      </c>
      <c r="M28" s="94">
        <v>15</v>
      </c>
      <c r="N28" s="95">
        <f>G28/W28*60</f>
        <v>1062.8571428571427</v>
      </c>
      <c r="O28" s="96">
        <f>N28/M28</f>
        <v>70.857142857142847</v>
      </c>
      <c r="P28" s="97">
        <f t="shared" si="23"/>
        <v>-2</v>
      </c>
      <c r="Q28" s="98">
        <f t="shared" si="24"/>
        <v>-10.613445378151269</v>
      </c>
      <c r="R28" s="99">
        <f t="shared" ref="R28:R31" si="28">O28/L28</f>
        <v>0.86972666322846814</v>
      </c>
      <c r="S28" s="735"/>
      <c r="T28" s="19">
        <v>0.35763888888888901</v>
      </c>
      <c r="U28" s="19">
        <v>0.40138888888888902</v>
      </c>
      <c r="V28" s="92">
        <f>(T28-U27)*24*60</f>
        <v>10.000000000000844</v>
      </c>
      <c r="W28" s="149">
        <f t="shared" si="17"/>
        <v>63.000000000000014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25"/>
        <v>-322.14285714285734</v>
      </c>
      <c r="AG28" s="99">
        <f t="shared" si="26"/>
        <v>0.76740587931923654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1124</v>
      </c>
      <c r="H29" s="91">
        <f>F29*G29</f>
        <v>55660.480000000003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27"/>
        <v>84.705882352941174</v>
      </c>
      <c r="M29" s="94">
        <v>13</v>
      </c>
      <c r="N29" s="95">
        <f>G29/W29*60</f>
        <v>977.3913043478193</v>
      </c>
      <c r="O29" s="96">
        <f>N29/M29</f>
        <v>75.183946488293799</v>
      </c>
      <c r="P29" s="97">
        <f t="shared" si="23"/>
        <v>-4</v>
      </c>
      <c r="Q29" s="98">
        <f t="shared" si="24"/>
        <v>-9.5219358646473751</v>
      </c>
      <c r="R29" s="99">
        <f t="shared" si="28"/>
        <v>0.88758825715346845</v>
      </c>
      <c r="S29" s="735"/>
      <c r="T29" s="19">
        <v>0.40833333333333299</v>
      </c>
      <c r="U29" s="19">
        <v>0.45624999999999999</v>
      </c>
      <c r="V29" s="92">
        <f>(T29-U28)*24*60</f>
        <v>9.999999999999325</v>
      </c>
      <c r="W29" s="149">
        <f t="shared" si="17"/>
        <v>69.000000000000469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25"/>
        <v>-462.6086956521807</v>
      </c>
      <c r="AG29" s="99">
        <f t="shared" si="26"/>
        <v>0.67874396135265225</v>
      </c>
      <c r="AH29" s="744"/>
    </row>
    <row r="30" spans="1:34" ht="15" customHeight="1">
      <c r="A30" s="732"/>
      <c r="B30" s="75" t="s">
        <v>117</v>
      </c>
      <c r="C30" s="88"/>
      <c r="D30" s="59" t="s">
        <v>118</v>
      </c>
      <c r="E30" s="89"/>
      <c r="F30" s="75">
        <f>VLOOKUP(D30,廠價表!$C$1:$E$41,3,0)</f>
        <v>44.3</v>
      </c>
      <c r="G30" s="90">
        <v>1610</v>
      </c>
      <c r="H30" s="91">
        <f t="shared" ref="H30:H31" si="29">F30*G30</f>
        <v>71323</v>
      </c>
      <c r="I30" s="92"/>
      <c r="J30" s="79">
        <v>17</v>
      </c>
      <c r="K30" s="80">
        <f>VLOOKUP(D30,產線配置圖!$A$3:$C$39,3,0)</f>
        <v>1440</v>
      </c>
      <c r="L30" s="93">
        <f t="shared" si="27"/>
        <v>84.705882352941174</v>
      </c>
      <c r="M30" s="94">
        <v>13</v>
      </c>
      <c r="N30" s="95">
        <f t="shared" ref="N30:N31" si="30">G30/W30*60</f>
        <v>804.99999999999432</v>
      </c>
      <c r="O30" s="96">
        <f t="shared" ref="O30:O31" si="31">N30/M30</f>
        <v>61.923076923076486</v>
      </c>
      <c r="P30" s="97">
        <f t="shared" si="23"/>
        <v>-4</v>
      </c>
      <c r="Q30" s="98">
        <f t="shared" si="24"/>
        <v>-22.782805429864688</v>
      </c>
      <c r="R30" s="99">
        <f t="shared" si="28"/>
        <v>0.73103632478631964</v>
      </c>
      <c r="S30" s="735"/>
      <c r="T30" s="19">
        <v>0.52083333333333304</v>
      </c>
      <c r="U30" s="19">
        <v>0.60416666666666696</v>
      </c>
      <c r="V30" s="92">
        <f>(T30-U29)*24*60</f>
        <v>92.999999999999588</v>
      </c>
      <c r="W30" s="149">
        <f t="shared" si="17"/>
        <v>120.00000000000085</v>
      </c>
      <c r="X30" s="174">
        <v>0.49652777777777801</v>
      </c>
      <c r="Y30" s="301">
        <v>0.53819444444444398</v>
      </c>
      <c r="Z30" s="335">
        <v>1</v>
      </c>
      <c r="AA30" s="335">
        <v>10</v>
      </c>
      <c r="AB30" s="713" t="s">
        <v>253</v>
      </c>
      <c r="AC30" s="713"/>
      <c r="AD30" s="92"/>
      <c r="AE30" s="92"/>
      <c r="AF30" s="312">
        <f t="shared" si="25"/>
        <v>-635.00000000000568</v>
      </c>
      <c r="AG30" s="99">
        <f t="shared" si="26"/>
        <v>0.55902777777777379</v>
      </c>
      <c r="AH30" s="745"/>
    </row>
    <row r="31" spans="1:34" ht="15" customHeight="1">
      <c r="A31" s="732"/>
      <c r="B31" s="75" t="s">
        <v>117</v>
      </c>
      <c r="C31" s="88"/>
      <c r="D31" s="59" t="s">
        <v>118</v>
      </c>
      <c r="E31" s="89"/>
      <c r="F31" s="75">
        <f>VLOOKUP(D31,廠價表!$C$1:$E$41,3,0)</f>
        <v>44.3</v>
      </c>
      <c r="G31" s="90">
        <v>961</v>
      </c>
      <c r="H31" s="91">
        <f t="shared" si="29"/>
        <v>42572.299999999996</v>
      </c>
      <c r="I31" s="92"/>
      <c r="J31" s="79">
        <v>17</v>
      </c>
      <c r="K31" s="80">
        <f>VLOOKUP(D31,產線配置圖!$A$3:$C$39,3,0)</f>
        <v>1440</v>
      </c>
      <c r="L31" s="93">
        <f t="shared" si="27"/>
        <v>84.705882352941174</v>
      </c>
      <c r="M31" s="94">
        <v>15</v>
      </c>
      <c r="N31" s="95">
        <f t="shared" si="30"/>
        <v>960.99999999999318</v>
      </c>
      <c r="O31" s="96">
        <f t="shared" si="31"/>
        <v>64.066666666666208</v>
      </c>
      <c r="P31" s="97">
        <f t="shared" si="23"/>
        <v>-2</v>
      </c>
      <c r="Q31" s="98">
        <f t="shared" si="24"/>
        <v>-20.639215686274966</v>
      </c>
      <c r="R31" s="99">
        <f t="shared" si="28"/>
        <v>0.75634259259258718</v>
      </c>
      <c r="S31" s="735"/>
      <c r="T31" s="19">
        <v>0.61111111111111105</v>
      </c>
      <c r="U31" s="19">
        <v>0.65277777777777801</v>
      </c>
      <c r="V31" s="92">
        <f>(T31-U30)*24*60</f>
        <v>9.9999999999994849</v>
      </c>
      <c r="W31" s="149">
        <f t="shared" si="17"/>
        <v>60.000000000000426</v>
      </c>
      <c r="X31" s="174"/>
      <c r="Y31" s="301"/>
      <c r="Z31" s="335"/>
      <c r="AA31" s="335"/>
      <c r="AB31" s="713" t="s">
        <v>253</v>
      </c>
      <c r="AC31" s="713"/>
      <c r="AD31" s="92"/>
      <c r="AE31" s="92"/>
      <c r="AF31" s="312">
        <f t="shared" si="25"/>
        <v>-479.00000000000682</v>
      </c>
      <c r="AG31" s="99">
        <f t="shared" si="26"/>
        <v>0.66736111111110641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32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 thickBo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33">AVERAGE(J27:J36)</f>
        <v>17</v>
      </c>
      <c r="K37" s="155">
        <f t="shared" si="33"/>
        <v>1441</v>
      </c>
      <c r="L37" s="158">
        <f t="shared" si="33"/>
        <v>84.764705882352928</v>
      </c>
      <c r="M37" s="155">
        <f t="shared" si="33"/>
        <v>14.6</v>
      </c>
      <c r="N37" s="155">
        <f t="shared" si="33"/>
        <v>1048.8261600292292</v>
      </c>
      <c r="O37" s="158">
        <f t="shared" si="33"/>
        <v>71.322429562814648</v>
      </c>
      <c r="P37" s="159">
        <f>M37-J37</f>
        <v>-2.4000000000000004</v>
      </c>
      <c r="Q37" s="160">
        <f>N37-K37</f>
        <v>-392.17383997077081</v>
      </c>
      <c r="R37" s="161">
        <f t="shared" ref="R37:R41" si="34">O37/L37</f>
        <v>0.84141658748636305</v>
      </c>
      <c r="S37" s="736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35">N37-K37</f>
        <v>-392.17383997077081</v>
      </c>
      <c r="AG37" s="124">
        <f t="shared" ref="AG37:AG41" si="36">N37/K37</f>
        <v>0.72784605137351088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911</v>
      </c>
      <c r="H38" s="134">
        <f>F38*G38</f>
        <v>51407.73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7">K38/J38</f>
        <v>87.875</v>
      </c>
      <c r="M38" s="190">
        <v>12</v>
      </c>
      <c r="N38" s="140">
        <f>G38/W38*60</f>
        <v>643.05882352940921</v>
      </c>
      <c r="O38" s="141">
        <f>N38/M38</f>
        <v>53.588235294117432</v>
      </c>
      <c r="P38" s="142">
        <f t="shared" ref="P38:P41" si="38">M38-J38</f>
        <v>-4</v>
      </c>
      <c r="Q38" s="143">
        <f t="shared" ref="Q38:Q41" si="39">O38-L38</f>
        <v>-34.286764705882568</v>
      </c>
      <c r="R38" s="144">
        <f>O38/L38</f>
        <v>0.60982344573675595</v>
      </c>
      <c r="S38" s="756">
        <f>R48</f>
        <v>0.77401762781569072</v>
      </c>
      <c r="T38" s="191">
        <v>0.33333333333333298</v>
      </c>
      <c r="U38" s="191">
        <v>0.39236111111111099</v>
      </c>
      <c r="V38" s="192"/>
      <c r="W38" s="193">
        <f t="shared" si="17"/>
        <v>85.000000000000341</v>
      </c>
      <c r="X38" s="194"/>
      <c r="Y38" s="302"/>
      <c r="Z38" s="336"/>
      <c r="AA38" s="336"/>
      <c r="AB38" s="758" t="s">
        <v>253</v>
      </c>
      <c r="AC38" s="758"/>
      <c r="AD38" s="192"/>
      <c r="AE38" s="192"/>
      <c r="AF38" s="313">
        <f t="shared" si="35"/>
        <v>-762.94117647059079</v>
      </c>
      <c r="AG38" s="195">
        <f t="shared" si="36"/>
        <v>0.45736758430256702</v>
      </c>
      <c r="AH38" s="746">
        <f>AG48</f>
        <v>0.66573747163288988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1862</v>
      </c>
      <c r="H39" s="91">
        <f>F39*G39</f>
        <v>92932.42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7"/>
        <v>92.058823529411768</v>
      </c>
      <c r="M39" s="201">
        <v>15</v>
      </c>
      <c r="N39" s="202">
        <f>G39/W39*60</f>
        <v>1314.3529411764653</v>
      </c>
      <c r="O39" s="203">
        <f t="shared" ref="O39:O41" si="40">N39/M39</f>
        <v>87.623529411764352</v>
      </c>
      <c r="P39" s="97">
        <f t="shared" si="38"/>
        <v>-2</v>
      </c>
      <c r="Q39" s="98">
        <f t="shared" si="39"/>
        <v>-4.4352941176474161</v>
      </c>
      <c r="R39" s="99">
        <f t="shared" si="34"/>
        <v>0.95182108626197692</v>
      </c>
      <c r="S39" s="757"/>
      <c r="T39" s="20">
        <v>0.38194444444444398</v>
      </c>
      <c r="U39" s="20">
        <v>0.44097222222222199</v>
      </c>
      <c r="V39" s="92">
        <f>(T39-U38)*24*60</f>
        <v>-15.000000000000506</v>
      </c>
      <c r="W39" s="205">
        <f t="shared" si="17"/>
        <v>85.000000000000341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35"/>
        <v>-250.64705882353473</v>
      </c>
      <c r="AG39" s="206">
        <f t="shared" si="36"/>
        <v>0.83984213493703852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900</v>
      </c>
      <c r="H40" s="91">
        <f>F40*G40</f>
        <v>39870</v>
      </c>
      <c r="I40" s="200"/>
      <c r="J40" s="148">
        <v>17</v>
      </c>
      <c r="K40" s="95">
        <f>VLOOKUP(D40,產線配置圖!$A$3:$C$39,3,0)</f>
        <v>1440</v>
      </c>
      <c r="L40" s="96">
        <f t="shared" si="37"/>
        <v>84.705882352941174</v>
      </c>
      <c r="M40" s="201">
        <v>15</v>
      </c>
      <c r="N40" s="202">
        <f>G40/W40*60</f>
        <v>981.81818181819392</v>
      </c>
      <c r="O40" s="203">
        <f t="shared" si="40"/>
        <v>65.454545454546263</v>
      </c>
      <c r="P40" s="97">
        <f t="shared" si="38"/>
        <v>-2</v>
      </c>
      <c r="Q40" s="98">
        <f t="shared" si="39"/>
        <v>-19.251336898394911</v>
      </c>
      <c r="R40" s="99">
        <f t="shared" si="34"/>
        <v>0.77272727272728226</v>
      </c>
      <c r="S40" s="719"/>
      <c r="T40" s="20">
        <v>0.45138888888888901</v>
      </c>
      <c r="U40" s="20">
        <v>0.48958333333333298</v>
      </c>
      <c r="V40" s="92">
        <f>(T40-U39)*24*60</f>
        <v>15.000000000000506</v>
      </c>
      <c r="W40" s="205">
        <f t="shared" si="17"/>
        <v>54.999999999999325</v>
      </c>
      <c r="X40" s="208"/>
      <c r="Y40" s="209"/>
      <c r="Z40" s="337"/>
      <c r="AA40" s="337"/>
      <c r="AB40" s="713" t="s">
        <v>253</v>
      </c>
      <c r="AC40" s="713"/>
      <c r="AD40" s="92"/>
      <c r="AE40" s="92"/>
      <c r="AF40" s="314">
        <f t="shared" si="35"/>
        <v>-458.18181818180608</v>
      </c>
      <c r="AG40" s="206">
        <f t="shared" si="36"/>
        <v>0.68181818181819021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478</v>
      </c>
      <c r="H41" s="91">
        <f>F41*G41</f>
        <v>21175.399999999998</v>
      </c>
      <c r="I41" s="200"/>
      <c r="J41" s="148">
        <v>17</v>
      </c>
      <c r="K41" s="95">
        <f>VLOOKUP(D41,產線配置圖!$A$3:$C$39,3,0)</f>
        <v>1440</v>
      </c>
      <c r="L41" s="96">
        <f t="shared" si="37"/>
        <v>84.705882352941174</v>
      </c>
      <c r="M41" s="201">
        <v>15</v>
      </c>
      <c r="N41" s="202">
        <f>G41/W41*60</f>
        <v>955.99999999997044</v>
      </c>
      <c r="O41" s="203">
        <f t="shared" si="40"/>
        <v>63.733333333331366</v>
      </c>
      <c r="P41" s="97">
        <f t="shared" si="38"/>
        <v>-2</v>
      </c>
      <c r="Q41" s="98">
        <f t="shared" si="39"/>
        <v>-20.972549019609808</v>
      </c>
      <c r="R41" s="99">
        <f t="shared" si="34"/>
        <v>0.75240740740738421</v>
      </c>
      <c r="S41" s="719"/>
      <c r="T41" s="20">
        <v>0.48958333333333298</v>
      </c>
      <c r="U41" s="210">
        <v>0.51041666666666696</v>
      </c>
      <c r="V41" s="92"/>
      <c r="W41" s="205">
        <f t="shared" si="17"/>
        <v>30.000000000000931</v>
      </c>
      <c r="X41" s="208"/>
      <c r="Y41" s="209"/>
      <c r="Z41" s="337"/>
      <c r="AA41" s="337"/>
      <c r="AB41" s="713" t="s">
        <v>253</v>
      </c>
      <c r="AC41" s="713"/>
      <c r="AD41" s="92"/>
      <c r="AE41" s="92"/>
      <c r="AF41" s="314">
        <f t="shared" si="35"/>
        <v>-484.00000000002956</v>
      </c>
      <c r="AG41" s="206">
        <f t="shared" si="36"/>
        <v>0.66388888888886832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41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41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41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32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41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 thickBo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42">AVERAGE(J38:J47)</f>
        <v>16.75</v>
      </c>
      <c r="K48" s="155">
        <f t="shared" si="42"/>
        <v>1462.75</v>
      </c>
      <c r="L48" s="158">
        <f t="shared" si="42"/>
        <v>87.336397058823522</v>
      </c>
      <c r="M48" s="155">
        <f t="shared" si="42"/>
        <v>14.25</v>
      </c>
      <c r="N48" s="155">
        <f t="shared" si="42"/>
        <v>973.80748663100974</v>
      </c>
      <c r="O48" s="158">
        <f t="shared" si="42"/>
        <v>67.599910873439853</v>
      </c>
      <c r="P48" s="221">
        <f>M48-J48</f>
        <v>-2.5</v>
      </c>
      <c r="Q48" s="222">
        <f>N48-K48</f>
        <v>-488.94251336899026</v>
      </c>
      <c r="R48" s="223">
        <f>O48/L48</f>
        <v>0.77401762781569072</v>
      </c>
      <c r="S48" s="722"/>
      <c r="T48" s="224"/>
      <c r="U48" s="224"/>
      <c r="V48" s="225"/>
      <c r="W48" s="226">
        <f t="shared" si="41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43">N48-K48</f>
        <v>-488.94251336899026</v>
      </c>
      <c r="AG48" s="162">
        <f t="shared" ref="AG48:AG53" si="44">N48/K48</f>
        <v>0.66573747163288988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803</v>
      </c>
      <c r="H49" s="134">
        <f>F49*G49</f>
        <v>45666.61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3" si="45">K49/J49</f>
        <v>86.944444444444443</v>
      </c>
      <c r="M49" s="170">
        <v>18</v>
      </c>
      <c r="N49" s="140">
        <f>G49/W49*60</f>
        <v>1554.1935483871546</v>
      </c>
      <c r="O49" s="141">
        <f>N49/M49</f>
        <v>86.344086021508588</v>
      </c>
      <c r="P49" s="229">
        <f>M49-J49</f>
        <v>0</v>
      </c>
      <c r="Q49" s="230">
        <f>O49-L49</f>
        <v>-0.60035842293585517</v>
      </c>
      <c r="R49" s="52">
        <f>O49/L49</f>
        <v>0.99309491909722336</v>
      </c>
      <c r="S49" s="718">
        <f>R58</f>
        <v>0.9639835193542492</v>
      </c>
      <c r="T49" s="191">
        <v>0.29166666666666702</v>
      </c>
      <c r="U49" s="191">
        <v>0.313194444444444</v>
      </c>
      <c r="V49" s="55"/>
      <c r="W49" s="193">
        <f t="shared" si="17"/>
        <v>30.999999999998849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43"/>
        <v>-10.806451612845422</v>
      </c>
      <c r="AG49" s="52">
        <f t="shared" si="44"/>
        <v>0.99309491909722336</v>
      </c>
      <c r="AH49" s="724">
        <f>AG58</f>
        <v>0.91285331564899697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2235</v>
      </c>
      <c r="H50" s="231">
        <f>F50*G50</f>
        <v>106631.85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45"/>
        <v>102.85714285714286</v>
      </c>
      <c r="M50" s="233">
        <v>14</v>
      </c>
      <c r="N50" s="234">
        <f>G50/W50*60</f>
        <v>1354.545454545454</v>
      </c>
      <c r="O50" s="235">
        <f>N50/M50</f>
        <v>96.753246753246714</v>
      </c>
      <c r="P50" s="74">
        <f>M50-J50</f>
        <v>0</v>
      </c>
      <c r="Q50" s="83">
        <f>O50-L50</f>
        <v>-6.1038961038961475</v>
      </c>
      <c r="R50" s="72">
        <f>O50/L50</f>
        <v>0.94065656565656519</v>
      </c>
      <c r="S50" s="719"/>
      <c r="T50" s="21">
        <v>0.31944444444444398</v>
      </c>
      <c r="U50" s="21">
        <v>0.38819444444444401</v>
      </c>
      <c r="V50" s="30">
        <f t="shared" ref="V50:V52" si="46">(T50-U49)*24*60</f>
        <v>8.999999999999968</v>
      </c>
      <c r="W50" s="236">
        <f t="shared" si="17"/>
        <v>99.000000000000043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43"/>
        <v>-85.454545454545951</v>
      </c>
      <c r="AG50" s="72">
        <f t="shared" si="44"/>
        <v>0.9406565656565653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2629</v>
      </c>
      <c r="H51" s="231">
        <f>F51*G51</f>
        <v>131371.13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5"/>
        <v>88.888888888888886</v>
      </c>
      <c r="M51" s="233">
        <v>18</v>
      </c>
      <c r="N51" s="234">
        <f>G51/W51*60</f>
        <v>1546.470588235301</v>
      </c>
      <c r="O51" s="235">
        <f>N51/M51</f>
        <v>85.915032679738943</v>
      </c>
      <c r="P51" s="74">
        <f>M51-J51</f>
        <v>0</v>
      </c>
      <c r="Q51" s="83">
        <f>O51-L51</f>
        <v>-2.9738562091499432</v>
      </c>
      <c r="R51" s="72">
        <f>O51/L51</f>
        <v>0.96654411764706316</v>
      </c>
      <c r="S51" s="719"/>
      <c r="T51" s="21">
        <v>0.39791666666666697</v>
      </c>
      <c r="U51" s="19">
        <v>0.46875</v>
      </c>
      <c r="V51" s="30">
        <f t="shared" si="46"/>
        <v>14.000000000001069</v>
      </c>
      <c r="W51" s="236">
        <f t="shared" si="17"/>
        <v>101.99999999999956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43"/>
        <v>-53.529411764699034</v>
      </c>
      <c r="AG51" s="72">
        <f t="shared" si="44"/>
        <v>0.96654411764706305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2131</v>
      </c>
      <c r="H52" s="231">
        <f t="shared" ref="H52:H53" si="47">F52*G52</f>
        <v>106486.06999999999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5"/>
        <v>88.888888888888886</v>
      </c>
      <c r="M52" s="233">
        <v>18</v>
      </c>
      <c r="N52" s="234">
        <f t="shared" ref="N52:N54" si="48">G52/W52*60</f>
        <v>1559.2682926829384</v>
      </c>
      <c r="O52" s="235">
        <f t="shared" ref="O52:O53" si="49">N52/M52</f>
        <v>86.62601626016324</v>
      </c>
      <c r="P52" s="74">
        <f t="shared" ref="P52:P54" si="50">M52-J52</f>
        <v>0</v>
      </c>
      <c r="Q52" s="83">
        <f t="shared" ref="Q52:Q54" si="51">O52-L52</f>
        <v>-2.2628726287256455</v>
      </c>
      <c r="R52" s="72">
        <f t="shared" ref="R52:R54" si="52">O52/L52</f>
        <v>0.97454268292683643</v>
      </c>
      <c r="S52" s="719"/>
      <c r="T52" s="21">
        <v>0.53125</v>
      </c>
      <c r="U52" s="21">
        <v>0.58819444444444402</v>
      </c>
      <c r="V52" s="30">
        <f t="shared" si="46"/>
        <v>90</v>
      </c>
      <c r="W52" s="236">
        <f t="shared" si="17"/>
        <v>81.999999999999389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43"/>
        <v>-40.731707317061591</v>
      </c>
      <c r="AG52" s="72">
        <f t="shared" si="44"/>
        <v>0.97454268292683655</v>
      </c>
      <c r="AH52" s="725"/>
    </row>
    <row r="53" spans="1:34" ht="15" customHeight="1">
      <c r="A53" s="751"/>
      <c r="B53" s="101" t="s">
        <v>117</v>
      </c>
      <c r="C53" s="102"/>
      <c r="D53" s="103" t="s">
        <v>128</v>
      </c>
      <c r="E53" s="104"/>
      <c r="F53" s="75">
        <f>VLOOKUP(D53,廠價表!$C$1:$E$41,3,0)</f>
        <v>49.52</v>
      </c>
      <c r="G53" s="202">
        <v>450</v>
      </c>
      <c r="H53" s="231">
        <f t="shared" si="47"/>
        <v>22284</v>
      </c>
      <c r="I53" s="232"/>
      <c r="J53" s="79">
        <f>VLOOKUP(D53,產線配置圖!$A$3:$C$39,2,0)</f>
        <v>17</v>
      </c>
      <c r="K53" s="80">
        <f>VLOOKUP(D53,產線配置圖!$A$3:$C$39,3,0)</f>
        <v>1440</v>
      </c>
      <c r="L53" s="81">
        <f t="shared" si="45"/>
        <v>84.705882352941174</v>
      </c>
      <c r="M53" s="108">
        <v>12</v>
      </c>
      <c r="N53" s="234">
        <f t="shared" si="48"/>
        <v>964.28571428573423</v>
      </c>
      <c r="O53" s="235">
        <f t="shared" si="49"/>
        <v>80.357142857144524</v>
      </c>
      <c r="P53" s="74">
        <f t="shared" si="50"/>
        <v>-5</v>
      </c>
      <c r="Q53" s="83">
        <f t="shared" si="51"/>
        <v>-4.3487394957966501</v>
      </c>
      <c r="R53" s="72">
        <f t="shared" si="52"/>
        <v>0.94866071428573395</v>
      </c>
      <c r="S53" s="719"/>
      <c r="T53" s="21">
        <v>0.59166666666666701</v>
      </c>
      <c r="U53" s="21">
        <v>0.61111111111111105</v>
      </c>
      <c r="V53" s="30"/>
      <c r="W53" s="236">
        <f t="shared" si="17"/>
        <v>27.999999999999421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43"/>
        <v>-475.71428571426577</v>
      </c>
      <c r="AG53" s="72">
        <f t="shared" si="44"/>
        <v>0.66964285714287097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 thickBo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53">AVERAGE(J49:J57)</f>
        <v>17</v>
      </c>
      <c r="K58" s="120">
        <f t="shared" si="53"/>
        <v>1529</v>
      </c>
      <c r="L58" s="117">
        <f t="shared" si="53"/>
        <v>90.457049486461244</v>
      </c>
      <c r="M58" s="120">
        <f t="shared" si="53"/>
        <v>16</v>
      </c>
      <c r="N58" s="120">
        <f t="shared" si="53"/>
        <v>1395.7527196273163</v>
      </c>
      <c r="O58" s="117">
        <f t="shared" si="53"/>
        <v>87.19910491436039</v>
      </c>
      <c r="P58" s="121">
        <f>M58-J58</f>
        <v>-1</v>
      </c>
      <c r="Q58" s="122">
        <f>N58-K58</f>
        <v>-133.24728037268369</v>
      </c>
      <c r="R58" s="123">
        <f t="shared" ref="R58:R60" si="54">O58/L58</f>
        <v>0.9639835193542492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55">N58-K58</f>
        <v>-133.24728037268369</v>
      </c>
      <c r="AG58" s="124">
        <f t="shared" ref="AG58:AG61" si="56">N58/K58</f>
        <v>0.91285331564899697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3039</v>
      </c>
      <c r="H59" s="243">
        <f>F59*G59</f>
        <v>82022.61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3" si="57">K59/J59</f>
        <v>120.38461538461539</v>
      </c>
      <c r="M59" s="244">
        <v>13</v>
      </c>
      <c r="N59" s="137">
        <f t="shared" ref="N59:N63" si="58">G59/W59*60</f>
        <v>1545.2542372881421</v>
      </c>
      <c r="O59" s="138">
        <f t="shared" ref="O59:O63" si="59">N59/M59</f>
        <v>118.86571056062631</v>
      </c>
      <c r="P59" s="56">
        <f t="shared" ref="P59:P63" si="60">M59-J59</f>
        <v>0</v>
      </c>
      <c r="Q59" s="230">
        <f t="shared" ref="Q59:Q63" si="61">O59-L59</f>
        <v>-1.5189048239890752</v>
      </c>
      <c r="R59" s="52">
        <f t="shared" si="54"/>
        <v>0.98738289922564981</v>
      </c>
      <c r="S59" s="718">
        <f>R69</f>
        <v>0.8243914821032069</v>
      </c>
      <c r="T59" s="245">
        <v>0.29166666666666702</v>
      </c>
      <c r="U59" s="245">
        <v>0.37361111111111112</v>
      </c>
      <c r="V59" s="55"/>
      <c r="W59" s="54">
        <f t="shared" si="17"/>
        <v>117.9999999999995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55"/>
        <v>-19.745762711857878</v>
      </c>
      <c r="AG59" s="246">
        <f t="shared" si="56"/>
        <v>0.98738289922564992</v>
      </c>
      <c r="AH59" s="724">
        <f>AG69</f>
        <v>0.82689904236662903</v>
      </c>
    </row>
    <row r="60" spans="1:34" ht="15" customHeight="1">
      <c r="A60" s="765"/>
      <c r="B60" s="75" t="s">
        <v>135</v>
      </c>
      <c r="C60" s="86"/>
      <c r="D60" s="175" t="s">
        <v>137</v>
      </c>
      <c r="E60" s="87"/>
      <c r="F60" s="75">
        <f>VLOOKUP(D60,廠價表!$C$1:$E$41,3,0)</f>
        <v>28.47</v>
      </c>
      <c r="G60" s="30">
        <v>226</v>
      </c>
      <c r="H60" s="78">
        <f>F60*G60</f>
        <v>6434.2199999999993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7"/>
        <v>130.41666666666666</v>
      </c>
      <c r="M60" s="82">
        <v>12</v>
      </c>
      <c r="N60" s="80">
        <f t="shared" si="58"/>
        <v>451.99999999998477</v>
      </c>
      <c r="O60" s="81">
        <f t="shared" si="59"/>
        <v>37.6666666666654</v>
      </c>
      <c r="P60" s="74">
        <f t="shared" si="60"/>
        <v>0</v>
      </c>
      <c r="Q60" s="83">
        <f t="shared" si="61"/>
        <v>-92.750000000001251</v>
      </c>
      <c r="R60" s="72">
        <f t="shared" si="54"/>
        <v>0.28881789137379221</v>
      </c>
      <c r="S60" s="768"/>
      <c r="T60" s="22">
        <v>0.38194444444444398</v>
      </c>
      <c r="U60" s="22">
        <v>0.40277777777777801</v>
      </c>
      <c r="V60" s="30">
        <f t="shared" ref="V60:V63" si="62">(T60-U59)*24*60</f>
        <v>11.999999999999318</v>
      </c>
      <c r="W60" s="248">
        <f t="shared" si="17"/>
        <v>30.000000000001013</v>
      </c>
      <c r="X60" s="232"/>
      <c r="Y60" s="177"/>
      <c r="Z60" s="90"/>
      <c r="AA60" s="90"/>
      <c r="AB60" s="713" t="s">
        <v>254</v>
      </c>
      <c r="AC60" s="713"/>
      <c r="AD60" s="92"/>
      <c r="AE60" s="92"/>
      <c r="AF60" s="316">
        <f t="shared" si="55"/>
        <v>-1113.0000000000152</v>
      </c>
      <c r="AG60" s="249">
        <f t="shared" si="56"/>
        <v>0.28881789137379216</v>
      </c>
      <c r="AH60" s="759"/>
    </row>
    <row r="61" spans="1:34" ht="15" customHeight="1">
      <c r="A61" s="766"/>
      <c r="B61" s="250" t="s">
        <v>135</v>
      </c>
      <c r="C61" s="251"/>
      <c r="D61" s="252" t="s">
        <v>138</v>
      </c>
      <c r="E61" s="253"/>
      <c r="F61" s="250">
        <f>VLOOKUP(D61,廠價表!$C$1:$E$41,3,0)</f>
        <v>28.26</v>
      </c>
      <c r="G61" s="38">
        <v>1288</v>
      </c>
      <c r="H61" s="254">
        <f>F61*G61</f>
        <v>36398.880000000005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7"/>
        <v>130.41666666666666</v>
      </c>
      <c r="M61" s="108">
        <v>12</v>
      </c>
      <c r="N61" s="107">
        <f t="shared" si="58"/>
        <v>1545.6000000000006</v>
      </c>
      <c r="O61" s="238">
        <f t="shared" si="59"/>
        <v>128.80000000000004</v>
      </c>
      <c r="P61" s="111">
        <f t="shared" si="60"/>
        <v>0</v>
      </c>
      <c r="Q61" s="255">
        <f t="shared" si="61"/>
        <v>-1.6166666666666174</v>
      </c>
      <c r="R61" s="85">
        <f>O61/L61</f>
        <v>0.98760383386581507</v>
      </c>
      <c r="S61" s="719"/>
      <c r="T61" s="22">
        <v>0.40625</v>
      </c>
      <c r="U61" s="22">
        <v>0.44097222222222221</v>
      </c>
      <c r="V61" s="30">
        <f t="shared" si="62"/>
        <v>4.9999999999996625</v>
      </c>
      <c r="W61" s="256">
        <f t="shared" si="17"/>
        <v>49.999999999999986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55"/>
        <v>-19.399999999999409</v>
      </c>
      <c r="AG61" s="247">
        <f t="shared" si="56"/>
        <v>0.98760383386581507</v>
      </c>
      <c r="AH61" s="725"/>
    </row>
    <row r="62" spans="1:34" ht="15" customHeight="1">
      <c r="A62" s="766"/>
      <c r="B62" s="250" t="s">
        <v>135</v>
      </c>
      <c r="C62" s="251"/>
      <c r="D62" s="257" t="s">
        <v>196</v>
      </c>
      <c r="E62" s="253"/>
      <c r="F62" s="250">
        <f>VLOOKUP(D62,廠價表!$C$1:$E$41,3,0)</f>
        <v>28.26</v>
      </c>
      <c r="G62" s="38">
        <v>1570</v>
      </c>
      <c r="H62" s="254">
        <f t="shared" ref="H62:H63" si="63">F62*G62</f>
        <v>44368.200000000004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7"/>
        <v>130.41666666666666</v>
      </c>
      <c r="M62" s="108">
        <v>12</v>
      </c>
      <c r="N62" s="107">
        <f t="shared" si="58"/>
        <v>1449.230769230762</v>
      </c>
      <c r="O62" s="238">
        <f t="shared" si="59"/>
        <v>120.76923076923016</v>
      </c>
      <c r="P62" s="111">
        <f t="shared" si="60"/>
        <v>0</v>
      </c>
      <c r="Q62" s="255">
        <f t="shared" si="61"/>
        <v>-9.6474358974364947</v>
      </c>
      <c r="R62" s="85">
        <f t="shared" ref="R62:R63" si="64">O62/L62</f>
        <v>0.92602605062668497</v>
      </c>
      <c r="S62" s="719"/>
      <c r="T62" s="22">
        <v>0.4513888888888889</v>
      </c>
      <c r="U62" s="22">
        <v>0.49652777777777801</v>
      </c>
      <c r="V62" s="30">
        <f t="shared" si="62"/>
        <v>15.000000000000027</v>
      </c>
      <c r="W62" s="248">
        <f t="shared" si="17"/>
        <v>65.000000000000327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-115.76923076923799</v>
      </c>
      <c r="AG62" s="247">
        <f>N62/K62</f>
        <v>0.92602605062668497</v>
      </c>
      <c r="AH62" s="725"/>
    </row>
    <row r="63" spans="1:34" ht="15" customHeight="1">
      <c r="A63" s="766"/>
      <c r="B63" s="75" t="s">
        <v>135</v>
      </c>
      <c r="C63" s="76"/>
      <c r="D63" s="175" t="s">
        <v>196</v>
      </c>
      <c r="E63" s="77"/>
      <c r="F63" s="250">
        <f>VLOOKUP(D63,廠價表!$C$1:$E$41,3,0)</f>
        <v>28.26</v>
      </c>
      <c r="G63" s="30">
        <v>1848</v>
      </c>
      <c r="H63" s="254">
        <f t="shared" si="63"/>
        <v>52224.480000000003</v>
      </c>
      <c r="I63" s="182"/>
      <c r="J63" s="106">
        <f>VLOOKUP(D63,產線配置圖!$A$3:$C$39,2,0)</f>
        <v>12</v>
      </c>
      <c r="K63" s="107">
        <f>VLOOKUP(D63,產線配置圖!$A$3:$C$39,3,0)</f>
        <v>1565</v>
      </c>
      <c r="L63" s="238">
        <f t="shared" si="57"/>
        <v>130.41666666666666</v>
      </c>
      <c r="M63" s="82">
        <v>12</v>
      </c>
      <c r="N63" s="107">
        <f t="shared" si="58"/>
        <v>1478.3999999999833</v>
      </c>
      <c r="O63" s="238">
        <f t="shared" si="59"/>
        <v>123.19999999999861</v>
      </c>
      <c r="P63" s="111">
        <f t="shared" si="60"/>
        <v>0</v>
      </c>
      <c r="Q63" s="255">
        <f t="shared" si="61"/>
        <v>-7.216666666668047</v>
      </c>
      <c r="R63" s="85">
        <f t="shared" si="64"/>
        <v>0.94466453674120343</v>
      </c>
      <c r="S63" s="719"/>
      <c r="T63" s="22">
        <v>0.55208333333333304</v>
      </c>
      <c r="U63" s="22">
        <v>0.60416666666666696</v>
      </c>
      <c r="V63" s="30">
        <f t="shared" si="62"/>
        <v>79.999999999999233</v>
      </c>
      <c r="W63" s="248">
        <f t="shared" si="17"/>
        <v>75.000000000000853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 thickBo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65">AVERAGE(J59:J68)</f>
        <v>12.2</v>
      </c>
      <c r="K69" s="240">
        <f t="shared" si="65"/>
        <v>1565</v>
      </c>
      <c r="L69" s="268">
        <f t="shared" si="65"/>
        <v>128.41025641025641</v>
      </c>
      <c r="M69" s="240">
        <f t="shared" si="65"/>
        <v>12.2</v>
      </c>
      <c r="N69" s="240">
        <f t="shared" si="65"/>
        <v>1294.0970013037745</v>
      </c>
      <c r="O69" s="268">
        <f t="shared" si="65"/>
        <v>105.8603215993041</v>
      </c>
      <c r="P69" s="269">
        <f>M69-J69</f>
        <v>0</v>
      </c>
      <c r="Q69" s="222">
        <f>N69-K69</f>
        <v>-270.9029986962255</v>
      </c>
      <c r="R69" s="123">
        <f>O69/L69</f>
        <v>0.8243914821032069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-270.9029986962255</v>
      </c>
      <c r="AG69" s="124">
        <f>N69/K69</f>
        <v>0.82689904236662903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2470</v>
      </c>
      <c r="H70" s="243">
        <f>F70*G70</f>
        <v>125154.90000000001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1097.7777777777803</v>
      </c>
      <c r="O70" s="138">
        <f>N70/M70</f>
        <v>109.77777777777803</v>
      </c>
      <c r="P70" s="56">
        <f>M70-J70</f>
        <v>0</v>
      </c>
      <c r="Q70" s="230">
        <f>O70-L70</f>
        <v>-2.7222222222219727</v>
      </c>
      <c r="R70" s="52">
        <f>O70/L70</f>
        <v>0.97580246913580471</v>
      </c>
      <c r="S70" s="718">
        <f>R79</f>
        <v>0.97580246913580471</v>
      </c>
      <c r="T70" s="245">
        <v>0.34027777777777801</v>
      </c>
      <c r="U70" s="245">
        <v>0.43402777777777779</v>
      </c>
      <c r="V70" s="55"/>
      <c r="W70" s="54">
        <f t="shared" si="17"/>
        <v>134.99999999999969</v>
      </c>
      <c r="X70" s="270"/>
      <c r="Y70" s="292"/>
      <c r="Z70" s="169">
        <v>1</v>
      </c>
      <c r="AA70" s="169">
        <v>30</v>
      </c>
      <c r="AB70" s="723" t="s">
        <v>257</v>
      </c>
      <c r="AC70" s="723"/>
      <c r="AD70" s="135"/>
      <c r="AE70" s="135"/>
      <c r="AF70" s="310">
        <f>N70-K70</f>
        <v>-27.222222222219671</v>
      </c>
      <c r="AG70" s="246">
        <f>N70/K70</f>
        <v>0.97580246913580471</v>
      </c>
      <c r="AH70" s="724">
        <f>AG79</f>
        <v>0.97580246913580471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>
        <f t="shared" ref="H75:H78" si="66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>
        <f t="shared" si="66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si="66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66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 thickBo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67">AVERAGE(J70:J78)</f>
        <v>10</v>
      </c>
      <c r="K79" s="240">
        <f t="shared" si="67"/>
        <v>1125</v>
      </c>
      <c r="L79" s="268">
        <f t="shared" si="67"/>
        <v>112.5</v>
      </c>
      <c r="M79" s="240">
        <f t="shared" si="67"/>
        <v>10</v>
      </c>
      <c r="N79" s="240">
        <f t="shared" si="67"/>
        <v>1097.7777777777803</v>
      </c>
      <c r="O79" s="268">
        <f t="shared" si="67"/>
        <v>109.77777777777803</v>
      </c>
      <c r="P79" s="269">
        <f>M79-J79</f>
        <v>0</v>
      </c>
      <c r="Q79" s="222">
        <f>N79-K79</f>
        <v>-27.222222222219671</v>
      </c>
      <c r="R79" s="223">
        <f>O79/L79</f>
        <v>0.97580246913580471</v>
      </c>
      <c r="S79" s="722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30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-27.222222222219671</v>
      </c>
      <c r="AG79" s="124">
        <f>N79/K79</f>
        <v>0.97580246913580471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27" priority="1" operator="greaterThan">
      <formula>0</formula>
    </cfRule>
  </conditionalFormatting>
  <conditionalFormatting sqref="AF5:AF79 Q5:Q79">
    <cfRule type="cellIs" dxfId="26" priority="4" operator="lessThan">
      <formula>0</formula>
    </cfRule>
  </conditionalFormatting>
  <conditionalFormatting sqref="AG5:AG79 R5:R79">
    <cfRule type="cellIs" dxfId="25" priority="2" operator="greaterThan">
      <formula>1</formula>
    </cfRule>
    <cfRule type="cellIs" dxfId="24" priority="3" operator="lessThan">
      <formula>0.8</formula>
    </cfRule>
  </conditionalFormatting>
  <conditionalFormatting sqref="S5:S10 S37:S62 AH59:AH62 S69:S76 AH69:AH76">
    <cfRule type="cellIs" dxfId="23" priority="7" operator="lessThan">
      <formula>0.8</formula>
    </cfRule>
  </conditionalFormatting>
  <conditionalFormatting sqref="S19:S25 AH19:AH25">
    <cfRule type="cellIs" dxfId="22" priority="6" operator="lessThan">
      <formula>0.8</formula>
    </cfRule>
  </conditionalFormatting>
  <conditionalFormatting sqref="S79">
    <cfRule type="cellIs" dxfId="21" priority="5" operator="lessThan">
      <formula>0.8</formula>
    </cfRule>
  </conditionalFormatting>
  <conditionalFormatting sqref="AH5:AH8 S15:S16 AH15:AH16 AH49 AH79">
    <cfRule type="cellIs" dxfId="20" priority="9" operator="lessThan">
      <formula>0.8</formula>
    </cfRule>
  </conditionalFormatting>
  <conditionalFormatting sqref="AH27 S27:S28">
    <cfRule type="cellIs" dxfId="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B58982-ECAF-4B87-8B9B-2660469387A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CBD0-B48D-4D6C-86B6-00A365D703B9}">
  <dimension ref="B1:O26"/>
  <sheetViews>
    <sheetView tabSelected="1" topLeftCell="B1"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42" width="8.85546875" style="2" customWidth="1"/>
    <col min="43" max="16384" width="8.85546875" style="2"/>
  </cols>
  <sheetData>
    <row r="1" spans="2:15" ht="27.75" customHeight="1">
      <c r="B1" s="644" t="s">
        <v>70</v>
      </c>
      <c r="C1" s="644"/>
      <c r="D1" s="644"/>
      <c r="E1" s="644"/>
      <c r="F1" s="644"/>
      <c r="G1" s="644"/>
      <c r="H1" s="644"/>
      <c r="I1" s="644"/>
      <c r="J1" s="644"/>
      <c r="K1" s="644"/>
      <c r="L1" s="1"/>
      <c r="M1" s="1"/>
    </row>
    <row r="2" spans="2:15" ht="27.75" customHeight="1"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1"/>
      <c r="M2" s="1"/>
    </row>
    <row r="3" spans="2:15" ht="46.5" customHeight="1">
      <c r="B3" s="641" t="s">
        <v>71</v>
      </c>
      <c r="C3" s="641"/>
      <c r="D3" s="645">
        <v>46053</v>
      </c>
      <c r="E3" s="645"/>
      <c r="F3" s="3" t="s">
        <v>72</v>
      </c>
      <c r="G3" s="646">
        <f>'0131'!E1</f>
        <v>54730</v>
      </c>
      <c r="H3" s="646"/>
      <c r="I3" s="3" t="s">
        <v>2</v>
      </c>
      <c r="J3" s="647">
        <f>'0131'!G1</f>
        <v>2657917.080000001</v>
      </c>
      <c r="K3" s="647"/>
      <c r="L3" s="4"/>
    </row>
    <row r="4" spans="2:15" ht="24" customHeight="1">
      <c r="B4" s="641" t="s">
        <v>73</v>
      </c>
      <c r="C4" s="641"/>
      <c r="D4" s="642">
        <v>3</v>
      </c>
      <c r="E4" s="642"/>
      <c r="F4" s="643" t="s">
        <v>74</v>
      </c>
      <c r="G4" s="643"/>
      <c r="H4" s="643" t="s">
        <v>75</v>
      </c>
      <c r="I4" s="643"/>
      <c r="J4" s="642" t="s">
        <v>76</v>
      </c>
      <c r="K4" s="643"/>
      <c r="L4" s="661" t="s">
        <v>77</v>
      </c>
      <c r="M4" s="654"/>
      <c r="N4" s="654" t="s">
        <v>78</v>
      </c>
      <c r="O4" s="654"/>
    </row>
    <row r="5" spans="2:15" ht="24" customHeight="1">
      <c r="B5" s="641" t="s">
        <v>14</v>
      </c>
      <c r="C5" s="641"/>
      <c r="D5" s="642" t="s">
        <v>79</v>
      </c>
      <c r="E5" s="642"/>
      <c r="F5" s="642" t="s">
        <v>80</v>
      </c>
      <c r="G5" s="642"/>
      <c r="H5" s="650" t="s">
        <v>81</v>
      </c>
      <c r="I5" s="650"/>
      <c r="J5" s="651" t="s">
        <v>82</v>
      </c>
      <c r="K5" s="651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641"/>
      <c r="C6" s="641"/>
      <c r="D6" s="641" t="s">
        <v>86</v>
      </c>
      <c r="E6" s="641"/>
      <c r="F6" s="652">
        <f>AVERAGE(D13:J13)</f>
        <v>112.36840537497049</v>
      </c>
      <c r="G6" s="652"/>
      <c r="H6" s="653">
        <f>AVERAGE(D13:H13,J13)</f>
        <v>109.91769800869065</v>
      </c>
      <c r="I6" s="653"/>
      <c r="J6" s="653">
        <f>AVERAGE(I13)</f>
        <v>127.07264957264958</v>
      </c>
      <c r="K6" s="653"/>
      <c r="L6" s="769">
        <f>SUM(D18:J18)</f>
        <v>0</v>
      </c>
      <c r="M6" s="656">
        <f>SUM(D19:J19)</f>
        <v>0</v>
      </c>
      <c r="N6" s="771">
        <f>SUM(D20:J20)</f>
        <v>9</v>
      </c>
      <c r="O6" s="656">
        <f>SUM(D20:J20)</f>
        <v>9</v>
      </c>
    </row>
    <row r="7" spans="2:15" ht="39.6" customHeight="1">
      <c r="B7" s="641"/>
      <c r="C7" s="641"/>
      <c r="D7" s="648" t="s">
        <v>87</v>
      </c>
      <c r="E7" s="648"/>
      <c r="F7" s="676">
        <f>AVERAGE(D14:J14)</f>
        <v>104.58551934190739</v>
      </c>
      <c r="G7" s="676"/>
      <c r="H7" s="677">
        <f>AVERAGE(D14:H14,J14)</f>
        <v>102.21572498920337</v>
      </c>
      <c r="I7" s="677"/>
      <c r="J7" s="677">
        <f>AVERAGE(I14)</f>
        <v>118.80428545813156</v>
      </c>
      <c r="K7" s="677"/>
      <c r="L7" s="655" t="e">
        <f t="shared" ref="L7:O8" si="0">AVERAGE(K14:L14)</f>
        <v>#DIV/0!</v>
      </c>
      <c r="M7" s="656" t="e">
        <f t="shared" si="0"/>
        <v>#DIV/0!</v>
      </c>
      <c r="N7" s="657" t="e">
        <f t="shared" si="0"/>
        <v>#DIV/0!</v>
      </c>
      <c r="O7" s="656" t="e">
        <f t="shared" si="0"/>
        <v>#DIV/0!</v>
      </c>
    </row>
    <row r="8" spans="2:15" ht="39.6" customHeight="1">
      <c r="B8" s="641"/>
      <c r="C8" s="641"/>
      <c r="D8" s="648" t="s">
        <v>27</v>
      </c>
      <c r="E8" s="648"/>
      <c r="F8" s="649">
        <f>F7/F6</f>
        <v>0.93073777271207314</v>
      </c>
      <c r="G8" s="649"/>
      <c r="H8" s="649">
        <f>H7/H6</f>
        <v>0.92992963681901042</v>
      </c>
      <c r="I8" s="649"/>
      <c r="J8" s="649">
        <f>J7/J6</f>
        <v>0.93493199250724002</v>
      </c>
      <c r="K8" s="649"/>
      <c r="L8" s="655" t="e">
        <f t="shared" si="0"/>
        <v>#DIV/0!</v>
      </c>
      <c r="M8" s="656" t="e">
        <f t="shared" si="0"/>
        <v>#DIV/0!</v>
      </c>
      <c r="N8" s="657" t="e">
        <f t="shared" si="0"/>
        <v>#DIV/0!</v>
      </c>
      <c r="O8" s="656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58" t="s">
        <v>89</v>
      </c>
      <c r="C10" s="659"/>
      <c r="D10" s="662" t="s">
        <v>90</v>
      </c>
      <c r="E10" s="663"/>
      <c r="F10" s="663"/>
      <c r="G10" s="663"/>
      <c r="H10" s="663"/>
      <c r="I10" s="663"/>
      <c r="J10" s="664"/>
    </row>
    <row r="11" spans="2:15" ht="17.25" customHeight="1">
      <c r="B11" s="665" t="s">
        <v>91</v>
      </c>
      <c r="C11" s="666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667"/>
      <c r="C12" s="668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669" t="s">
        <v>14</v>
      </c>
      <c r="C13" s="12" t="s">
        <v>99</v>
      </c>
      <c r="D13" s="13">
        <f>VALUE('0131'!L15)</f>
        <v>120.11344537815128</v>
      </c>
      <c r="E13" s="13">
        <f>VALUE('0131'!L26)</f>
        <v>162.15811965811966</v>
      </c>
      <c r="F13" s="13">
        <f>VALUE('0131'!L37)</f>
        <v>85.470588235294116</v>
      </c>
      <c r="G13" s="13">
        <f>VALUE('0131'!L48)</f>
        <v>87.336397058823522</v>
      </c>
      <c r="H13" s="13">
        <f>VALUE('0131'!L58)</f>
        <v>91.92763772175536</v>
      </c>
      <c r="I13" s="13">
        <f>VALUE('0131'!L69)</f>
        <v>127.07264957264958</v>
      </c>
      <c r="J13" s="13">
        <f>'0131'!L79</f>
        <v>112.5</v>
      </c>
    </row>
    <row r="14" spans="2:15" ht="39.950000000000003" customHeight="1">
      <c r="B14" s="670"/>
      <c r="C14" s="12" t="s">
        <v>100</v>
      </c>
      <c r="D14" s="13">
        <f>VALUE('0131'!O15)</f>
        <v>107.53351327800927</v>
      </c>
      <c r="E14" s="13">
        <f>VALUE('0131'!O26)</f>
        <v>145.25908110567897</v>
      </c>
      <c r="F14" s="13">
        <f>VALUE('0131'!O37)</f>
        <v>79.954491046064703</v>
      </c>
      <c r="G14" s="13">
        <f>VALUE('0131'!O48)</f>
        <v>83.603371750798516</v>
      </c>
      <c r="H14" s="13">
        <f>VALUE('0131'!O58)</f>
        <v>90.764582409840699</v>
      </c>
      <c r="I14" s="13">
        <f>VALUE('0131'!O69)</f>
        <v>118.80428545813156</v>
      </c>
      <c r="J14" s="13">
        <f>'0131'!O79</f>
        <v>106.17931034482808</v>
      </c>
    </row>
    <row r="15" spans="2:15" ht="39.950000000000003" customHeight="1">
      <c r="B15" s="671"/>
      <c r="C15" s="10" t="s">
        <v>26</v>
      </c>
      <c r="D15" s="14">
        <f>D14/D13</f>
        <v>0.89526624550201839</v>
      </c>
      <c r="E15" s="14">
        <f t="shared" ref="E15:I15" si="1">E14/E13</f>
        <v>0.8957866643491601</v>
      </c>
      <c r="F15" s="14">
        <f t="shared" si="1"/>
        <v>0.93546204252105991</v>
      </c>
      <c r="G15" s="14">
        <f t="shared" si="1"/>
        <v>0.95725693486633401</v>
      </c>
      <c r="H15" s="14">
        <f t="shared" si="1"/>
        <v>0.98734814316196207</v>
      </c>
      <c r="I15" s="14">
        <f t="shared" si="1"/>
        <v>0.93493199250724002</v>
      </c>
      <c r="J15" s="15">
        <f>'0131'!S70</f>
        <v>0.94381609195402738</v>
      </c>
    </row>
    <row r="16" spans="2:15" ht="17.25" customHeight="1">
      <c r="B16" s="672" t="s">
        <v>101</v>
      </c>
      <c r="C16" s="10" t="s">
        <v>34</v>
      </c>
      <c r="D16" s="16">
        <f>'0131'!T5</f>
        <v>0.31111111111111101</v>
      </c>
      <c r="E16" s="16">
        <f>'0131'!T16</f>
        <v>0.2902777777777778</v>
      </c>
      <c r="F16" s="16">
        <f>'0131'!T27</f>
        <v>0.29166666666666702</v>
      </c>
      <c r="G16" s="16">
        <f>'0131'!T38</f>
        <v>0.33333333333333298</v>
      </c>
      <c r="H16" s="16">
        <f>'0131'!T49</f>
        <v>0.2902777777777778</v>
      </c>
      <c r="I16" s="16">
        <f>'0131'!T59</f>
        <v>0.29166666666666702</v>
      </c>
      <c r="J16" s="16">
        <f>'0131'!T70</f>
        <v>0.33680555555555602</v>
      </c>
    </row>
    <row r="17" spans="2:10" ht="17.25" customHeight="1">
      <c r="B17" s="673"/>
      <c r="C17" s="10" t="s">
        <v>35</v>
      </c>
      <c r="D17" s="22">
        <v>0.68888888888888888</v>
      </c>
      <c r="E17" s="19">
        <v>0.6479166666666667</v>
      </c>
      <c r="F17" s="19">
        <v>0.64513888888888904</v>
      </c>
      <c r="G17" s="210">
        <v>0.57916666666666705</v>
      </c>
      <c r="H17" s="21">
        <v>0.61597222222222203</v>
      </c>
      <c r="I17" s="22">
        <v>0.51736111111111116</v>
      </c>
      <c r="J17" s="22">
        <v>0.4375</v>
      </c>
    </row>
    <row r="18" spans="2:10" ht="17.25" customHeight="1">
      <c r="B18" s="674" t="s">
        <v>102</v>
      </c>
      <c r="C18" s="330" t="s">
        <v>36</v>
      </c>
      <c r="D18" s="358">
        <f>'0131'!Z15</f>
        <v>0</v>
      </c>
      <c r="E18" s="359">
        <f>'0131'!Z26</f>
        <v>0</v>
      </c>
      <c r="F18" s="359">
        <f>'0131'!Z37</f>
        <v>0</v>
      </c>
      <c r="G18" s="360">
        <f>'0131'!Z48</f>
        <v>0</v>
      </c>
      <c r="H18" s="360">
        <f>'0131'!Z58</f>
        <v>0</v>
      </c>
      <c r="I18" s="359">
        <f>'0131'!Z69</f>
        <v>0</v>
      </c>
      <c r="J18" s="359">
        <f>'0131'!AA69</f>
        <v>0</v>
      </c>
    </row>
    <row r="19" spans="2:10" ht="17.25" customHeight="1">
      <c r="B19" s="675"/>
      <c r="C19" s="330" t="s">
        <v>37</v>
      </c>
      <c r="D19" s="358">
        <f>'0131'!AA15</f>
        <v>0</v>
      </c>
      <c r="E19" s="359">
        <f>'0131'!AA26</f>
        <v>0</v>
      </c>
      <c r="F19" s="359">
        <f>'0131'!AA37</f>
        <v>0</v>
      </c>
      <c r="G19" s="360">
        <f>'0131'!AA48</f>
        <v>0</v>
      </c>
      <c r="H19" s="360">
        <f>'0131'!AA58</f>
        <v>0</v>
      </c>
      <c r="I19" s="359">
        <f>'0131'!AA69</f>
        <v>0</v>
      </c>
      <c r="J19" s="359">
        <f>'0131'!AB69</f>
        <v>0</v>
      </c>
    </row>
    <row r="20" spans="2:10" ht="17.25" customHeight="1">
      <c r="B20" s="674" t="s">
        <v>103</v>
      </c>
      <c r="C20" s="330" t="s">
        <v>36</v>
      </c>
      <c r="D20" s="358">
        <f>'0131'!AD15</f>
        <v>0</v>
      </c>
      <c r="E20" s="359">
        <f>'0131'!AD26</f>
        <v>9</v>
      </c>
      <c r="F20" s="359">
        <f>'0131'!AD37</f>
        <v>0</v>
      </c>
      <c r="G20" s="360">
        <f>'0131'!AD48</f>
        <v>0</v>
      </c>
      <c r="H20" s="360">
        <f>'0131'!AD58</f>
        <v>0</v>
      </c>
      <c r="I20" s="359">
        <f>'0131'!AD69</f>
        <v>0</v>
      </c>
      <c r="J20" s="359">
        <f>'0131'!AD79</f>
        <v>0</v>
      </c>
    </row>
    <row r="21" spans="2:10" ht="17.25" customHeight="1">
      <c r="B21" s="675"/>
      <c r="C21" s="330" t="s">
        <v>85</v>
      </c>
      <c r="D21" s="358">
        <f>'0131'!AE15</f>
        <v>0</v>
      </c>
      <c r="E21" s="359">
        <f>'0131'!AE26</f>
        <v>9</v>
      </c>
      <c r="F21" s="359">
        <f>'0131'!AE37</f>
        <v>0</v>
      </c>
      <c r="G21" s="360">
        <f>'0131'!AE48</f>
        <v>0</v>
      </c>
      <c r="H21" s="360">
        <f>'0131'!AE58</f>
        <v>0</v>
      </c>
      <c r="I21" s="359">
        <f>'0131'!AE69</f>
        <v>0</v>
      </c>
      <c r="J21" s="359">
        <f>'0131'!AE79</f>
        <v>0</v>
      </c>
    </row>
    <row r="22" spans="2:10" ht="17.25" customHeight="1">
      <c r="B22" s="658" t="s">
        <v>104</v>
      </c>
      <c r="C22" s="659"/>
      <c r="D22" s="23">
        <f>VALUE('0131'!M15)</f>
        <v>15</v>
      </c>
      <c r="E22" s="23">
        <f>VALUE('0131'!M26)</f>
        <v>12.666666666666666</v>
      </c>
      <c r="F22" s="23">
        <f>VALUE('0131'!M37)</f>
        <v>14.8</v>
      </c>
      <c r="G22" s="23">
        <f>VALUE('0131'!M48)</f>
        <v>15.25</v>
      </c>
      <c r="H22" s="23">
        <f>VALUE('0131'!M58)</f>
        <v>17</v>
      </c>
      <c r="I22" s="23">
        <f>VALUE('0131'!M69)</f>
        <v>12.333333333333334</v>
      </c>
      <c r="J22" s="23">
        <f>'0131'!M79</f>
        <v>10</v>
      </c>
    </row>
    <row r="23" spans="2:10" ht="17.25" customHeight="1">
      <c r="B23" s="658" t="s">
        <v>105</v>
      </c>
      <c r="C23" s="65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658" t="s">
        <v>109</v>
      </c>
      <c r="C24" s="659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658" t="s">
        <v>111</v>
      </c>
      <c r="C25" s="659"/>
      <c r="D25" s="25"/>
      <c r="E25" s="25"/>
      <c r="F25" s="25"/>
      <c r="G25" s="25"/>
      <c r="H25" s="25"/>
      <c r="I25" s="25"/>
      <c r="J25" s="25"/>
    </row>
    <row r="26" spans="2:10">
      <c r="B26" s="660"/>
      <c r="C26" s="66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3" type="noConversion"/>
  <conditionalFormatting sqref="D15:J15">
    <cfRule type="cellIs" dxfId="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D661-DB69-4528-916D-C8C518634F23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sqref="A1:XFD1048576"/>
      <selection pane="topRight" sqref="A1:XFD1048576"/>
      <selection pane="bottomLeft" sqref="A1:XFD1048576"/>
      <selection pane="bottomRight" activeCell="U9" sqref="U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55" width="8.7109375" style="34" customWidth="1"/>
    <col min="56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54730</v>
      </c>
      <c r="F1" s="30" t="s">
        <v>2</v>
      </c>
      <c r="G1" s="31">
        <f>SUM(H5:H79)</f>
        <v>2657917.080000001</v>
      </c>
      <c r="H1" s="32" t="s">
        <v>3</v>
      </c>
      <c r="I1" s="33">
        <f>M15+M26+M48+M58+M69+M79+M37</f>
        <v>97.05</v>
      </c>
      <c r="J1" s="683" t="s">
        <v>4</v>
      </c>
      <c r="K1" s="683"/>
      <c r="L1" s="683"/>
      <c r="M1" s="683" t="s">
        <v>5</v>
      </c>
      <c r="N1" s="683"/>
      <c r="O1" s="683"/>
      <c r="P1" s="683" t="s">
        <v>6</v>
      </c>
      <c r="Q1" s="683"/>
      <c r="R1" s="683"/>
      <c r="S1" s="683"/>
      <c r="T1" s="683" t="s">
        <v>7</v>
      </c>
      <c r="U1" s="683"/>
      <c r="V1" s="683"/>
      <c r="W1" s="683"/>
      <c r="X1" s="683"/>
      <c r="Y1" s="683"/>
      <c r="Z1" s="294" t="s">
        <v>8</v>
      </c>
      <c r="AA1" s="294" t="s">
        <v>9</v>
      </c>
      <c r="AB1" s="683" t="s">
        <v>10</v>
      </c>
      <c r="AC1" s="683"/>
      <c r="AD1" s="294" t="s">
        <v>8</v>
      </c>
      <c r="AE1" s="294" t="s">
        <v>11</v>
      </c>
      <c r="AF1" s="683" t="s">
        <v>12</v>
      </c>
      <c r="AG1" s="685"/>
      <c r="AH1" s="685"/>
    </row>
    <row r="2" spans="1:34" ht="23.25">
      <c r="A2" s="678" t="s">
        <v>259</v>
      </c>
      <c r="B2" s="678"/>
      <c r="C2" s="28"/>
      <c r="D2" s="28" t="s">
        <v>14</v>
      </c>
      <c r="E2" s="35">
        <f>AVERAGE(O15,O26,O37,O48,O58,O69,O79)</f>
        <v>104.58551934190739</v>
      </c>
      <c r="F2" s="36" t="s">
        <v>15</v>
      </c>
      <c r="G2" s="37">
        <f>G1/E1</f>
        <v>48.564171021377689</v>
      </c>
      <c r="H2" s="32" t="s">
        <v>16</v>
      </c>
      <c r="I2" s="32">
        <f>COUNT(I5:I79)</f>
        <v>0</v>
      </c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  <c r="Y2" s="683"/>
      <c r="Z2" s="339">
        <f>Z15+Z26+Z37+Z48+Z58+Z69+Z79</f>
        <v>0</v>
      </c>
      <c r="AA2" s="339">
        <f>AA15+AA26+AA37+AA48+AA58+AA69+AA79</f>
        <v>0</v>
      </c>
      <c r="AB2" s="684"/>
      <c r="AC2" s="684"/>
      <c r="AD2" s="340">
        <f>AD15+AD26+AD37+AD48+AD58+AD69+AD79</f>
        <v>9</v>
      </c>
      <c r="AE2" s="340">
        <f>AE15+AE26+AE37+AE48+AE58+AE69+AE79</f>
        <v>9</v>
      </c>
      <c r="AF2" s="685"/>
      <c r="AG2" s="685"/>
      <c r="AH2" s="685"/>
    </row>
    <row r="3" spans="1:34" ht="32.1" customHeight="1">
      <c r="A3" s="679" t="s">
        <v>17</v>
      </c>
      <c r="B3" s="679" t="s">
        <v>18</v>
      </c>
      <c r="C3" s="30"/>
      <c r="D3" s="679" t="s">
        <v>19</v>
      </c>
      <c r="E3" s="679"/>
      <c r="F3" s="681" t="s">
        <v>20</v>
      </c>
      <c r="G3" s="705" t="s">
        <v>21</v>
      </c>
      <c r="H3" s="681" t="s">
        <v>22</v>
      </c>
      <c r="I3" s="703" t="s">
        <v>23</v>
      </c>
      <c r="J3" s="707" t="s">
        <v>24</v>
      </c>
      <c r="K3" s="709" t="s">
        <v>25</v>
      </c>
      <c r="L3" s="711" t="s">
        <v>14</v>
      </c>
      <c r="M3" s="705" t="s">
        <v>24</v>
      </c>
      <c r="N3" s="709" t="s">
        <v>25</v>
      </c>
      <c r="O3" s="711" t="s">
        <v>14</v>
      </c>
      <c r="P3" s="707" t="s">
        <v>24</v>
      </c>
      <c r="Q3" s="711" t="s">
        <v>14</v>
      </c>
      <c r="R3" s="686" t="s">
        <v>26</v>
      </c>
      <c r="S3" s="688" t="s">
        <v>27</v>
      </c>
      <c r="T3" s="705" t="s">
        <v>28</v>
      </c>
      <c r="U3" s="705"/>
      <c r="V3" s="701" t="s">
        <v>29</v>
      </c>
      <c r="W3" s="703" t="s">
        <v>30</v>
      </c>
      <c r="X3" s="705" t="s">
        <v>31</v>
      </c>
      <c r="Y3" s="706"/>
      <c r="Z3" s="695" t="s">
        <v>32</v>
      </c>
      <c r="AA3" s="696"/>
      <c r="AB3" s="690"/>
      <c r="AC3" s="691"/>
      <c r="AD3" s="695" t="s">
        <v>33</v>
      </c>
      <c r="AE3" s="696"/>
      <c r="AF3" s="693" t="s">
        <v>25</v>
      </c>
      <c r="AG3" s="697" t="s">
        <v>26</v>
      </c>
      <c r="AH3" s="699" t="s">
        <v>27</v>
      </c>
    </row>
    <row r="4" spans="1:34" ht="16.5" thickBot="1">
      <c r="A4" s="680"/>
      <c r="B4" s="680"/>
      <c r="C4" s="38"/>
      <c r="D4" s="680"/>
      <c r="E4" s="680"/>
      <c r="F4" s="682"/>
      <c r="G4" s="702"/>
      <c r="H4" s="682"/>
      <c r="I4" s="704"/>
      <c r="J4" s="708"/>
      <c r="K4" s="710"/>
      <c r="L4" s="712"/>
      <c r="M4" s="702"/>
      <c r="N4" s="710"/>
      <c r="O4" s="712"/>
      <c r="P4" s="708"/>
      <c r="Q4" s="712"/>
      <c r="R4" s="687"/>
      <c r="S4" s="689"/>
      <c r="T4" s="342" t="s">
        <v>34</v>
      </c>
      <c r="U4" s="342" t="s">
        <v>35</v>
      </c>
      <c r="V4" s="702"/>
      <c r="W4" s="704"/>
      <c r="X4" s="341" t="s">
        <v>34</v>
      </c>
      <c r="Y4" s="343" t="s">
        <v>35</v>
      </c>
      <c r="Z4" s="344" t="s">
        <v>36</v>
      </c>
      <c r="AA4" s="344" t="s">
        <v>37</v>
      </c>
      <c r="AB4" s="692"/>
      <c r="AC4" s="692"/>
      <c r="AD4" s="344" t="s">
        <v>38</v>
      </c>
      <c r="AE4" s="344" t="s">
        <v>39</v>
      </c>
      <c r="AF4" s="694"/>
      <c r="AG4" s="698"/>
      <c r="AH4" s="700"/>
    </row>
    <row r="5" spans="1:34" ht="15" customHeight="1">
      <c r="A5" s="714" t="s">
        <v>40</v>
      </c>
      <c r="B5" s="39" t="s">
        <v>81</v>
      </c>
      <c r="C5" s="40"/>
      <c r="D5" s="168" t="s">
        <v>114</v>
      </c>
      <c r="E5" s="41"/>
      <c r="F5" s="39">
        <f>VLOOKUP(D5,廠價表!$C$1:$E$41,3,0)</f>
        <v>57.21</v>
      </c>
      <c r="G5" s="42">
        <v>1485</v>
      </c>
      <c r="H5" s="43">
        <f>F5*G5</f>
        <v>84956.85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7" si="0">K5/J5</f>
        <v>117.64705882352941</v>
      </c>
      <c r="M5" s="48">
        <v>17</v>
      </c>
      <c r="N5" s="46">
        <f t="shared" ref="N5:N7" si="1">G5/W5*60</f>
        <v>1895.7446808510576</v>
      </c>
      <c r="O5" s="47">
        <f t="shared" ref="O5:O7" si="2">N5/M5</f>
        <v>111.51439299123868</v>
      </c>
      <c r="P5" s="49">
        <f t="shared" ref="P5:P7" si="3">M5-J5</f>
        <v>0</v>
      </c>
      <c r="Q5" s="50">
        <f t="shared" ref="Q5:Q7" si="4">O5-L5</f>
        <v>-6.1326658322907264</v>
      </c>
      <c r="R5" s="51">
        <f t="shared" ref="R5:R7" si="5">O5/L5</f>
        <v>0.94787234042552881</v>
      </c>
      <c r="S5" s="718">
        <f>R15</f>
        <v>0.89526624550201839</v>
      </c>
      <c r="T5" s="319">
        <v>0.31111111111111101</v>
      </c>
      <c r="U5" s="320">
        <v>0.34375</v>
      </c>
      <c r="V5" s="53"/>
      <c r="W5" s="54">
        <f t="shared" ref="W5:W14" si="6">(U5-T5)*24*60</f>
        <v>47.000000000000156</v>
      </c>
      <c r="X5" s="55"/>
      <c r="Y5" s="290"/>
      <c r="Z5" s="169"/>
      <c r="AA5" s="169"/>
      <c r="AB5" s="723"/>
      <c r="AC5" s="723"/>
      <c r="AD5" s="135"/>
      <c r="AE5" s="135"/>
      <c r="AF5" s="229">
        <f t="shared" ref="AF5:AF11" si="7">N5-K5</f>
        <v>-104.25531914894236</v>
      </c>
      <c r="AG5" s="52">
        <f t="shared" ref="AG5:AG11" si="8">N5/K5</f>
        <v>0.94787234042552881</v>
      </c>
      <c r="AH5" s="724">
        <f>AG15</f>
        <v>0.87486962753618669</v>
      </c>
    </row>
    <row r="6" spans="1:34" ht="15" customHeight="1">
      <c r="A6" s="715"/>
      <c r="B6" s="57" t="s">
        <v>81</v>
      </c>
      <c r="C6" s="58"/>
      <c r="D6" s="59" t="s">
        <v>190</v>
      </c>
      <c r="E6" s="60"/>
      <c r="F6" s="61">
        <f>VLOOKUP(D6,廠價表!$C$1:$E$41,3,0)</f>
        <v>56.28</v>
      </c>
      <c r="G6" s="62">
        <v>2367</v>
      </c>
      <c r="H6" s="63">
        <f>F6*G6</f>
        <v>133214.76</v>
      </c>
      <c r="I6" s="64"/>
      <c r="J6" s="65">
        <f>VLOOKUP(D6,產線配置圖!$A$3:$C$39,2,0)</f>
        <v>16</v>
      </c>
      <c r="K6" s="66">
        <f>VLOOKUP(D6,產線配置圖!$A$3:$C$39,3,0)</f>
        <v>1800</v>
      </c>
      <c r="L6" s="67">
        <f t="shared" si="0"/>
        <v>112.5</v>
      </c>
      <c r="M6" s="68">
        <v>16</v>
      </c>
      <c r="N6" s="66">
        <f t="shared" si="1"/>
        <v>1775.2500000000186</v>
      </c>
      <c r="O6" s="67">
        <f t="shared" si="2"/>
        <v>110.95312500000117</v>
      </c>
      <c r="P6" s="69">
        <f t="shared" si="3"/>
        <v>0</v>
      </c>
      <c r="Q6" s="70">
        <f t="shared" si="4"/>
        <v>-1.5468749999988347</v>
      </c>
      <c r="R6" s="71">
        <f t="shared" si="5"/>
        <v>0.9862500000000104</v>
      </c>
      <c r="S6" s="719"/>
      <c r="T6" s="16">
        <v>0.35416666666666702</v>
      </c>
      <c r="U6" s="16">
        <v>0.40972222222222199</v>
      </c>
      <c r="V6" s="30">
        <f>(T6-U5)*24*60</f>
        <v>15.000000000000506</v>
      </c>
      <c r="W6" s="73">
        <f t="shared" si="6"/>
        <v>79.999999999999162</v>
      </c>
      <c r="X6" s="22"/>
      <c r="Y6" s="84"/>
      <c r="Z6" s="90"/>
      <c r="AA6" s="90"/>
      <c r="AB6" s="728"/>
      <c r="AC6" s="728"/>
      <c r="AD6" s="149"/>
      <c r="AE6" s="149"/>
      <c r="AF6" s="307">
        <f t="shared" si="7"/>
        <v>-24.749999999981355</v>
      </c>
      <c r="AG6" s="72">
        <f t="shared" si="8"/>
        <v>0.9862500000000104</v>
      </c>
      <c r="AH6" s="725"/>
    </row>
    <row r="7" spans="1:34" ht="15" customHeight="1">
      <c r="A7" s="715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2693</v>
      </c>
      <c r="H7" s="78">
        <f>F7*G7</f>
        <v>132334.01999999999</v>
      </c>
      <c r="I7" s="73"/>
      <c r="J7" s="79">
        <f>VLOOKUP(D7,產線配置圖!$A$3:$C$39,2,0)</f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1923.5714285714355</v>
      </c>
      <c r="O7" s="81">
        <f t="shared" si="2"/>
        <v>137.39795918367398</v>
      </c>
      <c r="P7" s="74">
        <f t="shared" si="3"/>
        <v>0</v>
      </c>
      <c r="Q7" s="83">
        <f t="shared" si="4"/>
        <v>-5.4591836734688854</v>
      </c>
      <c r="R7" s="72">
        <f t="shared" si="5"/>
        <v>0.9617857142857178</v>
      </c>
      <c r="S7" s="719"/>
      <c r="T7" s="18">
        <v>0.4201388888888889</v>
      </c>
      <c r="U7" s="18">
        <v>0.47847222222222202</v>
      </c>
      <c r="V7" s="30">
        <f>(T7-U6)*24*60</f>
        <v>15.000000000000346</v>
      </c>
      <c r="W7" s="73">
        <f t="shared" si="6"/>
        <v>83.999999999999702</v>
      </c>
      <c r="X7" s="22"/>
      <c r="Y7" s="84"/>
      <c r="Z7" s="90"/>
      <c r="AA7" s="90"/>
      <c r="AB7" s="713"/>
      <c r="AC7" s="713"/>
      <c r="AD7" s="92"/>
      <c r="AE7" s="92"/>
      <c r="AF7" s="307">
        <f t="shared" si="7"/>
        <v>-76.42857142856451</v>
      </c>
      <c r="AG7" s="72">
        <f t="shared" si="8"/>
        <v>0.9617857142857178</v>
      </c>
      <c r="AH7" s="725"/>
    </row>
    <row r="8" spans="1:34" ht="15" customHeight="1">
      <c r="A8" s="715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2372</v>
      </c>
      <c r="H8" s="78">
        <f>F8*G8</f>
        <v>116560.08</v>
      </c>
      <c r="I8" s="73"/>
      <c r="J8" s="79">
        <f>VLOOKUP(D8,產線配置圖!$A$3:$C$39,2,0)</f>
        <v>14</v>
      </c>
      <c r="K8" s="80">
        <f>VLOOKUP(D8,產線配置圖!$A$3:$C$39,3,0)</f>
        <v>2000</v>
      </c>
      <c r="L8" s="81">
        <f t="shared" ref="L8" si="9">K8/J8</f>
        <v>142.85714285714286</v>
      </c>
      <c r="M8" s="82">
        <v>14</v>
      </c>
      <c r="N8" s="80">
        <f t="shared" ref="N8" si="10">G8/W8*60</f>
        <v>1617.2727272727243</v>
      </c>
      <c r="O8" s="81">
        <f t="shared" ref="O8" si="11">N8/M8</f>
        <v>115.51948051948031</v>
      </c>
      <c r="P8" s="74">
        <f t="shared" ref="P8" si="12">M8-J8</f>
        <v>0</v>
      </c>
      <c r="Q8" s="83">
        <f t="shared" ref="Q8" si="13">O8-L8</f>
        <v>-27.33766233766255</v>
      </c>
      <c r="R8" s="72">
        <f t="shared" ref="R8" si="14">O8/L8</f>
        <v>0.80863636363636215</v>
      </c>
      <c r="S8" s="719"/>
      <c r="T8" s="16">
        <v>0.54236111111111096</v>
      </c>
      <c r="U8" s="16">
        <v>0.60347222222222219</v>
      </c>
      <c r="V8" s="30">
        <f>(T8-U7)*24*60</f>
        <v>92.000000000000071</v>
      </c>
      <c r="W8" s="73">
        <f t="shared" si="6"/>
        <v>88.000000000000171</v>
      </c>
      <c r="X8" s="22">
        <v>0.48611111111111099</v>
      </c>
      <c r="Y8" s="84">
        <v>0.52777777777777801</v>
      </c>
      <c r="Z8" s="90"/>
      <c r="AA8" s="90"/>
      <c r="AB8" s="728"/>
      <c r="AC8" s="728"/>
      <c r="AD8" s="149"/>
      <c r="AE8" s="149"/>
      <c r="AF8" s="307">
        <f t="shared" si="7"/>
        <v>-382.7272727272757</v>
      </c>
      <c r="AG8" s="72">
        <f t="shared" si="8"/>
        <v>0.80863636363636215</v>
      </c>
      <c r="AH8" s="725"/>
    </row>
    <row r="9" spans="1:34" ht="15" customHeight="1">
      <c r="A9" s="716"/>
      <c r="B9" s="75" t="s">
        <v>117</v>
      </c>
      <c r="C9" s="86"/>
      <c r="D9" s="59" t="s">
        <v>118</v>
      </c>
      <c r="E9" s="87"/>
      <c r="F9" s="75">
        <f>VLOOKUP(D9,廠價表!$C$1:$E$41,3,0)</f>
        <v>44.3</v>
      </c>
      <c r="G9" s="62">
        <v>1337</v>
      </c>
      <c r="H9" s="78">
        <f>F9*G9</f>
        <v>59229.1</v>
      </c>
      <c r="I9" s="73"/>
      <c r="J9" s="79">
        <v>17</v>
      </c>
      <c r="K9" s="80">
        <f>VLOOKUP(D9,產線配置圖!$A$3:$C$39,3,0)</f>
        <v>1440</v>
      </c>
      <c r="L9" s="81">
        <f t="shared" ref="L9" si="15">K9/J9</f>
        <v>84.705882352941174</v>
      </c>
      <c r="M9" s="82">
        <v>14</v>
      </c>
      <c r="N9" s="80">
        <f t="shared" ref="N9" si="16">G9/W9*60</f>
        <v>871.95652173913038</v>
      </c>
      <c r="O9" s="81">
        <f t="shared" ref="O9" si="17">N9/M9</f>
        <v>62.282608695652172</v>
      </c>
      <c r="P9" s="74">
        <f t="shared" ref="P9" si="18">M9-J9</f>
        <v>-3</v>
      </c>
      <c r="Q9" s="83">
        <f t="shared" ref="Q9" si="19">O9-L9</f>
        <v>-22.423273657289002</v>
      </c>
      <c r="R9" s="72">
        <f t="shared" ref="R9" si="20">O9/L9</f>
        <v>0.73528079710144922</v>
      </c>
      <c r="S9" s="720"/>
      <c r="T9" s="22">
        <v>0.625</v>
      </c>
      <c r="U9" s="22">
        <v>0.68888888888888888</v>
      </c>
      <c r="V9" s="30"/>
      <c r="W9" s="73">
        <f t="shared" si="6"/>
        <v>92</v>
      </c>
      <c r="X9" s="22"/>
      <c r="Y9" s="84"/>
      <c r="Z9" s="90"/>
      <c r="AA9" s="90"/>
      <c r="AB9" s="728"/>
      <c r="AC9" s="728"/>
      <c r="AD9" s="149"/>
      <c r="AE9" s="149"/>
      <c r="AF9" s="307">
        <f t="shared" si="7"/>
        <v>-568.04347826086962</v>
      </c>
      <c r="AG9" s="72">
        <f t="shared" si="8"/>
        <v>0.60552536231884058</v>
      </c>
      <c r="AH9" s="726"/>
    </row>
    <row r="10" spans="1:34" ht="15" customHeight="1">
      <c r="A10" s="71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20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713"/>
      <c r="AC10" s="713"/>
      <c r="AD10" s="92"/>
      <c r="AE10" s="92"/>
      <c r="AF10" s="307">
        <f t="shared" si="7"/>
        <v>0</v>
      </c>
      <c r="AG10" s="72" t="e">
        <f t="shared" si="8"/>
        <v>#DIV/0!</v>
      </c>
      <c r="AH10" s="726"/>
    </row>
    <row r="11" spans="1:34" ht="15" customHeight="1">
      <c r="A11" s="71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20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728"/>
      <c r="AC11" s="728"/>
      <c r="AD11" s="149"/>
      <c r="AE11" s="149"/>
      <c r="AF11" s="307">
        <f t="shared" si="7"/>
        <v>0</v>
      </c>
      <c r="AG11" s="72" t="e">
        <f t="shared" si="8"/>
        <v>#DIV/0!</v>
      </c>
      <c r="AH11" s="726"/>
    </row>
    <row r="12" spans="1:34" ht="15" customHeight="1">
      <c r="A12" s="71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20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728"/>
      <c r="AC12" s="728"/>
      <c r="AD12" s="149"/>
      <c r="AE12" s="149"/>
      <c r="AF12" s="308"/>
      <c r="AG12" s="85"/>
      <c r="AH12" s="726"/>
    </row>
    <row r="13" spans="1:34" ht="15" customHeight="1">
      <c r="A13" s="71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21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713"/>
      <c r="AC13" s="713"/>
      <c r="AD13" s="92"/>
      <c r="AE13" s="92"/>
      <c r="AF13" s="308"/>
      <c r="AG13" s="85"/>
      <c r="AH13" s="726"/>
    </row>
    <row r="14" spans="1:34" ht="15" customHeight="1">
      <c r="A14" s="71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20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713"/>
      <c r="AC14" s="713"/>
      <c r="AD14" s="92"/>
      <c r="AE14" s="92"/>
      <c r="AF14" s="308"/>
      <c r="AG14" s="85"/>
      <c r="AH14" s="726"/>
    </row>
    <row r="15" spans="1:34" ht="15" customHeight="1" thickBot="1">
      <c r="A15" s="717"/>
      <c r="B15" s="115"/>
      <c r="C15" s="115" t="s">
        <v>41</v>
      </c>
      <c r="D15" s="729" t="s">
        <v>42</v>
      </c>
      <c r="E15" s="729"/>
      <c r="F15" s="116"/>
      <c r="G15" s="117"/>
      <c r="H15" s="118"/>
      <c r="I15" s="119"/>
      <c r="J15" s="120">
        <f t="shared" ref="J15:O15" si="21">AVERAGE(J5:J14)</f>
        <v>15.6</v>
      </c>
      <c r="K15" s="120">
        <f t="shared" si="21"/>
        <v>1848</v>
      </c>
      <c r="L15" s="117">
        <f t="shared" si="21"/>
        <v>120.11344537815128</v>
      </c>
      <c r="M15" s="120">
        <f t="shared" si="21"/>
        <v>15</v>
      </c>
      <c r="N15" s="120">
        <f t="shared" si="21"/>
        <v>1616.7590716868731</v>
      </c>
      <c r="O15" s="117">
        <f t="shared" si="21"/>
        <v>107.53351327800927</v>
      </c>
      <c r="P15" s="121">
        <f t="shared" ref="P15:P18" si="22">M15-J15</f>
        <v>-0.59999999999999964</v>
      </c>
      <c r="Q15" s="122">
        <f t="shared" ref="Q15:Q18" si="23">O15-L15</f>
        <v>-12.579932100142017</v>
      </c>
      <c r="R15" s="123">
        <f t="shared" ref="R15:R18" si="24">O15/L15</f>
        <v>0.89526624550201839</v>
      </c>
      <c r="S15" s="72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30"/>
      <c r="AC15" s="730"/>
      <c r="AD15" s="323">
        <f>SUM(AD5:AD14)</f>
        <v>0</v>
      </c>
      <c r="AE15" s="323">
        <f>SUM(AE5:AE14)</f>
        <v>0</v>
      </c>
      <c r="AF15" s="309">
        <f t="shared" ref="AF15:AF19" si="25">N15-K15</f>
        <v>-231.24092831312691</v>
      </c>
      <c r="AG15" s="124">
        <f t="shared" ref="AG15:AG19" si="26">N15/K15</f>
        <v>0.87486962753618669</v>
      </c>
      <c r="AH15" s="727"/>
    </row>
    <row r="16" spans="1:34" ht="15" customHeight="1">
      <c r="A16" s="740" t="s">
        <v>43</v>
      </c>
      <c r="B16" s="129" t="s">
        <v>81</v>
      </c>
      <c r="C16" s="130"/>
      <c r="D16" s="131" t="s">
        <v>121</v>
      </c>
      <c r="E16" s="132"/>
      <c r="F16" s="129">
        <f>VLOOKUP(D16,廠價表!$C$1:$E$41,3,0)</f>
        <v>57.21</v>
      </c>
      <c r="G16" s="133">
        <v>830</v>
      </c>
      <c r="H16" s="134">
        <f>F16*G16</f>
        <v>47484.3</v>
      </c>
      <c r="I16" s="135"/>
      <c r="J16" s="136">
        <f>VLOOKUP(D16,產線配置圖!$A$3:$C$39,2,0)</f>
        <v>13</v>
      </c>
      <c r="K16" s="137">
        <f>VLOOKUP(D16,產線配置圖!$A$3:$C$39,3,0)</f>
        <v>2105</v>
      </c>
      <c r="L16" s="138">
        <f t="shared" ref="L16:L18" si="27">K16/J16</f>
        <v>161.92307692307693</v>
      </c>
      <c r="M16" s="139">
        <v>13</v>
      </c>
      <c r="N16" s="140">
        <f t="shared" ref="N16:N18" si="28">G16/W16*60</f>
        <v>2075.0000000000005</v>
      </c>
      <c r="O16" s="141">
        <f>N16/M16</f>
        <v>159.61538461538464</v>
      </c>
      <c r="P16" s="142">
        <f>M16-J16</f>
        <v>0</v>
      </c>
      <c r="Q16" s="143">
        <f t="shared" si="23"/>
        <v>-2.3076923076922924</v>
      </c>
      <c r="R16" s="144">
        <f>O16/L16</f>
        <v>0.98574821852731598</v>
      </c>
      <c r="S16" s="734">
        <f>R26</f>
        <v>0.8957866643491601</v>
      </c>
      <c r="T16" s="145">
        <v>0.2902777777777778</v>
      </c>
      <c r="U16" s="145">
        <v>0.30694444444444446</v>
      </c>
      <c r="V16" s="135"/>
      <c r="W16" s="146">
        <f t="shared" ref="W16:W78" si="29">(U16-T16)*24*60</f>
        <v>23.999999999999993</v>
      </c>
      <c r="X16" s="141"/>
      <c r="Y16" s="296"/>
      <c r="Z16" s="169"/>
      <c r="AA16" s="169"/>
      <c r="AB16" s="723" t="s">
        <v>260</v>
      </c>
      <c r="AC16" s="723"/>
      <c r="AD16" s="135"/>
      <c r="AE16" s="135"/>
      <c r="AF16" s="229">
        <f t="shared" si="25"/>
        <v>-29.999999999999545</v>
      </c>
      <c r="AG16" s="52">
        <f t="shared" si="26"/>
        <v>0.98574821852731609</v>
      </c>
      <c r="AH16" s="724">
        <f>AG26</f>
        <v>0.89165406201175956</v>
      </c>
    </row>
    <row r="17" spans="1:34" ht="15" customHeight="1">
      <c r="A17" s="741"/>
      <c r="B17" s="75" t="s">
        <v>81</v>
      </c>
      <c r="C17" s="76"/>
      <c r="D17" s="59" t="s">
        <v>121</v>
      </c>
      <c r="E17" s="77"/>
      <c r="F17" s="75">
        <f>VLOOKUP(D17,廠價表!$C$1:$E$41,3,0)</f>
        <v>57.21</v>
      </c>
      <c r="G17" s="147">
        <v>933</v>
      </c>
      <c r="H17" s="78">
        <f>F17*G17</f>
        <v>53376.93</v>
      </c>
      <c r="I17" s="30"/>
      <c r="J17" s="79">
        <f>VLOOKUP(D17,產線配置圖!$A$3:$C$39,2,0)</f>
        <v>13</v>
      </c>
      <c r="K17" s="80">
        <f>VLOOKUP(D17,產線配置圖!$A$3:$C$39,3,0)</f>
        <v>2105</v>
      </c>
      <c r="L17" s="81">
        <f t="shared" si="27"/>
        <v>161.92307692307693</v>
      </c>
      <c r="M17" s="148">
        <v>14</v>
      </c>
      <c r="N17" s="95">
        <f>G17/W17*60</f>
        <v>1555.0000000000023</v>
      </c>
      <c r="O17" s="96">
        <f t="shared" ref="O17:O18" si="30">N17/M17</f>
        <v>111.07142857142874</v>
      </c>
      <c r="P17" s="97">
        <f t="shared" si="22"/>
        <v>1</v>
      </c>
      <c r="Q17" s="98">
        <f t="shared" si="23"/>
        <v>-50.851648351648194</v>
      </c>
      <c r="R17" s="99">
        <f t="shared" si="24"/>
        <v>0.6859518154054981</v>
      </c>
      <c r="S17" s="735"/>
      <c r="T17" s="19">
        <v>0.30902777777777801</v>
      </c>
      <c r="U17" s="19">
        <v>0.33402777777777798</v>
      </c>
      <c r="V17" s="30">
        <f>(T17-U16)*24*60</f>
        <v>3.0000000000003091</v>
      </c>
      <c r="W17" s="149">
        <f t="shared" si="29"/>
        <v>35.99999999999995</v>
      </c>
      <c r="X17" s="19"/>
      <c r="Y17" s="297"/>
      <c r="Z17" s="90"/>
      <c r="AA17" s="90"/>
      <c r="AB17" s="713" t="s">
        <v>261</v>
      </c>
      <c r="AC17" s="713"/>
      <c r="AD17" s="92"/>
      <c r="AE17" s="92"/>
      <c r="AF17" s="307">
        <f t="shared" si="25"/>
        <v>-549.99999999999773</v>
      </c>
      <c r="AG17" s="72">
        <f t="shared" si="26"/>
        <v>0.73871733966745956</v>
      </c>
      <c r="AH17" s="725"/>
    </row>
    <row r="18" spans="1:34" ht="15" customHeight="1">
      <c r="A18" s="741"/>
      <c r="B18" s="75" t="s">
        <v>81</v>
      </c>
      <c r="C18" s="76"/>
      <c r="D18" s="59" t="s">
        <v>123</v>
      </c>
      <c r="E18" s="77"/>
      <c r="F18" s="75">
        <f>VLOOKUP(D18,廠價表!$C$1:$E$41,3,0)</f>
        <v>50.67</v>
      </c>
      <c r="G18" s="147">
        <v>3344</v>
      </c>
      <c r="H18" s="78">
        <f>F18*G18</f>
        <v>169440.48</v>
      </c>
      <c r="I18" s="30"/>
      <c r="J18" s="79">
        <f>VLOOKUP(D18,產線配置圖!$A$3:$C$39,2,0)</f>
        <v>13</v>
      </c>
      <c r="K18" s="80">
        <f>VLOOKUP(D18,產線配置圖!$A$3:$C$39,3,0)</f>
        <v>2000</v>
      </c>
      <c r="L18" s="81">
        <f t="shared" si="27"/>
        <v>153.84615384615384</v>
      </c>
      <c r="M18" s="148">
        <v>13</v>
      </c>
      <c r="N18" s="95">
        <f t="shared" si="28"/>
        <v>1823.999999999997</v>
      </c>
      <c r="O18" s="96">
        <f t="shared" si="30"/>
        <v>140.30769230769209</v>
      </c>
      <c r="P18" s="97">
        <f t="shared" si="22"/>
        <v>0</v>
      </c>
      <c r="Q18" s="98">
        <f t="shared" si="23"/>
        <v>-13.538461538461746</v>
      </c>
      <c r="R18" s="99">
        <f t="shared" si="24"/>
        <v>0.9119999999999987</v>
      </c>
      <c r="S18" s="735"/>
      <c r="T18" s="19">
        <v>0.34375</v>
      </c>
      <c r="U18" s="19">
        <v>0.42013888888888901</v>
      </c>
      <c r="V18" s="30">
        <f>(T18-U17)*24*60</f>
        <v>13.99999999999971</v>
      </c>
      <c r="W18" s="149">
        <f t="shared" si="29"/>
        <v>110.00000000000017</v>
      </c>
      <c r="X18" s="22">
        <v>0.48611111111111099</v>
      </c>
      <c r="Y18" s="84">
        <v>0.52777777777777801</v>
      </c>
      <c r="Z18" s="90"/>
      <c r="AA18" s="90"/>
      <c r="AB18" s="713" t="s">
        <v>262</v>
      </c>
      <c r="AC18" s="713"/>
      <c r="AD18" s="92">
        <v>6</v>
      </c>
      <c r="AE18" s="92">
        <v>6</v>
      </c>
      <c r="AF18" s="307">
        <f t="shared" si="25"/>
        <v>-176.00000000000296</v>
      </c>
      <c r="AG18" s="72">
        <f t="shared" si="26"/>
        <v>0.91199999999999848</v>
      </c>
      <c r="AH18" s="725"/>
    </row>
    <row r="19" spans="1:34" ht="15" customHeight="1">
      <c r="A19" s="741"/>
      <c r="B19" s="75" t="s">
        <v>81</v>
      </c>
      <c r="C19" s="76"/>
      <c r="D19" s="59" t="s">
        <v>124</v>
      </c>
      <c r="E19" s="77"/>
      <c r="F19" s="75">
        <f>VLOOKUP(D19,廠價表!$C$1:$E$41,3,0)</f>
        <v>50.39</v>
      </c>
      <c r="G19" s="147">
        <v>2252</v>
      </c>
      <c r="H19" s="78">
        <f t="shared" ref="H19:H21" si="31">F19*G19</f>
        <v>113478.28</v>
      </c>
      <c r="I19" s="30"/>
      <c r="J19" s="79">
        <f>VLOOKUP(D19,產線配置圖!$A$3:$C$39,2,0)</f>
        <v>12</v>
      </c>
      <c r="K19" s="80">
        <f>VLOOKUP(D19,產線配置圖!$A$3:$C$39,3,0)</f>
        <v>2000</v>
      </c>
      <c r="L19" s="81">
        <f t="shared" ref="L19:L23" si="32">K19/J19</f>
        <v>166.66666666666666</v>
      </c>
      <c r="M19" s="148">
        <v>12</v>
      </c>
      <c r="N19" s="95">
        <f t="shared" ref="N19:N23" si="33">G19/W19*60</f>
        <v>1850.9589041095674</v>
      </c>
      <c r="O19" s="96">
        <f t="shared" ref="O19:O23" si="34">N19/M19</f>
        <v>154.24657534246396</v>
      </c>
      <c r="P19" s="97">
        <f t="shared" ref="P19:P23" si="35">M19-J19</f>
        <v>0</v>
      </c>
      <c r="Q19" s="98">
        <f t="shared" ref="Q19:Q23" si="36">O19-L19</f>
        <v>-12.420091324202701</v>
      </c>
      <c r="R19" s="99">
        <f>O19/L19</f>
        <v>0.92547945205478377</v>
      </c>
      <c r="S19" s="735"/>
      <c r="T19" s="19">
        <v>0.42847222222222198</v>
      </c>
      <c r="U19" s="19">
        <v>0.47916666666666702</v>
      </c>
      <c r="V19" s="30">
        <f>(T19-U18)*24*60</f>
        <v>11.999999999999478</v>
      </c>
      <c r="W19" s="149">
        <f t="shared" si="29"/>
        <v>73.000000000000853</v>
      </c>
      <c r="X19" s="22"/>
      <c r="Y19" s="84"/>
      <c r="Z19" s="90"/>
      <c r="AA19" s="90"/>
      <c r="AB19" s="728" t="s">
        <v>249</v>
      </c>
      <c r="AC19" s="728"/>
      <c r="AD19" s="149">
        <v>3</v>
      </c>
      <c r="AE19" s="149">
        <v>3</v>
      </c>
      <c r="AF19" s="307">
        <f t="shared" si="25"/>
        <v>-149.04109589043264</v>
      </c>
      <c r="AG19" s="72">
        <f t="shared" si="26"/>
        <v>0.92547945205478366</v>
      </c>
      <c r="AH19" s="726"/>
    </row>
    <row r="20" spans="1:34" ht="15" customHeight="1">
      <c r="A20" s="741"/>
      <c r="B20" s="75" t="s">
        <v>81</v>
      </c>
      <c r="C20" s="76"/>
      <c r="D20" s="59" t="s">
        <v>124</v>
      </c>
      <c r="E20" s="77"/>
      <c r="F20" s="75">
        <f>VLOOKUP(D20,廠價表!$C$1:$E$41,3,0)</f>
        <v>50.39</v>
      </c>
      <c r="G20" s="147">
        <v>2252</v>
      </c>
      <c r="H20" s="78">
        <f t="shared" si="31"/>
        <v>113478.28</v>
      </c>
      <c r="I20" s="30"/>
      <c r="J20" s="79">
        <f>VLOOKUP(D20,產線配置圖!$A$3:$C$39,2,0)</f>
        <v>12</v>
      </c>
      <c r="K20" s="80">
        <f>VLOOKUP(D20,產線配置圖!$A$3:$C$39,3,0)</f>
        <v>2000</v>
      </c>
      <c r="L20" s="81">
        <f t="shared" si="32"/>
        <v>166.66666666666666</v>
      </c>
      <c r="M20" s="148">
        <v>12</v>
      </c>
      <c r="N20" s="95">
        <f t="shared" si="33"/>
        <v>1958.2608695652425</v>
      </c>
      <c r="O20" s="96">
        <f t="shared" si="34"/>
        <v>163.18840579710354</v>
      </c>
      <c r="P20" s="97">
        <f t="shared" si="35"/>
        <v>0</v>
      </c>
      <c r="Q20" s="98">
        <f t="shared" si="36"/>
        <v>-3.4782608695631154</v>
      </c>
      <c r="R20" s="99">
        <f t="shared" ref="R19:R23" si="37">O20/L20</f>
        <v>0.9791304347826213</v>
      </c>
      <c r="S20" s="735"/>
      <c r="T20" s="19">
        <v>0.54166666666666696</v>
      </c>
      <c r="U20" s="19">
        <v>0.58958333333333302</v>
      </c>
      <c r="V20" s="30">
        <f>(T20-U19)*24*60</f>
        <v>89.999999999999915</v>
      </c>
      <c r="W20" s="149">
        <f t="shared" si="29"/>
        <v>68.999999999999119</v>
      </c>
      <c r="X20" s="19"/>
      <c r="Y20" s="297"/>
      <c r="Z20" s="90"/>
      <c r="AA20" s="90"/>
      <c r="AB20" s="713"/>
      <c r="AC20" s="713"/>
      <c r="AD20" s="92"/>
      <c r="AE20" s="92"/>
      <c r="AF20" s="307"/>
      <c r="AG20" s="72"/>
      <c r="AH20" s="726"/>
    </row>
    <row r="21" spans="1:34" ht="15" customHeight="1">
      <c r="A21" s="742"/>
      <c r="B21" s="75" t="s">
        <v>81</v>
      </c>
      <c r="C21" s="76"/>
      <c r="D21" s="59" t="s">
        <v>121</v>
      </c>
      <c r="E21" s="77"/>
      <c r="F21" s="75">
        <f>VLOOKUP(D21,廠價表!$C$1:$E$41,3,0)</f>
        <v>57.21</v>
      </c>
      <c r="G21" s="147">
        <v>2061</v>
      </c>
      <c r="H21" s="78">
        <f t="shared" si="31"/>
        <v>117909.81</v>
      </c>
      <c r="I21" s="30"/>
      <c r="J21" s="79">
        <f>VLOOKUP(D21,產線配置圖!$A$3:$C$39,2,0)</f>
        <v>13</v>
      </c>
      <c r="K21" s="80">
        <f>VLOOKUP(D21,產線配置圖!$A$3:$C$39,3,0)</f>
        <v>2105</v>
      </c>
      <c r="L21" s="81">
        <f t="shared" si="32"/>
        <v>161.92307692307693</v>
      </c>
      <c r="M21" s="148">
        <v>12</v>
      </c>
      <c r="N21" s="95">
        <f t="shared" si="33"/>
        <v>1717.5000000000098</v>
      </c>
      <c r="O21" s="96">
        <f t="shared" si="34"/>
        <v>143.12500000000082</v>
      </c>
      <c r="P21" s="97">
        <f t="shared" si="35"/>
        <v>-1</v>
      </c>
      <c r="Q21" s="98">
        <f t="shared" si="36"/>
        <v>-18.79807692307611</v>
      </c>
      <c r="R21" s="99">
        <f t="shared" si="37"/>
        <v>0.88390736342043263</v>
      </c>
      <c r="S21" s="735"/>
      <c r="T21" s="19">
        <v>0.59791666666666698</v>
      </c>
      <c r="U21" s="19">
        <v>0.6479166666666667</v>
      </c>
      <c r="V21" s="30">
        <f>(T21-U20)*24*60</f>
        <v>12.000000000000917</v>
      </c>
      <c r="W21" s="149">
        <f t="shared" si="29"/>
        <v>71.999999999999588</v>
      </c>
      <c r="X21" s="92"/>
      <c r="Y21" s="298"/>
      <c r="Z21" s="90"/>
      <c r="AA21" s="90"/>
      <c r="AB21" s="713"/>
      <c r="AC21" s="713"/>
      <c r="AD21" s="92"/>
      <c r="AE21" s="92"/>
      <c r="AF21" s="308"/>
      <c r="AG21" s="85"/>
      <c r="AH21" s="726"/>
    </row>
    <row r="22" spans="1:34" ht="15" customHeight="1">
      <c r="A22" s="742"/>
      <c r="B22" s="30"/>
      <c r="C22" s="151"/>
      <c r="D22" s="59"/>
      <c r="E22" s="87"/>
      <c r="F22" s="105"/>
      <c r="G22" s="95"/>
      <c r="H22" s="78"/>
      <c r="I22" s="149"/>
      <c r="J22" s="79"/>
      <c r="K22" s="80"/>
      <c r="L22" s="81"/>
      <c r="M22" s="148"/>
      <c r="N22" s="95"/>
      <c r="O22" s="96"/>
      <c r="P22" s="97"/>
      <c r="Q22" s="98"/>
      <c r="R22" s="99"/>
      <c r="S22" s="735"/>
      <c r="T22" s="19"/>
      <c r="U22" s="19"/>
      <c r="V22" s="92"/>
      <c r="W22" s="149">
        <f t="shared" si="29"/>
        <v>0</v>
      </c>
      <c r="X22" s="92"/>
      <c r="Y22" s="298"/>
      <c r="Z22" s="90"/>
      <c r="AA22" s="90"/>
      <c r="AB22" s="713"/>
      <c r="AC22" s="713"/>
      <c r="AD22" s="92"/>
      <c r="AE22" s="92"/>
      <c r="AF22" s="308"/>
      <c r="AG22" s="85"/>
      <c r="AH22" s="726"/>
    </row>
    <row r="23" spans="1:34" ht="15" customHeight="1">
      <c r="A23" s="742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35"/>
      <c r="T23" s="19"/>
      <c r="U23" s="19"/>
      <c r="W23" s="149">
        <f t="shared" si="29"/>
        <v>0</v>
      </c>
      <c r="X23" s="92"/>
      <c r="Y23" s="298"/>
      <c r="Z23" s="90"/>
      <c r="AA23" s="90"/>
      <c r="AB23" s="713"/>
      <c r="AC23" s="713"/>
      <c r="AD23" s="92"/>
      <c r="AE23" s="92"/>
      <c r="AF23" s="308"/>
      <c r="AG23" s="85"/>
      <c r="AH23" s="726"/>
    </row>
    <row r="24" spans="1:34" ht="15" customHeight="1">
      <c r="A24" s="742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35"/>
      <c r="T24" s="150"/>
      <c r="U24" s="150"/>
      <c r="V24" s="92"/>
      <c r="W24" s="149">
        <f t="shared" si="29"/>
        <v>0</v>
      </c>
      <c r="X24" s="92"/>
      <c r="Y24" s="298"/>
      <c r="Z24" s="90"/>
      <c r="AA24" s="90"/>
      <c r="AB24" s="713"/>
      <c r="AC24" s="713"/>
      <c r="AD24" s="92"/>
      <c r="AE24" s="92"/>
      <c r="AF24" s="308"/>
      <c r="AG24" s="85"/>
      <c r="AH24" s="726"/>
    </row>
    <row r="25" spans="1:34" ht="15" customHeight="1">
      <c r="A25" s="742"/>
      <c r="B25" s="101"/>
      <c r="C25" s="102"/>
      <c r="D25" s="103"/>
      <c r="E25" s="104"/>
      <c r="F25" s="105"/>
      <c r="G25" s="95"/>
      <c r="H25" s="91">
        <f t="shared" ref="H24:H25" si="38"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35"/>
      <c r="T25" s="150"/>
      <c r="U25" s="150"/>
      <c r="V25" s="92"/>
      <c r="W25" s="149">
        <f t="shared" si="29"/>
        <v>0</v>
      </c>
      <c r="X25" s="92"/>
      <c r="Y25" s="298"/>
      <c r="Z25" s="90"/>
      <c r="AA25" s="90"/>
      <c r="AB25" s="713"/>
      <c r="AC25" s="713"/>
      <c r="AD25" s="92"/>
      <c r="AE25" s="92"/>
      <c r="AF25" s="308"/>
      <c r="AG25" s="85"/>
      <c r="AH25" s="726"/>
    </row>
    <row r="26" spans="1:34" ht="15" customHeight="1" thickBot="1">
      <c r="A26" s="743"/>
      <c r="B26" s="152"/>
      <c r="C26" s="153" t="s">
        <v>44</v>
      </c>
      <c r="D26" s="729" t="s">
        <v>42</v>
      </c>
      <c r="E26" s="729"/>
      <c r="F26" s="154"/>
      <c r="G26" s="155"/>
      <c r="H26" s="156"/>
      <c r="I26" s="157"/>
      <c r="J26" s="155">
        <f t="shared" ref="J26:O26" si="39">AVERAGE(J16:J25)</f>
        <v>12.666666666666666</v>
      </c>
      <c r="K26" s="155">
        <f t="shared" si="39"/>
        <v>2052.5</v>
      </c>
      <c r="L26" s="158">
        <f t="shared" si="39"/>
        <v>162.15811965811966</v>
      </c>
      <c r="M26" s="155">
        <f t="shared" si="39"/>
        <v>12.666666666666666</v>
      </c>
      <c r="N26" s="155">
        <f t="shared" si="39"/>
        <v>1830.1199622791364</v>
      </c>
      <c r="O26" s="158">
        <f t="shared" si="39"/>
        <v>145.25908110567897</v>
      </c>
      <c r="P26" s="159">
        <f t="shared" ref="P26:P29" si="40">M26-J26</f>
        <v>0</v>
      </c>
      <c r="Q26" s="160">
        <f t="shared" ref="Q26:Q29" si="41">O26-L26</f>
        <v>-16.899038552440686</v>
      </c>
      <c r="R26" s="161">
        <f>O26/L26</f>
        <v>0.8957866643491601</v>
      </c>
      <c r="S26" s="736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30"/>
      <c r="AC26" s="730"/>
      <c r="AD26" s="323">
        <f>SUM(AD16:AD25)</f>
        <v>9</v>
      </c>
      <c r="AE26" s="323">
        <f>SUM(AE16:AE25)</f>
        <v>9</v>
      </c>
      <c r="AF26" s="309">
        <f t="shared" ref="AF26:AF31" si="42">N26-K26</f>
        <v>-222.38003772086358</v>
      </c>
      <c r="AG26" s="124">
        <f t="shared" ref="AG26:AG31" si="43">N26/K26</f>
        <v>0.89165406201175956</v>
      </c>
      <c r="AH26" s="727"/>
    </row>
    <row r="27" spans="1:34" ht="15" customHeight="1">
      <c r="A27" s="731" t="s">
        <v>45</v>
      </c>
      <c r="B27" s="167" t="s">
        <v>81</v>
      </c>
      <c r="C27" s="130"/>
      <c r="D27" s="168" t="s">
        <v>125</v>
      </c>
      <c r="E27" s="132"/>
      <c r="F27" s="129">
        <f>VLOOKUP(D27,廠價表!$C$1:$E$41,3,0)</f>
        <v>57.3</v>
      </c>
      <c r="G27" s="169">
        <v>3197</v>
      </c>
      <c r="H27" s="134">
        <f>F27*G27</f>
        <v>183188.09999999998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44">K27/J27</f>
        <v>88.235294117647058</v>
      </c>
      <c r="M27" s="170">
        <v>17</v>
      </c>
      <c r="N27" s="140">
        <f>G27/W27*60</f>
        <v>1486.9767441860527</v>
      </c>
      <c r="O27" s="141">
        <f>N27/M27</f>
        <v>87.469220246238393</v>
      </c>
      <c r="P27" s="142">
        <f t="shared" si="40"/>
        <v>0</v>
      </c>
      <c r="Q27" s="143">
        <f t="shared" si="41"/>
        <v>-0.76607387140866479</v>
      </c>
      <c r="R27" s="144">
        <f>O27/L27</f>
        <v>0.99131782945736846</v>
      </c>
      <c r="S27" s="734">
        <f>R37</f>
        <v>0.93546204252105991</v>
      </c>
      <c r="T27" s="171">
        <v>0.29166666666666702</v>
      </c>
      <c r="U27" s="171">
        <v>0.38124999999999998</v>
      </c>
      <c r="V27" s="135"/>
      <c r="W27" s="146">
        <f t="shared" si="29"/>
        <v>128.99999999999946</v>
      </c>
      <c r="X27" s="135"/>
      <c r="Y27" s="300" t="s">
        <v>46</v>
      </c>
      <c r="Z27" s="169"/>
      <c r="AA27" s="169"/>
      <c r="AB27" s="723"/>
      <c r="AC27" s="723"/>
      <c r="AD27" s="135"/>
      <c r="AE27" s="135"/>
      <c r="AF27" s="310">
        <f t="shared" si="42"/>
        <v>-13.023255813947344</v>
      </c>
      <c r="AG27" s="172">
        <f t="shared" si="43"/>
        <v>0.99131782945736846</v>
      </c>
      <c r="AH27" s="724">
        <f>AG37</f>
        <v>0.81834406786109637</v>
      </c>
    </row>
    <row r="28" spans="1:34" ht="15" customHeight="1">
      <c r="A28" s="732"/>
      <c r="B28" s="75" t="s">
        <v>81</v>
      </c>
      <c r="C28" s="173"/>
      <c r="D28" s="59" t="s">
        <v>127</v>
      </c>
      <c r="E28" s="104"/>
      <c r="F28" s="75">
        <f>VLOOKUP(D28,廠價表!$C$1:$E$41,3,0)</f>
        <v>55.13</v>
      </c>
      <c r="G28" s="90">
        <v>1481</v>
      </c>
      <c r="H28" s="91">
        <f>F28*G28</f>
        <v>81647.53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44"/>
        <v>81.470588235294116</v>
      </c>
      <c r="M28" s="94">
        <v>14</v>
      </c>
      <c r="N28" s="95">
        <f>G28/W28*60</f>
        <v>1097.0370370370376</v>
      </c>
      <c r="O28" s="96">
        <f>N28/M28</f>
        <v>78.359788359788396</v>
      </c>
      <c r="P28" s="97">
        <f t="shared" si="40"/>
        <v>-3</v>
      </c>
      <c r="Q28" s="98">
        <f t="shared" si="41"/>
        <v>-3.1107998755057196</v>
      </c>
      <c r="R28" s="99">
        <f t="shared" ref="R28:R29" si="45">O28/L28</f>
        <v>0.96181689683494787</v>
      </c>
      <c r="S28" s="735"/>
      <c r="T28" s="19">
        <v>0.38611111111111102</v>
      </c>
      <c r="U28" s="19">
        <v>0.44236111111111098</v>
      </c>
      <c r="V28" s="92">
        <f>(T28-U27)*24*60</f>
        <v>6.9999999999998952</v>
      </c>
      <c r="W28" s="149">
        <f t="shared" si="29"/>
        <v>80.999999999999957</v>
      </c>
      <c r="X28" s="174"/>
      <c r="Y28" s="301"/>
      <c r="Z28" s="335"/>
      <c r="AA28" s="335"/>
      <c r="AB28" s="713"/>
      <c r="AC28" s="713"/>
      <c r="AD28" s="92"/>
      <c r="AE28" s="92"/>
      <c r="AF28" s="311">
        <f t="shared" si="42"/>
        <v>-287.96296296296237</v>
      </c>
      <c r="AG28" s="99">
        <f t="shared" si="43"/>
        <v>0.79208450327583946</v>
      </c>
      <c r="AH28" s="744"/>
    </row>
    <row r="29" spans="1:34" ht="15" customHeight="1">
      <c r="A29" s="732"/>
      <c r="B29" s="75" t="s">
        <v>117</v>
      </c>
      <c r="C29" s="173"/>
      <c r="D29" s="59" t="s">
        <v>128</v>
      </c>
      <c r="E29" s="104"/>
      <c r="F29" s="75">
        <f>VLOOKUP(D29,廠價表!$C$1:$E$41,3,0)</f>
        <v>49.52</v>
      </c>
      <c r="G29" s="90">
        <v>1157</v>
      </c>
      <c r="H29" s="91">
        <f>F29*G29</f>
        <v>57294.640000000007</v>
      </c>
      <c r="I29" s="92"/>
      <c r="J29" s="79">
        <f>VLOOKUP(D29,產線配置圖!$A$3:$C$39,2,0)</f>
        <v>17</v>
      </c>
      <c r="K29" s="80">
        <f>VLOOKUP(D29,產線配置圖!$A$3:$C$39,3,0)</f>
        <v>1440</v>
      </c>
      <c r="L29" s="93">
        <f t="shared" si="44"/>
        <v>84.705882352941174</v>
      </c>
      <c r="M29" s="94">
        <v>14</v>
      </c>
      <c r="N29" s="95">
        <f>G29/W29*60</f>
        <v>1051.8181818181665</v>
      </c>
      <c r="O29" s="96">
        <f>N29/M29</f>
        <v>75.129870129869033</v>
      </c>
      <c r="P29" s="97">
        <f t="shared" si="40"/>
        <v>-3</v>
      </c>
      <c r="Q29" s="98">
        <f t="shared" si="41"/>
        <v>-9.5760122230721407</v>
      </c>
      <c r="R29" s="99">
        <f t="shared" si="45"/>
        <v>0.88694985569984275</v>
      </c>
      <c r="S29" s="735"/>
      <c r="T29" s="19">
        <v>0.44722222222222202</v>
      </c>
      <c r="U29" s="19">
        <v>0.49305555555555602</v>
      </c>
      <c r="V29" s="92">
        <f>(T29-U28)*24*60</f>
        <v>6.9999999999998952</v>
      </c>
      <c r="W29" s="149">
        <f t="shared" si="29"/>
        <v>66.000000000000966</v>
      </c>
      <c r="X29" s="22"/>
      <c r="Y29" s="84"/>
      <c r="Z29" s="90"/>
      <c r="AA29" s="90"/>
      <c r="AB29" s="713"/>
      <c r="AC29" s="713"/>
      <c r="AD29" s="92"/>
      <c r="AE29" s="92"/>
      <c r="AF29" s="312">
        <f t="shared" si="42"/>
        <v>-388.18181818183348</v>
      </c>
      <c r="AG29" s="99">
        <f t="shared" si="43"/>
        <v>0.73042929292928227</v>
      </c>
      <c r="AH29" s="744"/>
    </row>
    <row r="30" spans="1:34" ht="15" customHeight="1">
      <c r="A30" s="732"/>
      <c r="B30" s="75" t="s">
        <v>117</v>
      </c>
      <c r="C30" s="88"/>
      <c r="D30" s="59" t="s">
        <v>128</v>
      </c>
      <c r="E30" s="89"/>
      <c r="F30" s="75">
        <f>VLOOKUP(D30,廠價表!$C$1:$E$41,3,0)</f>
        <v>49.52</v>
      </c>
      <c r="G30" s="90">
        <v>798</v>
      </c>
      <c r="H30" s="91">
        <f>F30*G30</f>
        <v>39516.959999999999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ref="L30" si="46">K30/J30</f>
        <v>84.705882352941174</v>
      </c>
      <c r="M30" s="94">
        <v>14</v>
      </c>
      <c r="N30" s="95">
        <f t="shared" ref="N30:N31" si="47">G30/W30*60</f>
        <v>1018.7234042553157</v>
      </c>
      <c r="O30" s="96">
        <f t="shared" ref="O30:O31" si="48">N30/M30</f>
        <v>72.765957446808258</v>
      </c>
      <c r="P30" s="97">
        <f t="shared" ref="P30:P31" si="49">M30-J30</f>
        <v>-3</v>
      </c>
      <c r="Q30" s="98">
        <f t="shared" ref="Q30:Q31" si="50">O30-L30</f>
        <v>-11.939924906132916</v>
      </c>
      <c r="R30" s="99">
        <f t="shared" ref="R30:R31" si="51">O30/L30</f>
        <v>0.85904255319148637</v>
      </c>
      <c r="S30" s="735"/>
      <c r="T30" s="19">
        <v>0.55138888888888904</v>
      </c>
      <c r="U30" s="19">
        <v>0.58402777777777803</v>
      </c>
      <c r="V30" s="92">
        <f>(T30-U29)*24*60</f>
        <v>83.999999999999545</v>
      </c>
      <c r="W30" s="149">
        <f t="shared" si="29"/>
        <v>47.000000000000156</v>
      </c>
      <c r="X30" s="174">
        <v>0.49652777777777801</v>
      </c>
      <c r="Y30" s="301">
        <v>0.53819444444444398</v>
      </c>
      <c r="Z30" s="335"/>
      <c r="AA30" s="335"/>
      <c r="AB30" s="713"/>
      <c r="AC30" s="713"/>
      <c r="AD30" s="92"/>
      <c r="AE30" s="92"/>
      <c r="AF30" s="312">
        <f t="shared" si="42"/>
        <v>-421.2765957446843</v>
      </c>
      <c r="AG30" s="99">
        <f t="shared" si="43"/>
        <v>0.7074468085106359</v>
      </c>
      <c r="AH30" s="745"/>
    </row>
    <row r="31" spans="1:34" ht="15" customHeight="1">
      <c r="A31" s="732"/>
      <c r="B31" s="75" t="s">
        <v>81</v>
      </c>
      <c r="C31" s="88"/>
      <c r="D31" s="59" t="s">
        <v>125</v>
      </c>
      <c r="E31" s="89"/>
      <c r="F31" s="75">
        <f>VLOOKUP(D31,廠價表!$C$1:$E$41,3,0)</f>
        <v>57.3</v>
      </c>
      <c r="G31" s="90">
        <v>1807</v>
      </c>
      <c r="H31" s="91">
        <f>F31*G31</f>
        <v>103541.09999999999</v>
      </c>
      <c r="I31" s="92"/>
      <c r="J31" s="79">
        <f>VLOOKUP(D31,產線配置圖!$A$3:$C$39,2,0)</f>
        <v>17</v>
      </c>
      <c r="K31" s="80">
        <f>VLOOKUP(D31,產線配置圖!$A$3:$C$39,3,0)</f>
        <v>1500</v>
      </c>
      <c r="L31" s="93">
        <f t="shared" ref="L31" si="52">K31/J31</f>
        <v>88.235294117647058</v>
      </c>
      <c r="M31" s="94">
        <v>15</v>
      </c>
      <c r="N31" s="95">
        <f t="shared" si="47"/>
        <v>1290.7142857142928</v>
      </c>
      <c r="O31" s="96">
        <f t="shared" si="48"/>
        <v>86.04761904761952</v>
      </c>
      <c r="P31" s="97">
        <f t="shared" si="49"/>
        <v>-2</v>
      </c>
      <c r="Q31" s="98">
        <f t="shared" si="50"/>
        <v>-2.187675070027538</v>
      </c>
      <c r="R31" s="99">
        <f t="shared" si="51"/>
        <v>0.97520634920635452</v>
      </c>
      <c r="S31" s="735"/>
      <c r="T31" s="19">
        <v>0.58680555555555602</v>
      </c>
      <c r="U31" s="19">
        <v>0.64513888888888904</v>
      </c>
      <c r="V31" s="92">
        <f>(T31-U30)*24*60</f>
        <v>4.0000000000003055</v>
      </c>
      <c r="W31" s="149">
        <f t="shared" si="29"/>
        <v>83.999999999999545</v>
      </c>
      <c r="X31" s="174"/>
      <c r="Y31" s="301"/>
      <c r="Z31" s="335"/>
      <c r="AA31" s="335"/>
      <c r="AB31" s="713"/>
      <c r="AC31" s="713"/>
      <c r="AD31" s="92"/>
      <c r="AE31" s="92"/>
      <c r="AF31" s="312">
        <f t="shared" si="42"/>
        <v>-209.28571428570717</v>
      </c>
      <c r="AG31" s="99">
        <f t="shared" si="43"/>
        <v>0.86047619047619517</v>
      </c>
      <c r="AH31" s="726"/>
    </row>
    <row r="32" spans="1:34" ht="15" customHeight="1">
      <c r="A32" s="732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35"/>
      <c r="T32" s="19"/>
      <c r="U32" s="19"/>
      <c r="V32" s="92"/>
      <c r="W32" s="149">
        <f t="shared" si="29"/>
        <v>0</v>
      </c>
      <c r="X32" s="174"/>
      <c r="Y32" s="301"/>
      <c r="Z32" s="335"/>
      <c r="AA32" s="335"/>
      <c r="AB32" s="713"/>
      <c r="AC32" s="713"/>
      <c r="AD32" s="92"/>
      <c r="AE32" s="92"/>
      <c r="AF32" s="307"/>
      <c r="AG32" s="72"/>
      <c r="AH32" s="726"/>
    </row>
    <row r="33" spans="1:34" ht="15" customHeight="1">
      <c r="A33" s="732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35"/>
      <c r="T33" s="19"/>
      <c r="U33" s="19"/>
      <c r="V33" s="92"/>
      <c r="W33" s="149">
        <f t="shared" si="29"/>
        <v>0</v>
      </c>
      <c r="X33" s="174"/>
      <c r="Y33" s="301"/>
      <c r="Z33" s="335"/>
      <c r="AA33" s="335"/>
      <c r="AB33" s="713"/>
      <c r="AC33" s="713"/>
      <c r="AD33" s="92"/>
      <c r="AE33" s="92"/>
      <c r="AF33" s="307"/>
      <c r="AG33" s="112"/>
      <c r="AH33" s="726"/>
    </row>
    <row r="34" spans="1:34" ht="15" customHeight="1">
      <c r="A34" s="732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35"/>
      <c r="T34" s="150"/>
      <c r="U34" s="150"/>
      <c r="V34" s="92"/>
      <c r="W34" s="149">
        <f t="shared" si="29"/>
        <v>0</v>
      </c>
      <c r="X34" s="174"/>
      <c r="Y34" s="301"/>
      <c r="Z34" s="335"/>
      <c r="AA34" s="335"/>
      <c r="AB34" s="713"/>
      <c r="AC34" s="713"/>
      <c r="AD34" s="92"/>
      <c r="AE34" s="92"/>
      <c r="AF34" s="307"/>
      <c r="AG34" s="112"/>
      <c r="AH34" s="726"/>
    </row>
    <row r="35" spans="1:34" ht="15" customHeight="1">
      <c r="A35" s="732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35"/>
      <c r="T35" s="150"/>
      <c r="U35" s="150"/>
      <c r="V35" s="92"/>
      <c r="W35" s="149">
        <f t="shared" si="29"/>
        <v>0</v>
      </c>
      <c r="X35" s="174"/>
      <c r="Y35" s="301"/>
      <c r="Z35" s="335"/>
      <c r="AA35" s="335"/>
      <c r="AB35" s="713"/>
      <c r="AC35" s="713"/>
      <c r="AD35" s="92"/>
      <c r="AE35" s="92"/>
      <c r="AF35" s="307"/>
      <c r="AG35" s="112"/>
      <c r="AH35" s="726"/>
    </row>
    <row r="36" spans="1:34" ht="15" customHeight="1">
      <c r="A36" s="732"/>
      <c r="B36" s="179"/>
      <c r="C36" s="102"/>
      <c r="D36" s="103"/>
      <c r="E36" s="104"/>
      <c r="F36" s="105"/>
      <c r="G36" s="90"/>
      <c r="H36" s="91">
        <f t="shared" ref="H36:H47" si="53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35"/>
      <c r="T36" s="150"/>
      <c r="U36" s="150"/>
      <c r="V36" s="92"/>
      <c r="W36" s="149">
        <f t="shared" si="29"/>
        <v>0</v>
      </c>
      <c r="X36" s="174"/>
      <c r="Y36" s="301"/>
      <c r="Z36" s="335"/>
      <c r="AA36" s="335"/>
      <c r="AB36" s="713"/>
      <c r="AC36" s="713"/>
      <c r="AD36" s="92"/>
      <c r="AE36" s="92"/>
      <c r="AF36" s="307"/>
      <c r="AG36" s="112"/>
      <c r="AH36" s="726"/>
    </row>
    <row r="37" spans="1:34" ht="15" customHeight="1" thickBot="1">
      <c r="A37" s="733"/>
      <c r="B37" s="152"/>
      <c r="C37" s="153" t="s">
        <v>47</v>
      </c>
      <c r="D37" s="737" t="s">
        <v>42</v>
      </c>
      <c r="E37" s="738"/>
      <c r="F37" s="154"/>
      <c r="G37" s="220"/>
      <c r="H37" s="156"/>
      <c r="I37" s="157"/>
      <c r="J37" s="155">
        <f t="shared" ref="J37:O37" si="54">AVERAGE(J27:J36)</f>
        <v>17</v>
      </c>
      <c r="K37" s="155">
        <f t="shared" si="54"/>
        <v>1453</v>
      </c>
      <c r="L37" s="158">
        <f t="shared" si="54"/>
        <v>85.470588235294116</v>
      </c>
      <c r="M37" s="155">
        <f t="shared" si="54"/>
        <v>14.8</v>
      </c>
      <c r="N37" s="155">
        <f t="shared" si="54"/>
        <v>1189.0539306021731</v>
      </c>
      <c r="O37" s="158">
        <f t="shared" si="54"/>
        <v>79.954491046064703</v>
      </c>
      <c r="P37" s="159">
        <f>M37-J37</f>
        <v>-2.1999999999999993</v>
      </c>
      <c r="Q37" s="160">
        <f>N37-K37</f>
        <v>-263.94606939782693</v>
      </c>
      <c r="R37" s="161">
        <f t="shared" ref="R37:R40" si="55">O37/L37</f>
        <v>0.93546204252105991</v>
      </c>
      <c r="S37" s="736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39"/>
      <c r="AC37" s="739"/>
      <c r="AD37" s="324">
        <f>SUM(AD27:AD36)</f>
        <v>0</v>
      </c>
      <c r="AE37" s="324">
        <f>SUM(AE27:AE36)</f>
        <v>0</v>
      </c>
      <c r="AF37" s="309">
        <f t="shared" ref="AF37:AF41" si="56">N37-K37</f>
        <v>-263.94606939782693</v>
      </c>
      <c r="AG37" s="124">
        <f t="shared" ref="AG37:AG41" si="57">N37/K37</f>
        <v>0.81834406786109637</v>
      </c>
      <c r="AH37" s="727"/>
    </row>
    <row r="38" spans="1:34" ht="15" customHeight="1">
      <c r="A38" s="753" t="s">
        <v>48</v>
      </c>
      <c r="B38" s="167" t="s">
        <v>81</v>
      </c>
      <c r="C38" s="129"/>
      <c r="D38" s="184" t="s">
        <v>130</v>
      </c>
      <c r="E38" s="185"/>
      <c r="F38" s="39">
        <f>VLOOKUP(D38,廠價表!$C$1:$E$41,3,0)</f>
        <v>56.43</v>
      </c>
      <c r="G38" s="186">
        <v>1202</v>
      </c>
      <c r="H38" s="134">
        <f>F38*G38</f>
        <v>67828.86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58">K38/J38</f>
        <v>87.875</v>
      </c>
      <c r="M38" s="190">
        <v>14</v>
      </c>
      <c r="N38" s="140">
        <f>G38/W38*60</f>
        <v>1109.5384615384587</v>
      </c>
      <c r="O38" s="141">
        <f>N38/M38</f>
        <v>79.252747252747056</v>
      </c>
      <c r="P38" s="142">
        <f t="shared" ref="P38:P40" si="59">M38-J38</f>
        <v>-2</v>
      </c>
      <c r="Q38" s="143">
        <f t="shared" ref="Q38:Q40" si="60">O38-L38</f>
        <v>-8.6222527472529435</v>
      </c>
      <c r="R38" s="144">
        <f>O38/L38</f>
        <v>0.901880480827847</v>
      </c>
      <c r="S38" s="756">
        <f>R48</f>
        <v>0.95725693486633401</v>
      </c>
      <c r="T38" s="191">
        <v>0.33333333333333298</v>
      </c>
      <c r="U38" s="191">
        <v>0.37847222222222199</v>
      </c>
      <c r="V38" s="192"/>
      <c r="W38" s="193">
        <f t="shared" si="29"/>
        <v>65.000000000000171</v>
      </c>
      <c r="X38" s="194"/>
      <c r="Y38" s="302"/>
      <c r="Z38" s="336"/>
      <c r="AA38" s="336"/>
      <c r="AB38" s="758"/>
      <c r="AC38" s="758"/>
      <c r="AD38" s="192"/>
      <c r="AE38" s="192"/>
      <c r="AF38" s="313">
        <f t="shared" si="56"/>
        <v>-296.46153846154129</v>
      </c>
      <c r="AG38" s="195">
        <f t="shared" si="57"/>
        <v>0.78914542072436611</v>
      </c>
      <c r="AH38" s="746">
        <f>AG48</f>
        <v>0.87183874198663336</v>
      </c>
    </row>
    <row r="39" spans="1:34" ht="15" customHeight="1">
      <c r="A39" s="754"/>
      <c r="B39" s="75" t="s">
        <v>117</v>
      </c>
      <c r="C39" s="197"/>
      <c r="D39" s="198" t="s">
        <v>133</v>
      </c>
      <c r="E39" s="176"/>
      <c r="F39" s="75">
        <f>VLOOKUP(D39,廠價表!$C$1:$E$41,3,0)</f>
        <v>49.91</v>
      </c>
      <c r="G39" s="199">
        <v>1251</v>
      </c>
      <c r="H39" s="91">
        <f>F39*G39</f>
        <v>62437.409999999996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58"/>
        <v>92.058823529411768</v>
      </c>
      <c r="M39" s="201">
        <v>15</v>
      </c>
      <c r="N39" s="202">
        <f>G39/W39*60</f>
        <v>1364.7272727272893</v>
      </c>
      <c r="O39" s="203">
        <f t="shared" ref="O39:O40" si="61">N39/M39</f>
        <v>90.981818181819293</v>
      </c>
      <c r="P39" s="97">
        <f t="shared" si="59"/>
        <v>-2</v>
      </c>
      <c r="Q39" s="98">
        <f t="shared" si="60"/>
        <v>-1.0770053475924755</v>
      </c>
      <c r="R39" s="99">
        <f t="shared" si="55"/>
        <v>0.98830090037758977</v>
      </c>
      <c r="S39" s="757"/>
      <c r="T39" s="20">
        <v>0.38402777777777802</v>
      </c>
      <c r="U39" s="20">
        <v>0.422222222222222</v>
      </c>
      <c r="V39" s="92">
        <f>(T39-U38)*24*60</f>
        <v>8.000000000000691</v>
      </c>
      <c r="W39" s="205">
        <f t="shared" si="29"/>
        <v>54.999999999999325</v>
      </c>
      <c r="X39" s="22"/>
      <c r="Y39" s="84"/>
      <c r="Z39" s="90"/>
      <c r="AA39" s="90"/>
      <c r="AB39" s="749"/>
      <c r="AC39" s="749"/>
      <c r="AD39" s="200"/>
      <c r="AE39" s="200"/>
      <c r="AF39" s="314">
        <f t="shared" si="56"/>
        <v>-200.27272727271065</v>
      </c>
      <c r="AG39" s="206">
        <f t="shared" si="57"/>
        <v>0.8720302062155203</v>
      </c>
      <c r="AH39" s="747"/>
    </row>
    <row r="40" spans="1:34" ht="15" customHeight="1">
      <c r="A40" s="754"/>
      <c r="B40" s="75" t="s">
        <v>117</v>
      </c>
      <c r="C40" s="207"/>
      <c r="D40" s="198" t="s">
        <v>118</v>
      </c>
      <c r="E40" s="178"/>
      <c r="F40" s="75">
        <f>VLOOKUP(D40,廠價表!$C$1:$E$41,3,0)</f>
        <v>44.3</v>
      </c>
      <c r="G40" s="199">
        <v>2101</v>
      </c>
      <c r="H40" s="91">
        <f>F40*G40</f>
        <v>93074.299999999988</v>
      </c>
      <c r="I40" s="200"/>
      <c r="J40" s="148">
        <v>17</v>
      </c>
      <c r="K40" s="95">
        <f>VLOOKUP(D40,產線配置圖!$A$3:$C$39,3,0)</f>
        <v>1440</v>
      </c>
      <c r="L40" s="96">
        <f t="shared" si="58"/>
        <v>84.705882352941174</v>
      </c>
      <c r="M40" s="201">
        <v>16</v>
      </c>
      <c r="N40" s="202">
        <f>G40/W40*60</f>
        <v>1273.3333333333328</v>
      </c>
      <c r="O40" s="203">
        <f t="shared" si="61"/>
        <v>79.5833333333333</v>
      </c>
      <c r="P40" s="97">
        <f t="shared" si="59"/>
        <v>-1</v>
      </c>
      <c r="Q40" s="98">
        <f t="shared" si="60"/>
        <v>-5.1225490196078738</v>
      </c>
      <c r="R40" s="99">
        <f t="shared" si="55"/>
        <v>0.93952546296296258</v>
      </c>
      <c r="S40" s="719"/>
      <c r="T40" s="20">
        <v>0.42708333333333298</v>
      </c>
      <c r="U40" s="20">
        <v>0.49583333333333302</v>
      </c>
      <c r="V40" s="92">
        <f>(T40-U39)*24*60</f>
        <v>6.9999999999998153</v>
      </c>
      <c r="W40" s="205">
        <f t="shared" si="29"/>
        <v>99.000000000000043</v>
      </c>
      <c r="X40" s="208"/>
      <c r="Y40" s="209"/>
      <c r="Z40" s="337"/>
      <c r="AA40" s="337"/>
      <c r="AB40" s="713"/>
      <c r="AC40" s="713"/>
      <c r="AD40" s="92"/>
      <c r="AE40" s="92"/>
      <c r="AF40" s="314">
        <f t="shared" si="56"/>
        <v>-166.6666666666672</v>
      </c>
      <c r="AG40" s="206">
        <f t="shared" si="57"/>
        <v>0.88425925925925886</v>
      </c>
      <c r="AH40" s="747"/>
    </row>
    <row r="41" spans="1:34" ht="15" customHeight="1">
      <c r="A41" s="754"/>
      <c r="B41" s="75" t="s">
        <v>117</v>
      </c>
      <c r="C41" s="207"/>
      <c r="D41" s="198" t="s">
        <v>118</v>
      </c>
      <c r="E41" s="178"/>
      <c r="F41" s="75">
        <f>VLOOKUP(D41,廠價表!$C$1:$E$41,3,0)</f>
        <v>44.3</v>
      </c>
      <c r="G41" s="199">
        <v>767</v>
      </c>
      <c r="H41" s="91">
        <f>F41*G41</f>
        <v>33978.1</v>
      </c>
      <c r="I41" s="200"/>
      <c r="J41" s="148">
        <v>17</v>
      </c>
      <c r="K41" s="95">
        <f>VLOOKUP(D41,產線配置圖!$A$3:$C$39,3,0)</f>
        <v>1440</v>
      </c>
      <c r="L41" s="96">
        <f t="shared" ref="L41" si="62">K41/J41</f>
        <v>84.705882352941174</v>
      </c>
      <c r="M41" s="201">
        <v>16</v>
      </c>
      <c r="N41" s="202">
        <f>G41/W41*60</f>
        <v>1353.5294117647109</v>
      </c>
      <c r="O41" s="203">
        <f t="shared" ref="O41" si="63">N41/M41</f>
        <v>84.595588235294429</v>
      </c>
      <c r="P41" s="97">
        <f t="shared" ref="P41" si="64">M41-J41</f>
        <v>-1</v>
      </c>
      <c r="Q41" s="98">
        <f t="shared" ref="Q41" si="65">O41-L41</f>
        <v>-0.11029411764674535</v>
      </c>
      <c r="R41" s="99">
        <f t="shared" ref="R41" si="66">O41/L41</f>
        <v>0.9986979166666704</v>
      </c>
      <c r="S41" s="719"/>
      <c r="T41" s="20">
        <v>0.55555555555555602</v>
      </c>
      <c r="U41" s="210">
        <v>0.57916666666666705</v>
      </c>
      <c r="V41" s="92"/>
      <c r="W41" s="205">
        <f t="shared" si="29"/>
        <v>33.999999999999879</v>
      </c>
      <c r="X41" s="208"/>
      <c r="Y41" s="209"/>
      <c r="Z41" s="337"/>
      <c r="AA41" s="337"/>
      <c r="AB41" s="713"/>
      <c r="AC41" s="713"/>
      <c r="AD41" s="92"/>
      <c r="AE41" s="92"/>
      <c r="AF41" s="314">
        <f t="shared" si="56"/>
        <v>-86.470588235289142</v>
      </c>
      <c r="AG41" s="206">
        <f t="shared" si="57"/>
        <v>0.9399509803921603</v>
      </c>
      <c r="AH41" s="747"/>
    </row>
    <row r="42" spans="1:34" ht="15" customHeight="1">
      <c r="A42" s="75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19"/>
      <c r="T42" s="210"/>
      <c r="U42" s="210"/>
      <c r="V42" s="92"/>
      <c r="W42" s="205">
        <f t="shared" si="29"/>
        <v>0</v>
      </c>
      <c r="X42" s="208"/>
      <c r="Y42" s="211"/>
      <c r="Z42" s="338"/>
      <c r="AA42" s="338"/>
      <c r="AB42" s="713"/>
      <c r="AC42" s="713"/>
      <c r="AD42" s="92"/>
      <c r="AE42" s="92"/>
      <c r="AF42" s="314"/>
      <c r="AG42" s="206"/>
      <c r="AH42" s="747"/>
    </row>
    <row r="43" spans="1:34" ht="15" customHeight="1">
      <c r="A43" s="75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19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713"/>
      <c r="AC43" s="713"/>
      <c r="AD43" s="92"/>
      <c r="AE43" s="92"/>
      <c r="AF43" s="213"/>
      <c r="AG43" s="206"/>
      <c r="AH43" s="747"/>
    </row>
    <row r="44" spans="1:34" ht="15" customHeight="1">
      <c r="A44" s="75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19"/>
      <c r="T44" s="210"/>
      <c r="U44" s="210"/>
      <c r="V44" s="92"/>
      <c r="W44" s="205">
        <f t="shared" ref="W44:W48" si="67">(U44-T44)*24*60</f>
        <v>0</v>
      </c>
      <c r="X44" s="208"/>
      <c r="Y44" s="212"/>
      <c r="Z44" s="338"/>
      <c r="AA44" s="338"/>
      <c r="AB44" s="713"/>
      <c r="AC44" s="713"/>
      <c r="AD44" s="92"/>
      <c r="AE44" s="92"/>
      <c r="AF44" s="213"/>
      <c r="AG44" s="206"/>
      <c r="AH44" s="747"/>
    </row>
    <row r="45" spans="1:34" ht="15" customHeight="1">
      <c r="A45" s="75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19"/>
      <c r="T45" s="210"/>
      <c r="U45" s="210"/>
      <c r="V45" s="200"/>
      <c r="W45" s="205">
        <f t="shared" si="67"/>
        <v>0</v>
      </c>
      <c r="X45" s="208"/>
      <c r="Y45" s="212"/>
      <c r="Z45" s="338"/>
      <c r="AA45" s="338"/>
      <c r="AB45" s="713"/>
      <c r="AC45" s="713"/>
      <c r="AD45" s="92"/>
      <c r="AE45" s="92"/>
      <c r="AF45" s="213"/>
      <c r="AG45" s="206"/>
      <c r="AH45" s="747"/>
    </row>
    <row r="46" spans="1:34" ht="15" customHeight="1">
      <c r="A46" s="75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19"/>
      <c r="T46" s="216"/>
      <c r="U46" s="216"/>
      <c r="V46" s="200"/>
      <c r="W46" s="205">
        <f t="shared" si="67"/>
        <v>0</v>
      </c>
      <c r="X46" s="208"/>
      <c r="Y46" s="212"/>
      <c r="Z46" s="338"/>
      <c r="AA46" s="338"/>
      <c r="AB46" s="713"/>
      <c r="AC46" s="713"/>
      <c r="AD46" s="92"/>
      <c r="AE46" s="92"/>
      <c r="AF46" s="213"/>
      <c r="AG46" s="206"/>
      <c r="AH46" s="747"/>
    </row>
    <row r="47" spans="1:34" ht="15" customHeight="1">
      <c r="A47" s="754"/>
      <c r="B47" s="217"/>
      <c r="C47" s="102"/>
      <c r="D47" s="103"/>
      <c r="E47" s="104"/>
      <c r="F47" s="105"/>
      <c r="G47" s="202"/>
      <c r="H47" s="215">
        <f t="shared" si="53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19"/>
      <c r="T47" s="218"/>
      <c r="U47" s="218"/>
      <c r="V47" s="200"/>
      <c r="W47" s="205">
        <f t="shared" si="67"/>
        <v>0</v>
      </c>
      <c r="X47" s="208"/>
      <c r="Y47" s="212"/>
      <c r="Z47" s="338"/>
      <c r="AA47" s="338"/>
      <c r="AB47" s="713"/>
      <c r="AC47" s="713"/>
      <c r="AD47" s="92"/>
      <c r="AE47" s="92"/>
      <c r="AF47" s="213"/>
      <c r="AG47" s="206"/>
      <c r="AH47" s="747"/>
    </row>
    <row r="48" spans="1:34" ht="15" customHeight="1" thickBot="1">
      <c r="A48" s="755"/>
      <c r="B48" s="219"/>
      <c r="C48" s="153" t="s">
        <v>49</v>
      </c>
      <c r="D48" s="729" t="s">
        <v>42</v>
      </c>
      <c r="E48" s="729"/>
      <c r="F48" s="154"/>
      <c r="G48" s="220"/>
      <c r="H48" s="156"/>
      <c r="I48" s="157"/>
      <c r="J48" s="155">
        <f t="shared" ref="J48:O48" si="68">AVERAGE(J38:J47)</f>
        <v>16.75</v>
      </c>
      <c r="K48" s="155">
        <f t="shared" si="68"/>
        <v>1462.75</v>
      </c>
      <c r="L48" s="158">
        <f t="shared" si="68"/>
        <v>87.336397058823522</v>
      </c>
      <c r="M48" s="155">
        <f t="shared" si="68"/>
        <v>15.25</v>
      </c>
      <c r="N48" s="155">
        <f t="shared" si="68"/>
        <v>1275.2821198409479</v>
      </c>
      <c r="O48" s="158">
        <f t="shared" si="68"/>
        <v>83.603371750798516</v>
      </c>
      <c r="P48" s="221">
        <f>M48-J48</f>
        <v>-1.5</v>
      </c>
      <c r="Q48" s="222">
        <f>N48-K48</f>
        <v>-187.46788015905213</v>
      </c>
      <c r="R48" s="223">
        <f>O48/L48</f>
        <v>0.95725693486633401</v>
      </c>
      <c r="S48" s="722"/>
      <c r="T48" s="224"/>
      <c r="U48" s="224"/>
      <c r="V48" s="225"/>
      <c r="W48" s="226">
        <f t="shared" si="67"/>
        <v>0</v>
      </c>
      <c r="X48" s="227"/>
      <c r="Y48" s="303"/>
      <c r="Z48" s="334">
        <f>SUM(Z38:Z47)</f>
        <v>0</v>
      </c>
      <c r="AA48" s="334">
        <f>SUM(AA38:AA47)</f>
        <v>0</v>
      </c>
      <c r="AB48" s="730"/>
      <c r="AC48" s="730"/>
      <c r="AD48" s="323">
        <f>SUM(AD38:AD47)</f>
        <v>0</v>
      </c>
      <c r="AE48" s="323">
        <f>SUM(AE38:AE47)</f>
        <v>0</v>
      </c>
      <c r="AF48" s="315">
        <f t="shared" ref="AF48:AF53" si="69">N48-K48</f>
        <v>-187.46788015905213</v>
      </c>
      <c r="AG48" s="162">
        <f t="shared" ref="AG48:AG53" si="70">N48/K48</f>
        <v>0.87183874198663336</v>
      </c>
      <c r="AH48" s="748"/>
    </row>
    <row r="49" spans="1:34" ht="15" customHeight="1">
      <c r="A49" s="750" t="s">
        <v>50</v>
      </c>
      <c r="B49" s="129" t="s">
        <v>81</v>
      </c>
      <c r="C49" s="130"/>
      <c r="D49" s="131" t="s">
        <v>132</v>
      </c>
      <c r="E49" s="132"/>
      <c r="F49" s="129">
        <f>VLOOKUP(D49,廠價表!$C$1:$E$41,3,0)</f>
        <v>56.87</v>
      </c>
      <c r="G49" s="228">
        <v>1140</v>
      </c>
      <c r="H49" s="134">
        <f>F49*G49</f>
        <v>64831.799999999996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71">K49/J49</f>
        <v>86.944444444444443</v>
      </c>
      <c r="M49" s="170">
        <v>18</v>
      </c>
      <c r="N49" s="140">
        <f>G49/W49*60</f>
        <v>1554.5454545454545</v>
      </c>
      <c r="O49" s="141">
        <f>N49/M49</f>
        <v>86.36363636363636</v>
      </c>
      <c r="P49" s="229">
        <f>M49-J49</f>
        <v>0</v>
      </c>
      <c r="Q49" s="230">
        <f>O49-L49</f>
        <v>-0.5808080808080831</v>
      </c>
      <c r="R49" s="52">
        <f>O49/L49</f>
        <v>0.99331977926227122</v>
      </c>
      <c r="S49" s="718">
        <f>R58</f>
        <v>0.98734814316196207</v>
      </c>
      <c r="T49" s="191">
        <v>0.2902777777777778</v>
      </c>
      <c r="U49" s="191">
        <v>0.32083333333333336</v>
      </c>
      <c r="V49" s="55"/>
      <c r="W49" s="193">
        <f t="shared" si="29"/>
        <v>44</v>
      </c>
      <c r="X49" s="55"/>
      <c r="Y49" s="290"/>
      <c r="Z49" s="169"/>
      <c r="AA49" s="169"/>
      <c r="AB49" s="723"/>
      <c r="AC49" s="723"/>
      <c r="AD49" s="135"/>
      <c r="AE49" s="135"/>
      <c r="AF49" s="229">
        <f t="shared" si="69"/>
        <v>-10.454545454545496</v>
      </c>
      <c r="AG49" s="52">
        <f t="shared" si="70"/>
        <v>0.99331977926227122</v>
      </c>
      <c r="AH49" s="724">
        <f>AG58</f>
        <v>0.98727892223641733</v>
      </c>
    </row>
    <row r="50" spans="1:34" ht="15" customHeight="1">
      <c r="A50" s="751"/>
      <c r="B50" s="75" t="s">
        <v>81</v>
      </c>
      <c r="C50" s="76"/>
      <c r="D50" s="59" t="s">
        <v>113</v>
      </c>
      <c r="E50" s="77"/>
      <c r="F50" s="75">
        <f>VLOOKUP(D50,廠價表!$C$1:$E$41,3,0)</f>
        <v>47.71</v>
      </c>
      <c r="G50" s="202">
        <v>2375</v>
      </c>
      <c r="H50" s="231">
        <f>F50*G50</f>
        <v>113311.25</v>
      </c>
      <c r="I50" s="232"/>
      <c r="J50" s="79">
        <f>VLOOKUP(D50,產線配置圖!$A$3:$C$39,2,0)</f>
        <v>14</v>
      </c>
      <c r="K50" s="80">
        <f>VLOOKUP(D50,產線配置圖!$A$3:$C$39,3,0)</f>
        <v>1440</v>
      </c>
      <c r="L50" s="81">
        <f t="shared" si="71"/>
        <v>102.85714285714286</v>
      </c>
      <c r="M50" s="233">
        <v>14</v>
      </c>
      <c r="N50" s="234">
        <f>G50/W50*60</f>
        <v>1425.0000000000027</v>
      </c>
      <c r="O50" s="235">
        <f>N50/M50</f>
        <v>101.78571428571448</v>
      </c>
      <c r="P50" s="74">
        <f>M50-J50</f>
        <v>0</v>
      </c>
      <c r="Q50" s="83">
        <f>O50-L50</f>
        <v>-1.0714285714283847</v>
      </c>
      <c r="R50" s="72">
        <f>O50/L50</f>
        <v>0.98958333333333515</v>
      </c>
      <c r="S50" s="719"/>
      <c r="T50" s="21">
        <v>0.32638888888888901</v>
      </c>
      <c r="U50" s="21">
        <v>0.39583333333333331</v>
      </c>
      <c r="V50" s="30">
        <f t="shared" ref="V50:V53" si="72">(T50-U49)*24*60</f>
        <v>8.0000000000001315</v>
      </c>
      <c r="W50" s="236">
        <f t="shared" si="29"/>
        <v>99.999999999999801</v>
      </c>
      <c r="X50" s="22"/>
      <c r="Y50" s="84"/>
      <c r="Z50" s="90"/>
      <c r="AA50" s="90"/>
      <c r="AB50" s="713"/>
      <c r="AC50" s="713"/>
      <c r="AD50" s="92"/>
      <c r="AE50" s="92"/>
      <c r="AF50" s="307">
        <f t="shared" si="69"/>
        <v>-14.999999999997272</v>
      </c>
      <c r="AG50" s="72">
        <f t="shared" si="70"/>
        <v>0.98958333333333526</v>
      </c>
      <c r="AH50" s="725"/>
    </row>
    <row r="51" spans="1:34" ht="15" customHeight="1">
      <c r="A51" s="751"/>
      <c r="B51" s="75" t="s">
        <v>81</v>
      </c>
      <c r="C51" s="76"/>
      <c r="D51" s="59" t="s">
        <v>134</v>
      </c>
      <c r="E51" s="77"/>
      <c r="F51" s="75">
        <f>VLOOKUP(D51,廠價表!$C$1:$E$41,3,0)</f>
        <v>49.97</v>
      </c>
      <c r="G51" s="202">
        <v>2732</v>
      </c>
      <c r="H51" s="231">
        <f>F51*G51</f>
        <v>136518.04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71"/>
        <v>88.888888888888886</v>
      </c>
      <c r="M51" s="233">
        <v>18</v>
      </c>
      <c r="N51" s="234">
        <f>G51/W51*60</f>
        <v>1591.4563106796147</v>
      </c>
      <c r="O51" s="235">
        <f>N51/M51</f>
        <v>88.414239482200813</v>
      </c>
      <c r="P51" s="74">
        <f>M51-J51</f>
        <v>0</v>
      </c>
      <c r="Q51" s="83">
        <f>O51-L51</f>
        <v>-0.47464940668807287</v>
      </c>
      <c r="R51" s="72">
        <f>O51/L51</f>
        <v>0.99466019417475915</v>
      </c>
      <c r="S51" s="719"/>
      <c r="T51" s="21">
        <v>0.40138888888888902</v>
      </c>
      <c r="U51" s="19">
        <v>0.47291666666666665</v>
      </c>
      <c r="V51" s="30">
        <f t="shared" si="72"/>
        <v>8.0000000000002114</v>
      </c>
      <c r="W51" s="236">
        <f t="shared" si="29"/>
        <v>102.9999999999998</v>
      </c>
      <c r="X51" s="22"/>
      <c r="Y51" s="84"/>
      <c r="Z51" s="90"/>
      <c r="AA51" s="90"/>
      <c r="AB51" s="713"/>
      <c r="AC51" s="713"/>
      <c r="AD51" s="92"/>
      <c r="AE51" s="92"/>
      <c r="AF51" s="307">
        <f t="shared" si="69"/>
        <v>-8.5436893203852833</v>
      </c>
      <c r="AG51" s="72">
        <f t="shared" si="70"/>
        <v>0.99466019417475915</v>
      </c>
      <c r="AH51" s="725"/>
    </row>
    <row r="52" spans="1:34" ht="15" customHeight="1">
      <c r="A52" s="751"/>
      <c r="B52" s="75" t="s">
        <v>81</v>
      </c>
      <c r="C52" s="86"/>
      <c r="D52" s="59" t="s">
        <v>134</v>
      </c>
      <c r="E52" s="87"/>
      <c r="F52" s="75">
        <f>VLOOKUP(D52,廠價表!$C$1:$E$41,3,0)</f>
        <v>49.97</v>
      </c>
      <c r="G52" s="202">
        <v>2160</v>
      </c>
      <c r="H52" s="231">
        <f t="shared" ref="H52:H53" si="73">F52*G52</f>
        <v>107935.2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ref="L52:L53" si="74">K52/J52</f>
        <v>88.888888888888886</v>
      </c>
      <c r="M52" s="233">
        <v>18</v>
      </c>
      <c r="N52" s="234">
        <f t="shared" ref="N52:N53" si="75">G52/W52*60</f>
        <v>1561.4457831325535</v>
      </c>
      <c r="O52" s="235">
        <f t="shared" ref="O52:O53" si="76">N52/M52</f>
        <v>86.746987951808535</v>
      </c>
      <c r="P52" s="74">
        <f t="shared" ref="P52:P53" si="77">M52-J52</f>
        <v>0</v>
      </c>
      <c r="Q52" s="83">
        <f t="shared" ref="Q52:Q53" si="78">O52-L52</f>
        <v>-2.1419009370803508</v>
      </c>
      <c r="R52" s="72">
        <f t="shared" ref="R52:R53" si="79">O52/L52</f>
        <v>0.97590361445784601</v>
      </c>
      <c r="S52" s="719"/>
      <c r="T52" s="21">
        <v>0.530555555555556</v>
      </c>
      <c r="U52" s="21">
        <v>0.58819444444444402</v>
      </c>
      <c r="V52" s="30">
        <f t="shared" si="72"/>
        <v>83.000000000000668</v>
      </c>
      <c r="W52" s="236">
        <f t="shared" si="29"/>
        <v>82.999999999998749</v>
      </c>
      <c r="X52" s="22">
        <v>0.47916666666666702</v>
      </c>
      <c r="Y52" s="84">
        <v>0.52083333333333304</v>
      </c>
      <c r="Z52" s="90"/>
      <c r="AA52" s="90"/>
      <c r="AB52" s="713"/>
      <c r="AC52" s="713"/>
      <c r="AD52" s="92"/>
      <c r="AE52" s="92"/>
      <c r="AF52" s="307">
        <f t="shared" si="69"/>
        <v>-38.554216867446485</v>
      </c>
      <c r="AG52" s="72">
        <f t="shared" si="70"/>
        <v>0.9759036144578459</v>
      </c>
      <c r="AH52" s="725"/>
    </row>
    <row r="53" spans="1:34" ht="15" customHeight="1">
      <c r="A53" s="751"/>
      <c r="B53" s="101" t="s">
        <v>117</v>
      </c>
      <c r="C53" s="102"/>
      <c r="D53" s="103" t="s">
        <v>133</v>
      </c>
      <c r="E53" s="104"/>
      <c r="F53" s="75">
        <f>VLOOKUP(D53,廠價表!$C$1:$E$41,3,0)</f>
        <v>49.91</v>
      </c>
      <c r="G53" s="202">
        <v>795</v>
      </c>
      <c r="H53" s="231">
        <f t="shared" si="73"/>
        <v>39678.449999999997</v>
      </c>
      <c r="I53" s="232"/>
      <c r="J53" s="79">
        <f>VLOOKUP(D53,產線配置圖!$A$3:$C$39,2,0)</f>
        <v>17</v>
      </c>
      <c r="K53" s="80">
        <f>VLOOKUP(D53,產線配置圖!$A$3:$C$39,3,0)</f>
        <v>1565</v>
      </c>
      <c r="L53" s="81">
        <f t="shared" si="74"/>
        <v>92.058823529411768</v>
      </c>
      <c r="M53" s="108">
        <v>17</v>
      </c>
      <c r="N53" s="234">
        <f t="shared" si="75"/>
        <v>1538.7096774193365</v>
      </c>
      <c r="O53" s="235">
        <f t="shared" si="76"/>
        <v>90.512333965843325</v>
      </c>
      <c r="P53" s="74">
        <f t="shared" si="77"/>
        <v>0</v>
      </c>
      <c r="Q53" s="83">
        <f t="shared" si="78"/>
        <v>-1.5464895635684428</v>
      </c>
      <c r="R53" s="72">
        <f t="shared" si="79"/>
        <v>0.98320107183344185</v>
      </c>
      <c r="S53" s="719"/>
      <c r="T53" s="21">
        <v>0.594444444444444</v>
      </c>
      <c r="U53" s="21">
        <v>0.61597222222222203</v>
      </c>
      <c r="V53" s="30">
        <f t="shared" si="72"/>
        <v>8.999999999999968</v>
      </c>
      <c r="W53" s="236">
        <f t="shared" si="29"/>
        <v>31.000000000000369</v>
      </c>
      <c r="X53" s="30"/>
      <c r="Y53" s="151"/>
      <c r="Z53" s="90"/>
      <c r="AA53" s="90"/>
      <c r="AB53" s="713"/>
      <c r="AC53" s="713"/>
      <c r="AD53" s="92"/>
      <c r="AE53" s="92"/>
      <c r="AF53" s="307">
        <f t="shared" si="69"/>
        <v>-26.290322580663542</v>
      </c>
      <c r="AG53" s="72">
        <f t="shared" si="70"/>
        <v>0.98320107183344185</v>
      </c>
      <c r="AH53" s="725"/>
    </row>
    <row r="54" spans="1:34" ht="15" customHeight="1">
      <c r="A54" s="75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19"/>
      <c r="T54" s="21"/>
      <c r="U54" s="21"/>
      <c r="V54" s="30"/>
      <c r="W54" s="236">
        <f t="shared" si="29"/>
        <v>0</v>
      </c>
      <c r="X54" s="30"/>
      <c r="Y54" s="151"/>
      <c r="Z54" s="90"/>
      <c r="AA54" s="90"/>
      <c r="AB54" s="713"/>
      <c r="AC54" s="713"/>
      <c r="AD54" s="92"/>
      <c r="AE54" s="92"/>
      <c r="AF54" s="307"/>
      <c r="AG54" s="72"/>
      <c r="AH54" s="725"/>
    </row>
    <row r="55" spans="1:34" ht="15" customHeight="1">
      <c r="A55" s="75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19"/>
      <c r="T55" s="21"/>
      <c r="U55" s="21"/>
      <c r="V55" s="237"/>
      <c r="W55" s="236">
        <f t="shared" si="29"/>
        <v>0</v>
      </c>
      <c r="X55" s="30"/>
      <c r="Y55" s="151"/>
      <c r="Z55" s="90"/>
      <c r="AA55" s="90"/>
      <c r="AB55" s="713"/>
      <c r="AC55" s="713"/>
      <c r="AD55" s="92"/>
      <c r="AE55" s="92"/>
      <c r="AF55" s="307"/>
      <c r="AG55" s="72"/>
      <c r="AH55" s="725"/>
    </row>
    <row r="56" spans="1:34" ht="15" customHeight="1">
      <c r="A56" s="75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19"/>
      <c r="T56" s="21"/>
      <c r="U56" s="21"/>
      <c r="V56" s="237"/>
      <c r="W56" s="236">
        <f t="shared" si="29"/>
        <v>0</v>
      </c>
      <c r="X56" s="30"/>
      <c r="Y56" s="151"/>
      <c r="Z56" s="90"/>
      <c r="AA56" s="90"/>
      <c r="AB56" s="713"/>
      <c r="AC56" s="713"/>
      <c r="AD56" s="92"/>
      <c r="AE56" s="92"/>
      <c r="AF56" s="307"/>
      <c r="AG56" s="72"/>
      <c r="AH56" s="725"/>
    </row>
    <row r="57" spans="1:34" ht="15" customHeight="1">
      <c r="A57" s="75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19"/>
      <c r="T57" s="114"/>
      <c r="U57" s="114"/>
      <c r="V57" s="237"/>
      <c r="W57" s="236">
        <f t="shared" si="29"/>
        <v>0</v>
      </c>
      <c r="X57" s="30"/>
      <c r="Y57" s="151"/>
      <c r="Z57" s="90"/>
      <c r="AA57" s="90"/>
      <c r="AB57" s="713"/>
      <c r="AC57" s="713"/>
      <c r="AD57" s="92"/>
      <c r="AE57" s="92"/>
      <c r="AF57" s="307"/>
      <c r="AG57" s="72"/>
      <c r="AH57" s="725"/>
    </row>
    <row r="58" spans="1:34" ht="15" customHeight="1" thickBot="1">
      <c r="A58" s="752"/>
      <c r="B58" s="239"/>
      <c r="C58" s="153" t="s">
        <v>51</v>
      </c>
      <c r="D58" s="729" t="s">
        <v>42</v>
      </c>
      <c r="E58" s="729"/>
      <c r="F58" s="116"/>
      <c r="G58" s="240"/>
      <c r="H58" s="118"/>
      <c r="I58" s="117"/>
      <c r="J58" s="120">
        <f t="shared" ref="J58:O58" si="80">AVERAGE(J49:J57)</f>
        <v>17</v>
      </c>
      <c r="K58" s="120">
        <f t="shared" si="80"/>
        <v>1554</v>
      </c>
      <c r="L58" s="117">
        <f t="shared" si="80"/>
        <v>91.92763772175536</v>
      </c>
      <c r="M58" s="120">
        <f t="shared" si="80"/>
        <v>17</v>
      </c>
      <c r="N58" s="120">
        <f t="shared" si="80"/>
        <v>1534.2314451553925</v>
      </c>
      <c r="O58" s="117">
        <f t="shared" si="80"/>
        <v>90.764582409840699</v>
      </c>
      <c r="P58" s="121">
        <f>M58-J58</f>
        <v>0</v>
      </c>
      <c r="Q58" s="122">
        <f>N58-K58</f>
        <v>-19.768554844607479</v>
      </c>
      <c r="R58" s="123">
        <f t="shared" ref="R58:R60" si="81">O58/L58</f>
        <v>0.98734814316196207</v>
      </c>
      <c r="S58" s="72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30"/>
      <c r="AC58" s="730"/>
      <c r="AD58" s="323">
        <f>SUM(AD49:AD57)</f>
        <v>0</v>
      </c>
      <c r="AE58" s="323">
        <f>SUM(AE49:AE57)</f>
        <v>0</v>
      </c>
      <c r="AF58" s="309">
        <f t="shared" ref="AF58:AF61" si="82">N58-K58</f>
        <v>-19.768554844607479</v>
      </c>
      <c r="AG58" s="124">
        <f t="shared" ref="AG58:AG61" si="83">N58/K58</f>
        <v>0.98727892223641733</v>
      </c>
      <c r="AH58" s="727"/>
    </row>
    <row r="59" spans="1:34" ht="15" customHeight="1">
      <c r="A59" s="764" t="s">
        <v>52</v>
      </c>
      <c r="B59" s="129" t="s">
        <v>135</v>
      </c>
      <c r="C59" s="130"/>
      <c r="D59" s="131" t="s">
        <v>136</v>
      </c>
      <c r="E59" s="132"/>
      <c r="F59" s="129">
        <f>VLOOKUP(D59,廠價表!$C$1:$E$41,3,0)</f>
        <v>26.99</v>
      </c>
      <c r="G59" s="55">
        <v>3101</v>
      </c>
      <c r="H59" s="243">
        <f>F59*G59</f>
        <v>83695.989999999991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84">K59/J59</f>
        <v>120.38461538461539</v>
      </c>
      <c r="M59" s="244">
        <v>13</v>
      </c>
      <c r="N59" s="137">
        <f t="shared" ref="N59:N61" si="85">G59/W59*60</f>
        <v>1431.2307692307825</v>
      </c>
      <c r="O59" s="138">
        <f t="shared" ref="O59:O61" si="86">N59/M59</f>
        <v>110.09467455621403</v>
      </c>
      <c r="P59" s="56">
        <f t="shared" ref="P59:P61" si="87">M59-J59</f>
        <v>0</v>
      </c>
      <c r="Q59" s="230">
        <f t="shared" ref="Q59:Q61" si="88">O59-L59</f>
        <v>-10.289940828401356</v>
      </c>
      <c r="R59" s="52">
        <f t="shared" si="81"/>
        <v>0.91452445318260855</v>
      </c>
      <c r="S59" s="718">
        <f>R69</f>
        <v>0.93493199250724002</v>
      </c>
      <c r="T59" s="245">
        <v>0.29166666666666702</v>
      </c>
      <c r="U59" s="245">
        <v>0.38194444444444398</v>
      </c>
      <c r="V59" s="55"/>
      <c r="W59" s="54">
        <f t="shared" si="29"/>
        <v>129.99999999999881</v>
      </c>
      <c r="X59" s="55"/>
      <c r="Y59" s="290"/>
      <c r="Z59" s="169"/>
      <c r="AA59" s="169"/>
      <c r="AB59" s="723"/>
      <c r="AC59" s="723"/>
      <c r="AD59" s="135"/>
      <c r="AE59" s="135"/>
      <c r="AF59" s="310">
        <f t="shared" si="82"/>
        <v>-133.76923076921753</v>
      </c>
      <c r="AG59" s="246">
        <f t="shared" si="83"/>
        <v>0.91452445318260855</v>
      </c>
      <c r="AH59" s="724">
        <f>AG69</f>
        <v>0.93440872226814686</v>
      </c>
    </row>
    <row r="60" spans="1:34" ht="15" customHeight="1">
      <c r="A60" s="765"/>
      <c r="B60" s="75" t="s">
        <v>135</v>
      </c>
      <c r="C60" s="86"/>
      <c r="D60" s="175" t="s">
        <v>138</v>
      </c>
      <c r="E60" s="87"/>
      <c r="F60" s="75">
        <f>VLOOKUP(D60,廠價表!$C$1:$E$41,3,0)</f>
        <v>28.26</v>
      </c>
      <c r="G60" s="30">
        <v>1494</v>
      </c>
      <c r="H60" s="78">
        <f>F60*G60</f>
        <v>42220.44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84"/>
        <v>130.41666666666666</v>
      </c>
      <c r="M60" s="82">
        <v>12</v>
      </c>
      <c r="N60" s="80">
        <f t="shared" si="85"/>
        <v>1493.9999999999873</v>
      </c>
      <c r="O60" s="81">
        <f t="shared" si="86"/>
        <v>124.49999999999893</v>
      </c>
      <c r="P60" s="74">
        <f t="shared" si="87"/>
        <v>0</v>
      </c>
      <c r="Q60" s="83">
        <f t="shared" si="88"/>
        <v>-5.916666666667723</v>
      </c>
      <c r="R60" s="72">
        <f t="shared" si="81"/>
        <v>0.95463258785941685</v>
      </c>
      <c r="S60" s="768"/>
      <c r="T60" s="22">
        <v>0.39236111111111099</v>
      </c>
      <c r="U60" s="22">
        <v>0.43402777777777801</v>
      </c>
      <c r="V60" s="30">
        <f t="shared" ref="V60:V61" si="89">(T60-U59)*24*60</f>
        <v>15.000000000000506</v>
      </c>
      <c r="W60" s="248">
        <f t="shared" si="29"/>
        <v>60.000000000000504</v>
      </c>
      <c r="X60" s="232"/>
      <c r="Y60" s="177"/>
      <c r="Z60" s="90"/>
      <c r="AA60" s="90"/>
      <c r="AB60" s="713"/>
      <c r="AC60" s="713"/>
      <c r="AD60" s="92"/>
      <c r="AE60" s="92"/>
      <c r="AF60" s="316">
        <f t="shared" si="82"/>
        <v>-71.000000000012733</v>
      </c>
      <c r="AG60" s="249">
        <f t="shared" si="83"/>
        <v>0.95463258785941674</v>
      </c>
      <c r="AH60" s="759"/>
    </row>
    <row r="61" spans="1:34" ht="15" customHeight="1">
      <c r="A61" s="766"/>
      <c r="B61" s="250" t="s">
        <v>135</v>
      </c>
      <c r="C61" s="251"/>
      <c r="D61" s="252" t="s">
        <v>196</v>
      </c>
      <c r="E61" s="253"/>
      <c r="F61" s="250">
        <f>VLOOKUP(D61,廠價表!$C$1:$E$41,3,0)</f>
        <v>28.26</v>
      </c>
      <c r="G61" s="38">
        <v>2680</v>
      </c>
      <c r="H61" s="254">
        <f>F61*G61</f>
        <v>75736.800000000003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84"/>
        <v>130.41666666666666</v>
      </c>
      <c r="M61" s="108">
        <v>12</v>
      </c>
      <c r="N61" s="107">
        <f t="shared" si="85"/>
        <v>1461.8181818181806</v>
      </c>
      <c r="O61" s="238">
        <f t="shared" si="86"/>
        <v>121.81818181818171</v>
      </c>
      <c r="P61" s="111">
        <f t="shared" si="87"/>
        <v>0</v>
      </c>
      <c r="Q61" s="255">
        <f t="shared" si="88"/>
        <v>-8.5984848484849437</v>
      </c>
      <c r="R61" s="85">
        <f>O61/L61</f>
        <v>0.93406912576241574</v>
      </c>
      <c r="S61" s="719"/>
      <c r="T61" s="22">
        <v>0.44097222222222221</v>
      </c>
      <c r="U61" s="22">
        <v>0.51736111111111116</v>
      </c>
      <c r="V61" s="30">
        <f t="shared" si="89"/>
        <v>9.9999999999996447</v>
      </c>
      <c r="W61" s="256">
        <f t="shared" si="29"/>
        <v>110.00000000000009</v>
      </c>
      <c r="X61" s="22"/>
      <c r="Y61" s="84"/>
      <c r="Z61" s="90"/>
      <c r="AA61" s="90"/>
      <c r="AB61" s="713"/>
      <c r="AC61" s="713"/>
      <c r="AD61" s="92"/>
      <c r="AE61" s="92"/>
      <c r="AF61" s="317">
        <f t="shared" si="82"/>
        <v>-103.18181818181938</v>
      </c>
      <c r="AG61" s="247">
        <f t="shared" si="83"/>
        <v>0.93406912576241574</v>
      </c>
      <c r="AH61" s="725"/>
    </row>
    <row r="62" spans="1:34" ht="15" customHeight="1">
      <c r="A62" s="76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19"/>
      <c r="T62" s="22"/>
      <c r="U62" s="22"/>
      <c r="V62" s="30"/>
      <c r="W62" s="248">
        <f t="shared" si="29"/>
        <v>0</v>
      </c>
      <c r="X62" s="22">
        <v>0.50347222222222199</v>
      </c>
      <c r="Y62" s="84">
        <v>0.54513888888888895</v>
      </c>
      <c r="Z62" s="90"/>
      <c r="AA62" s="90"/>
      <c r="AB62" s="713"/>
      <c r="AC62" s="713"/>
      <c r="AD62" s="92"/>
      <c r="AE62" s="92"/>
      <c r="AF62" s="317">
        <f>N62-K62</f>
        <v>0</v>
      </c>
      <c r="AG62" s="247" t="e">
        <f>N62/K62</f>
        <v>#DIV/0!</v>
      </c>
      <c r="AH62" s="725"/>
    </row>
    <row r="63" spans="1:34" ht="15" customHeight="1">
      <c r="A63" s="76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19"/>
      <c r="T63" s="22"/>
      <c r="U63" s="22"/>
      <c r="V63" s="30"/>
      <c r="W63" s="248">
        <f t="shared" si="29"/>
        <v>0</v>
      </c>
      <c r="X63" s="261"/>
      <c r="Y63" s="291"/>
      <c r="Z63" s="335"/>
      <c r="AA63" s="335"/>
      <c r="AB63" s="713"/>
      <c r="AC63" s="713"/>
      <c r="AD63" s="92"/>
      <c r="AE63" s="92"/>
      <c r="AF63" s="317"/>
      <c r="AG63" s="247"/>
      <c r="AH63" s="725"/>
    </row>
    <row r="64" spans="1:34" ht="15" customHeight="1">
      <c r="A64" s="76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19"/>
      <c r="T64" s="22"/>
      <c r="U64" s="22"/>
      <c r="V64" s="30"/>
      <c r="W64" s="73">
        <f t="shared" si="29"/>
        <v>0</v>
      </c>
      <c r="X64" s="261"/>
      <c r="Y64" s="291"/>
      <c r="Z64" s="335"/>
      <c r="AA64" s="335"/>
      <c r="AB64" s="713"/>
      <c r="AC64" s="713"/>
      <c r="AD64" s="92"/>
      <c r="AE64" s="92"/>
      <c r="AF64" s="307"/>
      <c r="AG64" s="262"/>
      <c r="AH64" s="725"/>
    </row>
    <row r="65" spans="1:36" ht="15" customHeight="1">
      <c r="A65" s="76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19"/>
      <c r="T65" s="263"/>
      <c r="U65" s="263"/>
      <c r="V65" s="30"/>
      <c r="W65" s="73">
        <f t="shared" si="29"/>
        <v>0</v>
      </c>
      <c r="X65" s="261"/>
      <c r="Y65" s="291"/>
      <c r="Z65" s="335"/>
      <c r="AA65" s="335"/>
      <c r="AB65" s="713"/>
      <c r="AC65" s="713"/>
      <c r="AD65" s="92"/>
      <c r="AE65" s="92"/>
      <c r="AF65" s="307"/>
      <c r="AG65" s="262"/>
      <c r="AH65" s="725"/>
    </row>
    <row r="66" spans="1:36" ht="15" customHeight="1">
      <c r="A66" s="76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19"/>
      <c r="T66" s="263"/>
      <c r="U66" s="263"/>
      <c r="V66" s="30"/>
      <c r="W66" s="73">
        <f t="shared" si="29"/>
        <v>0</v>
      </c>
      <c r="X66" s="261"/>
      <c r="Y66" s="291"/>
      <c r="Z66" s="335"/>
      <c r="AA66" s="335"/>
      <c r="AB66" s="713"/>
      <c r="AC66" s="713"/>
      <c r="AD66" s="92"/>
      <c r="AE66" s="92"/>
      <c r="AF66" s="307"/>
      <c r="AG66" s="262"/>
      <c r="AH66" s="725"/>
    </row>
    <row r="67" spans="1:36" ht="15" customHeight="1">
      <c r="A67" s="76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19"/>
      <c r="T67" s="263"/>
      <c r="U67" s="263"/>
      <c r="V67" s="30"/>
      <c r="W67" s="73">
        <f t="shared" si="29"/>
        <v>0</v>
      </c>
      <c r="X67" s="261"/>
      <c r="Y67" s="291"/>
      <c r="Z67" s="335"/>
      <c r="AA67" s="335"/>
      <c r="AB67" s="713"/>
      <c r="AC67" s="713"/>
      <c r="AD67" s="92"/>
      <c r="AE67" s="92"/>
      <c r="AF67" s="307"/>
      <c r="AG67" s="262"/>
      <c r="AH67" s="725"/>
    </row>
    <row r="68" spans="1:36" ht="15" customHeight="1">
      <c r="A68" s="76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19"/>
      <c r="T68" s="263"/>
      <c r="U68" s="263"/>
      <c r="V68" s="30"/>
      <c r="W68" s="73">
        <f t="shared" si="29"/>
        <v>0</v>
      </c>
      <c r="X68" s="261"/>
      <c r="Y68" s="291"/>
      <c r="Z68" s="335"/>
      <c r="AA68" s="335"/>
      <c r="AB68" s="713" t="s">
        <v>53</v>
      </c>
      <c r="AC68" s="713"/>
      <c r="AD68" s="92"/>
      <c r="AE68" s="92"/>
      <c r="AF68" s="307"/>
      <c r="AG68" s="262"/>
      <c r="AH68" s="725"/>
    </row>
    <row r="69" spans="1:36" ht="15" customHeight="1" thickBot="1">
      <c r="A69" s="767"/>
      <c r="B69" s="239"/>
      <c r="C69" s="153" t="s">
        <v>54</v>
      </c>
      <c r="D69" s="729" t="s">
        <v>42</v>
      </c>
      <c r="E69" s="729"/>
      <c r="F69" s="116"/>
      <c r="G69" s="117"/>
      <c r="H69" s="118"/>
      <c r="I69" s="267"/>
      <c r="J69" s="240">
        <f t="shared" ref="J69:O69" si="90">AVERAGE(J59:J68)</f>
        <v>12.333333333333334</v>
      </c>
      <c r="K69" s="240">
        <f t="shared" si="90"/>
        <v>1565</v>
      </c>
      <c r="L69" s="268">
        <f t="shared" si="90"/>
        <v>127.07264957264958</v>
      </c>
      <c r="M69" s="240">
        <f t="shared" si="90"/>
        <v>12.333333333333334</v>
      </c>
      <c r="N69" s="240">
        <f t="shared" si="90"/>
        <v>1462.3496503496499</v>
      </c>
      <c r="O69" s="268">
        <f t="shared" si="90"/>
        <v>118.80428545813156</v>
      </c>
      <c r="P69" s="269">
        <f>M69-J69</f>
        <v>0</v>
      </c>
      <c r="Q69" s="222">
        <f>N69-K69</f>
        <v>-102.65034965035011</v>
      </c>
      <c r="R69" s="123">
        <f>O69/L69</f>
        <v>0.93493199250724002</v>
      </c>
      <c r="S69" s="72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30"/>
      <c r="AC69" s="730"/>
      <c r="AD69" s="323">
        <f>SUM(AD59:AD68)</f>
        <v>0</v>
      </c>
      <c r="AE69" s="323">
        <f>SUM(AE59:AE68)</f>
        <v>0</v>
      </c>
      <c r="AF69" s="309">
        <f>N69-K69</f>
        <v>-102.65034965035011</v>
      </c>
      <c r="AG69" s="124">
        <f>N69/K69</f>
        <v>0.93440872226814686</v>
      </c>
      <c r="AH69" s="727"/>
    </row>
    <row r="70" spans="1:36" ht="15" customHeight="1">
      <c r="A70" s="760" t="s">
        <v>55</v>
      </c>
      <c r="B70" s="129" t="s">
        <v>81</v>
      </c>
      <c r="C70" s="129"/>
      <c r="D70" s="131" t="s">
        <v>139</v>
      </c>
      <c r="E70" s="132"/>
      <c r="F70" s="129">
        <f>VLOOKUP(D70,廠價表!$C$1:$E$41,3,0)</f>
        <v>50.67</v>
      </c>
      <c r="G70" s="55">
        <v>2566</v>
      </c>
      <c r="H70" s="243">
        <f>F70*G70</f>
        <v>130019.22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1061.7931034482808</v>
      </c>
      <c r="O70" s="138">
        <f>N70/M70</f>
        <v>106.17931034482808</v>
      </c>
      <c r="P70" s="56">
        <f>M70-J70</f>
        <v>0</v>
      </c>
      <c r="Q70" s="230">
        <f>O70-L70</f>
        <v>-6.3206896551719183</v>
      </c>
      <c r="R70" s="52">
        <f>O70/L70</f>
        <v>0.94381609195402738</v>
      </c>
      <c r="S70" s="718">
        <f>R79</f>
        <v>0.94381609195402738</v>
      </c>
      <c r="T70" s="245">
        <v>0.33680555555555602</v>
      </c>
      <c r="U70" s="245">
        <v>0.4375</v>
      </c>
      <c r="V70" s="55"/>
      <c r="W70" s="54">
        <f t="shared" si="29"/>
        <v>144.99999999999932</v>
      </c>
      <c r="X70" s="270"/>
      <c r="Y70" s="292"/>
      <c r="Z70" s="169"/>
      <c r="AA70" s="169"/>
      <c r="AB70" s="723"/>
      <c r="AC70" s="723"/>
      <c r="AD70" s="135"/>
      <c r="AE70" s="135"/>
      <c r="AF70" s="310">
        <f>N70-K70</f>
        <v>-63.206896551719183</v>
      </c>
      <c r="AG70" s="246">
        <f>N70/K70</f>
        <v>0.94381609195402738</v>
      </c>
      <c r="AH70" s="724">
        <f>AG79</f>
        <v>0.94381609195402738</v>
      </c>
    </row>
    <row r="71" spans="1:36" ht="15" customHeight="1">
      <c r="A71" s="76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19"/>
      <c r="T71" s="22"/>
      <c r="U71" s="22"/>
      <c r="V71" s="30"/>
      <c r="W71" s="73">
        <f t="shared" si="29"/>
        <v>0</v>
      </c>
      <c r="X71" s="271"/>
      <c r="Y71" s="293"/>
      <c r="Z71" s="90"/>
      <c r="AA71" s="90"/>
      <c r="AB71" s="749"/>
      <c r="AC71" s="749"/>
      <c r="AD71" s="200"/>
      <c r="AE71" s="200"/>
      <c r="AF71" s="311">
        <v>-300.31249999999704</v>
      </c>
      <c r="AG71" s="99">
        <v>0.80810702875399554</v>
      </c>
      <c r="AH71" s="744"/>
    </row>
    <row r="72" spans="1:36" ht="15" customHeight="1">
      <c r="A72" s="76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19"/>
      <c r="T72" s="22"/>
      <c r="U72" s="22"/>
      <c r="V72" s="30"/>
      <c r="W72" s="73">
        <f t="shared" si="29"/>
        <v>0</v>
      </c>
      <c r="X72" s="272"/>
      <c r="Y72" s="288"/>
      <c r="Z72" s="90"/>
      <c r="AA72" s="90"/>
      <c r="AB72" s="713"/>
      <c r="AC72" s="713"/>
      <c r="AD72" s="92"/>
      <c r="AE72" s="92"/>
      <c r="AF72" s="311">
        <v>-130.33333333333326</v>
      </c>
      <c r="AG72" s="99">
        <v>0.91671991480298198</v>
      </c>
      <c r="AH72" s="744"/>
    </row>
    <row r="73" spans="1:36" ht="15" customHeight="1">
      <c r="A73" s="76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19"/>
      <c r="T73" s="22"/>
      <c r="U73" s="22"/>
      <c r="V73" s="30"/>
      <c r="W73" s="73">
        <f t="shared" si="29"/>
        <v>0</v>
      </c>
      <c r="X73" s="22"/>
      <c r="Y73" s="84"/>
      <c r="Z73" s="90"/>
      <c r="AA73" s="90"/>
      <c r="AB73" s="713"/>
      <c r="AC73" s="713"/>
      <c r="AD73" s="92"/>
      <c r="AE73" s="92"/>
      <c r="AF73" s="311"/>
      <c r="AG73" s="99"/>
      <c r="AH73" s="744"/>
    </row>
    <row r="74" spans="1:36" ht="15" customHeight="1">
      <c r="A74" s="76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19"/>
      <c r="T74" s="263"/>
      <c r="U74" s="263"/>
      <c r="V74" s="30"/>
      <c r="W74" s="73">
        <f t="shared" si="29"/>
        <v>0</v>
      </c>
      <c r="X74" s="22"/>
      <c r="Y74" s="84"/>
      <c r="Z74" s="90"/>
      <c r="AA74" s="90"/>
      <c r="AB74" s="713"/>
      <c r="AC74" s="713"/>
      <c r="AD74" s="92"/>
      <c r="AE74" s="92"/>
      <c r="AF74" s="311"/>
      <c r="AG74" s="99"/>
      <c r="AH74" s="744"/>
    </row>
    <row r="75" spans="1:36" ht="15" customHeight="1">
      <c r="A75" s="76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19"/>
      <c r="T75" s="263"/>
      <c r="U75" s="263"/>
      <c r="V75" s="30"/>
      <c r="W75" s="256">
        <f t="shared" si="29"/>
        <v>0</v>
      </c>
      <c r="X75" s="279"/>
      <c r="Y75" s="304"/>
      <c r="Z75" s="90"/>
      <c r="AA75" s="90"/>
      <c r="AB75" s="713"/>
      <c r="AC75" s="713"/>
      <c r="AD75" s="92"/>
      <c r="AE75" s="92"/>
      <c r="AF75" s="318"/>
      <c r="AG75" s="280"/>
      <c r="AH75" s="725"/>
    </row>
    <row r="76" spans="1:36" ht="15" customHeight="1">
      <c r="A76" s="76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20"/>
      <c r="T76" s="263"/>
      <c r="U76" s="263"/>
      <c r="V76" s="30"/>
      <c r="W76" s="248">
        <f t="shared" si="29"/>
        <v>0</v>
      </c>
      <c r="X76" s="235"/>
      <c r="Y76" s="305"/>
      <c r="Z76" s="90"/>
      <c r="AA76" s="90"/>
      <c r="AB76" s="713"/>
      <c r="AC76" s="713"/>
      <c r="AD76" s="92"/>
      <c r="AE76" s="92"/>
      <c r="AF76" s="317"/>
      <c r="AG76" s="247"/>
      <c r="AH76" s="726"/>
    </row>
    <row r="77" spans="1:36" ht="15" customHeight="1">
      <c r="A77" s="761"/>
      <c r="B77" s="101"/>
      <c r="C77" s="102"/>
      <c r="D77" s="103"/>
      <c r="E77" s="104"/>
      <c r="F77" s="105"/>
      <c r="G77" s="30"/>
      <c r="H77" s="78">
        <f t="shared" ref="H75:H78" si="91"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20"/>
      <c r="T77" s="263"/>
      <c r="U77" s="263"/>
      <c r="V77" s="30"/>
      <c r="W77" s="73">
        <f t="shared" si="29"/>
        <v>0</v>
      </c>
      <c r="X77" s="261"/>
      <c r="Y77" s="291"/>
      <c r="Z77" s="335"/>
      <c r="AA77" s="335"/>
      <c r="AB77" s="713"/>
      <c r="AC77" s="713"/>
      <c r="AD77" s="92"/>
      <c r="AE77" s="92"/>
      <c r="AF77" s="307"/>
      <c r="AG77" s="262"/>
      <c r="AH77" s="726"/>
    </row>
    <row r="78" spans="1:36" ht="15" customHeight="1">
      <c r="A78" s="761"/>
      <c r="B78" s="101"/>
      <c r="C78" s="102"/>
      <c r="D78" s="103"/>
      <c r="E78" s="104"/>
      <c r="F78" s="105"/>
      <c r="G78" s="30"/>
      <c r="H78" s="78">
        <f t="shared" si="91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63"/>
      <c r="T78" s="109"/>
      <c r="U78" s="109"/>
      <c r="V78" s="38"/>
      <c r="W78" s="73">
        <f t="shared" si="29"/>
        <v>0</v>
      </c>
      <c r="X78" s="281"/>
      <c r="Y78" s="306"/>
      <c r="Z78" s="335"/>
      <c r="AA78" s="335"/>
      <c r="AB78" s="713"/>
      <c r="AC78" s="713"/>
      <c r="AD78" s="92"/>
      <c r="AE78" s="92"/>
      <c r="AF78" s="308"/>
      <c r="AG78" s="112"/>
      <c r="AH78" s="726"/>
    </row>
    <row r="79" spans="1:36" ht="15" customHeight="1" thickBot="1">
      <c r="A79" s="762"/>
      <c r="B79" s="239"/>
      <c r="C79" s="153" t="s">
        <v>56</v>
      </c>
      <c r="D79" s="729" t="s">
        <v>42</v>
      </c>
      <c r="E79" s="729"/>
      <c r="F79" s="116"/>
      <c r="G79" s="117"/>
      <c r="H79" s="282"/>
      <c r="I79" s="268"/>
      <c r="J79" s="240">
        <f t="shared" ref="J79:O79" si="92">AVERAGE(J70:J78)</f>
        <v>10</v>
      </c>
      <c r="K79" s="240">
        <f t="shared" si="92"/>
        <v>1125</v>
      </c>
      <c r="L79" s="268">
        <f t="shared" si="92"/>
        <v>112.5</v>
      </c>
      <c r="M79" s="240">
        <f t="shared" si="92"/>
        <v>10</v>
      </c>
      <c r="N79" s="240">
        <f t="shared" si="92"/>
        <v>1061.7931034482808</v>
      </c>
      <c r="O79" s="268">
        <f t="shared" si="92"/>
        <v>106.17931034482808</v>
      </c>
      <c r="P79" s="269">
        <f>M79-J79</f>
        <v>0</v>
      </c>
      <c r="Q79" s="222">
        <f>N79-K79</f>
        <v>-63.206896551719183</v>
      </c>
      <c r="R79" s="223">
        <f>O79/L79</f>
        <v>0.94381609195402738</v>
      </c>
      <c r="S79" s="72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30"/>
      <c r="AC79" s="730"/>
      <c r="AD79" s="323">
        <f>SUM(AD70:AD78)</f>
        <v>0</v>
      </c>
      <c r="AE79" s="323">
        <f>SUM(AE70:AE78)</f>
        <v>0</v>
      </c>
      <c r="AF79" s="309">
        <f>N79-K79</f>
        <v>-63.206896551719183</v>
      </c>
      <c r="AG79" s="124">
        <f>N79/K79</f>
        <v>0.94381609195402738</v>
      </c>
      <c r="AH79" s="72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3" type="noConversion"/>
  <conditionalFormatting sqref="P5:P79">
    <cfRule type="cellIs" dxfId="8" priority="1" operator="greaterThan">
      <formula>0</formula>
    </cfRule>
  </conditionalFormatting>
  <conditionalFormatting sqref="AF5:AF79 Q5:Q79">
    <cfRule type="cellIs" dxfId="7" priority="4" operator="lessThan">
      <formula>0</formula>
    </cfRule>
  </conditionalFormatting>
  <conditionalFormatting sqref="AG5:AG79 R5:R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4AAE0A-E7F5-481E-8C87-3560D00BD13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518B9D-C849-488F-93BC-D623C424F308}"/>
</file>

<file path=customXml/itemProps2.xml><?xml version="1.0" encoding="utf-8"?>
<ds:datastoreItem xmlns:ds="http://schemas.openxmlformats.org/officeDocument/2006/customXml" ds:itemID="{BFAFC5E4-97B8-426C-BBD1-396F37C4F2D5}"/>
</file>

<file path=customXml/itemProps3.xml><?xml version="1.0" encoding="utf-8"?>
<ds:datastoreItem xmlns:ds="http://schemas.openxmlformats.org/officeDocument/2006/customXml" ds:itemID="{55803C13-876E-425E-9E18-4620FDA39A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0101總</vt:lpstr>
      <vt:lpstr>0101</vt:lpstr>
      <vt:lpstr>0102總</vt:lpstr>
      <vt:lpstr>0102</vt:lpstr>
      <vt:lpstr>0103總</vt:lpstr>
      <vt:lpstr>0103</vt:lpstr>
      <vt:lpstr>0104總</vt:lpstr>
      <vt:lpstr>0104</vt:lpstr>
      <vt:lpstr>0105總</vt:lpstr>
      <vt:lpstr>0105</vt:lpstr>
      <vt:lpstr>0106總</vt:lpstr>
      <vt:lpstr>0106</vt:lpstr>
      <vt:lpstr>0107總</vt:lpstr>
      <vt:lpstr>0107</vt:lpstr>
      <vt:lpstr>0108總</vt:lpstr>
      <vt:lpstr>0108</vt:lpstr>
      <vt:lpstr>0109總</vt:lpstr>
      <vt:lpstr>0109</vt:lpstr>
      <vt:lpstr>0110總</vt:lpstr>
      <vt:lpstr>0110</vt:lpstr>
      <vt:lpstr>0111總</vt:lpstr>
      <vt:lpstr>0111</vt:lpstr>
      <vt:lpstr>0112總</vt:lpstr>
      <vt:lpstr>0112</vt:lpstr>
      <vt:lpstr>0113總</vt:lpstr>
      <vt:lpstr>0113</vt:lpstr>
      <vt:lpstr>0114總</vt:lpstr>
      <vt:lpstr>0114</vt:lpstr>
      <vt:lpstr>0115總</vt:lpstr>
      <vt:lpstr>0115</vt:lpstr>
      <vt:lpstr>0116總</vt:lpstr>
      <vt:lpstr>0116</vt:lpstr>
      <vt:lpstr>0117總</vt:lpstr>
      <vt:lpstr>0117</vt:lpstr>
      <vt:lpstr>0118總</vt:lpstr>
      <vt:lpstr>0118</vt:lpstr>
      <vt:lpstr>0119總</vt:lpstr>
      <vt:lpstr>0119</vt:lpstr>
      <vt:lpstr>0120總</vt:lpstr>
      <vt:lpstr>0120</vt:lpstr>
      <vt:lpstr>0121總</vt:lpstr>
      <vt:lpstr>0121</vt:lpstr>
      <vt:lpstr>0122總</vt:lpstr>
      <vt:lpstr>0122</vt:lpstr>
      <vt:lpstr>0123總</vt:lpstr>
      <vt:lpstr>0123</vt:lpstr>
      <vt:lpstr>0124總</vt:lpstr>
      <vt:lpstr>0124</vt:lpstr>
      <vt:lpstr>0125總</vt:lpstr>
      <vt:lpstr>0125</vt:lpstr>
      <vt:lpstr>0126總 </vt:lpstr>
      <vt:lpstr>0126</vt:lpstr>
      <vt:lpstr>0127總</vt:lpstr>
      <vt:lpstr>0127</vt:lpstr>
      <vt:lpstr>0128總</vt:lpstr>
      <vt:lpstr>0128</vt:lpstr>
      <vt:lpstr>0129總 </vt:lpstr>
      <vt:lpstr>0129</vt:lpstr>
      <vt:lpstr>0130總</vt:lpstr>
      <vt:lpstr>0130</vt:lpstr>
      <vt:lpstr>0131總</vt:lpstr>
      <vt:lpstr>0131</vt:lpstr>
      <vt:lpstr>'0101'!_FilterDatabase</vt:lpstr>
      <vt:lpstr>'0101總'!_FilterDatabase</vt:lpstr>
      <vt:lpstr>'0102'!_FilterDatabase</vt:lpstr>
      <vt:lpstr>'0102總'!_FilterDatabase</vt:lpstr>
      <vt:lpstr>'0103'!_FilterDatabase</vt:lpstr>
      <vt:lpstr>'0103總'!_FilterDatabase</vt:lpstr>
      <vt:lpstr>'0104'!_FilterDatabase</vt:lpstr>
      <vt:lpstr>'0104總'!_FilterDatabase</vt:lpstr>
      <vt:lpstr>'0105'!_FilterDatabase</vt:lpstr>
      <vt:lpstr>'0105總'!_FilterDatabase</vt:lpstr>
      <vt:lpstr>'0106'!_FilterDatabase</vt:lpstr>
      <vt:lpstr>'0106總'!_FilterDatabase</vt:lpstr>
      <vt:lpstr>'0107'!_FilterDatabase</vt:lpstr>
      <vt:lpstr>'0107總'!_FilterDatabase</vt:lpstr>
      <vt:lpstr>'0108'!_FilterDatabase</vt:lpstr>
      <vt:lpstr>'0108總'!_FilterDatabase</vt:lpstr>
      <vt:lpstr>'0109'!_FilterDatabase</vt:lpstr>
      <vt:lpstr>'0109總'!_FilterDatabase</vt:lpstr>
      <vt:lpstr>'0110'!_FilterDatabase</vt:lpstr>
      <vt:lpstr>'0110總'!_FilterDatabase</vt:lpstr>
      <vt:lpstr>'0111'!_FilterDatabase</vt:lpstr>
      <vt:lpstr>'0111總'!_FilterDatabase</vt:lpstr>
      <vt:lpstr>'0112'!_FilterDatabase</vt:lpstr>
      <vt:lpstr>'0112總'!_FilterDatabase</vt:lpstr>
      <vt:lpstr>'0113'!_FilterDatabase</vt:lpstr>
      <vt:lpstr>'0113總'!_FilterDatabase</vt:lpstr>
      <vt:lpstr>'0114'!_FilterDatabase</vt:lpstr>
      <vt:lpstr>'0114總'!_FilterDatabase</vt:lpstr>
      <vt:lpstr>'0115'!_FilterDatabase</vt:lpstr>
      <vt:lpstr>'0115總'!_FilterDatabase</vt:lpstr>
      <vt:lpstr>'0116'!_FilterDatabase</vt:lpstr>
      <vt:lpstr>'0116總'!_FilterDatabase</vt:lpstr>
      <vt:lpstr>'0117'!_FilterDatabase</vt:lpstr>
      <vt:lpstr>'0117總'!_FilterDatabase</vt:lpstr>
      <vt:lpstr>'0118'!_FilterDatabase</vt:lpstr>
      <vt:lpstr>'0118總'!_FilterDatabase</vt:lpstr>
      <vt:lpstr>'0119'!_FilterDatabase</vt:lpstr>
      <vt:lpstr>'0119總'!_FilterDatabase</vt:lpstr>
      <vt:lpstr>'0120'!_FilterDatabase</vt:lpstr>
      <vt:lpstr>'0120總'!_FilterDatabase</vt:lpstr>
      <vt:lpstr>'0121'!_FilterDatabase</vt:lpstr>
      <vt:lpstr>'0121總'!_FilterDatabase</vt:lpstr>
      <vt:lpstr>'0122'!_FilterDatabase</vt:lpstr>
      <vt:lpstr>'0122總'!_FilterDatabase</vt:lpstr>
      <vt:lpstr>'0123'!_FilterDatabase</vt:lpstr>
      <vt:lpstr>'0123總'!_FilterDatabase</vt:lpstr>
      <vt:lpstr>'0124'!_FilterDatabase</vt:lpstr>
      <vt:lpstr>'0124總'!_FilterDatabase</vt:lpstr>
      <vt:lpstr>'0125'!_FilterDatabase</vt:lpstr>
      <vt:lpstr>'0125總'!_FilterDatabase</vt:lpstr>
      <vt:lpstr>'0126'!_FilterDatabase</vt:lpstr>
      <vt:lpstr>'0126總 '!_FilterDatabase</vt:lpstr>
      <vt:lpstr>'0127'!_FilterDatabase</vt:lpstr>
      <vt:lpstr>'0127總'!_FilterDatabase</vt:lpstr>
      <vt:lpstr>'0128'!_FilterDatabase</vt:lpstr>
      <vt:lpstr>'0128總'!_FilterDatabase</vt:lpstr>
      <vt:lpstr>'0129'!_FilterDatabase</vt:lpstr>
      <vt:lpstr>'0129總 '!_FilterDatabase</vt:lpstr>
      <vt:lpstr>'0130'!_FilterDatabase</vt:lpstr>
      <vt:lpstr>'0130總'!_FilterDatabase</vt:lpstr>
      <vt:lpstr>'0131'!_FilterDatabase</vt:lpstr>
      <vt:lpstr>'0131總'!_FilterDatabase</vt:lpstr>
      <vt:lpstr>'0101'!Print_Area</vt:lpstr>
      <vt:lpstr>'0102'!Print_Area</vt:lpstr>
      <vt:lpstr>'0103'!Print_Area</vt:lpstr>
      <vt:lpstr>'0104'!Print_Area</vt:lpstr>
      <vt:lpstr>'0105'!Print_Area</vt:lpstr>
      <vt:lpstr>'0106'!Print_Area</vt:lpstr>
      <vt:lpstr>'0107'!Print_Area</vt:lpstr>
      <vt:lpstr>'0108'!Print_Area</vt:lpstr>
      <vt:lpstr>'0109'!Print_Area</vt:lpstr>
      <vt:lpstr>'0110'!Print_Area</vt:lpstr>
      <vt:lpstr>'0111'!Print_Area</vt:lpstr>
      <vt:lpstr>'0112'!Print_Area</vt:lpstr>
      <vt:lpstr>'0113'!Print_Area</vt:lpstr>
      <vt:lpstr>'0114'!Print_Area</vt:lpstr>
      <vt:lpstr>'0115'!Print_Area</vt:lpstr>
      <vt:lpstr>'0116'!Print_Area</vt:lpstr>
      <vt:lpstr>'0117'!Print_Area</vt:lpstr>
      <vt:lpstr>'0118'!Print_Area</vt:lpstr>
      <vt:lpstr>'0119'!Print_Area</vt:lpstr>
      <vt:lpstr>'0120'!Print_Area</vt:lpstr>
      <vt:lpstr>'0121'!Print_Area</vt:lpstr>
      <vt:lpstr>'0122'!Print_Area</vt:lpstr>
      <vt:lpstr>'0123'!Print_Area</vt:lpstr>
      <vt:lpstr>'0124'!Print_Area</vt:lpstr>
      <vt:lpstr>'0125'!Print_Area</vt:lpstr>
      <vt:lpstr>'0126'!Print_Area</vt:lpstr>
      <vt:lpstr>'0127'!Print_Area</vt:lpstr>
      <vt:lpstr>'0128'!Print_Area</vt:lpstr>
      <vt:lpstr>'0129'!Print_Area</vt:lpstr>
      <vt:lpstr>'0130'!Print_Area</vt:lpstr>
      <vt:lpstr>'0131'!Print_Area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2026-02-01T04:01:15Z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