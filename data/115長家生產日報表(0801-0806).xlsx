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13_ncr:1_{24750C81-0D2B-4EB3-866F-1A1F621B323B}" xr6:coauthVersionLast="47" xr6:coauthVersionMax="47" xr10:uidLastSave="{00000000-0000-0000-0000-000000000000}"/>
  <bookViews>
    <workbookView xWindow="-120" yWindow="-120" windowWidth="29040" windowHeight="15720" tabRatio="826" firstSheet="7" activeTab="14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801總" sheetId="68" r:id="rId5"/>
    <sheet name="0801" sheetId="69" r:id="rId6"/>
    <sheet name="0802總" sheetId="70" r:id="rId7"/>
    <sheet name="0802" sheetId="71" r:id="rId8"/>
    <sheet name="0803總" sheetId="72" r:id="rId9"/>
    <sheet name="0803" sheetId="73" r:id="rId10"/>
    <sheet name="0804總" sheetId="12" r:id="rId11"/>
    <sheet name="0804" sheetId="13" r:id="rId12"/>
    <sheet name="0805總" sheetId="14" r:id="rId13"/>
    <sheet name="0805" sheetId="15" r:id="rId14"/>
    <sheet name="0806總" sheetId="16" r:id="rId15"/>
    <sheet name="0806" sheetId="17" r:id="rId16"/>
    <sheet name="0807總" sheetId="18" r:id="rId17"/>
    <sheet name="0807" sheetId="19" r:id="rId18"/>
    <sheet name="0808總" sheetId="20" r:id="rId19"/>
    <sheet name="0808" sheetId="21" r:id="rId20"/>
    <sheet name="0809總" sheetId="22" r:id="rId21"/>
    <sheet name="0809" sheetId="23" r:id="rId22"/>
    <sheet name="0810總" sheetId="24" r:id="rId23"/>
    <sheet name="0810" sheetId="25" r:id="rId24"/>
    <sheet name="0811總" sheetId="26" r:id="rId25"/>
    <sheet name="0811" sheetId="27" r:id="rId26"/>
    <sheet name="0812總" sheetId="28" r:id="rId27"/>
    <sheet name="0812" sheetId="29" r:id="rId28"/>
    <sheet name="0813總" sheetId="30" r:id="rId29"/>
    <sheet name="0813" sheetId="31" r:id="rId30"/>
    <sheet name="0814總" sheetId="32" r:id="rId31"/>
    <sheet name="0814" sheetId="33" r:id="rId32"/>
    <sheet name="0815總" sheetId="34" r:id="rId33"/>
    <sheet name="0815" sheetId="35" r:id="rId34"/>
    <sheet name="0816總" sheetId="36" r:id="rId35"/>
    <sheet name="0816" sheetId="37" r:id="rId36"/>
    <sheet name="0817總" sheetId="38" r:id="rId37"/>
    <sheet name="0817" sheetId="39" r:id="rId38"/>
    <sheet name="0818總" sheetId="40" r:id="rId39"/>
    <sheet name="0818" sheetId="41" r:id="rId40"/>
    <sheet name="0819總" sheetId="42" r:id="rId41"/>
    <sheet name="0819" sheetId="43" r:id="rId42"/>
    <sheet name="0820總" sheetId="44" r:id="rId43"/>
    <sheet name="0820" sheetId="45" r:id="rId44"/>
    <sheet name="0821總" sheetId="46" r:id="rId45"/>
    <sheet name="0821" sheetId="47" r:id="rId46"/>
    <sheet name="0822總" sheetId="48" r:id="rId47"/>
    <sheet name="0822" sheetId="49" r:id="rId48"/>
    <sheet name="0823總" sheetId="50" r:id="rId49"/>
    <sheet name="0823" sheetId="51" r:id="rId50"/>
    <sheet name="0824總" sheetId="52" r:id="rId51"/>
    <sheet name="0824" sheetId="53" r:id="rId52"/>
    <sheet name="0825總" sheetId="54" r:id="rId53"/>
    <sheet name="0825" sheetId="55" r:id="rId54"/>
    <sheet name="0826總" sheetId="56" r:id="rId55"/>
    <sheet name="0826" sheetId="57" r:id="rId56"/>
    <sheet name="0827總" sheetId="58" r:id="rId57"/>
    <sheet name="0827" sheetId="59" r:id="rId58"/>
    <sheet name="0828總" sheetId="60" r:id="rId59"/>
    <sheet name="0828" sheetId="61" r:id="rId60"/>
    <sheet name="0829總" sheetId="62" r:id="rId61"/>
    <sheet name="0829" sheetId="63" r:id="rId62"/>
    <sheet name="0830總" sheetId="64" r:id="rId63"/>
    <sheet name="0830" sheetId="65" r:id="rId64"/>
    <sheet name="0831總" sheetId="66" r:id="rId65"/>
    <sheet name="0831" sheetId="67" r:id="rId66"/>
  </sheets>
  <externalReferences>
    <externalReference r:id="rId67"/>
  </externalReferences>
  <definedNames>
    <definedName name="_xlnm._FilterDatabase" localSheetId="5">'0801'!$A$4:$AJ$79</definedName>
    <definedName name="_xlnm._FilterDatabase" localSheetId="4">'0801總'!$B$10:$J$25</definedName>
    <definedName name="_xlnm._FilterDatabase" localSheetId="7">'0802'!$A$4:$AJ$79</definedName>
    <definedName name="_xlnm._FilterDatabase" localSheetId="6">'0802總'!$B$10:$J$25</definedName>
    <definedName name="_xlnm._FilterDatabase" localSheetId="9">'0803'!$A$4:$AJ$79</definedName>
    <definedName name="_xlnm._FilterDatabase" localSheetId="8">'0803總'!$B$10:$J$25</definedName>
    <definedName name="_xlnm._FilterDatabase" localSheetId="11">'0804'!$A$4:$AJ$79</definedName>
    <definedName name="_xlnm._FilterDatabase" localSheetId="10">'0804總'!$B$10:$J$25</definedName>
    <definedName name="_xlnm._FilterDatabase" localSheetId="13">'0805'!$A$4:$AJ$79</definedName>
    <definedName name="_xlnm._FilterDatabase" localSheetId="12">'0805總'!$B$10:$J$25</definedName>
    <definedName name="_xlnm._FilterDatabase" localSheetId="15">'0806'!$A$4:$AJ$79</definedName>
    <definedName name="_xlnm._FilterDatabase" localSheetId="14">'0806總'!$B$10:$J$25</definedName>
    <definedName name="_xlnm._FilterDatabase" localSheetId="17">'0807'!$A$4:$AJ$79</definedName>
    <definedName name="_xlnm._FilterDatabase" localSheetId="16">'0807總'!$B$10:$J$25</definedName>
    <definedName name="_xlnm._FilterDatabase" localSheetId="19">'0808'!$A$4:$AJ$79</definedName>
    <definedName name="_xlnm._FilterDatabase" localSheetId="18">'0808總'!$B$10:$J$25</definedName>
    <definedName name="_xlnm._FilterDatabase" localSheetId="21">'0809'!$A$4:$AJ$79</definedName>
    <definedName name="_xlnm._FilterDatabase" localSheetId="20">'0809總'!$B$10:$J$25</definedName>
    <definedName name="_xlnm._FilterDatabase" localSheetId="23">'0810'!$A$4:$AJ$79</definedName>
    <definedName name="_xlnm._FilterDatabase" localSheetId="22">'0810總'!$B$10:$J$25</definedName>
    <definedName name="_xlnm._FilterDatabase" localSheetId="25">'0811'!$A$4:$AJ$79</definedName>
    <definedName name="_xlnm._FilterDatabase" localSheetId="24">'0811總'!$B$10:$J$25</definedName>
    <definedName name="_xlnm._FilterDatabase" localSheetId="27">'0812'!$A$4:$AJ$79</definedName>
    <definedName name="_xlnm._FilterDatabase" localSheetId="26">'0812總'!$B$10:$J$25</definedName>
    <definedName name="_xlnm._FilterDatabase" localSheetId="29">'0813'!$A$4:$AJ$79</definedName>
    <definedName name="_xlnm._FilterDatabase" localSheetId="28">'0813總'!$B$10:$J$25</definedName>
    <definedName name="_xlnm._FilterDatabase" localSheetId="31">'0814'!$A$4:$AJ$79</definedName>
    <definedName name="_xlnm._FilterDatabase" localSheetId="30">'0814總'!$B$10:$J$25</definedName>
    <definedName name="_xlnm._FilterDatabase" localSheetId="33">'0815'!$A$4:$AJ$79</definedName>
    <definedName name="_xlnm._FilterDatabase" localSheetId="32">'0815總'!$B$10:$J$25</definedName>
    <definedName name="_xlnm._FilterDatabase" localSheetId="35">'0816'!$A$4:$AJ$79</definedName>
    <definedName name="_xlnm._FilterDatabase" localSheetId="34">'0816總'!$B$10:$J$25</definedName>
    <definedName name="_xlnm._FilterDatabase" localSheetId="37">'0817'!$A$4:$AJ$79</definedName>
    <definedName name="_xlnm._FilterDatabase" localSheetId="36">'0817總'!$B$10:$J$25</definedName>
    <definedName name="_xlnm._FilterDatabase" localSheetId="39">'0818'!$A$4:$AJ$79</definedName>
    <definedName name="_xlnm._FilterDatabase" localSheetId="38">'0818總'!$B$10:$J$25</definedName>
    <definedName name="_xlnm._FilterDatabase" localSheetId="41">'0819'!$A$4:$AJ$79</definedName>
    <definedName name="_xlnm._FilterDatabase" localSheetId="40">'0819總'!$B$10:$J$25</definedName>
    <definedName name="_xlnm._FilterDatabase" localSheetId="43">'0820'!$A$4:$AJ$79</definedName>
    <definedName name="_xlnm._FilterDatabase" localSheetId="42">'0820總'!$B$10:$J$25</definedName>
    <definedName name="_xlnm._FilterDatabase" localSheetId="45">'0821'!$A$4:$AJ$79</definedName>
    <definedName name="_xlnm._FilterDatabase" localSheetId="44">'0821總'!$B$10:$J$25</definedName>
    <definedName name="_xlnm._FilterDatabase" localSheetId="47">'0822'!$A$4:$AJ$79</definedName>
    <definedName name="_xlnm._FilterDatabase" localSheetId="46">'0822總'!$B$10:$J$25</definedName>
    <definedName name="_xlnm._FilterDatabase" localSheetId="49">'0823'!$A$4:$AJ$79</definedName>
    <definedName name="_xlnm._FilterDatabase" localSheetId="48">'0823總'!$B$10:$J$25</definedName>
    <definedName name="_xlnm._FilterDatabase" localSheetId="51">'0824'!$A$4:$AJ$79</definedName>
    <definedName name="_xlnm._FilterDatabase" localSheetId="50">'0824總'!$B$10:$J$25</definedName>
    <definedName name="_xlnm._FilterDatabase" localSheetId="53">'0825'!$A$4:$AJ$79</definedName>
    <definedName name="_xlnm._FilterDatabase" localSheetId="52">'0825總'!$B$10:$J$25</definedName>
    <definedName name="_xlnm._FilterDatabase" localSheetId="55">'0826'!$A$4:$AJ$79</definedName>
    <definedName name="_xlnm._FilterDatabase" localSheetId="54">'0826總'!$B$10:$J$25</definedName>
    <definedName name="_xlnm._FilterDatabase" localSheetId="57">'0827'!$A$4:$AJ$79</definedName>
    <definedName name="_xlnm._FilterDatabase" localSheetId="56">'0827總'!$B$10:$J$25</definedName>
    <definedName name="_xlnm._FilterDatabase" localSheetId="59">'0828'!$A$4:$AJ$79</definedName>
    <definedName name="_xlnm._FilterDatabase" localSheetId="58">'0828總'!$B$10:$J$25</definedName>
    <definedName name="_xlnm._FilterDatabase" localSheetId="61">'0829'!$A$4:$AJ$79</definedName>
    <definedName name="_xlnm._FilterDatabase" localSheetId="60">'0829總'!$B$10:$J$25</definedName>
    <definedName name="_xlnm._FilterDatabase" localSheetId="63">'0830'!$A$4:$AJ$79</definedName>
    <definedName name="_xlnm._FilterDatabase" localSheetId="62">'0830總'!$B$10:$J$25</definedName>
    <definedName name="_xlnm._FilterDatabase" localSheetId="65">'0831'!$A$4:$AJ$79</definedName>
    <definedName name="_xlnm._FilterDatabase" localSheetId="64">'0831總'!$B$10:$J$25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'0801'!$A$1:$AH$79</definedName>
    <definedName name="_xlnm.Print_Area" localSheetId="7">'0802'!$A$1:$AH$79</definedName>
    <definedName name="_xlnm.Print_Area" localSheetId="9">'0803'!$A$1:$AH$79</definedName>
    <definedName name="_xlnm.Print_Area" localSheetId="11">'0804'!$A$1:$AH$79</definedName>
    <definedName name="_xlnm.Print_Area" localSheetId="13">'0805'!$A$1:$AH$79</definedName>
    <definedName name="_xlnm.Print_Area" localSheetId="15">'0806'!$A$1:$AH$79</definedName>
    <definedName name="_xlnm.Print_Area" localSheetId="17">'0807'!$A$1:$AH$79</definedName>
    <definedName name="_xlnm.Print_Area" localSheetId="19">'0808'!$A$1:$AH$79</definedName>
    <definedName name="_xlnm.Print_Area" localSheetId="21">'0809'!$A$1:$AH$79</definedName>
    <definedName name="_xlnm.Print_Area" localSheetId="23">'0810'!$A$1:$AH$79</definedName>
    <definedName name="_xlnm.Print_Area" localSheetId="25">'0811'!$A$1:$AH$79</definedName>
    <definedName name="_xlnm.Print_Area" localSheetId="27">'0812'!$A$1:$AH$79</definedName>
    <definedName name="_xlnm.Print_Area" localSheetId="29">'0813'!$A$1:$AH$79</definedName>
    <definedName name="_xlnm.Print_Area" localSheetId="31">'0814'!$A$1:$AH$79</definedName>
    <definedName name="_xlnm.Print_Area" localSheetId="33">'0815'!$A$1:$AH$79</definedName>
    <definedName name="_xlnm.Print_Area" localSheetId="35">'0816'!$A$1:$AH$79</definedName>
    <definedName name="_xlnm.Print_Area" localSheetId="37">'0817'!$A$1:$AH$79</definedName>
    <definedName name="_xlnm.Print_Area" localSheetId="39">'0818'!$A$1:$AH$79</definedName>
    <definedName name="_xlnm.Print_Area" localSheetId="41">'0819'!$A$1:$AH$79</definedName>
    <definedName name="_xlnm.Print_Area" localSheetId="43">'0820'!$A$1:$AH$79</definedName>
    <definedName name="_xlnm.Print_Area" localSheetId="45">'0821'!$A$1:$AH$79</definedName>
    <definedName name="_xlnm.Print_Area" localSheetId="47">'0822'!$A$1:$AH$79</definedName>
    <definedName name="_xlnm.Print_Area" localSheetId="49">'0823'!$A$1:$AH$79</definedName>
    <definedName name="_xlnm.Print_Area" localSheetId="51">'0824'!$A$1:$AH$79</definedName>
    <definedName name="_xlnm.Print_Area" localSheetId="53">'0825'!$A$1:$AH$79</definedName>
    <definedName name="_xlnm.Print_Area" localSheetId="55">'0826'!$A$1:$AH$79</definedName>
    <definedName name="_xlnm.Print_Area" localSheetId="57">'0827'!$A$1:$AH$79</definedName>
    <definedName name="_xlnm.Print_Area" localSheetId="59">'0828'!$A$1:$AH$79</definedName>
    <definedName name="_xlnm.Print_Area" localSheetId="61">'0829'!$A$1:$AH$79</definedName>
    <definedName name="_xlnm.Print_Area" localSheetId="63">'0830'!$A$1:$AH$79</definedName>
    <definedName name="_xlnm.Print_Area" localSheetId="65">'0831'!$A$1:$AH$79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7" l="1"/>
  <c r="V31" i="17"/>
  <c r="V8" i="17" l="1"/>
  <c r="V72" i="17"/>
  <c r="V71" i="17"/>
  <c r="V62" i="17"/>
  <c r="V63" i="17"/>
  <c r="P72" i="17"/>
  <c r="N72" i="17"/>
  <c r="O72" i="17" s="1"/>
  <c r="P71" i="17"/>
  <c r="N71" i="17"/>
  <c r="O71" i="17" s="1"/>
  <c r="L72" i="17"/>
  <c r="H72" i="17"/>
  <c r="H71" i="17"/>
  <c r="F72" i="17"/>
  <c r="F71" i="17"/>
  <c r="P62" i="17"/>
  <c r="P63" i="17"/>
  <c r="H62" i="17"/>
  <c r="J62" i="17"/>
  <c r="K62" i="17"/>
  <c r="L62" i="17" s="1"/>
  <c r="H63" i="17"/>
  <c r="J63" i="17"/>
  <c r="K63" i="17"/>
  <c r="L63" i="17"/>
  <c r="F62" i="17"/>
  <c r="F63" i="17"/>
  <c r="N52" i="17"/>
  <c r="O52" i="17"/>
  <c r="P52" i="17"/>
  <c r="Q52" i="17"/>
  <c r="R52" i="17"/>
  <c r="H52" i="17"/>
  <c r="J52" i="17"/>
  <c r="K52" i="17"/>
  <c r="L52" i="17" s="1"/>
  <c r="F52" i="17"/>
  <c r="F30" i="17"/>
  <c r="F31" i="17"/>
  <c r="R72" i="17" l="1"/>
  <c r="R71" i="17"/>
  <c r="Q71" i="17"/>
  <c r="Q72" i="17"/>
  <c r="N30" i="17"/>
  <c r="AG30" i="17" s="1"/>
  <c r="O30" i="17"/>
  <c r="P30" i="17"/>
  <c r="N31" i="17"/>
  <c r="AG31" i="17" s="1"/>
  <c r="P31" i="17"/>
  <c r="H30" i="17"/>
  <c r="J30" i="17"/>
  <c r="L30" i="17"/>
  <c r="H31" i="17"/>
  <c r="J31" i="17"/>
  <c r="J37" i="17" s="1"/>
  <c r="P37" i="17" s="1"/>
  <c r="L31" i="17"/>
  <c r="N19" i="17"/>
  <c r="O19" i="17"/>
  <c r="Q19" i="17" s="1"/>
  <c r="P19" i="17"/>
  <c r="R19" i="17"/>
  <c r="N20" i="17"/>
  <c r="O20" i="17"/>
  <c r="P20" i="17"/>
  <c r="Q20" i="17"/>
  <c r="R20" i="17"/>
  <c r="H19" i="17"/>
  <c r="J19" i="17"/>
  <c r="K19" i="17"/>
  <c r="L19" i="17" s="1"/>
  <c r="H20" i="17"/>
  <c r="J20" i="17"/>
  <c r="K20" i="17"/>
  <c r="L20" i="17"/>
  <c r="F19" i="17"/>
  <c r="F20" i="17"/>
  <c r="N8" i="17"/>
  <c r="O8" i="17"/>
  <c r="Q8" i="17" s="1"/>
  <c r="P8" i="17"/>
  <c r="R8" i="17"/>
  <c r="H8" i="17"/>
  <c r="J8" i="17"/>
  <c r="K8" i="17"/>
  <c r="L8" i="17"/>
  <c r="F8" i="17"/>
  <c r="AE79" i="67"/>
  <c r="AD79" i="67"/>
  <c r="AA79" i="67"/>
  <c r="Z79" i="67"/>
  <c r="O79" i="67"/>
  <c r="J14" i="66" s="1"/>
  <c r="N79" i="67"/>
  <c r="M79" i="67"/>
  <c r="K79" i="67"/>
  <c r="J79" i="67"/>
  <c r="W78" i="67"/>
  <c r="H78" i="67"/>
  <c r="W77" i="67"/>
  <c r="H77" i="67"/>
  <c r="W76" i="67"/>
  <c r="H76" i="67"/>
  <c r="W75" i="67"/>
  <c r="H75" i="67"/>
  <c r="W74" i="67"/>
  <c r="W73" i="67"/>
  <c r="W72" i="67"/>
  <c r="W71" i="67"/>
  <c r="AF70" i="67"/>
  <c r="W70" i="67"/>
  <c r="N70" i="67" s="1"/>
  <c r="O70" i="67"/>
  <c r="K70" i="67"/>
  <c r="J70" i="67"/>
  <c r="P70" i="67" s="1"/>
  <c r="H70" i="67"/>
  <c r="F70" i="67"/>
  <c r="B70" i="67"/>
  <c r="AE69" i="67"/>
  <c r="AD69" i="67"/>
  <c r="AA69" i="67"/>
  <c r="Z69" i="67"/>
  <c r="M69" i="67"/>
  <c r="I22" i="66" s="1"/>
  <c r="J69" i="67"/>
  <c r="P69" i="67" s="1"/>
  <c r="W68" i="67"/>
  <c r="H68" i="67"/>
  <c r="W67" i="67"/>
  <c r="W66" i="67"/>
  <c r="W65" i="67"/>
  <c r="W64" i="67"/>
  <c r="W63" i="67"/>
  <c r="AG62" i="67"/>
  <c r="AF62" i="67"/>
  <c r="W62" i="67"/>
  <c r="W61" i="67"/>
  <c r="V61" i="67"/>
  <c r="N61" i="67"/>
  <c r="K61" i="67"/>
  <c r="J61" i="67"/>
  <c r="F61" i="67"/>
  <c r="H61" i="67" s="1"/>
  <c r="B61" i="67"/>
  <c r="W60" i="67"/>
  <c r="V60" i="67"/>
  <c r="N60" i="67"/>
  <c r="K60" i="67"/>
  <c r="J60" i="67"/>
  <c r="P60" i="67" s="1"/>
  <c r="H60" i="67"/>
  <c r="F60" i="67"/>
  <c r="B60" i="67"/>
  <c r="W59" i="67"/>
  <c r="N59" i="67" s="1"/>
  <c r="P59" i="67"/>
  <c r="K59" i="67"/>
  <c r="J59" i="67"/>
  <c r="F59" i="67"/>
  <c r="H59" i="67" s="1"/>
  <c r="B59" i="67"/>
  <c r="AE58" i="67"/>
  <c r="AD58" i="67"/>
  <c r="AA58" i="67"/>
  <c r="Z58" i="67"/>
  <c r="M58" i="67"/>
  <c r="P58" i="67" s="1"/>
  <c r="W57" i="67"/>
  <c r="W56" i="67"/>
  <c r="W55" i="67"/>
  <c r="W54" i="67"/>
  <c r="AG53" i="67"/>
  <c r="AF53" i="67"/>
  <c r="W53" i="67"/>
  <c r="AG52" i="67"/>
  <c r="AF52" i="67"/>
  <c r="W52" i="67"/>
  <c r="V52" i="67"/>
  <c r="AF51" i="67"/>
  <c r="W51" i="67"/>
  <c r="N51" i="67" s="1"/>
  <c r="V51" i="67"/>
  <c r="P51" i="67"/>
  <c r="L51" i="67"/>
  <c r="K51" i="67"/>
  <c r="J51" i="67"/>
  <c r="F51" i="67"/>
  <c r="H51" i="67" s="1"/>
  <c r="B51" i="67"/>
  <c r="AG50" i="67"/>
  <c r="W50" i="67"/>
  <c r="N50" i="67" s="1"/>
  <c r="V50" i="67"/>
  <c r="P50" i="67"/>
  <c r="K50" i="67"/>
  <c r="L50" i="67" s="1"/>
  <c r="J50" i="67"/>
  <c r="H50" i="67"/>
  <c r="F50" i="67"/>
  <c r="B50" i="67"/>
  <c r="W49" i="67"/>
  <c r="N49" i="67" s="1"/>
  <c r="P49" i="67"/>
  <c r="K49" i="67"/>
  <c r="J49" i="67"/>
  <c r="J58" i="67" s="1"/>
  <c r="H49" i="67"/>
  <c r="F49" i="67"/>
  <c r="B49" i="67"/>
  <c r="AE48" i="67"/>
  <c r="AD48" i="67"/>
  <c r="AA48" i="67"/>
  <c r="G19" i="66" s="1"/>
  <c r="Z48" i="67"/>
  <c r="W48" i="67"/>
  <c r="M48" i="67"/>
  <c r="J48" i="67"/>
  <c r="W47" i="67"/>
  <c r="H47" i="67"/>
  <c r="W46" i="67"/>
  <c r="W45" i="67"/>
  <c r="W44" i="67"/>
  <c r="W43" i="67"/>
  <c r="W42" i="67"/>
  <c r="AG41" i="67"/>
  <c r="AF41" i="67"/>
  <c r="W41" i="67"/>
  <c r="W40" i="67"/>
  <c r="N40" i="67" s="1"/>
  <c r="O40" i="67" s="1"/>
  <c r="V40" i="67"/>
  <c r="K40" i="67"/>
  <c r="J40" i="67"/>
  <c r="P40" i="67" s="1"/>
  <c r="H40" i="67"/>
  <c r="F40" i="67"/>
  <c r="B40" i="67"/>
  <c r="W39" i="67"/>
  <c r="N39" i="67" s="1"/>
  <c r="V39" i="67"/>
  <c r="O39" i="67"/>
  <c r="K39" i="67"/>
  <c r="L39" i="67" s="1"/>
  <c r="J39" i="67"/>
  <c r="P39" i="67" s="1"/>
  <c r="H39" i="67"/>
  <c r="F39" i="67"/>
  <c r="B39" i="67"/>
  <c r="AF38" i="67"/>
  <c r="W38" i="67"/>
  <c r="N38" i="67" s="1"/>
  <c r="AG38" i="67" s="1"/>
  <c r="P38" i="67"/>
  <c r="O38" i="67"/>
  <c r="K38" i="67"/>
  <c r="J38" i="67"/>
  <c r="H38" i="67"/>
  <c r="F38" i="67"/>
  <c r="B38" i="67"/>
  <c r="AE37" i="67"/>
  <c r="F21" i="66" s="1"/>
  <c r="AD37" i="67"/>
  <c r="AA37" i="67"/>
  <c r="Z37" i="67"/>
  <c r="M37" i="67"/>
  <c r="L37" i="67"/>
  <c r="K37" i="67"/>
  <c r="J37" i="67"/>
  <c r="P37" i="67" s="1"/>
  <c r="W36" i="67"/>
  <c r="H36" i="67"/>
  <c r="W35" i="67"/>
  <c r="W34" i="67"/>
  <c r="W33" i="67"/>
  <c r="W32" i="67"/>
  <c r="AG31" i="67"/>
  <c r="AF31" i="67"/>
  <c r="W31" i="67"/>
  <c r="AG30" i="67"/>
  <c r="AF30" i="67"/>
  <c r="W30" i="67"/>
  <c r="V30" i="67"/>
  <c r="W29" i="67"/>
  <c r="V29" i="67"/>
  <c r="N29" i="67"/>
  <c r="K29" i="67"/>
  <c r="J29" i="67"/>
  <c r="P29" i="67" s="1"/>
  <c r="H29" i="67"/>
  <c r="F29" i="67"/>
  <c r="B29" i="67"/>
  <c r="W28" i="67"/>
  <c r="N28" i="67" s="1"/>
  <c r="V28" i="67"/>
  <c r="P28" i="67"/>
  <c r="K28" i="67"/>
  <c r="L28" i="67" s="1"/>
  <c r="J28" i="67"/>
  <c r="F28" i="67"/>
  <c r="H28" i="67" s="1"/>
  <c r="B28" i="67"/>
  <c r="W27" i="67"/>
  <c r="N27" i="67" s="1"/>
  <c r="P27" i="67"/>
  <c r="L27" i="67"/>
  <c r="K27" i="67"/>
  <c r="J27" i="67"/>
  <c r="H27" i="67"/>
  <c r="F27" i="67"/>
  <c r="B27" i="67"/>
  <c r="AE26" i="67"/>
  <c r="E21" i="66" s="1"/>
  <c r="AD26" i="67"/>
  <c r="AA26" i="67"/>
  <c r="Z26" i="67"/>
  <c r="M26" i="67"/>
  <c r="L26" i="67"/>
  <c r="E13" i="66" s="1"/>
  <c r="K26" i="67"/>
  <c r="J26" i="67"/>
  <c r="W25" i="67"/>
  <c r="H25" i="67"/>
  <c r="W24" i="67"/>
  <c r="H24" i="67"/>
  <c r="W23" i="67"/>
  <c r="W21" i="67"/>
  <c r="W20" i="67"/>
  <c r="V20" i="67"/>
  <c r="AG19" i="67"/>
  <c r="AF19" i="67"/>
  <c r="W19" i="67"/>
  <c r="V19" i="67"/>
  <c r="AG18" i="67"/>
  <c r="W18" i="67"/>
  <c r="N18" i="67" s="1"/>
  <c r="V18" i="67"/>
  <c r="K18" i="67"/>
  <c r="J18" i="67"/>
  <c r="H18" i="67"/>
  <c r="F18" i="67"/>
  <c r="B18" i="67"/>
  <c r="W17" i="67"/>
  <c r="N17" i="67" s="1"/>
  <c r="V17" i="67"/>
  <c r="P17" i="67"/>
  <c r="K17" i="67"/>
  <c r="J17" i="67"/>
  <c r="L17" i="67" s="1"/>
  <c r="F17" i="67"/>
  <c r="H17" i="67" s="1"/>
  <c r="B17" i="67"/>
  <c r="W16" i="67"/>
  <c r="N16" i="67" s="1"/>
  <c r="L16" i="67"/>
  <c r="K16" i="67"/>
  <c r="J16" i="67"/>
  <c r="P16" i="67" s="1"/>
  <c r="H16" i="67"/>
  <c r="F16" i="67"/>
  <c r="B16" i="67"/>
  <c r="AE15" i="67"/>
  <c r="D21" i="66" s="1"/>
  <c r="AD15" i="67"/>
  <c r="AA15" i="67"/>
  <c r="Z15" i="67"/>
  <c r="M15" i="67"/>
  <c r="L15" i="67"/>
  <c r="K15" i="67"/>
  <c r="J15" i="67"/>
  <c r="P15" i="67" s="1"/>
  <c r="W14" i="67"/>
  <c r="W13" i="67"/>
  <c r="W12" i="67"/>
  <c r="AG11" i="67"/>
  <c r="AF11" i="67"/>
  <c r="W11" i="67"/>
  <c r="AG10" i="67"/>
  <c r="AF10" i="67"/>
  <c r="W10" i="67"/>
  <c r="AG9" i="67"/>
  <c r="AF9" i="67"/>
  <c r="W9" i="67"/>
  <c r="AG8" i="67"/>
  <c r="AF8" i="67"/>
  <c r="W8" i="67"/>
  <c r="W7" i="67"/>
  <c r="V7" i="67"/>
  <c r="O7" i="67"/>
  <c r="N7" i="67"/>
  <c r="K7" i="67"/>
  <c r="J7" i="67"/>
  <c r="P7" i="67" s="1"/>
  <c r="F7" i="67"/>
  <c r="H7" i="67" s="1"/>
  <c r="B7" i="67"/>
  <c r="W6" i="67"/>
  <c r="V6" i="67"/>
  <c r="O6" i="67"/>
  <c r="N6" i="67"/>
  <c r="K6" i="67"/>
  <c r="J6" i="67"/>
  <c r="P6" i="67" s="1"/>
  <c r="H6" i="67"/>
  <c r="F6" i="67"/>
  <c r="B6" i="67"/>
  <c r="W5" i="67"/>
  <c r="P5" i="67"/>
  <c r="N5" i="67"/>
  <c r="L5" i="67"/>
  <c r="K5" i="67"/>
  <c r="J5" i="67"/>
  <c r="F5" i="67"/>
  <c r="H5" i="67" s="1"/>
  <c r="G1" i="67" s="1"/>
  <c r="B5" i="67"/>
  <c r="AE2" i="67"/>
  <c r="O6" i="66" s="1"/>
  <c r="I2" i="67"/>
  <c r="E1" i="67"/>
  <c r="H22" i="66"/>
  <c r="F22" i="66"/>
  <c r="E22" i="66"/>
  <c r="D22" i="66"/>
  <c r="J21" i="66"/>
  <c r="I21" i="66"/>
  <c r="H21" i="66"/>
  <c r="G21" i="66"/>
  <c r="J20" i="66"/>
  <c r="I20" i="66"/>
  <c r="H20" i="66"/>
  <c r="G20" i="66"/>
  <c r="E20" i="66"/>
  <c r="D20" i="66"/>
  <c r="J19" i="66"/>
  <c r="I19" i="66"/>
  <c r="H19" i="66"/>
  <c r="E19" i="66"/>
  <c r="D19" i="66"/>
  <c r="J18" i="66"/>
  <c r="I18" i="66"/>
  <c r="G18" i="66"/>
  <c r="F18" i="66"/>
  <c r="E18" i="66"/>
  <c r="D18" i="66"/>
  <c r="J16" i="66"/>
  <c r="I16" i="66"/>
  <c r="H16" i="66"/>
  <c r="G16" i="66"/>
  <c r="F16" i="66"/>
  <c r="E16" i="66"/>
  <c r="D16" i="66"/>
  <c r="F13" i="66"/>
  <c r="D13" i="66"/>
  <c r="F6" i="66" s="1"/>
  <c r="H6" i="66"/>
  <c r="G3" i="66"/>
  <c r="D3" i="66"/>
  <c r="AE79" i="65"/>
  <c r="J21" i="64" s="1"/>
  <c r="AD79" i="65"/>
  <c r="J20" i="64" s="1"/>
  <c r="AA79" i="65"/>
  <c r="J18" i="64" s="1"/>
  <c r="Z79" i="65"/>
  <c r="M79" i="65"/>
  <c r="L79" i="65"/>
  <c r="J13" i="64" s="1"/>
  <c r="K79" i="65"/>
  <c r="J79" i="65"/>
  <c r="P79" i="65" s="1"/>
  <c r="W78" i="65"/>
  <c r="H78" i="65"/>
  <c r="W77" i="65"/>
  <c r="H77" i="65"/>
  <c r="W76" i="65"/>
  <c r="H76" i="65"/>
  <c r="W75" i="65"/>
  <c r="H75" i="65"/>
  <c r="W74" i="65"/>
  <c r="W73" i="65"/>
  <c r="W72" i="65"/>
  <c r="W71" i="65"/>
  <c r="W70" i="65"/>
  <c r="P70" i="65"/>
  <c r="N70" i="65"/>
  <c r="K70" i="65"/>
  <c r="J70" i="65"/>
  <c r="L70" i="65" s="1"/>
  <c r="H70" i="65"/>
  <c r="F70" i="65"/>
  <c r="B70" i="65"/>
  <c r="AE69" i="65"/>
  <c r="AD69" i="65"/>
  <c r="AA69" i="65"/>
  <c r="Z69" i="65"/>
  <c r="I18" i="64" s="1"/>
  <c r="M69" i="65"/>
  <c r="K69" i="65"/>
  <c r="W68" i="65"/>
  <c r="H68" i="65"/>
  <c r="W67" i="65"/>
  <c r="W66" i="65"/>
  <c r="W65" i="65"/>
  <c r="W64" i="65"/>
  <c r="W63" i="65"/>
  <c r="AG62" i="65"/>
  <c r="AF62" i="65"/>
  <c r="W62" i="65"/>
  <c r="AG61" i="65"/>
  <c r="W61" i="65"/>
  <c r="V61" i="65"/>
  <c r="R61" i="65"/>
  <c r="O61" i="65"/>
  <c r="N61" i="65"/>
  <c r="AF61" i="65" s="1"/>
  <c r="L61" i="65"/>
  <c r="Q61" i="65" s="1"/>
  <c r="K61" i="65"/>
  <c r="J61" i="65"/>
  <c r="P61" i="65" s="1"/>
  <c r="H61" i="65"/>
  <c r="F61" i="65"/>
  <c r="B61" i="65"/>
  <c r="W60" i="65"/>
  <c r="V60" i="65"/>
  <c r="N60" i="65"/>
  <c r="K60" i="65"/>
  <c r="L60" i="65" s="1"/>
  <c r="J60" i="65"/>
  <c r="P60" i="65" s="1"/>
  <c r="H60" i="65"/>
  <c r="F60" i="65"/>
  <c r="B60" i="65"/>
  <c r="AG59" i="65"/>
  <c r="AF59" i="65"/>
  <c r="W59" i="65"/>
  <c r="O59" i="65"/>
  <c r="N59" i="65"/>
  <c r="K59" i="65"/>
  <c r="J59" i="65"/>
  <c r="H59" i="65"/>
  <c r="F59" i="65"/>
  <c r="B59" i="65"/>
  <c r="AE58" i="65"/>
  <c r="H21" i="64" s="1"/>
  <c r="AD58" i="65"/>
  <c r="AA58" i="65"/>
  <c r="H19" i="64" s="1"/>
  <c r="Z58" i="65"/>
  <c r="M58" i="65"/>
  <c r="K58" i="65"/>
  <c r="J58" i="65"/>
  <c r="W57" i="65"/>
  <c r="W56" i="65"/>
  <c r="W55" i="65"/>
  <c r="W54" i="65"/>
  <c r="AG53" i="65"/>
  <c r="AF53" i="65"/>
  <c r="W53" i="65"/>
  <c r="AG52" i="65"/>
  <c r="AF52" i="65"/>
  <c r="W52" i="65"/>
  <c r="V52" i="65"/>
  <c r="W51" i="65"/>
  <c r="N51" i="65" s="1"/>
  <c r="O51" i="65" s="1"/>
  <c r="V51" i="65"/>
  <c r="P51" i="65"/>
  <c r="K51" i="65"/>
  <c r="J51" i="65"/>
  <c r="L51" i="65" s="1"/>
  <c r="F51" i="65"/>
  <c r="H51" i="65" s="1"/>
  <c r="B51" i="65"/>
  <c r="W50" i="65"/>
  <c r="N50" i="65" s="1"/>
  <c r="V50" i="65"/>
  <c r="K50" i="65"/>
  <c r="J50" i="65"/>
  <c r="P50" i="65" s="1"/>
  <c r="H50" i="65"/>
  <c r="F50" i="65"/>
  <c r="B50" i="65"/>
  <c r="W49" i="65"/>
  <c r="N49" i="65" s="1"/>
  <c r="O49" i="65"/>
  <c r="K49" i="65"/>
  <c r="J49" i="65"/>
  <c r="P49" i="65" s="1"/>
  <c r="F49" i="65"/>
  <c r="H49" i="65" s="1"/>
  <c r="B49" i="65"/>
  <c r="AE48" i="65"/>
  <c r="AD48" i="65"/>
  <c r="AA48" i="65"/>
  <c r="Z48" i="65"/>
  <c r="G18" i="64" s="1"/>
  <c r="W48" i="65"/>
  <c r="P48" i="65"/>
  <c r="M48" i="65"/>
  <c r="L48" i="65"/>
  <c r="G13" i="64" s="1"/>
  <c r="K48" i="65"/>
  <c r="J48" i="65"/>
  <c r="W47" i="65"/>
  <c r="H47" i="65"/>
  <c r="W46" i="65"/>
  <c r="W45" i="65"/>
  <c r="W44" i="65"/>
  <c r="W43" i="65"/>
  <c r="W42" i="65"/>
  <c r="AG41" i="65"/>
  <c r="AF41" i="65"/>
  <c r="W41" i="65"/>
  <c r="W40" i="65"/>
  <c r="V40" i="65"/>
  <c r="N40" i="65"/>
  <c r="K40" i="65"/>
  <c r="J40" i="65"/>
  <c r="H40" i="65"/>
  <c r="F40" i="65"/>
  <c r="B40" i="65"/>
  <c r="W39" i="65"/>
  <c r="N39" i="65" s="1"/>
  <c r="O39" i="65" s="1"/>
  <c r="V39" i="65"/>
  <c r="R39" i="65"/>
  <c r="Q39" i="65"/>
  <c r="P39" i="65"/>
  <c r="L39" i="65"/>
  <c r="K39" i="65"/>
  <c r="J39" i="65"/>
  <c r="H39" i="65"/>
  <c r="F39" i="65"/>
  <c r="B39" i="65"/>
  <c r="W38" i="65"/>
  <c r="P38" i="65"/>
  <c r="N38" i="65"/>
  <c r="L38" i="65"/>
  <c r="K38" i="65"/>
  <c r="J38" i="65"/>
  <c r="F38" i="65"/>
  <c r="H38" i="65" s="1"/>
  <c r="B38" i="65"/>
  <c r="AE37" i="65"/>
  <c r="AD37" i="65"/>
  <c r="AA37" i="65"/>
  <c r="F19" i="64" s="1"/>
  <c r="Z37" i="65"/>
  <c r="M37" i="65"/>
  <c r="W36" i="65"/>
  <c r="H36" i="65"/>
  <c r="W35" i="65"/>
  <c r="W34" i="65"/>
  <c r="W33" i="65"/>
  <c r="W32" i="65"/>
  <c r="AG31" i="65"/>
  <c r="AF31" i="65"/>
  <c r="W31" i="65"/>
  <c r="AG30" i="65"/>
  <c r="AF30" i="65"/>
  <c r="W30" i="65"/>
  <c r="V30" i="65"/>
  <c r="W29" i="65"/>
  <c r="N29" i="65" s="1"/>
  <c r="V29" i="65"/>
  <c r="K29" i="65"/>
  <c r="L29" i="65" s="1"/>
  <c r="J29" i="65"/>
  <c r="P29" i="65" s="1"/>
  <c r="H29" i="65"/>
  <c r="F29" i="65"/>
  <c r="B29" i="65"/>
  <c r="W28" i="65"/>
  <c r="V28" i="65"/>
  <c r="P28" i="65"/>
  <c r="N28" i="65"/>
  <c r="N37" i="65" s="1"/>
  <c r="L28" i="65"/>
  <c r="K28" i="65"/>
  <c r="J28" i="65"/>
  <c r="F28" i="65"/>
  <c r="H28" i="65" s="1"/>
  <c r="B28" i="65"/>
  <c r="AG27" i="65"/>
  <c r="W27" i="65"/>
  <c r="N27" i="65" s="1"/>
  <c r="O27" i="65"/>
  <c r="K27" i="65"/>
  <c r="K37" i="65" s="1"/>
  <c r="J27" i="65"/>
  <c r="H27" i="65"/>
  <c r="F27" i="65"/>
  <c r="B27" i="65"/>
  <c r="AE26" i="65"/>
  <c r="AD26" i="65"/>
  <c r="E20" i="64" s="1"/>
  <c r="AA26" i="65"/>
  <c r="Z26" i="65"/>
  <c r="P26" i="65"/>
  <c r="M26" i="65"/>
  <c r="E22" i="64" s="1"/>
  <c r="J26" i="65"/>
  <c r="W25" i="65"/>
  <c r="H25" i="65"/>
  <c r="W24" i="65"/>
  <c r="H24" i="65"/>
  <c r="W23" i="65"/>
  <c r="W21" i="65"/>
  <c r="W20" i="65"/>
  <c r="V20" i="65"/>
  <c r="AG19" i="65"/>
  <c r="AF19" i="65"/>
  <c r="W19" i="65"/>
  <c r="V19" i="65"/>
  <c r="W18" i="65"/>
  <c r="N18" i="65" s="1"/>
  <c r="V18" i="65"/>
  <c r="P18" i="65"/>
  <c r="K18" i="65"/>
  <c r="L18" i="65" s="1"/>
  <c r="J18" i="65"/>
  <c r="F18" i="65"/>
  <c r="H18" i="65" s="1"/>
  <c r="B18" i="65"/>
  <c r="W17" i="65"/>
  <c r="V17" i="65"/>
  <c r="P17" i="65"/>
  <c r="N17" i="65"/>
  <c r="L17" i="65"/>
  <c r="K17" i="65"/>
  <c r="J17" i="65"/>
  <c r="H17" i="65"/>
  <c r="F17" i="65"/>
  <c r="B17" i="65"/>
  <c r="W16" i="65"/>
  <c r="N16" i="65" s="1"/>
  <c r="P16" i="65"/>
  <c r="L16" i="65"/>
  <c r="L26" i="65" s="1"/>
  <c r="E13" i="64" s="1"/>
  <c r="K16" i="65"/>
  <c r="K26" i="65" s="1"/>
  <c r="J16" i="65"/>
  <c r="F16" i="65"/>
  <c r="H16" i="65" s="1"/>
  <c r="B16" i="65"/>
  <c r="AE15" i="65"/>
  <c r="AD15" i="65"/>
  <c r="AA15" i="65"/>
  <c r="Z15" i="65"/>
  <c r="P15" i="65"/>
  <c r="M15" i="65"/>
  <c r="D22" i="64" s="1"/>
  <c r="J15" i="65"/>
  <c r="W14" i="65"/>
  <c r="W13" i="65"/>
  <c r="W12" i="65"/>
  <c r="AG11" i="65"/>
  <c r="AF11" i="65"/>
  <c r="W11" i="65"/>
  <c r="AG10" i="65"/>
  <c r="AF10" i="65"/>
  <c r="W10" i="65"/>
  <c r="AG9" i="65"/>
  <c r="AF9" i="65"/>
  <c r="W9" i="65"/>
  <c r="AG8" i="65"/>
  <c r="AF8" i="65"/>
  <c r="W8" i="65"/>
  <c r="W7" i="65"/>
  <c r="V7" i="65"/>
  <c r="P7" i="65"/>
  <c r="O7" i="65"/>
  <c r="N7" i="65"/>
  <c r="K7" i="65"/>
  <c r="J7" i="65"/>
  <c r="F7" i="65"/>
  <c r="H7" i="65" s="1"/>
  <c r="B7" i="65"/>
  <c r="W6" i="65"/>
  <c r="V6" i="65"/>
  <c r="O6" i="65"/>
  <c r="N6" i="65"/>
  <c r="K6" i="65"/>
  <c r="L6" i="65" s="1"/>
  <c r="J6" i="65"/>
  <c r="P6" i="65" s="1"/>
  <c r="F6" i="65"/>
  <c r="H6" i="65" s="1"/>
  <c r="B6" i="65"/>
  <c r="AG5" i="65"/>
  <c r="AF5" i="65"/>
  <c r="W5" i="65"/>
  <c r="N5" i="65" s="1"/>
  <c r="N15" i="65" s="1"/>
  <c r="P5" i="65"/>
  <c r="O5" i="65"/>
  <c r="K5" i="65"/>
  <c r="J5" i="65"/>
  <c r="F5" i="65"/>
  <c r="H5" i="65" s="1"/>
  <c r="B5" i="65"/>
  <c r="AD2" i="65"/>
  <c r="N6" i="64" s="1"/>
  <c r="I2" i="65"/>
  <c r="I1" i="65"/>
  <c r="G1" i="65"/>
  <c r="E1" i="65"/>
  <c r="G3" i="64" s="1"/>
  <c r="J22" i="64"/>
  <c r="I22" i="64"/>
  <c r="H22" i="64"/>
  <c r="G22" i="64"/>
  <c r="F22" i="64"/>
  <c r="I21" i="64"/>
  <c r="G21" i="64"/>
  <c r="F21" i="64"/>
  <c r="E21" i="64"/>
  <c r="I20" i="64"/>
  <c r="H20" i="64"/>
  <c r="G20" i="64"/>
  <c r="F20" i="64"/>
  <c r="D20" i="64"/>
  <c r="J19" i="64"/>
  <c r="I19" i="64"/>
  <c r="G19" i="64"/>
  <c r="D19" i="64"/>
  <c r="H18" i="64"/>
  <c r="F18" i="64"/>
  <c r="E18" i="64"/>
  <c r="D18" i="64"/>
  <c r="J16" i="64"/>
  <c r="I16" i="64"/>
  <c r="H16" i="64"/>
  <c r="G16" i="64"/>
  <c r="F16" i="64"/>
  <c r="E16" i="64"/>
  <c r="D16" i="64"/>
  <c r="D3" i="64"/>
  <c r="AE79" i="63"/>
  <c r="AD79" i="63"/>
  <c r="J20" i="62" s="1"/>
  <c r="AA79" i="63"/>
  <c r="Z79" i="63"/>
  <c r="O79" i="63"/>
  <c r="N79" i="63"/>
  <c r="M79" i="63"/>
  <c r="W78" i="63"/>
  <c r="H78" i="63"/>
  <c r="W77" i="63"/>
  <c r="H77" i="63"/>
  <c r="W76" i="63"/>
  <c r="H76" i="63"/>
  <c r="W75" i="63"/>
  <c r="H75" i="63"/>
  <c r="W74" i="63"/>
  <c r="W73" i="63"/>
  <c r="W72" i="63"/>
  <c r="W71" i="63"/>
  <c r="AG70" i="63"/>
  <c r="AF70" i="63"/>
  <c r="W70" i="63"/>
  <c r="N70" i="63" s="1"/>
  <c r="O70" i="63"/>
  <c r="K70" i="63"/>
  <c r="K79" i="63" s="1"/>
  <c r="J70" i="63"/>
  <c r="F70" i="63"/>
  <c r="H70" i="63" s="1"/>
  <c r="B70" i="63"/>
  <c r="AE69" i="63"/>
  <c r="I21" i="62" s="1"/>
  <c r="AD69" i="63"/>
  <c r="AA69" i="63"/>
  <c r="I19" i="62" s="1"/>
  <c r="Z69" i="63"/>
  <c r="M69" i="63"/>
  <c r="W68" i="63"/>
  <c r="H68" i="63"/>
  <c r="W67" i="63"/>
  <c r="W66" i="63"/>
  <c r="W65" i="63"/>
  <c r="W64" i="63"/>
  <c r="W63" i="63"/>
  <c r="AG62" i="63"/>
  <c r="AF62" i="63"/>
  <c r="W62" i="63"/>
  <c r="W61" i="63"/>
  <c r="V61" i="63"/>
  <c r="P61" i="63"/>
  <c r="N61" i="63"/>
  <c r="L61" i="63"/>
  <c r="K61" i="63"/>
  <c r="J61" i="63"/>
  <c r="H61" i="63"/>
  <c r="F61" i="63"/>
  <c r="B61" i="63"/>
  <c r="W60" i="63"/>
  <c r="V60" i="63"/>
  <c r="P60" i="63"/>
  <c r="O60" i="63"/>
  <c r="N60" i="63"/>
  <c r="L60" i="63"/>
  <c r="K60" i="63"/>
  <c r="J60" i="63"/>
  <c r="H60" i="63"/>
  <c r="F60" i="63"/>
  <c r="B60" i="63"/>
  <c r="AG59" i="63"/>
  <c r="W59" i="63"/>
  <c r="N59" i="63" s="1"/>
  <c r="P59" i="63"/>
  <c r="K59" i="63"/>
  <c r="J59" i="63"/>
  <c r="J69" i="63" s="1"/>
  <c r="F59" i="63"/>
  <c r="H59" i="63" s="1"/>
  <c r="B59" i="63"/>
  <c r="AE58" i="63"/>
  <c r="H21" i="62" s="1"/>
  <c r="AD58" i="63"/>
  <c r="AA58" i="63"/>
  <c r="H19" i="62" s="1"/>
  <c r="Z58" i="63"/>
  <c r="M58" i="63"/>
  <c r="W57" i="63"/>
  <c r="W56" i="63"/>
  <c r="W55" i="63"/>
  <c r="W54" i="63"/>
  <c r="AG53" i="63"/>
  <c r="AF53" i="63"/>
  <c r="W53" i="63"/>
  <c r="AG52" i="63"/>
  <c r="AF52" i="63"/>
  <c r="W52" i="63"/>
  <c r="V52" i="63"/>
  <c r="W51" i="63"/>
  <c r="V51" i="63"/>
  <c r="P51" i="63"/>
  <c r="N51" i="63"/>
  <c r="L51" i="63"/>
  <c r="K51" i="63"/>
  <c r="J51" i="63"/>
  <c r="F51" i="63"/>
  <c r="H51" i="63" s="1"/>
  <c r="B51" i="63"/>
  <c r="W50" i="63"/>
  <c r="N50" i="63" s="1"/>
  <c r="V50" i="63"/>
  <c r="K50" i="63"/>
  <c r="J50" i="63"/>
  <c r="P50" i="63" s="1"/>
  <c r="H50" i="63"/>
  <c r="F50" i="63"/>
  <c r="B50" i="63"/>
  <c r="W49" i="63"/>
  <c r="N49" i="63" s="1"/>
  <c r="K49" i="63"/>
  <c r="J49" i="63"/>
  <c r="H49" i="63"/>
  <c r="F49" i="63"/>
  <c r="B49" i="63"/>
  <c r="AE48" i="63"/>
  <c r="G21" i="62" s="1"/>
  <c r="AD48" i="63"/>
  <c r="AA48" i="63"/>
  <c r="Z48" i="63"/>
  <c r="W48" i="63"/>
  <c r="M48" i="63"/>
  <c r="K48" i="63"/>
  <c r="W47" i="63"/>
  <c r="H47" i="63"/>
  <c r="W46" i="63"/>
  <c r="W45" i="63"/>
  <c r="W44" i="63"/>
  <c r="W43" i="63"/>
  <c r="W42" i="63"/>
  <c r="AG41" i="63"/>
  <c r="AF41" i="63"/>
  <c r="W41" i="63"/>
  <c r="W40" i="63"/>
  <c r="N40" i="63" s="1"/>
  <c r="AF40" i="63" s="1"/>
  <c r="V40" i="63"/>
  <c r="P40" i="63"/>
  <c r="O40" i="63"/>
  <c r="L40" i="63"/>
  <c r="K40" i="63"/>
  <c r="J40" i="63"/>
  <c r="F40" i="63"/>
  <c r="H40" i="63" s="1"/>
  <c r="B40" i="63"/>
  <c r="W39" i="63"/>
  <c r="V39" i="63"/>
  <c r="P39" i="63"/>
  <c r="O39" i="63"/>
  <c r="N39" i="63"/>
  <c r="K39" i="63"/>
  <c r="J39" i="63"/>
  <c r="L39" i="63" s="1"/>
  <c r="H39" i="63"/>
  <c r="F39" i="63"/>
  <c r="B39" i="63"/>
  <c r="AG38" i="63"/>
  <c r="W38" i="63"/>
  <c r="N38" i="63" s="1"/>
  <c r="K38" i="63"/>
  <c r="J38" i="63"/>
  <c r="H38" i="63"/>
  <c r="F38" i="63"/>
  <c r="B38" i="63"/>
  <c r="AE37" i="63"/>
  <c r="F21" i="62" s="1"/>
  <c r="AD37" i="63"/>
  <c r="F20" i="62" s="1"/>
  <c r="AA37" i="63"/>
  <c r="F19" i="62" s="1"/>
  <c r="Z37" i="63"/>
  <c r="N37" i="63"/>
  <c r="M37" i="63"/>
  <c r="W36" i="63"/>
  <c r="H36" i="63"/>
  <c r="W35" i="63"/>
  <c r="W34" i="63"/>
  <c r="W33" i="63"/>
  <c r="W32" i="63"/>
  <c r="AG31" i="63"/>
  <c r="AF31" i="63"/>
  <c r="W31" i="63"/>
  <c r="AG30" i="63"/>
  <c r="AF30" i="63"/>
  <c r="W30" i="63"/>
  <c r="V30" i="63"/>
  <c r="AF29" i="63"/>
  <c r="W29" i="63"/>
  <c r="V29" i="63"/>
  <c r="P29" i="63"/>
  <c r="O29" i="63"/>
  <c r="N29" i="63"/>
  <c r="K29" i="63"/>
  <c r="AG29" i="63" s="1"/>
  <c r="J29" i="63"/>
  <c r="H29" i="63"/>
  <c r="F29" i="63"/>
  <c r="B29" i="63"/>
  <c r="AF28" i="63"/>
  <c r="W28" i="63"/>
  <c r="V28" i="63"/>
  <c r="P28" i="63"/>
  <c r="N28" i="63"/>
  <c r="K28" i="63"/>
  <c r="L28" i="63" s="1"/>
  <c r="J28" i="63"/>
  <c r="F28" i="63"/>
  <c r="H28" i="63" s="1"/>
  <c r="B28" i="63"/>
  <c r="W27" i="63"/>
  <c r="P27" i="63"/>
  <c r="N27" i="63"/>
  <c r="K27" i="63"/>
  <c r="J27" i="63"/>
  <c r="J37" i="63" s="1"/>
  <c r="P37" i="63" s="1"/>
  <c r="H27" i="63"/>
  <c r="F27" i="63"/>
  <c r="B27" i="63"/>
  <c r="AE26" i="63"/>
  <c r="AD26" i="63"/>
  <c r="AA26" i="63"/>
  <c r="Z26" i="63"/>
  <c r="M26" i="63"/>
  <c r="E22" i="62" s="1"/>
  <c r="K26" i="63"/>
  <c r="W25" i="63"/>
  <c r="H25" i="63"/>
  <c r="W24" i="63"/>
  <c r="H24" i="63"/>
  <c r="W23" i="63"/>
  <c r="W21" i="63"/>
  <c r="W20" i="63"/>
  <c r="V20" i="63"/>
  <c r="AG19" i="63"/>
  <c r="AF19" i="63"/>
  <c r="W19" i="63"/>
  <c r="V19" i="63"/>
  <c r="W18" i="63"/>
  <c r="V18" i="63"/>
  <c r="P18" i="63"/>
  <c r="N18" i="63"/>
  <c r="L18" i="63"/>
  <c r="K18" i="63"/>
  <c r="J18" i="63"/>
  <c r="H18" i="63"/>
  <c r="F18" i="63"/>
  <c r="B18" i="63"/>
  <c r="W17" i="63"/>
  <c r="V17" i="63"/>
  <c r="P17" i="63"/>
  <c r="N17" i="63"/>
  <c r="L17" i="63"/>
  <c r="K17" i="63"/>
  <c r="J17" i="63"/>
  <c r="H17" i="63"/>
  <c r="F17" i="63"/>
  <c r="B17" i="63"/>
  <c r="W16" i="63"/>
  <c r="N16" i="63" s="1"/>
  <c r="O16" i="63"/>
  <c r="K16" i="63"/>
  <c r="J16" i="63"/>
  <c r="H16" i="63"/>
  <c r="F16" i="63"/>
  <c r="B16" i="63"/>
  <c r="AE15" i="63"/>
  <c r="AD15" i="63"/>
  <c r="AA15" i="63"/>
  <c r="AA2" i="63" s="1"/>
  <c r="M6" i="62" s="1"/>
  <c r="Z15" i="63"/>
  <c r="D18" i="62" s="1"/>
  <c r="N15" i="63"/>
  <c r="M15" i="63"/>
  <c r="K15" i="63"/>
  <c r="W14" i="63"/>
  <c r="W13" i="63"/>
  <c r="W12" i="63"/>
  <c r="AG11" i="63"/>
  <c r="AF11" i="63"/>
  <c r="W11" i="63"/>
  <c r="AG10" i="63"/>
  <c r="AF10" i="63"/>
  <c r="W10" i="63"/>
  <c r="AG9" i="63"/>
  <c r="AF9" i="63"/>
  <c r="W9" i="63"/>
  <c r="AG8" i="63"/>
  <c r="AF8" i="63"/>
  <c r="W8" i="63"/>
  <c r="W7" i="63"/>
  <c r="V7" i="63"/>
  <c r="R7" i="63"/>
  <c r="Q7" i="63"/>
  <c r="P7" i="63"/>
  <c r="O7" i="63"/>
  <c r="N7" i="63"/>
  <c r="K7" i="63"/>
  <c r="L7" i="63" s="1"/>
  <c r="J7" i="63"/>
  <c r="H7" i="63"/>
  <c r="F7" i="63"/>
  <c r="B7" i="63"/>
  <c r="W6" i="63"/>
  <c r="N6" i="63" s="1"/>
  <c r="V6" i="63"/>
  <c r="K6" i="63"/>
  <c r="L6" i="63" s="1"/>
  <c r="J6" i="63"/>
  <c r="P6" i="63" s="1"/>
  <c r="F6" i="63"/>
  <c r="H6" i="63" s="1"/>
  <c r="B6" i="63"/>
  <c r="AG5" i="63"/>
  <c r="AF5" i="63"/>
  <c r="W5" i="63"/>
  <c r="P5" i="63"/>
  <c r="O5" i="63"/>
  <c r="N5" i="63"/>
  <c r="K5" i="63"/>
  <c r="J5" i="63"/>
  <c r="L5" i="63" s="1"/>
  <c r="L15" i="63" s="1"/>
  <c r="F5" i="63"/>
  <c r="H5" i="63" s="1"/>
  <c r="G1" i="63" s="1"/>
  <c r="B5" i="63"/>
  <c r="I2" i="63"/>
  <c r="E1" i="63"/>
  <c r="J22" i="62"/>
  <c r="H22" i="62"/>
  <c r="G22" i="62"/>
  <c r="F22" i="62"/>
  <c r="D22" i="62"/>
  <c r="J21" i="62"/>
  <c r="E21" i="62"/>
  <c r="I20" i="62"/>
  <c r="H20" i="62"/>
  <c r="G20" i="62"/>
  <c r="D20" i="62"/>
  <c r="J19" i="62"/>
  <c r="G19" i="62"/>
  <c r="E19" i="62"/>
  <c r="J18" i="62"/>
  <c r="I18" i="62"/>
  <c r="H18" i="62"/>
  <c r="G18" i="62"/>
  <c r="F18" i="62"/>
  <c r="J16" i="62"/>
  <c r="I16" i="62"/>
  <c r="H16" i="62"/>
  <c r="G16" i="62"/>
  <c r="F16" i="62"/>
  <c r="E16" i="62"/>
  <c r="D16" i="62"/>
  <c r="D13" i="62"/>
  <c r="G3" i="62"/>
  <c r="D3" i="62"/>
  <c r="AE79" i="61"/>
  <c r="AD79" i="61"/>
  <c r="J20" i="60" s="1"/>
  <c r="AA79" i="61"/>
  <c r="J18" i="60" s="1"/>
  <c r="Z79" i="61"/>
  <c r="N79" i="61"/>
  <c r="M79" i="61"/>
  <c r="K79" i="61"/>
  <c r="J79" i="61"/>
  <c r="W78" i="61"/>
  <c r="H78" i="61"/>
  <c r="W77" i="61"/>
  <c r="H77" i="61"/>
  <c r="W76" i="61"/>
  <c r="H76" i="61"/>
  <c r="W75" i="61"/>
  <c r="H75" i="61"/>
  <c r="W74" i="61"/>
  <c r="W73" i="61"/>
  <c r="W72" i="61"/>
  <c r="W71" i="61"/>
  <c r="AF70" i="61"/>
  <c r="W70" i="61"/>
  <c r="N70" i="61"/>
  <c r="L70" i="61"/>
  <c r="L79" i="61" s="1"/>
  <c r="J13" i="60" s="1"/>
  <c r="K70" i="61"/>
  <c r="J70" i="61"/>
  <c r="P70" i="61" s="1"/>
  <c r="H70" i="61"/>
  <c r="F70" i="61"/>
  <c r="B70" i="61"/>
  <c r="AE69" i="61"/>
  <c r="AD69" i="61"/>
  <c r="AA69" i="61"/>
  <c r="I19" i="60" s="1"/>
  <c r="Z69" i="61"/>
  <c r="M69" i="61"/>
  <c r="J69" i="61"/>
  <c r="P69" i="61" s="1"/>
  <c r="W68" i="61"/>
  <c r="H68" i="61"/>
  <c r="W67" i="61"/>
  <c r="W66" i="61"/>
  <c r="W65" i="61"/>
  <c r="W64" i="61"/>
  <c r="W63" i="61"/>
  <c r="AG62" i="61"/>
  <c r="AF62" i="61"/>
  <c r="W62" i="61"/>
  <c r="W61" i="61"/>
  <c r="N61" i="61" s="1"/>
  <c r="AG61" i="61" s="1"/>
  <c r="V61" i="61"/>
  <c r="P61" i="61"/>
  <c r="O61" i="61"/>
  <c r="Q61" i="61" s="1"/>
  <c r="L61" i="61"/>
  <c r="K61" i="61"/>
  <c r="J61" i="61"/>
  <c r="H61" i="61"/>
  <c r="F61" i="61"/>
  <c r="B61" i="61"/>
  <c r="AG60" i="61"/>
  <c r="AF60" i="61"/>
  <c r="W60" i="61"/>
  <c r="N60" i="61" s="1"/>
  <c r="O60" i="61" s="1"/>
  <c r="V60" i="61"/>
  <c r="P60" i="61"/>
  <c r="K60" i="61"/>
  <c r="J60" i="61"/>
  <c r="H60" i="61"/>
  <c r="F60" i="61"/>
  <c r="B60" i="61"/>
  <c r="AG59" i="61"/>
  <c r="W59" i="61"/>
  <c r="N59" i="61" s="1"/>
  <c r="K59" i="61"/>
  <c r="J59" i="61"/>
  <c r="P59" i="61" s="1"/>
  <c r="H59" i="61"/>
  <c r="F59" i="61"/>
  <c r="B59" i="61"/>
  <c r="AE58" i="61"/>
  <c r="H21" i="60" s="1"/>
  <c r="AD58" i="61"/>
  <c r="AA58" i="61"/>
  <c r="Z58" i="61"/>
  <c r="M58" i="61"/>
  <c r="K58" i="61"/>
  <c r="W57" i="61"/>
  <c r="W56" i="61"/>
  <c r="W55" i="61"/>
  <c r="W54" i="61"/>
  <c r="AG53" i="61"/>
  <c r="AF53" i="61"/>
  <c r="W53" i="61"/>
  <c r="AG52" i="61"/>
  <c r="AF52" i="61"/>
  <c r="W52" i="61"/>
  <c r="V52" i="61"/>
  <c r="W51" i="61"/>
  <c r="V51" i="61"/>
  <c r="P51" i="61"/>
  <c r="O51" i="61"/>
  <c r="R51" i="61" s="1"/>
  <c r="N51" i="61"/>
  <c r="L51" i="61"/>
  <c r="K51" i="61"/>
  <c r="J51" i="61"/>
  <c r="F51" i="61"/>
  <c r="H51" i="61" s="1"/>
  <c r="B51" i="61"/>
  <c r="W50" i="61"/>
  <c r="V50" i="61"/>
  <c r="P50" i="61"/>
  <c r="N50" i="61"/>
  <c r="L50" i="61"/>
  <c r="K50" i="61"/>
  <c r="J50" i="61"/>
  <c r="H50" i="61"/>
  <c r="F50" i="61"/>
  <c r="B50" i="61"/>
  <c r="W49" i="61"/>
  <c r="N49" i="61" s="1"/>
  <c r="AF49" i="61" s="1"/>
  <c r="P49" i="61"/>
  <c r="K49" i="61"/>
  <c r="J49" i="61"/>
  <c r="H49" i="61"/>
  <c r="F49" i="61"/>
  <c r="B49" i="61"/>
  <c r="AE48" i="61"/>
  <c r="G21" i="60" s="1"/>
  <c r="AD48" i="61"/>
  <c r="AA48" i="61"/>
  <c r="Z48" i="61"/>
  <c r="G18" i="60" s="1"/>
  <c r="W48" i="61"/>
  <c r="M48" i="61"/>
  <c r="G22" i="60" s="1"/>
  <c r="K48" i="61"/>
  <c r="J48" i="61"/>
  <c r="W47" i="61"/>
  <c r="H47" i="61"/>
  <c r="W46" i="61"/>
  <c r="W45" i="61"/>
  <c r="W44" i="61"/>
  <c r="W43" i="61"/>
  <c r="W42" i="61"/>
  <c r="AG41" i="61"/>
  <c r="AF41" i="61"/>
  <c r="W41" i="61"/>
  <c r="W40" i="61"/>
  <c r="V40" i="61"/>
  <c r="P40" i="61"/>
  <c r="N40" i="61"/>
  <c r="L40" i="61"/>
  <c r="K40" i="61"/>
  <c r="J40" i="61"/>
  <c r="H40" i="61"/>
  <c r="F40" i="61"/>
  <c r="B40" i="61"/>
  <c r="W39" i="61"/>
  <c r="V39" i="61"/>
  <c r="P39" i="61"/>
  <c r="O39" i="61"/>
  <c r="N39" i="61"/>
  <c r="K39" i="61"/>
  <c r="J39" i="61"/>
  <c r="H39" i="61"/>
  <c r="F39" i="61"/>
  <c r="B39" i="61"/>
  <c r="AG38" i="61"/>
  <c r="W38" i="61"/>
  <c r="N38" i="61" s="1"/>
  <c r="P38" i="61"/>
  <c r="L38" i="61"/>
  <c r="L48" i="61" s="1"/>
  <c r="G13" i="60" s="1"/>
  <c r="K38" i="61"/>
  <c r="J38" i="61"/>
  <c r="H38" i="61"/>
  <c r="F38" i="61"/>
  <c r="B38" i="61"/>
  <c r="AE37" i="61"/>
  <c r="F21" i="60" s="1"/>
  <c r="AD37" i="61"/>
  <c r="AA37" i="61"/>
  <c r="Z37" i="61"/>
  <c r="F18" i="60" s="1"/>
  <c r="N37" i="61"/>
  <c r="M37" i="61"/>
  <c r="K37" i="61"/>
  <c r="J37" i="61"/>
  <c r="W36" i="61"/>
  <c r="H36" i="61"/>
  <c r="W35" i="61"/>
  <c r="W34" i="61"/>
  <c r="W33" i="61"/>
  <c r="W32" i="61"/>
  <c r="AG31" i="61"/>
  <c r="AF31" i="61"/>
  <c r="W31" i="61"/>
  <c r="AG30" i="61"/>
  <c r="AF30" i="61"/>
  <c r="W30" i="61"/>
  <c r="V30" i="61"/>
  <c r="W29" i="61"/>
  <c r="V29" i="61"/>
  <c r="N29" i="61"/>
  <c r="K29" i="61"/>
  <c r="L29" i="61" s="1"/>
  <c r="J29" i="61"/>
  <c r="P29" i="61" s="1"/>
  <c r="F29" i="61"/>
  <c r="H29" i="61" s="1"/>
  <c r="B29" i="61"/>
  <c r="W28" i="61"/>
  <c r="V28" i="61"/>
  <c r="N28" i="61"/>
  <c r="K28" i="61"/>
  <c r="J28" i="61"/>
  <c r="P28" i="61" s="1"/>
  <c r="H28" i="61"/>
  <c r="F28" i="61"/>
  <c r="B28" i="61"/>
  <c r="W27" i="61"/>
  <c r="N27" i="61"/>
  <c r="L27" i="61"/>
  <c r="L37" i="61" s="1"/>
  <c r="F13" i="60" s="1"/>
  <c r="K27" i="61"/>
  <c r="J27" i="61"/>
  <c r="P27" i="61" s="1"/>
  <c r="H27" i="61"/>
  <c r="F27" i="61"/>
  <c r="B27" i="61"/>
  <c r="AE26" i="61"/>
  <c r="AD26" i="61"/>
  <c r="E20" i="60" s="1"/>
  <c r="AA26" i="61"/>
  <c r="Z26" i="61"/>
  <c r="M26" i="61"/>
  <c r="W25" i="61"/>
  <c r="H25" i="61"/>
  <c r="W24" i="61"/>
  <c r="H24" i="61"/>
  <c r="W23" i="61"/>
  <c r="W21" i="61"/>
  <c r="W20" i="61"/>
  <c r="V20" i="61"/>
  <c r="AG19" i="61"/>
  <c r="AF19" i="61"/>
  <c r="W19" i="61"/>
  <c r="V19" i="61"/>
  <c r="AG18" i="61"/>
  <c r="AF18" i="61"/>
  <c r="W18" i="61"/>
  <c r="N18" i="61" s="1"/>
  <c r="O18" i="61" s="1"/>
  <c r="V18" i="61"/>
  <c r="P18" i="61"/>
  <c r="K18" i="61"/>
  <c r="L18" i="61" s="1"/>
  <c r="J18" i="61"/>
  <c r="H18" i="61"/>
  <c r="F18" i="61"/>
  <c r="B18" i="61"/>
  <c r="AF17" i="61"/>
  <c r="W17" i="61"/>
  <c r="N17" i="61" s="1"/>
  <c r="O17" i="61" s="1"/>
  <c r="V17" i="61"/>
  <c r="K17" i="61"/>
  <c r="J17" i="61"/>
  <c r="H17" i="61"/>
  <c r="F17" i="61"/>
  <c r="B17" i="61"/>
  <c r="AG16" i="61"/>
  <c r="W16" i="61"/>
  <c r="P16" i="61"/>
  <c r="O16" i="61"/>
  <c r="N16" i="61"/>
  <c r="L16" i="61"/>
  <c r="L26" i="61" s="1"/>
  <c r="E13" i="60" s="1"/>
  <c r="K16" i="61"/>
  <c r="K26" i="61" s="1"/>
  <c r="J16" i="61"/>
  <c r="J26" i="61" s="1"/>
  <c r="F16" i="61"/>
  <c r="H16" i="61" s="1"/>
  <c r="B16" i="61"/>
  <c r="AE15" i="61"/>
  <c r="D21" i="60" s="1"/>
  <c r="AD15" i="61"/>
  <c r="AA15" i="61"/>
  <c r="Z15" i="61"/>
  <c r="D18" i="60" s="1"/>
  <c r="M15" i="61"/>
  <c r="J15" i="61"/>
  <c r="W14" i="61"/>
  <c r="W13" i="61"/>
  <c r="W12" i="61"/>
  <c r="AG11" i="61"/>
  <c r="AF11" i="61"/>
  <c r="W11" i="61"/>
  <c r="AG10" i="61"/>
  <c r="AF10" i="61"/>
  <c r="W10" i="61"/>
  <c r="AG9" i="61"/>
  <c r="AF9" i="61"/>
  <c r="W9" i="61"/>
  <c r="AG8" i="61"/>
  <c r="AF8" i="61"/>
  <c r="W8" i="61"/>
  <c r="AG7" i="61"/>
  <c r="AF7" i="61"/>
  <c r="W7" i="61"/>
  <c r="N7" i="61" s="1"/>
  <c r="O7" i="61" s="1"/>
  <c r="V7" i="61"/>
  <c r="K7" i="61"/>
  <c r="J7" i="61"/>
  <c r="F7" i="61"/>
  <c r="H7" i="61" s="1"/>
  <c r="B7" i="61"/>
  <c r="W6" i="61"/>
  <c r="N6" i="61" s="1"/>
  <c r="O6" i="61" s="1"/>
  <c r="V6" i="61"/>
  <c r="L6" i="61"/>
  <c r="K6" i="61"/>
  <c r="J6" i="61"/>
  <c r="P6" i="61" s="1"/>
  <c r="F6" i="61"/>
  <c r="H6" i="61" s="1"/>
  <c r="B6" i="61"/>
  <c r="W5" i="61"/>
  <c r="N5" i="61" s="1"/>
  <c r="P5" i="61"/>
  <c r="L5" i="61"/>
  <c r="L15" i="61" s="1"/>
  <c r="D13" i="60" s="1"/>
  <c r="K5" i="61"/>
  <c r="K15" i="61" s="1"/>
  <c r="J5" i="61"/>
  <c r="F5" i="61"/>
  <c r="H5" i="61" s="1"/>
  <c r="G1" i="61" s="1"/>
  <c r="B5" i="61"/>
  <c r="I2" i="61"/>
  <c r="G2" i="61"/>
  <c r="E1" i="61"/>
  <c r="J22" i="60"/>
  <c r="I22" i="60"/>
  <c r="H22" i="60"/>
  <c r="J21" i="60"/>
  <c r="I21" i="60"/>
  <c r="E21" i="60"/>
  <c r="I20" i="60"/>
  <c r="H20" i="60"/>
  <c r="G20" i="60"/>
  <c r="F20" i="60"/>
  <c r="D20" i="60"/>
  <c r="J19" i="60"/>
  <c r="H19" i="60"/>
  <c r="G19" i="60"/>
  <c r="F19" i="60"/>
  <c r="E19" i="60"/>
  <c r="D19" i="60"/>
  <c r="I18" i="60"/>
  <c r="H18" i="60"/>
  <c r="J16" i="60"/>
  <c r="I16" i="60"/>
  <c r="H16" i="60"/>
  <c r="G16" i="60"/>
  <c r="F16" i="60"/>
  <c r="E16" i="60"/>
  <c r="D16" i="60"/>
  <c r="J3" i="60"/>
  <c r="G3" i="60"/>
  <c r="D3" i="60"/>
  <c r="AE79" i="59"/>
  <c r="AD79" i="59"/>
  <c r="AA79" i="59"/>
  <c r="Z79" i="59"/>
  <c r="N79" i="59"/>
  <c r="M79" i="59"/>
  <c r="J79" i="59"/>
  <c r="W78" i="59"/>
  <c r="H78" i="59"/>
  <c r="W77" i="59"/>
  <c r="H77" i="59"/>
  <c r="W76" i="59"/>
  <c r="H76" i="59"/>
  <c r="W75" i="59"/>
  <c r="H75" i="59"/>
  <c r="W74" i="59"/>
  <c r="W73" i="59"/>
  <c r="W72" i="59"/>
  <c r="W71" i="59"/>
  <c r="AF70" i="59"/>
  <c r="W70" i="59"/>
  <c r="N70" i="59" s="1"/>
  <c r="P70" i="59"/>
  <c r="K70" i="59"/>
  <c r="K79" i="59" s="1"/>
  <c r="J70" i="59"/>
  <c r="F70" i="59"/>
  <c r="H70" i="59" s="1"/>
  <c r="B70" i="59"/>
  <c r="AE69" i="59"/>
  <c r="AD69" i="59"/>
  <c r="AA69" i="59"/>
  <c r="Z69" i="59"/>
  <c r="I18" i="58" s="1"/>
  <c r="M69" i="59"/>
  <c r="J69" i="59"/>
  <c r="W68" i="59"/>
  <c r="H68" i="59"/>
  <c r="W67" i="59"/>
  <c r="W66" i="59"/>
  <c r="W65" i="59"/>
  <c r="W64" i="59"/>
  <c r="W63" i="59"/>
  <c r="AG62" i="59"/>
  <c r="AF62" i="59"/>
  <c r="W62" i="59"/>
  <c r="W61" i="59"/>
  <c r="N61" i="59" s="1"/>
  <c r="V61" i="59"/>
  <c r="P61" i="59"/>
  <c r="L61" i="59"/>
  <c r="K61" i="59"/>
  <c r="J61" i="59"/>
  <c r="H61" i="59"/>
  <c r="F61" i="59"/>
  <c r="B61" i="59"/>
  <c r="W60" i="59"/>
  <c r="N60" i="59" s="1"/>
  <c r="V60" i="59"/>
  <c r="K60" i="59"/>
  <c r="J60" i="59"/>
  <c r="P60" i="59" s="1"/>
  <c r="F60" i="59"/>
  <c r="H60" i="59" s="1"/>
  <c r="B60" i="59"/>
  <c r="W59" i="59"/>
  <c r="N59" i="59"/>
  <c r="L59" i="59"/>
  <c r="L69" i="59" s="1"/>
  <c r="I13" i="58" s="1"/>
  <c r="J6" i="58" s="1"/>
  <c r="K59" i="59"/>
  <c r="K69" i="59" s="1"/>
  <c r="J59" i="59"/>
  <c r="P59" i="59" s="1"/>
  <c r="H59" i="59"/>
  <c r="F59" i="59"/>
  <c r="B59" i="59"/>
  <c r="AE58" i="59"/>
  <c r="H21" i="58" s="1"/>
  <c r="AD58" i="59"/>
  <c r="H20" i="58" s="1"/>
  <c r="AA58" i="59"/>
  <c r="H19" i="58" s="1"/>
  <c r="Z58" i="59"/>
  <c r="P58" i="59"/>
  <c r="M58" i="59"/>
  <c r="L58" i="59"/>
  <c r="H13" i="58" s="1"/>
  <c r="K58" i="59"/>
  <c r="W57" i="59"/>
  <c r="W56" i="59"/>
  <c r="W55" i="59"/>
  <c r="W54" i="59"/>
  <c r="AG53" i="59"/>
  <c r="AF53" i="59"/>
  <c r="W53" i="59"/>
  <c r="AG52" i="59"/>
  <c r="AF52" i="59"/>
  <c r="W52" i="59"/>
  <c r="V52" i="59"/>
  <c r="W51" i="59"/>
  <c r="N51" i="59" s="1"/>
  <c r="V51" i="59"/>
  <c r="K51" i="59"/>
  <c r="L51" i="59" s="1"/>
  <c r="J51" i="59"/>
  <c r="P51" i="59" s="1"/>
  <c r="H51" i="59"/>
  <c r="F51" i="59"/>
  <c r="B51" i="59"/>
  <c r="AF50" i="59"/>
  <c r="W50" i="59"/>
  <c r="N50" i="59" s="1"/>
  <c r="V50" i="59"/>
  <c r="K50" i="59"/>
  <c r="J50" i="59"/>
  <c r="P50" i="59" s="1"/>
  <c r="H50" i="59"/>
  <c r="F50" i="59"/>
  <c r="B50" i="59"/>
  <c r="W49" i="59"/>
  <c r="N49" i="59" s="1"/>
  <c r="P49" i="59"/>
  <c r="O49" i="59"/>
  <c r="K49" i="59"/>
  <c r="L49" i="59" s="1"/>
  <c r="J49" i="59"/>
  <c r="J58" i="59" s="1"/>
  <c r="H49" i="59"/>
  <c r="F49" i="59"/>
  <c r="B49" i="59"/>
  <c r="AE48" i="59"/>
  <c r="G21" i="58" s="1"/>
  <c r="AD48" i="59"/>
  <c r="G20" i="58" s="1"/>
  <c r="AA48" i="59"/>
  <c r="G19" i="58" s="1"/>
  <c r="Z48" i="59"/>
  <c r="W48" i="59"/>
  <c r="M48" i="59"/>
  <c r="W47" i="59"/>
  <c r="H47" i="59"/>
  <c r="W46" i="59"/>
  <c r="W45" i="59"/>
  <c r="W44" i="59"/>
  <c r="W43" i="59"/>
  <c r="W42" i="59"/>
  <c r="AG41" i="59"/>
  <c r="AF41" i="59"/>
  <c r="W41" i="59"/>
  <c r="W40" i="59"/>
  <c r="N40" i="59" s="1"/>
  <c r="V40" i="59"/>
  <c r="P40" i="59"/>
  <c r="L40" i="59"/>
  <c r="K40" i="59"/>
  <c r="J40" i="59"/>
  <c r="F40" i="59"/>
  <c r="H40" i="59" s="1"/>
  <c r="B40" i="59"/>
  <c r="W39" i="59"/>
  <c r="N39" i="59" s="1"/>
  <c r="AG39" i="59" s="1"/>
  <c r="V39" i="59"/>
  <c r="O39" i="59"/>
  <c r="K39" i="59"/>
  <c r="J39" i="59"/>
  <c r="F39" i="59"/>
  <c r="H39" i="59" s="1"/>
  <c r="B39" i="59"/>
  <c r="W38" i="59"/>
  <c r="N38" i="59" s="1"/>
  <c r="K38" i="59"/>
  <c r="L38" i="59" s="1"/>
  <c r="L48" i="59" s="1"/>
  <c r="G13" i="58" s="1"/>
  <c r="J38" i="59"/>
  <c r="P38" i="59" s="1"/>
  <c r="H38" i="59"/>
  <c r="F38" i="59"/>
  <c r="B38" i="59"/>
  <c r="AE37" i="59"/>
  <c r="F21" i="58" s="1"/>
  <c r="AD37" i="59"/>
  <c r="F20" i="58" s="1"/>
  <c r="AA37" i="59"/>
  <c r="Z37" i="59"/>
  <c r="M37" i="59"/>
  <c r="F22" i="58" s="1"/>
  <c r="L37" i="59"/>
  <c r="F13" i="58" s="1"/>
  <c r="K37" i="59"/>
  <c r="J37" i="59"/>
  <c r="W36" i="59"/>
  <c r="H36" i="59"/>
  <c r="W35" i="59"/>
  <c r="W34" i="59"/>
  <c r="W33" i="59"/>
  <c r="W32" i="59"/>
  <c r="AG31" i="59"/>
  <c r="AF31" i="59"/>
  <c r="W31" i="59"/>
  <c r="AG30" i="59"/>
  <c r="AF30" i="59"/>
  <c r="W30" i="59"/>
  <c r="V30" i="59"/>
  <c r="AG29" i="59"/>
  <c r="W29" i="59"/>
  <c r="V29" i="59"/>
  <c r="N29" i="59"/>
  <c r="K29" i="59"/>
  <c r="L29" i="59" s="1"/>
  <c r="J29" i="59"/>
  <c r="P29" i="59" s="1"/>
  <c r="F29" i="59"/>
  <c r="H29" i="59" s="1"/>
  <c r="B29" i="59"/>
  <c r="W28" i="59"/>
  <c r="V28" i="59"/>
  <c r="P28" i="59"/>
  <c r="N28" i="59"/>
  <c r="K28" i="59"/>
  <c r="L28" i="59" s="1"/>
  <c r="J28" i="59"/>
  <c r="H28" i="59"/>
  <c r="F28" i="59"/>
  <c r="B28" i="59"/>
  <c r="W27" i="59"/>
  <c r="N27" i="59" s="1"/>
  <c r="P27" i="59"/>
  <c r="L27" i="59"/>
  <c r="K27" i="59"/>
  <c r="J27" i="59"/>
  <c r="H27" i="59"/>
  <c r="F27" i="59"/>
  <c r="B27" i="59"/>
  <c r="AE26" i="59"/>
  <c r="AD26" i="59"/>
  <c r="AA26" i="59"/>
  <c r="E19" i="58" s="1"/>
  <c r="Z26" i="59"/>
  <c r="E18" i="58" s="1"/>
  <c r="M26" i="59"/>
  <c r="K26" i="59"/>
  <c r="J26" i="59"/>
  <c r="W25" i="59"/>
  <c r="H25" i="59"/>
  <c r="W24" i="59"/>
  <c r="H24" i="59"/>
  <c r="W23" i="59"/>
  <c r="W21" i="59"/>
  <c r="W20" i="59"/>
  <c r="V20" i="59"/>
  <c r="AG19" i="59"/>
  <c r="AF19" i="59"/>
  <c r="W19" i="59"/>
  <c r="V19" i="59"/>
  <c r="AG18" i="59"/>
  <c r="AF18" i="59"/>
  <c r="W18" i="59"/>
  <c r="N18" i="59" s="1"/>
  <c r="O18" i="59" s="1"/>
  <c r="V18" i="59"/>
  <c r="P18" i="59"/>
  <c r="K18" i="59"/>
  <c r="L18" i="59" s="1"/>
  <c r="J18" i="59"/>
  <c r="H18" i="59"/>
  <c r="F18" i="59"/>
  <c r="B18" i="59"/>
  <c r="W17" i="59"/>
  <c r="V17" i="59"/>
  <c r="N17" i="59"/>
  <c r="K17" i="59"/>
  <c r="L17" i="59" s="1"/>
  <c r="J17" i="59"/>
  <c r="P17" i="59" s="1"/>
  <c r="H17" i="59"/>
  <c r="F17" i="59"/>
  <c r="B17" i="59"/>
  <c r="AG16" i="59"/>
  <c r="AF16" i="59"/>
  <c r="W16" i="59"/>
  <c r="R16" i="59"/>
  <c r="Q16" i="59"/>
  <c r="P16" i="59"/>
  <c r="O16" i="59"/>
  <c r="N16" i="59"/>
  <c r="K16" i="59"/>
  <c r="J16" i="59"/>
  <c r="L16" i="59" s="1"/>
  <c r="L26" i="59" s="1"/>
  <c r="E13" i="58" s="1"/>
  <c r="F16" i="59"/>
  <c r="H16" i="59" s="1"/>
  <c r="B16" i="59"/>
  <c r="AE15" i="59"/>
  <c r="D21" i="58" s="1"/>
  <c r="AD15" i="59"/>
  <c r="AA15" i="59"/>
  <c r="Z15" i="59"/>
  <c r="M15" i="59"/>
  <c r="W14" i="59"/>
  <c r="W13" i="59"/>
  <c r="W12" i="59"/>
  <c r="AG11" i="59"/>
  <c r="AF11" i="59"/>
  <c r="W11" i="59"/>
  <c r="AG10" i="59"/>
  <c r="AF10" i="59"/>
  <c r="W10" i="59"/>
  <c r="AG9" i="59"/>
  <c r="AF9" i="59"/>
  <c r="W9" i="59"/>
  <c r="AG8" i="59"/>
  <c r="AF8" i="59"/>
  <c r="W8" i="59"/>
  <c r="W7" i="59"/>
  <c r="N7" i="59" s="1"/>
  <c r="V7" i="59"/>
  <c r="P7" i="59"/>
  <c r="O7" i="59"/>
  <c r="L7" i="59"/>
  <c r="K7" i="59"/>
  <c r="J7" i="59"/>
  <c r="H7" i="59"/>
  <c r="F7" i="59"/>
  <c r="B7" i="59"/>
  <c r="W6" i="59"/>
  <c r="N6" i="59" s="1"/>
  <c r="O6" i="59" s="1"/>
  <c r="V6" i="59"/>
  <c r="K6" i="59"/>
  <c r="J6" i="59"/>
  <c r="F6" i="59"/>
  <c r="H6" i="59" s="1"/>
  <c r="B6" i="59"/>
  <c r="W5" i="59"/>
  <c r="N5" i="59" s="1"/>
  <c r="K5" i="59"/>
  <c r="J5" i="59"/>
  <c r="H5" i="59"/>
  <c r="G1" i="59" s="1"/>
  <c r="F5" i="59"/>
  <c r="B5" i="59"/>
  <c r="I2" i="59"/>
  <c r="E1" i="59"/>
  <c r="G3" i="58" s="1"/>
  <c r="I22" i="58"/>
  <c r="H22" i="58"/>
  <c r="G22" i="58"/>
  <c r="D22" i="58"/>
  <c r="J21" i="58"/>
  <c r="I21" i="58"/>
  <c r="E21" i="58"/>
  <c r="J20" i="58"/>
  <c r="I20" i="58"/>
  <c r="E20" i="58"/>
  <c r="J19" i="58"/>
  <c r="I19" i="58"/>
  <c r="F19" i="58"/>
  <c r="J18" i="58"/>
  <c r="H18" i="58"/>
  <c r="G18" i="58"/>
  <c r="F18" i="58"/>
  <c r="J16" i="58"/>
  <c r="I16" i="58"/>
  <c r="H16" i="58"/>
  <c r="G16" i="58"/>
  <c r="F16" i="58"/>
  <c r="E16" i="58"/>
  <c r="D16" i="58"/>
  <c r="D3" i="58"/>
  <c r="AE79" i="57"/>
  <c r="J21" i="56" s="1"/>
  <c r="AD79" i="57"/>
  <c r="AA79" i="57"/>
  <c r="Z79" i="57"/>
  <c r="M79" i="57"/>
  <c r="W78" i="57"/>
  <c r="H78" i="57"/>
  <c r="W77" i="57"/>
  <c r="H77" i="57"/>
  <c r="W76" i="57"/>
  <c r="H76" i="57"/>
  <c r="W75" i="57"/>
  <c r="H75" i="57"/>
  <c r="W74" i="57"/>
  <c r="W73" i="57"/>
  <c r="W72" i="57"/>
  <c r="W71" i="57"/>
  <c r="W70" i="57"/>
  <c r="N70" i="57"/>
  <c r="L70" i="57"/>
  <c r="L79" i="57" s="1"/>
  <c r="J13" i="56" s="1"/>
  <c r="K70" i="57"/>
  <c r="K79" i="57" s="1"/>
  <c r="J70" i="57"/>
  <c r="P70" i="57" s="1"/>
  <c r="F70" i="57"/>
  <c r="H70" i="57" s="1"/>
  <c r="B70" i="57"/>
  <c r="AE69" i="57"/>
  <c r="AD69" i="57"/>
  <c r="AA69" i="57"/>
  <c r="I19" i="56" s="1"/>
  <c r="Z69" i="57"/>
  <c r="N69" i="57"/>
  <c r="M69" i="57"/>
  <c r="K69" i="57"/>
  <c r="W68" i="57"/>
  <c r="H68" i="57"/>
  <c r="W67" i="57"/>
  <c r="W66" i="57"/>
  <c r="W65" i="57"/>
  <c r="W64" i="57"/>
  <c r="W63" i="57"/>
  <c r="AG62" i="57"/>
  <c r="AF62" i="57"/>
  <c r="W62" i="57"/>
  <c r="AG61" i="57"/>
  <c r="W61" i="57"/>
  <c r="V61" i="57"/>
  <c r="P61" i="57"/>
  <c r="O61" i="57"/>
  <c r="N61" i="57"/>
  <c r="AF61" i="57" s="1"/>
  <c r="K61" i="57"/>
  <c r="J61" i="57"/>
  <c r="L61" i="57" s="1"/>
  <c r="H61" i="57"/>
  <c r="F61" i="57"/>
  <c r="B61" i="57"/>
  <c r="AG60" i="57"/>
  <c r="W60" i="57"/>
  <c r="V60" i="57"/>
  <c r="P60" i="57"/>
  <c r="N60" i="57"/>
  <c r="L60" i="57"/>
  <c r="K60" i="57"/>
  <c r="J60" i="57"/>
  <c r="F60" i="57"/>
  <c r="H60" i="57" s="1"/>
  <c r="B60" i="57"/>
  <c r="AG59" i="57"/>
  <c r="AF59" i="57"/>
  <c r="W59" i="57"/>
  <c r="N59" i="57"/>
  <c r="O59" i="57" s="1"/>
  <c r="K59" i="57"/>
  <c r="J59" i="57"/>
  <c r="H59" i="57"/>
  <c r="F59" i="57"/>
  <c r="B59" i="57"/>
  <c r="AE58" i="57"/>
  <c r="AD58" i="57"/>
  <c r="AA58" i="57"/>
  <c r="Z58" i="57"/>
  <c r="H18" i="56" s="1"/>
  <c r="M58" i="57"/>
  <c r="W57" i="57"/>
  <c r="W56" i="57"/>
  <c r="W55" i="57"/>
  <c r="W54" i="57"/>
  <c r="AG53" i="57"/>
  <c r="AF53" i="57"/>
  <c r="W53" i="57"/>
  <c r="AG52" i="57"/>
  <c r="AF52" i="57"/>
  <c r="W52" i="57"/>
  <c r="V52" i="57"/>
  <c r="W51" i="57"/>
  <c r="V51" i="57"/>
  <c r="P51" i="57"/>
  <c r="N51" i="57"/>
  <c r="L51" i="57"/>
  <c r="K51" i="57"/>
  <c r="J51" i="57"/>
  <c r="H51" i="57"/>
  <c r="F51" i="57"/>
  <c r="B51" i="57"/>
  <c r="W50" i="57"/>
  <c r="N50" i="57" s="1"/>
  <c r="O50" i="57" s="1"/>
  <c r="V50" i="57"/>
  <c r="R50" i="57"/>
  <c r="Q50" i="57"/>
  <c r="P50" i="57"/>
  <c r="L50" i="57"/>
  <c r="K50" i="57"/>
  <c r="J50" i="57"/>
  <c r="F50" i="57"/>
  <c r="H50" i="57" s="1"/>
  <c r="B50" i="57"/>
  <c r="W49" i="57"/>
  <c r="N49" i="57" s="1"/>
  <c r="AG49" i="57" s="1"/>
  <c r="L49" i="57"/>
  <c r="L58" i="57" s="1"/>
  <c r="H13" i="56" s="1"/>
  <c r="K49" i="57"/>
  <c r="K58" i="57" s="1"/>
  <c r="J49" i="57"/>
  <c r="H49" i="57"/>
  <c r="F49" i="57"/>
  <c r="B49" i="57"/>
  <c r="AE48" i="57"/>
  <c r="G21" i="56" s="1"/>
  <c r="AD48" i="57"/>
  <c r="AA48" i="57"/>
  <c r="Z48" i="57"/>
  <c r="W48" i="57"/>
  <c r="M48" i="57"/>
  <c r="G22" i="56" s="1"/>
  <c r="W47" i="57"/>
  <c r="H47" i="57"/>
  <c r="W46" i="57"/>
  <c r="W45" i="57"/>
  <c r="W44" i="57"/>
  <c r="W43" i="57"/>
  <c r="W42" i="57"/>
  <c r="AG41" i="57"/>
  <c r="AF41" i="57"/>
  <c r="W41" i="57"/>
  <c r="AG40" i="57"/>
  <c r="W40" i="57"/>
  <c r="V40" i="57"/>
  <c r="P40" i="57"/>
  <c r="O40" i="57"/>
  <c r="N40" i="57"/>
  <c r="AF40" i="57" s="1"/>
  <c r="K40" i="57"/>
  <c r="J40" i="57"/>
  <c r="L40" i="57" s="1"/>
  <c r="H40" i="57"/>
  <c r="F40" i="57"/>
  <c r="B40" i="57"/>
  <c r="AG39" i="57"/>
  <c r="W39" i="57"/>
  <c r="V39" i="57"/>
  <c r="R39" i="57"/>
  <c r="Q39" i="57"/>
  <c r="P39" i="57"/>
  <c r="O39" i="57"/>
  <c r="N39" i="57"/>
  <c r="AF39" i="57" s="1"/>
  <c r="L39" i="57"/>
  <c r="K39" i="57"/>
  <c r="J39" i="57"/>
  <c r="H39" i="57"/>
  <c r="F39" i="57"/>
  <c r="B39" i="57"/>
  <c r="W38" i="57"/>
  <c r="N38" i="57" s="1"/>
  <c r="L38" i="57"/>
  <c r="L48" i="57" s="1"/>
  <c r="G13" i="56" s="1"/>
  <c r="K38" i="57"/>
  <c r="K48" i="57" s="1"/>
  <c r="J38" i="57"/>
  <c r="F38" i="57"/>
  <c r="H38" i="57" s="1"/>
  <c r="B38" i="57"/>
  <c r="AE37" i="57"/>
  <c r="F21" i="56" s="1"/>
  <c r="AD37" i="57"/>
  <c r="AA37" i="57"/>
  <c r="Z37" i="57"/>
  <c r="N37" i="57"/>
  <c r="M37" i="57"/>
  <c r="L37" i="57"/>
  <c r="F13" i="56" s="1"/>
  <c r="K37" i="57"/>
  <c r="J37" i="57"/>
  <c r="W36" i="57"/>
  <c r="H36" i="57"/>
  <c r="W35" i="57"/>
  <c r="W34" i="57"/>
  <c r="W33" i="57"/>
  <c r="W32" i="57"/>
  <c r="AG31" i="57"/>
  <c r="AF31" i="57"/>
  <c r="W31" i="57"/>
  <c r="AG30" i="57"/>
  <c r="AF30" i="57"/>
  <c r="W30" i="57"/>
  <c r="V30" i="57"/>
  <c r="W29" i="57"/>
  <c r="V29" i="57"/>
  <c r="P29" i="57"/>
  <c r="N29" i="57"/>
  <c r="L29" i="57"/>
  <c r="K29" i="57"/>
  <c r="J29" i="57"/>
  <c r="F29" i="57"/>
  <c r="H29" i="57" s="1"/>
  <c r="B29" i="57"/>
  <c r="AG28" i="57"/>
  <c r="W28" i="57"/>
  <c r="N28" i="57" s="1"/>
  <c r="V28" i="57"/>
  <c r="O28" i="57"/>
  <c r="K28" i="57"/>
  <c r="J28" i="57"/>
  <c r="P28" i="57" s="1"/>
  <c r="F28" i="57"/>
  <c r="H28" i="57" s="1"/>
  <c r="B28" i="57"/>
  <c r="W27" i="57"/>
  <c r="P27" i="57"/>
  <c r="O27" i="57"/>
  <c r="N27" i="57"/>
  <c r="K27" i="57"/>
  <c r="L27" i="57" s="1"/>
  <c r="J27" i="57"/>
  <c r="F27" i="57"/>
  <c r="H27" i="57" s="1"/>
  <c r="B27" i="57"/>
  <c r="AE26" i="57"/>
  <c r="AD26" i="57"/>
  <c r="AA26" i="57"/>
  <c r="E19" i="56" s="1"/>
  <c r="Z26" i="57"/>
  <c r="E18" i="56" s="1"/>
  <c r="N26" i="57"/>
  <c r="M26" i="57"/>
  <c r="W25" i="57"/>
  <c r="H25" i="57"/>
  <c r="W24" i="57"/>
  <c r="H24" i="57"/>
  <c r="W23" i="57"/>
  <c r="W21" i="57"/>
  <c r="W20" i="57"/>
  <c r="V20" i="57"/>
  <c r="AG19" i="57"/>
  <c r="AF19" i="57"/>
  <c r="W19" i="57"/>
  <c r="V19" i="57"/>
  <c r="W18" i="57"/>
  <c r="N18" i="57" s="1"/>
  <c r="V18" i="57"/>
  <c r="P18" i="57"/>
  <c r="O18" i="57"/>
  <c r="R18" i="57" s="1"/>
  <c r="L18" i="57"/>
  <c r="K18" i="57"/>
  <c r="J18" i="57"/>
  <c r="H18" i="57"/>
  <c r="F18" i="57"/>
  <c r="B18" i="57"/>
  <c r="W17" i="57"/>
  <c r="N17" i="57" s="1"/>
  <c r="V17" i="57"/>
  <c r="P17" i="57"/>
  <c r="L17" i="57"/>
  <c r="K17" i="57"/>
  <c r="J17" i="57"/>
  <c r="F17" i="57"/>
  <c r="H17" i="57" s="1"/>
  <c r="B17" i="57"/>
  <c r="AF16" i="57"/>
  <c r="W16" i="57"/>
  <c r="P16" i="57"/>
  <c r="N16" i="57"/>
  <c r="K16" i="57"/>
  <c r="K26" i="57" s="1"/>
  <c r="J16" i="57"/>
  <c r="F16" i="57"/>
  <c r="H16" i="57" s="1"/>
  <c r="B16" i="57"/>
  <c r="AE15" i="57"/>
  <c r="AD15" i="57"/>
  <c r="AA15" i="57"/>
  <c r="Z15" i="57"/>
  <c r="M15" i="57"/>
  <c r="J15" i="57"/>
  <c r="W14" i="57"/>
  <c r="W13" i="57"/>
  <c r="W12" i="57"/>
  <c r="AG11" i="57"/>
  <c r="AF11" i="57"/>
  <c r="W11" i="57"/>
  <c r="AG10" i="57"/>
  <c r="AF10" i="57"/>
  <c r="W10" i="57"/>
  <c r="AG9" i="57"/>
  <c r="AF9" i="57"/>
  <c r="W9" i="57"/>
  <c r="AG8" i="57"/>
  <c r="AF8" i="57"/>
  <c r="W8" i="57"/>
  <c r="W7" i="57"/>
  <c r="V7" i="57"/>
  <c r="N7" i="57"/>
  <c r="K7" i="57"/>
  <c r="L7" i="57" s="1"/>
  <c r="J7" i="57"/>
  <c r="P7" i="57" s="1"/>
  <c r="H7" i="57"/>
  <c r="F7" i="57"/>
  <c r="B7" i="57"/>
  <c r="W6" i="57"/>
  <c r="N6" i="57" s="1"/>
  <c r="V6" i="57"/>
  <c r="K6" i="57"/>
  <c r="L6" i="57" s="1"/>
  <c r="J6" i="57"/>
  <c r="P6" i="57" s="1"/>
  <c r="F6" i="57"/>
  <c r="H6" i="57" s="1"/>
  <c r="B6" i="57"/>
  <c r="W5" i="57"/>
  <c r="P5" i="57"/>
  <c r="N5" i="57"/>
  <c r="L5" i="57"/>
  <c r="L15" i="57" s="1"/>
  <c r="D13" i="56" s="1"/>
  <c r="K5" i="57"/>
  <c r="K15" i="57" s="1"/>
  <c r="J5" i="57"/>
  <c r="F5" i="57"/>
  <c r="H5" i="57" s="1"/>
  <c r="G1" i="57" s="1"/>
  <c r="B5" i="57"/>
  <c r="I2" i="57"/>
  <c r="E1" i="57"/>
  <c r="J22" i="56"/>
  <c r="I22" i="56"/>
  <c r="H22" i="56"/>
  <c r="E22" i="56"/>
  <c r="I21" i="56"/>
  <c r="H21" i="56"/>
  <c r="E21" i="56"/>
  <c r="D21" i="56"/>
  <c r="J20" i="56"/>
  <c r="I20" i="56"/>
  <c r="H20" i="56"/>
  <c r="G20" i="56"/>
  <c r="F20" i="56"/>
  <c r="E20" i="56"/>
  <c r="J19" i="56"/>
  <c r="H19" i="56"/>
  <c r="G19" i="56"/>
  <c r="F19" i="56"/>
  <c r="J18" i="56"/>
  <c r="I18" i="56"/>
  <c r="G18" i="56"/>
  <c r="F18" i="56"/>
  <c r="J16" i="56"/>
  <c r="I16" i="56"/>
  <c r="H16" i="56"/>
  <c r="G16" i="56"/>
  <c r="F16" i="56"/>
  <c r="E16" i="56"/>
  <c r="D16" i="56"/>
  <c r="G3" i="56"/>
  <c r="D3" i="56"/>
  <c r="AE79" i="55"/>
  <c r="J21" i="54" s="1"/>
  <c r="AD79" i="55"/>
  <c r="AA79" i="55"/>
  <c r="Z79" i="55"/>
  <c r="P79" i="55"/>
  <c r="M79" i="55"/>
  <c r="J79" i="55"/>
  <c r="W78" i="55"/>
  <c r="H78" i="55"/>
  <c r="W77" i="55"/>
  <c r="H77" i="55"/>
  <c r="W76" i="55"/>
  <c r="H76" i="55"/>
  <c r="W75" i="55"/>
  <c r="H75" i="55"/>
  <c r="W74" i="55"/>
  <c r="W73" i="55"/>
  <c r="W72" i="55"/>
  <c r="W71" i="55"/>
  <c r="W70" i="55"/>
  <c r="P70" i="55"/>
  <c r="N70" i="55"/>
  <c r="K70" i="55"/>
  <c r="K79" i="55" s="1"/>
  <c r="J70" i="55"/>
  <c r="F70" i="55"/>
  <c r="H70" i="55" s="1"/>
  <c r="B70" i="55"/>
  <c r="AE69" i="55"/>
  <c r="AD69" i="55"/>
  <c r="AA69" i="55"/>
  <c r="I19" i="54" s="1"/>
  <c r="Z69" i="55"/>
  <c r="I18" i="54" s="1"/>
  <c r="Q69" i="55"/>
  <c r="N69" i="55"/>
  <c r="M69" i="55"/>
  <c r="K69" i="55"/>
  <c r="W68" i="55"/>
  <c r="H68" i="55"/>
  <c r="W67" i="55"/>
  <c r="W66" i="55"/>
  <c r="W65" i="55"/>
  <c r="W64" i="55"/>
  <c r="W63" i="55"/>
  <c r="AG62" i="55"/>
  <c r="AF62" i="55"/>
  <c r="W62" i="55"/>
  <c r="AG61" i="55"/>
  <c r="W61" i="55"/>
  <c r="N61" i="55" s="1"/>
  <c r="O61" i="55" s="1"/>
  <c r="V61" i="55"/>
  <c r="K61" i="55"/>
  <c r="J61" i="55"/>
  <c r="P61" i="55" s="1"/>
  <c r="F61" i="55"/>
  <c r="H61" i="55" s="1"/>
  <c r="B61" i="55"/>
  <c r="AG60" i="55"/>
  <c r="AF60" i="55"/>
  <c r="W60" i="55"/>
  <c r="V60" i="55"/>
  <c r="O60" i="55"/>
  <c r="N60" i="55"/>
  <c r="K60" i="55"/>
  <c r="J60" i="55"/>
  <c r="P60" i="55" s="1"/>
  <c r="F60" i="55"/>
  <c r="H60" i="55" s="1"/>
  <c r="B60" i="55"/>
  <c r="W59" i="55"/>
  <c r="N59" i="55"/>
  <c r="K59" i="55"/>
  <c r="J59" i="55"/>
  <c r="P59" i="55" s="1"/>
  <c r="H59" i="55"/>
  <c r="F59" i="55"/>
  <c r="B59" i="55"/>
  <c r="AE58" i="55"/>
  <c r="H21" i="54" s="1"/>
  <c r="AD58" i="55"/>
  <c r="H20" i="54" s="1"/>
  <c r="AA58" i="55"/>
  <c r="H19" i="54" s="1"/>
  <c r="Z58" i="55"/>
  <c r="M58" i="55"/>
  <c r="W57" i="55"/>
  <c r="W56" i="55"/>
  <c r="W55" i="55"/>
  <c r="W54" i="55"/>
  <c r="AG53" i="55"/>
  <c r="AF53" i="55"/>
  <c r="W53" i="55"/>
  <c r="AG52" i="55"/>
  <c r="AF52" i="55"/>
  <c r="W52" i="55"/>
  <c r="V52" i="55"/>
  <c r="W51" i="55"/>
  <c r="N51" i="55" s="1"/>
  <c r="V51" i="55"/>
  <c r="K51" i="55"/>
  <c r="J51" i="55"/>
  <c r="L51" i="55" s="1"/>
  <c r="H51" i="55"/>
  <c r="F51" i="55"/>
  <c r="B51" i="55"/>
  <c r="W50" i="55"/>
  <c r="N50" i="55" s="1"/>
  <c r="V50" i="55"/>
  <c r="K50" i="55"/>
  <c r="J50" i="55"/>
  <c r="P50" i="55" s="1"/>
  <c r="H50" i="55"/>
  <c r="F50" i="55"/>
  <c r="B50" i="55"/>
  <c r="W49" i="55"/>
  <c r="P49" i="55"/>
  <c r="N49" i="55"/>
  <c r="L49" i="55"/>
  <c r="L58" i="55" s="1"/>
  <c r="H13" i="54" s="1"/>
  <c r="K49" i="55"/>
  <c r="K58" i="55" s="1"/>
  <c r="J49" i="55"/>
  <c r="J58" i="55" s="1"/>
  <c r="P58" i="55" s="1"/>
  <c r="H49" i="55"/>
  <c r="F49" i="55"/>
  <c r="B49" i="55"/>
  <c r="AE48" i="55"/>
  <c r="G21" i="54" s="1"/>
  <c r="AD48" i="55"/>
  <c r="G20" i="54" s="1"/>
  <c r="AA48" i="55"/>
  <c r="Z48" i="55"/>
  <c r="G18" i="54" s="1"/>
  <c r="W48" i="55"/>
  <c r="M48" i="55"/>
  <c r="K48" i="55"/>
  <c r="J48" i="55"/>
  <c r="W47" i="55"/>
  <c r="H47" i="55"/>
  <c r="W46" i="55"/>
  <c r="W45" i="55"/>
  <c r="W44" i="55"/>
  <c r="W43" i="55"/>
  <c r="W42" i="55"/>
  <c r="AG41" i="55"/>
  <c r="AF41" i="55"/>
  <c r="W41" i="55"/>
  <c r="W40" i="55"/>
  <c r="N40" i="55" s="1"/>
  <c r="V40" i="55"/>
  <c r="K40" i="55"/>
  <c r="J40" i="55"/>
  <c r="F40" i="55"/>
  <c r="H40" i="55" s="1"/>
  <c r="B40" i="55"/>
  <c r="AG39" i="55"/>
  <c r="AF39" i="55"/>
  <c r="W39" i="55"/>
  <c r="N39" i="55" s="1"/>
  <c r="O39" i="55" s="1"/>
  <c r="V39" i="55"/>
  <c r="P39" i="55"/>
  <c r="K39" i="55"/>
  <c r="J39" i="55"/>
  <c r="F39" i="55"/>
  <c r="H39" i="55" s="1"/>
  <c r="B39" i="55"/>
  <c r="W38" i="55"/>
  <c r="N38" i="55"/>
  <c r="K38" i="55"/>
  <c r="J38" i="55"/>
  <c r="H38" i="55"/>
  <c r="F38" i="55"/>
  <c r="B38" i="55"/>
  <c r="AE37" i="55"/>
  <c r="F21" i="54" s="1"/>
  <c r="AD37" i="55"/>
  <c r="AA37" i="55"/>
  <c r="Z37" i="55"/>
  <c r="M37" i="55"/>
  <c r="F22" i="54" s="1"/>
  <c r="L37" i="55"/>
  <c r="K37" i="55"/>
  <c r="J37" i="55"/>
  <c r="W36" i="55"/>
  <c r="H36" i="55"/>
  <c r="W35" i="55"/>
  <c r="W34" i="55"/>
  <c r="W33" i="55"/>
  <c r="W32" i="55"/>
  <c r="AG31" i="55"/>
  <c r="AF31" i="55"/>
  <c r="W31" i="55"/>
  <c r="AG30" i="55"/>
  <c r="AF30" i="55"/>
  <c r="W30" i="55"/>
  <c r="V30" i="55"/>
  <c r="W29" i="55"/>
  <c r="V29" i="55"/>
  <c r="O29" i="55"/>
  <c r="N29" i="55"/>
  <c r="K29" i="55"/>
  <c r="AG29" i="55" s="1"/>
  <c r="J29" i="55"/>
  <c r="P29" i="55" s="1"/>
  <c r="F29" i="55"/>
  <c r="H29" i="55" s="1"/>
  <c r="B29" i="55"/>
  <c r="W28" i="55"/>
  <c r="V28" i="55"/>
  <c r="N28" i="55"/>
  <c r="K28" i="55"/>
  <c r="L28" i="55" s="1"/>
  <c r="J28" i="55"/>
  <c r="P28" i="55" s="1"/>
  <c r="H28" i="55"/>
  <c r="F28" i="55"/>
  <c r="B28" i="55"/>
  <c r="AG27" i="55"/>
  <c r="AF27" i="55"/>
  <c r="W27" i="55"/>
  <c r="N27" i="55" s="1"/>
  <c r="P27" i="55"/>
  <c r="L27" i="55"/>
  <c r="K27" i="55"/>
  <c r="J27" i="55"/>
  <c r="F27" i="55"/>
  <c r="H27" i="55" s="1"/>
  <c r="B27" i="55"/>
  <c r="AE26" i="55"/>
  <c r="AD26" i="55"/>
  <c r="AA26" i="55"/>
  <c r="E19" i="54" s="1"/>
  <c r="Z26" i="55"/>
  <c r="M26" i="55"/>
  <c r="L26" i="55"/>
  <c r="E13" i="54" s="1"/>
  <c r="K26" i="55"/>
  <c r="J26" i="55"/>
  <c r="W25" i="55"/>
  <c r="H25" i="55"/>
  <c r="W24" i="55"/>
  <c r="H24" i="55"/>
  <c r="W23" i="55"/>
  <c r="W21" i="55"/>
  <c r="W20" i="55"/>
  <c r="V20" i="55"/>
  <c r="AG19" i="55"/>
  <c r="AF19" i="55"/>
  <c r="W19" i="55"/>
  <c r="V19" i="55"/>
  <c r="AG18" i="55"/>
  <c r="W18" i="55"/>
  <c r="N18" i="55" s="1"/>
  <c r="O18" i="55" s="1"/>
  <c r="V18" i="55"/>
  <c r="P18" i="55"/>
  <c r="K18" i="55"/>
  <c r="AF18" i="55" s="1"/>
  <c r="J18" i="55"/>
  <c r="H18" i="55"/>
  <c r="F18" i="55"/>
  <c r="B18" i="55"/>
  <c r="AG17" i="55"/>
  <c r="W17" i="55"/>
  <c r="V17" i="55"/>
  <c r="O17" i="55"/>
  <c r="N17" i="55"/>
  <c r="AF17" i="55" s="1"/>
  <c r="L17" i="55"/>
  <c r="K17" i="55"/>
  <c r="J17" i="55"/>
  <c r="P17" i="55" s="1"/>
  <c r="H17" i="55"/>
  <c r="F17" i="55"/>
  <c r="B17" i="55"/>
  <c r="AG16" i="55"/>
  <c r="W16" i="55"/>
  <c r="R16" i="55"/>
  <c r="P16" i="55"/>
  <c r="O16" i="55"/>
  <c r="O26" i="55" s="1"/>
  <c r="N16" i="55"/>
  <c r="K16" i="55"/>
  <c r="J16" i="55"/>
  <c r="L16" i="55" s="1"/>
  <c r="H16" i="55"/>
  <c r="F16" i="55"/>
  <c r="B16" i="55"/>
  <c r="AE15" i="55"/>
  <c r="AD15" i="55"/>
  <c r="AA15" i="55"/>
  <c r="Z15" i="55"/>
  <c r="M15" i="55"/>
  <c r="D22" i="54" s="1"/>
  <c r="W14" i="55"/>
  <c r="W13" i="55"/>
  <c r="W12" i="55"/>
  <c r="AG11" i="55"/>
  <c r="AF11" i="55"/>
  <c r="W11" i="55"/>
  <c r="AG10" i="55"/>
  <c r="AF10" i="55"/>
  <c r="W10" i="55"/>
  <c r="AG9" i="55"/>
  <c r="AF9" i="55"/>
  <c r="W9" i="55"/>
  <c r="AG8" i="55"/>
  <c r="AF8" i="55"/>
  <c r="W8" i="55"/>
  <c r="W7" i="55"/>
  <c r="V7" i="55"/>
  <c r="R7" i="55"/>
  <c r="Q7" i="55"/>
  <c r="P7" i="55"/>
  <c r="O7" i="55"/>
  <c r="N7" i="55"/>
  <c r="K7" i="55"/>
  <c r="J7" i="55"/>
  <c r="L7" i="55" s="1"/>
  <c r="H7" i="55"/>
  <c r="F7" i="55"/>
  <c r="B7" i="55"/>
  <c r="AF6" i="55"/>
  <c r="W6" i="55"/>
  <c r="N6" i="55" s="1"/>
  <c r="V6" i="55"/>
  <c r="K6" i="55"/>
  <c r="J6" i="55"/>
  <c r="H6" i="55"/>
  <c r="F6" i="55"/>
  <c r="B6" i="55"/>
  <c r="W5" i="55"/>
  <c r="O5" i="55"/>
  <c r="N5" i="55"/>
  <c r="L5" i="55"/>
  <c r="L15" i="55" s="1"/>
  <c r="D13" i="54" s="1"/>
  <c r="K5" i="55"/>
  <c r="K15" i="55" s="1"/>
  <c r="J5" i="55"/>
  <c r="H5" i="55"/>
  <c r="F5" i="55"/>
  <c r="B5" i="55"/>
  <c r="I2" i="55"/>
  <c r="I1" i="55"/>
  <c r="G1" i="55"/>
  <c r="E1" i="55"/>
  <c r="G3" i="54" s="1"/>
  <c r="J22" i="54"/>
  <c r="I22" i="54"/>
  <c r="H22" i="54"/>
  <c r="G22" i="54"/>
  <c r="I21" i="54"/>
  <c r="D21" i="54"/>
  <c r="J20" i="54"/>
  <c r="I20" i="54"/>
  <c r="F20" i="54"/>
  <c r="E20" i="54"/>
  <c r="J19" i="54"/>
  <c r="G19" i="54"/>
  <c r="F19" i="54"/>
  <c r="J18" i="54"/>
  <c r="H18" i="54"/>
  <c r="F18" i="54"/>
  <c r="E18" i="54"/>
  <c r="J16" i="54"/>
  <c r="I16" i="54"/>
  <c r="H16" i="54"/>
  <c r="G16" i="54"/>
  <c r="F16" i="54"/>
  <c r="E16" i="54"/>
  <c r="D16" i="54"/>
  <c r="F13" i="54"/>
  <c r="D3" i="54"/>
  <c r="AE79" i="53"/>
  <c r="J21" i="52" s="1"/>
  <c r="AD79" i="53"/>
  <c r="J20" i="52" s="1"/>
  <c r="AA79" i="53"/>
  <c r="Z79" i="53"/>
  <c r="M79" i="53"/>
  <c r="J22" i="52" s="1"/>
  <c r="W78" i="53"/>
  <c r="H78" i="53"/>
  <c r="W77" i="53"/>
  <c r="H77" i="53"/>
  <c r="W76" i="53"/>
  <c r="H76" i="53"/>
  <c r="W75" i="53"/>
  <c r="H75" i="53"/>
  <c r="W74" i="53"/>
  <c r="W73" i="53"/>
  <c r="W72" i="53"/>
  <c r="W71" i="53"/>
  <c r="W70" i="53"/>
  <c r="N70" i="53" s="1"/>
  <c r="AF70" i="53" s="1"/>
  <c r="K70" i="53"/>
  <c r="K79" i="53" s="1"/>
  <c r="J70" i="53"/>
  <c r="H70" i="53"/>
  <c r="F70" i="53"/>
  <c r="B70" i="53"/>
  <c r="AE69" i="53"/>
  <c r="AD69" i="53"/>
  <c r="AA69" i="53"/>
  <c r="Z69" i="53"/>
  <c r="M69" i="53"/>
  <c r="P69" i="53" s="1"/>
  <c r="J69" i="53"/>
  <c r="W68" i="53"/>
  <c r="H68" i="53"/>
  <c r="W67" i="53"/>
  <c r="W66" i="53"/>
  <c r="W65" i="53"/>
  <c r="W64" i="53"/>
  <c r="W63" i="53"/>
  <c r="AG62" i="53"/>
  <c r="AF62" i="53"/>
  <c r="W62" i="53"/>
  <c r="W61" i="53"/>
  <c r="V61" i="53"/>
  <c r="N61" i="53"/>
  <c r="L61" i="53"/>
  <c r="K61" i="53"/>
  <c r="J61" i="53"/>
  <c r="P61" i="53" s="1"/>
  <c r="H61" i="53"/>
  <c r="F61" i="53"/>
  <c r="B61" i="53"/>
  <c r="W60" i="53"/>
  <c r="V60" i="53"/>
  <c r="P60" i="53"/>
  <c r="N60" i="53"/>
  <c r="K60" i="53"/>
  <c r="L60" i="53" s="1"/>
  <c r="J60" i="53"/>
  <c r="F60" i="53"/>
  <c r="H60" i="53" s="1"/>
  <c r="B60" i="53"/>
  <c r="W59" i="53"/>
  <c r="P59" i="53"/>
  <c r="N59" i="53"/>
  <c r="K59" i="53"/>
  <c r="K69" i="53" s="1"/>
  <c r="J59" i="53"/>
  <c r="F59" i="53"/>
  <c r="H59" i="53" s="1"/>
  <c r="B59" i="53"/>
  <c r="AE58" i="53"/>
  <c r="AD58" i="53"/>
  <c r="AA58" i="53"/>
  <c r="Z58" i="53"/>
  <c r="H18" i="52" s="1"/>
  <c r="M58" i="53"/>
  <c r="L58" i="53"/>
  <c r="W57" i="53"/>
  <c r="W56" i="53"/>
  <c r="W55" i="53"/>
  <c r="W54" i="53"/>
  <c r="AG53" i="53"/>
  <c r="AF53" i="53"/>
  <c r="W53" i="53"/>
  <c r="AG52" i="53"/>
  <c r="AF52" i="53"/>
  <c r="W52" i="53"/>
  <c r="V52" i="53"/>
  <c r="AF51" i="53"/>
  <c r="W51" i="53"/>
  <c r="V51" i="53"/>
  <c r="N51" i="53"/>
  <c r="K51" i="53"/>
  <c r="J51" i="53"/>
  <c r="H51" i="53"/>
  <c r="F51" i="53"/>
  <c r="B51" i="53"/>
  <c r="W50" i="53"/>
  <c r="N50" i="53" s="1"/>
  <c r="O50" i="53" s="1"/>
  <c r="V50" i="53"/>
  <c r="P50" i="53"/>
  <c r="K50" i="53"/>
  <c r="L50" i="53" s="1"/>
  <c r="J50" i="53"/>
  <c r="F50" i="53"/>
  <c r="H50" i="53" s="1"/>
  <c r="B50" i="53"/>
  <c r="W49" i="53"/>
  <c r="P49" i="53"/>
  <c r="N49" i="53"/>
  <c r="L49" i="53"/>
  <c r="K49" i="53"/>
  <c r="K58" i="53" s="1"/>
  <c r="J49" i="53"/>
  <c r="J58" i="53" s="1"/>
  <c r="H49" i="53"/>
  <c r="F49" i="53"/>
  <c r="B49" i="53"/>
  <c r="AE48" i="53"/>
  <c r="G21" i="52" s="1"/>
  <c r="AD48" i="53"/>
  <c r="AA48" i="53"/>
  <c r="Z48" i="53"/>
  <c r="G18" i="52" s="1"/>
  <c r="W48" i="53"/>
  <c r="M48" i="53"/>
  <c r="W47" i="53"/>
  <c r="H47" i="53"/>
  <c r="W46" i="53"/>
  <c r="W45" i="53"/>
  <c r="W44" i="53"/>
  <c r="W43" i="53"/>
  <c r="W42" i="53"/>
  <c r="AG41" i="53"/>
  <c r="AF41" i="53"/>
  <c r="W41" i="53"/>
  <c r="W40" i="53"/>
  <c r="V40" i="53"/>
  <c r="P40" i="53"/>
  <c r="O40" i="53"/>
  <c r="N40" i="53"/>
  <c r="L40" i="53"/>
  <c r="K40" i="53"/>
  <c r="J40" i="53"/>
  <c r="F40" i="53"/>
  <c r="H40" i="53" s="1"/>
  <c r="B40" i="53"/>
  <c r="W39" i="53"/>
  <c r="V39" i="53"/>
  <c r="P39" i="53"/>
  <c r="N39" i="53"/>
  <c r="K39" i="53"/>
  <c r="L39" i="53" s="1"/>
  <c r="J39" i="53"/>
  <c r="H39" i="53"/>
  <c r="F39" i="53"/>
  <c r="B39" i="53"/>
  <c r="W38" i="53"/>
  <c r="N38" i="53"/>
  <c r="K38" i="53"/>
  <c r="K48" i="53" s="1"/>
  <c r="J38" i="53"/>
  <c r="H38" i="53"/>
  <c r="F38" i="53"/>
  <c r="B38" i="53"/>
  <c r="AE37" i="53"/>
  <c r="F21" i="52" s="1"/>
  <c r="AD37" i="53"/>
  <c r="F20" i="52" s="1"/>
  <c r="AA37" i="53"/>
  <c r="Z37" i="53"/>
  <c r="M37" i="53"/>
  <c r="J37" i="53"/>
  <c r="P37" i="53" s="1"/>
  <c r="W36" i="53"/>
  <c r="H36" i="53"/>
  <c r="W35" i="53"/>
  <c r="W34" i="53"/>
  <c r="W33" i="53"/>
  <c r="W32" i="53"/>
  <c r="AG31" i="53"/>
  <c r="AF31" i="53"/>
  <c r="W31" i="53"/>
  <c r="AG30" i="53"/>
  <c r="AF30" i="53"/>
  <c r="W30" i="53"/>
  <c r="V30" i="53"/>
  <c r="W29" i="53"/>
  <c r="N29" i="53" s="1"/>
  <c r="V29" i="53"/>
  <c r="K29" i="53"/>
  <c r="J29" i="53"/>
  <c r="P29" i="53" s="1"/>
  <c r="H29" i="53"/>
  <c r="F29" i="53"/>
  <c r="B29" i="53"/>
  <c r="W28" i="53"/>
  <c r="V28" i="53"/>
  <c r="N28" i="53"/>
  <c r="K28" i="53"/>
  <c r="J28" i="53"/>
  <c r="P28" i="53" s="1"/>
  <c r="H28" i="53"/>
  <c r="F28" i="53"/>
  <c r="B28" i="53"/>
  <c r="W27" i="53"/>
  <c r="P27" i="53"/>
  <c r="N27" i="53"/>
  <c r="K27" i="53"/>
  <c r="J27" i="53"/>
  <c r="H27" i="53"/>
  <c r="F27" i="53"/>
  <c r="B27" i="53"/>
  <c r="AE26" i="53"/>
  <c r="AD26" i="53"/>
  <c r="E20" i="52" s="1"/>
  <c r="AA26" i="53"/>
  <c r="Z26" i="53"/>
  <c r="E18" i="52" s="1"/>
  <c r="M26" i="53"/>
  <c r="J26" i="53"/>
  <c r="P26" i="53" s="1"/>
  <c r="W25" i="53"/>
  <c r="H25" i="53"/>
  <c r="W24" i="53"/>
  <c r="H24" i="53"/>
  <c r="W23" i="53"/>
  <c r="W21" i="53"/>
  <c r="W20" i="53"/>
  <c r="V20" i="53"/>
  <c r="AG19" i="53"/>
  <c r="AF19" i="53"/>
  <c r="W19" i="53"/>
  <c r="V19" i="53"/>
  <c r="AG18" i="53"/>
  <c r="AF18" i="53"/>
  <c r="W18" i="53"/>
  <c r="N18" i="53" s="1"/>
  <c r="O18" i="53" s="1"/>
  <c r="V18" i="53"/>
  <c r="K18" i="53"/>
  <c r="J18" i="53"/>
  <c r="H18" i="53"/>
  <c r="F18" i="53"/>
  <c r="B18" i="53"/>
  <c r="W17" i="53"/>
  <c r="N17" i="53" s="1"/>
  <c r="V17" i="53"/>
  <c r="K17" i="53"/>
  <c r="L17" i="53" s="1"/>
  <c r="J17" i="53"/>
  <c r="P17" i="53" s="1"/>
  <c r="H17" i="53"/>
  <c r="F17" i="53"/>
  <c r="B17" i="53"/>
  <c r="W16" i="53"/>
  <c r="N16" i="53" s="1"/>
  <c r="P16" i="53"/>
  <c r="K16" i="53"/>
  <c r="K26" i="53" s="1"/>
  <c r="J16" i="53"/>
  <c r="F16" i="53"/>
  <c r="H16" i="53" s="1"/>
  <c r="B16" i="53"/>
  <c r="AE15" i="53"/>
  <c r="D21" i="52" s="1"/>
  <c r="AD15" i="53"/>
  <c r="AA15" i="53"/>
  <c r="Z15" i="53"/>
  <c r="M15" i="53"/>
  <c r="W14" i="53"/>
  <c r="W13" i="53"/>
  <c r="W12" i="53"/>
  <c r="AG11" i="53"/>
  <c r="AF11" i="53"/>
  <c r="W11" i="53"/>
  <c r="AG10" i="53"/>
  <c r="AF10" i="53"/>
  <c r="W10" i="53"/>
  <c r="AG9" i="53"/>
  <c r="AF9" i="53"/>
  <c r="W9" i="53"/>
  <c r="AG8" i="53"/>
  <c r="AF8" i="53"/>
  <c r="W8" i="53"/>
  <c r="AF7" i="53"/>
  <c r="W7" i="53"/>
  <c r="V7" i="53"/>
  <c r="R7" i="53"/>
  <c r="Q7" i="53"/>
  <c r="P7" i="53"/>
  <c r="O7" i="53"/>
  <c r="N7" i="53"/>
  <c r="L7" i="53"/>
  <c r="K7" i="53"/>
  <c r="J7" i="53"/>
  <c r="F7" i="53"/>
  <c r="H7" i="53" s="1"/>
  <c r="B7" i="53"/>
  <c r="AF6" i="53"/>
  <c r="W6" i="53"/>
  <c r="N6" i="53" s="1"/>
  <c r="V6" i="53"/>
  <c r="P6" i="53"/>
  <c r="L6" i="53"/>
  <c r="K6" i="53"/>
  <c r="J6" i="53"/>
  <c r="F6" i="53"/>
  <c r="H6" i="53" s="1"/>
  <c r="B6" i="53"/>
  <c r="AG5" i="53"/>
  <c r="AF5" i="53"/>
  <c r="W5" i="53"/>
  <c r="N5" i="53" s="1"/>
  <c r="O5" i="53" s="1"/>
  <c r="K5" i="53"/>
  <c r="J5" i="53"/>
  <c r="H5" i="53"/>
  <c r="G1" i="53" s="1"/>
  <c r="F5" i="53"/>
  <c r="B5" i="53"/>
  <c r="AE2" i="53"/>
  <c r="O6" i="52" s="1"/>
  <c r="AA2" i="53"/>
  <c r="M6" i="52" s="1"/>
  <c r="Z2" i="53"/>
  <c r="L6" i="52" s="1"/>
  <c r="I2" i="53"/>
  <c r="E1" i="53"/>
  <c r="G3" i="52" s="1"/>
  <c r="G22" i="52"/>
  <c r="F22" i="52"/>
  <c r="E22" i="52"/>
  <c r="I21" i="52"/>
  <c r="H21" i="52"/>
  <c r="E21" i="52"/>
  <c r="I20" i="52"/>
  <c r="H20" i="52"/>
  <c r="G20" i="52"/>
  <c r="D20" i="52"/>
  <c r="J19" i="52"/>
  <c r="I19" i="52"/>
  <c r="H19" i="52"/>
  <c r="G19" i="52"/>
  <c r="F19" i="52"/>
  <c r="E19" i="52"/>
  <c r="D19" i="52"/>
  <c r="J18" i="52"/>
  <c r="I18" i="52"/>
  <c r="F18" i="52"/>
  <c r="D18" i="52"/>
  <c r="J16" i="52"/>
  <c r="I16" i="52"/>
  <c r="H16" i="52"/>
  <c r="G16" i="52"/>
  <c r="F16" i="52"/>
  <c r="E16" i="52"/>
  <c r="D16" i="52"/>
  <c r="H13" i="52"/>
  <c r="D3" i="52"/>
  <c r="AE79" i="51"/>
  <c r="AD79" i="51"/>
  <c r="AA79" i="51"/>
  <c r="J18" i="50" s="1"/>
  <c r="Z79" i="51"/>
  <c r="P79" i="51"/>
  <c r="M79" i="51"/>
  <c r="K79" i="51"/>
  <c r="J79" i="51"/>
  <c r="W78" i="51"/>
  <c r="H78" i="51"/>
  <c r="W77" i="51"/>
  <c r="H77" i="51"/>
  <c r="W76" i="51"/>
  <c r="H76" i="51"/>
  <c r="W75" i="51"/>
  <c r="H75" i="51"/>
  <c r="W74" i="51"/>
  <c r="W73" i="51"/>
  <c r="W72" i="51"/>
  <c r="W71" i="51"/>
  <c r="W70" i="51"/>
  <c r="N70" i="51" s="1"/>
  <c r="P70" i="51"/>
  <c r="L70" i="51"/>
  <c r="L79" i="51" s="1"/>
  <c r="J13" i="50" s="1"/>
  <c r="K70" i="51"/>
  <c r="J70" i="51"/>
  <c r="H70" i="51"/>
  <c r="F70" i="51"/>
  <c r="B70" i="51"/>
  <c r="AE69" i="51"/>
  <c r="I21" i="50" s="1"/>
  <c r="AD69" i="51"/>
  <c r="AA69" i="51"/>
  <c r="Z69" i="51"/>
  <c r="M69" i="51"/>
  <c r="I22" i="50" s="1"/>
  <c r="W68" i="51"/>
  <c r="H68" i="51"/>
  <c r="W67" i="51"/>
  <c r="W66" i="51"/>
  <c r="W65" i="51"/>
  <c r="W64" i="51"/>
  <c r="W63" i="51"/>
  <c r="AG62" i="51"/>
  <c r="AF62" i="51"/>
  <c r="W62" i="51"/>
  <c r="W61" i="51"/>
  <c r="N61" i="51" s="1"/>
  <c r="V61" i="51"/>
  <c r="P61" i="51"/>
  <c r="L61" i="51"/>
  <c r="K61" i="51"/>
  <c r="J61" i="51"/>
  <c r="F61" i="51"/>
  <c r="H61" i="51" s="1"/>
  <c r="B61" i="51"/>
  <c r="W60" i="51"/>
  <c r="N60" i="51" s="1"/>
  <c r="V60" i="51"/>
  <c r="K60" i="51"/>
  <c r="J60" i="51"/>
  <c r="L60" i="51" s="1"/>
  <c r="H60" i="51"/>
  <c r="F60" i="51"/>
  <c r="B60" i="51"/>
  <c r="W59" i="51"/>
  <c r="N59" i="51" s="1"/>
  <c r="K59" i="51"/>
  <c r="J59" i="51"/>
  <c r="F59" i="51"/>
  <c r="H59" i="51" s="1"/>
  <c r="B59" i="51"/>
  <c r="AE58" i="51"/>
  <c r="H21" i="50" s="1"/>
  <c r="AD58" i="51"/>
  <c r="AA58" i="51"/>
  <c r="Z58" i="51"/>
  <c r="P58" i="51"/>
  <c r="M58" i="51"/>
  <c r="J58" i="51"/>
  <c r="W57" i="51"/>
  <c r="W56" i="51"/>
  <c r="W55" i="51"/>
  <c r="W54" i="51"/>
  <c r="AG53" i="51"/>
  <c r="AF53" i="51"/>
  <c r="W53" i="51"/>
  <c r="AG52" i="51"/>
  <c r="AF52" i="51"/>
  <c r="W52" i="51"/>
  <c r="V52" i="51"/>
  <c r="W51" i="51"/>
  <c r="N51" i="51" s="1"/>
  <c r="V51" i="51"/>
  <c r="K51" i="51"/>
  <c r="L51" i="51" s="1"/>
  <c r="J51" i="51"/>
  <c r="P51" i="51" s="1"/>
  <c r="H51" i="51"/>
  <c r="F51" i="51"/>
  <c r="B51" i="51"/>
  <c r="W50" i="51"/>
  <c r="V50" i="51"/>
  <c r="N50" i="51"/>
  <c r="K50" i="51"/>
  <c r="J50" i="51"/>
  <c r="H50" i="51"/>
  <c r="F50" i="51"/>
  <c r="B50" i="51"/>
  <c r="W49" i="51"/>
  <c r="N49" i="51" s="1"/>
  <c r="P49" i="51"/>
  <c r="K49" i="51"/>
  <c r="L49" i="51" s="1"/>
  <c r="L58" i="51" s="1"/>
  <c r="H13" i="50" s="1"/>
  <c r="J49" i="51"/>
  <c r="H49" i="51"/>
  <c r="F49" i="51"/>
  <c r="B49" i="51"/>
  <c r="AE48" i="51"/>
  <c r="AD48" i="51"/>
  <c r="AA48" i="51"/>
  <c r="Z48" i="51"/>
  <c r="W48" i="51"/>
  <c r="M48" i="51"/>
  <c r="K48" i="51"/>
  <c r="J48" i="51"/>
  <c r="W47" i="51"/>
  <c r="H47" i="51"/>
  <c r="W46" i="51"/>
  <c r="W45" i="51"/>
  <c r="W44" i="51"/>
  <c r="W43" i="51"/>
  <c r="W42" i="51"/>
  <c r="AG41" i="51"/>
  <c r="AF41" i="51"/>
  <c r="W41" i="51"/>
  <c r="W40" i="51"/>
  <c r="N40" i="51" s="1"/>
  <c r="AG40" i="51" s="1"/>
  <c r="V40" i="51"/>
  <c r="P40" i="51"/>
  <c r="O40" i="51"/>
  <c r="K40" i="51"/>
  <c r="J40" i="51"/>
  <c r="L40" i="51" s="1"/>
  <c r="F40" i="51"/>
  <c r="H40" i="51" s="1"/>
  <c r="B40" i="51"/>
  <c r="W39" i="51"/>
  <c r="N39" i="51" s="1"/>
  <c r="V39" i="51"/>
  <c r="O39" i="51"/>
  <c r="K39" i="51"/>
  <c r="J39" i="51"/>
  <c r="P39" i="51" s="1"/>
  <c r="H39" i="51"/>
  <c r="F39" i="51"/>
  <c r="B39" i="51"/>
  <c r="W38" i="51"/>
  <c r="N38" i="51" s="1"/>
  <c r="P38" i="51"/>
  <c r="O38" i="51"/>
  <c r="K38" i="51"/>
  <c r="J38" i="51"/>
  <c r="F38" i="51"/>
  <c r="H38" i="51" s="1"/>
  <c r="B38" i="51"/>
  <c r="AE37" i="51"/>
  <c r="AD37" i="51"/>
  <c r="AA37" i="51"/>
  <c r="F19" i="50" s="1"/>
  <c r="Z37" i="51"/>
  <c r="P37" i="51"/>
  <c r="M37" i="51"/>
  <c r="F22" i="50" s="1"/>
  <c r="L37" i="51"/>
  <c r="F13" i="50" s="1"/>
  <c r="J37" i="51"/>
  <c r="W36" i="51"/>
  <c r="H36" i="51"/>
  <c r="W35" i="51"/>
  <c r="W34" i="51"/>
  <c r="W33" i="51"/>
  <c r="W32" i="51"/>
  <c r="AG31" i="51"/>
  <c r="AF31" i="51"/>
  <c r="W31" i="51"/>
  <c r="AG30" i="51"/>
  <c r="AF30" i="51"/>
  <c r="W30" i="51"/>
  <c r="V30" i="51"/>
  <c r="W29" i="51"/>
  <c r="V29" i="51"/>
  <c r="P29" i="51"/>
  <c r="N29" i="51"/>
  <c r="K29" i="51"/>
  <c r="L29" i="51" s="1"/>
  <c r="J29" i="51"/>
  <c r="H29" i="51"/>
  <c r="F29" i="51"/>
  <c r="B29" i="51"/>
  <c r="W28" i="51"/>
  <c r="V28" i="51"/>
  <c r="P28" i="51"/>
  <c r="N28" i="51"/>
  <c r="L28" i="51"/>
  <c r="K28" i="51"/>
  <c r="J28" i="51"/>
  <c r="F28" i="51"/>
  <c r="H28" i="51" s="1"/>
  <c r="B28" i="51"/>
  <c r="W27" i="51"/>
  <c r="N27" i="51" s="1"/>
  <c r="K27" i="51"/>
  <c r="L27" i="51" s="1"/>
  <c r="J27" i="51"/>
  <c r="P27" i="51" s="1"/>
  <c r="F27" i="51"/>
  <c r="H27" i="51" s="1"/>
  <c r="B27" i="51"/>
  <c r="AE26" i="51"/>
  <c r="E21" i="50" s="1"/>
  <c r="AD26" i="51"/>
  <c r="AA26" i="51"/>
  <c r="Z26" i="51"/>
  <c r="M26" i="51"/>
  <c r="K26" i="51"/>
  <c r="J26" i="51"/>
  <c r="P26" i="51" s="1"/>
  <c r="W25" i="51"/>
  <c r="H25" i="51"/>
  <c r="W24" i="51"/>
  <c r="H24" i="51"/>
  <c r="W23" i="51"/>
  <c r="W21" i="51"/>
  <c r="W20" i="51"/>
  <c r="V20" i="51"/>
  <c r="AG19" i="51"/>
  <c r="AF19" i="51"/>
  <c r="W19" i="51"/>
  <c r="V19" i="51"/>
  <c r="W18" i="51"/>
  <c r="V18" i="51"/>
  <c r="P18" i="51"/>
  <c r="N18" i="51"/>
  <c r="L18" i="51"/>
  <c r="K18" i="51"/>
  <c r="J18" i="51"/>
  <c r="H18" i="51"/>
  <c r="F18" i="51"/>
  <c r="B18" i="51"/>
  <c r="AG17" i="51"/>
  <c r="W17" i="51"/>
  <c r="V17" i="51"/>
  <c r="P17" i="51"/>
  <c r="O17" i="51"/>
  <c r="N17" i="51"/>
  <c r="AF17" i="51" s="1"/>
  <c r="K17" i="51"/>
  <c r="J17" i="51"/>
  <c r="L17" i="51" s="1"/>
  <c r="H17" i="51"/>
  <c r="F17" i="51"/>
  <c r="B17" i="51"/>
  <c r="W16" i="51"/>
  <c r="N16" i="51"/>
  <c r="L16" i="51"/>
  <c r="L26" i="51" s="1"/>
  <c r="E13" i="50" s="1"/>
  <c r="K16" i="51"/>
  <c r="J16" i="51"/>
  <c r="P16" i="51" s="1"/>
  <c r="F16" i="51"/>
  <c r="H16" i="51" s="1"/>
  <c r="B16" i="51"/>
  <c r="AE15" i="51"/>
  <c r="D21" i="50" s="1"/>
  <c r="AD15" i="51"/>
  <c r="AA15" i="51"/>
  <c r="Z15" i="51"/>
  <c r="M15" i="51"/>
  <c r="W14" i="51"/>
  <c r="W13" i="51"/>
  <c r="W12" i="51"/>
  <c r="AG11" i="51"/>
  <c r="AF11" i="51"/>
  <c r="W11" i="51"/>
  <c r="AG10" i="51"/>
  <c r="AF10" i="51"/>
  <c r="W10" i="51"/>
  <c r="AG9" i="51"/>
  <c r="AF9" i="51"/>
  <c r="W9" i="51"/>
  <c r="AG8" i="51"/>
  <c r="AF8" i="51"/>
  <c r="W8" i="51"/>
  <c r="W7" i="51"/>
  <c r="V7" i="51"/>
  <c r="N7" i="51"/>
  <c r="K7" i="51"/>
  <c r="J7" i="51"/>
  <c r="P7" i="51" s="1"/>
  <c r="H7" i="51"/>
  <c r="F7" i="51"/>
  <c r="B7" i="51"/>
  <c r="W6" i="51"/>
  <c r="V6" i="51"/>
  <c r="N6" i="51"/>
  <c r="K6" i="51"/>
  <c r="L6" i="51" s="1"/>
  <c r="J6" i="51"/>
  <c r="P6" i="51" s="1"/>
  <c r="H6" i="51"/>
  <c r="F6" i="51"/>
  <c r="B6" i="51"/>
  <c r="W5" i="51"/>
  <c r="O5" i="51"/>
  <c r="N5" i="51"/>
  <c r="K5" i="51"/>
  <c r="J5" i="51"/>
  <c r="H5" i="51"/>
  <c r="G1" i="51" s="1"/>
  <c r="F5" i="51"/>
  <c r="B5" i="51"/>
  <c r="AD2" i="51"/>
  <c r="N6" i="50" s="1"/>
  <c r="I2" i="51"/>
  <c r="E1" i="51"/>
  <c r="G3" i="50" s="1"/>
  <c r="J22" i="50"/>
  <c r="H22" i="50"/>
  <c r="G22" i="50"/>
  <c r="E22" i="50"/>
  <c r="J21" i="50"/>
  <c r="F21" i="50"/>
  <c r="J20" i="50"/>
  <c r="I20" i="50"/>
  <c r="H20" i="50"/>
  <c r="G20" i="50"/>
  <c r="F20" i="50"/>
  <c r="E20" i="50"/>
  <c r="D20" i="50"/>
  <c r="J19" i="50"/>
  <c r="I19" i="50"/>
  <c r="H19" i="50"/>
  <c r="G19" i="50"/>
  <c r="E19" i="50"/>
  <c r="I18" i="50"/>
  <c r="H18" i="50"/>
  <c r="G18" i="50"/>
  <c r="F18" i="50"/>
  <c r="E18" i="50"/>
  <c r="J16" i="50"/>
  <c r="I16" i="50"/>
  <c r="H16" i="50"/>
  <c r="G16" i="50"/>
  <c r="F16" i="50"/>
  <c r="E16" i="50"/>
  <c r="D16" i="50"/>
  <c r="J3" i="50"/>
  <c r="D3" i="50"/>
  <c r="AE79" i="49"/>
  <c r="J21" i="48" s="1"/>
  <c r="AD79" i="49"/>
  <c r="J20" i="48" s="1"/>
  <c r="AA79" i="49"/>
  <c r="J18" i="48" s="1"/>
  <c r="Z79" i="49"/>
  <c r="M79" i="49"/>
  <c r="L79" i="49"/>
  <c r="J13" i="48" s="1"/>
  <c r="K79" i="49"/>
  <c r="J79" i="49"/>
  <c r="W78" i="49"/>
  <c r="H78" i="49"/>
  <c r="W77" i="49"/>
  <c r="H77" i="49"/>
  <c r="W76" i="49"/>
  <c r="H76" i="49"/>
  <c r="W75" i="49"/>
  <c r="H75" i="49"/>
  <c r="W74" i="49"/>
  <c r="W73" i="49"/>
  <c r="W72" i="49"/>
  <c r="W71" i="49"/>
  <c r="W70" i="49"/>
  <c r="N70" i="49"/>
  <c r="L70" i="49"/>
  <c r="K70" i="49"/>
  <c r="J70" i="49"/>
  <c r="P70" i="49" s="1"/>
  <c r="F70" i="49"/>
  <c r="H70" i="49" s="1"/>
  <c r="B70" i="49"/>
  <c r="AE69" i="49"/>
  <c r="I21" i="48" s="1"/>
  <c r="AD69" i="49"/>
  <c r="I20" i="48" s="1"/>
  <c r="AA69" i="49"/>
  <c r="I19" i="48" s="1"/>
  <c r="Z69" i="49"/>
  <c r="M69" i="49"/>
  <c r="J69" i="49"/>
  <c r="P69" i="49" s="1"/>
  <c r="W68" i="49"/>
  <c r="H68" i="49"/>
  <c r="W67" i="49"/>
  <c r="W66" i="49"/>
  <c r="W65" i="49"/>
  <c r="W64" i="49"/>
  <c r="W63" i="49"/>
  <c r="AG62" i="49"/>
  <c r="AF62" i="49"/>
  <c r="W62" i="49"/>
  <c r="W61" i="49"/>
  <c r="N61" i="49" s="1"/>
  <c r="V61" i="49"/>
  <c r="P61" i="49"/>
  <c r="L61" i="49"/>
  <c r="K61" i="49"/>
  <c r="J61" i="49"/>
  <c r="F61" i="49"/>
  <c r="H61" i="49" s="1"/>
  <c r="B61" i="49"/>
  <c r="W60" i="49"/>
  <c r="V60" i="49"/>
  <c r="N60" i="49"/>
  <c r="K60" i="49"/>
  <c r="J60" i="49"/>
  <c r="H60" i="49"/>
  <c r="F60" i="49"/>
  <c r="B60" i="49"/>
  <c r="W59" i="49"/>
  <c r="N59" i="49"/>
  <c r="K59" i="49"/>
  <c r="K69" i="49" s="1"/>
  <c r="J59" i="49"/>
  <c r="P59" i="49" s="1"/>
  <c r="F59" i="49"/>
  <c r="H59" i="49" s="1"/>
  <c r="B59" i="49"/>
  <c r="AE58" i="49"/>
  <c r="H21" i="48" s="1"/>
  <c r="AD58" i="49"/>
  <c r="AA58" i="49"/>
  <c r="H19" i="48" s="1"/>
  <c r="Z58" i="49"/>
  <c r="M58" i="49"/>
  <c r="H22" i="48" s="1"/>
  <c r="K58" i="49"/>
  <c r="J58" i="49"/>
  <c r="W57" i="49"/>
  <c r="W56" i="49"/>
  <c r="W55" i="49"/>
  <c r="W54" i="49"/>
  <c r="AG53" i="49"/>
  <c r="AF53" i="49"/>
  <c r="W53" i="49"/>
  <c r="AG52" i="49"/>
  <c r="AF52" i="49"/>
  <c r="W52" i="49"/>
  <c r="V52" i="49"/>
  <c r="AG51" i="49"/>
  <c r="W51" i="49"/>
  <c r="V51" i="49"/>
  <c r="O51" i="49"/>
  <c r="N51" i="49"/>
  <c r="AF51" i="49" s="1"/>
  <c r="K51" i="49"/>
  <c r="J51" i="49"/>
  <c r="P51" i="49" s="1"/>
  <c r="F51" i="49"/>
  <c r="H51" i="49" s="1"/>
  <c r="B51" i="49"/>
  <c r="W50" i="49"/>
  <c r="V50" i="49"/>
  <c r="N50" i="49"/>
  <c r="K50" i="49"/>
  <c r="L50" i="49" s="1"/>
  <c r="J50" i="49"/>
  <c r="P50" i="49" s="1"/>
  <c r="H50" i="49"/>
  <c r="F50" i="49"/>
  <c r="B50" i="49"/>
  <c r="W49" i="49"/>
  <c r="N49" i="49" s="1"/>
  <c r="P49" i="49"/>
  <c r="L49" i="49"/>
  <c r="L58" i="49" s="1"/>
  <c r="H13" i="48" s="1"/>
  <c r="K49" i="49"/>
  <c r="J49" i="49"/>
  <c r="H49" i="49"/>
  <c r="F49" i="49"/>
  <c r="B49" i="49"/>
  <c r="AE48" i="49"/>
  <c r="G21" i="48" s="1"/>
  <c r="AD48" i="49"/>
  <c r="AA48" i="49"/>
  <c r="Z48" i="49"/>
  <c r="G18" i="48" s="1"/>
  <c r="W48" i="49"/>
  <c r="M48" i="49"/>
  <c r="J48" i="49"/>
  <c r="P48" i="49" s="1"/>
  <c r="W47" i="49"/>
  <c r="H47" i="49"/>
  <c r="W46" i="49"/>
  <c r="W45" i="49"/>
  <c r="W44" i="49"/>
  <c r="W43" i="49"/>
  <c r="W42" i="49"/>
  <c r="AG41" i="49"/>
  <c r="AF41" i="49"/>
  <c r="W41" i="49"/>
  <c r="W40" i="49"/>
  <c r="N40" i="49" s="1"/>
  <c r="V40" i="49"/>
  <c r="L40" i="49"/>
  <c r="K40" i="49"/>
  <c r="J40" i="49"/>
  <c r="P40" i="49" s="1"/>
  <c r="H40" i="49"/>
  <c r="F40" i="49"/>
  <c r="B40" i="49"/>
  <c r="W39" i="49"/>
  <c r="V39" i="49"/>
  <c r="N39" i="49"/>
  <c r="K39" i="49"/>
  <c r="J39" i="49"/>
  <c r="P39" i="49" s="1"/>
  <c r="H39" i="49"/>
  <c r="F39" i="49"/>
  <c r="B39" i="49"/>
  <c r="W38" i="49"/>
  <c r="P38" i="49"/>
  <c r="N38" i="49"/>
  <c r="L38" i="49"/>
  <c r="L48" i="49" s="1"/>
  <c r="G13" i="48" s="1"/>
  <c r="K38" i="49"/>
  <c r="K48" i="49" s="1"/>
  <c r="J38" i="49"/>
  <c r="H38" i="49"/>
  <c r="F38" i="49"/>
  <c r="B38" i="49"/>
  <c r="AE37" i="49"/>
  <c r="AD37" i="49"/>
  <c r="AA37" i="49"/>
  <c r="Z37" i="49"/>
  <c r="F18" i="48" s="1"/>
  <c r="M37" i="49"/>
  <c r="W36" i="49"/>
  <c r="H36" i="49"/>
  <c r="W35" i="49"/>
  <c r="W34" i="49"/>
  <c r="W33" i="49"/>
  <c r="W32" i="49"/>
  <c r="AG31" i="49"/>
  <c r="AF31" i="49"/>
  <c r="W31" i="49"/>
  <c r="AG30" i="49"/>
  <c r="AF30" i="49"/>
  <c r="W30" i="49"/>
  <c r="V30" i="49"/>
  <c r="W29" i="49"/>
  <c r="N29" i="49" s="1"/>
  <c r="V29" i="49"/>
  <c r="K29" i="49"/>
  <c r="J29" i="49"/>
  <c r="H29" i="49"/>
  <c r="F29" i="49"/>
  <c r="B29" i="49"/>
  <c r="W28" i="49"/>
  <c r="N28" i="49" s="1"/>
  <c r="O28" i="49" s="1"/>
  <c r="V28" i="49"/>
  <c r="K28" i="49"/>
  <c r="J28" i="49"/>
  <c r="L28" i="49" s="1"/>
  <c r="F28" i="49"/>
  <c r="H28" i="49" s="1"/>
  <c r="B28" i="49"/>
  <c r="W27" i="49"/>
  <c r="N27" i="49" s="1"/>
  <c r="K27" i="49"/>
  <c r="J27" i="49"/>
  <c r="H27" i="49"/>
  <c r="F27" i="49"/>
  <c r="B27" i="49"/>
  <c r="AE26" i="49"/>
  <c r="AD26" i="49"/>
  <c r="AA26" i="49"/>
  <c r="E19" i="48" s="1"/>
  <c r="Z26" i="49"/>
  <c r="M26" i="49"/>
  <c r="P26" i="49" s="1"/>
  <c r="K26" i="49"/>
  <c r="W25" i="49"/>
  <c r="H25" i="49"/>
  <c r="W24" i="49"/>
  <c r="H24" i="49"/>
  <c r="W23" i="49"/>
  <c r="W21" i="49"/>
  <c r="W20" i="49"/>
  <c r="V20" i="49"/>
  <c r="AG19" i="49"/>
  <c r="AF19" i="49"/>
  <c r="W19" i="49"/>
  <c r="V19" i="49"/>
  <c r="AF18" i="49"/>
  <c r="W18" i="49"/>
  <c r="N18" i="49" s="1"/>
  <c r="V18" i="49"/>
  <c r="K18" i="49"/>
  <c r="L18" i="49" s="1"/>
  <c r="J18" i="49"/>
  <c r="P18" i="49" s="1"/>
  <c r="H18" i="49"/>
  <c r="F18" i="49"/>
  <c r="B18" i="49"/>
  <c r="W17" i="49"/>
  <c r="N17" i="49" s="1"/>
  <c r="V17" i="49"/>
  <c r="P17" i="49"/>
  <c r="L17" i="49"/>
  <c r="K17" i="49"/>
  <c r="J17" i="49"/>
  <c r="F17" i="49"/>
  <c r="H17" i="49" s="1"/>
  <c r="B17" i="49"/>
  <c r="AF16" i="49"/>
  <c r="W16" i="49"/>
  <c r="N16" i="49" s="1"/>
  <c r="P16" i="49"/>
  <c r="L16" i="49"/>
  <c r="L26" i="49" s="1"/>
  <c r="E13" i="48" s="1"/>
  <c r="K16" i="49"/>
  <c r="J16" i="49"/>
  <c r="J26" i="49" s="1"/>
  <c r="F16" i="49"/>
  <c r="H16" i="49" s="1"/>
  <c r="B16" i="49"/>
  <c r="AE15" i="49"/>
  <c r="AD15" i="49"/>
  <c r="AA15" i="49"/>
  <c r="Z15" i="49"/>
  <c r="P15" i="49"/>
  <c r="M15" i="49"/>
  <c r="L15" i="49"/>
  <c r="D13" i="48" s="1"/>
  <c r="K15" i="49"/>
  <c r="J15" i="49"/>
  <c r="W14" i="49"/>
  <c r="W13" i="49"/>
  <c r="W12" i="49"/>
  <c r="AG11" i="49"/>
  <c r="AF11" i="49"/>
  <c r="W11" i="49"/>
  <c r="AG10" i="49"/>
  <c r="AF10" i="49"/>
  <c r="W10" i="49"/>
  <c r="AG9" i="49"/>
  <c r="AF9" i="49"/>
  <c r="W9" i="49"/>
  <c r="AG8" i="49"/>
  <c r="AF8" i="49"/>
  <c r="W8" i="49"/>
  <c r="W7" i="49"/>
  <c r="N7" i="49" s="1"/>
  <c r="V7" i="49"/>
  <c r="L7" i="49"/>
  <c r="K7" i="49"/>
  <c r="J7" i="49"/>
  <c r="P7" i="49" s="1"/>
  <c r="H7" i="49"/>
  <c r="F7" i="49"/>
  <c r="B7" i="49"/>
  <c r="W6" i="49"/>
  <c r="N6" i="49" s="1"/>
  <c r="V6" i="49"/>
  <c r="P6" i="49"/>
  <c r="O6" i="49"/>
  <c r="L6" i="49"/>
  <c r="K6" i="49"/>
  <c r="J6" i="49"/>
  <c r="F6" i="49"/>
  <c r="H6" i="49" s="1"/>
  <c r="B6" i="49"/>
  <c r="AG5" i="49"/>
  <c r="AF5" i="49"/>
  <c r="W5" i="49"/>
  <c r="N5" i="49" s="1"/>
  <c r="O5" i="49" s="1"/>
  <c r="R5" i="49"/>
  <c r="Q5" i="49"/>
  <c r="P5" i="49"/>
  <c r="K5" i="49"/>
  <c r="L5" i="49" s="1"/>
  <c r="J5" i="49"/>
  <c r="F5" i="49"/>
  <c r="H5" i="49" s="1"/>
  <c r="B5" i="49"/>
  <c r="AE2" i="49"/>
  <c r="O6" i="48" s="1"/>
  <c r="I2" i="49"/>
  <c r="G1" i="49"/>
  <c r="E1" i="49"/>
  <c r="G3" i="48" s="1"/>
  <c r="I22" i="48"/>
  <c r="G22" i="48"/>
  <c r="F22" i="48"/>
  <c r="E22" i="48"/>
  <c r="D22" i="48"/>
  <c r="F21" i="48"/>
  <c r="E21" i="48"/>
  <c r="D21" i="48"/>
  <c r="H20" i="48"/>
  <c r="G20" i="48"/>
  <c r="F20" i="48"/>
  <c r="D20" i="48"/>
  <c r="J19" i="48"/>
  <c r="G19" i="48"/>
  <c r="F19" i="48"/>
  <c r="I18" i="48"/>
  <c r="H18" i="48"/>
  <c r="E18" i="48"/>
  <c r="D18" i="48"/>
  <c r="J16" i="48"/>
  <c r="I16" i="48"/>
  <c r="H16" i="48"/>
  <c r="G16" i="48"/>
  <c r="F16" i="48"/>
  <c r="E16" i="48"/>
  <c r="D16" i="48"/>
  <c r="D3" i="48"/>
  <c r="AE79" i="47"/>
  <c r="J21" i="46" s="1"/>
  <c r="AD79" i="47"/>
  <c r="AA79" i="47"/>
  <c r="J18" i="46" s="1"/>
  <c r="Z79" i="47"/>
  <c r="M79" i="47"/>
  <c r="J79" i="47"/>
  <c r="P79" i="47" s="1"/>
  <c r="W78" i="47"/>
  <c r="H78" i="47"/>
  <c r="W77" i="47"/>
  <c r="H77" i="47"/>
  <c r="W76" i="47"/>
  <c r="H76" i="47"/>
  <c r="W75" i="47"/>
  <c r="H75" i="47"/>
  <c r="W74" i="47"/>
  <c r="W73" i="47"/>
  <c r="W72" i="47"/>
  <c r="W71" i="47"/>
  <c r="W70" i="47"/>
  <c r="N70" i="47" s="1"/>
  <c r="N79" i="47" s="1"/>
  <c r="O70" i="47"/>
  <c r="K70" i="47"/>
  <c r="K79" i="47" s="1"/>
  <c r="Q79" i="47" s="1"/>
  <c r="J70" i="47"/>
  <c r="P70" i="47" s="1"/>
  <c r="F70" i="47"/>
  <c r="H70" i="47" s="1"/>
  <c r="B70" i="47"/>
  <c r="AE69" i="47"/>
  <c r="AD69" i="47"/>
  <c r="AA69" i="47"/>
  <c r="Z69" i="47"/>
  <c r="N69" i="47"/>
  <c r="M69" i="47"/>
  <c r="L69" i="47"/>
  <c r="I13" i="46" s="1"/>
  <c r="J6" i="46" s="1"/>
  <c r="K69" i="47"/>
  <c r="Q69" i="47" s="1"/>
  <c r="J69" i="47"/>
  <c r="W68" i="47"/>
  <c r="H68" i="47"/>
  <c r="W67" i="47"/>
  <c r="W66" i="47"/>
  <c r="W65" i="47"/>
  <c r="W64" i="47"/>
  <c r="W63" i="47"/>
  <c r="AG62" i="47"/>
  <c r="AF62" i="47"/>
  <c r="W62" i="47"/>
  <c r="AG61" i="47"/>
  <c r="W61" i="47"/>
  <c r="V61" i="47"/>
  <c r="N61" i="47"/>
  <c r="K61" i="47"/>
  <c r="J61" i="47"/>
  <c r="F61" i="47"/>
  <c r="H61" i="47" s="1"/>
  <c r="B61" i="47"/>
  <c r="W60" i="47"/>
  <c r="V60" i="47"/>
  <c r="O60" i="47"/>
  <c r="R60" i="47" s="1"/>
  <c r="N60" i="47"/>
  <c r="K60" i="47"/>
  <c r="L60" i="47" s="1"/>
  <c r="J60" i="47"/>
  <c r="P60" i="47" s="1"/>
  <c r="H60" i="47"/>
  <c r="F60" i="47"/>
  <c r="B60" i="47"/>
  <c r="AG59" i="47"/>
  <c r="AF59" i="47"/>
  <c r="W59" i="47"/>
  <c r="N59" i="47" s="1"/>
  <c r="P59" i="47"/>
  <c r="O59" i="47"/>
  <c r="K59" i="47"/>
  <c r="L59" i="47" s="1"/>
  <c r="J59" i="47"/>
  <c r="F59" i="47"/>
  <c r="H59" i="47" s="1"/>
  <c r="B59" i="47"/>
  <c r="AE58" i="47"/>
  <c r="AD58" i="47"/>
  <c r="AA58" i="47"/>
  <c r="Z58" i="47"/>
  <c r="N58" i="47"/>
  <c r="M58" i="47"/>
  <c r="P58" i="47" s="1"/>
  <c r="K58" i="47"/>
  <c r="J58" i="47"/>
  <c r="W57" i="47"/>
  <c r="W56" i="47"/>
  <c r="W55" i="47"/>
  <c r="W54" i="47"/>
  <c r="AG53" i="47"/>
  <c r="AF53" i="47"/>
  <c r="W53" i="47"/>
  <c r="AG52" i="47"/>
  <c r="AF52" i="47"/>
  <c r="W52" i="47"/>
  <c r="V52" i="47"/>
  <c r="W51" i="47"/>
  <c r="N51" i="47" s="1"/>
  <c r="O51" i="47" s="1"/>
  <c r="V51" i="47"/>
  <c r="K51" i="47"/>
  <c r="J51" i="47"/>
  <c r="P51" i="47" s="1"/>
  <c r="F51" i="47"/>
  <c r="H51" i="47" s="1"/>
  <c r="B51" i="47"/>
  <c r="W50" i="47"/>
  <c r="N50" i="47" s="1"/>
  <c r="V50" i="47"/>
  <c r="L50" i="47"/>
  <c r="K50" i="47"/>
  <c r="J50" i="47"/>
  <c r="P50" i="47" s="1"/>
  <c r="H50" i="47"/>
  <c r="F50" i="47"/>
  <c r="B50" i="47"/>
  <c r="AG49" i="47"/>
  <c r="AF49" i="47"/>
  <c r="W49" i="47"/>
  <c r="P49" i="47"/>
  <c r="O49" i="47"/>
  <c r="N49" i="47"/>
  <c r="K49" i="47"/>
  <c r="J49" i="47"/>
  <c r="F49" i="47"/>
  <c r="H49" i="47" s="1"/>
  <c r="B49" i="47"/>
  <c r="AE48" i="47"/>
  <c r="AD48" i="47"/>
  <c r="AA48" i="47"/>
  <c r="G19" i="46" s="1"/>
  <c r="Z48" i="47"/>
  <c r="G18" i="46" s="1"/>
  <c r="W48" i="47"/>
  <c r="M48" i="47"/>
  <c r="L48" i="47"/>
  <c r="G13" i="46" s="1"/>
  <c r="W47" i="47"/>
  <c r="H47" i="47"/>
  <c r="W46" i="47"/>
  <c r="W45" i="47"/>
  <c r="W44" i="47"/>
  <c r="W43" i="47"/>
  <c r="W42" i="47"/>
  <c r="AG41" i="47"/>
  <c r="AF41" i="47"/>
  <c r="W41" i="47"/>
  <c r="W40" i="47"/>
  <c r="V40" i="47"/>
  <c r="P40" i="47"/>
  <c r="O40" i="47"/>
  <c r="N40" i="47"/>
  <c r="L40" i="47"/>
  <c r="K40" i="47"/>
  <c r="J40" i="47"/>
  <c r="H40" i="47"/>
  <c r="F40" i="47"/>
  <c r="B40" i="47"/>
  <c r="W39" i="47"/>
  <c r="N39" i="47" s="1"/>
  <c r="V39" i="47"/>
  <c r="O39" i="47"/>
  <c r="K39" i="47"/>
  <c r="J39" i="47"/>
  <c r="P39" i="47" s="1"/>
  <c r="H39" i="47"/>
  <c r="F39" i="47"/>
  <c r="B39" i="47"/>
  <c r="W38" i="47"/>
  <c r="P38" i="47"/>
  <c r="N38" i="47"/>
  <c r="K38" i="47"/>
  <c r="L38" i="47" s="1"/>
  <c r="J38" i="47"/>
  <c r="J48" i="47" s="1"/>
  <c r="P48" i="47" s="1"/>
  <c r="F38" i="47"/>
  <c r="H38" i="47" s="1"/>
  <c r="B38" i="47"/>
  <c r="AE37" i="47"/>
  <c r="F21" i="46" s="1"/>
  <c r="AD37" i="47"/>
  <c r="AA37" i="47"/>
  <c r="Z37" i="47"/>
  <c r="N37" i="47"/>
  <c r="M37" i="47"/>
  <c r="W36" i="47"/>
  <c r="H36" i="47"/>
  <c r="W35" i="47"/>
  <c r="W34" i="47"/>
  <c r="W33" i="47"/>
  <c r="W32" i="47"/>
  <c r="AG31" i="47"/>
  <c r="AF31" i="47"/>
  <c r="W31" i="47"/>
  <c r="AG30" i="47"/>
  <c r="AF30" i="47"/>
  <c r="W30" i="47"/>
  <c r="V30" i="47"/>
  <c r="AF29" i="47"/>
  <c r="W29" i="47"/>
  <c r="V29" i="47"/>
  <c r="N29" i="47"/>
  <c r="K29" i="47"/>
  <c r="L29" i="47" s="1"/>
  <c r="J29" i="47"/>
  <c r="P29" i="47" s="1"/>
  <c r="F29" i="47"/>
  <c r="H29" i="47" s="1"/>
  <c r="B29" i="47"/>
  <c r="W28" i="47"/>
  <c r="N28" i="47" s="1"/>
  <c r="V28" i="47"/>
  <c r="P28" i="47"/>
  <c r="K28" i="47"/>
  <c r="L28" i="47" s="1"/>
  <c r="J28" i="47"/>
  <c r="H28" i="47"/>
  <c r="F28" i="47"/>
  <c r="B28" i="47"/>
  <c r="W27" i="47"/>
  <c r="N27" i="47"/>
  <c r="K27" i="47"/>
  <c r="K37" i="47" s="1"/>
  <c r="J27" i="47"/>
  <c r="H27" i="47"/>
  <c r="F27" i="47"/>
  <c r="B27" i="47"/>
  <c r="AE26" i="47"/>
  <c r="AD26" i="47"/>
  <c r="AA26" i="47"/>
  <c r="Z26" i="47"/>
  <c r="N26" i="47"/>
  <c r="M26" i="47"/>
  <c r="E22" i="46" s="1"/>
  <c r="W25" i="47"/>
  <c r="H25" i="47"/>
  <c r="W24" i="47"/>
  <c r="H24" i="47"/>
  <c r="W23" i="47"/>
  <c r="W21" i="47"/>
  <c r="W20" i="47"/>
  <c r="V20" i="47"/>
  <c r="AG19" i="47"/>
  <c r="AF19" i="47"/>
  <c r="W19" i="47"/>
  <c r="V19" i="47"/>
  <c r="W18" i="47"/>
  <c r="V18" i="47"/>
  <c r="P18" i="47"/>
  <c r="N18" i="47"/>
  <c r="L18" i="47"/>
  <c r="K18" i="47"/>
  <c r="J18" i="47"/>
  <c r="H18" i="47"/>
  <c r="F18" i="47"/>
  <c r="B18" i="47"/>
  <c r="AG17" i="47"/>
  <c r="AF17" i="47"/>
  <c r="W17" i="47"/>
  <c r="N17" i="47" s="1"/>
  <c r="O17" i="47" s="1"/>
  <c r="V17" i="47"/>
  <c r="K17" i="47"/>
  <c r="J17" i="47"/>
  <c r="P17" i="47" s="1"/>
  <c r="H17" i="47"/>
  <c r="F17" i="47"/>
  <c r="B17" i="47"/>
  <c r="W16" i="47"/>
  <c r="N16" i="47"/>
  <c r="K16" i="47"/>
  <c r="L16" i="47" s="1"/>
  <c r="L26" i="47" s="1"/>
  <c r="E13" i="46" s="1"/>
  <c r="J16" i="47"/>
  <c r="F16" i="47"/>
  <c r="H16" i="47" s="1"/>
  <c r="B16" i="47"/>
  <c r="AE15" i="47"/>
  <c r="D21" i="46" s="1"/>
  <c r="AD15" i="47"/>
  <c r="AA15" i="47"/>
  <c r="Z15" i="47"/>
  <c r="M15" i="47"/>
  <c r="W14" i="47"/>
  <c r="W13" i="47"/>
  <c r="W12" i="47"/>
  <c r="AG11" i="47"/>
  <c r="AF11" i="47"/>
  <c r="W11" i="47"/>
  <c r="AG10" i="47"/>
  <c r="AF10" i="47"/>
  <c r="W10" i="47"/>
  <c r="AG9" i="47"/>
  <c r="AF9" i="47"/>
  <c r="W9" i="47"/>
  <c r="AG8" i="47"/>
  <c r="AF8" i="47"/>
  <c r="W8" i="47"/>
  <c r="W7" i="47"/>
  <c r="N7" i="47" s="1"/>
  <c r="O7" i="47" s="1"/>
  <c r="V7" i="47"/>
  <c r="R7" i="47"/>
  <c r="Q7" i="47"/>
  <c r="P7" i="47"/>
  <c r="K7" i="47"/>
  <c r="L7" i="47" s="1"/>
  <c r="J7" i="47"/>
  <c r="F7" i="47"/>
  <c r="H7" i="47" s="1"/>
  <c r="B7" i="47"/>
  <c r="W6" i="47"/>
  <c r="N6" i="47" s="1"/>
  <c r="O6" i="47" s="1"/>
  <c r="V6" i="47"/>
  <c r="R6" i="47"/>
  <c r="Q6" i="47"/>
  <c r="K6" i="47"/>
  <c r="L6" i="47" s="1"/>
  <c r="J6" i="47"/>
  <c r="P6" i="47" s="1"/>
  <c r="F6" i="47"/>
  <c r="H6" i="47" s="1"/>
  <c r="B6" i="47"/>
  <c r="W5" i="47"/>
  <c r="O5" i="47"/>
  <c r="N5" i="47"/>
  <c r="K5" i="47"/>
  <c r="K15" i="47" s="1"/>
  <c r="J5" i="47"/>
  <c r="H5" i="47"/>
  <c r="G1" i="47" s="1"/>
  <c r="F5" i="47"/>
  <c r="B5" i="47"/>
  <c r="I2" i="47"/>
  <c r="E1" i="47"/>
  <c r="G3" i="46" s="1"/>
  <c r="J22" i="46"/>
  <c r="H22" i="46"/>
  <c r="G22" i="46"/>
  <c r="F22" i="46"/>
  <c r="D22" i="46"/>
  <c r="I21" i="46"/>
  <c r="H21" i="46"/>
  <c r="G21" i="46"/>
  <c r="E21" i="46"/>
  <c r="I20" i="46"/>
  <c r="H20" i="46"/>
  <c r="G20" i="46"/>
  <c r="F20" i="46"/>
  <c r="E20" i="46"/>
  <c r="D20" i="46"/>
  <c r="J19" i="46"/>
  <c r="I19" i="46"/>
  <c r="H19" i="46"/>
  <c r="E19" i="46"/>
  <c r="D19" i="46"/>
  <c r="I18" i="46"/>
  <c r="H18" i="46"/>
  <c r="F18" i="46"/>
  <c r="E18" i="46"/>
  <c r="J16" i="46"/>
  <c r="I16" i="46"/>
  <c r="H16" i="46"/>
  <c r="G16" i="46"/>
  <c r="F16" i="46"/>
  <c r="E16" i="46"/>
  <c r="D16" i="46"/>
  <c r="D3" i="46"/>
  <c r="AE79" i="45"/>
  <c r="J21" i="44" s="1"/>
  <c r="AD79" i="45"/>
  <c r="AA79" i="45"/>
  <c r="J18" i="44" s="1"/>
  <c r="Z79" i="45"/>
  <c r="O79" i="45"/>
  <c r="N79" i="45"/>
  <c r="M79" i="45"/>
  <c r="W78" i="45"/>
  <c r="H78" i="45"/>
  <c r="W77" i="45"/>
  <c r="H77" i="45"/>
  <c r="W76" i="45"/>
  <c r="H76" i="45"/>
  <c r="W75" i="45"/>
  <c r="H75" i="45"/>
  <c r="W74" i="45"/>
  <c r="W73" i="45"/>
  <c r="W72" i="45"/>
  <c r="W71" i="45"/>
  <c r="W70" i="45"/>
  <c r="O70" i="45"/>
  <c r="N70" i="45"/>
  <c r="K70" i="45"/>
  <c r="J70" i="45"/>
  <c r="F70" i="45"/>
  <c r="H70" i="45" s="1"/>
  <c r="B70" i="45"/>
  <c r="AE69" i="45"/>
  <c r="I21" i="44" s="1"/>
  <c r="AD69" i="45"/>
  <c r="I20" i="44" s="1"/>
  <c r="AA69" i="45"/>
  <c r="I19" i="44" s="1"/>
  <c r="Z69" i="45"/>
  <c r="M69" i="45"/>
  <c r="K69" i="45"/>
  <c r="W68" i="45"/>
  <c r="H68" i="45"/>
  <c r="W67" i="45"/>
  <c r="W66" i="45"/>
  <c r="W65" i="45"/>
  <c r="W64" i="45"/>
  <c r="W63" i="45"/>
  <c r="AG62" i="45"/>
  <c r="AF62" i="45"/>
  <c r="W62" i="45"/>
  <c r="AG61" i="45"/>
  <c r="AF61" i="45"/>
  <c r="W61" i="45"/>
  <c r="N61" i="45" s="1"/>
  <c r="V61" i="45"/>
  <c r="O61" i="45"/>
  <c r="L61" i="45"/>
  <c r="K61" i="45"/>
  <c r="J61" i="45"/>
  <c r="P61" i="45" s="1"/>
  <c r="F61" i="45"/>
  <c r="H61" i="45" s="1"/>
  <c r="B61" i="45"/>
  <c r="W60" i="45"/>
  <c r="V60" i="45"/>
  <c r="P60" i="45"/>
  <c r="N60" i="45"/>
  <c r="L60" i="45"/>
  <c r="K60" i="45"/>
  <c r="J60" i="45"/>
  <c r="F60" i="45"/>
  <c r="H60" i="45" s="1"/>
  <c r="B60" i="45"/>
  <c r="W59" i="45"/>
  <c r="P59" i="45"/>
  <c r="O59" i="45"/>
  <c r="N59" i="45"/>
  <c r="K59" i="45"/>
  <c r="J59" i="45"/>
  <c r="J69" i="45" s="1"/>
  <c r="P69" i="45" s="1"/>
  <c r="F59" i="45"/>
  <c r="H59" i="45" s="1"/>
  <c r="B59" i="45"/>
  <c r="AE58" i="45"/>
  <c r="AD58" i="45"/>
  <c r="AA58" i="45"/>
  <c r="H19" i="44" s="1"/>
  <c r="Z58" i="45"/>
  <c r="M58" i="45"/>
  <c r="K58" i="45"/>
  <c r="W57" i="45"/>
  <c r="W56" i="45"/>
  <c r="W55" i="45"/>
  <c r="W54" i="45"/>
  <c r="AG53" i="45"/>
  <c r="AF53" i="45"/>
  <c r="W53" i="45"/>
  <c r="AG52" i="45"/>
  <c r="AF52" i="45"/>
  <c r="W52" i="45"/>
  <c r="V52" i="45"/>
  <c r="AF51" i="45"/>
  <c r="W51" i="45"/>
  <c r="V51" i="45"/>
  <c r="O51" i="45"/>
  <c r="N51" i="45"/>
  <c r="AG51" i="45" s="1"/>
  <c r="K51" i="45"/>
  <c r="J51" i="45"/>
  <c r="F51" i="45"/>
  <c r="H51" i="45" s="1"/>
  <c r="B51" i="45"/>
  <c r="W50" i="45"/>
  <c r="N50" i="45" s="1"/>
  <c r="V50" i="45"/>
  <c r="K50" i="45"/>
  <c r="J50" i="45"/>
  <c r="L50" i="45" s="1"/>
  <c r="H50" i="45"/>
  <c r="F50" i="45"/>
  <c r="B50" i="45"/>
  <c r="W49" i="45"/>
  <c r="N49" i="45" s="1"/>
  <c r="P49" i="45"/>
  <c r="K49" i="45"/>
  <c r="L49" i="45" s="1"/>
  <c r="L58" i="45" s="1"/>
  <c r="H13" i="44" s="1"/>
  <c r="J49" i="45"/>
  <c r="J58" i="45" s="1"/>
  <c r="F49" i="45"/>
  <c r="H49" i="45" s="1"/>
  <c r="B49" i="45"/>
  <c r="AE48" i="45"/>
  <c r="G21" i="44" s="1"/>
  <c r="AD48" i="45"/>
  <c r="G20" i="44" s="1"/>
  <c r="AA48" i="45"/>
  <c r="G19" i="44" s="1"/>
  <c r="Z48" i="45"/>
  <c r="G18" i="44" s="1"/>
  <c r="W48" i="45"/>
  <c r="M48" i="45"/>
  <c r="K48" i="45"/>
  <c r="J48" i="45"/>
  <c r="P48" i="45" s="1"/>
  <c r="W47" i="45"/>
  <c r="H47" i="45"/>
  <c r="W46" i="45"/>
  <c r="W45" i="45"/>
  <c r="W44" i="45"/>
  <c r="W43" i="45"/>
  <c r="W42" i="45"/>
  <c r="AG41" i="45"/>
  <c r="AF41" i="45"/>
  <c r="W41" i="45"/>
  <c r="W40" i="45"/>
  <c r="N40" i="45" s="1"/>
  <c r="O40" i="45" s="1"/>
  <c r="V40" i="45"/>
  <c r="K40" i="45"/>
  <c r="J40" i="45"/>
  <c r="F40" i="45"/>
  <c r="H40" i="45" s="1"/>
  <c r="B40" i="45"/>
  <c r="AF39" i="45"/>
  <c r="W39" i="45"/>
  <c r="V39" i="45"/>
  <c r="N39" i="45"/>
  <c r="K39" i="45"/>
  <c r="J39" i="45"/>
  <c r="H39" i="45"/>
  <c r="F39" i="45"/>
  <c r="B39" i="45"/>
  <c r="AG38" i="45"/>
  <c r="AF38" i="45"/>
  <c r="W38" i="45"/>
  <c r="P38" i="45"/>
  <c r="O38" i="45"/>
  <c r="N38" i="45"/>
  <c r="L38" i="45"/>
  <c r="L48" i="45" s="1"/>
  <c r="G13" i="44" s="1"/>
  <c r="K38" i="45"/>
  <c r="J38" i="45"/>
  <c r="F38" i="45"/>
  <c r="H38" i="45" s="1"/>
  <c r="B38" i="45"/>
  <c r="AE37" i="45"/>
  <c r="AD37" i="45"/>
  <c r="F20" i="44" s="1"/>
  <c r="AA37" i="45"/>
  <c r="F19" i="44" s="1"/>
  <c r="Z37" i="45"/>
  <c r="F18" i="44" s="1"/>
  <c r="M37" i="45"/>
  <c r="K37" i="45"/>
  <c r="W36" i="45"/>
  <c r="H36" i="45"/>
  <c r="W35" i="45"/>
  <c r="W34" i="45"/>
  <c r="W33" i="45"/>
  <c r="W32" i="45"/>
  <c r="AG31" i="45"/>
  <c r="AF31" i="45"/>
  <c r="W31" i="45"/>
  <c r="AG30" i="45"/>
  <c r="AF30" i="45"/>
  <c r="W30" i="45"/>
  <c r="V30" i="45"/>
  <c r="W29" i="45"/>
  <c r="N29" i="45" s="1"/>
  <c r="V29" i="45"/>
  <c r="L29" i="45"/>
  <c r="K29" i="45"/>
  <c r="J29" i="45"/>
  <c r="P29" i="45" s="1"/>
  <c r="H29" i="45"/>
  <c r="F29" i="45"/>
  <c r="B29" i="45"/>
  <c r="W28" i="45"/>
  <c r="V28" i="45"/>
  <c r="P28" i="45"/>
  <c r="N28" i="45"/>
  <c r="K28" i="45"/>
  <c r="L28" i="45" s="1"/>
  <c r="J28" i="45"/>
  <c r="F28" i="45"/>
  <c r="H28" i="45" s="1"/>
  <c r="B28" i="45"/>
  <c r="W27" i="45"/>
  <c r="N27" i="45"/>
  <c r="K27" i="45"/>
  <c r="J27" i="45"/>
  <c r="H27" i="45"/>
  <c r="F27" i="45"/>
  <c r="B27" i="45"/>
  <c r="AE26" i="45"/>
  <c r="AD26" i="45"/>
  <c r="E20" i="44" s="1"/>
  <c r="AA26" i="45"/>
  <c r="E19" i="44" s="1"/>
  <c r="Z26" i="45"/>
  <c r="M26" i="45"/>
  <c r="K26" i="45"/>
  <c r="J26" i="45"/>
  <c r="P26" i="45" s="1"/>
  <c r="W25" i="45"/>
  <c r="H25" i="45"/>
  <c r="W24" i="45"/>
  <c r="H24" i="45"/>
  <c r="W23" i="45"/>
  <c r="W21" i="45"/>
  <c r="W20" i="45"/>
  <c r="V20" i="45"/>
  <c r="AG19" i="45"/>
  <c r="AF19" i="45"/>
  <c r="W19" i="45"/>
  <c r="V19" i="45"/>
  <c r="AG18" i="45"/>
  <c r="W18" i="45"/>
  <c r="V18" i="45"/>
  <c r="N18" i="45"/>
  <c r="K18" i="45"/>
  <c r="L18" i="45" s="1"/>
  <c r="J18" i="45"/>
  <c r="P18" i="45" s="1"/>
  <c r="F18" i="45"/>
  <c r="H18" i="45" s="1"/>
  <c r="B18" i="45"/>
  <c r="W17" i="45"/>
  <c r="V17" i="45"/>
  <c r="N17" i="45"/>
  <c r="O17" i="45" s="1"/>
  <c r="K17" i="45"/>
  <c r="J17" i="45"/>
  <c r="P17" i="45" s="1"/>
  <c r="H17" i="45"/>
  <c r="F17" i="45"/>
  <c r="B17" i="45"/>
  <c r="AF16" i="45"/>
  <c r="W16" i="45"/>
  <c r="O16" i="45"/>
  <c r="N16" i="45"/>
  <c r="K16" i="45"/>
  <c r="L16" i="45" s="1"/>
  <c r="L26" i="45" s="1"/>
  <c r="E13" i="44" s="1"/>
  <c r="J16" i="45"/>
  <c r="P16" i="45" s="1"/>
  <c r="F16" i="45"/>
  <c r="H16" i="45" s="1"/>
  <c r="B16" i="45"/>
  <c r="AE15" i="45"/>
  <c r="AD15" i="45"/>
  <c r="AA15" i="45"/>
  <c r="Z15" i="45"/>
  <c r="M15" i="45"/>
  <c r="K15" i="45"/>
  <c r="W14" i="45"/>
  <c r="W13" i="45"/>
  <c r="W12" i="45"/>
  <c r="AG11" i="45"/>
  <c r="AF11" i="45"/>
  <c r="W11" i="45"/>
  <c r="AG10" i="45"/>
  <c r="AF10" i="45"/>
  <c r="W10" i="45"/>
  <c r="AG9" i="45"/>
  <c r="AF9" i="45"/>
  <c r="W9" i="45"/>
  <c r="AG8" i="45"/>
  <c r="AF8" i="45"/>
  <c r="W8" i="45"/>
  <c r="W7" i="45"/>
  <c r="N7" i="45" s="1"/>
  <c r="V7" i="45"/>
  <c r="K7" i="45"/>
  <c r="J7" i="45"/>
  <c r="P7" i="45" s="1"/>
  <c r="F7" i="45"/>
  <c r="H7" i="45" s="1"/>
  <c r="B7" i="45"/>
  <c r="W6" i="45"/>
  <c r="N6" i="45" s="1"/>
  <c r="V6" i="45"/>
  <c r="K6" i="45"/>
  <c r="J6" i="45"/>
  <c r="P6" i="45" s="1"/>
  <c r="F6" i="45"/>
  <c r="H6" i="45" s="1"/>
  <c r="B6" i="45"/>
  <c r="W5" i="45"/>
  <c r="N5" i="45" s="1"/>
  <c r="K5" i="45"/>
  <c r="L5" i="45" s="1"/>
  <c r="L15" i="45" s="1"/>
  <c r="D13" i="44" s="1"/>
  <c r="J5" i="45"/>
  <c r="F5" i="45"/>
  <c r="H5" i="45" s="1"/>
  <c r="G1" i="45" s="1"/>
  <c r="B5" i="45"/>
  <c r="AE2" i="45"/>
  <c r="O6" i="44" s="1"/>
  <c r="I2" i="45"/>
  <c r="E1" i="45"/>
  <c r="G3" i="44" s="1"/>
  <c r="J22" i="44"/>
  <c r="I22" i="44"/>
  <c r="G22" i="44"/>
  <c r="E22" i="44"/>
  <c r="H21" i="44"/>
  <c r="F21" i="44"/>
  <c r="E21" i="44"/>
  <c r="D21" i="44"/>
  <c r="J20" i="44"/>
  <c r="H20" i="44"/>
  <c r="D20" i="44"/>
  <c r="J19" i="44"/>
  <c r="D19" i="44"/>
  <c r="I18" i="44"/>
  <c r="H18" i="44"/>
  <c r="E18" i="44"/>
  <c r="D18" i="44"/>
  <c r="J16" i="44"/>
  <c r="I16" i="44"/>
  <c r="H16" i="44"/>
  <c r="G16" i="44"/>
  <c r="F16" i="44"/>
  <c r="E16" i="44"/>
  <c r="D16" i="44"/>
  <c r="D3" i="44"/>
  <c r="AE79" i="43"/>
  <c r="AD79" i="43"/>
  <c r="J20" i="42" s="1"/>
  <c r="AA79" i="43"/>
  <c r="Z79" i="43"/>
  <c r="N79" i="43"/>
  <c r="M79" i="43"/>
  <c r="K79" i="43"/>
  <c r="W78" i="43"/>
  <c r="H78" i="43"/>
  <c r="W77" i="43"/>
  <c r="H77" i="43"/>
  <c r="W76" i="43"/>
  <c r="H76" i="43"/>
  <c r="W75" i="43"/>
  <c r="H75" i="43"/>
  <c r="W74" i="43"/>
  <c r="W73" i="43"/>
  <c r="W72" i="43"/>
  <c r="W71" i="43"/>
  <c r="AG70" i="43"/>
  <c r="W70" i="43"/>
  <c r="N70" i="43" s="1"/>
  <c r="P70" i="43"/>
  <c r="O70" i="43"/>
  <c r="O79" i="43" s="1"/>
  <c r="K70" i="43"/>
  <c r="J70" i="43"/>
  <c r="J79" i="43" s="1"/>
  <c r="F70" i="43"/>
  <c r="H70" i="43" s="1"/>
  <c r="B70" i="43"/>
  <c r="AE69" i="43"/>
  <c r="AD69" i="43"/>
  <c r="I20" i="42" s="1"/>
  <c r="AA69" i="43"/>
  <c r="Z69" i="43"/>
  <c r="M69" i="43"/>
  <c r="K69" i="43"/>
  <c r="J69" i="43"/>
  <c r="W68" i="43"/>
  <c r="H68" i="43"/>
  <c r="W67" i="43"/>
  <c r="W66" i="43"/>
  <c r="W65" i="43"/>
  <c r="W64" i="43"/>
  <c r="W63" i="43"/>
  <c r="AG62" i="43"/>
  <c r="AF62" i="43"/>
  <c r="W62" i="43"/>
  <c r="AG61" i="43"/>
  <c r="AF61" i="43"/>
  <c r="W61" i="43"/>
  <c r="N61" i="43" s="1"/>
  <c r="O61" i="43" s="1"/>
  <c r="R61" i="43" s="1"/>
  <c r="V61" i="43"/>
  <c r="Q61" i="43"/>
  <c r="P61" i="43"/>
  <c r="L61" i="43"/>
  <c r="K61" i="43"/>
  <c r="J61" i="43"/>
  <c r="F61" i="43"/>
  <c r="H61" i="43" s="1"/>
  <c r="B61" i="43"/>
  <c r="W60" i="43"/>
  <c r="N60" i="43" s="1"/>
  <c r="AG60" i="43" s="1"/>
  <c r="V60" i="43"/>
  <c r="P60" i="43"/>
  <c r="K60" i="43"/>
  <c r="J60" i="43"/>
  <c r="L60" i="43" s="1"/>
  <c r="H60" i="43"/>
  <c r="F60" i="43"/>
  <c r="B60" i="43"/>
  <c r="AG59" i="43"/>
  <c r="AF59" i="43"/>
  <c r="W59" i="43"/>
  <c r="N59" i="43" s="1"/>
  <c r="K59" i="43"/>
  <c r="L59" i="43" s="1"/>
  <c r="L69" i="43" s="1"/>
  <c r="J59" i="43"/>
  <c r="P59" i="43" s="1"/>
  <c r="F59" i="43"/>
  <c r="H59" i="43" s="1"/>
  <c r="B59" i="43"/>
  <c r="AE58" i="43"/>
  <c r="H21" i="42" s="1"/>
  <c r="AD58" i="43"/>
  <c r="H20" i="42" s="1"/>
  <c r="AA58" i="43"/>
  <c r="Z58" i="43"/>
  <c r="M58" i="43"/>
  <c r="L58" i="43"/>
  <c r="H13" i="42" s="1"/>
  <c r="K58" i="43"/>
  <c r="J58" i="43"/>
  <c r="W57" i="43"/>
  <c r="W56" i="43"/>
  <c r="W55" i="43"/>
  <c r="W54" i="43"/>
  <c r="AG53" i="43"/>
  <c r="AF53" i="43"/>
  <c r="W53" i="43"/>
  <c r="AG52" i="43"/>
  <c r="AF52" i="43"/>
  <c r="W52" i="43"/>
  <c r="V52" i="43"/>
  <c r="W51" i="43"/>
  <c r="N51" i="43" s="1"/>
  <c r="O51" i="43" s="1"/>
  <c r="V51" i="43"/>
  <c r="P51" i="43"/>
  <c r="K51" i="43"/>
  <c r="J51" i="43"/>
  <c r="F51" i="43"/>
  <c r="H51" i="43" s="1"/>
  <c r="B51" i="43"/>
  <c r="W50" i="43"/>
  <c r="V50" i="43"/>
  <c r="N50" i="43"/>
  <c r="K50" i="43"/>
  <c r="J50" i="43"/>
  <c r="P50" i="43" s="1"/>
  <c r="H50" i="43"/>
  <c r="F50" i="43"/>
  <c r="B50" i="43"/>
  <c r="AG49" i="43"/>
  <c r="AF49" i="43"/>
  <c r="W49" i="43"/>
  <c r="N49" i="43" s="1"/>
  <c r="P49" i="43"/>
  <c r="O49" i="43"/>
  <c r="Q49" i="43" s="1"/>
  <c r="K49" i="43"/>
  <c r="L49" i="43" s="1"/>
  <c r="J49" i="43"/>
  <c r="F49" i="43"/>
  <c r="H49" i="43" s="1"/>
  <c r="B49" i="43"/>
  <c r="AE48" i="43"/>
  <c r="AD48" i="43"/>
  <c r="AA48" i="43"/>
  <c r="Z48" i="43"/>
  <c r="W48" i="43"/>
  <c r="M48" i="43"/>
  <c r="K48" i="43"/>
  <c r="J48" i="43"/>
  <c r="W47" i="43"/>
  <c r="H47" i="43"/>
  <c r="W46" i="43"/>
  <c r="W45" i="43"/>
  <c r="W44" i="43"/>
  <c r="W43" i="43"/>
  <c r="W42" i="43"/>
  <c r="AG41" i="43"/>
  <c r="AF41" i="43"/>
  <c r="W41" i="43"/>
  <c r="W40" i="43"/>
  <c r="V40" i="43"/>
  <c r="P40" i="43"/>
  <c r="N40" i="43"/>
  <c r="K40" i="43"/>
  <c r="J40" i="43"/>
  <c r="L40" i="43" s="1"/>
  <c r="H40" i="43"/>
  <c r="F40" i="43"/>
  <c r="B40" i="43"/>
  <c r="W39" i="43"/>
  <c r="N39" i="43" s="1"/>
  <c r="V39" i="43"/>
  <c r="O39" i="43"/>
  <c r="K39" i="43"/>
  <c r="L39" i="43" s="1"/>
  <c r="J39" i="43"/>
  <c r="P39" i="43" s="1"/>
  <c r="H39" i="43"/>
  <c r="F39" i="43"/>
  <c r="B39" i="43"/>
  <c r="W38" i="43"/>
  <c r="N38" i="43"/>
  <c r="K38" i="43"/>
  <c r="J38" i="43"/>
  <c r="P38" i="43" s="1"/>
  <c r="F38" i="43"/>
  <c r="H38" i="43" s="1"/>
  <c r="B38" i="43"/>
  <c r="AE37" i="43"/>
  <c r="AD37" i="43"/>
  <c r="AA37" i="43"/>
  <c r="F19" i="42" s="1"/>
  <c r="Z37" i="43"/>
  <c r="F18" i="42" s="1"/>
  <c r="M37" i="43"/>
  <c r="F22" i="42" s="1"/>
  <c r="K37" i="43"/>
  <c r="W36" i="43"/>
  <c r="H36" i="43"/>
  <c r="W35" i="43"/>
  <c r="W34" i="43"/>
  <c r="W33" i="43"/>
  <c r="W32" i="43"/>
  <c r="AG31" i="43"/>
  <c r="AF31" i="43"/>
  <c r="W31" i="43"/>
  <c r="AG30" i="43"/>
  <c r="AF30" i="43"/>
  <c r="W30" i="43"/>
  <c r="V30" i="43"/>
  <c r="W29" i="43"/>
  <c r="V29" i="43"/>
  <c r="P29" i="43"/>
  <c r="O29" i="43"/>
  <c r="N29" i="43"/>
  <c r="K29" i="43"/>
  <c r="L29" i="43" s="1"/>
  <c r="J29" i="43"/>
  <c r="H29" i="43"/>
  <c r="F29" i="43"/>
  <c r="B29" i="43"/>
  <c r="W28" i="43"/>
  <c r="V28" i="43"/>
  <c r="P28" i="43"/>
  <c r="O28" i="43"/>
  <c r="N28" i="43"/>
  <c r="K28" i="43"/>
  <c r="L28" i="43" s="1"/>
  <c r="J28" i="43"/>
  <c r="F28" i="43"/>
  <c r="H28" i="43" s="1"/>
  <c r="B28" i="43"/>
  <c r="W27" i="43"/>
  <c r="N27" i="43"/>
  <c r="K27" i="43"/>
  <c r="J27" i="43"/>
  <c r="H27" i="43"/>
  <c r="F27" i="43"/>
  <c r="B27" i="43"/>
  <c r="AE26" i="43"/>
  <c r="E21" i="42" s="1"/>
  <c r="AD26" i="43"/>
  <c r="AA26" i="43"/>
  <c r="Z26" i="43"/>
  <c r="E18" i="42" s="1"/>
  <c r="N26" i="43"/>
  <c r="M26" i="43"/>
  <c r="J26" i="43"/>
  <c r="P26" i="43" s="1"/>
  <c r="W25" i="43"/>
  <c r="H25" i="43"/>
  <c r="W24" i="43"/>
  <c r="H24" i="43"/>
  <c r="W23" i="43"/>
  <c r="W21" i="43"/>
  <c r="W20" i="43"/>
  <c r="V20" i="43"/>
  <c r="AG19" i="43"/>
  <c r="AF19" i="43"/>
  <c r="W19" i="43"/>
  <c r="V19" i="43"/>
  <c r="W18" i="43"/>
  <c r="V18" i="43"/>
  <c r="N18" i="43"/>
  <c r="K18" i="43"/>
  <c r="J18" i="43"/>
  <c r="P18" i="43" s="1"/>
  <c r="H18" i="43"/>
  <c r="F18" i="43"/>
  <c r="B18" i="43"/>
  <c r="AG17" i="43"/>
  <c r="AF17" i="43"/>
  <c r="W17" i="43"/>
  <c r="V17" i="43"/>
  <c r="N17" i="43"/>
  <c r="O17" i="43" s="1"/>
  <c r="L17" i="43"/>
  <c r="K17" i="43"/>
  <c r="J17" i="43"/>
  <c r="P17" i="43" s="1"/>
  <c r="F17" i="43"/>
  <c r="H17" i="43" s="1"/>
  <c r="B17" i="43"/>
  <c r="W16" i="43"/>
  <c r="N16" i="43"/>
  <c r="AG16" i="43" s="1"/>
  <c r="L16" i="43"/>
  <c r="L26" i="43" s="1"/>
  <c r="E13" i="42" s="1"/>
  <c r="K16" i="43"/>
  <c r="K26" i="43" s="1"/>
  <c r="J16" i="43"/>
  <c r="P16" i="43" s="1"/>
  <c r="H16" i="43"/>
  <c r="F16" i="43"/>
  <c r="B16" i="43"/>
  <c r="AE15" i="43"/>
  <c r="AD15" i="43"/>
  <c r="AA15" i="43"/>
  <c r="D19" i="42" s="1"/>
  <c r="Z15" i="43"/>
  <c r="D18" i="42" s="1"/>
  <c r="M15" i="43"/>
  <c r="K15" i="43"/>
  <c r="W14" i="43"/>
  <c r="W13" i="43"/>
  <c r="W12" i="43"/>
  <c r="AG11" i="43"/>
  <c r="AF11" i="43"/>
  <c r="W11" i="43"/>
  <c r="AG10" i="43"/>
  <c r="AF10" i="43"/>
  <c r="W10" i="43"/>
  <c r="AG9" i="43"/>
  <c r="AF9" i="43"/>
  <c r="W9" i="43"/>
  <c r="AG8" i="43"/>
  <c r="AF8" i="43"/>
  <c r="W8" i="43"/>
  <c r="W7" i="43"/>
  <c r="N7" i="43" s="1"/>
  <c r="O7" i="43" s="1"/>
  <c r="V7" i="43"/>
  <c r="K7" i="43"/>
  <c r="L7" i="43" s="1"/>
  <c r="J7" i="43"/>
  <c r="P7" i="43" s="1"/>
  <c r="F7" i="43"/>
  <c r="H7" i="43" s="1"/>
  <c r="B7" i="43"/>
  <c r="AG6" i="43"/>
  <c r="AF6" i="43"/>
  <c r="W6" i="43"/>
  <c r="V6" i="43"/>
  <c r="N6" i="43"/>
  <c r="O6" i="43" s="1"/>
  <c r="K6" i="43"/>
  <c r="J6" i="43"/>
  <c r="H6" i="43"/>
  <c r="F6" i="43"/>
  <c r="B6" i="43"/>
  <c r="AG5" i="43"/>
  <c r="W5" i="43"/>
  <c r="O5" i="43"/>
  <c r="N5" i="43"/>
  <c r="K5" i="43"/>
  <c r="J5" i="43"/>
  <c r="P5" i="43" s="1"/>
  <c r="H5" i="43"/>
  <c r="G1" i="43" s="1"/>
  <c r="F5" i="43"/>
  <c r="B5" i="43"/>
  <c r="AA2" i="43"/>
  <c r="M6" i="42" s="1"/>
  <c r="Z2" i="43"/>
  <c r="L6" i="42" s="1"/>
  <c r="I2" i="43"/>
  <c r="E1" i="43"/>
  <c r="G22" i="42"/>
  <c r="E22" i="42"/>
  <c r="D22" i="42"/>
  <c r="J21" i="42"/>
  <c r="I21" i="42"/>
  <c r="G21" i="42"/>
  <c r="F21" i="42"/>
  <c r="G20" i="42"/>
  <c r="F20" i="42"/>
  <c r="D20" i="42"/>
  <c r="J19" i="42"/>
  <c r="I19" i="42"/>
  <c r="H19" i="42"/>
  <c r="G19" i="42"/>
  <c r="E19" i="42"/>
  <c r="J18" i="42"/>
  <c r="I18" i="42"/>
  <c r="H18" i="42"/>
  <c r="G18" i="42"/>
  <c r="J16" i="42"/>
  <c r="I16" i="42"/>
  <c r="H16" i="42"/>
  <c r="G16" i="42"/>
  <c r="F16" i="42"/>
  <c r="E16" i="42"/>
  <c r="D16" i="42"/>
  <c r="I13" i="42"/>
  <c r="J6" i="42" s="1"/>
  <c r="G3" i="42"/>
  <c r="D3" i="42"/>
  <c r="AE79" i="41"/>
  <c r="J21" i="40" s="1"/>
  <c r="AD79" i="41"/>
  <c r="J20" i="40" s="1"/>
  <c r="AA79" i="41"/>
  <c r="J18" i="40" s="1"/>
  <c r="Z79" i="41"/>
  <c r="N79" i="41"/>
  <c r="M79" i="41"/>
  <c r="J79" i="41"/>
  <c r="W78" i="41"/>
  <c r="H78" i="41"/>
  <c r="W77" i="41"/>
  <c r="H77" i="41"/>
  <c r="W76" i="41"/>
  <c r="H76" i="41"/>
  <c r="W75" i="41"/>
  <c r="H75" i="41"/>
  <c r="W74" i="41"/>
  <c r="W73" i="41"/>
  <c r="W72" i="41"/>
  <c r="W71" i="41"/>
  <c r="AF70" i="41"/>
  <c r="W70" i="41"/>
  <c r="P70" i="41"/>
  <c r="O70" i="41"/>
  <c r="N70" i="41"/>
  <c r="L70" i="41"/>
  <c r="L79" i="41" s="1"/>
  <c r="J13" i="40" s="1"/>
  <c r="K70" i="41"/>
  <c r="J70" i="41"/>
  <c r="H70" i="41"/>
  <c r="F70" i="41"/>
  <c r="B70" i="41"/>
  <c r="AE69" i="41"/>
  <c r="AD69" i="41"/>
  <c r="I20" i="40" s="1"/>
  <c r="AA69" i="41"/>
  <c r="Z69" i="41"/>
  <c r="P69" i="41"/>
  <c r="M69" i="41"/>
  <c r="L69" i="41"/>
  <c r="I13" i="40" s="1"/>
  <c r="K69" i="41"/>
  <c r="J69" i="41"/>
  <c r="W68" i="41"/>
  <c r="H68" i="41"/>
  <c r="W67" i="41"/>
  <c r="W66" i="41"/>
  <c r="W65" i="41"/>
  <c r="W64" i="41"/>
  <c r="W63" i="41"/>
  <c r="AG62" i="41"/>
  <c r="AF62" i="41"/>
  <c r="W62" i="41"/>
  <c r="W61" i="41"/>
  <c r="V61" i="41"/>
  <c r="P61" i="41"/>
  <c r="N61" i="41"/>
  <c r="O61" i="41" s="1"/>
  <c r="L61" i="41"/>
  <c r="K61" i="41"/>
  <c r="J61" i="41"/>
  <c r="H61" i="41"/>
  <c r="F61" i="41"/>
  <c r="B61" i="41"/>
  <c r="W60" i="41"/>
  <c r="V60" i="41"/>
  <c r="P60" i="41"/>
  <c r="N60" i="41"/>
  <c r="L60" i="41"/>
  <c r="K60" i="41"/>
  <c r="J60" i="41"/>
  <c r="H60" i="41"/>
  <c r="F60" i="41"/>
  <c r="B60" i="41"/>
  <c r="W59" i="41"/>
  <c r="N59" i="41" s="1"/>
  <c r="P59" i="41"/>
  <c r="L59" i="41"/>
  <c r="K59" i="41"/>
  <c r="J59" i="41"/>
  <c r="F59" i="41"/>
  <c r="H59" i="41" s="1"/>
  <c r="B59" i="41"/>
  <c r="AE58" i="41"/>
  <c r="H21" i="40" s="1"/>
  <c r="AD58" i="41"/>
  <c r="H20" i="40" s="1"/>
  <c r="AA58" i="41"/>
  <c r="H19" i="40" s="1"/>
  <c r="Z58" i="41"/>
  <c r="H18" i="40" s="1"/>
  <c r="M58" i="41"/>
  <c r="J58" i="41"/>
  <c r="W57" i="41"/>
  <c r="W56" i="41"/>
  <c r="W55" i="41"/>
  <c r="W54" i="41"/>
  <c r="AG53" i="41"/>
  <c r="AF53" i="41"/>
  <c r="W53" i="41"/>
  <c r="AG52" i="41"/>
  <c r="AF52" i="41"/>
  <c r="W52" i="41"/>
  <c r="V52" i="41"/>
  <c r="W51" i="41"/>
  <c r="N51" i="41" s="1"/>
  <c r="O51" i="41" s="1"/>
  <c r="V51" i="41"/>
  <c r="R51" i="41"/>
  <c r="Q51" i="41"/>
  <c r="P51" i="41"/>
  <c r="K51" i="41"/>
  <c r="J51" i="41"/>
  <c r="L51" i="41" s="1"/>
  <c r="H51" i="41"/>
  <c r="F51" i="41"/>
  <c r="B51" i="41"/>
  <c r="W50" i="41"/>
  <c r="N50" i="41" s="1"/>
  <c r="O50" i="41" s="1"/>
  <c r="V50" i="41"/>
  <c r="K50" i="41"/>
  <c r="J50" i="41"/>
  <c r="P50" i="41" s="1"/>
  <c r="H50" i="41"/>
  <c r="F50" i="41"/>
  <c r="B50" i="41"/>
  <c r="AG49" i="41"/>
  <c r="W49" i="41"/>
  <c r="P49" i="41"/>
  <c r="N49" i="41"/>
  <c r="N58" i="41" s="1"/>
  <c r="K49" i="41"/>
  <c r="K58" i="41" s="1"/>
  <c r="AF58" i="41" s="1"/>
  <c r="J49" i="41"/>
  <c r="H49" i="41"/>
  <c r="F49" i="41"/>
  <c r="B49" i="41"/>
  <c r="AE48" i="41"/>
  <c r="G21" i="40" s="1"/>
  <c r="AD48" i="41"/>
  <c r="G20" i="40" s="1"/>
  <c r="AA48" i="41"/>
  <c r="Z48" i="41"/>
  <c r="G18" i="40" s="1"/>
  <c r="W48" i="41"/>
  <c r="P48" i="41"/>
  <c r="M48" i="41"/>
  <c r="K48" i="41"/>
  <c r="J48" i="41"/>
  <c r="W47" i="41"/>
  <c r="H47" i="41"/>
  <c r="W46" i="41"/>
  <c r="W45" i="41"/>
  <c r="W44" i="41"/>
  <c r="W43" i="41"/>
  <c r="W42" i="41"/>
  <c r="AG41" i="41"/>
  <c r="AF41" i="41"/>
  <c r="W41" i="41"/>
  <c r="W40" i="41"/>
  <c r="V40" i="41"/>
  <c r="P40" i="41"/>
  <c r="N40" i="41"/>
  <c r="O40" i="41" s="1"/>
  <c r="L40" i="41"/>
  <c r="K40" i="41"/>
  <c r="J40" i="41"/>
  <c r="F40" i="41"/>
  <c r="H40" i="41" s="1"/>
  <c r="B40" i="41"/>
  <c r="AF39" i="41"/>
  <c r="W39" i="41"/>
  <c r="N39" i="41" s="1"/>
  <c r="V39" i="41"/>
  <c r="P39" i="41"/>
  <c r="K39" i="41"/>
  <c r="L39" i="41" s="1"/>
  <c r="J39" i="41"/>
  <c r="H39" i="41"/>
  <c r="F39" i="41"/>
  <c r="B39" i="41"/>
  <c r="AG38" i="41"/>
  <c r="AF38" i="41"/>
  <c r="W38" i="41"/>
  <c r="N38" i="41" s="1"/>
  <c r="K38" i="41"/>
  <c r="L38" i="41" s="1"/>
  <c r="L48" i="41" s="1"/>
  <c r="J38" i="41"/>
  <c r="P38" i="41" s="1"/>
  <c r="F38" i="41"/>
  <c r="H38" i="41" s="1"/>
  <c r="B38" i="41"/>
  <c r="AE37" i="41"/>
  <c r="F21" i="40" s="1"/>
  <c r="AD37" i="41"/>
  <c r="AA37" i="41"/>
  <c r="Z37" i="41"/>
  <c r="F18" i="40" s="1"/>
  <c r="M37" i="41"/>
  <c r="J37" i="41"/>
  <c r="W36" i="41"/>
  <c r="H36" i="41"/>
  <c r="W35" i="41"/>
  <c r="W34" i="41"/>
  <c r="W33" i="41"/>
  <c r="W32" i="41"/>
  <c r="AG31" i="41"/>
  <c r="AF31" i="41"/>
  <c r="W31" i="41"/>
  <c r="AG30" i="41"/>
  <c r="AF30" i="41"/>
  <c r="W30" i="41"/>
  <c r="V30" i="41"/>
  <c r="W29" i="41"/>
  <c r="N29" i="41" s="1"/>
  <c r="AG29" i="41" s="1"/>
  <c r="V29" i="41"/>
  <c r="P29" i="41"/>
  <c r="K29" i="41"/>
  <c r="L29" i="41" s="1"/>
  <c r="J29" i="41"/>
  <c r="H29" i="41"/>
  <c r="F29" i="41"/>
  <c r="B29" i="41"/>
  <c r="W28" i="41"/>
  <c r="V28" i="41"/>
  <c r="N28" i="41"/>
  <c r="L28" i="41"/>
  <c r="K28" i="41"/>
  <c r="J28" i="41"/>
  <c r="P28" i="41" s="1"/>
  <c r="F28" i="41"/>
  <c r="H28" i="41" s="1"/>
  <c r="B28" i="41"/>
  <c r="W27" i="41"/>
  <c r="P27" i="41"/>
  <c r="N27" i="41"/>
  <c r="K27" i="41"/>
  <c r="L27" i="41" s="1"/>
  <c r="L37" i="41" s="1"/>
  <c r="F13" i="40" s="1"/>
  <c r="J27" i="41"/>
  <c r="H27" i="41"/>
  <c r="F27" i="41"/>
  <c r="B27" i="41"/>
  <c r="AE26" i="41"/>
  <c r="AD26" i="41"/>
  <c r="E20" i="40" s="1"/>
  <c r="AA26" i="41"/>
  <c r="E19" i="40" s="1"/>
  <c r="Z26" i="41"/>
  <c r="E18" i="40" s="1"/>
  <c r="M26" i="41"/>
  <c r="J26" i="41"/>
  <c r="P26" i="41" s="1"/>
  <c r="W25" i="41"/>
  <c r="H25" i="41"/>
  <c r="W24" i="41"/>
  <c r="H24" i="41"/>
  <c r="W23" i="41"/>
  <c r="W21" i="41"/>
  <c r="W20" i="41"/>
  <c r="V20" i="41"/>
  <c r="AG19" i="41"/>
  <c r="AF19" i="41"/>
  <c r="W19" i="41"/>
  <c r="V19" i="41"/>
  <c r="W18" i="41"/>
  <c r="V18" i="41"/>
  <c r="P18" i="41"/>
  <c r="N18" i="41"/>
  <c r="L18" i="41"/>
  <c r="K18" i="41"/>
  <c r="J18" i="41"/>
  <c r="F18" i="41"/>
  <c r="H18" i="41" s="1"/>
  <c r="B18" i="41"/>
  <c r="W17" i="41"/>
  <c r="V17" i="41"/>
  <c r="P17" i="41"/>
  <c r="N17" i="41"/>
  <c r="L17" i="41"/>
  <c r="K17" i="41"/>
  <c r="J17" i="41"/>
  <c r="H17" i="41"/>
  <c r="F17" i="41"/>
  <c r="B17" i="41"/>
  <c r="W16" i="41"/>
  <c r="N16" i="41" s="1"/>
  <c r="P16" i="41"/>
  <c r="O16" i="41"/>
  <c r="K16" i="41"/>
  <c r="J16" i="41"/>
  <c r="F16" i="41"/>
  <c r="H16" i="41" s="1"/>
  <c r="B16" i="41"/>
  <c r="AE15" i="41"/>
  <c r="AD15" i="41"/>
  <c r="AA15" i="41"/>
  <c r="Z15" i="41"/>
  <c r="D18" i="40" s="1"/>
  <c r="M15" i="41"/>
  <c r="K15" i="41"/>
  <c r="J15" i="41"/>
  <c r="P15" i="41" s="1"/>
  <c r="W14" i="41"/>
  <c r="W13" i="41"/>
  <c r="W12" i="41"/>
  <c r="AG11" i="41"/>
  <c r="AF11" i="41"/>
  <c r="W11" i="41"/>
  <c r="AG10" i="41"/>
  <c r="AF10" i="41"/>
  <c r="W10" i="41"/>
  <c r="AG9" i="41"/>
  <c r="AF9" i="41"/>
  <c r="W9" i="41"/>
  <c r="AG8" i="41"/>
  <c r="AF8" i="41"/>
  <c r="W8" i="41"/>
  <c r="W7" i="41"/>
  <c r="V7" i="41"/>
  <c r="N7" i="41"/>
  <c r="O7" i="41" s="1"/>
  <c r="K7" i="41"/>
  <c r="J7" i="41"/>
  <c r="P7" i="41" s="1"/>
  <c r="H7" i="41"/>
  <c r="F7" i="41"/>
  <c r="B7" i="41"/>
  <c r="W6" i="41"/>
  <c r="V6" i="41"/>
  <c r="N6" i="41"/>
  <c r="K6" i="41"/>
  <c r="L6" i="41" s="1"/>
  <c r="J6" i="41"/>
  <c r="P6" i="41" s="1"/>
  <c r="F6" i="41"/>
  <c r="H6" i="41" s="1"/>
  <c r="B6" i="41"/>
  <c r="W5" i="41"/>
  <c r="N5" i="41" s="1"/>
  <c r="O5" i="41"/>
  <c r="L5" i="41"/>
  <c r="L15" i="41" s="1"/>
  <c r="D13" i="40" s="1"/>
  <c r="K5" i="41"/>
  <c r="AF5" i="41" s="1"/>
  <c r="J5" i="41"/>
  <c r="P5" i="41" s="1"/>
  <c r="H5" i="41"/>
  <c r="G1" i="41" s="1"/>
  <c r="F5" i="41"/>
  <c r="B5" i="41"/>
  <c r="I2" i="41"/>
  <c r="E1" i="41"/>
  <c r="G3" i="40" s="1"/>
  <c r="J22" i="40"/>
  <c r="I22" i="40"/>
  <c r="G22" i="40"/>
  <c r="F22" i="40"/>
  <c r="E22" i="40"/>
  <c r="D22" i="40"/>
  <c r="I21" i="40"/>
  <c r="E21" i="40"/>
  <c r="D21" i="40"/>
  <c r="D20" i="40"/>
  <c r="J19" i="40"/>
  <c r="I19" i="40"/>
  <c r="G19" i="40"/>
  <c r="F19" i="40"/>
  <c r="I18" i="40"/>
  <c r="J16" i="40"/>
  <c r="I16" i="40"/>
  <c r="H16" i="40"/>
  <c r="G16" i="40"/>
  <c r="F16" i="40"/>
  <c r="E16" i="40"/>
  <c r="D16" i="40"/>
  <c r="G13" i="40"/>
  <c r="J6" i="40"/>
  <c r="H6" i="40"/>
  <c r="F6" i="40"/>
  <c r="J3" i="40"/>
  <c r="D3" i="40"/>
  <c r="AE79" i="39"/>
  <c r="AD79" i="39"/>
  <c r="AA79" i="39"/>
  <c r="Z79" i="39"/>
  <c r="M79" i="39"/>
  <c r="K79" i="39"/>
  <c r="J79" i="39"/>
  <c r="W78" i="39"/>
  <c r="H78" i="39"/>
  <c r="W77" i="39"/>
  <c r="H77" i="39"/>
  <c r="W76" i="39"/>
  <c r="H76" i="39"/>
  <c r="W75" i="39"/>
  <c r="H75" i="39"/>
  <c r="W74" i="39"/>
  <c r="W73" i="39"/>
  <c r="W72" i="39"/>
  <c r="W71" i="39"/>
  <c r="W70" i="39"/>
  <c r="N70" i="39"/>
  <c r="O70" i="39" s="1"/>
  <c r="K70" i="39"/>
  <c r="L70" i="39" s="1"/>
  <c r="L79" i="39" s="1"/>
  <c r="J13" i="38" s="1"/>
  <c r="J70" i="39"/>
  <c r="P70" i="39" s="1"/>
  <c r="F70" i="39"/>
  <c r="H70" i="39" s="1"/>
  <c r="B70" i="39"/>
  <c r="AE69" i="39"/>
  <c r="AD69" i="39"/>
  <c r="AA69" i="39"/>
  <c r="Z69" i="39"/>
  <c r="P69" i="39"/>
  <c r="M69" i="39"/>
  <c r="W68" i="39"/>
  <c r="H68" i="39"/>
  <c r="W67" i="39"/>
  <c r="W66" i="39"/>
  <c r="W65" i="39"/>
  <c r="W64" i="39"/>
  <c r="W63" i="39"/>
  <c r="AG62" i="39"/>
  <c r="AF62" i="39"/>
  <c r="W62" i="39"/>
  <c r="AG61" i="39"/>
  <c r="W61" i="39"/>
  <c r="V61" i="39"/>
  <c r="Q61" i="39"/>
  <c r="P61" i="39"/>
  <c r="O61" i="39"/>
  <c r="R61" i="39" s="1"/>
  <c r="N61" i="39"/>
  <c r="AF61" i="39" s="1"/>
  <c r="L61" i="39"/>
  <c r="K61" i="39"/>
  <c r="J61" i="39"/>
  <c r="F61" i="39"/>
  <c r="H61" i="39" s="1"/>
  <c r="B61" i="39"/>
  <c r="W60" i="39"/>
  <c r="N60" i="39" s="1"/>
  <c r="V60" i="39"/>
  <c r="P60" i="39"/>
  <c r="L60" i="39"/>
  <c r="K60" i="39"/>
  <c r="J60" i="39"/>
  <c r="F60" i="39"/>
  <c r="H60" i="39" s="1"/>
  <c r="B60" i="39"/>
  <c r="W59" i="39"/>
  <c r="P59" i="39"/>
  <c r="N59" i="39"/>
  <c r="K59" i="39"/>
  <c r="K69" i="39" s="1"/>
  <c r="J59" i="39"/>
  <c r="J69" i="39" s="1"/>
  <c r="H59" i="39"/>
  <c r="F59" i="39"/>
  <c r="B59" i="39"/>
  <c r="AE58" i="39"/>
  <c r="AD58" i="39"/>
  <c r="H20" i="38" s="1"/>
  <c r="AA58" i="39"/>
  <c r="Z58" i="39"/>
  <c r="P58" i="39"/>
  <c r="M58" i="39"/>
  <c r="H22" i="38" s="1"/>
  <c r="W57" i="39"/>
  <c r="W56" i="39"/>
  <c r="W55" i="39"/>
  <c r="W54" i="39"/>
  <c r="AG53" i="39"/>
  <c r="AF53" i="39"/>
  <c r="W53" i="39"/>
  <c r="AG52" i="39"/>
  <c r="AF52" i="39"/>
  <c r="W52" i="39"/>
  <c r="V52" i="39"/>
  <c r="W51" i="39"/>
  <c r="V51" i="39"/>
  <c r="P51" i="39"/>
  <c r="N51" i="39"/>
  <c r="K51" i="39"/>
  <c r="L51" i="39" s="1"/>
  <c r="J51" i="39"/>
  <c r="F51" i="39"/>
  <c r="H51" i="39" s="1"/>
  <c r="B51" i="39"/>
  <c r="AG50" i="39"/>
  <c r="W50" i="39"/>
  <c r="N50" i="39" s="1"/>
  <c r="V50" i="39"/>
  <c r="P50" i="39"/>
  <c r="O50" i="39"/>
  <c r="K50" i="39"/>
  <c r="L50" i="39" s="1"/>
  <c r="J50" i="39"/>
  <c r="H50" i="39"/>
  <c r="F50" i="39"/>
  <c r="B50" i="39"/>
  <c r="W49" i="39"/>
  <c r="P49" i="39"/>
  <c r="N49" i="39"/>
  <c r="K49" i="39"/>
  <c r="K58" i="39" s="1"/>
  <c r="J49" i="39"/>
  <c r="J58" i="39" s="1"/>
  <c r="F49" i="39"/>
  <c r="H49" i="39" s="1"/>
  <c r="B49" i="39"/>
  <c r="AE48" i="39"/>
  <c r="AD48" i="39"/>
  <c r="AA48" i="39"/>
  <c r="Z48" i="39"/>
  <c r="W48" i="39"/>
  <c r="M48" i="39"/>
  <c r="W47" i="39"/>
  <c r="H47" i="39"/>
  <c r="W46" i="39"/>
  <c r="W45" i="39"/>
  <c r="W44" i="39"/>
  <c r="W43" i="39"/>
  <c r="W42" i="39"/>
  <c r="AG41" i="39"/>
  <c r="AF41" i="39"/>
  <c r="W41" i="39"/>
  <c r="W40" i="39"/>
  <c r="V40" i="39"/>
  <c r="P40" i="39"/>
  <c r="N40" i="39"/>
  <c r="L40" i="39"/>
  <c r="K40" i="39"/>
  <c r="J40" i="39"/>
  <c r="H40" i="39"/>
  <c r="F40" i="39"/>
  <c r="B40" i="39"/>
  <c r="AG39" i="39"/>
  <c r="AF39" i="39"/>
  <c r="W39" i="39"/>
  <c r="N39" i="39" s="1"/>
  <c r="O39" i="39" s="1"/>
  <c r="V39" i="39"/>
  <c r="R39" i="39"/>
  <c r="Q39" i="39"/>
  <c r="P39" i="39"/>
  <c r="L39" i="39"/>
  <c r="K39" i="39"/>
  <c r="J39" i="39"/>
  <c r="F39" i="39"/>
  <c r="H39" i="39" s="1"/>
  <c r="B39" i="39"/>
  <c r="W38" i="39"/>
  <c r="N38" i="39"/>
  <c r="K38" i="39"/>
  <c r="J38" i="39"/>
  <c r="H38" i="39"/>
  <c r="F38" i="39"/>
  <c r="B38" i="39"/>
  <c r="AE37" i="39"/>
  <c r="F21" i="38" s="1"/>
  <c r="AD37" i="39"/>
  <c r="AA37" i="39"/>
  <c r="Z37" i="39"/>
  <c r="P37" i="39"/>
  <c r="M37" i="39"/>
  <c r="L37" i="39"/>
  <c r="K37" i="39"/>
  <c r="W36" i="39"/>
  <c r="H36" i="39"/>
  <c r="W35" i="39"/>
  <c r="W34" i="39"/>
  <c r="W33" i="39"/>
  <c r="W32" i="39"/>
  <c r="AG31" i="39"/>
  <c r="AF31" i="39"/>
  <c r="W31" i="39"/>
  <c r="AG30" i="39"/>
  <c r="AF30" i="39"/>
  <c r="W30" i="39"/>
  <c r="V30" i="39"/>
  <c r="W29" i="39"/>
  <c r="V29" i="39"/>
  <c r="R29" i="39"/>
  <c r="P29" i="39"/>
  <c r="O29" i="39"/>
  <c r="N29" i="39"/>
  <c r="K29" i="39"/>
  <c r="L29" i="39" s="1"/>
  <c r="J29" i="39"/>
  <c r="F29" i="39"/>
  <c r="H29" i="39" s="1"/>
  <c r="B29" i="39"/>
  <c r="W28" i="39"/>
  <c r="N28" i="39" s="1"/>
  <c r="V28" i="39"/>
  <c r="P28" i="39"/>
  <c r="K28" i="39"/>
  <c r="L28" i="39" s="1"/>
  <c r="J28" i="39"/>
  <c r="F28" i="39"/>
  <c r="H28" i="39" s="1"/>
  <c r="B28" i="39"/>
  <c r="W27" i="39"/>
  <c r="N27" i="39" s="1"/>
  <c r="P27" i="39"/>
  <c r="O27" i="39"/>
  <c r="K27" i="39"/>
  <c r="L27" i="39" s="1"/>
  <c r="J27" i="39"/>
  <c r="J37" i="39" s="1"/>
  <c r="H27" i="39"/>
  <c r="F27" i="39"/>
  <c r="B27" i="39"/>
  <c r="AE26" i="39"/>
  <c r="AD26" i="39"/>
  <c r="E20" i="38" s="1"/>
  <c r="AA26" i="39"/>
  <c r="Z26" i="39"/>
  <c r="P26" i="39"/>
  <c r="M26" i="39"/>
  <c r="K26" i="39"/>
  <c r="W25" i="39"/>
  <c r="H25" i="39"/>
  <c r="W24" i="39"/>
  <c r="H24" i="39"/>
  <c r="W23" i="39"/>
  <c r="W21" i="39"/>
  <c r="W20" i="39"/>
  <c r="V20" i="39"/>
  <c r="AG19" i="39"/>
  <c r="AF19" i="39"/>
  <c r="W19" i="39"/>
  <c r="V19" i="39"/>
  <c r="W18" i="39"/>
  <c r="V18" i="39"/>
  <c r="P18" i="39"/>
  <c r="O18" i="39"/>
  <c r="N18" i="39"/>
  <c r="L18" i="39"/>
  <c r="K18" i="39"/>
  <c r="J18" i="39"/>
  <c r="F18" i="39"/>
  <c r="H18" i="39" s="1"/>
  <c r="B18" i="39"/>
  <c r="W17" i="39"/>
  <c r="N17" i="39" s="1"/>
  <c r="V17" i="39"/>
  <c r="P17" i="39"/>
  <c r="O17" i="39"/>
  <c r="K17" i="39"/>
  <c r="J17" i="39"/>
  <c r="L17" i="39" s="1"/>
  <c r="H17" i="39"/>
  <c r="F17" i="39"/>
  <c r="B17" i="39"/>
  <c r="W16" i="39"/>
  <c r="N16" i="39" s="1"/>
  <c r="P16" i="39"/>
  <c r="L16" i="39"/>
  <c r="L26" i="39" s="1"/>
  <c r="K16" i="39"/>
  <c r="J16" i="39"/>
  <c r="J26" i="39" s="1"/>
  <c r="F16" i="39"/>
  <c r="H16" i="39" s="1"/>
  <c r="B16" i="39"/>
  <c r="AE15" i="39"/>
  <c r="AD15" i="39"/>
  <c r="AA15" i="39"/>
  <c r="Z15" i="39"/>
  <c r="M15" i="39"/>
  <c r="J15" i="39"/>
  <c r="W14" i="39"/>
  <c r="W13" i="39"/>
  <c r="W12" i="39"/>
  <c r="AG11" i="39"/>
  <c r="AF11" i="39"/>
  <c r="W11" i="39"/>
  <c r="AG10" i="39"/>
  <c r="AF10" i="39"/>
  <c r="W10" i="39"/>
  <c r="AG9" i="39"/>
  <c r="AF9" i="39"/>
  <c r="W9" i="39"/>
  <c r="AG8" i="39"/>
  <c r="AF8" i="39"/>
  <c r="W8" i="39"/>
  <c r="W7" i="39"/>
  <c r="V7" i="39"/>
  <c r="N7" i="39"/>
  <c r="K7" i="39"/>
  <c r="J7" i="39"/>
  <c r="P7" i="39" s="1"/>
  <c r="F7" i="39"/>
  <c r="H7" i="39" s="1"/>
  <c r="B7" i="39"/>
  <c r="W6" i="39"/>
  <c r="V6" i="39"/>
  <c r="P6" i="39"/>
  <c r="O6" i="39"/>
  <c r="N6" i="39"/>
  <c r="K6" i="39"/>
  <c r="L6" i="39" s="1"/>
  <c r="Q6" i="39" s="1"/>
  <c r="J6" i="39"/>
  <c r="H6" i="39"/>
  <c r="F6" i="39"/>
  <c r="B6" i="39"/>
  <c r="W5" i="39"/>
  <c r="N5" i="39" s="1"/>
  <c r="P5" i="39"/>
  <c r="K5" i="39"/>
  <c r="K15" i="39" s="1"/>
  <c r="J5" i="39"/>
  <c r="F5" i="39"/>
  <c r="H5" i="39" s="1"/>
  <c r="B5" i="39"/>
  <c r="I2" i="39"/>
  <c r="G1" i="39"/>
  <c r="E1" i="39"/>
  <c r="I22" i="38"/>
  <c r="G22" i="38"/>
  <c r="F22" i="38"/>
  <c r="E22" i="38"/>
  <c r="D22" i="38"/>
  <c r="J21" i="38"/>
  <c r="I21" i="38"/>
  <c r="H21" i="38"/>
  <c r="G21" i="38"/>
  <c r="E21" i="38"/>
  <c r="J20" i="38"/>
  <c r="I20" i="38"/>
  <c r="G20" i="38"/>
  <c r="F20" i="38"/>
  <c r="J19" i="38"/>
  <c r="I19" i="38"/>
  <c r="H19" i="38"/>
  <c r="G19" i="38"/>
  <c r="F19" i="38"/>
  <c r="D19" i="38"/>
  <c r="J18" i="38"/>
  <c r="I18" i="38"/>
  <c r="H18" i="38"/>
  <c r="G18" i="38"/>
  <c r="E18" i="38"/>
  <c r="D18" i="38"/>
  <c r="J16" i="38"/>
  <c r="I16" i="38"/>
  <c r="H16" i="38"/>
  <c r="G16" i="38"/>
  <c r="F16" i="38"/>
  <c r="E16" i="38"/>
  <c r="D16" i="38"/>
  <c r="F13" i="38"/>
  <c r="E13" i="38"/>
  <c r="G3" i="38"/>
  <c r="D3" i="38"/>
  <c r="AE79" i="37"/>
  <c r="J21" i="36" s="1"/>
  <c r="AD79" i="37"/>
  <c r="J20" i="36" s="1"/>
  <c r="AA79" i="37"/>
  <c r="Z79" i="37"/>
  <c r="M79" i="37"/>
  <c r="K79" i="37"/>
  <c r="J79" i="37"/>
  <c r="W78" i="37"/>
  <c r="H78" i="37"/>
  <c r="W77" i="37"/>
  <c r="H77" i="37"/>
  <c r="W76" i="37"/>
  <c r="H76" i="37"/>
  <c r="W75" i="37"/>
  <c r="H75" i="37"/>
  <c r="W74" i="37"/>
  <c r="W73" i="37"/>
  <c r="W72" i="37"/>
  <c r="W71" i="37"/>
  <c r="W70" i="37"/>
  <c r="N70" i="37"/>
  <c r="K70" i="37"/>
  <c r="J70" i="37"/>
  <c r="P70" i="37" s="1"/>
  <c r="F70" i="37"/>
  <c r="H70" i="37" s="1"/>
  <c r="B70" i="37"/>
  <c r="AE69" i="37"/>
  <c r="AD69" i="37"/>
  <c r="AA69" i="37"/>
  <c r="Z69" i="37"/>
  <c r="I18" i="36" s="1"/>
  <c r="M69" i="37"/>
  <c r="K69" i="37"/>
  <c r="J69" i="37"/>
  <c r="W68" i="37"/>
  <c r="H68" i="37"/>
  <c r="W67" i="37"/>
  <c r="W66" i="37"/>
  <c r="W65" i="37"/>
  <c r="W64" i="37"/>
  <c r="W63" i="37"/>
  <c r="AG62" i="37"/>
  <c r="AF62" i="37"/>
  <c r="W62" i="37"/>
  <c r="W61" i="37"/>
  <c r="N61" i="37" s="1"/>
  <c r="V61" i="37"/>
  <c r="K61" i="37"/>
  <c r="L61" i="37" s="1"/>
  <c r="J61" i="37"/>
  <c r="P61" i="37" s="1"/>
  <c r="F61" i="37"/>
  <c r="H61" i="37" s="1"/>
  <c r="B61" i="37"/>
  <c r="W60" i="37"/>
  <c r="V60" i="37"/>
  <c r="N60" i="37"/>
  <c r="L60" i="37"/>
  <c r="K60" i="37"/>
  <c r="J60" i="37"/>
  <c r="P60" i="37" s="1"/>
  <c r="H60" i="37"/>
  <c r="F60" i="37"/>
  <c r="B60" i="37"/>
  <c r="W59" i="37"/>
  <c r="P59" i="37"/>
  <c r="O59" i="37"/>
  <c r="N59" i="37"/>
  <c r="L59" i="37"/>
  <c r="L69" i="37" s="1"/>
  <c r="I13" i="36" s="1"/>
  <c r="J6" i="36" s="1"/>
  <c r="K59" i="37"/>
  <c r="J59" i="37"/>
  <c r="H59" i="37"/>
  <c r="F59" i="37"/>
  <c r="B59" i="37"/>
  <c r="AE58" i="37"/>
  <c r="H21" i="36" s="1"/>
  <c r="AD58" i="37"/>
  <c r="H20" i="36" s="1"/>
  <c r="AA58" i="37"/>
  <c r="H19" i="36" s="1"/>
  <c r="Z58" i="37"/>
  <c r="H18" i="36" s="1"/>
  <c r="M58" i="37"/>
  <c r="W57" i="37"/>
  <c r="W56" i="37"/>
  <c r="W55" i="37"/>
  <c r="W54" i="37"/>
  <c r="AG53" i="37"/>
  <c r="AF53" i="37"/>
  <c r="W53" i="37"/>
  <c r="AG52" i="37"/>
  <c r="AF52" i="37"/>
  <c r="W52" i="37"/>
  <c r="V52" i="37"/>
  <c r="W51" i="37"/>
  <c r="N51" i="37" s="1"/>
  <c r="O51" i="37" s="1"/>
  <c r="V51" i="37"/>
  <c r="K51" i="37"/>
  <c r="J51" i="37"/>
  <c r="P51" i="37" s="1"/>
  <c r="H51" i="37"/>
  <c r="F51" i="37"/>
  <c r="B51" i="37"/>
  <c r="AG50" i="37"/>
  <c r="W50" i="37"/>
  <c r="V50" i="37"/>
  <c r="N50" i="37"/>
  <c r="K50" i="37"/>
  <c r="L50" i="37" s="1"/>
  <c r="J50" i="37"/>
  <c r="P50" i="37" s="1"/>
  <c r="F50" i="37"/>
  <c r="H50" i="37" s="1"/>
  <c r="B50" i="37"/>
  <c r="W49" i="37"/>
  <c r="N49" i="37"/>
  <c r="K49" i="37"/>
  <c r="K58" i="37" s="1"/>
  <c r="J49" i="37"/>
  <c r="H49" i="37"/>
  <c r="F49" i="37"/>
  <c r="B49" i="37"/>
  <c r="AE48" i="37"/>
  <c r="G21" i="36" s="1"/>
  <c r="AD48" i="37"/>
  <c r="G20" i="36" s="1"/>
  <c r="AA48" i="37"/>
  <c r="Z48" i="37"/>
  <c r="W48" i="37"/>
  <c r="M48" i="37"/>
  <c r="W47" i="37"/>
  <c r="H47" i="37"/>
  <c r="W46" i="37"/>
  <c r="W45" i="37"/>
  <c r="W44" i="37"/>
  <c r="W43" i="37"/>
  <c r="W42" i="37"/>
  <c r="AG41" i="37"/>
  <c r="AF41" i="37"/>
  <c r="W41" i="37"/>
  <c r="W40" i="37"/>
  <c r="N40" i="37" s="1"/>
  <c r="AG40" i="37" s="1"/>
  <c r="V40" i="37"/>
  <c r="P40" i="37"/>
  <c r="O40" i="37"/>
  <c r="K40" i="37"/>
  <c r="J40" i="37"/>
  <c r="L40" i="37" s="1"/>
  <c r="H40" i="37"/>
  <c r="F40" i="37"/>
  <c r="B40" i="37"/>
  <c r="AG39" i="37"/>
  <c r="AF39" i="37"/>
  <c r="W39" i="37"/>
  <c r="V39" i="37"/>
  <c r="R39" i="37"/>
  <c r="P39" i="37"/>
  <c r="O39" i="37"/>
  <c r="N39" i="37"/>
  <c r="L39" i="37"/>
  <c r="K39" i="37"/>
  <c r="J39" i="37"/>
  <c r="H39" i="37"/>
  <c r="F39" i="37"/>
  <c r="B39" i="37"/>
  <c r="W38" i="37"/>
  <c r="N38" i="37" s="1"/>
  <c r="K38" i="37"/>
  <c r="K48" i="37" s="1"/>
  <c r="J38" i="37"/>
  <c r="H38" i="37"/>
  <c r="F38" i="37"/>
  <c r="B38" i="37"/>
  <c r="AE37" i="37"/>
  <c r="F21" i="36" s="1"/>
  <c r="AD37" i="37"/>
  <c r="F20" i="36" s="1"/>
  <c r="AA37" i="37"/>
  <c r="Z37" i="37"/>
  <c r="M37" i="37"/>
  <c r="J37" i="37"/>
  <c r="W36" i="37"/>
  <c r="H36" i="37"/>
  <c r="W35" i="37"/>
  <c r="W34" i="37"/>
  <c r="W33" i="37"/>
  <c r="W32" i="37"/>
  <c r="AG31" i="37"/>
  <c r="AF31" i="37"/>
  <c r="W31" i="37"/>
  <c r="AG30" i="37"/>
  <c r="AF30" i="37"/>
  <c r="W30" i="37"/>
  <c r="V30" i="37"/>
  <c r="AG29" i="37"/>
  <c r="W29" i="37"/>
  <c r="V29" i="37"/>
  <c r="R29" i="37"/>
  <c r="Q29" i="37"/>
  <c r="O29" i="37"/>
  <c r="N29" i="37"/>
  <c r="AF29" i="37" s="1"/>
  <c r="L29" i="37"/>
  <c r="K29" i="37"/>
  <c r="J29" i="37"/>
  <c r="P29" i="37" s="1"/>
  <c r="F29" i="37"/>
  <c r="H29" i="37" s="1"/>
  <c r="B29" i="37"/>
  <c r="AF28" i="37"/>
  <c r="W28" i="37"/>
  <c r="N28" i="37" s="1"/>
  <c r="V28" i="37"/>
  <c r="P28" i="37"/>
  <c r="K28" i="37"/>
  <c r="L28" i="37" s="1"/>
  <c r="J28" i="37"/>
  <c r="F28" i="37"/>
  <c r="H28" i="37" s="1"/>
  <c r="B28" i="37"/>
  <c r="W27" i="37"/>
  <c r="N27" i="37" s="1"/>
  <c r="P27" i="37"/>
  <c r="K27" i="37"/>
  <c r="J27" i="37"/>
  <c r="F27" i="37"/>
  <c r="H27" i="37" s="1"/>
  <c r="B27" i="37"/>
  <c r="AE26" i="37"/>
  <c r="AD26" i="37"/>
  <c r="AA26" i="37"/>
  <c r="E19" i="36" s="1"/>
  <c r="Z26" i="37"/>
  <c r="M26" i="37"/>
  <c r="K26" i="37"/>
  <c r="W25" i="37"/>
  <c r="H25" i="37"/>
  <c r="W24" i="37"/>
  <c r="H24" i="37"/>
  <c r="W23" i="37"/>
  <c r="W21" i="37"/>
  <c r="W20" i="37"/>
  <c r="V20" i="37"/>
  <c r="AG19" i="37"/>
  <c r="AF19" i="37"/>
  <c r="W19" i="37"/>
  <c r="V19" i="37"/>
  <c r="W18" i="37"/>
  <c r="V18" i="37"/>
  <c r="N18" i="37"/>
  <c r="K18" i="37"/>
  <c r="J18" i="37"/>
  <c r="P18" i="37" s="1"/>
  <c r="H18" i="37"/>
  <c r="F18" i="37"/>
  <c r="B18" i="37"/>
  <c r="W17" i="37"/>
  <c r="V17" i="37"/>
  <c r="P17" i="37"/>
  <c r="N17" i="37"/>
  <c r="K17" i="37"/>
  <c r="J17" i="37"/>
  <c r="L17" i="37" s="1"/>
  <c r="H17" i="37"/>
  <c r="F17" i="37"/>
  <c r="B17" i="37"/>
  <c r="W16" i="37"/>
  <c r="N16" i="37" s="1"/>
  <c r="K16" i="37"/>
  <c r="J16" i="37"/>
  <c r="H16" i="37"/>
  <c r="F16" i="37"/>
  <c r="B16" i="37"/>
  <c r="AE15" i="37"/>
  <c r="AD15" i="37"/>
  <c r="AA15" i="37"/>
  <c r="D19" i="36" s="1"/>
  <c r="Z15" i="37"/>
  <c r="M15" i="37"/>
  <c r="W14" i="37"/>
  <c r="W13" i="37"/>
  <c r="W12" i="37"/>
  <c r="AG11" i="37"/>
  <c r="AF11" i="37"/>
  <c r="W11" i="37"/>
  <c r="AG10" i="37"/>
  <c r="AF10" i="37"/>
  <c r="W10" i="37"/>
  <c r="AG9" i="37"/>
  <c r="AF9" i="37"/>
  <c r="W9" i="37"/>
  <c r="AG8" i="37"/>
  <c r="AF8" i="37"/>
  <c r="W8" i="37"/>
  <c r="AG7" i="37"/>
  <c r="W7" i="37"/>
  <c r="V7" i="37"/>
  <c r="O7" i="37"/>
  <c r="N7" i="37"/>
  <c r="K7" i="37"/>
  <c r="J7" i="37"/>
  <c r="P7" i="37" s="1"/>
  <c r="H7" i="37"/>
  <c r="F7" i="37"/>
  <c r="B7" i="37"/>
  <c r="AF6" i="37"/>
  <c r="W6" i="37"/>
  <c r="N6" i="37" s="1"/>
  <c r="V6" i="37"/>
  <c r="P6" i="37"/>
  <c r="L6" i="37"/>
  <c r="K6" i="37"/>
  <c r="J6" i="37"/>
  <c r="F6" i="37"/>
  <c r="H6" i="37" s="1"/>
  <c r="B6" i="37"/>
  <c r="AG5" i="37"/>
  <c r="AF5" i="37"/>
  <c r="W5" i="37"/>
  <c r="N5" i="37" s="1"/>
  <c r="O5" i="37"/>
  <c r="K5" i="37"/>
  <c r="J5" i="37"/>
  <c r="F5" i="37"/>
  <c r="H5" i="37" s="1"/>
  <c r="G1" i="37" s="1"/>
  <c r="B5" i="37"/>
  <c r="AD2" i="37"/>
  <c r="N6" i="36" s="1"/>
  <c r="AA2" i="37"/>
  <c r="M6" i="36" s="1"/>
  <c r="I2" i="37"/>
  <c r="E1" i="37"/>
  <c r="G3" i="36" s="1"/>
  <c r="I22" i="36"/>
  <c r="I21" i="36"/>
  <c r="D21" i="36"/>
  <c r="I20" i="36"/>
  <c r="E20" i="36"/>
  <c r="D20" i="36"/>
  <c r="J19" i="36"/>
  <c r="I19" i="36"/>
  <c r="G19" i="36"/>
  <c r="F19" i="36"/>
  <c r="J18" i="36"/>
  <c r="G18" i="36"/>
  <c r="F18" i="36"/>
  <c r="E18" i="36"/>
  <c r="D18" i="36"/>
  <c r="J16" i="36"/>
  <c r="I16" i="36"/>
  <c r="H16" i="36"/>
  <c r="G16" i="36"/>
  <c r="F16" i="36"/>
  <c r="E16" i="36"/>
  <c r="D16" i="36"/>
  <c r="D3" i="36"/>
  <c r="AE79" i="35"/>
  <c r="AD79" i="35"/>
  <c r="AA79" i="35"/>
  <c r="Z79" i="35"/>
  <c r="M79" i="35"/>
  <c r="K79" i="35"/>
  <c r="J79" i="35"/>
  <c r="W78" i="35"/>
  <c r="H78" i="35"/>
  <c r="W77" i="35"/>
  <c r="H77" i="35"/>
  <c r="W76" i="35"/>
  <c r="H76" i="35"/>
  <c r="W75" i="35"/>
  <c r="H75" i="35"/>
  <c r="W74" i="35"/>
  <c r="W73" i="35"/>
  <c r="W72" i="35"/>
  <c r="W71" i="35"/>
  <c r="W70" i="35"/>
  <c r="N70" i="35"/>
  <c r="K70" i="35"/>
  <c r="L70" i="35" s="1"/>
  <c r="L79" i="35" s="1"/>
  <c r="J13" i="34" s="1"/>
  <c r="J70" i="35"/>
  <c r="P70" i="35" s="1"/>
  <c r="F70" i="35"/>
  <c r="H70" i="35" s="1"/>
  <c r="B70" i="35"/>
  <c r="AE69" i="35"/>
  <c r="AD69" i="35"/>
  <c r="AA69" i="35"/>
  <c r="Z69" i="35"/>
  <c r="M69" i="35"/>
  <c r="W68" i="35"/>
  <c r="H68" i="35"/>
  <c r="W67" i="35"/>
  <c r="W66" i="35"/>
  <c r="W65" i="35"/>
  <c r="W64" i="35"/>
  <c r="W63" i="35"/>
  <c r="AG62" i="35"/>
  <c r="AF62" i="35"/>
  <c r="W62" i="35"/>
  <c r="W61" i="35"/>
  <c r="V61" i="35"/>
  <c r="N61" i="35"/>
  <c r="AG61" i="35" s="1"/>
  <c r="L61" i="35"/>
  <c r="K61" i="35"/>
  <c r="J61" i="35"/>
  <c r="P61" i="35" s="1"/>
  <c r="H61" i="35"/>
  <c r="F61" i="35"/>
  <c r="B61" i="35"/>
  <c r="W60" i="35"/>
  <c r="V60" i="35"/>
  <c r="P60" i="35"/>
  <c r="N60" i="35"/>
  <c r="L60" i="35"/>
  <c r="K60" i="35"/>
  <c r="J60" i="35"/>
  <c r="H60" i="35"/>
  <c r="F60" i="35"/>
  <c r="B60" i="35"/>
  <c r="W59" i="35"/>
  <c r="N59" i="35" s="1"/>
  <c r="K59" i="35"/>
  <c r="K69" i="35" s="1"/>
  <c r="J59" i="35"/>
  <c r="H59" i="35"/>
  <c r="F59" i="35"/>
  <c r="B59" i="35"/>
  <c r="AE58" i="35"/>
  <c r="H21" i="34" s="1"/>
  <c r="AD58" i="35"/>
  <c r="AA58" i="35"/>
  <c r="Z58" i="35"/>
  <c r="M58" i="35"/>
  <c r="W57" i="35"/>
  <c r="W56" i="35"/>
  <c r="W55" i="35"/>
  <c r="W54" i="35"/>
  <c r="AG53" i="35"/>
  <c r="AF53" i="35"/>
  <c r="W53" i="35"/>
  <c r="AG52" i="35"/>
  <c r="AF52" i="35"/>
  <c r="W52" i="35"/>
  <c r="V52" i="35"/>
  <c r="W51" i="35"/>
  <c r="V51" i="35"/>
  <c r="P51" i="35"/>
  <c r="O51" i="35"/>
  <c r="N51" i="35"/>
  <c r="K51" i="35"/>
  <c r="J51" i="35"/>
  <c r="F51" i="35"/>
  <c r="H51" i="35" s="1"/>
  <c r="B51" i="35"/>
  <c r="AF50" i="35"/>
  <c r="W50" i="35"/>
  <c r="V50" i="35"/>
  <c r="P50" i="35"/>
  <c r="N50" i="35"/>
  <c r="AG50" i="35" s="1"/>
  <c r="L50" i="35"/>
  <c r="K50" i="35"/>
  <c r="J50" i="35"/>
  <c r="F50" i="35"/>
  <c r="H50" i="35" s="1"/>
  <c r="B50" i="35"/>
  <c r="W49" i="35"/>
  <c r="N49" i="35" s="1"/>
  <c r="O49" i="35" s="1"/>
  <c r="P49" i="35"/>
  <c r="K49" i="35"/>
  <c r="J49" i="35"/>
  <c r="J58" i="35" s="1"/>
  <c r="P58" i="35" s="1"/>
  <c r="F49" i="35"/>
  <c r="H49" i="35" s="1"/>
  <c r="B49" i="35"/>
  <c r="AE48" i="35"/>
  <c r="AD48" i="35"/>
  <c r="AA48" i="35"/>
  <c r="Z48" i="35"/>
  <c r="W48" i="35"/>
  <c r="M48" i="35"/>
  <c r="L48" i="35"/>
  <c r="G13" i="34" s="1"/>
  <c r="K48" i="35"/>
  <c r="W47" i="35"/>
  <c r="H47" i="35"/>
  <c r="W46" i="35"/>
  <c r="W45" i="35"/>
  <c r="W44" i="35"/>
  <c r="W43" i="35"/>
  <c r="W42" i="35"/>
  <c r="AG41" i="35"/>
  <c r="AF41" i="35"/>
  <c r="W41" i="35"/>
  <c r="W40" i="35"/>
  <c r="V40" i="35"/>
  <c r="Q40" i="35"/>
  <c r="P40" i="35"/>
  <c r="O40" i="35"/>
  <c r="N40" i="35"/>
  <c r="L40" i="35"/>
  <c r="K40" i="35"/>
  <c r="J40" i="35"/>
  <c r="H40" i="35"/>
  <c r="F40" i="35"/>
  <c r="B40" i="35"/>
  <c r="W39" i="35"/>
  <c r="N39" i="35" s="1"/>
  <c r="V39" i="35"/>
  <c r="P39" i="35"/>
  <c r="L39" i="35"/>
  <c r="K39" i="35"/>
  <c r="J39" i="35"/>
  <c r="H39" i="35"/>
  <c r="F39" i="35"/>
  <c r="B39" i="35"/>
  <c r="AG38" i="35"/>
  <c r="AF38" i="35"/>
  <c r="W38" i="35"/>
  <c r="N38" i="35" s="1"/>
  <c r="O38" i="35" s="1"/>
  <c r="R38" i="35"/>
  <c r="P38" i="35"/>
  <c r="K38" i="35"/>
  <c r="J38" i="35"/>
  <c r="L38" i="35" s="1"/>
  <c r="F38" i="35"/>
  <c r="H38" i="35" s="1"/>
  <c r="B38" i="35"/>
  <c r="AE37" i="35"/>
  <c r="F21" i="34" s="1"/>
  <c r="AD37" i="35"/>
  <c r="F20" i="34" s="1"/>
  <c r="AA37" i="35"/>
  <c r="Z37" i="35"/>
  <c r="F18" i="34" s="1"/>
  <c r="M37" i="35"/>
  <c r="L37" i="35"/>
  <c r="F13" i="34" s="1"/>
  <c r="K37" i="35"/>
  <c r="J37" i="35"/>
  <c r="W36" i="35"/>
  <c r="H36" i="35"/>
  <c r="W35" i="35"/>
  <c r="W34" i="35"/>
  <c r="W33" i="35"/>
  <c r="W32" i="35"/>
  <c r="AG31" i="35"/>
  <c r="AF31" i="35"/>
  <c r="W31" i="35"/>
  <c r="AG30" i="35"/>
  <c r="AF30" i="35"/>
  <c r="W30" i="35"/>
  <c r="V30" i="35"/>
  <c r="W29" i="35"/>
  <c r="N29" i="35" s="1"/>
  <c r="V29" i="35"/>
  <c r="K29" i="35"/>
  <c r="L29" i="35" s="1"/>
  <c r="J29" i="35"/>
  <c r="P29" i="35" s="1"/>
  <c r="F29" i="35"/>
  <c r="H29" i="35" s="1"/>
  <c r="B29" i="35"/>
  <c r="W28" i="35"/>
  <c r="V28" i="35"/>
  <c r="N28" i="35"/>
  <c r="K28" i="35"/>
  <c r="L28" i="35" s="1"/>
  <c r="J28" i="35"/>
  <c r="P28" i="35" s="1"/>
  <c r="F28" i="35"/>
  <c r="H28" i="35" s="1"/>
  <c r="B28" i="35"/>
  <c r="W27" i="35"/>
  <c r="P27" i="35"/>
  <c r="O27" i="35"/>
  <c r="N27" i="35"/>
  <c r="L27" i="35"/>
  <c r="K27" i="35"/>
  <c r="J27" i="35"/>
  <c r="F27" i="35"/>
  <c r="H27" i="35" s="1"/>
  <c r="B27" i="35"/>
  <c r="AE26" i="35"/>
  <c r="AD26" i="35"/>
  <c r="AA26" i="35"/>
  <c r="Z26" i="35"/>
  <c r="M26" i="35"/>
  <c r="K26" i="35"/>
  <c r="W25" i="35"/>
  <c r="H25" i="35"/>
  <c r="W24" i="35"/>
  <c r="H24" i="35"/>
  <c r="W23" i="35"/>
  <c r="W21" i="35"/>
  <c r="W20" i="35"/>
  <c r="V20" i="35"/>
  <c r="AG19" i="35"/>
  <c r="AF19" i="35"/>
  <c r="W19" i="35"/>
  <c r="V19" i="35"/>
  <c r="W18" i="35"/>
  <c r="V18" i="35"/>
  <c r="P18" i="35"/>
  <c r="N18" i="35"/>
  <c r="O18" i="35" s="1"/>
  <c r="R18" i="35" s="1"/>
  <c r="L18" i="35"/>
  <c r="K18" i="35"/>
  <c r="J18" i="35"/>
  <c r="H18" i="35"/>
  <c r="F18" i="35"/>
  <c r="B18" i="35"/>
  <c r="AG17" i="35"/>
  <c r="W17" i="35"/>
  <c r="N17" i="35" s="1"/>
  <c r="V17" i="35"/>
  <c r="P17" i="35"/>
  <c r="O17" i="35"/>
  <c r="K17" i="35"/>
  <c r="AF17" i="35" s="1"/>
  <c r="J17" i="35"/>
  <c r="L17" i="35" s="1"/>
  <c r="H17" i="35"/>
  <c r="F17" i="35"/>
  <c r="B17" i="35"/>
  <c r="W16" i="35"/>
  <c r="P16" i="35"/>
  <c r="N16" i="35"/>
  <c r="O16" i="35" s="1"/>
  <c r="K16" i="35"/>
  <c r="J16" i="35"/>
  <c r="J26" i="35" s="1"/>
  <c r="H16" i="35"/>
  <c r="F16" i="35"/>
  <c r="B16" i="35"/>
  <c r="AF15" i="35"/>
  <c r="AE15" i="35"/>
  <c r="AD15" i="35"/>
  <c r="AA15" i="35"/>
  <c r="D19" i="34" s="1"/>
  <c r="Z15" i="35"/>
  <c r="M15" i="35"/>
  <c r="K15" i="35"/>
  <c r="J15" i="35"/>
  <c r="P15" i="35" s="1"/>
  <c r="W14" i="35"/>
  <c r="W13" i="35"/>
  <c r="W12" i="35"/>
  <c r="AG11" i="35"/>
  <c r="AF11" i="35"/>
  <c r="W11" i="35"/>
  <c r="AG10" i="35"/>
  <c r="AF10" i="35"/>
  <c r="W10" i="35"/>
  <c r="AG9" i="35"/>
  <c r="AF9" i="35"/>
  <c r="W9" i="35"/>
  <c r="AG8" i="35"/>
  <c r="AF8" i="35"/>
  <c r="W8" i="35"/>
  <c r="AG7" i="35"/>
  <c r="W7" i="35"/>
  <c r="N7" i="35" s="1"/>
  <c r="O7" i="35" s="1"/>
  <c r="V7" i="35"/>
  <c r="K7" i="35"/>
  <c r="J7" i="35"/>
  <c r="P7" i="35" s="1"/>
  <c r="F7" i="35"/>
  <c r="H7" i="35" s="1"/>
  <c r="B7" i="35"/>
  <c r="AG6" i="35"/>
  <c r="W6" i="35"/>
  <c r="V6" i="35"/>
  <c r="N6" i="35"/>
  <c r="K6" i="35"/>
  <c r="J6" i="35"/>
  <c r="P6" i="35" s="1"/>
  <c r="H6" i="35"/>
  <c r="F6" i="35"/>
  <c r="B6" i="35"/>
  <c r="AG5" i="35"/>
  <c r="AF5" i="35"/>
  <c r="W5" i="35"/>
  <c r="O5" i="35"/>
  <c r="N5" i="35"/>
  <c r="N15" i="35" s="1"/>
  <c r="AG15" i="35" s="1"/>
  <c r="AH5" i="35" s="1"/>
  <c r="K5" i="35"/>
  <c r="J5" i="35"/>
  <c r="F5" i="35"/>
  <c r="H5" i="35" s="1"/>
  <c r="G1" i="35" s="1"/>
  <c r="B5" i="35"/>
  <c r="AA2" i="35"/>
  <c r="I2" i="35"/>
  <c r="E1" i="35"/>
  <c r="G3" i="34" s="1"/>
  <c r="J22" i="34"/>
  <c r="I22" i="34"/>
  <c r="H22" i="34"/>
  <c r="D22" i="34"/>
  <c r="J21" i="34"/>
  <c r="I21" i="34"/>
  <c r="G21" i="34"/>
  <c r="E21" i="34"/>
  <c r="J20" i="34"/>
  <c r="I20" i="34"/>
  <c r="H20" i="34"/>
  <c r="G20" i="34"/>
  <c r="E20" i="34"/>
  <c r="J19" i="34"/>
  <c r="I19" i="34"/>
  <c r="H19" i="34"/>
  <c r="G19" i="34"/>
  <c r="F19" i="34"/>
  <c r="E19" i="34"/>
  <c r="J18" i="34"/>
  <c r="I18" i="34"/>
  <c r="H18" i="34"/>
  <c r="G18" i="34"/>
  <c r="D18" i="34"/>
  <c r="J16" i="34"/>
  <c r="I16" i="34"/>
  <c r="H16" i="34"/>
  <c r="G16" i="34"/>
  <c r="F16" i="34"/>
  <c r="E16" i="34"/>
  <c r="D16" i="34"/>
  <c r="M6" i="34"/>
  <c r="D3" i="34"/>
  <c r="AE79" i="33"/>
  <c r="AD79" i="33"/>
  <c r="J20" i="32" s="1"/>
  <c r="AA79" i="33"/>
  <c r="J18" i="32" s="1"/>
  <c r="Z79" i="33"/>
  <c r="N79" i="33"/>
  <c r="M79" i="33"/>
  <c r="K79" i="33"/>
  <c r="W78" i="33"/>
  <c r="H78" i="33"/>
  <c r="W77" i="33"/>
  <c r="H77" i="33"/>
  <c r="W76" i="33"/>
  <c r="H76" i="33"/>
  <c r="W75" i="33"/>
  <c r="H75" i="33"/>
  <c r="W74" i="33"/>
  <c r="W73" i="33"/>
  <c r="W72" i="33"/>
  <c r="W71" i="33"/>
  <c r="AG70" i="33"/>
  <c r="W70" i="33"/>
  <c r="N70" i="33"/>
  <c r="AF70" i="33" s="1"/>
  <c r="K70" i="33"/>
  <c r="J70" i="33"/>
  <c r="F70" i="33"/>
  <c r="H70" i="33" s="1"/>
  <c r="B70" i="33"/>
  <c r="AE69" i="33"/>
  <c r="AD69" i="33"/>
  <c r="I20" i="32" s="1"/>
  <c r="AA69" i="33"/>
  <c r="Z69" i="33"/>
  <c r="I18" i="32" s="1"/>
  <c r="M69" i="33"/>
  <c r="K69" i="33"/>
  <c r="J69" i="33"/>
  <c r="P69" i="33" s="1"/>
  <c r="W68" i="33"/>
  <c r="H68" i="33"/>
  <c r="W67" i="33"/>
  <c r="W66" i="33"/>
  <c r="W65" i="33"/>
  <c r="W64" i="33"/>
  <c r="W63" i="33"/>
  <c r="AG62" i="33"/>
  <c r="AF62" i="33"/>
  <c r="W62" i="33"/>
  <c r="W61" i="33"/>
  <c r="V61" i="33"/>
  <c r="N61" i="33"/>
  <c r="K61" i="33"/>
  <c r="J61" i="33"/>
  <c r="P61" i="33" s="1"/>
  <c r="H61" i="33"/>
  <c r="F61" i="33"/>
  <c r="B61" i="33"/>
  <c r="AF60" i="33"/>
  <c r="W60" i="33"/>
  <c r="V60" i="33"/>
  <c r="P60" i="33"/>
  <c r="O60" i="33"/>
  <c r="N60" i="33"/>
  <c r="K60" i="33"/>
  <c r="L60" i="33" s="1"/>
  <c r="J60" i="33"/>
  <c r="F60" i="33"/>
  <c r="H60" i="33" s="1"/>
  <c r="B60" i="33"/>
  <c r="W59" i="33"/>
  <c r="N59" i="33" s="1"/>
  <c r="P59" i="33"/>
  <c r="L59" i="33"/>
  <c r="L69" i="33" s="1"/>
  <c r="I13" i="32" s="1"/>
  <c r="J6" i="32" s="1"/>
  <c r="K59" i="33"/>
  <c r="J59" i="33"/>
  <c r="H59" i="33"/>
  <c r="F59" i="33"/>
  <c r="B59" i="33"/>
  <c r="AE58" i="33"/>
  <c r="H21" i="32" s="1"/>
  <c r="AD58" i="33"/>
  <c r="H20" i="32" s="1"/>
  <c r="AA58" i="33"/>
  <c r="Z58" i="33"/>
  <c r="H18" i="32" s="1"/>
  <c r="M58" i="33"/>
  <c r="K58" i="33"/>
  <c r="J58" i="33"/>
  <c r="W57" i="33"/>
  <c r="W56" i="33"/>
  <c r="W55" i="33"/>
  <c r="W54" i="33"/>
  <c r="AG53" i="33"/>
  <c r="AF53" i="33"/>
  <c r="W53" i="33"/>
  <c r="AG52" i="33"/>
  <c r="AF52" i="33"/>
  <c r="W52" i="33"/>
  <c r="V52" i="33"/>
  <c r="W51" i="33"/>
  <c r="V51" i="33"/>
  <c r="N51" i="33"/>
  <c r="L51" i="33"/>
  <c r="K51" i="33"/>
  <c r="J51" i="33"/>
  <c r="P51" i="33" s="1"/>
  <c r="F51" i="33"/>
  <c r="H51" i="33" s="1"/>
  <c r="B51" i="33"/>
  <c r="AG50" i="33"/>
  <c r="AF50" i="33"/>
  <c r="W50" i="33"/>
  <c r="V50" i="33"/>
  <c r="P50" i="33"/>
  <c r="O50" i="33"/>
  <c r="N50" i="33"/>
  <c r="K50" i="33"/>
  <c r="J50" i="33"/>
  <c r="F50" i="33"/>
  <c r="H50" i="33" s="1"/>
  <c r="B50" i="33"/>
  <c r="AF49" i="33"/>
  <c r="W49" i="33"/>
  <c r="N49" i="33" s="1"/>
  <c r="P49" i="33"/>
  <c r="L49" i="33"/>
  <c r="L58" i="33" s="1"/>
  <c r="K49" i="33"/>
  <c r="J49" i="33"/>
  <c r="F49" i="33"/>
  <c r="H49" i="33" s="1"/>
  <c r="B49" i="33"/>
  <c r="AE48" i="33"/>
  <c r="AD48" i="33"/>
  <c r="AA48" i="33"/>
  <c r="G19" i="32" s="1"/>
  <c r="Z48" i="33"/>
  <c r="W48" i="33"/>
  <c r="M48" i="33"/>
  <c r="G22" i="32" s="1"/>
  <c r="K48" i="33"/>
  <c r="J48" i="33"/>
  <c r="W47" i="33"/>
  <c r="H47" i="33"/>
  <c r="W46" i="33"/>
  <c r="W45" i="33"/>
  <c r="W44" i="33"/>
  <c r="W43" i="33"/>
  <c r="W42" i="33"/>
  <c r="AG41" i="33"/>
  <c r="AF41" i="33"/>
  <c r="W41" i="33"/>
  <c r="AG40" i="33"/>
  <c r="AF40" i="33"/>
  <c r="W40" i="33"/>
  <c r="V40" i="33"/>
  <c r="N40" i="33"/>
  <c r="O40" i="33" s="1"/>
  <c r="L40" i="33"/>
  <c r="K40" i="33"/>
  <c r="J40" i="33"/>
  <c r="P40" i="33" s="1"/>
  <c r="F40" i="33"/>
  <c r="H40" i="33" s="1"/>
  <c r="B40" i="33"/>
  <c r="W39" i="33"/>
  <c r="V39" i="33"/>
  <c r="N39" i="33"/>
  <c r="K39" i="33"/>
  <c r="L39" i="33" s="1"/>
  <c r="J39" i="33"/>
  <c r="P39" i="33" s="1"/>
  <c r="H39" i="33"/>
  <c r="F39" i="33"/>
  <c r="B39" i="33"/>
  <c r="W38" i="33"/>
  <c r="P38" i="33"/>
  <c r="N38" i="33"/>
  <c r="O38" i="33" s="1"/>
  <c r="L38" i="33"/>
  <c r="L48" i="33" s="1"/>
  <c r="G13" i="32" s="1"/>
  <c r="K38" i="33"/>
  <c r="J38" i="33"/>
  <c r="H38" i="33"/>
  <c r="F38" i="33"/>
  <c r="B38" i="33"/>
  <c r="AE37" i="33"/>
  <c r="F21" i="32" s="1"/>
  <c r="AD37" i="33"/>
  <c r="F20" i="32" s="1"/>
  <c r="AA37" i="33"/>
  <c r="F19" i="32" s="1"/>
  <c r="Z37" i="33"/>
  <c r="M37" i="33"/>
  <c r="W36" i="33"/>
  <c r="H36" i="33"/>
  <c r="W35" i="33"/>
  <c r="W34" i="33"/>
  <c r="W33" i="33"/>
  <c r="W32" i="33"/>
  <c r="AG31" i="33"/>
  <c r="AF31" i="33"/>
  <c r="W31" i="33"/>
  <c r="AG30" i="33"/>
  <c r="AF30" i="33"/>
  <c r="W30" i="33"/>
  <c r="V30" i="33"/>
  <c r="W29" i="33"/>
  <c r="V29" i="33"/>
  <c r="N29" i="33"/>
  <c r="K29" i="33"/>
  <c r="J29" i="33"/>
  <c r="H29" i="33"/>
  <c r="F29" i="33"/>
  <c r="B29" i="33"/>
  <c r="W28" i="33"/>
  <c r="V28" i="33"/>
  <c r="N28" i="33"/>
  <c r="K28" i="33"/>
  <c r="L28" i="33" s="1"/>
  <c r="J28" i="33"/>
  <c r="P28" i="33" s="1"/>
  <c r="H28" i="33"/>
  <c r="F28" i="33"/>
  <c r="B28" i="33"/>
  <c r="W27" i="33"/>
  <c r="N27" i="33" s="1"/>
  <c r="O27" i="33"/>
  <c r="K27" i="33"/>
  <c r="J27" i="33"/>
  <c r="H27" i="33"/>
  <c r="F27" i="33"/>
  <c r="B27" i="33"/>
  <c r="AE26" i="33"/>
  <c r="AD26" i="33"/>
  <c r="AA26" i="33"/>
  <c r="E19" i="32" s="1"/>
  <c r="Z26" i="33"/>
  <c r="N26" i="33"/>
  <c r="M26" i="33"/>
  <c r="W25" i="33"/>
  <c r="H25" i="33"/>
  <c r="W24" i="33"/>
  <c r="H24" i="33"/>
  <c r="W23" i="33"/>
  <c r="W21" i="33"/>
  <c r="W20" i="33"/>
  <c r="V20" i="33"/>
  <c r="AG19" i="33"/>
  <c r="AF19" i="33"/>
  <c r="W19" i="33"/>
  <c r="V19" i="33"/>
  <c r="W18" i="33"/>
  <c r="V18" i="33"/>
  <c r="P18" i="33"/>
  <c r="N18" i="33"/>
  <c r="L18" i="33"/>
  <c r="K18" i="33"/>
  <c r="J18" i="33"/>
  <c r="H18" i="33"/>
  <c r="F18" i="33"/>
  <c r="B18" i="33"/>
  <c r="AF17" i="33"/>
  <c r="W17" i="33"/>
  <c r="N17" i="33" s="1"/>
  <c r="V17" i="33"/>
  <c r="P17" i="33"/>
  <c r="O17" i="33"/>
  <c r="R17" i="33" s="1"/>
  <c r="K17" i="33"/>
  <c r="L17" i="33" s="1"/>
  <c r="J17" i="33"/>
  <c r="F17" i="33"/>
  <c r="H17" i="33" s="1"/>
  <c r="B17" i="33"/>
  <c r="AG16" i="33"/>
  <c r="AF16" i="33"/>
  <c r="W16" i="33"/>
  <c r="N16" i="33" s="1"/>
  <c r="O16" i="33" s="1"/>
  <c r="K16" i="33"/>
  <c r="K26" i="33" s="1"/>
  <c r="J16" i="33"/>
  <c r="H16" i="33"/>
  <c r="F16" i="33"/>
  <c r="B16" i="33"/>
  <c r="AE15" i="33"/>
  <c r="AD15" i="33"/>
  <c r="AA15" i="33"/>
  <c r="D19" i="32" s="1"/>
  <c r="Z15" i="33"/>
  <c r="M15" i="33"/>
  <c r="K15" i="33"/>
  <c r="J15" i="33"/>
  <c r="P15" i="33" s="1"/>
  <c r="W14" i="33"/>
  <c r="W13" i="33"/>
  <c r="W12" i="33"/>
  <c r="AG11" i="33"/>
  <c r="AF11" i="33"/>
  <c r="W11" i="33"/>
  <c r="AG10" i="33"/>
  <c r="AF10" i="33"/>
  <c r="W10" i="33"/>
  <c r="AG9" i="33"/>
  <c r="AF9" i="33"/>
  <c r="W9" i="33"/>
  <c r="AG8" i="33"/>
  <c r="AF8" i="33"/>
  <c r="W8" i="33"/>
  <c r="W7" i="33"/>
  <c r="V7" i="33"/>
  <c r="P7" i="33"/>
  <c r="N7" i="33"/>
  <c r="AG7" i="33" s="1"/>
  <c r="L7" i="33"/>
  <c r="K7" i="33"/>
  <c r="J7" i="33"/>
  <c r="H7" i="33"/>
  <c r="F7" i="33"/>
  <c r="B7" i="33"/>
  <c r="AG6" i="33"/>
  <c r="AF6" i="33"/>
  <c r="W6" i="33"/>
  <c r="N6" i="33" s="1"/>
  <c r="O6" i="33" s="1"/>
  <c r="V6" i="33"/>
  <c r="P6" i="33"/>
  <c r="K6" i="33"/>
  <c r="J6" i="33"/>
  <c r="L6" i="33" s="1"/>
  <c r="H6" i="33"/>
  <c r="F6" i="33"/>
  <c r="B6" i="33"/>
  <c r="W5" i="33"/>
  <c r="N5" i="33" s="1"/>
  <c r="O5" i="33" s="1"/>
  <c r="K5" i="33"/>
  <c r="L5" i="33" s="1"/>
  <c r="J5" i="33"/>
  <c r="P5" i="33" s="1"/>
  <c r="F5" i="33"/>
  <c r="H5" i="33" s="1"/>
  <c r="G1" i="33" s="1"/>
  <c r="B5" i="33"/>
  <c r="AA2" i="33"/>
  <c r="M6" i="32" s="1"/>
  <c r="I2" i="33"/>
  <c r="E1" i="33"/>
  <c r="J22" i="32"/>
  <c r="I22" i="32"/>
  <c r="D22" i="32"/>
  <c r="J21" i="32"/>
  <c r="I21" i="32"/>
  <c r="G21" i="32"/>
  <c r="E21" i="32"/>
  <c r="G20" i="32"/>
  <c r="E20" i="32"/>
  <c r="J19" i="32"/>
  <c r="I19" i="32"/>
  <c r="H19" i="32"/>
  <c r="G18" i="32"/>
  <c r="E18" i="32"/>
  <c r="D18" i="32"/>
  <c r="J16" i="32"/>
  <c r="I16" i="32"/>
  <c r="H16" i="32"/>
  <c r="G16" i="32"/>
  <c r="F16" i="32"/>
  <c r="E16" i="32"/>
  <c r="D16" i="32"/>
  <c r="H13" i="32"/>
  <c r="G3" i="32"/>
  <c r="D3" i="32"/>
  <c r="AE79" i="31"/>
  <c r="AD79" i="31"/>
  <c r="J20" i="30" s="1"/>
  <c r="AA79" i="31"/>
  <c r="J18" i="30" s="1"/>
  <c r="Z79" i="31"/>
  <c r="O79" i="31"/>
  <c r="J14" i="30" s="1"/>
  <c r="M79" i="31"/>
  <c r="K79" i="31"/>
  <c r="J79" i="31"/>
  <c r="W78" i="31"/>
  <c r="H78" i="31"/>
  <c r="W77" i="31"/>
  <c r="H77" i="31"/>
  <c r="W76" i="31"/>
  <c r="H76" i="31"/>
  <c r="W75" i="31"/>
  <c r="H75" i="31"/>
  <c r="W74" i="31"/>
  <c r="W73" i="31"/>
  <c r="W72" i="31"/>
  <c r="W71" i="31"/>
  <c r="W70" i="31"/>
  <c r="P70" i="31"/>
  <c r="O70" i="31"/>
  <c r="N70" i="31"/>
  <c r="L70" i="31"/>
  <c r="L79" i="31" s="1"/>
  <c r="J13" i="30" s="1"/>
  <c r="K70" i="31"/>
  <c r="J70" i="31"/>
  <c r="H70" i="31"/>
  <c r="F70" i="31"/>
  <c r="B70" i="31"/>
  <c r="AE69" i="31"/>
  <c r="I21" i="30" s="1"/>
  <c r="AD69" i="31"/>
  <c r="AA69" i="31"/>
  <c r="I19" i="30" s="1"/>
  <c r="Z69" i="31"/>
  <c r="I18" i="30" s="1"/>
  <c r="P69" i="31"/>
  <c r="M69" i="31"/>
  <c r="W68" i="31"/>
  <c r="H68" i="31"/>
  <c r="W67" i="31"/>
  <c r="W66" i="31"/>
  <c r="W65" i="31"/>
  <c r="W64" i="31"/>
  <c r="W63" i="31"/>
  <c r="AG62" i="31"/>
  <c r="AF62" i="31"/>
  <c r="W62" i="31"/>
  <c r="W61" i="31"/>
  <c r="V61" i="31"/>
  <c r="P61" i="31"/>
  <c r="N61" i="31"/>
  <c r="K61" i="31"/>
  <c r="L61" i="31" s="1"/>
  <c r="J61" i="31"/>
  <c r="F61" i="31"/>
  <c r="H61" i="31" s="1"/>
  <c r="B61" i="31"/>
  <c r="W60" i="31"/>
  <c r="N60" i="31" s="1"/>
  <c r="V60" i="31"/>
  <c r="O60" i="31"/>
  <c r="K60" i="31"/>
  <c r="J60" i="31"/>
  <c r="P60" i="31" s="1"/>
  <c r="F60" i="31"/>
  <c r="H60" i="31" s="1"/>
  <c r="B60" i="31"/>
  <c r="W59" i="31"/>
  <c r="N59" i="31" s="1"/>
  <c r="P59" i="31"/>
  <c r="K59" i="31"/>
  <c r="K69" i="31" s="1"/>
  <c r="J59" i="31"/>
  <c r="J69" i="31" s="1"/>
  <c r="H59" i="31"/>
  <c r="F59" i="31"/>
  <c r="B59" i="31"/>
  <c r="AE58" i="31"/>
  <c r="AD58" i="31"/>
  <c r="H20" i="30" s="1"/>
  <c r="AA58" i="31"/>
  <c r="H19" i="30" s="1"/>
  <c r="Z58" i="31"/>
  <c r="H18" i="30" s="1"/>
  <c r="M58" i="31"/>
  <c r="W57" i="31"/>
  <c r="W56" i="31"/>
  <c r="W55" i="31"/>
  <c r="W54" i="31"/>
  <c r="AG53" i="31"/>
  <c r="AF53" i="31"/>
  <c r="W53" i="31"/>
  <c r="AG52" i="31"/>
  <c r="AF52" i="31"/>
  <c r="W52" i="31"/>
  <c r="V52" i="31"/>
  <c r="W51" i="31"/>
  <c r="V51" i="31"/>
  <c r="P51" i="31"/>
  <c r="O51" i="31"/>
  <c r="N51" i="31"/>
  <c r="L51" i="31"/>
  <c r="K51" i="31"/>
  <c r="J51" i="31"/>
  <c r="F51" i="31"/>
  <c r="H51" i="31" s="1"/>
  <c r="B51" i="31"/>
  <c r="W50" i="31"/>
  <c r="N50" i="31" s="1"/>
  <c r="V50" i="31"/>
  <c r="P50" i="31"/>
  <c r="O50" i="31"/>
  <c r="K50" i="31"/>
  <c r="L50" i="31" s="1"/>
  <c r="J50" i="31"/>
  <c r="F50" i="31"/>
  <c r="H50" i="31" s="1"/>
  <c r="B50" i="31"/>
  <c r="W49" i="31"/>
  <c r="N49" i="31"/>
  <c r="K49" i="31"/>
  <c r="K58" i="31" s="1"/>
  <c r="J49" i="31"/>
  <c r="H49" i="31"/>
  <c r="F49" i="31"/>
  <c r="B49" i="31"/>
  <c r="AE48" i="31"/>
  <c r="AD48" i="31"/>
  <c r="AA48" i="31"/>
  <c r="Z48" i="31"/>
  <c r="W48" i="31"/>
  <c r="O48" i="31"/>
  <c r="N48" i="31"/>
  <c r="M48" i="31"/>
  <c r="W47" i="31"/>
  <c r="H47" i="31"/>
  <c r="W46" i="31"/>
  <c r="W45" i="31"/>
  <c r="W44" i="31"/>
  <c r="W43" i="31"/>
  <c r="W42" i="31"/>
  <c r="AG41" i="31"/>
  <c r="AF41" i="31"/>
  <c r="W41" i="31"/>
  <c r="AF40" i="31"/>
  <c r="W40" i="31"/>
  <c r="N40" i="31" s="1"/>
  <c r="V40" i="31"/>
  <c r="Q40" i="31"/>
  <c r="P40" i="31"/>
  <c r="O40" i="31"/>
  <c r="R40" i="31" s="1"/>
  <c r="K40" i="31"/>
  <c r="L40" i="31" s="1"/>
  <c r="J40" i="31"/>
  <c r="F40" i="31"/>
  <c r="H40" i="31" s="1"/>
  <c r="B40" i="31"/>
  <c r="W39" i="31"/>
  <c r="N39" i="31" s="1"/>
  <c r="O39" i="31" s="1"/>
  <c r="V39" i="31"/>
  <c r="K39" i="31"/>
  <c r="J39" i="31"/>
  <c r="P39" i="31" s="1"/>
  <c r="H39" i="31"/>
  <c r="F39" i="31"/>
  <c r="B39" i="31"/>
  <c r="W38" i="31"/>
  <c r="N38" i="31"/>
  <c r="O38" i="31" s="1"/>
  <c r="L38" i="31"/>
  <c r="L48" i="31" s="1"/>
  <c r="G13" i="30" s="1"/>
  <c r="K38" i="31"/>
  <c r="J38" i="31"/>
  <c r="H38" i="31"/>
  <c r="F38" i="31"/>
  <c r="B38" i="31"/>
  <c r="AE37" i="31"/>
  <c r="AD37" i="31"/>
  <c r="AD2" i="31" s="1"/>
  <c r="N6" i="30" s="1"/>
  <c r="AA37" i="31"/>
  <c r="Z37" i="31"/>
  <c r="F18" i="30" s="1"/>
  <c r="P37" i="31"/>
  <c r="M37" i="31"/>
  <c r="F22" i="30" s="1"/>
  <c r="W36" i="31"/>
  <c r="H36" i="31"/>
  <c r="W35" i="31"/>
  <c r="W34" i="31"/>
  <c r="W33" i="31"/>
  <c r="W32" i="31"/>
  <c r="AG31" i="31"/>
  <c r="AF31" i="31"/>
  <c r="W31" i="31"/>
  <c r="AG30" i="31"/>
  <c r="AF30" i="31"/>
  <c r="W30" i="31"/>
  <c r="V30" i="31"/>
  <c r="W29" i="31"/>
  <c r="V29" i="31"/>
  <c r="N29" i="31"/>
  <c r="K29" i="31"/>
  <c r="J29" i="31"/>
  <c r="H29" i="31"/>
  <c r="F29" i="31"/>
  <c r="B29" i="31"/>
  <c r="W28" i="31"/>
  <c r="V28" i="31"/>
  <c r="N28" i="31"/>
  <c r="K28" i="31"/>
  <c r="J28" i="31"/>
  <c r="P28" i="31" s="1"/>
  <c r="F28" i="31"/>
  <c r="H28" i="31" s="1"/>
  <c r="B28" i="31"/>
  <c r="W27" i="31"/>
  <c r="P27" i="31"/>
  <c r="N27" i="31"/>
  <c r="O27" i="31" s="1"/>
  <c r="L27" i="31"/>
  <c r="L37" i="31" s="1"/>
  <c r="F13" i="30" s="1"/>
  <c r="K27" i="31"/>
  <c r="K37" i="31" s="1"/>
  <c r="J27" i="31"/>
  <c r="J37" i="31" s="1"/>
  <c r="F27" i="31"/>
  <c r="H27" i="31" s="1"/>
  <c r="B27" i="31"/>
  <c r="AE26" i="31"/>
  <c r="AD26" i="31"/>
  <c r="AA26" i="31"/>
  <c r="E19" i="30" s="1"/>
  <c r="Z26" i="31"/>
  <c r="E18" i="30" s="1"/>
  <c r="M26" i="31"/>
  <c r="I1" i="31" s="1"/>
  <c r="K26" i="31"/>
  <c r="J26" i="31"/>
  <c r="P26" i="31" s="1"/>
  <c r="W25" i="31"/>
  <c r="H25" i="31"/>
  <c r="W24" i="31"/>
  <c r="H24" i="31"/>
  <c r="W23" i="31"/>
  <c r="W21" i="31"/>
  <c r="W20" i="31"/>
  <c r="V20" i="31"/>
  <c r="AG19" i="31"/>
  <c r="AF19" i="31"/>
  <c r="W19" i="31"/>
  <c r="V19" i="31"/>
  <c r="AG18" i="31"/>
  <c r="AF18" i="31"/>
  <c r="W18" i="31"/>
  <c r="N18" i="31" s="1"/>
  <c r="O18" i="31" s="1"/>
  <c r="V18" i="31"/>
  <c r="K18" i="31"/>
  <c r="J18" i="31"/>
  <c r="P18" i="31" s="1"/>
  <c r="F18" i="31"/>
  <c r="H18" i="31" s="1"/>
  <c r="B18" i="31"/>
  <c r="AG17" i="31"/>
  <c r="W17" i="31"/>
  <c r="N17" i="31" s="1"/>
  <c r="V17" i="31"/>
  <c r="O17" i="31"/>
  <c r="K17" i="31"/>
  <c r="J17" i="31"/>
  <c r="P17" i="31" s="1"/>
  <c r="F17" i="31"/>
  <c r="H17" i="31" s="1"/>
  <c r="B17" i="31"/>
  <c r="AG16" i="31"/>
  <c r="W16" i="31"/>
  <c r="O16" i="31"/>
  <c r="N16" i="31"/>
  <c r="K16" i="31"/>
  <c r="L16" i="31" s="1"/>
  <c r="L26" i="31" s="1"/>
  <c r="E13" i="30" s="1"/>
  <c r="J16" i="31"/>
  <c r="P16" i="31" s="1"/>
  <c r="H16" i="31"/>
  <c r="F16" i="31"/>
  <c r="B16" i="31"/>
  <c r="AE15" i="31"/>
  <c r="AD15" i="31"/>
  <c r="D20" i="30" s="1"/>
  <c r="AA15" i="31"/>
  <c r="Z15" i="31"/>
  <c r="M15" i="31"/>
  <c r="K15" i="31"/>
  <c r="W14" i="31"/>
  <c r="W13" i="31"/>
  <c r="W12" i="31"/>
  <c r="AG11" i="31"/>
  <c r="AF11" i="31"/>
  <c r="W11" i="31"/>
  <c r="AG10" i="31"/>
  <c r="AF10" i="31"/>
  <c r="W10" i="31"/>
  <c r="AG9" i="31"/>
  <c r="AF9" i="31"/>
  <c r="W9" i="31"/>
  <c r="AG8" i="31"/>
  <c r="AF8" i="31"/>
  <c r="W8" i="31"/>
  <c r="AG7" i="31"/>
  <c r="AF7" i="31"/>
  <c r="W7" i="31"/>
  <c r="V7" i="31"/>
  <c r="P7" i="31"/>
  <c r="N7" i="31"/>
  <c r="O7" i="31" s="1"/>
  <c r="L7" i="31"/>
  <c r="K7" i="31"/>
  <c r="J7" i="31"/>
  <c r="F7" i="31"/>
  <c r="H7" i="31" s="1"/>
  <c r="B7" i="31"/>
  <c r="AG6" i="31"/>
  <c r="W6" i="31"/>
  <c r="V6" i="31"/>
  <c r="P6" i="31"/>
  <c r="N6" i="31"/>
  <c r="AF6" i="31" s="1"/>
  <c r="K6" i="31"/>
  <c r="J6" i="31"/>
  <c r="L6" i="31" s="1"/>
  <c r="H6" i="31"/>
  <c r="F6" i="31"/>
  <c r="B6" i="31"/>
  <c r="W5" i="31"/>
  <c r="N5" i="31" s="1"/>
  <c r="AF5" i="31" s="1"/>
  <c r="O5" i="31"/>
  <c r="K5" i="31"/>
  <c r="J5" i="31"/>
  <c r="F5" i="31"/>
  <c r="H5" i="31" s="1"/>
  <c r="G1" i="31" s="1"/>
  <c r="B5" i="31"/>
  <c r="AE2" i="31"/>
  <c r="O6" i="30" s="1"/>
  <c r="I2" i="31"/>
  <c r="E1" i="31"/>
  <c r="G3" i="30" s="1"/>
  <c r="J22" i="30"/>
  <c r="I22" i="30"/>
  <c r="H22" i="30"/>
  <c r="E22" i="30"/>
  <c r="D22" i="30"/>
  <c r="J21" i="30"/>
  <c r="H21" i="30"/>
  <c r="G21" i="30"/>
  <c r="F21" i="30"/>
  <c r="E21" i="30"/>
  <c r="D21" i="30"/>
  <c r="I20" i="30"/>
  <c r="G20" i="30"/>
  <c r="F20" i="30"/>
  <c r="E20" i="30"/>
  <c r="J19" i="30"/>
  <c r="G19" i="30"/>
  <c r="F19" i="30"/>
  <c r="G18" i="30"/>
  <c r="J16" i="30"/>
  <c r="I16" i="30"/>
  <c r="H16" i="30"/>
  <c r="G16" i="30"/>
  <c r="F16" i="30"/>
  <c r="E16" i="30"/>
  <c r="D16" i="30"/>
  <c r="G14" i="30"/>
  <c r="G15" i="30" s="1"/>
  <c r="D3" i="30"/>
  <c r="AE79" i="29"/>
  <c r="AD79" i="29"/>
  <c r="J20" i="28" s="1"/>
  <c r="AA79" i="29"/>
  <c r="J18" i="28" s="1"/>
  <c r="Z79" i="29"/>
  <c r="M79" i="29"/>
  <c r="J22" i="28" s="1"/>
  <c r="K79" i="29"/>
  <c r="W78" i="29"/>
  <c r="H78" i="29"/>
  <c r="W77" i="29"/>
  <c r="H77" i="29"/>
  <c r="W76" i="29"/>
  <c r="H76" i="29"/>
  <c r="W75" i="29"/>
  <c r="H75" i="29"/>
  <c r="W74" i="29"/>
  <c r="W73" i="29"/>
  <c r="W72" i="29"/>
  <c r="W71" i="29"/>
  <c r="W70" i="29"/>
  <c r="N70" i="29" s="1"/>
  <c r="P70" i="29"/>
  <c r="K70" i="29"/>
  <c r="J70" i="29"/>
  <c r="F70" i="29"/>
  <c r="H70" i="29" s="1"/>
  <c r="B70" i="29"/>
  <c r="AE69" i="29"/>
  <c r="I21" i="28" s="1"/>
  <c r="AD69" i="29"/>
  <c r="I20" i="28" s="1"/>
  <c r="AA69" i="29"/>
  <c r="Z69" i="29"/>
  <c r="I18" i="28" s="1"/>
  <c r="M69" i="29"/>
  <c r="K69" i="29"/>
  <c r="J69" i="29"/>
  <c r="W68" i="29"/>
  <c r="H68" i="29"/>
  <c r="W67" i="29"/>
  <c r="W66" i="29"/>
  <c r="W65" i="29"/>
  <c r="W64" i="29"/>
  <c r="W63" i="29"/>
  <c r="AG62" i="29"/>
  <c r="AF62" i="29"/>
  <c r="W62" i="29"/>
  <c r="W61" i="29"/>
  <c r="V61" i="29"/>
  <c r="N61" i="29"/>
  <c r="K61" i="29"/>
  <c r="J61" i="29"/>
  <c r="H61" i="29"/>
  <c r="F61" i="29"/>
  <c r="B61" i="29"/>
  <c r="W60" i="29"/>
  <c r="V60" i="29"/>
  <c r="N60" i="29"/>
  <c r="L60" i="29"/>
  <c r="K60" i="29"/>
  <c r="J60" i="29"/>
  <c r="P60" i="29" s="1"/>
  <c r="F60" i="29"/>
  <c r="H60" i="29" s="1"/>
  <c r="B60" i="29"/>
  <c r="W59" i="29"/>
  <c r="P59" i="29"/>
  <c r="N59" i="29"/>
  <c r="O59" i="29" s="1"/>
  <c r="L59" i="29"/>
  <c r="L69" i="29" s="1"/>
  <c r="I13" i="28" s="1"/>
  <c r="J6" i="28" s="1"/>
  <c r="K59" i="29"/>
  <c r="J59" i="29"/>
  <c r="F59" i="29"/>
  <c r="H59" i="29" s="1"/>
  <c r="B59" i="29"/>
  <c r="AE58" i="29"/>
  <c r="H21" i="28" s="1"/>
  <c r="AD58" i="29"/>
  <c r="H20" i="28" s="1"/>
  <c r="AA58" i="29"/>
  <c r="Z58" i="29"/>
  <c r="M58" i="29"/>
  <c r="L58" i="29"/>
  <c r="K58" i="29"/>
  <c r="J58" i="29"/>
  <c r="W57" i="29"/>
  <c r="W56" i="29"/>
  <c r="W55" i="29"/>
  <c r="W54" i="29"/>
  <c r="AG53" i="29"/>
  <c r="AF53" i="29"/>
  <c r="W53" i="29"/>
  <c r="AG52" i="29"/>
  <c r="AF52" i="29"/>
  <c r="W52" i="29"/>
  <c r="V52" i="29"/>
  <c r="W51" i="29"/>
  <c r="V51" i="29"/>
  <c r="N51" i="29"/>
  <c r="O51" i="29" s="1"/>
  <c r="K51" i="29"/>
  <c r="L51" i="29" s="1"/>
  <c r="J51" i="29"/>
  <c r="P51" i="29" s="1"/>
  <c r="H51" i="29"/>
  <c r="F51" i="29"/>
  <c r="B51" i="29"/>
  <c r="W50" i="29"/>
  <c r="V50" i="29"/>
  <c r="P50" i="29"/>
  <c r="N50" i="29"/>
  <c r="K50" i="29"/>
  <c r="L50" i="29" s="1"/>
  <c r="J50" i="29"/>
  <c r="F50" i="29"/>
  <c r="H50" i="29" s="1"/>
  <c r="B50" i="29"/>
  <c r="W49" i="29"/>
  <c r="N49" i="29" s="1"/>
  <c r="AG49" i="29" s="1"/>
  <c r="P49" i="29"/>
  <c r="O49" i="29"/>
  <c r="L49" i="29"/>
  <c r="K49" i="29"/>
  <c r="J49" i="29"/>
  <c r="F49" i="29"/>
  <c r="H49" i="29" s="1"/>
  <c r="B49" i="29"/>
  <c r="AE48" i="29"/>
  <c r="G21" i="28" s="1"/>
  <c r="AD48" i="29"/>
  <c r="G20" i="28" s="1"/>
  <c r="AA48" i="29"/>
  <c r="G19" i="28" s="1"/>
  <c r="Z48" i="29"/>
  <c r="W48" i="29"/>
  <c r="M48" i="29"/>
  <c r="L48" i="29"/>
  <c r="G13" i="28" s="1"/>
  <c r="K48" i="29"/>
  <c r="J48" i="29"/>
  <c r="W47" i="29"/>
  <c r="H47" i="29"/>
  <c r="W46" i="29"/>
  <c r="W45" i="29"/>
  <c r="W44" i="29"/>
  <c r="W43" i="29"/>
  <c r="W42" i="29"/>
  <c r="AG41" i="29"/>
  <c r="AF41" i="29"/>
  <c r="W41" i="29"/>
  <c r="AG40" i="29"/>
  <c r="W40" i="29"/>
  <c r="N40" i="29" s="1"/>
  <c r="O40" i="29" s="1"/>
  <c r="V40" i="29"/>
  <c r="K40" i="29"/>
  <c r="AF40" i="29" s="1"/>
  <c r="J40" i="29"/>
  <c r="P40" i="29" s="1"/>
  <c r="F40" i="29"/>
  <c r="H40" i="29" s="1"/>
  <c r="B40" i="29"/>
  <c r="AG39" i="29"/>
  <c r="AF39" i="29"/>
  <c r="W39" i="29"/>
  <c r="V39" i="29"/>
  <c r="P39" i="29"/>
  <c r="N39" i="29"/>
  <c r="N48" i="29" s="1"/>
  <c r="L39" i="29"/>
  <c r="K39" i="29"/>
  <c r="J39" i="29"/>
  <c r="F39" i="29"/>
  <c r="H39" i="29" s="1"/>
  <c r="B39" i="29"/>
  <c r="AG38" i="29"/>
  <c r="W38" i="29"/>
  <c r="P38" i="29"/>
  <c r="O38" i="29"/>
  <c r="N38" i="29"/>
  <c r="AF38" i="29" s="1"/>
  <c r="L38" i="29"/>
  <c r="K38" i="29"/>
  <c r="J38" i="29"/>
  <c r="H38" i="29"/>
  <c r="F38" i="29"/>
  <c r="B38" i="29"/>
  <c r="AE37" i="29"/>
  <c r="AD37" i="29"/>
  <c r="AA37" i="29"/>
  <c r="F19" i="28" s="1"/>
  <c r="Z37" i="29"/>
  <c r="M37" i="29"/>
  <c r="W36" i="29"/>
  <c r="H36" i="29"/>
  <c r="W35" i="29"/>
  <c r="W34" i="29"/>
  <c r="W33" i="29"/>
  <c r="W32" i="29"/>
  <c r="AG31" i="29"/>
  <c r="AF31" i="29"/>
  <c r="W31" i="29"/>
  <c r="AG30" i="29"/>
  <c r="AF30" i="29"/>
  <c r="W30" i="29"/>
  <c r="V30" i="29"/>
  <c r="W29" i="29"/>
  <c r="N29" i="29" s="1"/>
  <c r="V29" i="29"/>
  <c r="K29" i="29"/>
  <c r="J29" i="29"/>
  <c r="F29" i="29"/>
  <c r="H29" i="29" s="1"/>
  <c r="B29" i="29"/>
  <c r="W28" i="29"/>
  <c r="N28" i="29" s="1"/>
  <c r="V28" i="29"/>
  <c r="K28" i="29"/>
  <c r="J28" i="29"/>
  <c r="P28" i="29" s="1"/>
  <c r="H28" i="29"/>
  <c r="F28" i="29"/>
  <c r="B28" i="29"/>
  <c r="W27" i="29"/>
  <c r="N27" i="29" s="1"/>
  <c r="K27" i="29"/>
  <c r="J27" i="29"/>
  <c r="H27" i="29"/>
  <c r="F27" i="29"/>
  <c r="B27" i="29"/>
  <c r="AE26" i="29"/>
  <c r="E21" i="28" s="1"/>
  <c r="AD26" i="29"/>
  <c r="AA26" i="29"/>
  <c r="E19" i="28" s="1"/>
  <c r="Z26" i="29"/>
  <c r="N26" i="29"/>
  <c r="M26" i="29"/>
  <c r="L26" i="29"/>
  <c r="E13" i="28" s="1"/>
  <c r="K26" i="29"/>
  <c r="J26" i="29"/>
  <c r="W25" i="29"/>
  <c r="H25" i="29"/>
  <c r="W24" i="29"/>
  <c r="H24" i="29"/>
  <c r="W23" i="29"/>
  <c r="W21" i="29"/>
  <c r="W20" i="29"/>
  <c r="V20" i="29"/>
  <c r="AG19" i="29"/>
  <c r="AF19" i="29"/>
  <c r="W19" i="29"/>
  <c r="V19" i="29"/>
  <c r="W18" i="29"/>
  <c r="V18" i="29"/>
  <c r="N18" i="29"/>
  <c r="O18" i="29" s="1"/>
  <c r="K18" i="29"/>
  <c r="J18" i="29"/>
  <c r="P18" i="29" s="1"/>
  <c r="H18" i="29"/>
  <c r="F18" i="29"/>
  <c r="B18" i="29"/>
  <c r="W17" i="29"/>
  <c r="V17" i="29"/>
  <c r="P17" i="29"/>
  <c r="N17" i="29"/>
  <c r="L17" i="29"/>
  <c r="K17" i="29"/>
  <c r="J17" i="29"/>
  <c r="F17" i="29"/>
  <c r="H17" i="29" s="1"/>
  <c r="B17" i="29"/>
  <c r="W16" i="29"/>
  <c r="N16" i="29" s="1"/>
  <c r="P16" i="29"/>
  <c r="L16" i="29"/>
  <c r="K16" i="29"/>
  <c r="J16" i="29"/>
  <c r="H16" i="29"/>
  <c r="F16" i="29"/>
  <c r="B16" i="29"/>
  <c r="AE15" i="29"/>
  <c r="AD15" i="29"/>
  <c r="AA15" i="29"/>
  <c r="D19" i="28" s="1"/>
  <c r="Z15" i="29"/>
  <c r="N15" i="29"/>
  <c r="M15" i="29"/>
  <c r="K15" i="29"/>
  <c r="J15" i="29"/>
  <c r="W14" i="29"/>
  <c r="W13" i="29"/>
  <c r="W12" i="29"/>
  <c r="AG11" i="29"/>
  <c r="AF11" i="29"/>
  <c r="W11" i="29"/>
  <c r="AG10" i="29"/>
  <c r="AF10" i="29"/>
  <c r="W10" i="29"/>
  <c r="AG9" i="29"/>
  <c r="AF9" i="29"/>
  <c r="W9" i="29"/>
  <c r="AG8" i="29"/>
  <c r="AF8" i="29"/>
  <c r="W8" i="29"/>
  <c r="AG7" i="29"/>
  <c r="W7" i="29"/>
  <c r="V7" i="29"/>
  <c r="R7" i="29"/>
  <c r="Q7" i="29"/>
  <c r="P7" i="29"/>
  <c r="O7" i="29"/>
  <c r="N7" i="29"/>
  <c r="AF7" i="29" s="1"/>
  <c r="L7" i="29"/>
  <c r="K7" i="29"/>
  <c r="J7" i="29"/>
  <c r="H7" i="29"/>
  <c r="F7" i="29"/>
  <c r="B7" i="29"/>
  <c r="W6" i="29"/>
  <c r="N6" i="29" s="1"/>
  <c r="O6" i="29" s="1"/>
  <c r="V6" i="29"/>
  <c r="K6" i="29"/>
  <c r="L6" i="29" s="1"/>
  <c r="J6" i="29"/>
  <c r="P6" i="29" s="1"/>
  <c r="H6" i="29"/>
  <c r="F6" i="29"/>
  <c r="B6" i="29"/>
  <c r="W5" i="29"/>
  <c r="P5" i="29"/>
  <c r="O5" i="29"/>
  <c r="N5" i="29"/>
  <c r="L5" i="29"/>
  <c r="L15" i="29" s="1"/>
  <c r="D13" i="28" s="1"/>
  <c r="K5" i="29"/>
  <c r="J5" i="29"/>
  <c r="H5" i="29"/>
  <c r="F5" i="29"/>
  <c r="B5" i="29"/>
  <c r="I2" i="29"/>
  <c r="G1" i="29"/>
  <c r="E1" i="29"/>
  <c r="I22" i="28"/>
  <c r="F22" i="28"/>
  <c r="J21" i="28"/>
  <c r="F21" i="28"/>
  <c r="F20" i="28"/>
  <c r="E20" i="28"/>
  <c r="D20" i="28"/>
  <c r="J19" i="28"/>
  <c r="I19" i="28"/>
  <c r="H19" i="28"/>
  <c r="G18" i="28"/>
  <c r="F18" i="28"/>
  <c r="E18" i="28"/>
  <c r="D18" i="28"/>
  <c r="J16" i="28"/>
  <c r="I16" i="28"/>
  <c r="H16" i="28"/>
  <c r="G16" i="28"/>
  <c r="F16" i="28"/>
  <c r="E16" i="28"/>
  <c r="D16" i="28"/>
  <c r="H13" i="28"/>
  <c r="G3" i="28"/>
  <c r="D3" i="28"/>
  <c r="AE79" i="27"/>
  <c r="AD79" i="27"/>
  <c r="J20" i="26" s="1"/>
  <c r="AA79" i="27"/>
  <c r="Z79" i="27"/>
  <c r="M79" i="27"/>
  <c r="L79" i="27"/>
  <c r="J13" i="26" s="1"/>
  <c r="K79" i="27"/>
  <c r="W78" i="27"/>
  <c r="H78" i="27"/>
  <c r="W77" i="27"/>
  <c r="H77" i="27"/>
  <c r="W76" i="27"/>
  <c r="H76" i="27"/>
  <c r="W75" i="27"/>
  <c r="H75" i="27"/>
  <c r="W74" i="27"/>
  <c r="W73" i="27"/>
  <c r="W72" i="27"/>
  <c r="W71" i="27"/>
  <c r="W70" i="27"/>
  <c r="N70" i="27" s="1"/>
  <c r="P70" i="27"/>
  <c r="L70" i="27"/>
  <c r="K70" i="27"/>
  <c r="J70" i="27"/>
  <c r="J79" i="27" s="1"/>
  <c r="F70" i="27"/>
  <c r="H70" i="27" s="1"/>
  <c r="B70" i="27"/>
  <c r="AE69" i="27"/>
  <c r="I21" i="26" s="1"/>
  <c r="AD69" i="27"/>
  <c r="AA69" i="27"/>
  <c r="I19" i="26" s="1"/>
  <c r="Z69" i="27"/>
  <c r="I18" i="26" s="1"/>
  <c r="M69" i="27"/>
  <c r="W68" i="27"/>
  <c r="H68" i="27"/>
  <c r="W67" i="27"/>
  <c r="W66" i="27"/>
  <c r="W65" i="27"/>
  <c r="W64" i="27"/>
  <c r="W63" i="27"/>
  <c r="AG62" i="27"/>
  <c r="AF62" i="27"/>
  <c r="W62" i="27"/>
  <c r="AF61" i="27"/>
  <c r="W61" i="27"/>
  <c r="N61" i="27" s="1"/>
  <c r="AG61" i="27" s="1"/>
  <c r="V61" i="27"/>
  <c r="P61" i="27"/>
  <c r="O61" i="27"/>
  <c r="Q61" i="27" s="1"/>
  <c r="L61" i="27"/>
  <c r="K61" i="27"/>
  <c r="J61" i="27"/>
  <c r="F61" i="27"/>
  <c r="H61" i="27" s="1"/>
  <c r="B61" i="27"/>
  <c r="W60" i="27"/>
  <c r="N60" i="27" s="1"/>
  <c r="O60" i="27" s="1"/>
  <c r="V60" i="27"/>
  <c r="K60" i="27"/>
  <c r="J60" i="27"/>
  <c r="P60" i="27" s="1"/>
  <c r="F60" i="27"/>
  <c r="H60" i="27" s="1"/>
  <c r="B60" i="27"/>
  <c r="W59" i="27"/>
  <c r="N59" i="27" s="1"/>
  <c r="K59" i="27"/>
  <c r="J59" i="27"/>
  <c r="P59" i="27" s="1"/>
  <c r="F59" i="27"/>
  <c r="H59" i="27" s="1"/>
  <c r="B59" i="27"/>
  <c r="AE58" i="27"/>
  <c r="AD58" i="27"/>
  <c r="AA58" i="27"/>
  <c r="Z58" i="27"/>
  <c r="H18" i="26" s="1"/>
  <c r="M58" i="27"/>
  <c r="P58" i="27" s="1"/>
  <c r="W57" i="27"/>
  <c r="W56" i="27"/>
  <c r="W55" i="27"/>
  <c r="W54" i="27"/>
  <c r="AG53" i="27"/>
  <c r="AF53" i="27"/>
  <c r="W53" i="27"/>
  <c r="AG52" i="27"/>
  <c r="AF52" i="27"/>
  <c r="W52" i="27"/>
  <c r="V52" i="27"/>
  <c r="W51" i="27"/>
  <c r="N51" i="27" s="1"/>
  <c r="V51" i="27"/>
  <c r="K51" i="27"/>
  <c r="L51" i="27" s="1"/>
  <c r="J51" i="27"/>
  <c r="P51" i="27" s="1"/>
  <c r="F51" i="27"/>
  <c r="H51" i="27" s="1"/>
  <c r="B51" i="27"/>
  <c r="W50" i="27"/>
  <c r="V50" i="27"/>
  <c r="N50" i="27"/>
  <c r="K50" i="27"/>
  <c r="L50" i="27" s="1"/>
  <c r="J50" i="27"/>
  <c r="P50" i="27" s="1"/>
  <c r="F50" i="27"/>
  <c r="H50" i="27" s="1"/>
  <c r="B50" i="27"/>
  <c r="W49" i="27"/>
  <c r="P49" i="27"/>
  <c r="N49" i="27"/>
  <c r="K49" i="27"/>
  <c r="K58" i="27" s="1"/>
  <c r="J49" i="27"/>
  <c r="J58" i="27" s="1"/>
  <c r="F49" i="27"/>
  <c r="H49" i="27" s="1"/>
  <c r="B49" i="27"/>
  <c r="AE48" i="27"/>
  <c r="AD48" i="27"/>
  <c r="G20" i="26" s="1"/>
  <c r="AA48" i="27"/>
  <c r="G19" i="26" s="1"/>
  <c r="Z48" i="27"/>
  <c r="W48" i="27"/>
  <c r="O48" i="27"/>
  <c r="G14" i="26" s="1"/>
  <c r="N48" i="27"/>
  <c r="M48" i="27"/>
  <c r="W47" i="27"/>
  <c r="H47" i="27"/>
  <c r="W46" i="27"/>
  <c r="W45" i="27"/>
  <c r="W44" i="27"/>
  <c r="W43" i="27"/>
  <c r="W42" i="27"/>
  <c r="AG41" i="27"/>
  <c r="AF41" i="27"/>
  <c r="W41" i="27"/>
  <c r="W40" i="27"/>
  <c r="N40" i="27" s="1"/>
  <c r="V40" i="27"/>
  <c r="O40" i="27"/>
  <c r="K40" i="27"/>
  <c r="J40" i="27"/>
  <c r="P40" i="27" s="1"/>
  <c r="F40" i="27"/>
  <c r="H40" i="27" s="1"/>
  <c r="B40" i="27"/>
  <c r="AG39" i="27"/>
  <c r="AF39" i="27"/>
  <c r="W39" i="27"/>
  <c r="V39" i="27"/>
  <c r="N39" i="27"/>
  <c r="O39" i="27" s="1"/>
  <c r="K39" i="27"/>
  <c r="J39" i="27"/>
  <c r="P39" i="27" s="1"/>
  <c r="F39" i="27"/>
  <c r="H39" i="27" s="1"/>
  <c r="B39" i="27"/>
  <c r="AG38" i="27"/>
  <c r="AF38" i="27"/>
  <c r="W38" i="27"/>
  <c r="N38" i="27"/>
  <c r="O38" i="27" s="1"/>
  <c r="K38" i="27"/>
  <c r="K48" i="27" s="1"/>
  <c r="J38" i="27"/>
  <c r="P38" i="27" s="1"/>
  <c r="F38" i="27"/>
  <c r="H38" i="27" s="1"/>
  <c r="B38" i="27"/>
  <c r="AE37" i="27"/>
  <c r="AD37" i="27"/>
  <c r="F20" i="26" s="1"/>
  <c r="AA37" i="27"/>
  <c r="Z37" i="27"/>
  <c r="M37" i="27"/>
  <c r="F22" i="26" s="1"/>
  <c r="W36" i="27"/>
  <c r="H36" i="27"/>
  <c r="W35" i="27"/>
  <c r="W34" i="27"/>
  <c r="W33" i="27"/>
  <c r="W32" i="27"/>
  <c r="AG31" i="27"/>
  <c r="AF31" i="27"/>
  <c r="W31" i="27"/>
  <c r="AG30" i="27"/>
  <c r="AF30" i="27"/>
  <c r="W30" i="27"/>
  <c r="V30" i="27"/>
  <c r="AG29" i="27"/>
  <c r="W29" i="27"/>
  <c r="V29" i="27"/>
  <c r="P29" i="27"/>
  <c r="N29" i="27"/>
  <c r="AF29" i="27" s="1"/>
  <c r="L29" i="27"/>
  <c r="K29" i="27"/>
  <c r="J29" i="27"/>
  <c r="H29" i="27"/>
  <c r="F29" i="27"/>
  <c r="B29" i="27"/>
  <c r="AF28" i="27"/>
  <c r="W28" i="27"/>
  <c r="N28" i="27" s="1"/>
  <c r="V28" i="27"/>
  <c r="K28" i="27"/>
  <c r="J28" i="27"/>
  <c r="P28" i="27" s="1"/>
  <c r="H28" i="27"/>
  <c r="F28" i="27"/>
  <c r="B28" i="27"/>
  <c r="AG27" i="27"/>
  <c r="W27" i="27"/>
  <c r="N27" i="27" s="1"/>
  <c r="K27" i="27"/>
  <c r="K37" i="27" s="1"/>
  <c r="J27" i="27"/>
  <c r="H27" i="27"/>
  <c r="F27" i="27"/>
  <c r="B27" i="27"/>
  <c r="AE26" i="27"/>
  <c r="E21" i="26" s="1"/>
  <c r="AD26" i="27"/>
  <c r="AA26" i="27"/>
  <c r="Z26" i="27"/>
  <c r="E18" i="26" s="1"/>
  <c r="M26" i="27"/>
  <c r="J26" i="27"/>
  <c r="P26" i="27" s="1"/>
  <c r="W25" i="27"/>
  <c r="H25" i="27"/>
  <c r="W24" i="27"/>
  <c r="H24" i="27"/>
  <c r="W23" i="27"/>
  <c r="W21" i="27"/>
  <c r="W20" i="27"/>
  <c r="V20" i="27"/>
  <c r="AG19" i="27"/>
  <c r="AF19" i="27"/>
  <c r="W19" i="27"/>
  <c r="V19" i="27"/>
  <c r="AG18" i="27"/>
  <c r="W18" i="27"/>
  <c r="V18" i="27"/>
  <c r="P18" i="27"/>
  <c r="N18" i="27"/>
  <c r="AF18" i="27" s="1"/>
  <c r="K18" i="27"/>
  <c r="L18" i="27" s="1"/>
  <c r="J18" i="27"/>
  <c r="F18" i="27"/>
  <c r="H18" i="27" s="1"/>
  <c r="B18" i="27"/>
  <c r="W17" i="27"/>
  <c r="N17" i="27" s="1"/>
  <c r="V17" i="27"/>
  <c r="K17" i="27"/>
  <c r="J17" i="27"/>
  <c r="P17" i="27" s="1"/>
  <c r="H17" i="27"/>
  <c r="F17" i="27"/>
  <c r="B17" i="27"/>
  <c r="AG16" i="27"/>
  <c r="AF16" i="27"/>
  <c r="W16" i="27"/>
  <c r="O16" i="27"/>
  <c r="N16" i="27"/>
  <c r="K16" i="27"/>
  <c r="J16" i="27"/>
  <c r="P16" i="27" s="1"/>
  <c r="F16" i="27"/>
  <c r="H16" i="27" s="1"/>
  <c r="B16" i="27"/>
  <c r="AE15" i="27"/>
  <c r="AD15" i="27"/>
  <c r="AA15" i="27"/>
  <c r="Z15" i="27"/>
  <c r="M15" i="27"/>
  <c r="K15" i="27"/>
  <c r="J15" i="27"/>
  <c r="P15" i="27" s="1"/>
  <c r="W14" i="27"/>
  <c r="W13" i="27"/>
  <c r="W12" i="27"/>
  <c r="AG11" i="27"/>
  <c r="AF11" i="27"/>
  <c r="W11" i="27"/>
  <c r="AG10" i="27"/>
  <c r="AF10" i="27"/>
  <c r="W10" i="27"/>
  <c r="AG9" i="27"/>
  <c r="AF9" i="27"/>
  <c r="W9" i="27"/>
  <c r="AG8" i="27"/>
  <c r="AF8" i="27"/>
  <c r="W8" i="27"/>
  <c r="W7" i="27"/>
  <c r="V7" i="27"/>
  <c r="N7" i="27"/>
  <c r="L7" i="27"/>
  <c r="K7" i="27"/>
  <c r="J7" i="27"/>
  <c r="P7" i="27" s="1"/>
  <c r="H7" i="27"/>
  <c r="F7" i="27"/>
  <c r="B7" i="27"/>
  <c r="W6" i="27"/>
  <c r="V6" i="27"/>
  <c r="P6" i="27"/>
  <c r="N6" i="27"/>
  <c r="K6" i="27"/>
  <c r="J6" i="27"/>
  <c r="L6" i="27" s="1"/>
  <c r="F6" i="27"/>
  <c r="H6" i="27" s="1"/>
  <c r="B6" i="27"/>
  <c r="W5" i="27"/>
  <c r="N5" i="27" s="1"/>
  <c r="AG5" i="27" s="1"/>
  <c r="O5" i="27"/>
  <c r="K5" i="27"/>
  <c r="J5" i="27"/>
  <c r="H5" i="27"/>
  <c r="G1" i="27" s="1"/>
  <c r="F5" i="27"/>
  <c r="B5" i="27"/>
  <c r="I2" i="27"/>
  <c r="G2" i="27"/>
  <c r="E1" i="27"/>
  <c r="I22" i="26"/>
  <c r="H22" i="26"/>
  <c r="G22" i="26"/>
  <c r="D22" i="26"/>
  <c r="J21" i="26"/>
  <c r="H21" i="26"/>
  <c r="G21" i="26"/>
  <c r="F21" i="26"/>
  <c r="I20" i="26"/>
  <c r="H20" i="26"/>
  <c r="E20" i="26"/>
  <c r="D20" i="26"/>
  <c r="J19" i="26"/>
  <c r="H19" i="26"/>
  <c r="F19" i="26"/>
  <c r="E19" i="26"/>
  <c r="D19" i="26"/>
  <c r="J18" i="26"/>
  <c r="G18" i="26"/>
  <c r="F18" i="26"/>
  <c r="D18" i="26"/>
  <c r="J16" i="26"/>
  <c r="I16" i="26"/>
  <c r="H16" i="26"/>
  <c r="G16" i="26"/>
  <c r="F16" i="26"/>
  <c r="E16" i="26"/>
  <c r="D16" i="26"/>
  <c r="J3" i="26"/>
  <c r="G3" i="26"/>
  <c r="D3" i="26"/>
  <c r="AE79" i="25"/>
  <c r="AD79" i="25"/>
  <c r="AA79" i="25"/>
  <c r="J18" i="24" s="1"/>
  <c r="Z79" i="25"/>
  <c r="M79" i="25"/>
  <c r="K79" i="25"/>
  <c r="W78" i="25"/>
  <c r="H78" i="25"/>
  <c r="W77" i="25"/>
  <c r="H77" i="25"/>
  <c r="W76" i="25"/>
  <c r="H76" i="25"/>
  <c r="W75" i="25"/>
  <c r="H75" i="25"/>
  <c r="W74" i="25"/>
  <c r="W73" i="25"/>
  <c r="W72" i="25"/>
  <c r="W71" i="25"/>
  <c r="W70" i="25"/>
  <c r="P70" i="25"/>
  <c r="N70" i="25"/>
  <c r="L70" i="25"/>
  <c r="L79" i="25" s="1"/>
  <c r="J13" i="24" s="1"/>
  <c r="K70" i="25"/>
  <c r="J70" i="25"/>
  <c r="J79" i="25" s="1"/>
  <c r="F70" i="25"/>
  <c r="H70" i="25" s="1"/>
  <c r="B70" i="25"/>
  <c r="AE69" i="25"/>
  <c r="I21" i="24" s="1"/>
  <c r="AD69" i="25"/>
  <c r="I20" i="24" s="1"/>
  <c r="AA69" i="25"/>
  <c r="Z69" i="25"/>
  <c r="P69" i="25"/>
  <c r="M69" i="25"/>
  <c r="L69" i="25"/>
  <c r="I13" i="24" s="1"/>
  <c r="J6" i="24" s="1"/>
  <c r="K69" i="25"/>
  <c r="J69" i="25"/>
  <c r="W68" i="25"/>
  <c r="H68" i="25"/>
  <c r="W67" i="25"/>
  <c r="W66" i="25"/>
  <c r="W65" i="25"/>
  <c r="W64" i="25"/>
  <c r="W63" i="25"/>
  <c r="AG62" i="25"/>
  <c r="AF62" i="25"/>
  <c r="W62" i="25"/>
  <c r="AG61" i="25"/>
  <c r="AF61" i="25"/>
  <c r="W61" i="25"/>
  <c r="N61" i="25" s="1"/>
  <c r="O61" i="25" s="1"/>
  <c r="V61" i="25"/>
  <c r="K61" i="25"/>
  <c r="J61" i="25"/>
  <c r="F61" i="25"/>
  <c r="H61" i="25" s="1"/>
  <c r="B61" i="25"/>
  <c r="W60" i="25"/>
  <c r="N60" i="25" s="1"/>
  <c r="V60" i="25"/>
  <c r="K60" i="25"/>
  <c r="L60" i="25" s="1"/>
  <c r="J60" i="25"/>
  <c r="P60" i="25" s="1"/>
  <c r="F60" i="25"/>
  <c r="H60" i="25" s="1"/>
  <c r="B60" i="25"/>
  <c r="W59" i="25"/>
  <c r="P59" i="25"/>
  <c r="N59" i="25"/>
  <c r="L59" i="25"/>
  <c r="K59" i="25"/>
  <c r="J59" i="25"/>
  <c r="F59" i="25"/>
  <c r="H59" i="25" s="1"/>
  <c r="B59" i="25"/>
  <c r="AE58" i="25"/>
  <c r="AD58" i="25"/>
  <c r="AA58" i="25"/>
  <c r="Z58" i="25"/>
  <c r="M58" i="25"/>
  <c r="P58" i="25" s="1"/>
  <c r="J58" i="25"/>
  <c r="W57" i="25"/>
  <c r="W56" i="25"/>
  <c r="W55" i="25"/>
  <c r="W54" i="25"/>
  <c r="AG53" i="25"/>
  <c r="AF53" i="25"/>
  <c r="W53" i="25"/>
  <c r="AG52" i="25"/>
  <c r="AF52" i="25"/>
  <c r="W52" i="25"/>
  <c r="V52" i="25"/>
  <c r="W51" i="25"/>
  <c r="N51" i="25" s="1"/>
  <c r="V51" i="25"/>
  <c r="K51" i="25"/>
  <c r="L51" i="25" s="1"/>
  <c r="J51" i="25"/>
  <c r="P51" i="25" s="1"/>
  <c r="H51" i="25"/>
  <c r="F51" i="25"/>
  <c r="B51" i="25"/>
  <c r="W50" i="25"/>
  <c r="V50" i="25"/>
  <c r="N50" i="25"/>
  <c r="K50" i="25"/>
  <c r="J50" i="25"/>
  <c r="F50" i="25"/>
  <c r="H50" i="25" s="1"/>
  <c r="B50" i="25"/>
  <c r="W49" i="25"/>
  <c r="P49" i="25"/>
  <c r="N49" i="25"/>
  <c r="K49" i="25"/>
  <c r="J49" i="25"/>
  <c r="F49" i="25"/>
  <c r="H49" i="25" s="1"/>
  <c r="B49" i="25"/>
  <c r="AE48" i="25"/>
  <c r="AD48" i="25"/>
  <c r="AA48" i="25"/>
  <c r="Z48" i="25"/>
  <c r="W48" i="25"/>
  <c r="P48" i="25"/>
  <c r="N48" i="25"/>
  <c r="M48" i="25"/>
  <c r="G22" i="24" s="1"/>
  <c r="L48" i="25"/>
  <c r="K48" i="25"/>
  <c r="J48" i="25"/>
  <c r="W47" i="25"/>
  <c r="H47" i="25"/>
  <c r="W46" i="25"/>
  <c r="W45" i="25"/>
  <c r="W44" i="25"/>
  <c r="W43" i="25"/>
  <c r="W42" i="25"/>
  <c r="AG41" i="25"/>
  <c r="AF41" i="25"/>
  <c r="W41" i="25"/>
  <c r="W40" i="25"/>
  <c r="V40" i="25"/>
  <c r="N40" i="25"/>
  <c r="K40" i="25"/>
  <c r="L40" i="25" s="1"/>
  <c r="J40" i="25"/>
  <c r="P40" i="25" s="1"/>
  <c r="F40" i="25"/>
  <c r="H40" i="25" s="1"/>
  <c r="B40" i="25"/>
  <c r="W39" i="25"/>
  <c r="V39" i="25"/>
  <c r="P39" i="25"/>
  <c r="N39" i="25"/>
  <c r="L39" i="25"/>
  <c r="K39" i="25"/>
  <c r="J39" i="25"/>
  <c r="H39" i="25"/>
  <c r="F39" i="25"/>
  <c r="B39" i="25"/>
  <c r="W38" i="25"/>
  <c r="N38" i="25" s="1"/>
  <c r="O38" i="25" s="1"/>
  <c r="R38" i="25"/>
  <c r="Q38" i="25"/>
  <c r="P38" i="25"/>
  <c r="L38" i="25"/>
  <c r="K38" i="25"/>
  <c r="J38" i="25"/>
  <c r="H38" i="25"/>
  <c r="F38" i="25"/>
  <c r="B38" i="25"/>
  <c r="AE37" i="25"/>
  <c r="AD37" i="25"/>
  <c r="F20" i="24" s="1"/>
  <c r="AA37" i="25"/>
  <c r="Z37" i="25"/>
  <c r="M37" i="25"/>
  <c r="J37" i="25"/>
  <c r="W36" i="25"/>
  <c r="H36" i="25"/>
  <c r="W35" i="25"/>
  <c r="W34" i="25"/>
  <c r="W33" i="25"/>
  <c r="W32" i="25"/>
  <c r="AG31" i="25"/>
  <c r="AF31" i="25"/>
  <c r="W31" i="25"/>
  <c r="AG30" i="25"/>
  <c r="AF30" i="25"/>
  <c r="W30" i="25"/>
  <c r="V30" i="25"/>
  <c r="W29" i="25"/>
  <c r="V29" i="25"/>
  <c r="N29" i="25"/>
  <c r="O29" i="25" s="1"/>
  <c r="L29" i="25"/>
  <c r="K29" i="25"/>
  <c r="J29" i="25"/>
  <c r="P29" i="25" s="1"/>
  <c r="F29" i="25"/>
  <c r="H29" i="25" s="1"/>
  <c r="B29" i="25"/>
  <c r="W28" i="25"/>
  <c r="V28" i="25"/>
  <c r="N28" i="25"/>
  <c r="K28" i="25"/>
  <c r="L28" i="25" s="1"/>
  <c r="J28" i="25"/>
  <c r="P28" i="25" s="1"/>
  <c r="H28" i="25"/>
  <c r="F28" i="25"/>
  <c r="B28" i="25"/>
  <c r="W27" i="25"/>
  <c r="P27" i="25"/>
  <c r="N27" i="25"/>
  <c r="K27" i="25"/>
  <c r="L27" i="25" s="1"/>
  <c r="L37" i="25" s="1"/>
  <c r="F13" i="24" s="1"/>
  <c r="J27" i="25"/>
  <c r="F27" i="25"/>
  <c r="H27" i="25" s="1"/>
  <c r="B27" i="25"/>
  <c r="AE26" i="25"/>
  <c r="AD26" i="25"/>
  <c r="AA26" i="25"/>
  <c r="E19" i="24" s="1"/>
  <c r="Z26" i="25"/>
  <c r="M26" i="25"/>
  <c r="E22" i="24" s="1"/>
  <c r="K26" i="25"/>
  <c r="W25" i="25"/>
  <c r="H25" i="25"/>
  <c r="W24" i="25"/>
  <c r="H24" i="25"/>
  <c r="W23" i="25"/>
  <c r="W21" i="25"/>
  <c r="W20" i="25"/>
  <c r="V20" i="25"/>
  <c r="AG19" i="25"/>
  <c r="AF19" i="25"/>
  <c r="W19" i="25"/>
  <c r="V19" i="25"/>
  <c r="W18" i="25"/>
  <c r="N18" i="25" s="1"/>
  <c r="V18" i="25"/>
  <c r="K18" i="25"/>
  <c r="L18" i="25" s="1"/>
  <c r="J18" i="25"/>
  <c r="P18" i="25" s="1"/>
  <c r="H18" i="25"/>
  <c r="F18" i="25"/>
  <c r="B18" i="25"/>
  <c r="W17" i="25"/>
  <c r="N17" i="25" s="1"/>
  <c r="V17" i="25"/>
  <c r="P17" i="25"/>
  <c r="O17" i="25"/>
  <c r="K17" i="25"/>
  <c r="L17" i="25" s="1"/>
  <c r="J17" i="25"/>
  <c r="F17" i="25"/>
  <c r="H17" i="25" s="1"/>
  <c r="B17" i="25"/>
  <c r="W16" i="25"/>
  <c r="N16" i="25" s="1"/>
  <c r="P16" i="25"/>
  <c r="O16" i="25"/>
  <c r="K16" i="25"/>
  <c r="J16" i="25"/>
  <c r="J26" i="25" s="1"/>
  <c r="H16" i="25"/>
  <c r="F16" i="25"/>
  <c r="B16" i="25"/>
  <c r="AE15" i="25"/>
  <c r="AD15" i="25"/>
  <c r="AA15" i="25"/>
  <c r="Z15" i="25"/>
  <c r="M15" i="25"/>
  <c r="J15" i="25"/>
  <c r="P15" i="25" s="1"/>
  <c r="W14" i="25"/>
  <c r="W13" i="25"/>
  <c r="W12" i="25"/>
  <c r="AG11" i="25"/>
  <c r="AF11" i="25"/>
  <c r="W11" i="25"/>
  <c r="AG10" i="25"/>
  <c r="AF10" i="25"/>
  <c r="W10" i="25"/>
  <c r="AG9" i="25"/>
  <c r="AF9" i="25"/>
  <c r="W9" i="25"/>
  <c r="AG8" i="25"/>
  <c r="AF8" i="25"/>
  <c r="W8" i="25"/>
  <c r="AG7" i="25"/>
  <c r="W7" i="25"/>
  <c r="N7" i="25" s="1"/>
  <c r="O7" i="25" s="1"/>
  <c r="V7" i="25"/>
  <c r="P7" i="25"/>
  <c r="K7" i="25"/>
  <c r="L7" i="25" s="1"/>
  <c r="J7" i="25"/>
  <c r="F7" i="25"/>
  <c r="H7" i="25" s="1"/>
  <c r="B7" i="25"/>
  <c r="AG6" i="25"/>
  <c r="AF6" i="25"/>
  <c r="W6" i="25"/>
  <c r="N6" i="25" s="1"/>
  <c r="V6" i="25"/>
  <c r="O6" i="25"/>
  <c r="K6" i="25"/>
  <c r="L6" i="25" s="1"/>
  <c r="J6" i="25"/>
  <c r="P6" i="25" s="1"/>
  <c r="F6" i="25"/>
  <c r="H6" i="25" s="1"/>
  <c r="B6" i="25"/>
  <c r="AF5" i="25"/>
  <c r="W5" i="25"/>
  <c r="P5" i="25"/>
  <c r="O5" i="25"/>
  <c r="N5" i="25"/>
  <c r="K5" i="25"/>
  <c r="K15" i="25" s="1"/>
  <c r="J5" i="25"/>
  <c r="H5" i="25"/>
  <c r="F5" i="25"/>
  <c r="B5" i="25"/>
  <c r="I2" i="25"/>
  <c r="G2" i="25"/>
  <c r="G1" i="25"/>
  <c r="J3" i="24" s="1"/>
  <c r="E1" i="25"/>
  <c r="H22" i="24"/>
  <c r="D22" i="24"/>
  <c r="J21" i="24"/>
  <c r="H21" i="24"/>
  <c r="G21" i="24"/>
  <c r="F21" i="24"/>
  <c r="E21" i="24"/>
  <c r="J20" i="24"/>
  <c r="H20" i="24"/>
  <c r="G20" i="24"/>
  <c r="E20" i="24"/>
  <c r="J19" i="24"/>
  <c r="I19" i="24"/>
  <c r="H19" i="24"/>
  <c r="G19" i="24"/>
  <c r="F19" i="24"/>
  <c r="I18" i="24"/>
  <c r="H18" i="24"/>
  <c r="G18" i="24"/>
  <c r="F18" i="24"/>
  <c r="D18" i="24"/>
  <c r="J16" i="24"/>
  <c r="I16" i="24"/>
  <c r="H16" i="24"/>
  <c r="G16" i="24"/>
  <c r="F16" i="24"/>
  <c r="E16" i="24"/>
  <c r="D16" i="24"/>
  <c r="G13" i="24"/>
  <c r="G3" i="24"/>
  <c r="D3" i="24"/>
  <c r="AE79" i="23"/>
  <c r="J21" i="22" s="1"/>
  <c r="AD79" i="23"/>
  <c r="J20" i="22" s="1"/>
  <c r="AA79" i="23"/>
  <c r="J18" i="22" s="1"/>
  <c r="Z79" i="23"/>
  <c r="M79" i="23"/>
  <c r="J79" i="23"/>
  <c r="W78" i="23"/>
  <c r="H78" i="23"/>
  <c r="W77" i="23"/>
  <c r="H77" i="23"/>
  <c r="W76" i="23"/>
  <c r="H76" i="23"/>
  <c r="W75" i="23"/>
  <c r="H75" i="23"/>
  <c r="W74" i="23"/>
  <c r="W73" i="23"/>
  <c r="W72" i="23"/>
  <c r="W71" i="23"/>
  <c r="W70" i="23"/>
  <c r="N70" i="23" s="1"/>
  <c r="P70" i="23"/>
  <c r="O70" i="23"/>
  <c r="K70" i="23"/>
  <c r="K79" i="23" s="1"/>
  <c r="J70" i="23"/>
  <c r="L70" i="23" s="1"/>
  <c r="L79" i="23" s="1"/>
  <c r="H70" i="23"/>
  <c r="F70" i="23"/>
  <c r="B70" i="23"/>
  <c r="AE69" i="23"/>
  <c r="I21" i="22" s="1"/>
  <c r="AD69" i="23"/>
  <c r="I20" i="22" s="1"/>
  <c r="AA69" i="23"/>
  <c r="I19" i="22" s="1"/>
  <c r="Z69" i="23"/>
  <c r="I18" i="22" s="1"/>
  <c r="M69" i="23"/>
  <c r="W68" i="23"/>
  <c r="H68" i="23"/>
  <c r="W67" i="23"/>
  <c r="W66" i="23"/>
  <c r="W65" i="23"/>
  <c r="W64" i="23"/>
  <c r="W63" i="23"/>
  <c r="AG62" i="23"/>
  <c r="AF62" i="23"/>
  <c r="W62" i="23"/>
  <c r="W61" i="23"/>
  <c r="N61" i="23" s="1"/>
  <c r="V61" i="23"/>
  <c r="O61" i="23"/>
  <c r="K61" i="23"/>
  <c r="J61" i="23"/>
  <c r="P61" i="23" s="1"/>
  <c r="F61" i="23"/>
  <c r="H61" i="23" s="1"/>
  <c r="B61" i="23"/>
  <c r="AG60" i="23"/>
  <c r="W60" i="23"/>
  <c r="V60" i="23"/>
  <c r="N60" i="23"/>
  <c r="O60" i="23" s="1"/>
  <c r="K60" i="23"/>
  <c r="J60" i="23"/>
  <c r="P60" i="23" s="1"/>
  <c r="H60" i="23"/>
  <c r="F60" i="23"/>
  <c r="B60" i="23"/>
  <c r="AG59" i="23"/>
  <c r="W59" i="23"/>
  <c r="N59" i="23"/>
  <c r="O59" i="23" s="1"/>
  <c r="K59" i="23"/>
  <c r="K69" i="23" s="1"/>
  <c r="J59" i="23"/>
  <c r="F59" i="23"/>
  <c r="H59" i="23" s="1"/>
  <c r="B59" i="23"/>
  <c r="AE58" i="23"/>
  <c r="AD58" i="23"/>
  <c r="H20" i="22" s="1"/>
  <c r="AA58" i="23"/>
  <c r="Z58" i="23"/>
  <c r="M58" i="23"/>
  <c r="K58" i="23"/>
  <c r="W57" i="23"/>
  <c r="W56" i="23"/>
  <c r="W55" i="23"/>
  <c r="W54" i="23"/>
  <c r="AG53" i="23"/>
  <c r="AF53" i="23"/>
  <c r="W53" i="23"/>
  <c r="AG52" i="23"/>
  <c r="AF52" i="23"/>
  <c r="W52" i="23"/>
  <c r="V52" i="23"/>
  <c r="W51" i="23"/>
  <c r="V51" i="23"/>
  <c r="P51" i="23"/>
  <c r="O51" i="23"/>
  <c r="N51" i="23"/>
  <c r="K51" i="23"/>
  <c r="L51" i="23" s="1"/>
  <c r="J51" i="23"/>
  <c r="F51" i="23"/>
  <c r="H51" i="23" s="1"/>
  <c r="B51" i="23"/>
  <c r="AF50" i="23"/>
  <c r="W50" i="23"/>
  <c r="V50" i="23"/>
  <c r="P50" i="23"/>
  <c r="O50" i="23"/>
  <c r="N50" i="23"/>
  <c r="K50" i="23"/>
  <c r="J50" i="23"/>
  <c r="H50" i="23"/>
  <c r="F50" i="23"/>
  <c r="B50" i="23"/>
  <c r="W49" i="23"/>
  <c r="N49" i="23" s="1"/>
  <c r="P49" i="23"/>
  <c r="O49" i="23"/>
  <c r="K49" i="23"/>
  <c r="J49" i="23"/>
  <c r="H49" i="23"/>
  <c r="F49" i="23"/>
  <c r="B49" i="23"/>
  <c r="AE48" i="23"/>
  <c r="AD48" i="23"/>
  <c r="G20" i="22" s="1"/>
  <c r="AA48" i="23"/>
  <c r="G19" i="22" s="1"/>
  <c r="Z48" i="23"/>
  <c r="G18" i="22" s="1"/>
  <c r="W48" i="23"/>
  <c r="M48" i="23"/>
  <c r="G22" i="22" s="1"/>
  <c r="W47" i="23"/>
  <c r="H47" i="23"/>
  <c r="W46" i="23"/>
  <c r="W45" i="23"/>
  <c r="W44" i="23"/>
  <c r="W43" i="23"/>
  <c r="W42" i="23"/>
  <c r="AG41" i="23"/>
  <c r="AF41" i="23"/>
  <c r="W41" i="23"/>
  <c r="W40" i="23"/>
  <c r="V40" i="23"/>
  <c r="N40" i="23"/>
  <c r="L40" i="23"/>
  <c r="K40" i="23"/>
  <c r="J40" i="23"/>
  <c r="P40" i="23" s="1"/>
  <c r="F40" i="23"/>
  <c r="H40" i="23" s="1"/>
  <c r="B40" i="23"/>
  <c r="W39" i="23"/>
  <c r="V39" i="23"/>
  <c r="N39" i="23"/>
  <c r="O39" i="23" s="1"/>
  <c r="K39" i="23"/>
  <c r="J39" i="23"/>
  <c r="P39" i="23" s="1"/>
  <c r="F39" i="23"/>
  <c r="H39" i="23" s="1"/>
  <c r="B39" i="23"/>
  <c r="W38" i="23"/>
  <c r="N38" i="23"/>
  <c r="K38" i="23"/>
  <c r="K48" i="23" s="1"/>
  <c r="J38" i="23"/>
  <c r="H38" i="23"/>
  <c r="F38" i="23"/>
  <c r="B38" i="23"/>
  <c r="AE37" i="23"/>
  <c r="AD37" i="23"/>
  <c r="AA37" i="23"/>
  <c r="Z37" i="23"/>
  <c r="O37" i="23"/>
  <c r="M37" i="23"/>
  <c r="F22" i="22" s="1"/>
  <c r="W36" i="23"/>
  <c r="H36" i="23"/>
  <c r="W35" i="23"/>
  <c r="W34" i="23"/>
  <c r="W33" i="23"/>
  <c r="W32" i="23"/>
  <c r="AG31" i="23"/>
  <c r="AF31" i="23"/>
  <c r="W31" i="23"/>
  <c r="AG30" i="23"/>
  <c r="AF30" i="23"/>
  <c r="W30" i="23"/>
  <c r="V30" i="23"/>
  <c r="AG29" i="23"/>
  <c r="AF29" i="23"/>
  <c r="W29" i="23"/>
  <c r="N29" i="23" s="1"/>
  <c r="V29" i="23"/>
  <c r="P29" i="23"/>
  <c r="O29" i="23"/>
  <c r="R29" i="23" s="1"/>
  <c r="K29" i="23"/>
  <c r="J29" i="23"/>
  <c r="L29" i="23" s="1"/>
  <c r="F29" i="23"/>
  <c r="H29" i="23" s="1"/>
  <c r="B29" i="23"/>
  <c r="AG28" i="23"/>
  <c r="AF28" i="23"/>
  <c r="W28" i="23"/>
  <c r="V28" i="23"/>
  <c r="N28" i="23"/>
  <c r="O28" i="23" s="1"/>
  <c r="R28" i="23" s="1"/>
  <c r="L28" i="23"/>
  <c r="K28" i="23"/>
  <c r="J28" i="23"/>
  <c r="P28" i="23" s="1"/>
  <c r="F28" i="23"/>
  <c r="H28" i="23" s="1"/>
  <c r="B28" i="23"/>
  <c r="AG27" i="23"/>
  <c r="AF27" i="23"/>
  <c r="W27" i="23"/>
  <c r="O27" i="23"/>
  <c r="N27" i="23"/>
  <c r="N37" i="23" s="1"/>
  <c r="K27" i="23"/>
  <c r="J27" i="23"/>
  <c r="J37" i="23" s="1"/>
  <c r="P37" i="23" s="1"/>
  <c r="F27" i="23"/>
  <c r="H27" i="23" s="1"/>
  <c r="B27" i="23"/>
  <c r="AE26" i="23"/>
  <c r="AD26" i="23"/>
  <c r="E20" i="22" s="1"/>
  <c r="AA26" i="23"/>
  <c r="Z26" i="23"/>
  <c r="M26" i="23"/>
  <c r="W25" i="23"/>
  <c r="H25" i="23"/>
  <c r="W24" i="23"/>
  <c r="H24" i="23"/>
  <c r="W23" i="23"/>
  <c r="W21" i="23"/>
  <c r="W20" i="23"/>
  <c r="V20" i="23"/>
  <c r="AG19" i="23"/>
  <c r="AF19" i="23"/>
  <c r="W19" i="23"/>
  <c r="V19" i="23"/>
  <c r="W18" i="23"/>
  <c r="N18" i="23" s="1"/>
  <c r="V18" i="23"/>
  <c r="P18" i="23"/>
  <c r="K18" i="23"/>
  <c r="J18" i="23"/>
  <c r="H18" i="23"/>
  <c r="F18" i="23"/>
  <c r="B18" i="23"/>
  <c r="W17" i="23"/>
  <c r="N17" i="23" s="1"/>
  <c r="V17" i="23"/>
  <c r="L17" i="23"/>
  <c r="K17" i="23"/>
  <c r="J17" i="23"/>
  <c r="P17" i="23" s="1"/>
  <c r="F17" i="23"/>
  <c r="H17" i="23" s="1"/>
  <c r="B17" i="23"/>
  <c r="W16" i="23"/>
  <c r="N16" i="23"/>
  <c r="K16" i="23"/>
  <c r="K26" i="23" s="1"/>
  <c r="J16" i="23"/>
  <c r="F16" i="23"/>
  <c r="H16" i="23" s="1"/>
  <c r="B16" i="23"/>
  <c r="AE15" i="23"/>
  <c r="AD15" i="23"/>
  <c r="AA15" i="23"/>
  <c r="Z15" i="23"/>
  <c r="P15" i="23"/>
  <c r="M15" i="23"/>
  <c r="K15" i="23"/>
  <c r="W14" i="23"/>
  <c r="W13" i="23"/>
  <c r="W12" i="23"/>
  <c r="AG11" i="23"/>
  <c r="AF11" i="23"/>
  <c r="W11" i="23"/>
  <c r="AG10" i="23"/>
  <c r="AF10" i="23"/>
  <c r="W10" i="23"/>
  <c r="AG9" i="23"/>
  <c r="AF9" i="23"/>
  <c r="W9" i="23"/>
  <c r="AG8" i="23"/>
  <c r="AF8" i="23"/>
  <c r="W8" i="23"/>
  <c r="W7" i="23"/>
  <c r="N7" i="23" s="1"/>
  <c r="O7" i="23" s="1"/>
  <c r="V7" i="23"/>
  <c r="P7" i="23"/>
  <c r="L7" i="23"/>
  <c r="K7" i="23"/>
  <c r="J7" i="23"/>
  <c r="F7" i="23"/>
  <c r="H7" i="23" s="1"/>
  <c r="B7" i="23"/>
  <c r="AG6" i="23"/>
  <c r="AF6" i="23"/>
  <c r="W6" i="23"/>
  <c r="V6" i="23"/>
  <c r="O6" i="23"/>
  <c r="N6" i="23"/>
  <c r="K6" i="23"/>
  <c r="L6" i="23" s="1"/>
  <c r="J6" i="23"/>
  <c r="P6" i="23" s="1"/>
  <c r="H6" i="23"/>
  <c r="F6" i="23"/>
  <c r="B6" i="23"/>
  <c r="AG5" i="23"/>
  <c r="W5" i="23"/>
  <c r="N5" i="23"/>
  <c r="AF5" i="23" s="1"/>
  <c r="K5" i="23"/>
  <c r="J5" i="23"/>
  <c r="J15" i="23" s="1"/>
  <c r="F5" i="23"/>
  <c r="H5" i="23" s="1"/>
  <c r="G1" i="23" s="1"/>
  <c r="B5" i="23"/>
  <c r="I2" i="23"/>
  <c r="E1" i="23"/>
  <c r="G3" i="22" s="1"/>
  <c r="I22" i="22"/>
  <c r="E22" i="22"/>
  <c r="D22" i="22"/>
  <c r="H21" i="22"/>
  <c r="G21" i="22"/>
  <c r="F21" i="22"/>
  <c r="E21" i="22"/>
  <c r="D21" i="22"/>
  <c r="F20" i="22"/>
  <c r="D20" i="22"/>
  <c r="J19" i="22"/>
  <c r="H19" i="22"/>
  <c r="F19" i="22"/>
  <c r="E19" i="22"/>
  <c r="D19" i="22"/>
  <c r="H18" i="22"/>
  <c r="F18" i="22"/>
  <c r="E18" i="22"/>
  <c r="J16" i="22"/>
  <c r="I16" i="22"/>
  <c r="H16" i="22"/>
  <c r="G16" i="22"/>
  <c r="F16" i="22"/>
  <c r="E16" i="22"/>
  <c r="D16" i="22"/>
  <c r="J13" i="22"/>
  <c r="D3" i="22"/>
  <c r="AE79" i="21"/>
  <c r="J21" i="20" s="1"/>
  <c r="AD79" i="21"/>
  <c r="AA79" i="21"/>
  <c r="Z79" i="21"/>
  <c r="N79" i="21"/>
  <c r="M79" i="21"/>
  <c r="K79" i="21"/>
  <c r="J79" i="21"/>
  <c r="W78" i="21"/>
  <c r="H78" i="21"/>
  <c r="W77" i="21"/>
  <c r="H77" i="21"/>
  <c r="W76" i="21"/>
  <c r="H76" i="21"/>
  <c r="W75" i="21"/>
  <c r="H75" i="21"/>
  <c r="W74" i="21"/>
  <c r="W73" i="21"/>
  <c r="W72" i="21"/>
  <c r="W71" i="21"/>
  <c r="W70" i="21"/>
  <c r="P70" i="21"/>
  <c r="N70" i="21"/>
  <c r="AG70" i="21" s="1"/>
  <c r="K70" i="21"/>
  <c r="J70" i="21"/>
  <c r="L70" i="21" s="1"/>
  <c r="L79" i="21" s="1"/>
  <c r="J13" i="20" s="1"/>
  <c r="F70" i="21"/>
  <c r="H70" i="21" s="1"/>
  <c r="B70" i="21"/>
  <c r="AE69" i="21"/>
  <c r="AD69" i="21"/>
  <c r="AA69" i="21"/>
  <c r="I19" i="20" s="1"/>
  <c r="Z69" i="21"/>
  <c r="M69" i="21"/>
  <c r="W68" i="21"/>
  <c r="H68" i="21"/>
  <c r="W67" i="21"/>
  <c r="W66" i="21"/>
  <c r="W65" i="21"/>
  <c r="W64" i="21"/>
  <c r="W63" i="21"/>
  <c r="AG62" i="21"/>
  <c r="AF62" i="21"/>
  <c r="W62" i="21"/>
  <c r="W61" i="21"/>
  <c r="N61" i="21" s="1"/>
  <c r="V61" i="21"/>
  <c r="P61" i="21"/>
  <c r="L61" i="21"/>
  <c r="K61" i="21"/>
  <c r="J61" i="21"/>
  <c r="H61" i="21"/>
  <c r="F61" i="21"/>
  <c r="B61" i="21"/>
  <c r="AG60" i="21"/>
  <c r="AF60" i="21"/>
  <c r="W60" i="21"/>
  <c r="N60" i="21" s="1"/>
  <c r="O60" i="21" s="1"/>
  <c r="V60" i="21"/>
  <c r="K60" i="21"/>
  <c r="J60" i="21"/>
  <c r="L60" i="21" s="1"/>
  <c r="F60" i="21"/>
  <c r="H60" i="21" s="1"/>
  <c r="B60" i="21"/>
  <c r="W59" i="21"/>
  <c r="N59" i="21" s="1"/>
  <c r="K59" i="21"/>
  <c r="K69" i="21" s="1"/>
  <c r="J59" i="21"/>
  <c r="F59" i="21"/>
  <c r="H59" i="21" s="1"/>
  <c r="B59" i="21"/>
  <c r="AE58" i="21"/>
  <c r="AD58" i="21"/>
  <c r="AA58" i="21"/>
  <c r="Z58" i="21"/>
  <c r="M58" i="21"/>
  <c r="L58" i="21"/>
  <c r="H13" i="20" s="1"/>
  <c r="K58" i="21"/>
  <c r="W57" i="21"/>
  <c r="W56" i="21"/>
  <c r="W55" i="21"/>
  <c r="W54" i="21"/>
  <c r="AG53" i="21"/>
  <c r="AF53" i="21"/>
  <c r="W53" i="21"/>
  <c r="AG52" i="21"/>
  <c r="AF52" i="21"/>
  <c r="W52" i="21"/>
  <c r="V52" i="21"/>
  <c r="W51" i="21"/>
  <c r="N51" i="21" s="1"/>
  <c r="V51" i="21"/>
  <c r="K51" i="21"/>
  <c r="J51" i="21"/>
  <c r="P51" i="21" s="1"/>
  <c r="H51" i="21"/>
  <c r="F51" i="21"/>
  <c r="B51" i="21"/>
  <c r="AG50" i="21"/>
  <c r="W50" i="21"/>
  <c r="V50" i="21"/>
  <c r="R50" i="21"/>
  <c r="Q50" i="21"/>
  <c r="P50" i="21"/>
  <c r="O50" i="21"/>
  <c r="N50" i="21"/>
  <c r="AF50" i="21" s="1"/>
  <c r="K50" i="21"/>
  <c r="J50" i="21"/>
  <c r="L50" i="21" s="1"/>
  <c r="F50" i="21"/>
  <c r="H50" i="21" s="1"/>
  <c r="B50" i="21"/>
  <c r="W49" i="21"/>
  <c r="N49" i="21" s="1"/>
  <c r="AF49" i="21" s="1"/>
  <c r="O49" i="21"/>
  <c r="R49" i="21" s="1"/>
  <c r="K49" i="21"/>
  <c r="L49" i="21" s="1"/>
  <c r="J49" i="21"/>
  <c r="H49" i="21"/>
  <c r="F49" i="21"/>
  <c r="B49" i="21"/>
  <c r="AE48" i="21"/>
  <c r="G21" i="20" s="1"/>
  <c r="AD48" i="21"/>
  <c r="AA48" i="21"/>
  <c r="Z48" i="21"/>
  <c r="W48" i="21"/>
  <c r="M48" i="21"/>
  <c r="W47" i="21"/>
  <c r="H47" i="21"/>
  <c r="W46" i="21"/>
  <c r="W45" i="21"/>
  <c r="W44" i="21"/>
  <c r="W43" i="21"/>
  <c r="W42" i="21"/>
  <c r="AG41" i="21"/>
  <c r="AF41" i="21"/>
  <c r="W41" i="21"/>
  <c r="W40" i="21"/>
  <c r="V40" i="21"/>
  <c r="P40" i="21"/>
  <c r="N40" i="21"/>
  <c r="L40" i="21"/>
  <c r="K40" i="21"/>
  <c r="J40" i="21"/>
  <c r="H40" i="21"/>
  <c r="F40" i="21"/>
  <c r="B40" i="21"/>
  <c r="W39" i="21"/>
  <c r="N39" i="21" s="1"/>
  <c r="V39" i="21"/>
  <c r="P39" i="21"/>
  <c r="K39" i="21"/>
  <c r="J39" i="21"/>
  <c r="L39" i="21" s="1"/>
  <c r="F39" i="21"/>
  <c r="H39" i="21" s="1"/>
  <c r="B39" i="21"/>
  <c r="W38" i="21"/>
  <c r="N38" i="21" s="1"/>
  <c r="AG38" i="21" s="1"/>
  <c r="K38" i="21"/>
  <c r="J38" i="21"/>
  <c r="F38" i="21"/>
  <c r="H38" i="21" s="1"/>
  <c r="B38" i="21"/>
  <c r="AE37" i="21"/>
  <c r="AD37" i="21"/>
  <c r="AA37" i="21"/>
  <c r="Z37" i="21"/>
  <c r="M37" i="21"/>
  <c r="P37" i="21" s="1"/>
  <c r="K37" i="21"/>
  <c r="W36" i="21"/>
  <c r="H36" i="21"/>
  <c r="W35" i="21"/>
  <c r="W34" i="21"/>
  <c r="W33" i="21"/>
  <c r="W32" i="21"/>
  <c r="AG31" i="21"/>
  <c r="AF31" i="21"/>
  <c r="W31" i="21"/>
  <c r="AG30" i="21"/>
  <c r="AF30" i="21"/>
  <c r="W30" i="21"/>
  <c r="V30" i="21"/>
  <c r="AG29" i="21"/>
  <c r="W29" i="21"/>
  <c r="V29" i="21"/>
  <c r="P29" i="21"/>
  <c r="N29" i="21"/>
  <c r="AF29" i="21" s="1"/>
  <c r="L29" i="21"/>
  <c r="K29" i="21"/>
  <c r="J29" i="21"/>
  <c r="H29" i="21"/>
  <c r="F29" i="21"/>
  <c r="B29" i="21"/>
  <c r="W28" i="21"/>
  <c r="N28" i="21" s="1"/>
  <c r="V28" i="21"/>
  <c r="K28" i="21"/>
  <c r="L28" i="21" s="1"/>
  <c r="J28" i="21"/>
  <c r="P28" i="21" s="1"/>
  <c r="H28" i="21"/>
  <c r="F28" i="21"/>
  <c r="B28" i="21"/>
  <c r="AG27" i="21"/>
  <c r="AF27" i="21"/>
  <c r="W27" i="21"/>
  <c r="P27" i="21"/>
  <c r="N27" i="21"/>
  <c r="L27" i="21"/>
  <c r="L37" i="21" s="1"/>
  <c r="F13" i="20" s="1"/>
  <c r="K27" i="21"/>
  <c r="J27" i="21"/>
  <c r="J37" i="21" s="1"/>
  <c r="F27" i="21"/>
  <c r="H27" i="21" s="1"/>
  <c r="B27" i="21"/>
  <c r="AE26" i="21"/>
  <c r="E21" i="20" s="1"/>
  <c r="AD26" i="21"/>
  <c r="AA26" i="21"/>
  <c r="Z26" i="21"/>
  <c r="E18" i="20" s="1"/>
  <c r="M26" i="21"/>
  <c r="J26" i="21"/>
  <c r="P26" i="21" s="1"/>
  <c r="W25" i="21"/>
  <c r="H25" i="21"/>
  <c r="W24" i="21"/>
  <c r="H24" i="21"/>
  <c r="W23" i="21"/>
  <c r="W21" i="21"/>
  <c r="W20" i="21"/>
  <c r="V20" i="21"/>
  <c r="AG19" i="21"/>
  <c r="AF19" i="21"/>
  <c r="W19" i="21"/>
  <c r="V19" i="21"/>
  <c r="W18" i="21"/>
  <c r="N18" i="21" s="1"/>
  <c r="O18" i="21" s="1"/>
  <c r="V18" i="21"/>
  <c r="P18" i="21"/>
  <c r="K18" i="21"/>
  <c r="J18" i="21"/>
  <c r="L18" i="21" s="1"/>
  <c r="F18" i="21"/>
  <c r="H18" i="21" s="1"/>
  <c r="B18" i="21"/>
  <c r="W17" i="21"/>
  <c r="N17" i="21" s="1"/>
  <c r="V17" i="21"/>
  <c r="K17" i="21"/>
  <c r="J17" i="21"/>
  <c r="P17" i="21" s="1"/>
  <c r="F17" i="21"/>
  <c r="H17" i="21" s="1"/>
  <c r="B17" i="21"/>
  <c r="AG16" i="21"/>
  <c r="AF16" i="21"/>
  <c r="W16" i="21"/>
  <c r="N16" i="21"/>
  <c r="K16" i="21"/>
  <c r="K26" i="21" s="1"/>
  <c r="J16" i="21"/>
  <c r="P16" i="21" s="1"/>
  <c r="F16" i="21"/>
  <c r="H16" i="21" s="1"/>
  <c r="B16" i="21"/>
  <c r="AE15" i="21"/>
  <c r="AE2" i="21" s="1"/>
  <c r="O6" i="20" s="1"/>
  <c r="AD15" i="21"/>
  <c r="AA15" i="21"/>
  <c r="Z15" i="21"/>
  <c r="D18" i="20" s="1"/>
  <c r="M15" i="21"/>
  <c r="K15" i="21"/>
  <c r="J15" i="21"/>
  <c r="P15" i="21" s="1"/>
  <c r="W14" i="21"/>
  <c r="W13" i="21"/>
  <c r="W12" i="21"/>
  <c r="AG11" i="21"/>
  <c r="AF11" i="21"/>
  <c r="W11" i="21"/>
  <c r="AG10" i="21"/>
  <c r="AF10" i="21"/>
  <c r="W10" i="21"/>
  <c r="AG9" i="21"/>
  <c r="AF9" i="21"/>
  <c r="W9" i="21"/>
  <c r="AG8" i="21"/>
  <c r="AF8" i="21"/>
  <c r="W8" i="21"/>
  <c r="AF7" i="21"/>
  <c r="W7" i="21"/>
  <c r="V7" i="21"/>
  <c r="N7" i="21"/>
  <c r="K7" i="21"/>
  <c r="J7" i="21"/>
  <c r="P7" i="21" s="1"/>
  <c r="H7" i="21"/>
  <c r="F7" i="21"/>
  <c r="B7" i="21"/>
  <c r="W6" i="21"/>
  <c r="V6" i="21"/>
  <c r="P6" i="21"/>
  <c r="N6" i="21"/>
  <c r="K6" i="21"/>
  <c r="J6" i="21"/>
  <c r="L6" i="21" s="1"/>
  <c r="F6" i="21"/>
  <c r="H6" i="21" s="1"/>
  <c r="B6" i="21"/>
  <c r="W5" i="21"/>
  <c r="N5" i="21" s="1"/>
  <c r="O5" i="21" s="1"/>
  <c r="P5" i="21"/>
  <c r="L5" i="21"/>
  <c r="K5" i="21"/>
  <c r="J5" i="21"/>
  <c r="H5" i="21"/>
  <c r="G1" i="21" s="1"/>
  <c r="F5" i="21"/>
  <c r="B5" i="21"/>
  <c r="I2" i="21"/>
  <c r="E1" i="21"/>
  <c r="G3" i="20" s="1"/>
  <c r="J22" i="20"/>
  <c r="H22" i="20"/>
  <c r="G22" i="20"/>
  <c r="E22" i="20"/>
  <c r="D22" i="20"/>
  <c r="I21" i="20"/>
  <c r="H21" i="20"/>
  <c r="F21" i="20"/>
  <c r="J20" i="20"/>
  <c r="I20" i="20"/>
  <c r="H20" i="20"/>
  <c r="G20" i="20"/>
  <c r="F20" i="20"/>
  <c r="D20" i="20"/>
  <c r="J19" i="20"/>
  <c r="H19" i="20"/>
  <c r="F19" i="20"/>
  <c r="E19" i="20"/>
  <c r="D19" i="20"/>
  <c r="J18" i="20"/>
  <c r="I18" i="20"/>
  <c r="H18" i="20"/>
  <c r="G18" i="20"/>
  <c r="F18" i="20"/>
  <c r="J16" i="20"/>
  <c r="I16" i="20"/>
  <c r="H16" i="20"/>
  <c r="G16" i="20"/>
  <c r="F16" i="20"/>
  <c r="E16" i="20"/>
  <c r="D16" i="20"/>
  <c r="D3" i="20"/>
  <c r="AE79" i="19"/>
  <c r="AD79" i="19"/>
  <c r="AA79" i="19"/>
  <c r="J18" i="18" s="1"/>
  <c r="Z79" i="19"/>
  <c r="P79" i="19"/>
  <c r="M79" i="19"/>
  <c r="K79" i="19"/>
  <c r="J79" i="19"/>
  <c r="W78" i="19"/>
  <c r="H78" i="19"/>
  <c r="W77" i="19"/>
  <c r="H77" i="19"/>
  <c r="W76" i="19"/>
  <c r="H76" i="19"/>
  <c r="W75" i="19"/>
  <c r="H75" i="19"/>
  <c r="W74" i="19"/>
  <c r="W73" i="19"/>
  <c r="W72" i="19"/>
  <c r="W71" i="19"/>
  <c r="W70" i="19"/>
  <c r="N70" i="19" s="1"/>
  <c r="P70" i="19"/>
  <c r="L70" i="19"/>
  <c r="L79" i="19" s="1"/>
  <c r="J13" i="18" s="1"/>
  <c r="K70" i="19"/>
  <c r="J70" i="19"/>
  <c r="F70" i="19"/>
  <c r="H70" i="19" s="1"/>
  <c r="B70" i="19"/>
  <c r="AE69" i="19"/>
  <c r="AD69" i="19"/>
  <c r="I20" i="18" s="1"/>
  <c r="AA69" i="19"/>
  <c r="Z69" i="19"/>
  <c r="M69" i="19"/>
  <c r="K69" i="19"/>
  <c r="J69" i="19"/>
  <c r="W68" i="19"/>
  <c r="H68" i="19"/>
  <c r="W67" i="19"/>
  <c r="W66" i="19"/>
  <c r="W65" i="19"/>
  <c r="W64" i="19"/>
  <c r="W63" i="19"/>
  <c r="AG62" i="19"/>
  <c r="AF62" i="19"/>
  <c r="W62" i="19"/>
  <c r="W61" i="19"/>
  <c r="N61" i="19" s="1"/>
  <c r="V61" i="19"/>
  <c r="K61" i="19"/>
  <c r="J61" i="19"/>
  <c r="P61" i="19" s="1"/>
  <c r="F61" i="19"/>
  <c r="H61" i="19" s="1"/>
  <c r="B61" i="19"/>
  <c r="W60" i="19"/>
  <c r="V60" i="19"/>
  <c r="N60" i="19"/>
  <c r="L60" i="19"/>
  <c r="K60" i="19"/>
  <c r="J60" i="19"/>
  <c r="P60" i="19" s="1"/>
  <c r="F60" i="19"/>
  <c r="H60" i="19" s="1"/>
  <c r="B60" i="19"/>
  <c r="W59" i="19"/>
  <c r="P59" i="19"/>
  <c r="N59" i="19"/>
  <c r="K59" i="19"/>
  <c r="L59" i="19" s="1"/>
  <c r="L69" i="19" s="1"/>
  <c r="I13" i="18" s="1"/>
  <c r="J6" i="18" s="1"/>
  <c r="J59" i="19"/>
  <c r="F59" i="19"/>
  <c r="H59" i="19" s="1"/>
  <c r="B59" i="19"/>
  <c r="AE58" i="19"/>
  <c r="AD58" i="19"/>
  <c r="H20" i="18" s="1"/>
  <c r="AA58" i="19"/>
  <c r="H19" i="18" s="1"/>
  <c r="Z58" i="19"/>
  <c r="H18" i="18" s="1"/>
  <c r="M58" i="19"/>
  <c r="P58" i="19" s="1"/>
  <c r="J58" i="19"/>
  <c r="W57" i="19"/>
  <c r="W56" i="19"/>
  <c r="W55" i="19"/>
  <c r="W54" i="19"/>
  <c r="AG53" i="19"/>
  <c r="AF53" i="19"/>
  <c r="W53" i="19"/>
  <c r="AG52" i="19"/>
  <c r="AF52" i="19"/>
  <c r="W52" i="19"/>
  <c r="V52" i="19"/>
  <c r="W51" i="19"/>
  <c r="V51" i="19"/>
  <c r="N51" i="19"/>
  <c r="K51" i="19"/>
  <c r="L51" i="19" s="1"/>
  <c r="J51" i="19"/>
  <c r="P51" i="19" s="1"/>
  <c r="H51" i="19"/>
  <c r="F51" i="19"/>
  <c r="B51" i="19"/>
  <c r="W50" i="19"/>
  <c r="V50" i="19"/>
  <c r="N50" i="19"/>
  <c r="K50" i="19"/>
  <c r="L50" i="19" s="1"/>
  <c r="J50" i="19"/>
  <c r="P50" i="19" s="1"/>
  <c r="H50" i="19"/>
  <c r="F50" i="19"/>
  <c r="B50" i="19"/>
  <c r="W49" i="19"/>
  <c r="P49" i="19"/>
  <c r="O49" i="19"/>
  <c r="N49" i="19"/>
  <c r="L49" i="19"/>
  <c r="L58" i="19" s="1"/>
  <c r="H13" i="18" s="1"/>
  <c r="K49" i="19"/>
  <c r="K58" i="19" s="1"/>
  <c r="J49" i="19"/>
  <c r="F49" i="19"/>
  <c r="H49" i="19" s="1"/>
  <c r="B49" i="19"/>
  <c r="AE48" i="19"/>
  <c r="AD48" i="19"/>
  <c r="AA48" i="19"/>
  <c r="G19" i="18" s="1"/>
  <c r="Z48" i="19"/>
  <c r="W48" i="19"/>
  <c r="M48" i="19"/>
  <c r="J48" i="19"/>
  <c r="W47" i="19"/>
  <c r="H47" i="19"/>
  <c r="W46" i="19"/>
  <c r="W45" i="19"/>
  <c r="W44" i="19"/>
  <c r="W43" i="19"/>
  <c r="W42" i="19"/>
  <c r="AG41" i="19"/>
  <c r="AF41" i="19"/>
  <c r="W41" i="19"/>
  <c r="W40" i="19"/>
  <c r="V40" i="19"/>
  <c r="N40" i="19"/>
  <c r="O40" i="19" s="1"/>
  <c r="K40" i="19"/>
  <c r="L40" i="19" s="1"/>
  <c r="J40" i="19"/>
  <c r="P40" i="19" s="1"/>
  <c r="F40" i="19"/>
  <c r="H40" i="19" s="1"/>
  <c r="B40" i="19"/>
  <c r="W39" i="19"/>
  <c r="V39" i="19"/>
  <c r="P39" i="19"/>
  <c r="N39" i="19"/>
  <c r="K39" i="19"/>
  <c r="J39" i="19"/>
  <c r="L39" i="19" s="1"/>
  <c r="F39" i="19"/>
  <c r="H39" i="19" s="1"/>
  <c r="B39" i="19"/>
  <c r="W38" i="19"/>
  <c r="N38" i="19" s="1"/>
  <c r="AF38" i="19" s="1"/>
  <c r="P38" i="19"/>
  <c r="K38" i="19"/>
  <c r="J38" i="19"/>
  <c r="F38" i="19"/>
  <c r="H38" i="19" s="1"/>
  <c r="B38" i="19"/>
  <c r="AE37" i="19"/>
  <c r="AD37" i="19"/>
  <c r="AA37" i="19"/>
  <c r="Z37" i="19"/>
  <c r="M37" i="19"/>
  <c r="L37" i="19"/>
  <c r="F13" i="18" s="1"/>
  <c r="K37" i="19"/>
  <c r="J37" i="19"/>
  <c r="W36" i="19"/>
  <c r="H36" i="19"/>
  <c r="W35" i="19"/>
  <c r="W34" i="19"/>
  <c r="W33" i="19"/>
  <c r="W32" i="19"/>
  <c r="AG31" i="19"/>
  <c r="AF31" i="19"/>
  <c r="W31" i="19"/>
  <c r="AG30" i="19"/>
  <c r="AF30" i="19"/>
  <c r="W30" i="19"/>
  <c r="V30" i="19"/>
  <c r="AG29" i="19"/>
  <c r="W29" i="19"/>
  <c r="V29" i="19"/>
  <c r="N29" i="19"/>
  <c r="O29" i="19" s="1"/>
  <c r="K29" i="19"/>
  <c r="L29" i="19" s="1"/>
  <c r="J29" i="19"/>
  <c r="P29" i="19" s="1"/>
  <c r="F29" i="19"/>
  <c r="H29" i="19" s="1"/>
  <c r="B29" i="19"/>
  <c r="AG28" i="19"/>
  <c r="W28" i="19"/>
  <c r="V28" i="19"/>
  <c r="N28" i="19"/>
  <c r="K28" i="19"/>
  <c r="L28" i="19" s="1"/>
  <c r="J28" i="19"/>
  <c r="P28" i="19" s="1"/>
  <c r="H28" i="19"/>
  <c r="F28" i="19"/>
  <c r="B28" i="19"/>
  <c r="W27" i="19"/>
  <c r="N27" i="19" s="1"/>
  <c r="K27" i="19"/>
  <c r="J27" i="19"/>
  <c r="L27" i="19" s="1"/>
  <c r="H27" i="19"/>
  <c r="F27" i="19"/>
  <c r="B27" i="19"/>
  <c r="AE26" i="19"/>
  <c r="E21" i="18" s="1"/>
  <c r="AD26" i="19"/>
  <c r="AA26" i="19"/>
  <c r="E19" i="18" s="1"/>
  <c r="Z26" i="19"/>
  <c r="M26" i="19"/>
  <c r="J26" i="19"/>
  <c r="P26" i="19" s="1"/>
  <c r="W25" i="19"/>
  <c r="H25" i="19"/>
  <c r="W24" i="19"/>
  <c r="H24" i="19"/>
  <c r="W23" i="19"/>
  <c r="W21" i="19"/>
  <c r="W20" i="19"/>
  <c r="V20" i="19"/>
  <c r="AG19" i="19"/>
  <c r="AF19" i="19"/>
  <c r="W19" i="19"/>
  <c r="V19" i="19"/>
  <c r="AG18" i="19"/>
  <c r="W18" i="19"/>
  <c r="N18" i="19" s="1"/>
  <c r="O18" i="19" s="1"/>
  <c r="V18" i="19"/>
  <c r="P18" i="19"/>
  <c r="K18" i="19"/>
  <c r="J18" i="19"/>
  <c r="L18" i="19" s="1"/>
  <c r="H18" i="19"/>
  <c r="F18" i="19"/>
  <c r="B18" i="19"/>
  <c r="W17" i="19"/>
  <c r="N17" i="19" s="1"/>
  <c r="V17" i="19"/>
  <c r="K17" i="19"/>
  <c r="J17" i="19"/>
  <c r="P17" i="19" s="1"/>
  <c r="H17" i="19"/>
  <c r="F17" i="19"/>
  <c r="B17" i="19"/>
  <c r="AG16" i="19"/>
  <c r="AF16" i="19"/>
  <c r="W16" i="19"/>
  <c r="N16" i="19" s="1"/>
  <c r="O16" i="19"/>
  <c r="K16" i="19"/>
  <c r="J16" i="19"/>
  <c r="P16" i="19" s="1"/>
  <c r="F16" i="19"/>
  <c r="H16" i="19" s="1"/>
  <c r="B16" i="19"/>
  <c r="AE15" i="19"/>
  <c r="AD15" i="19"/>
  <c r="AA15" i="19"/>
  <c r="Z15" i="19"/>
  <c r="M15" i="19"/>
  <c r="L15" i="19"/>
  <c r="K15" i="19"/>
  <c r="J15" i="19"/>
  <c r="W14" i="19"/>
  <c r="W13" i="19"/>
  <c r="W12" i="19"/>
  <c r="AG11" i="19"/>
  <c r="AF11" i="19"/>
  <c r="W11" i="19"/>
  <c r="AG10" i="19"/>
  <c r="AF10" i="19"/>
  <c r="W10" i="19"/>
  <c r="AG9" i="19"/>
  <c r="AF9" i="19"/>
  <c r="W9" i="19"/>
  <c r="AG8" i="19"/>
  <c r="AF8" i="19"/>
  <c r="W8" i="19"/>
  <c r="W7" i="19"/>
  <c r="V7" i="19"/>
  <c r="P7" i="19"/>
  <c r="N7" i="19"/>
  <c r="L7" i="19"/>
  <c r="K7" i="19"/>
  <c r="J7" i="19"/>
  <c r="F7" i="19"/>
  <c r="H7" i="19" s="1"/>
  <c r="B7" i="19"/>
  <c r="W6" i="19"/>
  <c r="N6" i="19" s="1"/>
  <c r="V6" i="19"/>
  <c r="P6" i="19"/>
  <c r="O6" i="19"/>
  <c r="K6" i="19"/>
  <c r="L6" i="19" s="1"/>
  <c r="J6" i="19"/>
  <c r="F6" i="19"/>
  <c r="H6" i="19" s="1"/>
  <c r="B6" i="19"/>
  <c r="W5" i="19"/>
  <c r="P5" i="19"/>
  <c r="N5" i="19"/>
  <c r="K5" i="19"/>
  <c r="J5" i="19"/>
  <c r="L5" i="19" s="1"/>
  <c r="H5" i="19"/>
  <c r="G1" i="19" s="1"/>
  <c r="F5" i="19"/>
  <c r="B5" i="19"/>
  <c r="I2" i="19"/>
  <c r="I1" i="19"/>
  <c r="E1" i="19"/>
  <c r="J22" i="18"/>
  <c r="I22" i="18"/>
  <c r="H22" i="18"/>
  <c r="E22" i="18"/>
  <c r="J21" i="18"/>
  <c r="I21" i="18"/>
  <c r="H21" i="18"/>
  <c r="G21" i="18"/>
  <c r="F21" i="18"/>
  <c r="J20" i="18"/>
  <c r="G20" i="18"/>
  <c r="F20" i="18"/>
  <c r="E20" i="18"/>
  <c r="D20" i="18"/>
  <c r="J19" i="18"/>
  <c r="I19" i="18"/>
  <c r="F19" i="18"/>
  <c r="I18" i="18"/>
  <c r="F18" i="18"/>
  <c r="E18" i="18"/>
  <c r="D18" i="18"/>
  <c r="J16" i="18"/>
  <c r="I16" i="18"/>
  <c r="H16" i="18"/>
  <c r="G16" i="18"/>
  <c r="F16" i="18"/>
  <c r="E16" i="18"/>
  <c r="D16" i="18"/>
  <c r="D13" i="18"/>
  <c r="G3" i="18"/>
  <c r="D3" i="18"/>
  <c r="AE79" i="17"/>
  <c r="J21" i="16" s="1"/>
  <c r="AD79" i="17"/>
  <c r="J20" i="16" s="1"/>
  <c r="AA79" i="17"/>
  <c r="J18" i="16" s="1"/>
  <c r="Z79" i="17"/>
  <c r="M79" i="17"/>
  <c r="K79" i="17"/>
  <c r="J79" i="17"/>
  <c r="W78" i="17"/>
  <c r="H78" i="17"/>
  <c r="W77" i="17"/>
  <c r="H77" i="17"/>
  <c r="W76" i="17"/>
  <c r="H76" i="17"/>
  <c r="W75" i="17"/>
  <c r="H75" i="17"/>
  <c r="W74" i="17"/>
  <c r="W73" i="17"/>
  <c r="W72" i="17"/>
  <c r="W71" i="17"/>
  <c r="W70" i="17"/>
  <c r="P70" i="17"/>
  <c r="N70" i="17"/>
  <c r="AG70" i="17" s="1"/>
  <c r="K70" i="17"/>
  <c r="J70" i="17"/>
  <c r="L70" i="17" s="1"/>
  <c r="L79" i="17" s="1"/>
  <c r="J13" i="16" s="1"/>
  <c r="F70" i="17"/>
  <c r="H70" i="17" s="1"/>
  <c r="AE69" i="17"/>
  <c r="AD69" i="17"/>
  <c r="AA69" i="17"/>
  <c r="I19" i="16" s="1"/>
  <c r="Z69" i="17"/>
  <c r="I18" i="16" s="1"/>
  <c r="M69" i="17"/>
  <c r="I22" i="16" s="1"/>
  <c r="W68" i="17"/>
  <c r="H68" i="17"/>
  <c r="W67" i="17"/>
  <c r="W66" i="17"/>
  <c r="W65" i="17"/>
  <c r="W64" i="17"/>
  <c r="W63" i="17"/>
  <c r="N63" i="17" s="1"/>
  <c r="O63" i="17" s="1"/>
  <c r="Q63" i="17" s="1"/>
  <c r="W62" i="17"/>
  <c r="N62" i="17" s="1"/>
  <c r="O62" i="17" s="1"/>
  <c r="R62" i="17" s="1"/>
  <c r="W61" i="17"/>
  <c r="N61" i="17" s="1"/>
  <c r="O61" i="17" s="1"/>
  <c r="V61" i="17"/>
  <c r="P61" i="17"/>
  <c r="L61" i="17"/>
  <c r="K61" i="17"/>
  <c r="J61" i="17"/>
  <c r="H61" i="17"/>
  <c r="F61" i="17"/>
  <c r="W60" i="17"/>
  <c r="N60" i="17" s="1"/>
  <c r="O60" i="17" s="1"/>
  <c r="V60" i="17"/>
  <c r="P60" i="17"/>
  <c r="L60" i="17"/>
  <c r="K60" i="17"/>
  <c r="J60" i="17"/>
  <c r="F60" i="17"/>
  <c r="H60" i="17" s="1"/>
  <c r="W59" i="17"/>
  <c r="N59" i="17" s="1"/>
  <c r="O59" i="17"/>
  <c r="K59" i="17"/>
  <c r="J59" i="17"/>
  <c r="H59" i="17"/>
  <c r="F59" i="17"/>
  <c r="AE58" i="17"/>
  <c r="AD58" i="17"/>
  <c r="H20" i="16" s="1"/>
  <c r="AA58" i="17"/>
  <c r="Z58" i="17"/>
  <c r="H18" i="16" s="1"/>
  <c r="M58" i="17"/>
  <c r="W57" i="17"/>
  <c r="W56" i="17"/>
  <c r="W55" i="17"/>
  <c r="W54" i="17"/>
  <c r="AG53" i="17"/>
  <c r="AF53" i="17"/>
  <c r="W53" i="17"/>
  <c r="AG52" i="17"/>
  <c r="AF52" i="17"/>
  <c r="W52" i="17"/>
  <c r="V52" i="17"/>
  <c r="W51" i="17"/>
  <c r="N51" i="17" s="1"/>
  <c r="O51" i="17" s="1"/>
  <c r="V51" i="17"/>
  <c r="P51" i="17"/>
  <c r="K51" i="17"/>
  <c r="L51" i="17" s="1"/>
  <c r="J51" i="17"/>
  <c r="H51" i="17"/>
  <c r="F51" i="17"/>
  <c r="W50" i="17"/>
  <c r="V50" i="17"/>
  <c r="P50" i="17"/>
  <c r="O50" i="17"/>
  <c r="N50" i="17"/>
  <c r="K50" i="17"/>
  <c r="L50" i="17" s="1"/>
  <c r="J50" i="17"/>
  <c r="F50" i="17"/>
  <c r="H50" i="17" s="1"/>
  <c r="W49" i="17"/>
  <c r="N49" i="17" s="1"/>
  <c r="P49" i="17"/>
  <c r="L49" i="17"/>
  <c r="K49" i="17"/>
  <c r="K58" i="17" s="1"/>
  <c r="J49" i="17"/>
  <c r="F49" i="17"/>
  <c r="H49" i="17" s="1"/>
  <c r="AE48" i="17"/>
  <c r="AE2" i="17" s="1"/>
  <c r="O6" i="16" s="1"/>
  <c r="AD48" i="17"/>
  <c r="G20" i="16" s="1"/>
  <c r="AA48" i="17"/>
  <c r="G19" i="16" s="1"/>
  <c r="Z48" i="17"/>
  <c r="G18" i="16" s="1"/>
  <c r="W48" i="17"/>
  <c r="M48" i="17"/>
  <c r="G22" i="16" s="1"/>
  <c r="J48" i="17"/>
  <c r="W47" i="17"/>
  <c r="H47" i="17"/>
  <c r="W46" i="17"/>
  <c r="W45" i="17"/>
  <c r="W44" i="17"/>
  <c r="W43" i="17"/>
  <c r="W42" i="17"/>
  <c r="AG41" i="17"/>
  <c r="AF41" i="17"/>
  <c r="W41" i="17"/>
  <c r="W40" i="17"/>
  <c r="N40" i="17" s="1"/>
  <c r="O40" i="17" s="1"/>
  <c r="V40" i="17"/>
  <c r="P40" i="17"/>
  <c r="K40" i="17"/>
  <c r="L40" i="17" s="1"/>
  <c r="J40" i="17"/>
  <c r="F40" i="17"/>
  <c r="H40" i="17" s="1"/>
  <c r="W39" i="17"/>
  <c r="V39" i="17"/>
  <c r="N39" i="17"/>
  <c r="K39" i="17"/>
  <c r="J39" i="17"/>
  <c r="P39" i="17" s="1"/>
  <c r="F39" i="17"/>
  <c r="H39" i="17" s="1"/>
  <c r="W38" i="17"/>
  <c r="P38" i="17"/>
  <c r="O38" i="17"/>
  <c r="N38" i="17"/>
  <c r="K38" i="17"/>
  <c r="J38" i="17"/>
  <c r="L38" i="17" s="1"/>
  <c r="H38" i="17"/>
  <c r="F38" i="17"/>
  <c r="AE37" i="17"/>
  <c r="AD37" i="17"/>
  <c r="F20" i="16" s="1"/>
  <c r="AA37" i="17"/>
  <c r="Z37" i="17"/>
  <c r="M37" i="17"/>
  <c r="F22" i="16" s="1"/>
  <c r="W36" i="17"/>
  <c r="W35" i="17"/>
  <c r="W34" i="17"/>
  <c r="W33" i="17"/>
  <c r="W32" i="17"/>
  <c r="W31" i="17"/>
  <c r="W30" i="17"/>
  <c r="V30" i="17"/>
  <c r="W29" i="17"/>
  <c r="N29" i="17" s="1"/>
  <c r="O29" i="17" s="1"/>
  <c r="V29" i="17"/>
  <c r="P29" i="17"/>
  <c r="K29" i="17"/>
  <c r="J29" i="17"/>
  <c r="F29" i="17"/>
  <c r="H29" i="17" s="1"/>
  <c r="W28" i="17"/>
  <c r="N28" i="17" s="1"/>
  <c r="O28" i="17" s="1"/>
  <c r="V28" i="17"/>
  <c r="K28" i="17"/>
  <c r="J28" i="17"/>
  <c r="P28" i="17" s="1"/>
  <c r="F28" i="17"/>
  <c r="H28" i="17" s="1"/>
  <c r="AG27" i="17"/>
  <c r="AF27" i="17"/>
  <c r="W27" i="17"/>
  <c r="N27" i="17" s="1"/>
  <c r="O27" i="17"/>
  <c r="K27" i="17"/>
  <c r="K37" i="17" s="1"/>
  <c r="J27" i="17"/>
  <c r="P27" i="17" s="1"/>
  <c r="F27" i="17"/>
  <c r="H27" i="17" s="1"/>
  <c r="AE26" i="17"/>
  <c r="AD26" i="17"/>
  <c r="E20" i="16" s="1"/>
  <c r="AA26" i="17"/>
  <c r="Z26" i="17"/>
  <c r="M26" i="17"/>
  <c r="W25" i="17"/>
  <c r="H25" i="17"/>
  <c r="W24" i="17"/>
  <c r="H24" i="17"/>
  <c r="W23" i="17"/>
  <c r="W21" i="17"/>
  <c r="W20" i="17"/>
  <c r="V20" i="17"/>
  <c r="AG19" i="17"/>
  <c r="AF19" i="17"/>
  <c r="W19" i="17"/>
  <c r="V19" i="17"/>
  <c r="W18" i="17"/>
  <c r="N18" i="17" s="1"/>
  <c r="V18" i="17"/>
  <c r="P18" i="17"/>
  <c r="L18" i="17"/>
  <c r="K18" i="17"/>
  <c r="J18" i="17"/>
  <c r="F18" i="17"/>
  <c r="H18" i="17" s="1"/>
  <c r="W17" i="17"/>
  <c r="N17" i="17" s="1"/>
  <c r="V17" i="17"/>
  <c r="O17" i="17"/>
  <c r="K17" i="17"/>
  <c r="J17" i="17"/>
  <c r="P17" i="17" s="1"/>
  <c r="F17" i="17"/>
  <c r="H17" i="17" s="1"/>
  <c r="W16" i="17"/>
  <c r="N16" i="17"/>
  <c r="K16" i="17"/>
  <c r="J16" i="17"/>
  <c r="H16" i="17"/>
  <c r="F16" i="17"/>
  <c r="AE15" i="17"/>
  <c r="D21" i="16" s="1"/>
  <c r="AD15" i="17"/>
  <c r="AA15" i="17"/>
  <c r="Z15" i="17"/>
  <c r="M15" i="17"/>
  <c r="P15" i="17" s="1"/>
  <c r="K15" i="17"/>
  <c r="J15" i="17"/>
  <c r="W14" i="17"/>
  <c r="W13" i="17"/>
  <c r="W12" i="17"/>
  <c r="AG11" i="17"/>
  <c r="AF11" i="17"/>
  <c r="W11" i="17"/>
  <c r="AG10" i="17"/>
  <c r="AF10" i="17"/>
  <c r="W10" i="17"/>
  <c r="AG9" i="17"/>
  <c r="AF9" i="17"/>
  <c r="W9" i="17"/>
  <c r="AG8" i="17"/>
  <c r="AF8" i="17"/>
  <c r="W8" i="17"/>
  <c r="AG7" i="17"/>
  <c r="AF7" i="17"/>
  <c r="W7" i="17"/>
  <c r="N7" i="17" s="1"/>
  <c r="O7" i="17" s="1"/>
  <c r="Q7" i="17" s="1"/>
  <c r="V7" i="17"/>
  <c r="P7" i="17"/>
  <c r="K7" i="17"/>
  <c r="J7" i="17"/>
  <c r="L7" i="17" s="1"/>
  <c r="F7" i="17"/>
  <c r="H7" i="17" s="1"/>
  <c r="W6" i="17"/>
  <c r="N6" i="17" s="1"/>
  <c r="O6" i="17" s="1"/>
  <c r="Q6" i="17" s="1"/>
  <c r="V6" i="17"/>
  <c r="R6" i="17"/>
  <c r="P6" i="17"/>
  <c r="L6" i="17"/>
  <c r="K6" i="17"/>
  <c r="J6" i="17"/>
  <c r="F6" i="17"/>
  <c r="H6" i="17" s="1"/>
  <c r="W5" i="17"/>
  <c r="N5" i="17" s="1"/>
  <c r="N15" i="17" s="1"/>
  <c r="P5" i="17"/>
  <c r="K5" i="17"/>
  <c r="J5" i="17"/>
  <c r="L5" i="17" s="1"/>
  <c r="F5" i="17"/>
  <c r="H5" i="17" s="1"/>
  <c r="AD2" i="17"/>
  <c r="N6" i="16" s="1"/>
  <c r="I2" i="17"/>
  <c r="E1" i="17"/>
  <c r="G3" i="16" s="1"/>
  <c r="D22" i="16"/>
  <c r="I21" i="16"/>
  <c r="H21" i="16"/>
  <c r="G21" i="16"/>
  <c r="F21" i="16"/>
  <c r="E21" i="16"/>
  <c r="I20" i="16"/>
  <c r="D20" i="16"/>
  <c r="J19" i="16"/>
  <c r="H19" i="16"/>
  <c r="F19" i="16"/>
  <c r="E19" i="16"/>
  <c r="D19" i="16"/>
  <c r="F18" i="16"/>
  <c r="E18" i="16"/>
  <c r="D18" i="16"/>
  <c r="J16" i="16"/>
  <c r="I16" i="16"/>
  <c r="H16" i="16"/>
  <c r="G16" i="16"/>
  <c r="F16" i="16"/>
  <c r="E16" i="16"/>
  <c r="D16" i="16"/>
  <c r="D3" i="16"/>
  <c r="J22" i="14"/>
  <c r="I22" i="14"/>
  <c r="H22" i="14"/>
  <c r="G22" i="14"/>
  <c r="J21" i="14"/>
  <c r="E21" i="14"/>
  <c r="D21" i="14"/>
  <c r="I20" i="14"/>
  <c r="G20" i="14"/>
  <c r="E20" i="14"/>
  <c r="D20" i="14"/>
  <c r="J19" i="14"/>
  <c r="H19" i="14"/>
  <c r="G19" i="14"/>
  <c r="E19" i="14"/>
  <c r="D19" i="14"/>
  <c r="I18" i="14"/>
  <c r="H18" i="14"/>
  <c r="G18" i="14"/>
  <c r="J16" i="14"/>
  <c r="I16" i="14"/>
  <c r="H16" i="14"/>
  <c r="G16" i="14"/>
  <c r="F16" i="14"/>
  <c r="E16" i="14"/>
  <c r="D16" i="14"/>
  <c r="G3" i="14"/>
  <c r="D3" i="14"/>
  <c r="AE79" i="13"/>
  <c r="AD79" i="13"/>
  <c r="AA79" i="13"/>
  <c r="J18" i="12" s="1"/>
  <c r="Z79" i="13"/>
  <c r="M79" i="13"/>
  <c r="W78" i="13"/>
  <c r="H78" i="13"/>
  <c r="W77" i="13"/>
  <c r="H77" i="13"/>
  <c r="W76" i="13"/>
  <c r="H76" i="13"/>
  <c r="W75" i="13"/>
  <c r="H75" i="13"/>
  <c r="W74" i="13"/>
  <c r="H74" i="13"/>
  <c r="W73" i="13"/>
  <c r="N73" i="13" s="1"/>
  <c r="O73" i="13" s="1"/>
  <c r="V73" i="13"/>
  <c r="P73" i="13"/>
  <c r="K73" i="13"/>
  <c r="L73" i="13" s="1"/>
  <c r="J73" i="13"/>
  <c r="F73" i="13"/>
  <c r="H73" i="13" s="1"/>
  <c r="W72" i="13"/>
  <c r="N72" i="13" s="1"/>
  <c r="O72" i="13" s="1"/>
  <c r="V72" i="13"/>
  <c r="K72" i="13"/>
  <c r="L72" i="13" s="1"/>
  <c r="Q72" i="13" s="1"/>
  <c r="J72" i="13"/>
  <c r="P72" i="13" s="1"/>
  <c r="H72" i="13"/>
  <c r="F72" i="13"/>
  <c r="W71" i="13"/>
  <c r="V71" i="13"/>
  <c r="P71" i="13"/>
  <c r="O71" i="13"/>
  <c r="N71" i="13"/>
  <c r="K71" i="13"/>
  <c r="L71" i="13" s="1"/>
  <c r="Q71" i="13" s="1"/>
  <c r="J71" i="13"/>
  <c r="H71" i="13"/>
  <c r="F71" i="13"/>
  <c r="W70" i="13"/>
  <c r="P70" i="13"/>
  <c r="O70" i="13"/>
  <c r="N70" i="13"/>
  <c r="K70" i="13"/>
  <c r="K79" i="13" s="1"/>
  <c r="J70" i="13"/>
  <c r="H70" i="13"/>
  <c r="F70" i="13"/>
  <c r="AE69" i="13"/>
  <c r="I21" i="12" s="1"/>
  <c r="AD69" i="13"/>
  <c r="I20" i="12" s="1"/>
  <c r="AA69" i="13"/>
  <c r="I19" i="12" s="1"/>
  <c r="Z69" i="13"/>
  <c r="I18" i="12" s="1"/>
  <c r="M69" i="13"/>
  <c r="W68" i="13"/>
  <c r="H68" i="13"/>
  <c r="W67" i="13"/>
  <c r="W66" i="13"/>
  <c r="W65" i="13"/>
  <c r="W64" i="13"/>
  <c r="W63" i="13"/>
  <c r="W62" i="13"/>
  <c r="V62" i="13"/>
  <c r="N62" i="13"/>
  <c r="K62" i="13"/>
  <c r="L62" i="13" s="1"/>
  <c r="J62" i="13"/>
  <c r="P62" i="13" s="1"/>
  <c r="H62" i="13"/>
  <c r="F62" i="13"/>
  <c r="AG61" i="13"/>
  <c r="W61" i="13"/>
  <c r="V61" i="13"/>
  <c r="P61" i="13"/>
  <c r="N61" i="13"/>
  <c r="AF61" i="13" s="1"/>
  <c r="L61" i="13"/>
  <c r="K61" i="13"/>
  <c r="J61" i="13"/>
  <c r="H61" i="13"/>
  <c r="F61" i="13"/>
  <c r="W60" i="13"/>
  <c r="N60" i="13" s="1"/>
  <c r="V60" i="13"/>
  <c r="O60" i="13"/>
  <c r="K60" i="13"/>
  <c r="J60" i="13"/>
  <c r="P60" i="13" s="1"/>
  <c r="H60" i="13"/>
  <c r="F60" i="13"/>
  <c r="AF59" i="13"/>
  <c r="W59" i="13"/>
  <c r="N59" i="13" s="1"/>
  <c r="K59" i="13"/>
  <c r="J59" i="13"/>
  <c r="P59" i="13" s="1"/>
  <c r="H59" i="13"/>
  <c r="F59" i="13"/>
  <c r="AE58" i="13"/>
  <c r="H21" i="12" s="1"/>
  <c r="AD58" i="13"/>
  <c r="AA58" i="13"/>
  <c r="Z58" i="13"/>
  <c r="M58" i="13"/>
  <c r="H22" i="12" s="1"/>
  <c r="J58" i="13"/>
  <c r="P58" i="13" s="1"/>
  <c r="W57" i="13"/>
  <c r="W56" i="13"/>
  <c r="W55" i="13"/>
  <c r="W54" i="13"/>
  <c r="AG53" i="13"/>
  <c r="AF53" i="13"/>
  <c r="W53" i="13"/>
  <c r="W52" i="13"/>
  <c r="V52" i="13"/>
  <c r="N52" i="13"/>
  <c r="K52" i="13"/>
  <c r="K58" i="13" s="1"/>
  <c r="J52" i="13"/>
  <c r="P52" i="13" s="1"/>
  <c r="H52" i="13"/>
  <c r="F52" i="13"/>
  <c r="W51" i="13"/>
  <c r="V51" i="13"/>
  <c r="N51" i="13"/>
  <c r="K51" i="13"/>
  <c r="L51" i="13" s="1"/>
  <c r="J51" i="13"/>
  <c r="P51" i="13" s="1"/>
  <c r="H51" i="13"/>
  <c r="F51" i="13"/>
  <c r="W50" i="13"/>
  <c r="V50" i="13"/>
  <c r="N50" i="13"/>
  <c r="K50" i="13"/>
  <c r="J50" i="13"/>
  <c r="H50" i="13"/>
  <c r="F50" i="13"/>
  <c r="W49" i="13"/>
  <c r="P49" i="13"/>
  <c r="N49" i="13"/>
  <c r="L49" i="13"/>
  <c r="K49" i="13"/>
  <c r="J49" i="13"/>
  <c r="F49" i="13"/>
  <c r="H49" i="13" s="1"/>
  <c r="AE48" i="13"/>
  <c r="G21" i="12" s="1"/>
  <c r="AD48" i="13"/>
  <c r="AA48" i="13"/>
  <c r="G19" i="12" s="1"/>
  <c r="Z48" i="13"/>
  <c r="W48" i="13"/>
  <c r="M48" i="13"/>
  <c r="K48" i="13"/>
  <c r="W47" i="13"/>
  <c r="H47" i="13"/>
  <c r="W46" i="13"/>
  <c r="W45" i="13"/>
  <c r="W44" i="13"/>
  <c r="W43" i="13"/>
  <c r="W42" i="13"/>
  <c r="AG41" i="13"/>
  <c r="AF41" i="13"/>
  <c r="W41" i="13"/>
  <c r="AG40" i="13"/>
  <c r="W40" i="13"/>
  <c r="V40" i="13"/>
  <c r="N40" i="13"/>
  <c r="O40" i="13" s="1"/>
  <c r="Q40" i="13" s="1"/>
  <c r="L40" i="13"/>
  <c r="K40" i="13"/>
  <c r="J40" i="13"/>
  <c r="P40" i="13" s="1"/>
  <c r="F40" i="13"/>
  <c r="H40" i="13" s="1"/>
  <c r="AG39" i="13"/>
  <c r="AF39" i="13"/>
  <c r="W39" i="13"/>
  <c r="V39" i="13"/>
  <c r="P39" i="13"/>
  <c r="N39" i="13"/>
  <c r="O39" i="13" s="1"/>
  <c r="L39" i="13"/>
  <c r="K39" i="13"/>
  <c r="J39" i="13"/>
  <c r="F39" i="13"/>
  <c r="H39" i="13" s="1"/>
  <c r="AG38" i="13"/>
  <c r="W38" i="13"/>
  <c r="O38" i="13"/>
  <c r="N38" i="13"/>
  <c r="N48" i="13" s="1"/>
  <c r="K38" i="13"/>
  <c r="J38" i="13"/>
  <c r="H38" i="13"/>
  <c r="F38" i="13"/>
  <c r="AE37" i="13"/>
  <c r="F21" i="12" s="1"/>
  <c r="AD37" i="13"/>
  <c r="AA37" i="13"/>
  <c r="F19" i="12" s="1"/>
  <c r="Z37" i="13"/>
  <c r="M37" i="13"/>
  <c r="W36" i="13"/>
  <c r="H36" i="13"/>
  <c r="W35" i="13"/>
  <c r="W34" i="13"/>
  <c r="W33" i="13"/>
  <c r="W32" i="13"/>
  <c r="W31" i="13"/>
  <c r="V31" i="13"/>
  <c r="O31" i="13"/>
  <c r="N31" i="13"/>
  <c r="L31" i="13"/>
  <c r="J31" i="13"/>
  <c r="P31" i="13" s="1"/>
  <c r="H31" i="13"/>
  <c r="F31" i="13"/>
  <c r="W30" i="13"/>
  <c r="V30" i="13"/>
  <c r="P30" i="13"/>
  <c r="N30" i="13"/>
  <c r="L30" i="13"/>
  <c r="K30" i="13"/>
  <c r="K37" i="13" s="1"/>
  <c r="J30" i="13"/>
  <c r="H30" i="13"/>
  <c r="F30" i="13"/>
  <c r="W29" i="13"/>
  <c r="V29" i="13"/>
  <c r="P29" i="13"/>
  <c r="N29" i="13"/>
  <c r="O29" i="13" s="1"/>
  <c r="L29" i="13"/>
  <c r="J29" i="13"/>
  <c r="H29" i="13"/>
  <c r="F29" i="13"/>
  <c r="W28" i="13"/>
  <c r="V28" i="13"/>
  <c r="P28" i="13"/>
  <c r="N28" i="13"/>
  <c r="L28" i="13"/>
  <c r="K28" i="13"/>
  <c r="J28" i="13"/>
  <c r="F28" i="13"/>
  <c r="H28" i="13" s="1"/>
  <c r="W27" i="13"/>
  <c r="N27" i="13" s="1"/>
  <c r="O27" i="13" s="1"/>
  <c r="K27" i="13"/>
  <c r="J27" i="13"/>
  <c r="H27" i="13"/>
  <c r="F27" i="13"/>
  <c r="AE26" i="13"/>
  <c r="AD26" i="13"/>
  <c r="AA26" i="13"/>
  <c r="E19" i="12" s="1"/>
  <c r="Z26" i="13"/>
  <c r="M26" i="13"/>
  <c r="K26" i="13"/>
  <c r="W25" i="13"/>
  <c r="H25" i="13"/>
  <c r="W24" i="13"/>
  <c r="H24" i="13"/>
  <c r="W23" i="13"/>
  <c r="W21" i="13"/>
  <c r="W20" i="13"/>
  <c r="V20" i="13"/>
  <c r="R20" i="13"/>
  <c r="Q20" i="13"/>
  <c r="P20" i="13"/>
  <c r="O20" i="13"/>
  <c r="N20" i="13"/>
  <c r="L20" i="13"/>
  <c r="K20" i="13"/>
  <c r="J20" i="13"/>
  <c r="H20" i="13"/>
  <c r="F20" i="13"/>
  <c r="W19" i="13"/>
  <c r="N19" i="13" s="1"/>
  <c r="V19" i="13"/>
  <c r="K19" i="13"/>
  <c r="J19" i="13"/>
  <c r="P19" i="13" s="1"/>
  <c r="H19" i="13"/>
  <c r="F19" i="13"/>
  <c r="W18" i="13"/>
  <c r="N18" i="13" s="1"/>
  <c r="V18" i="13"/>
  <c r="K18" i="13"/>
  <c r="J18" i="13"/>
  <c r="P18" i="13" s="1"/>
  <c r="H18" i="13"/>
  <c r="F18" i="13"/>
  <c r="W17" i="13"/>
  <c r="V17" i="13"/>
  <c r="P17" i="13"/>
  <c r="N17" i="13"/>
  <c r="L17" i="13"/>
  <c r="K17" i="13"/>
  <c r="J17" i="13"/>
  <c r="H17" i="13"/>
  <c r="F17" i="13"/>
  <c r="W16" i="13"/>
  <c r="P16" i="13"/>
  <c r="N16" i="13"/>
  <c r="L16" i="13"/>
  <c r="K16" i="13"/>
  <c r="J16" i="13"/>
  <c r="H16" i="13"/>
  <c r="F16" i="13"/>
  <c r="AE15" i="13"/>
  <c r="AD15" i="13"/>
  <c r="AA15" i="13"/>
  <c r="Z15" i="13"/>
  <c r="M15" i="13"/>
  <c r="W14" i="13"/>
  <c r="W13" i="13"/>
  <c r="W12" i="13"/>
  <c r="AG11" i="13"/>
  <c r="AF11" i="13"/>
  <c r="W11" i="13"/>
  <c r="AG10" i="13"/>
  <c r="AF10" i="13"/>
  <c r="W10" i="13"/>
  <c r="AG9" i="13"/>
  <c r="AF9" i="13"/>
  <c r="W9" i="13"/>
  <c r="W8" i="13"/>
  <c r="N8" i="13" s="1"/>
  <c r="O8" i="13" s="1"/>
  <c r="V8" i="13"/>
  <c r="P8" i="13"/>
  <c r="K8" i="13"/>
  <c r="J8" i="13"/>
  <c r="F8" i="13"/>
  <c r="H8" i="13" s="1"/>
  <c r="W7" i="13"/>
  <c r="V7" i="13"/>
  <c r="N7" i="13"/>
  <c r="K7" i="13"/>
  <c r="J7" i="13"/>
  <c r="P7" i="13" s="1"/>
  <c r="H7" i="13"/>
  <c r="F7" i="13"/>
  <c r="W6" i="13"/>
  <c r="V6" i="13"/>
  <c r="P6" i="13"/>
  <c r="N6" i="13"/>
  <c r="K6" i="13"/>
  <c r="J6" i="13"/>
  <c r="L6" i="13" s="1"/>
  <c r="H6" i="13"/>
  <c r="F6" i="13"/>
  <c r="W5" i="13"/>
  <c r="O5" i="13"/>
  <c r="N5" i="13"/>
  <c r="K5" i="13"/>
  <c r="J5" i="13"/>
  <c r="J15" i="13" s="1"/>
  <c r="P15" i="13" s="1"/>
  <c r="H5" i="13"/>
  <c r="F5" i="13"/>
  <c r="I2" i="13"/>
  <c r="E1" i="13"/>
  <c r="G3" i="12" s="1"/>
  <c r="J22" i="12"/>
  <c r="I22" i="12"/>
  <c r="G22" i="12"/>
  <c r="F22" i="12"/>
  <c r="D22" i="12"/>
  <c r="J21" i="12"/>
  <c r="E21" i="12"/>
  <c r="J20" i="12"/>
  <c r="H20" i="12"/>
  <c r="G20" i="12"/>
  <c r="F20" i="12"/>
  <c r="E20" i="12"/>
  <c r="D20" i="12"/>
  <c r="J19" i="12"/>
  <c r="H19" i="12"/>
  <c r="H18" i="12"/>
  <c r="G18" i="12"/>
  <c r="F18" i="12"/>
  <c r="E18" i="12"/>
  <c r="J16" i="12"/>
  <c r="I16" i="12"/>
  <c r="H16" i="12"/>
  <c r="G16" i="12"/>
  <c r="F16" i="12"/>
  <c r="E16" i="12"/>
  <c r="D16" i="12"/>
  <c r="D3" i="12"/>
  <c r="AE79" i="73"/>
  <c r="J21" i="72" s="1"/>
  <c r="AD79" i="73"/>
  <c r="AA79" i="73"/>
  <c r="Z79" i="73"/>
  <c r="O79" i="73"/>
  <c r="M79" i="73"/>
  <c r="J22" i="72" s="1"/>
  <c r="W78" i="73"/>
  <c r="H78" i="73"/>
  <c r="W77" i="73"/>
  <c r="H77" i="73"/>
  <c r="W76" i="73"/>
  <c r="W75" i="73"/>
  <c r="W74" i="73"/>
  <c r="W73" i="73"/>
  <c r="W72" i="73"/>
  <c r="W71" i="73"/>
  <c r="N71" i="73" s="1"/>
  <c r="N79" i="73" s="1"/>
  <c r="V71" i="73"/>
  <c r="O71" i="73"/>
  <c r="K71" i="73"/>
  <c r="J71" i="73"/>
  <c r="P71" i="73" s="1"/>
  <c r="F71" i="73"/>
  <c r="H71" i="73" s="1"/>
  <c r="AG70" i="73"/>
  <c r="AF70" i="73"/>
  <c r="W70" i="73"/>
  <c r="O70" i="73"/>
  <c r="N70" i="73"/>
  <c r="K70" i="73"/>
  <c r="J70" i="73"/>
  <c r="F70" i="73"/>
  <c r="H70" i="73" s="1"/>
  <c r="AE69" i="73"/>
  <c r="AD69" i="73"/>
  <c r="AA69" i="73"/>
  <c r="Z69" i="73"/>
  <c r="M69" i="73"/>
  <c r="K69" i="73"/>
  <c r="W68" i="73"/>
  <c r="H68" i="73"/>
  <c r="W67" i="73"/>
  <c r="W66" i="73"/>
  <c r="W65" i="73"/>
  <c r="W64" i="73"/>
  <c r="W63" i="73"/>
  <c r="AG62" i="73"/>
  <c r="AF62" i="73"/>
  <c r="W62" i="73"/>
  <c r="AG61" i="73"/>
  <c r="W61" i="73"/>
  <c r="V61" i="73"/>
  <c r="N61" i="73"/>
  <c r="O61" i="73" s="1"/>
  <c r="K61" i="73"/>
  <c r="L61" i="73" s="1"/>
  <c r="R61" i="73" s="1"/>
  <c r="J61" i="73"/>
  <c r="P61" i="73" s="1"/>
  <c r="H61" i="73"/>
  <c r="F61" i="73"/>
  <c r="W60" i="73"/>
  <c r="V60" i="73"/>
  <c r="N60" i="73"/>
  <c r="O60" i="73" s="1"/>
  <c r="K60" i="73"/>
  <c r="L60" i="73" s="1"/>
  <c r="J60" i="73"/>
  <c r="P60" i="73" s="1"/>
  <c r="H60" i="73"/>
  <c r="F60" i="73"/>
  <c r="W59" i="73"/>
  <c r="N59" i="73" s="1"/>
  <c r="P59" i="73"/>
  <c r="K59" i="73"/>
  <c r="J59" i="73"/>
  <c r="L59" i="73" s="1"/>
  <c r="F59" i="73"/>
  <c r="H59" i="73" s="1"/>
  <c r="AE58" i="73"/>
  <c r="H21" i="72" s="1"/>
  <c r="AD58" i="73"/>
  <c r="AA58" i="73"/>
  <c r="H19" i="72" s="1"/>
  <c r="Z58" i="73"/>
  <c r="M58" i="73"/>
  <c r="W57" i="73"/>
  <c r="W56" i="73"/>
  <c r="W55" i="73"/>
  <c r="W54" i="73"/>
  <c r="AG53" i="73"/>
  <c r="AF53" i="73"/>
  <c r="W53" i="73"/>
  <c r="W52" i="73"/>
  <c r="V52" i="73"/>
  <c r="N52" i="73"/>
  <c r="K52" i="73"/>
  <c r="J52" i="73"/>
  <c r="H52" i="73"/>
  <c r="F52" i="73"/>
  <c r="W51" i="73"/>
  <c r="N51" i="73" s="1"/>
  <c r="O51" i="73" s="1"/>
  <c r="V51" i="73"/>
  <c r="K51" i="73"/>
  <c r="J51" i="73"/>
  <c r="P51" i="73" s="1"/>
  <c r="F51" i="73"/>
  <c r="H51" i="73" s="1"/>
  <c r="W50" i="73"/>
  <c r="V50" i="73"/>
  <c r="N50" i="73"/>
  <c r="K50" i="73"/>
  <c r="L50" i="73" s="1"/>
  <c r="J50" i="73"/>
  <c r="P50" i="73" s="1"/>
  <c r="F50" i="73"/>
  <c r="H50" i="73" s="1"/>
  <c r="W49" i="73"/>
  <c r="N49" i="73"/>
  <c r="K49" i="73"/>
  <c r="J49" i="73"/>
  <c r="P49" i="73" s="1"/>
  <c r="H49" i="73"/>
  <c r="F49" i="73"/>
  <c r="AE48" i="73"/>
  <c r="AD48" i="73"/>
  <c r="G20" i="72" s="1"/>
  <c r="AA48" i="73"/>
  <c r="G19" i="72" s="1"/>
  <c r="Z48" i="73"/>
  <c r="W48" i="73"/>
  <c r="M48" i="73"/>
  <c r="W47" i="73"/>
  <c r="H47" i="73"/>
  <c r="W46" i="73"/>
  <c r="W45" i="73"/>
  <c r="W44" i="73"/>
  <c r="W43" i="73"/>
  <c r="W42" i="73"/>
  <c r="W41" i="73"/>
  <c r="V41" i="73"/>
  <c r="N41" i="73"/>
  <c r="K41" i="73"/>
  <c r="J41" i="73"/>
  <c r="P41" i="73" s="1"/>
  <c r="H41" i="73"/>
  <c r="F41" i="73"/>
  <c r="W40" i="73"/>
  <c r="V40" i="73"/>
  <c r="P40" i="73"/>
  <c r="N40" i="73"/>
  <c r="L40" i="73"/>
  <c r="K40" i="73"/>
  <c r="J40" i="73"/>
  <c r="F40" i="73"/>
  <c r="H40" i="73" s="1"/>
  <c r="W39" i="73"/>
  <c r="V39" i="73"/>
  <c r="N39" i="73"/>
  <c r="K39" i="73"/>
  <c r="J39" i="73"/>
  <c r="H39" i="73"/>
  <c r="F39" i="73"/>
  <c r="W38" i="73"/>
  <c r="N38" i="73"/>
  <c r="K38" i="73"/>
  <c r="J38" i="73"/>
  <c r="H38" i="73"/>
  <c r="F38" i="73"/>
  <c r="AE37" i="73"/>
  <c r="F21" i="72" s="1"/>
  <c r="AD37" i="73"/>
  <c r="F20" i="72" s="1"/>
  <c r="AA37" i="73"/>
  <c r="Z37" i="73"/>
  <c r="M37" i="73"/>
  <c r="W36" i="73"/>
  <c r="W35" i="73"/>
  <c r="W34" i="73"/>
  <c r="V34" i="73"/>
  <c r="O34" i="73"/>
  <c r="N34" i="73"/>
  <c r="K34" i="73"/>
  <c r="J34" i="73"/>
  <c r="H34" i="73"/>
  <c r="F34" i="73"/>
  <c r="W33" i="73"/>
  <c r="V33" i="73"/>
  <c r="P33" i="73"/>
  <c r="O33" i="73"/>
  <c r="R33" i="73" s="1"/>
  <c r="N33" i="73"/>
  <c r="J33" i="73"/>
  <c r="L33" i="73" s="1"/>
  <c r="F33" i="73"/>
  <c r="H33" i="73" s="1"/>
  <c r="W32" i="73"/>
  <c r="V32" i="73"/>
  <c r="R32" i="73"/>
  <c r="Q32" i="73"/>
  <c r="P32" i="73"/>
  <c r="N32" i="73"/>
  <c r="O32" i="73" s="1"/>
  <c r="K32" i="73"/>
  <c r="J32" i="73"/>
  <c r="L32" i="73" s="1"/>
  <c r="F32" i="73"/>
  <c r="H32" i="73" s="1"/>
  <c r="W31" i="73"/>
  <c r="N31" i="73" s="1"/>
  <c r="V31" i="73"/>
  <c r="P31" i="73"/>
  <c r="L31" i="73"/>
  <c r="J31" i="73"/>
  <c r="H31" i="73"/>
  <c r="F31" i="73"/>
  <c r="W30" i="73"/>
  <c r="N30" i="73" s="1"/>
  <c r="V30" i="73"/>
  <c r="P30" i="73"/>
  <c r="L30" i="73"/>
  <c r="J30" i="73"/>
  <c r="H30" i="73"/>
  <c r="F30" i="73"/>
  <c r="W29" i="73"/>
  <c r="N29" i="73" s="1"/>
  <c r="O29" i="73" s="1"/>
  <c r="V29" i="73"/>
  <c r="P29" i="73"/>
  <c r="L29" i="73"/>
  <c r="K29" i="73"/>
  <c r="J29" i="73"/>
  <c r="F29" i="73"/>
  <c r="H29" i="73" s="1"/>
  <c r="W28" i="73"/>
  <c r="N28" i="73" s="1"/>
  <c r="O28" i="73" s="1"/>
  <c r="V28" i="73"/>
  <c r="K28" i="73"/>
  <c r="J28" i="73"/>
  <c r="P28" i="73" s="1"/>
  <c r="F28" i="73"/>
  <c r="H28" i="73" s="1"/>
  <c r="W27" i="73"/>
  <c r="N27" i="73" s="1"/>
  <c r="K27" i="73"/>
  <c r="J27" i="73"/>
  <c r="P27" i="73" s="1"/>
  <c r="F27" i="73"/>
  <c r="H27" i="73" s="1"/>
  <c r="AE26" i="73"/>
  <c r="E21" i="72" s="1"/>
  <c r="AD26" i="73"/>
  <c r="AA26" i="73"/>
  <c r="Z26" i="73"/>
  <c r="M26" i="73"/>
  <c r="E22" i="72" s="1"/>
  <c r="W25" i="73"/>
  <c r="H25" i="73"/>
  <c r="W24" i="73"/>
  <c r="H24" i="73"/>
  <c r="W23" i="73"/>
  <c r="W21" i="73"/>
  <c r="W20" i="73"/>
  <c r="N20" i="73" s="1"/>
  <c r="O20" i="73" s="1"/>
  <c r="V20" i="73"/>
  <c r="K20" i="73"/>
  <c r="J20" i="73"/>
  <c r="P20" i="73" s="1"/>
  <c r="H20" i="73"/>
  <c r="F20" i="73"/>
  <c r="W19" i="73"/>
  <c r="N19" i="73" s="1"/>
  <c r="V19" i="73"/>
  <c r="K19" i="73"/>
  <c r="L19" i="73" s="1"/>
  <c r="J19" i="73"/>
  <c r="P19" i="73" s="1"/>
  <c r="H19" i="73"/>
  <c r="F19" i="73"/>
  <c r="AF18" i="73"/>
  <c r="W18" i="73"/>
  <c r="N18" i="73" s="1"/>
  <c r="AG18" i="73" s="1"/>
  <c r="V18" i="73"/>
  <c r="P18" i="73"/>
  <c r="O18" i="73"/>
  <c r="K18" i="73"/>
  <c r="K26" i="73" s="1"/>
  <c r="J18" i="73"/>
  <c r="J26" i="73" s="1"/>
  <c r="P26" i="73" s="1"/>
  <c r="H18" i="73"/>
  <c r="F18" i="73"/>
  <c r="AF17" i="73"/>
  <c r="W17" i="73"/>
  <c r="V17" i="73"/>
  <c r="R17" i="73"/>
  <c r="Q17" i="73"/>
  <c r="P17" i="73"/>
  <c r="O17" i="73"/>
  <c r="N17" i="73"/>
  <c r="AG17" i="73" s="1"/>
  <c r="L17" i="73"/>
  <c r="K17" i="73"/>
  <c r="J17" i="73"/>
  <c r="F17" i="73"/>
  <c r="H17" i="73" s="1"/>
  <c r="W16" i="73"/>
  <c r="N16" i="73" s="1"/>
  <c r="AF16" i="73" s="1"/>
  <c r="P16" i="73"/>
  <c r="L16" i="73"/>
  <c r="K16" i="73"/>
  <c r="J16" i="73"/>
  <c r="F16" i="73"/>
  <c r="H16" i="73" s="1"/>
  <c r="AE15" i="73"/>
  <c r="AD15" i="73"/>
  <c r="AA15" i="73"/>
  <c r="Z15" i="73"/>
  <c r="M15" i="73"/>
  <c r="J15" i="73"/>
  <c r="P15" i="73" s="1"/>
  <c r="W14" i="73"/>
  <c r="W13" i="73"/>
  <c r="W12" i="73"/>
  <c r="AG11" i="73"/>
  <c r="AF11" i="73"/>
  <c r="W11" i="73"/>
  <c r="AG10" i="73"/>
  <c r="AF10" i="73"/>
  <c r="W10" i="73"/>
  <c r="AG9" i="73"/>
  <c r="AF9" i="73"/>
  <c r="W9" i="73"/>
  <c r="W8" i="73"/>
  <c r="V8" i="73"/>
  <c r="N8" i="73"/>
  <c r="K8" i="73"/>
  <c r="J8" i="73"/>
  <c r="P8" i="73" s="1"/>
  <c r="F8" i="73"/>
  <c r="H8" i="73" s="1"/>
  <c r="W7" i="73"/>
  <c r="V7" i="73"/>
  <c r="P7" i="73"/>
  <c r="N7" i="73"/>
  <c r="K7" i="73"/>
  <c r="J7" i="73"/>
  <c r="L7" i="73" s="1"/>
  <c r="F7" i="73"/>
  <c r="H7" i="73" s="1"/>
  <c r="AG6" i="73"/>
  <c r="AF6" i="73"/>
  <c r="W6" i="73"/>
  <c r="V6" i="73"/>
  <c r="R6" i="73"/>
  <c r="Q6" i="73"/>
  <c r="P6" i="73"/>
  <c r="O6" i="73"/>
  <c r="N6" i="73"/>
  <c r="K6" i="73"/>
  <c r="L6" i="73" s="1"/>
  <c r="J6" i="73"/>
  <c r="F6" i="73"/>
  <c r="H6" i="73" s="1"/>
  <c r="W5" i="73"/>
  <c r="N5" i="73" s="1"/>
  <c r="P5" i="73"/>
  <c r="K5" i="73"/>
  <c r="J5" i="73"/>
  <c r="F5" i="73"/>
  <c r="H5" i="73" s="1"/>
  <c r="I2" i="73"/>
  <c r="E1" i="73"/>
  <c r="I22" i="72"/>
  <c r="H22" i="72"/>
  <c r="G22" i="72"/>
  <c r="F22" i="72"/>
  <c r="D22" i="72"/>
  <c r="I21" i="72"/>
  <c r="G21" i="72"/>
  <c r="D21" i="72"/>
  <c r="J20" i="72"/>
  <c r="I20" i="72"/>
  <c r="H20" i="72"/>
  <c r="E20" i="72"/>
  <c r="J19" i="72"/>
  <c r="I19" i="72"/>
  <c r="F19" i="72"/>
  <c r="E19" i="72"/>
  <c r="D19" i="72"/>
  <c r="M6" i="72" s="1"/>
  <c r="J18" i="72"/>
  <c r="I18" i="72"/>
  <c r="H18" i="72"/>
  <c r="G18" i="72"/>
  <c r="F18" i="72"/>
  <c r="E18" i="72"/>
  <c r="J16" i="72"/>
  <c r="I16" i="72"/>
  <c r="H16" i="72"/>
  <c r="G16" i="72"/>
  <c r="F16" i="72"/>
  <c r="E16" i="72"/>
  <c r="D16" i="72"/>
  <c r="O8" i="72"/>
  <c r="N8" i="72"/>
  <c r="M8" i="72"/>
  <c r="L8" i="72"/>
  <c r="O7" i="72"/>
  <c r="N7" i="72"/>
  <c r="M7" i="72"/>
  <c r="L7" i="72"/>
  <c r="G3" i="72"/>
  <c r="AE79" i="71"/>
  <c r="J21" i="70" s="1"/>
  <c r="AD79" i="71"/>
  <c r="J20" i="70" s="1"/>
  <c r="AA79" i="71"/>
  <c r="Z79" i="71"/>
  <c r="M79" i="71"/>
  <c r="K79" i="71"/>
  <c r="J79" i="71"/>
  <c r="P79" i="71" s="1"/>
  <c r="W78" i="71"/>
  <c r="H78" i="71"/>
  <c r="W77" i="71"/>
  <c r="H77" i="71"/>
  <c r="W76" i="71"/>
  <c r="W75" i="71"/>
  <c r="W74" i="71"/>
  <c r="W73" i="71"/>
  <c r="V73" i="71"/>
  <c r="P73" i="71"/>
  <c r="N73" i="71"/>
  <c r="O73" i="71" s="1"/>
  <c r="L73" i="71"/>
  <c r="K73" i="71"/>
  <c r="J73" i="71"/>
  <c r="H73" i="71"/>
  <c r="F73" i="71"/>
  <c r="W72" i="71"/>
  <c r="V72" i="71"/>
  <c r="P72" i="71"/>
  <c r="N72" i="71"/>
  <c r="O72" i="71" s="1"/>
  <c r="L72" i="71"/>
  <c r="K72" i="71"/>
  <c r="J72" i="71"/>
  <c r="H72" i="71"/>
  <c r="F72" i="71"/>
  <c r="W71" i="71"/>
  <c r="V71" i="71"/>
  <c r="P71" i="71"/>
  <c r="N71" i="71"/>
  <c r="O71" i="71" s="1"/>
  <c r="L71" i="71"/>
  <c r="K71" i="71"/>
  <c r="J71" i="71"/>
  <c r="H71" i="71"/>
  <c r="F71" i="71"/>
  <c r="W70" i="71"/>
  <c r="N70" i="71" s="1"/>
  <c r="AF70" i="71" s="1"/>
  <c r="P70" i="71"/>
  <c r="O70" i="71"/>
  <c r="L70" i="71"/>
  <c r="K70" i="71"/>
  <c r="J70" i="71"/>
  <c r="H70" i="71"/>
  <c r="F70" i="71"/>
  <c r="AE69" i="71"/>
  <c r="I21" i="70" s="1"/>
  <c r="AD69" i="71"/>
  <c r="I20" i="70" s="1"/>
  <c r="AA69" i="71"/>
  <c r="I19" i="70" s="1"/>
  <c r="Z69" i="71"/>
  <c r="I18" i="70" s="1"/>
  <c r="M69" i="71"/>
  <c r="W68" i="71"/>
  <c r="H68" i="71"/>
  <c r="W67" i="71"/>
  <c r="W66" i="71"/>
  <c r="W65" i="71"/>
  <c r="W64" i="71"/>
  <c r="W63" i="71"/>
  <c r="V63" i="71"/>
  <c r="R63" i="71"/>
  <c r="P63" i="71"/>
  <c r="N63" i="71"/>
  <c r="O63" i="71" s="1"/>
  <c r="Q63" i="71" s="1"/>
  <c r="K63" i="71"/>
  <c r="J63" i="71"/>
  <c r="L63" i="71" s="1"/>
  <c r="H63" i="71"/>
  <c r="F63" i="71"/>
  <c r="W62" i="71"/>
  <c r="V62" i="71"/>
  <c r="R62" i="71"/>
  <c r="Q62" i="71"/>
  <c r="P62" i="71"/>
  <c r="O62" i="71"/>
  <c r="N62" i="71"/>
  <c r="L62" i="71"/>
  <c r="K62" i="71"/>
  <c r="J62" i="71"/>
  <c r="F62" i="71"/>
  <c r="H62" i="71" s="1"/>
  <c r="W61" i="71"/>
  <c r="V61" i="71"/>
  <c r="P61" i="71"/>
  <c r="N61" i="71"/>
  <c r="K61" i="71"/>
  <c r="J61" i="71"/>
  <c r="L61" i="71" s="1"/>
  <c r="H61" i="71"/>
  <c r="F61" i="71"/>
  <c r="W60" i="71"/>
  <c r="N60" i="71" s="1"/>
  <c r="V60" i="71"/>
  <c r="P60" i="71"/>
  <c r="L60" i="71"/>
  <c r="K60" i="71"/>
  <c r="J60" i="71"/>
  <c r="J69" i="71" s="1"/>
  <c r="H60" i="71"/>
  <c r="F60" i="71"/>
  <c r="W59" i="71"/>
  <c r="P59" i="71"/>
  <c r="N59" i="71"/>
  <c r="K59" i="71"/>
  <c r="K69" i="71" s="1"/>
  <c r="J59" i="71"/>
  <c r="F59" i="71"/>
  <c r="H59" i="71" s="1"/>
  <c r="AE58" i="71"/>
  <c r="AD58" i="71"/>
  <c r="AA58" i="71"/>
  <c r="Z58" i="71"/>
  <c r="H18" i="70" s="1"/>
  <c r="M58" i="71"/>
  <c r="H22" i="70" s="1"/>
  <c r="W57" i="71"/>
  <c r="W56" i="71"/>
  <c r="W55" i="71"/>
  <c r="W54" i="71"/>
  <c r="AG53" i="71"/>
  <c r="AF53" i="71"/>
  <c r="W53" i="71"/>
  <c r="W52" i="71"/>
  <c r="V52" i="71"/>
  <c r="P52" i="71"/>
  <c r="O52" i="71"/>
  <c r="N52" i="71"/>
  <c r="K52" i="71"/>
  <c r="L52" i="71" s="1"/>
  <c r="J52" i="71"/>
  <c r="F52" i="71"/>
  <c r="H52" i="71" s="1"/>
  <c r="W51" i="71"/>
  <c r="V51" i="71"/>
  <c r="R51" i="71"/>
  <c r="Q51" i="71"/>
  <c r="P51" i="71"/>
  <c r="O51" i="71"/>
  <c r="N51" i="71"/>
  <c r="K51" i="71"/>
  <c r="L51" i="71" s="1"/>
  <c r="J51" i="71"/>
  <c r="H51" i="71"/>
  <c r="F51" i="71"/>
  <c r="W50" i="71"/>
  <c r="V50" i="71"/>
  <c r="P50" i="71"/>
  <c r="O50" i="71"/>
  <c r="N50" i="71"/>
  <c r="K50" i="71"/>
  <c r="K58" i="71" s="1"/>
  <c r="J50" i="71"/>
  <c r="H50" i="71"/>
  <c r="F50" i="71"/>
  <c r="W49" i="71"/>
  <c r="N49" i="71" s="1"/>
  <c r="P49" i="71"/>
  <c r="K49" i="71"/>
  <c r="J49" i="71"/>
  <c r="F49" i="71"/>
  <c r="H49" i="71" s="1"/>
  <c r="AE48" i="71"/>
  <c r="G21" i="70" s="1"/>
  <c r="AD48" i="71"/>
  <c r="G20" i="70" s="1"/>
  <c r="AA48" i="71"/>
  <c r="Z48" i="71"/>
  <c r="G18" i="70" s="1"/>
  <c r="W48" i="71"/>
  <c r="M48" i="71"/>
  <c r="G22" i="70" s="1"/>
  <c r="K48" i="71"/>
  <c r="W47" i="71"/>
  <c r="H47" i="71"/>
  <c r="W46" i="71"/>
  <c r="W45" i="71"/>
  <c r="W44" i="71"/>
  <c r="W43" i="71"/>
  <c r="W42" i="71"/>
  <c r="AG41" i="71"/>
  <c r="AF41" i="71"/>
  <c r="W41" i="71"/>
  <c r="W40" i="71"/>
  <c r="N40" i="71" s="1"/>
  <c r="V40" i="71"/>
  <c r="L40" i="71"/>
  <c r="K40" i="71"/>
  <c r="J40" i="71"/>
  <c r="P40" i="71" s="1"/>
  <c r="F40" i="71"/>
  <c r="H40" i="71" s="1"/>
  <c r="W39" i="71"/>
  <c r="V39" i="71"/>
  <c r="P39" i="71"/>
  <c r="N39" i="71"/>
  <c r="K39" i="71"/>
  <c r="J39" i="71"/>
  <c r="L39" i="71" s="1"/>
  <c r="F39" i="71"/>
  <c r="H39" i="71" s="1"/>
  <c r="W38" i="71"/>
  <c r="N38" i="71" s="1"/>
  <c r="O38" i="71"/>
  <c r="K38" i="71"/>
  <c r="J38" i="71"/>
  <c r="H38" i="71"/>
  <c r="F38" i="71"/>
  <c r="AE37" i="71"/>
  <c r="F21" i="70" s="1"/>
  <c r="AD37" i="71"/>
  <c r="AA37" i="71"/>
  <c r="F19" i="70" s="1"/>
  <c r="Z37" i="71"/>
  <c r="F18" i="70" s="1"/>
  <c r="M37" i="71"/>
  <c r="K37" i="71"/>
  <c r="W36" i="71"/>
  <c r="W35" i="71"/>
  <c r="W34" i="71"/>
  <c r="W33" i="71"/>
  <c r="W32" i="71"/>
  <c r="V32" i="71"/>
  <c r="O32" i="71"/>
  <c r="N32" i="71"/>
  <c r="K32" i="71"/>
  <c r="L32" i="71" s="1"/>
  <c r="J32" i="71"/>
  <c r="P32" i="71" s="1"/>
  <c r="H32" i="71"/>
  <c r="F32" i="71"/>
  <c r="W31" i="71"/>
  <c r="V31" i="71"/>
  <c r="N31" i="71"/>
  <c r="L31" i="71"/>
  <c r="J31" i="71"/>
  <c r="P31" i="71" s="1"/>
  <c r="H31" i="71"/>
  <c r="F31" i="71"/>
  <c r="W30" i="71"/>
  <c r="V30" i="71"/>
  <c r="P30" i="71"/>
  <c r="O30" i="71"/>
  <c r="N30" i="71"/>
  <c r="L30" i="71"/>
  <c r="J30" i="71"/>
  <c r="H30" i="71"/>
  <c r="F30" i="71"/>
  <c r="W29" i="71"/>
  <c r="V29" i="71"/>
  <c r="N29" i="71"/>
  <c r="K29" i="71"/>
  <c r="L29" i="71" s="1"/>
  <c r="J29" i="71"/>
  <c r="P29" i="71" s="1"/>
  <c r="H29" i="71"/>
  <c r="F29" i="71"/>
  <c r="W28" i="71"/>
  <c r="V28" i="71"/>
  <c r="P28" i="71"/>
  <c r="N28" i="71"/>
  <c r="K28" i="71"/>
  <c r="L28" i="71" s="1"/>
  <c r="L37" i="71" s="1"/>
  <c r="F13" i="70" s="1"/>
  <c r="J28" i="71"/>
  <c r="F28" i="71"/>
  <c r="H28" i="71" s="1"/>
  <c r="W27" i="71"/>
  <c r="N27" i="71" s="1"/>
  <c r="O27" i="71"/>
  <c r="K27" i="71"/>
  <c r="L27" i="71" s="1"/>
  <c r="J27" i="71"/>
  <c r="H27" i="71"/>
  <c r="F27" i="71"/>
  <c r="AE26" i="71"/>
  <c r="E21" i="70" s="1"/>
  <c r="AD26" i="71"/>
  <c r="E20" i="70" s="1"/>
  <c r="AA26" i="71"/>
  <c r="E19" i="70" s="1"/>
  <c r="Z26" i="71"/>
  <c r="M26" i="71"/>
  <c r="W25" i="71"/>
  <c r="H25" i="71"/>
  <c r="W24" i="71"/>
  <c r="H24" i="71"/>
  <c r="W23" i="71"/>
  <c r="W21" i="71"/>
  <c r="W20" i="71"/>
  <c r="W19" i="71"/>
  <c r="N19" i="71" s="1"/>
  <c r="V19" i="71"/>
  <c r="O19" i="71"/>
  <c r="K19" i="71"/>
  <c r="J19" i="71"/>
  <c r="P19" i="71" s="1"/>
  <c r="F19" i="71"/>
  <c r="H19" i="71" s="1"/>
  <c r="W18" i="71"/>
  <c r="V18" i="71"/>
  <c r="N18" i="71"/>
  <c r="O18" i="71" s="1"/>
  <c r="O26" i="71" s="1"/>
  <c r="K18" i="71"/>
  <c r="L18" i="71" s="1"/>
  <c r="J18" i="71"/>
  <c r="P18" i="71" s="1"/>
  <c r="H18" i="71"/>
  <c r="F18" i="71"/>
  <c r="AG17" i="71"/>
  <c r="AF17" i="71"/>
  <c r="W17" i="71"/>
  <c r="V17" i="71"/>
  <c r="N17" i="71"/>
  <c r="O17" i="71" s="1"/>
  <c r="K17" i="71"/>
  <c r="L17" i="71" s="1"/>
  <c r="J17" i="71"/>
  <c r="P17" i="71" s="1"/>
  <c r="F17" i="71"/>
  <c r="H17" i="71" s="1"/>
  <c r="AG16" i="71"/>
  <c r="W16" i="71"/>
  <c r="P16" i="71"/>
  <c r="O16" i="71"/>
  <c r="N16" i="71"/>
  <c r="K16" i="71"/>
  <c r="J16" i="71"/>
  <c r="H16" i="71"/>
  <c r="F16" i="71"/>
  <c r="AE15" i="71"/>
  <c r="AD15" i="71"/>
  <c r="AA15" i="71"/>
  <c r="D19" i="70" s="1"/>
  <c r="Z15" i="71"/>
  <c r="M15" i="71"/>
  <c r="W14" i="71"/>
  <c r="W13" i="71"/>
  <c r="W12" i="71"/>
  <c r="AG11" i="71"/>
  <c r="AF11" i="71"/>
  <c r="W11" i="71"/>
  <c r="AG10" i="71"/>
  <c r="AF10" i="71"/>
  <c r="W10" i="71"/>
  <c r="W9" i="71"/>
  <c r="N9" i="71" s="1"/>
  <c r="V9" i="71"/>
  <c r="P9" i="71"/>
  <c r="L9" i="71"/>
  <c r="K9" i="71"/>
  <c r="J9" i="71"/>
  <c r="F9" i="71"/>
  <c r="H9" i="71" s="1"/>
  <c r="W8" i="71"/>
  <c r="V8" i="71"/>
  <c r="P8" i="71"/>
  <c r="O8" i="71"/>
  <c r="N8" i="71"/>
  <c r="K8" i="71"/>
  <c r="J8" i="71"/>
  <c r="L8" i="71" s="1"/>
  <c r="H8" i="71"/>
  <c r="F8" i="71"/>
  <c r="W7" i="71"/>
  <c r="N7" i="71" s="1"/>
  <c r="O7" i="71" s="1"/>
  <c r="V7" i="71"/>
  <c r="P7" i="71"/>
  <c r="L7" i="71"/>
  <c r="R7" i="71" s="1"/>
  <c r="K7" i="71"/>
  <c r="J7" i="71"/>
  <c r="H7" i="71"/>
  <c r="F7" i="71"/>
  <c r="W6" i="71"/>
  <c r="V6" i="71"/>
  <c r="N6" i="71"/>
  <c r="K6" i="71"/>
  <c r="K15" i="71" s="1"/>
  <c r="J6" i="71"/>
  <c r="F6" i="71"/>
  <c r="H6" i="71" s="1"/>
  <c r="W5" i="71"/>
  <c r="N5" i="71"/>
  <c r="K5" i="71"/>
  <c r="L5" i="71" s="1"/>
  <c r="J5" i="71"/>
  <c r="P5" i="71" s="1"/>
  <c r="H5" i="71"/>
  <c r="F5" i="71"/>
  <c r="I2" i="71"/>
  <c r="E1" i="71"/>
  <c r="J22" i="70"/>
  <c r="I22" i="70"/>
  <c r="F22" i="70"/>
  <c r="E22" i="70"/>
  <c r="D22" i="70"/>
  <c r="H21" i="70"/>
  <c r="D21" i="70"/>
  <c r="H20" i="70"/>
  <c r="F20" i="70"/>
  <c r="D20" i="70"/>
  <c r="J19" i="70"/>
  <c r="H19" i="70"/>
  <c r="G19" i="70"/>
  <c r="J18" i="70"/>
  <c r="E18" i="70"/>
  <c r="J16" i="70"/>
  <c r="I16" i="70"/>
  <c r="H16" i="70"/>
  <c r="G16" i="70"/>
  <c r="F16" i="70"/>
  <c r="E16" i="70"/>
  <c r="D16" i="70"/>
  <c r="E14" i="70"/>
  <c r="O8" i="70"/>
  <c r="N8" i="70"/>
  <c r="M8" i="70"/>
  <c r="L8" i="70"/>
  <c r="O7" i="70"/>
  <c r="N7" i="70"/>
  <c r="M7" i="70"/>
  <c r="L7" i="70"/>
  <c r="G3" i="70"/>
  <c r="AE79" i="69"/>
  <c r="J21" i="68" s="1"/>
  <c r="AD79" i="69"/>
  <c r="AA79" i="69"/>
  <c r="Z79" i="69"/>
  <c r="M79" i="69"/>
  <c r="J79" i="69"/>
  <c r="W78" i="69"/>
  <c r="H78" i="69"/>
  <c r="W77" i="69"/>
  <c r="H77" i="69"/>
  <c r="W76" i="69"/>
  <c r="H76" i="69"/>
  <c r="W75" i="69"/>
  <c r="H75" i="69"/>
  <c r="W74" i="69"/>
  <c r="W73" i="69"/>
  <c r="W72" i="69"/>
  <c r="W71" i="69"/>
  <c r="N71" i="69" s="1"/>
  <c r="O71" i="69" s="1"/>
  <c r="V71" i="69"/>
  <c r="K71" i="69"/>
  <c r="J71" i="69"/>
  <c r="P71" i="69" s="1"/>
  <c r="H71" i="69"/>
  <c r="F71" i="69"/>
  <c r="AG70" i="69"/>
  <c r="AF70" i="69"/>
  <c r="W70" i="69"/>
  <c r="P70" i="69"/>
  <c r="O70" i="69"/>
  <c r="N70" i="69"/>
  <c r="K70" i="69"/>
  <c r="K79" i="69" s="1"/>
  <c r="J70" i="69"/>
  <c r="L70" i="69" s="1"/>
  <c r="F70" i="69"/>
  <c r="H70" i="69" s="1"/>
  <c r="AE69" i="69"/>
  <c r="AD69" i="69"/>
  <c r="AA69" i="69"/>
  <c r="Z69" i="69"/>
  <c r="I18" i="68" s="1"/>
  <c r="M69" i="69"/>
  <c r="W68" i="69"/>
  <c r="H68" i="69"/>
  <c r="W67" i="69"/>
  <c r="W66" i="69"/>
  <c r="W65" i="69"/>
  <c r="W64" i="69"/>
  <c r="W63" i="69"/>
  <c r="AG62" i="69"/>
  <c r="AF62" i="69"/>
  <c r="W62" i="69"/>
  <c r="W61" i="69"/>
  <c r="V61" i="69"/>
  <c r="N61" i="69"/>
  <c r="K61" i="69"/>
  <c r="L61" i="69" s="1"/>
  <c r="J61" i="69"/>
  <c r="P61" i="69" s="1"/>
  <c r="H61" i="69"/>
  <c r="F61" i="69"/>
  <c r="W60" i="69"/>
  <c r="V60" i="69"/>
  <c r="O60" i="69"/>
  <c r="N60" i="69"/>
  <c r="K60" i="69"/>
  <c r="L60" i="69" s="1"/>
  <c r="J60" i="69"/>
  <c r="P60" i="69" s="1"/>
  <c r="H60" i="69"/>
  <c r="F60" i="69"/>
  <c r="W59" i="69"/>
  <c r="O59" i="69"/>
  <c r="N59" i="69"/>
  <c r="K59" i="69"/>
  <c r="J59" i="69"/>
  <c r="H59" i="69"/>
  <c r="F59" i="69"/>
  <c r="AE58" i="69"/>
  <c r="AD58" i="69"/>
  <c r="AA58" i="69"/>
  <c r="Z58" i="69"/>
  <c r="H18" i="68" s="1"/>
  <c r="M58" i="69"/>
  <c r="W57" i="69"/>
  <c r="W56" i="69"/>
  <c r="W55" i="69"/>
  <c r="W54" i="69"/>
  <c r="AG53" i="69"/>
  <c r="AF53" i="69"/>
  <c r="W53" i="69"/>
  <c r="W52" i="69"/>
  <c r="V52" i="69"/>
  <c r="N52" i="69"/>
  <c r="K52" i="69"/>
  <c r="J52" i="69"/>
  <c r="P52" i="69" s="1"/>
  <c r="H52" i="69"/>
  <c r="F52" i="69"/>
  <c r="W51" i="69"/>
  <c r="N51" i="69" s="1"/>
  <c r="V51" i="69"/>
  <c r="P51" i="69"/>
  <c r="L51" i="69"/>
  <c r="K51" i="69"/>
  <c r="J51" i="69"/>
  <c r="F51" i="69"/>
  <c r="H51" i="69" s="1"/>
  <c r="W50" i="69"/>
  <c r="V50" i="69"/>
  <c r="P50" i="69"/>
  <c r="N50" i="69"/>
  <c r="K50" i="69"/>
  <c r="J50" i="69"/>
  <c r="L50" i="69" s="1"/>
  <c r="H50" i="69"/>
  <c r="F50" i="69"/>
  <c r="W49" i="69"/>
  <c r="N49" i="69"/>
  <c r="K49" i="69"/>
  <c r="L49" i="69" s="1"/>
  <c r="J49" i="69"/>
  <c r="H49" i="69"/>
  <c r="F49" i="69"/>
  <c r="AE48" i="69"/>
  <c r="AD48" i="69"/>
  <c r="G20" i="68" s="1"/>
  <c r="AA48" i="69"/>
  <c r="Z48" i="69"/>
  <c r="W48" i="69"/>
  <c r="N48" i="69"/>
  <c r="M48" i="69"/>
  <c r="W47" i="69"/>
  <c r="H47" i="69"/>
  <c r="W46" i="69"/>
  <c r="W45" i="69"/>
  <c r="W44" i="69"/>
  <c r="W43" i="69"/>
  <c r="W42" i="69"/>
  <c r="AG41" i="69"/>
  <c r="AF41" i="69"/>
  <c r="W41" i="69"/>
  <c r="AG40" i="69"/>
  <c r="AF40" i="69"/>
  <c r="W40" i="69"/>
  <c r="W39" i="69"/>
  <c r="V39" i="69"/>
  <c r="P39" i="69"/>
  <c r="O39" i="69"/>
  <c r="N39" i="69"/>
  <c r="L39" i="69"/>
  <c r="K39" i="69"/>
  <c r="J39" i="69"/>
  <c r="F39" i="69"/>
  <c r="H39" i="69" s="1"/>
  <c r="W38" i="69"/>
  <c r="N38" i="69" s="1"/>
  <c r="O38" i="69" s="1"/>
  <c r="P38" i="69"/>
  <c r="K38" i="69"/>
  <c r="J38" i="69"/>
  <c r="J48" i="69" s="1"/>
  <c r="P48" i="69" s="1"/>
  <c r="H38" i="69"/>
  <c r="F38" i="69"/>
  <c r="AE37" i="69"/>
  <c r="AD37" i="69"/>
  <c r="F20" i="68" s="1"/>
  <c r="AA37" i="69"/>
  <c r="Z37" i="69"/>
  <c r="F18" i="68" s="1"/>
  <c r="P37" i="69"/>
  <c r="M37" i="69"/>
  <c r="F22" i="68" s="1"/>
  <c r="J37" i="69"/>
  <c r="W36" i="69"/>
  <c r="H36" i="69"/>
  <c r="W35" i="69"/>
  <c r="W34" i="69"/>
  <c r="W33" i="69"/>
  <c r="W32" i="69"/>
  <c r="AG31" i="69"/>
  <c r="AF31" i="69"/>
  <c r="W31" i="69"/>
  <c r="W30" i="69"/>
  <c r="V30" i="69"/>
  <c r="N30" i="69"/>
  <c r="O30" i="69" s="1"/>
  <c r="K30" i="69"/>
  <c r="J30" i="69"/>
  <c r="P30" i="69" s="1"/>
  <c r="F30" i="69"/>
  <c r="H30" i="69" s="1"/>
  <c r="AG29" i="69"/>
  <c r="AF29" i="69"/>
  <c r="W29" i="69"/>
  <c r="N29" i="69" s="1"/>
  <c r="O29" i="69" s="1"/>
  <c r="V29" i="69"/>
  <c r="P29" i="69"/>
  <c r="K29" i="69"/>
  <c r="L29" i="69" s="1"/>
  <c r="J29" i="69"/>
  <c r="F29" i="69"/>
  <c r="H29" i="69" s="1"/>
  <c r="AG28" i="69"/>
  <c r="AF28" i="69"/>
  <c r="W28" i="69"/>
  <c r="V28" i="69"/>
  <c r="P28" i="69"/>
  <c r="N28" i="69"/>
  <c r="O28" i="69" s="1"/>
  <c r="L28" i="69"/>
  <c r="J28" i="69"/>
  <c r="F28" i="69"/>
  <c r="H28" i="69" s="1"/>
  <c r="W27" i="69"/>
  <c r="N27" i="69" s="1"/>
  <c r="P27" i="69"/>
  <c r="K27" i="69"/>
  <c r="J27" i="69"/>
  <c r="L27" i="69" s="1"/>
  <c r="H27" i="69"/>
  <c r="F27" i="69"/>
  <c r="AE26" i="69"/>
  <c r="E21" i="68" s="1"/>
  <c r="AD26" i="69"/>
  <c r="AA26" i="69"/>
  <c r="Z26" i="69"/>
  <c r="E18" i="68" s="1"/>
  <c r="M26" i="69"/>
  <c r="W25" i="69"/>
  <c r="H25" i="69"/>
  <c r="W24" i="69"/>
  <c r="H24" i="69"/>
  <c r="W23" i="69"/>
  <c r="W21" i="69"/>
  <c r="W20" i="69"/>
  <c r="W19" i="69"/>
  <c r="V19" i="69"/>
  <c r="N19" i="69"/>
  <c r="K19" i="69"/>
  <c r="J19" i="69"/>
  <c r="H19" i="69"/>
  <c r="F19" i="69"/>
  <c r="W18" i="69"/>
  <c r="V18" i="69"/>
  <c r="P18" i="69"/>
  <c r="N18" i="69"/>
  <c r="O18" i="69" s="1"/>
  <c r="L18" i="69"/>
  <c r="K18" i="69"/>
  <c r="J18" i="69"/>
  <c r="F18" i="69"/>
  <c r="H18" i="69" s="1"/>
  <c r="W17" i="69"/>
  <c r="N17" i="69" s="1"/>
  <c r="AG17" i="69" s="1"/>
  <c r="V17" i="69"/>
  <c r="P17" i="69"/>
  <c r="O17" i="69"/>
  <c r="K17" i="69"/>
  <c r="L17" i="69" s="1"/>
  <c r="J17" i="69"/>
  <c r="F17" i="69"/>
  <c r="H17" i="69" s="1"/>
  <c r="W16" i="69"/>
  <c r="N16" i="69"/>
  <c r="O16" i="69" s="1"/>
  <c r="K16" i="69"/>
  <c r="J16" i="69"/>
  <c r="P16" i="69" s="1"/>
  <c r="H16" i="69"/>
  <c r="F16" i="69"/>
  <c r="AE15" i="69"/>
  <c r="D21" i="68" s="1"/>
  <c r="AD15" i="69"/>
  <c r="AA15" i="69"/>
  <c r="Z15" i="69"/>
  <c r="N15" i="69"/>
  <c r="M15" i="69"/>
  <c r="K15" i="69"/>
  <c r="W14" i="69"/>
  <c r="W13" i="69"/>
  <c r="W12" i="69"/>
  <c r="AG11" i="69"/>
  <c r="AF11" i="69"/>
  <c r="W11" i="69"/>
  <c r="AG10" i="69"/>
  <c r="AF10" i="69"/>
  <c r="W10" i="69"/>
  <c r="AG9" i="69"/>
  <c r="AF9" i="69"/>
  <c r="W9" i="69"/>
  <c r="W8" i="69"/>
  <c r="N8" i="69" s="1"/>
  <c r="V8" i="69"/>
  <c r="K8" i="69"/>
  <c r="J8" i="69"/>
  <c r="P8" i="69" s="1"/>
  <c r="H8" i="69"/>
  <c r="F8" i="69"/>
  <c r="AG7" i="69"/>
  <c r="AF7" i="69"/>
  <c r="W7" i="69"/>
  <c r="V7" i="69"/>
  <c r="P7" i="69"/>
  <c r="N7" i="69"/>
  <c r="O7" i="69" s="1"/>
  <c r="L7" i="69"/>
  <c r="K7" i="69"/>
  <c r="J7" i="69"/>
  <c r="H7" i="69"/>
  <c r="F7" i="69"/>
  <c r="AG6" i="69"/>
  <c r="AF6" i="69"/>
  <c r="W6" i="69"/>
  <c r="N6" i="69" s="1"/>
  <c r="V6" i="69"/>
  <c r="O6" i="69"/>
  <c r="K6" i="69"/>
  <c r="J6" i="69"/>
  <c r="P6" i="69" s="1"/>
  <c r="F6" i="69"/>
  <c r="H6" i="69" s="1"/>
  <c r="AG5" i="69"/>
  <c r="W5" i="69"/>
  <c r="N5" i="69"/>
  <c r="K5" i="69"/>
  <c r="L5" i="69" s="1"/>
  <c r="J5" i="69"/>
  <c r="P5" i="69" s="1"/>
  <c r="F5" i="69"/>
  <c r="H5" i="69" s="1"/>
  <c r="AE2" i="69"/>
  <c r="I2" i="69"/>
  <c r="E1" i="69"/>
  <c r="I22" i="68"/>
  <c r="H22" i="68"/>
  <c r="G22" i="68"/>
  <c r="E22" i="68"/>
  <c r="I21" i="68"/>
  <c r="H21" i="68"/>
  <c r="G21" i="68"/>
  <c r="F21" i="68"/>
  <c r="J20" i="68"/>
  <c r="I20" i="68"/>
  <c r="H20" i="68"/>
  <c r="D20" i="68"/>
  <c r="J19" i="68"/>
  <c r="I19" i="68"/>
  <c r="H19" i="68"/>
  <c r="G19" i="68"/>
  <c r="F19" i="68"/>
  <c r="E19" i="68"/>
  <c r="D19" i="68"/>
  <c r="J18" i="68"/>
  <c r="G18" i="68"/>
  <c r="J16" i="68"/>
  <c r="I16" i="68"/>
  <c r="H16" i="68"/>
  <c r="G16" i="68"/>
  <c r="F16" i="68"/>
  <c r="E16" i="68"/>
  <c r="D16" i="68"/>
  <c r="O8" i="68"/>
  <c r="N8" i="68"/>
  <c r="M8" i="68"/>
  <c r="L8" i="68"/>
  <c r="O7" i="68"/>
  <c r="N7" i="68"/>
  <c r="M7" i="68"/>
  <c r="L7" i="68"/>
  <c r="G3" i="68"/>
  <c r="AE79" i="3"/>
  <c r="AD79" i="3"/>
  <c r="AA79" i="3"/>
  <c r="Z79" i="3"/>
  <c r="M79" i="3"/>
  <c r="J22" i="2" s="1"/>
  <c r="J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P70" i="3"/>
  <c r="L70" i="3"/>
  <c r="L79" i="3" s="1"/>
  <c r="J13" i="2" s="1"/>
  <c r="K70" i="3"/>
  <c r="K79" i="3" s="1"/>
  <c r="J70" i="3"/>
  <c r="F70" i="3"/>
  <c r="H70" i="3" s="1"/>
  <c r="B70" i="3"/>
  <c r="AE69" i="3"/>
  <c r="AD69" i="3"/>
  <c r="AA69" i="3"/>
  <c r="Z69" i="3"/>
  <c r="M69" i="3"/>
  <c r="K69" i="3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P61" i="3"/>
  <c r="L61" i="3"/>
  <c r="K61" i="3"/>
  <c r="J61" i="3"/>
  <c r="F61" i="3"/>
  <c r="H61" i="3" s="1"/>
  <c r="B61" i="3"/>
  <c r="W60" i="3"/>
  <c r="V60" i="3"/>
  <c r="P60" i="3"/>
  <c r="N60" i="3"/>
  <c r="L60" i="3"/>
  <c r="K60" i="3"/>
  <c r="J60" i="3"/>
  <c r="F60" i="3"/>
  <c r="H60" i="3" s="1"/>
  <c r="B60" i="3"/>
  <c r="W59" i="3"/>
  <c r="N59" i="3" s="1"/>
  <c r="P59" i="3"/>
  <c r="O59" i="3"/>
  <c r="K59" i="3"/>
  <c r="L59" i="3" s="1"/>
  <c r="L69" i="3" s="1"/>
  <c r="I13" i="2" s="1"/>
  <c r="J6" i="2" s="1"/>
  <c r="J59" i="3"/>
  <c r="H59" i="3"/>
  <c r="F59" i="3"/>
  <c r="B59" i="3"/>
  <c r="AE58" i="3"/>
  <c r="AD58" i="3"/>
  <c r="AA58" i="3"/>
  <c r="Z58" i="3"/>
  <c r="M58" i="3"/>
  <c r="H22" i="2" s="1"/>
  <c r="W57" i="3"/>
  <c r="W56" i="3"/>
  <c r="W55" i="3"/>
  <c r="W54" i="3"/>
  <c r="AG53" i="3"/>
  <c r="AF53" i="3"/>
  <c r="W53" i="3"/>
  <c r="AG52" i="3"/>
  <c r="AF52" i="3"/>
  <c r="W52" i="3"/>
  <c r="V52" i="3"/>
  <c r="W51" i="3"/>
  <c r="N51" i="3" s="1"/>
  <c r="O51" i="3" s="1"/>
  <c r="V51" i="3"/>
  <c r="K51" i="3"/>
  <c r="J51" i="3"/>
  <c r="P51" i="3" s="1"/>
  <c r="F51" i="3"/>
  <c r="H51" i="3" s="1"/>
  <c r="B51" i="3"/>
  <c r="W50" i="3"/>
  <c r="N50" i="3" s="1"/>
  <c r="O50" i="3" s="1"/>
  <c r="V50" i="3"/>
  <c r="K50" i="3"/>
  <c r="L50" i="3" s="1"/>
  <c r="J50" i="3"/>
  <c r="P50" i="3" s="1"/>
  <c r="H50" i="3"/>
  <c r="F50" i="3"/>
  <c r="B50" i="3"/>
  <c r="W49" i="3"/>
  <c r="N49" i="3" s="1"/>
  <c r="K49" i="3"/>
  <c r="L49" i="3" s="1"/>
  <c r="L58" i="3" s="1"/>
  <c r="H13" i="2" s="1"/>
  <c r="J49" i="3"/>
  <c r="P49" i="3" s="1"/>
  <c r="H49" i="3"/>
  <c r="F49" i="3"/>
  <c r="B49" i="3"/>
  <c r="AE48" i="3"/>
  <c r="AD48" i="3"/>
  <c r="AA48" i="3"/>
  <c r="Z48" i="3"/>
  <c r="W48" i="3"/>
  <c r="M48" i="3"/>
  <c r="P48" i="3" s="1"/>
  <c r="L48" i="3"/>
  <c r="G13" i="2" s="1"/>
  <c r="K48" i="3"/>
  <c r="W47" i="3"/>
  <c r="H47" i="3"/>
  <c r="W46" i="3"/>
  <c r="W45" i="3"/>
  <c r="W44" i="3"/>
  <c r="W43" i="3"/>
  <c r="W42" i="3"/>
  <c r="AG41" i="3"/>
  <c r="AF41" i="3"/>
  <c r="W41" i="3"/>
  <c r="AG40" i="3"/>
  <c r="W40" i="3"/>
  <c r="N40" i="3" s="1"/>
  <c r="O40" i="3" s="1"/>
  <c r="V40" i="3"/>
  <c r="K40" i="3"/>
  <c r="AF40" i="3" s="1"/>
  <c r="J40" i="3"/>
  <c r="P40" i="3" s="1"/>
  <c r="F40" i="3"/>
  <c r="H40" i="3" s="1"/>
  <c r="B40" i="3"/>
  <c r="W39" i="3"/>
  <c r="V39" i="3"/>
  <c r="P39" i="3"/>
  <c r="N39" i="3"/>
  <c r="K39" i="3"/>
  <c r="J39" i="3"/>
  <c r="L39" i="3" s="1"/>
  <c r="F39" i="3"/>
  <c r="H39" i="3" s="1"/>
  <c r="B39" i="3"/>
  <c r="W38" i="3"/>
  <c r="P38" i="3"/>
  <c r="O38" i="3"/>
  <c r="N38" i="3"/>
  <c r="K38" i="3"/>
  <c r="L38" i="3" s="1"/>
  <c r="J38" i="3"/>
  <c r="J48" i="3" s="1"/>
  <c r="H38" i="3"/>
  <c r="F38" i="3"/>
  <c r="B38" i="3"/>
  <c r="AE37" i="3"/>
  <c r="AD37" i="3"/>
  <c r="AA37" i="3"/>
  <c r="Z37" i="3"/>
  <c r="M37" i="3"/>
  <c r="F22" i="2" s="1"/>
  <c r="K37" i="3"/>
  <c r="J37" i="3"/>
  <c r="P37" i="3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AG29" i="3"/>
  <c r="AF29" i="3"/>
  <c r="W29" i="3"/>
  <c r="N29" i="3" s="1"/>
  <c r="O29" i="3" s="1"/>
  <c r="V29" i="3"/>
  <c r="K29" i="3"/>
  <c r="J29" i="3"/>
  <c r="P29" i="3" s="1"/>
  <c r="F29" i="3"/>
  <c r="H29" i="3" s="1"/>
  <c r="B29" i="3"/>
  <c r="AG28" i="3"/>
  <c r="AF28" i="3"/>
  <c r="W28" i="3"/>
  <c r="V28" i="3"/>
  <c r="N28" i="3"/>
  <c r="O28" i="3" s="1"/>
  <c r="K28" i="3"/>
  <c r="L28" i="3" s="1"/>
  <c r="J28" i="3"/>
  <c r="P28" i="3" s="1"/>
  <c r="H28" i="3"/>
  <c r="F28" i="3"/>
  <c r="B28" i="3"/>
  <c r="AG27" i="3"/>
  <c r="AF27" i="3"/>
  <c r="W27" i="3"/>
  <c r="N27" i="3" s="1"/>
  <c r="P27" i="3"/>
  <c r="L27" i="3"/>
  <c r="L37" i="3" s="1"/>
  <c r="F13" i="2" s="1"/>
  <c r="K27" i="3"/>
  <c r="J27" i="3"/>
  <c r="H27" i="3"/>
  <c r="F27" i="3"/>
  <c r="B27" i="3"/>
  <c r="AE26" i="3"/>
  <c r="AD26" i="3"/>
  <c r="AA26" i="3"/>
  <c r="Z26" i="3"/>
  <c r="M26" i="3"/>
  <c r="K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V18" i="3"/>
  <c r="P18" i="3"/>
  <c r="O18" i="3"/>
  <c r="K18" i="3"/>
  <c r="J18" i="3"/>
  <c r="L18" i="3" s="1"/>
  <c r="H18" i="3"/>
  <c r="F18" i="3"/>
  <c r="B18" i="3"/>
  <c r="W17" i="3"/>
  <c r="V17" i="3"/>
  <c r="P17" i="3"/>
  <c r="O17" i="3"/>
  <c r="R17" i="3" s="1"/>
  <c r="N17" i="3"/>
  <c r="K17" i="3"/>
  <c r="L17" i="3" s="1"/>
  <c r="J17" i="3"/>
  <c r="H17" i="3"/>
  <c r="F17" i="3"/>
  <c r="B17" i="3"/>
  <c r="W16" i="3"/>
  <c r="N16" i="3" s="1"/>
  <c r="AG16" i="3" s="1"/>
  <c r="K16" i="3"/>
  <c r="J16" i="3"/>
  <c r="F16" i="3"/>
  <c r="H16" i="3" s="1"/>
  <c r="B16" i="3"/>
  <c r="AE15" i="3"/>
  <c r="AD15" i="3"/>
  <c r="AA15" i="3"/>
  <c r="Z15" i="3"/>
  <c r="M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V7" i="3"/>
  <c r="K7" i="3"/>
  <c r="L7" i="3" s="1"/>
  <c r="J7" i="3"/>
  <c r="P7" i="3" s="1"/>
  <c r="H7" i="3"/>
  <c r="F7" i="3"/>
  <c r="B7" i="3"/>
  <c r="W6" i="3"/>
  <c r="V6" i="3"/>
  <c r="R6" i="3"/>
  <c r="N6" i="3"/>
  <c r="O6" i="3" s="1"/>
  <c r="Q6" i="3" s="1"/>
  <c r="K6" i="3"/>
  <c r="J6" i="3"/>
  <c r="L6" i="3" s="1"/>
  <c r="H6" i="3"/>
  <c r="F6" i="3"/>
  <c r="B6" i="3"/>
  <c r="W5" i="3"/>
  <c r="N5" i="3" s="1"/>
  <c r="AF5" i="3" s="1"/>
  <c r="K5" i="3"/>
  <c r="K15" i="3" s="1"/>
  <c r="J5" i="3"/>
  <c r="P5" i="3" s="1"/>
  <c r="F5" i="3"/>
  <c r="H5" i="3" s="1"/>
  <c r="G1" i="3" s="1"/>
  <c r="B5" i="3"/>
  <c r="I2" i="3"/>
  <c r="E1" i="3"/>
  <c r="I22" i="2"/>
  <c r="G22" i="2"/>
  <c r="D22" i="2"/>
  <c r="J16" i="2"/>
  <c r="I16" i="2"/>
  <c r="H16" i="2"/>
  <c r="G16" i="2"/>
  <c r="F16" i="2"/>
  <c r="E16" i="2"/>
  <c r="D16" i="2"/>
  <c r="G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AE79" i="15"/>
  <c r="AE2" i="15" s="1"/>
  <c r="O6" i="14" s="1"/>
  <c r="AD79" i="15"/>
  <c r="J20" i="14" s="1"/>
  <c r="AA79" i="15"/>
  <c r="J18" i="14" s="1"/>
  <c r="Z79" i="15"/>
  <c r="M79" i="15"/>
  <c r="W78" i="15"/>
  <c r="H78" i="15"/>
  <c r="W77" i="15"/>
  <c r="W76" i="15"/>
  <c r="W75" i="15"/>
  <c r="W74" i="15"/>
  <c r="V74" i="15"/>
  <c r="O74" i="15"/>
  <c r="N74" i="15"/>
  <c r="K74" i="15"/>
  <c r="J74" i="15"/>
  <c r="P74" i="15" s="1"/>
  <c r="H74" i="15"/>
  <c r="F74" i="15"/>
  <c r="W73" i="15"/>
  <c r="V73" i="15"/>
  <c r="O73" i="15"/>
  <c r="N73" i="15"/>
  <c r="K73" i="15"/>
  <c r="J73" i="15"/>
  <c r="P73" i="15" s="1"/>
  <c r="H73" i="15"/>
  <c r="F73" i="15"/>
  <c r="W72" i="15"/>
  <c r="V72" i="15"/>
  <c r="P72" i="15"/>
  <c r="O72" i="15"/>
  <c r="N72" i="15"/>
  <c r="K72" i="15"/>
  <c r="J72" i="15"/>
  <c r="H72" i="15"/>
  <c r="F72" i="15"/>
  <c r="W71" i="15"/>
  <c r="V71" i="15"/>
  <c r="P71" i="15"/>
  <c r="O71" i="15"/>
  <c r="N71" i="15"/>
  <c r="K71" i="15"/>
  <c r="J71" i="15"/>
  <c r="H71" i="15"/>
  <c r="F71" i="15"/>
  <c r="W70" i="15"/>
  <c r="P70" i="15"/>
  <c r="N70" i="15"/>
  <c r="L70" i="15"/>
  <c r="K70" i="15"/>
  <c r="J70" i="15"/>
  <c r="F70" i="15"/>
  <c r="H70" i="15" s="1"/>
  <c r="AE69" i="15"/>
  <c r="I21" i="14" s="1"/>
  <c r="AD69" i="15"/>
  <c r="AA69" i="15"/>
  <c r="I19" i="14" s="1"/>
  <c r="Z69" i="15"/>
  <c r="M69" i="15"/>
  <c r="W68" i="15"/>
  <c r="H68" i="15"/>
  <c r="W67" i="15"/>
  <c r="W66" i="15"/>
  <c r="W65" i="15"/>
  <c r="W64" i="15"/>
  <c r="W63" i="15"/>
  <c r="AG62" i="15"/>
  <c r="AF62" i="15"/>
  <c r="W62" i="15"/>
  <c r="W61" i="15"/>
  <c r="N61" i="15" s="1"/>
  <c r="V61" i="15"/>
  <c r="K61" i="15"/>
  <c r="L61" i="15" s="1"/>
  <c r="J61" i="15"/>
  <c r="P61" i="15" s="1"/>
  <c r="H61" i="15"/>
  <c r="F61" i="15"/>
  <c r="W60" i="15"/>
  <c r="N60" i="15" s="1"/>
  <c r="O60" i="15" s="1"/>
  <c r="V60" i="15"/>
  <c r="K60" i="15"/>
  <c r="J60" i="15"/>
  <c r="P60" i="15" s="1"/>
  <c r="F60" i="15"/>
  <c r="H60" i="15" s="1"/>
  <c r="AG59" i="15"/>
  <c r="W59" i="15"/>
  <c r="N59" i="15"/>
  <c r="AF59" i="15" s="1"/>
  <c r="K59" i="15"/>
  <c r="K69" i="15" s="1"/>
  <c r="J59" i="15"/>
  <c r="F59" i="15"/>
  <c r="H59" i="15" s="1"/>
  <c r="AE58" i="15"/>
  <c r="H21" i="14" s="1"/>
  <c r="AD58" i="15"/>
  <c r="H20" i="14" s="1"/>
  <c r="AA58" i="15"/>
  <c r="Z58" i="15"/>
  <c r="M58" i="15"/>
  <c r="W57" i="15"/>
  <c r="W56" i="15"/>
  <c r="W55" i="15"/>
  <c r="W54" i="15"/>
  <c r="AG53" i="15"/>
  <c r="AF53" i="15"/>
  <c r="W53" i="15"/>
  <c r="AG52" i="15"/>
  <c r="AF52" i="15"/>
  <c r="W52" i="15"/>
  <c r="V52" i="15"/>
  <c r="P52" i="15"/>
  <c r="O52" i="15"/>
  <c r="R52" i="15" s="1"/>
  <c r="N52" i="15"/>
  <c r="K52" i="15"/>
  <c r="L52" i="15" s="1"/>
  <c r="J52" i="15"/>
  <c r="F52" i="15"/>
  <c r="H52" i="15" s="1"/>
  <c r="W51" i="15"/>
  <c r="N51" i="15" s="1"/>
  <c r="V51" i="15"/>
  <c r="O51" i="15"/>
  <c r="K51" i="15"/>
  <c r="J51" i="15"/>
  <c r="H51" i="15"/>
  <c r="F51" i="15"/>
  <c r="W50" i="15"/>
  <c r="N50" i="15" s="1"/>
  <c r="O50" i="15" s="1"/>
  <c r="V50" i="15"/>
  <c r="P50" i="15"/>
  <c r="L50" i="15"/>
  <c r="K50" i="15"/>
  <c r="J50" i="15"/>
  <c r="H50" i="15"/>
  <c r="F50" i="15"/>
  <c r="W49" i="15"/>
  <c r="N49" i="15" s="1"/>
  <c r="O49" i="15" s="1"/>
  <c r="K49" i="15"/>
  <c r="K58" i="15" s="1"/>
  <c r="J49" i="15"/>
  <c r="P49" i="15" s="1"/>
  <c r="H49" i="15"/>
  <c r="F49" i="15"/>
  <c r="AE48" i="15"/>
  <c r="G21" i="14" s="1"/>
  <c r="AD48" i="15"/>
  <c r="AA48" i="15"/>
  <c r="Z48" i="15"/>
  <c r="W48" i="15"/>
  <c r="M48" i="15"/>
  <c r="W47" i="15"/>
  <c r="H47" i="15"/>
  <c r="W46" i="15"/>
  <c r="W45" i="15"/>
  <c r="W44" i="15"/>
  <c r="W43" i="15"/>
  <c r="W42" i="15"/>
  <c r="AG41" i="15"/>
  <c r="AF41" i="15"/>
  <c r="W41" i="15"/>
  <c r="W40" i="15"/>
  <c r="V40" i="15"/>
  <c r="N40" i="15"/>
  <c r="K40" i="15"/>
  <c r="L40" i="15" s="1"/>
  <c r="J40" i="15"/>
  <c r="P40" i="15" s="1"/>
  <c r="F40" i="15"/>
  <c r="H40" i="15" s="1"/>
  <c r="W39" i="15"/>
  <c r="V39" i="15"/>
  <c r="N39" i="15"/>
  <c r="K39" i="15"/>
  <c r="J39" i="15"/>
  <c r="H39" i="15"/>
  <c r="F39" i="15"/>
  <c r="W38" i="15"/>
  <c r="P38" i="15"/>
  <c r="N38" i="15"/>
  <c r="L38" i="15"/>
  <c r="K38" i="15"/>
  <c r="J38" i="15"/>
  <c r="F38" i="15"/>
  <c r="H38" i="15" s="1"/>
  <c r="AE37" i="15"/>
  <c r="F21" i="14" s="1"/>
  <c r="AD37" i="15"/>
  <c r="F20" i="14" s="1"/>
  <c r="AA37" i="15"/>
  <c r="AA2" i="15" s="1"/>
  <c r="M6" i="14" s="1"/>
  <c r="Z37" i="15"/>
  <c r="F18" i="14" s="1"/>
  <c r="M37" i="15"/>
  <c r="W36" i="15"/>
  <c r="H36" i="15"/>
  <c r="W35" i="15"/>
  <c r="W34" i="15"/>
  <c r="W33" i="15"/>
  <c r="W32" i="15"/>
  <c r="W31" i="15"/>
  <c r="V31" i="15"/>
  <c r="P31" i="15"/>
  <c r="N31" i="15"/>
  <c r="J31" i="15"/>
  <c r="L31" i="15" s="1"/>
  <c r="H31" i="15"/>
  <c r="F31" i="15"/>
  <c r="W30" i="15"/>
  <c r="V30" i="15"/>
  <c r="P30" i="15"/>
  <c r="N30" i="15"/>
  <c r="L30" i="15"/>
  <c r="J30" i="15"/>
  <c r="F30" i="15"/>
  <c r="H30" i="15" s="1"/>
  <c r="W29" i="15"/>
  <c r="V29" i="15"/>
  <c r="N29" i="15"/>
  <c r="K29" i="15"/>
  <c r="J29" i="15"/>
  <c r="H29" i="15"/>
  <c r="F29" i="15"/>
  <c r="W28" i="15"/>
  <c r="N28" i="15" s="1"/>
  <c r="O28" i="15" s="1"/>
  <c r="V28" i="15"/>
  <c r="K28" i="15"/>
  <c r="J28" i="15"/>
  <c r="P28" i="15" s="1"/>
  <c r="F28" i="15"/>
  <c r="H28" i="15" s="1"/>
  <c r="W27" i="15"/>
  <c r="N27" i="15"/>
  <c r="K27" i="15"/>
  <c r="K37" i="15" s="1"/>
  <c r="J27" i="15"/>
  <c r="H27" i="15"/>
  <c r="F27" i="15"/>
  <c r="AE26" i="15"/>
  <c r="AD26" i="15"/>
  <c r="AA26" i="15"/>
  <c r="Z26" i="15"/>
  <c r="E18" i="14" s="1"/>
  <c r="M26" i="15"/>
  <c r="W25" i="15"/>
  <c r="H25" i="15"/>
  <c r="W24" i="15"/>
  <c r="H24" i="15"/>
  <c r="W23" i="15"/>
  <c r="W21" i="15"/>
  <c r="W20" i="15"/>
  <c r="N20" i="15" s="1"/>
  <c r="O20" i="15" s="1"/>
  <c r="V20" i="15"/>
  <c r="K20" i="15"/>
  <c r="L20" i="15" s="1"/>
  <c r="R20" i="15" s="1"/>
  <c r="J20" i="15"/>
  <c r="P20" i="15" s="1"/>
  <c r="F20" i="15"/>
  <c r="H20" i="15" s="1"/>
  <c r="AG19" i="15"/>
  <c r="AF19" i="15"/>
  <c r="W19" i="15"/>
  <c r="N19" i="15" s="1"/>
  <c r="V19" i="15"/>
  <c r="O19" i="15"/>
  <c r="K19" i="15"/>
  <c r="J19" i="15"/>
  <c r="P19" i="15" s="1"/>
  <c r="F19" i="15"/>
  <c r="H19" i="15" s="1"/>
  <c r="AF18" i="15"/>
  <c r="W18" i="15"/>
  <c r="N18" i="15" s="1"/>
  <c r="V18" i="15"/>
  <c r="K18" i="15"/>
  <c r="J18" i="15"/>
  <c r="P18" i="15" s="1"/>
  <c r="F18" i="15"/>
  <c r="H18" i="15" s="1"/>
  <c r="AG17" i="15"/>
  <c r="W17" i="15"/>
  <c r="V17" i="15"/>
  <c r="N17" i="15"/>
  <c r="O17" i="15" s="1"/>
  <c r="K17" i="15"/>
  <c r="L17" i="15" s="1"/>
  <c r="J17" i="15"/>
  <c r="H17" i="15"/>
  <c r="F17" i="15"/>
  <c r="W16" i="15"/>
  <c r="N16" i="15" s="1"/>
  <c r="P16" i="15"/>
  <c r="L16" i="15"/>
  <c r="K16" i="15"/>
  <c r="J16" i="15"/>
  <c r="F16" i="15"/>
  <c r="H16" i="15" s="1"/>
  <c r="AE15" i="15"/>
  <c r="AD15" i="15"/>
  <c r="AA15" i="15"/>
  <c r="Z15" i="15"/>
  <c r="M15" i="15"/>
  <c r="K15" i="15"/>
  <c r="W14" i="15"/>
  <c r="W13" i="15"/>
  <c r="W12" i="15"/>
  <c r="AG11" i="15"/>
  <c r="AF11" i="15"/>
  <c r="W11" i="15"/>
  <c r="AG10" i="15"/>
  <c r="AF10" i="15"/>
  <c r="W10" i="15"/>
  <c r="AG9" i="15"/>
  <c r="AF9" i="15"/>
  <c r="W9" i="15"/>
  <c r="AG8" i="15"/>
  <c r="AF8" i="15"/>
  <c r="W8" i="15"/>
  <c r="AF7" i="15"/>
  <c r="W7" i="15"/>
  <c r="V7" i="15"/>
  <c r="P7" i="15"/>
  <c r="N7" i="15"/>
  <c r="AG7" i="15" s="1"/>
  <c r="L7" i="15"/>
  <c r="K7" i="15"/>
  <c r="J7" i="15"/>
  <c r="F7" i="15"/>
  <c r="H7" i="15" s="1"/>
  <c r="W6" i="15"/>
  <c r="N6" i="15" s="1"/>
  <c r="V6" i="15"/>
  <c r="P6" i="15"/>
  <c r="L6" i="15"/>
  <c r="K6" i="15"/>
  <c r="J6" i="15"/>
  <c r="H6" i="15"/>
  <c r="F6" i="15"/>
  <c r="AG5" i="15"/>
  <c r="AF5" i="15"/>
  <c r="W5" i="15"/>
  <c r="N5" i="15" s="1"/>
  <c r="O5" i="15" s="1"/>
  <c r="K5" i="15"/>
  <c r="J5" i="15"/>
  <c r="F5" i="15"/>
  <c r="H5" i="15" s="1"/>
  <c r="G1" i="15" s="1"/>
  <c r="AD2" i="15"/>
  <c r="N6" i="14" s="1"/>
  <c r="I2" i="15"/>
  <c r="E1" i="15"/>
  <c r="AF62" i="17" l="1"/>
  <c r="Q62" i="17"/>
  <c r="AG62" i="17"/>
  <c r="R63" i="17"/>
  <c r="AF30" i="17"/>
  <c r="Q30" i="17"/>
  <c r="I1" i="17"/>
  <c r="O31" i="17"/>
  <c r="AF31" i="17"/>
  <c r="R30" i="17"/>
  <c r="AG28" i="17"/>
  <c r="L15" i="17"/>
  <c r="D13" i="16" s="1"/>
  <c r="J3" i="14"/>
  <c r="G2" i="15"/>
  <c r="R61" i="41"/>
  <c r="Q61" i="41"/>
  <c r="L59" i="17"/>
  <c r="L69" i="17" s="1"/>
  <c r="I13" i="16" s="1"/>
  <c r="J6" i="16" s="1"/>
  <c r="K69" i="17"/>
  <c r="AF40" i="15"/>
  <c r="AG40" i="15"/>
  <c r="O40" i="15"/>
  <c r="Q72" i="71"/>
  <c r="R72" i="71"/>
  <c r="Q18" i="21"/>
  <c r="R18" i="21"/>
  <c r="AG70" i="3"/>
  <c r="O70" i="3"/>
  <c r="N79" i="3"/>
  <c r="P69" i="73"/>
  <c r="P51" i="15"/>
  <c r="J58" i="15"/>
  <c r="O18" i="17"/>
  <c r="AG18" i="17"/>
  <c r="Z2" i="31"/>
  <c r="L6" i="30" s="1"/>
  <c r="D18" i="30"/>
  <c r="AG38" i="59"/>
  <c r="AF38" i="59"/>
  <c r="O38" i="59"/>
  <c r="N48" i="59"/>
  <c r="G1" i="73"/>
  <c r="P59" i="15"/>
  <c r="J69" i="15"/>
  <c r="P69" i="15" s="1"/>
  <c r="R28" i="69"/>
  <c r="Q28" i="69"/>
  <c r="R70" i="69"/>
  <c r="O79" i="69"/>
  <c r="AF40" i="71"/>
  <c r="AG40" i="71"/>
  <c r="O40" i="71"/>
  <c r="L59" i="71"/>
  <c r="L69" i="71" s="1"/>
  <c r="I13" i="70" s="1"/>
  <c r="AF39" i="73"/>
  <c r="AG39" i="73"/>
  <c r="N48" i="73"/>
  <c r="O39" i="73"/>
  <c r="L26" i="13"/>
  <c r="E13" i="12" s="1"/>
  <c r="O18" i="13"/>
  <c r="AG18" i="13"/>
  <c r="AF18" i="13"/>
  <c r="R60" i="17"/>
  <c r="Q60" i="17"/>
  <c r="R49" i="19"/>
  <c r="Q49" i="19"/>
  <c r="R17" i="25"/>
  <c r="Q17" i="25"/>
  <c r="Q51" i="29"/>
  <c r="R51" i="29"/>
  <c r="AD2" i="33"/>
  <c r="N6" i="32" s="1"/>
  <c r="D20" i="32"/>
  <c r="E18" i="34"/>
  <c r="Z2" i="35"/>
  <c r="L6" i="34" s="1"/>
  <c r="G2" i="45"/>
  <c r="J3" i="44"/>
  <c r="Q5" i="55"/>
  <c r="R5" i="55"/>
  <c r="O15" i="55"/>
  <c r="P27" i="15"/>
  <c r="J37" i="15"/>
  <c r="P37" i="15" s="1"/>
  <c r="L30" i="69"/>
  <c r="L37" i="69" s="1"/>
  <c r="F13" i="68" s="1"/>
  <c r="AG30" i="69"/>
  <c r="K37" i="69"/>
  <c r="AF30" i="69"/>
  <c r="R60" i="69"/>
  <c r="Q60" i="69"/>
  <c r="AF16" i="13"/>
  <c r="AG16" i="13"/>
  <c r="N26" i="13"/>
  <c r="O60" i="25"/>
  <c r="AG60" i="25"/>
  <c r="P26" i="29"/>
  <c r="E22" i="28"/>
  <c r="N69" i="31"/>
  <c r="AG59" i="31"/>
  <c r="AF59" i="31"/>
  <c r="G2" i="33"/>
  <c r="J3" i="32"/>
  <c r="O15" i="47"/>
  <c r="O40" i="49"/>
  <c r="AG40" i="49"/>
  <c r="AF40" i="49"/>
  <c r="AG28" i="51"/>
  <c r="AF28" i="51"/>
  <c r="O28" i="51"/>
  <c r="O38" i="57"/>
  <c r="N48" i="57"/>
  <c r="AG38" i="57"/>
  <c r="AF38" i="57"/>
  <c r="J69" i="69"/>
  <c r="P59" i="69"/>
  <c r="K15" i="73"/>
  <c r="L5" i="73"/>
  <c r="O7" i="13"/>
  <c r="AF7" i="13"/>
  <c r="AG7" i="13"/>
  <c r="O16" i="13"/>
  <c r="L52" i="13"/>
  <c r="AF15" i="17"/>
  <c r="AG15" i="17"/>
  <c r="AH5" i="17" s="1"/>
  <c r="AG40" i="23"/>
  <c r="O40" i="23"/>
  <c r="AF40" i="23"/>
  <c r="AF60" i="25"/>
  <c r="O27" i="29"/>
  <c r="AG27" i="29"/>
  <c r="AF27" i="29"/>
  <c r="N37" i="29"/>
  <c r="L29" i="31"/>
  <c r="P29" i="31"/>
  <c r="P29" i="33"/>
  <c r="L29" i="33"/>
  <c r="AF17" i="37"/>
  <c r="AG17" i="37"/>
  <c r="O17" i="37"/>
  <c r="R70" i="39"/>
  <c r="Q70" i="39"/>
  <c r="O79" i="39"/>
  <c r="J14" i="44"/>
  <c r="P37" i="57"/>
  <c r="F22" i="56"/>
  <c r="P7" i="61"/>
  <c r="L7" i="61"/>
  <c r="R7" i="61" s="1"/>
  <c r="Q52" i="15"/>
  <c r="P6" i="71"/>
  <c r="J15" i="71"/>
  <c r="P15" i="71" s="1"/>
  <c r="AG39" i="17"/>
  <c r="AF39" i="17"/>
  <c r="O39" i="17"/>
  <c r="AF18" i="21"/>
  <c r="O28" i="21"/>
  <c r="AG28" i="21"/>
  <c r="AF28" i="21"/>
  <c r="P15" i="29"/>
  <c r="D22" i="28"/>
  <c r="I1" i="29"/>
  <c r="O26" i="31"/>
  <c r="Q16" i="31"/>
  <c r="R16" i="31"/>
  <c r="AG26" i="33"/>
  <c r="AH16" i="33" s="1"/>
  <c r="AF26" i="33"/>
  <c r="N37" i="37"/>
  <c r="O27" i="37"/>
  <c r="AG27" i="37"/>
  <c r="AF27" i="37"/>
  <c r="L59" i="39"/>
  <c r="L69" i="39" s="1"/>
  <c r="I13" i="38" s="1"/>
  <c r="J6" i="38" s="1"/>
  <c r="L17" i="47"/>
  <c r="O28" i="67"/>
  <c r="AG28" i="67"/>
  <c r="AF28" i="67"/>
  <c r="L49" i="15"/>
  <c r="L58" i="15" s="1"/>
  <c r="H13" i="14" s="1"/>
  <c r="J48" i="71"/>
  <c r="P48" i="71" s="1"/>
  <c r="P38" i="71"/>
  <c r="L69" i="73"/>
  <c r="I13" i="72" s="1"/>
  <c r="Q60" i="73"/>
  <c r="R31" i="13"/>
  <c r="Q31" i="13"/>
  <c r="AG18" i="21"/>
  <c r="N37" i="21"/>
  <c r="O59" i="21"/>
  <c r="N69" i="21"/>
  <c r="J3" i="22"/>
  <c r="G2" i="23"/>
  <c r="AG15" i="29"/>
  <c r="AH5" i="29" s="1"/>
  <c r="AF15" i="29"/>
  <c r="O58" i="29"/>
  <c r="AG29" i="31"/>
  <c r="AF29" i="31"/>
  <c r="N37" i="31"/>
  <c r="AG40" i="39"/>
  <c r="AF40" i="39"/>
  <c r="O40" i="39"/>
  <c r="O59" i="39"/>
  <c r="AG59" i="39"/>
  <c r="AF59" i="39"/>
  <c r="N69" i="39"/>
  <c r="L7" i="51"/>
  <c r="AG5" i="61"/>
  <c r="N15" i="61"/>
  <c r="O5" i="61"/>
  <c r="AF5" i="61"/>
  <c r="R51" i="65"/>
  <c r="Q51" i="65"/>
  <c r="J69" i="65"/>
  <c r="P69" i="65" s="1"/>
  <c r="L59" i="65"/>
  <c r="L69" i="65" s="1"/>
  <c r="I13" i="64" s="1"/>
  <c r="J6" i="64" s="1"/>
  <c r="P59" i="65"/>
  <c r="O60" i="65"/>
  <c r="AG60" i="65"/>
  <c r="N69" i="65"/>
  <c r="AF60" i="65"/>
  <c r="O58" i="15"/>
  <c r="L51" i="15"/>
  <c r="G1" i="69"/>
  <c r="AG31" i="71"/>
  <c r="AF31" i="71"/>
  <c r="O31" i="71"/>
  <c r="L38" i="71"/>
  <c r="L48" i="71" s="1"/>
  <c r="G13" i="70" s="1"/>
  <c r="L17" i="17"/>
  <c r="R17" i="17" s="1"/>
  <c r="AF17" i="17"/>
  <c r="AF50" i="27"/>
  <c r="AG50" i="27"/>
  <c r="O50" i="27"/>
  <c r="O70" i="29"/>
  <c r="N79" i="29"/>
  <c r="AF70" i="29"/>
  <c r="AG70" i="29"/>
  <c r="O29" i="31"/>
  <c r="G22" i="34"/>
  <c r="G2" i="37"/>
  <c r="J3" i="36"/>
  <c r="J14" i="42"/>
  <c r="AG37" i="65"/>
  <c r="AH27" i="65" s="1"/>
  <c r="AF37" i="65"/>
  <c r="Q37" i="65"/>
  <c r="AF51" i="65"/>
  <c r="R18" i="3"/>
  <c r="Q18" i="3"/>
  <c r="J26" i="69"/>
  <c r="P26" i="69" s="1"/>
  <c r="P19" i="69"/>
  <c r="AF50" i="69"/>
  <c r="AG50" i="69"/>
  <c r="O50" i="69"/>
  <c r="AG16" i="73"/>
  <c r="O16" i="73"/>
  <c r="N26" i="73"/>
  <c r="AG6" i="13"/>
  <c r="AF6" i="13"/>
  <c r="O6" i="13"/>
  <c r="R39" i="13"/>
  <c r="Q39" i="13"/>
  <c r="O61" i="19"/>
  <c r="AG61" i="19"/>
  <c r="AF61" i="19"/>
  <c r="AG59" i="21"/>
  <c r="L18" i="29"/>
  <c r="R7" i="31"/>
  <c r="Q7" i="31"/>
  <c r="R17" i="39"/>
  <c r="Q17" i="39"/>
  <c r="J48" i="39"/>
  <c r="P38" i="39"/>
  <c r="R40" i="47"/>
  <c r="Q40" i="47"/>
  <c r="AG51" i="65"/>
  <c r="O18" i="25"/>
  <c r="AF18" i="25"/>
  <c r="AG18" i="25"/>
  <c r="F6" i="28"/>
  <c r="H6" i="28"/>
  <c r="O48" i="33"/>
  <c r="R38" i="33"/>
  <c r="Q38" i="33"/>
  <c r="AG59" i="33"/>
  <c r="AF59" i="33"/>
  <c r="N69" i="33"/>
  <c r="O59" i="33"/>
  <c r="Q27" i="35"/>
  <c r="R27" i="35"/>
  <c r="K48" i="39"/>
  <c r="L38" i="39"/>
  <c r="L48" i="39" s="1"/>
  <c r="G13" i="38" s="1"/>
  <c r="Q49" i="59"/>
  <c r="R49" i="59"/>
  <c r="L5" i="15"/>
  <c r="P5" i="15"/>
  <c r="J15" i="15"/>
  <c r="P15" i="15" s="1"/>
  <c r="R39" i="69"/>
  <c r="Q39" i="69"/>
  <c r="O48" i="69"/>
  <c r="O61" i="69"/>
  <c r="AF61" i="69"/>
  <c r="AG61" i="69"/>
  <c r="R73" i="13"/>
  <c r="Q73" i="13"/>
  <c r="P79" i="13"/>
  <c r="R40" i="17"/>
  <c r="Q40" i="17"/>
  <c r="G2" i="21"/>
  <c r="J3" i="20"/>
  <c r="J3" i="38"/>
  <c r="G2" i="39"/>
  <c r="Q27" i="39"/>
  <c r="R27" i="39"/>
  <c r="AG61" i="41"/>
  <c r="AF61" i="41"/>
  <c r="Q28" i="43"/>
  <c r="R28" i="43"/>
  <c r="Q39" i="47"/>
  <c r="AA2" i="59"/>
  <c r="M6" i="58" s="1"/>
  <c r="D19" i="58"/>
  <c r="AG30" i="15"/>
  <c r="AF30" i="15"/>
  <c r="N37" i="15"/>
  <c r="O70" i="15"/>
  <c r="N79" i="15"/>
  <c r="AG70" i="15"/>
  <c r="AF70" i="15"/>
  <c r="O30" i="15"/>
  <c r="J22" i="68"/>
  <c r="P79" i="69"/>
  <c r="N58" i="71"/>
  <c r="O49" i="71"/>
  <c r="AG49" i="71"/>
  <c r="R29" i="73"/>
  <c r="Q29" i="73"/>
  <c r="P34" i="73"/>
  <c r="J37" i="73"/>
  <c r="P37" i="73" s="1"/>
  <c r="AG17" i="13"/>
  <c r="AF17" i="13"/>
  <c r="R29" i="13"/>
  <c r="Q29" i="13"/>
  <c r="G1" i="17"/>
  <c r="O69" i="23"/>
  <c r="J3" i="30"/>
  <c r="G2" i="31"/>
  <c r="R50" i="31"/>
  <c r="Q50" i="31"/>
  <c r="O59" i="31"/>
  <c r="O60" i="41"/>
  <c r="AF60" i="41"/>
  <c r="AG60" i="41"/>
  <c r="L17" i="45"/>
  <c r="AF17" i="45"/>
  <c r="AG17" i="45"/>
  <c r="AF29" i="51"/>
  <c r="AG29" i="51"/>
  <c r="O26" i="69"/>
  <c r="O69" i="69"/>
  <c r="Q70" i="69"/>
  <c r="N79" i="69"/>
  <c r="AF49" i="71"/>
  <c r="P69" i="71"/>
  <c r="R73" i="71"/>
  <c r="Q73" i="71"/>
  <c r="D20" i="72"/>
  <c r="AD2" i="73"/>
  <c r="AF29" i="73"/>
  <c r="L41" i="73"/>
  <c r="O17" i="13"/>
  <c r="N69" i="13"/>
  <c r="AG59" i="13"/>
  <c r="O59" i="13"/>
  <c r="AF6" i="17"/>
  <c r="O39" i="21"/>
  <c r="AF39" i="21"/>
  <c r="AG39" i="21"/>
  <c r="G19" i="20"/>
  <c r="AA2" i="21"/>
  <c r="M6" i="20" s="1"/>
  <c r="AG70" i="25"/>
  <c r="O70" i="25"/>
  <c r="AF70" i="25"/>
  <c r="N79" i="25"/>
  <c r="R79" i="31"/>
  <c r="S70" i="31" s="1"/>
  <c r="J15" i="30" s="1"/>
  <c r="O18" i="37"/>
  <c r="AG18" i="37"/>
  <c r="AF18" i="37"/>
  <c r="P79" i="37"/>
  <c r="J22" i="36"/>
  <c r="L27" i="43"/>
  <c r="L37" i="43" s="1"/>
  <c r="F13" i="42" s="1"/>
  <c r="P27" i="43"/>
  <c r="J37" i="43"/>
  <c r="H6" i="44"/>
  <c r="F6" i="44"/>
  <c r="I1" i="47"/>
  <c r="O29" i="51"/>
  <c r="AG49" i="51"/>
  <c r="O49" i="51"/>
  <c r="N58" i="51"/>
  <c r="AF49" i="51"/>
  <c r="P70" i="53"/>
  <c r="L70" i="53"/>
  <c r="L79" i="53" s="1"/>
  <c r="J13" i="52" s="1"/>
  <c r="J79" i="53"/>
  <c r="P79" i="53" s="1"/>
  <c r="AG50" i="61"/>
  <c r="AF50" i="61"/>
  <c r="L29" i="15"/>
  <c r="P29" i="15"/>
  <c r="AG49" i="17"/>
  <c r="AF49" i="17"/>
  <c r="N58" i="17"/>
  <c r="O49" i="17"/>
  <c r="Q48" i="69"/>
  <c r="AF28" i="73"/>
  <c r="Q49" i="23"/>
  <c r="O58" i="23"/>
  <c r="R49" i="23"/>
  <c r="AG26" i="29"/>
  <c r="AH16" i="29" s="1"/>
  <c r="AF26" i="29"/>
  <c r="J58" i="31"/>
  <c r="P58" i="31" s="1"/>
  <c r="L49" i="31"/>
  <c r="L58" i="31" s="1"/>
  <c r="H13" i="30" s="1"/>
  <c r="P49" i="31"/>
  <c r="L27" i="15"/>
  <c r="Q7" i="71"/>
  <c r="AG28" i="73"/>
  <c r="AF79" i="21"/>
  <c r="Q79" i="21"/>
  <c r="AG79" i="21"/>
  <c r="AH70" i="21" s="1"/>
  <c r="P37" i="25"/>
  <c r="F22" i="24"/>
  <c r="O29" i="29"/>
  <c r="AG29" i="29"/>
  <c r="AF70" i="3"/>
  <c r="R17" i="69"/>
  <c r="Q17" i="69"/>
  <c r="AG51" i="69"/>
  <c r="AF51" i="69"/>
  <c r="O51" i="69"/>
  <c r="AF29" i="29"/>
  <c r="AG61" i="29"/>
  <c r="AF61" i="29"/>
  <c r="O61" i="29"/>
  <c r="AG39" i="3"/>
  <c r="AF39" i="3"/>
  <c r="N48" i="3"/>
  <c r="O39" i="3"/>
  <c r="L6" i="71"/>
  <c r="L15" i="71" s="1"/>
  <c r="D13" i="70" s="1"/>
  <c r="Q20" i="73"/>
  <c r="R60" i="73"/>
  <c r="AF18" i="17"/>
  <c r="AG7" i="19"/>
  <c r="AF7" i="19"/>
  <c r="O7" i="19"/>
  <c r="AG51" i="21"/>
  <c r="AF51" i="21"/>
  <c r="O51" i="21"/>
  <c r="AF59" i="21"/>
  <c r="Q51" i="15"/>
  <c r="P27" i="13"/>
  <c r="J37" i="13"/>
  <c r="P37" i="13" s="1"/>
  <c r="AF6" i="21"/>
  <c r="N15" i="21"/>
  <c r="O6" i="21"/>
  <c r="O15" i="21" s="1"/>
  <c r="AG6" i="21"/>
  <c r="AG27" i="25"/>
  <c r="AF27" i="25"/>
  <c r="O27" i="25"/>
  <c r="N37" i="25"/>
  <c r="D19" i="30"/>
  <c r="AA2" i="31"/>
  <c r="M6" i="30" s="1"/>
  <c r="K26" i="69"/>
  <c r="L19" i="69"/>
  <c r="K37" i="73"/>
  <c r="L27" i="73"/>
  <c r="L27" i="13"/>
  <c r="D21" i="18"/>
  <c r="AE2" i="19"/>
  <c r="O6" i="18" s="1"/>
  <c r="D21" i="20"/>
  <c r="Q49" i="21"/>
  <c r="O58" i="21"/>
  <c r="O16" i="23"/>
  <c r="N26" i="23"/>
  <c r="AG16" i="23"/>
  <c r="AF16" i="23"/>
  <c r="L28" i="31"/>
  <c r="AG28" i="39"/>
  <c r="AF28" i="39"/>
  <c r="O28" i="39"/>
  <c r="Z2" i="59"/>
  <c r="L6" i="58" s="1"/>
  <c r="D18" i="58"/>
  <c r="AF39" i="15"/>
  <c r="AG39" i="15"/>
  <c r="O39" i="15"/>
  <c r="L51" i="73"/>
  <c r="R17" i="15"/>
  <c r="Q17" i="15"/>
  <c r="R7" i="69"/>
  <c r="Q7" i="69"/>
  <c r="R18" i="69"/>
  <c r="Q18" i="69"/>
  <c r="AF60" i="69"/>
  <c r="AG60" i="69"/>
  <c r="AG29" i="73"/>
  <c r="AG6" i="17"/>
  <c r="J69" i="17"/>
  <c r="P69" i="17" s="1"/>
  <c r="P59" i="17"/>
  <c r="I22" i="24"/>
  <c r="I1" i="25"/>
  <c r="AG50" i="29"/>
  <c r="AF50" i="29"/>
  <c r="O50" i="29"/>
  <c r="N58" i="29"/>
  <c r="R59" i="29"/>
  <c r="Q59" i="29"/>
  <c r="R17" i="43"/>
  <c r="Q17" i="43"/>
  <c r="AG5" i="47"/>
  <c r="AF5" i="47"/>
  <c r="N15" i="47"/>
  <c r="R40" i="53"/>
  <c r="Q40" i="53"/>
  <c r="O50" i="61"/>
  <c r="Q51" i="61"/>
  <c r="O17" i="53"/>
  <c r="AG17" i="53"/>
  <c r="AF17" i="53"/>
  <c r="AD2" i="59"/>
  <c r="N6" i="58" s="1"/>
  <c r="D20" i="58"/>
  <c r="E20" i="62"/>
  <c r="AD2" i="63"/>
  <c r="N6" i="62" s="1"/>
  <c r="L50" i="65"/>
  <c r="G2" i="3"/>
  <c r="J3" i="2"/>
  <c r="R28" i="3"/>
  <c r="K69" i="69"/>
  <c r="N69" i="71"/>
  <c r="AF59" i="71"/>
  <c r="AG59" i="71"/>
  <c r="O59" i="71"/>
  <c r="AE2" i="73"/>
  <c r="J48" i="13"/>
  <c r="P38" i="13"/>
  <c r="N58" i="13"/>
  <c r="AG49" i="13"/>
  <c r="AF49" i="13"/>
  <c r="AG52" i="13"/>
  <c r="AF52" i="13"/>
  <c r="Q59" i="17"/>
  <c r="O69" i="17"/>
  <c r="F6" i="18"/>
  <c r="H6" i="18"/>
  <c r="O17" i="21"/>
  <c r="AG17" i="21"/>
  <c r="AF17" i="21"/>
  <c r="L50" i="25"/>
  <c r="P50" i="25"/>
  <c r="L39" i="31"/>
  <c r="AG39" i="31"/>
  <c r="AF39" i="31"/>
  <c r="P48" i="31"/>
  <c r="G22" i="30"/>
  <c r="AE2" i="33"/>
  <c r="O6" i="32" s="1"/>
  <c r="D21" i="32"/>
  <c r="AF39" i="33"/>
  <c r="AG39" i="33"/>
  <c r="AG51" i="33"/>
  <c r="AF51" i="33"/>
  <c r="AF79" i="33"/>
  <c r="AG79" i="33"/>
  <c r="AH70" i="33" s="1"/>
  <c r="Q79" i="33"/>
  <c r="R59" i="37"/>
  <c r="AG17" i="41"/>
  <c r="AF17" i="41"/>
  <c r="AG17" i="49"/>
  <c r="O17" i="49"/>
  <c r="O39" i="49"/>
  <c r="AG39" i="49"/>
  <c r="AA2" i="55"/>
  <c r="M6" i="54" s="1"/>
  <c r="D19" i="54"/>
  <c r="R7" i="59"/>
  <c r="Q7" i="59"/>
  <c r="P48" i="61"/>
  <c r="AF17" i="63"/>
  <c r="AG17" i="63"/>
  <c r="P40" i="65"/>
  <c r="L40" i="65"/>
  <c r="L6" i="67"/>
  <c r="O16" i="15"/>
  <c r="N26" i="15"/>
  <c r="AG49" i="3"/>
  <c r="N58" i="3"/>
  <c r="AF49" i="3"/>
  <c r="O49" i="3"/>
  <c r="AG60" i="3"/>
  <c r="AF60" i="3"/>
  <c r="O60" i="3"/>
  <c r="D22" i="68"/>
  <c r="P15" i="69"/>
  <c r="I1" i="69"/>
  <c r="AG19" i="69"/>
  <c r="AF19" i="69"/>
  <c r="L59" i="69"/>
  <c r="L69" i="69" s="1"/>
  <c r="I13" i="68" s="1"/>
  <c r="L19" i="71"/>
  <c r="O19" i="73"/>
  <c r="AG19" i="73"/>
  <c r="O52" i="13"/>
  <c r="L15" i="21"/>
  <c r="D13" i="20" s="1"/>
  <c r="R5" i="21"/>
  <c r="Q5" i="21"/>
  <c r="Q6" i="23"/>
  <c r="R6" i="23"/>
  <c r="N69" i="25"/>
  <c r="O59" i="25"/>
  <c r="AG59" i="25"/>
  <c r="O27" i="43"/>
  <c r="AF27" i="43"/>
  <c r="AG27" i="43"/>
  <c r="N37" i="43"/>
  <c r="AF17" i="49"/>
  <c r="L60" i="49"/>
  <c r="P60" i="49"/>
  <c r="AG6" i="51"/>
  <c r="N15" i="51"/>
  <c r="AF6" i="51"/>
  <c r="O6" i="51"/>
  <c r="AD2" i="55"/>
  <c r="N6" i="54" s="1"/>
  <c r="D20" i="54"/>
  <c r="Q79" i="59"/>
  <c r="AG79" i="59"/>
  <c r="AH70" i="59" s="1"/>
  <c r="AF79" i="59"/>
  <c r="Q37" i="61"/>
  <c r="AG37" i="61"/>
  <c r="AH27" i="61" s="1"/>
  <c r="AF37" i="61"/>
  <c r="AG15" i="63"/>
  <c r="AH5" i="63" s="1"/>
  <c r="AF15" i="63"/>
  <c r="O17" i="63"/>
  <c r="AF18" i="63"/>
  <c r="AG18" i="63"/>
  <c r="Q60" i="63"/>
  <c r="R60" i="63"/>
  <c r="J3" i="66"/>
  <c r="G2" i="67"/>
  <c r="O17" i="67"/>
  <c r="AG17" i="67"/>
  <c r="AF17" i="67"/>
  <c r="AF16" i="15"/>
  <c r="E22" i="14"/>
  <c r="I1" i="3"/>
  <c r="Q17" i="3"/>
  <c r="K58" i="69"/>
  <c r="P26" i="71"/>
  <c r="Q38" i="71"/>
  <c r="R18" i="73"/>
  <c r="Q18" i="73"/>
  <c r="O27" i="73"/>
  <c r="N37" i="73"/>
  <c r="AG27" i="73"/>
  <c r="AF27" i="73"/>
  <c r="AG17" i="19"/>
  <c r="AF17" i="19"/>
  <c r="O17" i="19"/>
  <c r="N26" i="19"/>
  <c r="O60" i="19"/>
  <c r="AG60" i="19"/>
  <c r="AF38" i="21"/>
  <c r="P58" i="23"/>
  <c r="H22" i="22"/>
  <c r="AG6" i="27"/>
  <c r="AF6" i="27"/>
  <c r="AG7" i="27"/>
  <c r="AF7" i="27"/>
  <c r="O7" i="27"/>
  <c r="Q48" i="27"/>
  <c r="AF48" i="27"/>
  <c r="AG48" i="27"/>
  <c r="AH38" i="27" s="1"/>
  <c r="L49" i="27"/>
  <c r="L58" i="27" s="1"/>
  <c r="H13" i="26" s="1"/>
  <c r="G22" i="28"/>
  <c r="P48" i="29"/>
  <c r="AA2" i="39"/>
  <c r="M6" i="38" s="1"/>
  <c r="E19" i="38"/>
  <c r="L16" i="41"/>
  <c r="L26" i="41" s="1"/>
  <c r="E13" i="40" s="1"/>
  <c r="AF16" i="41"/>
  <c r="K26" i="41"/>
  <c r="AD2" i="41"/>
  <c r="N6" i="40" s="1"/>
  <c r="F20" i="40"/>
  <c r="O16" i="43"/>
  <c r="I22" i="42"/>
  <c r="P69" i="43"/>
  <c r="J79" i="45"/>
  <c r="P79" i="45" s="1"/>
  <c r="P70" i="45"/>
  <c r="AF51" i="57"/>
  <c r="AG51" i="57"/>
  <c r="O51" i="57"/>
  <c r="O18" i="63"/>
  <c r="AG16" i="15"/>
  <c r="AF52" i="69"/>
  <c r="O52" i="69"/>
  <c r="AG52" i="69"/>
  <c r="AG9" i="71"/>
  <c r="AF9" i="71"/>
  <c r="O9" i="71"/>
  <c r="AF29" i="71"/>
  <c r="AG29" i="71"/>
  <c r="R52" i="71"/>
  <c r="Q52" i="71"/>
  <c r="AG40" i="73"/>
  <c r="O40" i="73"/>
  <c r="AF40" i="73"/>
  <c r="AF52" i="73"/>
  <c r="AG52" i="73"/>
  <c r="AG59" i="73"/>
  <c r="O59" i="73"/>
  <c r="N69" i="73"/>
  <c r="AG19" i="13"/>
  <c r="O19" i="13"/>
  <c r="AG28" i="13"/>
  <c r="AF28" i="13"/>
  <c r="R38" i="13"/>
  <c r="R72" i="13"/>
  <c r="K26" i="17"/>
  <c r="AF5" i="19"/>
  <c r="AG5" i="19"/>
  <c r="N15" i="19"/>
  <c r="R40" i="19"/>
  <c r="N79" i="19"/>
  <c r="O70" i="19"/>
  <c r="E20" i="20"/>
  <c r="AD2" i="21"/>
  <c r="N6" i="20" s="1"/>
  <c r="I22" i="20"/>
  <c r="Q7" i="23"/>
  <c r="R7" i="23"/>
  <c r="AG49" i="23"/>
  <c r="AF49" i="23"/>
  <c r="N58" i="23"/>
  <c r="L61" i="23"/>
  <c r="AF61" i="23"/>
  <c r="D19" i="24"/>
  <c r="AA2" i="25"/>
  <c r="M6" i="24" s="1"/>
  <c r="O6" i="27"/>
  <c r="N58" i="27"/>
  <c r="AG49" i="27"/>
  <c r="AF49" i="27"/>
  <c r="O70" i="27"/>
  <c r="N79" i="27"/>
  <c r="AG70" i="27"/>
  <c r="R70" i="31"/>
  <c r="Q70" i="31"/>
  <c r="J37" i="33"/>
  <c r="P27" i="33"/>
  <c r="Z2" i="33"/>
  <c r="L6" i="32" s="1"/>
  <c r="F18" i="32"/>
  <c r="O61" i="33"/>
  <c r="AF61" i="33"/>
  <c r="J69" i="35"/>
  <c r="P69" i="35" s="1"/>
  <c r="P59" i="35"/>
  <c r="AF60" i="35"/>
  <c r="AG60" i="35"/>
  <c r="R16" i="41"/>
  <c r="Q16" i="41"/>
  <c r="R40" i="41"/>
  <c r="Q40" i="41"/>
  <c r="O40" i="43"/>
  <c r="AG40" i="43"/>
  <c r="AF40" i="43"/>
  <c r="O49" i="45"/>
  <c r="N58" i="45"/>
  <c r="L70" i="45"/>
  <c r="AF70" i="45"/>
  <c r="K79" i="45"/>
  <c r="P27" i="47"/>
  <c r="J37" i="47"/>
  <c r="AF37" i="47"/>
  <c r="AG37" i="47"/>
  <c r="AH27" i="47" s="1"/>
  <c r="L70" i="47"/>
  <c r="L79" i="47" s="1"/>
  <c r="J13" i="46" s="1"/>
  <c r="R6" i="49"/>
  <c r="Q6" i="49"/>
  <c r="AA2" i="49"/>
  <c r="M6" i="48" s="1"/>
  <c r="D19" i="48"/>
  <c r="AG38" i="49"/>
  <c r="AF38" i="49"/>
  <c r="AF39" i="49"/>
  <c r="J15" i="51"/>
  <c r="P15" i="51" s="1"/>
  <c r="P5" i="51"/>
  <c r="N26" i="51"/>
  <c r="AG16" i="51"/>
  <c r="AF16" i="51"/>
  <c r="AG50" i="55"/>
  <c r="AF50" i="55"/>
  <c r="O50" i="55"/>
  <c r="N79" i="57"/>
  <c r="AG70" i="57"/>
  <c r="AF70" i="57"/>
  <c r="G2" i="63"/>
  <c r="J3" i="62"/>
  <c r="R16" i="63"/>
  <c r="O51" i="63"/>
  <c r="AG51" i="63"/>
  <c r="AF51" i="63"/>
  <c r="AG79" i="63"/>
  <c r="AH70" i="63" s="1"/>
  <c r="Q79" i="63"/>
  <c r="AF79" i="63"/>
  <c r="O18" i="15"/>
  <c r="AG18" i="15"/>
  <c r="AF28" i="15"/>
  <c r="AG28" i="15"/>
  <c r="AG38" i="15"/>
  <c r="AF38" i="15"/>
  <c r="O38" i="15"/>
  <c r="N48" i="15"/>
  <c r="R50" i="15"/>
  <c r="Q50" i="15"/>
  <c r="N37" i="3"/>
  <c r="O27" i="3"/>
  <c r="Z2" i="69"/>
  <c r="D18" i="68"/>
  <c r="L6" i="68" s="1"/>
  <c r="O49" i="69"/>
  <c r="AF49" i="69"/>
  <c r="AG49" i="69"/>
  <c r="N58" i="69"/>
  <c r="AG8" i="71"/>
  <c r="AF8" i="71"/>
  <c r="D18" i="70"/>
  <c r="L6" i="70" s="1"/>
  <c r="Z2" i="71"/>
  <c r="O29" i="71"/>
  <c r="AG62" i="71"/>
  <c r="AF62" i="71"/>
  <c r="O52" i="73"/>
  <c r="AF59" i="73"/>
  <c r="AF19" i="13"/>
  <c r="O28" i="13"/>
  <c r="AG51" i="13"/>
  <c r="AF51" i="13"/>
  <c r="O51" i="13"/>
  <c r="R60" i="13"/>
  <c r="R7" i="17"/>
  <c r="L16" i="17"/>
  <c r="N48" i="17"/>
  <c r="AF38" i="17"/>
  <c r="AG38" i="17"/>
  <c r="R50" i="17"/>
  <c r="Q50" i="17"/>
  <c r="O5" i="19"/>
  <c r="AG50" i="19"/>
  <c r="AF50" i="19"/>
  <c r="O50" i="19"/>
  <c r="AF70" i="19"/>
  <c r="AG61" i="21"/>
  <c r="AF61" i="21"/>
  <c r="O61" i="21"/>
  <c r="AF7" i="23"/>
  <c r="AD2" i="25"/>
  <c r="N6" i="24" s="1"/>
  <c r="D20" i="24"/>
  <c r="AF59" i="25"/>
  <c r="P5" i="27"/>
  <c r="L5" i="27"/>
  <c r="Q5" i="27" s="1"/>
  <c r="O49" i="27"/>
  <c r="AF70" i="27"/>
  <c r="AG28" i="29"/>
  <c r="AF28" i="29"/>
  <c r="O28" i="29"/>
  <c r="H18" i="28"/>
  <c r="Z2" i="29"/>
  <c r="L6" i="28" s="1"/>
  <c r="L27" i="33"/>
  <c r="L37" i="33" s="1"/>
  <c r="F13" i="32" s="1"/>
  <c r="AF27" i="33"/>
  <c r="AG27" i="33"/>
  <c r="K37" i="33"/>
  <c r="O49" i="33"/>
  <c r="N58" i="33"/>
  <c r="AG49" i="33"/>
  <c r="O60" i="35"/>
  <c r="R40" i="37"/>
  <c r="Q40" i="37"/>
  <c r="L7" i="39"/>
  <c r="AG7" i="39"/>
  <c r="D20" i="38"/>
  <c r="AD2" i="39"/>
  <c r="N6" i="38" s="1"/>
  <c r="AG18" i="39"/>
  <c r="AF18" i="39"/>
  <c r="R70" i="41"/>
  <c r="Q70" i="41"/>
  <c r="O79" i="41"/>
  <c r="AF16" i="43"/>
  <c r="AF49" i="45"/>
  <c r="L51" i="45"/>
  <c r="R51" i="45" s="1"/>
  <c r="P51" i="45"/>
  <c r="AG28" i="47"/>
  <c r="AF28" i="47"/>
  <c r="O28" i="47"/>
  <c r="Q37" i="47"/>
  <c r="I22" i="46"/>
  <c r="P69" i="47"/>
  <c r="O79" i="47"/>
  <c r="R70" i="47"/>
  <c r="AG7" i="49"/>
  <c r="AF7" i="49"/>
  <c r="O7" i="49"/>
  <c r="O38" i="49"/>
  <c r="L5" i="51"/>
  <c r="AG5" i="51"/>
  <c r="AF5" i="51"/>
  <c r="K15" i="51"/>
  <c r="I1" i="51"/>
  <c r="D22" i="50"/>
  <c r="O16" i="51"/>
  <c r="L28" i="53"/>
  <c r="AG5" i="57"/>
  <c r="AF5" i="57"/>
  <c r="O5" i="57"/>
  <c r="N15" i="57"/>
  <c r="O70" i="57"/>
  <c r="J14" i="62"/>
  <c r="Z2" i="13"/>
  <c r="L6" i="12" s="1"/>
  <c r="R51" i="17"/>
  <c r="Q51" i="17"/>
  <c r="P58" i="15"/>
  <c r="P49" i="69"/>
  <c r="J58" i="69"/>
  <c r="P58" i="69" s="1"/>
  <c r="O8" i="73"/>
  <c r="AG8" i="73"/>
  <c r="L52" i="73"/>
  <c r="P52" i="73"/>
  <c r="O49" i="13"/>
  <c r="O5" i="17"/>
  <c r="AG5" i="17"/>
  <c r="AF5" i="17"/>
  <c r="O51" i="19"/>
  <c r="AF51" i="19"/>
  <c r="AG51" i="19"/>
  <c r="P37" i="33"/>
  <c r="F22" i="32"/>
  <c r="N26" i="39"/>
  <c r="O16" i="39"/>
  <c r="AG16" i="39"/>
  <c r="AF16" i="39"/>
  <c r="AF60" i="43"/>
  <c r="O60" i="43"/>
  <c r="O16" i="3"/>
  <c r="N26" i="3"/>
  <c r="L51" i="3"/>
  <c r="R51" i="3" s="1"/>
  <c r="AF15" i="69"/>
  <c r="AG15" i="69"/>
  <c r="AH5" i="69" s="1"/>
  <c r="R19" i="71"/>
  <c r="Q19" i="71"/>
  <c r="AG27" i="19"/>
  <c r="AF27" i="19"/>
  <c r="O27" i="19"/>
  <c r="N37" i="19"/>
  <c r="D18" i="22"/>
  <c r="Z2" i="23"/>
  <c r="L6" i="22" s="1"/>
  <c r="N15" i="3"/>
  <c r="O5" i="3"/>
  <c r="R70" i="23"/>
  <c r="O79" i="23"/>
  <c r="Q70" i="23"/>
  <c r="AF5" i="71"/>
  <c r="O5" i="71"/>
  <c r="AG5" i="71"/>
  <c r="N15" i="71"/>
  <c r="Q8" i="71"/>
  <c r="R8" i="71"/>
  <c r="AF19" i="71"/>
  <c r="O6" i="70"/>
  <c r="N6" i="70"/>
  <c r="AG28" i="71"/>
  <c r="AF28" i="71"/>
  <c r="M6" i="70"/>
  <c r="AF61" i="71"/>
  <c r="AG61" i="71"/>
  <c r="O79" i="71"/>
  <c r="R70" i="71"/>
  <c r="Q70" i="71"/>
  <c r="AF7" i="73"/>
  <c r="AG7" i="73"/>
  <c r="AG30" i="73"/>
  <c r="O30" i="73"/>
  <c r="AF30" i="73"/>
  <c r="Q61" i="73"/>
  <c r="J14" i="72"/>
  <c r="P5" i="13"/>
  <c r="O16" i="17"/>
  <c r="N26" i="17"/>
  <c r="AF16" i="17"/>
  <c r="AG16" i="17"/>
  <c r="R28" i="17"/>
  <c r="O48" i="17"/>
  <c r="Q38" i="17"/>
  <c r="R38" i="17"/>
  <c r="R61" i="17"/>
  <c r="Q61" i="17"/>
  <c r="AF70" i="17"/>
  <c r="N79" i="17"/>
  <c r="N58" i="19"/>
  <c r="AG59" i="19"/>
  <c r="AF59" i="19"/>
  <c r="N69" i="19"/>
  <c r="AF60" i="19"/>
  <c r="AG70" i="19"/>
  <c r="AG40" i="21"/>
  <c r="AF40" i="21"/>
  <c r="AG7" i="23"/>
  <c r="AF70" i="23"/>
  <c r="AG70" i="23"/>
  <c r="N79" i="23"/>
  <c r="Q7" i="25"/>
  <c r="R7" i="25"/>
  <c r="D21" i="24"/>
  <c r="AE2" i="25"/>
  <c r="O6" i="24" s="1"/>
  <c r="K37" i="25"/>
  <c r="K58" i="25"/>
  <c r="L49" i="25"/>
  <c r="L58" i="25" s="1"/>
  <c r="H13" i="24" s="1"/>
  <c r="O28" i="27"/>
  <c r="AG28" i="27"/>
  <c r="Q51" i="31"/>
  <c r="R51" i="31"/>
  <c r="L15" i="33"/>
  <c r="D13" i="32" s="1"/>
  <c r="Q5" i="33"/>
  <c r="L59" i="35"/>
  <c r="L69" i="35" s="1"/>
  <c r="I13" i="34" s="1"/>
  <c r="J6" i="34" s="1"/>
  <c r="D21" i="38"/>
  <c r="AE2" i="39"/>
  <c r="O6" i="38" s="1"/>
  <c r="R18" i="39"/>
  <c r="Q18" i="39"/>
  <c r="Q29" i="39"/>
  <c r="O18" i="45"/>
  <c r="AF18" i="45"/>
  <c r="AG28" i="45"/>
  <c r="AF28" i="45"/>
  <c r="O28" i="45"/>
  <c r="AG49" i="45"/>
  <c r="J3" i="46"/>
  <c r="G2" i="47"/>
  <c r="L27" i="47"/>
  <c r="L37" i="47" s="1"/>
  <c r="F13" i="46" s="1"/>
  <c r="R59" i="47"/>
  <c r="O69" i="47"/>
  <c r="Q59" i="47"/>
  <c r="AF69" i="47"/>
  <c r="AG69" i="47"/>
  <c r="AH59" i="47" s="1"/>
  <c r="D22" i="52"/>
  <c r="I1" i="53"/>
  <c r="F6" i="54"/>
  <c r="H6" i="54"/>
  <c r="O6" i="55"/>
  <c r="AG6" i="55"/>
  <c r="AA2" i="57"/>
  <c r="M6" i="56" s="1"/>
  <c r="D19" i="56"/>
  <c r="AG69" i="57"/>
  <c r="AH59" i="57" s="1"/>
  <c r="AF69" i="57"/>
  <c r="Q69" i="57"/>
  <c r="AG59" i="59"/>
  <c r="AF59" i="59"/>
  <c r="N69" i="59"/>
  <c r="O59" i="59"/>
  <c r="R51" i="15"/>
  <c r="N26" i="69"/>
  <c r="AF16" i="69"/>
  <c r="AG16" i="69"/>
  <c r="Q30" i="69"/>
  <c r="R30" i="71"/>
  <c r="Q30" i="71"/>
  <c r="AG29" i="13"/>
  <c r="AF29" i="13"/>
  <c r="AG49" i="21"/>
  <c r="N58" i="21"/>
  <c r="P79" i="67"/>
  <c r="J22" i="66"/>
  <c r="I1" i="67"/>
  <c r="D18" i="14"/>
  <c r="Z2" i="15"/>
  <c r="L6" i="14" s="1"/>
  <c r="O61" i="15"/>
  <c r="AF61" i="15"/>
  <c r="AG61" i="15"/>
  <c r="AF48" i="69"/>
  <c r="AF5" i="73"/>
  <c r="D18" i="12"/>
  <c r="D19" i="12"/>
  <c r="AA2" i="13"/>
  <c r="M6" i="12" s="1"/>
  <c r="O38" i="21"/>
  <c r="N48" i="21"/>
  <c r="Q49" i="29"/>
  <c r="R49" i="29"/>
  <c r="N69" i="29"/>
  <c r="AG59" i="29"/>
  <c r="AF59" i="29"/>
  <c r="AF38" i="33"/>
  <c r="N48" i="33"/>
  <c r="AG38" i="33"/>
  <c r="O39" i="33"/>
  <c r="O51" i="33"/>
  <c r="O17" i="41"/>
  <c r="AG26" i="43"/>
  <c r="AH16" i="43" s="1"/>
  <c r="AF26" i="43"/>
  <c r="N48" i="49"/>
  <c r="AG79" i="67"/>
  <c r="AH70" i="67" s="1"/>
  <c r="AF79" i="67"/>
  <c r="Q79" i="67"/>
  <c r="AG18" i="3"/>
  <c r="AF18" i="3"/>
  <c r="O19" i="69"/>
  <c r="AF19" i="73"/>
  <c r="L58" i="17"/>
  <c r="H13" i="16" s="1"/>
  <c r="AF6" i="19"/>
  <c r="AG50" i="25"/>
  <c r="AF50" i="25"/>
  <c r="O50" i="25"/>
  <c r="J22" i="24"/>
  <c r="P79" i="25"/>
  <c r="D21" i="26"/>
  <c r="AE2" i="27"/>
  <c r="O6" i="26" s="1"/>
  <c r="AF61" i="35"/>
  <c r="O61" i="35"/>
  <c r="Q59" i="37"/>
  <c r="N37" i="39"/>
  <c r="AG27" i="39"/>
  <c r="AF27" i="39"/>
  <c r="L48" i="15"/>
  <c r="G13" i="14" s="1"/>
  <c r="AF16" i="3"/>
  <c r="O48" i="3"/>
  <c r="R38" i="3"/>
  <c r="AG18" i="69"/>
  <c r="AF18" i="69"/>
  <c r="AG27" i="69"/>
  <c r="AF27" i="69"/>
  <c r="N37" i="69"/>
  <c r="O27" i="69"/>
  <c r="L28" i="15"/>
  <c r="AG31" i="15"/>
  <c r="AF31" i="15"/>
  <c r="AG5" i="3"/>
  <c r="AD2" i="3"/>
  <c r="N6" i="2" s="1"/>
  <c r="Q38" i="3"/>
  <c r="R59" i="3"/>
  <c r="Q32" i="71"/>
  <c r="R32" i="71"/>
  <c r="O31" i="15"/>
  <c r="AE2" i="3"/>
  <c r="O6" i="2" s="1"/>
  <c r="M6" i="68"/>
  <c r="R29" i="69"/>
  <c r="Q29" i="69"/>
  <c r="AG39" i="69"/>
  <c r="AF39" i="69"/>
  <c r="AG7" i="71"/>
  <c r="AF7" i="71"/>
  <c r="O28" i="71"/>
  <c r="O61" i="71"/>
  <c r="O7" i="73"/>
  <c r="AF8" i="73"/>
  <c r="L39" i="73"/>
  <c r="P39" i="73"/>
  <c r="AF31" i="13"/>
  <c r="AG31" i="13"/>
  <c r="P50" i="13"/>
  <c r="L50" i="13"/>
  <c r="L58" i="13" s="1"/>
  <c r="H13" i="12" s="1"/>
  <c r="AG60" i="17"/>
  <c r="AF60" i="17"/>
  <c r="O70" i="17"/>
  <c r="P15" i="19"/>
  <c r="AG39" i="19"/>
  <c r="O39" i="19"/>
  <c r="AF39" i="19"/>
  <c r="AG49" i="19"/>
  <c r="AF49" i="19"/>
  <c r="O59" i="19"/>
  <c r="L7" i="21"/>
  <c r="O40" i="21"/>
  <c r="AG18" i="23"/>
  <c r="O18" i="23"/>
  <c r="AF18" i="23"/>
  <c r="P38" i="23"/>
  <c r="J48" i="23"/>
  <c r="P48" i="23" s="1"/>
  <c r="AF7" i="25"/>
  <c r="Q48" i="25"/>
  <c r="AF48" i="25"/>
  <c r="AG48" i="25"/>
  <c r="AH38" i="25" s="1"/>
  <c r="O15" i="27"/>
  <c r="G2" i="29"/>
  <c r="J3" i="28"/>
  <c r="P27" i="29"/>
  <c r="J37" i="29"/>
  <c r="P37" i="29" s="1"/>
  <c r="E22" i="32"/>
  <c r="AG61" i="33"/>
  <c r="O26" i="35"/>
  <c r="N37" i="35"/>
  <c r="AG27" i="35"/>
  <c r="AF27" i="35"/>
  <c r="AG39" i="35"/>
  <c r="AF39" i="35"/>
  <c r="O39" i="35"/>
  <c r="N48" i="35"/>
  <c r="AG28" i="37"/>
  <c r="O28" i="37"/>
  <c r="P38" i="37"/>
  <c r="J48" i="37"/>
  <c r="P48" i="37"/>
  <c r="N58" i="37"/>
  <c r="AF49" i="37"/>
  <c r="AG49" i="37"/>
  <c r="O49" i="37"/>
  <c r="O61" i="37"/>
  <c r="AG61" i="37"/>
  <c r="AF61" i="37"/>
  <c r="O60" i="45"/>
  <c r="AF60" i="45"/>
  <c r="N69" i="45"/>
  <c r="AG60" i="45"/>
  <c r="J15" i="47"/>
  <c r="P5" i="47"/>
  <c r="L5" i="47"/>
  <c r="L15" i="47" s="1"/>
  <c r="D13" i="46" s="1"/>
  <c r="O27" i="47"/>
  <c r="AG27" i="47"/>
  <c r="AF27" i="47"/>
  <c r="AG40" i="47"/>
  <c r="AF40" i="47"/>
  <c r="D18" i="50"/>
  <c r="Z2" i="51"/>
  <c r="L6" i="50" s="1"/>
  <c r="AD2" i="53"/>
  <c r="N6" i="52" s="1"/>
  <c r="AG40" i="53"/>
  <c r="AF40" i="53"/>
  <c r="N15" i="55"/>
  <c r="AG5" i="55"/>
  <c r="AF5" i="55"/>
  <c r="R40" i="57"/>
  <c r="Q40" i="57"/>
  <c r="AF17" i="59"/>
  <c r="O17" i="59"/>
  <c r="AG17" i="59"/>
  <c r="R18" i="59"/>
  <c r="Q18" i="59"/>
  <c r="AG50" i="59"/>
  <c r="O50" i="59"/>
  <c r="O58" i="59" s="1"/>
  <c r="E18" i="60"/>
  <c r="Z2" i="61"/>
  <c r="L6" i="60" s="1"/>
  <c r="AG51" i="61"/>
  <c r="AF51" i="61"/>
  <c r="G2" i="35"/>
  <c r="J3" i="34"/>
  <c r="AG29" i="35"/>
  <c r="O29" i="35"/>
  <c r="O38" i="39"/>
  <c r="AG38" i="39"/>
  <c r="AF38" i="39"/>
  <c r="N48" i="39"/>
  <c r="O15" i="41"/>
  <c r="R5" i="41"/>
  <c r="Q5" i="41"/>
  <c r="L50" i="41"/>
  <c r="R50" i="41" s="1"/>
  <c r="P6" i="43"/>
  <c r="L6" i="43"/>
  <c r="L59" i="45"/>
  <c r="L69" i="45" s="1"/>
  <c r="I13" i="44" s="1"/>
  <c r="J6" i="44" s="1"/>
  <c r="AG59" i="45"/>
  <c r="Q58" i="47"/>
  <c r="AF58" i="47"/>
  <c r="AG58" i="47"/>
  <c r="AH49" i="47" s="1"/>
  <c r="AG6" i="49"/>
  <c r="N15" i="49"/>
  <c r="AF7" i="51"/>
  <c r="AG7" i="51"/>
  <c r="D19" i="50"/>
  <c r="AA2" i="51"/>
  <c r="M6" i="50" s="1"/>
  <c r="O48" i="51"/>
  <c r="R38" i="51"/>
  <c r="Q38" i="51"/>
  <c r="G21" i="50"/>
  <c r="AE2" i="51"/>
  <c r="O6" i="50" s="1"/>
  <c r="AF51" i="51"/>
  <c r="O61" i="53"/>
  <c r="AF61" i="53"/>
  <c r="AG61" i="53"/>
  <c r="O40" i="55"/>
  <c r="AG40" i="55"/>
  <c r="AF40" i="55"/>
  <c r="AF37" i="57"/>
  <c r="AG37" i="57"/>
  <c r="AH27" i="57" s="1"/>
  <c r="L39" i="59"/>
  <c r="Q39" i="59" s="1"/>
  <c r="P39" i="59"/>
  <c r="O40" i="59"/>
  <c r="AG40" i="59"/>
  <c r="AF40" i="59"/>
  <c r="AG6" i="15"/>
  <c r="AF6" i="15"/>
  <c r="N15" i="15"/>
  <c r="O6" i="15"/>
  <c r="J48" i="15"/>
  <c r="P48" i="15" s="1"/>
  <c r="P39" i="15"/>
  <c r="L60" i="15"/>
  <c r="R60" i="15" s="1"/>
  <c r="AG7" i="3"/>
  <c r="AF7" i="3"/>
  <c r="O7" i="3"/>
  <c r="O69" i="3"/>
  <c r="L8" i="69"/>
  <c r="AD2" i="69"/>
  <c r="E20" i="68"/>
  <c r="AF59" i="69"/>
  <c r="N69" i="69"/>
  <c r="AG59" i="69"/>
  <c r="AF6" i="71"/>
  <c r="O6" i="71"/>
  <c r="AG6" i="71"/>
  <c r="J37" i="71"/>
  <c r="P37" i="71" s="1"/>
  <c r="P27" i="71"/>
  <c r="L79" i="71"/>
  <c r="J13" i="70" s="1"/>
  <c r="R34" i="73"/>
  <c r="L5" i="13"/>
  <c r="K15" i="13"/>
  <c r="AG5" i="13"/>
  <c r="AD2" i="13"/>
  <c r="N6" i="12" s="1"/>
  <c r="AG17" i="17"/>
  <c r="AF51" i="17"/>
  <c r="AG51" i="17"/>
  <c r="R6" i="19"/>
  <c r="Q6" i="19"/>
  <c r="O15" i="25"/>
  <c r="AD2" i="27"/>
  <c r="N6" i="26" s="1"/>
  <c r="AF5" i="29"/>
  <c r="AG5" i="29"/>
  <c r="R18" i="29"/>
  <c r="Q18" i="29"/>
  <c r="R60" i="33"/>
  <c r="AF28" i="35"/>
  <c r="O28" i="35"/>
  <c r="O37" i="35" s="1"/>
  <c r="AG28" i="35"/>
  <c r="AF29" i="35"/>
  <c r="AG6" i="37"/>
  <c r="O6" i="37"/>
  <c r="N15" i="37"/>
  <c r="L16" i="37"/>
  <c r="L26" i="37" s="1"/>
  <c r="E13" i="36" s="1"/>
  <c r="P16" i="37"/>
  <c r="J26" i="37"/>
  <c r="L5" i="39"/>
  <c r="L15" i="39" s="1"/>
  <c r="D13" i="38" s="1"/>
  <c r="L7" i="41"/>
  <c r="Q7" i="41" s="1"/>
  <c r="J3" i="42"/>
  <c r="G2" i="43"/>
  <c r="AG7" i="45"/>
  <c r="AF7" i="45"/>
  <c r="O7" i="45"/>
  <c r="P58" i="45"/>
  <c r="H22" i="44"/>
  <c r="G2" i="49"/>
  <c r="J3" i="48"/>
  <c r="AF6" i="49"/>
  <c r="O7" i="51"/>
  <c r="L29" i="53"/>
  <c r="J3" i="54"/>
  <c r="G2" i="55"/>
  <c r="Q37" i="57"/>
  <c r="AG37" i="63"/>
  <c r="AH27" i="63" s="1"/>
  <c r="R39" i="67"/>
  <c r="Q39" i="67"/>
  <c r="K48" i="15"/>
  <c r="O61" i="3"/>
  <c r="AG61" i="3"/>
  <c r="AF61" i="3"/>
  <c r="P38" i="73"/>
  <c r="J48" i="73"/>
  <c r="P48" i="73" s="1"/>
  <c r="AF41" i="73"/>
  <c r="AG41" i="73"/>
  <c r="O41" i="73"/>
  <c r="R18" i="19"/>
  <c r="Q18" i="19"/>
  <c r="O17" i="23"/>
  <c r="AG17" i="23"/>
  <c r="AF17" i="23"/>
  <c r="O26" i="25"/>
  <c r="AG17" i="27"/>
  <c r="N26" i="27"/>
  <c r="O17" i="27"/>
  <c r="O27" i="27"/>
  <c r="N37" i="27"/>
  <c r="AG51" i="27"/>
  <c r="O51" i="27"/>
  <c r="R5" i="29"/>
  <c r="Q5" i="29"/>
  <c r="O15" i="29"/>
  <c r="O60" i="29"/>
  <c r="AG60" i="29"/>
  <c r="AF60" i="29"/>
  <c r="P38" i="31"/>
  <c r="J48" i="31"/>
  <c r="Q60" i="31"/>
  <c r="AG51" i="35"/>
  <c r="AF51" i="35"/>
  <c r="L51" i="35"/>
  <c r="E21" i="36"/>
  <c r="AE2" i="37"/>
  <c r="O6" i="36" s="1"/>
  <c r="P58" i="37"/>
  <c r="H22" i="36"/>
  <c r="AF60" i="37"/>
  <c r="AG60" i="37"/>
  <c r="F18" i="38"/>
  <c r="Z2" i="39"/>
  <c r="L6" i="38" s="1"/>
  <c r="O59" i="41"/>
  <c r="N69" i="41"/>
  <c r="AG59" i="41"/>
  <c r="O69" i="45"/>
  <c r="R59" i="45"/>
  <c r="Q59" i="45"/>
  <c r="AF50" i="47"/>
  <c r="O50" i="47"/>
  <c r="O58" i="47" s="1"/>
  <c r="J20" i="46"/>
  <c r="AD2" i="47"/>
  <c r="N6" i="46" s="1"/>
  <c r="P27" i="49"/>
  <c r="J37" i="49"/>
  <c r="P37" i="49" s="1"/>
  <c r="AG60" i="53"/>
  <c r="AF60" i="53"/>
  <c r="O60" i="53"/>
  <c r="AG6" i="57"/>
  <c r="AF6" i="57"/>
  <c r="O6" i="57"/>
  <c r="AG60" i="59"/>
  <c r="AF60" i="59"/>
  <c r="O60" i="59"/>
  <c r="I1" i="61"/>
  <c r="D22" i="60"/>
  <c r="P15" i="61"/>
  <c r="R16" i="61"/>
  <c r="O26" i="61"/>
  <c r="Q16" i="61"/>
  <c r="E22" i="60"/>
  <c r="P26" i="61"/>
  <c r="AG27" i="61"/>
  <c r="AF27" i="61"/>
  <c r="O27" i="61"/>
  <c r="AF29" i="15"/>
  <c r="AG29" i="15"/>
  <c r="G1" i="71"/>
  <c r="AG39" i="71"/>
  <c r="AF39" i="71"/>
  <c r="Q71" i="71"/>
  <c r="R71" i="71"/>
  <c r="D18" i="72"/>
  <c r="L6" i="72" s="1"/>
  <c r="Z2" i="73"/>
  <c r="I1" i="13"/>
  <c r="E22" i="12"/>
  <c r="K48" i="17"/>
  <c r="H22" i="16"/>
  <c r="J3" i="18"/>
  <c r="G2" i="19"/>
  <c r="Z2" i="19"/>
  <c r="L6" i="18" s="1"/>
  <c r="G18" i="18"/>
  <c r="Q20" i="15"/>
  <c r="O29" i="15"/>
  <c r="L39" i="15"/>
  <c r="Q59" i="3"/>
  <c r="Q27" i="71"/>
  <c r="AG30" i="71"/>
  <c r="AF30" i="71"/>
  <c r="O39" i="71"/>
  <c r="AA2" i="73"/>
  <c r="AG31" i="73"/>
  <c r="AF31" i="73"/>
  <c r="O31" i="73"/>
  <c r="K48" i="73"/>
  <c r="AF30" i="13"/>
  <c r="AG30" i="13"/>
  <c r="O30" i="13"/>
  <c r="AF50" i="13"/>
  <c r="AG50" i="13"/>
  <c r="O50" i="13"/>
  <c r="J26" i="17"/>
  <c r="P26" i="17" s="1"/>
  <c r="P16" i="17"/>
  <c r="L39" i="17"/>
  <c r="L48" i="17" s="1"/>
  <c r="G13" i="16" s="1"/>
  <c r="AF61" i="17"/>
  <c r="AG61" i="17"/>
  <c r="AF18" i="19"/>
  <c r="L38" i="19"/>
  <c r="L48" i="19" s="1"/>
  <c r="G13" i="18" s="1"/>
  <c r="K48" i="19"/>
  <c r="R60" i="21"/>
  <c r="Q60" i="21"/>
  <c r="L16" i="23"/>
  <c r="L26" i="23" s="1"/>
  <c r="E13" i="22" s="1"/>
  <c r="F14" i="22"/>
  <c r="AG17" i="25"/>
  <c r="AF17" i="25"/>
  <c r="AF17" i="27"/>
  <c r="AF27" i="27"/>
  <c r="AF51" i="27"/>
  <c r="AG17" i="29"/>
  <c r="AF17" i="29"/>
  <c r="O17" i="29"/>
  <c r="R27" i="31"/>
  <c r="Q27" i="31"/>
  <c r="K48" i="31"/>
  <c r="AF48" i="31" s="1"/>
  <c r="AG38" i="31"/>
  <c r="AF38" i="31"/>
  <c r="AG51" i="31"/>
  <c r="AF51" i="31"/>
  <c r="AG70" i="31"/>
  <c r="N79" i="31"/>
  <c r="AF70" i="31"/>
  <c r="R6" i="33"/>
  <c r="Q6" i="33"/>
  <c r="O29" i="33"/>
  <c r="AG29" i="33"/>
  <c r="AF29" i="33"/>
  <c r="Q40" i="33"/>
  <c r="R40" i="33"/>
  <c r="Q60" i="33"/>
  <c r="AF59" i="37"/>
  <c r="N69" i="37"/>
  <c r="AG59" i="37"/>
  <c r="O60" i="37"/>
  <c r="O69" i="37" s="1"/>
  <c r="J22" i="38"/>
  <c r="P79" i="39"/>
  <c r="I1" i="39"/>
  <c r="O18" i="41"/>
  <c r="AF18" i="41"/>
  <c r="AG18" i="41"/>
  <c r="N48" i="41"/>
  <c r="O38" i="41"/>
  <c r="O39" i="41"/>
  <c r="AG39" i="41"/>
  <c r="AF59" i="41"/>
  <c r="O50" i="45"/>
  <c r="AG50" i="45"/>
  <c r="AF50" i="45"/>
  <c r="O38" i="47"/>
  <c r="N48" i="47"/>
  <c r="AG38" i="47"/>
  <c r="AF38" i="47"/>
  <c r="AG50" i="47"/>
  <c r="Z2" i="49"/>
  <c r="L6" i="48" s="1"/>
  <c r="O18" i="49"/>
  <c r="AG18" i="49"/>
  <c r="L29" i="49"/>
  <c r="P29" i="49"/>
  <c r="R51" i="49"/>
  <c r="R40" i="51"/>
  <c r="Q40" i="51"/>
  <c r="AG61" i="51"/>
  <c r="AF61" i="51"/>
  <c r="O61" i="51"/>
  <c r="P15" i="57"/>
  <c r="D22" i="56"/>
  <c r="I1" i="57"/>
  <c r="AE2" i="59"/>
  <c r="O6" i="58" s="1"/>
  <c r="P79" i="59"/>
  <c r="J22" i="58"/>
  <c r="AG17" i="61"/>
  <c r="Q79" i="61"/>
  <c r="AF79" i="61"/>
  <c r="AG79" i="61"/>
  <c r="AH70" i="61" s="1"/>
  <c r="G2" i="65"/>
  <c r="J3" i="64"/>
  <c r="L7" i="65"/>
  <c r="Q7" i="65" s="1"/>
  <c r="AG7" i="65"/>
  <c r="N26" i="65"/>
  <c r="AG16" i="65"/>
  <c r="O16" i="65"/>
  <c r="AF16" i="65"/>
  <c r="D21" i="12"/>
  <c r="AE2" i="13"/>
  <c r="O6" i="12" s="1"/>
  <c r="O49" i="25"/>
  <c r="AF49" i="25"/>
  <c r="R17" i="35"/>
  <c r="P79" i="35"/>
  <c r="P69" i="37"/>
  <c r="AG27" i="15"/>
  <c r="AF27" i="15"/>
  <c r="J58" i="73"/>
  <c r="L60" i="23"/>
  <c r="R60" i="23" s="1"/>
  <c r="AF5" i="27"/>
  <c r="J26" i="33"/>
  <c r="P26" i="33" s="1"/>
  <c r="P16" i="33"/>
  <c r="R50" i="39"/>
  <c r="L49" i="41"/>
  <c r="L58" i="41" s="1"/>
  <c r="H13" i="40" s="1"/>
  <c r="O27" i="51"/>
  <c r="AG27" i="51"/>
  <c r="O37" i="13"/>
  <c r="L38" i="13"/>
  <c r="L48" i="13" s="1"/>
  <c r="G13" i="12" s="1"/>
  <c r="P37" i="19"/>
  <c r="F22" i="18"/>
  <c r="N26" i="25"/>
  <c r="AF28" i="25"/>
  <c r="AG39" i="25"/>
  <c r="AF39" i="25"/>
  <c r="L40" i="27"/>
  <c r="R40" i="27" s="1"/>
  <c r="AG51" i="29"/>
  <c r="AF51" i="29"/>
  <c r="AF27" i="31"/>
  <c r="N58" i="31"/>
  <c r="AG49" i="31"/>
  <c r="AG28" i="33"/>
  <c r="AF28" i="33"/>
  <c r="L49" i="35"/>
  <c r="K58" i="35"/>
  <c r="I1" i="37"/>
  <c r="P37" i="37"/>
  <c r="L51" i="37"/>
  <c r="AF51" i="37"/>
  <c r="AG51" i="37"/>
  <c r="AG70" i="37"/>
  <c r="O70" i="37"/>
  <c r="N79" i="37"/>
  <c r="O28" i="41"/>
  <c r="AF28" i="41"/>
  <c r="AG28" i="41"/>
  <c r="Q39" i="43"/>
  <c r="R39" i="43"/>
  <c r="AF29" i="45"/>
  <c r="O60" i="49"/>
  <c r="AG60" i="49"/>
  <c r="AF60" i="49"/>
  <c r="AG29" i="57"/>
  <c r="AF29" i="57"/>
  <c r="O29" i="57"/>
  <c r="R5" i="63"/>
  <c r="Q5" i="63"/>
  <c r="AG16" i="63"/>
  <c r="AF16" i="63"/>
  <c r="N26" i="63"/>
  <c r="R59" i="65"/>
  <c r="Q59" i="65"/>
  <c r="O69" i="65"/>
  <c r="AG59" i="3"/>
  <c r="AF59" i="3"/>
  <c r="N69" i="3"/>
  <c r="AF8" i="13"/>
  <c r="Q48" i="13"/>
  <c r="K69" i="13"/>
  <c r="O61" i="13"/>
  <c r="AG62" i="13"/>
  <c r="AF62" i="13"/>
  <c r="J69" i="13"/>
  <c r="P69" i="13" s="1"/>
  <c r="L27" i="23"/>
  <c r="L37" i="23" s="1"/>
  <c r="F13" i="22" s="1"/>
  <c r="P79" i="23"/>
  <c r="O39" i="25"/>
  <c r="J37" i="27"/>
  <c r="P27" i="27"/>
  <c r="O49" i="31"/>
  <c r="O59" i="35"/>
  <c r="AG59" i="35"/>
  <c r="AF59" i="35"/>
  <c r="N69" i="35"/>
  <c r="AG51" i="39"/>
  <c r="AF51" i="39"/>
  <c r="AF50" i="43"/>
  <c r="O50" i="43"/>
  <c r="L27" i="45"/>
  <c r="L37" i="45" s="1"/>
  <c r="F13" i="44" s="1"/>
  <c r="J37" i="45"/>
  <c r="P27" i="45"/>
  <c r="P39" i="45"/>
  <c r="L39" i="45"/>
  <c r="N26" i="53"/>
  <c r="AG16" i="53"/>
  <c r="O16" i="53"/>
  <c r="R50" i="53"/>
  <c r="Q50" i="53"/>
  <c r="L59" i="53"/>
  <c r="L69" i="53" s="1"/>
  <c r="I13" i="52" s="1"/>
  <c r="J6" i="52" s="1"/>
  <c r="R40" i="63"/>
  <c r="Q40" i="63"/>
  <c r="R6" i="65"/>
  <c r="Q6" i="65"/>
  <c r="O50" i="65"/>
  <c r="AG50" i="65"/>
  <c r="L29" i="67"/>
  <c r="L59" i="15"/>
  <c r="L5" i="3"/>
  <c r="L15" i="3" s="1"/>
  <c r="D13" i="2" s="1"/>
  <c r="AF38" i="69"/>
  <c r="AG38" i="71"/>
  <c r="AF38" i="71"/>
  <c r="N48" i="71"/>
  <c r="O60" i="71"/>
  <c r="AG60" i="71"/>
  <c r="L20" i="73"/>
  <c r="R20" i="73" s="1"/>
  <c r="K58" i="73"/>
  <c r="L71" i="73"/>
  <c r="R71" i="73" s="1"/>
  <c r="AG8" i="13"/>
  <c r="AG27" i="13"/>
  <c r="N37" i="13"/>
  <c r="L59" i="13"/>
  <c r="J79" i="13"/>
  <c r="O37" i="17"/>
  <c r="AF40" i="17"/>
  <c r="AG7" i="21"/>
  <c r="P48" i="21"/>
  <c r="I1" i="23"/>
  <c r="P26" i="23"/>
  <c r="AF38" i="23"/>
  <c r="N48" i="23"/>
  <c r="AG38" i="23"/>
  <c r="AG51" i="25"/>
  <c r="O51" i="25"/>
  <c r="L28" i="27"/>
  <c r="K69" i="27"/>
  <c r="L59" i="27"/>
  <c r="L69" i="27" s="1"/>
  <c r="I13" i="26" s="1"/>
  <c r="J6" i="26" s="1"/>
  <c r="AG6" i="29"/>
  <c r="Q17" i="35"/>
  <c r="Q18" i="35"/>
  <c r="AG58" i="41"/>
  <c r="AH49" i="41" s="1"/>
  <c r="Q58" i="41"/>
  <c r="L61" i="47"/>
  <c r="P61" i="47"/>
  <c r="E20" i="48"/>
  <c r="AD2" i="49"/>
  <c r="N6" i="48" s="1"/>
  <c r="AF27" i="51"/>
  <c r="L39" i="51"/>
  <c r="P59" i="51"/>
  <c r="J69" i="51"/>
  <c r="P69" i="51" s="1"/>
  <c r="AF16" i="53"/>
  <c r="O49" i="53"/>
  <c r="AG49" i="53"/>
  <c r="AF50" i="53"/>
  <c r="O59" i="53"/>
  <c r="AG59" i="53"/>
  <c r="AF59" i="53"/>
  <c r="N69" i="53"/>
  <c r="AG38" i="55"/>
  <c r="AF38" i="55"/>
  <c r="O38" i="55"/>
  <c r="N48" i="55"/>
  <c r="AF49" i="57"/>
  <c r="J3" i="58"/>
  <c r="G2" i="59"/>
  <c r="D19" i="62"/>
  <c r="AG6" i="63"/>
  <c r="O6" i="63"/>
  <c r="AF6" i="63"/>
  <c r="AF50" i="65"/>
  <c r="L40" i="67"/>
  <c r="R40" i="67" s="1"/>
  <c r="AG59" i="67"/>
  <c r="AF59" i="67"/>
  <c r="O59" i="67"/>
  <c r="N69" i="67"/>
  <c r="J26" i="15"/>
  <c r="P26" i="15" s="1"/>
  <c r="P17" i="15"/>
  <c r="AF49" i="15"/>
  <c r="AG51" i="15"/>
  <c r="AF51" i="15"/>
  <c r="L73" i="15"/>
  <c r="AF17" i="69"/>
  <c r="I1" i="71"/>
  <c r="AF60" i="71"/>
  <c r="L49" i="73"/>
  <c r="L58" i="73" s="1"/>
  <c r="H13" i="72" s="1"/>
  <c r="AG50" i="73"/>
  <c r="AF50" i="73"/>
  <c r="N58" i="73"/>
  <c r="R40" i="13"/>
  <c r="L16" i="19"/>
  <c r="L26" i="19" s="1"/>
  <c r="E13" i="18" s="1"/>
  <c r="K26" i="19"/>
  <c r="R29" i="19"/>
  <c r="Q29" i="19"/>
  <c r="O27" i="21"/>
  <c r="J69" i="21"/>
  <c r="P69" i="21" s="1"/>
  <c r="P59" i="21"/>
  <c r="Q29" i="23"/>
  <c r="O38" i="23"/>
  <c r="AF29" i="25"/>
  <c r="R61" i="27"/>
  <c r="AA2" i="29"/>
  <c r="M6" i="28" s="1"/>
  <c r="L29" i="29"/>
  <c r="P29" i="29"/>
  <c r="O48" i="29"/>
  <c r="L17" i="31"/>
  <c r="R17" i="31" s="1"/>
  <c r="AF17" i="31"/>
  <c r="AG50" i="31"/>
  <c r="AF50" i="31"/>
  <c r="L60" i="31"/>
  <c r="R60" i="31" s="1"/>
  <c r="AG61" i="31"/>
  <c r="AF61" i="31"/>
  <c r="Q17" i="33"/>
  <c r="R27" i="33"/>
  <c r="L7" i="35"/>
  <c r="Q7" i="35" s="1"/>
  <c r="AF38" i="37"/>
  <c r="O38" i="37"/>
  <c r="AG38" i="37"/>
  <c r="AF40" i="37"/>
  <c r="AF70" i="37"/>
  <c r="O49" i="39"/>
  <c r="AG49" i="39"/>
  <c r="AF49" i="39"/>
  <c r="Q50" i="39"/>
  <c r="AG6" i="41"/>
  <c r="N15" i="41"/>
  <c r="AF6" i="41"/>
  <c r="P15" i="47"/>
  <c r="AF40" i="51"/>
  <c r="L59" i="51"/>
  <c r="L69" i="51" s="1"/>
  <c r="I13" i="50" s="1"/>
  <c r="J6" i="50" s="1"/>
  <c r="K69" i="51"/>
  <c r="L38" i="53"/>
  <c r="L48" i="53" s="1"/>
  <c r="G13" i="52" s="1"/>
  <c r="AF50" i="57"/>
  <c r="R61" i="57"/>
  <c r="Q61" i="57"/>
  <c r="AG7" i="59"/>
  <c r="AF7" i="59"/>
  <c r="L39" i="61"/>
  <c r="AG39" i="61"/>
  <c r="AF50" i="63"/>
  <c r="O50" i="63"/>
  <c r="AG50" i="63"/>
  <c r="AD2" i="67"/>
  <c r="N6" i="66" s="1"/>
  <c r="F20" i="66"/>
  <c r="AG61" i="67"/>
  <c r="AF61" i="67"/>
  <c r="O61" i="67"/>
  <c r="AF60" i="15"/>
  <c r="L72" i="15"/>
  <c r="AG51" i="3"/>
  <c r="J58" i="3"/>
  <c r="P58" i="3" s="1"/>
  <c r="AF5" i="69"/>
  <c r="R30" i="69"/>
  <c r="R17" i="71"/>
  <c r="Q17" i="71"/>
  <c r="AG19" i="71"/>
  <c r="R27" i="71"/>
  <c r="AF49" i="73"/>
  <c r="AG49" i="73"/>
  <c r="L19" i="13"/>
  <c r="Q38" i="13"/>
  <c r="AF48" i="13"/>
  <c r="P79" i="17"/>
  <c r="J22" i="16"/>
  <c r="R16" i="19"/>
  <c r="Q16" i="19"/>
  <c r="AF5" i="21"/>
  <c r="J58" i="23"/>
  <c r="L49" i="23"/>
  <c r="L58" i="23" s="1"/>
  <c r="H13" i="22" s="1"/>
  <c r="AG29" i="25"/>
  <c r="AF38" i="25"/>
  <c r="O29" i="27"/>
  <c r="P37" i="27"/>
  <c r="AG40" i="27"/>
  <c r="J48" i="27"/>
  <c r="P48" i="27" s="1"/>
  <c r="N69" i="27"/>
  <c r="O59" i="27"/>
  <c r="AD2" i="29"/>
  <c r="N6" i="28" s="1"/>
  <c r="O39" i="29"/>
  <c r="AF49" i="29"/>
  <c r="P5" i="37"/>
  <c r="J15" i="37"/>
  <c r="P15" i="37" s="1"/>
  <c r="AG16" i="37"/>
  <c r="AF16" i="37"/>
  <c r="O16" i="37"/>
  <c r="N26" i="37"/>
  <c r="N48" i="37"/>
  <c r="O50" i="37"/>
  <c r="AF50" i="37"/>
  <c r="G2" i="41"/>
  <c r="J15" i="43"/>
  <c r="P15" i="43" s="1"/>
  <c r="L38" i="43"/>
  <c r="L48" i="43" s="1"/>
  <c r="G13" i="42" s="1"/>
  <c r="O5" i="45"/>
  <c r="AG5" i="45"/>
  <c r="AF5" i="45"/>
  <c r="N15" i="45"/>
  <c r="AD2" i="45"/>
  <c r="N6" i="44" s="1"/>
  <c r="AE2" i="47"/>
  <c r="O6" i="46" s="1"/>
  <c r="AG51" i="47"/>
  <c r="AF61" i="47"/>
  <c r="O61" i="47"/>
  <c r="L59" i="49"/>
  <c r="L69" i="49" s="1"/>
  <c r="I13" i="48" s="1"/>
  <c r="J6" i="48" s="1"/>
  <c r="L29" i="55"/>
  <c r="R29" i="55" s="1"/>
  <c r="P51" i="55"/>
  <c r="AG50" i="57"/>
  <c r="N37" i="59"/>
  <c r="O27" i="59"/>
  <c r="L28" i="61"/>
  <c r="R39" i="63"/>
  <c r="Q39" i="63"/>
  <c r="P49" i="63"/>
  <c r="J58" i="63"/>
  <c r="P58" i="63" s="1"/>
  <c r="AF17" i="65"/>
  <c r="O17" i="65"/>
  <c r="AG17" i="65"/>
  <c r="O18" i="65"/>
  <c r="AG18" i="65"/>
  <c r="P27" i="65"/>
  <c r="J37" i="65"/>
  <c r="AG38" i="65"/>
  <c r="AF38" i="65"/>
  <c r="L49" i="65"/>
  <c r="L58" i="65" s="1"/>
  <c r="H13" i="64" s="1"/>
  <c r="AG49" i="65"/>
  <c r="AG50" i="15"/>
  <c r="AG60" i="15"/>
  <c r="N69" i="15"/>
  <c r="K79" i="15"/>
  <c r="L71" i="15"/>
  <c r="P6" i="3"/>
  <c r="Q28" i="3"/>
  <c r="L40" i="3"/>
  <c r="AF50" i="3"/>
  <c r="K58" i="3"/>
  <c r="P79" i="3"/>
  <c r="O5" i="69"/>
  <c r="AG8" i="69"/>
  <c r="AF8" i="69"/>
  <c r="O8" i="69"/>
  <c r="P69" i="69"/>
  <c r="AF16" i="71"/>
  <c r="AF18" i="71"/>
  <c r="L50" i="71"/>
  <c r="L18" i="73"/>
  <c r="L26" i="73" s="1"/>
  <c r="E13" i="72" s="1"/>
  <c r="Q33" i="73"/>
  <c r="O49" i="73"/>
  <c r="AG48" i="13"/>
  <c r="AH38" i="13" s="1"/>
  <c r="AG70" i="13"/>
  <c r="AF70" i="13"/>
  <c r="N79" i="13"/>
  <c r="F19" i="14"/>
  <c r="N37" i="17"/>
  <c r="AF29" i="17"/>
  <c r="D22" i="18"/>
  <c r="AG6" i="19"/>
  <c r="AF40" i="19"/>
  <c r="L61" i="19"/>
  <c r="AG5" i="21"/>
  <c r="L16" i="21"/>
  <c r="L26" i="21" s="1"/>
  <c r="E13" i="20" s="1"/>
  <c r="O29" i="21"/>
  <c r="J48" i="21"/>
  <c r="P38" i="21"/>
  <c r="L59" i="21"/>
  <c r="L69" i="21" s="1"/>
  <c r="I13" i="20" s="1"/>
  <c r="J6" i="20" s="1"/>
  <c r="AF70" i="21"/>
  <c r="P5" i="23"/>
  <c r="N15" i="23"/>
  <c r="Q27" i="23"/>
  <c r="AG50" i="23"/>
  <c r="AG51" i="23"/>
  <c r="AF51" i="23"/>
  <c r="L5" i="25"/>
  <c r="L15" i="25" s="1"/>
  <c r="D13" i="24" s="1"/>
  <c r="R6" i="25"/>
  <c r="Q6" i="25"/>
  <c r="AF16" i="25"/>
  <c r="AG16" i="25"/>
  <c r="AG28" i="25"/>
  <c r="AG38" i="25"/>
  <c r="AG49" i="25"/>
  <c r="Q61" i="25"/>
  <c r="L38" i="27"/>
  <c r="L48" i="27" s="1"/>
  <c r="G13" i="26" s="1"/>
  <c r="G15" i="26" s="1"/>
  <c r="AF40" i="27"/>
  <c r="AF59" i="27"/>
  <c r="AF60" i="27"/>
  <c r="J69" i="27"/>
  <c r="P69" i="27" s="1"/>
  <c r="AE2" i="29"/>
  <c r="O6" i="28" s="1"/>
  <c r="D21" i="28"/>
  <c r="O16" i="29"/>
  <c r="AG16" i="29"/>
  <c r="AF16" i="29"/>
  <c r="Q38" i="29"/>
  <c r="Q40" i="29"/>
  <c r="AG27" i="31"/>
  <c r="AF49" i="31"/>
  <c r="L59" i="31"/>
  <c r="L69" i="31" s="1"/>
  <c r="I13" i="30" s="1"/>
  <c r="J6" i="30" s="1"/>
  <c r="AF7" i="33"/>
  <c r="N37" i="33"/>
  <c r="P48" i="33"/>
  <c r="L5" i="35"/>
  <c r="L15" i="35" s="1"/>
  <c r="D13" i="34" s="1"/>
  <c r="P5" i="35"/>
  <c r="L6" i="35"/>
  <c r="R7" i="35"/>
  <c r="D20" i="34"/>
  <c r="AD2" i="35"/>
  <c r="N6" i="34" s="1"/>
  <c r="AF18" i="35"/>
  <c r="AG40" i="35"/>
  <c r="AF40" i="35"/>
  <c r="AF49" i="35"/>
  <c r="G22" i="36"/>
  <c r="L5" i="37"/>
  <c r="L15" i="37" s="1"/>
  <c r="D13" i="36" s="1"/>
  <c r="K15" i="37"/>
  <c r="P37" i="41"/>
  <c r="I1" i="41"/>
  <c r="AF50" i="41"/>
  <c r="AF51" i="41"/>
  <c r="AG70" i="41"/>
  <c r="K79" i="41"/>
  <c r="AF79" i="41" s="1"/>
  <c r="AF38" i="43"/>
  <c r="O38" i="43"/>
  <c r="N48" i="43"/>
  <c r="AG38" i="43"/>
  <c r="N58" i="43"/>
  <c r="Z2" i="45"/>
  <c r="L6" i="44" s="1"/>
  <c r="AG40" i="45"/>
  <c r="K26" i="47"/>
  <c r="AG26" i="47" s="1"/>
  <c r="AH16" i="47" s="1"/>
  <c r="P28" i="49"/>
  <c r="L51" i="49"/>
  <c r="Q51" i="49" s="1"/>
  <c r="O59" i="49"/>
  <c r="N69" i="49"/>
  <c r="AG59" i="49"/>
  <c r="AF59" i="49"/>
  <c r="AG18" i="51"/>
  <c r="AF18" i="51"/>
  <c r="O18" i="51"/>
  <c r="N69" i="51"/>
  <c r="O59" i="51"/>
  <c r="AG59" i="51"/>
  <c r="AF59" i="51"/>
  <c r="AG6" i="53"/>
  <c r="O6" i="53"/>
  <c r="N15" i="53"/>
  <c r="P5" i="55"/>
  <c r="J15" i="55"/>
  <c r="P15" i="55" s="1"/>
  <c r="AG7" i="55"/>
  <c r="AF7" i="55"/>
  <c r="L70" i="55"/>
  <c r="L79" i="55" s="1"/>
  <c r="J13" i="54" s="1"/>
  <c r="AG16" i="57"/>
  <c r="O16" i="57"/>
  <c r="AF27" i="59"/>
  <c r="L60" i="59"/>
  <c r="AG70" i="59"/>
  <c r="O70" i="59"/>
  <c r="P17" i="61"/>
  <c r="L17" i="61"/>
  <c r="R17" i="61" s="1"/>
  <c r="AF28" i="61"/>
  <c r="AG28" i="61"/>
  <c r="O28" i="61"/>
  <c r="AF61" i="61"/>
  <c r="L49" i="63"/>
  <c r="L58" i="63" s="1"/>
  <c r="H13" i="62" s="1"/>
  <c r="K58" i="63"/>
  <c r="O61" i="63"/>
  <c r="AG61" i="63"/>
  <c r="AF61" i="63"/>
  <c r="AF18" i="65"/>
  <c r="O38" i="65"/>
  <c r="N48" i="65"/>
  <c r="AF40" i="67"/>
  <c r="L34" i="73"/>
  <c r="Q34" i="73" s="1"/>
  <c r="L60" i="13"/>
  <c r="Q60" i="13" s="1"/>
  <c r="P69" i="19"/>
  <c r="L39" i="23"/>
  <c r="R39" i="23" s="1"/>
  <c r="R61" i="23"/>
  <c r="R29" i="25"/>
  <c r="Q29" i="25"/>
  <c r="AG40" i="25"/>
  <c r="N15" i="27"/>
  <c r="R6" i="29"/>
  <c r="Q6" i="29"/>
  <c r="AF18" i="29"/>
  <c r="O28" i="31"/>
  <c r="AG28" i="31"/>
  <c r="AF28" i="31"/>
  <c r="R48" i="31"/>
  <c r="S38" i="31" s="1"/>
  <c r="P48" i="39"/>
  <c r="AG6" i="45"/>
  <c r="O6" i="45"/>
  <c r="AF6" i="45"/>
  <c r="P16" i="47"/>
  <c r="J26" i="47"/>
  <c r="P26" i="47" s="1"/>
  <c r="AF18" i="47"/>
  <c r="AG18" i="47"/>
  <c r="K37" i="53"/>
  <c r="L27" i="53"/>
  <c r="L37" i="53" s="1"/>
  <c r="F13" i="52" s="1"/>
  <c r="O39" i="53"/>
  <c r="AF39" i="53"/>
  <c r="AG39" i="53"/>
  <c r="N79" i="53"/>
  <c r="AG70" i="53"/>
  <c r="O70" i="53"/>
  <c r="O49" i="61"/>
  <c r="N58" i="61"/>
  <c r="AG49" i="61"/>
  <c r="L59" i="67"/>
  <c r="L69" i="67" s="1"/>
  <c r="I13" i="66" s="1"/>
  <c r="J6" i="66" s="1"/>
  <c r="K69" i="67"/>
  <c r="L19" i="15"/>
  <c r="R19" i="15" s="1"/>
  <c r="L6" i="69"/>
  <c r="N15" i="73"/>
  <c r="AG5" i="73"/>
  <c r="O5" i="73"/>
  <c r="L38" i="73"/>
  <c r="AF27" i="13"/>
  <c r="Q40" i="19"/>
  <c r="O70" i="21"/>
  <c r="L38" i="23"/>
  <c r="L48" i="23" s="1"/>
  <c r="G13" i="22" s="1"/>
  <c r="AG39" i="23"/>
  <c r="AF39" i="23"/>
  <c r="J69" i="23"/>
  <c r="P69" i="23" s="1"/>
  <c r="P59" i="23"/>
  <c r="P26" i="25"/>
  <c r="O28" i="25"/>
  <c r="O40" i="25"/>
  <c r="P61" i="25"/>
  <c r="L61" i="25"/>
  <c r="R61" i="25" s="1"/>
  <c r="AF6" i="29"/>
  <c r="O7" i="33"/>
  <c r="O28" i="33"/>
  <c r="AG16" i="35"/>
  <c r="AF16" i="35"/>
  <c r="N26" i="35"/>
  <c r="L7" i="37"/>
  <c r="R7" i="37" s="1"/>
  <c r="AG17" i="39"/>
  <c r="AF17" i="39"/>
  <c r="J22" i="42"/>
  <c r="P79" i="43"/>
  <c r="I1" i="45"/>
  <c r="D22" i="44"/>
  <c r="O18" i="47"/>
  <c r="AG49" i="49"/>
  <c r="AF49" i="49"/>
  <c r="O49" i="49"/>
  <c r="N58" i="49"/>
  <c r="AG61" i="49"/>
  <c r="O61" i="49"/>
  <c r="AF61" i="49"/>
  <c r="P50" i="51"/>
  <c r="L50" i="51"/>
  <c r="O51" i="51"/>
  <c r="AG51" i="51"/>
  <c r="J48" i="53"/>
  <c r="P48" i="53" s="1"/>
  <c r="P38" i="53"/>
  <c r="P58" i="53"/>
  <c r="H22" i="52"/>
  <c r="O7" i="57"/>
  <c r="AG7" i="57"/>
  <c r="AF7" i="57"/>
  <c r="O49" i="57"/>
  <c r="N58" i="57"/>
  <c r="O7" i="15"/>
  <c r="O15" i="15" s="1"/>
  <c r="O27" i="15"/>
  <c r="R49" i="15"/>
  <c r="N58" i="15"/>
  <c r="L74" i="15"/>
  <c r="L16" i="3"/>
  <c r="L26" i="3" s="1"/>
  <c r="E13" i="2" s="1"/>
  <c r="J26" i="3"/>
  <c r="P26" i="3" s="1"/>
  <c r="E22" i="2"/>
  <c r="J26" i="71"/>
  <c r="R18" i="71"/>
  <c r="Q18" i="71"/>
  <c r="N26" i="71"/>
  <c r="O38" i="73"/>
  <c r="AF38" i="73"/>
  <c r="AG38" i="73"/>
  <c r="P70" i="73"/>
  <c r="J79" i="73"/>
  <c r="P79" i="73" s="1"/>
  <c r="O48" i="13"/>
  <c r="O62" i="13"/>
  <c r="E22" i="16"/>
  <c r="L17" i="19"/>
  <c r="L5" i="23"/>
  <c r="L15" i="23" s="1"/>
  <c r="D13" i="22" s="1"/>
  <c r="Q61" i="23"/>
  <c r="L16" i="27"/>
  <c r="Q16" i="27" s="1"/>
  <c r="K26" i="27"/>
  <c r="L40" i="29"/>
  <c r="R40" i="29" s="1"/>
  <c r="O6" i="31"/>
  <c r="O15" i="31" s="1"/>
  <c r="AG18" i="33"/>
  <c r="AF18" i="33"/>
  <c r="Q27" i="33"/>
  <c r="O70" i="33"/>
  <c r="O50" i="35"/>
  <c r="L49" i="39"/>
  <c r="L58" i="39" s="1"/>
  <c r="H13" i="38" s="1"/>
  <c r="O51" i="39"/>
  <c r="AG7" i="41"/>
  <c r="AF7" i="41"/>
  <c r="Z2" i="41"/>
  <c r="L6" i="40" s="1"/>
  <c r="L18" i="43"/>
  <c r="AF39" i="43"/>
  <c r="AG39" i="43"/>
  <c r="O58" i="43"/>
  <c r="R49" i="43"/>
  <c r="AF51" i="43"/>
  <c r="AG79" i="43"/>
  <c r="AH70" i="43" s="1"/>
  <c r="AF79" i="43"/>
  <c r="Q51" i="45"/>
  <c r="N58" i="53"/>
  <c r="L60" i="55"/>
  <c r="Q18" i="57"/>
  <c r="AF6" i="59"/>
  <c r="AE2" i="61"/>
  <c r="O6" i="60" s="1"/>
  <c r="R61" i="61"/>
  <c r="AG28" i="65"/>
  <c r="AF28" i="65"/>
  <c r="O28" i="65"/>
  <c r="I1" i="15"/>
  <c r="D22" i="14"/>
  <c r="L18" i="15"/>
  <c r="AG6" i="3"/>
  <c r="AF6" i="3"/>
  <c r="P15" i="3"/>
  <c r="AF51" i="3"/>
  <c r="AG38" i="69"/>
  <c r="K26" i="71"/>
  <c r="K79" i="73"/>
  <c r="Q79" i="73" s="1"/>
  <c r="AG40" i="17"/>
  <c r="J58" i="17"/>
  <c r="P58" i="17" s="1"/>
  <c r="AF28" i="19"/>
  <c r="O7" i="21"/>
  <c r="J58" i="21"/>
  <c r="P58" i="21" s="1"/>
  <c r="P49" i="21"/>
  <c r="J22" i="22"/>
  <c r="Q28" i="23"/>
  <c r="L59" i="23"/>
  <c r="L69" i="23" s="1"/>
  <c r="I13" i="22" s="1"/>
  <c r="J6" i="22" s="1"/>
  <c r="Q60" i="23"/>
  <c r="Z2" i="25"/>
  <c r="L6" i="24" s="1"/>
  <c r="AF51" i="25"/>
  <c r="L27" i="27"/>
  <c r="L37" i="27" s="1"/>
  <c r="F13" i="26" s="1"/>
  <c r="L39" i="27"/>
  <c r="Q39" i="27" s="1"/>
  <c r="P79" i="27"/>
  <c r="J22" i="26"/>
  <c r="Q48" i="29"/>
  <c r="AF48" i="29"/>
  <c r="L16" i="33"/>
  <c r="O18" i="33"/>
  <c r="F22" i="34"/>
  <c r="P37" i="35"/>
  <c r="D22" i="36"/>
  <c r="Q7" i="37"/>
  <c r="AG5" i="39"/>
  <c r="AF5" i="39"/>
  <c r="N15" i="39"/>
  <c r="O5" i="39"/>
  <c r="AF27" i="41"/>
  <c r="N37" i="41"/>
  <c r="AG27" i="41"/>
  <c r="O49" i="41"/>
  <c r="AF18" i="43"/>
  <c r="O18" i="43"/>
  <c r="AF29" i="43"/>
  <c r="AG29" i="43"/>
  <c r="AG51" i="43"/>
  <c r="Q79" i="43"/>
  <c r="AF27" i="45"/>
  <c r="AG27" i="45"/>
  <c r="P37" i="45"/>
  <c r="F22" i="44"/>
  <c r="O39" i="45"/>
  <c r="O48" i="45" s="1"/>
  <c r="AG39" i="45"/>
  <c r="N48" i="45"/>
  <c r="O16" i="47"/>
  <c r="AG16" i="47"/>
  <c r="AF16" i="47"/>
  <c r="AF39" i="47"/>
  <c r="AG39" i="47"/>
  <c r="AF51" i="47"/>
  <c r="P58" i="49"/>
  <c r="O70" i="49"/>
  <c r="N79" i="49"/>
  <c r="AG70" i="49"/>
  <c r="AF70" i="49"/>
  <c r="R39" i="51"/>
  <c r="Q39" i="51"/>
  <c r="AG50" i="51"/>
  <c r="AF50" i="51"/>
  <c r="O50" i="51"/>
  <c r="AG50" i="53"/>
  <c r="P37" i="55"/>
  <c r="G2" i="57"/>
  <c r="J3" i="56"/>
  <c r="J69" i="57"/>
  <c r="P69" i="57" s="1"/>
  <c r="P59" i="57"/>
  <c r="L59" i="57"/>
  <c r="P5" i="59"/>
  <c r="J15" i="59"/>
  <c r="P15" i="59" s="1"/>
  <c r="AG6" i="59"/>
  <c r="AG40" i="61"/>
  <c r="AF40" i="61"/>
  <c r="O40" i="61"/>
  <c r="P70" i="63"/>
  <c r="L70" i="63"/>
  <c r="J79" i="63"/>
  <c r="K26" i="15"/>
  <c r="AG49" i="15"/>
  <c r="AF50" i="15"/>
  <c r="O59" i="15"/>
  <c r="J79" i="15"/>
  <c r="P79" i="15" s="1"/>
  <c r="P16" i="3"/>
  <c r="R50" i="3"/>
  <c r="Q50" i="3"/>
  <c r="L16" i="71"/>
  <c r="L26" i="71" s="1"/>
  <c r="E13" i="70" s="1"/>
  <c r="E15" i="70" s="1"/>
  <c r="N79" i="71"/>
  <c r="O50" i="73"/>
  <c r="AG60" i="73"/>
  <c r="AF60" i="73"/>
  <c r="AF61" i="73"/>
  <c r="L70" i="73"/>
  <c r="Q70" i="73" s="1"/>
  <c r="L70" i="13"/>
  <c r="AG59" i="17"/>
  <c r="AF59" i="17"/>
  <c r="N69" i="17"/>
  <c r="P27" i="19"/>
  <c r="O28" i="19"/>
  <c r="AG38" i="19"/>
  <c r="N48" i="19"/>
  <c r="O38" i="19"/>
  <c r="L17" i="21"/>
  <c r="P60" i="21"/>
  <c r="O5" i="23"/>
  <c r="P27" i="23"/>
  <c r="L50" i="23"/>
  <c r="Q50" i="23" s="1"/>
  <c r="AF59" i="23"/>
  <c r="O18" i="27"/>
  <c r="R39" i="27"/>
  <c r="AG18" i="29"/>
  <c r="AG48" i="29"/>
  <c r="AH38" i="29" s="1"/>
  <c r="N15" i="31"/>
  <c r="O61" i="31"/>
  <c r="F22" i="36"/>
  <c r="J58" i="37"/>
  <c r="P49" i="37"/>
  <c r="N79" i="39"/>
  <c r="AF70" i="39"/>
  <c r="AG70" i="39"/>
  <c r="O6" i="41"/>
  <c r="O27" i="41"/>
  <c r="K37" i="41"/>
  <c r="AG40" i="41"/>
  <c r="AF40" i="41"/>
  <c r="Q50" i="41"/>
  <c r="P37" i="43"/>
  <c r="O27" i="45"/>
  <c r="N37" i="45"/>
  <c r="AF40" i="45"/>
  <c r="AG29" i="47"/>
  <c r="O29" i="47"/>
  <c r="O29" i="49"/>
  <c r="AF29" i="49"/>
  <c r="AG29" i="49"/>
  <c r="Q26" i="55"/>
  <c r="R26" i="55"/>
  <c r="S16" i="55" s="1"/>
  <c r="E14" i="54"/>
  <c r="E15" i="54" s="1"/>
  <c r="L5" i="59"/>
  <c r="L15" i="59" s="1"/>
  <c r="D13" i="58" s="1"/>
  <c r="K15" i="59"/>
  <c r="AA2" i="3"/>
  <c r="M6" i="2" s="1"/>
  <c r="AF17" i="3"/>
  <c r="AG17" i="3"/>
  <c r="AG38" i="3"/>
  <c r="AF38" i="3"/>
  <c r="AG50" i="3"/>
  <c r="J15" i="69"/>
  <c r="AA2" i="69"/>
  <c r="L52" i="69"/>
  <c r="L58" i="69" s="1"/>
  <c r="H13" i="68" s="1"/>
  <c r="L71" i="69"/>
  <c r="R71" i="69" s="1"/>
  <c r="AG18" i="71"/>
  <c r="N37" i="71"/>
  <c r="AG27" i="71"/>
  <c r="AF27" i="71"/>
  <c r="AG50" i="71"/>
  <c r="AF50" i="71"/>
  <c r="AG51" i="71"/>
  <c r="AF51" i="71"/>
  <c r="AG52" i="71"/>
  <c r="AF52" i="71"/>
  <c r="AG70" i="71"/>
  <c r="I1" i="73"/>
  <c r="R70" i="73"/>
  <c r="G1" i="13"/>
  <c r="L18" i="13"/>
  <c r="J26" i="13"/>
  <c r="P26" i="13" s="1"/>
  <c r="AF40" i="13"/>
  <c r="AF60" i="13"/>
  <c r="AG60" i="13"/>
  <c r="O79" i="13"/>
  <c r="R71" i="13"/>
  <c r="AA2" i="17"/>
  <c r="M6" i="16" s="1"/>
  <c r="AF28" i="17"/>
  <c r="AG29" i="17"/>
  <c r="AG50" i="17"/>
  <c r="AF50" i="17"/>
  <c r="AF29" i="19"/>
  <c r="AG40" i="19"/>
  <c r="F22" i="20"/>
  <c r="N26" i="21"/>
  <c r="O16" i="21"/>
  <c r="K48" i="21"/>
  <c r="L38" i="21"/>
  <c r="L48" i="21" s="1"/>
  <c r="G13" i="20" s="1"/>
  <c r="L51" i="21"/>
  <c r="J26" i="23"/>
  <c r="P16" i="23"/>
  <c r="AA2" i="23"/>
  <c r="M6" i="22" s="1"/>
  <c r="R50" i="23"/>
  <c r="R51" i="23"/>
  <c r="Q51" i="23"/>
  <c r="AF60" i="23"/>
  <c r="N69" i="23"/>
  <c r="E18" i="24"/>
  <c r="AG5" i="25"/>
  <c r="N15" i="25"/>
  <c r="L16" i="25"/>
  <c r="AF40" i="25"/>
  <c r="N58" i="25"/>
  <c r="Q38" i="27"/>
  <c r="R38" i="27"/>
  <c r="AG59" i="27"/>
  <c r="AG60" i="27"/>
  <c r="R38" i="29"/>
  <c r="P61" i="29"/>
  <c r="L61" i="29"/>
  <c r="AG5" i="31"/>
  <c r="AF16" i="31"/>
  <c r="N26" i="31"/>
  <c r="AG17" i="33"/>
  <c r="AG60" i="33"/>
  <c r="L61" i="33"/>
  <c r="AF7" i="35"/>
  <c r="AE2" i="35"/>
  <c r="O6" i="34" s="1"/>
  <c r="D21" i="34"/>
  <c r="AG18" i="35"/>
  <c r="Q38" i="35"/>
  <c r="O48" i="35"/>
  <c r="R40" i="35"/>
  <c r="AG49" i="35"/>
  <c r="N79" i="35"/>
  <c r="O70" i="35"/>
  <c r="AG70" i="35"/>
  <c r="AF70" i="35"/>
  <c r="P26" i="37"/>
  <c r="E22" i="36"/>
  <c r="L49" i="37"/>
  <c r="L58" i="37" s="1"/>
  <c r="H13" i="36" s="1"/>
  <c r="AG29" i="39"/>
  <c r="AF29" i="39"/>
  <c r="AF50" i="39"/>
  <c r="N58" i="39"/>
  <c r="AF49" i="41"/>
  <c r="AG50" i="41"/>
  <c r="AG51" i="41"/>
  <c r="AG18" i="43"/>
  <c r="AG28" i="43"/>
  <c r="AF28" i="43"/>
  <c r="R29" i="43"/>
  <c r="Q29" i="43"/>
  <c r="AG50" i="43"/>
  <c r="P58" i="43"/>
  <c r="H22" i="42"/>
  <c r="N69" i="43"/>
  <c r="O59" i="43"/>
  <c r="L70" i="43"/>
  <c r="AF70" i="43"/>
  <c r="Q38" i="45"/>
  <c r="Q61" i="45"/>
  <c r="R61" i="45"/>
  <c r="L39" i="49"/>
  <c r="R17" i="51"/>
  <c r="Q17" i="51"/>
  <c r="N37" i="51"/>
  <c r="L38" i="51"/>
  <c r="L48" i="51" s="1"/>
  <c r="G13" i="50" s="1"/>
  <c r="AF38" i="51"/>
  <c r="AG38" i="51"/>
  <c r="AG39" i="51"/>
  <c r="AF39" i="51"/>
  <c r="P48" i="51"/>
  <c r="AF49" i="53"/>
  <c r="Z2" i="55"/>
  <c r="L6" i="54" s="1"/>
  <c r="D18" i="54"/>
  <c r="Q16" i="55"/>
  <c r="Q17" i="55"/>
  <c r="R17" i="55"/>
  <c r="L40" i="55"/>
  <c r="P40" i="55"/>
  <c r="AF69" i="55"/>
  <c r="AG69" i="55"/>
  <c r="AH59" i="55" s="1"/>
  <c r="AG70" i="55"/>
  <c r="O70" i="55"/>
  <c r="AF70" i="55"/>
  <c r="N79" i="55"/>
  <c r="H6" i="56"/>
  <c r="F6" i="56"/>
  <c r="AF26" i="57"/>
  <c r="AG26" i="57"/>
  <c r="AH16" i="57" s="1"/>
  <c r="O5" i="59"/>
  <c r="N15" i="59"/>
  <c r="AG5" i="59"/>
  <c r="AF5" i="59"/>
  <c r="AG27" i="59"/>
  <c r="Q18" i="61"/>
  <c r="R18" i="61"/>
  <c r="L49" i="61"/>
  <c r="L58" i="61" s="1"/>
  <c r="H13" i="60" s="1"/>
  <c r="J58" i="61"/>
  <c r="P58" i="61" s="1"/>
  <c r="Z2" i="63"/>
  <c r="L6" i="62" s="1"/>
  <c r="E18" i="62"/>
  <c r="AF60" i="63"/>
  <c r="AG60" i="63"/>
  <c r="AF18" i="67"/>
  <c r="O18" i="67"/>
  <c r="AF29" i="67"/>
  <c r="AG40" i="67"/>
  <c r="D19" i="40"/>
  <c r="AA2" i="41"/>
  <c r="M6" i="40" s="1"/>
  <c r="L5" i="43"/>
  <c r="Q7" i="43"/>
  <c r="R7" i="43"/>
  <c r="AG79" i="47"/>
  <c r="AH70" i="47" s="1"/>
  <c r="K37" i="49"/>
  <c r="L27" i="49"/>
  <c r="L37" i="49" s="1"/>
  <c r="F13" i="48" s="1"/>
  <c r="O50" i="49"/>
  <c r="AG50" i="49"/>
  <c r="AF50" i="49"/>
  <c r="O70" i="51"/>
  <c r="AG70" i="51"/>
  <c r="N79" i="51"/>
  <c r="P5" i="53"/>
  <c r="J15" i="53"/>
  <c r="P15" i="53" s="1"/>
  <c r="P18" i="53"/>
  <c r="L18" i="53"/>
  <c r="Q18" i="53" s="1"/>
  <c r="O38" i="53"/>
  <c r="AG38" i="53"/>
  <c r="AF38" i="53"/>
  <c r="N48" i="53"/>
  <c r="P51" i="53"/>
  <c r="L51" i="53"/>
  <c r="L50" i="55"/>
  <c r="L61" i="55"/>
  <c r="Q61" i="55" s="1"/>
  <c r="J48" i="59"/>
  <c r="P48" i="59" s="1"/>
  <c r="E19" i="64"/>
  <c r="AA2" i="65"/>
  <c r="M6" i="64" s="1"/>
  <c r="Z2" i="65"/>
  <c r="L6" i="64" s="1"/>
  <c r="L49" i="67"/>
  <c r="L58" i="67" s="1"/>
  <c r="H13" i="66" s="1"/>
  <c r="K58" i="67"/>
  <c r="AF49" i="67"/>
  <c r="AG49" i="67"/>
  <c r="L60" i="67"/>
  <c r="P48" i="13"/>
  <c r="AD2" i="23"/>
  <c r="N6" i="22" s="1"/>
  <c r="K37" i="23"/>
  <c r="AG37" i="23" s="1"/>
  <c r="AH27" i="23" s="1"/>
  <c r="Z2" i="27"/>
  <c r="L6" i="26" s="1"/>
  <c r="L28" i="29"/>
  <c r="L70" i="29"/>
  <c r="L79" i="29" s="1"/>
  <c r="J13" i="28" s="1"/>
  <c r="J79" i="29"/>
  <c r="P79" i="29" s="1"/>
  <c r="L5" i="31"/>
  <c r="L15" i="31" s="1"/>
  <c r="D13" i="30" s="1"/>
  <c r="P5" i="31"/>
  <c r="R38" i="31"/>
  <c r="Q38" i="31"/>
  <c r="R5" i="33"/>
  <c r="P26" i="35"/>
  <c r="I1" i="35"/>
  <c r="E22" i="34"/>
  <c r="P15" i="39"/>
  <c r="R6" i="43"/>
  <c r="Q6" i="43"/>
  <c r="AF7" i="43"/>
  <c r="P48" i="43"/>
  <c r="I1" i="43"/>
  <c r="L6" i="45"/>
  <c r="R17" i="45"/>
  <c r="Q17" i="45"/>
  <c r="Z2" i="47"/>
  <c r="L6" i="46" s="1"/>
  <c r="D18" i="46"/>
  <c r="AF70" i="47"/>
  <c r="AF79" i="47"/>
  <c r="AF28" i="49"/>
  <c r="K58" i="51"/>
  <c r="AF70" i="51"/>
  <c r="I22" i="52"/>
  <c r="L5" i="53"/>
  <c r="K15" i="53"/>
  <c r="L16" i="53"/>
  <c r="L26" i="53" s="1"/>
  <c r="E13" i="52" s="1"/>
  <c r="N37" i="53"/>
  <c r="AG27" i="53"/>
  <c r="AF27" i="53"/>
  <c r="P48" i="55"/>
  <c r="AG18" i="57"/>
  <c r="AF18" i="57"/>
  <c r="L28" i="57"/>
  <c r="R28" i="57" s="1"/>
  <c r="AF28" i="57"/>
  <c r="P37" i="59"/>
  <c r="K48" i="59"/>
  <c r="L50" i="59"/>
  <c r="O51" i="59"/>
  <c r="AG51" i="59"/>
  <c r="AF51" i="59"/>
  <c r="O61" i="59"/>
  <c r="AG61" i="59"/>
  <c r="R6" i="61"/>
  <c r="Q6" i="61"/>
  <c r="L50" i="63"/>
  <c r="AF60" i="67"/>
  <c r="AG60" i="67"/>
  <c r="O60" i="67"/>
  <c r="L70" i="67"/>
  <c r="L79" i="67" s="1"/>
  <c r="J13" i="66" s="1"/>
  <c r="P69" i="3"/>
  <c r="O6" i="68"/>
  <c r="N6" i="68"/>
  <c r="L38" i="69"/>
  <c r="K48" i="69"/>
  <c r="AG48" i="69" s="1"/>
  <c r="AH38" i="69" s="1"/>
  <c r="AD2" i="71"/>
  <c r="J58" i="71"/>
  <c r="P58" i="71" s="1"/>
  <c r="L49" i="71"/>
  <c r="AF51" i="73"/>
  <c r="AF5" i="13"/>
  <c r="L8" i="13"/>
  <c r="N15" i="13"/>
  <c r="L27" i="17"/>
  <c r="L29" i="17"/>
  <c r="P48" i="17"/>
  <c r="D19" i="18"/>
  <c r="AA2" i="19"/>
  <c r="M6" i="18" s="1"/>
  <c r="G22" i="18"/>
  <c r="P48" i="19"/>
  <c r="AE2" i="23"/>
  <c r="O6" i="22" s="1"/>
  <c r="AA2" i="27"/>
  <c r="M6" i="26" s="1"/>
  <c r="I1" i="27"/>
  <c r="E22" i="26"/>
  <c r="P69" i="29"/>
  <c r="P79" i="31"/>
  <c r="AF5" i="33"/>
  <c r="I1" i="33"/>
  <c r="L50" i="33"/>
  <c r="R50" i="33" s="1"/>
  <c r="AF6" i="35"/>
  <c r="O6" i="35"/>
  <c r="O15" i="35" s="1"/>
  <c r="O15" i="37"/>
  <c r="L38" i="37"/>
  <c r="L48" i="37" s="1"/>
  <c r="G13" i="36" s="1"/>
  <c r="AF6" i="39"/>
  <c r="AG6" i="39"/>
  <c r="O7" i="39"/>
  <c r="AF7" i="39"/>
  <c r="O60" i="39"/>
  <c r="AG60" i="39"/>
  <c r="AF60" i="39"/>
  <c r="AE2" i="41"/>
  <c r="O6" i="40" s="1"/>
  <c r="N26" i="41"/>
  <c r="AG16" i="41"/>
  <c r="P79" i="41"/>
  <c r="O15" i="43"/>
  <c r="AG7" i="43"/>
  <c r="D21" i="42"/>
  <c r="AE2" i="43"/>
  <c r="O6" i="42" s="1"/>
  <c r="L51" i="43"/>
  <c r="R51" i="43" s="1"/>
  <c r="N26" i="45"/>
  <c r="AG16" i="45"/>
  <c r="AF6" i="47"/>
  <c r="AF7" i="47"/>
  <c r="Q60" i="47"/>
  <c r="AG70" i="47"/>
  <c r="AF27" i="49"/>
  <c r="N37" i="49"/>
  <c r="O27" i="49"/>
  <c r="AG28" i="49"/>
  <c r="P60" i="51"/>
  <c r="O27" i="53"/>
  <c r="AG28" i="53"/>
  <c r="AF28" i="53"/>
  <c r="P38" i="55"/>
  <c r="L38" i="55"/>
  <c r="L48" i="55" s="1"/>
  <c r="G13" i="54" s="1"/>
  <c r="AG49" i="55"/>
  <c r="N58" i="55"/>
  <c r="AF49" i="55"/>
  <c r="O49" i="55"/>
  <c r="O51" i="55"/>
  <c r="AG51" i="55"/>
  <c r="AF51" i="55"/>
  <c r="O17" i="57"/>
  <c r="AG17" i="57"/>
  <c r="AF17" i="57"/>
  <c r="AF28" i="59"/>
  <c r="AG28" i="59"/>
  <c r="AF29" i="59"/>
  <c r="AF39" i="59"/>
  <c r="AF61" i="59"/>
  <c r="P69" i="59"/>
  <c r="AF6" i="61"/>
  <c r="O38" i="61"/>
  <c r="N48" i="61"/>
  <c r="AF59" i="61"/>
  <c r="K69" i="61"/>
  <c r="L27" i="63"/>
  <c r="L37" i="63" s="1"/>
  <c r="F13" i="62" s="1"/>
  <c r="K37" i="63"/>
  <c r="Q37" i="63" s="1"/>
  <c r="AG28" i="63"/>
  <c r="L29" i="63"/>
  <c r="O38" i="63"/>
  <c r="N48" i="63"/>
  <c r="AG40" i="63"/>
  <c r="L7" i="67"/>
  <c r="R7" i="67" s="1"/>
  <c r="AF29" i="41"/>
  <c r="O29" i="41"/>
  <c r="AD2" i="43"/>
  <c r="N6" i="42" s="1"/>
  <c r="E20" i="42"/>
  <c r="AG29" i="45"/>
  <c r="O29" i="45"/>
  <c r="Q28" i="49"/>
  <c r="R28" i="49"/>
  <c r="AF17" i="15"/>
  <c r="L28" i="73"/>
  <c r="Q28" i="73" s="1"/>
  <c r="Z2" i="17"/>
  <c r="L6" i="16" s="1"/>
  <c r="I1" i="21"/>
  <c r="L18" i="23"/>
  <c r="L27" i="29"/>
  <c r="L37" i="29" s="1"/>
  <c r="F13" i="28" s="1"/>
  <c r="K37" i="29"/>
  <c r="AG60" i="31"/>
  <c r="AF60" i="31"/>
  <c r="L27" i="37"/>
  <c r="L37" i="37" s="1"/>
  <c r="F13" i="36" s="1"/>
  <c r="K37" i="37"/>
  <c r="Z2" i="3"/>
  <c r="L6" i="2" s="1"/>
  <c r="L29" i="3"/>
  <c r="Q29" i="3" s="1"/>
  <c r="L16" i="69"/>
  <c r="L26" i="69" s="1"/>
  <c r="E13" i="68" s="1"/>
  <c r="AA2" i="71"/>
  <c r="AE2" i="71"/>
  <c r="L8" i="73"/>
  <c r="AG51" i="73"/>
  <c r="P58" i="73"/>
  <c r="J69" i="73"/>
  <c r="L7" i="13"/>
  <c r="AF38" i="13"/>
  <c r="F22" i="14"/>
  <c r="L28" i="17"/>
  <c r="Q28" i="17" s="1"/>
  <c r="AD2" i="19"/>
  <c r="N6" i="18" s="1"/>
  <c r="Z2" i="21"/>
  <c r="L6" i="20" s="1"/>
  <c r="P79" i="21"/>
  <c r="AG61" i="23"/>
  <c r="L17" i="27"/>
  <c r="H22" i="28"/>
  <c r="P58" i="29"/>
  <c r="J15" i="31"/>
  <c r="P15" i="31" s="1"/>
  <c r="AG40" i="31"/>
  <c r="AG5" i="33"/>
  <c r="N15" i="33"/>
  <c r="L70" i="33"/>
  <c r="L79" i="33" s="1"/>
  <c r="J13" i="32" s="1"/>
  <c r="J79" i="33"/>
  <c r="P70" i="33"/>
  <c r="P79" i="33"/>
  <c r="L16" i="35"/>
  <c r="L26" i="35" s="1"/>
  <c r="E13" i="34" s="1"/>
  <c r="Z2" i="37"/>
  <c r="L6" i="36" s="1"/>
  <c r="L18" i="37"/>
  <c r="Q39" i="37"/>
  <c r="L70" i="37"/>
  <c r="L79" i="37" s="1"/>
  <c r="J13" i="36" s="1"/>
  <c r="R6" i="39"/>
  <c r="Q79" i="41"/>
  <c r="L50" i="43"/>
  <c r="J15" i="45"/>
  <c r="P15" i="45" s="1"/>
  <c r="P5" i="45"/>
  <c r="R16" i="45"/>
  <c r="Q16" i="45"/>
  <c r="P40" i="45"/>
  <c r="L40" i="45"/>
  <c r="P50" i="45"/>
  <c r="AG6" i="47"/>
  <c r="AG7" i="47"/>
  <c r="P37" i="47"/>
  <c r="F6" i="48"/>
  <c r="H6" i="48"/>
  <c r="AG27" i="49"/>
  <c r="G2" i="51"/>
  <c r="O15" i="53"/>
  <c r="R5" i="53"/>
  <c r="O28" i="53"/>
  <c r="L6" i="55"/>
  <c r="P6" i="55"/>
  <c r="AF16" i="55"/>
  <c r="N26" i="55"/>
  <c r="L18" i="55"/>
  <c r="R18" i="55" s="1"/>
  <c r="AE2" i="55"/>
  <c r="O6" i="54" s="1"/>
  <c r="E21" i="54"/>
  <c r="AF61" i="55"/>
  <c r="J69" i="55"/>
  <c r="P69" i="55" s="1"/>
  <c r="D18" i="56"/>
  <c r="Z2" i="57"/>
  <c r="L6" i="56" s="1"/>
  <c r="P26" i="57"/>
  <c r="O28" i="59"/>
  <c r="O29" i="59"/>
  <c r="I1" i="59"/>
  <c r="L70" i="59"/>
  <c r="L79" i="59" s="1"/>
  <c r="J13" i="58" s="1"/>
  <c r="AG6" i="61"/>
  <c r="AG29" i="61"/>
  <c r="AF29" i="61"/>
  <c r="O29" i="61"/>
  <c r="AF38" i="61"/>
  <c r="L59" i="61"/>
  <c r="L69" i="61" s="1"/>
  <c r="I13" i="60" s="1"/>
  <c r="J6" i="60" s="1"/>
  <c r="H6" i="62"/>
  <c r="F6" i="62"/>
  <c r="P16" i="63"/>
  <c r="J26" i="63"/>
  <c r="P26" i="63" s="1"/>
  <c r="L16" i="63"/>
  <c r="L26" i="63" s="1"/>
  <c r="E13" i="62" s="1"/>
  <c r="O27" i="63"/>
  <c r="AG27" i="63"/>
  <c r="AF27" i="63"/>
  <c r="O28" i="63"/>
  <c r="AF38" i="63"/>
  <c r="P79" i="63"/>
  <c r="K15" i="65"/>
  <c r="L5" i="65"/>
  <c r="AG7" i="67"/>
  <c r="AF7" i="67"/>
  <c r="AG70" i="61"/>
  <c r="O70" i="61"/>
  <c r="D21" i="62"/>
  <c r="AE2" i="63"/>
  <c r="O6" i="62" s="1"/>
  <c r="N58" i="63"/>
  <c r="O49" i="63"/>
  <c r="AF40" i="65"/>
  <c r="AG40" i="65"/>
  <c r="R6" i="67"/>
  <c r="Q6" i="67"/>
  <c r="L18" i="67"/>
  <c r="P18" i="67"/>
  <c r="P48" i="67"/>
  <c r="G22" i="66"/>
  <c r="L60" i="27"/>
  <c r="L18" i="31"/>
  <c r="J48" i="35"/>
  <c r="P48" i="35" s="1"/>
  <c r="N58" i="35"/>
  <c r="H22" i="40"/>
  <c r="P58" i="41"/>
  <c r="L39" i="47"/>
  <c r="R39" i="47" s="1"/>
  <c r="L49" i="47"/>
  <c r="L58" i="47" s="1"/>
  <c r="H13" i="46" s="1"/>
  <c r="L51" i="47"/>
  <c r="R51" i="47" s="1"/>
  <c r="I1" i="49"/>
  <c r="P79" i="49"/>
  <c r="J22" i="48"/>
  <c r="AG60" i="51"/>
  <c r="AF60" i="51"/>
  <c r="O60" i="51"/>
  <c r="N37" i="55"/>
  <c r="O27" i="55"/>
  <c r="L59" i="55"/>
  <c r="L69" i="55" s="1"/>
  <c r="I13" i="54" s="1"/>
  <c r="J6" i="54" s="1"/>
  <c r="AD2" i="57"/>
  <c r="N6" i="56" s="1"/>
  <c r="D20" i="56"/>
  <c r="AG49" i="59"/>
  <c r="N58" i="59"/>
  <c r="AF49" i="59"/>
  <c r="AD2" i="61"/>
  <c r="N6" i="60" s="1"/>
  <c r="J48" i="63"/>
  <c r="P48" i="63" s="1"/>
  <c r="P38" i="63"/>
  <c r="AF49" i="63"/>
  <c r="O15" i="65"/>
  <c r="D21" i="64"/>
  <c r="AE2" i="65"/>
  <c r="O6" i="64" s="1"/>
  <c r="L27" i="65"/>
  <c r="L37" i="65" s="1"/>
  <c r="F13" i="64" s="1"/>
  <c r="O40" i="65"/>
  <c r="N15" i="67"/>
  <c r="AG5" i="67"/>
  <c r="AF5" i="67"/>
  <c r="O27" i="67"/>
  <c r="N37" i="67"/>
  <c r="AG27" i="67"/>
  <c r="AF39" i="67"/>
  <c r="N48" i="67"/>
  <c r="H22" i="32"/>
  <c r="P58" i="33"/>
  <c r="AF7" i="37"/>
  <c r="AF5" i="43"/>
  <c r="N15" i="43"/>
  <c r="AA2" i="45"/>
  <c r="M6" i="44" s="1"/>
  <c r="R38" i="45"/>
  <c r="AF59" i="45"/>
  <c r="F19" i="46"/>
  <c r="AA2" i="47"/>
  <c r="M6" i="46" s="1"/>
  <c r="AF60" i="47"/>
  <c r="AG60" i="47"/>
  <c r="K37" i="51"/>
  <c r="G2" i="53"/>
  <c r="J3" i="52"/>
  <c r="O60" i="57"/>
  <c r="O69" i="57" s="1"/>
  <c r="AF60" i="57"/>
  <c r="H6" i="60"/>
  <c r="F6" i="60"/>
  <c r="L38" i="63"/>
  <c r="L48" i="63" s="1"/>
  <c r="G13" i="62" s="1"/>
  <c r="AF39" i="63"/>
  <c r="AG39" i="63"/>
  <c r="AG49" i="63"/>
  <c r="AF59" i="63"/>
  <c r="O59" i="63"/>
  <c r="N69" i="63"/>
  <c r="I22" i="62"/>
  <c r="P69" i="63"/>
  <c r="Q27" i="65"/>
  <c r="R27" i="65"/>
  <c r="P37" i="65"/>
  <c r="N79" i="65"/>
  <c r="O70" i="65"/>
  <c r="AF70" i="65"/>
  <c r="AG70" i="65"/>
  <c r="O5" i="67"/>
  <c r="AF27" i="67"/>
  <c r="O48" i="67"/>
  <c r="Q38" i="67"/>
  <c r="AG39" i="67"/>
  <c r="AF50" i="67"/>
  <c r="O50" i="67"/>
  <c r="AG5" i="41"/>
  <c r="L7" i="45"/>
  <c r="AG70" i="45"/>
  <c r="AG7" i="53"/>
  <c r="AG29" i="53"/>
  <c r="O29" i="53"/>
  <c r="AF29" i="53"/>
  <c r="O51" i="53"/>
  <c r="AG51" i="53"/>
  <c r="P26" i="55"/>
  <c r="E22" i="54"/>
  <c r="R39" i="55"/>
  <c r="Q39" i="55"/>
  <c r="AF27" i="57"/>
  <c r="AG27" i="57"/>
  <c r="P58" i="65"/>
  <c r="P26" i="67"/>
  <c r="H18" i="66"/>
  <c r="Z2" i="67"/>
  <c r="L6" i="66" s="1"/>
  <c r="Q70" i="67"/>
  <c r="K48" i="47"/>
  <c r="N26" i="49"/>
  <c r="AG16" i="49"/>
  <c r="O16" i="49"/>
  <c r="N48" i="51"/>
  <c r="AG28" i="55"/>
  <c r="AF28" i="55"/>
  <c r="O28" i="55"/>
  <c r="AG59" i="55"/>
  <c r="AF59" i="55"/>
  <c r="O59" i="55"/>
  <c r="J26" i="57"/>
  <c r="L16" i="57"/>
  <c r="L26" i="57" s="1"/>
  <c r="E13" i="56" s="1"/>
  <c r="R27" i="57"/>
  <c r="Q27" i="57"/>
  <c r="O37" i="57"/>
  <c r="L6" i="59"/>
  <c r="R6" i="59" s="1"/>
  <c r="P6" i="59"/>
  <c r="N26" i="59"/>
  <c r="AF16" i="61"/>
  <c r="N26" i="61"/>
  <c r="P37" i="61"/>
  <c r="F22" i="60"/>
  <c r="AG39" i="65"/>
  <c r="AF39" i="65"/>
  <c r="AF49" i="65"/>
  <c r="N58" i="65"/>
  <c r="AG6" i="67"/>
  <c r="AF6" i="67"/>
  <c r="AG16" i="67"/>
  <c r="N26" i="67"/>
  <c r="AF16" i="67"/>
  <c r="O16" i="67"/>
  <c r="Q18" i="55"/>
  <c r="AF29" i="55"/>
  <c r="L39" i="55"/>
  <c r="AE2" i="57"/>
  <c r="O6" i="56" s="1"/>
  <c r="P49" i="57"/>
  <c r="J58" i="57"/>
  <c r="P58" i="57" s="1"/>
  <c r="J15" i="63"/>
  <c r="P15" i="63" s="1"/>
  <c r="R60" i="55"/>
  <c r="Q60" i="55"/>
  <c r="P26" i="59"/>
  <c r="E22" i="58"/>
  <c r="Q7" i="61"/>
  <c r="AA2" i="61"/>
  <c r="M6" i="60" s="1"/>
  <c r="P79" i="61"/>
  <c r="AG29" i="65"/>
  <c r="O29" i="65"/>
  <c r="O37" i="65" s="1"/>
  <c r="AF29" i="65"/>
  <c r="F19" i="66"/>
  <c r="AA2" i="67"/>
  <c r="M6" i="66" s="1"/>
  <c r="P61" i="67"/>
  <c r="L61" i="67"/>
  <c r="J79" i="57"/>
  <c r="P79" i="57" s="1"/>
  <c r="N69" i="61"/>
  <c r="O59" i="61"/>
  <c r="AF7" i="63"/>
  <c r="AG7" i="63"/>
  <c r="AG6" i="65"/>
  <c r="AF6" i="65"/>
  <c r="L38" i="67"/>
  <c r="L48" i="67" s="1"/>
  <c r="G13" i="66" s="1"/>
  <c r="K48" i="67"/>
  <c r="O49" i="67"/>
  <c r="N58" i="67"/>
  <c r="AG51" i="67"/>
  <c r="O51" i="67"/>
  <c r="J48" i="57"/>
  <c r="P48" i="57" s="1"/>
  <c r="P38" i="57"/>
  <c r="AF39" i="61"/>
  <c r="I1" i="63"/>
  <c r="L59" i="63"/>
  <c r="L69" i="63" s="1"/>
  <c r="I13" i="62" s="1"/>
  <c r="J6" i="62" s="1"/>
  <c r="K69" i="63"/>
  <c r="AF7" i="65"/>
  <c r="O29" i="67"/>
  <c r="AG29" i="67"/>
  <c r="L60" i="61"/>
  <c r="AF27" i="65"/>
  <c r="AG70" i="67"/>
  <c r="Q31" i="17" l="1"/>
  <c r="R31" i="17"/>
  <c r="I14" i="56"/>
  <c r="R37" i="35"/>
  <c r="S27" i="35" s="1"/>
  <c r="F14" i="34"/>
  <c r="F15" i="34" s="1"/>
  <c r="R69" i="37"/>
  <c r="S59" i="37" s="1"/>
  <c r="I14" i="36"/>
  <c r="F6" i="70"/>
  <c r="H6" i="70"/>
  <c r="F14" i="64"/>
  <c r="F15" i="64" s="1"/>
  <c r="R37" i="65"/>
  <c r="S27" i="65" s="1"/>
  <c r="R15" i="15"/>
  <c r="S5" i="15" s="1"/>
  <c r="D14" i="14"/>
  <c r="R58" i="47"/>
  <c r="S49" i="47" s="1"/>
  <c r="H14" i="46"/>
  <c r="H15" i="46" s="1"/>
  <c r="H14" i="58"/>
  <c r="H15" i="58" s="1"/>
  <c r="R58" i="59"/>
  <c r="S49" i="59" s="1"/>
  <c r="R15" i="31"/>
  <c r="S5" i="31" s="1"/>
  <c r="Q15" i="31"/>
  <c r="D14" i="30"/>
  <c r="E2" i="35"/>
  <c r="Q15" i="35"/>
  <c r="D14" i="34"/>
  <c r="R15" i="35"/>
  <c r="S5" i="35" s="1"/>
  <c r="G14" i="44"/>
  <c r="G15" i="44" s="1"/>
  <c r="R48" i="45"/>
  <c r="S38" i="45" s="1"/>
  <c r="R15" i="21"/>
  <c r="S5" i="21" s="1"/>
  <c r="Q15" i="21"/>
  <c r="D14" i="20"/>
  <c r="O37" i="51"/>
  <c r="R27" i="51"/>
  <c r="Q27" i="51"/>
  <c r="F15" i="22"/>
  <c r="Q15" i="29"/>
  <c r="D14" i="28"/>
  <c r="R15" i="29"/>
  <c r="S5" i="29" s="1"/>
  <c r="R61" i="3"/>
  <c r="Q61" i="3"/>
  <c r="R7" i="3"/>
  <c r="Q7" i="3"/>
  <c r="R40" i="59"/>
  <c r="Q40" i="59"/>
  <c r="R18" i="53"/>
  <c r="Q37" i="35"/>
  <c r="AG37" i="35"/>
  <c r="AH27" i="35" s="1"/>
  <c r="AF37" i="35"/>
  <c r="R48" i="3"/>
  <c r="S38" i="3" s="1"/>
  <c r="G14" i="2"/>
  <c r="G15" i="2" s="1"/>
  <c r="Q69" i="29"/>
  <c r="AG69" i="29"/>
  <c r="AH59" i="29" s="1"/>
  <c r="AF69" i="29"/>
  <c r="Q30" i="73"/>
  <c r="R30" i="73"/>
  <c r="Q5" i="3"/>
  <c r="O15" i="3"/>
  <c r="R5" i="3"/>
  <c r="L26" i="17"/>
  <c r="E13" i="16" s="1"/>
  <c r="R29" i="71"/>
  <c r="Q29" i="71"/>
  <c r="Q37" i="3"/>
  <c r="AG37" i="3"/>
  <c r="AH27" i="3" s="1"/>
  <c r="AF37" i="3"/>
  <c r="AG58" i="45"/>
  <c r="AH49" i="45" s="1"/>
  <c r="AF58" i="45"/>
  <c r="Q58" i="45"/>
  <c r="R70" i="27"/>
  <c r="O79" i="27"/>
  <c r="Q70" i="27"/>
  <c r="AG15" i="19"/>
  <c r="AH5" i="19" s="1"/>
  <c r="AF15" i="19"/>
  <c r="R17" i="67"/>
  <c r="Q17" i="67"/>
  <c r="R16" i="15"/>
  <c r="Q16" i="15"/>
  <c r="O26" i="15"/>
  <c r="R39" i="49"/>
  <c r="Q39" i="49"/>
  <c r="AG15" i="47"/>
  <c r="AH5" i="47" s="1"/>
  <c r="AF15" i="47"/>
  <c r="L37" i="73"/>
  <c r="F13" i="72" s="1"/>
  <c r="AG15" i="21"/>
  <c r="AH5" i="21" s="1"/>
  <c r="AF15" i="21"/>
  <c r="H14" i="22"/>
  <c r="H15" i="22" s="1"/>
  <c r="R58" i="23"/>
  <c r="S49" i="23" s="1"/>
  <c r="Q70" i="25"/>
  <c r="R70" i="25"/>
  <c r="O79" i="25"/>
  <c r="I14" i="68"/>
  <c r="R69" i="69"/>
  <c r="S59" i="69" s="1"/>
  <c r="R60" i="41"/>
  <c r="Q60" i="41"/>
  <c r="R30" i="15"/>
  <c r="Q30" i="15"/>
  <c r="R5" i="15"/>
  <c r="Q5" i="15"/>
  <c r="L15" i="15"/>
  <c r="D13" i="14" s="1"/>
  <c r="Q17" i="17"/>
  <c r="AG69" i="39"/>
  <c r="AH59" i="39" s="1"/>
  <c r="AF69" i="39"/>
  <c r="Q69" i="39"/>
  <c r="Q18" i="17"/>
  <c r="R18" i="17"/>
  <c r="R37" i="57"/>
  <c r="S27" i="57" s="1"/>
  <c r="F14" i="56"/>
  <c r="F15" i="56" s="1"/>
  <c r="R61" i="59"/>
  <c r="Q61" i="59"/>
  <c r="AG58" i="49"/>
  <c r="AH49" i="49" s="1"/>
  <c r="Q58" i="49"/>
  <c r="AF58" i="49"/>
  <c r="R50" i="71"/>
  <c r="Q50" i="71"/>
  <c r="R29" i="15"/>
  <c r="Q29" i="15"/>
  <c r="R28" i="71"/>
  <c r="Q28" i="71"/>
  <c r="O37" i="71"/>
  <c r="AG79" i="57"/>
  <c r="AH70" i="57" s="1"/>
  <c r="AF79" i="57"/>
  <c r="Q79" i="57"/>
  <c r="Q69" i="73"/>
  <c r="AF69" i="73"/>
  <c r="AG69" i="73"/>
  <c r="AH59" i="73" s="1"/>
  <c r="Q79" i="25"/>
  <c r="AG79" i="25"/>
  <c r="AH70" i="25" s="1"/>
  <c r="AF79" i="25"/>
  <c r="O48" i="61"/>
  <c r="R38" i="61"/>
  <c r="Q38" i="61"/>
  <c r="R49" i="49"/>
  <c r="Q49" i="49"/>
  <c r="O58" i="49"/>
  <c r="O26" i="37"/>
  <c r="Q16" i="37"/>
  <c r="R16" i="37"/>
  <c r="Q48" i="55"/>
  <c r="AG48" i="55"/>
  <c r="AH38" i="55" s="1"/>
  <c r="AF48" i="55"/>
  <c r="R28" i="29"/>
  <c r="Q28" i="29"/>
  <c r="R50" i="55"/>
  <c r="Q50" i="55"/>
  <c r="L79" i="45"/>
  <c r="R70" i="45"/>
  <c r="Q70" i="45"/>
  <c r="AG26" i="15"/>
  <c r="AH16" i="15" s="1"/>
  <c r="AF26" i="15"/>
  <c r="AG58" i="13"/>
  <c r="AH49" i="13" s="1"/>
  <c r="Q58" i="13"/>
  <c r="AF58" i="13"/>
  <c r="L37" i="13"/>
  <c r="F13" i="12" s="1"/>
  <c r="R27" i="13"/>
  <c r="Q27" i="13"/>
  <c r="Q61" i="19"/>
  <c r="R61" i="19"/>
  <c r="Q18" i="13"/>
  <c r="R18" i="13"/>
  <c r="AF15" i="45"/>
  <c r="AG15" i="45"/>
  <c r="AH5" i="45" s="1"/>
  <c r="R27" i="21"/>
  <c r="O37" i="21"/>
  <c r="Q27" i="21"/>
  <c r="O48" i="55"/>
  <c r="R38" i="55"/>
  <c r="Q38" i="55"/>
  <c r="R29" i="61"/>
  <c r="Q29" i="61"/>
  <c r="L37" i="17"/>
  <c r="F13" i="16" s="1"/>
  <c r="Q51" i="59"/>
  <c r="R51" i="59"/>
  <c r="R7" i="65"/>
  <c r="Q48" i="19"/>
  <c r="AG48" i="19"/>
  <c r="AH38" i="19" s="1"/>
  <c r="AF48" i="19"/>
  <c r="Q50" i="73"/>
  <c r="R50" i="73"/>
  <c r="AG48" i="45"/>
  <c r="AH38" i="45" s="1"/>
  <c r="Q48" i="45"/>
  <c r="AF48" i="45"/>
  <c r="R79" i="67"/>
  <c r="S70" i="67" s="1"/>
  <c r="J15" i="66" s="1"/>
  <c r="Q50" i="35"/>
  <c r="R50" i="35"/>
  <c r="F6" i="22"/>
  <c r="H6" i="22"/>
  <c r="AG26" i="71"/>
  <c r="AH16" i="71" s="1"/>
  <c r="AF26" i="71"/>
  <c r="Q49" i="15"/>
  <c r="AG26" i="35"/>
  <c r="AH16" i="35" s="1"/>
  <c r="AF26" i="35"/>
  <c r="Q28" i="61"/>
  <c r="R28" i="61"/>
  <c r="R18" i="51"/>
  <c r="Q18" i="51"/>
  <c r="Q58" i="43"/>
  <c r="AG58" i="43"/>
  <c r="AH49" i="43" s="1"/>
  <c r="AF58" i="43"/>
  <c r="H6" i="36"/>
  <c r="F6" i="36"/>
  <c r="H6" i="34"/>
  <c r="F6" i="34"/>
  <c r="Q16" i="29"/>
  <c r="R16" i="29"/>
  <c r="O26" i="29"/>
  <c r="AG37" i="17"/>
  <c r="AH27" i="17" s="1"/>
  <c r="AF37" i="17"/>
  <c r="Q37" i="17"/>
  <c r="O37" i="59"/>
  <c r="R27" i="59"/>
  <c r="Q27" i="59"/>
  <c r="Q27" i="17"/>
  <c r="Q50" i="63"/>
  <c r="R50" i="63"/>
  <c r="O48" i="37"/>
  <c r="R38" i="37"/>
  <c r="Q38" i="37"/>
  <c r="R48" i="29"/>
  <c r="S38" i="29" s="1"/>
  <c r="G14" i="28"/>
  <c r="G15" i="28" s="1"/>
  <c r="AF26" i="53"/>
  <c r="AG26" i="53"/>
  <c r="AH16" i="53" s="1"/>
  <c r="AF26" i="63"/>
  <c r="AG26" i="63"/>
  <c r="AH16" i="63" s="1"/>
  <c r="R37" i="23"/>
  <c r="S27" i="23" s="1"/>
  <c r="Q50" i="13"/>
  <c r="R50" i="13"/>
  <c r="R39" i="71"/>
  <c r="Q39" i="71"/>
  <c r="R69" i="45"/>
  <c r="S59" i="45" s="1"/>
  <c r="I14" i="44"/>
  <c r="Q17" i="23"/>
  <c r="R17" i="23"/>
  <c r="R7" i="51"/>
  <c r="Q7" i="51"/>
  <c r="Q38" i="39"/>
  <c r="R38" i="39"/>
  <c r="O48" i="39"/>
  <c r="Q16" i="35"/>
  <c r="R40" i="21"/>
  <c r="Q40" i="21"/>
  <c r="R50" i="25"/>
  <c r="Q50" i="25"/>
  <c r="AG48" i="49"/>
  <c r="AH38" i="49" s="1"/>
  <c r="Q48" i="49"/>
  <c r="AF48" i="49"/>
  <c r="R61" i="15"/>
  <c r="Q61" i="15"/>
  <c r="I14" i="46"/>
  <c r="R69" i="47"/>
  <c r="S59" i="47" s="1"/>
  <c r="G14" i="16"/>
  <c r="G15" i="16" s="1"/>
  <c r="R48" i="17"/>
  <c r="S38" i="17" s="1"/>
  <c r="AF15" i="3"/>
  <c r="AG15" i="3"/>
  <c r="AH5" i="3" s="1"/>
  <c r="AG26" i="3"/>
  <c r="AH16" i="3" s="1"/>
  <c r="AF26" i="3"/>
  <c r="Q51" i="19"/>
  <c r="R51" i="19"/>
  <c r="O26" i="51"/>
  <c r="R16" i="51"/>
  <c r="Q16" i="51"/>
  <c r="Q70" i="47"/>
  <c r="R60" i="35"/>
  <c r="Q60" i="35"/>
  <c r="Q49" i="45"/>
  <c r="O58" i="45"/>
  <c r="R49" i="45"/>
  <c r="Q39" i="23"/>
  <c r="R17" i="49"/>
  <c r="Q17" i="49"/>
  <c r="R17" i="21"/>
  <c r="Q17" i="21"/>
  <c r="R51" i="69"/>
  <c r="Q51" i="69"/>
  <c r="R59" i="31"/>
  <c r="Q59" i="31"/>
  <c r="O69" i="31"/>
  <c r="Q60" i="65"/>
  <c r="R60" i="65"/>
  <c r="Q39" i="17"/>
  <c r="R39" i="17"/>
  <c r="J14" i="38"/>
  <c r="R79" i="39"/>
  <c r="S70" i="39" s="1"/>
  <c r="J15" i="38" s="1"/>
  <c r="R7" i="13"/>
  <c r="Q7" i="13"/>
  <c r="Q39" i="73"/>
  <c r="R39" i="73"/>
  <c r="O26" i="49"/>
  <c r="Q16" i="49"/>
  <c r="R16" i="49"/>
  <c r="R16" i="57"/>
  <c r="O26" i="57"/>
  <c r="Q16" i="57"/>
  <c r="AF69" i="67"/>
  <c r="Q69" i="67"/>
  <c r="AG69" i="67"/>
  <c r="AH59" i="67" s="1"/>
  <c r="R7" i="49"/>
  <c r="Q7" i="49"/>
  <c r="AF58" i="23"/>
  <c r="Q58" i="23"/>
  <c r="AG58" i="23"/>
  <c r="AH49" i="23" s="1"/>
  <c r="Q58" i="29"/>
  <c r="AG58" i="29"/>
  <c r="AH49" i="29" s="1"/>
  <c r="AF58" i="29"/>
  <c r="R61" i="51"/>
  <c r="Q61" i="51"/>
  <c r="Q50" i="29"/>
  <c r="R50" i="29"/>
  <c r="D14" i="64"/>
  <c r="R15" i="65"/>
  <c r="S5" i="65" s="1"/>
  <c r="E2" i="65"/>
  <c r="Q15" i="65"/>
  <c r="R27" i="53"/>
  <c r="Q27" i="53"/>
  <c r="O37" i="53"/>
  <c r="R29" i="17"/>
  <c r="Q29" i="17"/>
  <c r="AG37" i="53"/>
  <c r="AH27" i="53" s="1"/>
  <c r="Q37" i="53"/>
  <c r="AF37" i="53"/>
  <c r="AG26" i="21"/>
  <c r="AH16" i="21" s="1"/>
  <c r="AF26" i="21"/>
  <c r="AF15" i="31"/>
  <c r="AG15" i="31"/>
  <c r="AH5" i="31" s="1"/>
  <c r="R16" i="47"/>
  <c r="Q16" i="47"/>
  <c r="O26" i="47"/>
  <c r="AG58" i="15"/>
  <c r="AH49" i="15" s="1"/>
  <c r="AF58" i="15"/>
  <c r="Q58" i="15"/>
  <c r="R39" i="53"/>
  <c r="Q39" i="53"/>
  <c r="L79" i="15"/>
  <c r="J13" i="14" s="1"/>
  <c r="R71" i="15"/>
  <c r="Q71" i="15"/>
  <c r="R50" i="65"/>
  <c r="Q50" i="65"/>
  <c r="O58" i="41"/>
  <c r="R49" i="41"/>
  <c r="Q49" i="41"/>
  <c r="Q70" i="33"/>
  <c r="O79" i="33"/>
  <c r="R70" i="33"/>
  <c r="R18" i="47"/>
  <c r="Q18" i="47"/>
  <c r="R18" i="41"/>
  <c r="Q18" i="41"/>
  <c r="D14" i="26"/>
  <c r="L15" i="73"/>
  <c r="D13" i="72" s="1"/>
  <c r="AG69" i="61"/>
  <c r="AH59" i="61" s="1"/>
  <c r="AF69" i="61"/>
  <c r="Q69" i="61"/>
  <c r="R60" i="67"/>
  <c r="Q60" i="67"/>
  <c r="R16" i="33"/>
  <c r="L26" i="33"/>
  <c r="E13" i="32" s="1"/>
  <c r="R27" i="15"/>
  <c r="O37" i="15"/>
  <c r="Q27" i="15"/>
  <c r="Q48" i="43"/>
  <c r="AG48" i="43"/>
  <c r="AH38" i="43" s="1"/>
  <c r="AF48" i="43"/>
  <c r="Q37" i="33"/>
  <c r="AG37" i="33"/>
  <c r="AH27" i="33" s="1"/>
  <c r="AF37" i="33"/>
  <c r="AG79" i="13"/>
  <c r="AH70" i="13" s="1"/>
  <c r="AF79" i="13"/>
  <c r="Q79" i="13"/>
  <c r="O15" i="45"/>
  <c r="R5" i="45"/>
  <c r="Q5" i="45"/>
  <c r="Q69" i="53"/>
  <c r="AG69" i="53"/>
  <c r="AH59" i="53" s="1"/>
  <c r="AF69" i="53"/>
  <c r="R60" i="71"/>
  <c r="Q60" i="71"/>
  <c r="R49" i="31"/>
  <c r="Q49" i="31"/>
  <c r="O58" i="31"/>
  <c r="R61" i="13"/>
  <c r="Q61" i="13"/>
  <c r="Q38" i="47"/>
  <c r="O48" i="47"/>
  <c r="R38" i="47"/>
  <c r="R29" i="33"/>
  <c r="Q29" i="33"/>
  <c r="Q26" i="61"/>
  <c r="R26" i="61"/>
  <c r="S16" i="61" s="1"/>
  <c r="E14" i="60"/>
  <c r="E15" i="60" s="1"/>
  <c r="AF69" i="41"/>
  <c r="Q69" i="41"/>
  <c r="AG69" i="41"/>
  <c r="AH59" i="41" s="1"/>
  <c r="R51" i="35"/>
  <c r="Q51" i="35"/>
  <c r="R51" i="27"/>
  <c r="Q51" i="27"/>
  <c r="Q6" i="71"/>
  <c r="R6" i="71"/>
  <c r="R17" i="59"/>
  <c r="Q17" i="59"/>
  <c r="Q28" i="37"/>
  <c r="R28" i="37"/>
  <c r="R16" i="35"/>
  <c r="R59" i="19"/>
  <c r="Q59" i="19"/>
  <c r="O69" i="19"/>
  <c r="Q48" i="21"/>
  <c r="AG48" i="21"/>
  <c r="AH38" i="21" s="1"/>
  <c r="AF48" i="21"/>
  <c r="Q69" i="19"/>
  <c r="AG69" i="19"/>
  <c r="AH59" i="19" s="1"/>
  <c r="AF69" i="19"/>
  <c r="R60" i="43"/>
  <c r="Q60" i="43"/>
  <c r="J14" i="46"/>
  <c r="R79" i="47"/>
  <c r="S70" i="47" s="1"/>
  <c r="J15" i="46" s="1"/>
  <c r="Q58" i="33"/>
  <c r="AG58" i="33"/>
  <c r="AH49" i="33" s="1"/>
  <c r="AF58" i="33"/>
  <c r="Q49" i="27"/>
  <c r="R49" i="27"/>
  <c r="O58" i="27"/>
  <c r="R50" i="19"/>
  <c r="Q50" i="19"/>
  <c r="R51" i="13"/>
  <c r="Q51" i="13"/>
  <c r="AF48" i="15"/>
  <c r="AG48" i="15"/>
  <c r="AH38" i="15" s="1"/>
  <c r="Q48" i="15"/>
  <c r="Q61" i="33"/>
  <c r="R61" i="33"/>
  <c r="Q58" i="27"/>
  <c r="AF58" i="27"/>
  <c r="AG58" i="27"/>
  <c r="AH49" i="27" s="1"/>
  <c r="Q52" i="69"/>
  <c r="R52" i="69"/>
  <c r="R16" i="43"/>
  <c r="Q16" i="43"/>
  <c r="O26" i="43"/>
  <c r="E2" i="43" s="1"/>
  <c r="AF26" i="19"/>
  <c r="AG26" i="19"/>
  <c r="AH16" i="19" s="1"/>
  <c r="R59" i="71"/>
  <c r="O69" i="71"/>
  <c r="Q59" i="71"/>
  <c r="O6" i="72"/>
  <c r="N6" i="72"/>
  <c r="E14" i="68"/>
  <c r="E15" i="68" s="1"/>
  <c r="Q26" i="69"/>
  <c r="R26" i="69"/>
  <c r="S16" i="69" s="1"/>
  <c r="Q79" i="15"/>
  <c r="AG79" i="15"/>
  <c r="AH70" i="15" s="1"/>
  <c r="AF79" i="15"/>
  <c r="R48" i="33"/>
  <c r="S38" i="33" s="1"/>
  <c r="G14" i="32"/>
  <c r="G15" i="32" s="1"/>
  <c r="R59" i="39"/>
  <c r="O69" i="39"/>
  <c r="Q59" i="39"/>
  <c r="AF69" i="21"/>
  <c r="Q69" i="21"/>
  <c r="AG69" i="21"/>
  <c r="AH59" i="21" s="1"/>
  <c r="Q40" i="49"/>
  <c r="R40" i="49"/>
  <c r="R60" i="25"/>
  <c r="Q60" i="25"/>
  <c r="R15" i="55"/>
  <c r="S5" i="55" s="1"/>
  <c r="Q15" i="55"/>
  <c r="D14" i="54"/>
  <c r="R51" i="67"/>
  <c r="Q51" i="67"/>
  <c r="R38" i="67"/>
  <c r="R18" i="31"/>
  <c r="Q18" i="31"/>
  <c r="AG79" i="41"/>
  <c r="AH70" i="41" s="1"/>
  <c r="AG15" i="33"/>
  <c r="AH5" i="33" s="1"/>
  <c r="AF15" i="33"/>
  <c r="R29" i="63"/>
  <c r="Q29" i="63"/>
  <c r="O58" i="55"/>
  <c r="R49" i="55"/>
  <c r="Q49" i="55"/>
  <c r="AG37" i="49"/>
  <c r="AH27" i="49" s="1"/>
  <c r="AF37" i="49"/>
  <c r="Q37" i="49"/>
  <c r="D14" i="42"/>
  <c r="R15" i="43"/>
  <c r="S5" i="43" s="1"/>
  <c r="Q15" i="43"/>
  <c r="R70" i="55"/>
  <c r="Q70" i="55"/>
  <c r="O79" i="55"/>
  <c r="R29" i="49"/>
  <c r="Q29" i="49"/>
  <c r="R6" i="41"/>
  <c r="Q6" i="41"/>
  <c r="L79" i="69"/>
  <c r="J13" i="68" s="1"/>
  <c r="J6" i="68" s="1"/>
  <c r="L79" i="63"/>
  <c r="Q70" i="63"/>
  <c r="R70" i="63"/>
  <c r="AG37" i="41"/>
  <c r="AH27" i="41" s="1"/>
  <c r="Q37" i="41"/>
  <c r="AF37" i="41"/>
  <c r="R58" i="43"/>
  <c r="S49" i="43" s="1"/>
  <c r="H14" i="42"/>
  <c r="H15" i="42" s="1"/>
  <c r="Q19" i="15"/>
  <c r="R51" i="51"/>
  <c r="Q51" i="51"/>
  <c r="Q28" i="33"/>
  <c r="R28" i="33"/>
  <c r="AG48" i="65"/>
  <c r="AH38" i="65" s="1"/>
  <c r="AF48" i="65"/>
  <c r="Q48" i="65"/>
  <c r="Q38" i="43"/>
  <c r="O48" i="43"/>
  <c r="R38" i="43"/>
  <c r="Q18" i="65"/>
  <c r="R18" i="65"/>
  <c r="O58" i="35"/>
  <c r="Q72" i="15"/>
  <c r="R72" i="15"/>
  <c r="R39" i="61"/>
  <c r="Q39" i="61"/>
  <c r="AF15" i="41"/>
  <c r="AG15" i="41"/>
  <c r="AH5" i="41" s="1"/>
  <c r="Q73" i="15"/>
  <c r="R73" i="15"/>
  <c r="F14" i="16"/>
  <c r="Q48" i="71"/>
  <c r="AG48" i="71"/>
  <c r="AH38" i="71" s="1"/>
  <c r="AF48" i="71"/>
  <c r="Q5" i="31"/>
  <c r="R49" i="35"/>
  <c r="Q49" i="35"/>
  <c r="L58" i="35"/>
  <c r="H13" i="34" s="1"/>
  <c r="R17" i="29"/>
  <c r="Q17" i="29"/>
  <c r="R30" i="13"/>
  <c r="Q30" i="13"/>
  <c r="G2" i="71"/>
  <c r="J3" i="70"/>
  <c r="O69" i="41"/>
  <c r="R59" i="41"/>
  <c r="Q59" i="41"/>
  <c r="AF37" i="63"/>
  <c r="G14" i="50"/>
  <c r="G15" i="50" s="1"/>
  <c r="R48" i="51"/>
  <c r="S38" i="51" s="1"/>
  <c r="Q60" i="45"/>
  <c r="R60" i="45"/>
  <c r="R28" i="15"/>
  <c r="Q28" i="15"/>
  <c r="R17" i="41"/>
  <c r="Q17" i="41"/>
  <c r="Q38" i="21"/>
  <c r="O48" i="21"/>
  <c r="R38" i="21"/>
  <c r="AF26" i="69"/>
  <c r="AG26" i="69"/>
  <c r="AH16" i="69" s="1"/>
  <c r="R6" i="55"/>
  <c r="Q6" i="55"/>
  <c r="Q37" i="19"/>
  <c r="AF37" i="19"/>
  <c r="AG37" i="19"/>
  <c r="AH27" i="19" s="1"/>
  <c r="R5" i="17"/>
  <c r="Q5" i="17"/>
  <c r="O15" i="17"/>
  <c r="Q49" i="33"/>
  <c r="O58" i="33"/>
  <c r="R49" i="33"/>
  <c r="R48" i="27"/>
  <c r="S38" i="27" s="1"/>
  <c r="R38" i="15"/>
  <c r="Q38" i="15"/>
  <c r="O48" i="15"/>
  <c r="E2" i="15" s="1"/>
  <c r="R51" i="63"/>
  <c r="Q51" i="63"/>
  <c r="AG26" i="51"/>
  <c r="AH16" i="51" s="1"/>
  <c r="AF26" i="51"/>
  <c r="R40" i="43"/>
  <c r="Q40" i="43"/>
  <c r="R40" i="73"/>
  <c r="Q40" i="73"/>
  <c r="R17" i="19"/>
  <c r="Q17" i="19"/>
  <c r="O26" i="19"/>
  <c r="F6" i="20"/>
  <c r="H6" i="20"/>
  <c r="R60" i="3"/>
  <c r="Q60" i="3"/>
  <c r="I14" i="16"/>
  <c r="R69" i="17"/>
  <c r="S59" i="17" s="1"/>
  <c r="R51" i="73"/>
  <c r="Q51" i="73"/>
  <c r="AG26" i="23"/>
  <c r="AH16" i="23" s="1"/>
  <c r="AF26" i="23"/>
  <c r="Q16" i="69"/>
  <c r="Q70" i="15"/>
  <c r="O79" i="15"/>
  <c r="R70" i="15"/>
  <c r="R6" i="13"/>
  <c r="Q6" i="13"/>
  <c r="R31" i="71"/>
  <c r="Q31" i="71"/>
  <c r="Q40" i="39"/>
  <c r="R40" i="39"/>
  <c r="Q59" i="21"/>
  <c r="R59" i="21"/>
  <c r="O69" i="21"/>
  <c r="Q26" i="31"/>
  <c r="R26" i="31"/>
  <c r="S16" i="31" s="1"/>
  <c r="E14" i="30"/>
  <c r="E15" i="30" s="1"/>
  <c r="R17" i="37"/>
  <c r="Q17" i="37"/>
  <c r="R15" i="47"/>
  <c r="S5" i="47" s="1"/>
  <c r="Q15" i="47"/>
  <c r="D14" i="46"/>
  <c r="AF26" i="13"/>
  <c r="AG26" i="13"/>
  <c r="AH16" i="13" s="1"/>
  <c r="J3" i="72"/>
  <c r="G2" i="73"/>
  <c r="AG79" i="3"/>
  <c r="AH70" i="3" s="1"/>
  <c r="AF79" i="3"/>
  <c r="Q79" i="3"/>
  <c r="R28" i="73"/>
  <c r="R29" i="41"/>
  <c r="Q29" i="41"/>
  <c r="L48" i="69"/>
  <c r="G13" i="68" s="1"/>
  <c r="R38" i="69"/>
  <c r="Q38" i="69"/>
  <c r="O48" i="53"/>
  <c r="R38" i="53"/>
  <c r="Q38" i="53"/>
  <c r="AG37" i="51"/>
  <c r="AH27" i="51" s="1"/>
  <c r="AF37" i="51"/>
  <c r="Q37" i="51"/>
  <c r="L26" i="27"/>
  <c r="E13" i="26" s="1"/>
  <c r="R16" i="27"/>
  <c r="AG26" i="37"/>
  <c r="AH16" i="37" s="1"/>
  <c r="AF26" i="37"/>
  <c r="R69" i="65"/>
  <c r="S59" i="65" s="1"/>
  <c r="I14" i="64"/>
  <c r="O48" i="41"/>
  <c r="R38" i="41"/>
  <c r="Q38" i="41"/>
  <c r="R26" i="25"/>
  <c r="S16" i="25" s="1"/>
  <c r="E14" i="24"/>
  <c r="E15" i="24" s="1"/>
  <c r="Q48" i="39"/>
  <c r="AF48" i="39"/>
  <c r="AG48" i="39"/>
  <c r="AH38" i="39" s="1"/>
  <c r="R70" i="17"/>
  <c r="O79" i="17"/>
  <c r="Q70" i="17"/>
  <c r="R50" i="67"/>
  <c r="Q50" i="67"/>
  <c r="Q48" i="67"/>
  <c r="AF48" i="67"/>
  <c r="AG48" i="67"/>
  <c r="AH38" i="67" s="1"/>
  <c r="AF26" i="45"/>
  <c r="AG26" i="45"/>
  <c r="AH16" i="45" s="1"/>
  <c r="O26" i="21"/>
  <c r="Q16" i="21"/>
  <c r="R16" i="21"/>
  <c r="Q61" i="31"/>
  <c r="R61" i="31"/>
  <c r="O69" i="15"/>
  <c r="R59" i="15"/>
  <c r="Q59" i="15"/>
  <c r="R51" i="39"/>
  <c r="Q51" i="39"/>
  <c r="AG15" i="73"/>
  <c r="AH5" i="73" s="1"/>
  <c r="AF15" i="73"/>
  <c r="Q60" i="49"/>
  <c r="R60" i="49"/>
  <c r="AG48" i="41"/>
  <c r="AH38" i="41" s="1"/>
  <c r="AF48" i="41"/>
  <c r="Q48" i="41"/>
  <c r="AG58" i="37"/>
  <c r="AH49" i="37" s="1"/>
  <c r="AF58" i="37"/>
  <c r="Q58" i="37"/>
  <c r="R18" i="23"/>
  <c r="Q18" i="23"/>
  <c r="R28" i="27"/>
  <c r="Q28" i="27"/>
  <c r="AG48" i="17"/>
  <c r="AH38" i="17" s="1"/>
  <c r="Q48" i="17"/>
  <c r="AF48" i="17"/>
  <c r="AF79" i="27"/>
  <c r="Q79" i="27"/>
  <c r="AG79" i="27"/>
  <c r="AH70" i="27" s="1"/>
  <c r="R17" i="57"/>
  <c r="Q17" i="57"/>
  <c r="R60" i="39"/>
  <c r="Q60" i="39"/>
  <c r="O48" i="73"/>
  <c r="R38" i="73"/>
  <c r="Q38" i="73"/>
  <c r="L15" i="69"/>
  <c r="D13" i="68" s="1"/>
  <c r="AF58" i="35"/>
  <c r="AG58" i="35"/>
  <c r="AH49" i="35" s="1"/>
  <c r="Q58" i="35"/>
  <c r="L15" i="43"/>
  <c r="D13" i="42" s="1"/>
  <c r="Q5" i="43"/>
  <c r="Q79" i="55"/>
  <c r="AF79" i="55"/>
  <c r="AG79" i="55"/>
  <c r="AH70" i="55" s="1"/>
  <c r="AG79" i="71"/>
  <c r="AH70" i="71" s="1"/>
  <c r="AF79" i="71"/>
  <c r="Q79" i="71"/>
  <c r="Q79" i="49"/>
  <c r="AG79" i="49"/>
  <c r="AH70" i="49" s="1"/>
  <c r="AF79" i="49"/>
  <c r="R28" i="31"/>
  <c r="Q28" i="31"/>
  <c r="O37" i="31"/>
  <c r="Q69" i="15"/>
  <c r="AG69" i="15"/>
  <c r="AH59" i="15" s="1"/>
  <c r="AF69" i="15"/>
  <c r="R60" i="53"/>
  <c r="Q60" i="53"/>
  <c r="Q79" i="65"/>
  <c r="AG79" i="65"/>
  <c r="AH70" i="65" s="1"/>
  <c r="AF79" i="65"/>
  <c r="L15" i="65"/>
  <c r="D13" i="64" s="1"/>
  <c r="R5" i="65"/>
  <c r="R7" i="57"/>
  <c r="Q7" i="57"/>
  <c r="R50" i="59"/>
  <c r="Q50" i="59"/>
  <c r="AG79" i="19"/>
  <c r="AH70" i="19" s="1"/>
  <c r="Q79" i="19"/>
  <c r="AF79" i="19"/>
  <c r="R50" i="69"/>
  <c r="Q50" i="69"/>
  <c r="R50" i="27"/>
  <c r="Q50" i="27"/>
  <c r="O26" i="13"/>
  <c r="R16" i="13"/>
  <c r="Q16" i="13"/>
  <c r="R28" i="51"/>
  <c r="Q28" i="51"/>
  <c r="AG58" i="65"/>
  <c r="AH49" i="65" s="1"/>
  <c r="Q58" i="65"/>
  <c r="AF58" i="65"/>
  <c r="Q59" i="73"/>
  <c r="O69" i="73"/>
  <c r="R59" i="73"/>
  <c r="R17" i="13"/>
  <c r="Q17" i="13"/>
  <c r="Q37" i="55"/>
  <c r="AG37" i="55"/>
  <c r="AH27" i="55" s="1"/>
  <c r="AF37" i="55"/>
  <c r="D14" i="52"/>
  <c r="R38" i="19"/>
  <c r="Q38" i="19"/>
  <c r="O48" i="19"/>
  <c r="R59" i="57"/>
  <c r="Q59" i="57"/>
  <c r="L69" i="57"/>
  <c r="I13" i="56" s="1"/>
  <c r="J6" i="56" s="1"/>
  <c r="R18" i="43"/>
  <c r="Q18" i="43"/>
  <c r="O69" i="61"/>
  <c r="R59" i="61"/>
  <c r="Q59" i="61"/>
  <c r="Q60" i="51"/>
  <c r="R60" i="51"/>
  <c r="Q49" i="63"/>
  <c r="O58" i="63"/>
  <c r="R49" i="63"/>
  <c r="R7" i="39"/>
  <c r="Q7" i="39"/>
  <c r="R18" i="33"/>
  <c r="O26" i="33"/>
  <c r="Q18" i="33"/>
  <c r="Q28" i="65"/>
  <c r="R28" i="65"/>
  <c r="R8" i="69"/>
  <c r="Q8" i="69"/>
  <c r="Q29" i="27"/>
  <c r="R29" i="27"/>
  <c r="R16" i="3"/>
  <c r="O26" i="3"/>
  <c r="Q16" i="3"/>
  <c r="R79" i="41"/>
  <c r="S70" i="41" s="1"/>
  <c r="J15" i="40" s="1"/>
  <c r="J14" i="40"/>
  <c r="Q37" i="43"/>
  <c r="AG37" i="43"/>
  <c r="AH27" i="43" s="1"/>
  <c r="AF37" i="43"/>
  <c r="R16" i="69"/>
  <c r="Q51" i="53"/>
  <c r="R51" i="53"/>
  <c r="Q27" i="67"/>
  <c r="O37" i="67"/>
  <c r="R27" i="67"/>
  <c r="Q58" i="63"/>
  <c r="AG58" i="63"/>
  <c r="AH49" i="63" s="1"/>
  <c r="AF58" i="63"/>
  <c r="R51" i="55"/>
  <c r="Q51" i="55"/>
  <c r="R27" i="49"/>
  <c r="Q27" i="49"/>
  <c r="O37" i="49"/>
  <c r="L15" i="53"/>
  <c r="D13" i="52" s="1"/>
  <c r="Q5" i="53"/>
  <c r="O37" i="41"/>
  <c r="R27" i="41"/>
  <c r="Q27" i="41"/>
  <c r="R70" i="49"/>
  <c r="O79" i="49"/>
  <c r="Q70" i="49"/>
  <c r="Q39" i="45"/>
  <c r="R39" i="45"/>
  <c r="AF26" i="61"/>
  <c r="AG26" i="61"/>
  <c r="AH16" i="61" s="1"/>
  <c r="R29" i="53"/>
  <c r="Q29" i="53"/>
  <c r="O37" i="63"/>
  <c r="R27" i="63"/>
  <c r="Q27" i="63"/>
  <c r="R5" i="43"/>
  <c r="H6" i="30"/>
  <c r="F6" i="30"/>
  <c r="R70" i="35"/>
  <c r="Q70" i="35"/>
  <c r="O79" i="35"/>
  <c r="Q18" i="27"/>
  <c r="R18" i="27"/>
  <c r="R6" i="69"/>
  <c r="R7" i="33"/>
  <c r="Q7" i="33"/>
  <c r="O15" i="33"/>
  <c r="R70" i="21"/>
  <c r="O79" i="21"/>
  <c r="Q70" i="21"/>
  <c r="Q38" i="65"/>
  <c r="O48" i="65"/>
  <c r="R38" i="65"/>
  <c r="L26" i="15"/>
  <c r="E13" i="14" s="1"/>
  <c r="AF26" i="17"/>
  <c r="AG26" i="17"/>
  <c r="AH16" i="17" s="1"/>
  <c r="O37" i="19"/>
  <c r="R27" i="19"/>
  <c r="Q27" i="19"/>
  <c r="R27" i="43"/>
  <c r="O37" i="43"/>
  <c r="Q27" i="43"/>
  <c r="AF37" i="15"/>
  <c r="AG37" i="15"/>
  <c r="AH27" i="15" s="1"/>
  <c r="Q37" i="15"/>
  <c r="Q7" i="67"/>
  <c r="R29" i="31"/>
  <c r="Q29" i="31"/>
  <c r="Q40" i="23"/>
  <c r="R40" i="23"/>
  <c r="R5" i="47"/>
  <c r="J6" i="70"/>
  <c r="O79" i="3"/>
  <c r="R70" i="3"/>
  <c r="Q70" i="3"/>
  <c r="Q60" i="61"/>
  <c r="R60" i="61"/>
  <c r="R28" i="55"/>
  <c r="Q28" i="55"/>
  <c r="R5" i="67"/>
  <c r="O15" i="67"/>
  <c r="Q5" i="67"/>
  <c r="R61" i="55"/>
  <c r="AG15" i="43"/>
  <c r="AH5" i="43" s="1"/>
  <c r="AF15" i="43"/>
  <c r="AG58" i="59"/>
  <c r="AH49" i="59" s="1"/>
  <c r="AF58" i="59"/>
  <c r="Q58" i="59"/>
  <c r="O79" i="61"/>
  <c r="R70" i="61"/>
  <c r="Q70" i="61"/>
  <c r="AG26" i="55"/>
  <c r="AH16" i="55" s="1"/>
  <c r="AF26" i="55"/>
  <c r="AG58" i="55"/>
  <c r="AH49" i="55" s="1"/>
  <c r="Q58" i="55"/>
  <c r="AF58" i="55"/>
  <c r="L79" i="43"/>
  <c r="R70" i="43"/>
  <c r="Q70" i="43"/>
  <c r="Q79" i="35"/>
  <c r="AF79" i="35"/>
  <c r="AG79" i="35"/>
  <c r="AH70" i="35" s="1"/>
  <c r="Q16" i="33"/>
  <c r="Q37" i="71"/>
  <c r="AF37" i="71"/>
  <c r="AG37" i="71"/>
  <c r="AH27" i="71" s="1"/>
  <c r="R40" i="61"/>
  <c r="Q40" i="61"/>
  <c r="O15" i="39"/>
  <c r="R5" i="39"/>
  <c r="Q5" i="39"/>
  <c r="Q62" i="13"/>
  <c r="R62" i="13"/>
  <c r="Q51" i="3"/>
  <c r="AF15" i="53"/>
  <c r="AG15" i="53"/>
  <c r="AH5" i="53" s="1"/>
  <c r="R59" i="53"/>
  <c r="O69" i="53"/>
  <c r="Q59" i="53"/>
  <c r="R39" i="59"/>
  <c r="Q40" i="27"/>
  <c r="Q29" i="57"/>
  <c r="R29" i="57"/>
  <c r="Q79" i="37"/>
  <c r="AG79" i="37"/>
  <c r="AH70" i="37" s="1"/>
  <c r="AF79" i="37"/>
  <c r="AG26" i="25"/>
  <c r="AH16" i="25" s="1"/>
  <c r="AF26" i="25"/>
  <c r="R16" i="65"/>
  <c r="O26" i="65"/>
  <c r="Q16" i="65"/>
  <c r="R50" i="45"/>
  <c r="Q50" i="45"/>
  <c r="L15" i="13"/>
  <c r="D13" i="12" s="1"/>
  <c r="Q5" i="13"/>
  <c r="R5" i="13"/>
  <c r="Q16" i="17"/>
  <c r="O26" i="17"/>
  <c r="R16" i="17"/>
  <c r="R79" i="71"/>
  <c r="S70" i="71" s="1"/>
  <c r="J15" i="70" s="1"/>
  <c r="J14" i="70"/>
  <c r="O79" i="57"/>
  <c r="Q70" i="57"/>
  <c r="R70" i="57"/>
  <c r="R5" i="19"/>
  <c r="Q5" i="19"/>
  <c r="O15" i="19"/>
  <c r="R28" i="13"/>
  <c r="Q28" i="13"/>
  <c r="R18" i="63"/>
  <c r="Q18" i="63"/>
  <c r="AG48" i="31"/>
  <c r="AH38" i="31" s="1"/>
  <c r="R59" i="17"/>
  <c r="Q69" i="71"/>
  <c r="AG69" i="71"/>
  <c r="AH59" i="71" s="1"/>
  <c r="AF69" i="71"/>
  <c r="Q50" i="33"/>
  <c r="H14" i="20"/>
  <c r="H15" i="20" s="1"/>
  <c r="R58" i="21"/>
  <c r="S49" i="21" s="1"/>
  <c r="Q37" i="25"/>
  <c r="AF37" i="25"/>
  <c r="AG37" i="25"/>
  <c r="AH27" i="25" s="1"/>
  <c r="R51" i="21"/>
  <c r="Q51" i="21"/>
  <c r="AF48" i="3"/>
  <c r="Q48" i="3"/>
  <c r="AG48" i="3"/>
  <c r="AH38" i="3" s="1"/>
  <c r="O58" i="17"/>
  <c r="R49" i="17"/>
  <c r="Q49" i="17"/>
  <c r="Q58" i="51"/>
  <c r="AG58" i="51"/>
  <c r="AH49" i="51" s="1"/>
  <c r="AF58" i="51"/>
  <c r="R39" i="21"/>
  <c r="Q39" i="21"/>
  <c r="I14" i="22"/>
  <c r="R69" i="23"/>
  <c r="S59" i="23" s="1"/>
  <c r="R61" i="69"/>
  <c r="Q61" i="69"/>
  <c r="R17" i="47"/>
  <c r="Q17" i="47"/>
  <c r="Q5" i="47"/>
  <c r="O58" i="19"/>
  <c r="Q40" i="71"/>
  <c r="R40" i="71"/>
  <c r="O48" i="59"/>
  <c r="R38" i="59"/>
  <c r="Q38" i="59"/>
  <c r="Q49" i="67"/>
  <c r="O58" i="67"/>
  <c r="R49" i="67"/>
  <c r="Q29" i="55"/>
  <c r="AF26" i="67"/>
  <c r="AG26" i="67"/>
  <c r="AH16" i="67" s="1"/>
  <c r="AF26" i="59"/>
  <c r="AG26" i="59"/>
  <c r="AH16" i="59" s="1"/>
  <c r="Q40" i="65"/>
  <c r="R40" i="65"/>
  <c r="O26" i="59"/>
  <c r="Q5" i="37"/>
  <c r="O58" i="65"/>
  <c r="Q48" i="53"/>
  <c r="AF48" i="53"/>
  <c r="AG48" i="53"/>
  <c r="AH38" i="53" s="1"/>
  <c r="Q18" i="67"/>
  <c r="R18" i="67"/>
  <c r="O69" i="43"/>
  <c r="Q59" i="43"/>
  <c r="R59" i="43"/>
  <c r="AG26" i="31"/>
  <c r="AH16" i="31" s="1"/>
  <c r="AF26" i="31"/>
  <c r="Q79" i="39"/>
  <c r="AG79" i="39"/>
  <c r="AH70" i="39" s="1"/>
  <c r="AF79" i="39"/>
  <c r="R50" i="51"/>
  <c r="Q50" i="51"/>
  <c r="AF15" i="39"/>
  <c r="AG15" i="39"/>
  <c r="AH5" i="39" s="1"/>
  <c r="Q7" i="21"/>
  <c r="R7" i="21"/>
  <c r="Q60" i="15"/>
  <c r="R5" i="31"/>
  <c r="G14" i="12"/>
  <c r="G15" i="12" s="1"/>
  <c r="R48" i="13"/>
  <c r="S38" i="13" s="1"/>
  <c r="Q49" i="57"/>
  <c r="R49" i="57"/>
  <c r="O58" i="57"/>
  <c r="O79" i="53"/>
  <c r="R70" i="53"/>
  <c r="Q70" i="53"/>
  <c r="R6" i="53"/>
  <c r="Q6" i="53"/>
  <c r="R59" i="49"/>
  <c r="Q59" i="49"/>
  <c r="O69" i="49"/>
  <c r="O58" i="73"/>
  <c r="R49" i="73"/>
  <c r="Q49" i="73"/>
  <c r="Q40" i="67"/>
  <c r="R61" i="47"/>
  <c r="Q61" i="47"/>
  <c r="R39" i="29"/>
  <c r="Q39" i="29"/>
  <c r="R61" i="67"/>
  <c r="Q61" i="67"/>
  <c r="Q38" i="23"/>
  <c r="O48" i="23"/>
  <c r="R38" i="23"/>
  <c r="Q71" i="73"/>
  <c r="Q51" i="47"/>
  <c r="L69" i="13"/>
  <c r="I13" i="12" s="1"/>
  <c r="Q6" i="59"/>
  <c r="Q50" i="43"/>
  <c r="R50" i="43"/>
  <c r="Q69" i="3"/>
  <c r="AG69" i="3"/>
  <c r="AH59" i="3" s="1"/>
  <c r="AF69" i="3"/>
  <c r="Q70" i="37"/>
  <c r="O79" i="37"/>
  <c r="R70" i="37"/>
  <c r="O37" i="33"/>
  <c r="Q79" i="31"/>
  <c r="AF79" i="31"/>
  <c r="AG79" i="31"/>
  <c r="AH70" i="31" s="1"/>
  <c r="O15" i="13"/>
  <c r="R29" i="3"/>
  <c r="Q17" i="27"/>
  <c r="O26" i="27"/>
  <c r="R17" i="27"/>
  <c r="Q17" i="61"/>
  <c r="R6" i="37"/>
  <c r="Q6" i="37"/>
  <c r="Q15" i="25"/>
  <c r="D14" i="24"/>
  <c r="R15" i="25"/>
  <c r="S5" i="25" s="1"/>
  <c r="AF79" i="73"/>
  <c r="AG15" i="15"/>
  <c r="AH5" i="15" s="1"/>
  <c r="AF15" i="15"/>
  <c r="Q40" i="55"/>
  <c r="R40" i="55"/>
  <c r="R61" i="37"/>
  <c r="Q61" i="37"/>
  <c r="R39" i="35"/>
  <c r="Q39" i="35"/>
  <c r="R39" i="19"/>
  <c r="Q39" i="19"/>
  <c r="Q31" i="15"/>
  <c r="R31" i="15"/>
  <c r="R61" i="35"/>
  <c r="Q61" i="35"/>
  <c r="Q19" i="69"/>
  <c r="R19" i="69"/>
  <c r="Q58" i="21"/>
  <c r="AG58" i="21"/>
  <c r="AH49" i="21" s="1"/>
  <c r="AF58" i="21"/>
  <c r="Q69" i="59"/>
  <c r="AG69" i="59"/>
  <c r="AH59" i="59" s="1"/>
  <c r="AF69" i="59"/>
  <c r="Q28" i="45"/>
  <c r="R28" i="45"/>
  <c r="H6" i="32"/>
  <c r="F6" i="32"/>
  <c r="AG79" i="23"/>
  <c r="AH70" i="23" s="1"/>
  <c r="AF79" i="23"/>
  <c r="Q79" i="23"/>
  <c r="Q79" i="17"/>
  <c r="AF79" i="17"/>
  <c r="AG79" i="17"/>
  <c r="AH70" i="17" s="1"/>
  <c r="R5" i="71"/>
  <c r="O15" i="71"/>
  <c r="Q5" i="71"/>
  <c r="R16" i="39"/>
  <c r="O26" i="39"/>
  <c r="Q16" i="39"/>
  <c r="R28" i="47"/>
  <c r="Q28" i="47"/>
  <c r="AF26" i="47"/>
  <c r="Q16" i="63"/>
  <c r="R17" i="63"/>
  <c r="Q17" i="63"/>
  <c r="O15" i="51"/>
  <c r="R6" i="51"/>
  <c r="Q6" i="51"/>
  <c r="Q48" i="31"/>
  <c r="Q19" i="73"/>
  <c r="R19" i="73"/>
  <c r="O58" i="3"/>
  <c r="R49" i="3"/>
  <c r="Q49" i="3"/>
  <c r="O48" i="71"/>
  <c r="R17" i="53"/>
  <c r="Q17" i="53"/>
  <c r="O37" i="25"/>
  <c r="Q27" i="25"/>
  <c r="R27" i="25"/>
  <c r="Q58" i="17"/>
  <c r="AF58" i="17"/>
  <c r="AG58" i="17"/>
  <c r="AH49" i="17" s="1"/>
  <c r="R49" i="51"/>
  <c r="Q49" i="51"/>
  <c r="O58" i="51"/>
  <c r="R59" i="23"/>
  <c r="O58" i="71"/>
  <c r="R49" i="71"/>
  <c r="Q49" i="71"/>
  <c r="G14" i="68"/>
  <c r="G15" i="68" s="1"/>
  <c r="R48" i="69"/>
  <c r="S38" i="69" s="1"/>
  <c r="AG26" i="73"/>
  <c r="AH16" i="73" s="1"/>
  <c r="AF26" i="73"/>
  <c r="J3" i="68"/>
  <c r="G2" i="69"/>
  <c r="AF37" i="31"/>
  <c r="AG37" i="31"/>
  <c r="AH27" i="31" s="1"/>
  <c r="Q37" i="31"/>
  <c r="R28" i="53"/>
  <c r="Q28" i="53"/>
  <c r="Q28" i="25"/>
  <c r="R28" i="25"/>
  <c r="AF69" i="27"/>
  <c r="Q69" i="27"/>
  <c r="AG69" i="27"/>
  <c r="AH59" i="27" s="1"/>
  <c r="F14" i="12"/>
  <c r="Q61" i="53"/>
  <c r="R61" i="53"/>
  <c r="R79" i="23"/>
  <c r="S70" i="23" s="1"/>
  <c r="J15" i="22" s="1"/>
  <c r="J14" i="22"/>
  <c r="R28" i="39"/>
  <c r="Q28" i="39"/>
  <c r="AG79" i="69"/>
  <c r="AH70" i="69" s="1"/>
  <c r="AF79" i="69"/>
  <c r="Q79" i="69"/>
  <c r="J14" i="68"/>
  <c r="O37" i="55"/>
  <c r="R27" i="55"/>
  <c r="Q27" i="55"/>
  <c r="J14" i="12"/>
  <c r="Q59" i="67"/>
  <c r="R59" i="67"/>
  <c r="O69" i="67"/>
  <c r="Q69" i="35"/>
  <c r="AF69" i="35"/>
  <c r="AG69" i="35"/>
  <c r="AH59" i="35" s="1"/>
  <c r="R51" i="37"/>
  <c r="Q51" i="37"/>
  <c r="R6" i="57"/>
  <c r="Q6" i="57"/>
  <c r="Q60" i="29"/>
  <c r="R60" i="29"/>
  <c r="R69" i="3"/>
  <c r="S59" i="3" s="1"/>
  <c r="I14" i="2"/>
  <c r="R18" i="45"/>
  <c r="Q18" i="45"/>
  <c r="O26" i="45"/>
  <c r="R61" i="21"/>
  <c r="Q61" i="21"/>
  <c r="O37" i="3"/>
  <c r="R27" i="3"/>
  <c r="Q27" i="3"/>
  <c r="R9" i="71"/>
  <c r="Q9" i="71"/>
  <c r="Q69" i="25"/>
  <c r="AG69" i="25"/>
  <c r="AH59" i="25" s="1"/>
  <c r="AF69" i="25"/>
  <c r="Q69" i="65"/>
  <c r="AG69" i="65"/>
  <c r="AH59" i="65" s="1"/>
  <c r="AF69" i="65"/>
  <c r="AF26" i="49"/>
  <c r="AG26" i="49"/>
  <c r="AH16" i="49" s="1"/>
  <c r="AF69" i="23"/>
  <c r="Q69" i="23"/>
  <c r="AG69" i="23"/>
  <c r="AH59" i="23" s="1"/>
  <c r="AF37" i="67"/>
  <c r="AG37" i="67"/>
  <c r="AH27" i="67" s="1"/>
  <c r="Q37" i="67"/>
  <c r="Q28" i="63"/>
  <c r="R28" i="63"/>
  <c r="AG48" i="63"/>
  <c r="AH38" i="63" s="1"/>
  <c r="Q48" i="63"/>
  <c r="AF48" i="63"/>
  <c r="AG15" i="13"/>
  <c r="AH5" i="13" s="1"/>
  <c r="AF15" i="13"/>
  <c r="AG37" i="59"/>
  <c r="AH27" i="59" s="1"/>
  <c r="Q37" i="59"/>
  <c r="AF37" i="59"/>
  <c r="O69" i="35"/>
  <c r="Q59" i="35"/>
  <c r="R59" i="35"/>
  <c r="R49" i="25"/>
  <c r="Q49" i="25"/>
  <c r="O58" i="25"/>
  <c r="AG48" i="47"/>
  <c r="AH38" i="47" s="1"/>
  <c r="Q48" i="47"/>
  <c r="AF48" i="47"/>
  <c r="Q26" i="35"/>
  <c r="E14" i="34"/>
  <c r="E15" i="34" s="1"/>
  <c r="R26" i="35"/>
  <c r="S16" i="35" s="1"/>
  <c r="R27" i="29"/>
  <c r="Q27" i="29"/>
  <c r="O37" i="29"/>
  <c r="E2" i="29" s="1"/>
  <c r="AG48" i="73"/>
  <c r="AH38" i="73" s="1"/>
  <c r="AF48" i="73"/>
  <c r="Q48" i="73"/>
  <c r="J3" i="12"/>
  <c r="G2" i="13"/>
  <c r="Q29" i="47"/>
  <c r="R29" i="47"/>
  <c r="AF69" i="17"/>
  <c r="AG69" i="17"/>
  <c r="AH59" i="17" s="1"/>
  <c r="Q69" i="17"/>
  <c r="Q6" i="69"/>
  <c r="R7" i="15"/>
  <c r="Q7" i="15"/>
  <c r="AG58" i="61"/>
  <c r="AH49" i="61" s="1"/>
  <c r="Q58" i="61"/>
  <c r="AF58" i="61"/>
  <c r="F6" i="24"/>
  <c r="H6" i="24"/>
  <c r="Q17" i="31"/>
  <c r="R6" i="63"/>
  <c r="Q6" i="63"/>
  <c r="O15" i="63"/>
  <c r="Q51" i="25"/>
  <c r="R51" i="25"/>
  <c r="Q59" i="69"/>
  <c r="R7" i="41"/>
  <c r="AF37" i="27"/>
  <c r="Q37" i="27"/>
  <c r="AG37" i="27"/>
  <c r="AH27" i="27" s="1"/>
  <c r="Q49" i="47"/>
  <c r="Q5" i="35"/>
  <c r="O37" i="69"/>
  <c r="Q27" i="69"/>
  <c r="R27" i="69"/>
  <c r="AG37" i="39"/>
  <c r="AH27" i="39" s="1"/>
  <c r="AF37" i="39"/>
  <c r="Q37" i="39"/>
  <c r="Q51" i="33"/>
  <c r="R51" i="33"/>
  <c r="AG15" i="71"/>
  <c r="AH5" i="71" s="1"/>
  <c r="AF15" i="71"/>
  <c r="L15" i="27"/>
  <c r="D13" i="26" s="1"/>
  <c r="R5" i="27"/>
  <c r="AG58" i="69"/>
  <c r="AH49" i="69" s="1"/>
  <c r="AF58" i="69"/>
  <c r="Q58" i="69"/>
  <c r="R6" i="27"/>
  <c r="Q6" i="27"/>
  <c r="Q7" i="27"/>
  <c r="R7" i="27"/>
  <c r="R39" i="15"/>
  <c r="Q39" i="15"/>
  <c r="O26" i="23"/>
  <c r="R16" i="23"/>
  <c r="Q16" i="23"/>
  <c r="R39" i="3"/>
  <c r="Q39" i="3"/>
  <c r="L37" i="15"/>
  <c r="F13" i="14" s="1"/>
  <c r="O37" i="39"/>
  <c r="Q48" i="59"/>
  <c r="AF48" i="59"/>
  <c r="AG48" i="59"/>
  <c r="AH38" i="59" s="1"/>
  <c r="AG58" i="67"/>
  <c r="AH49" i="67" s="1"/>
  <c r="AF58" i="67"/>
  <c r="Q58" i="67"/>
  <c r="O69" i="63"/>
  <c r="R59" i="63"/>
  <c r="Q59" i="63"/>
  <c r="Q29" i="45"/>
  <c r="R29" i="45"/>
  <c r="Q15" i="37"/>
  <c r="R15" i="37"/>
  <c r="S5" i="37" s="1"/>
  <c r="D14" i="36"/>
  <c r="L58" i="71"/>
  <c r="H13" i="70" s="1"/>
  <c r="R49" i="65"/>
  <c r="AG58" i="25"/>
  <c r="AH49" i="25" s="1"/>
  <c r="AF58" i="25"/>
  <c r="Q58" i="25"/>
  <c r="R49" i="47"/>
  <c r="Q6" i="31"/>
  <c r="R6" i="31"/>
  <c r="AF58" i="57"/>
  <c r="Q58" i="57"/>
  <c r="AG58" i="57"/>
  <c r="AH49" i="57" s="1"/>
  <c r="O58" i="61"/>
  <c r="R49" i="61"/>
  <c r="Q49" i="61"/>
  <c r="AG15" i="27"/>
  <c r="AH5" i="27" s="1"/>
  <c r="AF15" i="27"/>
  <c r="Q70" i="59"/>
  <c r="R70" i="59"/>
  <c r="O79" i="59"/>
  <c r="AG69" i="49"/>
  <c r="AH59" i="49" s="1"/>
  <c r="AF69" i="49"/>
  <c r="Q69" i="49"/>
  <c r="R17" i="65"/>
  <c r="Q17" i="65"/>
  <c r="Q60" i="37"/>
  <c r="R60" i="37"/>
  <c r="R59" i="69"/>
  <c r="Q27" i="27"/>
  <c r="R27" i="27"/>
  <c r="O37" i="27"/>
  <c r="AG15" i="37"/>
  <c r="AH5" i="37" s="1"/>
  <c r="AF15" i="37"/>
  <c r="Q69" i="69"/>
  <c r="AF69" i="69"/>
  <c r="AG69" i="69"/>
  <c r="AH59" i="69" s="1"/>
  <c r="R6" i="15"/>
  <c r="Q6" i="15"/>
  <c r="Q48" i="35"/>
  <c r="AG48" i="35"/>
  <c r="AH38" i="35" s="1"/>
  <c r="AF48" i="35"/>
  <c r="R5" i="35"/>
  <c r="Q37" i="69"/>
  <c r="AF37" i="69"/>
  <c r="AG37" i="69"/>
  <c r="AH27" i="69" s="1"/>
  <c r="R39" i="33"/>
  <c r="Q39" i="33"/>
  <c r="O69" i="59"/>
  <c r="R59" i="59"/>
  <c r="Q59" i="59"/>
  <c r="AF58" i="19"/>
  <c r="AG58" i="19"/>
  <c r="AH49" i="19" s="1"/>
  <c r="Q58" i="19"/>
  <c r="Q29" i="67"/>
  <c r="R29" i="67"/>
  <c r="O15" i="49"/>
  <c r="Q29" i="59"/>
  <c r="R29" i="59"/>
  <c r="Q28" i="57"/>
  <c r="AG26" i="41"/>
  <c r="AH16" i="41" s="1"/>
  <c r="AF26" i="41"/>
  <c r="Q6" i="35"/>
  <c r="R6" i="35"/>
  <c r="Q49" i="65"/>
  <c r="R50" i="49"/>
  <c r="Q50" i="49"/>
  <c r="AG15" i="59"/>
  <c r="AH5" i="59" s="1"/>
  <c r="AF15" i="59"/>
  <c r="AG69" i="43"/>
  <c r="AH59" i="43" s="1"/>
  <c r="Q69" i="43"/>
  <c r="AF69" i="43"/>
  <c r="AF58" i="39"/>
  <c r="AG58" i="39"/>
  <c r="AH49" i="39" s="1"/>
  <c r="Q58" i="39"/>
  <c r="L26" i="25"/>
  <c r="E13" i="24" s="1"/>
  <c r="Q16" i="25"/>
  <c r="R16" i="25"/>
  <c r="Q16" i="71"/>
  <c r="AG37" i="45"/>
  <c r="AH27" i="45" s="1"/>
  <c r="AF37" i="45"/>
  <c r="Q37" i="45"/>
  <c r="Q70" i="13"/>
  <c r="L79" i="13"/>
  <c r="J13" i="12" s="1"/>
  <c r="R70" i="13"/>
  <c r="R61" i="49"/>
  <c r="Q61" i="49"/>
  <c r="Q51" i="43"/>
  <c r="L48" i="73"/>
  <c r="G13" i="72" s="1"/>
  <c r="Q6" i="45"/>
  <c r="R6" i="45"/>
  <c r="Q50" i="37"/>
  <c r="R50" i="37"/>
  <c r="AG37" i="13"/>
  <c r="AH27" i="13" s="1"/>
  <c r="Q37" i="13"/>
  <c r="AF37" i="13"/>
  <c r="H6" i="2"/>
  <c r="F6" i="2"/>
  <c r="AG26" i="65"/>
  <c r="AH16" i="65" s="1"/>
  <c r="AF26" i="65"/>
  <c r="Q69" i="37"/>
  <c r="AF69" i="37"/>
  <c r="AG69" i="37"/>
  <c r="AH59" i="37" s="1"/>
  <c r="R60" i="59"/>
  <c r="Q60" i="59"/>
  <c r="AG26" i="27"/>
  <c r="AH16" i="27" s="1"/>
  <c r="AF26" i="27"/>
  <c r="R7" i="45"/>
  <c r="Q7" i="45"/>
  <c r="Q5" i="25"/>
  <c r="AG79" i="73"/>
  <c r="AH70" i="73" s="1"/>
  <c r="O58" i="37"/>
  <c r="R49" i="37"/>
  <c r="Q49" i="37"/>
  <c r="R7" i="73"/>
  <c r="Q7" i="73"/>
  <c r="Q48" i="33"/>
  <c r="AG48" i="33"/>
  <c r="AH38" i="33" s="1"/>
  <c r="AF48" i="33"/>
  <c r="AF26" i="39"/>
  <c r="AG26" i="39"/>
  <c r="AH16" i="39" s="1"/>
  <c r="AG15" i="57"/>
  <c r="AH5" i="57" s="1"/>
  <c r="AF15" i="57"/>
  <c r="R5" i="51"/>
  <c r="Q5" i="51"/>
  <c r="L15" i="51"/>
  <c r="D13" i="50" s="1"/>
  <c r="R49" i="69"/>
  <c r="O58" i="69"/>
  <c r="Q49" i="69"/>
  <c r="R19" i="13"/>
  <c r="Q19" i="13"/>
  <c r="R38" i="71"/>
  <c r="R51" i="57"/>
  <c r="Q51" i="57"/>
  <c r="O26" i="63"/>
  <c r="R39" i="31"/>
  <c r="Q39" i="31"/>
  <c r="R29" i="29"/>
  <c r="Q29" i="29"/>
  <c r="Q18" i="37"/>
  <c r="R18" i="37"/>
  <c r="Q59" i="13"/>
  <c r="R59" i="13"/>
  <c r="O69" i="13"/>
  <c r="Q26" i="71"/>
  <c r="Q59" i="23"/>
  <c r="AG58" i="71"/>
  <c r="AH49" i="71" s="1"/>
  <c r="AF58" i="71"/>
  <c r="Q58" i="71"/>
  <c r="Q18" i="25"/>
  <c r="R18" i="25"/>
  <c r="R16" i="73"/>
  <c r="O26" i="73"/>
  <c r="Q16" i="73"/>
  <c r="AF79" i="29"/>
  <c r="Q79" i="29"/>
  <c r="AG79" i="29"/>
  <c r="AH70" i="29" s="1"/>
  <c r="O15" i="61"/>
  <c r="R5" i="61"/>
  <c r="Q5" i="61"/>
  <c r="Q48" i="57"/>
  <c r="AG48" i="57"/>
  <c r="AH38" i="57" s="1"/>
  <c r="AF48" i="57"/>
  <c r="Q29" i="65"/>
  <c r="R29" i="65"/>
  <c r="Q48" i="61"/>
  <c r="AG48" i="61"/>
  <c r="AH38" i="61" s="1"/>
  <c r="AF48" i="61"/>
  <c r="Q37" i="23"/>
  <c r="AF37" i="23"/>
  <c r="AG58" i="53"/>
  <c r="AH49" i="53" s="1"/>
  <c r="AF58" i="53"/>
  <c r="Q58" i="53"/>
  <c r="F6" i="46"/>
  <c r="H6" i="46"/>
  <c r="R18" i="15"/>
  <c r="Q18" i="15"/>
  <c r="AG37" i="73"/>
  <c r="AH27" i="73" s="1"/>
  <c r="AF37" i="73"/>
  <c r="Q37" i="73"/>
  <c r="O69" i="25"/>
  <c r="R59" i="25"/>
  <c r="Q59" i="25"/>
  <c r="AG69" i="13"/>
  <c r="AH59" i="13" s="1"/>
  <c r="Q69" i="13"/>
  <c r="AF69" i="13"/>
  <c r="Q69" i="33"/>
  <c r="AG69" i="33"/>
  <c r="AH59" i="33" s="1"/>
  <c r="AF69" i="33"/>
  <c r="H14" i="28"/>
  <c r="H15" i="28" s="1"/>
  <c r="R58" i="29"/>
  <c r="S49" i="29" s="1"/>
  <c r="Q27" i="37"/>
  <c r="O37" i="37"/>
  <c r="R27" i="37"/>
  <c r="Q5" i="65"/>
  <c r="AF15" i="65"/>
  <c r="AG15" i="65"/>
  <c r="AH5" i="65" s="1"/>
  <c r="Q74" i="15"/>
  <c r="R74" i="15"/>
  <c r="Q59" i="51"/>
  <c r="R59" i="51"/>
  <c r="O69" i="51"/>
  <c r="AF15" i="23"/>
  <c r="AG15" i="23"/>
  <c r="AH5" i="23" s="1"/>
  <c r="O26" i="53"/>
  <c r="Q16" i="53"/>
  <c r="R16" i="53"/>
  <c r="R28" i="35"/>
  <c r="Q28" i="35"/>
  <c r="Q27" i="73"/>
  <c r="O37" i="73"/>
  <c r="R27" i="73"/>
  <c r="Q6" i="21"/>
  <c r="R6" i="21"/>
  <c r="AG37" i="37"/>
  <c r="AH27" i="37" s="1"/>
  <c r="Q37" i="37"/>
  <c r="AF37" i="37"/>
  <c r="R28" i="21"/>
  <c r="Q28" i="21"/>
  <c r="Q37" i="29"/>
  <c r="AF37" i="29"/>
  <c r="AG37" i="29"/>
  <c r="AH27" i="29" s="1"/>
  <c r="AG69" i="31"/>
  <c r="AH59" i="31" s="1"/>
  <c r="AF69" i="31"/>
  <c r="Q69" i="31"/>
  <c r="R40" i="15"/>
  <c r="Q40" i="15"/>
  <c r="Q69" i="51"/>
  <c r="AG69" i="51"/>
  <c r="AH59" i="51" s="1"/>
  <c r="AF69" i="51"/>
  <c r="F6" i="38"/>
  <c r="H6" i="38"/>
  <c r="R29" i="35"/>
  <c r="Q29" i="35"/>
  <c r="Q69" i="45"/>
  <c r="AG69" i="45"/>
  <c r="AH59" i="45" s="1"/>
  <c r="AF69" i="45"/>
  <c r="R60" i="19"/>
  <c r="Q60" i="19"/>
  <c r="O69" i="55"/>
  <c r="Q59" i="55"/>
  <c r="R59" i="55"/>
  <c r="R70" i="67"/>
  <c r="G14" i="66"/>
  <c r="G15" i="66" s="1"/>
  <c r="R48" i="67"/>
  <c r="S38" i="67" s="1"/>
  <c r="R60" i="57"/>
  <c r="Q60" i="57"/>
  <c r="O48" i="63"/>
  <c r="R38" i="63"/>
  <c r="Q38" i="63"/>
  <c r="R8" i="13"/>
  <c r="Q8" i="13"/>
  <c r="AG79" i="51"/>
  <c r="AH70" i="51" s="1"/>
  <c r="AF79" i="51"/>
  <c r="Q79" i="51"/>
  <c r="Q28" i="19"/>
  <c r="R28" i="19"/>
  <c r="O26" i="67"/>
  <c r="R16" i="67"/>
  <c r="Q16" i="67"/>
  <c r="Q69" i="63"/>
  <c r="AG69" i="63"/>
  <c r="AH59" i="63" s="1"/>
  <c r="AF69" i="63"/>
  <c r="R60" i="27"/>
  <c r="Q60" i="27"/>
  <c r="O79" i="51"/>
  <c r="Q70" i="51"/>
  <c r="R70" i="51"/>
  <c r="Q29" i="21"/>
  <c r="R29" i="21"/>
  <c r="Q5" i="69"/>
  <c r="O15" i="69"/>
  <c r="R5" i="69"/>
  <c r="R27" i="17"/>
  <c r="Q28" i="41"/>
  <c r="R28" i="41"/>
  <c r="R41" i="73"/>
  <c r="Q41" i="73"/>
  <c r="Q49" i="13"/>
  <c r="R49" i="13"/>
  <c r="O58" i="13"/>
  <c r="Q52" i="13"/>
  <c r="R52" i="13"/>
  <c r="AG37" i="21"/>
  <c r="AH27" i="21" s="1"/>
  <c r="AF37" i="21"/>
  <c r="Q37" i="21"/>
  <c r="R28" i="67"/>
  <c r="Q28" i="67"/>
  <c r="AG15" i="67"/>
  <c r="AH5" i="67" s="1"/>
  <c r="AF15" i="67"/>
  <c r="Q48" i="51"/>
  <c r="AF48" i="51"/>
  <c r="AG48" i="51"/>
  <c r="AH38" i="51" s="1"/>
  <c r="R70" i="65"/>
  <c r="Q70" i="65"/>
  <c r="O79" i="65"/>
  <c r="R28" i="59"/>
  <c r="Q28" i="59"/>
  <c r="R40" i="45"/>
  <c r="Q40" i="45"/>
  <c r="R5" i="37"/>
  <c r="Q5" i="59"/>
  <c r="R5" i="59"/>
  <c r="O15" i="59"/>
  <c r="R48" i="35"/>
  <c r="S38" i="35" s="1"/>
  <c r="G14" i="34"/>
  <c r="G15" i="34" s="1"/>
  <c r="AG15" i="25"/>
  <c r="AH5" i="25" s="1"/>
  <c r="AF15" i="25"/>
  <c r="R16" i="71"/>
  <c r="H6" i="58"/>
  <c r="F6" i="58"/>
  <c r="R27" i="45"/>
  <c r="Q27" i="45"/>
  <c r="O37" i="45"/>
  <c r="R5" i="23"/>
  <c r="Q5" i="23"/>
  <c r="O15" i="23"/>
  <c r="L79" i="73"/>
  <c r="R40" i="25"/>
  <c r="Q40" i="25"/>
  <c r="O15" i="73"/>
  <c r="Q5" i="73"/>
  <c r="R5" i="73"/>
  <c r="AG79" i="53"/>
  <c r="AH70" i="53" s="1"/>
  <c r="Q79" i="53"/>
  <c r="AF79" i="53"/>
  <c r="R61" i="63"/>
  <c r="Q61" i="63"/>
  <c r="Q40" i="3"/>
  <c r="R40" i="3"/>
  <c r="AG48" i="37"/>
  <c r="AH38" i="37" s="1"/>
  <c r="AF48" i="37"/>
  <c r="Q48" i="37"/>
  <c r="Q59" i="27"/>
  <c r="O69" i="27"/>
  <c r="R59" i="27"/>
  <c r="R49" i="39"/>
  <c r="Q49" i="39"/>
  <c r="O58" i="39"/>
  <c r="R27" i="23"/>
  <c r="Q58" i="73"/>
  <c r="AG58" i="73"/>
  <c r="AH49" i="73" s="1"/>
  <c r="AF58" i="73"/>
  <c r="O58" i="53"/>
  <c r="R49" i="53"/>
  <c r="Q49" i="53"/>
  <c r="AG48" i="23"/>
  <c r="AH38" i="23" s="1"/>
  <c r="Q48" i="23"/>
  <c r="AF48" i="23"/>
  <c r="L69" i="15"/>
  <c r="I13" i="14" s="1"/>
  <c r="R39" i="25"/>
  <c r="Q39" i="25"/>
  <c r="O48" i="25"/>
  <c r="AF58" i="31"/>
  <c r="AG58" i="31"/>
  <c r="AH49" i="31" s="1"/>
  <c r="Q58" i="31"/>
  <c r="R18" i="49"/>
  <c r="Q18" i="49"/>
  <c r="Q39" i="41"/>
  <c r="R39" i="41"/>
  <c r="R31" i="73"/>
  <c r="Q31" i="73"/>
  <c r="Q27" i="61"/>
  <c r="R27" i="61"/>
  <c r="O37" i="61"/>
  <c r="Q50" i="47"/>
  <c r="R50" i="47"/>
  <c r="R5" i="25"/>
  <c r="AG15" i="49"/>
  <c r="AH5" i="49" s="1"/>
  <c r="AF15" i="49"/>
  <c r="R15" i="41"/>
  <c r="S5" i="41" s="1"/>
  <c r="D14" i="40"/>
  <c r="Q15" i="41"/>
  <c r="AG15" i="55"/>
  <c r="AH5" i="55" s="1"/>
  <c r="AF15" i="55"/>
  <c r="Q27" i="47"/>
  <c r="O37" i="47"/>
  <c r="R27" i="47"/>
  <c r="R61" i="71"/>
  <c r="Q61" i="71"/>
  <c r="Q8" i="73"/>
  <c r="R8" i="73"/>
  <c r="O15" i="57"/>
  <c r="Q5" i="57"/>
  <c r="R5" i="57"/>
  <c r="Q38" i="49"/>
  <c r="R38" i="49"/>
  <c r="O48" i="49"/>
  <c r="R52" i="73"/>
  <c r="Q52" i="73"/>
  <c r="AG79" i="45"/>
  <c r="AH70" i="45" s="1"/>
  <c r="AF79" i="45"/>
  <c r="Q79" i="45"/>
  <c r="O26" i="41"/>
  <c r="Q70" i="19"/>
  <c r="O79" i="19"/>
  <c r="R70" i="19"/>
  <c r="AG15" i="51"/>
  <c r="AH5" i="51" s="1"/>
  <c r="AF15" i="51"/>
  <c r="Q58" i="3"/>
  <c r="AG58" i="3"/>
  <c r="AH49" i="3" s="1"/>
  <c r="AF58" i="3"/>
  <c r="R50" i="61"/>
  <c r="Q50" i="61"/>
  <c r="O69" i="29"/>
  <c r="R7" i="19"/>
  <c r="Q7" i="19"/>
  <c r="Q61" i="29"/>
  <c r="R61" i="29"/>
  <c r="R29" i="51"/>
  <c r="Q29" i="51"/>
  <c r="R26" i="71"/>
  <c r="S16" i="71" s="1"/>
  <c r="J3" i="16"/>
  <c r="G2" i="17"/>
  <c r="O69" i="33"/>
  <c r="R59" i="33"/>
  <c r="Q59" i="33"/>
  <c r="O79" i="29"/>
  <c r="Q70" i="29"/>
  <c r="R70" i="29"/>
  <c r="R58" i="15"/>
  <c r="S49" i="15" s="1"/>
  <c r="H14" i="14"/>
  <c r="H15" i="14" s="1"/>
  <c r="AF15" i="61"/>
  <c r="AG15" i="61"/>
  <c r="AH5" i="61" s="1"/>
  <c r="R38" i="57"/>
  <c r="Q38" i="57"/>
  <c r="O48" i="57"/>
  <c r="Q71" i="69"/>
  <c r="R37" i="17" l="1"/>
  <c r="S27" i="17" s="1"/>
  <c r="E2" i="61"/>
  <c r="Q15" i="61"/>
  <c r="D14" i="60"/>
  <c r="R15" i="61"/>
  <c r="S5" i="61" s="1"/>
  <c r="R15" i="57"/>
  <c r="S5" i="57" s="1"/>
  <c r="Q15" i="57"/>
  <c r="E2" i="57"/>
  <c r="D14" i="56"/>
  <c r="I14" i="24"/>
  <c r="R69" i="25"/>
  <c r="S59" i="25" s="1"/>
  <c r="E2" i="25"/>
  <c r="R79" i="53"/>
  <c r="S70" i="53" s="1"/>
  <c r="J15" i="52" s="1"/>
  <c r="J14" i="52"/>
  <c r="R58" i="17"/>
  <c r="S49" i="17" s="1"/>
  <c r="H14" i="16"/>
  <c r="H15" i="16" s="1"/>
  <c r="I14" i="66"/>
  <c r="R69" i="67"/>
  <c r="S59" i="67" s="1"/>
  <c r="I14" i="20"/>
  <c r="R69" i="21"/>
  <c r="S59" i="21" s="1"/>
  <c r="H14" i="30"/>
  <c r="H15" i="30" s="1"/>
  <c r="R58" i="31"/>
  <c r="S49" i="31" s="1"/>
  <c r="R69" i="29"/>
  <c r="S59" i="29" s="1"/>
  <c r="I14" i="28"/>
  <c r="F14" i="38"/>
  <c r="F15" i="38" s="1"/>
  <c r="R37" i="39"/>
  <c r="S27" i="39" s="1"/>
  <c r="R58" i="67"/>
  <c r="S49" i="67" s="1"/>
  <c r="H14" i="66"/>
  <c r="H15" i="66" s="1"/>
  <c r="E14" i="64"/>
  <c r="E15" i="64" s="1"/>
  <c r="R26" i="65"/>
  <c r="S16" i="65" s="1"/>
  <c r="Q26" i="65"/>
  <c r="Q26" i="3"/>
  <c r="R26" i="3"/>
  <c r="S16" i="3" s="1"/>
  <c r="E14" i="2"/>
  <c r="E15" i="2" s="1"/>
  <c r="I14" i="14"/>
  <c r="R69" i="15"/>
  <c r="S59" i="15" s="1"/>
  <c r="H7" i="42"/>
  <c r="D15" i="42"/>
  <c r="D15" i="64"/>
  <c r="E2" i="73"/>
  <c r="R15" i="73"/>
  <c r="S5" i="73" s="1"/>
  <c r="Q15" i="73"/>
  <c r="D14" i="72"/>
  <c r="R69" i="51"/>
  <c r="S59" i="51" s="1"/>
  <c r="I14" i="50"/>
  <c r="R58" i="65"/>
  <c r="S49" i="65" s="1"/>
  <c r="H14" i="64"/>
  <c r="H15" i="64" s="1"/>
  <c r="I15" i="64"/>
  <c r="J8" i="64" s="1"/>
  <c r="R37" i="21"/>
  <c r="S27" i="21" s="1"/>
  <c r="F14" i="20"/>
  <c r="F15" i="20" s="1"/>
  <c r="H7" i="20"/>
  <c r="D15" i="20"/>
  <c r="F7" i="20"/>
  <c r="R48" i="57"/>
  <c r="S38" i="57" s="1"/>
  <c r="G14" i="56"/>
  <c r="G15" i="56" s="1"/>
  <c r="H14" i="52"/>
  <c r="H15" i="52" s="1"/>
  <c r="R58" i="53"/>
  <c r="S49" i="53" s="1"/>
  <c r="R26" i="73"/>
  <c r="S16" i="73" s="1"/>
  <c r="Q26" i="73"/>
  <c r="E14" i="72"/>
  <c r="E15" i="72" s="1"/>
  <c r="R79" i="13"/>
  <c r="S70" i="13" s="1"/>
  <c r="J15" i="12" s="1"/>
  <c r="R58" i="63"/>
  <c r="S49" i="63" s="1"/>
  <c r="H14" i="62"/>
  <c r="H15" i="62" s="1"/>
  <c r="H14" i="32"/>
  <c r="H15" i="32" s="1"/>
  <c r="R58" i="33"/>
  <c r="S49" i="33" s="1"/>
  <c r="R48" i="23"/>
  <c r="S38" i="23" s="1"/>
  <c r="G14" i="22"/>
  <c r="G15" i="22" s="1"/>
  <c r="Q26" i="59"/>
  <c r="R26" i="59"/>
  <c r="S16" i="59" s="1"/>
  <c r="E14" i="58"/>
  <c r="E15" i="58" s="1"/>
  <c r="F6" i="52"/>
  <c r="H6" i="52"/>
  <c r="R48" i="21"/>
  <c r="S38" i="21" s="1"/>
  <c r="G14" i="20"/>
  <c r="G15" i="20" s="1"/>
  <c r="R37" i="73"/>
  <c r="S27" i="73" s="1"/>
  <c r="F14" i="72"/>
  <c r="F15" i="72" s="1"/>
  <c r="R58" i="51"/>
  <c r="S49" i="51" s="1"/>
  <c r="H14" i="50"/>
  <c r="H15" i="50" s="1"/>
  <c r="G14" i="58"/>
  <c r="G15" i="58" s="1"/>
  <c r="R48" i="59"/>
  <c r="S38" i="59" s="1"/>
  <c r="R48" i="49"/>
  <c r="S38" i="49" s="1"/>
  <c r="G14" i="48"/>
  <c r="G15" i="48" s="1"/>
  <c r="R37" i="61"/>
  <c r="S27" i="61" s="1"/>
  <c r="F14" i="60"/>
  <c r="F15" i="60" s="1"/>
  <c r="G14" i="24"/>
  <c r="G15" i="24" s="1"/>
  <c r="R48" i="25"/>
  <c r="S38" i="25" s="1"/>
  <c r="E2" i="23"/>
  <c r="R15" i="23"/>
  <c r="S5" i="23" s="1"/>
  <c r="Q15" i="23"/>
  <c r="D14" i="22"/>
  <c r="H14" i="12"/>
  <c r="H15" i="12" s="1"/>
  <c r="R58" i="13"/>
  <c r="S49" i="13" s="1"/>
  <c r="H6" i="50"/>
  <c r="F6" i="50"/>
  <c r="R69" i="63"/>
  <c r="S59" i="63" s="1"/>
  <c r="I14" i="62"/>
  <c r="H6" i="26"/>
  <c r="F6" i="26"/>
  <c r="R79" i="61"/>
  <c r="S70" i="61" s="1"/>
  <c r="J15" i="60" s="1"/>
  <c r="J14" i="60"/>
  <c r="R79" i="35"/>
  <c r="S70" i="35" s="1"/>
  <c r="J15" i="34" s="1"/>
  <c r="J14" i="34"/>
  <c r="Q15" i="53"/>
  <c r="R26" i="21"/>
  <c r="S16" i="21" s="1"/>
  <c r="Q26" i="21"/>
  <c r="E14" i="20"/>
  <c r="E15" i="20" s="1"/>
  <c r="I15" i="16"/>
  <c r="H6" i="72"/>
  <c r="R26" i="57"/>
  <c r="S16" i="57" s="1"/>
  <c r="Q26" i="57"/>
  <c r="E14" i="56"/>
  <c r="E15" i="56" s="1"/>
  <c r="R26" i="37"/>
  <c r="S16" i="37" s="1"/>
  <c r="Q26" i="37"/>
  <c r="E14" i="36"/>
  <c r="E15" i="36" s="1"/>
  <c r="F6" i="14"/>
  <c r="H6" i="14"/>
  <c r="D14" i="38"/>
  <c r="Q15" i="39"/>
  <c r="E2" i="39"/>
  <c r="R15" i="39"/>
  <c r="S5" i="39" s="1"/>
  <c r="J13" i="42"/>
  <c r="R79" i="43"/>
  <c r="S70" i="43" s="1"/>
  <c r="J15" i="42" s="1"/>
  <c r="J14" i="2"/>
  <c r="R79" i="3"/>
  <c r="S70" i="3" s="1"/>
  <c r="J15" i="2" s="1"/>
  <c r="R37" i="43"/>
  <c r="S27" i="43" s="1"/>
  <c r="F14" i="42"/>
  <c r="F15" i="42" s="1"/>
  <c r="R26" i="33"/>
  <c r="S16" i="33" s="1"/>
  <c r="E14" i="32"/>
  <c r="E15" i="32" s="1"/>
  <c r="Q26" i="33"/>
  <c r="D14" i="44"/>
  <c r="E2" i="45"/>
  <c r="R15" i="45"/>
  <c r="S5" i="45" s="1"/>
  <c r="Q15" i="45"/>
  <c r="D15" i="40"/>
  <c r="H7" i="40"/>
  <c r="E14" i="52"/>
  <c r="E15" i="52" s="1"/>
  <c r="R26" i="53"/>
  <c r="S16" i="53" s="1"/>
  <c r="Q26" i="53"/>
  <c r="R79" i="27"/>
  <c r="S70" i="27" s="1"/>
  <c r="J15" i="26" s="1"/>
  <c r="J14" i="26"/>
  <c r="R15" i="71"/>
  <c r="S5" i="71" s="1"/>
  <c r="E2" i="71"/>
  <c r="Q15" i="71"/>
  <c r="D14" i="70"/>
  <c r="H14" i="56"/>
  <c r="H15" i="56" s="1"/>
  <c r="R58" i="57"/>
  <c r="S49" i="57" s="1"/>
  <c r="E2" i="33"/>
  <c r="D14" i="32"/>
  <c r="R15" i="33"/>
  <c r="S5" i="33" s="1"/>
  <c r="Q15" i="33"/>
  <c r="R37" i="31"/>
  <c r="S27" i="31" s="1"/>
  <c r="F14" i="30"/>
  <c r="F15" i="30" s="1"/>
  <c r="R48" i="61"/>
  <c r="S38" i="61" s="1"/>
  <c r="G14" i="60"/>
  <c r="G15" i="60" s="1"/>
  <c r="D15" i="30"/>
  <c r="I15" i="2"/>
  <c r="J8" i="2" s="1"/>
  <c r="J7" i="2"/>
  <c r="R37" i="25"/>
  <c r="S27" i="25" s="1"/>
  <c r="F14" i="24"/>
  <c r="F15" i="24" s="1"/>
  <c r="D15" i="24"/>
  <c r="R26" i="13"/>
  <c r="S16" i="13" s="1"/>
  <c r="Q26" i="13"/>
  <c r="E14" i="12"/>
  <c r="E15" i="12" s="1"/>
  <c r="H6" i="42"/>
  <c r="F6" i="42"/>
  <c r="G14" i="40"/>
  <c r="G15" i="40" s="1"/>
  <c r="R48" i="41"/>
  <c r="S38" i="41" s="1"/>
  <c r="Q15" i="63"/>
  <c r="R15" i="63"/>
  <c r="S5" i="63" s="1"/>
  <c r="D14" i="62"/>
  <c r="E2" i="63"/>
  <c r="Q15" i="67"/>
  <c r="D14" i="66"/>
  <c r="R15" i="67"/>
  <c r="S5" i="67" s="1"/>
  <c r="E2" i="67"/>
  <c r="R37" i="19"/>
  <c r="S27" i="19" s="1"/>
  <c r="F14" i="18"/>
  <c r="F15" i="18" s="1"/>
  <c r="R37" i="63"/>
  <c r="S27" i="63" s="1"/>
  <c r="F14" i="62"/>
  <c r="F15" i="62" s="1"/>
  <c r="R37" i="67"/>
  <c r="S27" i="67" s="1"/>
  <c r="F14" i="66"/>
  <c r="F15" i="66" s="1"/>
  <c r="J13" i="62"/>
  <c r="R79" i="63"/>
  <c r="S70" i="63" s="1"/>
  <c r="J15" i="62" s="1"/>
  <c r="J7" i="68"/>
  <c r="J8" i="68" s="1"/>
  <c r="I15" i="68"/>
  <c r="R79" i="65"/>
  <c r="S70" i="65" s="1"/>
  <c r="J15" i="64" s="1"/>
  <c r="J14" i="64"/>
  <c r="J7" i="64" s="1"/>
  <c r="Q15" i="69"/>
  <c r="E2" i="69"/>
  <c r="D14" i="68"/>
  <c r="R15" i="69"/>
  <c r="S5" i="69" s="1"/>
  <c r="J14" i="58"/>
  <c r="R79" i="59"/>
  <c r="S70" i="59" s="1"/>
  <c r="J15" i="58" s="1"/>
  <c r="G14" i="18"/>
  <c r="G15" i="18" s="1"/>
  <c r="R48" i="19"/>
  <c r="S38" i="19" s="1"/>
  <c r="H6" i="64"/>
  <c r="F6" i="64"/>
  <c r="D15" i="46"/>
  <c r="R26" i="51"/>
  <c r="S16" i="51" s="1"/>
  <c r="E14" i="50"/>
  <c r="E15" i="50" s="1"/>
  <c r="Q26" i="51"/>
  <c r="Q26" i="15"/>
  <c r="R26" i="15"/>
  <c r="S16" i="15" s="1"/>
  <c r="E14" i="14"/>
  <c r="E15" i="14" s="1"/>
  <c r="E2" i="31"/>
  <c r="R37" i="69"/>
  <c r="S27" i="69" s="1"/>
  <c r="F14" i="68"/>
  <c r="F15" i="68" s="1"/>
  <c r="R48" i="71"/>
  <c r="S38" i="71" s="1"/>
  <c r="G14" i="70"/>
  <c r="G15" i="70" s="1"/>
  <c r="R79" i="37"/>
  <c r="S70" i="37" s="1"/>
  <c r="J15" i="36" s="1"/>
  <c r="J14" i="36"/>
  <c r="J7" i="36" s="1"/>
  <c r="R69" i="49"/>
  <c r="S59" i="49" s="1"/>
  <c r="I14" i="48"/>
  <c r="I14" i="72"/>
  <c r="R69" i="73"/>
  <c r="S59" i="73" s="1"/>
  <c r="F14" i="58"/>
  <c r="F15" i="58" s="1"/>
  <c r="R37" i="59"/>
  <c r="S27" i="59" s="1"/>
  <c r="I15" i="36"/>
  <c r="J8" i="36" s="1"/>
  <c r="R37" i="47"/>
  <c r="S27" i="47" s="1"/>
  <c r="F14" i="46"/>
  <c r="F15" i="46" s="1"/>
  <c r="J13" i="72"/>
  <c r="J6" i="72" s="1"/>
  <c r="R79" i="73"/>
  <c r="S70" i="73" s="1"/>
  <c r="J15" i="72" s="1"/>
  <c r="Q26" i="67"/>
  <c r="R26" i="67"/>
  <c r="S16" i="67" s="1"/>
  <c r="E14" i="66"/>
  <c r="E15" i="66" s="1"/>
  <c r="Q26" i="17"/>
  <c r="R26" i="17"/>
  <c r="S16" i="17" s="1"/>
  <c r="E14" i="16"/>
  <c r="E15" i="16" s="1"/>
  <c r="F14" i="48"/>
  <c r="F15" i="48" s="1"/>
  <c r="R37" i="49"/>
  <c r="S27" i="49" s="1"/>
  <c r="E2" i="47"/>
  <c r="D14" i="16"/>
  <c r="E2" i="17"/>
  <c r="Q15" i="17"/>
  <c r="R15" i="17"/>
  <c r="S5" i="17" s="1"/>
  <c r="R69" i="41"/>
  <c r="S59" i="41" s="1"/>
  <c r="I14" i="40"/>
  <c r="R58" i="35"/>
  <c r="S49" i="35" s="1"/>
  <c r="H14" i="34"/>
  <c r="H15" i="34" s="1"/>
  <c r="Q26" i="23"/>
  <c r="R26" i="23"/>
  <c r="S16" i="23" s="1"/>
  <c r="E14" i="22"/>
  <c r="E15" i="22" s="1"/>
  <c r="R37" i="3"/>
  <c r="S27" i="3" s="1"/>
  <c r="F14" i="2"/>
  <c r="F15" i="2" s="1"/>
  <c r="F14" i="54"/>
  <c r="F15" i="54" s="1"/>
  <c r="R37" i="55"/>
  <c r="S27" i="55" s="1"/>
  <c r="F15" i="12"/>
  <c r="R58" i="3"/>
  <c r="S49" i="3" s="1"/>
  <c r="H14" i="2"/>
  <c r="H15" i="2" s="1"/>
  <c r="Q26" i="27"/>
  <c r="R26" i="27"/>
  <c r="S16" i="27" s="1"/>
  <c r="E14" i="26"/>
  <c r="E15" i="26" s="1"/>
  <c r="G14" i="64"/>
  <c r="G15" i="64" s="1"/>
  <c r="R48" i="65"/>
  <c r="S38" i="65" s="1"/>
  <c r="R15" i="53"/>
  <c r="S5" i="53" s="1"/>
  <c r="E2" i="55"/>
  <c r="I14" i="38"/>
  <c r="R69" i="39"/>
  <c r="S59" i="39" s="1"/>
  <c r="E2" i="27"/>
  <c r="Q26" i="47"/>
  <c r="E14" i="46"/>
  <c r="E15" i="46" s="1"/>
  <c r="R26" i="47"/>
  <c r="S16" i="47" s="1"/>
  <c r="F14" i="52"/>
  <c r="F15" i="52" s="1"/>
  <c r="R37" i="53"/>
  <c r="S27" i="53" s="1"/>
  <c r="I15" i="44"/>
  <c r="J8" i="44" s="1"/>
  <c r="J7" i="44"/>
  <c r="R58" i="49"/>
  <c r="S49" i="49" s="1"/>
  <c r="H14" i="48"/>
  <c r="H15" i="48" s="1"/>
  <c r="H14" i="38"/>
  <c r="H15" i="38" s="1"/>
  <c r="R58" i="39"/>
  <c r="S49" i="39" s="1"/>
  <c r="H14" i="36"/>
  <c r="H15" i="36" s="1"/>
  <c r="R58" i="37"/>
  <c r="S49" i="37" s="1"/>
  <c r="R37" i="13"/>
  <c r="S27" i="13" s="1"/>
  <c r="R69" i="43"/>
  <c r="S59" i="43" s="1"/>
  <c r="I14" i="42"/>
  <c r="H14" i="18"/>
  <c r="H15" i="18" s="1"/>
  <c r="R58" i="19"/>
  <c r="S49" i="19" s="1"/>
  <c r="R15" i="19"/>
  <c r="S5" i="19" s="1"/>
  <c r="D14" i="18"/>
  <c r="E2" i="19"/>
  <c r="Q15" i="19"/>
  <c r="E2" i="53"/>
  <c r="G14" i="72"/>
  <c r="G15" i="72" s="1"/>
  <c r="R48" i="73"/>
  <c r="S38" i="73" s="1"/>
  <c r="Q26" i="25"/>
  <c r="F15" i="16"/>
  <c r="R79" i="55"/>
  <c r="S70" i="55" s="1"/>
  <c r="J15" i="54" s="1"/>
  <c r="J14" i="54"/>
  <c r="H14" i="54"/>
  <c r="H15" i="54" s="1"/>
  <c r="R58" i="55"/>
  <c r="S49" i="55" s="1"/>
  <c r="D15" i="54"/>
  <c r="I14" i="70"/>
  <c r="R69" i="71"/>
  <c r="S59" i="71" s="1"/>
  <c r="R48" i="47"/>
  <c r="S38" i="47" s="1"/>
  <c r="G14" i="46"/>
  <c r="G15" i="46" s="1"/>
  <c r="Q15" i="27"/>
  <c r="R58" i="41"/>
  <c r="S49" i="41" s="1"/>
  <c r="H14" i="40"/>
  <c r="H15" i="40" s="1"/>
  <c r="H14" i="44"/>
  <c r="H15" i="44" s="1"/>
  <c r="R58" i="45"/>
  <c r="S49" i="45" s="1"/>
  <c r="R26" i="29"/>
  <c r="S16" i="29" s="1"/>
  <c r="E14" i="28"/>
  <c r="E15" i="28" s="1"/>
  <c r="Q26" i="29"/>
  <c r="J13" i="44"/>
  <c r="R79" i="45"/>
  <c r="S70" i="45" s="1"/>
  <c r="J15" i="44" s="1"/>
  <c r="H7" i="28"/>
  <c r="D15" i="28"/>
  <c r="D15" i="14"/>
  <c r="I15" i="56"/>
  <c r="J8" i="56" s="1"/>
  <c r="J7" i="56"/>
  <c r="R79" i="19"/>
  <c r="S70" i="19" s="1"/>
  <c r="J15" i="18" s="1"/>
  <c r="J14" i="18"/>
  <c r="R58" i="61"/>
  <c r="S49" i="61" s="1"/>
  <c r="H14" i="60"/>
  <c r="H15" i="60" s="1"/>
  <c r="D15" i="36"/>
  <c r="H7" i="36"/>
  <c r="R26" i="45"/>
  <c r="S16" i="45" s="1"/>
  <c r="Q26" i="45"/>
  <c r="E14" i="44"/>
  <c r="E15" i="44" s="1"/>
  <c r="E2" i="13"/>
  <c r="D14" i="12"/>
  <c r="R15" i="13"/>
  <c r="S5" i="13" s="1"/>
  <c r="Q15" i="13"/>
  <c r="J14" i="20"/>
  <c r="R79" i="21"/>
  <c r="S70" i="21" s="1"/>
  <c r="J15" i="20" s="1"/>
  <c r="R79" i="49"/>
  <c r="S70" i="49" s="1"/>
  <c r="J15" i="48" s="1"/>
  <c r="J14" i="48"/>
  <c r="J14" i="14"/>
  <c r="R79" i="15"/>
  <c r="S70" i="15" s="1"/>
  <c r="J15" i="14" s="1"/>
  <c r="G14" i="14"/>
  <c r="G15" i="14" s="1"/>
  <c r="R48" i="15"/>
  <c r="S38" i="15" s="1"/>
  <c r="D15" i="26"/>
  <c r="R26" i="49"/>
  <c r="S16" i="49" s="1"/>
  <c r="Q26" i="49"/>
  <c r="E14" i="48"/>
  <c r="E15" i="48" s="1"/>
  <c r="G14" i="36"/>
  <c r="G15" i="36" s="1"/>
  <c r="R48" i="37"/>
  <c r="S38" i="37" s="1"/>
  <c r="R37" i="71"/>
  <c r="S27" i="71" s="1"/>
  <c r="F14" i="70"/>
  <c r="F15" i="70" s="1"/>
  <c r="I14" i="54"/>
  <c r="R69" i="55"/>
  <c r="S59" i="55" s="1"/>
  <c r="F14" i="36"/>
  <c r="F15" i="36" s="1"/>
  <c r="R37" i="37"/>
  <c r="S27" i="37" s="1"/>
  <c r="I14" i="58"/>
  <c r="R69" i="59"/>
  <c r="S59" i="59" s="1"/>
  <c r="E2" i="37"/>
  <c r="R26" i="19"/>
  <c r="S16" i="19" s="1"/>
  <c r="Q26" i="19"/>
  <c r="E14" i="18"/>
  <c r="E15" i="18" s="1"/>
  <c r="R15" i="3"/>
  <c r="S5" i="3" s="1"/>
  <c r="Q15" i="3"/>
  <c r="E2" i="3"/>
  <c r="D14" i="2"/>
  <c r="R79" i="29"/>
  <c r="S70" i="29" s="1"/>
  <c r="J15" i="28" s="1"/>
  <c r="J14" i="28"/>
  <c r="R26" i="41"/>
  <c r="S16" i="41" s="1"/>
  <c r="Q26" i="41"/>
  <c r="E14" i="40"/>
  <c r="E15" i="40" s="1"/>
  <c r="R69" i="27"/>
  <c r="S59" i="27" s="1"/>
  <c r="I14" i="26"/>
  <c r="I14" i="12"/>
  <c r="R69" i="13"/>
  <c r="S59" i="13" s="1"/>
  <c r="R37" i="29"/>
  <c r="S27" i="29" s="1"/>
  <c r="F14" i="28"/>
  <c r="F15" i="28" s="1"/>
  <c r="J6" i="12"/>
  <c r="R26" i="43"/>
  <c r="S16" i="43" s="1"/>
  <c r="Q26" i="43"/>
  <c r="E14" i="42"/>
  <c r="E15" i="42" s="1"/>
  <c r="G14" i="38"/>
  <c r="G15" i="38" s="1"/>
  <c r="R48" i="39"/>
  <c r="S38" i="39" s="1"/>
  <c r="G14" i="54"/>
  <c r="G15" i="54" s="1"/>
  <c r="R48" i="55"/>
  <c r="S38" i="55" s="1"/>
  <c r="Q15" i="51"/>
  <c r="E2" i="51"/>
  <c r="D14" i="50"/>
  <c r="R15" i="51"/>
  <c r="S5" i="51" s="1"/>
  <c r="R79" i="57"/>
  <c r="S70" i="57" s="1"/>
  <c r="J15" i="56" s="1"/>
  <c r="J14" i="56"/>
  <c r="R69" i="53"/>
  <c r="S59" i="53" s="1"/>
  <c r="I14" i="52"/>
  <c r="R48" i="53"/>
  <c r="S38" i="53" s="1"/>
  <c r="G14" i="52"/>
  <c r="G15" i="52" s="1"/>
  <c r="I15" i="46"/>
  <c r="J8" i="46" s="1"/>
  <c r="J7" i="46"/>
  <c r="R37" i="51"/>
  <c r="S27" i="51" s="1"/>
  <c r="F14" i="50"/>
  <c r="F15" i="50" s="1"/>
  <c r="R69" i="35"/>
  <c r="S59" i="35" s="1"/>
  <c r="I14" i="34"/>
  <c r="F14" i="32"/>
  <c r="F15" i="32" s="1"/>
  <c r="R37" i="33"/>
  <c r="S27" i="33" s="1"/>
  <c r="F14" i="40"/>
  <c r="F15" i="40" s="1"/>
  <c r="R37" i="41"/>
  <c r="S27" i="41" s="1"/>
  <c r="R69" i="33"/>
  <c r="S59" i="33" s="1"/>
  <c r="I14" i="32"/>
  <c r="G14" i="62"/>
  <c r="G15" i="62" s="1"/>
  <c r="R48" i="63"/>
  <c r="S38" i="63" s="1"/>
  <c r="D14" i="48"/>
  <c r="E2" i="49"/>
  <c r="R15" i="49"/>
  <c r="S5" i="49" s="1"/>
  <c r="Q15" i="49"/>
  <c r="H14" i="70"/>
  <c r="H15" i="70" s="1"/>
  <c r="R58" i="71"/>
  <c r="S49" i="71" s="1"/>
  <c r="H14" i="72"/>
  <c r="H15" i="72" s="1"/>
  <c r="R58" i="73"/>
  <c r="S49" i="73" s="1"/>
  <c r="J7" i="22"/>
  <c r="I15" i="22"/>
  <c r="J8" i="22" s="1"/>
  <c r="J14" i="16"/>
  <c r="J7" i="16" s="1"/>
  <c r="R79" i="17"/>
  <c r="S70" i="17" s="1"/>
  <c r="J15" i="16" s="1"/>
  <c r="R79" i="25"/>
  <c r="S70" i="25" s="1"/>
  <c r="J15" i="24" s="1"/>
  <c r="J14" i="24"/>
  <c r="E2" i="21"/>
  <c r="H14" i="68"/>
  <c r="H15" i="68" s="1"/>
  <c r="R58" i="69"/>
  <c r="S49" i="69" s="1"/>
  <c r="R37" i="27"/>
  <c r="S27" i="27" s="1"/>
  <c r="F14" i="26"/>
  <c r="F15" i="26" s="1"/>
  <c r="J14" i="32"/>
  <c r="R79" i="33"/>
  <c r="S70" i="33" s="1"/>
  <c r="J15" i="32" s="1"/>
  <c r="H6" i="68"/>
  <c r="F6" i="68"/>
  <c r="R58" i="27"/>
  <c r="S49" i="27" s="1"/>
  <c r="H14" i="26"/>
  <c r="H15" i="26" s="1"/>
  <c r="R15" i="59"/>
  <c r="S5" i="59" s="1"/>
  <c r="Q15" i="59"/>
  <c r="E2" i="59"/>
  <c r="D14" i="58"/>
  <c r="E2" i="41"/>
  <c r="J6" i="14"/>
  <c r="R37" i="45"/>
  <c r="S27" i="45" s="1"/>
  <c r="F14" i="44"/>
  <c r="F15" i="44" s="1"/>
  <c r="J14" i="50"/>
  <c r="R79" i="51"/>
  <c r="S70" i="51" s="1"/>
  <c r="J15" i="50" s="1"/>
  <c r="R26" i="63"/>
  <c r="S16" i="63" s="1"/>
  <c r="E14" i="62"/>
  <c r="E15" i="62" s="1"/>
  <c r="Q26" i="63"/>
  <c r="H14" i="24"/>
  <c r="H15" i="24" s="1"/>
  <c r="R58" i="25"/>
  <c r="S49" i="25" s="1"/>
  <c r="R79" i="69"/>
  <c r="S70" i="69" s="1"/>
  <c r="J15" i="68" s="1"/>
  <c r="R26" i="39"/>
  <c r="S16" i="39" s="1"/>
  <c r="E14" i="38"/>
  <c r="E15" i="38" s="1"/>
  <c r="Q26" i="39"/>
  <c r="H6" i="12"/>
  <c r="F6" i="12"/>
  <c r="R69" i="61"/>
  <c r="S59" i="61" s="1"/>
  <c r="I14" i="60"/>
  <c r="D15" i="52"/>
  <c r="G14" i="42"/>
  <c r="G15" i="42" s="1"/>
  <c r="R48" i="43"/>
  <c r="S38" i="43" s="1"/>
  <c r="R69" i="19"/>
  <c r="S59" i="19" s="1"/>
  <c r="I14" i="18"/>
  <c r="R37" i="15"/>
  <c r="S27" i="15" s="1"/>
  <c r="F14" i="14"/>
  <c r="F15" i="14" s="1"/>
  <c r="R15" i="27"/>
  <c r="S5" i="27" s="1"/>
  <c r="I14" i="30"/>
  <c r="R69" i="31"/>
  <c r="S59" i="31" s="1"/>
  <c r="F6" i="16"/>
  <c r="H6" i="16"/>
  <c r="F7" i="34"/>
  <c r="D15" i="34"/>
  <c r="Q15" i="15"/>
  <c r="R69" i="57"/>
  <c r="S59" i="57" s="1"/>
  <c r="F7" i="50" l="1"/>
  <c r="H7" i="50"/>
  <c r="D15" i="50"/>
  <c r="H7" i="62"/>
  <c r="D15" i="62"/>
  <c r="F7" i="62"/>
  <c r="I15" i="28"/>
  <c r="J8" i="28" s="1"/>
  <c r="J7" i="28"/>
  <c r="H7" i="52"/>
  <c r="F7" i="36"/>
  <c r="I15" i="60"/>
  <c r="J8" i="60" s="1"/>
  <c r="J7" i="60"/>
  <c r="I15" i="48"/>
  <c r="J8" i="48" s="1"/>
  <c r="J7" i="48"/>
  <c r="D15" i="22"/>
  <c r="H7" i="22"/>
  <c r="F7" i="22"/>
  <c r="D15" i="72"/>
  <c r="F7" i="72"/>
  <c r="H7" i="72"/>
  <c r="H8" i="72" s="1"/>
  <c r="J7" i="24"/>
  <c r="I15" i="24"/>
  <c r="J8" i="24" s="1"/>
  <c r="D15" i="68"/>
  <c r="H7" i="68"/>
  <c r="H8" i="68" s="1"/>
  <c r="F7" i="68"/>
  <c r="F8" i="68" s="1"/>
  <c r="F7" i="40"/>
  <c r="J7" i="70"/>
  <c r="J8" i="70" s="1"/>
  <c r="I15" i="70"/>
  <c r="H8" i="30"/>
  <c r="F8" i="30"/>
  <c r="F8" i="40"/>
  <c r="H8" i="40"/>
  <c r="F8" i="20"/>
  <c r="H8" i="20"/>
  <c r="J7" i="20"/>
  <c r="I15" i="20"/>
  <c r="J8" i="20" s="1"/>
  <c r="H7" i="46"/>
  <c r="F7" i="64"/>
  <c r="H7" i="26"/>
  <c r="F7" i="18"/>
  <c r="D15" i="18"/>
  <c r="H7" i="18"/>
  <c r="F8" i="46"/>
  <c r="H8" i="46"/>
  <c r="F6" i="72"/>
  <c r="F8" i="64"/>
  <c r="H8" i="64"/>
  <c r="I15" i="66"/>
  <c r="J8" i="66" s="1"/>
  <c r="J7" i="66"/>
  <c r="F7" i="26"/>
  <c r="D15" i="66"/>
  <c r="H7" i="66"/>
  <c r="F7" i="66"/>
  <c r="H7" i="44"/>
  <c r="F7" i="44"/>
  <c r="D15" i="44"/>
  <c r="J7" i="62"/>
  <c r="I15" i="62"/>
  <c r="J8" i="62" s="1"/>
  <c r="H7" i="64"/>
  <c r="H7" i="60"/>
  <c r="F7" i="60"/>
  <c r="D15" i="60"/>
  <c r="H8" i="14"/>
  <c r="I15" i="42"/>
  <c r="J8" i="42" s="1"/>
  <c r="J7" i="42"/>
  <c r="F8" i="24"/>
  <c r="H8" i="24"/>
  <c r="F7" i="52"/>
  <c r="H8" i="28"/>
  <c r="F8" i="28"/>
  <c r="H7" i="48"/>
  <c r="F7" i="48"/>
  <c r="D15" i="48"/>
  <c r="F7" i="28"/>
  <c r="I15" i="14"/>
  <c r="J8" i="14" s="1"/>
  <c r="J7" i="14"/>
  <c r="H7" i="54"/>
  <c r="J7" i="38"/>
  <c r="I15" i="38"/>
  <c r="J8" i="38" s="1"/>
  <c r="H8" i="26"/>
  <c r="F8" i="26"/>
  <c r="F7" i="30"/>
  <c r="I15" i="18"/>
  <c r="J8" i="18" s="1"/>
  <c r="J7" i="18"/>
  <c r="H8" i="54"/>
  <c r="F8" i="54"/>
  <c r="D15" i="58"/>
  <c r="H7" i="58"/>
  <c r="F7" i="58"/>
  <c r="F7" i="2"/>
  <c r="D15" i="2"/>
  <c r="H7" i="2"/>
  <c r="F7" i="14"/>
  <c r="F7" i="24"/>
  <c r="D15" i="38"/>
  <c r="H7" i="38"/>
  <c r="F7" i="38"/>
  <c r="J8" i="16"/>
  <c r="F8" i="42"/>
  <c r="H8" i="42"/>
  <c r="F8" i="52"/>
  <c r="H8" i="52"/>
  <c r="J7" i="50"/>
  <c r="I15" i="50"/>
  <c r="J8" i="50" s="1"/>
  <c r="J7" i="12"/>
  <c r="I15" i="12"/>
  <c r="J8" i="12" s="1"/>
  <c r="I15" i="40"/>
  <c r="J8" i="40" s="1"/>
  <c r="J7" i="40"/>
  <c r="I15" i="72"/>
  <c r="J7" i="72"/>
  <c r="J8" i="72" s="1"/>
  <c r="H7" i="32"/>
  <c r="D15" i="32"/>
  <c r="F7" i="32"/>
  <c r="I15" i="26"/>
  <c r="J8" i="26" s="1"/>
  <c r="J7" i="26"/>
  <c r="F8" i="36"/>
  <c r="H8" i="36"/>
  <c r="I15" i="30"/>
  <c r="J8" i="30" s="1"/>
  <c r="J7" i="30"/>
  <c r="H7" i="56"/>
  <c r="F7" i="56"/>
  <c r="D15" i="56"/>
  <c r="J7" i="32"/>
  <c r="I15" i="32"/>
  <c r="J8" i="32" s="1"/>
  <c r="F7" i="46"/>
  <c r="H7" i="30"/>
  <c r="H7" i="70"/>
  <c r="H8" i="70" s="1"/>
  <c r="D15" i="70"/>
  <c r="F7" i="70"/>
  <c r="F8" i="70" s="1"/>
  <c r="J7" i="52"/>
  <c r="I15" i="52"/>
  <c r="J8" i="52" s="1"/>
  <c r="J7" i="58"/>
  <c r="I15" i="58"/>
  <c r="J8" i="58" s="1"/>
  <c r="F7" i="54"/>
  <c r="D15" i="16"/>
  <c r="H7" i="16"/>
  <c r="F7" i="16"/>
  <c r="D15" i="12"/>
  <c r="F7" i="12"/>
  <c r="H7" i="12"/>
  <c r="H7" i="34"/>
  <c r="H8" i="34"/>
  <c r="F8" i="34"/>
  <c r="I15" i="34"/>
  <c r="J8" i="34" s="1"/>
  <c r="J7" i="34"/>
  <c r="I15" i="54"/>
  <c r="J8" i="54" s="1"/>
  <c r="J7" i="54"/>
  <c r="H7" i="14"/>
  <c r="H7" i="24"/>
  <c r="F7" i="42"/>
  <c r="H8" i="38" l="1"/>
  <c r="F8" i="38"/>
  <c r="H8" i="12"/>
  <c r="F8" i="12"/>
  <c r="F8" i="72"/>
  <c r="H8" i="18"/>
  <c r="F8" i="18"/>
  <c r="H8" i="16"/>
  <c r="F8" i="16"/>
  <c r="H8" i="58"/>
  <c r="F8" i="58"/>
  <c r="F8" i="14"/>
  <c r="H8" i="56"/>
  <c r="F8" i="56"/>
  <c r="H8" i="66"/>
  <c r="F8" i="66"/>
  <c r="H8" i="22"/>
  <c r="F8" i="22"/>
  <c r="H8" i="50"/>
  <c r="F8" i="50"/>
  <c r="H8" i="48"/>
  <c r="F8" i="48"/>
  <c r="H8" i="60"/>
  <c r="F8" i="60"/>
  <c r="H8" i="2"/>
  <c r="F8" i="2"/>
  <c r="F8" i="44"/>
  <c r="H8" i="44"/>
  <c r="F8" i="32"/>
  <c r="H8" i="32"/>
  <c r="H8" i="62"/>
  <c r="F8" i="62"/>
</calcChain>
</file>

<file path=xl/sharedStrings.xml><?xml version="1.0" encoding="utf-8"?>
<sst xmlns="http://schemas.openxmlformats.org/spreadsheetml/2006/main" count="5141" uniqueCount="198">
  <si>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</si>
  <si>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</si>
  <si>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</si>
  <si>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</si>
  <si>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</si>
  <si>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</si>
  <si>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</si>
  <si>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</si>
  <si>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</si>
  <si>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</si>
  <si>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</si>
  <si>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</si>
  <si>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</si>
  <si>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</si>
  <si>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</si>
  <si>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</si>
  <si>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</si>
  <si>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</si>
  <si>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</si>
  <si>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</si>
  <si>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</si>
  <si>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</si>
  <si>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</si>
  <si>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</si>
  <si>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</si>
  <si>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</si>
  <si>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</si>
  <si>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</si>
  <si>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</si>
  <si>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</si>
  <si>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</si>
  <si>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</si>
  <si>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</si>
  <si>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</si>
  <si>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</si>
  <si>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</si>
  <si>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</si>
  <si>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</si>
  <si>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</si>
  <si>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</si>
  <si>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</si>
  <si>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</si>
  <si>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</si>
  <si>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</si>
  <si>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</si>
  <si>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</si>
  <si>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</si>
  <si>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</si>
  <si>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</si>
  <si>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</si>
  <si>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</si>
  <si>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</si>
  <si>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</si>
  <si>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</si>
  <si>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</si>
  <si>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</si>
  <si>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</si>
  <si>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</si>
  <si>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</si>
  <si>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</si>
  <si>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</si>
  <si>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</si>
  <si>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</si>
  <si>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</si>
  <si>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</si>
  <si>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</si>
  <si>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</si>
  <si>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</si>
  <si>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</si>
  <si>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</si>
  <si>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</si>
  <si>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</si>
  <si>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</si>
  <si>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</si>
  <si>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</si>
  <si>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</si>
  <si>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</si>
  <si>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</si>
  <si>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</si>
  <si>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</si>
  <si>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</si>
  <si>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</si>
  <si>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</si>
  <si>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</si>
  <si>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</si>
  <si>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</si>
  <si>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</si>
  <si>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</si>
  <si>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</si>
  <si>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</si>
  <si>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</si>
  <si>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</si>
  <si>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</si>
  <si>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</si>
  <si>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</si>
  <si>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</si>
  <si>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</si>
  <si>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</si>
  <si>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</si>
  <si>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</si>
  <si>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</si>
  <si>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</si>
  <si>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</si>
  <si>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</si>
  <si>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</si>
  <si>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</si>
  <si>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</si>
  <si>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</si>
  <si>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</si>
  <si>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</si>
  <si>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</si>
  <si>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</si>
  <si>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8月1日 星期六</t>
  </si>
  <si>
    <t>羅馬黑胡椒起司義大利麵</t>
  </si>
  <si>
    <t>香煎魚排佐檸檬奶油義大利麵</t>
  </si>
  <si>
    <t>奶油培根義大利麵</t>
  </si>
  <si>
    <t>熱乾麵</t>
  </si>
  <si>
    <t>府城鹽水意麵</t>
  </si>
  <si>
    <t>13:30-14:02封膜異常+重檢機異常</t>
  </si>
  <si>
    <t>青醬蛤蜊義大利麵</t>
  </si>
  <si>
    <t>白酒清炒鮮蛤義大利麵</t>
  </si>
  <si>
    <t>義式蕃茄起司義大利麵</t>
  </si>
  <si>
    <t>蕃茄莎莎海鮮冷義大利麵</t>
  </si>
  <si>
    <t>金沙豆腐義大利麵</t>
  </si>
  <si>
    <t>奶油鮮蝦明太子細扁麵</t>
  </si>
  <si>
    <t>義式蛋蛋青醬鮪魚冷義大利麵</t>
  </si>
  <si>
    <t>青花椒麻雞肉拌麵</t>
  </si>
  <si>
    <t>沙茶豬肉炒麵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</si>
  <si>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</si>
  <si>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</si>
  <si>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</si>
  <si>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</si>
  <si>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</si>
  <si>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</si>
  <si>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</si>
  <si>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鱈魚粉紅青醬筆尖麵</t>
  </si>
  <si>
    <t>單排生產</t>
  </si>
  <si>
    <t>8月2日 星期日</t>
  </si>
  <si>
    <t>8:10-8:15注醬機異常</t>
  </si>
  <si>
    <t>9:56-10:03熱轉印異常</t>
  </si>
  <si>
    <t>8月3日 星期一</t>
  </si>
  <si>
    <t>8月4日 星期二</t>
  </si>
  <si>
    <t>番茄蘑菇義大利麵</t>
  </si>
  <si>
    <t>8月5日 星期三</t>
  </si>
  <si>
    <t>14:05-14:25試產</t>
  </si>
  <si>
    <t>8月6日 星期四</t>
  </si>
  <si>
    <t>8月7日 星期五</t>
  </si>
  <si>
    <t>8月8日 星期六</t>
  </si>
  <si>
    <t>8月9日 星期日</t>
  </si>
  <si>
    <t>8月10日 星期一</t>
  </si>
  <si>
    <t>8月11日 星期二</t>
  </si>
  <si>
    <t>8月12日 星期三</t>
  </si>
  <si>
    <t>8月13日 星期四</t>
  </si>
  <si>
    <t>8月14日 星期五</t>
  </si>
  <si>
    <t>8月15日 星期六</t>
  </si>
  <si>
    <t>8月16日 星期日</t>
  </si>
  <si>
    <t>8月17日 星期一</t>
  </si>
  <si>
    <t>8月18日 星期二</t>
  </si>
  <si>
    <t>8月19日 星期三</t>
  </si>
  <si>
    <t>8月20日 星期四</t>
  </si>
  <si>
    <t>8月21日 星期五</t>
  </si>
  <si>
    <t>8月22日 星期六</t>
  </si>
  <si>
    <t>8月23日 星期日</t>
  </si>
  <si>
    <t>8月24日 星期一</t>
  </si>
  <si>
    <t>8月25日 星期二</t>
  </si>
  <si>
    <t>8月26日 星期三</t>
  </si>
  <si>
    <t>8月27日 星期四</t>
  </si>
  <si>
    <t>check</t>
  </si>
  <si>
    <t>類別</t>
  </si>
  <si>
    <t>4度C</t>
  </si>
  <si>
    <t>蒜香奶油蝦蝦義大利麵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</si>
  <si>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</si>
  <si>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</si>
  <si>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</si>
  <si>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</si>
  <si>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</si>
  <si>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</si>
  <si>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</si>
  <si>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</si>
  <si>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</si>
  <si>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8月28日 星期五</t>
  </si>
  <si>
    <t>8月29日 星期六</t>
  </si>
  <si>
    <t>8月30日 星期日</t>
  </si>
  <si>
    <t>8月31日 星期一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</si>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</sst>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52">
    <xf numFmtId="0" fontId="0" fillId="0" borderId="0" xfId="0"/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8" fontId="8" fillId="0" borderId="0" xfId="22" applyNumberFormat="1" applyFont="1" applyBorder="1" applyAlignment="1">
      <alignment vertical="center"/>
    </xf>
    <xf numFmtId="0" fontId="8" fillId="0" borderId="0" xfId="2" applyFont="1">
      <alignment vertical="center"/>
    </xf>
    <xf numFmtId="0" fontId="12" fillId="0" borderId="0" xfId="2" applyFont="1">
      <alignment vertical="center"/>
    </xf>
    <xf numFmtId="0" fontId="13" fillId="0" borderId="0" xfId="8" applyFont="1">
      <alignment vertical="center"/>
    </xf>
    <xf numFmtId="0" fontId="14" fillId="0" borderId="0" xfId="2" applyFont="1">
      <alignment vertical="center"/>
    </xf>
    <xf numFmtId="0" fontId="15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79" fontId="17" fillId="0" borderId="1" xfId="2" applyNumberFormat="1" applyFont="1" applyBorder="1" applyAlignment="1">
      <alignment horizontal="center" vertical="center"/>
    </xf>
    <xf numFmtId="180" fontId="17" fillId="0" borderId="9" xfId="23" applyNumberFormat="1" applyFont="1" applyBorder="1" applyAlignment="1">
      <alignment horizontal="center" vertical="center"/>
    </xf>
    <xf numFmtId="180" fontId="17" fillId="0" borderId="9" xfId="23" applyNumberFormat="1" applyFont="1" applyFill="1" applyBorder="1" applyAlignment="1">
      <alignment horizontal="center" vertical="center"/>
    </xf>
    <xf numFmtId="20" fontId="18" fillId="0" borderId="1" xfId="2" applyNumberFormat="1" applyFont="1" applyBorder="1" applyAlignment="1">
      <alignment horizontal="center" vertical="center"/>
    </xf>
    <xf numFmtId="181" fontId="18" fillId="0" borderId="12" xfId="16" applyNumberFormat="1" applyFont="1" applyBorder="1" applyAlignment="1">
      <alignment horizontal="center" vertical="center"/>
    </xf>
    <xf numFmtId="20" fontId="18" fillId="0" borderId="11" xfId="2" applyNumberFormat="1" applyFont="1" applyBorder="1" applyAlignment="1">
      <alignment horizontal="center" vertical="center"/>
    </xf>
    <xf numFmtId="20" fontId="18" fillId="0" borderId="1" xfId="16" applyNumberFormat="1" applyFont="1" applyBorder="1" applyAlignment="1">
      <alignment horizontal="center" vertical="center"/>
    </xf>
    <xf numFmtId="20" fontId="7" fillId="0" borderId="11" xfId="11" applyNumberFormat="1" applyFont="1" applyBorder="1" applyAlignment="1">
      <alignment horizontal="center" vertical="center"/>
    </xf>
    <xf numFmtId="20" fontId="7" fillId="6" borderId="11" xfId="11" applyNumberFormat="1" applyFont="1" applyFill="1" applyBorder="1" applyAlignment="1">
      <alignment horizontal="center" vertical="center"/>
    </xf>
    <xf numFmtId="20" fontId="18" fillId="0" borderId="13" xfId="16" applyNumberFormat="1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0" fillId="0" borderId="13" xfId="16" applyFont="1" applyBorder="1">
      <alignment vertical="center"/>
    </xf>
    <xf numFmtId="0" fontId="20" fillId="0" borderId="13" xfId="16" applyFont="1" applyBorder="1" applyAlignment="1">
      <alignment horizontal="left" vertical="center"/>
    </xf>
    <xf numFmtId="178" fontId="21" fillId="7" borderId="13" xfId="19" applyNumberFormat="1" applyFont="1" applyFill="1" applyBorder="1" applyAlignment="1">
      <alignment horizontal="center" vertical="center"/>
    </xf>
    <xf numFmtId="0" fontId="18" fillId="0" borderId="13" xfId="16" applyFont="1" applyBorder="1" applyAlignment="1">
      <alignment horizontal="center" vertical="center"/>
    </xf>
    <xf numFmtId="43" fontId="20" fillId="0" borderId="13" xfId="19" applyFont="1" applyBorder="1" applyAlignment="1">
      <alignment horizontal="center" vertical="center"/>
    </xf>
    <xf numFmtId="0" fontId="20" fillId="0" borderId="13" xfId="16" applyFont="1" applyBorder="1" applyAlignment="1">
      <alignment horizontal="center" vertical="center"/>
    </xf>
    <xf numFmtId="1" fontId="20" fillId="0" borderId="13" xfId="16" applyNumberFormat="1" applyFont="1" applyBorder="1" applyAlignment="1">
      <alignment horizontal="center" vertical="center"/>
    </xf>
    <xf numFmtId="0" fontId="18" fillId="0" borderId="0" xfId="16" applyFont="1">
      <alignment vertical="center"/>
    </xf>
    <xf numFmtId="179" fontId="20" fillId="0" borderId="13" xfId="16" applyNumberFormat="1" applyFont="1" applyBorder="1" applyAlignment="1">
      <alignment horizontal="center" vertical="center"/>
    </xf>
    <xf numFmtId="179" fontId="23" fillId="0" borderId="13" xfId="16" applyNumberFormat="1" applyFont="1" applyBorder="1" applyAlignment="1">
      <alignment horizontal="center" vertical="center" wrapText="1"/>
    </xf>
    <xf numFmtId="2" fontId="20" fillId="0" borderId="13" xfId="16" applyNumberFormat="1" applyFont="1" applyBorder="1" applyAlignment="1">
      <alignment horizontal="center" vertical="center"/>
    </xf>
    <xf numFmtId="0" fontId="18" fillId="0" borderId="14" xfId="16" applyFont="1" applyBorder="1" applyAlignment="1">
      <alignment horizontal="center" vertical="center"/>
    </xf>
    <xf numFmtId="0" fontId="18" fillId="0" borderId="17" xfId="15" applyFont="1" applyBorder="1" applyAlignment="1">
      <alignment horizontal="center"/>
    </xf>
    <xf numFmtId="0" fontId="18" fillId="0" borderId="18" xfId="16" applyFont="1" applyBorder="1" applyAlignment="1">
      <alignment horizontal="center"/>
    </xf>
    <xf numFmtId="0" fontId="18" fillId="0" borderId="18" xfId="15" applyFont="1" applyBorder="1" applyAlignment="1"/>
    <xf numFmtId="1" fontId="18" fillId="0" borderId="19" xfId="16" applyNumberFormat="1" applyFont="1" applyBorder="1" applyAlignment="1">
      <alignment horizontal="center" vertical="center"/>
    </xf>
    <xf numFmtId="43" fontId="18" fillId="0" borderId="20" xfId="19" applyFont="1" applyBorder="1" applyAlignment="1">
      <alignment horizontal="center" vertical="center"/>
    </xf>
    <xf numFmtId="0" fontId="18" fillId="0" borderId="20" xfId="16" applyFont="1" applyBorder="1" applyAlignment="1">
      <alignment horizontal="center" vertical="center" wrapText="1"/>
    </xf>
    <xf numFmtId="1" fontId="18" fillId="3" borderId="20" xfId="16" applyNumberFormat="1" applyFont="1" applyFill="1" applyBorder="1" applyAlignment="1">
      <alignment horizontal="center" vertical="center"/>
    </xf>
    <xf numFmtId="1" fontId="18" fillId="0" borderId="20" xfId="16" applyNumberFormat="1" applyFont="1" applyBorder="1" applyAlignment="1">
      <alignment horizontal="center" vertical="center"/>
    </xf>
    <xf numFmtId="179" fontId="18" fillId="0" borderId="20" xfId="16" applyNumberFormat="1" applyFont="1" applyBorder="1" applyAlignment="1">
      <alignment horizontal="center" vertical="center"/>
    </xf>
    <xf numFmtId="0" fontId="18" fillId="3" borderId="20" xfId="16" applyFont="1" applyFill="1" applyBorder="1" applyAlignment="1">
      <alignment horizontal="center" vertical="center"/>
    </xf>
    <xf numFmtId="182" fontId="18" fillId="0" borderId="20" xfId="16" applyNumberFormat="1" applyFont="1" applyBorder="1" applyAlignment="1">
      <alignment horizontal="center" vertical="center"/>
    </xf>
    <xf numFmtId="183" fontId="18" fillId="0" borderId="20" xfId="16" applyNumberFormat="1" applyFont="1" applyBorder="1" applyAlignment="1">
      <alignment horizontal="center" vertical="center"/>
    </xf>
    <xf numFmtId="180" fontId="18" fillId="0" borderId="20" xfId="27" applyNumberFormat="1" applyFont="1" applyBorder="1" applyAlignment="1">
      <alignment horizontal="center" vertical="center"/>
    </xf>
    <xf numFmtId="180" fontId="18" fillId="0" borderId="21" xfId="27" applyNumberFormat="1" applyFont="1" applyBorder="1" applyAlignment="1">
      <alignment horizontal="center" vertical="center"/>
    </xf>
    <xf numFmtId="0" fontId="18" fillId="0" borderId="22" xfId="16" applyFont="1" applyBorder="1">
      <alignment vertical="center"/>
    </xf>
    <xf numFmtId="0" fontId="18" fillId="0" borderId="21" xfId="16" applyFont="1" applyBorder="1" applyAlignment="1">
      <alignment horizontal="center" vertical="center" wrapText="1"/>
    </xf>
    <xf numFmtId="0" fontId="18" fillId="0" borderId="21" xfId="16" applyFont="1" applyBorder="1" applyAlignment="1">
      <alignment horizontal="center" vertical="center"/>
    </xf>
    <xf numFmtId="182" fontId="18" fillId="0" borderId="21" xfId="16" applyNumberFormat="1" applyFont="1" applyBorder="1" applyAlignment="1">
      <alignment horizontal="center" vertical="center"/>
    </xf>
    <xf numFmtId="0" fontId="18" fillId="0" borderId="25" xfId="15" applyFont="1" applyBorder="1" applyAlignment="1">
      <alignment horizontal="center"/>
    </xf>
    <xf numFmtId="0" fontId="18" fillId="0" borderId="26" xfId="16" applyFont="1" applyBorder="1" applyAlignment="1">
      <alignment horizontal="center"/>
    </xf>
    <xf numFmtId="0" fontId="18" fillId="0" borderId="27" xfId="15" applyFont="1" applyBorder="1" applyAlignment="1"/>
    <xf numFmtId="0" fontId="18" fillId="0" borderId="28" xfId="15" applyFont="1" applyBorder="1" applyAlignment="1"/>
    <xf numFmtId="0" fontId="18" fillId="0" borderId="29" xfId="15" applyFont="1" applyBorder="1" applyAlignment="1">
      <alignment horizontal="center"/>
    </xf>
    <xf numFmtId="1" fontId="18" fillId="0" borderId="30" xfId="16" applyNumberFormat="1" applyFont="1" applyBorder="1" applyAlignment="1">
      <alignment horizontal="center" vertical="center"/>
    </xf>
    <xf numFmtId="43" fontId="18" fillId="0" borderId="31" xfId="19" applyFont="1" applyBorder="1" applyAlignment="1">
      <alignment horizontal="center" vertical="center"/>
    </xf>
    <xf numFmtId="0" fontId="18" fillId="0" borderId="31" xfId="16" applyFont="1" applyBorder="1" applyAlignment="1">
      <alignment horizontal="center" vertical="center" wrapText="1"/>
    </xf>
    <xf numFmtId="1" fontId="18" fillId="3" borderId="31" xfId="16" applyNumberFormat="1" applyFont="1" applyFill="1" applyBorder="1" applyAlignment="1">
      <alignment horizontal="center" vertical="center"/>
    </xf>
    <xf numFmtId="1" fontId="18" fillId="0" borderId="31" xfId="16" applyNumberFormat="1" applyFont="1" applyBorder="1" applyAlignment="1">
      <alignment horizontal="center" vertical="center"/>
    </xf>
    <xf numFmtId="179" fontId="18" fillId="0" borderId="31" xfId="16" applyNumberFormat="1" applyFont="1" applyBorder="1" applyAlignment="1">
      <alignment horizontal="center" vertical="center"/>
    </xf>
    <xf numFmtId="0" fontId="18" fillId="3" borderId="31" xfId="16" applyFont="1" applyFill="1" applyBorder="1" applyAlignment="1">
      <alignment horizontal="center" vertical="center"/>
    </xf>
    <xf numFmtId="182" fontId="18" fillId="0" borderId="31" xfId="16" applyNumberFormat="1" applyFont="1" applyBorder="1" applyAlignment="1">
      <alignment horizontal="center" vertical="center"/>
    </xf>
    <xf numFmtId="183" fontId="18" fillId="0" borderId="31" xfId="16" applyNumberFormat="1" applyFont="1" applyBorder="1" applyAlignment="1">
      <alignment horizontal="center" vertical="center"/>
    </xf>
    <xf numFmtId="180" fontId="18" fillId="0" borderId="31" xfId="27" applyNumberFormat="1" applyFont="1" applyBorder="1" applyAlignment="1">
      <alignment horizontal="center" vertical="center"/>
    </xf>
    <xf numFmtId="180" fontId="18" fillId="0" borderId="13" xfId="27" applyNumberFormat="1" applyFont="1" applyBorder="1" applyAlignment="1">
      <alignment horizontal="center" vertical="center"/>
    </xf>
    <xf numFmtId="0" fontId="18" fillId="0" borderId="13" xfId="16" applyFont="1" applyBorder="1" applyAlignment="1">
      <alignment horizontal="center" vertical="center" wrapText="1"/>
    </xf>
    <xf numFmtId="182" fontId="18" fillId="0" borderId="13" xfId="16" applyNumberFormat="1" applyFont="1" applyBorder="1" applyAlignment="1">
      <alignment horizontal="center" vertical="center"/>
    </xf>
    <xf numFmtId="0" fontId="18" fillId="0" borderId="1" xfId="15" applyFont="1" applyBorder="1" applyAlignment="1">
      <alignment horizontal="center"/>
    </xf>
    <xf numFmtId="0" fontId="18" fillId="0" borderId="33" xfId="16" applyFont="1" applyBorder="1" applyAlignment="1">
      <alignment horizontal="center"/>
    </xf>
    <xf numFmtId="0" fontId="18" fillId="0" borderId="33" xfId="15" applyFont="1" applyBorder="1" applyAlignment="1"/>
    <xf numFmtId="43" fontId="18" fillId="0" borderId="13" xfId="19" applyFont="1" applyBorder="1" applyAlignment="1">
      <alignment horizontal="center" vertical="center"/>
    </xf>
    <xf numFmtId="1" fontId="18" fillId="3" borderId="13" xfId="16" applyNumberFormat="1" applyFont="1" applyFill="1" applyBorder="1" applyAlignment="1">
      <alignment horizontal="center" vertical="center"/>
    </xf>
    <xf numFmtId="1" fontId="18" fillId="0" borderId="13" xfId="16" applyNumberFormat="1" applyFont="1" applyBorder="1" applyAlignment="1">
      <alignment horizontal="center" vertical="center"/>
    </xf>
    <xf numFmtId="179" fontId="18" fillId="0" borderId="13" xfId="16" applyNumberFormat="1" applyFont="1" applyBorder="1" applyAlignment="1">
      <alignment horizontal="center" vertical="center"/>
    </xf>
    <xf numFmtId="0" fontId="18" fillId="3" borderId="13" xfId="16" applyFont="1" applyFill="1" applyBorder="1" applyAlignment="1">
      <alignment horizontal="center" vertical="center"/>
    </xf>
    <xf numFmtId="183" fontId="18" fillId="0" borderId="13" xfId="16" applyNumberFormat="1" applyFont="1" applyBorder="1" applyAlignment="1">
      <alignment horizontal="center" vertical="center"/>
    </xf>
    <xf numFmtId="20" fontId="18" fillId="0" borderId="27" xfId="16" applyNumberFormat="1" applyFont="1" applyBorder="1" applyAlignment="1">
      <alignment horizontal="center" vertical="center"/>
    </xf>
    <xf numFmtId="180" fontId="18" fillId="0" borderId="14" xfId="27" applyNumberFormat="1" applyFont="1" applyBorder="1" applyAlignment="1">
      <alignment horizontal="center" vertical="center"/>
    </xf>
    <xf numFmtId="0" fontId="18" fillId="0" borderId="27" xfId="16" applyFont="1" applyBorder="1" applyAlignment="1">
      <alignment horizontal="center"/>
    </xf>
    <xf numFmtId="0" fontId="18" fillId="0" borderId="30" xfId="15" applyFont="1" applyBorder="1" applyAlignment="1"/>
    <xf numFmtId="0" fontId="18" fillId="0" borderId="37" xfId="16" applyFont="1" applyBorder="1" applyAlignment="1">
      <alignment horizontal="center"/>
    </xf>
    <xf numFmtId="0" fontId="18" fillId="0" borderId="38" xfId="15" applyFont="1" applyBorder="1" applyAlignment="1"/>
    <xf numFmtId="184" fontId="18" fillId="0" borderId="1" xfId="16" applyNumberFormat="1" applyFont="1" applyBorder="1" applyAlignment="1">
      <alignment horizontal="center" vertical="center"/>
    </xf>
    <xf numFmtId="43" fontId="18" fillId="0" borderId="1" xfId="19" applyFont="1" applyBorder="1" applyAlignment="1">
      <alignment horizontal="center" vertical="center"/>
    </xf>
    <xf numFmtId="0" fontId="18" fillId="0" borderId="1" xfId="16" applyFont="1" applyBorder="1" applyAlignment="1">
      <alignment horizontal="center" vertical="center"/>
    </xf>
    <xf numFmtId="179" fontId="18" fillId="0" borderId="30" xfId="16" applyNumberFormat="1" applyFont="1" applyBorder="1" applyAlignment="1">
      <alignment horizontal="center" vertical="center"/>
    </xf>
    <xf numFmtId="0" fontId="18" fillId="3" borderId="1" xfId="16" applyFont="1" applyFill="1" applyBorder="1" applyAlignment="1">
      <alignment horizontal="center" vertical="center"/>
    </xf>
    <xf numFmtId="1" fontId="18" fillId="0" borderId="1" xfId="16" applyNumberFormat="1" applyFont="1" applyBorder="1" applyAlignment="1">
      <alignment horizontal="center" vertical="center"/>
    </xf>
    <xf numFmtId="179" fontId="18" fillId="0" borderId="1" xfId="16" applyNumberFormat="1" applyFont="1" applyBorder="1" applyAlignment="1">
      <alignment horizontal="center" vertical="center"/>
    </xf>
    <xf numFmtId="182" fontId="18" fillId="0" borderId="1" xfId="16" applyNumberFormat="1" applyFont="1" applyBorder="1" applyAlignment="1">
      <alignment horizontal="center" vertical="center"/>
    </xf>
    <xf numFmtId="183" fontId="18" fillId="0" borderId="1" xfId="16" applyNumberFormat="1" applyFont="1" applyBorder="1" applyAlignment="1">
      <alignment horizontal="center" vertical="center"/>
    </xf>
    <xf numFmtId="180" fontId="18" fillId="0" borderId="1" xfId="27" applyNumberFormat="1" applyFont="1" applyBorder="1" applyAlignment="1">
      <alignment horizontal="center" vertical="center"/>
    </xf>
    <xf numFmtId="0" fontId="18" fillId="0" borderId="30" xfId="16" applyFont="1" applyBorder="1" applyAlignment="1">
      <alignment horizontal="center" vertical="center" wrapText="1"/>
    </xf>
    <xf numFmtId="0" fontId="18" fillId="0" borderId="39" xfId="16" applyFont="1" applyBorder="1" applyAlignment="1">
      <alignment horizontal="center" vertical="center"/>
    </xf>
    <xf numFmtId="0" fontId="18" fillId="0" borderId="40" xfId="16" applyFont="1" applyBorder="1" applyAlignment="1">
      <alignment horizontal="center" vertical="center"/>
    </xf>
    <xf numFmtId="0" fontId="18" fillId="0" borderId="41" xfId="15" applyFont="1" applyBorder="1" applyAlignment="1"/>
    <xf numFmtId="0" fontId="18" fillId="0" borderId="39" xfId="15" applyFont="1" applyBorder="1" applyAlignment="1"/>
    <xf numFmtId="0" fontId="18" fillId="0" borderId="30" xfId="15" applyFont="1" applyBorder="1" applyAlignment="1">
      <alignment horizontal="center"/>
    </xf>
    <xf numFmtId="1" fontId="18" fillId="3" borderId="14" xfId="16" applyNumberFormat="1" applyFont="1" applyFill="1" applyBorder="1" applyAlignment="1">
      <alignment horizontal="center" vertical="center"/>
    </xf>
    <xf numFmtId="1" fontId="18" fillId="0" borderId="14" xfId="16" applyNumberFormat="1" applyFont="1" applyBorder="1" applyAlignment="1">
      <alignment horizontal="center" vertical="center"/>
    </xf>
    <xf numFmtId="0" fontId="18" fillId="3" borderId="14" xfId="16" applyFont="1" applyFill="1" applyBorder="1" applyAlignment="1">
      <alignment horizontal="center" vertical="center"/>
    </xf>
    <xf numFmtId="181" fontId="18" fillId="0" borderId="14" xfId="16" applyNumberFormat="1" applyFont="1" applyBorder="1" applyAlignment="1">
      <alignment horizontal="center" vertical="center"/>
    </xf>
    <xf numFmtId="20" fontId="18" fillId="0" borderId="14" xfId="16" applyNumberFormat="1" applyFont="1" applyBorder="1" applyAlignment="1">
      <alignment horizontal="center" vertical="center"/>
    </xf>
    <xf numFmtId="182" fontId="18" fillId="0" borderId="14" xfId="16" applyNumberFormat="1" applyFont="1" applyBorder="1" applyAlignment="1">
      <alignment horizontal="center" vertical="center"/>
    </xf>
    <xf numFmtId="180" fontId="18" fillId="0" borderId="41" xfId="27" applyNumberFormat="1" applyFont="1" applyBorder="1" applyAlignment="1">
      <alignment horizontal="center" vertical="center"/>
    </xf>
    <xf numFmtId="181" fontId="7" fillId="6" borderId="1" xfId="11" applyNumberFormat="1" applyFont="1" applyFill="1" applyBorder="1" applyAlignment="1">
      <alignment horizontal="center" vertical="center"/>
    </xf>
    <xf numFmtId="181" fontId="7" fillId="6" borderId="11" xfId="11" applyNumberFormat="1" applyFont="1" applyFill="1" applyBorder="1" applyAlignment="1">
      <alignment horizontal="center" vertical="center"/>
    </xf>
    <xf numFmtId="0" fontId="18" fillId="0" borderId="43" xfId="16" applyFont="1" applyBorder="1" applyAlignment="1">
      <alignment horizontal="center"/>
    </xf>
    <xf numFmtId="0" fontId="18" fillId="11" borderId="44" xfId="16" applyFont="1" applyFill="1" applyBorder="1" applyAlignment="1">
      <alignment horizontal="center"/>
    </xf>
    <xf numFmtId="179" fontId="18" fillId="11" borderId="44" xfId="16" applyNumberFormat="1" applyFont="1" applyFill="1" applyBorder="1" applyAlignment="1">
      <alignment horizontal="center" vertical="center"/>
    </xf>
    <xf numFmtId="43" fontId="18" fillId="11" borderId="44" xfId="19" applyFont="1" applyFill="1" applyBorder="1" applyAlignment="1">
      <alignment horizontal="center" vertical="center"/>
    </xf>
    <xf numFmtId="0" fontId="18" fillId="11" borderId="44" xfId="16" applyFont="1" applyFill="1" applyBorder="1" applyAlignment="1">
      <alignment horizontal="center" vertical="center"/>
    </xf>
    <xf numFmtId="1" fontId="18" fillId="11" borderId="44" xfId="16" applyNumberFormat="1" applyFont="1" applyFill="1" applyBorder="1" applyAlignment="1">
      <alignment horizontal="center" vertical="center"/>
    </xf>
    <xf numFmtId="182" fontId="18" fillId="0" borderId="44" xfId="16" applyNumberFormat="1" applyFont="1" applyBorder="1" applyAlignment="1">
      <alignment horizontal="center" vertical="center"/>
    </xf>
    <xf numFmtId="183" fontId="18" fillId="0" borderId="44" xfId="16" applyNumberFormat="1" applyFont="1" applyBorder="1" applyAlignment="1">
      <alignment horizontal="center" vertical="center"/>
    </xf>
    <xf numFmtId="180" fontId="18" fillId="0" borderId="44" xfId="27" applyNumberFormat="1" applyFont="1" applyFill="1" applyBorder="1" applyAlignment="1">
      <alignment horizontal="center" vertical="center"/>
    </xf>
    <xf numFmtId="180" fontId="18" fillId="0" borderId="44" xfId="27" applyNumberFormat="1" applyFont="1" applyBorder="1" applyAlignment="1">
      <alignment horizontal="center" vertical="center"/>
    </xf>
    <xf numFmtId="181" fontId="18" fillId="0" borderId="44" xfId="16" applyNumberFormat="1" applyFont="1" applyBorder="1" applyAlignment="1">
      <alignment horizontal="center" vertical="center"/>
    </xf>
    <xf numFmtId="0" fontId="18" fillId="0" borderId="44" xfId="16" applyFont="1" applyBorder="1" applyAlignment="1">
      <alignment horizontal="center" vertical="center"/>
    </xf>
    <xf numFmtId="0" fontId="18" fillId="0" borderId="43" xfId="16" applyFont="1" applyBorder="1" applyAlignment="1">
      <alignment horizontal="center" vertical="center" wrapText="1"/>
    </xf>
    <xf numFmtId="179" fontId="18" fillId="0" borderId="44" xfId="16" applyNumberFormat="1" applyFont="1" applyBorder="1" applyAlignment="1">
      <alignment horizontal="center" vertical="center"/>
    </xf>
    <xf numFmtId="0" fontId="18" fillId="0" borderId="46" xfId="15" applyFont="1" applyBorder="1" applyAlignment="1">
      <alignment horizontal="center"/>
    </xf>
    <xf numFmtId="0" fontId="18" fillId="0" borderId="47" xfId="16" applyFont="1" applyBorder="1" applyAlignment="1">
      <alignment horizontal="center"/>
    </xf>
    <xf numFmtId="0" fontId="18" fillId="0" borderId="48" xfId="15" applyFont="1" applyBorder="1" applyAlignment="1"/>
    <xf numFmtId="0" fontId="18" fillId="0" borderId="49" xfId="15" applyFont="1" applyBorder="1" applyAlignment="1"/>
    <xf numFmtId="184" fontId="18" fillId="0" borderId="17" xfId="2" applyNumberFormat="1" applyFont="1" applyBorder="1" applyAlignment="1">
      <alignment horizontal="center" vertical="center"/>
    </xf>
    <xf numFmtId="43" fontId="18" fillId="0" borderId="17" xfId="19" applyFont="1" applyBorder="1" applyAlignment="1">
      <alignment horizontal="center" vertical="center"/>
    </xf>
    <xf numFmtId="0" fontId="18" fillId="0" borderId="17" xfId="16" applyFont="1" applyBorder="1" applyAlignment="1">
      <alignment horizontal="center" vertical="center"/>
    </xf>
    <xf numFmtId="1" fontId="18" fillId="3" borderId="21" xfId="16" applyNumberFormat="1" applyFont="1" applyFill="1" applyBorder="1" applyAlignment="1">
      <alignment horizontal="center" vertical="center"/>
    </xf>
    <xf numFmtId="1" fontId="18" fillId="0" borderId="21" xfId="16" applyNumberFormat="1" applyFont="1" applyBorder="1" applyAlignment="1">
      <alignment horizontal="center" vertical="center"/>
    </xf>
    <xf numFmtId="179" fontId="18" fillId="0" borderId="21" xfId="16" applyNumberFormat="1" applyFont="1" applyBorder="1" applyAlignment="1">
      <alignment horizontal="center" vertical="center"/>
    </xf>
    <xf numFmtId="1" fontId="18" fillId="3" borderId="17" xfId="16" applyNumberFormat="1" applyFont="1" applyFill="1" applyBorder="1" applyAlignment="1">
      <alignment horizontal="center" vertical="center"/>
    </xf>
    <xf numFmtId="1" fontId="18" fillId="0" borderId="17" xfId="16" applyNumberFormat="1" applyFont="1" applyBorder="1" applyAlignment="1">
      <alignment horizontal="center" vertical="center"/>
    </xf>
    <xf numFmtId="179" fontId="18" fillId="0" borderId="17" xfId="16" applyNumberFormat="1" applyFont="1" applyBorder="1" applyAlignment="1">
      <alignment horizontal="center" vertical="center"/>
    </xf>
    <xf numFmtId="182" fontId="18" fillId="0" borderId="17" xfId="16" applyNumberFormat="1" applyFont="1" applyBorder="1" applyAlignment="1">
      <alignment horizontal="center" vertical="center"/>
    </xf>
    <xf numFmtId="183" fontId="18" fillId="0" borderId="17" xfId="16" applyNumberFormat="1" applyFont="1" applyBorder="1" applyAlignment="1">
      <alignment horizontal="center" vertical="center"/>
    </xf>
    <xf numFmtId="180" fontId="18" fillId="0" borderId="17" xfId="27" applyNumberFormat="1" applyFont="1" applyBorder="1" applyAlignment="1">
      <alignment horizontal="center" vertical="center"/>
    </xf>
    <xf numFmtId="20" fontId="18" fillId="0" borderId="17" xfId="16" applyNumberFormat="1" applyFont="1" applyBorder="1" applyAlignment="1">
      <alignment horizontal="center" vertical="center"/>
    </xf>
    <xf numFmtId="0" fontId="18" fillId="0" borderId="17" xfId="16" applyFont="1" applyBorder="1" applyAlignment="1">
      <alignment horizontal="center" vertical="center" wrapText="1"/>
    </xf>
    <xf numFmtId="184" fontId="18" fillId="0" borderId="1" xfId="2" applyNumberFormat="1" applyFont="1" applyBorder="1" applyAlignment="1">
      <alignment horizontal="center" vertical="center"/>
    </xf>
    <xf numFmtId="1" fontId="18" fillId="3" borderId="1" xfId="16" applyNumberFormat="1" applyFont="1" applyFill="1" applyBorder="1" applyAlignment="1">
      <alignment horizontal="center" vertical="center"/>
    </xf>
    <xf numFmtId="0" fontId="18" fillId="0" borderId="1" xfId="16" applyFont="1" applyBorder="1" applyAlignment="1">
      <alignment horizontal="center" vertical="center" wrapText="1"/>
    </xf>
    <xf numFmtId="181" fontId="18" fillId="0" borderId="1" xfId="16" applyNumberFormat="1" applyFont="1" applyBorder="1" applyAlignment="1">
      <alignment horizontal="center" vertical="center"/>
    </xf>
    <xf numFmtId="0" fontId="18" fillId="0" borderId="27" xfId="16" applyFont="1" applyBorder="1" applyAlignment="1">
      <alignment horizontal="center" vertical="center"/>
    </xf>
    <xf numFmtId="0" fontId="18" fillId="0" borderId="50" xfId="16" applyFont="1" applyBorder="1" applyAlignment="1">
      <alignment horizontal="center"/>
    </xf>
    <xf numFmtId="0" fontId="16" fillId="0" borderId="50" xfId="2" applyFont="1" applyBorder="1" applyAlignment="1">
      <alignment horizontal="center" vertical="center"/>
    </xf>
    <xf numFmtId="0" fontId="18" fillId="11" borderId="50" xfId="16" applyFont="1" applyFill="1" applyBorder="1" applyAlignment="1">
      <alignment horizontal="center"/>
    </xf>
    <xf numFmtId="1" fontId="18" fillId="11" borderId="50" xfId="16" applyNumberFormat="1" applyFont="1" applyFill="1" applyBorder="1" applyAlignment="1">
      <alignment horizontal="center" vertical="center"/>
    </xf>
    <xf numFmtId="43" fontId="18" fillId="11" borderId="50" xfId="19" applyFont="1" applyFill="1" applyBorder="1" applyAlignment="1">
      <alignment horizontal="center" vertical="center"/>
    </xf>
    <xf numFmtId="0" fontId="18" fillId="11" borderId="50" xfId="16" applyFont="1" applyFill="1" applyBorder="1" applyAlignment="1">
      <alignment horizontal="center" vertical="center"/>
    </xf>
    <xf numFmtId="179" fontId="18" fillId="11" borderId="50" xfId="16" applyNumberFormat="1" applyFont="1" applyFill="1" applyBorder="1" applyAlignment="1">
      <alignment horizontal="center" vertical="center"/>
    </xf>
    <xf numFmtId="182" fontId="18" fillId="0" borderId="50" xfId="16" applyNumberFormat="1" applyFont="1" applyBorder="1" applyAlignment="1">
      <alignment horizontal="center" vertical="center"/>
    </xf>
    <xf numFmtId="183" fontId="18" fillId="0" borderId="50" xfId="16" applyNumberFormat="1" applyFont="1" applyBorder="1" applyAlignment="1">
      <alignment horizontal="center" vertical="center"/>
    </xf>
    <xf numFmtId="180" fontId="18" fillId="0" borderId="50" xfId="27" applyNumberFormat="1" applyFont="1" applyFill="1" applyBorder="1" applyAlignment="1">
      <alignment horizontal="center" vertical="center"/>
    </xf>
    <xf numFmtId="180" fontId="18" fillId="0" borderId="50" xfId="27" applyNumberFormat="1" applyFont="1" applyBorder="1" applyAlignment="1">
      <alignment horizontal="center" vertical="center"/>
    </xf>
    <xf numFmtId="181" fontId="18" fillId="0" borderId="50" xfId="16" applyNumberFormat="1" applyFont="1" applyBorder="1" applyAlignment="1">
      <alignment horizontal="center" vertical="center"/>
    </xf>
    <xf numFmtId="0" fontId="18" fillId="0" borderId="50" xfId="16" applyFont="1" applyBorder="1" applyAlignment="1">
      <alignment horizontal="center" vertical="center"/>
    </xf>
    <xf numFmtId="1" fontId="18" fillId="0" borderId="50" xfId="16" applyNumberFormat="1" applyFont="1" applyBorder="1" applyAlignment="1">
      <alignment horizontal="center" vertical="center"/>
    </xf>
    <xf numFmtId="179" fontId="18" fillId="0" borderId="50" xfId="16" applyNumberFormat="1" applyFont="1" applyBorder="1" applyAlignment="1">
      <alignment horizontal="center" vertical="center"/>
    </xf>
    <xf numFmtId="0" fontId="18" fillId="0" borderId="52" xfId="15" applyFont="1" applyBorder="1" applyAlignment="1">
      <alignment horizontal="center"/>
    </xf>
    <xf numFmtId="0" fontId="18" fillId="0" borderId="53" xfId="15" applyFont="1" applyBorder="1" applyAlignment="1"/>
    <xf numFmtId="184" fontId="18" fillId="0" borderId="17" xfId="16" applyNumberFormat="1" applyFont="1" applyBorder="1" applyAlignment="1">
      <alignment horizontal="center" vertical="center"/>
    </xf>
    <xf numFmtId="0" fontId="18" fillId="3" borderId="17" xfId="16" applyFont="1" applyFill="1" applyBorder="1" applyAlignment="1">
      <alignment horizontal="center" vertical="center"/>
    </xf>
    <xf numFmtId="20" fontId="18" fillId="0" borderId="17" xfId="2" applyNumberFormat="1" applyFont="1" applyBorder="1" applyAlignment="1">
      <alignment horizontal="center" vertical="center"/>
    </xf>
    <xf numFmtId="180" fontId="18" fillId="0" borderId="55" xfId="27" applyNumberFormat="1" applyFont="1" applyBorder="1" applyAlignment="1">
      <alignment horizontal="center" vertical="center"/>
    </xf>
    <xf numFmtId="0" fontId="18" fillId="0" borderId="41" xfId="16" applyFont="1" applyBorder="1" applyAlignment="1">
      <alignment horizontal="center"/>
    </xf>
    <xf numFmtId="20" fontId="18" fillId="0" borderId="1" xfId="15" applyNumberFormat="1" applyFont="1" applyBorder="1" applyAlignment="1">
      <alignment horizontal="center" vertical="center"/>
    </xf>
    <xf numFmtId="0" fontId="18" fillId="0" borderId="58" xfId="15" applyFont="1" applyBorder="1" applyAlignment="1"/>
    <xf numFmtId="0" fontId="18" fillId="0" borderId="3" xfId="15" applyFont="1" applyBorder="1" applyAlignment="1"/>
    <xf numFmtId="0" fontId="18" fillId="0" borderId="58" xfId="16" applyFont="1" applyBorder="1" applyAlignment="1">
      <alignment horizontal="center" vertical="center"/>
    </xf>
    <xf numFmtId="0" fontId="18" fillId="0" borderId="60" xfId="15" applyFont="1" applyBorder="1" applyAlignment="1"/>
    <xf numFmtId="0" fontId="18" fillId="0" borderId="61" xfId="16" applyFont="1" applyBorder="1" applyAlignment="1">
      <alignment horizontal="center" vertical="center"/>
    </xf>
    <xf numFmtId="182" fontId="18" fillId="0" borderId="9" xfId="16" applyNumberFormat="1" applyFont="1" applyBorder="1" applyAlignment="1">
      <alignment horizontal="center" vertical="center"/>
    </xf>
    <xf numFmtId="183" fontId="18" fillId="0" borderId="9" xfId="16" applyNumberFormat="1" applyFont="1" applyBorder="1" applyAlignment="1">
      <alignment horizontal="center" vertical="center"/>
    </xf>
    <xf numFmtId="0" fontId="18" fillId="0" borderId="9" xfId="16" applyFont="1" applyBorder="1" applyAlignment="1">
      <alignment horizontal="center" vertical="center"/>
    </xf>
    <xf numFmtId="20" fontId="18" fillId="0" borderId="9" xfId="16" applyNumberFormat="1" applyFont="1" applyBorder="1" applyAlignment="1">
      <alignment horizontal="center" vertical="center"/>
    </xf>
    <xf numFmtId="0" fontId="18" fillId="0" borderId="55" xfId="15" applyFont="1" applyBorder="1" applyAlignment="1"/>
    <xf numFmtId="0" fontId="18" fillId="0" borderId="22" xfId="15" applyFont="1" applyBorder="1" applyAlignment="1"/>
    <xf numFmtId="184" fontId="7" fillId="0" borderId="17" xfId="2" applyNumberFormat="1" applyFont="1" applyBorder="1" applyAlignment="1">
      <alignment horizontal="center" vertical="center"/>
    </xf>
    <xf numFmtId="1" fontId="18" fillId="3" borderId="64" xfId="16" applyNumberFormat="1" applyFont="1" applyFill="1" applyBorder="1" applyAlignment="1">
      <alignment horizontal="center" vertical="center"/>
    </xf>
    <xf numFmtId="1" fontId="18" fillId="0" borderId="54" xfId="16" applyNumberFormat="1" applyFont="1" applyBorder="1" applyAlignment="1">
      <alignment horizontal="center" vertical="center"/>
    </xf>
    <xf numFmtId="179" fontId="18" fillId="0" borderId="65" xfId="16" applyNumberFormat="1" applyFont="1" applyBorder="1" applyAlignment="1">
      <alignment horizontal="center" vertical="center"/>
    </xf>
    <xf numFmtId="0" fontId="18" fillId="3" borderId="66" xfId="16" applyFont="1" applyFill="1" applyBorder="1" applyAlignment="1">
      <alignment horizontal="center" vertical="center"/>
    </xf>
    <xf numFmtId="20" fontId="7" fillId="0" borderId="17" xfId="11" applyNumberFormat="1" applyFont="1" applyBorder="1" applyAlignment="1">
      <alignment horizontal="center" vertical="center"/>
    </xf>
    <xf numFmtId="0" fontId="7" fillId="0" borderId="17" xfId="11" applyFont="1" applyBorder="1" applyAlignment="1">
      <alignment horizontal="center" vertical="center"/>
    </xf>
    <xf numFmtId="0" fontId="7" fillId="0" borderId="17" xfId="16" applyFont="1" applyBorder="1" applyAlignment="1">
      <alignment horizontal="center" vertical="center" wrapText="1"/>
    </xf>
    <xf numFmtId="179" fontId="7" fillId="0" borderId="17" xfId="11" applyNumberFormat="1" applyFont="1" applyBorder="1" applyAlignment="1">
      <alignment horizontal="center" vertical="center"/>
    </xf>
    <xf numFmtId="180" fontId="7" fillId="0" borderId="17" xfId="26" applyNumberFormat="1" applyFont="1" applyBorder="1" applyAlignment="1">
      <alignment horizontal="center" vertical="center"/>
    </xf>
    <xf numFmtId="0" fontId="7" fillId="0" borderId="0" xfId="11" applyFont="1">
      <alignment vertical="center"/>
    </xf>
    <xf numFmtId="0" fontId="18" fillId="0" borderId="2" xfId="16" applyFont="1" applyBorder="1" applyAlignment="1">
      <alignment horizontal="center"/>
    </xf>
    <xf numFmtId="0" fontId="18" fillId="0" borderId="2" xfId="15" applyFont="1" applyBorder="1" applyAlignment="1"/>
    <xf numFmtId="184" fontId="7" fillId="0" borderId="1" xfId="2" applyNumberFormat="1" applyFont="1" applyBorder="1" applyAlignment="1">
      <alignment horizontal="center" vertical="center"/>
    </xf>
    <xf numFmtId="0" fontId="7" fillId="0" borderId="1" xfId="11" applyFont="1" applyBorder="1" applyAlignment="1">
      <alignment horizontal="center" vertical="center"/>
    </xf>
    <xf numFmtId="1" fontId="7" fillId="3" borderId="1" xfId="11" applyNumberFormat="1" applyFont="1" applyFill="1" applyBorder="1" applyAlignment="1">
      <alignment horizontal="center" vertical="center"/>
    </xf>
    <xf numFmtId="1" fontId="7" fillId="0" borderId="1" xfId="11" applyNumberFormat="1" applyFont="1" applyBorder="1" applyAlignment="1">
      <alignment horizontal="center" vertical="center"/>
    </xf>
    <xf numFmtId="179" fontId="7" fillId="0" borderId="1" xfId="11" applyNumberFormat="1" applyFont="1" applyBorder="1" applyAlignment="1">
      <alignment horizontal="center" vertical="center"/>
    </xf>
    <xf numFmtId="180" fontId="18" fillId="0" borderId="30" xfId="27" applyNumberFormat="1" applyFont="1" applyBorder="1" applyAlignment="1">
      <alignment horizontal="center" vertical="center"/>
    </xf>
    <xf numFmtId="0" fontId="7" fillId="0" borderId="1" xfId="16" applyFont="1" applyBorder="1" applyAlignment="1">
      <alignment horizontal="center" vertical="center" wrapText="1"/>
    </xf>
    <xf numFmtId="180" fontId="7" fillId="0" borderId="1" xfId="26" applyNumberFormat="1" applyFont="1" applyBorder="1" applyAlignment="1">
      <alignment horizontal="center" vertical="center"/>
    </xf>
    <xf numFmtId="0" fontId="18" fillId="0" borderId="72" xfId="15" applyFont="1" applyBorder="1" applyAlignment="1">
      <alignment horizontal="center"/>
    </xf>
    <xf numFmtId="20" fontId="7" fillId="0" borderId="1" xfId="5" applyNumberFormat="1" applyFont="1" applyBorder="1" applyAlignment="1">
      <alignment horizontal="center" vertical="center"/>
    </xf>
    <xf numFmtId="20" fontId="7" fillId="0" borderId="2" xfId="5" applyNumberFormat="1" applyFont="1" applyBorder="1" applyAlignment="1">
      <alignment horizontal="center" vertical="center"/>
    </xf>
    <xf numFmtId="20" fontId="7" fillId="0" borderId="1" xfId="11" applyNumberFormat="1" applyFont="1" applyBorder="1" applyAlignment="1">
      <alignment horizontal="center" vertical="center"/>
    </xf>
    <xf numFmtId="179" fontId="7" fillId="0" borderId="7" xfId="11" applyNumberFormat="1" applyFont="1" applyBorder="1" applyAlignment="1">
      <alignment horizontal="center" vertical="center"/>
    </xf>
    <xf numFmtId="179" fontId="7" fillId="0" borderId="2" xfId="11" applyNumberFormat="1" applyFont="1" applyBorder="1" applyAlignment="1">
      <alignment horizontal="center" vertical="center"/>
    </xf>
    <xf numFmtId="182" fontId="7" fillId="0" borderId="4" xfId="11" applyNumberFormat="1" applyFont="1" applyBorder="1" applyAlignment="1">
      <alignment horizontal="center" vertical="center"/>
    </xf>
    <xf numFmtId="0" fontId="18" fillId="0" borderId="74" xfId="16" applyFont="1" applyBorder="1" applyAlignment="1">
      <alignment horizontal="center" vertical="center"/>
    </xf>
    <xf numFmtId="43" fontId="7" fillId="0" borderId="1" xfId="19" applyFont="1" applyBorder="1" applyAlignment="1">
      <alignment horizontal="center" vertical="center"/>
    </xf>
    <xf numFmtId="181" fontId="7" fillId="0" borderId="11" xfId="11" applyNumberFormat="1" applyFont="1" applyBorder="1" applyAlignment="1">
      <alignment horizontal="center" vertical="center"/>
    </xf>
    <xf numFmtId="0" fontId="18" fillId="0" borderId="62" xfId="16" applyFont="1" applyBorder="1" applyAlignment="1">
      <alignment horizontal="center" vertical="center"/>
    </xf>
    <xf numFmtId="181" fontId="7" fillId="0" borderId="1" xfId="11" applyNumberFormat="1" applyFont="1" applyBorder="1" applyAlignment="1">
      <alignment horizontal="center" vertical="center"/>
    </xf>
    <xf numFmtId="0" fontId="18" fillId="0" borderId="76" xfId="16" applyFont="1" applyBorder="1" applyAlignment="1">
      <alignment horizontal="center"/>
    </xf>
    <xf numFmtId="184" fontId="18" fillId="11" borderId="50" xfId="16" applyNumberFormat="1" applyFont="1" applyFill="1" applyBorder="1" applyAlignment="1">
      <alignment horizontal="center" vertical="center"/>
    </xf>
    <xf numFmtId="182" fontId="18" fillId="0" borderId="77" xfId="16" applyNumberFormat="1" applyFont="1" applyBorder="1" applyAlignment="1">
      <alignment horizontal="center" vertical="center"/>
    </xf>
    <xf numFmtId="183" fontId="18" fillId="0" borderId="78" xfId="16" applyNumberFormat="1" applyFont="1" applyBorder="1" applyAlignment="1">
      <alignment horizontal="center" vertical="center"/>
    </xf>
    <xf numFmtId="180" fontId="18" fillId="0" borderId="78" xfId="27" applyNumberFormat="1" applyFont="1" applyFill="1" applyBorder="1" applyAlignment="1">
      <alignment horizontal="center" vertical="center"/>
    </xf>
    <xf numFmtId="181" fontId="18" fillId="0" borderId="78" xfId="16" applyNumberFormat="1" applyFont="1" applyBorder="1" applyAlignment="1">
      <alignment horizontal="center" vertical="center"/>
    </xf>
    <xf numFmtId="0" fontId="18" fillId="0" borderId="78" xfId="16" applyFont="1" applyBorder="1" applyAlignment="1">
      <alignment horizontal="center" vertical="center"/>
    </xf>
    <xf numFmtId="0" fontId="7" fillId="0" borderId="50" xfId="16" applyFont="1" applyBorder="1" applyAlignment="1">
      <alignment horizontal="center" vertical="center" wrapText="1"/>
    </xf>
    <xf numFmtId="20" fontId="18" fillId="0" borderId="78" xfId="16" applyNumberFormat="1" applyFont="1" applyBorder="1" applyAlignment="1">
      <alignment horizontal="center" vertical="center"/>
    </xf>
    <xf numFmtId="1" fontId="7" fillId="0" borderId="17" xfId="11" applyNumberFormat="1" applyFont="1" applyBorder="1" applyAlignment="1">
      <alignment horizontal="center" vertical="center"/>
    </xf>
    <xf numFmtId="182" fontId="18" fillId="0" borderId="49" xfId="16" applyNumberFormat="1" applyFont="1" applyBorder="1" applyAlignment="1">
      <alignment horizontal="center" vertical="center"/>
    </xf>
    <xf numFmtId="183" fontId="18" fillId="0" borderId="21" xfId="16" applyNumberFormat="1" applyFont="1" applyBorder="1" applyAlignment="1">
      <alignment horizontal="center" vertical="center"/>
    </xf>
    <xf numFmtId="43" fontId="18" fillId="0" borderId="34" xfId="19" applyFont="1" applyBorder="1" applyAlignment="1">
      <alignment horizontal="center" vertical="center"/>
    </xf>
    <xf numFmtId="0" fontId="18" fillId="0" borderId="34" xfId="16" applyFont="1" applyBorder="1" applyAlignment="1">
      <alignment horizontal="center" vertical="center"/>
    </xf>
    <xf numFmtId="0" fontId="18" fillId="3" borderId="60" xfId="16" applyFont="1" applyFill="1" applyBorder="1" applyAlignment="1">
      <alignment horizontal="center" vertical="center"/>
    </xf>
    <xf numFmtId="1" fontId="18" fillId="0" borderId="34" xfId="16" applyNumberFormat="1" applyFont="1" applyBorder="1" applyAlignment="1">
      <alignment horizontal="center" vertical="center"/>
    </xf>
    <xf numFmtId="179" fontId="18" fillId="0" borderId="34" xfId="16" applyNumberFormat="1" applyFont="1" applyBorder="1" applyAlignment="1">
      <alignment horizontal="center" vertical="center"/>
    </xf>
    <xf numFmtId="0" fontId="18" fillId="6" borderId="13" xfId="16" applyFont="1" applyFill="1" applyBorder="1" applyAlignment="1">
      <alignment horizontal="center" vertical="center" wrapText="1"/>
    </xf>
    <xf numFmtId="0" fontId="18" fillId="6" borderId="13" xfId="16" applyFont="1" applyFill="1" applyBorder="1" applyAlignment="1">
      <alignment horizontal="center" vertical="center"/>
    </xf>
    <xf numFmtId="179" fontId="18" fillId="0" borderId="14" xfId="16" applyNumberFormat="1" applyFont="1" applyBorder="1" applyAlignment="1">
      <alignment horizontal="center" vertical="center"/>
    </xf>
    <xf numFmtId="0" fontId="18" fillId="0" borderId="44" xfId="16" applyFont="1" applyBorder="1" applyAlignment="1">
      <alignment horizontal="center"/>
    </xf>
    <xf numFmtId="1" fontId="18" fillId="11" borderId="78" xfId="16" applyNumberFormat="1" applyFont="1" applyFill="1" applyBorder="1" applyAlignment="1">
      <alignment horizontal="center" vertical="center"/>
    </xf>
    <xf numFmtId="181" fontId="7" fillId="0" borderId="83" xfId="11" applyNumberFormat="1" applyFont="1" applyBorder="1" applyAlignment="1">
      <alignment horizontal="center" vertical="center"/>
    </xf>
    <xf numFmtId="1" fontId="18" fillId="0" borderId="44" xfId="16" applyNumberFormat="1" applyFont="1" applyBorder="1" applyAlignment="1">
      <alignment horizontal="center" vertical="center"/>
    </xf>
    <xf numFmtId="43" fontId="18" fillId="0" borderId="21" xfId="19" applyFont="1" applyBorder="1" applyAlignment="1">
      <alignment horizontal="center" vertical="center"/>
    </xf>
    <xf numFmtId="0" fontId="18" fillId="3" borderId="21" xfId="16" applyFont="1" applyFill="1" applyBorder="1" applyAlignment="1">
      <alignment horizontal="center" vertical="center"/>
    </xf>
    <xf numFmtId="20" fontId="18" fillId="0" borderId="21" xfId="16" applyNumberFormat="1" applyFont="1" applyBorder="1" applyAlignment="1">
      <alignment horizontal="center" vertical="center"/>
    </xf>
    <xf numFmtId="180" fontId="18" fillId="0" borderId="54" xfId="27" applyNumberFormat="1" applyFont="1" applyBorder="1" applyAlignment="1">
      <alignment horizontal="center" vertical="center"/>
    </xf>
    <xf numFmtId="180" fontId="18" fillId="0" borderId="34" xfId="27" applyNumberFormat="1" applyFont="1" applyBorder="1" applyAlignment="1">
      <alignment horizontal="center" vertical="center"/>
    </xf>
    <xf numFmtId="0" fontId="18" fillId="0" borderId="34" xfId="16" applyFont="1" applyBorder="1" applyAlignment="1">
      <alignment horizontal="center" vertical="center" wrapText="1"/>
    </xf>
    <xf numFmtId="180" fontId="18" fillId="0" borderId="12" xfId="27" applyNumberFormat="1" applyFont="1" applyBorder="1" applyAlignment="1">
      <alignment horizontal="center" vertical="center"/>
    </xf>
    <xf numFmtId="0" fontId="18" fillId="0" borderId="9" xfId="15" applyFont="1" applyBorder="1" applyAlignment="1">
      <alignment horizontal="center"/>
    </xf>
    <xf numFmtId="0" fontId="18" fillId="0" borderId="40" xfId="16" applyFont="1" applyBorder="1" applyAlignment="1">
      <alignment horizontal="center"/>
    </xf>
    <xf numFmtId="0" fontId="18" fillId="0" borderId="37" xfId="15" applyFont="1" applyBorder="1" applyAlignment="1"/>
    <xf numFmtId="0" fontId="18" fillId="0" borderId="40" xfId="15" applyFont="1" applyBorder="1" applyAlignment="1"/>
    <xf numFmtId="43" fontId="18" fillId="0" borderId="14" xfId="19" applyFont="1" applyBorder="1" applyAlignment="1">
      <alignment horizontal="center" vertical="center"/>
    </xf>
    <xf numFmtId="183" fontId="18" fillId="0" borderId="14" xfId="16" applyNumberFormat="1" applyFont="1" applyBorder="1" applyAlignment="1">
      <alignment horizontal="center" vertical="center"/>
    </xf>
    <xf numFmtId="0" fontId="18" fillId="0" borderId="87" xfId="16" applyFont="1" applyBorder="1" applyAlignment="1">
      <alignment horizontal="center" vertical="center" wrapText="1"/>
    </xf>
    <xf numFmtId="0" fontId="18" fillId="0" borderId="88" xfId="15" applyFont="1" applyBorder="1" applyAlignment="1"/>
    <xf numFmtId="0" fontId="18" fillId="0" borderId="89" xfId="15" applyFont="1" applyBorder="1" applyAlignment="1">
      <alignment horizontal="center"/>
    </xf>
    <xf numFmtId="0" fontId="18" fillId="0" borderId="73" xfId="15" applyFont="1" applyBorder="1" applyAlignment="1"/>
    <xf numFmtId="0" fontId="18" fillId="0" borderId="31" xfId="16" applyFont="1" applyBorder="1" applyAlignment="1">
      <alignment horizontal="center" vertical="center"/>
    </xf>
    <xf numFmtId="20" fontId="18" fillId="0" borderId="13" xfId="15" applyNumberFormat="1" applyFont="1" applyBorder="1" applyAlignment="1">
      <alignment horizontal="center" vertical="center"/>
    </xf>
    <xf numFmtId="180" fontId="18" fillId="0" borderId="27" xfId="27" applyNumberFormat="1" applyFont="1" applyBorder="1" applyAlignment="1">
      <alignment horizontal="center" vertical="center"/>
    </xf>
    <xf numFmtId="181" fontId="18" fillId="0" borderId="13" xfId="16" applyNumberFormat="1" applyFont="1" applyBorder="1" applyAlignment="1">
      <alignment horizontal="center" vertical="center"/>
    </xf>
    <xf numFmtId="0" fontId="18" fillId="0" borderId="3" xfId="16" applyFont="1" applyBorder="1" applyAlignment="1">
      <alignment horizontal="center" vertical="center"/>
    </xf>
    <xf numFmtId="1" fontId="18" fillId="0" borderId="90" xfId="16" applyNumberFormat="1" applyFont="1" applyBorder="1" applyAlignment="1">
      <alignment horizontal="center" vertical="center"/>
    </xf>
    <xf numFmtId="179" fontId="18" fillId="0" borderId="91" xfId="16" applyNumberFormat="1" applyFont="1" applyBorder="1" applyAlignment="1">
      <alignment horizontal="center" vertical="center"/>
    </xf>
    <xf numFmtId="0" fontId="18" fillId="11" borderId="78" xfId="16" applyFont="1" applyFill="1" applyBorder="1" applyAlignment="1">
      <alignment horizontal="center" vertical="center"/>
    </xf>
    <xf numFmtId="179" fontId="18" fillId="11" borderId="78" xfId="16" applyNumberFormat="1" applyFont="1" applyFill="1" applyBorder="1" applyAlignment="1">
      <alignment horizontal="center" vertical="center"/>
    </xf>
    <xf numFmtId="182" fontId="18" fillId="0" borderId="78" xfId="16" applyNumberFormat="1" applyFont="1" applyBorder="1" applyAlignment="1">
      <alignment horizontal="center" vertical="center"/>
    </xf>
    <xf numFmtId="20" fontId="18" fillId="0" borderId="54" xfId="16" applyNumberFormat="1" applyFont="1" applyBorder="1" applyAlignment="1">
      <alignment horizontal="center" vertical="center"/>
    </xf>
    <xf numFmtId="20" fontId="18" fillId="0" borderId="85" xfId="16" applyNumberFormat="1" applyFont="1" applyBorder="1" applyAlignment="1">
      <alignment horizontal="center" vertical="center"/>
    </xf>
    <xf numFmtId="20" fontId="18" fillId="0" borderId="34" xfId="16" applyNumberFormat="1" applyFont="1" applyBorder="1" applyAlignment="1">
      <alignment horizontal="center" vertical="center"/>
    </xf>
    <xf numFmtId="184" fontId="18" fillId="0" borderId="9" xfId="16" applyNumberFormat="1" applyFont="1" applyBorder="1" applyAlignment="1">
      <alignment horizontal="center" vertical="center"/>
    </xf>
    <xf numFmtId="1" fontId="18" fillId="3" borderId="27" xfId="16" applyNumberFormat="1" applyFont="1" applyFill="1" applyBorder="1" applyAlignment="1">
      <alignment horizontal="center" vertical="center"/>
    </xf>
    <xf numFmtId="1" fontId="18" fillId="3" borderId="9" xfId="16" applyNumberFormat="1" applyFont="1" applyFill="1" applyBorder="1" applyAlignment="1">
      <alignment horizontal="center" vertical="center"/>
    </xf>
    <xf numFmtId="1" fontId="18" fillId="0" borderId="9" xfId="16" applyNumberFormat="1" applyFont="1" applyBorder="1" applyAlignment="1">
      <alignment horizontal="center" vertical="center"/>
    </xf>
    <xf numFmtId="179" fontId="18" fillId="0" borderId="9" xfId="16" applyNumberFormat="1" applyFont="1" applyBorder="1" applyAlignment="1">
      <alignment horizontal="center" vertical="center"/>
    </xf>
    <xf numFmtId="180" fontId="18" fillId="0" borderId="39" xfId="27" applyNumberFormat="1" applyFont="1" applyBorder="1" applyAlignment="1">
      <alignment horizontal="center" vertical="center"/>
    </xf>
    <xf numFmtId="20" fontId="18" fillId="0" borderId="87" xfId="16" applyNumberFormat="1" applyFont="1" applyBorder="1" applyAlignment="1">
      <alignment horizontal="center" vertical="center"/>
    </xf>
    <xf numFmtId="180" fontId="18" fillId="0" borderId="94" xfId="27" applyNumberFormat="1" applyFont="1" applyBorder="1" applyAlignment="1">
      <alignment horizontal="center" vertical="center"/>
    </xf>
    <xf numFmtId="20" fontId="18" fillId="0" borderId="14" xfId="15" applyNumberFormat="1" applyFont="1" applyBorder="1" applyAlignment="1">
      <alignment horizontal="center" vertical="center"/>
    </xf>
    <xf numFmtId="43" fontId="18" fillId="11" borderId="78" xfId="19" applyFont="1" applyFill="1" applyBorder="1" applyAlignment="1">
      <alignment horizontal="center" vertical="center"/>
    </xf>
    <xf numFmtId="0" fontId="18" fillId="0" borderId="0" xfId="16" applyFont="1" applyAlignment="1">
      <alignment vertical="center" wrapText="1"/>
    </xf>
    <xf numFmtId="0" fontId="18" fillId="0" borderId="1" xfId="16" applyFont="1" applyBorder="1">
      <alignment vertical="center"/>
    </xf>
    <xf numFmtId="0" fontId="18" fillId="0" borderId="0" xfId="15" applyFont="1" applyAlignment="1">
      <alignment horizontal="center"/>
    </xf>
    <xf numFmtId="0" fontId="18" fillId="0" borderId="0" xfId="2" applyFont="1" applyAlignment="1">
      <alignment horizontal="center" vertical="center"/>
    </xf>
    <xf numFmtId="0" fontId="7" fillId="0" borderId="0" xfId="11" applyFont="1" applyAlignment="1">
      <alignment horizontal="center"/>
    </xf>
    <xf numFmtId="20" fontId="18" fillId="0" borderId="58" xfId="16" applyNumberFormat="1" applyFont="1" applyBorder="1" applyAlignment="1">
      <alignment horizontal="center" vertical="center"/>
    </xf>
    <xf numFmtId="20" fontId="18" fillId="0" borderId="41" xfId="16" applyNumberFormat="1" applyFont="1" applyBorder="1" applyAlignment="1">
      <alignment horizontal="center" vertical="center"/>
    </xf>
    <xf numFmtId="0" fontId="18" fillId="0" borderId="48" xfId="16" applyFont="1" applyBorder="1" applyAlignment="1">
      <alignment horizontal="center" vertical="center"/>
    </xf>
    <xf numFmtId="20" fontId="18" fillId="0" borderId="27" xfId="15" applyNumberFormat="1" applyFont="1" applyBorder="1" applyAlignment="1">
      <alignment horizontal="center" vertical="center"/>
    </xf>
    <xf numFmtId="20" fontId="18" fillId="0" borderId="55" xfId="16" applyNumberFormat="1" applyFont="1" applyBorder="1" applyAlignment="1">
      <alignment horizontal="center" vertical="center"/>
    </xf>
    <xf numFmtId="20" fontId="18" fillId="0" borderId="70" xfId="16" applyNumberFormat="1" applyFont="1" applyBorder="1" applyAlignment="1">
      <alignment horizontal="center" vertical="center"/>
    </xf>
    <xf numFmtId="0" fontId="18" fillId="0" borderId="14" xfId="16" applyFont="1" applyBorder="1" applyAlignment="1">
      <alignment horizontal="center" vertical="center" wrapText="1"/>
    </xf>
    <xf numFmtId="179" fontId="18" fillId="0" borderId="76" xfId="16" applyNumberFormat="1" applyFont="1" applyBorder="1" applyAlignment="1">
      <alignment horizontal="center" vertical="center"/>
    </xf>
    <xf numFmtId="179" fontId="18" fillId="0" borderId="67" xfId="16" applyNumberFormat="1" applyFont="1" applyBorder="1" applyAlignment="1">
      <alignment horizontal="center" vertical="center"/>
    </xf>
    <xf numFmtId="20" fontId="18" fillId="0" borderId="2" xfId="16" applyNumberFormat="1" applyFont="1" applyBorder="1" applyAlignment="1">
      <alignment horizontal="center" vertical="center"/>
    </xf>
    <xf numFmtId="0" fontId="18" fillId="0" borderId="2" xfId="16" applyFont="1" applyBorder="1" applyAlignment="1">
      <alignment horizontal="center" vertical="center"/>
    </xf>
    <xf numFmtId="179" fontId="18" fillId="0" borderId="99" xfId="16" applyNumberFormat="1" applyFont="1" applyBorder="1" applyAlignment="1">
      <alignment horizontal="center" vertical="center"/>
    </xf>
    <xf numFmtId="0" fontId="18" fillId="0" borderId="67" xfId="16" applyFont="1" applyBorder="1" applyAlignment="1">
      <alignment horizontal="center" vertical="center"/>
    </xf>
    <xf numFmtId="20" fontId="18" fillId="0" borderId="2" xfId="15" applyNumberFormat="1" applyFont="1" applyBorder="1" applyAlignment="1">
      <alignment horizontal="center" vertical="center"/>
    </xf>
    <xf numFmtId="179" fontId="7" fillId="0" borderId="100" xfId="11" applyNumberFormat="1" applyFont="1" applyBorder="1" applyAlignment="1">
      <alignment horizontal="center" vertical="center"/>
    </xf>
    <xf numFmtId="20" fontId="18" fillId="0" borderId="101" xfId="16" applyNumberFormat="1" applyFont="1" applyBorder="1" applyAlignment="1">
      <alignment horizontal="center" vertical="center"/>
    </xf>
    <xf numFmtId="20" fontId="18" fillId="0" borderId="37" xfId="16" applyNumberFormat="1" applyFont="1" applyBorder="1" applyAlignment="1">
      <alignment horizontal="center" vertical="center"/>
    </xf>
    <xf numFmtId="179" fontId="18" fillId="0" borderId="58" xfId="16" applyNumberFormat="1" applyFont="1" applyBorder="1" applyAlignment="1">
      <alignment horizontal="center" vertical="center"/>
    </xf>
    <xf numFmtId="20" fontId="18" fillId="0" borderId="41" xfId="15" applyNumberFormat="1" applyFont="1" applyBorder="1" applyAlignment="1">
      <alignment horizontal="center" vertical="center"/>
    </xf>
    <xf numFmtId="182" fontId="18" fillId="0" borderId="30" xfId="16" applyNumberFormat="1" applyFont="1" applyBorder="1" applyAlignment="1">
      <alignment horizontal="center" vertical="center"/>
    </xf>
    <xf numFmtId="182" fontId="18" fillId="0" borderId="39" xfId="16" applyNumberFormat="1" applyFont="1" applyBorder="1" applyAlignment="1">
      <alignment horizontal="center" vertical="center"/>
    </xf>
    <xf numFmtId="182" fontId="18" fillId="0" borderId="43" xfId="16" applyNumberFormat="1" applyFont="1" applyBorder="1" applyAlignment="1">
      <alignment horizontal="center" vertical="center"/>
    </xf>
    <xf numFmtId="182" fontId="18" fillId="0" borderId="46" xfId="16" applyNumberFormat="1" applyFont="1" applyBorder="1" applyAlignment="1">
      <alignment horizontal="center" vertical="center"/>
    </xf>
    <xf numFmtId="182" fontId="18" fillId="0" borderId="3" xfId="16" applyNumberFormat="1" applyFont="1" applyBorder="1" applyAlignment="1">
      <alignment horizontal="center" vertical="center"/>
    </xf>
    <xf numFmtId="182" fontId="18" fillId="0" borderId="96" xfId="16" applyNumberFormat="1" applyFont="1" applyBorder="1" applyAlignment="1">
      <alignment horizontal="center" vertical="center"/>
    </xf>
    <xf numFmtId="182" fontId="7" fillId="0" borderId="102" xfId="11" applyNumberFormat="1" applyFont="1" applyBorder="1" applyAlignment="1">
      <alignment horizontal="center" vertical="center"/>
    </xf>
    <xf numFmtId="182" fontId="7" fillId="0" borderId="3" xfId="11" applyNumberFormat="1" applyFont="1" applyBorder="1" applyAlignment="1">
      <alignment horizontal="center" vertical="center"/>
    </xf>
    <xf numFmtId="182" fontId="18" fillId="0" borderId="103" xfId="16" applyNumberFormat="1" applyFont="1" applyBorder="1" applyAlignment="1">
      <alignment horizontal="center" vertical="center"/>
    </xf>
    <xf numFmtId="182" fontId="18" fillId="0" borderId="97" xfId="16" applyNumberFormat="1" applyFont="1" applyBorder="1" applyAlignment="1">
      <alignment horizontal="center" vertical="center"/>
    </xf>
    <xf numFmtId="182" fontId="18" fillId="0" borderId="60" xfId="16" applyNumberFormat="1" applyFont="1" applyBorder="1" applyAlignment="1">
      <alignment horizontal="center" vertical="center"/>
    </xf>
    <xf numFmtId="182" fontId="18" fillId="0" borderId="104" xfId="16" applyNumberFormat="1" applyFont="1" applyBorder="1" applyAlignment="1">
      <alignment horizontal="center" vertical="center"/>
    </xf>
    <xf numFmtId="20" fontId="7" fillId="6" borderId="105" xfId="11" applyNumberFormat="1" applyFont="1" applyFill="1" applyBorder="1" applyAlignment="1">
      <alignment horizontal="center" vertical="center"/>
    </xf>
    <xf numFmtId="20" fontId="7" fillId="6" borderId="98" xfId="11" applyNumberFormat="1" applyFont="1" applyFill="1" applyBorder="1" applyAlignment="1">
      <alignment horizontal="center" vertical="center"/>
    </xf>
    <xf numFmtId="20" fontId="18" fillId="0" borderId="50" xfId="16" applyNumberFormat="1" applyFont="1" applyBorder="1" applyAlignment="1">
      <alignment horizontal="center" vertical="center"/>
    </xf>
    <xf numFmtId="20" fontId="18" fillId="0" borderId="99" xfId="16" applyNumberFormat="1" applyFont="1" applyBorder="1" applyAlignment="1">
      <alignment horizontal="center" vertical="center"/>
    </xf>
    <xf numFmtId="0" fontId="18" fillId="8" borderId="50" xfId="16" applyFont="1" applyFill="1" applyBorder="1" applyAlignment="1">
      <alignment horizontal="center" vertical="center"/>
    </xf>
    <xf numFmtId="9" fontId="18" fillId="8" borderId="50" xfId="23" applyFont="1" applyFill="1" applyBorder="1" applyAlignment="1">
      <alignment horizontal="center" vertical="center"/>
    </xf>
    <xf numFmtId="0" fontId="21" fillId="0" borderId="72" xfId="16" applyFont="1" applyBorder="1" applyAlignment="1">
      <alignment horizontal="center" vertical="center" wrapText="1"/>
    </xf>
    <xf numFmtId="0" fontId="21" fillId="0" borderId="15" xfId="16" applyFont="1" applyBorder="1" applyAlignment="1">
      <alignment horizontal="center" vertical="center"/>
    </xf>
    <xf numFmtId="20" fontId="18" fillId="0" borderId="10" xfId="2" applyNumberFormat="1" applyFont="1" applyBorder="1" applyAlignment="1">
      <alignment horizontal="center" vertical="center"/>
    </xf>
    <xf numFmtId="20" fontId="7" fillId="0" borderId="10" xfId="11" applyNumberFormat="1" applyFont="1" applyBorder="1" applyAlignment="1">
      <alignment horizontal="center" vertical="center"/>
    </xf>
    <xf numFmtId="20" fontId="7" fillId="6" borderId="10" xfId="11" applyNumberFormat="1" applyFont="1" applyFill="1" applyBorder="1" applyAlignment="1">
      <alignment horizontal="center" vertical="center"/>
    </xf>
    <xf numFmtId="0" fontId="16" fillId="14" borderId="1" xfId="8" applyFont="1" applyFill="1" applyBorder="1" applyAlignment="1">
      <alignment horizontal="center" vertical="center"/>
    </xf>
    <xf numFmtId="20" fontId="18" fillId="14" borderId="1" xfId="2" applyNumberFormat="1" applyFont="1" applyFill="1" applyBorder="1" applyAlignment="1">
      <alignment horizontal="center" vertical="center"/>
    </xf>
    <xf numFmtId="20" fontId="18" fillId="14" borderId="1" xfId="16" applyNumberFormat="1" applyFont="1" applyFill="1" applyBorder="1" applyAlignment="1">
      <alignment horizontal="center" vertical="center"/>
    </xf>
    <xf numFmtId="20" fontId="7" fillId="14" borderId="1" xfId="11" applyNumberFormat="1" applyFont="1" applyFill="1" applyBorder="1" applyAlignment="1">
      <alignment horizontal="center" vertical="center"/>
    </xf>
    <xf numFmtId="184" fontId="18" fillId="8" borderId="50" xfId="16" applyNumberFormat="1" applyFont="1" applyFill="1" applyBorder="1" applyAlignment="1">
      <alignment horizontal="center" vertical="center"/>
    </xf>
    <xf numFmtId="184" fontId="18" fillId="0" borderId="1" xfId="15" applyNumberFormat="1" applyFont="1" applyBorder="1" applyAlignment="1">
      <alignment horizontal="center" vertical="center"/>
    </xf>
    <xf numFmtId="184" fontId="7" fillId="0" borderId="17" xfId="11" applyNumberFormat="1" applyFont="1" applyBorder="1" applyAlignment="1">
      <alignment horizontal="center" vertical="center"/>
    </xf>
    <xf numFmtId="184" fontId="7" fillId="0" borderId="1" xfId="5" applyNumberFormat="1" applyFont="1" applyBorder="1" applyAlignment="1">
      <alignment horizontal="center" vertical="center"/>
    </xf>
    <xf numFmtId="184" fontId="7" fillId="0" borderId="1" xfId="11" applyNumberFormat="1" applyFont="1" applyBorder="1" applyAlignment="1">
      <alignment horizontal="center" vertical="center"/>
    </xf>
    <xf numFmtId="184" fontId="22" fillId="0" borderId="14" xfId="16" applyNumberFormat="1" applyFont="1" applyBorder="1" applyAlignment="1">
      <alignment horizontal="center" vertical="center"/>
    </xf>
    <xf numFmtId="182" fontId="22" fillId="0" borderId="14" xfId="16" applyNumberFormat="1" applyFont="1" applyBorder="1" applyAlignment="1">
      <alignment horizontal="center" vertical="center"/>
    </xf>
    <xf numFmtId="0" fontId="7" fillId="0" borderId="14" xfId="16" applyFont="1" applyBorder="1" applyAlignment="1">
      <alignment horizontal="center" vertical="center"/>
    </xf>
    <xf numFmtId="0" fontId="7" fillId="8" borderId="14" xfId="16" applyFont="1" applyFill="1" applyBorder="1" applyAlignment="1">
      <alignment horizontal="center" vertical="center"/>
    </xf>
    <xf numFmtId="0" fontId="7" fillId="0" borderId="41" xfId="16" applyFont="1" applyBorder="1" applyAlignment="1">
      <alignment horizontal="center" vertical="center"/>
    </xf>
    <xf numFmtId="0" fontId="29" fillId="8" borderId="9" xfId="8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30" fillId="0" borderId="0" xfId="1" applyFont="1" applyAlignment="1">
      <alignment horizontal="center" vertical="center"/>
    </xf>
    <xf numFmtId="0" fontId="31" fillId="0" borderId="0" xfId="1" applyFont="1">
      <alignment vertical="center"/>
    </xf>
    <xf numFmtId="0" fontId="7" fillId="0" borderId="1" xfId="12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7" fillId="0" borderId="0" xfId="1" applyNumberFormat="1" applyFont="1">
      <alignment vertical="center"/>
    </xf>
    <xf numFmtId="0" fontId="7" fillId="0" borderId="0" xfId="1" quotePrefix="1" applyFont="1">
      <alignment vertical="center"/>
    </xf>
    <xf numFmtId="0" fontId="6" fillId="0" borderId="0" xfId="4" applyFont="1">
      <alignment vertical="center"/>
    </xf>
    <xf numFmtId="0" fontId="7" fillId="0" borderId="0" xfId="4" applyFont="1">
      <alignment vertical="center"/>
    </xf>
    <xf numFmtId="0" fontId="8" fillId="0" borderId="1" xfId="4" applyFont="1" applyBorder="1" applyAlignment="1">
      <alignment horizontal="center" vertical="center"/>
    </xf>
    <xf numFmtId="0" fontId="21" fillId="0" borderId="72" xfId="18" applyFont="1" applyBorder="1" applyAlignment="1">
      <alignment horizontal="center" vertical="center" wrapText="1"/>
    </xf>
    <xf numFmtId="0" fontId="21" fillId="0" borderId="15" xfId="18" applyFont="1" applyBorder="1" applyAlignment="1">
      <alignment horizontal="center" vertical="center"/>
    </xf>
    <xf numFmtId="0" fontId="8" fillId="0" borderId="0" xfId="4" applyFont="1">
      <alignment vertical="center"/>
    </xf>
    <xf numFmtId="0" fontId="14" fillId="0" borderId="0" xfId="4" applyFont="1">
      <alignment vertical="center"/>
    </xf>
    <xf numFmtId="0" fontId="15" fillId="0" borderId="0" xfId="4" applyFont="1">
      <alignment vertical="center"/>
    </xf>
    <xf numFmtId="0" fontId="13" fillId="0" borderId="0" xfId="10" applyFont="1">
      <alignment vertical="center"/>
    </xf>
    <xf numFmtId="0" fontId="7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179" fontId="17" fillId="0" borderId="1" xfId="4" applyNumberFormat="1" applyFont="1" applyBorder="1" applyAlignment="1">
      <alignment horizontal="center" vertical="center"/>
    </xf>
    <xf numFmtId="180" fontId="17" fillId="0" borderId="9" xfId="25" applyNumberFormat="1" applyFont="1" applyBorder="1" applyAlignment="1">
      <alignment horizontal="center" vertical="center"/>
    </xf>
    <xf numFmtId="180" fontId="17" fillId="0" borderId="9" xfId="25" applyNumberFormat="1" applyFont="1" applyFill="1" applyBorder="1" applyAlignment="1">
      <alignment horizontal="center" vertical="center"/>
    </xf>
    <xf numFmtId="20" fontId="18" fillId="0" borderId="1" xfId="4" applyNumberFormat="1" applyFont="1" applyBorder="1" applyAlignment="1">
      <alignment horizontal="center" vertical="center"/>
    </xf>
    <xf numFmtId="20" fontId="18" fillId="0" borderId="1" xfId="18" applyNumberFormat="1" applyFont="1" applyBorder="1" applyAlignment="1">
      <alignment horizontal="center" vertical="center"/>
    </xf>
    <xf numFmtId="20" fontId="7" fillId="0" borderId="11" xfId="14" applyNumberFormat="1" applyFont="1" applyBorder="1" applyAlignment="1">
      <alignment horizontal="center" vertical="center"/>
    </xf>
    <xf numFmtId="20" fontId="18" fillId="0" borderId="13" xfId="18" applyNumberFormat="1" applyFont="1" applyBorder="1" applyAlignment="1">
      <alignment horizontal="center" vertical="center"/>
    </xf>
    <xf numFmtId="0" fontId="16" fillId="14" borderId="1" xfId="10" applyFont="1" applyFill="1" applyBorder="1" applyAlignment="1">
      <alignment horizontal="center" vertical="center"/>
    </xf>
    <xf numFmtId="184" fontId="18" fillId="14" borderId="1" xfId="4" applyNumberFormat="1" applyFont="1" applyFill="1" applyBorder="1" applyAlignment="1">
      <alignment horizontal="center" vertical="center"/>
    </xf>
    <xf numFmtId="184" fontId="18" fillId="14" borderId="1" xfId="18" applyNumberFormat="1" applyFont="1" applyFill="1" applyBorder="1" applyAlignment="1">
      <alignment horizontal="center" vertical="center"/>
    </xf>
    <xf numFmtId="184" fontId="7" fillId="14" borderId="1" xfId="14" applyNumberFormat="1" applyFont="1" applyFill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184" fontId="18" fillId="14" borderId="1" xfId="2" applyNumberFormat="1" applyFont="1" applyFill="1" applyBorder="1" applyAlignment="1">
      <alignment horizontal="center" vertical="center"/>
    </xf>
    <xf numFmtId="184" fontId="18" fillId="14" borderId="1" xfId="16" applyNumberFormat="1" applyFont="1" applyFill="1" applyBorder="1" applyAlignment="1">
      <alignment horizontal="center" vertical="center"/>
    </xf>
    <xf numFmtId="184" fontId="7" fillId="14" borderId="1" xfId="11" applyNumberFormat="1" applyFont="1" applyFill="1" applyBorder="1" applyAlignment="1">
      <alignment horizontal="center" vertical="center"/>
    </xf>
    <xf numFmtId="43" fontId="18" fillId="0" borderId="91" xfId="19" applyFont="1" applyBorder="1" applyAlignment="1">
      <alignment horizontal="center" vertical="center"/>
    </xf>
    <xf numFmtId="0" fontId="18" fillId="3" borderId="16" xfId="16" applyFont="1" applyFill="1" applyBorder="1" applyAlignment="1">
      <alignment horizontal="center" vertical="center" wrapText="1"/>
    </xf>
    <xf numFmtId="0" fontId="18" fillId="3" borderId="24" xfId="16" applyFont="1" applyFill="1" applyBorder="1" applyAlignment="1">
      <alignment horizontal="center" vertical="center"/>
    </xf>
    <xf numFmtId="0" fontId="18" fillId="3" borderId="35" xfId="16" applyFont="1" applyFill="1" applyBorder="1" applyAlignment="1">
      <alignment horizontal="center" vertical="center"/>
    </xf>
    <xf numFmtId="0" fontId="18" fillId="3" borderId="42" xfId="16" applyFont="1" applyFill="1" applyBorder="1" applyAlignment="1">
      <alignment horizontal="center" vertical="center"/>
    </xf>
    <xf numFmtId="0" fontId="7" fillId="9" borderId="13" xfId="16" applyFont="1" applyFill="1" applyBorder="1" applyAlignment="1">
      <alignment horizontal="center" vertical="center"/>
    </xf>
    <xf numFmtId="0" fontId="7" fillId="9" borderId="14" xfId="16" applyFont="1" applyFill="1" applyBorder="1" applyAlignment="1">
      <alignment horizontal="center" vertical="center"/>
    </xf>
    <xf numFmtId="0" fontId="7" fillId="4" borderId="13" xfId="16" applyFont="1" applyFill="1" applyBorder="1" applyAlignment="1">
      <alignment horizontal="center" vertical="center"/>
    </xf>
    <xf numFmtId="0" fontId="7" fillId="4" borderId="14" xfId="16" applyFont="1" applyFill="1" applyBorder="1" applyAlignment="1">
      <alignment horizontal="center" vertical="center"/>
    </xf>
    <xf numFmtId="0" fontId="7" fillId="8" borderId="13" xfId="16" applyFont="1" applyFill="1" applyBorder="1" applyAlignment="1">
      <alignment horizontal="center" vertical="center"/>
    </xf>
    <xf numFmtId="0" fontId="7" fillId="8" borderId="14" xfId="16" applyFont="1" applyFill="1" applyBorder="1" applyAlignment="1">
      <alignment horizontal="center" vertical="center"/>
    </xf>
    <xf numFmtId="0" fontId="18" fillId="11" borderId="44" xfId="16" applyFont="1" applyFill="1" applyBorder="1" applyAlignment="1"/>
    <xf numFmtId="0" fontId="7" fillId="0" borderId="14" xfId="16" applyFont="1" applyBorder="1" applyAlignment="1">
      <alignment horizontal="center" vertical="center"/>
    </xf>
    <xf numFmtId="0" fontId="7" fillId="0" borderId="15" xfId="16" applyFont="1" applyBorder="1" applyAlignment="1">
      <alignment horizontal="center" vertical="center"/>
    </xf>
    <xf numFmtId="0" fontId="7" fillId="0" borderId="13" xfId="16" applyFont="1" applyBorder="1" applyAlignment="1">
      <alignment horizontal="center" vertical="center" wrapText="1"/>
    </xf>
    <xf numFmtId="0" fontId="7" fillId="0" borderId="14" xfId="16" applyFont="1" applyBorder="1" applyAlignment="1">
      <alignment horizontal="center" vertical="center" wrapText="1"/>
    </xf>
    <xf numFmtId="0" fontId="7" fillId="3" borderId="13" xfId="16" applyFont="1" applyFill="1" applyBorder="1" applyAlignment="1">
      <alignment horizontal="center" vertical="center"/>
    </xf>
    <xf numFmtId="0" fontId="7" fillId="3" borderId="14" xfId="16" applyFont="1" applyFill="1" applyBorder="1" applyAlignment="1">
      <alignment horizontal="center" vertical="center"/>
    </xf>
    <xf numFmtId="180" fontId="18" fillId="0" borderId="21" xfId="27" applyNumberFormat="1" applyFont="1" applyBorder="1" applyAlignment="1">
      <alignment horizontal="center" vertical="center"/>
    </xf>
    <xf numFmtId="180" fontId="18" fillId="0" borderId="13" xfId="27" applyNumberFormat="1" applyFont="1" applyBorder="1" applyAlignment="1">
      <alignment horizontal="center" vertical="center"/>
    </xf>
    <xf numFmtId="180" fontId="18" fillId="0" borderId="14" xfId="27" applyNumberFormat="1" applyFont="1" applyBorder="1" applyAlignment="1">
      <alignment horizontal="center" vertical="center"/>
    </xf>
    <xf numFmtId="180" fontId="18" fillId="0" borderId="41" xfId="27" applyNumberFormat="1" applyFont="1" applyBorder="1" applyAlignment="1">
      <alignment horizontal="center" vertical="center"/>
    </xf>
    <xf numFmtId="180" fontId="18" fillId="0" borderId="44" xfId="27" applyNumberFormat="1" applyFont="1" applyBorder="1" applyAlignment="1">
      <alignment horizontal="center" vertical="center"/>
    </xf>
    <xf numFmtId="0" fontId="22" fillId="0" borderId="13" xfId="16" applyFont="1" applyBorder="1" applyAlignment="1">
      <alignment horizontal="center" vertical="center"/>
    </xf>
    <xf numFmtId="14" fontId="20" fillId="0" borderId="13" xfId="16" applyNumberFormat="1" applyFont="1" applyBorder="1" applyAlignment="1">
      <alignment horizontal="left" vertical="center"/>
    </xf>
    <xf numFmtId="0" fontId="18" fillId="0" borderId="13" xfId="16" applyFont="1" applyBorder="1" applyAlignment="1">
      <alignment horizontal="center" vertical="center"/>
    </xf>
    <xf numFmtId="0" fontId="18" fillId="0" borderId="14" xfId="16" applyFont="1" applyBorder="1" applyAlignment="1">
      <alignment horizontal="center" vertical="center"/>
    </xf>
    <xf numFmtId="0" fontId="20" fillId="0" borderId="13" xfId="16" applyFont="1" applyBorder="1" applyAlignment="1">
      <alignment horizontal="center" vertical="center"/>
    </xf>
    <xf numFmtId="0" fontId="7" fillId="5" borderId="13" xfId="16" applyFont="1" applyFill="1" applyBorder="1" applyAlignment="1">
      <alignment horizontal="center" vertical="center"/>
    </xf>
    <xf numFmtId="0" fontId="7" fillId="5" borderId="14" xfId="16" applyFont="1" applyFill="1" applyBorder="1" applyAlignment="1">
      <alignment horizontal="center" vertical="center"/>
    </xf>
    <xf numFmtId="0" fontId="7" fillId="10" borderId="13" xfId="16" applyFont="1" applyFill="1" applyBorder="1" applyAlignment="1">
      <alignment horizontal="center" vertical="center" wrapText="1"/>
    </xf>
    <xf numFmtId="0" fontId="7" fillId="10" borderId="14" xfId="16" applyFont="1" applyFill="1" applyBorder="1" applyAlignment="1">
      <alignment horizontal="center" vertical="center" wrapText="1"/>
    </xf>
    <xf numFmtId="0" fontId="21" fillId="0" borderId="1" xfId="16" applyFont="1" applyBorder="1" applyAlignment="1">
      <alignment horizontal="center" vertical="center" wrapText="1"/>
    </xf>
    <xf numFmtId="0" fontId="21" fillId="0" borderId="1" xfId="16" applyFont="1" applyBorder="1" applyAlignment="1">
      <alignment horizontal="center" vertical="center"/>
    </xf>
    <xf numFmtId="0" fontId="21" fillId="0" borderId="9" xfId="16" applyFont="1" applyBorder="1" applyAlignment="1">
      <alignment horizontal="center" vertical="center"/>
    </xf>
    <xf numFmtId="0" fontId="18" fillId="9" borderId="30" xfId="16" applyFont="1" applyFill="1" applyBorder="1" applyAlignment="1">
      <alignment horizontal="center" vertical="center"/>
    </xf>
    <xf numFmtId="0" fontId="18" fillId="9" borderId="39" xfId="16" applyFont="1" applyFill="1" applyBorder="1" applyAlignment="1">
      <alignment horizontal="center" vertical="center"/>
    </xf>
    <xf numFmtId="0" fontId="29" fillId="8" borderId="1" xfId="8" applyFont="1" applyFill="1" applyBorder="1" applyAlignment="1">
      <alignment horizontal="center" vertical="center" wrapText="1"/>
    </xf>
    <xf numFmtId="0" fontId="24" fillId="8" borderId="1" xfId="8" applyFont="1" applyFill="1" applyBorder="1" applyAlignment="1">
      <alignment horizontal="center" vertical="center"/>
    </xf>
    <xf numFmtId="0" fontId="18" fillId="5" borderId="13" xfId="16" applyFont="1" applyFill="1" applyBorder="1" applyAlignment="1">
      <alignment horizontal="center" vertical="center"/>
    </xf>
    <xf numFmtId="0" fontId="18" fillId="5" borderId="14" xfId="16" applyFont="1" applyFill="1" applyBorder="1" applyAlignment="1">
      <alignment horizontal="center" vertical="center"/>
    </xf>
    <xf numFmtId="0" fontId="18" fillId="10" borderId="13" xfId="16" applyFont="1" applyFill="1" applyBorder="1" applyAlignment="1">
      <alignment horizontal="center" vertical="center" wrapText="1"/>
    </xf>
    <xf numFmtId="0" fontId="18" fillId="10" borderId="14" xfId="16" applyFont="1" applyFill="1" applyBorder="1" applyAlignment="1">
      <alignment horizontal="center" vertical="center" wrapText="1"/>
    </xf>
    <xf numFmtId="0" fontId="7" fillId="8" borderId="13" xfId="16" applyFont="1" applyFill="1" applyBorder="1" applyAlignment="1">
      <alignment horizontal="center" vertical="center" wrapText="1"/>
    </xf>
    <xf numFmtId="0" fontId="7" fillId="8" borderId="27" xfId="16" applyFont="1" applyFill="1" applyBorder="1" applyAlignment="1">
      <alignment horizontal="center" vertical="center"/>
    </xf>
    <xf numFmtId="0" fontId="22" fillId="0" borderId="14" xfId="16" applyFont="1" applyBorder="1" applyAlignment="1">
      <alignment horizontal="center" vertical="center"/>
    </xf>
    <xf numFmtId="180" fontId="18" fillId="0" borderId="23" xfId="27" applyNumberFormat="1" applyFont="1" applyBorder="1" applyAlignment="1">
      <alignment horizontal="center" vertical="center"/>
    </xf>
    <xf numFmtId="180" fontId="18" fillId="0" borderId="32" xfId="27" applyNumberFormat="1" applyFont="1" applyBorder="1" applyAlignment="1">
      <alignment horizontal="center" vertical="center"/>
    </xf>
    <xf numFmtId="180" fontId="18" fillId="0" borderId="36" xfId="27" applyNumberFormat="1" applyFont="1" applyBorder="1" applyAlignment="1">
      <alignment horizontal="center" vertical="center"/>
    </xf>
    <xf numFmtId="180" fontId="18" fillId="0" borderId="45" xfId="27" applyNumberFormat="1" applyFont="1" applyBorder="1" applyAlignment="1">
      <alignment horizontal="center" vertical="center"/>
    </xf>
    <xf numFmtId="0" fontId="18" fillId="0" borderId="1" xfId="16" applyFont="1" applyBorder="1" applyAlignment="1">
      <alignment horizontal="center" vertical="center" wrapText="1"/>
    </xf>
    <xf numFmtId="0" fontId="18" fillId="0" borderId="1" xfId="16" applyFont="1" applyBorder="1" applyAlignment="1">
      <alignment horizontal="center" vertical="center"/>
    </xf>
    <xf numFmtId="0" fontId="18" fillId="0" borderId="50" xfId="16" applyFont="1" applyBorder="1" applyAlignment="1">
      <alignment horizontal="center" vertical="center"/>
    </xf>
    <xf numFmtId="0" fontId="18" fillId="0" borderId="17" xfId="16" applyFont="1" applyBorder="1" applyAlignment="1">
      <alignment horizontal="center" vertical="center"/>
    </xf>
    <xf numFmtId="0" fontId="18" fillId="4" borderId="51" xfId="16" applyFont="1" applyFill="1" applyBorder="1" applyAlignment="1">
      <alignment horizontal="center" vertical="center" wrapText="1"/>
    </xf>
    <xf numFmtId="0" fontId="18" fillId="4" borderId="56" xfId="16" applyFont="1" applyFill="1" applyBorder="1" applyAlignment="1">
      <alignment horizontal="center" vertical="center"/>
    </xf>
    <xf numFmtId="0" fontId="18" fillId="4" borderId="106" xfId="16" applyFont="1" applyFill="1" applyBorder="1" applyAlignment="1">
      <alignment horizontal="center" vertical="center"/>
    </xf>
    <xf numFmtId="180" fontId="18" fillId="0" borderId="17" xfId="27" applyNumberFormat="1" applyFont="1" applyBorder="1" applyAlignment="1">
      <alignment horizontal="center" vertical="center"/>
    </xf>
    <xf numFmtId="180" fontId="18" fillId="0" borderId="1" xfId="27" applyNumberFormat="1" applyFont="1" applyBorder="1" applyAlignment="1">
      <alignment horizontal="center" vertical="center"/>
    </xf>
    <xf numFmtId="180" fontId="18" fillId="0" borderId="50" xfId="27" applyNumberFormat="1" applyFont="1" applyBorder="1" applyAlignment="1">
      <alignment horizontal="center" vertical="center"/>
    </xf>
    <xf numFmtId="0" fontId="18" fillId="11" borderId="107" xfId="16" applyFont="1" applyFill="1" applyBorder="1" applyAlignment="1"/>
    <xf numFmtId="0" fontId="18" fillId="11" borderId="108" xfId="16" applyFont="1" applyFill="1" applyBorder="1" applyAlignment="1"/>
    <xf numFmtId="9" fontId="18" fillId="0" borderId="50" xfId="23" applyFont="1" applyBorder="1" applyAlignment="1">
      <alignment horizontal="center" vertical="center"/>
    </xf>
    <xf numFmtId="0" fontId="18" fillId="10" borderId="16" xfId="16" applyFont="1" applyFill="1" applyBorder="1" applyAlignment="1">
      <alignment horizontal="center" vertical="center" wrapText="1"/>
    </xf>
    <xf numFmtId="0" fontId="18" fillId="10" borderId="24" xfId="16" applyFont="1" applyFill="1" applyBorder="1" applyAlignment="1">
      <alignment horizontal="center" vertical="center"/>
    </xf>
    <xf numFmtId="0" fontId="18" fillId="10" borderId="35" xfId="16" applyFont="1" applyFill="1" applyBorder="1" applyAlignment="1">
      <alignment horizontal="center" vertical="center"/>
    </xf>
    <xf numFmtId="0" fontId="18" fillId="10" borderId="42" xfId="16" applyFont="1" applyFill="1" applyBorder="1" applyAlignment="1">
      <alignment horizontal="center" vertical="center"/>
    </xf>
    <xf numFmtId="180" fontId="18" fillId="0" borderId="57" xfId="27" applyNumberFormat="1" applyFont="1" applyBorder="1" applyAlignment="1">
      <alignment horizontal="center" vertical="center"/>
    </xf>
    <xf numFmtId="180" fontId="18" fillId="0" borderId="59" xfId="27" applyNumberFormat="1" applyFont="1" applyBorder="1" applyAlignment="1">
      <alignment horizontal="center" vertical="center"/>
    </xf>
    <xf numFmtId="180" fontId="7" fillId="0" borderId="68" xfId="26" applyNumberFormat="1" applyFont="1" applyBorder="1" applyAlignment="1">
      <alignment horizontal="center" vertical="center"/>
    </xf>
    <xf numFmtId="180" fontId="7" fillId="0" borderId="71" xfId="26" applyNumberFormat="1" applyFont="1" applyBorder="1" applyAlignment="1">
      <alignment horizontal="center" vertical="center"/>
    </xf>
    <xf numFmtId="180" fontId="7" fillId="0" borderId="79" xfId="26" applyNumberFormat="1" applyFont="1" applyBorder="1" applyAlignment="1">
      <alignment horizontal="center" vertical="center"/>
    </xf>
    <xf numFmtId="0" fontId="7" fillId="0" borderId="1" xfId="11" applyFont="1" applyBorder="1" applyAlignment="1">
      <alignment horizontal="center" vertical="center"/>
    </xf>
    <xf numFmtId="0" fontId="18" fillId="4" borderId="80" xfId="16" applyFont="1" applyFill="1" applyBorder="1" applyAlignment="1">
      <alignment horizontal="center" vertical="center" wrapText="1"/>
    </xf>
    <xf numFmtId="0" fontId="18" fillId="4" borderId="81" xfId="16" applyFont="1" applyFill="1" applyBorder="1" applyAlignment="1">
      <alignment horizontal="center" vertical="center"/>
    </xf>
    <xf numFmtId="0" fontId="18" fillId="4" borderId="82" xfId="16" applyFont="1" applyFill="1" applyBorder="1" applyAlignment="1">
      <alignment horizontal="center" vertical="center"/>
    </xf>
    <xf numFmtId="0" fontId="26" fillId="12" borderId="63" xfId="11" applyFont="1" applyFill="1" applyBorder="1" applyAlignment="1">
      <alignment horizontal="center" vertical="center" wrapText="1"/>
    </xf>
    <xf numFmtId="0" fontId="26" fillId="12" borderId="69" xfId="11" applyFont="1" applyFill="1" applyBorder="1" applyAlignment="1">
      <alignment horizontal="center" vertical="center" wrapText="1"/>
    </xf>
    <xf numFmtId="0" fontId="26" fillId="12" borderId="75" xfId="11" applyFont="1" applyFill="1" applyBorder="1" applyAlignment="1">
      <alignment horizontal="center" vertical="center" wrapText="1"/>
    </xf>
    <xf numFmtId="180" fontId="18" fillId="0" borderId="49" xfId="27" applyNumberFormat="1" applyFont="1" applyBorder="1" applyAlignment="1">
      <alignment horizontal="center" vertical="center"/>
    </xf>
    <xf numFmtId="180" fontId="18" fillId="0" borderId="30" xfId="27" applyNumberFormat="1" applyFont="1" applyBorder="1" applyAlignment="1">
      <alignment horizontal="center" vertical="center"/>
    </xf>
    <xf numFmtId="0" fontId="7" fillId="0" borderId="17" xfId="11" applyFont="1" applyBorder="1" applyAlignment="1">
      <alignment horizontal="center" vertical="center"/>
    </xf>
    <xf numFmtId="180" fontId="18" fillId="0" borderId="86" xfId="27" applyNumberFormat="1" applyFont="1" applyBorder="1" applyAlignment="1">
      <alignment horizontal="center" vertical="center"/>
    </xf>
    <xf numFmtId="0" fontId="18" fillId="13" borderId="92" xfId="16" applyFont="1" applyFill="1" applyBorder="1" applyAlignment="1">
      <alignment horizontal="center" vertical="center" wrapText="1"/>
    </xf>
    <xf numFmtId="0" fontId="18" fillId="13" borderId="93" xfId="16" applyFont="1" applyFill="1" applyBorder="1" applyAlignment="1">
      <alignment horizontal="center" vertical="center" wrapText="1"/>
    </xf>
    <xf numFmtId="0" fontId="18" fillId="13" borderId="95" xfId="16" applyFont="1" applyFill="1" applyBorder="1" applyAlignment="1">
      <alignment horizontal="center" vertical="center" wrapText="1"/>
    </xf>
    <xf numFmtId="180" fontId="18" fillId="0" borderId="39" xfId="27" applyNumberFormat="1" applyFont="1" applyBorder="1" applyAlignment="1">
      <alignment horizontal="center" vertical="center"/>
    </xf>
    <xf numFmtId="0" fontId="18" fillId="10" borderId="80" xfId="16" applyFont="1" applyFill="1" applyBorder="1" applyAlignment="1">
      <alignment horizontal="center" vertical="center" wrapText="1"/>
    </xf>
    <xf numFmtId="0" fontId="18" fillId="10" borderId="84" xfId="16" applyFont="1" applyFill="1" applyBorder="1" applyAlignment="1">
      <alignment horizontal="center" vertical="center" wrapText="1"/>
    </xf>
    <xf numFmtId="0" fontId="18" fillId="10" borderId="81" xfId="16" applyFont="1" applyFill="1" applyBorder="1" applyAlignment="1">
      <alignment horizontal="center" vertical="center" wrapText="1"/>
    </xf>
    <xf numFmtId="0" fontId="18" fillId="10" borderId="82" xfId="16" applyFont="1" applyFill="1" applyBorder="1" applyAlignment="1">
      <alignment horizontal="center" vertical="center"/>
    </xf>
    <xf numFmtId="180" fontId="18" fillId="0" borderId="34" xfId="27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6" fontId="9" fillId="2" borderId="1" xfId="8" applyNumberFormat="1" applyFont="1" applyFill="1" applyBorder="1" applyAlignment="1">
      <alignment horizontal="center" vertical="center"/>
    </xf>
    <xf numFmtId="177" fontId="8" fillId="0" borderId="1" xfId="22" applyNumberFormat="1" applyFont="1" applyBorder="1" applyAlignment="1">
      <alignment horizontal="center" vertical="center"/>
    </xf>
    <xf numFmtId="177" fontId="8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80" fontId="11" fillId="0" borderId="1" xfId="26" applyNumberFormat="1" applyFont="1" applyFill="1" applyBorder="1" applyAlignment="1">
      <alignment horizontal="center" vertical="center"/>
    </xf>
    <xf numFmtId="178" fontId="8" fillId="3" borderId="1" xfId="22" applyNumberFormat="1" applyFont="1" applyFill="1" applyBorder="1" applyAlignment="1">
      <alignment horizontal="center" vertical="center"/>
    </xf>
    <xf numFmtId="178" fontId="8" fillId="4" borderId="1" xfId="22" applyNumberFormat="1" applyFont="1" applyFill="1" applyBorder="1" applyAlignment="1">
      <alignment horizontal="center" vertical="center"/>
    </xf>
    <xf numFmtId="179" fontId="8" fillId="0" borderId="1" xfId="2" applyNumberFormat="1" applyFont="1" applyBorder="1" applyAlignment="1">
      <alignment horizontal="center" vertical="center"/>
    </xf>
    <xf numFmtId="179" fontId="8" fillId="0" borderId="1" xfId="22" applyNumberFormat="1" applyFont="1" applyBorder="1" applyAlignment="1">
      <alignment horizontal="center" vertical="center"/>
    </xf>
    <xf numFmtId="0" fontId="27" fillId="8" borderId="1" xfId="16" applyFont="1" applyFill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1" fontId="28" fillId="0" borderId="1" xfId="2" applyNumberFormat="1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7" fillId="8" borderId="3" xfId="16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textRotation="255"/>
    </xf>
    <xf numFmtId="0" fontId="7" fillId="0" borderId="10" xfId="2" applyFont="1" applyBorder="1" applyAlignment="1">
      <alignment horizontal="center" vertical="center" textRotation="255"/>
    </xf>
    <xf numFmtId="0" fontId="7" fillId="0" borderId="11" xfId="2" applyFont="1" applyBorder="1" applyAlignment="1">
      <alignment horizontal="center" vertical="center" textRotation="255"/>
    </xf>
    <xf numFmtId="0" fontId="7" fillId="0" borderId="9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16" fillId="14" borderId="1" xfId="8" applyFont="1" applyFill="1" applyBorder="1" applyAlignment="1">
      <alignment horizontal="center" vertical="center" wrapText="1"/>
    </xf>
    <xf numFmtId="0" fontId="7" fillId="14" borderId="1" xfId="8" applyFont="1" applyFill="1" applyBorder="1" applyAlignment="1">
      <alignment horizontal="center" vertical="center"/>
    </xf>
    <xf numFmtId="179" fontId="11" fillId="5" borderId="1" xfId="2" applyNumberFormat="1" applyFont="1" applyFill="1" applyBorder="1" applyAlignment="1">
      <alignment horizontal="center" vertical="center"/>
    </xf>
    <xf numFmtId="179" fontId="11" fillId="5" borderId="1" xfId="22" applyNumberFormat="1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176" fontId="9" fillId="2" borderId="1" xfId="10" applyNumberFormat="1" applyFont="1" applyFill="1" applyBorder="1" applyAlignment="1">
      <alignment horizontal="center" vertical="center"/>
    </xf>
    <xf numFmtId="177" fontId="8" fillId="0" borderId="1" xfId="4" applyNumberFormat="1" applyFont="1" applyBorder="1" applyAlignment="1">
      <alignment horizontal="center" vertical="center"/>
    </xf>
    <xf numFmtId="0" fontId="27" fillId="8" borderId="3" xfId="18" applyFont="1" applyFill="1" applyBorder="1" applyAlignment="1">
      <alignment horizontal="center" vertical="center"/>
    </xf>
    <xf numFmtId="0" fontId="27" fillId="8" borderId="1" xfId="18" applyFont="1" applyFill="1" applyBorder="1" applyAlignment="1">
      <alignment horizontal="center" vertical="center"/>
    </xf>
    <xf numFmtId="0" fontId="8" fillId="0" borderId="1" xfId="10" applyFont="1" applyBorder="1" applyAlignment="1">
      <alignment horizontal="center" vertical="center"/>
    </xf>
    <xf numFmtId="179" fontId="8" fillId="0" borderId="1" xfId="4" applyNumberFormat="1" applyFont="1" applyBorder="1" applyAlignment="1">
      <alignment horizontal="center" vertical="center"/>
    </xf>
    <xf numFmtId="0" fontId="10" fillId="0" borderId="1" xfId="10" applyFont="1" applyBorder="1" applyAlignment="1">
      <alignment horizontal="center" vertical="center"/>
    </xf>
    <xf numFmtId="1" fontId="28" fillId="0" borderId="1" xfId="4" applyNumberFormat="1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184" fontId="28" fillId="0" borderId="3" xfId="4" applyNumberFormat="1" applyFont="1" applyBorder="1" applyAlignment="1">
      <alignment horizontal="center" vertical="center"/>
    </xf>
    <xf numFmtId="0" fontId="28" fillId="0" borderId="3" xfId="4" applyFont="1" applyBorder="1" applyAlignment="1">
      <alignment horizontal="center" vertical="center"/>
    </xf>
    <xf numFmtId="184" fontId="28" fillId="0" borderId="1" xfId="4" applyNumberFormat="1" applyFont="1" applyBorder="1" applyAlignment="1">
      <alignment horizontal="center" vertical="center"/>
    </xf>
    <xf numFmtId="0" fontId="28" fillId="0" borderId="1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8" fillId="3" borderId="4" xfId="4" applyFont="1" applyFill="1" applyBorder="1" applyAlignment="1">
      <alignment horizontal="center" vertical="center"/>
    </xf>
    <xf numFmtId="0" fontId="8" fillId="3" borderId="3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179" fontId="11" fillId="5" borderId="1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7" fillId="0" borderId="9" xfId="4" applyFont="1" applyBorder="1" applyAlignment="1">
      <alignment horizontal="center" vertical="center" textRotation="255"/>
    </xf>
    <xf numFmtId="0" fontId="7" fillId="0" borderId="10" xfId="4" applyFont="1" applyBorder="1" applyAlignment="1">
      <alignment horizontal="center" vertical="center" textRotation="255"/>
    </xf>
    <xf numFmtId="0" fontId="7" fillId="0" borderId="11" xfId="4" applyFont="1" applyBorder="1" applyAlignment="1">
      <alignment horizontal="center" vertical="center" textRotation="255"/>
    </xf>
    <xf numFmtId="0" fontId="7" fillId="0" borderId="9" xfId="4" applyFont="1" applyBorder="1" applyAlignment="1">
      <alignment horizontal="center" vertical="center" wrapText="1"/>
    </xf>
    <xf numFmtId="0" fontId="7" fillId="0" borderId="11" xfId="4" applyFont="1" applyBorder="1" applyAlignment="1">
      <alignment horizontal="center" vertical="center" wrapText="1"/>
    </xf>
    <xf numFmtId="0" fontId="16" fillId="14" borderId="1" xfId="10" applyFont="1" applyFill="1" applyBorder="1" applyAlignment="1">
      <alignment horizontal="center" vertical="center" wrapText="1"/>
    </xf>
    <xf numFmtId="0" fontId="7" fillId="14" borderId="1" xfId="10" applyFont="1" applyFill="1" applyBorder="1" applyAlignment="1">
      <alignment horizontal="center" vertical="center"/>
    </xf>
    <xf numFmtId="186" fontId="9" fillId="2" borderId="1" xfId="8" applyNumberFormat="1" applyFont="1" applyFill="1" applyBorder="1" applyAlignment="1">
      <alignment horizontal="center" vertical="center"/>
    </xf>
  </cellXfs>
  <cellStyles count="28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8" xfId="5" xr:uid="{00000000-0005-0000-0000-000002000000}"/>
    <cellStyle name="一般 2 18 2" xfId="6" xr:uid="{03161FD6-4425-4262-BB2E-6D1063ACF793}"/>
    <cellStyle name="一般 2 18 3" xfId="7" xr:uid="{31F1E51B-F9BF-4F3C-A967-B8FABF2A3A2B}"/>
    <cellStyle name="一般 2 2 2 2" xfId="8" xr:uid="{00000000-0005-0000-0000-000003000000}"/>
    <cellStyle name="一般 2 2 2 2 2" xfId="9" xr:uid="{DA50E455-3E19-4382-87FF-86AEE4927DF6}"/>
    <cellStyle name="一般 2 2 2 2 3" xfId="10" xr:uid="{804AD48E-FC35-4B36-A245-ABEA8153CA9F}"/>
    <cellStyle name="一般 2 2 4" xfId="11" xr:uid="{00000000-0005-0000-0000-000004000000}"/>
    <cellStyle name="一般 2 2 4 2" xfId="12" xr:uid="{01302544-1802-4AFB-AC12-3C2E43DC83D6}"/>
    <cellStyle name="一般 2 2 4 3" xfId="13" xr:uid="{5CF42824-9C19-40E7-B382-3C290E62F3B6}"/>
    <cellStyle name="一般 2 2 4 4" xfId="14" xr:uid="{774F93B0-8056-4358-BD47-9DF717D8B889}"/>
    <cellStyle name="一般 2 4 2" xfId="15" xr:uid="{00000000-0005-0000-0000-000005000000}"/>
    <cellStyle name="一般 2 8" xfId="16" xr:uid="{00000000-0005-0000-0000-000006000000}"/>
    <cellStyle name="一般 2 8 2" xfId="17" xr:uid="{334CB01B-E727-4275-8081-33B90D63854F}"/>
    <cellStyle name="一般 2 8 3" xfId="18" xr:uid="{F9F17BE2-5138-4A5C-8014-00D35F5AE168}"/>
    <cellStyle name="千分位 2 8" xfId="19" xr:uid="{00000000-0005-0000-0000-000007000000}"/>
    <cellStyle name="千分位 2 8 2" xfId="20" xr:uid="{BB0D4EC8-904D-4466-883D-5E832DE73CA2}"/>
    <cellStyle name="千分位 2 8 3" xfId="21" xr:uid="{E1A231BD-C8F7-4A2E-B3AE-D5A9B17E8DFD}"/>
    <cellStyle name="千分位 9 5" xfId="22" xr:uid="{00000000-0005-0000-0000-000008000000}"/>
    <cellStyle name="百分比 2 2 2 2" xfId="23" xr:uid="{00000000-0005-0000-0000-000009000000}"/>
    <cellStyle name="百分比 2 2 2 2 2" xfId="24" xr:uid="{5BC30C65-EF5D-4641-9B4F-74412295E429}"/>
    <cellStyle name="百分比 2 2 2 2 3" xfId="25" xr:uid="{A0547F8E-D90B-4D71-A6F8-84102F8BF3BC}"/>
    <cellStyle name="百分比 2 5" xfId="26" xr:uid="{00000000-0005-0000-0000-00000A000000}"/>
    <cellStyle name="百分比 7" xfId="27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9" sqref="C19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49" width="10.28515625" style="347" customWidth="1"/>
    <col min="150" max="16384" width="10.28515625" style="347"/>
  </cols>
  <sheetData>
    <row r="1" spans="1:7">
      <c r="A1" s="351" t="s">
        <v>167</v>
      </c>
      <c r="B1" s="352" t="s">
        <v>89</v>
      </c>
      <c r="C1" s="352" t="s">
        <v>19</v>
      </c>
      <c r="D1" s="352" t="s">
        <v>168</v>
      </c>
      <c r="E1" s="352" t="s">
        <v>20</v>
      </c>
    </row>
    <row r="2" spans="1:7">
      <c r="A2" s="353"/>
      <c r="B2" s="354" t="s">
        <v>169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169</v>
      </c>
      <c r="C3" s="75" t="s">
        <v>120</v>
      </c>
      <c r="D3" s="354" t="s">
        <v>81</v>
      </c>
      <c r="E3" s="75">
        <v>56.87</v>
      </c>
    </row>
    <row r="4" spans="1:7">
      <c r="A4" s="353"/>
      <c r="B4" s="354" t="s">
        <v>169</v>
      </c>
      <c r="C4" s="75" t="s">
        <v>121</v>
      </c>
      <c r="D4" s="354" t="s">
        <v>81</v>
      </c>
      <c r="E4" s="75">
        <v>50.39</v>
      </c>
    </row>
    <row r="5" spans="1:7">
      <c r="A5" s="353"/>
      <c r="B5" s="354" t="s">
        <v>169</v>
      </c>
      <c r="C5" s="75" t="s">
        <v>129</v>
      </c>
      <c r="D5" s="354" t="s">
        <v>81</v>
      </c>
      <c r="E5" s="75">
        <v>49.97</v>
      </c>
    </row>
    <row r="6" spans="1:7">
      <c r="A6" s="353"/>
      <c r="B6" s="354" t="s">
        <v>169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169</v>
      </c>
      <c r="C7" s="345" t="s">
        <v>114</v>
      </c>
      <c r="D7" s="354" t="s">
        <v>81</v>
      </c>
      <c r="E7" s="75">
        <v>58.17</v>
      </c>
    </row>
    <row r="8" spans="1:7">
      <c r="A8" s="353"/>
      <c r="B8" s="354" t="s">
        <v>169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169</v>
      </c>
      <c r="C9" s="350" t="s">
        <v>123</v>
      </c>
      <c r="D9" s="354" t="s">
        <v>81</v>
      </c>
      <c r="E9" s="75">
        <v>49.91</v>
      </c>
    </row>
    <row r="10" spans="1:7">
      <c r="A10" s="353"/>
      <c r="B10" s="354" t="s">
        <v>169</v>
      </c>
      <c r="C10" s="75" t="s">
        <v>128</v>
      </c>
      <c r="D10" s="354" t="s">
        <v>81</v>
      </c>
      <c r="E10" s="75">
        <v>50.289000000000001</v>
      </c>
    </row>
    <row r="11" spans="1:7">
      <c r="A11" s="353"/>
      <c r="B11" s="354" t="s">
        <v>169</v>
      </c>
      <c r="C11" s="75" t="s">
        <v>170</v>
      </c>
      <c r="D11" s="354" t="s">
        <v>81</v>
      </c>
      <c r="E11" s="75">
        <v>57.21</v>
      </c>
    </row>
    <row r="12" spans="1:7">
      <c r="A12" s="353"/>
      <c r="B12" s="354" t="s">
        <v>169</v>
      </c>
      <c r="C12" s="350" t="s">
        <v>135</v>
      </c>
      <c r="D12" s="354" t="s">
        <v>81</v>
      </c>
      <c r="E12" s="75">
        <v>43.89</v>
      </c>
    </row>
    <row r="13" spans="1:7">
      <c r="A13" s="353"/>
      <c r="B13" s="354" t="s">
        <v>169</v>
      </c>
      <c r="C13" s="75" t="s">
        <v>113</v>
      </c>
      <c r="D13" s="354" t="s">
        <v>81</v>
      </c>
      <c r="E13" s="75">
        <v>50.67</v>
      </c>
      <c r="G13" s="349"/>
    </row>
    <row r="14" spans="1:7">
      <c r="A14" s="353"/>
      <c r="B14" s="354" t="s">
        <v>169</v>
      </c>
      <c r="C14" s="75" t="s">
        <v>125</v>
      </c>
      <c r="D14" s="354" t="s">
        <v>81</v>
      </c>
      <c r="E14" s="75">
        <v>45.66</v>
      </c>
    </row>
    <row r="15" spans="1:7">
      <c r="A15" s="353"/>
      <c r="B15" s="354" t="s">
        <v>169</v>
      </c>
      <c r="C15" s="75" t="s">
        <v>122</v>
      </c>
      <c r="D15" s="354" t="s">
        <v>81</v>
      </c>
      <c r="E15" s="75">
        <v>46.34</v>
      </c>
    </row>
    <row r="16" spans="1:7">
      <c r="A16" s="353"/>
      <c r="B16" s="354" t="s">
        <v>169</v>
      </c>
      <c r="C16" s="75" t="s">
        <v>126</v>
      </c>
      <c r="D16" s="354" t="s">
        <v>116</v>
      </c>
      <c r="E16" s="75">
        <v>49.91</v>
      </c>
    </row>
    <row r="17" spans="1:5">
      <c r="A17" s="353"/>
      <c r="B17" s="354" t="s">
        <v>169</v>
      </c>
      <c r="C17" s="75" t="s">
        <v>117</v>
      </c>
      <c r="D17" s="354" t="s">
        <v>116</v>
      </c>
      <c r="E17" s="75">
        <v>44.3</v>
      </c>
    </row>
    <row r="18" spans="1:5">
      <c r="A18" s="353"/>
      <c r="B18" s="354" t="s">
        <v>169</v>
      </c>
      <c r="C18" s="75" t="s">
        <v>127</v>
      </c>
      <c r="D18" s="354" t="s">
        <v>116</v>
      </c>
      <c r="E18" s="75">
        <v>49.52</v>
      </c>
    </row>
    <row r="19" spans="1:5">
      <c r="A19" s="353"/>
      <c r="B19" s="354" t="s">
        <v>169</v>
      </c>
      <c r="C19" s="75" t="s">
        <v>142</v>
      </c>
      <c r="D19" s="354" t="s">
        <v>81</v>
      </c>
      <c r="E19" s="75">
        <v>43.89</v>
      </c>
    </row>
    <row r="20" spans="1:5">
      <c r="A20" s="353"/>
      <c r="B20" s="354" t="s">
        <v>169</v>
      </c>
      <c r="C20" s="75"/>
      <c r="D20" s="354" t="s">
        <v>81</v>
      </c>
      <c r="E20" s="75"/>
    </row>
    <row r="21" spans="1:5">
      <c r="A21" s="353"/>
      <c r="B21" s="354" t="s">
        <v>169</v>
      </c>
      <c r="C21" s="75"/>
      <c r="D21" s="354" t="s">
        <v>81</v>
      </c>
      <c r="E21" s="75"/>
    </row>
    <row r="22" spans="1:5">
      <c r="A22" s="353"/>
      <c r="B22" s="354" t="s">
        <v>169</v>
      </c>
      <c r="C22" s="75"/>
      <c r="D22" s="354" t="s">
        <v>81</v>
      </c>
      <c r="E22" s="75"/>
    </row>
    <row r="23" spans="1:5">
      <c r="A23" s="353"/>
      <c r="B23" s="354" t="s">
        <v>169</v>
      </c>
      <c r="C23" s="75" t="s">
        <v>133</v>
      </c>
      <c r="D23" s="354" t="s">
        <v>130</v>
      </c>
      <c r="E23" s="75">
        <v>28.26</v>
      </c>
    </row>
    <row r="24" spans="1:5">
      <c r="A24" s="353"/>
      <c r="B24" s="354" t="s">
        <v>169</v>
      </c>
      <c r="C24" s="75" t="s">
        <v>131</v>
      </c>
      <c r="D24" s="354" t="s">
        <v>130</v>
      </c>
      <c r="E24" s="75">
        <v>26.99</v>
      </c>
    </row>
    <row r="25" spans="1:5">
      <c r="A25" s="353"/>
      <c r="B25" s="354" t="s">
        <v>169</v>
      </c>
      <c r="C25" s="75" t="s">
        <v>132</v>
      </c>
      <c r="D25" s="354" t="s">
        <v>130</v>
      </c>
      <c r="E25" s="75">
        <v>28.26</v>
      </c>
    </row>
    <row r="26" spans="1:5">
      <c r="A26" s="353"/>
      <c r="B26" s="354" t="s">
        <v>169</v>
      </c>
      <c r="C26" s="75" t="s">
        <v>134</v>
      </c>
      <c r="D26" s="354" t="s">
        <v>130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171</v>
      </c>
      <c r="C46" s="75" t="s">
        <v>119</v>
      </c>
      <c r="D46" s="354" t="s">
        <v>172</v>
      </c>
      <c r="E46" s="75">
        <v>29.38</v>
      </c>
    </row>
    <row r="47" spans="1:5">
      <c r="A47" s="351"/>
      <c r="B47" s="354" t="s">
        <v>171</v>
      </c>
      <c r="C47" s="75" t="s">
        <v>173</v>
      </c>
      <c r="D47" s="354" t="s">
        <v>172</v>
      </c>
      <c r="E47" s="75">
        <v>29.38</v>
      </c>
    </row>
    <row r="48" spans="1:5">
      <c r="A48" s="351"/>
      <c r="B48" s="354" t="s">
        <v>171</v>
      </c>
      <c r="C48" s="75" t="s">
        <v>174</v>
      </c>
      <c r="D48" s="354" t="s">
        <v>172</v>
      </c>
      <c r="E48" s="75">
        <v>29.38</v>
      </c>
    </row>
    <row r="49" spans="1:5">
      <c r="A49" s="351"/>
      <c r="B49" s="354" t="s">
        <v>171</v>
      </c>
      <c r="C49" s="75" t="s">
        <v>175</v>
      </c>
      <c r="D49" s="354" t="s">
        <v>172</v>
      </c>
      <c r="E49" s="75">
        <v>29.38</v>
      </c>
    </row>
    <row r="50" spans="1:5">
      <c r="A50" s="351"/>
      <c r="B50" s="354" t="s">
        <v>171</v>
      </c>
      <c r="C50" s="75" t="s">
        <v>176</v>
      </c>
      <c r="D50" s="354" t="s">
        <v>172</v>
      </c>
      <c r="E50" s="75">
        <v>29.38</v>
      </c>
    </row>
    <row r="51" spans="1:5">
      <c r="A51" s="351"/>
      <c r="B51" s="354" t="s">
        <v>171</v>
      </c>
      <c r="C51" s="75" t="s">
        <v>177</v>
      </c>
      <c r="D51" s="354" t="s">
        <v>172</v>
      </c>
      <c r="E51" s="75">
        <v>29.38</v>
      </c>
    </row>
    <row r="52" spans="1:5">
      <c r="A52" s="351"/>
      <c r="B52" s="354" t="s">
        <v>171</v>
      </c>
      <c r="C52" s="75"/>
      <c r="D52" s="354" t="s">
        <v>172</v>
      </c>
      <c r="E52" s="75"/>
    </row>
    <row r="53" spans="1:5">
      <c r="A53" s="351"/>
      <c r="B53" s="354" t="s">
        <v>171</v>
      </c>
      <c r="C53" s="354" t="s">
        <v>178</v>
      </c>
      <c r="D53" s="354" t="s">
        <v>172</v>
      </c>
      <c r="E53" s="75">
        <v>29.38</v>
      </c>
    </row>
    <row r="54" spans="1:5">
      <c r="A54" s="351"/>
      <c r="B54" s="354" t="s">
        <v>171</v>
      </c>
      <c r="C54" s="354"/>
      <c r="D54" s="354" t="s">
        <v>172</v>
      </c>
      <c r="E54" s="354"/>
    </row>
    <row r="55" spans="1:5">
      <c r="A55" s="351"/>
      <c r="B55" s="354" t="s">
        <v>171</v>
      </c>
      <c r="C55" s="354" t="s">
        <v>179</v>
      </c>
      <c r="D55" s="354" t="s">
        <v>172</v>
      </c>
      <c r="E55" s="354">
        <v>29.38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C25" sqref="C25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49" width="10.28515625" style="347" customWidth="1"/>
    <col min="150" max="16384" width="10.28515625" style="347"/>
  </cols>
  <sheetData>
    <row r="1" spans="1:14">
      <c r="A1" s="345" t="s">
        <v>184</v>
      </c>
      <c r="B1" s="345" t="s">
        <v>24</v>
      </c>
      <c r="C1" s="345" t="s">
        <v>185</v>
      </c>
      <c r="D1" s="346"/>
      <c r="E1" s="347" t="s">
        <v>186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120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58"/>
    </row>
    <row r="4" spans="1:14">
      <c r="A4" s="345" t="s">
        <v>187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188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121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115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170</v>
      </c>
      <c r="B9" s="345">
        <v>17</v>
      </c>
      <c r="C9" s="345">
        <v>2250</v>
      </c>
      <c r="D9" s="346"/>
      <c r="E9" s="347">
        <f t="shared" si="0"/>
        <v>132.35294117647058</v>
      </c>
      <c r="F9" s="358"/>
    </row>
    <row r="10" spans="1:14">
      <c r="A10" s="345" t="s">
        <v>189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135</v>
      </c>
      <c r="B11" s="345">
        <v>14</v>
      </c>
      <c r="C11" s="345">
        <v>1565</v>
      </c>
      <c r="D11" s="346"/>
      <c r="E11" s="347">
        <f t="shared" si="0"/>
        <v>111.78571428571429</v>
      </c>
    </row>
    <row r="12" spans="1:14">
      <c r="A12" s="345" t="s">
        <v>114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128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128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126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126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129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190</v>
      </c>
      <c r="J15" s="345" t="s">
        <v>129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127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127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117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117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113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191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192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193</v>
      </c>
      <c r="J19" s="350" t="s">
        <v>194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125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122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123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124</v>
      </c>
      <c r="B23" s="345">
        <v>18</v>
      </c>
      <c r="C23" s="345">
        <v>1636</v>
      </c>
      <c r="D23" s="346"/>
    </row>
    <row r="24" spans="1:14">
      <c r="A24" s="350" t="s">
        <v>142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195</v>
      </c>
      <c r="B26" s="345"/>
      <c r="C26" s="345"/>
      <c r="D26" s="346"/>
    </row>
    <row r="27" spans="1:14">
      <c r="A27" s="345" t="s">
        <v>131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196</v>
      </c>
    </row>
    <row r="28" spans="1:14">
      <c r="A28" s="345" t="s">
        <v>132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134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133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197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485">
        <v>46015</v>
      </c>
      <c r="E3" s="485"/>
      <c r="F3" s="3" t="s">
        <v>72</v>
      </c>
      <c r="G3" s="486">
        <f>範本!E1</f>
        <v>43309</v>
      </c>
      <c r="H3" s="486"/>
      <c r="I3" s="3" t="s">
        <v>2</v>
      </c>
      <c r="J3" s="487" t="e">
        <f>範本!G1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範本!Z2</f>
        <v>0</v>
      </c>
      <c r="M6" s="496">
        <f>範本!AA2</f>
        <v>0</v>
      </c>
      <c r="N6" s="497">
        <f>範本!AD2</f>
        <v>0</v>
      </c>
      <c r="O6" s="496">
        <f>範本!AE2</f>
        <v>0</v>
      </c>
    </row>
    <row r="7" spans="2:15" s="6" customFormat="1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s="6" customFormat="1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510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12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15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14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15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98" t="s">
        <v>104</v>
      </c>
      <c r="C22" s="499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13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s="196" customFormat="1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s="196" customFormat="1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s="196" customFormat="1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s="196" customFormat="1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s="196" customFormat="1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s="196" customFormat="1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s="196" customFormat="1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s="196" customFormat="1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s="196" customFormat="1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s="196" customFormat="1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6565-682E-42C0-AB6C-AA9E0E997AD7}">
  <dimension ref="B1:O26"/>
  <sheetViews>
    <sheetView zoomScale="70" zoomScaleNormal="70" workbookViewId="0">
      <selection activeCell="U31" sqref="U31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58" width="8.85546875" style="360" customWidth="1"/>
    <col min="159" max="16384" width="8.85546875" style="360"/>
  </cols>
  <sheetData>
    <row r="1" spans="2:15" ht="27.75" customHeight="1">
      <c r="B1" s="518" t="s">
        <v>70</v>
      </c>
      <c r="C1" s="518"/>
      <c r="D1" s="518"/>
      <c r="E1" s="518"/>
      <c r="F1" s="518"/>
      <c r="G1" s="518"/>
      <c r="H1" s="518"/>
      <c r="I1" s="518"/>
      <c r="J1" s="518"/>
      <c r="K1" s="518"/>
      <c r="L1" s="359"/>
      <c r="M1" s="359"/>
    </row>
    <row r="2" spans="2:15" ht="27.75" customHeight="1"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359"/>
      <c r="M2" s="359"/>
    </row>
    <row r="3" spans="2:15" ht="46.5" customHeight="1">
      <c r="B3" s="519" t="s">
        <v>71</v>
      </c>
      <c r="C3" s="519"/>
      <c r="D3" s="520">
        <v>46235</v>
      </c>
      <c r="E3" s="520"/>
      <c r="F3" s="361" t="s">
        <v>72</v>
      </c>
      <c r="G3" s="486">
        <f>'0801'!E1</f>
        <v>50157</v>
      </c>
      <c r="H3" s="486"/>
      <c r="I3" s="361" t="s">
        <v>2</v>
      </c>
      <c r="J3" s="521">
        <f>'0801'!G1</f>
        <v>2315009.0209999997</v>
      </c>
      <c r="K3" s="521"/>
      <c r="L3" s="4"/>
    </row>
    <row r="4" spans="2:15" ht="24" customHeight="1">
      <c r="B4" s="519" t="s">
        <v>73</v>
      </c>
      <c r="C4" s="519"/>
      <c r="D4" s="524">
        <v>3</v>
      </c>
      <c r="E4" s="524"/>
      <c r="F4" s="526" t="s">
        <v>74</v>
      </c>
      <c r="G4" s="526"/>
      <c r="H4" s="526" t="s">
        <v>75</v>
      </c>
      <c r="I4" s="526"/>
      <c r="J4" s="524" t="s">
        <v>76</v>
      </c>
      <c r="K4" s="526"/>
      <c r="L4" s="522" t="s">
        <v>77</v>
      </c>
      <c r="M4" s="523"/>
      <c r="N4" s="523" t="s">
        <v>78</v>
      </c>
      <c r="O4" s="523"/>
    </row>
    <row r="5" spans="2:15" ht="24" customHeight="1">
      <c r="B5" s="519" t="s">
        <v>14</v>
      </c>
      <c r="C5" s="519"/>
      <c r="D5" s="524" t="s">
        <v>79</v>
      </c>
      <c r="E5" s="524"/>
      <c r="F5" s="524" t="s">
        <v>80</v>
      </c>
      <c r="G5" s="524"/>
      <c r="H5" s="490" t="s">
        <v>81</v>
      </c>
      <c r="I5" s="490"/>
      <c r="J5" s="491" t="s">
        <v>82</v>
      </c>
      <c r="K5" s="491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519"/>
      <c r="C6" s="519"/>
      <c r="D6" s="519" t="s">
        <v>86</v>
      </c>
      <c r="E6" s="519"/>
      <c r="F6" s="525">
        <f>AVERAGE(D13:J13)</f>
        <v>125.38780106448175</v>
      </c>
      <c r="G6" s="525"/>
      <c r="H6" s="493">
        <f>AVERAGE(D13:H13)</f>
        <v>122.39020864756159</v>
      </c>
      <c r="I6" s="493"/>
      <c r="J6" s="493">
        <f>AVERAGE(I13:J13)</f>
        <v>132.88178210678211</v>
      </c>
      <c r="K6" s="493"/>
      <c r="L6" s="532">
        <f>SUM(D18:J18)</f>
        <v>2</v>
      </c>
      <c r="M6" s="527">
        <f>SUM(D19:J19)</f>
        <v>32</v>
      </c>
      <c r="N6" s="534">
        <f>SUM(D20:J20)</f>
        <v>0</v>
      </c>
      <c r="O6" s="527">
        <f>SUM(D20:J20)</f>
        <v>0</v>
      </c>
    </row>
    <row r="7" spans="2:15" ht="39.6" customHeight="1">
      <c r="B7" s="519"/>
      <c r="C7" s="519"/>
      <c r="D7" s="541" t="s">
        <v>87</v>
      </c>
      <c r="E7" s="541"/>
      <c r="F7" s="542">
        <f>AVERAGE(D14:J14)</f>
        <v>112.77518366378318</v>
      </c>
      <c r="G7" s="542"/>
      <c r="H7" s="517">
        <f>AVERAGE(D14:H14)</f>
        <v>108.65321986475888</v>
      </c>
      <c r="I7" s="517"/>
      <c r="J7" s="517">
        <f>AVERAGE(I14:J14)</f>
        <v>123.08009316134392</v>
      </c>
      <c r="K7" s="517"/>
      <c r="L7" s="533" t="e">
        <f t="shared" ref="L7:O8" si="0">AVERAGE(K14:L14)</f>
        <v>#DIV/0!</v>
      </c>
      <c r="M7" s="527" t="e">
        <f t="shared" si="0"/>
        <v>#DIV/0!</v>
      </c>
      <c r="N7" s="535" t="e">
        <f t="shared" si="0"/>
        <v>#DIV/0!</v>
      </c>
      <c r="O7" s="527" t="e">
        <f t="shared" si="0"/>
        <v>#DIV/0!</v>
      </c>
    </row>
    <row r="8" spans="2:15" ht="39.6" customHeight="1">
      <c r="B8" s="519"/>
      <c r="C8" s="519"/>
      <c r="D8" s="541" t="s">
        <v>27</v>
      </c>
      <c r="E8" s="541"/>
      <c r="F8" s="489">
        <f>F7/F6</f>
        <v>0.89941112856574923</v>
      </c>
      <c r="G8" s="489"/>
      <c r="H8" s="489">
        <f>H7/H6</f>
        <v>0.88776072093838698</v>
      </c>
      <c r="I8" s="489"/>
      <c r="J8" s="489">
        <f>J7/J6</f>
        <v>0.926237526393485</v>
      </c>
      <c r="K8" s="489"/>
      <c r="L8" s="533" t="e">
        <f t="shared" si="0"/>
        <v>#DIV/0!</v>
      </c>
      <c r="M8" s="527" t="e">
        <f t="shared" si="0"/>
        <v>#DIV/0!</v>
      </c>
      <c r="N8" s="535" t="e">
        <f t="shared" si="0"/>
        <v>#DIV/0!</v>
      </c>
      <c r="O8" s="527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536" t="s">
        <v>89</v>
      </c>
      <c r="C10" s="537"/>
      <c r="D10" s="538" t="s">
        <v>90</v>
      </c>
      <c r="E10" s="539"/>
      <c r="F10" s="539"/>
      <c r="G10" s="539"/>
      <c r="H10" s="539"/>
      <c r="I10" s="539"/>
      <c r="J10" s="540"/>
    </row>
    <row r="11" spans="2:15" ht="17.25" customHeight="1">
      <c r="B11" s="528" t="s">
        <v>91</v>
      </c>
      <c r="C11" s="529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530"/>
      <c r="C12" s="531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544" t="s">
        <v>14</v>
      </c>
      <c r="C13" s="370" t="s">
        <v>99</v>
      </c>
      <c r="D13" s="371">
        <f>VALUE('0801'!L15)</f>
        <v>136.57968828557063</v>
      </c>
      <c r="E13" s="371">
        <f>VALUE('0801'!L26)</f>
        <v>174.51923076923077</v>
      </c>
      <c r="F13" s="371">
        <f>VALUE('0801'!L37)</f>
        <v>95.065767973856211</v>
      </c>
      <c r="G13" s="371">
        <f>VALUE('0801'!L48)</f>
        <v>99.006944444444443</v>
      </c>
      <c r="H13" s="371">
        <f>VALUE('0801'!L58)</f>
        <v>106.77941176470588</v>
      </c>
      <c r="I13" s="371">
        <f>VALUE('0801'!L69)</f>
        <v>135.50707070707071</v>
      </c>
      <c r="J13" s="371">
        <f>'0801'!L79</f>
        <v>130.25649350649351</v>
      </c>
    </row>
    <row r="14" spans="2:15" ht="39.950000000000003" customHeight="1">
      <c r="B14" s="545"/>
      <c r="C14" s="370" t="s">
        <v>100</v>
      </c>
      <c r="D14" s="371">
        <f>VALUE('0801'!O15)</f>
        <v>117.50436038661313</v>
      </c>
      <c r="E14" s="371">
        <f>VALUE('0801'!O26)</f>
        <v>160.65281954344522</v>
      </c>
      <c r="F14" s="371">
        <f>VALUE('0801'!O37)</f>
        <v>84.64800150829619</v>
      </c>
      <c r="G14" s="371">
        <f>VALUE('0801'!O48)</f>
        <v>85.922142857142546</v>
      </c>
      <c r="H14" s="371">
        <f>VALUE('0801'!O58)</f>
        <v>94.538775028297209</v>
      </c>
      <c r="I14" s="371">
        <f>VALUE('0801'!O69)</f>
        <v>130.03636363636403</v>
      </c>
      <c r="J14" s="371">
        <f>'0801'!O79</f>
        <v>116.12382268632382</v>
      </c>
    </row>
    <row r="15" spans="2:15" ht="39.950000000000003" customHeight="1">
      <c r="B15" s="546"/>
      <c r="C15" s="368" t="s">
        <v>26</v>
      </c>
      <c r="D15" s="372">
        <f t="shared" ref="D15:I15" si="1">D14/D13</f>
        <v>0.86033554375176613</v>
      </c>
      <c r="E15" s="372">
        <f t="shared" si="1"/>
        <v>0.92054508168144922</v>
      </c>
      <c r="F15" s="372">
        <f t="shared" si="1"/>
        <v>0.89041516533664378</v>
      </c>
      <c r="G15" s="372">
        <f t="shared" si="1"/>
        <v>0.86783955751059316</v>
      </c>
      <c r="H15" s="372">
        <f t="shared" si="1"/>
        <v>0.88536519789618651</v>
      </c>
      <c r="I15" s="372">
        <f t="shared" si="1"/>
        <v>0.95962788478740824</v>
      </c>
      <c r="J15" s="373">
        <f>'0801'!S70</f>
        <v>0.89150121855947895</v>
      </c>
    </row>
    <row r="16" spans="2:15" ht="17.25" customHeight="1">
      <c r="B16" s="547" t="s">
        <v>101</v>
      </c>
      <c r="C16" s="368" t="s">
        <v>34</v>
      </c>
      <c r="D16" s="374">
        <f>'0801'!T5</f>
        <v>0.29236111111111102</v>
      </c>
      <c r="E16" s="374">
        <f>'0801'!T16</f>
        <v>0.29166666666666702</v>
      </c>
      <c r="F16" s="374">
        <f>'0801'!T27</f>
        <v>0.28819444444444398</v>
      </c>
      <c r="G16" s="374">
        <f>'0801'!T38</f>
        <v>0.33333333333333298</v>
      </c>
      <c r="H16" s="374">
        <f>'0801'!T49</f>
        <v>0.29166666666666702</v>
      </c>
      <c r="I16" s="374">
        <f>'0801'!T59</f>
        <v>0.29166666666666702</v>
      </c>
      <c r="J16" s="374">
        <f>'0801'!T70</f>
        <v>0.29305555555555601</v>
      </c>
    </row>
    <row r="17" spans="2:10" ht="17.25" customHeight="1">
      <c r="B17" s="548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549" t="s">
        <v>102</v>
      </c>
      <c r="C18" s="378" t="s">
        <v>36</v>
      </c>
      <c r="D18" s="379">
        <f>'0801'!Z15</f>
        <v>2</v>
      </c>
      <c r="E18" s="380">
        <f>'0801'!Z26</f>
        <v>0</v>
      </c>
      <c r="F18" s="380">
        <f>'0801'!Z37</f>
        <v>0</v>
      </c>
      <c r="G18" s="381">
        <f>'0801'!Z48</f>
        <v>0</v>
      </c>
      <c r="H18" s="381">
        <f>'0801'!Z58</f>
        <v>0</v>
      </c>
      <c r="I18" s="380">
        <f>'0801'!Z69</f>
        <v>0</v>
      </c>
      <c r="J18" s="380">
        <f>'0801'!AA79</f>
        <v>0</v>
      </c>
    </row>
    <row r="19" spans="2:10" ht="17.25" customHeight="1">
      <c r="B19" s="550"/>
      <c r="C19" s="378" t="s">
        <v>37</v>
      </c>
      <c r="D19" s="379">
        <f>'0801'!AA15</f>
        <v>32</v>
      </c>
      <c r="E19" s="380">
        <f>'0801'!AA26</f>
        <v>0</v>
      </c>
      <c r="F19" s="380">
        <f>'0801'!AA37</f>
        <v>0</v>
      </c>
      <c r="G19" s="381">
        <f>'0801'!AA48</f>
        <v>0</v>
      </c>
      <c r="H19" s="381">
        <f>'0801'!AA58</f>
        <v>0</v>
      </c>
      <c r="I19" s="380">
        <f>'0801'!AA69</f>
        <v>0</v>
      </c>
      <c r="J19" s="380">
        <f>'0801'!AB79</f>
        <v>0</v>
      </c>
    </row>
    <row r="20" spans="2:10" ht="17.25" customHeight="1">
      <c r="B20" s="549" t="s">
        <v>103</v>
      </c>
      <c r="C20" s="378" t="s">
        <v>36</v>
      </c>
      <c r="D20" s="379">
        <f>'0801'!AD15</f>
        <v>0</v>
      </c>
      <c r="E20" s="380">
        <f>'0801'!AD26</f>
        <v>0</v>
      </c>
      <c r="F20" s="380">
        <f>'0801'!AD37</f>
        <v>0</v>
      </c>
      <c r="G20" s="381">
        <f>'0801'!AD48</f>
        <v>0</v>
      </c>
      <c r="H20" s="381">
        <f>'0801'!AD58</f>
        <v>0</v>
      </c>
      <c r="I20" s="380">
        <f>'0801'!AD69</f>
        <v>0</v>
      </c>
      <c r="J20" s="380">
        <f>'0801'!AD79</f>
        <v>0</v>
      </c>
    </row>
    <row r="21" spans="2:10" ht="17.25" customHeight="1">
      <c r="B21" s="550"/>
      <c r="C21" s="378" t="s">
        <v>85</v>
      </c>
      <c r="D21" s="379">
        <f>'0801'!AE15</f>
        <v>0</v>
      </c>
      <c r="E21" s="380">
        <f>'0801'!AE26</f>
        <v>0</v>
      </c>
      <c r="F21" s="380">
        <f>'0801'!AE37</f>
        <v>0</v>
      </c>
      <c r="G21" s="381">
        <f>'0801'!AE48</f>
        <v>0</v>
      </c>
      <c r="H21" s="381">
        <f>'0801'!AE58</f>
        <v>0</v>
      </c>
      <c r="I21" s="380">
        <f>'0801'!AE69</f>
        <v>0</v>
      </c>
      <c r="J21" s="380">
        <f>'0801'!AE79</f>
        <v>0</v>
      </c>
    </row>
    <row r="22" spans="2:10" ht="17.25" customHeight="1">
      <c r="B22" s="536" t="s">
        <v>104</v>
      </c>
      <c r="C22" s="537"/>
      <c r="D22" s="382">
        <f>VALUE('0801'!M15)</f>
        <v>15.75</v>
      </c>
      <c r="E22" s="382">
        <f>VALUE('0801'!M26)</f>
        <v>13</v>
      </c>
      <c r="F22" s="382">
        <f>VALUE('0801'!M37)</f>
        <v>17.25</v>
      </c>
      <c r="G22" s="382">
        <f>VALUE('0801'!M48)</f>
        <v>17</v>
      </c>
      <c r="H22" s="382">
        <f>VALUE('0801'!M58)</f>
        <v>16.25</v>
      </c>
      <c r="I22" s="382">
        <f>VALUE('0801'!M69)</f>
        <v>12.333333333333334</v>
      </c>
      <c r="J22" s="382">
        <f>'0801'!M79</f>
        <v>8.5</v>
      </c>
    </row>
    <row r="23" spans="2:10" ht="17.25" customHeight="1">
      <c r="B23" s="536" t="s">
        <v>105</v>
      </c>
      <c r="C23" s="537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536" t="s">
        <v>109</v>
      </c>
      <c r="C24" s="537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536" t="s">
        <v>111</v>
      </c>
      <c r="C25" s="537"/>
      <c r="D25" s="384"/>
      <c r="E25" s="384"/>
      <c r="F25" s="384"/>
      <c r="G25" s="384"/>
      <c r="H25" s="384"/>
      <c r="I25" s="384"/>
      <c r="J25" s="384"/>
    </row>
    <row r="26" spans="2:10">
      <c r="B26" s="543"/>
      <c r="C26" s="543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2FDA-0107-441C-9CE6-25B9EECC4CD0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U31" sqref="U31"/>
      <selection pane="topRight" activeCell="U31" sqref="U31"/>
      <selection pane="bottomLeft" activeCell="U31" sqref="U31"/>
      <selection pane="bottomRight" activeCell="K29" sqref="K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8" width="8.7109375" style="34" customWidth="1"/>
    <col min="15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50157</v>
      </c>
      <c r="F1" s="30" t="s">
        <v>2</v>
      </c>
      <c r="G1" s="31">
        <f>SUM(H5:H79)</f>
        <v>2315009.0209999997</v>
      </c>
      <c r="H1" s="32" t="s">
        <v>3</v>
      </c>
      <c r="I1" s="33">
        <f>M15+M26+M48+M58+M69+M79+M37</f>
        <v>100.08333333333333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112</v>
      </c>
      <c r="B2" s="413"/>
      <c r="C2" s="28"/>
      <c r="D2" s="28" t="s">
        <v>14</v>
      </c>
      <c r="E2" s="35">
        <f>AVERAGE(O15,O26,O37,O48,O58,O69,O79)</f>
        <v>112.77518366378318</v>
      </c>
      <c r="F2" s="36" t="s">
        <v>15</v>
      </c>
      <c r="G2" s="37">
        <f>G1/E1</f>
        <v>46.155252925812938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2</v>
      </c>
      <c r="AA2" s="339">
        <f>AA15+AA26+AA37+AA48+AA58+AA69+AA79</f>
        <v>32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1467</v>
      </c>
      <c r="H5" s="43">
        <f>F5*G5</f>
        <v>74332.89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2000.4545454545162</v>
      </c>
      <c r="O5" s="47">
        <f>N5/M5</f>
        <v>117.67379679144213</v>
      </c>
      <c r="P5" s="49">
        <f>M5-J5</f>
        <v>0</v>
      </c>
      <c r="Q5" s="50">
        <f>O5-L5</f>
        <v>-14.679144385028451</v>
      </c>
      <c r="R5" s="51">
        <f>O5/L5</f>
        <v>0.88909090909089616</v>
      </c>
      <c r="S5" s="407">
        <f>R15</f>
        <v>0.86033554375176613</v>
      </c>
      <c r="T5" s="319">
        <v>0.29236111111111102</v>
      </c>
      <c r="U5" s="320">
        <v>0.32291666666666702</v>
      </c>
      <c r="V5" s="53"/>
      <c r="W5" s="54">
        <f t="shared" ref="W5:W14" si="0">(U5-T5)*24*60</f>
        <v>44.000000000000639</v>
      </c>
      <c r="X5" s="55"/>
      <c r="Y5" s="290"/>
      <c r="Z5" s="169"/>
      <c r="AA5" s="169"/>
      <c r="AB5" s="442"/>
      <c r="AC5" s="442"/>
      <c r="AD5" s="135"/>
      <c r="AE5" s="135"/>
      <c r="AF5" s="229">
        <f t="shared" ref="AF5:AF11" si="1">N5-K5</f>
        <v>-249.54545454548384</v>
      </c>
      <c r="AG5" s="52">
        <f t="shared" ref="AG5:AG11" si="2">N5/K5</f>
        <v>0.88909090909089605</v>
      </c>
      <c r="AH5" s="435">
        <f>AG15</f>
        <v>0.85727316927336183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1217</v>
      </c>
      <c r="H6" s="63">
        <f>F6*G6</f>
        <v>70792.89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1921.5789473684117</v>
      </c>
      <c r="O6" s="67">
        <f>N6/M6</f>
        <v>147.81376518218551</v>
      </c>
      <c r="P6" s="69">
        <f>M6-J6</f>
        <v>0</v>
      </c>
      <c r="Q6" s="70">
        <f>O6-L6</f>
        <v>-25.26315789473756</v>
      </c>
      <c r="R6" s="71">
        <f>O6/L6</f>
        <v>0.85403508771929404</v>
      </c>
      <c r="S6" s="408"/>
      <c r="T6" s="16">
        <v>0.33124999999999999</v>
      </c>
      <c r="U6" s="16">
        <v>0.35763888888888901</v>
      </c>
      <c r="V6" s="30">
        <f>(T6-U5)*24*60</f>
        <v>11.999999999999478</v>
      </c>
      <c r="W6" s="73">
        <f t="shared" si="0"/>
        <v>38.000000000000185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-328.42105263158828</v>
      </c>
      <c r="AG6" s="72">
        <f t="shared" si="2"/>
        <v>0.85403508771929415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5630</v>
      </c>
      <c r="H7" s="78">
        <f>F7*G7</f>
        <v>276658.2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2072.3926380368171</v>
      </c>
      <c r="O7" s="81">
        <f>N7/M7</f>
        <v>138.15950920245447</v>
      </c>
      <c r="P7" s="74">
        <f>M7-J7</f>
        <v>0</v>
      </c>
      <c r="Q7" s="83">
        <f>O7-L7</f>
        <v>-11.840490797545527</v>
      </c>
      <c r="R7" s="72">
        <f>O7/L7</f>
        <v>0.92106339468302978</v>
      </c>
      <c r="S7" s="408"/>
      <c r="T7" s="18">
        <v>0.36527777777777798</v>
      </c>
      <c r="U7" s="18">
        <v>0.47847222222222202</v>
      </c>
      <c r="V7" s="30">
        <f>(T7-U6)*24*60</f>
        <v>11.000000000000121</v>
      </c>
      <c r="W7" s="73">
        <f t="shared" si="0"/>
        <v>162.99999999999943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-177.60736196318294</v>
      </c>
      <c r="AG7" s="72">
        <f t="shared" si="2"/>
        <v>0.92106339468302978</v>
      </c>
      <c r="AH7" s="436"/>
    </row>
    <row r="8" spans="1:34" ht="15" customHeight="1">
      <c r="A8" s="391"/>
      <c r="B8" s="75" t="s">
        <v>116</v>
      </c>
      <c r="C8" s="76"/>
      <c r="D8" s="59" t="s">
        <v>117</v>
      </c>
      <c r="E8" s="77"/>
      <c r="F8" s="75">
        <f>VLOOKUP(D8,廠價表!$C$1:$E$43,3,0)</f>
        <v>44.3</v>
      </c>
      <c r="G8" s="66">
        <v>1792</v>
      </c>
      <c r="H8" s="78">
        <f>F8*G8</f>
        <v>79385.599999999991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18</v>
      </c>
      <c r="N8" s="80">
        <f>G8/W8*60</f>
        <v>1194.6666666666667</v>
      </c>
      <c r="O8" s="81">
        <f>N8/M8</f>
        <v>66.370370370370381</v>
      </c>
      <c r="P8" s="74">
        <f>M8-J8</f>
        <v>0</v>
      </c>
      <c r="Q8" s="83">
        <f>O8-L8</f>
        <v>-24.518518518518505</v>
      </c>
      <c r="R8" s="72">
        <f>O8/L8</f>
        <v>0.73023634881825605</v>
      </c>
      <c r="S8" s="408"/>
      <c r="T8" s="16">
        <v>0.55208333333333304</v>
      </c>
      <c r="U8" s="16">
        <v>0.61458333333333304</v>
      </c>
      <c r="V8" s="30">
        <f>(T8-U7)*24*60</f>
        <v>105.99999999999986</v>
      </c>
      <c r="W8" s="73">
        <f t="shared" si="0"/>
        <v>90</v>
      </c>
      <c r="X8" s="22">
        <v>0.48611111111111099</v>
      </c>
      <c r="Y8" s="84">
        <v>0.52777777777777801</v>
      </c>
      <c r="Z8" s="90">
        <v>2</v>
      </c>
      <c r="AA8" s="90">
        <v>32</v>
      </c>
      <c r="AB8" s="439" t="s">
        <v>118</v>
      </c>
      <c r="AC8" s="439"/>
      <c r="AD8" s="149"/>
      <c r="AE8" s="149"/>
      <c r="AF8" s="307">
        <f t="shared" si="1"/>
        <v>-441.33333333333326</v>
      </c>
      <c r="AG8" s="72">
        <f t="shared" si="2"/>
        <v>0.73023634881825594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3">AVERAGE(J5:J14)</f>
        <v>15.75</v>
      </c>
      <c r="K15" s="120">
        <f t="shared" si="3"/>
        <v>2096.5</v>
      </c>
      <c r="L15" s="117">
        <f t="shared" si="3"/>
        <v>136.57968828557063</v>
      </c>
      <c r="M15" s="120">
        <f t="shared" si="3"/>
        <v>15.75</v>
      </c>
      <c r="N15" s="120">
        <f t="shared" si="3"/>
        <v>1797.273199381603</v>
      </c>
      <c r="O15" s="117">
        <f t="shared" si="3"/>
        <v>117.50436038661313</v>
      </c>
      <c r="P15" s="121">
        <f>M15-J15</f>
        <v>0</v>
      </c>
      <c r="Q15" s="122">
        <f>O15-L15</f>
        <v>-19.075327898957497</v>
      </c>
      <c r="R15" s="123">
        <f>O15/L15</f>
        <v>0.86033554375176613</v>
      </c>
      <c r="S15" s="411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32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-299.22680061839696</v>
      </c>
      <c r="AG15" s="124">
        <f>N15/K15</f>
        <v>0.85727316927336183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3444</v>
      </c>
      <c r="H16" s="134">
        <f>F16*G16</f>
        <v>174507.48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2108.5714285714462</v>
      </c>
      <c r="O16" s="141">
        <f>N16/M16</f>
        <v>162.19780219780355</v>
      </c>
      <c r="P16" s="142">
        <f>M16-J16</f>
        <v>0</v>
      </c>
      <c r="Q16" s="143">
        <f>O16-L16</f>
        <v>-10.879120879119512</v>
      </c>
      <c r="R16" s="144">
        <f>O16/L16</f>
        <v>0.93714285714286505</v>
      </c>
      <c r="S16" s="446">
        <f>R26</f>
        <v>0.92054508168144922</v>
      </c>
      <c r="T16" s="145">
        <v>0.29166666666666702</v>
      </c>
      <c r="U16" s="145">
        <v>0.359722222222222</v>
      </c>
      <c r="V16" s="135"/>
      <c r="W16" s="146">
        <f t="shared" ref="W16:W78" si="4">(U16-T16)*24*60</f>
        <v>97.999999999999176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-141.42857142855382</v>
      </c>
      <c r="AG16" s="52">
        <f>N16/K16</f>
        <v>0.93714285714286494</v>
      </c>
      <c r="AH16" s="435">
        <f>AG26</f>
        <v>0.92026294151294497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2453</v>
      </c>
      <c r="H17" s="78">
        <f>F17*G17</f>
        <v>139502.10999999999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2044.1666666666649</v>
      </c>
      <c r="O17" s="96">
        <f>N17/M17</f>
        <v>136.27777777777766</v>
      </c>
      <c r="P17" s="97">
        <f>M17-J17</f>
        <v>0</v>
      </c>
      <c r="Q17" s="98">
        <f>O17-L17</f>
        <v>-13.722222222222342</v>
      </c>
      <c r="R17" s="99">
        <f>O17/L17</f>
        <v>0.90851851851851773</v>
      </c>
      <c r="S17" s="447"/>
      <c r="T17" s="19">
        <v>0.36597222222222198</v>
      </c>
      <c r="U17" s="19">
        <v>0.41597222222222202</v>
      </c>
      <c r="V17" s="30">
        <f>(T17-U16)*24*60</f>
        <v>8.999999999999968</v>
      </c>
      <c r="W17" s="149">
        <f t="shared" si="4"/>
        <v>72.000000000000057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-205.83333333333508</v>
      </c>
      <c r="AG17" s="72">
        <f>N17/K17</f>
        <v>0.90851851851851773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2588</v>
      </c>
      <c r="H18" s="78">
        <f>F18*G18</f>
        <v>130409.32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2098.3783783783742</v>
      </c>
      <c r="O18" s="96">
        <f>N18/M18</f>
        <v>174.86486486486453</v>
      </c>
      <c r="P18" s="97">
        <f>M18-J18</f>
        <v>0</v>
      </c>
      <c r="Q18" s="98">
        <f>O18-L18</f>
        <v>-12.635135135135471</v>
      </c>
      <c r="R18" s="99">
        <f>O18/L18</f>
        <v>0.93261261261261086</v>
      </c>
      <c r="S18" s="447"/>
      <c r="T18" s="19">
        <v>0.422222222222222</v>
      </c>
      <c r="U18" s="19">
        <v>0.47361111111111098</v>
      </c>
      <c r="V18" s="30">
        <f>(T18-U17)*24*60</f>
        <v>8.999999999999968</v>
      </c>
      <c r="W18" s="149">
        <f t="shared" si="4"/>
        <v>74.000000000000142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>
        <f>N18-K18</f>
        <v>-151.62162162162576</v>
      </c>
      <c r="AG18" s="72">
        <f>N18/K18</f>
        <v>0.93261261261261075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1625</v>
      </c>
      <c r="H19" s="78">
        <f>F19*G19</f>
        <v>81883.75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2031.2500000000207</v>
      </c>
      <c r="O19" s="96">
        <f>N19/M19</f>
        <v>169.27083333333505</v>
      </c>
      <c r="P19" s="97">
        <f>M19-J19</f>
        <v>0</v>
      </c>
      <c r="Q19" s="98">
        <f>O19-L19</f>
        <v>-18.229166666664952</v>
      </c>
      <c r="R19" s="99">
        <f>O19/L19</f>
        <v>0.90277777777778689</v>
      </c>
      <c r="S19" s="447"/>
      <c r="T19" s="19">
        <v>0.54166666666666696</v>
      </c>
      <c r="U19" s="19">
        <v>0.57499999999999996</v>
      </c>
      <c r="V19" s="30">
        <f>(T19-U18)*24*60</f>
        <v>98.000000000000611</v>
      </c>
      <c r="W19" s="149">
        <f t="shared" si="4"/>
        <v>47.99999999999951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-218.74999999997931</v>
      </c>
      <c r="AG19" s="72">
        <f>N19/K19</f>
        <v>0.902777777777787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2070.5916184041262</v>
      </c>
      <c r="O26" s="158">
        <f t="shared" si="5"/>
        <v>160.65281954344522</v>
      </c>
      <c r="P26" s="159">
        <f>M26-J26</f>
        <v>0</v>
      </c>
      <c r="Q26" s="160">
        <f>O26-L26</f>
        <v>-13.866411225785555</v>
      </c>
      <c r="R26" s="161">
        <f>O26/L26</f>
        <v>0.92054508168144922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6">N26-K26</f>
        <v>-179.40838159587383</v>
      </c>
      <c r="AG26" s="124">
        <f t="shared" ref="AG26:AG31" si="7">N26/K26</f>
        <v>0.92026294151294497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1960</v>
      </c>
      <c r="H27" s="134">
        <f>F27*G27</f>
        <v>90826.400000000009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1383.5294117647004</v>
      </c>
      <c r="O27" s="141">
        <f>N27/M27</f>
        <v>86.470588235293775</v>
      </c>
      <c r="P27" s="142">
        <f>M27-J27</f>
        <v>0</v>
      </c>
      <c r="Q27" s="143">
        <f>O27-L27</f>
        <v>-15.779411764706225</v>
      </c>
      <c r="R27" s="144">
        <f>O27/L27</f>
        <v>0.84567812455055036</v>
      </c>
      <c r="S27" s="446">
        <f>R37</f>
        <v>0.89041516533664378</v>
      </c>
      <c r="T27" s="171">
        <v>0.28819444444444398</v>
      </c>
      <c r="U27" s="171">
        <v>0.34722222222222199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>
        <f t="shared" si="6"/>
        <v>-252.4705882352996</v>
      </c>
      <c r="AG27" s="172">
        <f t="shared" si="7"/>
        <v>0.84567812455055036</v>
      </c>
      <c r="AH27" s="435">
        <f>AG37</f>
        <v>0.89100466686581237</v>
      </c>
    </row>
    <row r="28" spans="1:34" ht="15" customHeight="1">
      <c r="A28" s="444"/>
      <c r="B28" s="75" t="s">
        <v>81</v>
      </c>
      <c r="C28" s="173"/>
      <c r="D28" s="59" t="s">
        <v>123</v>
      </c>
      <c r="E28" s="104"/>
      <c r="F28" s="75">
        <f>VLOOKUP(D28,廠價表!$C$1:$E$43,3,0)</f>
        <v>49.91</v>
      </c>
      <c r="G28" s="90">
        <v>2568</v>
      </c>
      <c r="H28" s="91">
        <f>F28*G28</f>
        <v>128168.87999999999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18</v>
      </c>
      <c r="N28" s="95">
        <f>G28/W28*60</f>
        <v>1481.5384615384667</v>
      </c>
      <c r="O28" s="96">
        <f>N28/M28</f>
        <v>82.307692307692591</v>
      </c>
      <c r="P28" s="97">
        <f>M28-J28</f>
        <v>0</v>
      </c>
      <c r="Q28" s="98">
        <f>O28-L28</f>
        <v>-8.5811965811962949</v>
      </c>
      <c r="R28" s="99">
        <f>O28/L28</f>
        <v>0.90558585668610436</v>
      </c>
      <c r="S28" s="447"/>
      <c r="T28" s="19">
        <v>0.35277777777777802</v>
      </c>
      <c r="U28" s="19">
        <v>0.42499999999999999</v>
      </c>
      <c r="V28" s="92">
        <f>(T28-U27)*24*60</f>
        <v>8.000000000000691</v>
      </c>
      <c r="W28" s="149">
        <f t="shared" si="4"/>
        <v>103.99999999999963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6"/>
        <v>-154.46153846153334</v>
      </c>
      <c r="AG28" s="99">
        <f t="shared" si="7"/>
        <v>0.90558585668610436</v>
      </c>
      <c r="AH28" s="456"/>
    </row>
    <row r="29" spans="1:34" ht="15" customHeight="1">
      <c r="A29" s="44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946</v>
      </c>
      <c r="H29" s="91">
        <f>F29*G29</f>
        <v>54120.66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1419.0000000000418</v>
      </c>
      <c r="O29" s="96">
        <f>N29/M29</f>
        <v>78.833333333335659</v>
      </c>
      <c r="P29" s="97">
        <f>M29-J29</f>
        <v>0</v>
      </c>
      <c r="Q29" s="98">
        <f>O29-L29</f>
        <v>-12.055555555553227</v>
      </c>
      <c r="R29" s="99">
        <f>O29/L29</f>
        <v>0.86735941320295962</v>
      </c>
      <c r="S29" s="447"/>
      <c r="T29" s="19">
        <v>0.43055555555555602</v>
      </c>
      <c r="U29" s="19">
        <v>0.45833333333333298</v>
      </c>
      <c r="V29" s="92">
        <f>(T29-U28)*24*60</f>
        <v>8.000000000000691</v>
      </c>
      <c r="W29" s="149">
        <f t="shared" si="4"/>
        <v>39.99999999999882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6"/>
        <v>-216.99999999995816</v>
      </c>
      <c r="AG29" s="99">
        <f t="shared" si="7"/>
        <v>0.86735941320295951</v>
      </c>
      <c r="AH29" s="456"/>
    </row>
    <row r="30" spans="1:34" ht="15" customHeight="1">
      <c r="A30" s="44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1160</v>
      </c>
      <c r="H30" s="91">
        <f>F30*G30</f>
        <v>52965.599999999999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1546.6666666666667</v>
      </c>
      <c r="O30" s="96">
        <f>N30/M30</f>
        <v>90.980392156862749</v>
      </c>
      <c r="P30" s="97">
        <f>M30-J30</f>
        <v>0</v>
      </c>
      <c r="Q30" s="98">
        <f>O30-L30</f>
        <v>-5.2549019607843093</v>
      </c>
      <c r="R30" s="99">
        <f>O30/L30</f>
        <v>0.94539527302363491</v>
      </c>
      <c r="S30" s="447"/>
      <c r="T30" s="19">
        <v>0.46875</v>
      </c>
      <c r="U30" s="19">
        <v>0.5</v>
      </c>
      <c r="V30" s="92">
        <f>(T30-U29)*24*60</f>
        <v>15.000000000000506</v>
      </c>
      <c r="W30" s="149">
        <f t="shared" si="4"/>
        <v>45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-89.333333333333258</v>
      </c>
      <c r="AG30" s="99">
        <f t="shared" si="7"/>
        <v>0.94539527302363491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17.25</v>
      </c>
      <c r="N37" s="155">
        <f t="shared" si="8"/>
        <v>1457.683634992469</v>
      </c>
      <c r="O37" s="158">
        <f t="shared" si="8"/>
        <v>84.64800150829619</v>
      </c>
      <c r="P37" s="159">
        <f>M37-J37</f>
        <v>0</v>
      </c>
      <c r="Q37" s="160">
        <f>N37-K37</f>
        <v>-178.31636500753098</v>
      </c>
      <c r="R37" s="161">
        <f>O37/L37</f>
        <v>0.89041516533664378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-178.31636500753098</v>
      </c>
      <c r="AG37" s="124">
        <f>N37/K37</f>
        <v>0.89100466686581237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2172</v>
      </c>
      <c r="H38" s="134">
        <f>F38*G38</f>
        <v>108404.51999999999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1551.4285714285534</v>
      </c>
      <c r="O38" s="141">
        <f>N38/M38</f>
        <v>96.964285714284586</v>
      </c>
      <c r="P38" s="142">
        <f>M38-J38</f>
        <v>0</v>
      </c>
      <c r="Q38" s="143">
        <f>O38-L38</f>
        <v>-10.160714285715414</v>
      </c>
      <c r="R38" s="144">
        <f>O38/L38</f>
        <v>0.9051508584764022</v>
      </c>
      <c r="S38" s="468">
        <f>R48</f>
        <v>0.86783955751059316</v>
      </c>
      <c r="T38" s="191">
        <v>0.33333333333333298</v>
      </c>
      <c r="U38" s="191">
        <v>0.391666666666667</v>
      </c>
      <c r="V38" s="192"/>
      <c r="W38" s="193">
        <f t="shared" si="4"/>
        <v>84.000000000000981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-162.57142857144663</v>
      </c>
      <c r="AG38" s="195">
        <f>N38/K38</f>
        <v>0.9051508584764022</v>
      </c>
      <c r="AH38" s="458">
        <f>AG48</f>
        <v>0.86545330490404859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2808</v>
      </c>
      <c r="H39" s="91">
        <f>F39*G39</f>
        <v>124394.4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1347.840000000009</v>
      </c>
      <c r="O39" s="203">
        <f>N39/M39</f>
        <v>74.880000000000507</v>
      </c>
      <c r="P39" s="97">
        <f>M39-J39</f>
        <v>0</v>
      </c>
      <c r="Q39" s="98">
        <f>O39-L39</f>
        <v>-16.008888888888379</v>
      </c>
      <c r="R39" s="99">
        <f>O39/L39</f>
        <v>0.82386308068460223</v>
      </c>
      <c r="S39" s="469"/>
      <c r="T39" s="20">
        <v>0.40277777777777801</v>
      </c>
      <c r="U39" s="20">
        <v>0.48958333333333298</v>
      </c>
      <c r="V39" s="92">
        <f>(T39-U38)*24*60</f>
        <v>15.999999999999863</v>
      </c>
      <c r="W39" s="205">
        <f t="shared" si="4"/>
        <v>124.99999999999916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-288.15999999999099</v>
      </c>
      <c r="AG39" s="206">
        <f>N39/K39</f>
        <v>0.82386308068460212</v>
      </c>
      <c r="AH39" s="459"/>
    </row>
    <row r="40" spans="1:34" ht="15" customHeight="1">
      <c r="A40" s="466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08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0</v>
      </c>
      <c r="AG40" s="206" t="e">
        <f>N40/K40</f>
        <v>#DIV/0!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9">AVERAGE(J38:J47)</f>
        <v>17</v>
      </c>
      <c r="K48" s="155">
        <f t="shared" si="9"/>
        <v>1675</v>
      </c>
      <c r="L48" s="158">
        <f t="shared" si="9"/>
        <v>99.006944444444443</v>
      </c>
      <c r="M48" s="155">
        <f t="shared" si="9"/>
        <v>17</v>
      </c>
      <c r="N48" s="155">
        <f t="shared" si="9"/>
        <v>1449.6342857142813</v>
      </c>
      <c r="O48" s="158">
        <f t="shared" si="9"/>
        <v>85.922142857142546</v>
      </c>
      <c r="P48" s="221">
        <f>M48-J48</f>
        <v>0</v>
      </c>
      <c r="Q48" s="222">
        <f>N48-K48</f>
        <v>-225.3657142857187</v>
      </c>
      <c r="R48" s="223">
        <f>O48/L48</f>
        <v>0.86783955751059316</v>
      </c>
      <c r="S48" s="411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10">N48-K48</f>
        <v>-225.3657142857187</v>
      </c>
      <c r="AG48" s="162">
        <f t="shared" ref="AG48:AG53" si="11">N48/K48</f>
        <v>0.86545330490404859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1855</v>
      </c>
      <c r="H49" s="134">
        <f>F49*G49</f>
        <v>91859.6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1636.7647058823607</v>
      </c>
      <c r="O49" s="141">
        <f>N49/M49</f>
        <v>96.280276816609444</v>
      </c>
      <c r="P49" s="229">
        <f>M49-J49</f>
        <v>0</v>
      </c>
      <c r="Q49" s="230">
        <f>O49-L49</f>
        <v>-9.6020761245670201</v>
      </c>
      <c r="R49" s="52">
        <f>O49/L49</f>
        <v>0.9093137254902004</v>
      </c>
      <c r="S49" s="407">
        <f>R58</f>
        <v>0.88536519789618651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10"/>
        <v>-163.23529411763934</v>
      </c>
      <c r="AG49" s="52">
        <f t="shared" si="11"/>
        <v>0.9093137254902004</v>
      </c>
      <c r="AH49" s="435">
        <f>AG58</f>
        <v>0.87361595773559275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1909</v>
      </c>
      <c r="H50" s="231">
        <f>F50*G50</f>
        <v>96001.701000000001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1380.0000000000209</v>
      </c>
      <c r="O50" s="235">
        <f>N50/M50</f>
        <v>86.250000000001307</v>
      </c>
      <c r="P50" s="74">
        <f>M50-J50</f>
        <v>-1</v>
      </c>
      <c r="Q50" s="83">
        <f>O50-L50</f>
        <v>-9.9852941176457506</v>
      </c>
      <c r="R50" s="72">
        <f>O50/L50</f>
        <v>0.89624083129585708</v>
      </c>
      <c r="S50" s="408"/>
      <c r="T50" s="21">
        <v>0.343055555555556</v>
      </c>
      <c r="U50" s="21">
        <v>0.40069444444444402</v>
      </c>
      <c r="V50" s="30">
        <f>(T50-U49)*24*60</f>
        <v>6.0000000000004583</v>
      </c>
      <c r="W50" s="236">
        <f t="shared" si="4"/>
        <v>82.999999999998749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10"/>
        <v>-255.99999999997908</v>
      </c>
      <c r="AG50" s="72">
        <f t="shared" si="11"/>
        <v>0.84352078239610084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2015</v>
      </c>
      <c r="H51" s="231">
        <f>F51*G51</f>
        <v>100689.55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1492.5925925925919</v>
      </c>
      <c r="O51" s="235">
        <f>N51/M51</f>
        <v>93.287037037036995</v>
      </c>
      <c r="P51" s="74">
        <f>M51-J51</f>
        <v>0</v>
      </c>
      <c r="Q51" s="83">
        <f>O51-L51</f>
        <v>-19.212962962963005</v>
      </c>
      <c r="R51" s="72">
        <f>O51/L51</f>
        <v>0.82921810699588439</v>
      </c>
      <c r="S51" s="408"/>
      <c r="T51" s="21">
        <v>0.405555555555556</v>
      </c>
      <c r="U51" s="19">
        <v>0.46180555555555602</v>
      </c>
      <c r="V51" s="30">
        <f>(T51-U50)*24*60</f>
        <v>7.0000000000012541</v>
      </c>
      <c r="W51" s="236">
        <f t="shared" si="4"/>
        <v>81.000000000000028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10"/>
        <v>-307.40740740740807</v>
      </c>
      <c r="AG51" s="72">
        <f t="shared" si="11"/>
        <v>0.82921810699588439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3575</v>
      </c>
      <c r="H52" s="231">
        <f>F52*G52</f>
        <v>178642.75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1637.4045801526574</v>
      </c>
      <c r="O52" s="235">
        <f>N52/M52</f>
        <v>102.33778625954109</v>
      </c>
      <c r="P52" s="74">
        <f>M52-J52</f>
        <v>0</v>
      </c>
      <c r="Q52" s="83">
        <f>O52-L52</f>
        <v>-10.16221374045891</v>
      </c>
      <c r="R52" s="72">
        <f>O52/L52</f>
        <v>0.90966921119592081</v>
      </c>
      <c r="S52" s="408"/>
      <c r="T52" s="21">
        <v>0.52083333333333304</v>
      </c>
      <c r="U52" s="21">
        <v>0.61180555555555605</v>
      </c>
      <c r="V52" s="30">
        <f>(T52-U51)*24*60</f>
        <v>84.999999999998892</v>
      </c>
      <c r="W52" s="236">
        <f t="shared" si="4"/>
        <v>131.00000000000114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0"/>
        <v>-162.59541984734255</v>
      </c>
      <c r="AG52" s="72">
        <f t="shared" si="11"/>
        <v>0.90966921119592081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0"/>
        <v>0</v>
      </c>
      <c r="AG53" s="72" t="e">
        <f t="shared" si="11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12">AVERAGE(J49:J57)</f>
        <v>16.5</v>
      </c>
      <c r="K58" s="120">
        <f t="shared" si="12"/>
        <v>1759</v>
      </c>
      <c r="L58" s="117">
        <f t="shared" si="12"/>
        <v>106.77941176470588</v>
      </c>
      <c r="M58" s="120">
        <f t="shared" si="12"/>
        <v>16.25</v>
      </c>
      <c r="N58" s="120">
        <f t="shared" si="12"/>
        <v>1536.6904696569077</v>
      </c>
      <c r="O58" s="117">
        <f t="shared" si="12"/>
        <v>94.538775028297209</v>
      </c>
      <c r="P58" s="121">
        <f>M58-J58</f>
        <v>-0.25</v>
      </c>
      <c r="Q58" s="122">
        <f>N58-K58</f>
        <v>-222.30953034309232</v>
      </c>
      <c r="R58" s="123">
        <f>O58/L58</f>
        <v>0.88536519789618651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-222.30953034309232</v>
      </c>
      <c r="AG58" s="124">
        <f>N58/K58</f>
        <v>0.87361595773559275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2898</v>
      </c>
      <c r="H59" s="243">
        <f>F59*G59</f>
        <v>78217.01999999999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1512.0000000000023</v>
      </c>
      <c r="O59" s="138">
        <f>N59/M59</f>
        <v>100.80000000000015</v>
      </c>
      <c r="P59" s="56">
        <f>M59-J59</f>
        <v>0</v>
      </c>
      <c r="Q59" s="230">
        <f>O59-L59</f>
        <v>-8.2666666666665094</v>
      </c>
      <c r="R59" s="52">
        <f>O59/L59</f>
        <v>0.92420537897310662</v>
      </c>
      <c r="S59" s="407">
        <f>R69</f>
        <v>0.95962788478740824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-123.99999999999773</v>
      </c>
      <c r="AG59" s="246">
        <f>N59/K59</f>
        <v>0.92420537897310651</v>
      </c>
      <c r="AH59" s="435">
        <f>AG69</f>
        <v>0.95647921760391474</v>
      </c>
    </row>
    <row r="60" spans="1:34" ht="15" customHeight="1">
      <c r="A60" s="477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1352</v>
      </c>
      <c r="H60" s="78">
        <f>F60*G60</f>
        <v>38207.520000000004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1622.400000000011</v>
      </c>
      <c r="O60" s="81">
        <f>N60/M60</f>
        <v>147.49090909091009</v>
      </c>
      <c r="P60" s="74">
        <f>M60-J60</f>
        <v>0</v>
      </c>
      <c r="Q60" s="83">
        <f>O60-L60</f>
        <v>-1.2363636363626256</v>
      </c>
      <c r="R60" s="72">
        <f>O60/L60</f>
        <v>0.99168704156479892</v>
      </c>
      <c r="S60" s="480"/>
      <c r="T60" s="22">
        <v>0.37847222222222199</v>
      </c>
      <c r="U60" s="22">
        <v>0.41319444444444398</v>
      </c>
      <c r="V60" s="30">
        <f>(T60-U59)*24*60</f>
        <v>9.999999999999325</v>
      </c>
      <c r="W60" s="248">
        <f t="shared" si="4"/>
        <v>49.999999999999659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-13.599999999988995</v>
      </c>
      <c r="AG60" s="249">
        <f>N60/K60</f>
        <v>0.99168704156479892</v>
      </c>
      <c r="AH60" s="471"/>
    </row>
    <row r="61" spans="1:34" ht="15" customHeight="1">
      <c r="A61" s="478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1170</v>
      </c>
      <c r="H61" s="254">
        <f>F61*G61</f>
        <v>33064.200000000004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1560</v>
      </c>
      <c r="O61" s="238">
        <f>N61/M61</f>
        <v>141.81818181818181</v>
      </c>
      <c r="P61" s="111">
        <f>M61-J61</f>
        <v>0</v>
      </c>
      <c r="Q61" s="255">
        <f>O61-L61</f>
        <v>-6.9090909090909065</v>
      </c>
      <c r="R61" s="85">
        <f>O61/L61</f>
        <v>0.95354523227383869</v>
      </c>
      <c r="S61" s="408"/>
      <c r="T61" s="22">
        <v>0.42361111111111099</v>
      </c>
      <c r="U61" s="22">
        <v>0.45486111111111099</v>
      </c>
      <c r="V61" s="30">
        <f>(T61-U60)*24*60</f>
        <v>15.000000000000506</v>
      </c>
      <c r="W61" s="256">
        <f t="shared" si="4"/>
        <v>45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-76</v>
      </c>
      <c r="AG61" s="247">
        <f>N61/K61</f>
        <v>0.95354523227383858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13">AVERAGE(J59:J68)</f>
        <v>12.333333333333334</v>
      </c>
      <c r="K69" s="240">
        <f t="shared" si="13"/>
        <v>1636</v>
      </c>
      <c r="L69" s="268">
        <f t="shared" si="13"/>
        <v>135.50707070707071</v>
      </c>
      <c r="M69" s="240">
        <f t="shared" si="13"/>
        <v>12.333333333333334</v>
      </c>
      <c r="N69" s="240">
        <f t="shared" si="13"/>
        <v>1564.8000000000045</v>
      </c>
      <c r="O69" s="268">
        <f t="shared" si="13"/>
        <v>130.03636363636403</v>
      </c>
      <c r="P69" s="269">
        <f>M69-J69</f>
        <v>0</v>
      </c>
      <c r="Q69" s="222">
        <f>N69-K69</f>
        <v>-71.199999999995498</v>
      </c>
      <c r="R69" s="123">
        <f>O69/L69</f>
        <v>0.95962788478740824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-71.199999999995498</v>
      </c>
      <c r="AG69" s="124">
        <f>N69/K69</f>
        <v>0.95647921760391474</v>
      </c>
      <c r="AH69" s="438"/>
    </row>
    <row r="70" spans="1:36" ht="15" customHeight="1">
      <c r="A70" s="472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2813</v>
      </c>
      <c r="H70" s="243">
        <f>F70*G70</f>
        <v>79495.38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1140.4054054054145</v>
      </c>
      <c r="O70" s="138">
        <f>N70/M70</f>
        <v>142.55067567567681</v>
      </c>
      <c r="P70" s="56">
        <f>M70-J70</f>
        <v>-3</v>
      </c>
      <c r="Q70" s="230">
        <f>O70-L70</f>
        <v>-6.1765970515959054</v>
      </c>
      <c r="R70" s="52">
        <f>O70/L70</f>
        <v>0.95847031322276588</v>
      </c>
      <c r="S70" s="407">
        <f>R79</f>
        <v>0.89150121855947895</v>
      </c>
      <c r="T70" s="245">
        <v>0.29305555555555601</v>
      </c>
      <c r="U70" s="245">
        <v>0.39583333333333298</v>
      </c>
      <c r="V70" s="55"/>
      <c r="W70" s="54">
        <f t="shared" si="4"/>
        <v>147.99999999999883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-495.59459459458549</v>
      </c>
      <c r="AG70" s="246">
        <f>N70/K70</f>
        <v>0.69706931870746613</v>
      </c>
      <c r="AH70" s="435">
        <f>AG79</f>
        <v>0.60845927293912894</v>
      </c>
    </row>
    <row r="71" spans="1:36" ht="15" customHeight="1">
      <c r="A71" s="473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740</v>
      </c>
      <c r="H71" s="254">
        <f>F71*G71</f>
        <v>32478.600000000002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>K71/J71</f>
        <v>111.78571428571429</v>
      </c>
      <c r="M71" s="82">
        <v>9</v>
      </c>
      <c r="N71" s="107">
        <f>G71/W71*60</f>
        <v>807.27272727273726</v>
      </c>
      <c r="O71" s="238">
        <f>N71/M71</f>
        <v>89.696969696970811</v>
      </c>
      <c r="P71" s="111">
        <f>M71-J71</f>
        <v>-5</v>
      </c>
      <c r="Q71" s="255">
        <f>O71-L71</f>
        <v>-22.088744588743481</v>
      </c>
      <c r="R71" s="85">
        <f>O71/L71</f>
        <v>0.80240100687386029</v>
      </c>
      <c r="S71" s="408"/>
      <c r="T71" s="22">
        <v>0.40277777777777801</v>
      </c>
      <c r="U71" s="22">
        <v>0.44097222222222199</v>
      </c>
      <c r="V71" s="30">
        <f>(T71-U70)*24*60</f>
        <v>10.000000000000844</v>
      </c>
      <c r="W71" s="73">
        <f t="shared" si="4"/>
        <v>54.999999999999325</v>
      </c>
      <c r="X71" s="271"/>
      <c r="Y71" s="293"/>
      <c r="Z71" s="90"/>
      <c r="AA71" s="90"/>
      <c r="AB71" s="461" t="s">
        <v>136</v>
      </c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54"/>
      <c r="I72" s="182"/>
      <c r="J72" s="106"/>
      <c r="K72" s="107"/>
      <c r="L72" s="238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14">AVERAGE(J70:J78)</f>
        <v>12.5</v>
      </c>
      <c r="K79" s="240">
        <f t="shared" si="14"/>
        <v>1600.5</v>
      </c>
      <c r="L79" s="268">
        <f t="shared" si="14"/>
        <v>130.25649350649351</v>
      </c>
      <c r="M79" s="240">
        <f t="shared" si="14"/>
        <v>8.5</v>
      </c>
      <c r="N79" s="240">
        <f t="shared" si="14"/>
        <v>973.83906633907588</v>
      </c>
      <c r="O79" s="268">
        <f t="shared" si="14"/>
        <v>116.12382268632382</v>
      </c>
      <c r="P79" s="269">
        <f>M79-J79</f>
        <v>-4</v>
      </c>
      <c r="Q79" s="222">
        <f>N79-K79</f>
        <v>-626.66093366092412</v>
      </c>
      <c r="R79" s="223">
        <f>O79/L79</f>
        <v>0.89150121855947895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-626.66093366092412</v>
      </c>
      <c r="AG79" s="124">
        <f>N79/K79</f>
        <v>0.60845927293912894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W3:W4"/>
    <mergeCell ref="X3:Y3"/>
    <mergeCell ref="Z3:AA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4EC6C0-35B0-44C7-8195-A984F5B7C74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32CA-3FB2-4AC7-989E-7869F0B289AD}">
  <dimension ref="B1:O26"/>
  <sheetViews>
    <sheetView zoomScale="70" zoomScaleNormal="70" workbookViewId="0">
      <selection activeCell="E21" sqref="E21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58" width="8.85546875" style="360" customWidth="1"/>
    <col min="159" max="16384" width="8.85546875" style="360"/>
  </cols>
  <sheetData>
    <row r="1" spans="2:15" ht="27.75" customHeight="1">
      <c r="B1" s="518" t="s">
        <v>70</v>
      </c>
      <c r="C1" s="518"/>
      <c r="D1" s="518"/>
      <c r="E1" s="518"/>
      <c r="F1" s="518"/>
      <c r="G1" s="518"/>
      <c r="H1" s="518"/>
      <c r="I1" s="518"/>
      <c r="J1" s="518"/>
      <c r="K1" s="518"/>
      <c r="L1" s="359"/>
      <c r="M1" s="359"/>
    </row>
    <row r="2" spans="2:15" ht="27.75" customHeight="1"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359"/>
      <c r="M2" s="359"/>
    </row>
    <row r="3" spans="2:15" ht="46.5" customHeight="1">
      <c r="B3" s="519" t="s">
        <v>71</v>
      </c>
      <c r="C3" s="519"/>
      <c r="D3" s="520">
        <v>46236</v>
      </c>
      <c r="E3" s="520"/>
      <c r="F3" s="361" t="s">
        <v>72</v>
      </c>
      <c r="G3" s="486">
        <f>'0802'!E1</f>
        <v>65177</v>
      </c>
      <c r="H3" s="486"/>
      <c r="I3" s="361" t="s">
        <v>2</v>
      </c>
      <c r="J3" s="521">
        <f>'0802'!G1</f>
        <v>3016872.7829999994</v>
      </c>
      <c r="K3" s="521"/>
      <c r="L3" s="4"/>
    </row>
    <row r="4" spans="2:15" ht="24" customHeight="1">
      <c r="B4" s="519" t="s">
        <v>73</v>
      </c>
      <c r="C4" s="519"/>
      <c r="D4" s="524">
        <v>3</v>
      </c>
      <c r="E4" s="524"/>
      <c r="F4" s="526" t="s">
        <v>74</v>
      </c>
      <c r="G4" s="526"/>
      <c r="H4" s="526" t="s">
        <v>75</v>
      </c>
      <c r="I4" s="526"/>
      <c r="J4" s="524" t="s">
        <v>76</v>
      </c>
      <c r="K4" s="526"/>
      <c r="L4" s="522" t="s">
        <v>77</v>
      </c>
      <c r="M4" s="523"/>
      <c r="N4" s="523" t="s">
        <v>78</v>
      </c>
      <c r="O4" s="523"/>
    </row>
    <row r="5" spans="2:15" ht="24" customHeight="1">
      <c r="B5" s="519" t="s">
        <v>14</v>
      </c>
      <c r="C5" s="519"/>
      <c r="D5" s="524" t="s">
        <v>79</v>
      </c>
      <c r="E5" s="524"/>
      <c r="F5" s="524" t="s">
        <v>80</v>
      </c>
      <c r="G5" s="524"/>
      <c r="H5" s="490" t="s">
        <v>81</v>
      </c>
      <c r="I5" s="490"/>
      <c r="J5" s="491" t="s">
        <v>82</v>
      </c>
      <c r="K5" s="491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519"/>
      <c r="C6" s="519"/>
      <c r="D6" s="519" t="s">
        <v>86</v>
      </c>
      <c r="E6" s="519"/>
      <c r="F6" s="525">
        <f>AVERAGE(D13:J13)</f>
        <v>126.28366843318523</v>
      </c>
      <c r="G6" s="525"/>
      <c r="H6" s="493">
        <f>AVERAGE(D13:H13)</f>
        <v>124.65001675884028</v>
      </c>
      <c r="I6" s="493"/>
      <c r="J6" s="493">
        <f>AVERAGE(I13:J13)</f>
        <v>130.36779761904762</v>
      </c>
      <c r="K6" s="493"/>
      <c r="L6" s="532">
        <f>SUM(D18:J18)</f>
        <v>7</v>
      </c>
      <c r="M6" s="527">
        <f>SUM(D19:J19)</f>
        <v>0</v>
      </c>
      <c r="N6" s="534">
        <f>SUM(D20:J20)</f>
        <v>0</v>
      </c>
      <c r="O6" s="527">
        <f>SUM(D20:J20)</f>
        <v>0</v>
      </c>
    </row>
    <row r="7" spans="2:15" ht="39.6" customHeight="1">
      <c r="B7" s="519"/>
      <c r="C7" s="519"/>
      <c r="D7" s="541" t="s">
        <v>87</v>
      </c>
      <c r="E7" s="541"/>
      <c r="F7" s="542">
        <f>AVERAGE(D14:J14)</f>
        <v>115.23475868736344</v>
      </c>
      <c r="G7" s="542"/>
      <c r="H7" s="517">
        <f>AVERAGE(D14:H14)</f>
        <v>114.93917585374568</v>
      </c>
      <c r="I7" s="517"/>
      <c r="J7" s="517">
        <f>AVERAGE(I14:J14)</f>
        <v>115.97371577140785</v>
      </c>
      <c r="K7" s="517"/>
      <c r="L7" s="533" t="e">
        <f t="shared" ref="L7:O8" si="0">AVERAGE(K14:L14)</f>
        <v>#DIV/0!</v>
      </c>
      <c r="M7" s="527" t="e">
        <f t="shared" si="0"/>
        <v>#DIV/0!</v>
      </c>
      <c r="N7" s="535" t="e">
        <f t="shared" si="0"/>
        <v>#DIV/0!</v>
      </c>
      <c r="O7" s="527" t="e">
        <f t="shared" si="0"/>
        <v>#DIV/0!</v>
      </c>
    </row>
    <row r="8" spans="2:15" ht="39.6" customHeight="1">
      <c r="B8" s="519"/>
      <c r="C8" s="519"/>
      <c r="D8" s="541" t="s">
        <v>27</v>
      </c>
      <c r="E8" s="541"/>
      <c r="F8" s="489">
        <f>F7/F6</f>
        <v>0.91250721583474115</v>
      </c>
      <c r="G8" s="489"/>
      <c r="H8" s="489">
        <f>H7/H6</f>
        <v>0.92209514962294703</v>
      </c>
      <c r="I8" s="489"/>
      <c r="J8" s="489">
        <f>J7/J6</f>
        <v>0.88958867058795277</v>
      </c>
      <c r="K8" s="489"/>
      <c r="L8" s="533" t="e">
        <f t="shared" si="0"/>
        <v>#DIV/0!</v>
      </c>
      <c r="M8" s="527" t="e">
        <f t="shared" si="0"/>
        <v>#DIV/0!</v>
      </c>
      <c r="N8" s="535" t="e">
        <f t="shared" si="0"/>
        <v>#DIV/0!</v>
      </c>
      <c r="O8" s="527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536" t="s">
        <v>89</v>
      </c>
      <c r="C10" s="537"/>
      <c r="D10" s="538" t="s">
        <v>90</v>
      </c>
      <c r="E10" s="539"/>
      <c r="F10" s="539"/>
      <c r="G10" s="539"/>
      <c r="H10" s="539"/>
      <c r="I10" s="539"/>
      <c r="J10" s="540"/>
    </row>
    <row r="11" spans="2:15" ht="17.25" customHeight="1">
      <c r="B11" s="528" t="s">
        <v>91</v>
      </c>
      <c r="C11" s="529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530"/>
      <c r="C12" s="531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544" t="s">
        <v>14</v>
      </c>
      <c r="C13" s="370" t="s">
        <v>99</v>
      </c>
      <c r="D13" s="371">
        <f>VALUE('0802'!L15)</f>
        <v>151.08597285067873</v>
      </c>
      <c r="E13" s="371">
        <f>VALUE('0802'!L26)</f>
        <v>174.51923076923077</v>
      </c>
      <c r="F13" s="371">
        <f>VALUE('0802'!L37)</f>
        <v>94.564542483660148</v>
      </c>
      <c r="G13" s="371">
        <f>VALUE('0802'!L48)</f>
        <v>96.300925925925924</v>
      </c>
      <c r="H13" s="371">
        <f>VALUE('0802'!L58)</f>
        <v>106.77941176470588</v>
      </c>
      <c r="I13" s="371">
        <f>VALUE('0802'!L69)</f>
        <v>132.86303030303029</v>
      </c>
      <c r="J13" s="371">
        <f>'0802'!L79</f>
        <v>127.87256493506493</v>
      </c>
    </row>
    <row r="14" spans="2:15" ht="39.950000000000003" customHeight="1">
      <c r="B14" s="545"/>
      <c r="C14" s="370" t="s">
        <v>100</v>
      </c>
      <c r="D14" s="371">
        <f>VALUE('0802'!O15)</f>
        <v>141.27180535317191</v>
      </c>
      <c r="E14" s="371">
        <f>VALUE('0802'!O26)</f>
        <v>167.50300250515735</v>
      </c>
      <c r="F14" s="371">
        <f>VALUE('0802'!O37)</f>
        <v>86.92686802150422</v>
      </c>
      <c r="G14" s="371">
        <f>VALUE('0802'!O48)</f>
        <v>86.461162363495873</v>
      </c>
      <c r="H14" s="371">
        <f>VALUE('0802'!O58)</f>
        <v>92.533041025399044</v>
      </c>
      <c r="I14" s="371">
        <f>VALUE('0802'!O69)</f>
        <v>122.6736796536801</v>
      </c>
      <c r="J14" s="371">
        <f>'0802'!O79</f>
        <v>109.27375188913561</v>
      </c>
    </row>
    <row r="15" spans="2:15" ht="39.950000000000003" customHeight="1">
      <c r="B15" s="546"/>
      <c r="C15" s="368" t="s">
        <v>26</v>
      </c>
      <c r="D15" s="372">
        <f t="shared" ref="D15:I15" si="1">D14/D13</f>
        <v>0.93504249724621125</v>
      </c>
      <c r="E15" s="372">
        <f t="shared" si="1"/>
        <v>0.95979681876233414</v>
      </c>
      <c r="F15" s="372">
        <f t="shared" si="1"/>
        <v>0.91923321086785093</v>
      </c>
      <c r="G15" s="372">
        <f t="shared" si="1"/>
        <v>0.89782275229628905</v>
      </c>
      <c r="H15" s="372">
        <f t="shared" si="1"/>
        <v>0.8665812959271636</v>
      </c>
      <c r="I15" s="372">
        <f t="shared" si="1"/>
        <v>0.92330936133166164</v>
      </c>
      <c r="J15" s="373">
        <f>'0802'!S70</f>
        <v>0.85455196698858749</v>
      </c>
    </row>
    <row r="16" spans="2:15" ht="17.25" customHeight="1">
      <c r="B16" s="547" t="s">
        <v>101</v>
      </c>
      <c r="C16" s="368" t="s">
        <v>34</v>
      </c>
      <c r="D16" s="374">
        <f>'0802'!T5</f>
        <v>0.29444444444444401</v>
      </c>
      <c r="E16" s="374">
        <f>'0802'!T16</f>
        <v>0.28819444444444398</v>
      </c>
      <c r="F16" s="374">
        <f>'0802'!T27</f>
        <v>0.29166666666666702</v>
      </c>
      <c r="G16" s="374">
        <f>'0802'!T38</f>
        <v>0.33333333333333298</v>
      </c>
      <c r="H16" s="374">
        <f>'0802'!T49</f>
        <v>0.29166666666666702</v>
      </c>
      <c r="I16" s="374">
        <f>'0802'!T59</f>
        <v>0.28819444444444398</v>
      </c>
      <c r="J16" s="374">
        <f>'0802'!T70</f>
        <v>0.29444444444444401</v>
      </c>
    </row>
    <row r="17" spans="2:10" ht="17.25" customHeight="1">
      <c r="B17" s="548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549" t="s">
        <v>102</v>
      </c>
      <c r="C18" s="378" t="s">
        <v>36</v>
      </c>
      <c r="D18" s="379">
        <f>'0802'!Z15</f>
        <v>0</v>
      </c>
      <c r="E18" s="380">
        <f>'0802'!Z26</f>
        <v>0</v>
      </c>
      <c r="F18" s="380">
        <f>'0802'!Z37</f>
        <v>0</v>
      </c>
      <c r="G18" s="381">
        <f>'0802'!Z48</f>
        <v>0</v>
      </c>
      <c r="H18" s="381">
        <f>'0802'!Z58</f>
        <v>0</v>
      </c>
      <c r="I18" s="380">
        <f>'0802'!Z69</f>
        <v>0</v>
      </c>
      <c r="J18" s="380">
        <f>'0802'!AA79</f>
        <v>7</v>
      </c>
    </row>
    <row r="19" spans="2:10" ht="17.25" customHeight="1">
      <c r="B19" s="550"/>
      <c r="C19" s="378" t="s">
        <v>37</v>
      </c>
      <c r="D19" s="379">
        <f>'0802'!AA15</f>
        <v>0</v>
      </c>
      <c r="E19" s="380">
        <f>'0802'!AA26</f>
        <v>0</v>
      </c>
      <c r="F19" s="380">
        <f>'0802'!AA37</f>
        <v>0</v>
      </c>
      <c r="G19" s="381">
        <f>'0802'!AA48</f>
        <v>0</v>
      </c>
      <c r="H19" s="381">
        <f>'0802'!AA58</f>
        <v>0</v>
      </c>
      <c r="I19" s="380">
        <f>'0802'!AA69</f>
        <v>0</v>
      </c>
      <c r="J19" s="380">
        <f>'0802'!AB79</f>
        <v>0</v>
      </c>
    </row>
    <row r="20" spans="2:10" ht="17.25" customHeight="1">
      <c r="B20" s="549" t="s">
        <v>103</v>
      </c>
      <c r="C20" s="378" t="s">
        <v>36</v>
      </c>
      <c r="D20" s="379">
        <f>'0802'!AD15</f>
        <v>0</v>
      </c>
      <c r="E20" s="380">
        <f>'0802'!AD26</f>
        <v>0</v>
      </c>
      <c r="F20" s="380">
        <f>'0802'!AD37</f>
        <v>0</v>
      </c>
      <c r="G20" s="381">
        <f>'0802'!AD48</f>
        <v>0</v>
      </c>
      <c r="H20" s="381">
        <f>'0802'!AD58</f>
        <v>0</v>
      </c>
      <c r="I20" s="380">
        <f>'0802'!AD69</f>
        <v>0</v>
      </c>
      <c r="J20" s="380">
        <f>'0802'!AD79</f>
        <v>0</v>
      </c>
    </row>
    <row r="21" spans="2:10" ht="17.25" customHeight="1">
      <c r="B21" s="550"/>
      <c r="C21" s="378" t="s">
        <v>85</v>
      </c>
      <c r="D21" s="379">
        <f>'0802'!AE15</f>
        <v>0</v>
      </c>
      <c r="E21" s="380">
        <f>'0802'!AE26</f>
        <v>0</v>
      </c>
      <c r="F21" s="380">
        <f>'0802'!AE37</f>
        <v>0</v>
      </c>
      <c r="G21" s="381">
        <f>'0802'!AE48</f>
        <v>0</v>
      </c>
      <c r="H21" s="381">
        <f>'0802'!AE58</f>
        <v>0</v>
      </c>
      <c r="I21" s="380">
        <f>'0802'!AE69</f>
        <v>0</v>
      </c>
      <c r="J21" s="380">
        <f>'0802'!AE79</f>
        <v>0</v>
      </c>
    </row>
    <row r="22" spans="2:10" ht="17.25" customHeight="1">
      <c r="B22" s="536" t="s">
        <v>104</v>
      </c>
      <c r="C22" s="537"/>
      <c r="D22" s="382">
        <f>VALUE('0802'!M15)</f>
        <v>15</v>
      </c>
      <c r="E22" s="382">
        <f>VALUE('0802'!M26)</f>
        <v>13</v>
      </c>
      <c r="F22" s="382">
        <f>VALUE('0802'!M37)</f>
        <v>17.166666666666668</v>
      </c>
      <c r="G22" s="382">
        <f>VALUE('0802'!M48)</f>
        <v>17.333333333333332</v>
      </c>
      <c r="H22" s="382">
        <f>VALUE('0802'!M58)</f>
        <v>16.5</v>
      </c>
      <c r="I22" s="382">
        <f>VALUE('0802'!M69)</f>
        <v>12.6</v>
      </c>
      <c r="J22" s="382">
        <f>'0802'!M79</f>
        <v>12</v>
      </c>
    </row>
    <row r="23" spans="2:10" ht="17.25" customHeight="1">
      <c r="B23" s="536" t="s">
        <v>105</v>
      </c>
      <c r="C23" s="537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536" t="s">
        <v>109</v>
      </c>
      <c r="C24" s="537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536" t="s">
        <v>111</v>
      </c>
      <c r="C25" s="537"/>
      <c r="D25" s="384"/>
      <c r="E25" s="384"/>
      <c r="F25" s="384"/>
      <c r="G25" s="384"/>
      <c r="H25" s="384"/>
      <c r="I25" s="384"/>
      <c r="J25" s="384"/>
    </row>
    <row r="26" spans="2:10">
      <c r="B26" s="543"/>
      <c r="C26" s="543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0439-AA80-42A7-A084-463586B0C906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E21" sqref="E21"/>
      <selection pane="topRight" activeCell="E21" sqref="E21"/>
      <selection pane="bottomLeft" activeCell="E21" sqref="E21"/>
      <selection pane="bottomRight" activeCell="K32" sqref="K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8" width="8.7109375" style="34" customWidth="1"/>
    <col min="15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65177</v>
      </c>
      <c r="F1" s="30" t="s">
        <v>2</v>
      </c>
      <c r="G1" s="31">
        <f>SUM(H5:H79)</f>
        <v>3016872.7829999994</v>
      </c>
      <c r="H1" s="32" t="s">
        <v>3</v>
      </c>
      <c r="I1" s="33">
        <f>M15+M26+M48+M58+M69+M79+M37</f>
        <v>103.6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137</v>
      </c>
      <c r="B2" s="413"/>
      <c r="C2" s="28"/>
      <c r="D2" s="28" t="s">
        <v>14</v>
      </c>
      <c r="E2" s="35">
        <f>AVERAGE(O15,O26,O37,O48,O58,O69,O79)</f>
        <v>115.23475868736344</v>
      </c>
      <c r="F2" s="36" t="s">
        <v>15</v>
      </c>
      <c r="G2" s="37">
        <f>G1/E1</f>
        <v>46.287383325406189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1</v>
      </c>
      <c r="AA2" s="339">
        <f>AA15+AA26+AA37+AA48+AA58+AA69+AA79</f>
        <v>7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1991</v>
      </c>
      <c r="H5" s="43">
        <f>F5*G5</f>
        <v>100883.97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2024.7457627118279</v>
      </c>
      <c r="O5" s="47">
        <f>N5/M5</f>
        <v>119.10269192422517</v>
      </c>
      <c r="P5" s="49">
        <f>M5-J5</f>
        <v>0</v>
      </c>
      <c r="Q5" s="50">
        <f>O5-L5</f>
        <v>-13.250249252245411</v>
      </c>
      <c r="R5" s="51">
        <f>O5/L5</f>
        <v>0.89988700564970137</v>
      </c>
      <c r="S5" s="407">
        <f>R15</f>
        <v>0.93504249724621125</v>
      </c>
      <c r="T5" s="319">
        <v>0.29444444444444401</v>
      </c>
      <c r="U5" s="320">
        <v>0.33541666666666697</v>
      </c>
      <c r="V5" s="53"/>
      <c r="W5" s="54">
        <f t="shared" ref="W5:W14" si="0">(U5-T5)*24*60</f>
        <v>59.000000000001066</v>
      </c>
      <c r="X5" s="55"/>
      <c r="Y5" s="290"/>
      <c r="Z5" s="169"/>
      <c r="AA5" s="169"/>
      <c r="AB5" s="442" t="s">
        <v>138</v>
      </c>
      <c r="AC5" s="442"/>
      <c r="AD5" s="135"/>
      <c r="AE5" s="135"/>
      <c r="AF5" s="229">
        <f t="shared" ref="AF5:AF11" si="1">N5-K5</f>
        <v>-225.25423728817213</v>
      </c>
      <c r="AG5" s="52">
        <f t="shared" ref="AG5:AG11" si="2">N5/K5</f>
        <v>0.89988700564970125</v>
      </c>
      <c r="AH5" s="435">
        <f>AG15</f>
        <v>0.93352032051992562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1616</v>
      </c>
      <c r="H6" s="63">
        <f>F6*G6</f>
        <v>94002.72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2154.6666666666665</v>
      </c>
      <c r="O6" s="67">
        <f>N6/M6</f>
        <v>165.74358974358972</v>
      </c>
      <c r="P6" s="69">
        <f>M6-J6</f>
        <v>0</v>
      </c>
      <c r="Q6" s="70">
        <f>O6-L6</f>
        <v>-7.3333333333333428</v>
      </c>
      <c r="R6" s="71">
        <f>O6/L6</f>
        <v>0.95762962962962961</v>
      </c>
      <c r="S6" s="408"/>
      <c r="T6" s="16">
        <v>0.34375</v>
      </c>
      <c r="U6" s="16">
        <v>0.375</v>
      </c>
      <c r="V6" s="30">
        <f>(T6-U5)*24*60</f>
        <v>11.999999999999558</v>
      </c>
      <c r="W6" s="73">
        <f t="shared" si="0"/>
        <v>45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-95.333333333333485</v>
      </c>
      <c r="AG6" s="72">
        <f t="shared" si="2"/>
        <v>0.95762962962962961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4914</v>
      </c>
      <c r="H7" s="78">
        <f>F7*G7</f>
        <v>241473.96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2167.9411764705974</v>
      </c>
      <c r="O7" s="81">
        <f>N7/M7</f>
        <v>144.52941176470648</v>
      </c>
      <c r="P7" s="74">
        <f>M7-J7</f>
        <v>0</v>
      </c>
      <c r="Q7" s="83">
        <f>O7-L7</f>
        <v>-5.4705882352935191</v>
      </c>
      <c r="R7" s="72">
        <f>O7/L7</f>
        <v>0.96352941176470985</v>
      </c>
      <c r="S7" s="408"/>
      <c r="T7" s="18">
        <v>0.38263888888888897</v>
      </c>
      <c r="U7" s="18">
        <v>0.47708333333333303</v>
      </c>
      <c r="V7" s="30">
        <f>(T7-U6)*24*60</f>
        <v>11.000000000000121</v>
      </c>
      <c r="W7" s="73">
        <f t="shared" si="0"/>
        <v>135.99999999999943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-82.058823529402616</v>
      </c>
      <c r="AG7" s="72">
        <f t="shared" si="2"/>
        <v>0.96352941176470996</v>
      </c>
      <c r="AH7" s="436"/>
    </row>
    <row r="8" spans="1:34" ht="15" customHeight="1">
      <c r="A8" s="39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1657</v>
      </c>
      <c r="H8" s="78">
        <f>F8*G8</f>
        <v>81424.98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2071.2500000000141</v>
      </c>
      <c r="O8" s="81">
        <f>N8/M8</f>
        <v>138.08333333333428</v>
      </c>
      <c r="P8" s="74">
        <f>M8-J8</f>
        <v>0</v>
      </c>
      <c r="Q8" s="83">
        <f>O8-L8</f>
        <v>-11.916666666665719</v>
      </c>
      <c r="R8" s="72">
        <f>O8/L8</f>
        <v>0.9205555555555619</v>
      </c>
      <c r="S8" s="408"/>
      <c r="T8" s="16">
        <v>0.54513888888888895</v>
      </c>
      <c r="U8" s="16">
        <v>0.57847222222222205</v>
      </c>
      <c r="V8" s="30">
        <f>(T8-U7)*24*60</f>
        <v>98.000000000000526</v>
      </c>
      <c r="W8" s="73">
        <f t="shared" si="0"/>
        <v>47.999999999999673</v>
      </c>
      <c r="X8" s="22"/>
      <c r="Y8" s="84"/>
      <c r="Z8" s="90"/>
      <c r="AA8" s="90"/>
      <c r="AB8" s="439"/>
      <c r="AC8" s="439"/>
      <c r="AD8" s="149"/>
      <c r="AE8" s="149"/>
      <c r="AF8" s="307">
        <f t="shared" si="1"/>
        <v>-178.7499999999859</v>
      </c>
      <c r="AG8" s="72">
        <f t="shared" si="2"/>
        <v>0.92055555555556179</v>
      </c>
      <c r="AH8" s="436"/>
    </row>
    <row r="9" spans="1:34" ht="15" customHeight="1">
      <c r="A9" s="392"/>
      <c r="B9" s="75" t="s">
        <v>81</v>
      </c>
      <c r="C9" s="76"/>
      <c r="D9" s="59" t="s">
        <v>120</v>
      </c>
      <c r="E9" s="77"/>
      <c r="F9" s="75">
        <f>VLOOKUP(D9,廠價表!$C$1:$E$43,3,0)</f>
        <v>56.87</v>
      </c>
      <c r="G9" s="66">
        <v>1389</v>
      </c>
      <c r="H9" s="78">
        <f>F9*G9</f>
        <v>78992.429999999993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80">
        <f>G9/W9*60</f>
        <v>2083.5000000000573</v>
      </c>
      <c r="O9" s="81">
        <f>N9/M9</f>
        <v>138.90000000000381</v>
      </c>
      <c r="P9" s="74">
        <f>M9-J9</f>
        <v>0</v>
      </c>
      <c r="Q9" s="83">
        <f>O9-L9</f>
        <v>-11.099999999996186</v>
      </c>
      <c r="R9" s="72">
        <f>O9/L9</f>
        <v>0.92600000000002547</v>
      </c>
      <c r="S9" s="409"/>
      <c r="T9" s="16">
        <v>0.58541666666666703</v>
      </c>
      <c r="U9" s="16">
        <v>0.61319444444444404</v>
      </c>
      <c r="V9" s="30">
        <f>(T9-U8)*24*60</f>
        <v>10.000000000000764</v>
      </c>
      <c r="W9" s="73">
        <f t="shared" si="0"/>
        <v>39.999999999998899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-166.4999999999427</v>
      </c>
      <c r="AG9" s="72">
        <f t="shared" si="2"/>
        <v>0.92600000000002547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151.08597285067873</v>
      </c>
      <c r="M15" s="120">
        <f t="shared" si="3"/>
        <v>15</v>
      </c>
      <c r="N15" s="120">
        <f t="shared" si="3"/>
        <v>2100.4207211698326</v>
      </c>
      <c r="O15" s="117">
        <f t="shared" si="3"/>
        <v>141.27180535317191</v>
      </c>
      <c r="P15" s="121">
        <f>M15-J15</f>
        <v>0</v>
      </c>
      <c r="Q15" s="122">
        <f>O15-L15</f>
        <v>-9.8141674975068156</v>
      </c>
      <c r="R15" s="123">
        <f>O15/L15</f>
        <v>0.93504249724621125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-149.57927883016737</v>
      </c>
      <c r="AG15" s="124">
        <f>N15/K15</f>
        <v>0.93352032051992562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4037</v>
      </c>
      <c r="H16" s="134">
        <f>F16*G16</f>
        <v>204554.79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2201.9999999999968</v>
      </c>
      <c r="O16" s="141">
        <f>N16/M16</f>
        <v>169.38461538461513</v>
      </c>
      <c r="P16" s="142">
        <f>M16-J16</f>
        <v>0</v>
      </c>
      <c r="Q16" s="143">
        <f>O16-L16</f>
        <v>-3.692307692307935</v>
      </c>
      <c r="R16" s="144">
        <f>O16/L16</f>
        <v>0.97866666666666524</v>
      </c>
      <c r="S16" s="446">
        <f>R26</f>
        <v>0.95979681876233414</v>
      </c>
      <c r="T16" s="145">
        <v>0.28819444444444398</v>
      </c>
      <c r="U16" s="145">
        <v>0.36458333333333298</v>
      </c>
      <c r="V16" s="135"/>
      <c r="W16" s="146">
        <f t="shared" ref="W16:W78" si="4">(U16-T16)*24*60</f>
        <v>110.00000000000017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-48.000000000003183</v>
      </c>
      <c r="AG16" s="52">
        <f>N16/K16</f>
        <v>0.97866666666666524</v>
      </c>
      <c r="AH16" s="435">
        <f>AG26</f>
        <v>0.95957726692209289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1920</v>
      </c>
      <c r="H17" s="78">
        <f>F17*G17</f>
        <v>109190.39999999999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2133.3333333333344</v>
      </c>
      <c r="O17" s="96">
        <f>N17/M17</f>
        <v>142.22222222222229</v>
      </c>
      <c r="P17" s="97">
        <f>M17-J17</f>
        <v>0</v>
      </c>
      <c r="Q17" s="98">
        <f>O17-L17</f>
        <v>-7.7777777777777146</v>
      </c>
      <c r="R17" s="99">
        <f>O17/L17</f>
        <v>0.94814814814814852</v>
      </c>
      <c r="S17" s="447"/>
      <c r="T17" s="19">
        <v>0.37013888888888902</v>
      </c>
      <c r="U17" s="19">
        <v>0.40763888888888899</v>
      </c>
      <c r="V17" s="30">
        <f>(T17-U16)*24*60</f>
        <v>8.000000000000691</v>
      </c>
      <c r="W17" s="149">
        <f t="shared" si="4"/>
        <v>53.999999999999972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-116.66666666666561</v>
      </c>
      <c r="AG17" s="72">
        <f>N17/K17</f>
        <v>0.94814814814814863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3420</v>
      </c>
      <c r="H18" s="78">
        <f>F18*G18</f>
        <v>172333.8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2159.9999999999732</v>
      </c>
      <c r="O18" s="96">
        <f>N18/M18</f>
        <v>179.99999999999775</v>
      </c>
      <c r="P18" s="97">
        <f>M18-J18</f>
        <v>0</v>
      </c>
      <c r="Q18" s="98">
        <f>O18-L18</f>
        <v>-7.5000000000022453</v>
      </c>
      <c r="R18" s="99">
        <f>O18/L18</f>
        <v>0.95999999999998797</v>
      </c>
      <c r="S18" s="447"/>
      <c r="T18" s="19">
        <v>0.41319444444444398</v>
      </c>
      <c r="U18" s="19">
        <v>0.47916666666666702</v>
      </c>
      <c r="V18" s="30">
        <f>(T18-U17)*24*60</f>
        <v>7.9999999999991722</v>
      </c>
      <c r="W18" s="149">
        <f t="shared" si="4"/>
        <v>95.00000000000118</v>
      </c>
      <c r="X18" s="22"/>
      <c r="Y18" s="84"/>
      <c r="Z18" s="90"/>
      <c r="AA18" s="90"/>
      <c r="AB18" s="440"/>
      <c r="AC18" s="440"/>
      <c r="AD18" s="92"/>
      <c r="AE18" s="92"/>
      <c r="AF18" s="307">
        <f>N18-K18</f>
        <v>-90.00000000002683</v>
      </c>
      <c r="AG18" s="72">
        <f>N18/K18</f>
        <v>0.95999999999998809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4139</v>
      </c>
      <c r="H19" s="78">
        <f>F19*G19</f>
        <v>208564.21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2140.8620689655309</v>
      </c>
      <c r="O19" s="96">
        <f>N19/M19</f>
        <v>178.40517241379425</v>
      </c>
      <c r="P19" s="97">
        <f>M19-J19</f>
        <v>0</v>
      </c>
      <c r="Q19" s="98">
        <f>O19-L19</f>
        <v>-9.0948275862057528</v>
      </c>
      <c r="R19" s="99">
        <f>O19/L19</f>
        <v>0.95149425287356937</v>
      </c>
      <c r="S19" s="447"/>
      <c r="T19" s="19">
        <v>0.54166666666666696</v>
      </c>
      <c r="U19" s="19">
        <v>0.62222222222222201</v>
      </c>
      <c r="V19" s="30">
        <f>(T19-U18)*24*60</f>
        <v>89.999999999999915</v>
      </c>
      <c r="W19" s="149">
        <f t="shared" si="4"/>
        <v>115.99999999999926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-109.13793103446915</v>
      </c>
      <c r="AG19" s="72">
        <f>N19/K19</f>
        <v>0.95149425287356926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2159.0488505747089</v>
      </c>
      <c r="O26" s="158">
        <f t="shared" si="5"/>
        <v>167.50300250515735</v>
      </c>
      <c r="P26" s="159">
        <f t="shared" ref="P26:P32" si="6">M26-J26</f>
        <v>0</v>
      </c>
      <c r="Q26" s="160">
        <f t="shared" ref="Q26:Q32" si="7">O26-L26</f>
        <v>-7.016228264073419</v>
      </c>
      <c r="R26" s="161">
        <f t="shared" ref="R26:R32" si="8">O26/L26</f>
        <v>0.95979681876233414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9">N26-K26</f>
        <v>-90.951149425291078</v>
      </c>
      <c r="AG26" s="124">
        <f t="shared" ref="AG26:AG31" si="10">N26/K26</f>
        <v>0.95957726692209289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1327</v>
      </c>
      <c r="H27" s="134">
        <f t="shared" ref="H27:H32" si="11">F27*G27</f>
        <v>61493.180000000008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2">K27/J27</f>
        <v>102.25</v>
      </c>
      <c r="M27" s="170">
        <v>16</v>
      </c>
      <c r="N27" s="140">
        <f t="shared" ref="N27:N32" si="13">G27/W27*60</f>
        <v>1561.1764705882654</v>
      </c>
      <c r="O27" s="141">
        <f t="shared" ref="O27:O32" si="14">N27/M27</f>
        <v>97.573529411766586</v>
      </c>
      <c r="P27" s="142">
        <f t="shared" si="6"/>
        <v>0</v>
      </c>
      <c r="Q27" s="143">
        <f t="shared" si="7"/>
        <v>-4.6764705882334141</v>
      </c>
      <c r="R27" s="144">
        <f t="shared" si="8"/>
        <v>0.95426434632534562</v>
      </c>
      <c r="S27" s="446">
        <f>R37</f>
        <v>0.91923321086785093</v>
      </c>
      <c r="T27" s="171">
        <v>0.29166666666666702</v>
      </c>
      <c r="U27" s="171">
        <v>0.327083333333333</v>
      </c>
      <c r="V27" s="135"/>
      <c r="W27" s="146">
        <f t="shared" si="4"/>
        <v>50.999999999999019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>
        <f t="shared" si="9"/>
        <v>-74.823529411734626</v>
      </c>
      <c r="AG27" s="172">
        <f t="shared" si="10"/>
        <v>0.95426434632534562</v>
      </c>
      <c r="AH27" s="435">
        <f>AG37</f>
        <v>0.9101399981557069</v>
      </c>
    </row>
    <row r="28" spans="1:34" ht="15" customHeight="1">
      <c r="A28" s="44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1440</v>
      </c>
      <c r="H28" s="91">
        <f t="shared" si="11"/>
        <v>65750.399999999994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2"/>
        <v>96.235294117647058</v>
      </c>
      <c r="M28" s="94">
        <v>17</v>
      </c>
      <c r="N28" s="95">
        <f t="shared" si="13"/>
        <v>1515.789473684184</v>
      </c>
      <c r="O28" s="96">
        <f t="shared" si="14"/>
        <v>89.164086687304945</v>
      </c>
      <c r="P28" s="97">
        <f t="shared" si="6"/>
        <v>0</v>
      </c>
      <c r="Q28" s="98">
        <f t="shared" si="7"/>
        <v>-7.0712074303421133</v>
      </c>
      <c r="R28" s="99">
        <f t="shared" si="8"/>
        <v>0.92652168318104156</v>
      </c>
      <c r="S28" s="447"/>
      <c r="T28" s="19">
        <v>0.33194444444444399</v>
      </c>
      <c r="U28" s="19">
        <v>0.37152777777777801</v>
      </c>
      <c r="V28" s="92">
        <f>(T28-U27)*24*60</f>
        <v>6.9999999999998153</v>
      </c>
      <c r="W28" s="149">
        <f t="shared" si="4"/>
        <v>57.000000000000995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9"/>
        <v>-120.21052631581597</v>
      </c>
      <c r="AG28" s="99">
        <f t="shared" si="10"/>
        <v>0.92652168318104156</v>
      </c>
      <c r="AH28" s="456"/>
    </row>
    <row r="29" spans="1:34" ht="15" customHeight="1">
      <c r="A29" s="44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1323</v>
      </c>
      <c r="H29" s="91">
        <f t="shared" si="11"/>
        <v>75688.83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2"/>
        <v>90.888888888888886</v>
      </c>
      <c r="M29" s="94">
        <v>17</v>
      </c>
      <c r="N29" s="95">
        <f t="shared" si="13"/>
        <v>1443.2727272727052</v>
      </c>
      <c r="O29" s="96">
        <f t="shared" si="14"/>
        <v>84.898395721923833</v>
      </c>
      <c r="P29" s="97">
        <f t="shared" si="6"/>
        <v>-1</v>
      </c>
      <c r="Q29" s="98">
        <f t="shared" si="7"/>
        <v>-5.9904931669650523</v>
      </c>
      <c r="R29" s="99">
        <f t="shared" si="8"/>
        <v>0.93408992848082462</v>
      </c>
      <c r="S29" s="447"/>
      <c r="T29" s="19">
        <v>0.37847222222222199</v>
      </c>
      <c r="U29" s="19">
        <v>0.41666666666666702</v>
      </c>
      <c r="V29" s="92">
        <f>(T29-U28)*24*60</f>
        <v>9.999999999999325</v>
      </c>
      <c r="W29" s="149">
        <f t="shared" si="4"/>
        <v>55.000000000000846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9"/>
        <v>-192.7272727272948</v>
      </c>
      <c r="AG29" s="99">
        <f t="shared" si="10"/>
        <v>0.88219604356522319</v>
      </c>
      <c r="AH29" s="456"/>
    </row>
    <row r="30" spans="1:34" ht="15" customHeight="1">
      <c r="A30" s="44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1494</v>
      </c>
      <c r="H30" s="91">
        <f t="shared" si="11"/>
        <v>74565.539999999994</v>
      </c>
      <c r="I30" s="92"/>
      <c r="J30" s="79">
        <f>VLOOKUP(D30,產線配置圖!$A$3:$C$40,2,0)</f>
        <v>18</v>
      </c>
      <c r="K30" s="80">
        <v>1636</v>
      </c>
      <c r="L30" s="93">
        <f t="shared" si="12"/>
        <v>90.888888888888886</v>
      </c>
      <c r="M30" s="94">
        <v>18</v>
      </c>
      <c r="N30" s="95">
        <f t="shared" si="13"/>
        <v>1493.9999999999873</v>
      </c>
      <c r="O30" s="96">
        <f t="shared" si="14"/>
        <v>82.999999999999289</v>
      </c>
      <c r="P30" s="97">
        <f t="shared" si="6"/>
        <v>0</v>
      </c>
      <c r="Q30" s="98">
        <f t="shared" si="7"/>
        <v>-7.8888888888895963</v>
      </c>
      <c r="R30" s="99">
        <f t="shared" si="8"/>
        <v>0.91320293398532226</v>
      </c>
      <c r="S30" s="447"/>
      <c r="T30" s="19">
        <v>0.42361111111111099</v>
      </c>
      <c r="U30" s="19">
        <v>0.46527777777777801</v>
      </c>
      <c r="V30" s="92">
        <f>(T30-U29)*24*60</f>
        <v>9.999999999999325</v>
      </c>
      <c r="W30" s="149">
        <f t="shared" si="4"/>
        <v>60.000000000000504</v>
      </c>
      <c r="X30" s="174"/>
      <c r="Y30" s="301"/>
      <c r="Z30" s="335"/>
      <c r="AA30" s="335"/>
      <c r="AB30" s="440"/>
      <c r="AC30" s="440"/>
      <c r="AD30" s="92"/>
      <c r="AE30" s="92"/>
      <c r="AF30" s="312">
        <f t="shared" si="9"/>
        <v>-142.00000000001273</v>
      </c>
      <c r="AG30" s="99">
        <f t="shared" si="10"/>
        <v>0.91320293398532226</v>
      </c>
      <c r="AH30" s="457"/>
    </row>
    <row r="31" spans="1:34" ht="15" customHeight="1">
      <c r="A31" s="44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1500</v>
      </c>
      <c r="H31" s="91">
        <f t="shared" si="11"/>
        <v>74865</v>
      </c>
      <c r="I31" s="92"/>
      <c r="J31" s="79">
        <f>VLOOKUP(D31,產線配置圖!$A$3:$C$40,2,0)</f>
        <v>18</v>
      </c>
      <c r="K31" s="80">
        <v>1636</v>
      </c>
      <c r="L31" s="93">
        <f t="shared" si="12"/>
        <v>90.888888888888886</v>
      </c>
      <c r="M31" s="94">
        <v>18</v>
      </c>
      <c r="N31" s="95">
        <f t="shared" si="13"/>
        <v>1475.4098360655789</v>
      </c>
      <c r="O31" s="96">
        <f t="shared" si="14"/>
        <v>81.967213114754387</v>
      </c>
      <c r="P31" s="97">
        <f t="shared" si="6"/>
        <v>0</v>
      </c>
      <c r="Q31" s="98">
        <f t="shared" si="7"/>
        <v>-8.9216757741344992</v>
      </c>
      <c r="R31" s="99">
        <f t="shared" si="8"/>
        <v>0.9018397530963197</v>
      </c>
      <c r="S31" s="447"/>
      <c r="T31" s="19">
        <v>0.52777777777777801</v>
      </c>
      <c r="U31" s="19">
        <v>0.57013888888888897</v>
      </c>
      <c r="V31" s="92">
        <f>(T31-U30)*24*60</f>
        <v>90</v>
      </c>
      <c r="W31" s="149">
        <f t="shared" si="4"/>
        <v>60.999999999999787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9"/>
        <v>-160.59016393442107</v>
      </c>
      <c r="AG31" s="99">
        <f t="shared" si="10"/>
        <v>0.90183975309631959</v>
      </c>
      <c r="AH31" s="437"/>
    </row>
    <row r="32" spans="1:34" ht="15" customHeight="1">
      <c r="A32" s="444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1011</v>
      </c>
      <c r="H32" s="91">
        <f t="shared" si="11"/>
        <v>50842.179000000004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2"/>
        <v>96.235294117647058</v>
      </c>
      <c r="M32" s="94">
        <v>17</v>
      </c>
      <c r="N32" s="95">
        <f t="shared" si="13"/>
        <v>1444.2857142856974</v>
      </c>
      <c r="O32" s="96">
        <f t="shared" si="14"/>
        <v>84.95798319327632</v>
      </c>
      <c r="P32" s="97">
        <f t="shared" si="6"/>
        <v>0</v>
      </c>
      <c r="Q32" s="98">
        <f t="shared" si="7"/>
        <v>-11.277310924370738</v>
      </c>
      <c r="R32" s="99">
        <f t="shared" si="8"/>
        <v>0.88281522878098861</v>
      </c>
      <c r="S32" s="447"/>
      <c r="T32" s="19">
        <v>0.57708333333333295</v>
      </c>
      <c r="U32" s="19">
        <v>0.60624999999999996</v>
      </c>
      <c r="V32" s="92">
        <f>(T32-U31)*24*60</f>
        <v>9.999999999999325</v>
      </c>
      <c r="W32" s="149">
        <f t="shared" si="4"/>
        <v>42.00000000000049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15">AVERAGE(J27:J36)</f>
        <v>17.333333333333332</v>
      </c>
      <c r="K37" s="155">
        <f t="shared" si="15"/>
        <v>1636</v>
      </c>
      <c r="L37" s="158">
        <f t="shared" si="15"/>
        <v>94.564542483660148</v>
      </c>
      <c r="M37" s="155">
        <f t="shared" si="15"/>
        <v>17.166666666666668</v>
      </c>
      <c r="N37" s="155">
        <f t="shared" si="15"/>
        <v>1488.9890369827365</v>
      </c>
      <c r="O37" s="158">
        <f t="shared" si="15"/>
        <v>86.92686802150422</v>
      </c>
      <c r="P37" s="159">
        <f>M37-J37</f>
        <v>-0.1666666666666643</v>
      </c>
      <c r="Q37" s="160">
        <f>N37-K37</f>
        <v>-147.01096301726352</v>
      </c>
      <c r="R37" s="161">
        <f>O37/L37</f>
        <v>0.91923321086785093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-147.01096301726352</v>
      </c>
      <c r="AG37" s="124">
        <f>N37/K37</f>
        <v>0.9101399981557069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2974</v>
      </c>
      <c r="H38" s="134">
        <f>F38*G38</f>
        <v>148432.34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1486.9999999999875</v>
      </c>
      <c r="O38" s="141">
        <f>N38/M38</f>
        <v>92.937499999999218</v>
      </c>
      <c r="P38" s="142">
        <f>M38-J38</f>
        <v>0</v>
      </c>
      <c r="Q38" s="143">
        <f>O38-L38</f>
        <v>-14.187500000000782</v>
      </c>
      <c r="R38" s="144">
        <f>O38/L38</f>
        <v>0.86756126021002766</v>
      </c>
      <c r="S38" s="468">
        <f>R48</f>
        <v>0.89782275229628905</v>
      </c>
      <c r="T38" s="191">
        <v>0.33333333333333298</v>
      </c>
      <c r="U38" s="191">
        <v>0.41666666666666702</v>
      </c>
      <c r="V38" s="192"/>
      <c r="W38" s="193">
        <f t="shared" si="4"/>
        <v>120.00000000000101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-227.00000000001251</v>
      </c>
      <c r="AG38" s="195">
        <f>N38/K38</f>
        <v>0.86756126021002766</v>
      </c>
      <c r="AH38" s="458">
        <f>AG48</f>
        <v>0.89912309820071779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2169</v>
      </c>
      <c r="H39" s="91">
        <f>F39*G39</f>
        <v>96086.7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1531.0588235294058</v>
      </c>
      <c r="O39" s="203">
        <f>N39/M39</f>
        <v>85.058823529411427</v>
      </c>
      <c r="P39" s="97">
        <f>M39-J39</f>
        <v>0</v>
      </c>
      <c r="Q39" s="98">
        <f>O39-L39</f>
        <v>-5.8300653594774587</v>
      </c>
      <c r="R39" s="99">
        <f>O39/L39</f>
        <v>0.9358550266072162</v>
      </c>
      <c r="S39" s="469"/>
      <c r="T39" s="20">
        <v>0.42708333333333298</v>
      </c>
      <c r="U39" s="20">
        <v>0.48611111111111099</v>
      </c>
      <c r="V39" s="92">
        <f>(T39-U38)*24*60</f>
        <v>14.999999999998987</v>
      </c>
      <c r="W39" s="205">
        <f t="shared" si="4"/>
        <v>85.000000000000341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-104.9411764705942</v>
      </c>
      <c r="AG39" s="206">
        <f>N39/K39</f>
        <v>0.93585502660721631</v>
      </c>
      <c r="AH39" s="459"/>
    </row>
    <row r="40" spans="1:34" ht="15" customHeight="1">
      <c r="A40" s="466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3931</v>
      </c>
      <c r="H40" s="91">
        <f>F40*G40</f>
        <v>174143.3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1464.9689440993857</v>
      </c>
      <c r="O40" s="203">
        <f>N40/M40</f>
        <v>81.387163561076989</v>
      </c>
      <c r="P40" s="97">
        <f>M40-J40</f>
        <v>0</v>
      </c>
      <c r="Q40" s="98">
        <f>O40-L40</f>
        <v>-9.5017253278118972</v>
      </c>
      <c r="R40" s="99">
        <f>O40/L40</f>
        <v>0.89545778979180068</v>
      </c>
      <c r="S40" s="408"/>
      <c r="T40" s="20">
        <v>0.54513888888888895</v>
      </c>
      <c r="U40" s="20">
        <v>0.656944444444444</v>
      </c>
      <c r="V40" s="92">
        <f>(T40-U39)*24*60</f>
        <v>85.000000000000256</v>
      </c>
      <c r="W40" s="205">
        <f t="shared" si="4"/>
        <v>160.99999999999926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-171.03105590061432</v>
      </c>
      <c r="AG40" s="206">
        <f>N40/K40</f>
        <v>0.89545778979180057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16">AVERAGE(J38:J47)</f>
        <v>17.333333333333332</v>
      </c>
      <c r="K48" s="155">
        <f t="shared" si="16"/>
        <v>1662</v>
      </c>
      <c r="L48" s="158">
        <f t="shared" si="16"/>
        <v>96.300925925925924</v>
      </c>
      <c r="M48" s="155">
        <f t="shared" si="16"/>
        <v>17.333333333333332</v>
      </c>
      <c r="N48" s="155">
        <f t="shared" si="16"/>
        <v>1494.3425892095929</v>
      </c>
      <c r="O48" s="158">
        <f t="shared" si="16"/>
        <v>86.461162363495873</v>
      </c>
      <c r="P48" s="221">
        <f>M48-J48</f>
        <v>0</v>
      </c>
      <c r="Q48" s="222">
        <f>N48-K48</f>
        <v>-167.65741079040708</v>
      </c>
      <c r="R48" s="223">
        <f>O48/L48</f>
        <v>0.89782275229628905</v>
      </c>
      <c r="S48" s="411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17">N48-K48</f>
        <v>-167.65741079040708</v>
      </c>
      <c r="AG48" s="162">
        <f t="shared" ref="AG48:AG53" si="18">N48/K48</f>
        <v>0.89912309820071779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2428</v>
      </c>
      <c r="H49" s="134">
        <f>F49*G49</f>
        <v>120234.56000000001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1636.8539325842842</v>
      </c>
      <c r="O49" s="141">
        <f>N49/M49</f>
        <v>96.285525446134358</v>
      </c>
      <c r="P49" s="229">
        <f>M49-J49</f>
        <v>0</v>
      </c>
      <c r="Q49" s="230">
        <f>O49-L49</f>
        <v>-9.5968274950421062</v>
      </c>
      <c r="R49" s="52">
        <f>O49/L49</f>
        <v>0.90936329588015785</v>
      </c>
      <c r="S49" s="407">
        <f>R58</f>
        <v>0.8665812959271636</v>
      </c>
      <c r="T49" s="191">
        <v>0.29166666666666702</v>
      </c>
      <c r="U49" s="191">
        <v>0.35347222222222202</v>
      </c>
      <c r="V49" s="55"/>
      <c r="W49" s="193">
        <f t="shared" si="4"/>
        <v>88.999999999999204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17"/>
        <v>-163.14606741571583</v>
      </c>
      <c r="AG49" s="52">
        <f t="shared" si="18"/>
        <v>0.90936329588015785</v>
      </c>
      <c r="AH49" s="435">
        <f>AG58</f>
        <v>0.86688580932817183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1446</v>
      </c>
      <c r="H50" s="231">
        <f>F50*G50</f>
        <v>72717.894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1377.1428571428567</v>
      </c>
      <c r="O50" s="235">
        <f>N50/M50</f>
        <v>81.008403361344506</v>
      </c>
      <c r="P50" s="74">
        <f>M50-J50</f>
        <v>0</v>
      </c>
      <c r="Q50" s="83">
        <f>O50-L50</f>
        <v>-15.226890756302552</v>
      </c>
      <c r="R50" s="72">
        <f>O50/L50</f>
        <v>0.8417743625567583</v>
      </c>
      <c r="S50" s="408"/>
      <c r="T50" s="21">
        <v>0.360416666666667</v>
      </c>
      <c r="U50" s="21">
        <v>0.40416666666666701</v>
      </c>
      <c r="V50" s="30">
        <f>(T50-U49)*24*60</f>
        <v>10.000000000000764</v>
      </c>
      <c r="W50" s="236">
        <f t="shared" si="4"/>
        <v>63.000000000000014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17"/>
        <v>-258.85714285714334</v>
      </c>
      <c r="AG50" s="72">
        <f t="shared" si="18"/>
        <v>0.8417743625567583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1976</v>
      </c>
      <c r="H51" s="231">
        <f>F51*G51</f>
        <v>98740.72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1481.9999999999873</v>
      </c>
      <c r="O51" s="235">
        <f>N51/M51</f>
        <v>92.624999999999204</v>
      </c>
      <c r="P51" s="74">
        <f>M51-J51</f>
        <v>0</v>
      </c>
      <c r="Q51" s="83">
        <f>O51-L51</f>
        <v>-19.875000000000796</v>
      </c>
      <c r="R51" s="72">
        <f>O51/L51</f>
        <v>0.82333333333332626</v>
      </c>
      <c r="S51" s="408"/>
      <c r="T51" s="21">
        <v>0.40972222222222199</v>
      </c>
      <c r="U51" s="19">
        <v>0.46527777777777801</v>
      </c>
      <c r="V51" s="30">
        <f>(T51-U50)*24*60</f>
        <v>7.9999999999991722</v>
      </c>
      <c r="W51" s="236">
        <f t="shared" si="4"/>
        <v>80.000000000000682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17"/>
        <v>-318.00000000001273</v>
      </c>
      <c r="AG51" s="72">
        <f t="shared" si="18"/>
        <v>0.82333333333332626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4543</v>
      </c>
      <c r="H52" s="231">
        <f>F52*G52</f>
        <v>227013.71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1603.4117647058895</v>
      </c>
      <c r="O52" s="235">
        <f>N52/M52</f>
        <v>100.21323529411809</v>
      </c>
      <c r="P52" s="74">
        <f>M52-J52</f>
        <v>0</v>
      </c>
      <c r="Q52" s="83">
        <f>O52-L52</f>
        <v>-12.286764705881907</v>
      </c>
      <c r="R52" s="72">
        <f>O52/L52</f>
        <v>0.89078431372549416</v>
      </c>
      <c r="S52" s="408"/>
      <c r="T52" s="21">
        <v>0.52430555555555602</v>
      </c>
      <c r="U52" s="21">
        <v>0.64236111111111105</v>
      </c>
      <c r="V52" s="30">
        <f>(T52-U51)*24*60</f>
        <v>85.000000000000341</v>
      </c>
      <c r="W52" s="236">
        <f t="shared" si="4"/>
        <v>169.99999999999923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7"/>
        <v>-196.58823529411052</v>
      </c>
      <c r="AG52" s="72">
        <f t="shared" si="18"/>
        <v>0.89078431372549416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7"/>
        <v>0</v>
      </c>
      <c r="AG53" s="72" t="e">
        <f t="shared" si="18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16.5</v>
      </c>
      <c r="N58" s="120">
        <f t="shared" si="19"/>
        <v>1524.8521386082543</v>
      </c>
      <c r="O58" s="117">
        <f t="shared" si="19"/>
        <v>92.533041025399044</v>
      </c>
      <c r="P58" s="121">
        <f>M58-J58</f>
        <v>0</v>
      </c>
      <c r="Q58" s="122">
        <f>N58-K58</f>
        <v>-234.14786139174566</v>
      </c>
      <c r="R58" s="123">
        <f t="shared" ref="R58:R63" si="20">O58/L58</f>
        <v>0.8665812959271636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-234.14786139174566</v>
      </c>
      <c r="AG58" s="124">
        <f>N58/K58</f>
        <v>0.86688580932817183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2529</v>
      </c>
      <c r="H59" s="243">
        <f>F59*G59</f>
        <v>68257.709999999992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1517.3999999999874</v>
      </c>
      <c r="O59" s="138">
        <f>N59/M59</f>
        <v>101.15999999999916</v>
      </c>
      <c r="P59" s="56">
        <f>M59-J59</f>
        <v>0</v>
      </c>
      <c r="Q59" s="230">
        <f>O59-L59</f>
        <v>-7.9066666666675047</v>
      </c>
      <c r="R59" s="52">
        <f t="shared" si="20"/>
        <v>0.92750611246942993</v>
      </c>
      <c r="S59" s="407">
        <f>R69</f>
        <v>0.92330936133166164</v>
      </c>
      <c r="T59" s="245">
        <v>0.28819444444444398</v>
      </c>
      <c r="U59" s="245">
        <v>0.35763888888888901</v>
      </c>
      <c r="V59" s="55"/>
      <c r="W59" s="54">
        <f t="shared" si="4"/>
        <v>100.00000000000084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-118.60000000001264</v>
      </c>
      <c r="AG59" s="246">
        <f>N59/K59</f>
        <v>0.92750611246942993</v>
      </c>
      <c r="AH59" s="435">
        <f>AG69</f>
        <v>0.92389393410176091</v>
      </c>
    </row>
    <row r="60" spans="1:34" ht="15" customHeight="1">
      <c r="A60" s="477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1005</v>
      </c>
      <c r="H60" s="78">
        <f>F60*G60</f>
        <v>28401.300000000003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1507.4999999999873</v>
      </c>
      <c r="O60" s="81">
        <f>N60/M60</f>
        <v>137.0454545454534</v>
      </c>
      <c r="P60" s="74">
        <f>M60-J60</f>
        <v>0</v>
      </c>
      <c r="Q60" s="83">
        <f>O60-L60</f>
        <v>-11.681818181819324</v>
      </c>
      <c r="R60" s="72">
        <f t="shared" si="20"/>
        <v>0.92145476772615365</v>
      </c>
      <c r="S60" s="480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-128.50000000001273</v>
      </c>
      <c r="AG60" s="249">
        <f>N60/K60</f>
        <v>0.92145476772615353</v>
      </c>
      <c r="AH60" s="471"/>
    </row>
    <row r="61" spans="1:34" ht="15" customHeight="1">
      <c r="A61" s="478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726</v>
      </c>
      <c r="H61" s="254">
        <f>F61*G61</f>
        <v>20516.760000000002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1555.7142857143226</v>
      </c>
      <c r="O61" s="238">
        <f>N61/M61</f>
        <v>141.42857142857477</v>
      </c>
      <c r="P61" s="111">
        <f>M61-J61</f>
        <v>0</v>
      </c>
      <c r="Q61" s="255">
        <f>O61-L61</f>
        <v>-7.2987012986979494</v>
      </c>
      <c r="R61" s="85">
        <f t="shared" si="20"/>
        <v>0.95092560251486713</v>
      </c>
      <c r="S61" s="408"/>
      <c r="T61" s="22">
        <v>0.40277777777777801</v>
      </c>
      <c r="U61" s="22">
        <v>0.422222222222222</v>
      </c>
      <c r="V61" s="30">
        <f>(T61-U60)*24*60</f>
        <v>15.000000000000506</v>
      </c>
      <c r="W61" s="256">
        <f t="shared" si="4"/>
        <v>27.999999999999339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-80.285714285677386</v>
      </c>
      <c r="AG61" s="247">
        <f>N61/K61</f>
        <v>0.95092560251486713</v>
      </c>
      <c r="AH61" s="436"/>
    </row>
    <row r="62" spans="1:34" ht="15" customHeight="1">
      <c r="A62" s="478"/>
      <c r="B62" s="250" t="s">
        <v>130</v>
      </c>
      <c r="C62" s="251"/>
      <c r="D62" s="257" t="s">
        <v>133</v>
      </c>
      <c r="E62" s="253"/>
      <c r="F62" s="250">
        <f>VLOOKUP(D62,廠價表!$C$1:$E$43,3,0)</f>
        <v>28.26</v>
      </c>
      <c r="G62" s="38">
        <v>1528</v>
      </c>
      <c r="H62" s="254">
        <f>F62*G62</f>
        <v>43181.279999999999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1455.2380952380968</v>
      </c>
      <c r="O62" s="238">
        <f>N62/M62</f>
        <v>132.29437229437244</v>
      </c>
      <c r="P62" s="111">
        <f>M62-J62</f>
        <v>0</v>
      </c>
      <c r="Q62" s="255">
        <f>O62-L62</f>
        <v>-16.432900432900283</v>
      </c>
      <c r="R62" s="85">
        <f t="shared" si="20"/>
        <v>0.88950983816509588</v>
      </c>
      <c r="S62" s="408"/>
      <c r="T62" s="22">
        <v>0.43194444444444402</v>
      </c>
      <c r="U62" s="22">
        <v>0.47569444444444398</v>
      </c>
      <c r="V62" s="30">
        <f>(T62-U61)*24*60</f>
        <v>13.99999999999971</v>
      </c>
      <c r="W62" s="248">
        <f t="shared" si="4"/>
        <v>62.999999999999936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-180.76190476190322</v>
      </c>
      <c r="AG62" s="247">
        <f>N62/K62</f>
        <v>0.88950983816509588</v>
      </c>
      <c r="AH62" s="436"/>
    </row>
    <row r="63" spans="1:34" ht="15" customHeight="1">
      <c r="A63" s="478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1268</v>
      </c>
      <c r="H63" s="254">
        <f>F63*G63</f>
        <v>34223.32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>G63/W63*60</f>
        <v>1521.6000000000104</v>
      </c>
      <c r="O63" s="238">
        <f>N63/M63</f>
        <v>101.44000000000069</v>
      </c>
      <c r="P63" s="111">
        <f>M63-J63</f>
        <v>0</v>
      </c>
      <c r="Q63" s="255">
        <f>O63-L63</f>
        <v>-7.6266666666659688</v>
      </c>
      <c r="R63" s="85">
        <f t="shared" si="20"/>
        <v>0.93007334963325827</v>
      </c>
      <c r="S63" s="408"/>
      <c r="T63" s="22">
        <v>0.53472222222222199</v>
      </c>
      <c r="U63" s="22">
        <v>0.56944444444444398</v>
      </c>
      <c r="V63" s="30">
        <f>(T63-U62)*24*60</f>
        <v>85.000000000000341</v>
      </c>
      <c r="W63" s="248">
        <f t="shared" si="4"/>
        <v>49.999999999999659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21">AVERAGE(J59:J68)</f>
        <v>12.6</v>
      </c>
      <c r="K69" s="240">
        <f t="shared" si="21"/>
        <v>1636</v>
      </c>
      <c r="L69" s="268">
        <f t="shared" si="21"/>
        <v>132.86303030303029</v>
      </c>
      <c r="M69" s="240">
        <f t="shared" si="21"/>
        <v>12.6</v>
      </c>
      <c r="N69" s="240">
        <f t="shared" si="21"/>
        <v>1511.4904761904809</v>
      </c>
      <c r="O69" s="268">
        <f t="shared" si="21"/>
        <v>122.6736796536801</v>
      </c>
      <c r="P69" s="269">
        <f>M69-J69</f>
        <v>0</v>
      </c>
      <c r="Q69" s="222">
        <f>N69-K69</f>
        <v>-124.50952380951912</v>
      </c>
      <c r="R69" s="123">
        <f>O69/L69</f>
        <v>0.92330936133166164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-124.50952380951912</v>
      </c>
      <c r="AG69" s="124">
        <f>N69/K69</f>
        <v>0.92389393410176091</v>
      </c>
      <c r="AH69" s="438"/>
    </row>
    <row r="70" spans="1:36" ht="15" customHeight="1">
      <c r="A70" s="472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1497</v>
      </c>
      <c r="H70" s="243">
        <f>F70*G70</f>
        <v>42305.22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1283.1428571428339</v>
      </c>
      <c r="O70" s="138">
        <f>N70/M70</f>
        <v>142.571428571426</v>
      </c>
      <c r="P70" s="56">
        <f>M70-J70</f>
        <v>-2</v>
      </c>
      <c r="Q70" s="230">
        <f>O70-L70</f>
        <v>-6.1558441558467223</v>
      </c>
      <c r="R70" s="52">
        <f>O70/L70</f>
        <v>0.95860984980787656</v>
      </c>
      <c r="S70" s="407">
        <f>R79</f>
        <v>0.85455196698858749</v>
      </c>
      <c r="T70" s="245">
        <v>0.29444444444444401</v>
      </c>
      <c r="U70" s="245">
        <v>0.343055555555556</v>
      </c>
      <c r="V70" s="55"/>
      <c r="W70" s="54">
        <f t="shared" si="4"/>
        <v>70.000000000001265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-352.85714285716608</v>
      </c>
      <c r="AG70" s="246">
        <f>N70/K70</f>
        <v>0.78431714984280798</v>
      </c>
      <c r="AH70" s="435">
        <f>AG79</f>
        <v>0.77114234444683438</v>
      </c>
    </row>
    <row r="71" spans="1:36" ht="15" customHeight="1">
      <c r="A71" s="473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1048</v>
      </c>
      <c r="H71" s="254">
        <f>F71*G71</f>
        <v>45996.72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13</v>
      </c>
      <c r="N71" s="107">
        <f>G71/W71*60</f>
        <v>1209.2307692307718</v>
      </c>
      <c r="O71" s="238">
        <f>N71/M71</f>
        <v>93.017751479290141</v>
      </c>
      <c r="P71" s="111">
        <f>M71-J71</f>
        <v>-1</v>
      </c>
      <c r="Q71" s="255">
        <f>O71-L71</f>
        <v>-18.767962806424151</v>
      </c>
      <c r="R71" s="85">
        <f>O71/L71</f>
        <v>0.83210768096489574</v>
      </c>
      <c r="S71" s="408"/>
      <c r="T71" s="22">
        <v>0.36249999999999999</v>
      </c>
      <c r="U71" s="22">
        <v>0.39861111111111103</v>
      </c>
      <c r="V71" s="30">
        <f>(T71-U70)*24*60</f>
        <v>27.999999999999339</v>
      </c>
      <c r="W71" s="73">
        <f t="shared" si="4"/>
        <v>51.999999999999893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 t="s">
        <v>81</v>
      </c>
      <c r="C72" s="76"/>
      <c r="D72" s="59" t="s">
        <v>122</v>
      </c>
      <c r="E72" s="77"/>
      <c r="F72" s="250">
        <f>VLOOKUP(D72,廠價表!$C$1:$E$43,3,0)</f>
        <v>46.34</v>
      </c>
      <c r="G72" s="202">
        <v>1060</v>
      </c>
      <c r="H72" s="254">
        <f>F72*G72</f>
        <v>49120.4</v>
      </c>
      <c r="I72" s="232"/>
      <c r="J72" s="79">
        <f>VLOOKUP(D72,產線配置圖!$A$3:$C$40,2,0)</f>
        <v>16</v>
      </c>
      <c r="K72" s="80">
        <f>VLOOKUP(D72,產線配置圖!$A$3:$C$40,3,0)</f>
        <v>1636</v>
      </c>
      <c r="L72" s="81">
        <f>K72/J72</f>
        <v>102.25</v>
      </c>
      <c r="M72" s="82">
        <v>15</v>
      </c>
      <c r="N72" s="107">
        <f>G72/W72*60</f>
        <v>1059.9999999999911</v>
      </c>
      <c r="O72" s="238">
        <f>N72/M72</f>
        <v>70.666666666666075</v>
      </c>
      <c r="P72" s="111">
        <f>M72-J72</f>
        <v>-1</v>
      </c>
      <c r="Q72" s="255">
        <f>O72-L72</f>
        <v>-31.583333333333925</v>
      </c>
      <c r="R72" s="85">
        <f>O72/L72</f>
        <v>0.69111654441727211</v>
      </c>
      <c r="S72" s="408"/>
      <c r="T72" s="22">
        <v>0.40486111111111101</v>
      </c>
      <c r="U72" s="22">
        <v>0.44652777777777802</v>
      </c>
      <c r="V72" s="30">
        <f>(T72-U71)*24*60</f>
        <v>8.999999999999968</v>
      </c>
      <c r="W72" s="73">
        <f t="shared" si="4"/>
        <v>60.000000000000504</v>
      </c>
      <c r="X72" s="272"/>
      <c r="Y72" s="288"/>
      <c r="Z72" s="90">
        <v>1</v>
      </c>
      <c r="AA72" s="90">
        <v>7</v>
      </c>
      <c r="AB72" s="440" t="s">
        <v>139</v>
      </c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 t="s">
        <v>130</v>
      </c>
      <c r="C73" s="58"/>
      <c r="D73" s="259" t="s">
        <v>134</v>
      </c>
      <c r="E73" s="60"/>
      <c r="F73" s="250">
        <f>VLOOKUP(D73,廠價表!$C$1:$E$43,3,0)</f>
        <v>28.26</v>
      </c>
      <c r="G73" s="273">
        <v>1871</v>
      </c>
      <c r="H73" s="254">
        <f>F73*G73</f>
        <v>52874.460000000006</v>
      </c>
      <c r="I73" s="182"/>
      <c r="J73" s="79">
        <f>VLOOKUP(D73,產線配置圖!$A$3:$C$40,2,0)</f>
        <v>11</v>
      </c>
      <c r="K73" s="80">
        <f>VLOOKUP(D73,產線配置圖!$A$3:$C$40,3,0)</f>
        <v>1636</v>
      </c>
      <c r="L73" s="81">
        <f>K73/J73</f>
        <v>148.72727272727272</v>
      </c>
      <c r="M73" s="94">
        <v>11</v>
      </c>
      <c r="N73" s="107">
        <f>G73/W73*60</f>
        <v>1439.2307692307625</v>
      </c>
      <c r="O73" s="238">
        <f>N73/M73</f>
        <v>130.83916083916023</v>
      </c>
      <c r="P73" s="111">
        <f>M73-J73</f>
        <v>0</v>
      </c>
      <c r="Q73" s="255">
        <f>O73-L73</f>
        <v>-17.888111888112491</v>
      </c>
      <c r="R73" s="85">
        <f>O73/L73</f>
        <v>0.87972540906525831</v>
      </c>
      <c r="S73" s="408"/>
      <c r="T73" s="22">
        <v>0.51875000000000004</v>
      </c>
      <c r="U73" s="22">
        <v>0.57291666666666696</v>
      </c>
      <c r="V73" s="30">
        <f>(T73-U72)*24*60</f>
        <v>103.99999999999972</v>
      </c>
      <c r="W73" s="73">
        <f t="shared" si="4"/>
        <v>78.000000000000369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1618.25</v>
      </c>
      <c r="L79" s="268">
        <f t="shared" si="22"/>
        <v>127.87256493506493</v>
      </c>
      <c r="M79" s="240">
        <f t="shared" si="22"/>
        <v>12</v>
      </c>
      <c r="N79" s="240">
        <f t="shared" si="22"/>
        <v>1247.9010989010897</v>
      </c>
      <c r="O79" s="268">
        <f t="shared" si="22"/>
        <v>109.27375188913561</v>
      </c>
      <c r="P79" s="269">
        <f>M79-J79</f>
        <v>-1</v>
      </c>
      <c r="Q79" s="222">
        <f>N79-K79</f>
        <v>-370.34890109891035</v>
      </c>
      <c r="R79" s="223">
        <f>O79/L79</f>
        <v>0.85455196698858749</v>
      </c>
      <c r="S79" s="411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7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-370.34890109891035</v>
      </c>
      <c r="AG79" s="124">
        <f>N79/K79</f>
        <v>0.77114234444683438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G3:G4"/>
    <mergeCell ref="AB3:AC4"/>
    <mergeCell ref="N3:N4"/>
    <mergeCell ref="O3:O4"/>
    <mergeCell ref="P3:P4"/>
    <mergeCell ref="Q3:Q4"/>
    <mergeCell ref="R3:R4"/>
    <mergeCell ref="S3:S4"/>
    <mergeCell ref="T3:U3"/>
    <mergeCell ref="V3:V4"/>
    <mergeCell ref="W3:W4"/>
    <mergeCell ref="H3:H4"/>
    <mergeCell ref="I3:I4"/>
    <mergeCell ref="AB16:AC16"/>
    <mergeCell ref="D26:E26"/>
    <mergeCell ref="AB26:AC26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5:A15"/>
    <mergeCell ref="S5:S15"/>
    <mergeCell ref="AB5:AC5"/>
    <mergeCell ref="D15:E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A0A24E-444F-4480-A48B-1D75C05CA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635-A4AE-4C21-B391-68CE5A23D6C8}">
  <dimension ref="B1:O26"/>
  <sheetViews>
    <sheetView topLeftCell="A3" zoomScale="70" zoomScaleNormal="70" workbookViewId="0">
      <selection activeCell="H8" sqref="H8:I8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58" width="8.85546875" style="360" customWidth="1"/>
    <col min="159" max="16384" width="8.85546875" style="360"/>
  </cols>
  <sheetData>
    <row r="1" spans="2:15" ht="27.75" customHeight="1">
      <c r="B1" s="518" t="s">
        <v>70</v>
      </c>
      <c r="C1" s="518"/>
      <c r="D1" s="518"/>
      <c r="E1" s="518"/>
      <c r="F1" s="518"/>
      <c r="G1" s="518"/>
      <c r="H1" s="518"/>
      <c r="I1" s="518"/>
      <c r="J1" s="518"/>
      <c r="K1" s="518"/>
      <c r="L1" s="359"/>
      <c r="M1" s="359"/>
    </row>
    <row r="2" spans="2:15" ht="27.75" customHeight="1"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359"/>
      <c r="M2" s="359"/>
    </row>
    <row r="3" spans="2:15" ht="46.5" customHeight="1">
      <c r="B3" s="519" t="s">
        <v>71</v>
      </c>
      <c r="C3" s="519"/>
      <c r="D3" s="520">
        <v>46237</v>
      </c>
      <c r="E3" s="520"/>
      <c r="F3" s="361" t="s">
        <v>72</v>
      </c>
      <c r="G3" s="486">
        <f>'0803'!E1</f>
        <v>65714</v>
      </c>
      <c r="H3" s="486"/>
      <c r="I3" s="361" t="s">
        <v>2</v>
      </c>
      <c r="J3" s="521">
        <f>'0803'!G1</f>
        <v>3028007.1529999999</v>
      </c>
      <c r="K3" s="521"/>
      <c r="L3" s="4"/>
    </row>
    <row r="4" spans="2:15" ht="24" customHeight="1">
      <c r="B4" s="519" t="s">
        <v>73</v>
      </c>
      <c r="C4" s="519"/>
      <c r="D4" s="524">
        <v>3</v>
      </c>
      <c r="E4" s="524"/>
      <c r="F4" s="526" t="s">
        <v>74</v>
      </c>
      <c r="G4" s="526"/>
      <c r="H4" s="526" t="s">
        <v>75</v>
      </c>
      <c r="I4" s="526"/>
      <c r="J4" s="524" t="s">
        <v>76</v>
      </c>
      <c r="K4" s="526"/>
      <c r="L4" s="522" t="s">
        <v>77</v>
      </c>
      <c r="M4" s="523"/>
      <c r="N4" s="523" t="s">
        <v>78</v>
      </c>
      <c r="O4" s="523"/>
    </row>
    <row r="5" spans="2:15" ht="24" customHeight="1">
      <c r="B5" s="519" t="s">
        <v>14</v>
      </c>
      <c r="C5" s="519"/>
      <c r="D5" s="524" t="s">
        <v>79</v>
      </c>
      <c r="E5" s="524"/>
      <c r="F5" s="524" t="s">
        <v>80</v>
      </c>
      <c r="G5" s="524"/>
      <c r="H5" s="490" t="s">
        <v>81</v>
      </c>
      <c r="I5" s="490"/>
      <c r="J5" s="491" t="s">
        <v>82</v>
      </c>
      <c r="K5" s="491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519"/>
      <c r="C6" s="519"/>
      <c r="D6" s="519" t="s">
        <v>86</v>
      </c>
      <c r="E6" s="519"/>
      <c r="F6" s="525">
        <f>AVERAGE(D13:J13)</f>
        <v>126.99525590539245</v>
      </c>
      <c r="G6" s="525"/>
      <c r="H6" s="493">
        <f>AVERAGE(D13:H13)</f>
        <v>124.64064542483659</v>
      </c>
      <c r="I6" s="493"/>
      <c r="J6" s="493">
        <f>AVERAGE(I13:J13)</f>
        <v>132.88178210678211</v>
      </c>
      <c r="K6" s="493"/>
      <c r="L6" s="532">
        <f>SUM(D18:J18)</f>
        <v>0</v>
      </c>
      <c r="M6" s="527">
        <f>SUM(D19:J19)</f>
        <v>0</v>
      </c>
      <c r="N6" s="534">
        <f>SUM(D20:J20)</f>
        <v>0</v>
      </c>
      <c r="O6" s="527">
        <f>SUM(D20:J20)</f>
        <v>0</v>
      </c>
    </row>
    <row r="7" spans="2:15" ht="39.6" customHeight="1">
      <c r="B7" s="519"/>
      <c r="C7" s="519"/>
      <c r="D7" s="541" t="s">
        <v>87</v>
      </c>
      <c r="E7" s="541"/>
      <c r="F7" s="542">
        <f>AVERAGE(D14:J14)</f>
        <v>114.26601005277669</v>
      </c>
      <c r="G7" s="542"/>
      <c r="H7" s="517">
        <f>AVERAGE(D14:H14)</f>
        <v>113.97518358720247</v>
      </c>
      <c r="I7" s="517"/>
      <c r="J7" s="517">
        <f>AVERAGE(I14:J14)</f>
        <v>114.9930762167123</v>
      </c>
      <c r="K7" s="517"/>
      <c r="L7" s="533" t="e">
        <f t="shared" ref="L7:O8" si="0">AVERAGE(K14:L14)</f>
        <v>#DIV/0!</v>
      </c>
      <c r="M7" s="527" t="e">
        <f t="shared" si="0"/>
        <v>#DIV/0!</v>
      </c>
      <c r="N7" s="535" t="e">
        <f t="shared" si="0"/>
        <v>#DIV/0!</v>
      </c>
      <c r="O7" s="527" t="e">
        <f t="shared" si="0"/>
        <v>#DIV/0!</v>
      </c>
    </row>
    <row r="8" spans="2:15" ht="39.6" customHeight="1">
      <c r="B8" s="519"/>
      <c r="C8" s="519"/>
      <c r="D8" s="541" t="s">
        <v>27</v>
      </c>
      <c r="E8" s="541"/>
      <c r="F8" s="489">
        <f>F7/F6</f>
        <v>0.89976597344629428</v>
      </c>
      <c r="G8" s="489"/>
      <c r="H8" s="489">
        <f>H7/H6</f>
        <v>0.91443030641183709</v>
      </c>
      <c r="I8" s="489"/>
      <c r="J8" s="489">
        <f>J7/J6</f>
        <v>0.86537879304106058</v>
      </c>
      <c r="K8" s="489"/>
      <c r="L8" s="533" t="e">
        <f t="shared" si="0"/>
        <v>#DIV/0!</v>
      </c>
      <c r="M8" s="527" t="e">
        <f t="shared" si="0"/>
        <v>#DIV/0!</v>
      </c>
      <c r="N8" s="535" t="e">
        <f t="shared" si="0"/>
        <v>#DIV/0!</v>
      </c>
      <c r="O8" s="527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536" t="s">
        <v>89</v>
      </c>
      <c r="C10" s="537"/>
      <c r="D10" s="538" t="s">
        <v>90</v>
      </c>
      <c r="E10" s="539"/>
      <c r="F10" s="539"/>
      <c r="G10" s="539"/>
      <c r="H10" s="539"/>
      <c r="I10" s="539"/>
      <c r="J10" s="540"/>
    </row>
    <row r="11" spans="2:15" ht="17.25" customHeight="1">
      <c r="B11" s="528" t="s">
        <v>91</v>
      </c>
      <c r="C11" s="529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530"/>
      <c r="C12" s="531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544" t="s">
        <v>14</v>
      </c>
      <c r="C13" s="370" t="s">
        <v>99</v>
      </c>
      <c r="D13" s="371">
        <f>VALUE('0803'!L15)</f>
        <v>151.3574660633484</v>
      </c>
      <c r="E13" s="371">
        <f>VALUE('0803'!L26)</f>
        <v>174.23076923076923</v>
      </c>
      <c r="F13" s="371">
        <f>VALUE('0803'!L37)</f>
        <v>94.551062091503283</v>
      </c>
      <c r="G13" s="371">
        <f>VALUE('0803'!L48)</f>
        <v>96.284517973856211</v>
      </c>
      <c r="H13" s="371">
        <f>VALUE('0803'!L58)</f>
        <v>106.77941176470588</v>
      </c>
      <c r="I13" s="371">
        <f>VALUE('0803'!L69)</f>
        <v>135.50707070707071</v>
      </c>
      <c r="J13" s="371">
        <f>'0803'!L79</f>
        <v>130.25649350649351</v>
      </c>
    </row>
    <row r="14" spans="2:15" ht="39.950000000000003" customHeight="1">
      <c r="B14" s="545"/>
      <c r="C14" s="370" t="s">
        <v>100</v>
      </c>
      <c r="D14" s="371">
        <f>VALUE('0803'!O15)</f>
        <v>138.93628677845805</v>
      </c>
      <c r="E14" s="371">
        <f>VALUE('0803'!O26)</f>
        <v>163.76633655804804</v>
      </c>
      <c r="F14" s="371">
        <f>VALUE('0803'!O37)</f>
        <v>83.531620140642843</v>
      </c>
      <c r="G14" s="371">
        <f>VALUE('0803'!O48)</f>
        <v>90.009299516908214</v>
      </c>
      <c r="H14" s="371">
        <f>VALUE('0803'!O58)</f>
        <v>93.632374941955206</v>
      </c>
      <c r="I14" s="371">
        <f>VALUE('0803'!O69)</f>
        <v>121.82747474747464</v>
      </c>
      <c r="J14" s="371">
        <f>'0803'!O79</f>
        <v>108.15867768594995</v>
      </c>
    </row>
    <row r="15" spans="2:15" ht="39.950000000000003" customHeight="1">
      <c r="B15" s="546"/>
      <c r="C15" s="368" t="s">
        <v>26</v>
      </c>
      <c r="D15" s="372">
        <f t="shared" ref="D15:I15" si="1">D14/D13</f>
        <v>0.91793480950789941</v>
      </c>
      <c r="E15" s="372">
        <f t="shared" si="1"/>
        <v>0.93993923852301309</v>
      </c>
      <c r="F15" s="372">
        <f t="shared" si="1"/>
        <v>0.88345512247978553</v>
      </c>
      <c r="G15" s="372">
        <f t="shared" si="1"/>
        <v>0.93482629825646646</v>
      </c>
      <c r="H15" s="372">
        <f t="shared" si="1"/>
        <v>0.87687666933658637</v>
      </c>
      <c r="I15" s="372">
        <f t="shared" si="1"/>
        <v>0.8990488401216522</v>
      </c>
      <c r="J15" s="373">
        <f>'0803'!S70</f>
        <v>0.83035152240266663</v>
      </c>
    </row>
    <row r="16" spans="2:15" ht="17.25" customHeight="1">
      <c r="B16" s="547" t="s">
        <v>101</v>
      </c>
      <c r="C16" s="368" t="s">
        <v>34</v>
      </c>
      <c r="D16" s="374">
        <f>'0803'!T5</f>
        <v>0.29305555555555601</v>
      </c>
      <c r="E16" s="374">
        <f>'0803'!T16</f>
        <v>0.28819444444444398</v>
      </c>
      <c r="F16" s="374">
        <f>'0803'!T27</f>
        <v>0.29513888888888901</v>
      </c>
      <c r="G16" s="374">
        <f>'0803'!T38</f>
        <v>0.33333333333333298</v>
      </c>
      <c r="H16" s="374">
        <f>'0803'!T49</f>
        <v>0.29097222222222202</v>
      </c>
      <c r="I16" s="374">
        <f>'0803'!T59</f>
        <v>0.28819444444444398</v>
      </c>
      <c r="J16" s="374">
        <f>'0803'!T70</f>
        <v>0.29166666666666702</v>
      </c>
    </row>
    <row r="17" spans="2:10" ht="17.25" customHeight="1">
      <c r="B17" s="548"/>
      <c r="C17" s="368" t="s">
        <v>35</v>
      </c>
      <c r="D17" s="16">
        <v>0.57777777777777795</v>
      </c>
      <c r="E17" s="375">
        <v>0.63888888888888895</v>
      </c>
      <c r="F17" s="19">
        <v>0.65625</v>
      </c>
      <c r="G17" s="376">
        <v>0.6875</v>
      </c>
      <c r="H17" s="21">
        <v>0.64930555555555602</v>
      </c>
      <c r="I17" s="377">
        <v>0.51388888888888895</v>
      </c>
      <c r="J17" s="22">
        <v>0.46527777777777801</v>
      </c>
    </row>
    <row r="18" spans="2:10" ht="17.25" customHeight="1">
      <c r="B18" s="549" t="s">
        <v>102</v>
      </c>
      <c r="C18" s="378" t="s">
        <v>36</v>
      </c>
      <c r="D18" s="379">
        <f>'0803'!Z15</f>
        <v>0</v>
      </c>
      <c r="E18" s="380">
        <f>'0803'!Z26</f>
        <v>0</v>
      </c>
      <c r="F18" s="380">
        <f>'0803'!Z37</f>
        <v>0</v>
      </c>
      <c r="G18" s="381">
        <f>'0803'!Z48</f>
        <v>0</v>
      </c>
      <c r="H18" s="381">
        <f>'0803'!Z58</f>
        <v>0</v>
      </c>
      <c r="I18" s="380">
        <f>'0803'!Z69</f>
        <v>0</v>
      </c>
      <c r="J18" s="380">
        <f>'0803'!AA79</f>
        <v>0</v>
      </c>
    </row>
    <row r="19" spans="2:10" ht="17.25" customHeight="1">
      <c r="B19" s="550"/>
      <c r="C19" s="378" t="s">
        <v>37</v>
      </c>
      <c r="D19" s="379">
        <f>'0803'!AA15</f>
        <v>0</v>
      </c>
      <c r="E19" s="380">
        <f>'0803'!AA26</f>
        <v>0</v>
      </c>
      <c r="F19" s="380">
        <f>'0803'!AA37</f>
        <v>0</v>
      </c>
      <c r="G19" s="381">
        <f>'0803'!AA48</f>
        <v>0</v>
      </c>
      <c r="H19" s="381">
        <f>'0803'!AA58</f>
        <v>0</v>
      </c>
      <c r="I19" s="380">
        <f>'0803'!AA69</f>
        <v>0</v>
      </c>
      <c r="J19" s="380">
        <f>'0803'!AB79</f>
        <v>0</v>
      </c>
    </row>
    <row r="20" spans="2:10" ht="17.25" customHeight="1">
      <c r="B20" s="549" t="s">
        <v>103</v>
      </c>
      <c r="C20" s="378" t="s">
        <v>36</v>
      </c>
      <c r="D20" s="379">
        <f>'0803'!AD15</f>
        <v>0</v>
      </c>
      <c r="E20" s="380">
        <f>'0803'!AD26</f>
        <v>0</v>
      </c>
      <c r="F20" s="380">
        <f>'0803'!AD37</f>
        <v>0</v>
      </c>
      <c r="G20" s="381">
        <f>'0803'!AD48</f>
        <v>0</v>
      </c>
      <c r="H20" s="381">
        <f>'0803'!AD58</f>
        <v>0</v>
      </c>
      <c r="I20" s="380">
        <f>'0803'!AD69</f>
        <v>0</v>
      </c>
      <c r="J20" s="380">
        <f>'0803'!AD79</f>
        <v>0</v>
      </c>
    </row>
    <row r="21" spans="2:10" ht="17.25" customHeight="1">
      <c r="B21" s="550"/>
      <c r="C21" s="378" t="s">
        <v>85</v>
      </c>
      <c r="D21" s="379">
        <f>'0803'!AE15</f>
        <v>0</v>
      </c>
      <c r="E21" s="380">
        <f>'0803'!AE26</f>
        <v>0</v>
      </c>
      <c r="F21" s="380">
        <f>'0803'!AE37</f>
        <v>0</v>
      </c>
      <c r="G21" s="381">
        <f>'0803'!AE48</f>
        <v>0</v>
      </c>
      <c r="H21" s="381">
        <f>'0803'!AE58</f>
        <v>0</v>
      </c>
      <c r="I21" s="380">
        <f>'0803'!AE69</f>
        <v>0</v>
      </c>
      <c r="J21" s="380">
        <f>'0803'!AE79</f>
        <v>0</v>
      </c>
    </row>
    <row r="22" spans="2:10" ht="17.25" customHeight="1">
      <c r="B22" s="536" t="s">
        <v>104</v>
      </c>
      <c r="C22" s="537"/>
      <c r="D22" s="382">
        <f>VALUE('0803'!M15)</f>
        <v>15</v>
      </c>
      <c r="E22" s="382">
        <f>VALUE('0803'!M26)</f>
        <v>13</v>
      </c>
      <c r="F22" s="382">
        <f>VALUE('0803'!M37)</f>
        <v>16.875</v>
      </c>
      <c r="G22" s="382">
        <f>VALUE('0803'!M48)</f>
        <v>16</v>
      </c>
      <c r="H22" s="382">
        <f>VALUE('0803'!M58)</f>
        <v>16.5</v>
      </c>
      <c r="I22" s="382">
        <f>VALUE('0803'!M69)</f>
        <v>12.333333333333334</v>
      </c>
      <c r="J22" s="382">
        <f>'0803'!M79</f>
        <v>11</v>
      </c>
    </row>
    <row r="23" spans="2:10" ht="17.25" customHeight="1">
      <c r="B23" s="536" t="s">
        <v>105</v>
      </c>
      <c r="C23" s="537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536" t="s">
        <v>109</v>
      </c>
      <c r="C24" s="537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536" t="s">
        <v>111</v>
      </c>
      <c r="C25" s="537"/>
      <c r="D25" s="384"/>
      <c r="E25" s="384"/>
      <c r="F25" s="384"/>
      <c r="G25" s="384"/>
      <c r="H25" s="384"/>
      <c r="I25" s="384"/>
      <c r="J25" s="384"/>
    </row>
    <row r="26" spans="2:10">
      <c r="B26" s="543"/>
      <c r="C26" s="543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318D-E146-47DD-B70A-E64EA30E1082}">
  <sheetPr>
    <tabColor theme="9" tint="0.79998168889431442"/>
  </sheetPr>
  <dimension ref="A1:AJ92"/>
  <sheetViews>
    <sheetView zoomScale="75" zoomScaleNormal="75" workbookViewId="0">
      <pane xSplit="5" ySplit="4" topLeftCell="F23" activePane="bottomRight" state="frozen"/>
      <selection activeCell="E21" sqref="E21"/>
      <selection pane="topRight" activeCell="E21" sqref="E21"/>
      <selection pane="bottomLeft" activeCell="E21" sqref="E21"/>
      <selection pane="bottomRight" activeCell="G32" sqref="G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8" width="8.7109375" style="34" customWidth="1"/>
    <col min="15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65714</v>
      </c>
      <c r="F1" s="30" t="s">
        <v>2</v>
      </c>
      <c r="G1" s="31">
        <f>SUM(H5:H79)</f>
        <v>3028007.1529999999</v>
      </c>
      <c r="H1" s="32" t="s">
        <v>3</v>
      </c>
      <c r="I1" s="33">
        <f>M15+M26+M48+M58+M69+M79+M37</f>
        <v>100.70833333333333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140</v>
      </c>
      <c r="B2" s="413"/>
      <c r="C2" s="28"/>
      <c r="D2" s="28" t="s">
        <v>14</v>
      </c>
      <c r="E2" s="35">
        <f>AVERAGE(O15,O26,O37,O48,O58,O69,O79)</f>
        <v>114.26601005277669</v>
      </c>
      <c r="F2" s="36" t="s">
        <v>15</v>
      </c>
      <c r="G2" s="37">
        <f>G1/E1</f>
        <v>46.078570061174176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2188</v>
      </c>
      <c r="H5" s="43">
        <f>F5*G5</f>
        <v>110865.96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2051.25000000002</v>
      </c>
      <c r="O5" s="47">
        <f>N5/M5</f>
        <v>120.66176470588353</v>
      </c>
      <c r="P5" s="49">
        <f>M5-J5</f>
        <v>0</v>
      </c>
      <c r="Q5" s="50">
        <f>O5-L5</f>
        <v>-11.691176470587052</v>
      </c>
      <c r="R5" s="51">
        <f>O5/L5</f>
        <v>0.91166666666667562</v>
      </c>
      <c r="S5" s="407">
        <f>R15</f>
        <v>0.91793480950789941</v>
      </c>
      <c r="T5" s="319">
        <v>0.29305555555555601</v>
      </c>
      <c r="U5" s="320">
        <v>0.33750000000000002</v>
      </c>
      <c r="V5" s="53"/>
      <c r="W5" s="54">
        <f t="shared" ref="W5:W14" si="0">(U5-T5)*24*60</f>
        <v>63.999999999999375</v>
      </c>
      <c r="X5" s="55"/>
      <c r="Y5" s="290"/>
      <c r="Z5" s="169"/>
      <c r="AA5" s="169"/>
      <c r="AB5" s="442" t="s">
        <v>138</v>
      </c>
      <c r="AC5" s="442"/>
      <c r="AD5" s="135"/>
      <c r="AE5" s="135"/>
      <c r="AF5" s="229">
        <f t="shared" ref="AF5:AF11" si="1">N5-K5</f>
        <v>-198.74999999997999</v>
      </c>
      <c r="AG5" s="52">
        <f t="shared" ref="AG5:AG11" si="2">N5/K5</f>
        <v>0.91166666666667551</v>
      </c>
      <c r="AH5" s="435">
        <f>AG15</f>
        <v>0.91950252379346986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1832</v>
      </c>
      <c r="H6" s="63">
        <f>F6*G6</f>
        <v>106567.44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1962.8571428571356</v>
      </c>
      <c r="O6" s="67">
        <f>N6/M6</f>
        <v>150.98901098901044</v>
      </c>
      <c r="P6" s="69">
        <f>M6-J6</f>
        <v>0</v>
      </c>
      <c r="Q6" s="70">
        <f>O6-L6</f>
        <v>-22.087912087912628</v>
      </c>
      <c r="R6" s="71">
        <f>O6/L6</f>
        <v>0.87238095238094926</v>
      </c>
      <c r="S6" s="408"/>
      <c r="T6" s="16">
        <v>0.34513888888888899</v>
      </c>
      <c r="U6" s="16">
        <v>0.38402777777777802</v>
      </c>
      <c r="V6" s="30">
        <f>(T6-U5)*24*60</f>
        <v>11.000000000000121</v>
      </c>
      <c r="W6" s="73">
        <f t="shared" si="0"/>
        <v>56.000000000000199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-287.14285714286439</v>
      </c>
      <c r="AG6" s="72">
        <f t="shared" si="2"/>
        <v>0.87238095238094915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4619</v>
      </c>
      <c r="H7" s="78">
        <f>F7*G7</f>
        <v>226977.66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2148.3720930232398</v>
      </c>
      <c r="O7" s="81">
        <f>N7/M7</f>
        <v>143.22480620154931</v>
      </c>
      <c r="P7" s="74">
        <f>M7-J7</f>
        <v>0</v>
      </c>
      <c r="Q7" s="83">
        <f>O7-L7</f>
        <v>-6.7751937984506867</v>
      </c>
      <c r="R7" s="72">
        <f>O7/L7</f>
        <v>0.95483204134366206</v>
      </c>
      <c r="S7" s="408"/>
      <c r="T7" s="18">
        <v>0.389583333333333</v>
      </c>
      <c r="U7" s="18">
        <v>0.47916666666666702</v>
      </c>
      <c r="V7" s="30">
        <f>(T7-U6)*24*60</f>
        <v>7.9999999999991722</v>
      </c>
      <c r="W7" s="73">
        <f t="shared" si="0"/>
        <v>129.00000000000097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-101.62790697676019</v>
      </c>
      <c r="AG7" s="72">
        <f t="shared" si="2"/>
        <v>0.95483204134366217</v>
      </c>
      <c r="AH7" s="436"/>
    </row>
    <row r="8" spans="1:34" ht="15" customHeight="1">
      <c r="A8" s="39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1620</v>
      </c>
      <c r="H8" s="78">
        <f>F8*G8</f>
        <v>79606.8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2113.0434782608331</v>
      </c>
      <c r="O8" s="81">
        <f>N8/M8</f>
        <v>140.86956521738887</v>
      </c>
      <c r="P8" s="74">
        <f>M8-J8</f>
        <v>0</v>
      </c>
      <c r="Q8" s="83">
        <f>O8-L8</f>
        <v>-9.1304347826111325</v>
      </c>
      <c r="R8" s="72">
        <f>O8/L8</f>
        <v>0.9391304347825925</v>
      </c>
      <c r="S8" s="408"/>
      <c r="T8" s="16">
        <v>0.54583333333333295</v>
      </c>
      <c r="U8" s="16">
        <v>0.57777777777777795</v>
      </c>
      <c r="V8" s="30">
        <f>(T8-U7)*24*60</f>
        <v>95.999999999998934</v>
      </c>
      <c r="W8" s="73">
        <f t="shared" si="0"/>
        <v>46.000000000000796</v>
      </c>
      <c r="X8" s="22"/>
      <c r="Y8" s="84"/>
      <c r="Z8" s="90"/>
      <c r="AA8" s="90"/>
      <c r="AB8" s="439"/>
      <c r="AC8" s="439"/>
      <c r="AD8" s="149"/>
      <c r="AE8" s="149"/>
      <c r="AF8" s="307">
        <f t="shared" si="1"/>
        <v>-136.95652173916687</v>
      </c>
      <c r="AG8" s="72">
        <f t="shared" si="2"/>
        <v>0.9391304347825925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2068.8806785353072</v>
      </c>
      <c r="O15" s="117">
        <f t="shared" si="3"/>
        <v>138.93628677845805</v>
      </c>
      <c r="P15" s="121">
        <f t="shared" ref="P15:P20" si="4">M15-J15</f>
        <v>0</v>
      </c>
      <c r="Q15" s="122">
        <f t="shared" ref="Q15:Q20" si="5">O15-L15</f>
        <v>-12.421179284890343</v>
      </c>
      <c r="R15" s="123">
        <f t="shared" ref="R15:R20" si="6">O15/L15</f>
        <v>0.91793480950789941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-181.1193214646928</v>
      </c>
      <c r="AG15" s="124">
        <f>N15/K15</f>
        <v>0.91950252379346986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2510</v>
      </c>
      <c r="H16" s="134">
        <f>F16*G16</f>
        <v>127181.7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2151.4285714285297</v>
      </c>
      <c r="O16" s="141">
        <f>N16/M16</f>
        <v>165.49450549450228</v>
      </c>
      <c r="P16" s="142">
        <f t="shared" si="4"/>
        <v>0</v>
      </c>
      <c r="Q16" s="143">
        <f t="shared" si="5"/>
        <v>-7.5824175824207884</v>
      </c>
      <c r="R16" s="144">
        <f t="shared" si="6"/>
        <v>0.95619047619045772</v>
      </c>
      <c r="S16" s="446">
        <f>R26</f>
        <v>0.93993923852301309</v>
      </c>
      <c r="T16" s="145">
        <v>0.28819444444444398</v>
      </c>
      <c r="U16" s="145">
        <v>0.33680555555555602</v>
      </c>
      <c r="V16" s="135"/>
      <c r="W16" s="146">
        <f t="shared" ref="W16:W78" si="7">(U16-T16)*24*60</f>
        <v>70.00000000000135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-98.571428571470278</v>
      </c>
      <c r="AG16" s="52">
        <f>N16/K16</f>
        <v>0.95619047619045761</v>
      </c>
      <c r="AH16" s="435">
        <f>AG26</f>
        <v>0.94144371201946297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3400</v>
      </c>
      <c r="H17" s="78">
        <f>F17*G17</f>
        <v>193358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2170.2127659574394</v>
      </c>
      <c r="O17" s="96">
        <f>N17/M17</f>
        <v>144.68085106382929</v>
      </c>
      <c r="P17" s="97">
        <f t="shared" si="4"/>
        <v>0</v>
      </c>
      <c r="Q17" s="98">
        <f t="shared" si="5"/>
        <v>-5.3191489361707056</v>
      </c>
      <c r="R17" s="99">
        <f t="shared" si="6"/>
        <v>0.96453900709219531</v>
      </c>
      <c r="S17" s="447"/>
      <c r="T17" s="19">
        <v>0.34236111111111101</v>
      </c>
      <c r="U17" s="19">
        <v>0.40763888888888899</v>
      </c>
      <c r="V17" s="30">
        <f>(T17-U16)*24*60</f>
        <v>7.9999999999991722</v>
      </c>
      <c r="W17" s="149">
        <f t="shared" si="7"/>
        <v>94.000000000000313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-79.787234042560613</v>
      </c>
      <c r="AG17" s="72">
        <f>N17/K17</f>
        <v>0.96453900709219531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3123</v>
      </c>
      <c r="H18" s="78">
        <f>F18*G18</f>
        <v>157367.97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2082</v>
      </c>
      <c r="O18" s="96">
        <f>N18/M18</f>
        <v>173.5</v>
      </c>
      <c r="P18" s="97">
        <f t="shared" si="4"/>
        <v>0</v>
      </c>
      <c r="Q18" s="98">
        <f t="shared" si="5"/>
        <v>-14</v>
      </c>
      <c r="R18" s="99">
        <f t="shared" si="6"/>
        <v>0.92533333333333334</v>
      </c>
      <c r="S18" s="447"/>
      <c r="T18" s="19">
        <v>0.41319444444444398</v>
      </c>
      <c r="U18" s="19">
        <v>0.47569444444444398</v>
      </c>
      <c r="V18" s="30">
        <f>(T18-U17)*24*60</f>
        <v>7.9999999999991722</v>
      </c>
      <c r="W18" s="149">
        <f t="shared" si="7"/>
        <v>90</v>
      </c>
      <c r="X18" s="22"/>
      <c r="Y18" s="84"/>
      <c r="Z18" s="90"/>
      <c r="AA18" s="90"/>
      <c r="AB18" s="440"/>
      <c r="AC18" s="440"/>
      <c r="AD18" s="92"/>
      <c r="AE18" s="92"/>
      <c r="AF18" s="307">
        <f>N18-K18</f>
        <v>-168</v>
      </c>
      <c r="AG18" s="72">
        <f>N18/K18</f>
        <v>0.92533333333333334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2982</v>
      </c>
      <c r="H19" s="78">
        <f>F19*G19</f>
        <v>150262.98000000001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2033.1818181818219</v>
      </c>
      <c r="O19" s="96">
        <f>N19/M19</f>
        <v>169.4318181818185</v>
      </c>
      <c r="P19" s="97">
        <f t="shared" si="4"/>
        <v>0</v>
      </c>
      <c r="Q19" s="98">
        <f t="shared" si="5"/>
        <v>-18.0681818181815</v>
      </c>
      <c r="R19" s="99">
        <f t="shared" si="6"/>
        <v>0.90363636363636535</v>
      </c>
      <c r="S19" s="447"/>
      <c r="T19" s="19">
        <v>0.54166666666666696</v>
      </c>
      <c r="U19" s="19">
        <v>0.60277777777777797</v>
      </c>
      <c r="V19" s="30">
        <f>(T19-U18)*24*60</f>
        <v>95.000000000001108</v>
      </c>
      <c r="W19" s="149">
        <f t="shared" si="7"/>
        <v>87.999999999999844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-216.81818181817812</v>
      </c>
      <c r="AG19" s="72">
        <f>N19/K19</f>
        <v>0.90363636363636524</v>
      </c>
      <c r="AH19" s="437"/>
    </row>
    <row r="20" spans="1:34" ht="15" customHeight="1">
      <c r="A20" s="45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1544</v>
      </c>
      <c r="H20" s="78">
        <f>F20*G20</f>
        <v>78234.48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>G20/W20*60</f>
        <v>2154.4186046511704</v>
      </c>
      <c r="O20" s="96">
        <f>N20/M20</f>
        <v>165.72450805009004</v>
      </c>
      <c r="P20" s="97">
        <f t="shared" si="4"/>
        <v>0</v>
      </c>
      <c r="Q20" s="98">
        <f t="shared" si="5"/>
        <v>-7.3524150268330288</v>
      </c>
      <c r="R20" s="99">
        <f t="shared" si="6"/>
        <v>0.95751937984496471</v>
      </c>
      <c r="S20" s="447"/>
      <c r="T20" s="19">
        <v>0.60902777777777795</v>
      </c>
      <c r="U20" s="19">
        <v>0.63888888888888895</v>
      </c>
      <c r="V20" s="30">
        <f>(T20-U19)*24*60</f>
        <v>8.999999999999968</v>
      </c>
      <c r="W20" s="149">
        <f t="shared" si="7"/>
        <v>42.999999999999844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7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8">AVERAGE(J16:J25)</f>
        <v>13</v>
      </c>
      <c r="K26" s="155">
        <f t="shared" si="8"/>
        <v>2250</v>
      </c>
      <c r="L26" s="158">
        <f t="shared" si="8"/>
        <v>174.23076923076923</v>
      </c>
      <c r="M26" s="155">
        <f t="shared" si="8"/>
        <v>13</v>
      </c>
      <c r="N26" s="155">
        <f t="shared" si="8"/>
        <v>2118.2483520437918</v>
      </c>
      <c r="O26" s="158">
        <f t="shared" si="8"/>
        <v>163.76633655804804</v>
      </c>
      <c r="P26" s="159">
        <f t="shared" ref="P26:P32" si="9">M26-J26</f>
        <v>0</v>
      </c>
      <c r="Q26" s="160">
        <f t="shared" ref="Q26:Q32" si="10">O26-L26</f>
        <v>-10.464432672721188</v>
      </c>
      <c r="R26" s="161">
        <f t="shared" ref="R26:R32" si="11">O26/L26</f>
        <v>0.93993923852301309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12">N26-K26</f>
        <v>-131.75164795620822</v>
      </c>
      <c r="AG26" s="124">
        <f t="shared" ref="AG26:AG31" si="13">N26/K26</f>
        <v>0.94144371201946297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1531</v>
      </c>
      <c r="H27" s="134">
        <f t="shared" ref="H27:H32" si="14">F27*G27</f>
        <v>70946.540000000008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5">K27/J27</f>
        <v>102.25</v>
      </c>
      <c r="M27" s="170">
        <v>16</v>
      </c>
      <c r="N27" s="140">
        <f t="shared" ref="N27:N32" si="16">G27/W27*60</f>
        <v>1391.8181818181918</v>
      </c>
      <c r="O27" s="141">
        <f t="shared" ref="O27:O32" si="17">N27/M27</f>
        <v>86.988636363636985</v>
      </c>
      <c r="P27" s="142">
        <f t="shared" si="9"/>
        <v>0</v>
      </c>
      <c r="Q27" s="143">
        <f t="shared" si="10"/>
        <v>-15.261363636363015</v>
      </c>
      <c r="R27" s="144">
        <f t="shared" si="11"/>
        <v>0.85074460991332013</v>
      </c>
      <c r="S27" s="446">
        <f>R37</f>
        <v>0.88345512247978553</v>
      </c>
      <c r="T27" s="171">
        <v>0.29513888888888901</v>
      </c>
      <c r="U27" s="171">
        <v>0.34097222222222201</v>
      </c>
      <c r="V27" s="135"/>
      <c r="W27" s="146">
        <f t="shared" si="7"/>
        <v>65.999999999999531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>
        <f t="shared" si="12"/>
        <v>-244.18181818180824</v>
      </c>
      <c r="AG27" s="172">
        <f t="shared" si="13"/>
        <v>0.85074460991332013</v>
      </c>
      <c r="AH27" s="435">
        <f>AG37</f>
        <v>0.86507390349777646</v>
      </c>
    </row>
    <row r="28" spans="1:34" ht="15" customHeight="1">
      <c r="A28" s="44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1308</v>
      </c>
      <c r="H28" s="91">
        <f t="shared" si="14"/>
        <v>59723.28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5"/>
        <v>96.235294117647058</v>
      </c>
      <c r="M28" s="94">
        <v>16</v>
      </c>
      <c r="N28" s="95">
        <f t="shared" si="16"/>
        <v>1376.8421052631684</v>
      </c>
      <c r="O28" s="96">
        <f t="shared" si="17"/>
        <v>86.052631578948024</v>
      </c>
      <c r="P28" s="97">
        <f t="shared" si="9"/>
        <v>-1</v>
      </c>
      <c r="Q28" s="98">
        <f t="shared" si="10"/>
        <v>-10.182662538699034</v>
      </c>
      <c r="R28" s="99">
        <f t="shared" si="11"/>
        <v>0.89418993694505888</v>
      </c>
      <c r="S28" s="447"/>
      <c r="T28" s="19">
        <v>0.34791666666666698</v>
      </c>
      <c r="U28" s="19">
        <v>0.38750000000000001</v>
      </c>
      <c r="V28" s="92">
        <f>(T28-U27)*24*60</f>
        <v>10.000000000000764</v>
      </c>
      <c r="W28" s="149">
        <f t="shared" si="7"/>
        <v>56.999999999999559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12"/>
        <v>-259.15789473683162</v>
      </c>
      <c r="AG28" s="99">
        <f t="shared" si="13"/>
        <v>0.84159052888946717</v>
      </c>
      <c r="AH28" s="456"/>
    </row>
    <row r="29" spans="1:34" ht="15" customHeight="1">
      <c r="A29" s="44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942</v>
      </c>
      <c r="H29" s="91">
        <f t="shared" si="14"/>
        <v>53891.82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5"/>
        <v>90.888888888888886</v>
      </c>
      <c r="M29" s="94">
        <v>17</v>
      </c>
      <c r="N29" s="95">
        <f t="shared" si="16"/>
        <v>1487.3684210526244</v>
      </c>
      <c r="O29" s="96">
        <f t="shared" si="17"/>
        <v>87.492260061919083</v>
      </c>
      <c r="P29" s="97">
        <f t="shared" si="9"/>
        <v>-1</v>
      </c>
      <c r="Q29" s="98">
        <f t="shared" si="10"/>
        <v>-3.3966288269698026</v>
      </c>
      <c r="R29" s="99">
        <f t="shared" si="11"/>
        <v>0.9626287781873738</v>
      </c>
      <c r="S29" s="447"/>
      <c r="T29" s="19">
        <v>0.39236111111111099</v>
      </c>
      <c r="U29" s="19">
        <v>0.41875000000000001</v>
      </c>
      <c r="V29" s="92">
        <f>(T29-U28)*24*60</f>
        <v>6.9999999999998153</v>
      </c>
      <c r="W29" s="149">
        <f t="shared" si="7"/>
        <v>38.000000000000185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12"/>
        <v>-148.6315789473756</v>
      </c>
      <c r="AG29" s="99">
        <f t="shared" si="13"/>
        <v>0.90914940162140856</v>
      </c>
      <c r="AH29" s="456"/>
    </row>
    <row r="30" spans="1:34" ht="15" customHeight="1">
      <c r="A30" s="44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1672</v>
      </c>
      <c r="H30" s="91">
        <f t="shared" si="14"/>
        <v>83449.51999999999</v>
      </c>
      <c r="I30" s="92"/>
      <c r="J30" s="79">
        <f>VLOOKUP(D30,產線配置圖!$A$3:$C$40,2,0)</f>
        <v>18</v>
      </c>
      <c r="K30" s="80">
        <v>1636</v>
      </c>
      <c r="L30" s="93">
        <f t="shared" si="15"/>
        <v>90.888888888888886</v>
      </c>
      <c r="M30" s="94">
        <v>18</v>
      </c>
      <c r="N30" s="95">
        <f t="shared" si="16"/>
        <v>1433.1428571428605</v>
      </c>
      <c r="O30" s="96">
        <f t="shared" si="17"/>
        <v>79.619047619047805</v>
      </c>
      <c r="P30" s="97">
        <f t="shared" si="9"/>
        <v>0</v>
      </c>
      <c r="Q30" s="98">
        <f t="shared" si="10"/>
        <v>-11.269841269841081</v>
      </c>
      <c r="R30" s="99">
        <f t="shared" si="11"/>
        <v>0.87600419140761643</v>
      </c>
      <c r="S30" s="447"/>
      <c r="T30" s="19">
        <v>0.42361111111111099</v>
      </c>
      <c r="U30" s="19">
        <v>0.47222222222222199</v>
      </c>
      <c r="V30" s="92">
        <f>(T30-U29)*24*60</f>
        <v>6.9999999999998153</v>
      </c>
      <c r="W30" s="149">
        <f t="shared" si="7"/>
        <v>69.999999999999829</v>
      </c>
      <c r="X30" s="174"/>
      <c r="Y30" s="301"/>
      <c r="Z30" s="335"/>
      <c r="AA30" s="335"/>
      <c r="AB30" s="440"/>
      <c r="AC30" s="440"/>
      <c r="AD30" s="92"/>
      <c r="AE30" s="92"/>
      <c r="AF30" s="312">
        <f t="shared" si="12"/>
        <v>-202.85714285713948</v>
      </c>
      <c r="AG30" s="99">
        <f t="shared" si="13"/>
        <v>0.87600419140761643</v>
      </c>
      <c r="AH30" s="457"/>
    </row>
    <row r="31" spans="1:34" ht="15" customHeight="1">
      <c r="A31" s="44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1516</v>
      </c>
      <c r="H31" s="91">
        <f t="shared" si="14"/>
        <v>75663.56</v>
      </c>
      <c r="I31" s="92"/>
      <c r="J31" s="79">
        <f>VLOOKUP(D31,產線配置圖!$A$3:$C$40,2,0)</f>
        <v>18</v>
      </c>
      <c r="K31" s="80">
        <v>1636</v>
      </c>
      <c r="L31" s="93">
        <f t="shared" si="15"/>
        <v>90.888888888888886</v>
      </c>
      <c r="M31" s="94">
        <v>18</v>
      </c>
      <c r="N31" s="95">
        <f t="shared" si="16"/>
        <v>1467.0967741935347</v>
      </c>
      <c r="O31" s="96">
        <f t="shared" si="17"/>
        <v>81.505376344085263</v>
      </c>
      <c r="P31" s="97">
        <f t="shared" si="9"/>
        <v>0</v>
      </c>
      <c r="Q31" s="98">
        <f t="shared" si="10"/>
        <v>-9.3835125448036223</v>
      </c>
      <c r="R31" s="99">
        <f t="shared" si="11"/>
        <v>0.89675841943370094</v>
      </c>
      <c r="S31" s="447"/>
      <c r="T31" s="19">
        <v>0.53333333333333299</v>
      </c>
      <c r="U31" s="19">
        <v>0.57638888888888895</v>
      </c>
      <c r="V31" s="92">
        <f>(T31-U30)*24*60</f>
        <v>87.999999999999844</v>
      </c>
      <c r="W31" s="149">
        <f t="shared" si="7"/>
        <v>62.000000000000583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12"/>
        <v>-168.90322580646534</v>
      </c>
      <c r="AG31" s="99">
        <f t="shared" si="13"/>
        <v>0.89675841943370094</v>
      </c>
      <c r="AH31" s="437"/>
    </row>
    <row r="32" spans="1:34" ht="15" customHeight="1">
      <c r="A32" s="444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623</v>
      </c>
      <c r="H32" s="91">
        <f t="shared" si="14"/>
        <v>35641.83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5"/>
        <v>90.888888888888886</v>
      </c>
      <c r="M32" s="94">
        <v>18</v>
      </c>
      <c r="N32" s="95">
        <f t="shared" si="16"/>
        <v>1437.6923076922776</v>
      </c>
      <c r="O32" s="96">
        <f t="shared" si="17"/>
        <v>79.871794871793199</v>
      </c>
      <c r="P32" s="97">
        <f t="shared" si="9"/>
        <v>0</v>
      </c>
      <c r="Q32" s="98">
        <f t="shared" si="10"/>
        <v>-11.017094017095687</v>
      </c>
      <c r="R32" s="99">
        <f t="shared" si="11"/>
        <v>0.87878502915175893</v>
      </c>
      <c r="S32" s="447"/>
      <c r="T32" s="19">
        <v>0.58125000000000004</v>
      </c>
      <c r="U32" s="19">
        <v>0.59930555555555598</v>
      </c>
      <c r="V32" s="92">
        <f>(T32-U31)*24*60</f>
        <v>6.9999999999999751</v>
      </c>
      <c r="W32" s="149">
        <f t="shared" si="7"/>
        <v>26.000000000000547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 t="s">
        <v>81</v>
      </c>
      <c r="C33" s="177"/>
      <c r="D33" s="59" t="s">
        <v>125</v>
      </c>
      <c r="E33" s="178"/>
      <c r="F33" s="75">
        <f>VLOOKUP(D33,廠價表!$C$1:$E$43,3,0)</f>
        <v>45.66</v>
      </c>
      <c r="G33" s="90">
        <v>433</v>
      </c>
      <c r="H33" s="91">
        <f t="shared" ref="H33:H34" si="18">F33*G33</f>
        <v>19770.78</v>
      </c>
      <c r="I33" s="92"/>
      <c r="J33" s="79">
        <f>VLOOKUP(D33,產線配置圖!$A$3:$C$40,2,0)</f>
        <v>17</v>
      </c>
      <c r="K33" s="80">
        <v>1566</v>
      </c>
      <c r="L33" s="93">
        <f t="shared" ref="L33:L34" si="19">K33/J33</f>
        <v>92.117647058823536</v>
      </c>
      <c r="M33" s="94">
        <v>16</v>
      </c>
      <c r="N33" s="95">
        <f t="shared" ref="N33:N34" si="20">G33/W33*60</f>
        <v>1298.9999999999839</v>
      </c>
      <c r="O33" s="96">
        <f t="shared" ref="O33:O34" si="21">N33/M33</f>
        <v>81.187499999998991</v>
      </c>
      <c r="P33" s="97">
        <f t="shared" ref="P33:P34" si="22">M33-J33</f>
        <v>-1</v>
      </c>
      <c r="Q33" s="98">
        <f t="shared" ref="Q33:Q34" si="23">O33-L33</f>
        <v>-10.930147058824545</v>
      </c>
      <c r="R33" s="99">
        <f t="shared" ref="R33:R34" si="24">O33/L33</f>
        <v>0.88134578544060205</v>
      </c>
      <c r="S33" s="447"/>
      <c r="T33" s="19">
        <v>0.60624999999999996</v>
      </c>
      <c r="U33" s="19">
        <v>0.62013888888888902</v>
      </c>
      <c r="V33" s="92">
        <f t="shared" ref="V33:V34" si="25">(T33-U32)*24*60</f>
        <v>9.999999999999325</v>
      </c>
      <c r="W33" s="149">
        <f t="shared" si="7"/>
        <v>20.000000000000249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 t="s">
        <v>81</v>
      </c>
      <c r="C34" s="173"/>
      <c r="D34" s="59" t="s">
        <v>122</v>
      </c>
      <c r="E34" s="104"/>
      <c r="F34" s="75">
        <f>VLOOKUP(D34,廠價表!$C$1:$E$43,3,0)</f>
        <v>46.34</v>
      </c>
      <c r="G34" s="90">
        <v>958</v>
      </c>
      <c r="H34" s="91">
        <f t="shared" si="18"/>
        <v>44393.72</v>
      </c>
      <c r="I34" s="92"/>
      <c r="J34" s="79">
        <f>VLOOKUP(D34,產線配置圖!$A$3:$C$40,2,0)</f>
        <v>16</v>
      </c>
      <c r="K34" s="80">
        <f>VLOOKUP(D34,產線配置圖!$A$3:$C$40,3,0)</f>
        <v>1636</v>
      </c>
      <c r="L34" s="93">
        <f t="shared" si="19"/>
        <v>102.25</v>
      </c>
      <c r="M34" s="94">
        <v>16</v>
      </c>
      <c r="N34" s="95">
        <f t="shared" si="20"/>
        <v>1368.5714285714125</v>
      </c>
      <c r="O34" s="96">
        <f t="shared" si="21"/>
        <v>85.535714285713283</v>
      </c>
      <c r="P34" s="97">
        <f t="shared" si="22"/>
        <v>0</v>
      </c>
      <c r="Q34" s="98">
        <f t="shared" si="23"/>
        <v>-16.714285714286717</v>
      </c>
      <c r="R34" s="99">
        <f t="shared" si="24"/>
        <v>0.83653510303876066</v>
      </c>
      <c r="S34" s="447"/>
      <c r="T34" s="19">
        <v>0.62708333333333299</v>
      </c>
      <c r="U34" s="19">
        <v>0.65625</v>
      </c>
      <c r="V34" s="92">
        <f t="shared" si="25"/>
        <v>9.999999999999325</v>
      </c>
      <c r="W34" s="149">
        <f t="shared" si="7"/>
        <v>42.00000000000049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26">AVERAGE(J27:J36)</f>
        <v>17.25</v>
      </c>
      <c r="K37" s="155">
        <f t="shared" si="26"/>
        <v>1627.25</v>
      </c>
      <c r="L37" s="158">
        <f t="shared" si="26"/>
        <v>94.551062091503283</v>
      </c>
      <c r="M37" s="155">
        <f t="shared" si="26"/>
        <v>16.875</v>
      </c>
      <c r="N37" s="155">
        <f t="shared" si="26"/>
        <v>1407.6915094667568</v>
      </c>
      <c r="O37" s="158">
        <f t="shared" si="26"/>
        <v>83.531620140642843</v>
      </c>
      <c r="P37" s="159">
        <f>M37-J37</f>
        <v>-0.375</v>
      </c>
      <c r="Q37" s="160">
        <f>N37-K37</f>
        <v>-219.55849053324323</v>
      </c>
      <c r="R37" s="161">
        <f>O37/L37</f>
        <v>0.88345512247978553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-219.55849053324323</v>
      </c>
      <c r="AG37" s="124">
        <f>N37/K37</f>
        <v>0.86507390349777646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3069</v>
      </c>
      <c r="H38" s="134">
        <f>F38*G38</f>
        <v>153173.78999999998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1601.2173913043503</v>
      </c>
      <c r="O38" s="141">
        <f>N38/M38</f>
        <v>100.07608695652189</v>
      </c>
      <c r="P38" s="142">
        <f>M38-J38</f>
        <v>0</v>
      </c>
      <c r="Q38" s="143">
        <f>O38-L38</f>
        <v>-7.0489130434781089</v>
      </c>
      <c r="R38" s="144">
        <f>O38/L38</f>
        <v>0.93419917812389164</v>
      </c>
      <c r="S38" s="468">
        <f>R48</f>
        <v>0.93482629825646646</v>
      </c>
      <c r="T38" s="191">
        <v>0.33333333333333298</v>
      </c>
      <c r="U38" s="191">
        <v>0.41319444444444398</v>
      </c>
      <c r="V38" s="192"/>
      <c r="W38" s="193">
        <f t="shared" si="7"/>
        <v>114.99999999999983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-112.78260869564974</v>
      </c>
      <c r="AG38" s="195">
        <f>N38/K38</f>
        <v>0.93419917812389164</v>
      </c>
      <c r="AH38" s="458">
        <f>AG48</f>
        <v>0.86991772411388191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2443</v>
      </c>
      <c r="H39" s="91">
        <f>F39*G39</f>
        <v>108224.9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1395.9999999999932</v>
      </c>
      <c r="O39" s="203">
        <f>N39/M39</f>
        <v>87.249999999999574</v>
      </c>
      <c r="P39" s="97">
        <f>M39-J39</f>
        <v>-2</v>
      </c>
      <c r="Q39" s="98">
        <f>O39-L39</f>
        <v>-3.6388888888893121</v>
      </c>
      <c r="R39" s="99">
        <f>O39/L39</f>
        <v>0.95996332518336946</v>
      </c>
      <c r="S39" s="469"/>
      <c r="T39" s="20">
        <v>0.42013888888888901</v>
      </c>
      <c r="U39" s="20">
        <v>0.49305555555555602</v>
      </c>
      <c r="V39" s="92">
        <f>(T39-U38)*24*60</f>
        <v>10.000000000000844</v>
      </c>
      <c r="W39" s="205">
        <f t="shared" si="7"/>
        <v>105.00000000000051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-240.00000000000682</v>
      </c>
      <c r="AG39" s="206">
        <f>N39/K39</f>
        <v>0.8533007334963284</v>
      </c>
      <c r="AH39" s="459"/>
    </row>
    <row r="40" spans="1:34" ht="15" customHeight="1">
      <c r="A40" s="466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3314</v>
      </c>
      <c r="H40" s="91">
        <f>F40*G40</f>
        <v>146810.19999999998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1325.600000000009</v>
      </c>
      <c r="O40" s="203">
        <f>N40/M40</f>
        <v>82.850000000000563</v>
      </c>
      <c r="P40" s="97">
        <f>M40-J40</f>
        <v>-2</v>
      </c>
      <c r="Q40" s="98">
        <f>O40-L40</f>
        <v>-8.038888888888323</v>
      </c>
      <c r="R40" s="99">
        <f>O40/L40</f>
        <v>0.91155256723717004</v>
      </c>
      <c r="S40" s="408"/>
      <c r="T40" s="20">
        <v>0.55555555555555602</v>
      </c>
      <c r="U40" s="20">
        <v>0.65972222222222199</v>
      </c>
      <c r="V40" s="92">
        <f>(T40-U39)*24*60</f>
        <v>90</v>
      </c>
      <c r="W40" s="205">
        <f t="shared" si="7"/>
        <v>149.99999999999898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-310.399999999991</v>
      </c>
      <c r="AG40" s="206">
        <f>N40/K40</f>
        <v>0.81026894865526222</v>
      </c>
      <c r="AH40" s="459"/>
    </row>
    <row r="41" spans="1:34" ht="15" customHeight="1">
      <c r="A41" s="466"/>
      <c r="B41" s="75" t="s">
        <v>81</v>
      </c>
      <c r="C41" s="207"/>
      <c r="D41" s="198" t="s">
        <v>128</v>
      </c>
      <c r="E41" s="178"/>
      <c r="F41" s="75">
        <f>VLOOKUP(D41,廠價表!$C$1:$E$43,3,0)</f>
        <v>50.289000000000001</v>
      </c>
      <c r="G41" s="199">
        <v>647</v>
      </c>
      <c r="H41" s="91">
        <f>F41*G41</f>
        <v>32536.983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16</v>
      </c>
      <c r="N41" s="202">
        <f>G41/W41*60</f>
        <v>1437.7777777777742</v>
      </c>
      <c r="O41" s="203">
        <f>N41/M41</f>
        <v>89.861111111110887</v>
      </c>
      <c r="P41" s="97">
        <f>M41-J41</f>
        <v>-1</v>
      </c>
      <c r="Q41" s="98">
        <f>O41-L41</f>
        <v>-6.3741830065361711</v>
      </c>
      <c r="R41" s="99">
        <f>O41/L41</f>
        <v>0.93376460201032097</v>
      </c>
      <c r="S41" s="408"/>
      <c r="T41" s="20">
        <v>0.66874999999999996</v>
      </c>
      <c r="U41" s="210">
        <v>0.6875</v>
      </c>
      <c r="V41" s="92">
        <f>(T41-U40)*24*60</f>
        <v>13.000000000000274</v>
      </c>
      <c r="W41" s="205">
        <f t="shared" si="7"/>
        <v>27.000000000000064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-198.22222222222581</v>
      </c>
      <c r="AG41" s="206">
        <f>N41/K41</f>
        <v>0.87883727248030208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27">AVERAGE(J38:J47)</f>
        <v>17.25</v>
      </c>
      <c r="K48" s="155">
        <f t="shared" si="27"/>
        <v>1655.5</v>
      </c>
      <c r="L48" s="158">
        <f t="shared" si="27"/>
        <v>96.284517973856211</v>
      </c>
      <c r="M48" s="155">
        <f t="shared" si="27"/>
        <v>16</v>
      </c>
      <c r="N48" s="155">
        <f t="shared" si="27"/>
        <v>1440.1487922705314</v>
      </c>
      <c r="O48" s="158">
        <f t="shared" si="27"/>
        <v>90.009299516908214</v>
      </c>
      <c r="P48" s="221">
        <f>M48-J48</f>
        <v>-1.25</v>
      </c>
      <c r="Q48" s="222">
        <f>N48-K48</f>
        <v>-215.35120772946857</v>
      </c>
      <c r="R48" s="223">
        <f>O48/L48</f>
        <v>0.93482629825646646</v>
      </c>
      <c r="S48" s="411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28">N48-K48</f>
        <v>-215.35120772946857</v>
      </c>
      <c r="AG48" s="162">
        <f t="shared" ref="AG48:AG53" si="29">N48/K48</f>
        <v>0.86991772411388191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2631</v>
      </c>
      <c r="H49" s="134">
        <f>F49*G49</f>
        <v>130287.12000000001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1547.6470588235156</v>
      </c>
      <c r="O49" s="141">
        <f>N49/M49</f>
        <v>91.03806228373621</v>
      </c>
      <c r="P49" s="229">
        <f>M49-J49</f>
        <v>0</v>
      </c>
      <c r="Q49" s="230">
        <f>O49-L49</f>
        <v>-14.844290657440254</v>
      </c>
      <c r="R49" s="52">
        <f>O49/L49</f>
        <v>0.85980392156861984</v>
      </c>
      <c r="S49" s="407">
        <f>R58</f>
        <v>0.87687666933658637</v>
      </c>
      <c r="T49" s="191">
        <v>0.29097222222222202</v>
      </c>
      <c r="U49" s="191">
        <v>0.36180555555555599</v>
      </c>
      <c r="V49" s="55"/>
      <c r="W49" s="193">
        <f t="shared" si="7"/>
        <v>102.00000000000091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28"/>
        <v>-252.35294117648436</v>
      </c>
      <c r="AG49" s="52">
        <f t="shared" si="29"/>
        <v>0.85980392156861984</v>
      </c>
      <c r="AH49" s="435">
        <f>AG58</f>
        <v>0.87719933701942021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1930</v>
      </c>
      <c r="H50" s="231">
        <f>F50*G50</f>
        <v>97057.77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1503.8961038961108</v>
      </c>
      <c r="O50" s="235">
        <f>N50/M50</f>
        <v>88.464476699771225</v>
      </c>
      <c r="P50" s="74">
        <f>M50-J50</f>
        <v>0</v>
      </c>
      <c r="Q50" s="83">
        <f>O50-L50</f>
        <v>-7.7708174178758327</v>
      </c>
      <c r="R50" s="72">
        <f>O50/L50</f>
        <v>0.91925189724701151</v>
      </c>
      <c r="S50" s="408"/>
      <c r="T50" s="21">
        <v>0.36875000000000002</v>
      </c>
      <c r="U50" s="21">
        <v>0.422222222222222</v>
      </c>
      <c r="V50" s="30">
        <f>(T50-U49)*24*60</f>
        <v>9.9999999999994049</v>
      </c>
      <c r="W50" s="236">
        <f t="shared" si="7"/>
        <v>76.999999999999645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28"/>
        <v>-132.10389610388916</v>
      </c>
      <c r="AG50" s="72">
        <f t="shared" si="29"/>
        <v>0.91925189724701151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1856</v>
      </c>
      <c r="H51" s="231">
        <f>F51*G51</f>
        <v>92744.319999999992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1546.666666666667</v>
      </c>
      <c r="O51" s="235">
        <f>N51/M51</f>
        <v>96.666666666666686</v>
      </c>
      <c r="P51" s="74">
        <f>M51-J51</f>
        <v>0</v>
      </c>
      <c r="Q51" s="83">
        <f>O51-L51</f>
        <v>-15.833333333333314</v>
      </c>
      <c r="R51" s="72">
        <f>O51/L51</f>
        <v>0.85925925925925939</v>
      </c>
      <c r="S51" s="408"/>
      <c r="T51" s="21">
        <v>0.42638888888888898</v>
      </c>
      <c r="U51" s="19">
        <v>0.47638888888888897</v>
      </c>
      <c r="V51" s="30">
        <f>(T51-U50)*24*60</f>
        <v>6.0000000000004583</v>
      </c>
      <c r="W51" s="236">
        <f t="shared" si="7"/>
        <v>71.999999999999986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28"/>
        <v>-253.33333333333303</v>
      </c>
      <c r="AG51" s="72">
        <f t="shared" si="29"/>
        <v>0.85925925925925939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4459</v>
      </c>
      <c r="H52" s="231">
        <f>F52*G52</f>
        <v>222816.22999999998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1573.7647058823466</v>
      </c>
      <c r="O52" s="235">
        <f>N52/M52</f>
        <v>98.36029411764666</v>
      </c>
      <c r="P52" s="74">
        <f>M52-J52</f>
        <v>0</v>
      </c>
      <c r="Q52" s="83">
        <f>O52-L52</f>
        <v>-14.13970588235334</v>
      </c>
      <c r="R52" s="72">
        <f>O52/L52</f>
        <v>0.87431372549019248</v>
      </c>
      <c r="S52" s="408"/>
      <c r="T52" s="21">
        <v>0.53125</v>
      </c>
      <c r="U52" s="21">
        <v>0.64930555555555602</v>
      </c>
      <c r="V52" s="30">
        <f>(T52-U51)*24*60</f>
        <v>78.999999999999886</v>
      </c>
      <c r="W52" s="236">
        <f t="shared" si="7"/>
        <v>170.00000000000068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28"/>
        <v>-226.23529411765344</v>
      </c>
      <c r="AG52" s="72">
        <f t="shared" si="29"/>
        <v>0.87431372549019248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28"/>
        <v>0</v>
      </c>
      <c r="AG53" s="72" t="e">
        <f t="shared" si="29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30">AVERAGE(J49:J57)</f>
        <v>16.5</v>
      </c>
      <c r="K58" s="120">
        <f t="shared" si="30"/>
        <v>1759</v>
      </c>
      <c r="L58" s="117">
        <f t="shared" si="30"/>
        <v>106.77941176470588</v>
      </c>
      <c r="M58" s="120">
        <f t="shared" si="30"/>
        <v>16.5</v>
      </c>
      <c r="N58" s="120">
        <f t="shared" si="30"/>
        <v>1542.9936338171601</v>
      </c>
      <c r="O58" s="117">
        <f t="shared" si="30"/>
        <v>93.632374941955206</v>
      </c>
      <c r="P58" s="121">
        <f>M58-J58</f>
        <v>0</v>
      </c>
      <c r="Q58" s="122">
        <f>N58-K58</f>
        <v>-216.00636618283988</v>
      </c>
      <c r="R58" s="123">
        <f t="shared" ref="R58:R61" si="31">O58/L58</f>
        <v>0.87687666933658637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-216.00636618283988</v>
      </c>
      <c r="AG58" s="124">
        <f>N58/K58</f>
        <v>0.87719933701942021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3854</v>
      </c>
      <c r="H59" s="243">
        <f>F59*G59</f>
        <v>104019.45999999999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1541.5999999999947</v>
      </c>
      <c r="O59" s="138">
        <f>N59/M59</f>
        <v>102.77333333333299</v>
      </c>
      <c r="P59" s="56">
        <f>M59-J59</f>
        <v>0</v>
      </c>
      <c r="Q59" s="230">
        <f>O59-L59</f>
        <v>-6.2933333333336776</v>
      </c>
      <c r="R59" s="52">
        <f t="shared" si="31"/>
        <v>0.94229828850855435</v>
      </c>
      <c r="S59" s="407">
        <f>R69</f>
        <v>0.8990488401216522</v>
      </c>
      <c r="T59" s="245">
        <v>0.28819444444444398</v>
      </c>
      <c r="U59" s="245">
        <v>0.39236111111111099</v>
      </c>
      <c r="V59" s="55"/>
      <c r="W59" s="54">
        <f t="shared" si="7"/>
        <v>150.00000000000051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-94.400000000005321</v>
      </c>
      <c r="AG59" s="246">
        <f>N59/K59</f>
        <v>0.94229828850855424</v>
      </c>
      <c r="AH59" s="435">
        <f>AG69</f>
        <v>0.90289323553382128</v>
      </c>
    </row>
    <row r="60" spans="1:34" ht="15" customHeight="1">
      <c r="A60" s="477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1936</v>
      </c>
      <c r="H60" s="78">
        <f>F60*G60</f>
        <v>54711.360000000001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1548.8000000000106</v>
      </c>
      <c r="O60" s="81">
        <f>N60/M60</f>
        <v>140.80000000000098</v>
      </c>
      <c r="P60" s="74">
        <f>M60-J60</f>
        <v>0</v>
      </c>
      <c r="Q60" s="83">
        <f>O60-L60</f>
        <v>-7.9272727272717418</v>
      </c>
      <c r="R60" s="72">
        <f t="shared" si="31"/>
        <v>0.94669926650367409</v>
      </c>
      <c r="S60" s="480"/>
      <c r="T60" s="22">
        <v>0.39930555555555602</v>
      </c>
      <c r="U60" s="22">
        <v>0.45138888888888901</v>
      </c>
      <c r="V60" s="30">
        <f>(T60-U59)*24*60</f>
        <v>10.000000000000844</v>
      </c>
      <c r="W60" s="248">
        <f t="shared" si="7"/>
        <v>74.999999999999488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-87.199999999989359</v>
      </c>
      <c r="AG60" s="249">
        <f>N60/K60</f>
        <v>0.94669926650367398</v>
      </c>
      <c r="AH60" s="471"/>
    </row>
    <row r="61" spans="1:34" ht="15" customHeight="1">
      <c r="A61" s="478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1788</v>
      </c>
      <c r="H61" s="254">
        <f>F61*G61</f>
        <v>50528.880000000005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1340.99999999999</v>
      </c>
      <c r="O61" s="238">
        <f>N61/M61</f>
        <v>121.90909090909</v>
      </c>
      <c r="P61" s="111">
        <f>M61-J61</f>
        <v>0</v>
      </c>
      <c r="Q61" s="255">
        <f>O61-L61</f>
        <v>-26.818181818182723</v>
      </c>
      <c r="R61" s="85">
        <f t="shared" si="31"/>
        <v>0.81968215158923596</v>
      </c>
      <c r="S61" s="408"/>
      <c r="T61" s="22">
        <v>0.45833333333333298</v>
      </c>
      <c r="U61" s="22">
        <v>0.51388888888888895</v>
      </c>
      <c r="V61" s="30">
        <f>(T61-U60)*24*60</f>
        <v>9.999999999999325</v>
      </c>
      <c r="W61" s="256">
        <f t="shared" si="7"/>
        <v>80.000000000000597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-295.00000000001</v>
      </c>
      <c r="AG61" s="247">
        <f>N61/K61</f>
        <v>0.81968215158923596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7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32">AVERAGE(J59:J68)</f>
        <v>12.333333333333334</v>
      </c>
      <c r="K69" s="240">
        <f t="shared" si="32"/>
        <v>1636</v>
      </c>
      <c r="L69" s="268">
        <f t="shared" si="32"/>
        <v>135.50707070707071</v>
      </c>
      <c r="M69" s="240">
        <f t="shared" si="32"/>
        <v>12.333333333333334</v>
      </c>
      <c r="N69" s="240">
        <f t="shared" si="32"/>
        <v>1477.1333333333316</v>
      </c>
      <c r="O69" s="268">
        <f t="shared" si="32"/>
        <v>121.82747474747464</v>
      </c>
      <c r="P69" s="269">
        <f>M69-J69</f>
        <v>0</v>
      </c>
      <c r="Q69" s="222">
        <f>N69-K69</f>
        <v>-158.86666666666838</v>
      </c>
      <c r="R69" s="123">
        <f>O69/L69</f>
        <v>0.8990488401216522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-158.86666666666838</v>
      </c>
      <c r="AG69" s="124">
        <f>N69/K69</f>
        <v>0.90289323553382128</v>
      </c>
      <c r="AH69" s="438"/>
    </row>
    <row r="70" spans="1:36" ht="15" customHeight="1">
      <c r="A70" s="472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3688</v>
      </c>
      <c r="H70" s="243">
        <f>F70*G70</f>
        <v>104222.88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1341.0909090909131</v>
      </c>
      <c r="O70" s="138">
        <f>N70/M70</f>
        <v>121.91735537190119</v>
      </c>
      <c r="P70" s="56">
        <f>M70-J70</f>
        <v>0</v>
      </c>
      <c r="Q70" s="230">
        <f>O70-L70</f>
        <v>-26.809917355371525</v>
      </c>
      <c r="R70" s="52">
        <f>O70/L70</f>
        <v>0.81973771949322327</v>
      </c>
      <c r="S70" s="407">
        <f>R79</f>
        <v>0.83035152240266663</v>
      </c>
      <c r="T70" s="245">
        <v>0.29166666666666702</v>
      </c>
      <c r="U70" s="245">
        <v>0.40625</v>
      </c>
      <c r="V70" s="55"/>
      <c r="W70" s="54">
        <f t="shared" si="7"/>
        <v>164.99999999999949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-294.9090909090869</v>
      </c>
      <c r="AG70" s="246">
        <f>N70/K70</f>
        <v>0.81973771949322316</v>
      </c>
      <c r="AH70" s="435">
        <f>AG79</f>
        <v>0.74335860952542931</v>
      </c>
    </row>
    <row r="71" spans="1:36" ht="15" customHeight="1">
      <c r="A71" s="473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1298</v>
      </c>
      <c r="H71" s="254">
        <f>F71*G71</f>
        <v>56969.22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11</v>
      </c>
      <c r="N71" s="107">
        <f>G71/W71*60</f>
        <v>1038.399999999986</v>
      </c>
      <c r="O71" s="238">
        <f>N71/M71</f>
        <v>94.399999999998727</v>
      </c>
      <c r="P71" s="111">
        <f>M71-J71</f>
        <v>-3</v>
      </c>
      <c r="Q71" s="255">
        <f>O71-L71</f>
        <v>-17.385714285715565</v>
      </c>
      <c r="R71" s="85">
        <f>O71/L71</f>
        <v>0.8444728434504678</v>
      </c>
      <c r="S71" s="408"/>
      <c r="T71" s="22">
        <v>0.41319444444444398</v>
      </c>
      <c r="U71" s="22">
        <v>0.46527777777777801</v>
      </c>
      <c r="V71" s="30">
        <f>(T71-U70)*24*60</f>
        <v>9.999999999999325</v>
      </c>
      <c r="W71" s="73">
        <f t="shared" si="7"/>
        <v>75.000000000001009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250"/>
      <c r="G72" s="202"/>
      <c r="H72" s="254"/>
      <c r="I72" s="232"/>
      <c r="J72" s="79"/>
      <c r="K72" s="80"/>
      <c r="L72" s="81"/>
      <c r="M72" s="82"/>
      <c r="N72" s="107"/>
      <c r="O72" s="238"/>
      <c r="P72" s="111"/>
      <c r="Q72" s="255"/>
      <c r="R72" s="85"/>
      <c r="S72" s="408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58"/>
      <c r="D73" s="259"/>
      <c r="E73" s="60"/>
      <c r="F73" s="250"/>
      <c r="G73" s="273"/>
      <c r="H73" s="389"/>
      <c r="I73" s="182"/>
      <c r="J73" s="79"/>
      <c r="K73" s="80"/>
      <c r="L73" s="81"/>
      <c r="M73" s="94"/>
      <c r="N73" s="107"/>
      <c r="O73" s="238"/>
      <c r="P73" s="111"/>
      <c r="Q73" s="255"/>
      <c r="R73" s="85"/>
      <c r="S73" s="408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33">AVERAGE(J70:J78)</f>
        <v>12.5</v>
      </c>
      <c r="K79" s="240">
        <f t="shared" si="33"/>
        <v>1600.5</v>
      </c>
      <c r="L79" s="268">
        <f t="shared" si="33"/>
        <v>130.25649350649351</v>
      </c>
      <c r="M79" s="240">
        <f t="shared" si="33"/>
        <v>11</v>
      </c>
      <c r="N79" s="240">
        <f t="shared" si="33"/>
        <v>1189.7454545454495</v>
      </c>
      <c r="O79" s="268">
        <f t="shared" si="33"/>
        <v>108.15867768594995</v>
      </c>
      <c r="P79" s="269">
        <f>M79-J79</f>
        <v>-1.5</v>
      </c>
      <c r="Q79" s="222">
        <f>N79-K79</f>
        <v>-410.75454545455045</v>
      </c>
      <c r="R79" s="223">
        <f>O79/L79</f>
        <v>0.83035152240266663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-410.75454545455045</v>
      </c>
      <c r="AG79" s="124">
        <f>N79/K79</f>
        <v>0.74335860952542931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BC32F-64EB-429E-B439-519ADACE010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829-DA80-48CD-B968-BB3F9FDC113C}">
  <dimension ref="B1:O26"/>
  <sheetViews>
    <sheetView topLeftCell="B1" zoomScale="70" zoomScaleNormal="70" workbookViewId="0">
      <selection activeCell="E17" sqref="E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DATE(2026,8,4)</f>
        <v>46238</v>
      </c>
      <c r="E3" s="485"/>
      <c r="F3" s="3" t="s">
        <v>72</v>
      </c>
      <c r="G3" s="486">
        <f>'0804'!E1</f>
        <v>60136</v>
      </c>
      <c r="H3" s="486"/>
      <c r="I3" s="3" t="s">
        <v>2</v>
      </c>
      <c r="J3" s="487">
        <f>'0804'!G1</f>
        <v>2741053.6160000004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>
        <f>AVERAGE(D13:J13)</f>
        <v>126.71880582846966</v>
      </c>
      <c r="G6" s="492"/>
      <c r="H6" s="493">
        <f>AVERAGE(D13:H13)</f>
        <v>124.57979302832241</v>
      </c>
      <c r="I6" s="493"/>
      <c r="J6" s="493">
        <f>AVERAGE(I13:J13)</f>
        <v>132.06633782883785</v>
      </c>
      <c r="K6" s="493"/>
      <c r="L6" s="495">
        <f>'0804'!Z2</f>
        <v>0</v>
      </c>
      <c r="M6" s="496">
        <f>'0804'!AA2</f>
        <v>0</v>
      </c>
      <c r="N6" s="497">
        <f>'0804'!AD2</f>
        <v>0</v>
      </c>
      <c r="O6" s="496">
        <f>'0804'!AE2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114.75742717494771</v>
      </c>
      <c r="G7" s="516"/>
      <c r="H7" s="517">
        <f>AVERAGE(D14:H14)</f>
        <v>113.1943394658097</v>
      </c>
      <c r="I7" s="517"/>
      <c r="J7" s="517">
        <f>AVERAGE(I14:J14)</f>
        <v>118.66514644779276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>
        <f>AVERAGE(D15:J15)</f>
        <v>0.90431979583157074</v>
      </c>
      <c r="G8" s="489"/>
      <c r="H8" s="489">
        <f>AVERAGE(D15:H15)</f>
        <v>0.90678490516312882</v>
      </c>
      <c r="I8" s="489"/>
      <c r="J8" s="489">
        <f>AVERAGE(I15:J15)</f>
        <v>0.89815702250267559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>
        <f>VALUE('0804'!L15)</f>
        <v>151.3574660633484</v>
      </c>
      <c r="E13" s="13">
        <f>VALUE('0804'!L26)</f>
        <v>174.23076923076923</v>
      </c>
      <c r="F13" s="13">
        <f>VALUE('0804'!L37)</f>
        <v>94.230392156862735</v>
      </c>
      <c r="G13" s="13">
        <f>VALUE('0804'!L48)</f>
        <v>96.300925925925924</v>
      </c>
      <c r="H13" s="13">
        <f>VALUE('0804'!L58)</f>
        <v>106.77941176470588</v>
      </c>
      <c r="I13" s="13">
        <f>VALUE('0804'!L69)</f>
        <v>138.81212121212121</v>
      </c>
      <c r="J13" s="13">
        <f>'0804'!L79</f>
        <v>125.32055444555445</v>
      </c>
    </row>
    <row r="14" spans="2:15" ht="39.950000000000003" customHeight="1">
      <c r="B14" s="510"/>
      <c r="C14" s="12" t="s">
        <v>100</v>
      </c>
      <c r="D14" s="13">
        <f>VALUE('0804'!O15)</f>
        <v>139.38153835812264</v>
      </c>
      <c r="E14" s="13">
        <f>VALUE('0804'!O26)</f>
        <v>158.24366972249305</v>
      </c>
      <c r="F14" s="13">
        <f>VALUE('0804'!O37)</f>
        <v>86.625102446845816</v>
      </c>
      <c r="G14" s="13">
        <f>VALUE('0804'!O48)</f>
        <v>82.115106607097161</v>
      </c>
      <c r="H14" s="13">
        <f>VALUE('0804'!O58)</f>
        <v>99.606280194489841</v>
      </c>
      <c r="I14" s="13">
        <f>VALUE('0804'!O69)</f>
        <v>125.68004458228442</v>
      </c>
      <c r="J14" s="13">
        <f>'0804'!O79</f>
        <v>111.65024831330111</v>
      </c>
    </row>
    <row r="15" spans="2:15" ht="39.950000000000003" customHeight="1">
      <c r="B15" s="511"/>
      <c r="C15" s="10" t="s">
        <v>26</v>
      </c>
      <c r="D15" s="14">
        <f t="shared" ref="D15:I15" si="0">D14/D13</f>
        <v>0.92087653145426329</v>
      </c>
      <c r="E15" s="14">
        <f t="shared" si="0"/>
        <v>0.9082418129767813</v>
      </c>
      <c r="F15" s="14">
        <f t="shared" si="0"/>
        <v>0.91929048011010495</v>
      </c>
      <c r="G15" s="14">
        <f t="shared" si="0"/>
        <v>0.85269280453502172</v>
      </c>
      <c r="H15" s="14">
        <f t="shared" si="0"/>
        <v>0.93282289673947238</v>
      </c>
      <c r="I15" s="14">
        <f t="shared" si="0"/>
        <v>0.90539675847349499</v>
      </c>
      <c r="J15" s="15">
        <f>'0804'!S70</f>
        <v>0.89091728653185609</v>
      </c>
    </row>
    <row r="16" spans="2:15" ht="17.25" customHeight="1">
      <c r="B16" s="512" t="s">
        <v>101</v>
      </c>
      <c r="C16" s="10" t="s">
        <v>34</v>
      </c>
      <c r="D16" s="16">
        <f>'0804'!T5</f>
        <v>0.30138888888888898</v>
      </c>
      <c r="E16" s="16">
        <f>'0804'!T16</f>
        <v>0.29861111111111099</v>
      </c>
      <c r="F16" s="16">
        <f>'0804'!T27</f>
        <v>0.29166666666666702</v>
      </c>
      <c r="G16" s="16">
        <f>'0804'!T38</f>
        <v>0.33333333333333298</v>
      </c>
      <c r="H16" s="16">
        <f>'0804'!T49</f>
        <v>0.29166666666666702</v>
      </c>
      <c r="I16" s="16">
        <f>'0804'!T59</f>
        <v>0.29166666666666702</v>
      </c>
      <c r="J16" s="17">
        <f>'0804'!T70</f>
        <v>0.29513888888888901</v>
      </c>
    </row>
    <row r="17" spans="2:10" ht="17.25" customHeight="1">
      <c r="B17" s="513"/>
      <c r="C17" s="10" t="s">
        <v>35</v>
      </c>
      <c r="D17" s="16">
        <v>0.55902777777777801</v>
      </c>
      <c r="E17" s="183">
        <v>0.61180555555555605</v>
      </c>
      <c r="F17" s="19">
        <v>0.54513888888888895</v>
      </c>
      <c r="G17" s="328">
        <v>0.64930555555555602</v>
      </c>
      <c r="H17" s="21">
        <v>0.63194444444444398</v>
      </c>
      <c r="I17" s="110">
        <v>0.56597222222222199</v>
      </c>
      <c r="J17" s="22">
        <v>0.64236111111111105</v>
      </c>
    </row>
    <row r="18" spans="2:10" ht="17.25" customHeight="1">
      <c r="B18" s="514" t="s">
        <v>102</v>
      </c>
      <c r="C18" s="330" t="s">
        <v>36</v>
      </c>
      <c r="D18" s="386">
        <f>'0804'!Z15</f>
        <v>0</v>
      </c>
      <c r="E18" s="387">
        <f>'0804'!Z26</f>
        <v>0</v>
      </c>
      <c r="F18" s="387">
        <f>'0804'!Z37</f>
        <v>0</v>
      </c>
      <c r="G18" s="388">
        <f>'0804'!Z48</f>
        <v>0</v>
      </c>
      <c r="H18" s="388">
        <f>'0804'!Z58</f>
        <v>0</v>
      </c>
      <c r="I18" s="387">
        <f>'0804'!Z69</f>
        <v>0</v>
      </c>
      <c r="J18" s="387">
        <f>'0804'!AA79</f>
        <v>0</v>
      </c>
    </row>
    <row r="19" spans="2:10" ht="17.25" customHeight="1">
      <c r="B19" s="515"/>
      <c r="C19" s="330" t="s">
        <v>37</v>
      </c>
      <c r="D19" s="386">
        <f>'0804'!AA15</f>
        <v>0</v>
      </c>
      <c r="E19" s="387">
        <f>'0804'!AA26</f>
        <v>0</v>
      </c>
      <c r="F19" s="387">
        <f>'0804'!AA37</f>
        <v>0</v>
      </c>
      <c r="G19" s="388">
        <f>'0804'!AA48</f>
        <v>0</v>
      </c>
      <c r="H19" s="388">
        <f>'0804'!AA58</f>
        <v>0</v>
      </c>
      <c r="I19" s="387">
        <f>'0804'!AA69</f>
        <v>0</v>
      </c>
      <c r="J19" s="387">
        <f>'0804'!AB79</f>
        <v>0</v>
      </c>
    </row>
    <row r="20" spans="2:10" ht="17.25" customHeight="1">
      <c r="B20" s="514" t="s">
        <v>103</v>
      </c>
      <c r="C20" s="330" t="s">
        <v>36</v>
      </c>
      <c r="D20" s="386">
        <f>'0804'!AD15</f>
        <v>0</v>
      </c>
      <c r="E20" s="387">
        <f>'0804'!AD26</f>
        <v>0</v>
      </c>
      <c r="F20" s="387">
        <f>'0804'!AD37</f>
        <v>0</v>
      </c>
      <c r="G20" s="388">
        <f>'0804'!AD48</f>
        <v>0</v>
      </c>
      <c r="H20" s="388">
        <f>'0804'!AD58</f>
        <v>0</v>
      </c>
      <c r="I20" s="387">
        <f>'0804'!AD69</f>
        <v>0</v>
      </c>
      <c r="J20" s="387">
        <f>'0804'!AD79</f>
        <v>0</v>
      </c>
    </row>
    <row r="21" spans="2:10" ht="17.25" customHeight="1">
      <c r="B21" s="515"/>
      <c r="C21" s="330" t="s">
        <v>85</v>
      </c>
      <c r="D21" s="386">
        <f>'0804'!AE15</f>
        <v>0</v>
      </c>
      <c r="E21" s="387">
        <f>'0804'!AE26</f>
        <v>0</v>
      </c>
      <c r="F21" s="387">
        <f>'0804'!AE37</f>
        <v>0</v>
      </c>
      <c r="G21" s="388">
        <f>'0804'!AE48</f>
        <v>0</v>
      </c>
      <c r="H21" s="388">
        <f>'0804'!AE58</f>
        <v>0</v>
      </c>
      <c r="I21" s="387">
        <f>'0804'!AE69</f>
        <v>0</v>
      </c>
      <c r="J21" s="387">
        <f>'0804'!AE79</f>
        <v>0</v>
      </c>
    </row>
    <row r="22" spans="2:10" ht="17.25" customHeight="1">
      <c r="B22" s="498" t="s">
        <v>104</v>
      </c>
      <c r="C22" s="499"/>
      <c r="D22" s="23">
        <f>VALUE('0804'!M15)</f>
        <v>15</v>
      </c>
      <c r="E22" s="23">
        <f>VALUE('0804'!M26)</f>
        <v>12.8</v>
      </c>
      <c r="F22" s="23">
        <f>VALUE('0804'!M37)</f>
        <v>16.2</v>
      </c>
      <c r="G22" s="23">
        <f>VALUE('0804'!M48)</f>
        <v>17</v>
      </c>
      <c r="H22" s="23">
        <f>VALUE('0804'!M58)</f>
        <v>16</v>
      </c>
      <c r="I22" s="23">
        <f>VALUE('0804'!M69)</f>
        <v>12</v>
      </c>
      <c r="J22" s="23">
        <f>'0804'!M79</f>
        <v>10.5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B3-CEAB-4BFF-A902-14D50F76C356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G76" sqref="G76"/>
      <selection pane="topRight" activeCell="G76" sqref="G76"/>
      <selection pane="bottomLeft" activeCell="G76" sqref="G76"/>
      <selection pane="bottomRight" activeCell="U40" sqref="U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60136</v>
      </c>
      <c r="F1" s="30" t="s">
        <v>2</v>
      </c>
      <c r="G1" s="31">
        <f>SUM(H5:H79)</f>
        <v>2741053.6160000004</v>
      </c>
      <c r="H1" s="32" t="s">
        <v>3</v>
      </c>
      <c r="I1" s="33">
        <f>M15+M26+M48+M58+M69+M79+M37</f>
        <v>99.5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141</v>
      </c>
      <c r="B2" s="413"/>
      <c r="C2" s="28"/>
      <c r="D2" s="28" t="s">
        <v>14</v>
      </c>
      <c r="E2" s="35">
        <f>AVERAGE(O15,O26,O37,O48,O58,O69,O79)</f>
        <v>114.75742717494771</v>
      </c>
      <c r="F2" s="36" t="s">
        <v>15</v>
      </c>
      <c r="G2" s="37">
        <f>G1/E1</f>
        <v>45.58091020353865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1525</v>
      </c>
      <c r="H5" s="43">
        <f>F5*G5</f>
        <v>77271.75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1989.1304347826363</v>
      </c>
      <c r="O5" s="47">
        <f>N5/M5</f>
        <v>117.00767263427272</v>
      </c>
      <c r="P5" s="49">
        <f>M5-J5</f>
        <v>0</v>
      </c>
      <c r="Q5" s="50">
        <f>O5-L5</f>
        <v>-15.345268542197857</v>
      </c>
      <c r="R5" s="51">
        <f>O5/L5</f>
        <v>0.88405797101450512</v>
      </c>
      <c r="S5" s="407">
        <f>R15</f>
        <v>0.92087653145426329</v>
      </c>
      <c r="T5" s="319">
        <v>0.30138888888888898</v>
      </c>
      <c r="U5" s="320">
        <v>0.33333333333333298</v>
      </c>
      <c r="V5" s="53"/>
      <c r="W5" s="54">
        <f t="shared" ref="W5:W14" si="0">(U5-T5)*24*60</f>
        <v>45.999999999999361</v>
      </c>
      <c r="X5" s="55"/>
      <c r="Y5" s="290"/>
      <c r="Z5" s="169"/>
      <c r="AA5" s="169"/>
      <c r="AB5" s="442"/>
      <c r="AC5" s="442"/>
      <c r="AD5" s="135"/>
      <c r="AE5" s="135"/>
      <c r="AF5" s="229">
        <f t="shared" ref="AF5:AF11" si="1">N5-K5</f>
        <v>-260.86956521736374</v>
      </c>
      <c r="AG5" s="52">
        <f t="shared" ref="AG5:AG11" si="2">N5/K5</f>
        <v>0.88405797101450501</v>
      </c>
      <c r="AH5" s="435">
        <f>AG15</f>
        <v>0.91890966655362516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1345</v>
      </c>
      <c r="H6" s="63">
        <f>F6*G6</f>
        <v>78238.650000000009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2123.6842105263054</v>
      </c>
      <c r="O6" s="67">
        <f>N6/M6</f>
        <v>163.36032388663887</v>
      </c>
      <c r="P6" s="69">
        <f>M6-J6</f>
        <v>0</v>
      </c>
      <c r="Q6" s="70">
        <f>O6-L6</f>
        <v>-9.7165991902841995</v>
      </c>
      <c r="R6" s="71">
        <f>O6/L6</f>
        <v>0.9438596491228024</v>
      </c>
      <c r="S6" s="408"/>
      <c r="T6" s="16">
        <v>0.34236111111111101</v>
      </c>
      <c r="U6" s="16">
        <v>0.36875000000000002</v>
      </c>
      <c r="V6" s="30">
        <f>(T6-U5)*24*60</f>
        <v>13.000000000000353</v>
      </c>
      <c r="W6" s="73">
        <f t="shared" si="0"/>
        <v>38.000000000000185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-126.31578947369462</v>
      </c>
      <c r="AG6" s="72">
        <f t="shared" si="2"/>
        <v>0.9438596491228024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5212</v>
      </c>
      <c r="H7" s="78">
        <f>F7*G7</f>
        <v>256117.68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2141.9178082191765</v>
      </c>
      <c r="O7" s="81">
        <f>N7/M7</f>
        <v>142.7945205479451</v>
      </c>
      <c r="P7" s="74">
        <f>M7-J7</f>
        <v>0</v>
      </c>
      <c r="Q7" s="83">
        <f>O7-L7</f>
        <v>-7.2054794520549024</v>
      </c>
      <c r="R7" s="72">
        <f>O7/L7</f>
        <v>0.95196347031963402</v>
      </c>
      <c r="S7" s="408"/>
      <c r="T7" s="18">
        <v>0.375</v>
      </c>
      <c r="U7" s="18">
        <v>0.47638888888888897</v>
      </c>
      <c r="V7" s="30">
        <f t="shared" ref="V7:V8" si="3">(T7-U6)*24*60</f>
        <v>8.999999999999968</v>
      </c>
      <c r="W7" s="73">
        <f t="shared" si="0"/>
        <v>146.00000000000011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-108.08219178082345</v>
      </c>
      <c r="AG7" s="72">
        <f t="shared" si="2"/>
        <v>0.95196347031963402</v>
      </c>
      <c r="AH7" s="436"/>
    </row>
    <row r="8" spans="1:34" ht="15" customHeight="1">
      <c r="A8" s="39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739</v>
      </c>
      <c r="H8" s="63">
        <f>F8*G8</f>
        <v>36314.46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15</v>
      </c>
      <c r="N8" s="80">
        <f>G8/W8*60</f>
        <v>2015.4545454545084</v>
      </c>
      <c r="O8" s="81">
        <f>N8/M8</f>
        <v>134.3636363636339</v>
      </c>
      <c r="P8" s="74">
        <f>M8-J8</f>
        <v>0</v>
      </c>
      <c r="Q8" s="83">
        <f>O8-L8</f>
        <v>-15.636363636366099</v>
      </c>
      <c r="R8" s="72">
        <f>O8/L8</f>
        <v>0.89575757575755932</v>
      </c>
      <c r="S8" s="408"/>
      <c r="T8" s="16">
        <v>0.54374999999999996</v>
      </c>
      <c r="U8" s="16">
        <v>0.55902777777777801</v>
      </c>
      <c r="V8" s="30">
        <f t="shared" si="3"/>
        <v>96.999999999999815</v>
      </c>
      <c r="W8" s="73">
        <f t="shared" si="0"/>
        <v>22.000000000000401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-234.54545454549157</v>
      </c>
      <c r="AG8" s="72">
        <f t="shared" si="2"/>
        <v>0.89575757575755932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151.3574660633484</v>
      </c>
      <c r="M15" s="120">
        <f t="shared" si="4"/>
        <v>15</v>
      </c>
      <c r="N15" s="120">
        <f t="shared" si="4"/>
        <v>2067.5467497456566</v>
      </c>
      <c r="O15" s="117">
        <f t="shared" si="4"/>
        <v>139.38153835812264</v>
      </c>
      <c r="P15" s="121">
        <f>M15-J15</f>
        <v>0</v>
      </c>
      <c r="Q15" s="122">
        <f>O15-L15</f>
        <v>-11.975927705225757</v>
      </c>
      <c r="R15" s="123">
        <f>O15/L15</f>
        <v>0.92087653145426329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-182.4532502543434</v>
      </c>
      <c r="AG15" s="124">
        <f>N15/K15</f>
        <v>0.91890966655362516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1880</v>
      </c>
      <c r="H16" s="134">
        <f>F16*G16</f>
        <v>95259.6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2169.2307692307768</v>
      </c>
      <c r="O16" s="141">
        <f>N16/M16</f>
        <v>166.86390532544436</v>
      </c>
      <c r="P16" s="142">
        <f>M16-J16</f>
        <v>0</v>
      </c>
      <c r="Q16" s="143">
        <f>O16-L16</f>
        <v>-6.2130177514787022</v>
      </c>
      <c r="R16" s="144">
        <f>O16/L16</f>
        <v>0.96410256410256745</v>
      </c>
      <c r="S16" s="446">
        <f>R26</f>
        <v>0.9082418129767813</v>
      </c>
      <c r="T16" s="145">
        <v>0.29861111111111099</v>
      </c>
      <c r="U16" s="145">
        <v>0.33472222222222198</v>
      </c>
      <c r="V16" s="135"/>
      <c r="W16" s="146">
        <f t="shared" ref="W16:W78" si="5">(U16-T16)*24*60</f>
        <v>51.999999999999815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-80.769230769223213</v>
      </c>
      <c r="AG16" s="52">
        <f>N16/K16</f>
        <v>0.96410256410256745</v>
      </c>
      <c r="AH16" s="435">
        <f>AG26</f>
        <v>0.89832683730253937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2792</v>
      </c>
      <c r="H17" s="78">
        <f>F17*G17</f>
        <v>158781.03999999998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1994.285714285691</v>
      </c>
      <c r="O17" s="96">
        <f>N17/M17</f>
        <v>142.44897959183507</v>
      </c>
      <c r="P17" s="97">
        <f>M17-J17</f>
        <v>-1</v>
      </c>
      <c r="Q17" s="98">
        <f>O17-L17</f>
        <v>-7.5510204081649306</v>
      </c>
      <c r="R17" s="99">
        <f>O17/L17</f>
        <v>0.94965986394556712</v>
      </c>
      <c r="S17" s="447"/>
      <c r="T17" s="19">
        <v>0.34097222222222201</v>
      </c>
      <c r="U17" s="19">
        <v>0.39930555555555602</v>
      </c>
      <c r="V17" s="30">
        <f>(T17-U16)*24*60</f>
        <v>9.000000000000048</v>
      </c>
      <c r="W17" s="149">
        <f t="shared" si="5"/>
        <v>84.000000000000981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-255.71428571430897</v>
      </c>
      <c r="AG17" s="72">
        <f>N17/K17</f>
        <v>0.88634920634919601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3594</v>
      </c>
      <c r="H18" s="78">
        <f>F18*G18</f>
        <v>181101.66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2015.3271028037259</v>
      </c>
      <c r="O18" s="96">
        <f>N18/M18</f>
        <v>167.94392523364382</v>
      </c>
      <c r="P18" s="97">
        <f>M18-J18</f>
        <v>0</v>
      </c>
      <c r="Q18" s="98">
        <f>O18-L18</f>
        <v>-19.556074766356176</v>
      </c>
      <c r="R18" s="99">
        <f>O18/L18</f>
        <v>0.89570093457943378</v>
      </c>
      <c r="S18" s="447"/>
      <c r="T18" s="19">
        <v>0.40486111111111101</v>
      </c>
      <c r="U18" s="19">
        <v>0.47916666666666702</v>
      </c>
      <c r="V18" s="30">
        <f>(T18-U17)*24*60</f>
        <v>7.9999999999991722</v>
      </c>
      <c r="W18" s="149">
        <f t="shared" si="5"/>
        <v>107.00000000000065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>
        <f>N18-K18</f>
        <v>-234.67289719627411</v>
      </c>
      <c r="AG18" s="72">
        <f>N18/K18</f>
        <v>0.89570093457943378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1295</v>
      </c>
      <c r="H19" s="78">
        <f t="shared" ref="H19:H20" si="6">F19*G19</f>
        <v>65255.05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7">K19/J19</f>
        <v>187.5</v>
      </c>
      <c r="M19" s="148">
        <v>12</v>
      </c>
      <c r="N19" s="95">
        <f t="shared" ref="N19:N20" si="8">G19/W19*60</f>
        <v>1850.0000000000418</v>
      </c>
      <c r="O19" s="96">
        <f t="shared" ref="O19:O20" si="9">N19/M19</f>
        <v>154.16666666667015</v>
      </c>
      <c r="P19" s="97">
        <f t="shared" ref="P19:P20" si="10">M19-J19</f>
        <v>0</v>
      </c>
      <c r="Q19" s="98">
        <f t="shared" ref="Q19:Q20" si="11">O19-L19</f>
        <v>-33.333333333329847</v>
      </c>
      <c r="R19" s="99">
        <f t="shared" ref="R19:R20" si="12">O19/L19</f>
        <v>0.82222222222224084</v>
      </c>
      <c r="S19" s="447"/>
      <c r="T19" s="19">
        <v>0.54166666666666696</v>
      </c>
      <c r="U19" s="19">
        <v>0.57083333333333297</v>
      </c>
      <c r="V19" s="30">
        <f>(T19-U18)*24*60</f>
        <v>89.999999999999915</v>
      </c>
      <c r="W19" s="149">
        <f t="shared" si="5"/>
        <v>41.999999999999048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-399.99999999995816</v>
      </c>
      <c r="AG19" s="72">
        <f>N19/K19</f>
        <v>0.82222222222224084</v>
      </c>
      <c r="AH19" s="437"/>
    </row>
    <row r="20" spans="1:34" ht="15" customHeight="1">
      <c r="A20" s="45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1558</v>
      </c>
      <c r="H20" s="78">
        <f t="shared" si="6"/>
        <v>78943.86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7"/>
        <v>173.07692307692307</v>
      </c>
      <c r="M20" s="148">
        <v>13</v>
      </c>
      <c r="N20" s="95">
        <f t="shared" si="8"/>
        <v>2077.333333333333</v>
      </c>
      <c r="O20" s="96">
        <f t="shared" si="9"/>
        <v>159.79487179487177</v>
      </c>
      <c r="P20" s="97">
        <f t="shared" si="10"/>
        <v>0</v>
      </c>
      <c r="Q20" s="98">
        <f t="shared" si="11"/>
        <v>-13.282051282051299</v>
      </c>
      <c r="R20" s="99">
        <f t="shared" si="12"/>
        <v>0.92325925925925911</v>
      </c>
      <c r="S20" s="447"/>
      <c r="T20" s="19">
        <v>0.58055555555555605</v>
      </c>
      <c r="U20" s="19">
        <v>0.61180555555555605</v>
      </c>
      <c r="V20" s="30">
        <f>(T20-U19)*24*60</f>
        <v>14.000000000001229</v>
      </c>
      <c r="W20" s="149">
        <f t="shared" si="5"/>
        <v>45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5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174.23076923076923</v>
      </c>
      <c r="M26" s="155">
        <f t="shared" si="13"/>
        <v>12.8</v>
      </c>
      <c r="N26" s="155">
        <f t="shared" si="13"/>
        <v>2021.2353839307136</v>
      </c>
      <c r="O26" s="158">
        <f t="shared" si="13"/>
        <v>158.24366972249305</v>
      </c>
      <c r="P26" s="159">
        <f>M26-J26</f>
        <v>-0.19999999999999929</v>
      </c>
      <c r="Q26" s="160">
        <f>O26-L26</f>
        <v>-15.987099508276174</v>
      </c>
      <c r="R26" s="161">
        <f>O26/L26</f>
        <v>0.9082418129767813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14">N26-K26</f>
        <v>-228.76461606928638</v>
      </c>
      <c r="AG26" s="124">
        <f t="shared" ref="AG26:AG31" si="15">N26/K26</f>
        <v>0.89832683730253937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1883</v>
      </c>
      <c r="H27" s="134">
        <f>F27*G27</f>
        <v>87258.22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1486.5789473684436</v>
      </c>
      <c r="O27" s="141">
        <f>N27/M27</f>
        <v>92.911184210527722</v>
      </c>
      <c r="P27" s="142">
        <f>M27-J27</f>
        <v>0</v>
      </c>
      <c r="Q27" s="143">
        <f>O27-L27</f>
        <v>-9.3388157894722781</v>
      </c>
      <c r="R27" s="144">
        <f>O27/L27</f>
        <v>0.9086668382447699</v>
      </c>
      <c r="S27" s="446">
        <f>R37</f>
        <v>0.91929048011010495</v>
      </c>
      <c r="T27" s="171">
        <v>0.29166666666666702</v>
      </c>
      <c r="U27" s="171">
        <v>0.344444444444444</v>
      </c>
      <c r="V27" s="135"/>
      <c r="W27" s="146">
        <f t="shared" si="5"/>
        <v>75.999999999998849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>
        <f t="shared" si="14"/>
        <v>-149.42105263155645</v>
      </c>
      <c r="AG27" s="172">
        <f t="shared" si="15"/>
        <v>0.9086668382447699</v>
      </c>
      <c r="AH27" s="435">
        <f>AG37</f>
        <v>0.85717869813384817</v>
      </c>
    </row>
    <row r="28" spans="1:34" ht="15" customHeight="1">
      <c r="A28" s="44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1065</v>
      </c>
      <c r="H28" s="91">
        <f>F28*G28</f>
        <v>60928.65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1389.1304347826256</v>
      </c>
      <c r="O28" s="96">
        <f>N28/M28</f>
        <v>81.713554987213271</v>
      </c>
      <c r="P28" s="97">
        <f>M28-J28</f>
        <v>-1</v>
      </c>
      <c r="Q28" s="98">
        <f>O28-L28</f>
        <v>-9.1753339016756144</v>
      </c>
      <c r="R28" s="99">
        <f>O28/L28</f>
        <v>0.89904889350234651</v>
      </c>
      <c r="S28" s="447"/>
      <c r="T28" s="19">
        <v>0.35138888888888897</v>
      </c>
      <c r="U28" s="19">
        <v>0.38333333333333303</v>
      </c>
      <c r="V28" s="92">
        <f>(T28-U27)*24*60</f>
        <v>10.000000000000764</v>
      </c>
      <c r="W28" s="149">
        <f t="shared" si="5"/>
        <v>45.999999999999439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14"/>
        <v>-246.86956521737443</v>
      </c>
      <c r="AG28" s="99">
        <f t="shared" si="15"/>
        <v>0.84910173275221612</v>
      </c>
      <c r="AH28" s="456"/>
    </row>
    <row r="29" spans="1:34" ht="15" customHeight="1">
      <c r="A29" s="44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1248</v>
      </c>
      <c r="H29" s="91">
        <f>F29*G29</f>
        <v>62287.679999999993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1361.4545454545621</v>
      </c>
      <c r="O29" s="96">
        <f>N29/M29</f>
        <v>85.090909090910131</v>
      </c>
      <c r="P29" s="97">
        <f>M29-J29</f>
        <v>-2</v>
      </c>
      <c r="Q29" s="98">
        <f>O29-L29</f>
        <v>-5.7979797979787548</v>
      </c>
      <c r="R29" s="99">
        <f>O29/L29</f>
        <v>0.93620804623250764</v>
      </c>
      <c r="S29" s="447"/>
      <c r="T29" s="19">
        <v>0.38888888888888901</v>
      </c>
      <c r="U29" s="19">
        <v>0.42708333333333298</v>
      </c>
      <c r="V29" s="92">
        <f>(T29-U28)*24*60</f>
        <v>8.0000000000006111</v>
      </c>
      <c r="W29" s="149">
        <f t="shared" si="5"/>
        <v>54.999999999999325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14"/>
        <v>-274.54545454543791</v>
      </c>
      <c r="AG29" s="99">
        <f t="shared" si="15"/>
        <v>0.83218492998445115</v>
      </c>
      <c r="AH29" s="456"/>
    </row>
    <row r="30" spans="1:34" ht="15" customHeight="1">
      <c r="A30" s="44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1177</v>
      </c>
      <c r="H30" s="91">
        <f t="shared" ref="H30:H31" si="16">F30*G30</f>
        <v>53741.819999999992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7">K30/J30</f>
        <v>96.235294117647058</v>
      </c>
      <c r="M30" s="94">
        <v>16</v>
      </c>
      <c r="N30" s="95">
        <f t="shared" ref="N30:N31" si="18">G30/W30*60</f>
        <v>1441.2244897959094</v>
      </c>
      <c r="O30" s="96">
        <f t="shared" ref="O30:O31" si="19">N30/M30</f>
        <v>90.076530612244341</v>
      </c>
      <c r="P30" s="97">
        <f t="shared" ref="P30:P31" si="20">M30-J30</f>
        <v>-1</v>
      </c>
      <c r="Q30" s="98">
        <f t="shared" ref="Q30:Q31" si="21">O30-L30</f>
        <v>-6.1587635054027174</v>
      </c>
      <c r="R30" s="99">
        <f t="shared" ref="R30:R31" si="22">O30/L30</f>
        <v>0.93600306870914052</v>
      </c>
      <c r="S30" s="447"/>
      <c r="T30" s="19">
        <v>0.43263888888888902</v>
      </c>
      <c r="U30" s="19">
        <v>0.46666666666666701</v>
      </c>
      <c r="V30" s="92">
        <f>(T30-U29)*24*60</f>
        <v>8.000000000000691</v>
      </c>
      <c r="W30" s="149">
        <f t="shared" si="5"/>
        <v>49.000000000000306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14"/>
        <v>-194.77551020409055</v>
      </c>
      <c r="AG30" s="99">
        <f t="shared" si="15"/>
        <v>0.88094406466742636</v>
      </c>
      <c r="AH30" s="457"/>
    </row>
    <row r="31" spans="1:34" ht="15" customHeight="1">
      <c r="A31" s="44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600</v>
      </c>
      <c r="H31" s="91">
        <f t="shared" si="16"/>
        <v>29945.999999999996</v>
      </c>
      <c r="I31" s="92"/>
      <c r="J31" s="79">
        <f>VLOOKUP(D31,產線配置圖!$A$3:$C$40,2,0)</f>
        <v>18</v>
      </c>
      <c r="K31" s="80">
        <v>1636</v>
      </c>
      <c r="L31" s="93">
        <f t="shared" si="17"/>
        <v>90.888888888888886</v>
      </c>
      <c r="M31" s="94">
        <v>16</v>
      </c>
      <c r="N31" s="95">
        <f t="shared" si="18"/>
        <v>1333.333333333338</v>
      </c>
      <c r="O31" s="96">
        <f t="shared" si="19"/>
        <v>83.333333333333627</v>
      </c>
      <c r="P31" s="97">
        <f t="shared" si="20"/>
        <v>-2</v>
      </c>
      <c r="Q31" s="98">
        <f t="shared" si="21"/>
        <v>-7.5555555555552587</v>
      </c>
      <c r="R31" s="99">
        <f t="shared" si="22"/>
        <v>0.91687041564792504</v>
      </c>
      <c r="S31" s="447"/>
      <c r="T31" s="19">
        <v>0.52638888888888902</v>
      </c>
      <c r="U31" s="19">
        <v>0.54513888888888895</v>
      </c>
      <c r="V31" s="92">
        <f>(T31-U30)*24*60</f>
        <v>85.999999999999687</v>
      </c>
      <c r="W31" s="149">
        <f t="shared" si="5"/>
        <v>26.999999999999904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14"/>
        <v>-302.66666666666197</v>
      </c>
      <c r="AG31" s="99">
        <f t="shared" si="15"/>
        <v>0.81499592502037776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16.2</v>
      </c>
      <c r="N37" s="155">
        <f t="shared" si="23"/>
        <v>1402.3443501469756</v>
      </c>
      <c r="O37" s="158">
        <f t="shared" si="23"/>
        <v>86.625102446845816</v>
      </c>
      <c r="P37" s="159">
        <f>M37-J37</f>
        <v>-1.1999999999999993</v>
      </c>
      <c r="Q37" s="160">
        <f>N37-K37</f>
        <v>-233.65564985302444</v>
      </c>
      <c r="R37" s="161">
        <f>O37/L37</f>
        <v>0.91929048011010495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-233.65564985302444</v>
      </c>
      <c r="AG37" s="124">
        <f>N37/K37</f>
        <v>0.85717869813384817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2720</v>
      </c>
      <c r="H38" s="134">
        <f>F38*G38</f>
        <v>135755.19999999998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1431.5789473684151</v>
      </c>
      <c r="O38" s="141">
        <f>N38/M38</f>
        <v>89.473684210525946</v>
      </c>
      <c r="P38" s="142">
        <f>M38-J38</f>
        <v>0</v>
      </c>
      <c r="Q38" s="143">
        <f>O38-L38</f>
        <v>-17.651315789474054</v>
      </c>
      <c r="R38" s="144">
        <f>O38/L38</f>
        <v>0.83522692378553975</v>
      </c>
      <c r="S38" s="468">
        <f>R48</f>
        <v>0.85269280453502172</v>
      </c>
      <c r="T38" s="191">
        <v>0.33333333333333298</v>
      </c>
      <c r="U38" s="191">
        <v>0.41249999999999998</v>
      </c>
      <c r="V38" s="192"/>
      <c r="W38" s="193">
        <f t="shared" si="5"/>
        <v>114.00000000000047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-282.42105263158487</v>
      </c>
      <c r="AG38" s="195">
        <f>N38/K38</f>
        <v>0.83522692378553975</v>
      </c>
      <c r="AH38" s="458">
        <f>AG48</f>
        <v>0.83702592168171908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2588</v>
      </c>
      <c r="H39" s="91">
        <f>F39*G39</f>
        <v>114648.4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1350.2608695652193</v>
      </c>
      <c r="O39" s="203">
        <f>N39/M39</f>
        <v>75.014492753623301</v>
      </c>
      <c r="P39" s="97">
        <f>M39-J39</f>
        <v>0</v>
      </c>
      <c r="Q39" s="98">
        <f>O39-L39</f>
        <v>-15.874396135265584</v>
      </c>
      <c r="R39" s="99">
        <f>O39/L39</f>
        <v>0.82534282980759133</v>
      </c>
      <c r="S39" s="469"/>
      <c r="T39" s="20">
        <v>0.42013888888888901</v>
      </c>
      <c r="U39" s="20">
        <v>0.5</v>
      </c>
      <c r="V39" s="92">
        <f>(T39-U38)*24*60</f>
        <v>11.000000000000201</v>
      </c>
      <c r="W39" s="205">
        <f t="shared" si="5"/>
        <v>114.99999999999983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-285.73913043478069</v>
      </c>
      <c r="AG39" s="206">
        <f>N39/K39</f>
        <v>0.82534282980759122</v>
      </c>
      <c r="AH39" s="459"/>
    </row>
    <row r="40" spans="1:34" ht="15" customHeight="1">
      <c r="A40" s="466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3247</v>
      </c>
      <c r="H40" s="91">
        <f>F40*G40</f>
        <v>143842.09999999998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1391.5714285714175</v>
      </c>
      <c r="O40" s="203">
        <f>N40/M40</f>
        <v>81.857142857142208</v>
      </c>
      <c r="P40" s="97">
        <f>M40-J40</f>
        <v>-1</v>
      </c>
      <c r="Q40" s="98">
        <f>O40-L40</f>
        <v>-9.0317460317466782</v>
      </c>
      <c r="R40" s="99">
        <f>O40/L40</f>
        <v>0.90062871114215148</v>
      </c>
      <c r="S40" s="408"/>
      <c r="T40" s="20">
        <v>0.55208333333333304</v>
      </c>
      <c r="U40" s="20">
        <v>0.64930555555555602</v>
      </c>
      <c r="V40" s="92">
        <f>(T40-U39)*24*60</f>
        <v>74.999999999999574</v>
      </c>
      <c r="W40" s="205">
        <f t="shared" si="5"/>
        <v>140.00000000000111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-244.42857142858247</v>
      </c>
      <c r="AG40" s="206">
        <f>N40/K40</f>
        <v>0.85059378274536523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</v>
      </c>
      <c r="N48" s="155">
        <f t="shared" si="25"/>
        <v>1391.1370818350172</v>
      </c>
      <c r="O48" s="158">
        <f t="shared" si="25"/>
        <v>82.115106607097161</v>
      </c>
      <c r="P48" s="221">
        <f>M48-J48</f>
        <v>-0.33333333333333215</v>
      </c>
      <c r="Q48" s="222">
        <f>N48-K48</f>
        <v>-270.86291816498283</v>
      </c>
      <c r="R48" s="223">
        <f>O48/L48</f>
        <v>0.85269280453502172</v>
      </c>
      <c r="S48" s="411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26">N48-K48</f>
        <v>-270.86291816498283</v>
      </c>
      <c r="AG48" s="162">
        <f t="shared" ref="AG48:AG53" si="27">N48/K48</f>
        <v>0.83702592168171908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2302</v>
      </c>
      <c r="H49" s="134">
        <f>F49*G49</f>
        <v>113995.04000000001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1684.3902439024534</v>
      </c>
      <c r="O49" s="141">
        <f>N49/M49</f>
        <v>99.081779053085498</v>
      </c>
      <c r="P49" s="229">
        <f>M49-J49</f>
        <v>0</v>
      </c>
      <c r="Q49" s="230">
        <f>O49-L49</f>
        <v>-6.8005738880909661</v>
      </c>
      <c r="R49" s="52">
        <f>O49/L49</f>
        <v>0.93577235772358536</v>
      </c>
      <c r="S49" s="407">
        <f>R58</f>
        <v>0.93282289673947238</v>
      </c>
      <c r="T49" s="191">
        <v>0.29166666666666702</v>
      </c>
      <c r="U49" s="191">
        <v>0.34861111111111098</v>
      </c>
      <c r="V49" s="55"/>
      <c r="W49" s="193">
        <f t="shared" si="5"/>
        <v>81.999999999999304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26"/>
        <v>-115.60975609754655</v>
      </c>
      <c r="AG49" s="52">
        <f t="shared" si="27"/>
        <v>0.93577235772358525</v>
      </c>
      <c r="AH49" s="435">
        <f>AG58</f>
        <v>0.9035213558235532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2044</v>
      </c>
      <c r="H50" s="231">
        <f>F50*G50</f>
        <v>102790.716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1552.4050632911433</v>
      </c>
      <c r="O50" s="235">
        <f>N50/M50</f>
        <v>91.317944899479016</v>
      </c>
      <c r="P50" s="74">
        <f>M50-J50</f>
        <v>0</v>
      </c>
      <c r="Q50" s="83">
        <f>O50-L50</f>
        <v>-4.9173492181680416</v>
      </c>
      <c r="R50" s="72">
        <f>O50/L50</f>
        <v>0.94890285042245925</v>
      </c>
      <c r="S50" s="408"/>
      <c r="T50" s="21">
        <v>0.35347222222222202</v>
      </c>
      <c r="U50" s="21">
        <v>0.40833333333333299</v>
      </c>
      <c r="V50" s="30">
        <f>(T50-U49)*24*60</f>
        <v>6.9999999999998952</v>
      </c>
      <c r="W50" s="236">
        <f t="shared" si="5"/>
        <v>78.999999999999801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26"/>
        <v>-83.594936708856721</v>
      </c>
      <c r="AG50" s="72">
        <f t="shared" si="27"/>
        <v>0.94890285042245925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1836</v>
      </c>
      <c r="H51" s="231">
        <f>F51*G51</f>
        <v>91744.92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1573.7142857142553</v>
      </c>
      <c r="O51" s="235">
        <f>N51/M51</f>
        <v>104.91428571428369</v>
      </c>
      <c r="P51" s="74">
        <f>M51-J51</f>
        <v>-1</v>
      </c>
      <c r="Q51" s="83">
        <f>O51-L51</f>
        <v>-7.5857142857163069</v>
      </c>
      <c r="R51" s="72">
        <f>O51/L51</f>
        <v>0.93257142857141062</v>
      </c>
      <c r="S51" s="408"/>
      <c r="T51" s="21">
        <v>0.41319444444444398</v>
      </c>
      <c r="U51" s="19">
        <v>0.46180555555555602</v>
      </c>
      <c r="V51" s="30">
        <f>(T51-U50)*24*60</f>
        <v>6.9999999999998153</v>
      </c>
      <c r="W51" s="236">
        <f t="shared" si="5"/>
        <v>70.00000000000135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26"/>
        <v>-226.28571428574469</v>
      </c>
      <c r="AG51" s="72">
        <f t="shared" si="27"/>
        <v>0.87428571428569735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4176</v>
      </c>
      <c r="H52" s="231">
        <f>F52*G52</f>
        <v>208674.72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1546.6666666666677</v>
      </c>
      <c r="O52" s="235">
        <f>N52/M52</f>
        <v>103.11111111111117</v>
      </c>
      <c r="P52" s="74">
        <f>M52-J52</f>
        <v>-1</v>
      </c>
      <c r="Q52" s="83">
        <f>O52-L52</f>
        <v>-9.3888888888888289</v>
      </c>
      <c r="R52" s="72">
        <f>O52/L52</f>
        <v>0.9165432098765437</v>
      </c>
      <c r="S52" s="408"/>
      <c r="T52" s="21">
        <v>0.51944444444444404</v>
      </c>
      <c r="U52" s="21">
        <v>0.63194444444444398</v>
      </c>
      <c r="V52" s="30">
        <f>(T52-U51)*24*60</f>
        <v>82.999999999998749</v>
      </c>
      <c r="W52" s="236">
        <f t="shared" si="5"/>
        <v>161.99999999999991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26"/>
        <v>-253.33333333333235</v>
      </c>
      <c r="AG52" s="72">
        <f t="shared" si="27"/>
        <v>0.85925925925925983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26"/>
        <v>0</v>
      </c>
      <c r="AG53" s="72" t="e">
        <f t="shared" si="27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</v>
      </c>
      <c r="N58" s="120">
        <f t="shared" si="28"/>
        <v>1589.2940648936301</v>
      </c>
      <c r="O58" s="117">
        <f t="shared" si="28"/>
        <v>99.606280194489841</v>
      </c>
      <c r="P58" s="121">
        <f>M58-J58</f>
        <v>-0.5</v>
      </c>
      <c r="Q58" s="122">
        <f>N58-K58</f>
        <v>-169.70593510636991</v>
      </c>
      <c r="R58" s="123">
        <f>O58/L58</f>
        <v>0.93282289673947238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-169.70593510636991</v>
      </c>
      <c r="AG58" s="124">
        <f>N58/K58</f>
        <v>0.9035213558235532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3616</v>
      </c>
      <c r="H59" s="243">
        <f>F59*G59</f>
        <v>97595.839999999997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1549.7142857142896</v>
      </c>
      <c r="O59" s="138">
        <f>N59/M59</f>
        <v>103.31428571428597</v>
      </c>
      <c r="P59" s="56">
        <f>M59-J59</f>
        <v>0</v>
      </c>
      <c r="Q59" s="230">
        <f>O59-L59</f>
        <v>-5.7523809523806904</v>
      </c>
      <c r="R59" s="52">
        <f>O59/L59</f>
        <v>0.94725812085225525</v>
      </c>
      <c r="S59" s="407">
        <f>R69</f>
        <v>0.90539675847349499</v>
      </c>
      <c r="T59" s="245">
        <v>0.29166666666666702</v>
      </c>
      <c r="U59" s="245">
        <v>0.38888888888888901</v>
      </c>
      <c r="V59" s="55"/>
      <c r="W59" s="54">
        <f t="shared" si="5"/>
        <v>139.99999999999966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-86.285714285710355</v>
      </c>
      <c r="AG59" s="246">
        <f>N59/K59</f>
        <v>0.94725812085225525</v>
      </c>
      <c r="AH59" s="435">
        <f>AG69</f>
        <v>0.90818751596541247</v>
      </c>
    </row>
    <row r="60" spans="1:34" ht="15" customHeight="1">
      <c r="A60" s="477"/>
      <c r="B60" s="75" t="s">
        <v>130</v>
      </c>
      <c r="C60" s="86"/>
      <c r="D60" s="175" t="s">
        <v>133</v>
      </c>
      <c r="E60" s="87"/>
      <c r="F60" s="75">
        <f>VLOOKUP(D60,廠價表!$C$1:$E$43,3,0)</f>
        <v>28.26</v>
      </c>
      <c r="G60" s="30">
        <v>1515</v>
      </c>
      <c r="H60" s="78">
        <f>F60*G60</f>
        <v>42813.9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1514.9999999999873</v>
      </c>
      <c r="O60" s="81">
        <f>N60/M60</f>
        <v>137.72727272727158</v>
      </c>
      <c r="P60" s="74">
        <f>M60-J60</f>
        <v>0</v>
      </c>
      <c r="Q60" s="83">
        <f>O60-L60</f>
        <v>-11.000000000001137</v>
      </c>
      <c r="R60" s="72">
        <f>O60/L60</f>
        <v>0.92603911980439335</v>
      </c>
      <c r="S60" s="480"/>
      <c r="T60" s="22">
        <v>0.39583333333333298</v>
      </c>
      <c r="U60" s="22">
        <v>0.4375</v>
      </c>
      <c r="V60" s="30">
        <f>(T60-U59)*24*60</f>
        <v>9.999999999999325</v>
      </c>
      <c r="W60" s="248">
        <f t="shared" si="5"/>
        <v>60.000000000000504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-121.00000000001273</v>
      </c>
      <c r="AG60" s="249">
        <f>N60/K60</f>
        <v>0.92603911980439324</v>
      </c>
      <c r="AH60" s="471"/>
    </row>
    <row r="61" spans="1:34" ht="15" customHeight="1">
      <c r="A61" s="478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1568</v>
      </c>
      <c r="H61" s="254">
        <f>F61*G61</f>
        <v>44311.68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1404.1791044776353</v>
      </c>
      <c r="O61" s="238">
        <f>N61/M61</f>
        <v>127.6526458616032</v>
      </c>
      <c r="P61" s="111">
        <f>M61-J61</f>
        <v>0</v>
      </c>
      <c r="Q61" s="255">
        <f>O61-L61</f>
        <v>-21.074626865669515</v>
      </c>
      <c r="R61" s="85">
        <f>O61/L61</f>
        <v>0.85830018611102399</v>
      </c>
      <c r="S61" s="408"/>
      <c r="T61" s="22">
        <v>0.44305555555555598</v>
      </c>
      <c r="U61" s="22">
        <v>0.48958333333333298</v>
      </c>
      <c r="V61" s="30">
        <f>(T61-U60)*24*60</f>
        <v>8.0000000000006111</v>
      </c>
      <c r="W61" s="256">
        <f t="shared" si="5"/>
        <v>66.999999999998877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-231.82089552236471</v>
      </c>
      <c r="AG61" s="247">
        <f>N61/K61</f>
        <v>0.85830018611102399</v>
      </c>
      <c r="AH61" s="436"/>
    </row>
    <row r="62" spans="1:34" ht="15" customHeight="1">
      <c r="A62" s="478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860</v>
      </c>
      <c r="H62" s="254">
        <f>F62*G62</f>
        <v>24303.600000000002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1474.2857142857465</v>
      </c>
      <c r="O62" s="238">
        <f>N62/M62</f>
        <v>134.02597402597695</v>
      </c>
      <c r="P62" s="111">
        <f>M62-J62</f>
        <v>0</v>
      </c>
      <c r="Q62" s="255">
        <f>O62-L62</f>
        <v>-14.701298701295769</v>
      </c>
      <c r="R62" s="85">
        <f>O62/L62</f>
        <v>0.90115263709397708</v>
      </c>
      <c r="S62" s="408"/>
      <c r="T62" s="22">
        <v>0.54166666666666696</v>
      </c>
      <c r="U62" s="22">
        <v>0.56597222222222199</v>
      </c>
      <c r="V62" s="30">
        <f>(T62-U61)*24*60</f>
        <v>75.000000000000938</v>
      </c>
      <c r="W62" s="248">
        <f t="shared" si="5"/>
        <v>34.999999999999233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-161.71428571425349</v>
      </c>
      <c r="AG62" s="247">
        <f>N62/K62</f>
        <v>0.90115263709397708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29">AVERAGE(J59:J68)</f>
        <v>12</v>
      </c>
      <c r="K69" s="240">
        <f t="shared" si="29"/>
        <v>1636</v>
      </c>
      <c r="L69" s="268">
        <f t="shared" si="29"/>
        <v>138.81212121212121</v>
      </c>
      <c r="M69" s="240">
        <f t="shared" si="29"/>
        <v>12</v>
      </c>
      <c r="N69" s="240">
        <f t="shared" si="29"/>
        <v>1485.7947761194148</v>
      </c>
      <c r="O69" s="268">
        <f t="shared" si="29"/>
        <v>125.68004458228442</v>
      </c>
      <c r="P69" s="269">
        <f>M69-J69</f>
        <v>0</v>
      </c>
      <c r="Q69" s="222">
        <f>N69-K69</f>
        <v>-150.20522388058521</v>
      </c>
      <c r="R69" s="123">
        <f>O69/L69</f>
        <v>0.90539675847349499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-150.20522388058521</v>
      </c>
      <c r="AG69" s="124">
        <f>N69/K69</f>
        <v>0.90818751596541247</v>
      </c>
      <c r="AH69" s="438"/>
    </row>
    <row r="70" spans="1:36" ht="15" customHeight="1">
      <c r="A70" s="472" t="s">
        <v>55</v>
      </c>
      <c r="B70" s="129" t="s">
        <v>130</v>
      </c>
      <c r="C70" s="129"/>
      <c r="D70" s="131" t="s">
        <v>134</v>
      </c>
      <c r="E70" s="132"/>
      <c r="F70" s="250">
        <f>VLOOKUP(D70,廠價表!$C$1:$E$43,3,0)</f>
        <v>28.26</v>
      </c>
      <c r="G70" s="55">
        <v>2627</v>
      </c>
      <c r="H70" s="243">
        <f>F70*G70</f>
        <v>74239.02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1150.5109489051083</v>
      </c>
      <c r="O70" s="138">
        <f>N70/M70</f>
        <v>143.81386861313854</v>
      </c>
      <c r="P70" s="56">
        <f>M70-J70</f>
        <v>-3</v>
      </c>
      <c r="Q70" s="230">
        <f>O70-L70</f>
        <v>-4.9134041141341811</v>
      </c>
      <c r="R70" s="52">
        <f>O70/L70</f>
        <v>0.96696366426926894</v>
      </c>
      <c r="S70" s="407">
        <f>R79</f>
        <v>0.89091728653185609</v>
      </c>
      <c r="T70" s="245">
        <v>0.29513888888888901</v>
      </c>
      <c r="U70" s="245">
        <v>0.390277777777778</v>
      </c>
      <c r="V70" s="55"/>
      <c r="W70" s="54">
        <f t="shared" si="5"/>
        <v>137.00000000000014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-485.48905109489169</v>
      </c>
      <c r="AG70" s="246">
        <f>N70/K70</f>
        <v>0.70324630128674104</v>
      </c>
      <c r="AH70" s="435">
        <f>AG79</f>
        <v>0.72341685758579966</v>
      </c>
    </row>
    <row r="71" spans="1:36" ht="15" customHeight="1">
      <c r="A71" s="473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711</v>
      </c>
      <c r="H71" s="254">
        <f t="shared" ref="H71:H74" si="30">F71*G71</f>
        <v>31205.79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 t="shared" ref="L71:L73" si="31">K71/J71</f>
        <v>111.78571428571429</v>
      </c>
      <c r="M71" s="82">
        <v>11</v>
      </c>
      <c r="N71" s="107">
        <f t="shared" ref="N71:N73" si="32">G71/W71*60</f>
        <v>1066.4999999999909</v>
      </c>
      <c r="O71" s="238">
        <f t="shared" ref="O71:O73" si="33">N71/M71</f>
        <v>96.954545454544629</v>
      </c>
      <c r="P71" s="111">
        <f t="shared" ref="P71:P73" si="34">M71-J71</f>
        <v>-3</v>
      </c>
      <c r="Q71" s="255">
        <f t="shared" ref="Q71:Q73" si="35">O71-L71</f>
        <v>-14.831168831169663</v>
      </c>
      <c r="R71" s="85">
        <f t="shared" ref="R71:R73" si="36">O71/L71</f>
        <v>0.86732500726110207</v>
      </c>
      <c r="S71" s="408"/>
      <c r="T71" s="22">
        <v>0.39583333333333298</v>
      </c>
      <c r="U71" s="22">
        <v>0.42361111111111099</v>
      </c>
      <c r="V71" s="30">
        <f t="shared" ref="V71:V73" si="37">(T71-U70)*24*60</f>
        <v>7.9999999999991722</v>
      </c>
      <c r="W71" s="73">
        <f t="shared" si="5"/>
        <v>40.000000000000341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1773</v>
      </c>
      <c r="H72" s="254">
        <f t="shared" si="30"/>
        <v>77816.97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1"/>
        <v>120.38461538461539</v>
      </c>
      <c r="M72" s="82">
        <v>10</v>
      </c>
      <c r="N72" s="107">
        <f t="shared" si="32"/>
        <v>1042.9411764705935</v>
      </c>
      <c r="O72" s="238">
        <f t="shared" si="33"/>
        <v>104.29411764705935</v>
      </c>
      <c r="P72" s="111">
        <f t="shared" si="34"/>
        <v>-3</v>
      </c>
      <c r="Q72" s="255">
        <f t="shared" si="35"/>
        <v>-16.090497737556035</v>
      </c>
      <c r="R72" s="85">
        <f t="shared" si="36"/>
        <v>0.86634091336215435</v>
      </c>
      <c r="S72" s="408"/>
      <c r="T72" s="22">
        <v>0.43611111111111101</v>
      </c>
      <c r="U72" s="22">
        <v>0.50694444444444398</v>
      </c>
      <c r="V72" s="30">
        <f t="shared" si="37"/>
        <v>18.000000000000014</v>
      </c>
      <c r="W72" s="73">
        <f t="shared" si="5"/>
        <v>101.99999999999947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 t="s">
        <v>81</v>
      </c>
      <c r="C73" s="86"/>
      <c r="D73" s="59" t="s">
        <v>142</v>
      </c>
      <c r="E73" s="87"/>
      <c r="F73" s="250">
        <f>VLOOKUP(D73,廠價表!$C$1:$E$43,3,0)</f>
        <v>43.89</v>
      </c>
      <c r="G73" s="202">
        <v>2640</v>
      </c>
      <c r="H73" s="254">
        <f t="shared" si="30"/>
        <v>115869.6</v>
      </c>
      <c r="I73" s="182"/>
      <c r="J73" s="106">
        <f>VLOOKUP(D73,產線配置圖!$A$3:$C$40,2,0)</f>
        <v>13</v>
      </c>
      <c r="K73" s="107">
        <f>VLOOKUP(D73,產線配置圖!$A$3:$C$40,3,0)</f>
        <v>1565</v>
      </c>
      <c r="L73" s="238">
        <f t="shared" si="31"/>
        <v>120.38461538461539</v>
      </c>
      <c r="M73" s="82">
        <v>13</v>
      </c>
      <c r="N73" s="107">
        <f t="shared" si="32"/>
        <v>1320.0000000000048</v>
      </c>
      <c r="O73" s="238">
        <f t="shared" si="33"/>
        <v>101.5384615384619</v>
      </c>
      <c r="P73" s="111">
        <f t="shared" si="34"/>
        <v>0</v>
      </c>
      <c r="Q73" s="255">
        <f t="shared" si="35"/>
        <v>-18.846153846153484</v>
      </c>
      <c r="R73" s="85">
        <f t="shared" si="36"/>
        <v>0.8434504792332298</v>
      </c>
      <c r="S73" s="408"/>
      <c r="T73" s="22">
        <v>0.55902777777777801</v>
      </c>
      <c r="U73" s="22">
        <v>0.64236111111111105</v>
      </c>
      <c r="V73" s="30">
        <f t="shared" si="37"/>
        <v>75.000000000001009</v>
      </c>
      <c r="W73" s="73">
        <f t="shared" si="5"/>
        <v>119.99999999999957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54">
        <f t="shared" si="30"/>
        <v>0</v>
      </c>
      <c r="I74" s="182"/>
      <c r="J74" s="106"/>
      <c r="K74" s="107"/>
      <c r="L74" s="238"/>
      <c r="M74" s="82"/>
      <c r="N74" s="107"/>
      <c r="O74" s="238"/>
      <c r="P74" s="111"/>
      <c r="Q74" s="255"/>
      <c r="R74" s="85"/>
      <c r="S74" s="408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38">AVERAGE(J70:J78)</f>
        <v>12.75</v>
      </c>
      <c r="K79" s="240">
        <f t="shared" si="38"/>
        <v>1582.75</v>
      </c>
      <c r="L79" s="268">
        <f t="shared" si="38"/>
        <v>125.32055444555445</v>
      </c>
      <c r="M79" s="240">
        <f t="shared" si="38"/>
        <v>10.5</v>
      </c>
      <c r="N79" s="240">
        <f t="shared" si="38"/>
        <v>1144.9880313439244</v>
      </c>
      <c r="O79" s="268">
        <f t="shared" si="38"/>
        <v>111.65024831330111</v>
      </c>
      <c r="P79" s="269">
        <f>M79-J79</f>
        <v>-2.25</v>
      </c>
      <c r="Q79" s="222">
        <f>N79-K79</f>
        <v>-437.76196865607562</v>
      </c>
      <c r="R79" s="223">
        <f>O79/L79</f>
        <v>0.89091728653185609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-437.76196865607562</v>
      </c>
      <c r="AG79" s="124">
        <f>N79/K79</f>
        <v>0.72341685758579966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7495-BF0B-4E25-8C3A-95E3D4974537}">
  <dimension ref="B1:O26"/>
  <sheetViews>
    <sheetView topLeftCell="B1" zoomScale="70" zoomScaleNormal="70" workbookViewId="0">
      <selection activeCell="N21" sqref="N21:N2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DATE(2026,8,5)</f>
        <v>46239</v>
      </c>
      <c r="E3" s="485"/>
      <c r="F3" s="3" t="s">
        <v>72</v>
      </c>
      <c r="G3" s="486">
        <f>'0805'!E1</f>
        <v>55976</v>
      </c>
      <c r="H3" s="486"/>
      <c r="I3" s="3" t="s">
        <v>2</v>
      </c>
      <c r="J3" s="487">
        <f>'0805'!G1</f>
        <v>2563762.3149999995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>
        <f>AVERAGE(D13:J13)</f>
        <v>127.78985058669933</v>
      </c>
      <c r="G6" s="492"/>
      <c r="H6" s="493">
        <f>AVERAGE(D13:H13)</f>
        <v>124.670290765879</v>
      </c>
      <c r="I6" s="493"/>
      <c r="J6" s="493">
        <f>AVERAGE(I13:J13)</f>
        <v>135.58875013875013</v>
      </c>
      <c r="K6" s="493"/>
      <c r="L6" s="495">
        <f>'0805'!Z2</f>
        <v>0</v>
      </c>
      <c r="M6" s="496">
        <f>'0805'!AA2</f>
        <v>0</v>
      </c>
      <c r="N6" s="497">
        <f>'0805'!AD2</f>
        <v>0</v>
      </c>
      <c r="O6" s="496">
        <f>'0805'!AE2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116.16975737047683</v>
      </c>
      <c r="G7" s="516"/>
      <c r="H7" s="517">
        <f>AVERAGE(D14:H14)</f>
        <v>113.54605618988828</v>
      </c>
      <c r="I7" s="517"/>
      <c r="J7" s="517">
        <f>AVERAGE(I14:J14)</f>
        <v>122.72901032194818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>
        <f>AVERAGE(D15:J15)</f>
        <v>0.907110076329529</v>
      </c>
      <c r="G8" s="489"/>
      <c r="H8" s="489">
        <f>AVERAGE(D15:H15)</f>
        <v>0.90789392337259789</v>
      </c>
      <c r="I8" s="489"/>
      <c r="J8" s="489">
        <f>AVERAGE(I15:J15)</f>
        <v>0.90515045872185684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>
        <f>VALUE('0805'!L15)</f>
        <v>151.80995475113122</v>
      </c>
      <c r="E13" s="13">
        <f>VALUE('0805'!L26)</f>
        <v>174.23076923076923</v>
      </c>
      <c r="F13" s="13">
        <f>VALUE('0805'!L37)</f>
        <v>94.230392156862763</v>
      </c>
      <c r="G13" s="13">
        <f>VALUE('0805'!L48)</f>
        <v>96.300925925925924</v>
      </c>
      <c r="H13" s="13">
        <f>VALUE('0805'!L58)</f>
        <v>106.77941176470588</v>
      </c>
      <c r="I13" s="13">
        <f>VALUE('0805'!L69)</f>
        <v>135.50707070707071</v>
      </c>
      <c r="J13" s="13">
        <f>'0805'!L79</f>
        <v>135.67042957042958</v>
      </c>
    </row>
    <row r="14" spans="2:15" ht="39.950000000000003" customHeight="1">
      <c r="B14" s="510"/>
      <c r="C14" s="12" t="s">
        <v>100</v>
      </c>
      <c r="D14" s="13">
        <f>VALUE('0805'!O15)</f>
        <v>140.8305223257772</v>
      </c>
      <c r="E14" s="13">
        <f>VALUE('0805'!O26)</f>
        <v>160.57524770886826</v>
      </c>
      <c r="F14" s="13">
        <f>VALUE('0805'!O37)</f>
        <v>82.727736095373501</v>
      </c>
      <c r="G14" s="13">
        <f>VALUE('0805'!O48)</f>
        <v>91.103987986947217</v>
      </c>
      <c r="H14" s="13">
        <f>VALUE('0805'!O58)</f>
        <v>92.492786832475161</v>
      </c>
      <c r="I14" s="13">
        <f>VALUE('0805'!O69)</f>
        <v>121.34211517775061</v>
      </c>
      <c r="J14" s="13">
        <f>'0805'!O79</f>
        <v>124.11590546614575</v>
      </c>
    </row>
    <row r="15" spans="2:15" ht="39.950000000000003" customHeight="1">
      <c r="B15" s="511"/>
      <c r="C15" s="10" t="s">
        <v>26</v>
      </c>
      <c r="D15" s="14">
        <f t="shared" ref="D15:I15" si="0">D14/D13</f>
        <v>0.92767646599096165</v>
      </c>
      <c r="E15" s="14">
        <f t="shared" si="0"/>
        <v>0.92162393828489508</v>
      </c>
      <c r="F15" s="14">
        <f t="shared" si="0"/>
        <v>0.87793050842512566</v>
      </c>
      <c r="G15" s="14">
        <f t="shared" si="0"/>
        <v>0.94603439282633528</v>
      </c>
      <c r="H15" s="14">
        <f t="shared" si="0"/>
        <v>0.86620431133567155</v>
      </c>
      <c r="I15" s="14">
        <f t="shared" si="0"/>
        <v>0.89546703758403234</v>
      </c>
      <c r="J15" s="15">
        <f>'0805'!S70</f>
        <v>0.91483387985968145</v>
      </c>
    </row>
    <row r="16" spans="2:15" ht="17.25" customHeight="1">
      <c r="B16" s="512" t="s">
        <v>101</v>
      </c>
      <c r="C16" s="10" t="s">
        <v>34</v>
      </c>
      <c r="D16" s="16">
        <f>'0805'!T5</f>
        <v>0.29166666666666702</v>
      </c>
      <c r="E16" s="16">
        <f>'0805'!T16</f>
        <v>0.29166666666666702</v>
      </c>
      <c r="F16" s="16">
        <f>'0805'!T27</f>
        <v>0.29166666666666702</v>
      </c>
      <c r="G16" s="16">
        <f>'0805'!T38</f>
        <v>0.32986111111111099</v>
      </c>
      <c r="H16" s="16">
        <f>'0805'!T49</f>
        <v>0.29166666666666702</v>
      </c>
      <c r="I16" s="16">
        <f>'0805'!T59</f>
        <v>0.28819444444444398</v>
      </c>
      <c r="J16" s="17">
        <f>'0805'!T70</f>
        <v>0.31458333333333299</v>
      </c>
    </row>
    <row r="17" spans="2:10" ht="17.25" customHeight="1">
      <c r="B17" s="513"/>
      <c r="C17" s="10" t="s">
        <v>35</v>
      </c>
      <c r="D17" s="327">
        <v>0.47638888888888897</v>
      </c>
      <c r="E17" s="19">
        <v>0.58402777777777803</v>
      </c>
      <c r="F17" s="19">
        <v>0.56527777777777799</v>
      </c>
      <c r="G17" s="328">
        <v>0.61111111111111105</v>
      </c>
      <c r="H17" s="21">
        <v>0.62152777777777801</v>
      </c>
      <c r="I17" s="110">
        <v>0.47083333333333299</v>
      </c>
      <c r="J17" s="22">
        <v>0.64236111111111105</v>
      </c>
    </row>
    <row r="18" spans="2:10" ht="17.25" customHeight="1">
      <c r="B18" s="514" t="s">
        <v>102</v>
      </c>
      <c r="C18" s="330" t="s">
        <v>36</v>
      </c>
      <c r="D18" s="386">
        <f>'0805'!Z15</f>
        <v>0</v>
      </c>
      <c r="E18" s="387">
        <f>'0805'!Z26</f>
        <v>0</v>
      </c>
      <c r="F18" s="387">
        <f>'0805'!Z37</f>
        <v>0</v>
      </c>
      <c r="G18" s="388">
        <f>'0805'!Z48</f>
        <v>0</v>
      </c>
      <c r="H18" s="388">
        <f>'0805'!Z58</f>
        <v>0</v>
      </c>
      <c r="I18" s="387">
        <f>'0805'!Z69</f>
        <v>0</v>
      </c>
      <c r="J18" s="387">
        <f>'0805'!AA79</f>
        <v>0</v>
      </c>
    </row>
    <row r="19" spans="2:10" ht="17.25" customHeight="1">
      <c r="B19" s="515"/>
      <c r="C19" s="330" t="s">
        <v>37</v>
      </c>
      <c r="D19" s="386">
        <f>'0805'!AA15</f>
        <v>0</v>
      </c>
      <c r="E19" s="387">
        <f>'0805'!AA26</f>
        <v>0</v>
      </c>
      <c r="F19" s="387">
        <f>'0805'!AA37</f>
        <v>0</v>
      </c>
      <c r="G19" s="388">
        <f>'0805'!AA48</f>
        <v>0</v>
      </c>
      <c r="H19" s="388">
        <f>'0805'!AA58</f>
        <v>0</v>
      </c>
      <c r="I19" s="387">
        <f>'0805'!AA69</f>
        <v>0</v>
      </c>
      <c r="J19" s="387">
        <f>'0805'!AB79</f>
        <v>0</v>
      </c>
    </row>
    <row r="20" spans="2:10" ht="17.25" customHeight="1">
      <c r="B20" s="514" t="s">
        <v>103</v>
      </c>
      <c r="C20" s="330" t="s">
        <v>36</v>
      </c>
      <c r="D20" s="386">
        <f>'0805'!AD15</f>
        <v>0</v>
      </c>
      <c r="E20" s="387">
        <f>'0805'!AD26</f>
        <v>0</v>
      </c>
      <c r="F20" s="387">
        <f>'0805'!AD37</f>
        <v>0</v>
      </c>
      <c r="G20" s="388">
        <f>'0805'!AD48</f>
        <v>0</v>
      </c>
      <c r="H20" s="388">
        <f>'0805'!AD58</f>
        <v>0</v>
      </c>
      <c r="I20" s="387">
        <f>'0805'!AD69</f>
        <v>0</v>
      </c>
      <c r="J20" s="387">
        <f>'0805'!AD79</f>
        <v>0</v>
      </c>
    </row>
    <row r="21" spans="2:10" ht="17.25" customHeight="1">
      <c r="B21" s="515"/>
      <c r="C21" s="330" t="s">
        <v>85</v>
      </c>
      <c r="D21" s="386">
        <f>'0805'!AE15</f>
        <v>0</v>
      </c>
      <c r="E21" s="387">
        <f>'0805'!AE26</f>
        <v>0</v>
      </c>
      <c r="F21" s="387">
        <f>'0805'!AE37</f>
        <v>0</v>
      </c>
      <c r="G21" s="388">
        <f>'0805'!AE48</f>
        <v>0</v>
      </c>
      <c r="H21" s="388">
        <f>'0805'!AE58</f>
        <v>0</v>
      </c>
      <c r="I21" s="387">
        <f>'0805'!AE69</f>
        <v>0</v>
      </c>
      <c r="J21" s="387">
        <f>'0805'!AE79</f>
        <v>0</v>
      </c>
    </row>
    <row r="22" spans="2:10" ht="17.25" customHeight="1">
      <c r="B22" s="498" t="s">
        <v>104</v>
      </c>
      <c r="C22" s="499"/>
      <c r="D22" s="23">
        <f>VALUE('0805'!M15)</f>
        <v>14.333333333333334</v>
      </c>
      <c r="E22" s="23">
        <f>VALUE('0805'!M26)</f>
        <v>12.8</v>
      </c>
      <c r="F22" s="23">
        <f>VALUE('0805'!M37)</f>
        <v>16.8</v>
      </c>
      <c r="G22" s="23">
        <f>VALUE('0805'!M48)</f>
        <v>16.333333333333332</v>
      </c>
      <c r="H22" s="23">
        <f>VALUE('0805'!M58)</f>
        <v>16.5</v>
      </c>
      <c r="I22" s="23">
        <f>VALUE('0805'!M69)</f>
        <v>12.333333333333334</v>
      </c>
      <c r="J22" s="23">
        <f>'0805'!M79</f>
        <v>11.2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F022-5713-483B-B974-BD4AD0D8469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V26" sqref="V2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55976</v>
      </c>
      <c r="F1" s="30" t="s">
        <v>2</v>
      </c>
      <c r="G1" s="31">
        <f>SUM(H5:H79)</f>
        <v>2563762.3149999995</v>
      </c>
      <c r="H1" s="32" t="s">
        <v>3</v>
      </c>
      <c r="I1" s="33">
        <f>M15+M26+M48+M58+M69+M79+M37</f>
        <v>100.3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143</v>
      </c>
      <c r="B2" s="413"/>
      <c r="C2" s="28"/>
      <c r="D2" s="28" t="s">
        <v>14</v>
      </c>
      <c r="E2" s="35">
        <f>AVERAGE(O15,O26,O37,O48,O58,O69,O79)</f>
        <v>116.16975737047683</v>
      </c>
      <c r="F2" s="36" t="s">
        <v>15</v>
      </c>
      <c r="G2" s="37">
        <f>G1/E1</f>
        <v>45.801098953122761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1592</v>
      </c>
      <c r="H5" s="43">
        <f>F5*G5</f>
        <v>80666.64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16</v>
      </c>
      <c r="N5" s="46">
        <f>G5/W5*60</f>
        <v>1990.0000000000202</v>
      </c>
      <c r="O5" s="47">
        <f>N5/M5</f>
        <v>124.37500000000126</v>
      </c>
      <c r="P5" s="49">
        <f>M5-J5</f>
        <v>-1</v>
      </c>
      <c r="Q5" s="50">
        <f>O5-L5</f>
        <v>-7.9779411764693151</v>
      </c>
      <c r="R5" s="51">
        <f>O5/L5</f>
        <v>0.93972222222223178</v>
      </c>
      <c r="S5" s="407">
        <f>R15</f>
        <v>0.92767646599096165</v>
      </c>
      <c r="T5" s="319">
        <v>0.29166666666666702</v>
      </c>
      <c r="U5" s="320">
        <v>0.32500000000000001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442"/>
      <c r="AC5" s="442"/>
      <c r="AD5" s="135"/>
      <c r="AE5" s="135"/>
      <c r="AF5" s="229">
        <f t="shared" ref="AF5:AF11" si="1">N5-K5</f>
        <v>-259.99999999997976</v>
      </c>
      <c r="AG5" s="52">
        <f t="shared" ref="AG5:AG11" si="2">N5/K5</f>
        <v>0.88444444444445347</v>
      </c>
      <c r="AH5" s="435">
        <f>AG15</f>
        <v>0.89009443439824232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1415</v>
      </c>
      <c r="H6" s="63">
        <f>F6*G6</f>
        <v>82310.55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2021.4285714286175</v>
      </c>
      <c r="O6" s="67">
        <f>N6/M6</f>
        <v>155.49450549450904</v>
      </c>
      <c r="P6" s="69">
        <f>M6-J6</f>
        <v>0</v>
      </c>
      <c r="Q6" s="70">
        <f>O6-L6</f>
        <v>-17.582417582414024</v>
      </c>
      <c r="R6" s="71">
        <f>O6/L6</f>
        <v>0.89841269841271898</v>
      </c>
      <c r="S6" s="408"/>
      <c r="T6" s="16">
        <v>0.33055555555555599</v>
      </c>
      <c r="U6" s="16">
        <v>0.359722222222222</v>
      </c>
      <c r="V6" s="30">
        <f>(T6-U5)*24*60</f>
        <v>8.0000000000006111</v>
      </c>
      <c r="W6" s="73">
        <f t="shared" si="0"/>
        <v>41.999999999999048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-228.57142857138251</v>
      </c>
      <c r="AG6" s="72">
        <f t="shared" si="2"/>
        <v>0.89841269841271887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5258</v>
      </c>
      <c r="H7" s="78">
        <f>F7*G7</f>
        <v>258378.12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14</v>
      </c>
      <c r="N7" s="80">
        <f>G7/W7*60</f>
        <v>1996.7088607594978</v>
      </c>
      <c r="O7" s="81">
        <f>N7/M7</f>
        <v>142.62206148282127</v>
      </c>
      <c r="P7" s="74">
        <f>M7-J7</f>
        <v>-1</v>
      </c>
      <c r="Q7" s="83">
        <f>O7-L7</f>
        <v>-7.3779385171787339</v>
      </c>
      <c r="R7" s="72">
        <f>O7/L7</f>
        <v>0.9508137432188084</v>
      </c>
      <c r="S7" s="408"/>
      <c r="T7" s="18">
        <v>0.36666666666666697</v>
      </c>
      <c r="U7" s="18">
        <v>0.47638888888888897</v>
      </c>
      <c r="V7" s="30">
        <f>(T7-U6)*24*60</f>
        <v>10.000000000000764</v>
      </c>
      <c r="W7" s="73">
        <f t="shared" si="0"/>
        <v>157.99999999999969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-253.29113924050216</v>
      </c>
      <c r="AG7" s="72">
        <f t="shared" si="2"/>
        <v>0.88742616033755461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14.333333333333334</v>
      </c>
      <c r="N15" s="120">
        <f t="shared" si="3"/>
        <v>2002.7124773960452</v>
      </c>
      <c r="O15" s="117">
        <f t="shared" si="3"/>
        <v>140.8305223257772</v>
      </c>
      <c r="P15" s="121">
        <f>M15-J15</f>
        <v>-0.66666666666666607</v>
      </c>
      <c r="Q15" s="122">
        <f>O15-L15</f>
        <v>-10.97943242535402</v>
      </c>
      <c r="R15" s="123">
        <f>O15/L15</f>
        <v>0.92767646599096165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-247.28752260395481</v>
      </c>
      <c r="AG15" s="124">
        <f>N15/K15</f>
        <v>0.89009443439824232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2003</v>
      </c>
      <c r="H16" s="134">
        <f>F16*G16</f>
        <v>101492.01000000001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2146.0714285714239</v>
      </c>
      <c r="O16" s="141">
        <f>N16/M16</f>
        <v>165.08241758241724</v>
      </c>
      <c r="P16" s="142">
        <f>M16-J16</f>
        <v>0</v>
      </c>
      <c r="Q16" s="143">
        <f>O16-L16</f>
        <v>-7.9945054945058303</v>
      </c>
      <c r="R16" s="144">
        <f>O16/L16</f>
        <v>0.95380952380952189</v>
      </c>
      <c r="S16" s="446">
        <f>R26</f>
        <v>0.92162393828489508</v>
      </c>
      <c r="T16" s="145">
        <v>0.29166666666666702</v>
      </c>
      <c r="U16" s="145">
        <v>0.33055555555555599</v>
      </c>
      <c r="V16" s="135"/>
      <c r="W16" s="146">
        <f t="shared" ref="W16:W78" si="4">(U16-T16)*24*60</f>
        <v>56.000000000000121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-103.92857142857611</v>
      </c>
      <c r="AG16" s="52">
        <f>N16/K16</f>
        <v>0.95380952380952178</v>
      </c>
      <c r="AH16" s="435">
        <f>AG26</f>
        <v>0.91044545804698973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2722</v>
      </c>
      <c r="H17" s="78">
        <f>F17*G17</f>
        <v>154800.13999999998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2016.2962962962974</v>
      </c>
      <c r="O17" s="96">
        <f>N17/M17</f>
        <v>144.02116402116411</v>
      </c>
      <c r="P17" s="97">
        <f>M17-J17</f>
        <v>-1</v>
      </c>
      <c r="Q17" s="98">
        <f>O17-L17</f>
        <v>-5.9788359788358889</v>
      </c>
      <c r="R17" s="99">
        <f>O17/L17</f>
        <v>0.96014109347442744</v>
      </c>
      <c r="S17" s="447"/>
      <c r="T17" s="19">
        <v>0.33611111111111103</v>
      </c>
      <c r="U17" s="19">
        <v>0.39236111111111099</v>
      </c>
      <c r="V17" s="30">
        <f>(T17-U16)*24*60</f>
        <v>7.9999999999992522</v>
      </c>
      <c r="W17" s="149">
        <f t="shared" si="4"/>
        <v>80.999999999999957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-233.70370370370256</v>
      </c>
      <c r="AG17" s="72">
        <f>N17/K17</f>
        <v>0.8961316872427989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4107</v>
      </c>
      <c r="H18" s="78">
        <f>F18*G18</f>
        <v>206951.73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2124.3103448275747</v>
      </c>
      <c r="O18" s="96">
        <f>N18/M18</f>
        <v>177.02586206896456</v>
      </c>
      <c r="P18" s="97">
        <f>M18-J18</f>
        <v>0</v>
      </c>
      <c r="Q18" s="98">
        <f>O18-L18</f>
        <v>-10.474137931035443</v>
      </c>
      <c r="R18" s="99">
        <f>O18/L18</f>
        <v>0.94413793103447763</v>
      </c>
      <c r="S18" s="447"/>
      <c r="T18" s="19">
        <v>0.39861111111111103</v>
      </c>
      <c r="U18" s="19">
        <v>0.47916666666666702</v>
      </c>
      <c r="V18" s="30">
        <f>(T18-U17)*24*60</f>
        <v>9.000000000000048</v>
      </c>
      <c r="W18" s="149">
        <f t="shared" si="4"/>
        <v>116.00000000000063</v>
      </c>
      <c r="X18" s="22"/>
      <c r="Y18" s="84"/>
      <c r="Z18" s="90"/>
      <c r="AA18" s="90"/>
      <c r="AB18" s="440"/>
      <c r="AC18" s="440"/>
      <c r="AD18" s="92"/>
      <c r="AE18" s="92"/>
      <c r="AF18" s="307">
        <f>N18-K18</f>
        <v>-125.68965517242532</v>
      </c>
      <c r="AG18" s="72">
        <f>N18/K18</f>
        <v>0.94413793103447763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518</v>
      </c>
      <c r="H19" s="78">
        <f t="shared" ref="H19:H20" si="5">F19*G19</f>
        <v>26102.02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1942.5000000000068</v>
      </c>
      <c r="O19" s="96">
        <f t="shared" ref="O19:O20" si="8">N19/M19</f>
        <v>161.87500000000057</v>
      </c>
      <c r="P19" s="97">
        <f t="shared" ref="P19:P20" si="9">M19-J19</f>
        <v>0</v>
      </c>
      <c r="Q19" s="98">
        <f t="shared" ref="Q19:Q20" si="10">O19-L19</f>
        <v>-25.624999999999432</v>
      </c>
      <c r="R19" s="99">
        <f t="shared" ref="R19:R20" si="11">O19/L19</f>
        <v>0.86333333333333639</v>
      </c>
      <c r="S19" s="447"/>
      <c r="T19" s="19">
        <v>0.54166666666666696</v>
      </c>
      <c r="U19" s="19">
        <v>0.55277777777777803</v>
      </c>
      <c r="V19" s="30">
        <f>(T19-U18)*24*60</f>
        <v>89.999999999999915</v>
      </c>
      <c r="W19" s="149">
        <f t="shared" si="4"/>
        <v>15.999999999999943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-307.49999999999318</v>
      </c>
      <c r="AG19" s="72">
        <f>N19/K19</f>
        <v>0.86333333333333639</v>
      </c>
      <c r="AH19" s="437"/>
    </row>
    <row r="20" spans="1:34" ht="15" customHeight="1">
      <c r="A20" s="45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1208</v>
      </c>
      <c r="H20" s="78">
        <f t="shared" si="5"/>
        <v>61209.36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2013.3333333333317</v>
      </c>
      <c r="O20" s="96">
        <f t="shared" si="8"/>
        <v>154.87179487179475</v>
      </c>
      <c r="P20" s="97">
        <f t="shared" si="9"/>
        <v>0</v>
      </c>
      <c r="Q20" s="98">
        <f t="shared" si="10"/>
        <v>-18.205128205128318</v>
      </c>
      <c r="R20" s="99">
        <f t="shared" si="11"/>
        <v>0.89481481481481417</v>
      </c>
      <c r="S20" s="447"/>
      <c r="T20" s="19">
        <v>0.55902777777777801</v>
      </c>
      <c r="U20" s="19">
        <v>0.58402777777777803</v>
      </c>
      <c r="V20" s="30">
        <f>(T20-U19)*24*60</f>
        <v>8.999999999999968</v>
      </c>
      <c r="W20" s="149">
        <f t="shared" si="4"/>
        <v>36.000000000000028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174.23076923076923</v>
      </c>
      <c r="M26" s="155">
        <f t="shared" si="12"/>
        <v>12.8</v>
      </c>
      <c r="N26" s="155">
        <f t="shared" si="12"/>
        <v>2048.5022806057268</v>
      </c>
      <c r="O26" s="158">
        <f t="shared" si="12"/>
        <v>160.57524770886826</v>
      </c>
      <c r="P26" s="159">
        <f>M26-J26</f>
        <v>-0.19999999999999929</v>
      </c>
      <c r="Q26" s="160">
        <f>O26-L26</f>
        <v>-13.655521521900965</v>
      </c>
      <c r="R26" s="161">
        <f>O26/L26</f>
        <v>0.92162393828489508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13">N26-K26</f>
        <v>-201.49771939427319</v>
      </c>
      <c r="AG26" s="124">
        <f t="shared" ref="AG26:AG31" si="14">N26/K26</f>
        <v>0.91044545804698973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1940</v>
      </c>
      <c r="H27" s="134">
        <f>F27*G27</f>
        <v>89899.6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1385.7142857142946</v>
      </c>
      <c r="O27" s="141">
        <f>N27/M27</f>
        <v>86.607142857143415</v>
      </c>
      <c r="P27" s="142">
        <f>M27-J27</f>
        <v>0</v>
      </c>
      <c r="Q27" s="143">
        <f>O27-L27</f>
        <v>-15.642857142856585</v>
      </c>
      <c r="R27" s="144">
        <f>O27/L27</f>
        <v>0.84701362207475228</v>
      </c>
      <c r="S27" s="446">
        <f>R37</f>
        <v>0.87793050842512566</v>
      </c>
      <c r="T27" s="171">
        <v>0.29166666666666702</v>
      </c>
      <c r="U27" s="171">
        <v>0.35</v>
      </c>
      <c r="V27" s="135"/>
      <c r="W27" s="146">
        <f t="shared" si="4"/>
        <v>83.99999999999946</v>
      </c>
      <c r="X27" s="135"/>
      <c r="Y27" s="300"/>
      <c r="Z27" s="169"/>
      <c r="AA27" s="169"/>
      <c r="AB27" s="442"/>
      <c r="AC27" s="442"/>
      <c r="AD27" s="135"/>
      <c r="AE27" s="135"/>
      <c r="AF27" s="310">
        <f t="shared" si="13"/>
        <v>-250.28571428570535</v>
      </c>
      <c r="AG27" s="172">
        <f t="shared" si="14"/>
        <v>0.84701362207475228</v>
      </c>
      <c r="AH27" s="435">
        <f>AG37</f>
        <v>0.84736096649772119</v>
      </c>
    </row>
    <row r="28" spans="1:34" ht="15" customHeight="1">
      <c r="A28" s="44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1294</v>
      </c>
      <c r="H28" s="91">
        <f>F28*G28</f>
        <v>59084.039999999994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1437.7777777777785</v>
      </c>
      <c r="O28" s="96">
        <f>N28/M28</f>
        <v>89.861111111111157</v>
      </c>
      <c r="P28" s="97">
        <f>M28-J28</f>
        <v>-1</v>
      </c>
      <c r="Q28" s="98">
        <f>O28-L28</f>
        <v>-6.3741830065359011</v>
      </c>
      <c r="R28" s="99">
        <f>O28/L28</f>
        <v>0.93376460201032374</v>
      </c>
      <c r="S28" s="447"/>
      <c r="T28" s="19">
        <v>0.35486111111111102</v>
      </c>
      <c r="U28" s="19">
        <v>0.39236111111111099</v>
      </c>
      <c r="V28" s="92">
        <f>(T28-U27)*24*60</f>
        <v>6.9999999999998952</v>
      </c>
      <c r="W28" s="149">
        <f t="shared" si="4"/>
        <v>53.999999999999972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13"/>
        <v>-198.22222222222149</v>
      </c>
      <c r="AG28" s="99">
        <f t="shared" si="14"/>
        <v>0.87883727248030474</v>
      </c>
      <c r="AH28" s="456"/>
    </row>
    <row r="29" spans="1:34" ht="15" customHeight="1">
      <c r="A29" s="44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1232</v>
      </c>
      <c r="H29" s="91">
        <f>F29*G29</f>
        <v>70482.720000000001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1394.7169811320573</v>
      </c>
      <c r="O29" s="96">
        <f>N29/M29</f>
        <v>82.042175360709251</v>
      </c>
      <c r="P29" s="97">
        <f>M29-J29</f>
        <v>-1</v>
      </c>
      <c r="Q29" s="98">
        <f>O29-L29</f>
        <v>-8.8467135281796345</v>
      </c>
      <c r="R29" s="99">
        <f>O29/L29</f>
        <v>0.90266452108359818</v>
      </c>
      <c r="S29" s="447"/>
      <c r="T29" s="19">
        <v>0.39722222222222198</v>
      </c>
      <c r="U29" s="19">
        <v>0.43402777777777801</v>
      </c>
      <c r="V29" s="92">
        <f>(T29-U28)*24*60</f>
        <v>6.9999999999998153</v>
      </c>
      <c r="W29" s="149">
        <f t="shared" si="4"/>
        <v>53.000000000000689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13"/>
        <v>-241.2830188679427</v>
      </c>
      <c r="AG29" s="99">
        <f t="shared" si="14"/>
        <v>0.85251649213450931</v>
      </c>
      <c r="AH29" s="456"/>
    </row>
    <row r="30" spans="1:34" ht="15" customHeight="1">
      <c r="A30" s="44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1031</v>
      </c>
      <c r="H30" s="91">
        <f t="shared" ref="H30:H31" si="15">F30*G30</f>
        <v>51457.21</v>
      </c>
      <c r="I30" s="92"/>
      <c r="J30" s="79">
        <f>VLOOKUP(D30,產線配置圖!$A$3:$C$40,2,0)</f>
        <v>18</v>
      </c>
      <c r="K30" s="80">
        <v>1636</v>
      </c>
      <c r="L30" s="93">
        <f t="shared" ref="L30:L31" si="16">K30/J30</f>
        <v>90.888888888888886</v>
      </c>
      <c r="M30" s="94">
        <v>17</v>
      </c>
      <c r="N30" s="95">
        <f t="shared" ref="N30:N31" si="17">G30/W30*60</f>
        <v>1344.7826086956709</v>
      </c>
      <c r="O30" s="96">
        <f t="shared" ref="O30:O31" si="18">N30/M30</f>
        <v>79.104859335039464</v>
      </c>
      <c r="P30" s="97">
        <f t="shared" ref="P30:P31" si="19">M30-J30</f>
        <v>-1</v>
      </c>
      <c r="Q30" s="98">
        <f t="shared" ref="Q30:Q31" si="20">O30-L30</f>
        <v>-11.784029553849422</v>
      </c>
      <c r="R30" s="99">
        <f t="shared" ref="R30:R31" si="21">O30/L30</f>
        <v>0.87034686309945619</v>
      </c>
      <c r="S30" s="447"/>
      <c r="T30" s="19">
        <v>0.4375</v>
      </c>
      <c r="U30" s="19">
        <v>0.469444444444444</v>
      </c>
      <c r="V30" s="92">
        <f>(T30-U29)*24*60</f>
        <v>4.9999999999996625</v>
      </c>
      <c r="W30" s="149">
        <f t="shared" si="4"/>
        <v>45.999999999999361</v>
      </c>
      <c r="X30" s="174"/>
      <c r="Y30" s="301"/>
      <c r="Z30" s="335"/>
      <c r="AA30" s="335"/>
      <c r="AB30" s="440"/>
      <c r="AC30" s="440"/>
      <c r="AD30" s="92"/>
      <c r="AE30" s="92"/>
      <c r="AF30" s="312">
        <f t="shared" si="13"/>
        <v>-291.21739130432911</v>
      </c>
      <c r="AG30" s="99">
        <f t="shared" si="14"/>
        <v>0.82199425959393091</v>
      </c>
      <c r="AH30" s="457"/>
    </row>
    <row r="31" spans="1:34" ht="15" customHeight="1">
      <c r="A31" s="44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1300</v>
      </c>
      <c r="H31" s="91">
        <f t="shared" si="15"/>
        <v>64882.999999999993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18</v>
      </c>
      <c r="N31" s="95">
        <f t="shared" si="17"/>
        <v>1368.4210526315569</v>
      </c>
      <c r="O31" s="96">
        <f t="shared" si="18"/>
        <v>76.023391812864276</v>
      </c>
      <c r="P31" s="97">
        <f t="shared" si="19"/>
        <v>0</v>
      </c>
      <c r="Q31" s="98">
        <f t="shared" si="20"/>
        <v>-14.86549707602461</v>
      </c>
      <c r="R31" s="99">
        <f t="shared" si="21"/>
        <v>0.83644318620510816</v>
      </c>
      <c r="S31" s="447"/>
      <c r="T31" s="19">
        <v>0.52569444444444402</v>
      </c>
      <c r="U31" s="19">
        <v>0.56527777777777799</v>
      </c>
      <c r="V31" s="92">
        <f>(T31-U30)*24*60</f>
        <v>81.000000000000028</v>
      </c>
      <c r="W31" s="149">
        <f t="shared" si="4"/>
        <v>57.000000000000917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13"/>
        <v>-267.5789473684431</v>
      </c>
      <c r="AG31" s="99">
        <f t="shared" si="14"/>
        <v>0.83644318620510816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22">AVERAGE(J27:J36)</f>
        <v>17.399999999999999</v>
      </c>
      <c r="K37" s="155">
        <f t="shared" si="22"/>
        <v>1636</v>
      </c>
      <c r="L37" s="158">
        <f t="shared" si="22"/>
        <v>94.230392156862763</v>
      </c>
      <c r="M37" s="155">
        <f t="shared" si="22"/>
        <v>16.8</v>
      </c>
      <c r="N37" s="155">
        <f t="shared" si="22"/>
        <v>1386.2825411902718</v>
      </c>
      <c r="O37" s="158">
        <f t="shared" si="22"/>
        <v>82.727736095373501</v>
      </c>
      <c r="P37" s="159">
        <f>M37-J37</f>
        <v>-0.59999999999999787</v>
      </c>
      <c r="Q37" s="160">
        <f>N37-K37</f>
        <v>-249.71745880972821</v>
      </c>
      <c r="R37" s="161">
        <f>O37/L37</f>
        <v>0.87793050842512566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-249.71745880972821</v>
      </c>
      <c r="AG37" s="124">
        <f>N37/K37</f>
        <v>0.84736096649772119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2456</v>
      </c>
      <c r="H38" s="134">
        <f>F38*G38</f>
        <v>122578.95999999999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1519.1752577319617</v>
      </c>
      <c r="O38" s="141">
        <f>N38/M38</f>
        <v>101.27835051546411</v>
      </c>
      <c r="P38" s="142">
        <f>M38-J38</f>
        <v>-1</v>
      </c>
      <c r="Q38" s="143">
        <f>O38-L38</f>
        <v>-5.8466494845358881</v>
      </c>
      <c r="R38" s="144">
        <f>O38/L38</f>
        <v>0.94542217517352733</v>
      </c>
      <c r="S38" s="468">
        <f>R48</f>
        <v>0.94603439282633528</v>
      </c>
      <c r="T38" s="191">
        <v>0.32986111111111099</v>
      </c>
      <c r="U38" s="191">
        <v>0.39722222222222198</v>
      </c>
      <c r="V38" s="192"/>
      <c r="W38" s="193">
        <f t="shared" si="4"/>
        <v>96.999999999999815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-194.82474226803834</v>
      </c>
      <c r="AG38" s="195">
        <f>N38/K38</f>
        <v>0.88633328922518184</v>
      </c>
      <c r="AH38" s="458">
        <f>AG48</f>
        <v>0.8912448227644163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2706</v>
      </c>
      <c r="H39" s="91">
        <f>F39*G39</f>
        <v>119875.79999999999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1475.9999999999977</v>
      </c>
      <c r="O39" s="203">
        <f>N39/M39</f>
        <v>86.823529411764568</v>
      </c>
      <c r="P39" s="97">
        <f>M39-J39</f>
        <v>-1</v>
      </c>
      <c r="Q39" s="98">
        <f>O39-L39</f>
        <v>-4.0653594771243178</v>
      </c>
      <c r="R39" s="99">
        <f>O39/L39</f>
        <v>0.95527110599740972</v>
      </c>
      <c r="S39" s="469"/>
      <c r="T39" s="20">
        <v>0.40277777777777801</v>
      </c>
      <c r="U39" s="20">
        <v>0.47916666666666702</v>
      </c>
      <c r="V39" s="92">
        <f>(T39-U38)*24*60</f>
        <v>8.000000000000691</v>
      </c>
      <c r="W39" s="205">
        <f t="shared" si="4"/>
        <v>110.00000000000017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-160.00000000000227</v>
      </c>
      <c r="AG39" s="206">
        <f>N39/K39</f>
        <v>0.90220048899755367</v>
      </c>
      <c r="AH39" s="459"/>
    </row>
    <row r="40" spans="1:34" ht="15" customHeight="1">
      <c r="A40" s="466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2535</v>
      </c>
      <c r="H40" s="91">
        <f>F40*G40</f>
        <v>112300.5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1448.5714285714205</v>
      </c>
      <c r="O40" s="203">
        <f>N40/M40</f>
        <v>85.210084033612972</v>
      </c>
      <c r="P40" s="97">
        <f>M40-J40</f>
        <v>-1</v>
      </c>
      <c r="Q40" s="98">
        <f>O40-L40</f>
        <v>-5.6788048552759136</v>
      </c>
      <c r="R40" s="99">
        <f>O40/L40</f>
        <v>0.93751926198351687</v>
      </c>
      <c r="S40" s="408"/>
      <c r="T40" s="20">
        <v>0.53819444444444398</v>
      </c>
      <c r="U40" s="20">
        <v>0.61111111111111105</v>
      </c>
      <c r="V40" s="92">
        <f>(T40-U39)*24*60</f>
        <v>84.99999999999882</v>
      </c>
      <c r="W40" s="205">
        <f t="shared" si="4"/>
        <v>105.00000000000058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-187.42857142857952</v>
      </c>
      <c r="AG40" s="206">
        <f>N40/K40</f>
        <v>0.88543485853998805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16.333333333333332</v>
      </c>
      <c r="N48" s="155">
        <f t="shared" si="24"/>
        <v>1481.2488954344599</v>
      </c>
      <c r="O48" s="158">
        <f t="shared" si="24"/>
        <v>91.103987986947217</v>
      </c>
      <c r="P48" s="221">
        <f>M48-J48</f>
        <v>-1</v>
      </c>
      <c r="Q48" s="222">
        <f>N48-K48</f>
        <v>-180.75110456554012</v>
      </c>
      <c r="R48" s="223">
        <f>O48/L48</f>
        <v>0.94603439282633528</v>
      </c>
      <c r="S48" s="411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25">N48-K48</f>
        <v>-180.75110456554012</v>
      </c>
      <c r="AG48" s="162">
        <f t="shared" ref="AG48:AG53" si="26">N48/K48</f>
        <v>0.8912448227644163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2271</v>
      </c>
      <c r="H49" s="134">
        <f>F49*G49</f>
        <v>112459.92000000001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1703.250000000018</v>
      </c>
      <c r="O49" s="141">
        <f>N49/M49</f>
        <v>100.1911764705893</v>
      </c>
      <c r="P49" s="229">
        <f>M49-J49</f>
        <v>0</v>
      </c>
      <c r="Q49" s="230">
        <f>O49-L49</f>
        <v>-5.6911764705871661</v>
      </c>
      <c r="R49" s="52">
        <f>O49/L49</f>
        <v>0.94625000000001014</v>
      </c>
      <c r="S49" s="407">
        <f>R58</f>
        <v>0.86620431133567155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25"/>
        <v>-96.749999999982037</v>
      </c>
      <c r="AG49" s="52">
        <f t="shared" si="26"/>
        <v>0.94625000000001003</v>
      </c>
      <c r="AH49" s="435">
        <f>AG58</f>
        <v>0.86680737186950774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2085</v>
      </c>
      <c r="H50" s="231">
        <f>F50*G50</f>
        <v>104852.565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1345.1612903225669</v>
      </c>
      <c r="O50" s="235">
        <f>N50/M50</f>
        <v>79.127134724856873</v>
      </c>
      <c r="P50" s="74">
        <f>M50-J50</f>
        <v>0</v>
      </c>
      <c r="Q50" s="83">
        <f>O50-L50</f>
        <v>-17.108159392790185</v>
      </c>
      <c r="R50" s="72">
        <f>O50/L50</f>
        <v>0.82222572758103107</v>
      </c>
      <c r="S50" s="408"/>
      <c r="T50" s="21">
        <v>0.35208333333333303</v>
      </c>
      <c r="U50" s="21">
        <v>0.41666666666666702</v>
      </c>
      <c r="V50" s="30">
        <f>(T50-U49)*24*60</f>
        <v>6.9999999999998952</v>
      </c>
      <c r="W50" s="236">
        <f t="shared" si="4"/>
        <v>93.000000000000952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25"/>
        <v>-290.83870967743314</v>
      </c>
      <c r="AG50" s="72">
        <f t="shared" si="26"/>
        <v>0.82222572758103107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1695</v>
      </c>
      <c r="H51" s="231">
        <f>F51*G51</f>
        <v>84699.15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1495.5882352941248</v>
      </c>
      <c r="O51" s="235">
        <f>N51/M51</f>
        <v>93.474264705882803</v>
      </c>
      <c r="P51" s="74">
        <f>M51-J51</f>
        <v>0</v>
      </c>
      <c r="Q51" s="83">
        <f>O51-L51</f>
        <v>-19.025735294117197</v>
      </c>
      <c r="R51" s="72">
        <f>O51/L51</f>
        <v>0.83088235294118051</v>
      </c>
      <c r="S51" s="408"/>
      <c r="T51" s="21">
        <v>0.421527777777778</v>
      </c>
      <c r="U51" s="19">
        <v>0.46875</v>
      </c>
      <c r="V51" s="30">
        <f>(T51-U50)*24*60</f>
        <v>6.9999999999998153</v>
      </c>
      <c r="W51" s="236">
        <f t="shared" si="4"/>
        <v>67.999999999999673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25"/>
        <v>-304.41176470587516</v>
      </c>
      <c r="AG51" s="72">
        <f t="shared" si="26"/>
        <v>0.83088235294118051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3628</v>
      </c>
      <c r="H52" s="231">
        <f>F52*G52</f>
        <v>181291.16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1554.8571428571468</v>
      </c>
      <c r="O52" s="235">
        <f>N52/M52</f>
        <v>97.178571428571672</v>
      </c>
      <c r="P52" s="74">
        <f>M52-J52</f>
        <v>0</v>
      </c>
      <c r="Q52" s="83">
        <f>O52-L52</f>
        <v>-15.321428571428328</v>
      </c>
      <c r="R52" s="72">
        <f>O52/L52</f>
        <v>0.86380952380952603</v>
      </c>
      <c r="S52" s="408"/>
      <c r="T52" s="21">
        <v>0.52430555555555602</v>
      </c>
      <c r="U52" s="21">
        <v>0.62152777777777801</v>
      </c>
      <c r="V52" s="30">
        <f>(T52-U51)*24*60</f>
        <v>80.000000000000682</v>
      </c>
      <c r="W52" s="236">
        <f t="shared" si="4"/>
        <v>139.99999999999966</v>
      </c>
      <c r="X52" s="22"/>
      <c r="Y52" s="84"/>
      <c r="Z52" s="90"/>
      <c r="AA52" s="90"/>
      <c r="AB52" s="440"/>
      <c r="AC52" s="440"/>
      <c r="AD52" s="92"/>
      <c r="AE52" s="92"/>
      <c r="AF52" s="307">
        <f t="shared" si="25"/>
        <v>-245.14285714285325</v>
      </c>
      <c r="AG52" s="72">
        <f t="shared" si="26"/>
        <v>0.86380952380952603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25"/>
        <v>0</v>
      </c>
      <c r="AG53" s="72" t="e">
        <f t="shared" si="26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1524.714167118464</v>
      </c>
      <c r="O58" s="117">
        <f t="shared" si="27"/>
        <v>92.492786832475161</v>
      </c>
      <c r="P58" s="121">
        <f>M58-J58</f>
        <v>0</v>
      </c>
      <c r="Q58" s="122">
        <f>N58-K58</f>
        <v>-234.28583288153595</v>
      </c>
      <c r="R58" s="123">
        <f>O58/L58</f>
        <v>0.86620431133567155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-234.28583288153595</v>
      </c>
      <c r="AG58" s="124">
        <f>N58/K58</f>
        <v>0.86680737186950774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3237</v>
      </c>
      <c r="H59" s="243">
        <f>F59*G59</f>
        <v>87366.62999999999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1553.7599999999916</v>
      </c>
      <c r="O59" s="138">
        <f>N59/M59</f>
        <v>103.58399999999943</v>
      </c>
      <c r="P59" s="56">
        <f>M59-J59</f>
        <v>0</v>
      </c>
      <c r="Q59" s="230">
        <f>O59-L59</f>
        <v>-5.4826666666672281</v>
      </c>
      <c r="R59" s="52">
        <f>O59/L59</f>
        <v>0.94973105134473812</v>
      </c>
      <c r="S59" s="407">
        <f>R69</f>
        <v>0.89546703758403234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-82.240000000008422</v>
      </c>
      <c r="AG59" s="246">
        <f>N59/K59</f>
        <v>0.94973105134473812</v>
      </c>
      <c r="AH59" s="435">
        <f>AG69</f>
        <v>0.90029050547387279</v>
      </c>
    </row>
    <row r="60" spans="1:34" ht="15" customHeight="1">
      <c r="A60" s="477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1417</v>
      </c>
      <c r="H60" s="78">
        <f>F60*G60</f>
        <v>40044.420000000006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1545.8181818181581</v>
      </c>
      <c r="O60" s="81">
        <f>N60/M60</f>
        <v>140.52892561983256</v>
      </c>
      <c r="P60" s="74">
        <f>M60-J60</f>
        <v>0</v>
      </c>
      <c r="Q60" s="83">
        <f>O60-L60</f>
        <v>-8.1983471074401564</v>
      </c>
      <c r="R60" s="72">
        <f>O60/L60</f>
        <v>0.94487663925315302</v>
      </c>
      <c r="S60" s="480"/>
      <c r="T60" s="22">
        <v>0.38194444444444398</v>
      </c>
      <c r="U60" s="22">
        <v>0.42013888888888901</v>
      </c>
      <c r="V60" s="30">
        <f>(T60-U59)*24*60</f>
        <v>9.999999999999325</v>
      </c>
      <c r="W60" s="248">
        <f t="shared" si="4"/>
        <v>55.000000000000846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-90.181818181841891</v>
      </c>
      <c r="AG60" s="249">
        <f>N60/K60</f>
        <v>0.94487663925315291</v>
      </c>
      <c r="AH60" s="471"/>
    </row>
    <row r="61" spans="1:34" ht="15" customHeight="1">
      <c r="A61" s="478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1385</v>
      </c>
      <c r="H61" s="78">
        <f>F61*G61</f>
        <v>39140.1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>K61/J61</f>
        <v>148.72727272727272</v>
      </c>
      <c r="M61" s="108">
        <v>11</v>
      </c>
      <c r="N61" s="80">
        <f>G61/W61*60</f>
        <v>1319.0476190476188</v>
      </c>
      <c r="O61" s="81">
        <f>N61/M61</f>
        <v>119.91341991341989</v>
      </c>
      <c r="P61" s="74">
        <f>M61-J61</f>
        <v>0</v>
      </c>
      <c r="Q61" s="83">
        <f>O61-L61</f>
        <v>-28.813852813852833</v>
      </c>
      <c r="R61" s="72">
        <f>O61/L61</f>
        <v>0.80626382582372791</v>
      </c>
      <c r="S61" s="408"/>
      <c r="T61" s="22">
        <v>0.42708333333333298</v>
      </c>
      <c r="U61" s="22">
        <v>0.47083333333333299</v>
      </c>
      <c r="V61" s="30">
        <f>(T61-U60)*24*60</f>
        <v>9.999999999999325</v>
      </c>
      <c r="W61" s="256">
        <f t="shared" si="4"/>
        <v>63.000000000000014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-316.95238095238119</v>
      </c>
      <c r="AG61" s="247">
        <f>N61/K61</f>
        <v>0.80626382582372791</v>
      </c>
      <c r="AH61" s="436"/>
    </row>
    <row r="62" spans="1:34" ht="15" customHeight="1">
      <c r="A62" s="478"/>
      <c r="B62" s="250"/>
      <c r="C62" s="251"/>
      <c r="D62" s="257"/>
      <c r="E62" s="253"/>
      <c r="F62" s="75"/>
      <c r="G62" s="38"/>
      <c r="H62" s="78"/>
      <c r="I62" s="30"/>
      <c r="J62" s="79"/>
      <c r="K62" s="80"/>
      <c r="L62" s="81"/>
      <c r="M62" s="108"/>
      <c r="N62" s="80"/>
      <c r="O62" s="81"/>
      <c r="P62" s="74"/>
      <c r="Q62" s="83"/>
      <c r="R62" s="72"/>
      <c r="S62" s="408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1472.8752669552559</v>
      </c>
      <c r="O69" s="268">
        <f t="shared" si="28"/>
        <v>121.34211517775061</v>
      </c>
      <c r="P69" s="269">
        <f>M69-J69</f>
        <v>0</v>
      </c>
      <c r="Q69" s="222">
        <f>N69-K69</f>
        <v>-163.12473304474406</v>
      </c>
      <c r="R69" s="123">
        <f>O69/L69</f>
        <v>0.89546703758403234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-163.12473304474406</v>
      </c>
      <c r="AG69" s="124">
        <f>N69/K69</f>
        <v>0.90029050547387279</v>
      </c>
      <c r="AH69" s="438"/>
    </row>
    <row r="70" spans="1:36" ht="15" customHeight="1">
      <c r="A70" s="472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898</v>
      </c>
      <c r="H70" s="243">
        <f>F70*G70</f>
        <v>39413.22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11</v>
      </c>
      <c r="N70" s="137">
        <f>G70/W70*60</f>
        <v>1197.3333333333333</v>
      </c>
      <c r="O70" s="138">
        <f>N70/M70</f>
        <v>108.84848484848484</v>
      </c>
      <c r="P70" s="56">
        <f>M70-J70</f>
        <v>-3</v>
      </c>
      <c r="Q70" s="230">
        <f>O70-L70</f>
        <v>-2.9372294372294476</v>
      </c>
      <c r="R70" s="52">
        <f>O70/L70</f>
        <v>0.97372446509826693</v>
      </c>
      <c r="S70" s="407">
        <f>R79</f>
        <v>0.91483387985968145</v>
      </c>
      <c r="T70" s="245">
        <v>0.31458333333333299</v>
      </c>
      <c r="U70" s="245">
        <v>0.34583333333333299</v>
      </c>
      <c r="V70" s="55"/>
      <c r="W70" s="54">
        <f t="shared" si="4"/>
        <v>45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-367.66666666666674</v>
      </c>
      <c r="AG70" s="246">
        <f>N70/K70</f>
        <v>0.76506922257720977</v>
      </c>
      <c r="AH70" s="435">
        <f>AG79</f>
        <v>0.85693256076698543</v>
      </c>
    </row>
    <row r="71" spans="1:36" ht="15" customHeight="1">
      <c r="A71" s="473"/>
      <c r="B71" s="75" t="s">
        <v>130</v>
      </c>
      <c r="C71" s="76"/>
      <c r="D71" s="59" t="s">
        <v>134</v>
      </c>
      <c r="E71" s="77"/>
      <c r="F71" s="75">
        <f>VLOOKUP(D71,廠價表!$C$1:$E$43,3,0)</f>
        <v>28.26</v>
      </c>
      <c r="G71" s="30">
        <v>417</v>
      </c>
      <c r="H71" s="254">
        <f t="shared" ref="H71:H74" si="29">F71*G71</f>
        <v>11784.42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4" si="30">K71/J71</f>
        <v>148.72727272727272</v>
      </c>
      <c r="M71" s="82">
        <v>10</v>
      </c>
      <c r="N71" s="107">
        <f t="shared" ref="N71:N74" si="31">G71/W71*60</f>
        <v>1316.8421052632068</v>
      </c>
      <c r="O71" s="238">
        <f t="shared" ref="O71:O74" si="32">N71/M71</f>
        <v>131.68421052632067</v>
      </c>
      <c r="P71" s="111">
        <f t="shared" ref="P71:P74" si="33">M71-J71</f>
        <v>-1</v>
      </c>
      <c r="Q71" s="255">
        <f t="shared" ref="Q71:Q74" si="34">O71-L71</f>
        <v>-17.04306220095205</v>
      </c>
      <c r="R71" s="85">
        <f t="shared" ref="R71:R74" si="35">O71/L71</f>
        <v>0.88540728348993114</v>
      </c>
      <c r="S71" s="408"/>
      <c r="T71" s="22">
        <v>0.35277777777777802</v>
      </c>
      <c r="U71" s="22">
        <v>0.36597222222222198</v>
      </c>
      <c r="V71" s="30">
        <f t="shared" ref="V71:V74" si="36">(T71-U70)*24*60</f>
        <v>10.000000000000844</v>
      </c>
      <c r="W71" s="73">
        <f t="shared" si="4"/>
        <v>18.999999999999293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 t="s">
        <v>81</v>
      </c>
      <c r="C72" s="76"/>
      <c r="D72" s="59" t="s">
        <v>142</v>
      </c>
      <c r="E72" s="77"/>
      <c r="F72" s="75">
        <f>VLOOKUP(D72,廠價表!$C$1:$E$43,3,0)</f>
        <v>43.89</v>
      </c>
      <c r="G72" s="202">
        <v>2639</v>
      </c>
      <c r="H72" s="254">
        <f t="shared" si="29"/>
        <v>115825.71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0"/>
        <v>120.38461538461539</v>
      </c>
      <c r="M72" s="82">
        <v>13</v>
      </c>
      <c r="N72" s="107">
        <f t="shared" si="31"/>
        <v>1256.666666666667</v>
      </c>
      <c r="O72" s="238">
        <f t="shared" si="32"/>
        <v>96.666666666666686</v>
      </c>
      <c r="P72" s="111">
        <f t="shared" si="33"/>
        <v>0</v>
      </c>
      <c r="Q72" s="255">
        <f t="shared" si="34"/>
        <v>-23.717948717948701</v>
      </c>
      <c r="R72" s="85">
        <f t="shared" si="35"/>
        <v>0.80298189563365296</v>
      </c>
      <c r="S72" s="408"/>
      <c r="T72" s="22">
        <v>0.37291666666666701</v>
      </c>
      <c r="U72" s="22">
        <v>0.46041666666666697</v>
      </c>
      <c r="V72" s="30">
        <f t="shared" si="36"/>
        <v>10.000000000000844</v>
      </c>
      <c r="W72" s="73">
        <f t="shared" si="4"/>
        <v>125.99999999999996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 t="s">
        <v>130</v>
      </c>
      <c r="C73" s="86"/>
      <c r="D73" s="59" t="s">
        <v>134</v>
      </c>
      <c r="E73" s="87"/>
      <c r="F73" s="75">
        <f>VLOOKUP(D73,廠價表!$C$1:$E$43,3,0)</f>
        <v>28.26</v>
      </c>
      <c r="G73" s="202">
        <v>1555</v>
      </c>
      <c r="H73" s="254">
        <f t="shared" si="29"/>
        <v>43944.3</v>
      </c>
      <c r="I73" s="182"/>
      <c r="J73" s="106">
        <f>VLOOKUP(D73,產線配置圖!$A$3:$C$40,2,0)</f>
        <v>11</v>
      </c>
      <c r="K73" s="107">
        <f>VLOOKUP(D73,產線配置圖!$A$3:$C$40,3,0)</f>
        <v>1636</v>
      </c>
      <c r="L73" s="238">
        <f t="shared" si="30"/>
        <v>148.72727272727272</v>
      </c>
      <c r="M73" s="82">
        <v>11</v>
      </c>
      <c r="N73" s="107">
        <f t="shared" si="31"/>
        <v>1554.9999999999891</v>
      </c>
      <c r="O73" s="238">
        <f t="shared" si="32"/>
        <v>141.36363636363538</v>
      </c>
      <c r="P73" s="111">
        <f t="shared" si="33"/>
        <v>0</v>
      </c>
      <c r="Q73" s="255">
        <f t="shared" si="34"/>
        <v>-7.3636363636373403</v>
      </c>
      <c r="R73" s="85">
        <f t="shared" si="35"/>
        <v>0.95048899755500571</v>
      </c>
      <c r="S73" s="408"/>
      <c r="T73" s="22">
        <v>0.53472222222222199</v>
      </c>
      <c r="U73" s="22">
        <v>0.57638888888888895</v>
      </c>
      <c r="V73" s="30">
        <f t="shared" si="36"/>
        <v>106.99999999999922</v>
      </c>
      <c r="W73" s="73">
        <f t="shared" si="4"/>
        <v>60.000000000000426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 t="s">
        <v>130</v>
      </c>
      <c r="C74" s="58"/>
      <c r="D74" s="259" t="s">
        <v>134</v>
      </c>
      <c r="E74" s="60"/>
      <c r="F74" s="75">
        <f>VLOOKUP(D74,廠價表!$C$1:$E$43,3,0)</f>
        <v>28.26</v>
      </c>
      <c r="G74" s="273">
        <v>1432</v>
      </c>
      <c r="H74" s="254">
        <f t="shared" si="29"/>
        <v>40468.32</v>
      </c>
      <c r="I74" s="182"/>
      <c r="J74" s="106">
        <f>VLOOKUP(D74,產線配置圖!$A$3:$C$40,2,0)</f>
        <v>11</v>
      </c>
      <c r="K74" s="107">
        <f>VLOOKUP(D74,產線配置圖!$A$3:$C$40,3,0)</f>
        <v>1636</v>
      </c>
      <c r="L74" s="238">
        <f t="shared" si="30"/>
        <v>148.72727272727272</v>
      </c>
      <c r="M74" s="94">
        <v>11</v>
      </c>
      <c r="N74" s="107">
        <f t="shared" si="31"/>
        <v>1562.1818181818326</v>
      </c>
      <c r="O74" s="238">
        <f t="shared" si="32"/>
        <v>142.01652892562115</v>
      </c>
      <c r="P74" s="111">
        <f t="shared" si="33"/>
        <v>0</v>
      </c>
      <c r="Q74" s="255">
        <f t="shared" si="34"/>
        <v>-6.7107438016515744</v>
      </c>
      <c r="R74" s="85">
        <f t="shared" si="35"/>
        <v>0.95487886196933536</v>
      </c>
      <c r="S74" s="408"/>
      <c r="T74" s="22">
        <v>0.60416666666666696</v>
      </c>
      <c r="U74" s="22">
        <v>0.64236111111111105</v>
      </c>
      <c r="V74" s="30">
        <f t="shared" si="36"/>
        <v>40.000000000000341</v>
      </c>
      <c r="W74" s="73">
        <f t="shared" si="4"/>
        <v>54.999999999999488</v>
      </c>
      <c r="X74" s="22"/>
      <c r="Y74" s="84"/>
      <c r="Z74" s="90"/>
      <c r="AA74" s="90"/>
      <c r="AB74" s="440" t="s">
        <v>144</v>
      </c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37">AVERAGE(J70:J78)</f>
        <v>12</v>
      </c>
      <c r="K79" s="240">
        <f t="shared" si="37"/>
        <v>1607.6</v>
      </c>
      <c r="L79" s="268">
        <f t="shared" si="37"/>
        <v>135.67042957042958</v>
      </c>
      <c r="M79" s="240">
        <f t="shared" si="37"/>
        <v>11.2</v>
      </c>
      <c r="N79" s="240">
        <f t="shared" si="37"/>
        <v>1377.6047846890058</v>
      </c>
      <c r="O79" s="268">
        <f t="shared" si="37"/>
        <v>124.11590546614575</v>
      </c>
      <c r="P79" s="269">
        <f>M79-J79</f>
        <v>-0.80000000000000071</v>
      </c>
      <c r="Q79" s="222">
        <f>N79-K79</f>
        <v>-229.99521531099413</v>
      </c>
      <c r="R79" s="223">
        <f>O79/L79</f>
        <v>0.91483387985968145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-229.99521531099413</v>
      </c>
      <c r="AG79" s="124">
        <f>N79/K79</f>
        <v>0.85693256076698543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6A3B-769C-4F66-BCFB-E40816F7DDF6}">
  <dimension ref="B1:O26"/>
  <sheetViews>
    <sheetView tabSelected="1"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DATE(2026,8,6)</f>
        <v>46240</v>
      </c>
      <c r="E3" s="485"/>
      <c r="F3" s="3" t="s">
        <v>72</v>
      </c>
      <c r="G3" s="486">
        <f>'0806'!E1</f>
        <v>54231</v>
      </c>
      <c r="H3" s="486"/>
      <c r="I3" s="3" t="s">
        <v>2</v>
      </c>
      <c r="J3" s="487">
        <f>'0806'!G1</f>
        <v>2525631.3490000004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>
        <f>AVERAGE(D13:J13)</f>
        <v>125.85086020266694</v>
      </c>
      <c r="G6" s="492"/>
      <c r="H6" s="493">
        <f>AVERAGE(D13:H13)</f>
        <v>124.57979302832243</v>
      </c>
      <c r="I6" s="493"/>
      <c r="J6" s="493">
        <f>AVERAGE(I13:J13)</f>
        <v>129.02852813852815</v>
      </c>
      <c r="K6" s="493"/>
      <c r="L6" s="495">
        <f>'0806'!Z2</f>
        <v>0</v>
      </c>
      <c r="M6" s="496">
        <f>'0806'!AA2</f>
        <v>0</v>
      </c>
      <c r="N6" s="497">
        <f>'0806'!AD2</f>
        <v>0</v>
      </c>
      <c r="O6" s="496">
        <f>'0806'!AE2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113.41223383190243</v>
      </c>
      <c r="G7" s="516"/>
      <c r="H7" s="517">
        <f>AVERAGE(D14:H14)</f>
        <v>112.83138986983504</v>
      </c>
      <c r="I7" s="517"/>
      <c r="J7" s="517">
        <f>AVERAGE(I14:J14)</f>
        <v>114.86434373707093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>
        <f>AVERAGE(D15:J15)</f>
        <v>0.90039454189454537</v>
      </c>
      <c r="G8" s="489"/>
      <c r="H8" s="489">
        <f>AVERAGE(D15:H15)</f>
        <v>0.90563860824226483</v>
      </c>
      <c r="I8" s="489"/>
      <c r="J8" s="489">
        <f>AVERAGE(I15:J15)</f>
        <v>0.88728437602524679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>
        <f>VALUE('0806'!L15)</f>
        <v>151.3574660633484</v>
      </c>
      <c r="E13" s="13">
        <f>VALUE('0806'!L26)</f>
        <v>174.23076923076923</v>
      </c>
      <c r="F13" s="13">
        <f>VALUE('0806'!L37)</f>
        <v>94.230392156862763</v>
      </c>
      <c r="G13" s="13">
        <f>VALUE('0806'!L48)</f>
        <v>96.300925925925924</v>
      </c>
      <c r="H13" s="13">
        <f>VALUE('0806'!L58)</f>
        <v>106.77941176470588</v>
      </c>
      <c r="I13" s="13">
        <f>VALUE('0806'!L69)</f>
        <v>140.79515151515153</v>
      </c>
      <c r="J13" s="13">
        <f>'0806'!L79</f>
        <v>117.26190476190476</v>
      </c>
    </row>
    <row r="14" spans="2:15" ht="39.950000000000003" customHeight="1">
      <c r="B14" s="510"/>
      <c r="C14" s="12" t="s">
        <v>100</v>
      </c>
      <c r="D14" s="13">
        <f>VALUE('0806'!O15)</f>
        <v>141.08330921814238</v>
      </c>
      <c r="E14" s="13">
        <f>VALUE('0806'!O26)</f>
        <v>154.10813171813152</v>
      </c>
      <c r="F14" s="13">
        <f>VALUE('0806'!O37)</f>
        <v>83.946805645335402</v>
      </c>
      <c r="G14" s="13">
        <f>VALUE('0806'!O48)</f>
        <v>86.339052287581623</v>
      </c>
      <c r="H14" s="13">
        <f>VALUE('0806'!O58)</f>
        <v>98.679650479984275</v>
      </c>
      <c r="I14" s="13">
        <f>VALUE('0806'!O69)</f>
        <v>129.46446280991705</v>
      </c>
      <c r="J14" s="13">
        <f>'0806'!O79</f>
        <v>100.2642246642248</v>
      </c>
    </row>
    <row r="15" spans="2:15" ht="39.950000000000003" customHeight="1">
      <c r="B15" s="511"/>
      <c r="C15" s="10" t="s">
        <v>26</v>
      </c>
      <c r="D15" s="14">
        <f t="shared" ref="D15:I15" si="0">D14/D13</f>
        <v>0.93211992039490188</v>
      </c>
      <c r="E15" s="14">
        <f t="shared" si="0"/>
        <v>0.88450583326079901</v>
      </c>
      <c r="F15" s="14">
        <f t="shared" si="0"/>
        <v>0.89086762480613946</v>
      </c>
      <c r="G15" s="14">
        <f t="shared" si="0"/>
        <v>0.89655474708512239</v>
      </c>
      <c r="H15" s="14">
        <f t="shared" si="0"/>
        <v>0.92414491566436174</v>
      </c>
      <c r="I15" s="14">
        <f t="shared" si="0"/>
        <v>0.91952358740126683</v>
      </c>
      <c r="J15" s="15">
        <f>'0806'!S70</f>
        <v>0.85504516464922675</v>
      </c>
    </row>
    <row r="16" spans="2:15" ht="17.25" customHeight="1">
      <c r="B16" s="512" t="s">
        <v>101</v>
      </c>
      <c r="C16" s="10" t="s">
        <v>34</v>
      </c>
      <c r="D16" s="16">
        <f>'0806'!T5</f>
        <v>0.29305555555555601</v>
      </c>
      <c r="E16" s="16">
        <f>'0806'!T16</f>
        <v>0.29166666666666702</v>
      </c>
      <c r="F16" s="16">
        <f>'0806'!T27</f>
        <v>0.29166666666666702</v>
      </c>
      <c r="G16" s="16">
        <f>'0806'!T38</f>
        <v>0.33333333333333298</v>
      </c>
      <c r="H16" s="16">
        <f>'0806'!T49</f>
        <v>0.29166666666666702</v>
      </c>
      <c r="I16" s="16">
        <f>'0806'!T59</f>
        <v>0.2986111111111111</v>
      </c>
      <c r="J16" s="17">
        <f>'0806'!T70</f>
        <v>0.38194444444444442</v>
      </c>
    </row>
    <row r="17" spans="2:10" ht="17.25" customHeight="1">
      <c r="B17" s="513"/>
      <c r="C17" s="10" t="s">
        <v>35</v>
      </c>
      <c r="D17" s="327">
        <v>0.57361111111111107</v>
      </c>
      <c r="E17" s="19">
        <v>0.59375</v>
      </c>
      <c r="F17" s="183">
        <v>0.59722222222222221</v>
      </c>
      <c r="G17" s="20">
        <v>0.5854166666666667</v>
      </c>
      <c r="H17" s="329">
        <v>0.56944444444444442</v>
      </c>
      <c r="I17" s="22">
        <v>0.62152777777777779</v>
      </c>
      <c r="J17" s="22">
        <v>0.59375</v>
      </c>
    </row>
    <row r="18" spans="2:10" ht="17.25" customHeight="1">
      <c r="B18" s="514" t="s">
        <v>102</v>
      </c>
      <c r="C18" s="330" t="s">
        <v>36</v>
      </c>
      <c r="D18" s="386">
        <f>'0806'!Z15</f>
        <v>0</v>
      </c>
      <c r="E18" s="387">
        <f>'0806'!Z26</f>
        <v>0</v>
      </c>
      <c r="F18" s="387">
        <f>'0806'!Z37</f>
        <v>0</v>
      </c>
      <c r="G18" s="388">
        <f>'0806'!Z48</f>
        <v>0</v>
      </c>
      <c r="H18" s="388">
        <f>'0806'!Z58</f>
        <v>0</v>
      </c>
      <c r="I18" s="387">
        <f>'0806'!Z69</f>
        <v>0</v>
      </c>
      <c r="J18" s="387">
        <f>'0806'!AA79</f>
        <v>0</v>
      </c>
    </row>
    <row r="19" spans="2:10" ht="17.25" customHeight="1">
      <c r="B19" s="515"/>
      <c r="C19" s="330" t="s">
        <v>37</v>
      </c>
      <c r="D19" s="386">
        <f>'0806'!AA15</f>
        <v>0</v>
      </c>
      <c r="E19" s="387">
        <f>'0806'!AA26</f>
        <v>0</v>
      </c>
      <c r="F19" s="387">
        <f>'0806'!AA37</f>
        <v>0</v>
      </c>
      <c r="G19" s="388">
        <f>'0806'!AA48</f>
        <v>0</v>
      </c>
      <c r="H19" s="388">
        <f>'0806'!AA58</f>
        <v>0</v>
      </c>
      <c r="I19" s="387">
        <f>'0806'!AA69</f>
        <v>0</v>
      </c>
      <c r="J19" s="387">
        <f>'0806'!AB79</f>
        <v>0</v>
      </c>
    </row>
    <row r="20" spans="2:10" ht="17.25" customHeight="1">
      <c r="B20" s="514" t="s">
        <v>103</v>
      </c>
      <c r="C20" s="330" t="s">
        <v>36</v>
      </c>
      <c r="D20" s="386">
        <f>'0806'!AD15</f>
        <v>0</v>
      </c>
      <c r="E20" s="387">
        <f>'0806'!AD26</f>
        <v>0</v>
      </c>
      <c r="F20" s="387">
        <f>'0806'!AD37</f>
        <v>0</v>
      </c>
      <c r="G20" s="388">
        <f>'0806'!AD48</f>
        <v>0</v>
      </c>
      <c r="H20" s="388">
        <f>'0806'!AD58</f>
        <v>0</v>
      </c>
      <c r="I20" s="387">
        <f>'0806'!AD69</f>
        <v>0</v>
      </c>
      <c r="J20" s="387">
        <f>'0806'!AD79</f>
        <v>0</v>
      </c>
    </row>
    <row r="21" spans="2:10" ht="17.25" customHeight="1">
      <c r="B21" s="515"/>
      <c r="C21" s="330" t="s">
        <v>85</v>
      </c>
      <c r="D21" s="386">
        <f>'0806'!AE15</f>
        <v>0</v>
      </c>
      <c r="E21" s="387">
        <f>'0806'!AE26</f>
        <v>0</v>
      </c>
      <c r="F21" s="387">
        <f>'0806'!AE37</f>
        <v>0</v>
      </c>
      <c r="G21" s="388">
        <f>'0806'!AE48</f>
        <v>0</v>
      </c>
      <c r="H21" s="388">
        <f>'0806'!AE58</f>
        <v>0</v>
      </c>
      <c r="I21" s="387">
        <f>'0806'!AE69</f>
        <v>0</v>
      </c>
      <c r="J21" s="387">
        <f>'0806'!AE79</f>
        <v>0</v>
      </c>
    </row>
    <row r="22" spans="2:10" ht="17.25" customHeight="1">
      <c r="B22" s="498" t="s">
        <v>104</v>
      </c>
      <c r="C22" s="499"/>
      <c r="D22" s="23">
        <f>VALUE('0806'!M15)</f>
        <v>15</v>
      </c>
      <c r="E22" s="23">
        <f>VALUE('0806'!M26)</f>
        <v>13</v>
      </c>
      <c r="F22" s="23">
        <f>VALUE('0806'!M37)</f>
        <v>16.399999999999999</v>
      </c>
      <c r="G22" s="23">
        <f>VALUE('0806'!M48)</f>
        <v>16.666666666666668</v>
      </c>
      <c r="H22" s="23">
        <f>VALUE('0806'!M58)</f>
        <v>16.5</v>
      </c>
      <c r="I22" s="23">
        <f>VALUE('0806'!M69)</f>
        <v>11.8</v>
      </c>
      <c r="J22" s="23">
        <f>'0806'!M79</f>
        <v>9.6666666666666661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49E-B5EA-4520-AE46-56D645947906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20" sqref="U2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54231</v>
      </c>
      <c r="F1" s="30" t="s">
        <v>2</v>
      </c>
      <c r="G1" s="31">
        <f>SUM(H5:H79)</f>
        <v>2525631.3490000004</v>
      </c>
      <c r="H1" s="32" t="s">
        <v>3</v>
      </c>
      <c r="I1" s="33">
        <f>M15+M26+M48+M58+M69+M79+M37</f>
        <v>99.033333333333331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145</v>
      </c>
      <c r="B2" s="413"/>
      <c r="C2" s="28"/>
      <c r="D2" s="28" t="s">
        <v>14</v>
      </c>
      <c r="E2" s="35">
        <f>AVERAGE(O15,O26,O37,O48,O58,O69,O79)</f>
        <v>113.41223383190243</v>
      </c>
      <c r="F2" s="36" t="s">
        <v>15</v>
      </c>
      <c r="G2" s="37">
        <f>G1/E1</f>
        <v>46.571727406833737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1613</v>
      </c>
      <c r="H5" s="43">
        <f>F5*G5</f>
        <v>81730.710000000006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2016.2500000000207</v>
      </c>
      <c r="O5" s="47">
        <f>N5/M5</f>
        <v>118.6029411764718</v>
      </c>
      <c r="P5" s="49">
        <f>M5-J5</f>
        <v>0</v>
      </c>
      <c r="Q5" s="50">
        <f>O5-L5</f>
        <v>-13.749999999998778</v>
      </c>
      <c r="R5" s="51">
        <f>O5/L5</f>
        <v>0.8961111111111203</v>
      </c>
      <c r="S5" s="407">
        <f>R15</f>
        <v>0.93211992039490188</v>
      </c>
      <c r="T5" s="319">
        <v>0.29305555555555601</v>
      </c>
      <c r="U5" s="320">
        <v>0.32638888888888901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442"/>
      <c r="AC5" s="442"/>
      <c r="AD5" s="135"/>
      <c r="AE5" s="135"/>
      <c r="AF5" s="229">
        <f t="shared" ref="AF5:AF11" si="1">N5-K5</f>
        <v>-233.74999999997931</v>
      </c>
      <c r="AG5" s="52">
        <f t="shared" ref="AG5:AG11" si="2">N5/K5</f>
        <v>0.8961111111111203</v>
      </c>
      <c r="AH5" s="435">
        <f>AG15</f>
        <v>0.92971025231798654</v>
      </c>
    </row>
    <row r="6" spans="1:34" ht="15" customHeight="1">
      <c r="A6" s="39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4679</v>
      </c>
      <c r="H6" s="63">
        <f>F6*G6</f>
        <v>272177.43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2176.2790697674495</v>
      </c>
      <c r="O6" s="67">
        <f>N6/M6</f>
        <v>167.40608228980381</v>
      </c>
      <c r="P6" s="69">
        <f>M6-J6</f>
        <v>0</v>
      </c>
      <c r="Q6" s="70">
        <f>O6-L6</f>
        <v>-5.6708407871192605</v>
      </c>
      <c r="R6" s="71">
        <f>O6/L6</f>
        <v>0.96723514211886652</v>
      </c>
      <c r="S6" s="408"/>
      <c r="T6" s="16">
        <v>0.33402777777777798</v>
      </c>
      <c r="U6" s="16">
        <v>0.42361111111111099</v>
      </c>
      <c r="V6" s="30">
        <f>(T6-U5)*24*60</f>
        <v>11.000000000000121</v>
      </c>
      <c r="W6" s="73">
        <f t="shared" si="0"/>
        <v>128.99999999999955</v>
      </c>
      <c r="X6" s="22"/>
      <c r="Y6" s="84"/>
      <c r="Z6" s="90"/>
      <c r="AA6" s="90"/>
      <c r="AB6" s="439"/>
      <c r="AC6" s="439"/>
      <c r="AD6" s="149"/>
      <c r="AE6" s="149"/>
      <c r="AF6" s="307">
        <f t="shared" si="1"/>
        <v>-73.720930232550472</v>
      </c>
      <c r="AG6" s="72">
        <f t="shared" si="2"/>
        <v>0.96723514211886641</v>
      </c>
      <c r="AH6" s="436"/>
    </row>
    <row r="7" spans="1:34" ht="15" customHeight="1">
      <c r="A7" s="39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2361</v>
      </c>
      <c r="H7" s="78">
        <f>F7*G7</f>
        <v>116019.54000000001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2083.2352941176573</v>
      </c>
      <c r="O7" s="81">
        <f>N7/M7</f>
        <v>138.88235294117715</v>
      </c>
      <c r="P7" s="74">
        <f>M7-J7</f>
        <v>0</v>
      </c>
      <c r="Q7" s="83">
        <f>O7-L7</f>
        <v>-11.117647058822854</v>
      </c>
      <c r="R7" s="72">
        <f>O7/L7</f>
        <v>0.92588235294118093</v>
      </c>
      <c r="S7" s="408"/>
      <c r="T7" s="18">
        <v>0.42986111111111103</v>
      </c>
      <c r="U7" s="18">
        <v>0.47708333333333303</v>
      </c>
      <c r="V7" s="30">
        <f>(T7-U6)*24*60</f>
        <v>9.000000000000048</v>
      </c>
      <c r="W7" s="73">
        <f t="shared" si="0"/>
        <v>67.999999999999673</v>
      </c>
      <c r="X7" s="22"/>
      <c r="Y7" s="84"/>
      <c r="Z7" s="90"/>
      <c r="AA7" s="90"/>
      <c r="AB7" s="440"/>
      <c r="AC7" s="440"/>
      <c r="AD7" s="92"/>
      <c r="AE7" s="92"/>
      <c r="AF7" s="307">
        <f t="shared" si="1"/>
        <v>-166.7647058823427</v>
      </c>
      <c r="AG7" s="72">
        <f t="shared" si="2"/>
        <v>0.92588235294118104</v>
      </c>
      <c r="AH7" s="436"/>
    </row>
    <row r="8" spans="1:34" ht="15" customHeight="1">
      <c r="A8" s="39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1499</v>
      </c>
      <c r="H8" s="78">
        <f>F8*G8</f>
        <v>73660.86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2091.6279069767515</v>
      </c>
      <c r="O8" s="81">
        <f>N8/M8</f>
        <v>139.44186046511678</v>
      </c>
      <c r="P8" s="74">
        <f>M8-J8</f>
        <v>0</v>
      </c>
      <c r="Q8" s="83">
        <f>O8-L8</f>
        <v>-10.558139534883225</v>
      </c>
      <c r="R8" s="72">
        <f>O8/L8</f>
        <v>0.92961240310077853</v>
      </c>
      <c r="S8" s="408"/>
      <c r="T8" s="16">
        <v>0.54374999999999996</v>
      </c>
      <c r="U8" s="16">
        <v>0.57361111111111096</v>
      </c>
      <c r="V8" s="30">
        <f>(T8-U7)*24*60</f>
        <v>96.000000000000384</v>
      </c>
      <c r="W8" s="73">
        <f t="shared" si="0"/>
        <v>42.999999999999844</v>
      </c>
      <c r="X8" s="22"/>
      <c r="Y8" s="84"/>
      <c r="Z8" s="90"/>
      <c r="AA8" s="90"/>
      <c r="AB8" s="439"/>
      <c r="AC8" s="439"/>
      <c r="AD8" s="149"/>
      <c r="AE8" s="149"/>
      <c r="AF8" s="307">
        <f t="shared" si="1"/>
        <v>-158.37209302324845</v>
      </c>
      <c r="AG8" s="72">
        <f t="shared" si="2"/>
        <v>0.92961240310077842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2091.8480677154698</v>
      </c>
      <c r="O15" s="117">
        <f t="shared" si="3"/>
        <v>141.08330921814238</v>
      </c>
      <c r="P15" s="121">
        <f>M15-J15</f>
        <v>0</v>
      </c>
      <c r="Q15" s="122">
        <f>O15-L15</f>
        <v>-10.274156845206022</v>
      </c>
      <c r="R15" s="123">
        <f>O15/L15</f>
        <v>0.93211992039490188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>
        <f>N15-K15</f>
        <v>-158.15193228453018</v>
      </c>
      <c r="AG15" s="124">
        <f>N15/K15</f>
        <v>0.92971025231798654</v>
      </c>
      <c r="AH15" s="438"/>
    </row>
    <row r="16" spans="1:34" ht="15" customHeight="1">
      <c r="A16" s="45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2441</v>
      </c>
      <c r="H16" s="134">
        <f>F16*G16</f>
        <v>123685.47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2092.2857142857288</v>
      </c>
      <c r="O16" s="141">
        <f>N16/M16</f>
        <v>160.94505494505606</v>
      </c>
      <c r="P16" s="142">
        <f>M16-J16</f>
        <v>0</v>
      </c>
      <c r="Q16" s="143">
        <f>O16-L16</f>
        <v>-12.131868131867009</v>
      </c>
      <c r="R16" s="144">
        <f>O16/L16</f>
        <v>0.92990476190476834</v>
      </c>
      <c r="S16" s="446">
        <f>R26</f>
        <v>0.88450583326079901</v>
      </c>
      <c r="T16" s="145">
        <v>0.29166666666666702</v>
      </c>
      <c r="U16" s="145">
        <v>0.34027777777777779</v>
      </c>
      <c r="V16" s="135"/>
      <c r="W16" s="146">
        <f t="shared" ref="W16:W78" si="4">(U16-T16)*24*60</f>
        <v>69.999999999999517</v>
      </c>
      <c r="X16" s="141"/>
      <c r="Y16" s="296"/>
      <c r="Z16" s="169"/>
      <c r="AA16" s="169"/>
      <c r="AB16" s="442"/>
      <c r="AC16" s="442"/>
      <c r="AD16" s="135"/>
      <c r="AE16" s="135"/>
      <c r="AF16" s="229">
        <f>N16-K16</f>
        <v>-157.71428571427123</v>
      </c>
      <c r="AG16" s="52">
        <f>N16/K16</f>
        <v>0.92990476190476834</v>
      </c>
      <c r="AH16" s="435">
        <f>AG26</f>
        <v>0.88539267319267156</v>
      </c>
    </row>
    <row r="17" spans="1:34" ht="15" customHeight="1">
      <c r="A17" s="45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2719</v>
      </c>
      <c r="H17" s="78">
        <f>F17*G17</f>
        <v>154629.53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2039.249999999987</v>
      </c>
      <c r="O17" s="96">
        <f>N17/M17</f>
        <v>135.94999999999914</v>
      </c>
      <c r="P17" s="97">
        <f>M17-J17</f>
        <v>0</v>
      </c>
      <c r="Q17" s="98">
        <f>O17-L17</f>
        <v>-14.050000000000864</v>
      </c>
      <c r="R17" s="99">
        <f>O17/L17</f>
        <v>0.90633333333332755</v>
      </c>
      <c r="S17" s="447"/>
      <c r="T17" s="19">
        <v>0.34583333333333299</v>
      </c>
      <c r="U17" s="19">
        <v>0.40138888888888891</v>
      </c>
      <c r="V17" s="30">
        <f>(T17-U16)*24*60</f>
        <v>7.999999999999492</v>
      </c>
      <c r="W17" s="149">
        <f t="shared" si="4"/>
        <v>80.000000000000512</v>
      </c>
      <c r="X17" s="19"/>
      <c r="Y17" s="297"/>
      <c r="Z17" s="90"/>
      <c r="AA17" s="90"/>
      <c r="AB17" s="440"/>
      <c r="AC17" s="440"/>
      <c r="AD17" s="92"/>
      <c r="AE17" s="92"/>
      <c r="AF17" s="307">
        <f>N17-K17</f>
        <v>-210.75000000001296</v>
      </c>
      <c r="AG17" s="72">
        <f>N17/K17</f>
        <v>0.90633333333332755</v>
      </c>
      <c r="AH17" s="436"/>
    </row>
    <row r="18" spans="1:34" ht="15" customHeight="1">
      <c r="A18" s="45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3460</v>
      </c>
      <c r="H18" s="78">
        <f>F18*G18</f>
        <v>174349.4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2096.9696969696979</v>
      </c>
      <c r="O18" s="96">
        <f>N18/M18</f>
        <v>174.74747474747483</v>
      </c>
      <c r="P18" s="97">
        <f>M18-J18</f>
        <v>0</v>
      </c>
      <c r="Q18" s="98">
        <f>O18-L18</f>
        <v>-12.752525252525174</v>
      </c>
      <c r="R18" s="99">
        <f>O18/L18</f>
        <v>0.93198653198653236</v>
      </c>
      <c r="S18" s="447"/>
      <c r="T18" s="19">
        <v>0.40763888888888899</v>
      </c>
      <c r="U18" s="19">
        <v>0.47638888888888897</v>
      </c>
      <c r="V18" s="30">
        <f>(T18-U17)*24*60</f>
        <v>9.0000000000001279</v>
      </c>
      <c r="W18" s="149">
        <f t="shared" si="4"/>
        <v>98.999999999999972</v>
      </c>
      <c r="X18" s="22"/>
      <c r="Y18" s="84"/>
      <c r="Z18" s="90"/>
      <c r="AA18" s="90"/>
      <c r="AB18" s="440"/>
      <c r="AC18" s="440"/>
      <c r="AD18" s="92"/>
      <c r="AE18" s="92"/>
      <c r="AF18" s="307">
        <f>N18-K18</f>
        <v>-153.03030303030209</v>
      </c>
      <c r="AG18" s="72">
        <f>N18/K18</f>
        <v>0.93198653198653236</v>
      </c>
      <c r="AH18" s="436"/>
    </row>
    <row r="19" spans="1:34" ht="15" customHeight="1">
      <c r="A19" s="45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1136</v>
      </c>
      <c r="H19" s="78">
        <f t="shared" ref="H19:H20" si="5">F19*G19</f>
        <v>57243.040000000001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>G19/W19*60</f>
        <v>1842.1621621621925</v>
      </c>
      <c r="O19" s="96">
        <f>N19/M19</f>
        <v>153.51351351351605</v>
      </c>
      <c r="P19" s="97">
        <f>M19-J19</f>
        <v>0</v>
      </c>
      <c r="Q19" s="98">
        <f>O19-L19</f>
        <v>-33.986486486483955</v>
      </c>
      <c r="R19" s="99">
        <f>O19/L19</f>
        <v>0.81873873873875225</v>
      </c>
      <c r="S19" s="447"/>
      <c r="T19" s="19">
        <v>0.54166666666666696</v>
      </c>
      <c r="U19" s="19">
        <v>0.56736111111111098</v>
      </c>
      <c r="V19" s="30">
        <f>(T19-U18)*24*60</f>
        <v>94.000000000000313</v>
      </c>
      <c r="W19" s="149">
        <f t="shared" si="4"/>
        <v>36.999999999999389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-407.83783783780746</v>
      </c>
      <c r="AG19" s="72">
        <f>N19/K19</f>
        <v>0.81873873873875225</v>
      </c>
      <c r="AH19" s="437"/>
    </row>
    <row r="20" spans="1:34" ht="15" customHeight="1">
      <c r="A20" s="45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819</v>
      </c>
      <c r="H20" s="78">
        <f t="shared" si="5"/>
        <v>41498.730000000003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>G20/W20*60</f>
        <v>1889.9999999999486</v>
      </c>
      <c r="O20" s="96">
        <f>N20/M20</f>
        <v>145.38461538461144</v>
      </c>
      <c r="P20" s="97">
        <f>M20-J20</f>
        <v>0</v>
      </c>
      <c r="Q20" s="98">
        <f>O20-L20</f>
        <v>-27.69230769231163</v>
      </c>
      <c r="R20" s="99">
        <f>O20/L20</f>
        <v>0.83999999999997721</v>
      </c>
      <c r="S20" s="447"/>
      <c r="T20" s="19">
        <v>0.57569444444444395</v>
      </c>
      <c r="U20" s="19">
        <v>0.59375</v>
      </c>
      <c r="V20" s="30">
        <f>(T20-U19)*24*60</f>
        <v>11.999999999999478</v>
      </c>
      <c r="W20" s="149">
        <f t="shared" si="4"/>
        <v>26.000000000000707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>
        <f t="shared" ref="J26:O26" si="7">AVERAGE(J16:J25)</f>
        <v>13</v>
      </c>
      <c r="K26" s="155">
        <f t="shared" si="7"/>
        <v>2250</v>
      </c>
      <c r="L26" s="158">
        <f t="shared" si="7"/>
        <v>174.23076923076923</v>
      </c>
      <c r="M26" s="155">
        <f t="shared" si="7"/>
        <v>13</v>
      </c>
      <c r="N26" s="155">
        <f t="shared" si="7"/>
        <v>1992.1335146835111</v>
      </c>
      <c r="O26" s="158">
        <f t="shared" si="7"/>
        <v>154.10813171813152</v>
      </c>
      <c r="P26" s="159">
        <f>M26-J26</f>
        <v>0</v>
      </c>
      <c r="Q26" s="160">
        <f>O26-L26</f>
        <v>-20.122637512637709</v>
      </c>
      <c r="R26" s="161">
        <f>O26/L26</f>
        <v>0.88450583326079901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>
        <f t="shared" ref="AF26:AF31" si="8">N26-K26</f>
        <v>-257.86648531648893</v>
      </c>
      <c r="AG26" s="124">
        <f t="shared" ref="AG26:AG31" si="9">N26/K26</f>
        <v>0.88539267319267156</v>
      </c>
      <c r="AH26" s="438"/>
    </row>
    <row r="27" spans="1:34" ht="15" customHeight="1">
      <c r="A27" s="44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1897</v>
      </c>
      <c r="H27" s="134">
        <f>F27*G27</f>
        <v>87906.98000000001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1459.2307692307877</v>
      </c>
      <c r="O27" s="141">
        <f>N27/M27</f>
        <v>91.201923076924231</v>
      </c>
      <c r="P27" s="142">
        <f>M27-J27</f>
        <v>0</v>
      </c>
      <c r="Q27" s="143">
        <f>O27-L27</f>
        <v>-11.048076923075769</v>
      </c>
      <c r="R27" s="144">
        <f>O27/L27</f>
        <v>0.89195034794057926</v>
      </c>
      <c r="S27" s="446">
        <f>R37</f>
        <v>0.89086762480613946</v>
      </c>
      <c r="T27" s="171">
        <v>0.29166666666666702</v>
      </c>
      <c r="U27" s="171">
        <v>0.34583333333333299</v>
      </c>
      <c r="V27" s="135"/>
      <c r="W27" s="146">
        <f t="shared" si="4"/>
        <v>77.999999999999005</v>
      </c>
      <c r="X27" s="135"/>
      <c r="Y27" s="300"/>
      <c r="Z27" s="169"/>
      <c r="AA27" s="169"/>
      <c r="AB27" s="442"/>
      <c r="AC27" s="442"/>
      <c r="AD27" s="135"/>
      <c r="AE27" s="135"/>
      <c r="AF27" s="310">
        <f t="shared" si="8"/>
        <v>-176.7692307692123</v>
      </c>
      <c r="AG27" s="172">
        <f t="shared" si="9"/>
        <v>0.89195034794057926</v>
      </c>
      <c r="AH27" s="435">
        <f>AG37</f>
        <v>0.84113356081571578</v>
      </c>
    </row>
    <row r="28" spans="1:34" ht="15" customHeight="1">
      <c r="A28" s="44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1485</v>
      </c>
      <c r="H28" s="91">
        <f>F28*G28</f>
        <v>67805.099999999991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15</v>
      </c>
      <c r="N28" s="95">
        <f>G28/W28*60</f>
        <v>1272.8571428571518</v>
      </c>
      <c r="O28" s="96">
        <f>N28/M28</f>
        <v>84.857142857143444</v>
      </c>
      <c r="P28" s="97">
        <f>M28-J28</f>
        <v>-2</v>
      </c>
      <c r="Q28" s="98">
        <f>O28-L28</f>
        <v>-11.378151260503614</v>
      </c>
      <c r="R28" s="99">
        <f>O28/L28</f>
        <v>0.88176737687740747</v>
      </c>
      <c r="S28" s="447"/>
      <c r="T28" s="19">
        <v>0.35416666666666702</v>
      </c>
      <c r="U28" s="19">
        <v>0.40277777777777779</v>
      </c>
      <c r="V28" s="92">
        <f>(T28-U27)*24*60</f>
        <v>12.000000000000997</v>
      </c>
      <c r="W28" s="149">
        <f t="shared" si="4"/>
        <v>69.999999999999517</v>
      </c>
      <c r="X28" s="174"/>
      <c r="Y28" s="301"/>
      <c r="Z28" s="335"/>
      <c r="AA28" s="335"/>
      <c r="AB28" s="440"/>
      <c r="AC28" s="440"/>
      <c r="AD28" s="92"/>
      <c r="AE28" s="92"/>
      <c r="AF28" s="311">
        <f t="shared" si="8"/>
        <v>-363.14285714284824</v>
      </c>
      <c r="AG28" s="99">
        <f t="shared" si="9"/>
        <v>0.77803003842124185</v>
      </c>
      <c r="AH28" s="456"/>
    </row>
    <row r="29" spans="1:34" ht="15" customHeight="1">
      <c r="A29" s="44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1288</v>
      </c>
      <c r="H29" s="91">
        <f>F29*G29</f>
        <v>73686.48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1287.9999999999995</v>
      </c>
      <c r="O29" s="96">
        <f>N29/M29</f>
        <v>80.499999999999972</v>
      </c>
      <c r="P29" s="97">
        <f>M29-J29</f>
        <v>-2</v>
      </c>
      <c r="Q29" s="98">
        <f>O29-L29</f>
        <v>-10.388888888888914</v>
      </c>
      <c r="R29" s="99">
        <f>O29/L29</f>
        <v>0.88569682151589213</v>
      </c>
      <c r="S29" s="447"/>
      <c r="T29" s="19">
        <v>0.40972222222222221</v>
      </c>
      <c r="U29" s="19">
        <v>0.4513888888888889</v>
      </c>
      <c r="V29" s="92">
        <f>(T29-U28)*24*60</f>
        <v>9.9999999999999645</v>
      </c>
      <c r="W29" s="149">
        <f t="shared" si="4"/>
        <v>60.000000000000028</v>
      </c>
      <c r="X29" s="22"/>
      <c r="Y29" s="84"/>
      <c r="Z29" s="90"/>
      <c r="AA29" s="90"/>
      <c r="AB29" s="440"/>
      <c r="AC29" s="440"/>
      <c r="AD29" s="92"/>
      <c r="AE29" s="92"/>
      <c r="AF29" s="312">
        <f t="shared" si="8"/>
        <v>-348.00000000000045</v>
      </c>
      <c r="AG29" s="99">
        <f t="shared" si="9"/>
        <v>0.78728606356968189</v>
      </c>
      <c r="AH29" s="456"/>
    </row>
    <row r="30" spans="1:34" ht="15" customHeight="1">
      <c r="A30" s="44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696</v>
      </c>
      <c r="H30" s="91">
        <f>F30*G30</f>
        <v>34737.360000000001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17</v>
      </c>
      <c r="N30" s="95">
        <f>G30/W30*60</f>
        <v>1305.0000000000016</v>
      </c>
      <c r="O30" s="96">
        <f>N30/M30</f>
        <v>76.764705882353041</v>
      </c>
      <c r="P30" s="97">
        <f>M30-J30</f>
        <v>-1</v>
      </c>
      <c r="Q30" s="98">
        <f>O30-L30</f>
        <v>-14.124183006535844</v>
      </c>
      <c r="R30" s="99">
        <f>O30/L30</f>
        <v>0.84459945347332199</v>
      </c>
      <c r="S30" s="447"/>
      <c r="T30" s="19">
        <v>0.46250000000000002</v>
      </c>
      <c r="U30" s="19">
        <v>0.48472222222222222</v>
      </c>
      <c r="V30" s="92">
        <f>(T30-U29)*24*60</f>
        <v>16.000000000000021</v>
      </c>
      <c r="W30" s="149">
        <f t="shared" si="4"/>
        <v>31.999999999999964</v>
      </c>
      <c r="X30" s="174"/>
      <c r="Y30" s="301"/>
      <c r="Z30" s="335"/>
      <c r="AA30" s="335"/>
      <c r="AB30" s="440"/>
      <c r="AC30" s="440"/>
      <c r="AD30" s="92"/>
      <c r="AE30" s="92"/>
      <c r="AF30" s="312">
        <f t="shared" si="8"/>
        <v>-330.99999999999841</v>
      </c>
      <c r="AG30" s="99">
        <f t="shared" si="9"/>
        <v>0.7976772616136929</v>
      </c>
      <c r="AH30" s="457"/>
    </row>
    <row r="31" spans="1:34" ht="15" customHeight="1">
      <c r="A31" s="44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1685</v>
      </c>
      <c r="H31" s="91">
        <f>F31*G31</f>
        <v>84098.349999999991</v>
      </c>
      <c r="I31" s="92"/>
      <c r="J31" s="79">
        <f>VLOOKUP(D31,產線配置圖!$A$3:$C$40,2,0)</f>
        <v>18</v>
      </c>
      <c r="K31" s="80">
        <v>1636</v>
      </c>
      <c r="L31" s="93">
        <f>K31/J31</f>
        <v>90.888888888888886</v>
      </c>
      <c r="M31" s="94">
        <v>18</v>
      </c>
      <c r="N31" s="95">
        <f>G31/W31*60</f>
        <v>1555.3846153846132</v>
      </c>
      <c r="O31" s="96">
        <f>N31/M31</f>
        <v>86.410256410256295</v>
      </c>
      <c r="P31" s="97">
        <f>M31-J31</f>
        <v>0</v>
      </c>
      <c r="Q31" s="98">
        <f>O31-L31</f>
        <v>-4.4786324786325906</v>
      </c>
      <c r="R31" s="99">
        <f>O31/L31</f>
        <v>0.9507240925333823</v>
      </c>
      <c r="S31" s="447"/>
      <c r="T31" s="19">
        <v>0.55208333333333304</v>
      </c>
      <c r="U31" s="19">
        <v>0.59722222222222199</v>
      </c>
      <c r="V31" s="92">
        <f>(T31-U30)*24*60</f>
        <v>96.999999999999574</v>
      </c>
      <c r="W31" s="149">
        <f t="shared" si="4"/>
        <v>65.000000000000085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8"/>
        <v>-80.615384615386802</v>
      </c>
      <c r="AG31" s="99">
        <f t="shared" si="9"/>
        <v>0.95072409253338219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>
        <f t="shared" ref="J37:O37" si="10">AVERAGE(J27:J36)</f>
        <v>17.399999999999999</v>
      </c>
      <c r="K37" s="155">
        <f t="shared" si="10"/>
        <v>1636</v>
      </c>
      <c r="L37" s="158">
        <f t="shared" si="10"/>
        <v>94.230392156862763</v>
      </c>
      <c r="M37" s="155">
        <f t="shared" si="10"/>
        <v>16.399999999999999</v>
      </c>
      <c r="N37" s="155">
        <f t="shared" si="10"/>
        <v>1376.0945054945109</v>
      </c>
      <c r="O37" s="158">
        <f t="shared" si="10"/>
        <v>83.946805645335402</v>
      </c>
      <c r="P37" s="159">
        <f>M37-J37</f>
        <v>-1</v>
      </c>
      <c r="Q37" s="160">
        <f>N37-K37</f>
        <v>-259.90549450548906</v>
      </c>
      <c r="R37" s="161">
        <f>O37/L37</f>
        <v>0.89086762480613946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>
        <f>N37-K37</f>
        <v>-259.90549450548906</v>
      </c>
      <c r="AG37" s="124">
        <f>N37/K37</f>
        <v>0.84113356081571578</v>
      </c>
      <c r="AH37" s="438"/>
    </row>
    <row r="38" spans="1:34" ht="15" customHeight="1">
      <c r="A38" s="465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2447</v>
      </c>
      <c r="H38" s="134">
        <f>F38*G38</f>
        <v>122129.76999999999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1631.3333333333335</v>
      </c>
      <c r="O38" s="141">
        <f>N38/M38</f>
        <v>101.95833333333334</v>
      </c>
      <c r="P38" s="142">
        <f>M38-J38</f>
        <v>0</v>
      </c>
      <c r="Q38" s="143">
        <f>O38-L38</f>
        <v>-5.1666666666666572</v>
      </c>
      <c r="R38" s="144">
        <f>O38/L38</f>
        <v>0.95176973940101139</v>
      </c>
      <c r="S38" s="468">
        <f>R48</f>
        <v>0.89655474708512239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70"/>
      <c r="AC38" s="470"/>
      <c r="AD38" s="192"/>
      <c r="AE38" s="192"/>
      <c r="AF38" s="313">
        <f>N38-K38</f>
        <v>-82.666666666666515</v>
      </c>
      <c r="AG38" s="195">
        <f>N38/K38</f>
        <v>0.95176973940101139</v>
      </c>
      <c r="AH38" s="458">
        <f>AG48</f>
        <v>0.86268217676159831</v>
      </c>
    </row>
    <row r="39" spans="1:34" ht="15" customHeight="1">
      <c r="A39" s="466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2300</v>
      </c>
      <c r="H39" s="91">
        <f>F39*G39</f>
        <v>101890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1380.0000000000093</v>
      </c>
      <c r="O39" s="203">
        <f>N39/M39</f>
        <v>81.176470588235844</v>
      </c>
      <c r="P39" s="97">
        <f>M39-J39</f>
        <v>-1</v>
      </c>
      <c r="Q39" s="98">
        <f>O39-L39</f>
        <v>-9.7124183006530416</v>
      </c>
      <c r="R39" s="99">
        <f>O39/L39</f>
        <v>0.89313965194880518</v>
      </c>
      <c r="S39" s="469"/>
      <c r="T39" s="20">
        <v>0.40625</v>
      </c>
      <c r="U39" s="20">
        <v>0.47569444444444398</v>
      </c>
      <c r="V39" s="92">
        <f>(T39-U38)*24*60</f>
        <v>15.000000000000506</v>
      </c>
      <c r="W39" s="205">
        <f t="shared" si="4"/>
        <v>99.999999999999318</v>
      </c>
      <c r="X39" s="22"/>
      <c r="Y39" s="84"/>
      <c r="Z39" s="90"/>
      <c r="AA39" s="90"/>
      <c r="AB39" s="461"/>
      <c r="AC39" s="461"/>
      <c r="AD39" s="200"/>
      <c r="AE39" s="200"/>
      <c r="AF39" s="314">
        <f>N39-K39</f>
        <v>-255.99999999999068</v>
      </c>
      <c r="AG39" s="206">
        <f>N39/K39</f>
        <v>0.84352078239609374</v>
      </c>
      <c r="AH39" s="459"/>
    </row>
    <row r="40" spans="1:34" ht="15" customHeight="1">
      <c r="A40" s="466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1462</v>
      </c>
      <c r="H40" s="91">
        <f>F40*G40</f>
        <v>64766.6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1289.9999999999866</v>
      </c>
      <c r="O40" s="203">
        <f>N40/M40</f>
        <v>75.882352941175682</v>
      </c>
      <c r="P40" s="97">
        <f>M40-J40</f>
        <v>-1</v>
      </c>
      <c r="Q40" s="98">
        <f>O40-L40</f>
        <v>-15.006535947713203</v>
      </c>
      <c r="R40" s="99">
        <f>O40/L40</f>
        <v>0.83489141377821663</v>
      </c>
      <c r="S40" s="408"/>
      <c r="T40" s="20">
        <v>0.53819444444444398</v>
      </c>
      <c r="U40" s="20">
        <v>0.5854166666666667</v>
      </c>
      <c r="V40" s="92">
        <f>(T40-U39)*24*60</f>
        <v>90</v>
      </c>
      <c r="W40" s="205">
        <f t="shared" si="4"/>
        <v>68.000000000000711</v>
      </c>
      <c r="X40" s="208"/>
      <c r="Y40" s="209"/>
      <c r="Z40" s="337"/>
      <c r="AA40" s="337"/>
      <c r="AB40" s="440"/>
      <c r="AC40" s="440"/>
      <c r="AD40" s="92"/>
      <c r="AE40" s="92"/>
      <c r="AF40" s="314">
        <f>N40-K40</f>
        <v>-346.00000000001342</v>
      </c>
      <c r="AG40" s="206">
        <f>N40/K40</f>
        <v>0.7885085574572045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11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>
        <f t="shared" ref="J48:O48" si="12">AVERAGE(J38:J47)</f>
        <v>17.333333333333332</v>
      </c>
      <c r="K48" s="155">
        <f t="shared" si="12"/>
        <v>1662</v>
      </c>
      <c r="L48" s="158">
        <f t="shared" si="12"/>
        <v>96.300925925925924</v>
      </c>
      <c r="M48" s="155">
        <f t="shared" si="12"/>
        <v>16.666666666666668</v>
      </c>
      <c r="N48" s="155">
        <f t="shared" si="12"/>
        <v>1433.7777777777765</v>
      </c>
      <c r="O48" s="158">
        <f t="shared" si="12"/>
        <v>86.339052287581623</v>
      </c>
      <c r="P48" s="221">
        <f>M48-J48</f>
        <v>-0.6666666666666643</v>
      </c>
      <c r="Q48" s="222">
        <f>N48-K48</f>
        <v>-228.22222222222354</v>
      </c>
      <c r="R48" s="223">
        <f>O48/L48</f>
        <v>0.89655474708512239</v>
      </c>
      <c r="S48" s="411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>
        <f t="shared" ref="AF48:AF53" si="13">N48-K48</f>
        <v>-228.22222222222354</v>
      </c>
      <c r="AG48" s="162">
        <f t="shared" ref="AG48:AG53" si="14">N48/K48</f>
        <v>0.86268217676159831</v>
      </c>
      <c r="AH48" s="460"/>
    </row>
    <row r="49" spans="1:34" ht="15" customHeight="1">
      <c r="A49" s="462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2136</v>
      </c>
      <c r="H49" s="134">
        <f>F49*G49</f>
        <v>105774.72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1708.8000000000118</v>
      </c>
      <c r="O49" s="141">
        <f>N49/M49</f>
        <v>100.51764705882422</v>
      </c>
      <c r="P49" s="229">
        <f>M49-J49</f>
        <v>0</v>
      </c>
      <c r="Q49" s="230">
        <f>O49-L49</f>
        <v>-5.36470588235224</v>
      </c>
      <c r="R49" s="52">
        <f>O49/L49</f>
        <v>0.94933333333333991</v>
      </c>
      <c r="S49" s="407">
        <f>R58</f>
        <v>0.92414491566436174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42"/>
      <c r="AC49" s="442"/>
      <c r="AD49" s="135"/>
      <c r="AE49" s="135"/>
      <c r="AF49" s="229">
        <f t="shared" si="13"/>
        <v>-91.199999999988222</v>
      </c>
      <c r="AG49" s="52">
        <f t="shared" si="14"/>
        <v>0.94933333333333991</v>
      </c>
      <c r="AH49" s="435">
        <f>AG58</f>
        <v>0.9248331991030313</v>
      </c>
    </row>
    <row r="50" spans="1:34" ht="15" customHeight="1">
      <c r="A50" s="463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2091</v>
      </c>
      <c r="H50" s="231">
        <f>F50*G50</f>
        <v>105154.299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1548.8888888888885</v>
      </c>
      <c r="O50" s="235">
        <f>N50/M50</f>
        <v>91.111111111111086</v>
      </c>
      <c r="P50" s="74">
        <f>M50-J50</f>
        <v>0</v>
      </c>
      <c r="Q50" s="83">
        <f>O50-L50</f>
        <v>-5.1241830065359721</v>
      </c>
      <c r="R50" s="72">
        <f>O50/L50</f>
        <v>0.94675359956533522</v>
      </c>
      <c r="S50" s="408"/>
      <c r="T50" s="21">
        <v>0.35069444444444398</v>
      </c>
      <c r="U50" s="21">
        <v>0.406944444444444</v>
      </c>
      <c r="V50" s="30">
        <f>(T50-U49)*24*60</f>
        <v>9.999999999999325</v>
      </c>
      <c r="W50" s="236">
        <f t="shared" si="4"/>
        <v>81.000000000000028</v>
      </c>
      <c r="X50" s="22"/>
      <c r="Y50" s="84"/>
      <c r="Z50" s="90"/>
      <c r="AA50" s="90"/>
      <c r="AB50" s="440"/>
      <c r="AC50" s="440"/>
      <c r="AD50" s="92"/>
      <c r="AE50" s="92"/>
      <c r="AF50" s="307">
        <f t="shared" si="13"/>
        <v>-87.111111111111541</v>
      </c>
      <c r="AG50" s="72">
        <f t="shared" si="14"/>
        <v>0.94675359956533522</v>
      </c>
      <c r="AH50" s="436"/>
    </row>
    <row r="51" spans="1:34" ht="15" customHeight="1">
      <c r="A51" s="463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1657</v>
      </c>
      <c r="H51" s="231">
        <f>F51*G51</f>
        <v>82800.289999999994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1553.4375000000152</v>
      </c>
      <c r="O51" s="235">
        <f>N51/M51</f>
        <v>97.089843750000952</v>
      </c>
      <c r="P51" s="74">
        <f>M51-J51</f>
        <v>0</v>
      </c>
      <c r="Q51" s="83">
        <f>O51-L51</f>
        <v>-15.410156249999048</v>
      </c>
      <c r="R51" s="72">
        <f>O51/L51</f>
        <v>0.86302083333334179</v>
      </c>
      <c r="S51" s="408"/>
      <c r="T51" s="21">
        <v>0.41388888888888897</v>
      </c>
      <c r="U51" s="19">
        <v>0.45833333333333298</v>
      </c>
      <c r="V51" s="30">
        <f>(T51-U50)*24*60</f>
        <v>10.000000000000764</v>
      </c>
      <c r="W51" s="236">
        <f t="shared" si="4"/>
        <v>63.999999999999375</v>
      </c>
      <c r="X51" s="22"/>
      <c r="Y51" s="84"/>
      <c r="Z51" s="90"/>
      <c r="AA51" s="90"/>
      <c r="AB51" s="440"/>
      <c r="AC51" s="440"/>
      <c r="AD51" s="92"/>
      <c r="AE51" s="92"/>
      <c r="AF51" s="307">
        <f t="shared" si="13"/>
        <v>-246.56249999998477</v>
      </c>
      <c r="AG51" s="72">
        <f t="shared" si="14"/>
        <v>0.86302083333334179</v>
      </c>
      <c r="AH51" s="436"/>
    </row>
    <row r="52" spans="1:34" ht="15" customHeight="1">
      <c r="A52" s="463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2120</v>
      </c>
      <c r="H52" s="231">
        <f>F52*G52</f>
        <v>105936.4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1696.0000000000132</v>
      </c>
      <c r="O52" s="235">
        <f>N52/M52</f>
        <v>106.00000000000082</v>
      </c>
      <c r="P52" s="74">
        <f>M52-J52</f>
        <v>0</v>
      </c>
      <c r="Q52" s="83">
        <f>O52-L52</f>
        <v>-6.4999999999991758</v>
      </c>
      <c r="R52" s="72">
        <f>O52/L52</f>
        <v>0.94222222222222951</v>
      </c>
      <c r="S52" s="408"/>
      <c r="T52" s="21">
        <v>0.51736111111111105</v>
      </c>
      <c r="U52" s="21">
        <v>0.56944444444444398</v>
      </c>
      <c r="V52" s="30">
        <f>(T52-U51)*24*60</f>
        <v>85.000000000000412</v>
      </c>
      <c r="W52" s="236">
        <f t="shared" si="4"/>
        <v>74.999999999999417</v>
      </c>
      <c r="X52" s="22"/>
      <c r="Y52" s="84"/>
      <c r="Z52" s="90"/>
      <c r="AA52" s="90"/>
      <c r="AB52" s="440"/>
      <c r="AC52" s="440"/>
      <c r="AD52" s="92"/>
      <c r="AE52" s="92"/>
      <c r="AF52" s="307">
        <f t="shared" si="13"/>
        <v>-103.99999999998681</v>
      </c>
      <c r="AG52" s="72">
        <f t="shared" si="14"/>
        <v>0.94222222222222951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3"/>
        <v>0</v>
      </c>
      <c r="AG53" s="72" t="e">
        <f t="shared" si="14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>
        <f t="shared" ref="J58:O58" si="15">AVERAGE(J49:J57)</f>
        <v>16.5</v>
      </c>
      <c r="K58" s="120">
        <f t="shared" si="15"/>
        <v>1759</v>
      </c>
      <c r="L58" s="117">
        <f t="shared" si="15"/>
        <v>106.77941176470588</v>
      </c>
      <c r="M58" s="120">
        <f t="shared" si="15"/>
        <v>16.5</v>
      </c>
      <c r="N58" s="120">
        <f t="shared" si="15"/>
        <v>1626.781597222232</v>
      </c>
      <c r="O58" s="117">
        <f t="shared" si="15"/>
        <v>98.679650479984275</v>
      </c>
      <c r="P58" s="121">
        <f>M58-J58</f>
        <v>0</v>
      </c>
      <c r="Q58" s="122">
        <f>N58-K58</f>
        <v>-132.21840277776801</v>
      </c>
      <c r="R58" s="123">
        <f>O58/L58</f>
        <v>0.92414491566436174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>
        <f>N58-K58</f>
        <v>-132.21840277776801</v>
      </c>
      <c r="AG58" s="124">
        <f>N58/K58</f>
        <v>0.9248331991030313</v>
      </c>
      <c r="AH58" s="438"/>
    </row>
    <row r="59" spans="1:34" ht="15" customHeight="1">
      <c r="A59" s="476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3125</v>
      </c>
      <c r="H59" s="243">
        <f>F59*G59</f>
        <v>84343.75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1499.9999999999995</v>
      </c>
      <c r="O59" s="138">
        <f>N59/M59</f>
        <v>99.999999999999972</v>
      </c>
      <c r="P59" s="56">
        <f>M59-J59</f>
        <v>0</v>
      </c>
      <c r="Q59" s="230">
        <f>O59-L59</f>
        <v>-9.0666666666666913</v>
      </c>
      <c r="R59" s="52">
        <f>O59/L59</f>
        <v>0.91687041564792149</v>
      </c>
      <c r="S59" s="407">
        <f>R69</f>
        <v>0.91952358740126683</v>
      </c>
      <c r="T59" s="245">
        <v>0.2986111111111111</v>
      </c>
      <c r="U59" s="245">
        <v>0.38541666666666669</v>
      </c>
      <c r="V59" s="55"/>
      <c r="W59" s="54">
        <f t="shared" si="4"/>
        <v>125.00000000000003</v>
      </c>
      <c r="X59" s="55"/>
      <c r="Y59" s="290"/>
      <c r="Z59" s="169"/>
      <c r="AA59" s="169"/>
      <c r="AB59" s="442"/>
      <c r="AC59" s="442"/>
      <c r="AD59" s="135"/>
      <c r="AE59" s="135"/>
      <c r="AF59" s="310">
        <f>N59-K59</f>
        <v>-136.00000000000045</v>
      </c>
      <c r="AG59" s="246">
        <f>N59/K59</f>
        <v>0.91687041564792149</v>
      </c>
      <c r="AH59" s="435">
        <f>AG69</f>
        <v>0.91938208490775508</v>
      </c>
    </row>
    <row r="60" spans="1:34" ht="15" customHeight="1">
      <c r="A60" s="477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1403</v>
      </c>
      <c r="H60" s="78">
        <f>F60*G60</f>
        <v>39648.78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1530.5454545454354</v>
      </c>
      <c r="O60" s="81">
        <f>N60/M60</f>
        <v>139.14049586776684</v>
      </c>
      <c r="P60" s="74">
        <f>M60-J60</f>
        <v>0</v>
      </c>
      <c r="Q60" s="83">
        <f>O60-L60</f>
        <v>-9.5867768595058749</v>
      </c>
      <c r="R60" s="72">
        <f>O60/L60</f>
        <v>0.93554123138474043</v>
      </c>
      <c r="S60" s="480"/>
      <c r="T60" s="22">
        <v>0.3923611111111111</v>
      </c>
      <c r="U60" s="22">
        <v>0.43055555555555602</v>
      </c>
      <c r="V60" s="30">
        <f>(T60-U59)*24*60</f>
        <v>9.9999999999999645</v>
      </c>
      <c r="W60" s="248">
        <f t="shared" si="4"/>
        <v>55.000000000000682</v>
      </c>
      <c r="X60" s="232"/>
      <c r="Y60" s="177"/>
      <c r="Z60" s="90"/>
      <c r="AA60" s="90"/>
      <c r="AB60" s="440"/>
      <c r="AC60" s="440"/>
      <c r="AD60" s="92"/>
      <c r="AE60" s="92"/>
      <c r="AF60" s="316">
        <f>N60-K60</f>
        <v>-105.4545454545646</v>
      </c>
      <c r="AG60" s="249">
        <f>N60/K60</f>
        <v>0.93554123138474043</v>
      </c>
      <c r="AH60" s="471"/>
    </row>
    <row r="61" spans="1:34" ht="15" customHeight="1">
      <c r="A61" s="478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1251</v>
      </c>
      <c r="H61" s="254">
        <f>F61*G61</f>
        <v>35353.26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1501.2000000000005</v>
      </c>
      <c r="O61" s="238">
        <f>N61/M61</f>
        <v>136.47272727272733</v>
      </c>
      <c r="P61" s="111">
        <f>M61-J61</f>
        <v>0</v>
      </c>
      <c r="Q61" s="255">
        <f>O61-L61</f>
        <v>-12.254545454545394</v>
      </c>
      <c r="R61" s="85">
        <f>O61/L61</f>
        <v>0.91760391198044056</v>
      </c>
      <c r="S61" s="408"/>
      <c r="T61" s="22">
        <v>0.4375</v>
      </c>
      <c r="U61" s="22">
        <v>0.47222222222222221</v>
      </c>
      <c r="V61" s="30">
        <f>(T61-U60)*24*60</f>
        <v>9.999999999999325</v>
      </c>
      <c r="W61" s="256">
        <f t="shared" si="4"/>
        <v>49.999999999999986</v>
      </c>
      <c r="X61" s="22"/>
      <c r="Y61" s="84"/>
      <c r="Z61" s="90"/>
      <c r="AA61" s="90"/>
      <c r="AB61" s="440"/>
      <c r="AC61" s="440"/>
      <c r="AD61" s="92"/>
      <c r="AE61" s="92"/>
      <c r="AF61" s="317">
        <f>N61-K61</f>
        <v>-134.7999999999995</v>
      </c>
      <c r="AG61" s="247">
        <f>N61/K61</f>
        <v>0.91760391198044045</v>
      </c>
      <c r="AH61" s="436"/>
    </row>
    <row r="62" spans="1:34" ht="15" customHeight="1">
      <c r="A62" s="478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1206</v>
      </c>
      <c r="H62" s="254">
        <f t="shared" ref="H62:H63" si="16">F62*G62</f>
        <v>34081.560000000005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7">K62/J62</f>
        <v>148.72727272727272</v>
      </c>
      <c r="M62" s="108">
        <v>11</v>
      </c>
      <c r="N62" s="107">
        <f t="shared" ref="N62:N63" si="18">G62/W62*60</f>
        <v>1447.2000000000028</v>
      </c>
      <c r="O62" s="238">
        <f t="shared" ref="O62:O63" si="19">N62/M62</f>
        <v>131.56363636363662</v>
      </c>
      <c r="P62" s="111">
        <f t="shared" ref="P62:P63" si="20">M62-J62</f>
        <v>0</v>
      </c>
      <c r="Q62" s="255">
        <f t="shared" ref="Q62:Q63" si="21">O62-L62</f>
        <v>-17.163636363636101</v>
      </c>
      <c r="R62" s="85">
        <f t="shared" ref="R62:R63" si="22">O62/L62</f>
        <v>0.88459657701711669</v>
      </c>
      <c r="S62" s="408"/>
      <c r="T62" s="22">
        <v>0.47916666666666669</v>
      </c>
      <c r="U62" s="22">
        <v>0.51388888888888884</v>
      </c>
      <c r="V62" s="30">
        <f>(T62-U61)*24*60</f>
        <v>10.000000000000044</v>
      </c>
      <c r="W62" s="248">
        <f t="shared" si="4"/>
        <v>49.999999999999901</v>
      </c>
      <c r="X62" s="22"/>
      <c r="Y62" s="84"/>
      <c r="Z62" s="90"/>
      <c r="AA62" s="90"/>
      <c r="AB62" s="440"/>
      <c r="AC62" s="440"/>
      <c r="AD62" s="92"/>
      <c r="AE62" s="92"/>
      <c r="AF62" s="317">
        <f>N62-K62</f>
        <v>-188.79999999999723</v>
      </c>
      <c r="AG62" s="247">
        <f>N62/K62</f>
        <v>0.88459657701711658</v>
      </c>
      <c r="AH62" s="436"/>
    </row>
    <row r="63" spans="1:34" ht="15" customHeight="1">
      <c r="A63" s="478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1927</v>
      </c>
      <c r="H63" s="254">
        <f t="shared" si="16"/>
        <v>54457.020000000004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7"/>
        <v>148.72727272727272</v>
      </c>
      <c r="M63" s="68">
        <v>11</v>
      </c>
      <c r="N63" s="107">
        <f t="shared" si="18"/>
        <v>1541.5999999999988</v>
      </c>
      <c r="O63" s="238">
        <f t="shared" si="19"/>
        <v>140.14545454545444</v>
      </c>
      <c r="P63" s="111">
        <f t="shared" si="20"/>
        <v>0</v>
      </c>
      <c r="Q63" s="255">
        <f t="shared" si="21"/>
        <v>-8.5818181818182779</v>
      </c>
      <c r="R63" s="85">
        <f t="shared" si="22"/>
        <v>0.94229828850855679</v>
      </c>
      <c r="S63" s="408"/>
      <c r="T63" s="22">
        <v>0.56944444444444442</v>
      </c>
      <c r="U63" s="22">
        <v>0.62152777777777779</v>
      </c>
      <c r="V63" s="30">
        <f>(T63-U62)*24*60</f>
        <v>80.000000000000028</v>
      </c>
      <c r="W63" s="248">
        <f t="shared" si="4"/>
        <v>75.000000000000057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>
        <f t="shared" ref="J69:O69" si="23">AVERAGE(J59:J68)</f>
        <v>11.8</v>
      </c>
      <c r="K69" s="240">
        <f t="shared" si="23"/>
        <v>1636</v>
      </c>
      <c r="L69" s="268">
        <f t="shared" si="23"/>
        <v>140.79515151515153</v>
      </c>
      <c r="M69" s="240">
        <f t="shared" si="23"/>
        <v>11.8</v>
      </c>
      <c r="N69" s="240">
        <f t="shared" si="23"/>
        <v>1504.1090909090874</v>
      </c>
      <c r="O69" s="268">
        <f t="shared" si="23"/>
        <v>129.46446280991705</v>
      </c>
      <c r="P69" s="269">
        <f>M69-J69</f>
        <v>0</v>
      </c>
      <c r="Q69" s="222">
        <f>N69-K69</f>
        <v>-131.8909090909126</v>
      </c>
      <c r="R69" s="123">
        <f>O69/L69</f>
        <v>0.91952358740126683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>
        <f>N69-K69</f>
        <v>-131.8909090909126</v>
      </c>
      <c r="AG69" s="124">
        <f>N69/K69</f>
        <v>0.91938208490775508</v>
      </c>
      <c r="AH69" s="438"/>
    </row>
    <row r="70" spans="1:36" ht="15" customHeight="1">
      <c r="A70" s="472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922</v>
      </c>
      <c r="H70" s="243">
        <f>F70*G70</f>
        <v>40466.58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9</v>
      </c>
      <c r="N70" s="137">
        <f>G70/W70*60</f>
        <v>851.07692307692298</v>
      </c>
      <c r="O70" s="138">
        <f>N70/M70</f>
        <v>94.564102564102555</v>
      </c>
      <c r="P70" s="56">
        <f>M70-J70</f>
        <v>-5</v>
      </c>
      <c r="Q70" s="230">
        <f>O70-L70</f>
        <v>-17.221611721611737</v>
      </c>
      <c r="R70" s="52">
        <f>O70/L70</f>
        <v>0.84594085360858506</v>
      </c>
      <c r="S70" s="407">
        <f>R79</f>
        <v>0.85504516464922675</v>
      </c>
      <c r="T70" s="245">
        <v>0.38194444444444442</v>
      </c>
      <c r="U70" s="245">
        <v>0.42708333333333331</v>
      </c>
      <c r="V70" s="55"/>
      <c r="W70" s="54">
        <f t="shared" si="4"/>
        <v>65.000000000000014</v>
      </c>
      <c r="X70" s="270"/>
      <c r="Y70" s="292"/>
      <c r="Z70" s="169"/>
      <c r="AA70" s="169"/>
      <c r="AB70" s="442"/>
      <c r="AC70" s="442"/>
      <c r="AD70" s="135"/>
      <c r="AE70" s="135"/>
      <c r="AF70" s="310">
        <f>N70-K70</f>
        <v>-713.92307692307702</v>
      </c>
      <c r="AG70" s="246">
        <f>N70/K70</f>
        <v>0.54381912017694756</v>
      </c>
      <c r="AH70" s="435">
        <f>AG79</f>
        <v>0.73476989593004816</v>
      </c>
    </row>
    <row r="71" spans="1:36" ht="15" customHeight="1">
      <c r="A71" s="473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1187</v>
      </c>
      <c r="H71" s="254">
        <f t="shared" ref="H71:H72" si="24">F71*G71</f>
        <v>52097.43</v>
      </c>
      <c r="I71" s="182"/>
      <c r="J71" s="106">
        <v>10</v>
      </c>
      <c r="K71" s="107">
        <v>1200</v>
      </c>
      <c r="L71" s="238">
        <f t="shared" ref="L71:L72" si="25">K71/J71</f>
        <v>120</v>
      </c>
      <c r="M71" s="82">
        <v>10</v>
      </c>
      <c r="N71" s="107">
        <f t="shared" ref="N71:N72" si="26">G71/W71*60</f>
        <v>1017.4285714285738</v>
      </c>
      <c r="O71" s="238">
        <f t="shared" ref="O71:O72" si="27">N71/M71</f>
        <v>101.74285714285739</v>
      </c>
      <c r="P71" s="111">
        <f t="shared" ref="P71:P72" si="28">M71-J71</f>
        <v>0</v>
      </c>
      <c r="Q71" s="255">
        <f t="shared" ref="Q71:Q72" si="29">O71-L71</f>
        <v>-18.257142857142611</v>
      </c>
      <c r="R71" s="85">
        <f t="shared" ref="R71:R72" si="30">O71/L71</f>
        <v>0.84785714285714486</v>
      </c>
      <c r="S71" s="408"/>
      <c r="T71" s="22">
        <v>0.43402777777777801</v>
      </c>
      <c r="U71" s="22">
        <v>0.48263888888888901</v>
      </c>
      <c r="V71" s="30">
        <f>(T71-U70)*24*60</f>
        <v>10.000000000000364</v>
      </c>
      <c r="W71" s="73">
        <f t="shared" si="4"/>
        <v>69.999999999999829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1219</v>
      </c>
      <c r="H72" s="254">
        <f t="shared" si="24"/>
        <v>53501.91</v>
      </c>
      <c r="I72" s="182"/>
      <c r="J72" s="106">
        <v>10</v>
      </c>
      <c r="K72" s="107">
        <v>1200</v>
      </c>
      <c r="L72" s="238">
        <f t="shared" si="25"/>
        <v>120</v>
      </c>
      <c r="M72" s="82">
        <v>10</v>
      </c>
      <c r="N72" s="107">
        <f t="shared" si="26"/>
        <v>1044.8571428571443</v>
      </c>
      <c r="O72" s="238">
        <f t="shared" si="27"/>
        <v>104.48571428571442</v>
      </c>
      <c r="P72" s="111">
        <f t="shared" si="28"/>
        <v>0</v>
      </c>
      <c r="Q72" s="255">
        <f t="shared" si="29"/>
        <v>-15.514285714285577</v>
      </c>
      <c r="R72" s="85">
        <f t="shared" si="30"/>
        <v>0.87071428571428688</v>
      </c>
      <c r="S72" s="408"/>
      <c r="T72" s="22">
        <v>0.54513888888888895</v>
      </c>
      <c r="U72" s="22">
        <v>0.59375</v>
      </c>
      <c r="V72" s="30">
        <f>(T72-U71)*24*60</f>
        <v>89.999999999999915</v>
      </c>
      <c r="W72" s="73">
        <f t="shared" si="4"/>
        <v>69.999999999999915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>
        <f t="shared" ref="J79:O79" si="31">AVERAGE(J70:J78)</f>
        <v>11.333333333333334</v>
      </c>
      <c r="K79" s="240">
        <f t="shared" si="31"/>
        <v>1321.6666666666667</v>
      </c>
      <c r="L79" s="268">
        <f t="shared" si="31"/>
        <v>117.26190476190476</v>
      </c>
      <c r="M79" s="240">
        <f t="shared" si="31"/>
        <v>9.6666666666666661</v>
      </c>
      <c r="N79" s="240">
        <f t="shared" si="31"/>
        <v>971.12087912088043</v>
      </c>
      <c r="O79" s="268">
        <f t="shared" si="31"/>
        <v>100.2642246642248</v>
      </c>
      <c r="P79" s="269">
        <f>M79-J79</f>
        <v>-1.6666666666666679</v>
      </c>
      <c r="Q79" s="222">
        <f>N79-K79</f>
        <v>-350.54578754578631</v>
      </c>
      <c r="R79" s="223">
        <f>O79/L79</f>
        <v>0.85504516464922675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>
        <f>N79-K79</f>
        <v>-350.54578754578631</v>
      </c>
      <c r="AG79" s="124">
        <f>N79/K79</f>
        <v>0.73476989593004816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58" priority="1" operator="greaterThan">
      <formula>0</formula>
    </cfRule>
  </conditionalFormatting>
  <conditionalFormatting sqref="AF5:AF79 Q5:Q79">
    <cfRule type="cellIs" dxfId="257" priority="4" operator="lessThan">
      <formula>0</formula>
    </cfRule>
  </conditionalFormatting>
  <conditionalFormatting sqref="AG5:AG79 R5:R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3FB1-7F02-4963-B091-63F3266DFD84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DATE(2026,8,7)</f>
        <v>46241</v>
      </c>
      <c r="E3" s="485"/>
      <c r="F3" s="3" t="s">
        <v>72</v>
      </c>
      <c r="G3" s="486">
        <f>'0807'!E1</f>
        <v>43309</v>
      </c>
      <c r="H3" s="486"/>
      <c r="I3" s="3" t="s">
        <v>2</v>
      </c>
      <c r="J3" s="487" t="e">
        <f>'0807'!G1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'0807'!Z2</f>
        <v>0</v>
      </c>
      <c r="M6" s="496">
        <f>'0807'!AA2</f>
        <v>0</v>
      </c>
      <c r="N6" s="497">
        <f>'0807'!AD2</f>
        <v>0</v>
      </c>
      <c r="O6" s="496">
        <f>'0807'!AE2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VALUE('0807'!L15)</f>
        <v>#N/A</v>
      </c>
      <c r="E13" s="13" t="e">
        <f>VALUE('0807'!L26)</f>
        <v>#N/A</v>
      </c>
      <c r="F13" s="13" t="e">
        <f>VALUE('0807'!L37)</f>
        <v>#N/A</v>
      </c>
      <c r="G13" s="13" t="e">
        <f>VALUE('0807'!L48)</f>
        <v>#N/A</v>
      </c>
      <c r="H13" s="13" t="e">
        <f>VALUE('0807'!L58)</f>
        <v>#N/A</v>
      </c>
      <c r="I13" s="13" t="e">
        <f>VALUE('0807'!L69)</f>
        <v>#N/A</v>
      </c>
      <c r="J13" s="13" t="e">
        <f>'0807'!L79</f>
        <v>#N/A</v>
      </c>
    </row>
    <row r="14" spans="2:15" ht="39.950000000000003" customHeight="1">
      <c r="B14" s="510"/>
      <c r="C14" s="12" t="s">
        <v>100</v>
      </c>
      <c r="D14" s="13">
        <f>VALUE('0807'!O15)</f>
        <v>113.916365108528</v>
      </c>
      <c r="E14" s="13">
        <f>VALUE('0807'!O26)</f>
        <v>132.12003238004002</v>
      </c>
      <c r="F14" s="13">
        <f>VALUE('0807'!O37)</f>
        <v>126.23842229199551</v>
      </c>
      <c r="G14" s="13">
        <f>VALUE('0807'!O48)</f>
        <v>112.05430077169194</v>
      </c>
      <c r="H14" s="13">
        <f>VALUE('0807'!O58)</f>
        <v>102.47461972914017</v>
      </c>
      <c r="I14" s="13">
        <f>VALUE('0807'!O69)</f>
        <v>155.46443341604788</v>
      </c>
      <c r="J14" s="13">
        <f>'0807'!O79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'0807'!S70</f>
        <v>#N/A</v>
      </c>
    </row>
    <row r="16" spans="2:15" ht="17.25" customHeight="1">
      <c r="B16" s="512" t="s">
        <v>101</v>
      </c>
      <c r="C16" s="10" t="s">
        <v>34</v>
      </c>
      <c r="D16" s="16">
        <f>'0807'!T5</f>
        <v>0.29097222222222202</v>
      </c>
      <c r="E16" s="16">
        <f>'0807'!T16</f>
        <v>0.29097222222222202</v>
      </c>
      <c r="F16" s="16">
        <f>'0807'!T27</f>
        <v>0.29166666666666702</v>
      </c>
      <c r="G16" s="16">
        <f>'0807'!T38</f>
        <v>0.33333333333333298</v>
      </c>
      <c r="H16" s="16">
        <f>'0807'!T49</f>
        <v>0.29166666666666702</v>
      </c>
      <c r="I16" s="16">
        <f>'0807'!T59</f>
        <v>0.29166666666666702</v>
      </c>
      <c r="J16" s="17">
        <f>'0807'!T70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'0807'!Z15</f>
        <v>0</v>
      </c>
      <c r="E18" s="387">
        <f>'0807'!Z26</f>
        <v>0</v>
      </c>
      <c r="F18" s="387">
        <f>'0807'!Z37</f>
        <v>0</v>
      </c>
      <c r="G18" s="388">
        <f>'0807'!Z48</f>
        <v>0</v>
      </c>
      <c r="H18" s="388">
        <f>'0807'!Z58</f>
        <v>0</v>
      </c>
      <c r="I18" s="387">
        <f>'0807'!Z69</f>
        <v>0</v>
      </c>
      <c r="J18" s="387">
        <f>'0807'!AA79</f>
        <v>0</v>
      </c>
    </row>
    <row r="19" spans="2:10" ht="17.25" customHeight="1">
      <c r="B19" s="515"/>
      <c r="C19" s="330" t="s">
        <v>37</v>
      </c>
      <c r="D19" s="386">
        <f>'0807'!AA15</f>
        <v>0</v>
      </c>
      <c r="E19" s="387">
        <f>'0807'!AA26</f>
        <v>0</v>
      </c>
      <c r="F19" s="387">
        <f>'0807'!AA37</f>
        <v>0</v>
      </c>
      <c r="G19" s="388">
        <f>'0807'!AA48</f>
        <v>0</v>
      </c>
      <c r="H19" s="388">
        <f>'0807'!AA58</f>
        <v>0</v>
      </c>
      <c r="I19" s="387">
        <f>'0807'!AA69</f>
        <v>0</v>
      </c>
      <c r="J19" s="387">
        <f>'0807'!AB79</f>
        <v>0</v>
      </c>
    </row>
    <row r="20" spans="2:10" ht="17.25" customHeight="1">
      <c r="B20" s="514" t="s">
        <v>103</v>
      </c>
      <c r="C20" s="330" t="s">
        <v>36</v>
      </c>
      <c r="D20" s="386">
        <f>'0807'!AD15</f>
        <v>0</v>
      </c>
      <c r="E20" s="387">
        <f>'0807'!AD26</f>
        <v>0</v>
      </c>
      <c r="F20" s="387">
        <f>'0807'!AD37</f>
        <v>0</v>
      </c>
      <c r="G20" s="388">
        <f>'0807'!AD48</f>
        <v>0</v>
      </c>
      <c r="H20" s="388">
        <f>'0807'!AD58</f>
        <v>0</v>
      </c>
      <c r="I20" s="387">
        <f>'0807'!AD69</f>
        <v>0</v>
      </c>
      <c r="J20" s="387">
        <f>'0807'!AD79</f>
        <v>0</v>
      </c>
    </row>
    <row r="21" spans="2:10" ht="17.25" customHeight="1">
      <c r="B21" s="515"/>
      <c r="C21" s="330" t="s">
        <v>85</v>
      </c>
      <c r="D21" s="386">
        <f>'0807'!AE15</f>
        <v>0</v>
      </c>
      <c r="E21" s="387">
        <f>'0807'!AE26</f>
        <v>0</v>
      </c>
      <c r="F21" s="387">
        <f>'0807'!AE37</f>
        <v>0</v>
      </c>
      <c r="G21" s="388">
        <f>'0807'!AE48</f>
        <v>0</v>
      </c>
      <c r="H21" s="388">
        <f>'0807'!AE58</f>
        <v>0</v>
      </c>
      <c r="I21" s="387">
        <f>'0807'!AE69</f>
        <v>0</v>
      </c>
      <c r="J21" s="387">
        <f>'0807'!AE79</f>
        <v>0</v>
      </c>
    </row>
    <row r="22" spans="2:10" ht="17.25" customHeight="1">
      <c r="B22" s="498" t="s">
        <v>104</v>
      </c>
      <c r="C22" s="499"/>
      <c r="D22" s="23">
        <f>VALUE('0807'!M15)</f>
        <v>15</v>
      </c>
      <c r="E22" s="23">
        <f>VALUE('0807'!M26)</f>
        <v>12.666666666666666</v>
      </c>
      <c r="F22" s="23">
        <f>VALUE('0807'!M37)</f>
        <v>14.666666666666666</v>
      </c>
      <c r="G22" s="23">
        <f>VALUE('0807'!M48)</f>
        <v>14</v>
      </c>
      <c r="H22" s="23">
        <f>VALUE('0807'!M58)</f>
        <v>17.666666666666668</v>
      </c>
      <c r="I22" s="23">
        <f>VALUE('0807'!M69)</f>
        <v>12.333333333333334</v>
      </c>
      <c r="J22" s="23">
        <f>'0807'!M79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9B72-1986-4109-9E45-02D1EF49A28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146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63C6-E782-4ABB-9BD6-C2A6AD2C2030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DATE(2026,8,8)</f>
        <v>46242</v>
      </c>
      <c r="E3" s="485"/>
      <c r="F3" s="3" t="s">
        <v>72</v>
      </c>
      <c r="G3" s="486">
        <f>'0808'!E1</f>
        <v>43309</v>
      </c>
      <c r="H3" s="486"/>
      <c r="I3" s="3" t="s">
        <v>2</v>
      </c>
      <c r="J3" s="487" t="e">
        <f>'0808'!G1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'0808'!Z2</f>
        <v>0</v>
      </c>
      <c r="M6" s="496">
        <f>'0808'!AA2</f>
        <v>0</v>
      </c>
      <c r="N6" s="497">
        <f>'0808'!AD2</f>
        <v>0</v>
      </c>
      <c r="O6" s="496">
        <f>'0808'!AE2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VALUE('0808'!L15)</f>
        <v>#N/A</v>
      </c>
      <c r="E13" s="13" t="e">
        <f>VALUE('0808'!L26)</f>
        <v>#N/A</v>
      </c>
      <c r="F13" s="13" t="e">
        <f>VALUE('0808'!L37)</f>
        <v>#N/A</v>
      </c>
      <c r="G13" s="13" t="e">
        <f>VALUE('0808'!L48)</f>
        <v>#N/A</v>
      </c>
      <c r="H13" s="13" t="e">
        <f>VALUE('0808'!L58)</f>
        <v>#N/A</v>
      </c>
      <c r="I13" s="13" t="e">
        <f>VALUE('0808'!L69)</f>
        <v>#N/A</v>
      </c>
      <c r="J13" s="13" t="e">
        <f>'0808'!L79</f>
        <v>#N/A</v>
      </c>
    </row>
    <row r="14" spans="2:15" ht="39.950000000000003" customHeight="1">
      <c r="B14" s="510"/>
      <c r="C14" s="12" t="s">
        <v>100</v>
      </c>
      <c r="D14" s="13">
        <f>VALUE('0808'!O15)</f>
        <v>113.916365108528</v>
      </c>
      <c r="E14" s="13">
        <f>VALUE('0808'!O26)</f>
        <v>132.12003238004002</v>
      </c>
      <c r="F14" s="13">
        <f>VALUE('0808'!O37)</f>
        <v>126.23842229199551</v>
      </c>
      <c r="G14" s="13">
        <f>VALUE('0808'!O48)</f>
        <v>112.05430077169194</v>
      </c>
      <c r="H14" s="13">
        <f>VALUE('0808'!O58)</f>
        <v>102.47461972914017</v>
      </c>
      <c r="I14" s="13">
        <f>VALUE('0808'!O69)</f>
        <v>155.46443341604788</v>
      </c>
      <c r="J14" s="13">
        <f>'0808'!O79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'0808'!S70</f>
        <v>#N/A</v>
      </c>
    </row>
    <row r="16" spans="2:15" ht="17.25" customHeight="1">
      <c r="B16" s="512" t="s">
        <v>101</v>
      </c>
      <c r="C16" s="10" t="s">
        <v>34</v>
      </c>
      <c r="D16" s="16">
        <f>'0808'!T5</f>
        <v>0.29097222222222202</v>
      </c>
      <c r="E16" s="16">
        <f>'0808'!T16</f>
        <v>0.29097222222222202</v>
      </c>
      <c r="F16" s="16">
        <f>'0808'!T27</f>
        <v>0.29166666666666702</v>
      </c>
      <c r="G16" s="16">
        <f>'0808'!T38</f>
        <v>0.33333333333333298</v>
      </c>
      <c r="H16" s="16">
        <f>'0808'!T49</f>
        <v>0.29166666666666702</v>
      </c>
      <c r="I16" s="16">
        <f>'0808'!T59</f>
        <v>0.29166666666666702</v>
      </c>
      <c r="J16" s="17">
        <f>'0808'!T70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'0808'!Z15</f>
        <v>0</v>
      </c>
      <c r="E18" s="387">
        <f>'0808'!Z26</f>
        <v>0</v>
      </c>
      <c r="F18" s="387">
        <f>'0808'!Z37</f>
        <v>0</v>
      </c>
      <c r="G18" s="388">
        <f>'0808'!Z48</f>
        <v>0</v>
      </c>
      <c r="H18" s="388">
        <f>'0808'!Z58</f>
        <v>0</v>
      </c>
      <c r="I18" s="387">
        <f>'0808'!Z69</f>
        <v>0</v>
      </c>
      <c r="J18" s="387">
        <f>'0808'!AA79</f>
        <v>0</v>
      </c>
    </row>
    <row r="19" spans="2:10" ht="17.25" customHeight="1">
      <c r="B19" s="515"/>
      <c r="C19" s="330" t="s">
        <v>37</v>
      </c>
      <c r="D19" s="386">
        <f>'0808'!AA15</f>
        <v>0</v>
      </c>
      <c r="E19" s="387">
        <f>'0808'!AA26</f>
        <v>0</v>
      </c>
      <c r="F19" s="387">
        <f>'0808'!AA37</f>
        <v>0</v>
      </c>
      <c r="G19" s="388">
        <f>'0808'!AA48</f>
        <v>0</v>
      </c>
      <c r="H19" s="388">
        <f>'0808'!AA58</f>
        <v>0</v>
      </c>
      <c r="I19" s="387">
        <f>'0808'!AA69</f>
        <v>0</v>
      </c>
      <c r="J19" s="387">
        <f>'0808'!AB79</f>
        <v>0</v>
      </c>
    </row>
    <row r="20" spans="2:10" ht="17.25" customHeight="1">
      <c r="B20" s="514" t="s">
        <v>103</v>
      </c>
      <c r="C20" s="330" t="s">
        <v>36</v>
      </c>
      <c r="D20" s="386">
        <f>'0808'!AD15</f>
        <v>0</v>
      </c>
      <c r="E20" s="387">
        <f>'0808'!AD26</f>
        <v>0</v>
      </c>
      <c r="F20" s="387">
        <f>'0808'!AD37</f>
        <v>0</v>
      </c>
      <c r="G20" s="388">
        <f>'0808'!AD48</f>
        <v>0</v>
      </c>
      <c r="H20" s="388">
        <f>'0808'!AD58</f>
        <v>0</v>
      </c>
      <c r="I20" s="387">
        <f>'0808'!AD69</f>
        <v>0</v>
      </c>
      <c r="J20" s="387">
        <f>'0808'!AD79</f>
        <v>0</v>
      </c>
    </row>
    <row r="21" spans="2:10" ht="17.25" customHeight="1">
      <c r="B21" s="515"/>
      <c r="C21" s="330" t="s">
        <v>85</v>
      </c>
      <c r="D21" s="386">
        <f>'0808'!AE15</f>
        <v>0</v>
      </c>
      <c r="E21" s="387">
        <f>'0808'!AE26</f>
        <v>0</v>
      </c>
      <c r="F21" s="387">
        <f>'0808'!AE37</f>
        <v>0</v>
      </c>
      <c r="G21" s="388">
        <f>'0808'!AE48</f>
        <v>0</v>
      </c>
      <c r="H21" s="388">
        <f>'0808'!AE58</f>
        <v>0</v>
      </c>
      <c r="I21" s="387">
        <f>'0808'!AE69</f>
        <v>0</v>
      </c>
      <c r="J21" s="387">
        <f>'0808'!AE79</f>
        <v>0</v>
      </c>
    </row>
    <row r="22" spans="2:10" ht="17.25" customHeight="1">
      <c r="B22" s="498" t="s">
        <v>104</v>
      </c>
      <c r="C22" s="499"/>
      <c r="D22" s="23">
        <f>VALUE('0808'!M15)</f>
        <v>15</v>
      </c>
      <c r="E22" s="23">
        <f>VALUE('0808'!M26)</f>
        <v>12.666666666666666</v>
      </c>
      <c r="F22" s="23">
        <f>VALUE('0808'!M37)</f>
        <v>14.666666666666666</v>
      </c>
      <c r="G22" s="23">
        <f>VALUE('0808'!M48)</f>
        <v>14</v>
      </c>
      <c r="H22" s="23">
        <f>VALUE('0808'!M58)</f>
        <v>17.666666666666668</v>
      </c>
      <c r="I22" s="23">
        <f>VALUE('0808'!M69)</f>
        <v>12.333333333333334</v>
      </c>
      <c r="J22" s="23">
        <f>'0808'!M79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A4B1-2A75-4860-9DDB-072A990C918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147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9304-2B21-4DEA-8E84-31D96280D98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DATE(2026,8,9)</f>
        <v>46243</v>
      </c>
      <c r="E3" s="485"/>
      <c r="F3" s="3" t="s">
        <v>72</v>
      </c>
      <c r="G3" s="486">
        <f>'0809'!E1</f>
        <v>43309</v>
      </c>
      <c r="H3" s="486"/>
      <c r="I3" s="3" t="s">
        <v>2</v>
      </c>
      <c r="J3" s="487" t="e">
        <f>'0809'!G1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'0809'!Z2</f>
        <v>0</v>
      </c>
      <c r="M6" s="496">
        <f>'0809'!AA2</f>
        <v>0</v>
      </c>
      <c r="N6" s="497">
        <f>'0809'!AD2</f>
        <v>0</v>
      </c>
      <c r="O6" s="496">
        <f>'0809'!AE2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VALUE('0809'!L15)</f>
        <v>#N/A</v>
      </c>
      <c r="E13" s="13" t="e">
        <f>VALUE('0809'!L26)</f>
        <v>#N/A</v>
      </c>
      <c r="F13" s="13" t="e">
        <f>VALUE('0809'!L37)</f>
        <v>#N/A</v>
      </c>
      <c r="G13" s="13" t="e">
        <f>VALUE('0809'!L48)</f>
        <v>#N/A</v>
      </c>
      <c r="H13" s="13" t="e">
        <f>VALUE('0809'!L58)</f>
        <v>#N/A</v>
      </c>
      <c r="I13" s="13" t="e">
        <f>VALUE('0809'!L69)</f>
        <v>#N/A</v>
      </c>
      <c r="J13" s="13" t="e">
        <f>'0809'!L79</f>
        <v>#N/A</v>
      </c>
    </row>
    <row r="14" spans="2:15" ht="39.950000000000003" customHeight="1">
      <c r="B14" s="510"/>
      <c r="C14" s="12" t="s">
        <v>100</v>
      </c>
      <c r="D14" s="13">
        <f>VALUE('0809'!O15)</f>
        <v>113.916365108528</v>
      </c>
      <c r="E14" s="13">
        <f>VALUE('0809'!O26)</f>
        <v>132.12003238004002</v>
      </c>
      <c r="F14" s="13">
        <f>VALUE('0809'!O37)</f>
        <v>126.23842229199551</v>
      </c>
      <c r="G14" s="13">
        <f>VALUE('0809'!O48)</f>
        <v>112.05430077169194</v>
      </c>
      <c r="H14" s="13">
        <f>VALUE('0809'!O58)</f>
        <v>102.47461972914017</v>
      </c>
      <c r="I14" s="13">
        <f>VALUE('0809'!O69)</f>
        <v>155.46443341604788</v>
      </c>
      <c r="J14" s="13">
        <f>'0809'!O79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'0809'!S70</f>
        <v>#N/A</v>
      </c>
    </row>
    <row r="16" spans="2:15" ht="17.25" customHeight="1">
      <c r="B16" s="512" t="s">
        <v>101</v>
      </c>
      <c r="C16" s="10" t="s">
        <v>34</v>
      </c>
      <c r="D16" s="16">
        <f>'0809'!T5</f>
        <v>0.29097222222222202</v>
      </c>
      <c r="E16" s="16">
        <f>'0809'!T16</f>
        <v>0.29097222222222202</v>
      </c>
      <c r="F16" s="16">
        <f>'0809'!T27</f>
        <v>0.29166666666666702</v>
      </c>
      <c r="G16" s="16">
        <f>'0809'!T38</f>
        <v>0.33333333333333298</v>
      </c>
      <c r="H16" s="16">
        <f>'0809'!T49</f>
        <v>0.29166666666666702</v>
      </c>
      <c r="I16" s="16">
        <f>'0809'!T59</f>
        <v>0.29166666666666702</v>
      </c>
      <c r="J16" s="17">
        <f>'0809'!T70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'0809'!Z15</f>
        <v>0</v>
      </c>
      <c r="E18" s="387">
        <f>'0809'!Z26</f>
        <v>0</v>
      </c>
      <c r="F18" s="387">
        <f>'0809'!Z37</f>
        <v>0</v>
      </c>
      <c r="G18" s="388">
        <f>'0809'!Z48</f>
        <v>0</v>
      </c>
      <c r="H18" s="388">
        <f>'0809'!Z58</f>
        <v>0</v>
      </c>
      <c r="I18" s="387">
        <f>'0809'!Z69</f>
        <v>0</v>
      </c>
      <c r="J18" s="387">
        <f>'0809'!AA79</f>
        <v>0</v>
      </c>
    </row>
    <row r="19" spans="2:10" ht="17.25" customHeight="1">
      <c r="B19" s="515"/>
      <c r="C19" s="330" t="s">
        <v>37</v>
      </c>
      <c r="D19" s="386">
        <f>'0809'!AA15</f>
        <v>0</v>
      </c>
      <c r="E19" s="387">
        <f>'0809'!AA26</f>
        <v>0</v>
      </c>
      <c r="F19" s="387">
        <f>'0809'!AA37</f>
        <v>0</v>
      </c>
      <c r="G19" s="388">
        <f>'0809'!AA48</f>
        <v>0</v>
      </c>
      <c r="H19" s="388">
        <f>'0809'!AA58</f>
        <v>0</v>
      </c>
      <c r="I19" s="387">
        <f>'0809'!AA69</f>
        <v>0</v>
      </c>
      <c r="J19" s="387">
        <f>'0809'!AB79</f>
        <v>0</v>
      </c>
    </row>
    <row r="20" spans="2:10" ht="17.25" customHeight="1">
      <c r="B20" s="514" t="s">
        <v>103</v>
      </c>
      <c r="C20" s="330" t="s">
        <v>36</v>
      </c>
      <c r="D20" s="386">
        <f>'0809'!AD15</f>
        <v>0</v>
      </c>
      <c r="E20" s="387">
        <f>'0809'!AD26</f>
        <v>0</v>
      </c>
      <c r="F20" s="387">
        <f>'0809'!AD37</f>
        <v>0</v>
      </c>
      <c r="G20" s="388">
        <f>'0809'!AD48</f>
        <v>0</v>
      </c>
      <c r="H20" s="388">
        <f>'0809'!AD58</f>
        <v>0</v>
      </c>
      <c r="I20" s="387">
        <f>'0809'!AD69</f>
        <v>0</v>
      </c>
      <c r="J20" s="387">
        <f>'0809'!AD79</f>
        <v>0</v>
      </c>
    </row>
    <row r="21" spans="2:10" ht="17.25" customHeight="1">
      <c r="B21" s="515"/>
      <c r="C21" s="330" t="s">
        <v>85</v>
      </c>
      <c r="D21" s="386">
        <f>'0809'!AE15</f>
        <v>0</v>
      </c>
      <c r="E21" s="387">
        <f>'0809'!AE26</f>
        <v>0</v>
      </c>
      <c r="F21" s="387">
        <f>'0809'!AE37</f>
        <v>0</v>
      </c>
      <c r="G21" s="388">
        <f>'0809'!AE48</f>
        <v>0</v>
      </c>
      <c r="H21" s="388">
        <f>'0809'!AE58</f>
        <v>0</v>
      </c>
      <c r="I21" s="387">
        <f>'0809'!AE69</f>
        <v>0</v>
      </c>
      <c r="J21" s="387">
        <f>'0809'!AE79</f>
        <v>0</v>
      </c>
    </row>
    <row r="22" spans="2:10" ht="17.25" customHeight="1">
      <c r="B22" s="498" t="s">
        <v>104</v>
      </c>
      <c r="C22" s="499"/>
      <c r="D22" s="23">
        <f>VALUE('0809'!M15)</f>
        <v>15</v>
      </c>
      <c r="E22" s="23">
        <f>VALUE('0809'!M26)</f>
        <v>12.666666666666666</v>
      </c>
      <c r="F22" s="23">
        <f>VALUE('0809'!M37)</f>
        <v>14.666666666666666</v>
      </c>
      <c r="G22" s="23">
        <f>VALUE('0809'!M48)</f>
        <v>14</v>
      </c>
      <c r="H22" s="23">
        <f>VALUE('0809'!M58)</f>
        <v>17.666666666666668</v>
      </c>
      <c r="I22" s="23">
        <f>VALUE('0809'!M69)</f>
        <v>12.333333333333334</v>
      </c>
      <c r="J22" s="23">
        <f>'0809'!M79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5A3B-3C51-4862-A5FF-1FC077A6F75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148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51FE-292E-419B-83F1-5EB025771B0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DATE(2026,8,10)</f>
        <v>46244</v>
      </c>
      <c r="E3" s="485"/>
      <c r="F3" s="3" t="s">
        <v>72</v>
      </c>
      <c r="G3" s="486">
        <f>'0810'!E1</f>
        <v>43309</v>
      </c>
      <c r="H3" s="486"/>
      <c r="I3" s="3" t="s">
        <v>2</v>
      </c>
      <c r="J3" s="487" t="e">
        <f>'0810'!G1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'0810'!Z2</f>
        <v>0</v>
      </c>
      <c r="M6" s="496">
        <f>'0810'!AA2</f>
        <v>0</v>
      </c>
      <c r="N6" s="497">
        <f>'0810'!AD2</f>
        <v>0</v>
      </c>
      <c r="O6" s="496">
        <f>'0810'!AE2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VALUE('0810'!L15)</f>
        <v>#N/A</v>
      </c>
      <c r="E13" s="13" t="e">
        <f>VALUE('0810'!L26)</f>
        <v>#N/A</v>
      </c>
      <c r="F13" s="13" t="e">
        <f>VALUE('0810'!L37)</f>
        <v>#N/A</v>
      </c>
      <c r="G13" s="13" t="e">
        <f>VALUE('0810'!L48)</f>
        <v>#N/A</v>
      </c>
      <c r="H13" s="13" t="e">
        <f>VALUE('0810'!L58)</f>
        <v>#N/A</v>
      </c>
      <c r="I13" s="13" t="e">
        <f>VALUE('0810'!L69)</f>
        <v>#N/A</v>
      </c>
      <c r="J13" s="13" t="e">
        <f>'0810'!L79</f>
        <v>#N/A</v>
      </c>
    </row>
    <row r="14" spans="2:15" ht="39.950000000000003" customHeight="1">
      <c r="B14" s="510"/>
      <c r="C14" s="12" t="s">
        <v>100</v>
      </c>
      <c r="D14" s="13">
        <f>VALUE('0810'!O15)</f>
        <v>113.916365108528</v>
      </c>
      <c r="E14" s="13">
        <f>VALUE('0810'!O26)</f>
        <v>132.12003238004002</v>
      </c>
      <c r="F14" s="13">
        <f>VALUE('0810'!O37)</f>
        <v>126.23842229199551</v>
      </c>
      <c r="G14" s="13">
        <f>VALUE('0810'!O48)</f>
        <v>112.05430077169194</v>
      </c>
      <c r="H14" s="13">
        <f>VALUE('0810'!O58)</f>
        <v>102.47461972914017</v>
      </c>
      <c r="I14" s="13">
        <f>VALUE('0810'!O69)</f>
        <v>155.46443341604788</v>
      </c>
      <c r="J14" s="13">
        <f>'0810'!O79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'0810'!S70</f>
        <v>#N/A</v>
      </c>
    </row>
    <row r="16" spans="2:15" ht="17.25" customHeight="1">
      <c r="B16" s="512" t="s">
        <v>101</v>
      </c>
      <c r="C16" s="10" t="s">
        <v>34</v>
      </c>
      <c r="D16" s="16">
        <f>'0810'!T5</f>
        <v>0.29097222222222202</v>
      </c>
      <c r="E16" s="16">
        <f>'0810'!T16</f>
        <v>0.29097222222222202</v>
      </c>
      <c r="F16" s="16">
        <f>'0810'!T27</f>
        <v>0.29166666666666702</v>
      </c>
      <c r="G16" s="16">
        <f>'0810'!T38</f>
        <v>0.33333333333333298</v>
      </c>
      <c r="H16" s="16">
        <f>'0810'!T49</f>
        <v>0.29166666666666702</v>
      </c>
      <c r="I16" s="16">
        <f>'0810'!T59</f>
        <v>0.29166666666666702</v>
      </c>
      <c r="J16" s="17">
        <f>'0810'!T70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'0810'!Z15</f>
        <v>0</v>
      </c>
      <c r="E18" s="387">
        <f>'0810'!Z26</f>
        <v>0</v>
      </c>
      <c r="F18" s="387">
        <f>'0810'!Z37</f>
        <v>0</v>
      </c>
      <c r="G18" s="388">
        <f>'0810'!Z48</f>
        <v>0</v>
      </c>
      <c r="H18" s="388">
        <f>'0810'!Z58</f>
        <v>0</v>
      </c>
      <c r="I18" s="387">
        <f>'0810'!Z69</f>
        <v>0</v>
      </c>
      <c r="J18" s="387">
        <f>'0810'!AA79</f>
        <v>0</v>
      </c>
    </row>
    <row r="19" spans="2:10" ht="17.25" customHeight="1">
      <c r="B19" s="515"/>
      <c r="C19" s="330" t="s">
        <v>37</v>
      </c>
      <c r="D19" s="386">
        <f>'0810'!AA15</f>
        <v>0</v>
      </c>
      <c r="E19" s="387">
        <f>'0810'!AA26</f>
        <v>0</v>
      </c>
      <c r="F19" s="387">
        <f>'0810'!AA37</f>
        <v>0</v>
      </c>
      <c r="G19" s="388">
        <f>'0810'!AA48</f>
        <v>0</v>
      </c>
      <c r="H19" s="388">
        <f>'0810'!AA58</f>
        <v>0</v>
      </c>
      <c r="I19" s="387">
        <f>'0810'!AA69</f>
        <v>0</v>
      </c>
      <c r="J19" s="387">
        <f>'0810'!AB79</f>
        <v>0</v>
      </c>
    </row>
    <row r="20" spans="2:10" ht="17.25" customHeight="1">
      <c r="B20" s="514" t="s">
        <v>103</v>
      </c>
      <c r="C20" s="330" t="s">
        <v>36</v>
      </c>
      <c r="D20" s="386">
        <f>'0810'!AD15</f>
        <v>0</v>
      </c>
      <c r="E20" s="387">
        <f>'0810'!AD26</f>
        <v>0</v>
      </c>
      <c r="F20" s="387">
        <f>'0810'!AD37</f>
        <v>0</v>
      </c>
      <c r="G20" s="388">
        <f>'0810'!AD48</f>
        <v>0</v>
      </c>
      <c r="H20" s="388">
        <f>'0810'!AD58</f>
        <v>0</v>
      </c>
      <c r="I20" s="387">
        <f>'0810'!AD69</f>
        <v>0</v>
      </c>
      <c r="J20" s="387">
        <f>'0810'!AD79</f>
        <v>0</v>
      </c>
    </row>
    <row r="21" spans="2:10" ht="17.25" customHeight="1">
      <c r="B21" s="515"/>
      <c r="C21" s="330" t="s">
        <v>85</v>
      </c>
      <c r="D21" s="386">
        <f>'0810'!AE15</f>
        <v>0</v>
      </c>
      <c r="E21" s="387">
        <f>'0810'!AE26</f>
        <v>0</v>
      </c>
      <c r="F21" s="387">
        <f>'0810'!AE37</f>
        <v>0</v>
      </c>
      <c r="G21" s="388">
        <f>'0810'!AE48</f>
        <v>0</v>
      </c>
      <c r="H21" s="388">
        <f>'0810'!AE58</f>
        <v>0</v>
      </c>
      <c r="I21" s="387">
        <f>'0810'!AE69</f>
        <v>0</v>
      </c>
      <c r="J21" s="387">
        <f>'0810'!AE79</f>
        <v>0</v>
      </c>
    </row>
    <row r="22" spans="2:10" ht="17.25" customHeight="1">
      <c r="B22" s="498" t="s">
        <v>104</v>
      </c>
      <c r="C22" s="499"/>
      <c r="D22" s="23">
        <f>VALUE('0810'!M15)</f>
        <v>15</v>
      </c>
      <c r="E22" s="23">
        <f>VALUE('0810'!M26)</f>
        <v>12.666666666666666</v>
      </c>
      <c r="F22" s="23">
        <f>VALUE('0810'!M37)</f>
        <v>14.666666666666666</v>
      </c>
      <c r="G22" s="23">
        <f>VALUE('0810'!M48)</f>
        <v>14</v>
      </c>
      <c r="H22" s="23">
        <f>VALUE('0810'!M58)</f>
        <v>17.666666666666668</v>
      </c>
      <c r="I22" s="23">
        <f>VALUE('0810'!M69)</f>
        <v>12.333333333333334</v>
      </c>
      <c r="J22" s="23">
        <f>'0810'!M79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C319-6898-4F7D-BA4B-26EF7F8230F5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2" sqref="A2:B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149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A2BA-4979-4CCC-AD00-B3A7B1F2088A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DATE(2026,8,11)</f>
        <v>46245</v>
      </c>
      <c r="E3" s="485"/>
      <c r="F3" s="3" t="s">
        <v>72</v>
      </c>
      <c r="G3" s="486">
        <f>'0811'!E1</f>
        <v>43309</v>
      </c>
      <c r="H3" s="486"/>
      <c r="I3" s="3" t="s">
        <v>2</v>
      </c>
      <c r="J3" s="487" t="e">
        <f>'0811'!G1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'0811'!Z2</f>
        <v>0</v>
      </c>
      <c r="M6" s="496">
        <f>'0811'!AA2</f>
        <v>0</v>
      </c>
      <c r="N6" s="497">
        <f>'0811'!AD2</f>
        <v>0</v>
      </c>
      <c r="O6" s="496">
        <f>'0811'!AE2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VALUE('0811'!L15)</f>
        <v>#N/A</v>
      </c>
      <c r="E13" s="13" t="e">
        <f>VALUE('0811'!L26)</f>
        <v>#N/A</v>
      </c>
      <c r="F13" s="13" t="e">
        <f>VALUE('0811'!L37)</f>
        <v>#N/A</v>
      </c>
      <c r="G13" s="13" t="e">
        <f>VALUE('0811'!L48)</f>
        <v>#N/A</v>
      </c>
      <c r="H13" s="13" t="e">
        <f>VALUE('0811'!L58)</f>
        <v>#N/A</v>
      </c>
      <c r="I13" s="13" t="e">
        <f>VALUE('0811'!L69)</f>
        <v>#N/A</v>
      </c>
      <c r="J13" s="13" t="e">
        <f>'0811'!L79</f>
        <v>#N/A</v>
      </c>
    </row>
    <row r="14" spans="2:15" ht="39.950000000000003" customHeight="1">
      <c r="B14" s="510"/>
      <c r="C14" s="12" t="s">
        <v>100</v>
      </c>
      <c r="D14" s="13">
        <f>VALUE('0811'!O15)</f>
        <v>113.916365108528</v>
      </c>
      <c r="E14" s="13">
        <f>VALUE('0811'!O26)</f>
        <v>132.12003238004002</v>
      </c>
      <c r="F14" s="13">
        <f>VALUE('0811'!O37)</f>
        <v>126.23842229199551</v>
      </c>
      <c r="G14" s="13">
        <f>VALUE('0811'!O48)</f>
        <v>112.05430077169194</v>
      </c>
      <c r="H14" s="13">
        <f>VALUE('0811'!O58)</f>
        <v>102.47461972914017</v>
      </c>
      <c r="I14" s="13">
        <f>VALUE('0811'!O69)</f>
        <v>155.46443341604788</v>
      </c>
      <c r="J14" s="13">
        <f>'0811'!O79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'0811'!S70</f>
        <v>#N/A</v>
      </c>
    </row>
    <row r="16" spans="2:15" ht="17.25" customHeight="1">
      <c r="B16" s="512" t="s">
        <v>101</v>
      </c>
      <c r="C16" s="10" t="s">
        <v>34</v>
      </c>
      <c r="D16" s="16">
        <f>'0811'!T5</f>
        <v>0.29097222222222202</v>
      </c>
      <c r="E16" s="16">
        <f>'0811'!T16</f>
        <v>0.29097222222222202</v>
      </c>
      <c r="F16" s="16">
        <f>'0811'!T27</f>
        <v>0.29166666666666702</v>
      </c>
      <c r="G16" s="16">
        <f>'0811'!T38</f>
        <v>0.33333333333333298</v>
      </c>
      <c r="H16" s="16">
        <f>'0811'!T49</f>
        <v>0.29166666666666702</v>
      </c>
      <c r="I16" s="16">
        <f>'0811'!T59</f>
        <v>0.29166666666666702</v>
      </c>
      <c r="J16" s="17">
        <f>'0811'!T70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'0811'!Z15</f>
        <v>0</v>
      </c>
      <c r="E18" s="387">
        <f>'0811'!Z26</f>
        <v>0</v>
      </c>
      <c r="F18" s="387">
        <f>'0811'!Z37</f>
        <v>0</v>
      </c>
      <c r="G18" s="388">
        <f>'0811'!Z48</f>
        <v>0</v>
      </c>
      <c r="H18" s="388">
        <f>'0811'!Z58</f>
        <v>0</v>
      </c>
      <c r="I18" s="387">
        <f>'0811'!Z69</f>
        <v>0</v>
      </c>
      <c r="J18" s="387">
        <f>'0811'!AA79</f>
        <v>0</v>
      </c>
    </row>
    <row r="19" spans="2:10" ht="17.25" customHeight="1">
      <c r="B19" s="515"/>
      <c r="C19" s="330" t="s">
        <v>37</v>
      </c>
      <c r="D19" s="386">
        <f>'0811'!AA15</f>
        <v>0</v>
      </c>
      <c r="E19" s="387">
        <f>'0811'!AA26</f>
        <v>0</v>
      </c>
      <c r="F19" s="387">
        <f>'0811'!AA37</f>
        <v>0</v>
      </c>
      <c r="G19" s="388">
        <f>'0811'!AA48</f>
        <v>0</v>
      </c>
      <c r="H19" s="388">
        <f>'0811'!AA58</f>
        <v>0</v>
      </c>
      <c r="I19" s="387">
        <f>'0811'!AA69</f>
        <v>0</v>
      </c>
      <c r="J19" s="387">
        <f>'0811'!AB79</f>
        <v>0</v>
      </c>
    </row>
    <row r="20" spans="2:10" ht="17.25" customHeight="1">
      <c r="B20" s="514" t="s">
        <v>103</v>
      </c>
      <c r="C20" s="330" t="s">
        <v>36</v>
      </c>
      <c r="D20" s="386">
        <f>'0811'!AD15</f>
        <v>0</v>
      </c>
      <c r="E20" s="387">
        <f>'0811'!AD26</f>
        <v>0</v>
      </c>
      <c r="F20" s="387">
        <f>'0811'!AD37</f>
        <v>0</v>
      </c>
      <c r="G20" s="388">
        <f>'0811'!AD48</f>
        <v>0</v>
      </c>
      <c r="H20" s="388">
        <f>'0811'!AD58</f>
        <v>0</v>
      </c>
      <c r="I20" s="387">
        <f>'0811'!AD69</f>
        <v>0</v>
      </c>
      <c r="J20" s="387">
        <f>'0811'!AD79</f>
        <v>0</v>
      </c>
    </row>
    <row r="21" spans="2:10" ht="17.25" customHeight="1">
      <c r="B21" s="515"/>
      <c r="C21" s="330" t="s">
        <v>85</v>
      </c>
      <c r="D21" s="386">
        <f>'0811'!AE15</f>
        <v>0</v>
      </c>
      <c r="E21" s="387">
        <f>'0811'!AE26</f>
        <v>0</v>
      </c>
      <c r="F21" s="387">
        <f>'0811'!AE37</f>
        <v>0</v>
      </c>
      <c r="G21" s="388">
        <f>'0811'!AE48</f>
        <v>0</v>
      </c>
      <c r="H21" s="388">
        <f>'0811'!AE58</f>
        <v>0</v>
      </c>
      <c r="I21" s="387">
        <f>'0811'!AE69</f>
        <v>0</v>
      </c>
      <c r="J21" s="387">
        <f>'0811'!AE79</f>
        <v>0</v>
      </c>
    </row>
    <row r="22" spans="2:10" ht="17.25" customHeight="1">
      <c r="B22" s="498" t="s">
        <v>104</v>
      </c>
      <c r="C22" s="499"/>
      <c r="D22" s="23">
        <f>VALUE('0811'!M15)</f>
        <v>15</v>
      </c>
      <c r="E22" s="23">
        <f>VALUE('0811'!M26)</f>
        <v>12.666666666666666</v>
      </c>
      <c r="F22" s="23">
        <f>VALUE('0811'!M37)</f>
        <v>14.666666666666666</v>
      </c>
      <c r="G22" s="23">
        <f>VALUE('0811'!M48)</f>
        <v>14</v>
      </c>
      <c r="H22" s="23">
        <f>VALUE('0811'!M58)</f>
        <v>17.666666666666668</v>
      </c>
      <c r="I22" s="23">
        <f>VALUE('0811'!M69)</f>
        <v>12.333333333333334</v>
      </c>
      <c r="J22" s="23">
        <f>'0811'!M79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857F-0D35-4505-B27D-4B9E69ED385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150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14AC-47BC-4B90-A20F-8E4C00B64304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DATE(2026,8,12)</f>
        <v>46246</v>
      </c>
      <c r="E3" s="485"/>
      <c r="F3" s="3" t="s">
        <v>72</v>
      </c>
      <c r="G3" s="486">
        <f>'0812'!E1</f>
        <v>43309</v>
      </c>
      <c r="H3" s="486"/>
      <c r="I3" s="3" t="s">
        <v>2</v>
      </c>
      <c r="J3" s="487" t="e">
        <f>'0812'!G1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'0812'!Z2</f>
        <v>0</v>
      </c>
      <c r="M6" s="496">
        <f>'0812'!AA2</f>
        <v>0</v>
      </c>
      <c r="N6" s="497">
        <f>'0812'!AD2</f>
        <v>0</v>
      </c>
      <c r="O6" s="496">
        <f>'0812'!AE2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VALUE('0812'!L15)</f>
        <v>#N/A</v>
      </c>
      <c r="E13" s="13" t="e">
        <f>VALUE('0812'!L26)</f>
        <v>#N/A</v>
      </c>
      <c r="F13" s="13" t="e">
        <f>VALUE('0812'!L37)</f>
        <v>#N/A</v>
      </c>
      <c r="G13" s="13" t="e">
        <f>VALUE('0812'!L48)</f>
        <v>#N/A</v>
      </c>
      <c r="H13" s="13" t="e">
        <f>VALUE('0812'!L58)</f>
        <v>#N/A</v>
      </c>
      <c r="I13" s="13" t="e">
        <f>VALUE('0812'!L69)</f>
        <v>#N/A</v>
      </c>
      <c r="J13" s="13" t="e">
        <f>'0812'!L79</f>
        <v>#N/A</v>
      </c>
    </row>
    <row r="14" spans="2:15" ht="39.950000000000003" customHeight="1">
      <c r="B14" s="510"/>
      <c r="C14" s="12" t="s">
        <v>100</v>
      </c>
      <c r="D14" s="13">
        <f>VALUE('0812'!O15)</f>
        <v>113.916365108528</v>
      </c>
      <c r="E14" s="13">
        <f>VALUE('0812'!O26)</f>
        <v>132.12003238004002</v>
      </c>
      <c r="F14" s="13">
        <f>VALUE('0812'!O37)</f>
        <v>126.23842229199551</v>
      </c>
      <c r="G14" s="13">
        <f>VALUE('0812'!O48)</f>
        <v>112.05430077169194</v>
      </c>
      <c r="H14" s="13">
        <f>VALUE('0812'!O58)</f>
        <v>102.47461972914017</v>
      </c>
      <c r="I14" s="13">
        <f>VALUE('0812'!O69)</f>
        <v>155.46443341604788</v>
      </c>
      <c r="J14" s="13">
        <f>'0812'!O79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'0812'!S70</f>
        <v>#N/A</v>
      </c>
    </row>
    <row r="16" spans="2:15" ht="17.25" customHeight="1">
      <c r="B16" s="512" t="s">
        <v>101</v>
      </c>
      <c r="C16" s="10" t="s">
        <v>34</v>
      </c>
      <c r="D16" s="16">
        <f>'0812'!T5</f>
        <v>0.29097222222222202</v>
      </c>
      <c r="E16" s="16">
        <f>'0812'!T16</f>
        <v>0.29097222222222202</v>
      </c>
      <c r="F16" s="16">
        <f>'0812'!T27</f>
        <v>0.29166666666666702</v>
      </c>
      <c r="G16" s="16">
        <f>'0812'!T38</f>
        <v>0.33333333333333298</v>
      </c>
      <c r="H16" s="16">
        <f>'0812'!T49</f>
        <v>0.29166666666666702</v>
      </c>
      <c r="I16" s="16">
        <f>'0812'!T59</f>
        <v>0.29166666666666702</v>
      </c>
      <c r="J16" s="17">
        <f>'0812'!T70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'0812'!Z15</f>
        <v>0</v>
      </c>
      <c r="E18" s="387">
        <f>'0812'!Z26</f>
        <v>0</v>
      </c>
      <c r="F18" s="387">
        <f>'0812'!Z37</f>
        <v>0</v>
      </c>
      <c r="G18" s="388">
        <f>'0812'!Z48</f>
        <v>0</v>
      </c>
      <c r="H18" s="388">
        <f>'0812'!Z58</f>
        <v>0</v>
      </c>
      <c r="I18" s="387">
        <f>'0812'!Z69</f>
        <v>0</v>
      </c>
      <c r="J18" s="387">
        <f>'0812'!AA79</f>
        <v>0</v>
      </c>
    </row>
    <row r="19" spans="2:10" ht="17.25" customHeight="1">
      <c r="B19" s="515"/>
      <c r="C19" s="330" t="s">
        <v>37</v>
      </c>
      <c r="D19" s="386">
        <f>'0812'!AA15</f>
        <v>0</v>
      </c>
      <c r="E19" s="387">
        <f>'0812'!AA26</f>
        <v>0</v>
      </c>
      <c r="F19" s="387">
        <f>'0812'!AA37</f>
        <v>0</v>
      </c>
      <c r="G19" s="388">
        <f>'0812'!AA48</f>
        <v>0</v>
      </c>
      <c r="H19" s="388">
        <f>'0812'!AA58</f>
        <v>0</v>
      </c>
      <c r="I19" s="387">
        <f>'0812'!AA69</f>
        <v>0</v>
      </c>
      <c r="J19" s="387">
        <f>'0812'!AB79</f>
        <v>0</v>
      </c>
    </row>
    <row r="20" spans="2:10" ht="17.25" customHeight="1">
      <c r="B20" s="514" t="s">
        <v>103</v>
      </c>
      <c r="C20" s="330" t="s">
        <v>36</v>
      </c>
      <c r="D20" s="386">
        <f>'0812'!AD15</f>
        <v>0</v>
      </c>
      <c r="E20" s="387">
        <f>'0812'!AD26</f>
        <v>0</v>
      </c>
      <c r="F20" s="387">
        <f>'0812'!AD37</f>
        <v>0</v>
      </c>
      <c r="G20" s="388">
        <f>'0812'!AD48</f>
        <v>0</v>
      </c>
      <c r="H20" s="388">
        <f>'0812'!AD58</f>
        <v>0</v>
      </c>
      <c r="I20" s="387">
        <f>'0812'!AD69</f>
        <v>0</v>
      </c>
      <c r="J20" s="387">
        <f>'0812'!AD79</f>
        <v>0</v>
      </c>
    </row>
    <row r="21" spans="2:10" ht="17.25" customHeight="1">
      <c r="B21" s="515"/>
      <c r="C21" s="330" t="s">
        <v>85</v>
      </c>
      <c r="D21" s="386">
        <f>'0812'!AE15</f>
        <v>0</v>
      </c>
      <c r="E21" s="387">
        <f>'0812'!AE26</f>
        <v>0</v>
      </c>
      <c r="F21" s="387">
        <f>'0812'!AE37</f>
        <v>0</v>
      </c>
      <c r="G21" s="388">
        <f>'0812'!AE48</f>
        <v>0</v>
      </c>
      <c r="H21" s="388">
        <f>'0812'!AE58</f>
        <v>0</v>
      </c>
      <c r="I21" s="387">
        <f>'0812'!AE69</f>
        <v>0</v>
      </c>
      <c r="J21" s="387">
        <f>'0812'!AE79</f>
        <v>0</v>
      </c>
    </row>
    <row r="22" spans="2:10" ht="17.25" customHeight="1">
      <c r="B22" s="498" t="s">
        <v>104</v>
      </c>
      <c r="C22" s="499"/>
      <c r="D22" s="23">
        <f>VALUE('0812'!M15)</f>
        <v>15</v>
      </c>
      <c r="E22" s="23">
        <f>VALUE('0812'!M26)</f>
        <v>12.666666666666666</v>
      </c>
      <c r="F22" s="23">
        <f>VALUE('0812'!M37)</f>
        <v>14.666666666666666</v>
      </c>
      <c r="G22" s="23">
        <f>VALUE('0812'!M48)</f>
        <v>14</v>
      </c>
      <c r="H22" s="23">
        <f>VALUE('0812'!M58)</f>
        <v>17.666666666666668</v>
      </c>
      <c r="I22" s="23">
        <f>VALUE('0812'!M69)</f>
        <v>12.333333333333334</v>
      </c>
      <c r="J22" s="23">
        <f>'0812'!M79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E754-04F4-4A9D-976E-CAE624B21225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151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3939-EAA7-44B9-A102-B9594D50D06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DATE(2026,8,13)</f>
        <v>46247</v>
      </c>
      <c r="E3" s="485"/>
      <c r="F3" s="3" t="s">
        <v>72</v>
      </c>
      <c r="G3" s="486">
        <f>'0813'!E1</f>
        <v>43309</v>
      </c>
      <c r="H3" s="486"/>
      <c r="I3" s="3" t="s">
        <v>2</v>
      </c>
      <c r="J3" s="487" t="e">
        <f>'0813'!G1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'0813'!Z2</f>
        <v>0</v>
      </c>
      <c r="M6" s="496">
        <f>'0813'!AA2</f>
        <v>0</v>
      </c>
      <c r="N6" s="497">
        <f>'0813'!AD2</f>
        <v>0</v>
      </c>
      <c r="O6" s="496">
        <f>'0813'!AE2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VALUE('0813'!L15)</f>
        <v>#N/A</v>
      </c>
      <c r="E13" s="13" t="e">
        <f>VALUE('0813'!L26)</f>
        <v>#N/A</v>
      </c>
      <c r="F13" s="13" t="e">
        <f>VALUE('0813'!L37)</f>
        <v>#N/A</v>
      </c>
      <c r="G13" s="13" t="e">
        <f>VALUE('0813'!L48)</f>
        <v>#N/A</v>
      </c>
      <c r="H13" s="13" t="e">
        <f>VALUE('0813'!L58)</f>
        <v>#N/A</v>
      </c>
      <c r="I13" s="13" t="e">
        <f>VALUE('0813'!L69)</f>
        <v>#N/A</v>
      </c>
      <c r="J13" s="13" t="e">
        <f>'0813'!L79</f>
        <v>#N/A</v>
      </c>
    </row>
    <row r="14" spans="2:15" ht="39.950000000000003" customHeight="1">
      <c r="B14" s="510"/>
      <c r="C14" s="12" t="s">
        <v>100</v>
      </c>
      <c r="D14" s="13">
        <f>VALUE('0813'!O15)</f>
        <v>113.916365108528</v>
      </c>
      <c r="E14" s="13">
        <f>VALUE('0813'!O26)</f>
        <v>132.12003238004002</v>
      </c>
      <c r="F14" s="13">
        <f>VALUE('0813'!O37)</f>
        <v>126.23842229199551</v>
      </c>
      <c r="G14" s="13">
        <f>VALUE('0813'!O48)</f>
        <v>112.05430077169194</v>
      </c>
      <c r="H14" s="13">
        <f>VALUE('0813'!O58)</f>
        <v>102.47461972914017</v>
      </c>
      <c r="I14" s="13">
        <f>VALUE('0813'!O69)</f>
        <v>155.46443341604788</v>
      </c>
      <c r="J14" s="13">
        <f>'0813'!O79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'0813'!S70</f>
        <v>#N/A</v>
      </c>
    </row>
    <row r="16" spans="2:15" ht="17.25" customHeight="1">
      <c r="B16" s="512" t="s">
        <v>101</v>
      </c>
      <c r="C16" s="10" t="s">
        <v>34</v>
      </c>
      <c r="D16" s="16">
        <f>'0813'!T5</f>
        <v>0.29097222222222202</v>
      </c>
      <c r="E16" s="16">
        <f>'0813'!T16</f>
        <v>0.29097222222222202</v>
      </c>
      <c r="F16" s="16">
        <f>'0813'!T27</f>
        <v>0.29166666666666702</v>
      </c>
      <c r="G16" s="16">
        <f>'0813'!T38</f>
        <v>0.33333333333333298</v>
      </c>
      <c r="H16" s="16">
        <f>'0813'!T49</f>
        <v>0.29166666666666702</v>
      </c>
      <c r="I16" s="16">
        <f>'0813'!T59</f>
        <v>0.29166666666666702</v>
      </c>
      <c r="J16" s="17">
        <f>'0813'!T70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'0813'!Z15</f>
        <v>0</v>
      </c>
      <c r="E18" s="387">
        <f>'0813'!Z26</f>
        <v>0</v>
      </c>
      <c r="F18" s="387">
        <f>'0813'!Z37</f>
        <v>0</v>
      </c>
      <c r="G18" s="388">
        <f>'0813'!Z48</f>
        <v>0</v>
      </c>
      <c r="H18" s="388">
        <f>'0813'!Z58</f>
        <v>0</v>
      </c>
      <c r="I18" s="387">
        <f>'0813'!Z69</f>
        <v>0</v>
      </c>
      <c r="J18" s="387">
        <f>'0813'!AA79</f>
        <v>0</v>
      </c>
    </row>
    <row r="19" spans="2:10" ht="17.25" customHeight="1">
      <c r="B19" s="515"/>
      <c r="C19" s="330" t="s">
        <v>37</v>
      </c>
      <c r="D19" s="386">
        <f>'0813'!AA15</f>
        <v>0</v>
      </c>
      <c r="E19" s="387">
        <f>'0813'!AA26</f>
        <v>0</v>
      </c>
      <c r="F19" s="387">
        <f>'0813'!AA37</f>
        <v>0</v>
      </c>
      <c r="G19" s="388">
        <f>'0813'!AA48</f>
        <v>0</v>
      </c>
      <c r="H19" s="388">
        <f>'0813'!AA58</f>
        <v>0</v>
      </c>
      <c r="I19" s="387">
        <f>'0813'!AA69</f>
        <v>0</v>
      </c>
      <c r="J19" s="387">
        <f>'0813'!AB79</f>
        <v>0</v>
      </c>
    </row>
    <row r="20" spans="2:10" ht="17.25" customHeight="1">
      <c r="B20" s="514" t="s">
        <v>103</v>
      </c>
      <c r="C20" s="330" t="s">
        <v>36</v>
      </c>
      <c r="D20" s="386">
        <f>'0813'!AD15</f>
        <v>0</v>
      </c>
      <c r="E20" s="387">
        <f>'0813'!AD26</f>
        <v>0</v>
      </c>
      <c r="F20" s="387">
        <f>'0813'!AD37</f>
        <v>0</v>
      </c>
      <c r="G20" s="388">
        <f>'0813'!AD48</f>
        <v>0</v>
      </c>
      <c r="H20" s="388">
        <f>'0813'!AD58</f>
        <v>0</v>
      </c>
      <c r="I20" s="387">
        <f>'0813'!AD69</f>
        <v>0</v>
      </c>
      <c r="J20" s="387">
        <f>'0813'!AD79</f>
        <v>0</v>
      </c>
    </row>
    <row r="21" spans="2:10" ht="17.25" customHeight="1">
      <c r="B21" s="515"/>
      <c r="C21" s="330" t="s">
        <v>85</v>
      </c>
      <c r="D21" s="386">
        <f>'0813'!AE15</f>
        <v>0</v>
      </c>
      <c r="E21" s="387">
        <f>'0813'!AE26</f>
        <v>0</v>
      </c>
      <c r="F21" s="387">
        <f>'0813'!AE37</f>
        <v>0</v>
      </c>
      <c r="G21" s="388">
        <f>'0813'!AE48</f>
        <v>0</v>
      </c>
      <c r="H21" s="388">
        <f>'0813'!AE58</f>
        <v>0</v>
      </c>
      <c r="I21" s="387">
        <f>'0813'!AE69</f>
        <v>0</v>
      </c>
      <c r="J21" s="387">
        <f>'0813'!AE79</f>
        <v>0</v>
      </c>
    </row>
    <row r="22" spans="2:10" ht="17.25" customHeight="1">
      <c r="B22" s="498" t="s">
        <v>104</v>
      </c>
      <c r="C22" s="499"/>
      <c r="D22" s="23">
        <f>VALUE('0813'!M15)</f>
        <v>15</v>
      </c>
      <c r="E22" s="23">
        <f>VALUE('0813'!M26)</f>
        <v>12.666666666666666</v>
      </c>
      <c r="F22" s="23">
        <f>VALUE('0813'!M37)</f>
        <v>14.666666666666666</v>
      </c>
      <c r="G22" s="23">
        <f>VALUE('0813'!M48)</f>
        <v>14</v>
      </c>
      <c r="H22" s="23">
        <f>VALUE('0813'!M58)</f>
        <v>17.666666666666668</v>
      </c>
      <c r="I22" s="23">
        <f>VALUE('0813'!M69)</f>
        <v>12.333333333333334</v>
      </c>
      <c r="J22" s="23">
        <f>'0813'!M79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17C-1305-4E38-8713-FF18945373C0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152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1EFA-8577-4BA2-862B-EDDDA1A549A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DATE(2026,8,14)</f>
        <v>46248</v>
      </c>
      <c r="E3" s="485"/>
      <c r="F3" s="3" t="s">
        <v>72</v>
      </c>
      <c r="G3" s="486">
        <f>'0814'!E1</f>
        <v>43309</v>
      </c>
      <c r="H3" s="486"/>
      <c r="I3" s="3" t="s">
        <v>2</v>
      </c>
      <c r="J3" s="487" t="e">
        <f>'0814'!G1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'0814'!Z2</f>
        <v>0</v>
      </c>
      <c r="M6" s="496">
        <f>'0814'!AA2</f>
        <v>0</v>
      </c>
      <c r="N6" s="497">
        <f>'0814'!AD2</f>
        <v>0</v>
      </c>
      <c r="O6" s="496">
        <f>'0814'!AE2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VALUE('0814'!L15)</f>
        <v>#N/A</v>
      </c>
      <c r="E13" s="13" t="e">
        <f>VALUE('0814'!L26)</f>
        <v>#N/A</v>
      </c>
      <c r="F13" s="13" t="e">
        <f>VALUE('0814'!L37)</f>
        <v>#N/A</v>
      </c>
      <c r="G13" s="13" t="e">
        <f>VALUE('0814'!L48)</f>
        <v>#N/A</v>
      </c>
      <c r="H13" s="13" t="e">
        <f>VALUE('0814'!L58)</f>
        <v>#N/A</v>
      </c>
      <c r="I13" s="13" t="e">
        <f>VALUE('0814'!L69)</f>
        <v>#N/A</v>
      </c>
      <c r="J13" s="13" t="e">
        <f>'0814'!L79</f>
        <v>#N/A</v>
      </c>
    </row>
    <row r="14" spans="2:15" ht="39.950000000000003" customHeight="1">
      <c r="B14" s="510"/>
      <c r="C14" s="12" t="s">
        <v>100</v>
      </c>
      <c r="D14" s="13">
        <f>VALUE('0814'!O15)</f>
        <v>113.916365108528</v>
      </c>
      <c r="E14" s="13">
        <f>VALUE('0814'!O26)</f>
        <v>132.12003238004002</v>
      </c>
      <c r="F14" s="13">
        <f>VALUE('0814'!O37)</f>
        <v>126.23842229199551</v>
      </c>
      <c r="G14" s="13">
        <f>VALUE('0814'!O48)</f>
        <v>112.05430077169194</v>
      </c>
      <c r="H14" s="13">
        <f>VALUE('0814'!O58)</f>
        <v>102.47461972914017</v>
      </c>
      <c r="I14" s="13">
        <f>VALUE('0814'!O69)</f>
        <v>155.46443341604788</v>
      </c>
      <c r="J14" s="13">
        <f>'0814'!O79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'0814'!S70</f>
        <v>#N/A</v>
      </c>
    </row>
    <row r="16" spans="2:15" ht="17.25" customHeight="1">
      <c r="B16" s="512" t="s">
        <v>101</v>
      </c>
      <c r="C16" s="10" t="s">
        <v>34</v>
      </c>
      <c r="D16" s="16">
        <f>'0814'!T5</f>
        <v>0.29097222222222202</v>
      </c>
      <c r="E16" s="16">
        <f>'0814'!T16</f>
        <v>0.29097222222222202</v>
      </c>
      <c r="F16" s="16">
        <f>'0814'!T27</f>
        <v>0.29166666666666702</v>
      </c>
      <c r="G16" s="16">
        <f>'0814'!T38</f>
        <v>0.33333333333333298</v>
      </c>
      <c r="H16" s="16">
        <f>'0814'!T49</f>
        <v>0.29166666666666702</v>
      </c>
      <c r="I16" s="16">
        <f>'0814'!T59</f>
        <v>0.29166666666666702</v>
      </c>
      <c r="J16" s="17">
        <f>'0814'!T70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'0814'!Z15</f>
        <v>0</v>
      </c>
      <c r="E18" s="387">
        <f>'0814'!Z26</f>
        <v>0</v>
      </c>
      <c r="F18" s="387">
        <f>'0814'!Z37</f>
        <v>0</v>
      </c>
      <c r="G18" s="388">
        <f>'0814'!Z48</f>
        <v>0</v>
      </c>
      <c r="H18" s="388">
        <f>'0814'!Z58</f>
        <v>0</v>
      </c>
      <c r="I18" s="387">
        <f>'0814'!Z69</f>
        <v>0</v>
      </c>
      <c r="J18" s="387">
        <f>'0814'!AA79</f>
        <v>0</v>
      </c>
    </row>
    <row r="19" spans="2:10" ht="17.25" customHeight="1">
      <c r="B19" s="515"/>
      <c r="C19" s="330" t="s">
        <v>37</v>
      </c>
      <c r="D19" s="386">
        <f>'0814'!AA15</f>
        <v>0</v>
      </c>
      <c r="E19" s="387">
        <f>'0814'!AA26</f>
        <v>0</v>
      </c>
      <c r="F19" s="387">
        <f>'0814'!AA37</f>
        <v>0</v>
      </c>
      <c r="G19" s="388">
        <f>'0814'!AA48</f>
        <v>0</v>
      </c>
      <c r="H19" s="388">
        <f>'0814'!AA58</f>
        <v>0</v>
      </c>
      <c r="I19" s="387">
        <f>'0814'!AA69</f>
        <v>0</v>
      </c>
      <c r="J19" s="387">
        <f>'0814'!AB79</f>
        <v>0</v>
      </c>
    </row>
    <row r="20" spans="2:10" ht="17.25" customHeight="1">
      <c r="B20" s="514" t="s">
        <v>103</v>
      </c>
      <c r="C20" s="330" t="s">
        <v>36</v>
      </c>
      <c r="D20" s="386">
        <f>'0814'!AD15</f>
        <v>0</v>
      </c>
      <c r="E20" s="387">
        <f>'0814'!AD26</f>
        <v>0</v>
      </c>
      <c r="F20" s="387">
        <f>'0814'!AD37</f>
        <v>0</v>
      </c>
      <c r="G20" s="388">
        <f>'0814'!AD48</f>
        <v>0</v>
      </c>
      <c r="H20" s="388">
        <f>'0814'!AD58</f>
        <v>0</v>
      </c>
      <c r="I20" s="387">
        <f>'0814'!AD69</f>
        <v>0</v>
      </c>
      <c r="J20" s="387">
        <f>'0814'!AD79</f>
        <v>0</v>
      </c>
    </row>
    <row r="21" spans="2:10" ht="17.25" customHeight="1">
      <c r="B21" s="515"/>
      <c r="C21" s="330" t="s">
        <v>85</v>
      </c>
      <c r="D21" s="386">
        <f>'0814'!AE15</f>
        <v>0</v>
      </c>
      <c r="E21" s="387">
        <f>'0814'!AE26</f>
        <v>0</v>
      </c>
      <c r="F21" s="387">
        <f>'0814'!AE37</f>
        <v>0</v>
      </c>
      <c r="G21" s="388">
        <f>'0814'!AE48</f>
        <v>0</v>
      </c>
      <c r="H21" s="388">
        <f>'0814'!AE58</f>
        <v>0</v>
      </c>
      <c r="I21" s="387">
        <f>'0814'!AE69</f>
        <v>0</v>
      </c>
      <c r="J21" s="387">
        <f>'0814'!AE79</f>
        <v>0</v>
      </c>
    </row>
    <row r="22" spans="2:10" ht="17.25" customHeight="1">
      <c r="B22" s="498" t="s">
        <v>104</v>
      </c>
      <c r="C22" s="499"/>
      <c r="D22" s="23">
        <f>VALUE('0814'!M15)</f>
        <v>15</v>
      </c>
      <c r="E22" s="23">
        <f>VALUE('0814'!M26)</f>
        <v>12.666666666666666</v>
      </c>
      <c r="F22" s="23">
        <f>VALUE('0814'!M37)</f>
        <v>14.666666666666666</v>
      </c>
      <c r="G22" s="23">
        <f>VALUE('0814'!M48)</f>
        <v>14</v>
      </c>
      <c r="H22" s="23">
        <f>VALUE('0814'!M58)</f>
        <v>17.666666666666668</v>
      </c>
      <c r="I22" s="23">
        <f>VALUE('0814'!M69)</f>
        <v>12.333333333333334</v>
      </c>
      <c r="J22" s="23">
        <f>'0814'!M79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EEF2-45F2-437B-BA0B-5ABCA889EBF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153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5690-749C-479F-B826-E2AB661A911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DATE(2026,8,15)</f>
        <v>46249</v>
      </c>
      <c r="E3" s="485"/>
      <c r="F3" s="3" t="s">
        <v>72</v>
      </c>
      <c r="G3" s="486">
        <f>'0815'!E1</f>
        <v>43309</v>
      </c>
      <c r="H3" s="486"/>
      <c r="I3" s="3" t="s">
        <v>2</v>
      </c>
      <c r="J3" s="487" t="e">
        <f>'0815'!G1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'0815'!Z2</f>
        <v>0</v>
      </c>
      <c r="M6" s="496">
        <f>'0815'!AA2</f>
        <v>0</v>
      </c>
      <c r="N6" s="497">
        <f>'0815'!AD2</f>
        <v>0</v>
      </c>
      <c r="O6" s="496">
        <f>'0815'!AE2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VALUE('0815'!L15)</f>
        <v>#N/A</v>
      </c>
      <c r="E13" s="13" t="e">
        <f>VALUE('0815'!L26)</f>
        <v>#N/A</v>
      </c>
      <c r="F13" s="13" t="e">
        <f>VALUE('0815'!L37)</f>
        <v>#N/A</v>
      </c>
      <c r="G13" s="13" t="e">
        <f>VALUE('0815'!L48)</f>
        <v>#N/A</v>
      </c>
      <c r="H13" s="13" t="e">
        <f>VALUE('0815'!L58)</f>
        <v>#N/A</v>
      </c>
      <c r="I13" s="13" t="e">
        <f>VALUE('0815'!L69)</f>
        <v>#N/A</v>
      </c>
      <c r="J13" s="13" t="e">
        <f>'0815'!L79</f>
        <v>#N/A</v>
      </c>
    </row>
    <row r="14" spans="2:15" ht="39.950000000000003" customHeight="1">
      <c r="B14" s="510"/>
      <c r="C14" s="12" t="s">
        <v>100</v>
      </c>
      <c r="D14" s="13">
        <f>VALUE('0815'!O15)</f>
        <v>113.916365108528</v>
      </c>
      <c r="E14" s="13">
        <f>VALUE('0815'!O26)</f>
        <v>132.12003238004002</v>
      </c>
      <c r="F14" s="13">
        <f>VALUE('0815'!O37)</f>
        <v>126.23842229199551</v>
      </c>
      <c r="G14" s="13">
        <f>VALUE('0815'!O48)</f>
        <v>112.05430077169194</v>
      </c>
      <c r="H14" s="13">
        <f>VALUE('0815'!O58)</f>
        <v>102.47461972914017</v>
      </c>
      <c r="I14" s="13">
        <f>VALUE('0815'!O69)</f>
        <v>155.46443341604788</v>
      </c>
      <c r="J14" s="13">
        <f>'0815'!O79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'0815'!S70</f>
        <v>#N/A</v>
      </c>
    </row>
    <row r="16" spans="2:15" ht="17.25" customHeight="1">
      <c r="B16" s="512" t="s">
        <v>101</v>
      </c>
      <c r="C16" s="10" t="s">
        <v>34</v>
      </c>
      <c r="D16" s="16">
        <f>'0815'!T5</f>
        <v>0.29097222222222202</v>
      </c>
      <c r="E16" s="16">
        <f>'0815'!T16</f>
        <v>0.29097222222222202</v>
      </c>
      <c r="F16" s="16">
        <f>'0815'!T27</f>
        <v>0.29166666666666702</v>
      </c>
      <c r="G16" s="16">
        <f>'0815'!T38</f>
        <v>0.33333333333333298</v>
      </c>
      <c r="H16" s="16">
        <f>'0815'!T49</f>
        <v>0.29166666666666702</v>
      </c>
      <c r="I16" s="16">
        <f>'0815'!T59</f>
        <v>0.29166666666666702</v>
      </c>
      <c r="J16" s="17">
        <f>'0815'!T70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'0815'!Z15</f>
        <v>0</v>
      </c>
      <c r="E18" s="387">
        <f>'0815'!Z26</f>
        <v>0</v>
      </c>
      <c r="F18" s="387">
        <f>'0815'!Z37</f>
        <v>0</v>
      </c>
      <c r="G18" s="388">
        <f>'0815'!Z48</f>
        <v>0</v>
      </c>
      <c r="H18" s="388">
        <f>'0815'!Z58</f>
        <v>0</v>
      </c>
      <c r="I18" s="387">
        <f>'0815'!Z69</f>
        <v>0</v>
      </c>
      <c r="J18" s="387">
        <f>'0815'!AA79</f>
        <v>0</v>
      </c>
    </row>
    <row r="19" spans="2:10" ht="17.25" customHeight="1">
      <c r="B19" s="515"/>
      <c r="C19" s="330" t="s">
        <v>37</v>
      </c>
      <c r="D19" s="386">
        <f>'0815'!AA15</f>
        <v>0</v>
      </c>
      <c r="E19" s="387">
        <f>'0815'!AA26</f>
        <v>0</v>
      </c>
      <c r="F19" s="387">
        <f>'0815'!AA37</f>
        <v>0</v>
      </c>
      <c r="G19" s="388">
        <f>'0815'!AA48</f>
        <v>0</v>
      </c>
      <c r="H19" s="388">
        <f>'0815'!AA58</f>
        <v>0</v>
      </c>
      <c r="I19" s="387">
        <f>'0815'!AA69</f>
        <v>0</v>
      </c>
      <c r="J19" s="387">
        <f>'0815'!AB79</f>
        <v>0</v>
      </c>
    </row>
    <row r="20" spans="2:10" ht="17.25" customHeight="1">
      <c r="B20" s="514" t="s">
        <v>103</v>
      </c>
      <c r="C20" s="330" t="s">
        <v>36</v>
      </c>
      <c r="D20" s="386">
        <f>'0815'!AD15</f>
        <v>0</v>
      </c>
      <c r="E20" s="387">
        <f>'0815'!AD26</f>
        <v>0</v>
      </c>
      <c r="F20" s="387">
        <f>'0815'!AD37</f>
        <v>0</v>
      </c>
      <c r="G20" s="388">
        <f>'0815'!AD48</f>
        <v>0</v>
      </c>
      <c r="H20" s="388">
        <f>'0815'!AD58</f>
        <v>0</v>
      </c>
      <c r="I20" s="387">
        <f>'0815'!AD69</f>
        <v>0</v>
      </c>
      <c r="J20" s="387">
        <f>'0815'!AD79</f>
        <v>0</v>
      </c>
    </row>
    <row r="21" spans="2:10" ht="17.25" customHeight="1">
      <c r="B21" s="515"/>
      <c r="C21" s="330" t="s">
        <v>85</v>
      </c>
      <c r="D21" s="386">
        <f>'0815'!AE15</f>
        <v>0</v>
      </c>
      <c r="E21" s="387">
        <f>'0815'!AE26</f>
        <v>0</v>
      </c>
      <c r="F21" s="387">
        <f>'0815'!AE37</f>
        <v>0</v>
      </c>
      <c r="G21" s="388">
        <f>'0815'!AE48</f>
        <v>0</v>
      </c>
      <c r="H21" s="388">
        <f>'0815'!AE58</f>
        <v>0</v>
      </c>
      <c r="I21" s="387">
        <f>'0815'!AE69</f>
        <v>0</v>
      </c>
      <c r="J21" s="387">
        <f>'0815'!AE79</f>
        <v>0</v>
      </c>
    </row>
    <row r="22" spans="2:10" ht="17.25" customHeight="1">
      <c r="B22" s="498" t="s">
        <v>104</v>
      </c>
      <c r="C22" s="499"/>
      <c r="D22" s="23">
        <f>VALUE('0815'!M15)</f>
        <v>15</v>
      </c>
      <c r="E22" s="23">
        <f>VALUE('0815'!M26)</f>
        <v>12.666666666666666</v>
      </c>
      <c r="F22" s="23">
        <f>VALUE('0815'!M37)</f>
        <v>14.666666666666666</v>
      </c>
      <c r="G22" s="23">
        <f>VALUE('0815'!M48)</f>
        <v>14</v>
      </c>
      <c r="H22" s="23">
        <f>VALUE('0815'!M58)</f>
        <v>17.666666666666668</v>
      </c>
      <c r="I22" s="23">
        <f>VALUE('0815'!M69)</f>
        <v>12.333333333333334</v>
      </c>
      <c r="J22" s="23">
        <f>'0815'!M79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8894-37EB-4412-94C6-FC17C2386A9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154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6EE2-AB5B-463F-AA5D-A20ECE1CD0AE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DATE(2026,8,16)</f>
        <v>46250</v>
      </c>
      <c r="E3" s="485"/>
      <c r="F3" s="3" t="s">
        <v>72</v>
      </c>
      <c r="G3" s="486">
        <f>'0816'!E1</f>
        <v>43309</v>
      </c>
      <c r="H3" s="486"/>
      <c r="I3" s="3" t="s">
        <v>2</v>
      </c>
      <c r="J3" s="487" t="e">
        <f>'0816'!G1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'0816'!Z2</f>
        <v>0</v>
      </c>
      <c r="M6" s="496">
        <f>'0816'!AA2</f>
        <v>0</v>
      </c>
      <c r="N6" s="497">
        <f>'0816'!AD2</f>
        <v>0</v>
      </c>
      <c r="O6" s="496">
        <f>'0816'!AE2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VALUE('0816'!L15)</f>
        <v>#N/A</v>
      </c>
      <c r="E13" s="13" t="e">
        <f>VALUE('0816'!L26)</f>
        <v>#N/A</v>
      </c>
      <c r="F13" s="13" t="e">
        <f>VALUE('0816'!L37)</f>
        <v>#N/A</v>
      </c>
      <c r="G13" s="13" t="e">
        <f>VALUE('0816'!L48)</f>
        <v>#N/A</v>
      </c>
      <c r="H13" s="13" t="e">
        <f>VALUE('0816'!L58)</f>
        <v>#N/A</v>
      </c>
      <c r="I13" s="13" t="e">
        <f>VALUE('0816'!L69)</f>
        <v>#N/A</v>
      </c>
      <c r="J13" s="13" t="e">
        <f>'0816'!L79</f>
        <v>#N/A</v>
      </c>
    </row>
    <row r="14" spans="2:15" ht="39.950000000000003" customHeight="1">
      <c r="B14" s="510"/>
      <c r="C14" s="12" t="s">
        <v>100</v>
      </c>
      <c r="D14" s="13">
        <f>VALUE('0816'!O15)</f>
        <v>113.916365108528</v>
      </c>
      <c r="E14" s="13">
        <f>VALUE('0816'!O26)</f>
        <v>132.12003238004002</v>
      </c>
      <c r="F14" s="13">
        <f>VALUE('0816'!O37)</f>
        <v>126.23842229199551</v>
      </c>
      <c r="G14" s="13">
        <f>VALUE('0816'!O48)</f>
        <v>112.05430077169194</v>
      </c>
      <c r="H14" s="13">
        <f>VALUE('0816'!O58)</f>
        <v>102.47461972914017</v>
      </c>
      <c r="I14" s="13">
        <f>VALUE('0816'!O69)</f>
        <v>155.46443341604788</v>
      </c>
      <c r="J14" s="13">
        <f>'0816'!O79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'0816'!S70</f>
        <v>#N/A</v>
      </c>
    </row>
    <row r="16" spans="2:15" ht="17.25" customHeight="1">
      <c r="B16" s="512" t="s">
        <v>101</v>
      </c>
      <c r="C16" s="10" t="s">
        <v>34</v>
      </c>
      <c r="D16" s="16">
        <f>'0816'!T5</f>
        <v>0.29097222222222202</v>
      </c>
      <c r="E16" s="16">
        <f>'0816'!T16</f>
        <v>0.29097222222222202</v>
      </c>
      <c r="F16" s="16">
        <f>'0816'!T27</f>
        <v>0.29166666666666702</v>
      </c>
      <c r="G16" s="16">
        <f>'0816'!T38</f>
        <v>0.33333333333333298</v>
      </c>
      <c r="H16" s="16">
        <f>'0816'!T49</f>
        <v>0.29166666666666702</v>
      </c>
      <c r="I16" s="16">
        <f>'0816'!T59</f>
        <v>0.29166666666666702</v>
      </c>
      <c r="J16" s="17">
        <f>'0816'!T70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'0816'!Z15</f>
        <v>0</v>
      </c>
      <c r="E18" s="387">
        <f>'0816'!Z26</f>
        <v>0</v>
      </c>
      <c r="F18" s="387">
        <f>'0816'!Z37</f>
        <v>0</v>
      </c>
      <c r="G18" s="388">
        <f>'0816'!Z48</f>
        <v>0</v>
      </c>
      <c r="H18" s="388">
        <f>'0816'!Z58</f>
        <v>0</v>
      </c>
      <c r="I18" s="387">
        <f>'0816'!Z69</f>
        <v>0</v>
      </c>
      <c r="J18" s="387">
        <f>'0816'!AA79</f>
        <v>0</v>
      </c>
    </row>
    <row r="19" spans="2:10" ht="17.25" customHeight="1">
      <c r="B19" s="515"/>
      <c r="C19" s="330" t="s">
        <v>37</v>
      </c>
      <c r="D19" s="386">
        <f>'0816'!AA15</f>
        <v>0</v>
      </c>
      <c r="E19" s="387">
        <f>'0816'!AA26</f>
        <v>0</v>
      </c>
      <c r="F19" s="387">
        <f>'0816'!AA37</f>
        <v>0</v>
      </c>
      <c r="G19" s="388">
        <f>'0816'!AA48</f>
        <v>0</v>
      </c>
      <c r="H19" s="388">
        <f>'0816'!AA58</f>
        <v>0</v>
      </c>
      <c r="I19" s="387">
        <f>'0816'!AA69</f>
        <v>0</v>
      </c>
      <c r="J19" s="387">
        <f>'0816'!AB79</f>
        <v>0</v>
      </c>
    </row>
    <row r="20" spans="2:10" ht="17.25" customHeight="1">
      <c r="B20" s="514" t="s">
        <v>103</v>
      </c>
      <c r="C20" s="330" t="s">
        <v>36</v>
      </c>
      <c r="D20" s="386">
        <f>'0816'!AD15</f>
        <v>0</v>
      </c>
      <c r="E20" s="387">
        <f>'0816'!AD26</f>
        <v>0</v>
      </c>
      <c r="F20" s="387">
        <f>'0816'!AD37</f>
        <v>0</v>
      </c>
      <c r="G20" s="388">
        <f>'0816'!AD48</f>
        <v>0</v>
      </c>
      <c r="H20" s="388">
        <f>'0816'!AD58</f>
        <v>0</v>
      </c>
      <c r="I20" s="387">
        <f>'0816'!AD69</f>
        <v>0</v>
      </c>
      <c r="J20" s="387">
        <f>'0816'!AD79</f>
        <v>0</v>
      </c>
    </row>
    <row r="21" spans="2:10" ht="17.25" customHeight="1">
      <c r="B21" s="515"/>
      <c r="C21" s="330" t="s">
        <v>85</v>
      </c>
      <c r="D21" s="386">
        <f>'0816'!AE15</f>
        <v>0</v>
      </c>
      <c r="E21" s="387">
        <f>'0816'!AE26</f>
        <v>0</v>
      </c>
      <c r="F21" s="387">
        <f>'0816'!AE37</f>
        <v>0</v>
      </c>
      <c r="G21" s="388">
        <f>'0816'!AE48</f>
        <v>0</v>
      </c>
      <c r="H21" s="388">
        <f>'0816'!AE58</f>
        <v>0</v>
      </c>
      <c r="I21" s="387">
        <f>'0816'!AE69</f>
        <v>0</v>
      </c>
      <c r="J21" s="387">
        <f>'0816'!AE79</f>
        <v>0</v>
      </c>
    </row>
    <row r="22" spans="2:10" ht="17.25" customHeight="1">
      <c r="B22" s="498" t="s">
        <v>104</v>
      </c>
      <c r="C22" s="499"/>
      <c r="D22" s="23">
        <f>VALUE('0816'!M15)</f>
        <v>15</v>
      </c>
      <c r="E22" s="23">
        <f>VALUE('0816'!M26)</f>
        <v>12.666666666666666</v>
      </c>
      <c r="F22" s="23">
        <f>VALUE('0816'!M37)</f>
        <v>14.666666666666666</v>
      </c>
      <c r="G22" s="23">
        <f>VALUE('0816'!M48)</f>
        <v>14</v>
      </c>
      <c r="H22" s="23">
        <f>VALUE('0816'!M58)</f>
        <v>17.666666666666668</v>
      </c>
      <c r="I22" s="23">
        <f>VALUE('0816'!M69)</f>
        <v>12.333333333333334</v>
      </c>
      <c r="J22" s="23">
        <f>'0816'!M79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A31-CE74-4AC5-BE3D-EC67DA36C1CB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155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9F11-6270-4208-B269-41365296EA6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DATE(2026,8,17)</f>
        <v>46251</v>
      </c>
      <c r="E3" s="485"/>
      <c r="F3" s="3" t="s">
        <v>72</v>
      </c>
      <c r="G3" s="486">
        <f>'0817'!E1</f>
        <v>43309</v>
      </c>
      <c r="H3" s="486"/>
      <c r="I3" s="3" t="s">
        <v>2</v>
      </c>
      <c r="J3" s="487" t="e">
        <f>'0817'!G1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'0817'!Z2</f>
        <v>0</v>
      </c>
      <c r="M6" s="496">
        <f>'0817'!AA2</f>
        <v>0</v>
      </c>
      <c r="N6" s="497">
        <f>'0817'!AD2</f>
        <v>0</v>
      </c>
      <c r="O6" s="496">
        <f>'0817'!AE2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VALUE('0817'!L15)</f>
        <v>#N/A</v>
      </c>
      <c r="E13" s="13" t="e">
        <f>VALUE('0817'!L26)</f>
        <v>#N/A</v>
      </c>
      <c r="F13" s="13" t="e">
        <f>VALUE('0817'!L37)</f>
        <v>#N/A</v>
      </c>
      <c r="G13" s="13" t="e">
        <f>VALUE('0817'!L48)</f>
        <v>#N/A</v>
      </c>
      <c r="H13" s="13" t="e">
        <f>VALUE('0817'!L58)</f>
        <v>#N/A</v>
      </c>
      <c r="I13" s="13" t="e">
        <f>VALUE('0817'!L69)</f>
        <v>#N/A</v>
      </c>
      <c r="J13" s="13" t="e">
        <f>'0817'!L79</f>
        <v>#N/A</v>
      </c>
    </row>
    <row r="14" spans="2:15" ht="39.950000000000003" customHeight="1">
      <c r="B14" s="510"/>
      <c r="C14" s="12" t="s">
        <v>100</v>
      </c>
      <c r="D14" s="13">
        <f>VALUE('0817'!O15)</f>
        <v>113.916365108528</v>
      </c>
      <c r="E14" s="13">
        <f>VALUE('0817'!O26)</f>
        <v>132.12003238004002</v>
      </c>
      <c r="F14" s="13">
        <f>VALUE('0817'!O37)</f>
        <v>126.23842229199551</v>
      </c>
      <c r="G14" s="13">
        <f>VALUE('0817'!O48)</f>
        <v>112.05430077169194</v>
      </c>
      <c r="H14" s="13">
        <f>VALUE('0817'!O58)</f>
        <v>102.47461972914017</v>
      </c>
      <c r="I14" s="13">
        <f>VALUE('0817'!O69)</f>
        <v>155.46443341604788</v>
      </c>
      <c r="J14" s="13">
        <f>'0817'!O79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'0817'!S70</f>
        <v>#N/A</v>
      </c>
    </row>
    <row r="16" spans="2:15" ht="17.25" customHeight="1">
      <c r="B16" s="512" t="s">
        <v>101</v>
      </c>
      <c r="C16" s="10" t="s">
        <v>34</v>
      </c>
      <c r="D16" s="16">
        <f>'0817'!T5</f>
        <v>0.29097222222222202</v>
      </c>
      <c r="E16" s="16">
        <f>'0817'!T16</f>
        <v>0.29097222222222202</v>
      </c>
      <c r="F16" s="16">
        <f>'0817'!T27</f>
        <v>0.29166666666666702</v>
      </c>
      <c r="G16" s="16">
        <f>'0817'!T38</f>
        <v>0.33333333333333298</v>
      </c>
      <c r="H16" s="16">
        <f>'0817'!T49</f>
        <v>0.29166666666666702</v>
      </c>
      <c r="I16" s="16">
        <f>'0817'!T59</f>
        <v>0.29166666666666702</v>
      </c>
      <c r="J16" s="17">
        <f>'0817'!T70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'0817'!Z15</f>
        <v>0</v>
      </c>
      <c r="E18" s="387">
        <f>'0817'!Z26</f>
        <v>0</v>
      </c>
      <c r="F18" s="387">
        <f>'0817'!Z37</f>
        <v>0</v>
      </c>
      <c r="G18" s="388">
        <f>'0817'!Z48</f>
        <v>0</v>
      </c>
      <c r="H18" s="388">
        <f>'0817'!Z58</f>
        <v>0</v>
      </c>
      <c r="I18" s="387">
        <f>'0817'!Z69</f>
        <v>0</v>
      </c>
      <c r="J18" s="387">
        <f>'0817'!AA79</f>
        <v>0</v>
      </c>
    </row>
    <row r="19" spans="2:10" ht="17.25" customHeight="1">
      <c r="B19" s="515"/>
      <c r="C19" s="330" t="s">
        <v>37</v>
      </c>
      <c r="D19" s="386">
        <f>'0817'!AA15</f>
        <v>0</v>
      </c>
      <c r="E19" s="387">
        <f>'0817'!AA26</f>
        <v>0</v>
      </c>
      <c r="F19" s="387">
        <f>'0817'!AA37</f>
        <v>0</v>
      </c>
      <c r="G19" s="388">
        <f>'0817'!AA48</f>
        <v>0</v>
      </c>
      <c r="H19" s="388">
        <f>'0817'!AA58</f>
        <v>0</v>
      </c>
      <c r="I19" s="387">
        <f>'0817'!AA69</f>
        <v>0</v>
      </c>
      <c r="J19" s="387">
        <f>'0817'!AB79</f>
        <v>0</v>
      </c>
    </row>
    <row r="20" spans="2:10" ht="17.25" customHeight="1">
      <c r="B20" s="514" t="s">
        <v>103</v>
      </c>
      <c r="C20" s="330" t="s">
        <v>36</v>
      </c>
      <c r="D20" s="386">
        <f>'0817'!AD15</f>
        <v>0</v>
      </c>
      <c r="E20" s="387">
        <f>'0817'!AD26</f>
        <v>0</v>
      </c>
      <c r="F20" s="387">
        <f>'0817'!AD37</f>
        <v>0</v>
      </c>
      <c r="G20" s="388">
        <f>'0817'!AD48</f>
        <v>0</v>
      </c>
      <c r="H20" s="388">
        <f>'0817'!AD58</f>
        <v>0</v>
      </c>
      <c r="I20" s="387">
        <f>'0817'!AD69</f>
        <v>0</v>
      </c>
      <c r="J20" s="387">
        <f>'0817'!AD79</f>
        <v>0</v>
      </c>
    </row>
    <row r="21" spans="2:10" ht="17.25" customHeight="1">
      <c r="B21" s="515"/>
      <c r="C21" s="330" t="s">
        <v>85</v>
      </c>
      <c r="D21" s="386">
        <f>'0817'!AE15</f>
        <v>0</v>
      </c>
      <c r="E21" s="387">
        <f>'0817'!AE26</f>
        <v>0</v>
      </c>
      <c r="F21" s="387">
        <f>'0817'!AE37</f>
        <v>0</v>
      </c>
      <c r="G21" s="388">
        <f>'0817'!AE48</f>
        <v>0</v>
      </c>
      <c r="H21" s="388">
        <f>'0817'!AE58</f>
        <v>0</v>
      </c>
      <c r="I21" s="387">
        <f>'0817'!AE69</f>
        <v>0</v>
      </c>
      <c r="J21" s="387">
        <f>'0817'!AE79</f>
        <v>0</v>
      </c>
    </row>
    <row r="22" spans="2:10" ht="17.25" customHeight="1">
      <c r="B22" s="498" t="s">
        <v>104</v>
      </c>
      <c r="C22" s="499"/>
      <c r="D22" s="23">
        <f>VALUE('0817'!M15)</f>
        <v>15</v>
      </c>
      <c r="E22" s="23">
        <f>VALUE('0817'!M26)</f>
        <v>12.666666666666666</v>
      </c>
      <c r="F22" s="23">
        <f>VALUE('0817'!M37)</f>
        <v>14.666666666666666</v>
      </c>
      <c r="G22" s="23">
        <f>VALUE('0817'!M48)</f>
        <v>14</v>
      </c>
      <c r="H22" s="23">
        <f>VALUE('0817'!M58)</f>
        <v>17.666666666666668</v>
      </c>
      <c r="I22" s="23">
        <f>VALUE('0817'!M69)</f>
        <v>12.333333333333334</v>
      </c>
      <c r="J22" s="23">
        <f>'0817'!M79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ABF-1428-43C0-B067-DD754AF6170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156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203D-63EF-44E6-B642-BE641370FB4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DATE(2026,8,18)</f>
        <v>46252</v>
      </c>
      <c r="E3" s="485"/>
      <c r="F3" s="3" t="s">
        <v>72</v>
      </c>
      <c r="G3" s="486">
        <f>'0818'!E1</f>
        <v>43309</v>
      </c>
      <c r="H3" s="486"/>
      <c r="I3" s="3" t="s">
        <v>2</v>
      </c>
      <c r="J3" s="487" t="e">
        <f>'0818'!G1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'0818'!Z2</f>
        <v>0</v>
      </c>
      <c r="M6" s="496">
        <f>'0818'!AA2</f>
        <v>0</v>
      </c>
      <c r="N6" s="497">
        <f>'0818'!AD2</f>
        <v>0</v>
      </c>
      <c r="O6" s="496">
        <f>'0818'!AE2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VALUE('0818'!L15)</f>
        <v>#N/A</v>
      </c>
      <c r="E13" s="13" t="e">
        <f>VALUE('0818'!L26)</f>
        <v>#N/A</v>
      </c>
      <c r="F13" s="13" t="e">
        <f>VALUE('0818'!L37)</f>
        <v>#N/A</v>
      </c>
      <c r="G13" s="13" t="e">
        <f>VALUE('0818'!L48)</f>
        <v>#N/A</v>
      </c>
      <c r="H13" s="13" t="e">
        <f>VALUE('0818'!L58)</f>
        <v>#N/A</v>
      </c>
      <c r="I13" s="13" t="e">
        <f>VALUE('0818'!L69)</f>
        <v>#N/A</v>
      </c>
      <c r="J13" s="13" t="e">
        <f>'0818'!L79</f>
        <v>#N/A</v>
      </c>
    </row>
    <row r="14" spans="2:15" ht="39.950000000000003" customHeight="1">
      <c r="B14" s="510"/>
      <c r="C14" s="12" t="s">
        <v>100</v>
      </c>
      <c r="D14" s="13">
        <f>VALUE('0818'!O15)</f>
        <v>113.916365108528</v>
      </c>
      <c r="E14" s="13">
        <f>VALUE('0818'!O26)</f>
        <v>132.12003238004002</v>
      </c>
      <c r="F14" s="13">
        <f>VALUE('0818'!O37)</f>
        <v>126.23842229199551</v>
      </c>
      <c r="G14" s="13">
        <f>VALUE('0818'!O48)</f>
        <v>112.05430077169194</v>
      </c>
      <c r="H14" s="13">
        <f>VALUE('0818'!O58)</f>
        <v>102.47461972914017</v>
      </c>
      <c r="I14" s="13">
        <f>VALUE('0818'!O69)</f>
        <v>155.46443341604788</v>
      </c>
      <c r="J14" s="13">
        <f>'0818'!O79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'0818'!S70</f>
        <v>#N/A</v>
      </c>
    </row>
    <row r="16" spans="2:15" ht="17.25" customHeight="1">
      <c r="B16" s="512" t="s">
        <v>101</v>
      </c>
      <c r="C16" s="10" t="s">
        <v>34</v>
      </c>
      <c r="D16" s="16">
        <f>'0818'!T5</f>
        <v>0.29097222222222202</v>
      </c>
      <c r="E16" s="16">
        <f>'0818'!T16</f>
        <v>0.29097222222222202</v>
      </c>
      <c r="F16" s="16">
        <f>'0818'!T27</f>
        <v>0.29166666666666702</v>
      </c>
      <c r="G16" s="16">
        <f>'0818'!T38</f>
        <v>0.33333333333333298</v>
      </c>
      <c r="H16" s="16">
        <f>'0818'!T49</f>
        <v>0.29166666666666702</v>
      </c>
      <c r="I16" s="16">
        <f>'0818'!T59</f>
        <v>0.29166666666666702</v>
      </c>
      <c r="J16" s="17">
        <f>'0818'!T70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'0818'!Z15</f>
        <v>0</v>
      </c>
      <c r="E18" s="387">
        <f>'0818'!Z26</f>
        <v>0</v>
      </c>
      <c r="F18" s="387">
        <f>'0818'!Z37</f>
        <v>0</v>
      </c>
      <c r="G18" s="388">
        <f>'0818'!Z48</f>
        <v>0</v>
      </c>
      <c r="H18" s="388">
        <f>'0818'!Z58</f>
        <v>0</v>
      </c>
      <c r="I18" s="387">
        <f>'0818'!Z69</f>
        <v>0</v>
      </c>
      <c r="J18" s="387">
        <f>'0818'!AA79</f>
        <v>0</v>
      </c>
    </row>
    <row r="19" spans="2:10" ht="17.25" customHeight="1">
      <c r="B19" s="515"/>
      <c r="C19" s="330" t="s">
        <v>37</v>
      </c>
      <c r="D19" s="386">
        <f>'0818'!AA15</f>
        <v>0</v>
      </c>
      <c r="E19" s="387">
        <f>'0818'!AA26</f>
        <v>0</v>
      </c>
      <c r="F19" s="387">
        <f>'0818'!AA37</f>
        <v>0</v>
      </c>
      <c r="G19" s="388">
        <f>'0818'!AA48</f>
        <v>0</v>
      </c>
      <c r="H19" s="388">
        <f>'0818'!AA58</f>
        <v>0</v>
      </c>
      <c r="I19" s="387">
        <f>'0818'!AA69</f>
        <v>0</v>
      </c>
      <c r="J19" s="387">
        <f>'0818'!AB79</f>
        <v>0</v>
      </c>
    </row>
    <row r="20" spans="2:10" ht="17.25" customHeight="1">
      <c r="B20" s="514" t="s">
        <v>103</v>
      </c>
      <c r="C20" s="330" t="s">
        <v>36</v>
      </c>
      <c r="D20" s="386">
        <f>'0818'!AD15</f>
        <v>0</v>
      </c>
      <c r="E20" s="387">
        <f>'0818'!AD26</f>
        <v>0</v>
      </c>
      <c r="F20" s="387">
        <f>'0818'!AD37</f>
        <v>0</v>
      </c>
      <c r="G20" s="388">
        <f>'0818'!AD48</f>
        <v>0</v>
      </c>
      <c r="H20" s="388">
        <f>'0818'!AD58</f>
        <v>0</v>
      </c>
      <c r="I20" s="387">
        <f>'0818'!AD69</f>
        <v>0</v>
      </c>
      <c r="J20" s="387">
        <f>'0818'!AD79</f>
        <v>0</v>
      </c>
    </row>
    <row r="21" spans="2:10" ht="17.25" customHeight="1">
      <c r="B21" s="515"/>
      <c r="C21" s="330" t="s">
        <v>85</v>
      </c>
      <c r="D21" s="386">
        <f>'0818'!AE15</f>
        <v>0</v>
      </c>
      <c r="E21" s="387">
        <f>'0818'!AE26</f>
        <v>0</v>
      </c>
      <c r="F21" s="387">
        <f>'0818'!AE37</f>
        <v>0</v>
      </c>
      <c r="G21" s="388">
        <f>'0818'!AE48</f>
        <v>0</v>
      </c>
      <c r="H21" s="388">
        <f>'0818'!AE58</f>
        <v>0</v>
      </c>
      <c r="I21" s="387">
        <f>'0818'!AE69</f>
        <v>0</v>
      </c>
      <c r="J21" s="387">
        <f>'0818'!AE79</f>
        <v>0</v>
      </c>
    </row>
    <row r="22" spans="2:10" ht="17.25" customHeight="1">
      <c r="B22" s="498" t="s">
        <v>104</v>
      </c>
      <c r="C22" s="499"/>
      <c r="D22" s="23">
        <f>VALUE('0818'!M15)</f>
        <v>15</v>
      </c>
      <c r="E22" s="23">
        <f>VALUE('0818'!M26)</f>
        <v>12.666666666666666</v>
      </c>
      <c r="F22" s="23">
        <f>VALUE('0818'!M37)</f>
        <v>14.666666666666666</v>
      </c>
      <c r="G22" s="23">
        <f>VALUE('0818'!M48)</f>
        <v>14</v>
      </c>
      <c r="H22" s="23">
        <f>VALUE('0818'!M58)</f>
        <v>17.666666666666668</v>
      </c>
      <c r="I22" s="23">
        <f>VALUE('0818'!M69)</f>
        <v>12.333333333333334</v>
      </c>
      <c r="J22" s="23">
        <f>'0818'!M79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1DD3-DBB7-4167-8903-01118BD4FA5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157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9383-85B6-4598-A3CC-B54A6AFCD9F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DATE(2026,8,19)</f>
        <v>46253</v>
      </c>
      <c r="E3" s="485"/>
      <c r="F3" s="3" t="s">
        <v>72</v>
      </c>
      <c r="G3" s="486">
        <f>'0819'!E1</f>
        <v>43309</v>
      </c>
      <c r="H3" s="486"/>
      <c r="I3" s="3" t="s">
        <v>2</v>
      </c>
      <c r="J3" s="487" t="e">
        <f>'0819'!G1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'0819'!Z2</f>
        <v>0</v>
      </c>
      <c r="M6" s="496">
        <f>'0819'!AA2</f>
        <v>0</v>
      </c>
      <c r="N6" s="497">
        <f>'0819'!AD2</f>
        <v>0</v>
      </c>
      <c r="O6" s="496">
        <f>'0819'!AE2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VALUE('0819'!L15)</f>
        <v>#N/A</v>
      </c>
      <c r="E13" s="13" t="e">
        <f>VALUE('0819'!L26)</f>
        <v>#N/A</v>
      </c>
      <c r="F13" s="13" t="e">
        <f>VALUE('0819'!L37)</f>
        <v>#N/A</v>
      </c>
      <c r="G13" s="13" t="e">
        <f>VALUE('0819'!L48)</f>
        <v>#N/A</v>
      </c>
      <c r="H13" s="13" t="e">
        <f>VALUE('0819'!L58)</f>
        <v>#N/A</v>
      </c>
      <c r="I13" s="13" t="e">
        <f>VALUE('0819'!L69)</f>
        <v>#N/A</v>
      </c>
      <c r="J13" s="13" t="e">
        <f>'0819'!L79</f>
        <v>#N/A</v>
      </c>
    </row>
    <row r="14" spans="2:15" ht="39.950000000000003" customHeight="1">
      <c r="B14" s="510"/>
      <c r="C14" s="12" t="s">
        <v>100</v>
      </c>
      <c r="D14" s="13">
        <f>VALUE('0819'!O15)</f>
        <v>113.916365108528</v>
      </c>
      <c r="E14" s="13">
        <f>VALUE('0819'!O26)</f>
        <v>132.12003238004002</v>
      </c>
      <c r="F14" s="13">
        <f>VALUE('0819'!O37)</f>
        <v>126.23842229199551</v>
      </c>
      <c r="G14" s="13">
        <f>VALUE('0819'!O48)</f>
        <v>112.05430077169194</v>
      </c>
      <c r="H14" s="13">
        <f>VALUE('0819'!O58)</f>
        <v>102.47461972914017</v>
      </c>
      <c r="I14" s="13">
        <f>VALUE('0819'!O69)</f>
        <v>155.46443341604788</v>
      </c>
      <c r="J14" s="13">
        <f>'0819'!O79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'0819'!S70</f>
        <v>#N/A</v>
      </c>
    </row>
    <row r="16" spans="2:15" ht="17.25" customHeight="1">
      <c r="B16" s="512" t="s">
        <v>101</v>
      </c>
      <c r="C16" s="10" t="s">
        <v>34</v>
      </c>
      <c r="D16" s="16">
        <f>'0819'!T5</f>
        <v>0.29097222222222202</v>
      </c>
      <c r="E16" s="16">
        <f>'0819'!T16</f>
        <v>0.29097222222222202</v>
      </c>
      <c r="F16" s="16">
        <f>'0819'!T27</f>
        <v>0.29166666666666702</v>
      </c>
      <c r="G16" s="16">
        <f>'0819'!T38</f>
        <v>0.33333333333333298</v>
      </c>
      <c r="H16" s="16">
        <f>'0819'!T49</f>
        <v>0.29166666666666702</v>
      </c>
      <c r="I16" s="16">
        <f>'0819'!T59</f>
        <v>0.29166666666666702</v>
      </c>
      <c r="J16" s="17">
        <f>'0819'!T70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'0819'!Z15</f>
        <v>0</v>
      </c>
      <c r="E18" s="387">
        <f>'0819'!Z26</f>
        <v>0</v>
      </c>
      <c r="F18" s="387">
        <f>'0819'!Z37</f>
        <v>0</v>
      </c>
      <c r="G18" s="388">
        <f>'0819'!Z48</f>
        <v>0</v>
      </c>
      <c r="H18" s="388">
        <f>'0819'!Z58</f>
        <v>0</v>
      </c>
      <c r="I18" s="387">
        <f>'0819'!Z69</f>
        <v>0</v>
      </c>
      <c r="J18" s="387">
        <f>'0819'!AA79</f>
        <v>0</v>
      </c>
    </row>
    <row r="19" spans="2:10" ht="17.25" customHeight="1">
      <c r="B19" s="515"/>
      <c r="C19" s="330" t="s">
        <v>37</v>
      </c>
      <c r="D19" s="386">
        <f>'0819'!AA15</f>
        <v>0</v>
      </c>
      <c r="E19" s="387">
        <f>'0819'!AA26</f>
        <v>0</v>
      </c>
      <c r="F19" s="387">
        <f>'0819'!AA37</f>
        <v>0</v>
      </c>
      <c r="G19" s="388">
        <f>'0819'!AA48</f>
        <v>0</v>
      </c>
      <c r="H19" s="388">
        <f>'0819'!AA58</f>
        <v>0</v>
      </c>
      <c r="I19" s="387">
        <f>'0819'!AA69</f>
        <v>0</v>
      </c>
      <c r="J19" s="387">
        <f>'0819'!AB79</f>
        <v>0</v>
      </c>
    </row>
    <row r="20" spans="2:10" ht="17.25" customHeight="1">
      <c r="B20" s="514" t="s">
        <v>103</v>
      </c>
      <c r="C20" s="330" t="s">
        <v>36</v>
      </c>
      <c r="D20" s="386">
        <f>'0819'!AD15</f>
        <v>0</v>
      </c>
      <c r="E20" s="387">
        <f>'0819'!AD26</f>
        <v>0</v>
      </c>
      <c r="F20" s="387">
        <f>'0819'!AD37</f>
        <v>0</v>
      </c>
      <c r="G20" s="388">
        <f>'0819'!AD48</f>
        <v>0</v>
      </c>
      <c r="H20" s="388">
        <f>'0819'!AD58</f>
        <v>0</v>
      </c>
      <c r="I20" s="387">
        <f>'0819'!AD69</f>
        <v>0</v>
      </c>
      <c r="J20" s="387">
        <f>'0819'!AD79</f>
        <v>0</v>
      </c>
    </row>
    <row r="21" spans="2:10" ht="17.25" customHeight="1">
      <c r="B21" s="515"/>
      <c r="C21" s="330" t="s">
        <v>85</v>
      </c>
      <c r="D21" s="386">
        <f>'0819'!AE15</f>
        <v>0</v>
      </c>
      <c r="E21" s="387">
        <f>'0819'!AE26</f>
        <v>0</v>
      </c>
      <c r="F21" s="387">
        <f>'0819'!AE37</f>
        <v>0</v>
      </c>
      <c r="G21" s="388">
        <f>'0819'!AE48</f>
        <v>0</v>
      </c>
      <c r="H21" s="388">
        <f>'0819'!AE58</f>
        <v>0</v>
      </c>
      <c r="I21" s="387">
        <f>'0819'!AE69</f>
        <v>0</v>
      </c>
      <c r="J21" s="387">
        <f>'0819'!AE79</f>
        <v>0</v>
      </c>
    </row>
    <row r="22" spans="2:10" ht="17.25" customHeight="1">
      <c r="B22" s="498" t="s">
        <v>104</v>
      </c>
      <c r="C22" s="499"/>
      <c r="D22" s="23">
        <f>VALUE('0819'!M15)</f>
        <v>15</v>
      </c>
      <c r="E22" s="23">
        <f>VALUE('0819'!M26)</f>
        <v>12.666666666666666</v>
      </c>
      <c r="F22" s="23">
        <f>VALUE('0819'!M37)</f>
        <v>14.666666666666666</v>
      </c>
      <c r="G22" s="23">
        <f>VALUE('0819'!M48)</f>
        <v>14</v>
      </c>
      <c r="H22" s="23">
        <f>VALUE('0819'!M58)</f>
        <v>17.666666666666668</v>
      </c>
      <c r="I22" s="23">
        <f>VALUE('0819'!M69)</f>
        <v>12.333333333333334</v>
      </c>
      <c r="J22" s="23">
        <f>'0819'!M79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3CD-3707-4B9A-B397-68934AD2D96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158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26CE-FE91-48F1-A1A3-4CF04E232B86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DATE(2026,8,20)</f>
        <v>46254</v>
      </c>
      <c r="E3" s="485"/>
      <c r="F3" s="3" t="s">
        <v>72</v>
      </c>
      <c r="G3" s="486">
        <f>'0820'!E1</f>
        <v>43309</v>
      </c>
      <c r="H3" s="486"/>
      <c r="I3" s="3" t="s">
        <v>2</v>
      </c>
      <c r="J3" s="487" t="e">
        <f>'0820'!G1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'0820'!Z2</f>
        <v>0</v>
      </c>
      <c r="M6" s="496">
        <f>'0820'!AA2</f>
        <v>0</v>
      </c>
      <c r="N6" s="497">
        <f>'0820'!AD2</f>
        <v>0</v>
      </c>
      <c r="O6" s="496">
        <f>'0820'!AE2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VALUE('0820'!L15)</f>
        <v>#N/A</v>
      </c>
      <c r="E13" s="13" t="e">
        <f>VALUE('0820'!L26)</f>
        <v>#N/A</v>
      </c>
      <c r="F13" s="13" t="e">
        <f>VALUE('0820'!L37)</f>
        <v>#N/A</v>
      </c>
      <c r="G13" s="13" t="e">
        <f>VALUE('0820'!L48)</f>
        <v>#N/A</v>
      </c>
      <c r="H13" s="13" t="e">
        <f>VALUE('0820'!L58)</f>
        <v>#N/A</v>
      </c>
      <c r="I13" s="13" t="e">
        <f>VALUE('0820'!L69)</f>
        <v>#N/A</v>
      </c>
      <c r="J13" s="13" t="e">
        <f>'0820'!L79</f>
        <v>#N/A</v>
      </c>
    </row>
    <row r="14" spans="2:15" ht="39.950000000000003" customHeight="1">
      <c r="B14" s="510"/>
      <c r="C14" s="12" t="s">
        <v>100</v>
      </c>
      <c r="D14" s="13">
        <f>VALUE('0820'!O15)</f>
        <v>113.916365108528</v>
      </c>
      <c r="E14" s="13">
        <f>VALUE('0820'!O26)</f>
        <v>132.12003238004002</v>
      </c>
      <c r="F14" s="13">
        <f>VALUE('0820'!O37)</f>
        <v>126.23842229199551</v>
      </c>
      <c r="G14" s="13">
        <f>VALUE('0820'!O48)</f>
        <v>112.05430077169194</v>
      </c>
      <c r="H14" s="13">
        <f>VALUE('0820'!O58)</f>
        <v>102.47461972914017</v>
      </c>
      <c r="I14" s="13">
        <f>VALUE('0820'!O69)</f>
        <v>155.46443341604788</v>
      </c>
      <c r="J14" s="13">
        <f>'0820'!O79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'0820'!S70</f>
        <v>#N/A</v>
      </c>
    </row>
    <row r="16" spans="2:15" ht="17.25" customHeight="1">
      <c r="B16" s="512" t="s">
        <v>101</v>
      </c>
      <c r="C16" s="10" t="s">
        <v>34</v>
      </c>
      <c r="D16" s="16">
        <f>'0820'!T5</f>
        <v>0.29097222222222202</v>
      </c>
      <c r="E16" s="16">
        <f>'0820'!T16</f>
        <v>0.29097222222222202</v>
      </c>
      <c r="F16" s="16">
        <f>'0820'!T27</f>
        <v>0.29166666666666702</v>
      </c>
      <c r="G16" s="16">
        <f>'0820'!T38</f>
        <v>0.33333333333333298</v>
      </c>
      <c r="H16" s="16">
        <f>'0820'!T49</f>
        <v>0.29166666666666702</v>
      </c>
      <c r="I16" s="16">
        <f>'0820'!T59</f>
        <v>0.29166666666666702</v>
      </c>
      <c r="J16" s="17">
        <f>'0820'!T70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'0820'!Z15</f>
        <v>0</v>
      </c>
      <c r="E18" s="387">
        <f>'0820'!Z26</f>
        <v>0</v>
      </c>
      <c r="F18" s="387">
        <f>'0820'!Z37</f>
        <v>0</v>
      </c>
      <c r="G18" s="388">
        <f>'0820'!Z48</f>
        <v>0</v>
      </c>
      <c r="H18" s="388">
        <f>'0820'!Z58</f>
        <v>0</v>
      </c>
      <c r="I18" s="387">
        <f>'0820'!Z69</f>
        <v>0</v>
      </c>
      <c r="J18" s="387">
        <f>'0820'!AA79</f>
        <v>0</v>
      </c>
    </row>
    <row r="19" spans="2:10" ht="17.25" customHeight="1">
      <c r="B19" s="515"/>
      <c r="C19" s="330" t="s">
        <v>37</v>
      </c>
      <c r="D19" s="386">
        <f>'0820'!AA15</f>
        <v>0</v>
      </c>
      <c r="E19" s="387">
        <f>'0820'!AA26</f>
        <v>0</v>
      </c>
      <c r="F19" s="387">
        <f>'0820'!AA37</f>
        <v>0</v>
      </c>
      <c r="G19" s="388">
        <f>'0820'!AA48</f>
        <v>0</v>
      </c>
      <c r="H19" s="388">
        <f>'0820'!AA58</f>
        <v>0</v>
      </c>
      <c r="I19" s="387">
        <f>'0820'!AA69</f>
        <v>0</v>
      </c>
      <c r="J19" s="387">
        <f>'0820'!AB79</f>
        <v>0</v>
      </c>
    </row>
    <row r="20" spans="2:10" ht="17.25" customHeight="1">
      <c r="B20" s="514" t="s">
        <v>103</v>
      </c>
      <c r="C20" s="330" t="s">
        <v>36</v>
      </c>
      <c r="D20" s="386">
        <f>'0820'!AD15</f>
        <v>0</v>
      </c>
      <c r="E20" s="387">
        <f>'0820'!AD26</f>
        <v>0</v>
      </c>
      <c r="F20" s="387">
        <f>'0820'!AD37</f>
        <v>0</v>
      </c>
      <c r="G20" s="388">
        <f>'0820'!AD48</f>
        <v>0</v>
      </c>
      <c r="H20" s="388">
        <f>'0820'!AD58</f>
        <v>0</v>
      </c>
      <c r="I20" s="387">
        <f>'0820'!AD69</f>
        <v>0</v>
      </c>
      <c r="J20" s="387">
        <f>'0820'!AD79</f>
        <v>0</v>
      </c>
    </row>
    <row r="21" spans="2:10" ht="17.25" customHeight="1">
      <c r="B21" s="515"/>
      <c r="C21" s="330" t="s">
        <v>85</v>
      </c>
      <c r="D21" s="386">
        <f>'0820'!AE15</f>
        <v>0</v>
      </c>
      <c r="E21" s="387">
        <f>'0820'!AE26</f>
        <v>0</v>
      </c>
      <c r="F21" s="387">
        <f>'0820'!AE37</f>
        <v>0</v>
      </c>
      <c r="G21" s="388">
        <f>'0820'!AE48</f>
        <v>0</v>
      </c>
      <c r="H21" s="388">
        <f>'0820'!AE58</f>
        <v>0</v>
      </c>
      <c r="I21" s="387">
        <f>'0820'!AE69</f>
        <v>0</v>
      </c>
      <c r="J21" s="387">
        <f>'0820'!AE79</f>
        <v>0</v>
      </c>
    </row>
    <row r="22" spans="2:10" ht="17.25" customHeight="1">
      <c r="B22" s="498" t="s">
        <v>104</v>
      </c>
      <c r="C22" s="499"/>
      <c r="D22" s="23">
        <f>VALUE('0820'!M15)</f>
        <v>15</v>
      </c>
      <c r="E22" s="23">
        <f>VALUE('0820'!M26)</f>
        <v>12.666666666666666</v>
      </c>
      <c r="F22" s="23">
        <f>VALUE('0820'!M37)</f>
        <v>14.666666666666666</v>
      </c>
      <c r="G22" s="23">
        <f>VALUE('0820'!M48)</f>
        <v>14</v>
      </c>
      <c r="H22" s="23">
        <f>VALUE('0820'!M58)</f>
        <v>17.666666666666668</v>
      </c>
      <c r="I22" s="23">
        <f>VALUE('0820'!M69)</f>
        <v>12.333333333333334</v>
      </c>
      <c r="J22" s="23">
        <f>'0820'!M79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9E61-F9B8-4E41-83B0-AD1E3052DD2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159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C54D-45B9-4D05-936D-7D91F640C91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DATE(2026,8,21)</f>
        <v>46255</v>
      </c>
      <c r="E3" s="485"/>
      <c r="F3" s="3" t="s">
        <v>72</v>
      </c>
      <c r="G3" s="486">
        <f>'0821'!E1</f>
        <v>43309</v>
      </c>
      <c r="H3" s="486"/>
      <c r="I3" s="3" t="s">
        <v>2</v>
      </c>
      <c r="J3" s="487" t="e">
        <f>'0821'!G1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'0821'!Z2</f>
        <v>0</v>
      </c>
      <c r="M6" s="496">
        <f>'0821'!AA2</f>
        <v>0</v>
      </c>
      <c r="N6" s="497">
        <f>'0821'!AD2</f>
        <v>0</v>
      </c>
      <c r="O6" s="496">
        <f>'0821'!AE2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VALUE('0821'!L15)</f>
        <v>#N/A</v>
      </c>
      <c r="E13" s="13" t="e">
        <f>VALUE('0821'!L26)</f>
        <v>#N/A</v>
      </c>
      <c r="F13" s="13" t="e">
        <f>VALUE('0821'!L37)</f>
        <v>#N/A</v>
      </c>
      <c r="G13" s="13" t="e">
        <f>VALUE('0821'!L48)</f>
        <v>#N/A</v>
      </c>
      <c r="H13" s="13" t="e">
        <f>VALUE('0821'!L58)</f>
        <v>#N/A</v>
      </c>
      <c r="I13" s="13" t="e">
        <f>VALUE('0821'!L69)</f>
        <v>#N/A</v>
      </c>
      <c r="J13" s="13" t="e">
        <f>'0821'!L79</f>
        <v>#N/A</v>
      </c>
    </row>
    <row r="14" spans="2:15" ht="39.950000000000003" customHeight="1">
      <c r="B14" s="510"/>
      <c r="C14" s="12" t="s">
        <v>100</v>
      </c>
      <c r="D14" s="13">
        <f>VALUE('0821'!O15)</f>
        <v>113.916365108528</v>
      </c>
      <c r="E14" s="13">
        <f>VALUE('0821'!O26)</f>
        <v>132.12003238004002</v>
      </c>
      <c r="F14" s="13">
        <f>VALUE('0821'!O37)</f>
        <v>126.23842229199551</v>
      </c>
      <c r="G14" s="13">
        <f>VALUE('0821'!O48)</f>
        <v>112.05430077169194</v>
      </c>
      <c r="H14" s="13">
        <f>VALUE('0821'!O58)</f>
        <v>102.47461972914017</v>
      </c>
      <c r="I14" s="13">
        <f>VALUE('0821'!O69)</f>
        <v>155.46443341604788</v>
      </c>
      <c r="J14" s="13">
        <f>'0821'!O79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'0821'!S70</f>
        <v>#N/A</v>
      </c>
    </row>
    <row r="16" spans="2:15" ht="17.25" customHeight="1">
      <c r="B16" s="512" t="s">
        <v>101</v>
      </c>
      <c r="C16" s="10" t="s">
        <v>34</v>
      </c>
      <c r="D16" s="16">
        <f>'0821'!T5</f>
        <v>0.29097222222222202</v>
      </c>
      <c r="E16" s="16">
        <f>'0821'!T16</f>
        <v>0.29097222222222202</v>
      </c>
      <c r="F16" s="16">
        <f>'0821'!T27</f>
        <v>0.29166666666666702</v>
      </c>
      <c r="G16" s="16">
        <f>'0821'!T38</f>
        <v>0.33333333333333298</v>
      </c>
      <c r="H16" s="16">
        <f>'0821'!T49</f>
        <v>0.29166666666666702</v>
      </c>
      <c r="I16" s="16">
        <f>'0821'!T59</f>
        <v>0.29166666666666702</v>
      </c>
      <c r="J16" s="17">
        <f>'0821'!T70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'0821'!Z15</f>
        <v>0</v>
      </c>
      <c r="E18" s="387">
        <f>'0821'!Z26</f>
        <v>0</v>
      </c>
      <c r="F18" s="387">
        <f>'0821'!Z37</f>
        <v>0</v>
      </c>
      <c r="G18" s="388">
        <f>'0821'!Z48</f>
        <v>0</v>
      </c>
      <c r="H18" s="388">
        <f>'0821'!Z58</f>
        <v>0</v>
      </c>
      <c r="I18" s="387">
        <f>'0821'!Z69</f>
        <v>0</v>
      </c>
      <c r="J18" s="387">
        <f>'0821'!AA79</f>
        <v>0</v>
      </c>
    </row>
    <row r="19" spans="2:10" ht="17.25" customHeight="1">
      <c r="B19" s="515"/>
      <c r="C19" s="330" t="s">
        <v>37</v>
      </c>
      <c r="D19" s="386">
        <f>'0821'!AA15</f>
        <v>0</v>
      </c>
      <c r="E19" s="387">
        <f>'0821'!AA26</f>
        <v>0</v>
      </c>
      <c r="F19" s="387">
        <f>'0821'!AA37</f>
        <v>0</v>
      </c>
      <c r="G19" s="388">
        <f>'0821'!AA48</f>
        <v>0</v>
      </c>
      <c r="H19" s="388">
        <f>'0821'!AA58</f>
        <v>0</v>
      </c>
      <c r="I19" s="387">
        <f>'0821'!AA69</f>
        <v>0</v>
      </c>
      <c r="J19" s="387">
        <f>'0821'!AB79</f>
        <v>0</v>
      </c>
    </row>
    <row r="20" spans="2:10" ht="17.25" customHeight="1">
      <c r="B20" s="514" t="s">
        <v>103</v>
      </c>
      <c r="C20" s="330" t="s">
        <v>36</v>
      </c>
      <c r="D20" s="386">
        <f>'0821'!AD15</f>
        <v>0</v>
      </c>
      <c r="E20" s="387">
        <f>'0821'!AD26</f>
        <v>0</v>
      </c>
      <c r="F20" s="387">
        <f>'0821'!AD37</f>
        <v>0</v>
      </c>
      <c r="G20" s="388">
        <f>'0821'!AD48</f>
        <v>0</v>
      </c>
      <c r="H20" s="388">
        <f>'0821'!AD58</f>
        <v>0</v>
      </c>
      <c r="I20" s="387">
        <f>'0821'!AD69</f>
        <v>0</v>
      </c>
      <c r="J20" s="387">
        <f>'0821'!AD79</f>
        <v>0</v>
      </c>
    </row>
    <row r="21" spans="2:10" ht="17.25" customHeight="1">
      <c r="B21" s="515"/>
      <c r="C21" s="330" t="s">
        <v>85</v>
      </c>
      <c r="D21" s="386">
        <f>'0821'!AE15</f>
        <v>0</v>
      </c>
      <c r="E21" s="387">
        <f>'0821'!AE26</f>
        <v>0</v>
      </c>
      <c r="F21" s="387">
        <f>'0821'!AE37</f>
        <v>0</v>
      </c>
      <c r="G21" s="388">
        <f>'0821'!AE48</f>
        <v>0</v>
      </c>
      <c r="H21" s="388">
        <f>'0821'!AE58</f>
        <v>0</v>
      </c>
      <c r="I21" s="387">
        <f>'0821'!AE69</f>
        <v>0</v>
      </c>
      <c r="J21" s="387">
        <f>'0821'!AE79</f>
        <v>0</v>
      </c>
    </row>
    <row r="22" spans="2:10" ht="17.25" customHeight="1">
      <c r="B22" s="498" t="s">
        <v>104</v>
      </c>
      <c r="C22" s="499"/>
      <c r="D22" s="23">
        <f>VALUE('0821'!M15)</f>
        <v>15</v>
      </c>
      <c r="E22" s="23">
        <f>VALUE('0821'!M26)</f>
        <v>12.666666666666666</v>
      </c>
      <c r="F22" s="23">
        <f>VALUE('0821'!M37)</f>
        <v>14.666666666666666</v>
      </c>
      <c r="G22" s="23">
        <f>VALUE('0821'!M48)</f>
        <v>14</v>
      </c>
      <c r="H22" s="23">
        <f>VALUE('0821'!M58)</f>
        <v>17.666666666666668</v>
      </c>
      <c r="I22" s="23">
        <f>VALUE('0821'!M69)</f>
        <v>12.333333333333334</v>
      </c>
      <c r="J22" s="23">
        <f>'0821'!M79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A023-C54D-4ADD-87A1-165E15FA757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160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F81-5694-48BC-998D-75DFBC9AD02A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DATE(2026,8,22)</f>
        <v>46256</v>
      </c>
      <c r="E3" s="485"/>
      <c r="F3" s="3" t="s">
        <v>72</v>
      </c>
      <c r="G3" s="486">
        <f>'0822'!E1</f>
        <v>43309</v>
      </c>
      <c r="H3" s="486"/>
      <c r="I3" s="3" t="s">
        <v>2</v>
      </c>
      <c r="J3" s="487" t="e">
        <f>'0822'!G1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'0822'!Z2</f>
        <v>0</v>
      </c>
      <c r="M6" s="496">
        <f>'0822'!AA2</f>
        <v>0</v>
      </c>
      <c r="N6" s="497">
        <f>'0822'!AD2</f>
        <v>0</v>
      </c>
      <c r="O6" s="496">
        <f>'0822'!AE2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VALUE('0822'!L15)</f>
        <v>#N/A</v>
      </c>
      <c r="E13" s="13" t="e">
        <f>VALUE('0822'!L26)</f>
        <v>#N/A</v>
      </c>
      <c r="F13" s="13" t="e">
        <f>VALUE('0822'!L37)</f>
        <v>#N/A</v>
      </c>
      <c r="G13" s="13" t="e">
        <f>VALUE('0822'!L48)</f>
        <v>#N/A</v>
      </c>
      <c r="H13" s="13" t="e">
        <f>VALUE('0822'!L58)</f>
        <v>#N/A</v>
      </c>
      <c r="I13" s="13" t="e">
        <f>VALUE('0822'!L69)</f>
        <v>#N/A</v>
      </c>
      <c r="J13" s="13" t="e">
        <f>'0822'!L79</f>
        <v>#N/A</v>
      </c>
    </row>
    <row r="14" spans="2:15" ht="39.950000000000003" customHeight="1">
      <c r="B14" s="510"/>
      <c r="C14" s="12" t="s">
        <v>100</v>
      </c>
      <c r="D14" s="13">
        <f>VALUE('0822'!O15)</f>
        <v>113.916365108528</v>
      </c>
      <c r="E14" s="13">
        <f>VALUE('0822'!O26)</f>
        <v>132.12003238004002</v>
      </c>
      <c r="F14" s="13">
        <f>VALUE('0822'!O37)</f>
        <v>126.23842229199551</v>
      </c>
      <c r="G14" s="13">
        <f>VALUE('0822'!O48)</f>
        <v>112.05430077169194</v>
      </c>
      <c r="H14" s="13">
        <f>VALUE('0822'!O58)</f>
        <v>102.47461972914017</v>
      </c>
      <c r="I14" s="13">
        <f>VALUE('0822'!O69)</f>
        <v>155.46443341604788</v>
      </c>
      <c r="J14" s="13">
        <f>'0822'!O79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'0822'!S70</f>
        <v>#N/A</v>
      </c>
    </row>
    <row r="16" spans="2:15" ht="17.25" customHeight="1">
      <c r="B16" s="512" t="s">
        <v>101</v>
      </c>
      <c r="C16" s="10" t="s">
        <v>34</v>
      </c>
      <c r="D16" s="16">
        <f>'0822'!T5</f>
        <v>0.29097222222222202</v>
      </c>
      <c r="E16" s="16">
        <f>'0822'!T16</f>
        <v>0.29097222222222202</v>
      </c>
      <c r="F16" s="16">
        <f>'0822'!T27</f>
        <v>0.29166666666666702</v>
      </c>
      <c r="G16" s="16">
        <f>'0822'!T38</f>
        <v>0.33333333333333298</v>
      </c>
      <c r="H16" s="16">
        <f>'0822'!T49</f>
        <v>0.29166666666666702</v>
      </c>
      <c r="I16" s="16">
        <f>'0822'!T59</f>
        <v>0.29166666666666702</v>
      </c>
      <c r="J16" s="17">
        <f>'0822'!T70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'0822'!Z15</f>
        <v>0</v>
      </c>
      <c r="E18" s="387">
        <f>'0822'!Z26</f>
        <v>0</v>
      </c>
      <c r="F18" s="387">
        <f>'0822'!Z37</f>
        <v>0</v>
      </c>
      <c r="G18" s="388">
        <f>'0822'!Z48</f>
        <v>0</v>
      </c>
      <c r="H18" s="388">
        <f>'0822'!Z58</f>
        <v>0</v>
      </c>
      <c r="I18" s="387">
        <f>'0822'!Z69</f>
        <v>0</v>
      </c>
      <c r="J18" s="387">
        <f>'0822'!AA79</f>
        <v>0</v>
      </c>
    </row>
    <row r="19" spans="2:10" ht="17.25" customHeight="1">
      <c r="B19" s="515"/>
      <c r="C19" s="330" t="s">
        <v>37</v>
      </c>
      <c r="D19" s="386">
        <f>'0822'!AA15</f>
        <v>0</v>
      </c>
      <c r="E19" s="387">
        <f>'0822'!AA26</f>
        <v>0</v>
      </c>
      <c r="F19" s="387">
        <f>'0822'!AA37</f>
        <v>0</v>
      </c>
      <c r="G19" s="388">
        <f>'0822'!AA48</f>
        <v>0</v>
      </c>
      <c r="H19" s="388">
        <f>'0822'!AA58</f>
        <v>0</v>
      </c>
      <c r="I19" s="387">
        <f>'0822'!AA69</f>
        <v>0</v>
      </c>
      <c r="J19" s="387">
        <f>'0822'!AB79</f>
        <v>0</v>
      </c>
    </row>
    <row r="20" spans="2:10" ht="17.25" customHeight="1">
      <c r="B20" s="514" t="s">
        <v>103</v>
      </c>
      <c r="C20" s="330" t="s">
        <v>36</v>
      </c>
      <c r="D20" s="386">
        <f>'0822'!AD15</f>
        <v>0</v>
      </c>
      <c r="E20" s="387">
        <f>'0822'!AD26</f>
        <v>0</v>
      </c>
      <c r="F20" s="387">
        <f>'0822'!AD37</f>
        <v>0</v>
      </c>
      <c r="G20" s="388">
        <f>'0822'!AD48</f>
        <v>0</v>
      </c>
      <c r="H20" s="388">
        <f>'0822'!AD58</f>
        <v>0</v>
      </c>
      <c r="I20" s="387">
        <f>'0822'!AD69</f>
        <v>0</v>
      </c>
      <c r="J20" s="387">
        <f>'0822'!AD79</f>
        <v>0</v>
      </c>
    </row>
    <row r="21" spans="2:10" ht="17.25" customHeight="1">
      <c r="B21" s="515"/>
      <c r="C21" s="330" t="s">
        <v>85</v>
      </c>
      <c r="D21" s="386">
        <f>'0822'!AE15</f>
        <v>0</v>
      </c>
      <c r="E21" s="387">
        <f>'0822'!AE26</f>
        <v>0</v>
      </c>
      <c r="F21" s="387">
        <f>'0822'!AE37</f>
        <v>0</v>
      </c>
      <c r="G21" s="388">
        <f>'0822'!AE48</f>
        <v>0</v>
      </c>
      <c r="H21" s="388">
        <f>'0822'!AE58</f>
        <v>0</v>
      </c>
      <c r="I21" s="387">
        <f>'0822'!AE69</f>
        <v>0</v>
      </c>
      <c r="J21" s="387">
        <f>'0822'!AE79</f>
        <v>0</v>
      </c>
    </row>
    <row r="22" spans="2:10" ht="17.25" customHeight="1">
      <c r="B22" s="498" t="s">
        <v>104</v>
      </c>
      <c r="C22" s="499"/>
      <c r="D22" s="23">
        <f>VALUE('0822'!M15)</f>
        <v>15</v>
      </c>
      <c r="E22" s="23">
        <f>VALUE('0822'!M26)</f>
        <v>12.666666666666666</v>
      </c>
      <c r="F22" s="23">
        <f>VALUE('0822'!M37)</f>
        <v>14.666666666666666</v>
      </c>
      <c r="G22" s="23">
        <f>VALUE('0822'!M48)</f>
        <v>14</v>
      </c>
      <c r="H22" s="23">
        <f>VALUE('0822'!M58)</f>
        <v>17.666666666666668</v>
      </c>
      <c r="I22" s="23">
        <f>VALUE('0822'!M69)</f>
        <v>12.333333333333334</v>
      </c>
      <c r="J22" s="23">
        <f>'0822'!M79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5CDB-6D31-4F9E-AC98-799C505A0545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161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5EF6-08C9-4FE8-A5D2-6DFBB28BBD5F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DATE(2026,8,23)</f>
        <v>46257</v>
      </c>
      <c r="E3" s="485"/>
      <c r="F3" s="3" t="s">
        <v>72</v>
      </c>
      <c r="G3" s="486">
        <f>'0823'!E1</f>
        <v>43309</v>
      </c>
      <c r="H3" s="486"/>
      <c r="I3" s="3" t="s">
        <v>2</v>
      </c>
      <c r="J3" s="487" t="e">
        <f>'0823'!G1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'0823'!Z2</f>
        <v>0</v>
      </c>
      <c r="M6" s="496">
        <f>'0823'!AA2</f>
        <v>0</v>
      </c>
      <c r="N6" s="497">
        <f>'0823'!AD2</f>
        <v>0</v>
      </c>
      <c r="O6" s="496">
        <f>'0823'!AE2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VALUE('0823'!L15)</f>
        <v>#N/A</v>
      </c>
      <c r="E13" s="13" t="e">
        <f>VALUE('0823'!L26)</f>
        <v>#N/A</v>
      </c>
      <c r="F13" s="13" t="e">
        <f>VALUE('0823'!L37)</f>
        <v>#N/A</v>
      </c>
      <c r="G13" s="13" t="e">
        <f>VALUE('0823'!L48)</f>
        <v>#N/A</v>
      </c>
      <c r="H13" s="13" t="e">
        <f>VALUE('0823'!L58)</f>
        <v>#N/A</v>
      </c>
      <c r="I13" s="13" t="e">
        <f>VALUE('0823'!L69)</f>
        <v>#N/A</v>
      </c>
      <c r="J13" s="13" t="e">
        <f>'0823'!L79</f>
        <v>#N/A</v>
      </c>
    </row>
    <row r="14" spans="2:15" ht="39.950000000000003" customHeight="1">
      <c r="B14" s="510"/>
      <c r="C14" s="12" t="s">
        <v>100</v>
      </c>
      <c r="D14" s="13">
        <f>VALUE('0823'!O15)</f>
        <v>113.916365108528</v>
      </c>
      <c r="E14" s="13">
        <f>VALUE('0823'!O26)</f>
        <v>132.12003238004002</v>
      </c>
      <c r="F14" s="13">
        <f>VALUE('0823'!O37)</f>
        <v>126.23842229199551</v>
      </c>
      <c r="G14" s="13">
        <f>VALUE('0823'!O48)</f>
        <v>112.05430077169194</v>
      </c>
      <c r="H14" s="13">
        <f>VALUE('0823'!O58)</f>
        <v>102.47461972914017</v>
      </c>
      <c r="I14" s="13">
        <f>VALUE('0823'!O69)</f>
        <v>155.46443341604788</v>
      </c>
      <c r="J14" s="13">
        <f>'0823'!O79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'0823'!S70</f>
        <v>#N/A</v>
      </c>
    </row>
    <row r="16" spans="2:15" ht="17.25" customHeight="1">
      <c r="B16" s="512" t="s">
        <v>101</v>
      </c>
      <c r="C16" s="10" t="s">
        <v>34</v>
      </c>
      <c r="D16" s="16">
        <f>'0823'!T5</f>
        <v>0.29097222222222202</v>
      </c>
      <c r="E16" s="16">
        <f>'0823'!T16</f>
        <v>0.29097222222222202</v>
      </c>
      <c r="F16" s="16">
        <f>'0823'!T27</f>
        <v>0.29166666666666702</v>
      </c>
      <c r="G16" s="16">
        <f>'0823'!T38</f>
        <v>0.33333333333333298</v>
      </c>
      <c r="H16" s="16">
        <f>'0823'!T49</f>
        <v>0.29166666666666702</v>
      </c>
      <c r="I16" s="16">
        <f>'0823'!T59</f>
        <v>0.29166666666666702</v>
      </c>
      <c r="J16" s="17">
        <f>'0823'!T70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'0823'!Z15</f>
        <v>0</v>
      </c>
      <c r="E18" s="387">
        <f>'0823'!Z26</f>
        <v>0</v>
      </c>
      <c r="F18" s="387">
        <f>'0823'!Z37</f>
        <v>0</v>
      </c>
      <c r="G18" s="388">
        <f>'0823'!Z48</f>
        <v>0</v>
      </c>
      <c r="H18" s="388">
        <f>'0823'!Z58</f>
        <v>0</v>
      </c>
      <c r="I18" s="387">
        <f>'0823'!Z69</f>
        <v>0</v>
      </c>
      <c r="J18" s="387">
        <f>'0823'!AA79</f>
        <v>0</v>
      </c>
    </row>
    <row r="19" spans="2:10" ht="17.25" customHeight="1">
      <c r="B19" s="515"/>
      <c r="C19" s="330" t="s">
        <v>37</v>
      </c>
      <c r="D19" s="386">
        <f>'0823'!AA15</f>
        <v>0</v>
      </c>
      <c r="E19" s="387">
        <f>'0823'!AA26</f>
        <v>0</v>
      </c>
      <c r="F19" s="387">
        <f>'0823'!AA37</f>
        <v>0</v>
      </c>
      <c r="G19" s="388">
        <f>'0823'!AA48</f>
        <v>0</v>
      </c>
      <c r="H19" s="388">
        <f>'0823'!AA58</f>
        <v>0</v>
      </c>
      <c r="I19" s="387">
        <f>'0823'!AA69</f>
        <v>0</v>
      </c>
      <c r="J19" s="387">
        <f>'0823'!AB79</f>
        <v>0</v>
      </c>
    </row>
    <row r="20" spans="2:10" ht="17.25" customHeight="1">
      <c r="B20" s="514" t="s">
        <v>103</v>
      </c>
      <c r="C20" s="330" t="s">
        <v>36</v>
      </c>
      <c r="D20" s="386">
        <f>'0823'!AD15</f>
        <v>0</v>
      </c>
      <c r="E20" s="387">
        <f>'0823'!AD26</f>
        <v>0</v>
      </c>
      <c r="F20" s="387">
        <f>'0823'!AD37</f>
        <v>0</v>
      </c>
      <c r="G20" s="388">
        <f>'0823'!AD48</f>
        <v>0</v>
      </c>
      <c r="H20" s="388">
        <f>'0823'!AD58</f>
        <v>0</v>
      </c>
      <c r="I20" s="387">
        <f>'0823'!AD69</f>
        <v>0</v>
      </c>
      <c r="J20" s="387">
        <f>'0823'!AD79</f>
        <v>0</v>
      </c>
    </row>
    <row r="21" spans="2:10" ht="17.25" customHeight="1">
      <c r="B21" s="515"/>
      <c r="C21" s="330" t="s">
        <v>85</v>
      </c>
      <c r="D21" s="386">
        <f>'0823'!AE15</f>
        <v>0</v>
      </c>
      <c r="E21" s="387">
        <f>'0823'!AE26</f>
        <v>0</v>
      </c>
      <c r="F21" s="387">
        <f>'0823'!AE37</f>
        <v>0</v>
      </c>
      <c r="G21" s="388">
        <f>'0823'!AE48</f>
        <v>0</v>
      </c>
      <c r="H21" s="388">
        <f>'0823'!AE58</f>
        <v>0</v>
      </c>
      <c r="I21" s="387">
        <f>'0823'!AE69</f>
        <v>0</v>
      </c>
      <c r="J21" s="387">
        <f>'0823'!AE79</f>
        <v>0</v>
      </c>
    </row>
    <row r="22" spans="2:10" ht="17.25" customHeight="1">
      <c r="B22" s="498" t="s">
        <v>104</v>
      </c>
      <c r="C22" s="499"/>
      <c r="D22" s="23">
        <f>VALUE('0823'!M15)</f>
        <v>15</v>
      </c>
      <c r="E22" s="23">
        <f>VALUE('0823'!M26)</f>
        <v>12.666666666666666</v>
      </c>
      <c r="F22" s="23">
        <f>VALUE('0823'!M37)</f>
        <v>14.666666666666666</v>
      </c>
      <c r="G22" s="23">
        <f>VALUE('0823'!M48)</f>
        <v>14</v>
      </c>
      <c r="H22" s="23">
        <f>VALUE('0823'!M58)</f>
        <v>17.666666666666668</v>
      </c>
      <c r="I22" s="23">
        <f>VALUE('0823'!M69)</f>
        <v>12.333333333333334</v>
      </c>
      <c r="J22" s="23">
        <f>'0823'!M79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3F9-51FE-4BEC-83E1-DDD32A05DAF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162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78A9-B249-46DF-B65C-A90997CFCDC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DATE(2026,8,24)</f>
        <v>46258</v>
      </c>
      <c r="E3" s="485"/>
      <c r="F3" s="3" t="s">
        <v>72</v>
      </c>
      <c r="G3" s="486">
        <f>'0824'!E1</f>
        <v>43309</v>
      </c>
      <c r="H3" s="486"/>
      <c r="I3" s="3" t="s">
        <v>2</v>
      </c>
      <c r="J3" s="487" t="e">
        <f>'0824'!G1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'0824'!Z2</f>
        <v>0</v>
      </c>
      <c r="M6" s="496">
        <f>'0824'!AA2</f>
        <v>0</v>
      </c>
      <c r="N6" s="497">
        <f>'0824'!AD2</f>
        <v>0</v>
      </c>
      <c r="O6" s="496">
        <f>'0824'!AE2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VALUE('0824'!L15)</f>
        <v>#N/A</v>
      </c>
      <c r="E13" s="13" t="e">
        <f>VALUE('0824'!L26)</f>
        <v>#N/A</v>
      </c>
      <c r="F13" s="13" t="e">
        <f>VALUE('0824'!L37)</f>
        <v>#N/A</v>
      </c>
      <c r="G13" s="13" t="e">
        <f>VALUE('0824'!L48)</f>
        <v>#N/A</v>
      </c>
      <c r="H13" s="13" t="e">
        <f>VALUE('0824'!L58)</f>
        <v>#N/A</v>
      </c>
      <c r="I13" s="13" t="e">
        <f>VALUE('0824'!L69)</f>
        <v>#N/A</v>
      </c>
      <c r="J13" s="13" t="e">
        <f>'0824'!L79</f>
        <v>#N/A</v>
      </c>
    </row>
    <row r="14" spans="2:15" ht="39.950000000000003" customHeight="1">
      <c r="B14" s="510"/>
      <c r="C14" s="12" t="s">
        <v>100</v>
      </c>
      <c r="D14" s="13">
        <f>VALUE('0824'!O15)</f>
        <v>113.916365108528</v>
      </c>
      <c r="E14" s="13">
        <f>VALUE('0824'!O26)</f>
        <v>132.12003238004002</v>
      </c>
      <c r="F14" s="13">
        <f>VALUE('0824'!O37)</f>
        <v>126.23842229199551</v>
      </c>
      <c r="G14" s="13">
        <f>VALUE('0824'!O48)</f>
        <v>112.05430077169194</v>
      </c>
      <c r="H14" s="13">
        <f>VALUE('0824'!O58)</f>
        <v>102.47461972914017</v>
      </c>
      <c r="I14" s="13">
        <f>VALUE('0824'!O69)</f>
        <v>155.46443341604788</v>
      </c>
      <c r="J14" s="13">
        <f>'0824'!O79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'0824'!S70</f>
        <v>#N/A</v>
      </c>
    </row>
    <row r="16" spans="2:15" ht="17.25" customHeight="1">
      <c r="B16" s="512" t="s">
        <v>101</v>
      </c>
      <c r="C16" s="10" t="s">
        <v>34</v>
      </c>
      <c r="D16" s="16">
        <f>'0824'!T5</f>
        <v>0.29097222222222202</v>
      </c>
      <c r="E16" s="16">
        <f>'0824'!T16</f>
        <v>0.29097222222222202</v>
      </c>
      <c r="F16" s="16">
        <f>'0824'!T27</f>
        <v>0.29166666666666702</v>
      </c>
      <c r="G16" s="16">
        <f>'0824'!T38</f>
        <v>0.33333333333333298</v>
      </c>
      <c r="H16" s="16">
        <f>'0824'!T49</f>
        <v>0.29166666666666702</v>
      </c>
      <c r="I16" s="16">
        <f>'0824'!T59</f>
        <v>0.29166666666666702</v>
      </c>
      <c r="J16" s="17">
        <f>'0824'!T70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'0824'!Z15</f>
        <v>0</v>
      </c>
      <c r="E18" s="387">
        <f>'0824'!Z26</f>
        <v>0</v>
      </c>
      <c r="F18" s="387">
        <f>'0824'!Z37</f>
        <v>0</v>
      </c>
      <c r="G18" s="388">
        <f>'0824'!Z48</f>
        <v>0</v>
      </c>
      <c r="H18" s="388">
        <f>'0824'!Z58</f>
        <v>0</v>
      </c>
      <c r="I18" s="387">
        <f>'0824'!Z69</f>
        <v>0</v>
      </c>
      <c r="J18" s="387">
        <f>'0824'!AA79</f>
        <v>0</v>
      </c>
    </row>
    <row r="19" spans="2:10" ht="17.25" customHeight="1">
      <c r="B19" s="515"/>
      <c r="C19" s="330" t="s">
        <v>37</v>
      </c>
      <c r="D19" s="386">
        <f>'0824'!AA15</f>
        <v>0</v>
      </c>
      <c r="E19" s="387">
        <f>'0824'!AA26</f>
        <v>0</v>
      </c>
      <c r="F19" s="387">
        <f>'0824'!AA37</f>
        <v>0</v>
      </c>
      <c r="G19" s="388">
        <f>'0824'!AA48</f>
        <v>0</v>
      </c>
      <c r="H19" s="388">
        <f>'0824'!AA58</f>
        <v>0</v>
      </c>
      <c r="I19" s="387">
        <f>'0824'!AA69</f>
        <v>0</v>
      </c>
      <c r="J19" s="387">
        <f>'0824'!AB79</f>
        <v>0</v>
      </c>
    </row>
    <row r="20" spans="2:10" ht="17.25" customHeight="1">
      <c r="B20" s="514" t="s">
        <v>103</v>
      </c>
      <c r="C20" s="330" t="s">
        <v>36</v>
      </c>
      <c r="D20" s="386">
        <f>'0824'!AD15</f>
        <v>0</v>
      </c>
      <c r="E20" s="387">
        <f>'0824'!AD26</f>
        <v>0</v>
      </c>
      <c r="F20" s="387">
        <f>'0824'!AD37</f>
        <v>0</v>
      </c>
      <c r="G20" s="388">
        <f>'0824'!AD48</f>
        <v>0</v>
      </c>
      <c r="H20" s="388">
        <f>'0824'!AD58</f>
        <v>0</v>
      </c>
      <c r="I20" s="387">
        <f>'0824'!AD69</f>
        <v>0</v>
      </c>
      <c r="J20" s="387">
        <f>'0824'!AD79</f>
        <v>0</v>
      </c>
    </row>
    <row r="21" spans="2:10" ht="17.25" customHeight="1">
      <c r="B21" s="515"/>
      <c r="C21" s="330" t="s">
        <v>85</v>
      </c>
      <c r="D21" s="386">
        <f>'0824'!AE15</f>
        <v>0</v>
      </c>
      <c r="E21" s="387">
        <f>'0824'!AE26</f>
        <v>0</v>
      </c>
      <c r="F21" s="387">
        <f>'0824'!AE37</f>
        <v>0</v>
      </c>
      <c r="G21" s="388">
        <f>'0824'!AE48</f>
        <v>0</v>
      </c>
      <c r="H21" s="388">
        <f>'0824'!AE58</f>
        <v>0</v>
      </c>
      <c r="I21" s="387">
        <f>'0824'!AE69</f>
        <v>0</v>
      </c>
      <c r="J21" s="387">
        <f>'0824'!AE79</f>
        <v>0</v>
      </c>
    </row>
    <row r="22" spans="2:10" ht="17.25" customHeight="1">
      <c r="B22" s="498" t="s">
        <v>104</v>
      </c>
      <c r="C22" s="499"/>
      <c r="D22" s="23">
        <f>VALUE('0824'!M15)</f>
        <v>15</v>
      </c>
      <c r="E22" s="23">
        <f>VALUE('0824'!M26)</f>
        <v>12.666666666666666</v>
      </c>
      <c r="F22" s="23">
        <f>VALUE('0824'!M37)</f>
        <v>14.666666666666666</v>
      </c>
      <c r="G22" s="23">
        <f>VALUE('0824'!M48)</f>
        <v>14</v>
      </c>
      <c r="H22" s="23">
        <f>VALUE('0824'!M58)</f>
        <v>17.666666666666668</v>
      </c>
      <c r="I22" s="23">
        <f>VALUE('0824'!M69)</f>
        <v>12.333333333333334</v>
      </c>
      <c r="J22" s="23">
        <f>'0824'!M79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E5AE-01D3-4663-84E8-900A4B00DDA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163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EFD-CFB3-43DB-ACB7-6C3781F04FAA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DATE(2026,8,25)</f>
        <v>46259</v>
      </c>
      <c r="E3" s="485"/>
      <c r="F3" s="3" t="s">
        <v>72</v>
      </c>
      <c r="G3" s="486">
        <f>'0825'!E1</f>
        <v>43309</v>
      </c>
      <c r="H3" s="486"/>
      <c r="I3" s="3" t="s">
        <v>2</v>
      </c>
      <c r="J3" s="487" t="e">
        <f>'0825'!G1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'0825'!Z2</f>
        <v>0</v>
      </c>
      <c r="M6" s="496">
        <f>'0825'!AA2</f>
        <v>0</v>
      </c>
      <c r="N6" s="497">
        <f>'0825'!AD2</f>
        <v>0</v>
      </c>
      <c r="O6" s="496">
        <f>'0825'!AE2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VALUE('0825'!L15)</f>
        <v>#N/A</v>
      </c>
      <c r="E13" s="13" t="e">
        <f>VALUE('0825'!L26)</f>
        <v>#N/A</v>
      </c>
      <c r="F13" s="13" t="e">
        <f>VALUE('0825'!L37)</f>
        <v>#N/A</v>
      </c>
      <c r="G13" s="13" t="e">
        <f>VALUE('0825'!L48)</f>
        <v>#N/A</v>
      </c>
      <c r="H13" s="13" t="e">
        <f>VALUE('0825'!L58)</f>
        <v>#N/A</v>
      </c>
      <c r="I13" s="13" t="e">
        <f>VALUE('0825'!L69)</f>
        <v>#N/A</v>
      </c>
      <c r="J13" s="13" t="e">
        <f>'0825'!L79</f>
        <v>#N/A</v>
      </c>
    </row>
    <row r="14" spans="2:15" ht="39.950000000000003" customHeight="1">
      <c r="B14" s="510"/>
      <c r="C14" s="12" t="s">
        <v>100</v>
      </c>
      <c r="D14" s="13">
        <f>VALUE('0825'!O15)</f>
        <v>113.916365108528</v>
      </c>
      <c r="E14" s="13">
        <f>VALUE('0825'!O26)</f>
        <v>132.12003238004002</v>
      </c>
      <c r="F14" s="13">
        <f>VALUE('0825'!O37)</f>
        <v>126.23842229199551</v>
      </c>
      <c r="G14" s="13">
        <f>VALUE('0825'!O48)</f>
        <v>112.05430077169194</v>
      </c>
      <c r="H14" s="13">
        <f>VALUE('0825'!O58)</f>
        <v>102.47461972914017</v>
      </c>
      <c r="I14" s="13">
        <f>VALUE('0825'!O69)</f>
        <v>155.46443341604788</v>
      </c>
      <c r="J14" s="13">
        <f>'0825'!O79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'0825'!S70</f>
        <v>#N/A</v>
      </c>
    </row>
    <row r="16" spans="2:15" ht="17.25" customHeight="1">
      <c r="B16" s="512" t="s">
        <v>101</v>
      </c>
      <c r="C16" s="10" t="s">
        <v>34</v>
      </c>
      <c r="D16" s="16">
        <f>'0825'!T5</f>
        <v>0.29097222222222202</v>
      </c>
      <c r="E16" s="16">
        <f>'0825'!T16</f>
        <v>0.29097222222222202</v>
      </c>
      <c r="F16" s="16">
        <f>'0825'!T27</f>
        <v>0.29166666666666702</v>
      </c>
      <c r="G16" s="16">
        <f>'0825'!T38</f>
        <v>0.33333333333333298</v>
      </c>
      <c r="H16" s="16">
        <f>'0825'!T49</f>
        <v>0.29166666666666702</v>
      </c>
      <c r="I16" s="16">
        <f>'0825'!T59</f>
        <v>0.29166666666666702</v>
      </c>
      <c r="J16" s="17">
        <f>'0825'!T70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'0825'!Z15</f>
        <v>0</v>
      </c>
      <c r="E18" s="387">
        <f>'0825'!Z26</f>
        <v>0</v>
      </c>
      <c r="F18" s="387">
        <f>'0825'!Z37</f>
        <v>0</v>
      </c>
      <c r="G18" s="388">
        <f>'0825'!Z48</f>
        <v>0</v>
      </c>
      <c r="H18" s="388">
        <f>'0825'!Z58</f>
        <v>0</v>
      </c>
      <c r="I18" s="387">
        <f>'0825'!Z69</f>
        <v>0</v>
      </c>
      <c r="J18" s="387">
        <f>'0825'!AA79</f>
        <v>0</v>
      </c>
    </row>
    <row r="19" spans="2:10" ht="17.25" customHeight="1">
      <c r="B19" s="515"/>
      <c r="C19" s="330" t="s">
        <v>37</v>
      </c>
      <c r="D19" s="386">
        <f>'0825'!AA15</f>
        <v>0</v>
      </c>
      <c r="E19" s="387">
        <f>'0825'!AA26</f>
        <v>0</v>
      </c>
      <c r="F19" s="387">
        <f>'0825'!AA37</f>
        <v>0</v>
      </c>
      <c r="G19" s="388">
        <f>'0825'!AA48</f>
        <v>0</v>
      </c>
      <c r="H19" s="388">
        <f>'0825'!AA58</f>
        <v>0</v>
      </c>
      <c r="I19" s="387">
        <f>'0825'!AA69</f>
        <v>0</v>
      </c>
      <c r="J19" s="387">
        <f>'0825'!AB79</f>
        <v>0</v>
      </c>
    </row>
    <row r="20" spans="2:10" ht="17.25" customHeight="1">
      <c r="B20" s="514" t="s">
        <v>103</v>
      </c>
      <c r="C20" s="330" t="s">
        <v>36</v>
      </c>
      <c r="D20" s="386">
        <f>'0825'!AD15</f>
        <v>0</v>
      </c>
      <c r="E20" s="387">
        <f>'0825'!AD26</f>
        <v>0</v>
      </c>
      <c r="F20" s="387">
        <f>'0825'!AD37</f>
        <v>0</v>
      </c>
      <c r="G20" s="388">
        <f>'0825'!AD48</f>
        <v>0</v>
      </c>
      <c r="H20" s="388">
        <f>'0825'!AD58</f>
        <v>0</v>
      </c>
      <c r="I20" s="387">
        <f>'0825'!AD69</f>
        <v>0</v>
      </c>
      <c r="J20" s="387">
        <f>'0825'!AD79</f>
        <v>0</v>
      </c>
    </row>
    <row r="21" spans="2:10" ht="17.25" customHeight="1">
      <c r="B21" s="515"/>
      <c r="C21" s="330" t="s">
        <v>85</v>
      </c>
      <c r="D21" s="386">
        <f>'0825'!AE15</f>
        <v>0</v>
      </c>
      <c r="E21" s="387">
        <f>'0825'!AE26</f>
        <v>0</v>
      </c>
      <c r="F21" s="387">
        <f>'0825'!AE37</f>
        <v>0</v>
      </c>
      <c r="G21" s="388">
        <f>'0825'!AE48</f>
        <v>0</v>
      </c>
      <c r="H21" s="388">
        <f>'0825'!AE58</f>
        <v>0</v>
      </c>
      <c r="I21" s="387">
        <f>'0825'!AE69</f>
        <v>0</v>
      </c>
      <c r="J21" s="387">
        <f>'0825'!AE79</f>
        <v>0</v>
      </c>
    </row>
    <row r="22" spans="2:10" ht="17.25" customHeight="1">
      <c r="B22" s="498" t="s">
        <v>104</v>
      </c>
      <c r="C22" s="499"/>
      <c r="D22" s="23">
        <f>VALUE('0825'!M15)</f>
        <v>15</v>
      </c>
      <c r="E22" s="23">
        <f>VALUE('0825'!M26)</f>
        <v>12.666666666666666</v>
      </c>
      <c r="F22" s="23">
        <f>VALUE('0825'!M37)</f>
        <v>14.666666666666666</v>
      </c>
      <c r="G22" s="23">
        <f>VALUE('0825'!M48)</f>
        <v>14</v>
      </c>
      <c r="H22" s="23">
        <f>VALUE('0825'!M58)</f>
        <v>17.666666666666668</v>
      </c>
      <c r="I22" s="23">
        <f>VALUE('0825'!M69)</f>
        <v>12.333333333333334</v>
      </c>
      <c r="J22" s="23">
        <f>'0825'!M79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1AD4-1051-415A-93E7-257C3185E774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164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F1C8-2B72-48C9-B9B4-0D7441ECF64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DATE(2026,8,26)</f>
        <v>46260</v>
      </c>
      <c r="E3" s="485"/>
      <c r="F3" s="3" t="s">
        <v>72</v>
      </c>
      <c r="G3" s="486">
        <f>'0826'!E1</f>
        <v>43309</v>
      </c>
      <c r="H3" s="486"/>
      <c r="I3" s="3" t="s">
        <v>2</v>
      </c>
      <c r="J3" s="487" t="e">
        <f>'0826'!G1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'0826'!Z2</f>
        <v>0</v>
      </c>
      <c r="M6" s="496">
        <f>'0826'!AA2</f>
        <v>0</v>
      </c>
      <c r="N6" s="497">
        <f>'0826'!AD2</f>
        <v>0</v>
      </c>
      <c r="O6" s="496">
        <f>'0826'!AE2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VALUE('0826'!L15)</f>
        <v>#N/A</v>
      </c>
      <c r="E13" s="13" t="e">
        <f>VALUE('0826'!L26)</f>
        <v>#N/A</v>
      </c>
      <c r="F13" s="13" t="e">
        <f>VALUE('0826'!L37)</f>
        <v>#N/A</v>
      </c>
      <c r="G13" s="13" t="e">
        <f>VALUE('0826'!L48)</f>
        <v>#N/A</v>
      </c>
      <c r="H13" s="13" t="e">
        <f>VALUE('0826'!L58)</f>
        <v>#N/A</v>
      </c>
      <c r="I13" s="13" t="e">
        <f>VALUE('0826'!L69)</f>
        <v>#N/A</v>
      </c>
      <c r="J13" s="13" t="e">
        <f>'0826'!L79</f>
        <v>#N/A</v>
      </c>
    </row>
    <row r="14" spans="2:15" ht="39.950000000000003" customHeight="1">
      <c r="B14" s="510"/>
      <c r="C14" s="12" t="s">
        <v>100</v>
      </c>
      <c r="D14" s="13">
        <f>VALUE('0826'!O15)</f>
        <v>113.916365108528</v>
      </c>
      <c r="E14" s="13">
        <f>VALUE('0826'!O26)</f>
        <v>132.12003238004002</v>
      </c>
      <c r="F14" s="13">
        <f>VALUE('0826'!O37)</f>
        <v>126.23842229199551</v>
      </c>
      <c r="G14" s="13">
        <f>VALUE('0826'!O48)</f>
        <v>112.05430077169194</v>
      </c>
      <c r="H14" s="13">
        <f>VALUE('0826'!O58)</f>
        <v>102.47461972914017</v>
      </c>
      <c r="I14" s="13">
        <f>VALUE('0826'!O69)</f>
        <v>155.46443341604788</v>
      </c>
      <c r="J14" s="13">
        <f>'0826'!O79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'0826'!S70</f>
        <v>#N/A</v>
      </c>
    </row>
    <row r="16" spans="2:15" ht="17.25" customHeight="1">
      <c r="B16" s="512" t="s">
        <v>101</v>
      </c>
      <c r="C16" s="10" t="s">
        <v>34</v>
      </c>
      <c r="D16" s="16">
        <f>'0826'!T5</f>
        <v>0.29097222222222202</v>
      </c>
      <c r="E16" s="16">
        <f>'0826'!T16</f>
        <v>0.29097222222222202</v>
      </c>
      <c r="F16" s="16">
        <f>'0826'!T27</f>
        <v>0.29166666666666702</v>
      </c>
      <c r="G16" s="16">
        <f>'0826'!T38</f>
        <v>0.33333333333333298</v>
      </c>
      <c r="H16" s="16">
        <f>'0826'!T49</f>
        <v>0.29166666666666702</v>
      </c>
      <c r="I16" s="16">
        <f>'0826'!T59</f>
        <v>0.29166666666666702</v>
      </c>
      <c r="J16" s="17">
        <f>'0826'!T70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'0826'!Z15</f>
        <v>0</v>
      </c>
      <c r="E18" s="387">
        <f>'0826'!Z26</f>
        <v>0</v>
      </c>
      <c r="F18" s="387">
        <f>'0826'!Z37</f>
        <v>0</v>
      </c>
      <c r="G18" s="388">
        <f>'0826'!Z48</f>
        <v>0</v>
      </c>
      <c r="H18" s="388">
        <f>'0826'!Z58</f>
        <v>0</v>
      </c>
      <c r="I18" s="387">
        <f>'0826'!Z69</f>
        <v>0</v>
      </c>
      <c r="J18" s="387">
        <f>'0826'!AA79</f>
        <v>0</v>
      </c>
    </row>
    <row r="19" spans="2:10" ht="17.25" customHeight="1">
      <c r="B19" s="515"/>
      <c r="C19" s="330" t="s">
        <v>37</v>
      </c>
      <c r="D19" s="386">
        <f>'0826'!AA15</f>
        <v>0</v>
      </c>
      <c r="E19" s="387">
        <f>'0826'!AA26</f>
        <v>0</v>
      </c>
      <c r="F19" s="387">
        <f>'0826'!AA37</f>
        <v>0</v>
      </c>
      <c r="G19" s="388">
        <f>'0826'!AA48</f>
        <v>0</v>
      </c>
      <c r="H19" s="388">
        <f>'0826'!AA58</f>
        <v>0</v>
      </c>
      <c r="I19" s="387">
        <f>'0826'!AA69</f>
        <v>0</v>
      </c>
      <c r="J19" s="387">
        <f>'0826'!AB79</f>
        <v>0</v>
      </c>
    </row>
    <row r="20" spans="2:10" ht="17.25" customHeight="1">
      <c r="B20" s="514" t="s">
        <v>103</v>
      </c>
      <c r="C20" s="330" t="s">
        <v>36</v>
      </c>
      <c r="D20" s="386">
        <f>'0826'!AD15</f>
        <v>0</v>
      </c>
      <c r="E20" s="387">
        <f>'0826'!AD26</f>
        <v>0</v>
      </c>
      <c r="F20" s="387">
        <f>'0826'!AD37</f>
        <v>0</v>
      </c>
      <c r="G20" s="388">
        <f>'0826'!AD48</f>
        <v>0</v>
      </c>
      <c r="H20" s="388">
        <f>'0826'!AD58</f>
        <v>0</v>
      </c>
      <c r="I20" s="387">
        <f>'0826'!AD69</f>
        <v>0</v>
      </c>
      <c r="J20" s="387">
        <f>'0826'!AD79</f>
        <v>0</v>
      </c>
    </row>
    <row r="21" spans="2:10" ht="17.25" customHeight="1">
      <c r="B21" s="515"/>
      <c r="C21" s="330" t="s">
        <v>85</v>
      </c>
      <c r="D21" s="386">
        <f>'0826'!AE15</f>
        <v>0</v>
      </c>
      <c r="E21" s="387">
        <f>'0826'!AE26</f>
        <v>0</v>
      </c>
      <c r="F21" s="387">
        <f>'0826'!AE37</f>
        <v>0</v>
      </c>
      <c r="G21" s="388">
        <f>'0826'!AE48</f>
        <v>0</v>
      </c>
      <c r="H21" s="388">
        <f>'0826'!AE58</f>
        <v>0</v>
      </c>
      <c r="I21" s="387">
        <f>'0826'!AE69</f>
        <v>0</v>
      </c>
      <c r="J21" s="387">
        <f>'0826'!AE79</f>
        <v>0</v>
      </c>
    </row>
    <row r="22" spans="2:10" ht="17.25" customHeight="1">
      <c r="B22" s="498" t="s">
        <v>104</v>
      </c>
      <c r="C22" s="499"/>
      <c r="D22" s="23">
        <f>VALUE('0826'!M15)</f>
        <v>15</v>
      </c>
      <c r="E22" s="23">
        <f>VALUE('0826'!M26)</f>
        <v>12.666666666666666</v>
      </c>
      <c r="F22" s="23">
        <f>VALUE('0826'!M37)</f>
        <v>14.666666666666666</v>
      </c>
      <c r="G22" s="23">
        <f>VALUE('0826'!M48)</f>
        <v>14</v>
      </c>
      <c r="H22" s="23">
        <f>VALUE('0826'!M58)</f>
        <v>17.666666666666668</v>
      </c>
      <c r="I22" s="23">
        <f>VALUE('0826'!M69)</f>
        <v>12.333333333333334</v>
      </c>
      <c r="J22" s="23">
        <f>'0826'!M79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34E-B7F2-4F51-AE88-C38712C28283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165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5756-D4F8-4DF4-8646-377DE77A342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DATE(2026,8,27)</f>
        <v>46261</v>
      </c>
      <c r="E3" s="485"/>
      <c r="F3" s="3" t="s">
        <v>72</v>
      </c>
      <c r="G3" s="486">
        <f>'0827'!E1</f>
        <v>43309</v>
      </c>
      <c r="H3" s="486"/>
      <c r="I3" s="3" t="s">
        <v>2</v>
      </c>
      <c r="J3" s="487" t="e">
        <f>'0827'!G1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'0827'!Z2</f>
        <v>0</v>
      </c>
      <c r="M6" s="496">
        <f>'0827'!AA2</f>
        <v>0</v>
      </c>
      <c r="N6" s="497">
        <f>'0827'!AD2</f>
        <v>0</v>
      </c>
      <c r="O6" s="496">
        <f>'0827'!AE2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VALUE('0827'!L15)</f>
        <v>#N/A</v>
      </c>
      <c r="E13" s="13" t="e">
        <f>VALUE('0827'!L26)</f>
        <v>#N/A</v>
      </c>
      <c r="F13" s="13" t="e">
        <f>VALUE('0827'!L37)</f>
        <v>#N/A</v>
      </c>
      <c r="G13" s="13" t="e">
        <f>VALUE('0827'!L48)</f>
        <v>#N/A</v>
      </c>
      <c r="H13" s="13" t="e">
        <f>VALUE('0827'!L58)</f>
        <v>#N/A</v>
      </c>
      <c r="I13" s="13" t="e">
        <f>VALUE('0827'!L69)</f>
        <v>#N/A</v>
      </c>
      <c r="J13" s="13" t="e">
        <f>'0827'!L79</f>
        <v>#N/A</v>
      </c>
    </row>
    <row r="14" spans="2:15" ht="39.950000000000003" customHeight="1">
      <c r="B14" s="510"/>
      <c r="C14" s="12" t="s">
        <v>100</v>
      </c>
      <c r="D14" s="13">
        <f>VALUE('0827'!O15)</f>
        <v>113.916365108528</v>
      </c>
      <c r="E14" s="13">
        <f>VALUE('0827'!O26)</f>
        <v>132.12003238004002</v>
      </c>
      <c r="F14" s="13">
        <f>VALUE('0827'!O37)</f>
        <v>126.23842229199551</v>
      </c>
      <c r="G14" s="13">
        <f>VALUE('0827'!O48)</f>
        <v>112.05430077169194</v>
      </c>
      <c r="H14" s="13">
        <f>VALUE('0827'!O58)</f>
        <v>102.47461972914017</v>
      </c>
      <c r="I14" s="13">
        <f>VALUE('0827'!O69)</f>
        <v>155.46443341604788</v>
      </c>
      <c r="J14" s="13">
        <f>'0827'!O79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'0827'!S70</f>
        <v>#N/A</v>
      </c>
    </row>
    <row r="16" spans="2:15" ht="17.25" customHeight="1">
      <c r="B16" s="512" t="s">
        <v>101</v>
      </c>
      <c r="C16" s="10" t="s">
        <v>34</v>
      </c>
      <c r="D16" s="16">
        <f>'0827'!T5</f>
        <v>0.29097222222222202</v>
      </c>
      <c r="E16" s="16">
        <f>'0827'!T16</f>
        <v>0.29097222222222202</v>
      </c>
      <c r="F16" s="16">
        <f>'0827'!T27</f>
        <v>0.29166666666666702</v>
      </c>
      <c r="G16" s="16">
        <f>'0827'!T38</f>
        <v>0.33333333333333298</v>
      </c>
      <c r="H16" s="16">
        <f>'0827'!T49</f>
        <v>0.29166666666666702</v>
      </c>
      <c r="I16" s="16">
        <f>'0827'!T59</f>
        <v>0.29166666666666702</v>
      </c>
      <c r="J16" s="17">
        <f>'0827'!T70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'0827'!Z15</f>
        <v>0</v>
      </c>
      <c r="E18" s="387">
        <f>'0827'!Z26</f>
        <v>0</v>
      </c>
      <c r="F18" s="387">
        <f>'0827'!Z37</f>
        <v>0</v>
      </c>
      <c r="G18" s="388">
        <f>'0827'!Z48</f>
        <v>0</v>
      </c>
      <c r="H18" s="388">
        <f>'0827'!Z58</f>
        <v>0</v>
      </c>
      <c r="I18" s="387">
        <f>'0827'!Z69</f>
        <v>0</v>
      </c>
      <c r="J18" s="387">
        <f>'0827'!AA79</f>
        <v>0</v>
      </c>
    </row>
    <row r="19" spans="2:10" ht="17.25" customHeight="1">
      <c r="B19" s="515"/>
      <c r="C19" s="330" t="s">
        <v>37</v>
      </c>
      <c r="D19" s="386">
        <f>'0827'!AA15</f>
        <v>0</v>
      </c>
      <c r="E19" s="387">
        <f>'0827'!AA26</f>
        <v>0</v>
      </c>
      <c r="F19" s="387">
        <f>'0827'!AA37</f>
        <v>0</v>
      </c>
      <c r="G19" s="388">
        <f>'0827'!AA48</f>
        <v>0</v>
      </c>
      <c r="H19" s="388">
        <f>'0827'!AA58</f>
        <v>0</v>
      </c>
      <c r="I19" s="387">
        <f>'0827'!AA69</f>
        <v>0</v>
      </c>
      <c r="J19" s="387">
        <f>'0827'!AB79</f>
        <v>0</v>
      </c>
    </row>
    <row r="20" spans="2:10" ht="17.25" customHeight="1">
      <c r="B20" s="514" t="s">
        <v>103</v>
      </c>
      <c r="C20" s="330" t="s">
        <v>36</v>
      </c>
      <c r="D20" s="386">
        <f>'0827'!AD15</f>
        <v>0</v>
      </c>
      <c r="E20" s="387">
        <f>'0827'!AD26</f>
        <v>0</v>
      </c>
      <c r="F20" s="387">
        <f>'0827'!AD37</f>
        <v>0</v>
      </c>
      <c r="G20" s="388">
        <f>'0827'!AD48</f>
        <v>0</v>
      </c>
      <c r="H20" s="388">
        <f>'0827'!AD58</f>
        <v>0</v>
      </c>
      <c r="I20" s="387">
        <f>'0827'!AD69</f>
        <v>0</v>
      </c>
      <c r="J20" s="387">
        <f>'0827'!AD79</f>
        <v>0</v>
      </c>
    </row>
    <row r="21" spans="2:10" ht="17.25" customHeight="1">
      <c r="B21" s="515"/>
      <c r="C21" s="330" t="s">
        <v>85</v>
      </c>
      <c r="D21" s="386">
        <f>'0827'!AE15</f>
        <v>0</v>
      </c>
      <c r="E21" s="387">
        <f>'0827'!AE26</f>
        <v>0</v>
      </c>
      <c r="F21" s="387">
        <f>'0827'!AE37</f>
        <v>0</v>
      </c>
      <c r="G21" s="388">
        <f>'0827'!AE48</f>
        <v>0</v>
      </c>
      <c r="H21" s="388">
        <f>'0827'!AE58</f>
        <v>0</v>
      </c>
      <c r="I21" s="387">
        <f>'0827'!AE69</f>
        <v>0</v>
      </c>
      <c r="J21" s="387">
        <f>'0827'!AE79</f>
        <v>0</v>
      </c>
    </row>
    <row r="22" spans="2:10" ht="17.25" customHeight="1">
      <c r="B22" s="498" t="s">
        <v>104</v>
      </c>
      <c r="C22" s="499"/>
      <c r="D22" s="23">
        <f>VALUE('0827'!M15)</f>
        <v>15</v>
      </c>
      <c r="E22" s="23">
        <f>VALUE('0827'!M26)</f>
        <v>12.666666666666666</v>
      </c>
      <c r="F22" s="23">
        <f>VALUE('0827'!M37)</f>
        <v>14.666666666666666</v>
      </c>
      <c r="G22" s="23">
        <f>VALUE('0827'!M48)</f>
        <v>14</v>
      </c>
      <c r="H22" s="23">
        <f>VALUE('0827'!M58)</f>
        <v>17.666666666666668</v>
      </c>
      <c r="I22" s="23">
        <f>VALUE('0827'!M69)</f>
        <v>12.333333333333334</v>
      </c>
      <c r="J22" s="23">
        <f>'0827'!M79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7FED-B876-418C-8A55-60001DED31A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166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6ADC-8D60-4D9E-9587-10F713EAA61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DATE(2026,8,28)</f>
        <v>46262</v>
      </c>
      <c r="E3" s="485"/>
      <c r="F3" s="3" t="s">
        <v>72</v>
      </c>
      <c r="G3" s="486">
        <f>'0828'!E1</f>
        <v>43309</v>
      </c>
      <c r="H3" s="486"/>
      <c r="I3" s="3" t="s">
        <v>2</v>
      </c>
      <c r="J3" s="487" t="e">
        <f>'0828'!G1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'0828'!Z2</f>
        <v>0</v>
      </c>
      <c r="M6" s="496">
        <f>'0828'!AA2</f>
        <v>0</v>
      </c>
      <c r="N6" s="497">
        <f>'0828'!AD2</f>
        <v>0</v>
      </c>
      <c r="O6" s="496">
        <f>'0828'!AE2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VALUE('0828'!L15)</f>
        <v>#N/A</v>
      </c>
      <c r="E13" s="13" t="e">
        <f>VALUE('0828'!L26)</f>
        <v>#N/A</v>
      </c>
      <c r="F13" s="13" t="e">
        <f>VALUE('0828'!L37)</f>
        <v>#N/A</v>
      </c>
      <c r="G13" s="13" t="e">
        <f>VALUE('0828'!L48)</f>
        <v>#N/A</v>
      </c>
      <c r="H13" s="13" t="e">
        <f>VALUE('0828'!L58)</f>
        <v>#N/A</v>
      </c>
      <c r="I13" s="13" t="e">
        <f>VALUE('0828'!L69)</f>
        <v>#N/A</v>
      </c>
      <c r="J13" s="13" t="e">
        <f>'0828'!L79</f>
        <v>#N/A</v>
      </c>
    </row>
    <row r="14" spans="2:15" ht="39.950000000000003" customHeight="1">
      <c r="B14" s="510"/>
      <c r="C14" s="12" t="s">
        <v>100</v>
      </c>
      <c r="D14" s="13">
        <f>VALUE('0828'!O15)</f>
        <v>113.916365108528</v>
      </c>
      <c r="E14" s="13">
        <f>VALUE('0828'!O26)</f>
        <v>132.12003238004002</v>
      </c>
      <c r="F14" s="13">
        <f>VALUE('0828'!O37)</f>
        <v>126.23842229199551</v>
      </c>
      <c r="G14" s="13">
        <f>VALUE('0828'!O48)</f>
        <v>112.05430077169194</v>
      </c>
      <c r="H14" s="13">
        <f>VALUE('0828'!O58)</f>
        <v>102.47461972914017</v>
      </c>
      <c r="I14" s="13">
        <f>VALUE('0828'!O69)</f>
        <v>155.46443341604788</v>
      </c>
      <c r="J14" s="13">
        <f>'0828'!O79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'0828'!S70</f>
        <v>#N/A</v>
      </c>
    </row>
    <row r="16" spans="2:15" ht="17.25" customHeight="1">
      <c r="B16" s="512" t="s">
        <v>101</v>
      </c>
      <c r="C16" s="10" t="s">
        <v>34</v>
      </c>
      <c r="D16" s="16">
        <f>'0828'!T5</f>
        <v>0.29097222222222202</v>
      </c>
      <c r="E16" s="16">
        <f>'0828'!T16</f>
        <v>0.29097222222222202</v>
      </c>
      <c r="F16" s="16">
        <f>'0828'!T27</f>
        <v>0.29166666666666702</v>
      </c>
      <c r="G16" s="16">
        <f>'0828'!T38</f>
        <v>0.33333333333333298</v>
      </c>
      <c r="H16" s="16">
        <f>'0828'!T49</f>
        <v>0.29166666666666702</v>
      </c>
      <c r="I16" s="16">
        <f>'0828'!T59</f>
        <v>0.29166666666666702</v>
      </c>
      <c r="J16" s="17">
        <f>'0828'!T70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'0828'!Z15</f>
        <v>0</v>
      </c>
      <c r="E18" s="387">
        <f>'0828'!Z26</f>
        <v>0</v>
      </c>
      <c r="F18" s="387">
        <f>'0828'!Z37</f>
        <v>0</v>
      </c>
      <c r="G18" s="388">
        <f>'0828'!Z48</f>
        <v>0</v>
      </c>
      <c r="H18" s="388">
        <f>'0828'!Z58</f>
        <v>0</v>
      </c>
      <c r="I18" s="387">
        <f>'0828'!Z69</f>
        <v>0</v>
      </c>
      <c r="J18" s="387">
        <f>'0828'!AA79</f>
        <v>0</v>
      </c>
    </row>
    <row r="19" spans="2:10" ht="17.25" customHeight="1">
      <c r="B19" s="515"/>
      <c r="C19" s="330" t="s">
        <v>37</v>
      </c>
      <c r="D19" s="386">
        <f>'0828'!AA15</f>
        <v>0</v>
      </c>
      <c r="E19" s="387">
        <f>'0828'!AA26</f>
        <v>0</v>
      </c>
      <c r="F19" s="387">
        <f>'0828'!AA37</f>
        <v>0</v>
      </c>
      <c r="G19" s="388">
        <f>'0828'!AA48</f>
        <v>0</v>
      </c>
      <c r="H19" s="388">
        <f>'0828'!AA58</f>
        <v>0</v>
      </c>
      <c r="I19" s="387">
        <f>'0828'!AA69</f>
        <v>0</v>
      </c>
      <c r="J19" s="387">
        <f>'0828'!AB79</f>
        <v>0</v>
      </c>
    </row>
    <row r="20" spans="2:10" ht="17.25" customHeight="1">
      <c r="B20" s="514" t="s">
        <v>103</v>
      </c>
      <c r="C20" s="330" t="s">
        <v>36</v>
      </c>
      <c r="D20" s="386">
        <f>'0828'!AD15</f>
        <v>0</v>
      </c>
      <c r="E20" s="387">
        <f>'0828'!AD26</f>
        <v>0</v>
      </c>
      <c r="F20" s="387">
        <f>'0828'!AD37</f>
        <v>0</v>
      </c>
      <c r="G20" s="388">
        <f>'0828'!AD48</f>
        <v>0</v>
      </c>
      <c r="H20" s="388">
        <f>'0828'!AD58</f>
        <v>0</v>
      </c>
      <c r="I20" s="387">
        <f>'0828'!AD69</f>
        <v>0</v>
      </c>
      <c r="J20" s="387">
        <f>'0828'!AD79</f>
        <v>0</v>
      </c>
    </row>
    <row r="21" spans="2:10" ht="17.25" customHeight="1">
      <c r="B21" s="515"/>
      <c r="C21" s="330" t="s">
        <v>85</v>
      </c>
      <c r="D21" s="386">
        <f>'0828'!AE15</f>
        <v>0</v>
      </c>
      <c r="E21" s="387">
        <f>'0828'!AE26</f>
        <v>0</v>
      </c>
      <c r="F21" s="387">
        <f>'0828'!AE37</f>
        <v>0</v>
      </c>
      <c r="G21" s="388">
        <f>'0828'!AE48</f>
        <v>0</v>
      </c>
      <c r="H21" s="388">
        <f>'0828'!AE58</f>
        <v>0</v>
      </c>
      <c r="I21" s="387">
        <f>'0828'!AE69</f>
        <v>0</v>
      </c>
      <c r="J21" s="387">
        <f>'0828'!AE79</f>
        <v>0</v>
      </c>
    </row>
    <row r="22" spans="2:10" ht="17.25" customHeight="1">
      <c r="B22" s="498" t="s">
        <v>104</v>
      </c>
      <c r="C22" s="499"/>
      <c r="D22" s="23">
        <f>VALUE('0828'!M15)</f>
        <v>15</v>
      </c>
      <c r="E22" s="23">
        <f>VALUE('0828'!M26)</f>
        <v>12.666666666666666</v>
      </c>
      <c r="F22" s="23">
        <f>VALUE('0828'!M37)</f>
        <v>14.666666666666666</v>
      </c>
      <c r="G22" s="23">
        <f>VALUE('0828'!M48)</f>
        <v>14</v>
      </c>
      <c r="H22" s="23">
        <f>VALUE('0828'!M58)</f>
        <v>17.666666666666668</v>
      </c>
      <c r="I22" s="23">
        <f>VALUE('0828'!M69)</f>
        <v>12.333333333333334</v>
      </c>
      <c r="J22" s="23">
        <f>'0828'!M79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4AA3-54EA-48D7-BE14-2FC2F8F4975B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180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4348-8C7F-4EDD-980E-8E4032BD28B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DATE(2026,8,29)</f>
        <v>46263</v>
      </c>
      <c r="E3" s="485"/>
      <c r="F3" s="3" t="s">
        <v>72</v>
      </c>
      <c r="G3" s="486">
        <f>'0829'!E1</f>
        <v>43309</v>
      </c>
      <c r="H3" s="486"/>
      <c r="I3" s="3" t="s">
        <v>2</v>
      </c>
      <c r="J3" s="487" t="e">
        <f>'0829'!G1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'0829'!Z2</f>
        <v>0</v>
      </c>
      <c r="M6" s="496">
        <f>'0829'!AA2</f>
        <v>0</v>
      </c>
      <c r="N6" s="497">
        <f>'0829'!AD2</f>
        <v>0</v>
      </c>
      <c r="O6" s="496">
        <f>'0829'!AE2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VALUE('0829'!L15)</f>
        <v>#N/A</v>
      </c>
      <c r="E13" s="13" t="e">
        <f>VALUE('0829'!L26)</f>
        <v>#N/A</v>
      </c>
      <c r="F13" s="13" t="e">
        <f>VALUE('0829'!L37)</f>
        <v>#N/A</v>
      </c>
      <c r="G13" s="13" t="e">
        <f>VALUE('0829'!L48)</f>
        <v>#N/A</v>
      </c>
      <c r="H13" s="13" t="e">
        <f>VALUE('0829'!L58)</f>
        <v>#N/A</v>
      </c>
      <c r="I13" s="13" t="e">
        <f>VALUE('0829'!L69)</f>
        <v>#N/A</v>
      </c>
      <c r="J13" s="13" t="e">
        <f>'0829'!L79</f>
        <v>#N/A</v>
      </c>
    </row>
    <row r="14" spans="2:15" ht="39.950000000000003" customHeight="1">
      <c r="B14" s="510"/>
      <c r="C14" s="12" t="s">
        <v>100</v>
      </c>
      <c r="D14" s="13">
        <f>VALUE('0829'!O15)</f>
        <v>113.916365108528</v>
      </c>
      <c r="E14" s="13">
        <f>VALUE('0829'!O26)</f>
        <v>132.12003238004002</v>
      </c>
      <c r="F14" s="13">
        <f>VALUE('0829'!O37)</f>
        <v>126.23842229199551</v>
      </c>
      <c r="G14" s="13">
        <f>VALUE('0829'!O48)</f>
        <v>112.05430077169194</v>
      </c>
      <c r="H14" s="13">
        <f>VALUE('0829'!O58)</f>
        <v>102.47461972914017</v>
      </c>
      <c r="I14" s="13">
        <f>VALUE('0829'!O69)</f>
        <v>155.46443341604788</v>
      </c>
      <c r="J14" s="13">
        <f>'0829'!O79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'0829'!S70</f>
        <v>#N/A</v>
      </c>
    </row>
    <row r="16" spans="2:15" ht="17.25" customHeight="1">
      <c r="B16" s="512" t="s">
        <v>101</v>
      </c>
      <c r="C16" s="10" t="s">
        <v>34</v>
      </c>
      <c r="D16" s="16">
        <f>'0829'!T5</f>
        <v>0.29097222222222202</v>
      </c>
      <c r="E16" s="16">
        <f>'0829'!T16</f>
        <v>0.29097222222222202</v>
      </c>
      <c r="F16" s="16">
        <f>'0829'!T27</f>
        <v>0.29166666666666702</v>
      </c>
      <c r="G16" s="16">
        <f>'0829'!T38</f>
        <v>0.33333333333333298</v>
      </c>
      <c r="H16" s="16">
        <f>'0829'!T49</f>
        <v>0.29166666666666702</v>
      </c>
      <c r="I16" s="16">
        <f>'0829'!T59</f>
        <v>0.29166666666666702</v>
      </c>
      <c r="J16" s="17">
        <f>'0829'!T70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'0829'!Z15</f>
        <v>0</v>
      </c>
      <c r="E18" s="387">
        <f>'0829'!Z26</f>
        <v>0</v>
      </c>
      <c r="F18" s="387">
        <f>'0829'!Z37</f>
        <v>0</v>
      </c>
      <c r="G18" s="388">
        <f>'0829'!Z48</f>
        <v>0</v>
      </c>
      <c r="H18" s="388">
        <f>'0829'!Z58</f>
        <v>0</v>
      </c>
      <c r="I18" s="387">
        <f>'0829'!Z69</f>
        <v>0</v>
      </c>
      <c r="J18" s="387">
        <f>'0829'!AA79</f>
        <v>0</v>
      </c>
    </row>
    <row r="19" spans="2:10" ht="17.25" customHeight="1">
      <c r="B19" s="515"/>
      <c r="C19" s="330" t="s">
        <v>37</v>
      </c>
      <c r="D19" s="386">
        <f>'0829'!AA15</f>
        <v>0</v>
      </c>
      <c r="E19" s="387">
        <f>'0829'!AA26</f>
        <v>0</v>
      </c>
      <c r="F19" s="387">
        <f>'0829'!AA37</f>
        <v>0</v>
      </c>
      <c r="G19" s="388">
        <f>'0829'!AA48</f>
        <v>0</v>
      </c>
      <c r="H19" s="388">
        <f>'0829'!AA58</f>
        <v>0</v>
      </c>
      <c r="I19" s="387">
        <f>'0829'!AA69</f>
        <v>0</v>
      </c>
      <c r="J19" s="387">
        <f>'0829'!AB79</f>
        <v>0</v>
      </c>
    </row>
    <row r="20" spans="2:10" ht="17.25" customHeight="1">
      <c r="B20" s="514" t="s">
        <v>103</v>
      </c>
      <c r="C20" s="330" t="s">
        <v>36</v>
      </c>
      <c r="D20" s="386">
        <f>'0829'!AD15</f>
        <v>0</v>
      </c>
      <c r="E20" s="387">
        <f>'0829'!AD26</f>
        <v>0</v>
      </c>
      <c r="F20" s="387">
        <f>'0829'!AD37</f>
        <v>0</v>
      </c>
      <c r="G20" s="388">
        <f>'0829'!AD48</f>
        <v>0</v>
      </c>
      <c r="H20" s="388">
        <f>'0829'!AD58</f>
        <v>0</v>
      </c>
      <c r="I20" s="387">
        <f>'0829'!AD69</f>
        <v>0</v>
      </c>
      <c r="J20" s="387">
        <f>'0829'!AD79</f>
        <v>0</v>
      </c>
    </row>
    <row r="21" spans="2:10" ht="17.25" customHeight="1">
      <c r="B21" s="515"/>
      <c r="C21" s="330" t="s">
        <v>85</v>
      </c>
      <c r="D21" s="386">
        <f>'0829'!AE15</f>
        <v>0</v>
      </c>
      <c r="E21" s="387">
        <f>'0829'!AE26</f>
        <v>0</v>
      </c>
      <c r="F21" s="387">
        <f>'0829'!AE37</f>
        <v>0</v>
      </c>
      <c r="G21" s="388">
        <f>'0829'!AE48</f>
        <v>0</v>
      </c>
      <c r="H21" s="388">
        <f>'0829'!AE58</f>
        <v>0</v>
      </c>
      <c r="I21" s="387">
        <f>'0829'!AE69</f>
        <v>0</v>
      </c>
      <c r="J21" s="387">
        <f>'0829'!AE79</f>
        <v>0</v>
      </c>
    </row>
    <row r="22" spans="2:10" ht="17.25" customHeight="1">
      <c r="B22" s="498" t="s">
        <v>104</v>
      </c>
      <c r="C22" s="499"/>
      <c r="D22" s="23">
        <f>VALUE('0829'!M15)</f>
        <v>15</v>
      </c>
      <c r="E22" s="23">
        <f>VALUE('0829'!M26)</f>
        <v>12.666666666666666</v>
      </c>
      <c r="F22" s="23">
        <f>VALUE('0829'!M37)</f>
        <v>14.666666666666666</v>
      </c>
      <c r="G22" s="23">
        <f>VALUE('0829'!M48)</f>
        <v>14</v>
      </c>
      <c r="H22" s="23">
        <f>VALUE('0829'!M58)</f>
        <v>17.666666666666668</v>
      </c>
      <c r="I22" s="23">
        <f>VALUE('0829'!M69)</f>
        <v>12.333333333333334</v>
      </c>
      <c r="J22" s="23">
        <f>'0829'!M79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E71-280D-4ADE-A106-70E646468F1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181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2850-177D-46CD-8A64-DD60A61AC85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DATE(2026,8,30)</f>
        <v>46264</v>
      </c>
      <c r="E3" s="485"/>
      <c r="F3" s="3" t="s">
        <v>72</v>
      </c>
      <c r="G3" s="486">
        <f>'0830'!E1</f>
        <v>43309</v>
      </c>
      <c r="H3" s="486"/>
      <c r="I3" s="3" t="s">
        <v>2</v>
      </c>
      <c r="J3" s="487" t="e">
        <f>'0830'!G1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'0830'!Z2</f>
        <v>0</v>
      </c>
      <c r="M6" s="496">
        <f>'0830'!AA2</f>
        <v>0</v>
      </c>
      <c r="N6" s="497">
        <f>'0830'!AD2</f>
        <v>0</v>
      </c>
      <c r="O6" s="496">
        <f>'0830'!AE2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VALUE('0830'!L15)</f>
        <v>#N/A</v>
      </c>
      <c r="E13" s="13" t="e">
        <f>VALUE('0830'!L26)</f>
        <v>#N/A</v>
      </c>
      <c r="F13" s="13" t="e">
        <f>VALUE('0830'!L37)</f>
        <v>#N/A</v>
      </c>
      <c r="G13" s="13" t="e">
        <f>VALUE('0830'!L48)</f>
        <v>#N/A</v>
      </c>
      <c r="H13" s="13" t="e">
        <f>VALUE('0830'!L58)</f>
        <v>#N/A</v>
      </c>
      <c r="I13" s="13" t="e">
        <f>VALUE('0830'!L69)</f>
        <v>#N/A</v>
      </c>
      <c r="J13" s="13" t="e">
        <f>'0830'!L79</f>
        <v>#N/A</v>
      </c>
    </row>
    <row r="14" spans="2:15" ht="39.950000000000003" customHeight="1">
      <c r="B14" s="510"/>
      <c r="C14" s="12" t="s">
        <v>100</v>
      </c>
      <c r="D14" s="13">
        <f>VALUE('0830'!O15)</f>
        <v>113.916365108528</v>
      </c>
      <c r="E14" s="13">
        <f>VALUE('0830'!O26)</f>
        <v>132.12003238004002</v>
      </c>
      <c r="F14" s="13">
        <f>VALUE('0830'!O37)</f>
        <v>126.23842229199551</v>
      </c>
      <c r="G14" s="13">
        <f>VALUE('0830'!O48)</f>
        <v>112.05430077169194</v>
      </c>
      <c r="H14" s="13">
        <f>VALUE('0830'!O58)</f>
        <v>102.47461972914017</v>
      </c>
      <c r="I14" s="13">
        <f>VALUE('0830'!O69)</f>
        <v>155.46443341604788</v>
      </c>
      <c r="J14" s="13">
        <f>'0830'!O79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'0830'!S70</f>
        <v>#N/A</v>
      </c>
    </row>
    <row r="16" spans="2:15" ht="17.25" customHeight="1">
      <c r="B16" s="512" t="s">
        <v>101</v>
      </c>
      <c r="C16" s="10" t="s">
        <v>34</v>
      </c>
      <c r="D16" s="16">
        <f>'0830'!T5</f>
        <v>0.29097222222222202</v>
      </c>
      <c r="E16" s="16">
        <f>'0830'!T16</f>
        <v>0.29097222222222202</v>
      </c>
      <c r="F16" s="16">
        <f>'0830'!T27</f>
        <v>0.29166666666666702</v>
      </c>
      <c r="G16" s="16">
        <f>'0830'!T38</f>
        <v>0.33333333333333298</v>
      </c>
      <c r="H16" s="16">
        <f>'0830'!T49</f>
        <v>0.29166666666666702</v>
      </c>
      <c r="I16" s="16">
        <f>'0830'!T59</f>
        <v>0.29166666666666702</v>
      </c>
      <c r="J16" s="17">
        <f>'0830'!T70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'0830'!Z15</f>
        <v>0</v>
      </c>
      <c r="E18" s="387">
        <f>'0830'!Z26</f>
        <v>0</v>
      </c>
      <c r="F18" s="387">
        <f>'0830'!Z37</f>
        <v>0</v>
      </c>
      <c r="G18" s="388">
        <f>'0830'!Z48</f>
        <v>0</v>
      </c>
      <c r="H18" s="388">
        <f>'0830'!Z58</f>
        <v>0</v>
      </c>
      <c r="I18" s="387">
        <f>'0830'!Z69</f>
        <v>0</v>
      </c>
      <c r="J18" s="387">
        <f>'0830'!AA79</f>
        <v>0</v>
      </c>
    </row>
    <row r="19" spans="2:10" ht="17.25" customHeight="1">
      <c r="B19" s="515"/>
      <c r="C19" s="330" t="s">
        <v>37</v>
      </c>
      <c r="D19" s="386">
        <f>'0830'!AA15</f>
        <v>0</v>
      </c>
      <c r="E19" s="387">
        <f>'0830'!AA26</f>
        <v>0</v>
      </c>
      <c r="F19" s="387">
        <f>'0830'!AA37</f>
        <v>0</v>
      </c>
      <c r="G19" s="388">
        <f>'0830'!AA48</f>
        <v>0</v>
      </c>
      <c r="H19" s="388">
        <f>'0830'!AA58</f>
        <v>0</v>
      </c>
      <c r="I19" s="387">
        <f>'0830'!AA69</f>
        <v>0</v>
      </c>
      <c r="J19" s="387">
        <f>'0830'!AB79</f>
        <v>0</v>
      </c>
    </row>
    <row r="20" spans="2:10" ht="17.25" customHeight="1">
      <c r="B20" s="514" t="s">
        <v>103</v>
      </c>
      <c r="C20" s="330" t="s">
        <v>36</v>
      </c>
      <c r="D20" s="386">
        <f>'0830'!AD15</f>
        <v>0</v>
      </c>
      <c r="E20" s="387">
        <f>'0830'!AD26</f>
        <v>0</v>
      </c>
      <c r="F20" s="387">
        <f>'0830'!AD37</f>
        <v>0</v>
      </c>
      <c r="G20" s="388">
        <f>'0830'!AD48</f>
        <v>0</v>
      </c>
      <c r="H20" s="388">
        <f>'0830'!AD58</f>
        <v>0</v>
      </c>
      <c r="I20" s="387">
        <f>'0830'!AD69</f>
        <v>0</v>
      </c>
      <c r="J20" s="387">
        <f>'0830'!AD79</f>
        <v>0</v>
      </c>
    </row>
    <row r="21" spans="2:10" ht="17.25" customHeight="1">
      <c r="B21" s="515"/>
      <c r="C21" s="330" t="s">
        <v>85</v>
      </c>
      <c r="D21" s="386">
        <f>'0830'!AE15</f>
        <v>0</v>
      </c>
      <c r="E21" s="387">
        <f>'0830'!AE26</f>
        <v>0</v>
      </c>
      <c r="F21" s="387">
        <f>'0830'!AE37</f>
        <v>0</v>
      </c>
      <c r="G21" s="388">
        <f>'0830'!AE48</f>
        <v>0</v>
      </c>
      <c r="H21" s="388">
        <f>'0830'!AE58</f>
        <v>0</v>
      </c>
      <c r="I21" s="387">
        <f>'0830'!AE69</f>
        <v>0</v>
      </c>
      <c r="J21" s="387">
        <f>'0830'!AE79</f>
        <v>0</v>
      </c>
    </row>
    <row r="22" spans="2:10" ht="17.25" customHeight="1">
      <c r="B22" s="498" t="s">
        <v>104</v>
      </c>
      <c r="C22" s="499"/>
      <c r="D22" s="23">
        <f>VALUE('0830'!M15)</f>
        <v>15</v>
      </c>
      <c r="E22" s="23">
        <f>VALUE('0830'!M26)</f>
        <v>12.666666666666666</v>
      </c>
      <c r="F22" s="23">
        <f>VALUE('0830'!M37)</f>
        <v>14.666666666666666</v>
      </c>
      <c r="G22" s="23">
        <f>VALUE('0830'!M48)</f>
        <v>14</v>
      </c>
      <c r="H22" s="23">
        <f>VALUE('0830'!M58)</f>
        <v>17.666666666666668</v>
      </c>
      <c r="I22" s="23">
        <f>VALUE('0830'!M69)</f>
        <v>12.333333333333334</v>
      </c>
      <c r="J22" s="23">
        <f>'0830'!M79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3753-2F54-4540-B738-D7661EB482E7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182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73C-D5F4-4B58-B3D1-D1CE27381FA6}">
  <dimension ref="B1:O26"/>
  <sheetViews>
    <sheetView topLeftCell="B1" zoomScale="70" zoomScaleNormal="70" workbookViewId="0">
      <selection activeCell="F20" sqref="F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60" width="8.85546875" style="2" customWidth="1"/>
    <col min="161" max="16384" width="8.85546875" style="2"/>
  </cols>
  <sheetData>
    <row r="1" spans="2:15" ht="27.75" customHeight="1">
      <c r="B1" s="484" t="s">
        <v>70</v>
      </c>
      <c r="C1" s="484"/>
      <c r="D1" s="484"/>
      <c r="E1" s="484"/>
      <c r="F1" s="484"/>
      <c r="G1" s="484"/>
      <c r="H1" s="484"/>
      <c r="I1" s="484"/>
      <c r="J1" s="484"/>
      <c r="K1" s="484"/>
      <c r="L1" s="1"/>
      <c r="M1" s="1"/>
    </row>
    <row r="2" spans="2:15" ht="27.75" customHeight="1"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1"/>
      <c r="M2" s="1"/>
    </row>
    <row r="3" spans="2:15" ht="46.5" customHeight="1">
      <c r="B3" s="481" t="s">
        <v>71</v>
      </c>
      <c r="C3" s="481"/>
      <c r="D3" s="551">
        <f>DATE(2026,8,31)</f>
        <v>46265</v>
      </c>
      <c r="E3" s="485"/>
      <c r="F3" s="3" t="s">
        <v>72</v>
      </c>
      <c r="G3" s="486">
        <f>'0831'!E1</f>
        <v>43309</v>
      </c>
      <c r="H3" s="486"/>
      <c r="I3" s="3" t="s">
        <v>2</v>
      </c>
      <c r="J3" s="487" t="e">
        <f>'0831'!G1</f>
        <v>#N/A</v>
      </c>
      <c r="K3" s="487"/>
      <c r="L3" s="4"/>
    </row>
    <row r="4" spans="2:15" ht="24" customHeight="1">
      <c r="B4" s="481" t="s">
        <v>73</v>
      </c>
      <c r="C4" s="481"/>
      <c r="D4" s="482">
        <v>3</v>
      </c>
      <c r="E4" s="482"/>
      <c r="F4" s="483" t="s">
        <v>74</v>
      </c>
      <c r="G4" s="483"/>
      <c r="H4" s="483" t="s">
        <v>75</v>
      </c>
      <c r="I4" s="483"/>
      <c r="J4" s="482" t="s">
        <v>76</v>
      </c>
      <c r="K4" s="483"/>
      <c r="L4" s="501" t="s">
        <v>77</v>
      </c>
      <c r="M4" s="494"/>
      <c r="N4" s="494" t="s">
        <v>78</v>
      </c>
      <c r="O4" s="494"/>
    </row>
    <row r="5" spans="2:15" ht="24" customHeight="1">
      <c r="B5" s="481" t="s">
        <v>14</v>
      </c>
      <c r="C5" s="481"/>
      <c r="D5" s="482" t="s">
        <v>79</v>
      </c>
      <c r="E5" s="482"/>
      <c r="F5" s="482" t="s">
        <v>80</v>
      </c>
      <c r="G5" s="482"/>
      <c r="H5" s="490" t="s">
        <v>81</v>
      </c>
      <c r="I5" s="490"/>
      <c r="J5" s="491" t="s">
        <v>82</v>
      </c>
      <c r="K5" s="4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1"/>
      <c r="C6" s="481"/>
      <c r="D6" s="481" t="s">
        <v>86</v>
      </c>
      <c r="E6" s="481"/>
      <c r="F6" s="492" t="e">
        <f>AVERAGE(D13:J13)</f>
        <v>#N/A</v>
      </c>
      <c r="G6" s="492"/>
      <c r="H6" s="493" t="e">
        <f>AVERAGE(D13:H13)</f>
        <v>#N/A</v>
      </c>
      <c r="I6" s="493"/>
      <c r="J6" s="493" t="e">
        <f>AVERAGE(I13:J13)</f>
        <v>#N/A</v>
      </c>
      <c r="K6" s="493"/>
      <c r="L6" s="495">
        <f>'0831'!Z2</f>
        <v>0</v>
      </c>
      <c r="M6" s="496">
        <f>'0831'!AA2</f>
        <v>0</v>
      </c>
      <c r="N6" s="497">
        <f>'0831'!AD2</f>
        <v>0</v>
      </c>
      <c r="O6" s="496">
        <f>'0831'!AE2</f>
        <v>0</v>
      </c>
    </row>
    <row r="7" spans="2:15" ht="39.6" customHeight="1">
      <c r="B7" s="481"/>
      <c r="C7" s="481"/>
      <c r="D7" s="488" t="s">
        <v>87</v>
      </c>
      <c r="E7" s="488"/>
      <c r="F7" s="516">
        <f>AVERAGE(D14:J14)</f>
        <v>116.11474837607263</v>
      </c>
      <c r="G7" s="516"/>
      <c r="H7" s="517">
        <f>AVERAGE(D14:H14)</f>
        <v>117.36074805627914</v>
      </c>
      <c r="I7" s="517"/>
      <c r="J7" s="517">
        <f>AVERAGE(I14:J14)</f>
        <v>112.99974917555633</v>
      </c>
      <c r="K7" s="517"/>
      <c r="L7" s="495"/>
      <c r="M7" s="496"/>
      <c r="N7" s="497"/>
      <c r="O7" s="496"/>
    </row>
    <row r="8" spans="2:15" ht="39.6" customHeight="1">
      <c r="B8" s="481"/>
      <c r="C8" s="481"/>
      <c r="D8" s="488" t="s">
        <v>27</v>
      </c>
      <c r="E8" s="488"/>
      <c r="F8" s="489" t="e">
        <f>AVERAGE(D15:J15)</f>
        <v>#N/A</v>
      </c>
      <c r="G8" s="489"/>
      <c r="H8" s="489" t="e">
        <f>AVERAGE(D15:H15)</f>
        <v>#N/A</v>
      </c>
      <c r="I8" s="489"/>
      <c r="J8" s="489" t="e">
        <f>AVERAGE(I15:J15)</f>
        <v>#N/A</v>
      </c>
      <c r="K8" s="489"/>
      <c r="L8" s="495"/>
      <c r="M8" s="496"/>
      <c r="N8" s="497"/>
      <c r="O8" s="4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98" t="s">
        <v>89</v>
      </c>
      <c r="C10" s="499"/>
      <c r="D10" s="502" t="s">
        <v>90</v>
      </c>
      <c r="E10" s="503"/>
      <c r="F10" s="503"/>
      <c r="G10" s="503"/>
      <c r="H10" s="503"/>
      <c r="I10" s="503"/>
      <c r="J10" s="504"/>
    </row>
    <row r="11" spans="2:15" ht="17.25" customHeight="1">
      <c r="B11" s="505" t="s">
        <v>91</v>
      </c>
      <c r="C11" s="5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507"/>
      <c r="C12" s="5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509" t="s">
        <v>14</v>
      </c>
      <c r="C13" s="12" t="s">
        <v>99</v>
      </c>
      <c r="D13" s="13" t="e">
        <f>VALUE('0831'!L15)</f>
        <v>#N/A</v>
      </c>
      <c r="E13" s="13" t="e">
        <f>VALUE('0831'!L26)</f>
        <v>#N/A</v>
      </c>
      <c r="F13" s="13" t="e">
        <f>VALUE('0831'!L37)</f>
        <v>#N/A</v>
      </c>
      <c r="G13" s="13" t="e">
        <f>VALUE('0831'!L48)</f>
        <v>#N/A</v>
      </c>
      <c r="H13" s="13" t="e">
        <f>VALUE('0831'!L58)</f>
        <v>#N/A</v>
      </c>
      <c r="I13" s="13" t="e">
        <f>VALUE('0831'!L69)</f>
        <v>#N/A</v>
      </c>
      <c r="J13" s="13" t="e">
        <f>'0831'!L79</f>
        <v>#N/A</v>
      </c>
    </row>
    <row r="14" spans="2:15" ht="39.950000000000003" customHeight="1">
      <c r="B14" s="510"/>
      <c r="C14" s="12" t="s">
        <v>100</v>
      </c>
      <c r="D14" s="13">
        <f>VALUE('0831'!O15)</f>
        <v>113.916365108528</v>
      </c>
      <c r="E14" s="13">
        <f>VALUE('0831'!O26)</f>
        <v>132.12003238004002</v>
      </c>
      <c r="F14" s="13">
        <f>VALUE('0831'!O37)</f>
        <v>126.23842229199551</v>
      </c>
      <c r="G14" s="13">
        <f>VALUE('0831'!O48)</f>
        <v>112.05430077169194</v>
      </c>
      <c r="H14" s="13">
        <f>VALUE('0831'!O58)</f>
        <v>102.47461972914017</v>
      </c>
      <c r="I14" s="13">
        <f>VALUE('0831'!O69)</f>
        <v>155.46443341604788</v>
      </c>
      <c r="J14" s="13">
        <f>'0831'!O79</f>
        <v>70.535064935064796</v>
      </c>
    </row>
    <row r="15" spans="2:15" ht="39.950000000000003" customHeight="1">
      <c r="B15" s="5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'0831'!S70</f>
        <v>#N/A</v>
      </c>
    </row>
    <row r="16" spans="2:15" ht="17.25" customHeight="1">
      <c r="B16" s="512" t="s">
        <v>101</v>
      </c>
      <c r="C16" s="10" t="s">
        <v>34</v>
      </c>
      <c r="D16" s="16">
        <f>'0831'!T5</f>
        <v>0.29097222222222202</v>
      </c>
      <c r="E16" s="16">
        <f>'0831'!T16</f>
        <v>0.29097222222222202</v>
      </c>
      <c r="F16" s="16">
        <f>'0831'!T27</f>
        <v>0.29166666666666702</v>
      </c>
      <c r="G16" s="16">
        <f>'0831'!T38</f>
        <v>0.33333333333333298</v>
      </c>
      <c r="H16" s="16">
        <f>'0831'!T49</f>
        <v>0.29166666666666702</v>
      </c>
      <c r="I16" s="16">
        <f>'0831'!T59</f>
        <v>0.29166666666666702</v>
      </c>
      <c r="J16" s="17">
        <f>'0831'!T70</f>
        <v>0.34722222222222199</v>
      </c>
    </row>
    <row r="17" spans="2:10" ht="17.25" customHeight="1">
      <c r="B17" s="5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14" t="s">
        <v>102</v>
      </c>
      <c r="C18" s="330" t="s">
        <v>36</v>
      </c>
      <c r="D18" s="386">
        <f>'0831'!Z15</f>
        <v>0</v>
      </c>
      <c r="E18" s="387">
        <f>'0831'!Z26</f>
        <v>0</v>
      </c>
      <c r="F18" s="387">
        <f>'0831'!Z37</f>
        <v>0</v>
      </c>
      <c r="G18" s="388">
        <f>'0831'!Z48</f>
        <v>0</v>
      </c>
      <c r="H18" s="388">
        <f>'0831'!Z58</f>
        <v>0</v>
      </c>
      <c r="I18" s="387">
        <f>'0831'!Z69</f>
        <v>0</v>
      </c>
      <c r="J18" s="387">
        <f>'0831'!AA79</f>
        <v>0</v>
      </c>
    </row>
    <row r="19" spans="2:10" ht="17.25" customHeight="1">
      <c r="B19" s="515"/>
      <c r="C19" s="330" t="s">
        <v>37</v>
      </c>
      <c r="D19" s="386">
        <f>'0831'!AA15</f>
        <v>0</v>
      </c>
      <c r="E19" s="387">
        <f>'0831'!AA26</f>
        <v>0</v>
      </c>
      <c r="F19" s="387">
        <f>'0831'!AA37</f>
        <v>0</v>
      </c>
      <c r="G19" s="388">
        <f>'0831'!AA48</f>
        <v>0</v>
      </c>
      <c r="H19" s="388">
        <f>'0831'!AA58</f>
        <v>0</v>
      </c>
      <c r="I19" s="387">
        <f>'0831'!AA69</f>
        <v>0</v>
      </c>
      <c r="J19" s="387">
        <f>'0831'!AB79</f>
        <v>0</v>
      </c>
    </row>
    <row r="20" spans="2:10" ht="17.25" customHeight="1">
      <c r="B20" s="514" t="s">
        <v>103</v>
      </c>
      <c r="C20" s="330" t="s">
        <v>36</v>
      </c>
      <c r="D20" s="386">
        <f>'0831'!AD15</f>
        <v>0</v>
      </c>
      <c r="E20" s="387">
        <f>'0831'!AD26</f>
        <v>0</v>
      </c>
      <c r="F20" s="387">
        <f>'0831'!AD37</f>
        <v>0</v>
      </c>
      <c r="G20" s="388">
        <f>'0831'!AD48</f>
        <v>0</v>
      </c>
      <c r="H20" s="388">
        <f>'0831'!AD58</f>
        <v>0</v>
      </c>
      <c r="I20" s="387">
        <f>'0831'!AD69</f>
        <v>0</v>
      </c>
      <c r="J20" s="387">
        <f>'0831'!AD79</f>
        <v>0</v>
      </c>
    </row>
    <row r="21" spans="2:10" ht="17.25" customHeight="1">
      <c r="B21" s="515"/>
      <c r="C21" s="330" t="s">
        <v>85</v>
      </c>
      <c r="D21" s="386">
        <f>'0831'!AE15</f>
        <v>0</v>
      </c>
      <c r="E21" s="387">
        <f>'0831'!AE26</f>
        <v>0</v>
      </c>
      <c r="F21" s="387">
        <f>'0831'!AE37</f>
        <v>0</v>
      </c>
      <c r="G21" s="388">
        <f>'0831'!AE48</f>
        <v>0</v>
      </c>
      <c r="H21" s="388">
        <f>'0831'!AE58</f>
        <v>0</v>
      </c>
      <c r="I21" s="387">
        <f>'0831'!AE69</f>
        <v>0</v>
      </c>
      <c r="J21" s="387">
        <f>'0831'!AE79</f>
        <v>0</v>
      </c>
    </row>
    <row r="22" spans="2:10" ht="17.25" customHeight="1">
      <c r="B22" s="498" t="s">
        <v>104</v>
      </c>
      <c r="C22" s="499"/>
      <c r="D22" s="23">
        <f>VALUE('0831'!M15)</f>
        <v>15</v>
      </c>
      <c r="E22" s="23">
        <f>VALUE('0831'!M26)</f>
        <v>12.666666666666666</v>
      </c>
      <c r="F22" s="23">
        <f>VALUE('0831'!M37)</f>
        <v>14.666666666666666</v>
      </c>
      <c r="G22" s="23">
        <f>VALUE('0831'!M48)</f>
        <v>14</v>
      </c>
      <c r="H22" s="23">
        <f>VALUE('0831'!M58)</f>
        <v>17.666666666666668</v>
      </c>
      <c r="I22" s="23">
        <f>VALUE('0831'!M69)</f>
        <v>12.333333333333334</v>
      </c>
      <c r="J22" s="23">
        <f>'0831'!M79</f>
        <v>11</v>
      </c>
    </row>
    <row r="23" spans="2:10" ht="17.25" customHeight="1">
      <c r="B23" s="498" t="s">
        <v>105</v>
      </c>
      <c r="C23" s="4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98" t="s">
        <v>109</v>
      </c>
      <c r="C24" s="4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98" t="s">
        <v>111</v>
      </c>
      <c r="C25" s="499"/>
      <c r="D25" s="25"/>
      <c r="E25" s="25"/>
      <c r="F25" s="25"/>
      <c r="G25" s="25"/>
      <c r="H25" s="25"/>
      <c r="I25" s="25"/>
      <c r="J25" s="25"/>
    </row>
    <row r="26" spans="2:10">
      <c r="B26" s="500"/>
      <c r="C26" s="5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7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ADCE-6350-4EBC-89EC-6BB2A6EE7BBD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3" width="8.7109375" style="34" customWidth="1"/>
    <col min="17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2" t="s">
        <v>4</v>
      </c>
      <c r="K1" s="412"/>
      <c r="L1" s="412"/>
      <c r="M1" s="412" t="s">
        <v>5</v>
      </c>
      <c r="N1" s="412"/>
      <c r="O1" s="412"/>
      <c r="P1" s="412" t="s">
        <v>6</v>
      </c>
      <c r="Q1" s="412"/>
      <c r="R1" s="412"/>
      <c r="S1" s="412"/>
      <c r="T1" s="412" t="s">
        <v>7</v>
      </c>
      <c r="U1" s="412"/>
      <c r="V1" s="412"/>
      <c r="W1" s="412"/>
      <c r="X1" s="412"/>
      <c r="Y1" s="412"/>
      <c r="Z1" s="294" t="s">
        <v>8</v>
      </c>
      <c r="AA1" s="294" t="s">
        <v>9</v>
      </c>
      <c r="AB1" s="412" t="s">
        <v>10</v>
      </c>
      <c r="AC1" s="412"/>
      <c r="AD1" s="294" t="s">
        <v>8</v>
      </c>
      <c r="AE1" s="294" t="s">
        <v>11</v>
      </c>
      <c r="AF1" s="412" t="s">
        <v>12</v>
      </c>
      <c r="AG1" s="416"/>
      <c r="AH1" s="416"/>
    </row>
    <row r="2" spans="1:34" ht="23.25">
      <c r="A2" s="413" t="s">
        <v>183</v>
      </c>
      <c r="B2" s="41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339">
        <f>Z15+Z26+Z37+Z48+Z58+Z69+Z79</f>
        <v>0</v>
      </c>
      <c r="AA2" s="339">
        <f>AA15+AA26+AA37+AA48+AA58+AA69+AA79</f>
        <v>0</v>
      </c>
      <c r="AB2" s="434"/>
      <c r="AC2" s="434"/>
      <c r="AD2" s="340">
        <f>AD15+AD26+AD37+AD48+AD58+AD69+AD79</f>
        <v>0</v>
      </c>
      <c r="AE2" s="340">
        <f>AE15+AE26+AE37+AE48+AE58+AE69+AE79</f>
        <v>0</v>
      </c>
      <c r="AF2" s="416"/>
      <c r="AG2" s="416"/>
      <c r="AH2" s="416"/>
    </row>
    <row r="3" spans="1:34" ht="32.1" customHeight="1">
      <c r="A3" s="414" t="s">
        <v>17</v>
      </c>
      <c r="B3" s="414" t="s">
        <v>18</v>
      </c>
      <c r="C3" s="30"/>
      <c r="D3" s="414" t="s">
        <v>19</v>
      </c>
      <c r="E3" s="414"/>
      <c r="F3" s="401" t="s">
        <v>20</v>
      </c>
      <c r="G3" s="398" t="s">
        <v>21</v>
      </c>
      <c r="H3" s="401" t="s">
        <v>22</v>
      </c>
      <c r="I3" s="403" t="s">
        <v>23</v>
      </c>
      <c r="J3" s="405" t="s">
        <v>24</v>
      </c>
      <c r="K3" s="394" t="s">
        <v>25</v>
      </c>
      <c r="L3" s="396" t="s">
        <v>14</v>
      </c>
      <c r="M3" s="398" t="s">
        <v>24</v>
      </c>
      <c r="N3" s="394" t="s">
        <v>25</v>
      </c>
      <c r="O3" s="396" t="s">
        <v>14</v>
      </c>
      <c r="P3" s="405" t="s">
        <v>24</v>
      </c>
      <c r="Q3" s="396" t="s">
        <v>14</v>
      </c>
      <c r="R3" s="417" t="s">
        <v>26</v>
      </c>
      <c r="S3" s="419" t="s">
        <v>27</v>
      </c>
      <c r="T3" s="398" t="s">
        <v>28</v>
      </c>
      <c r="U3" s="398"/>
      <c r="V3" s="432" t="s">
        <v>29</v>
      </c>
      <c r="W3" s="403" t="s">
        <v>30</v>
      </c>
      <c r="X3" s="398" t="s">
        <v>31</v>
      </c>
      <c r="Y3" s="433"/>
      <c r="Z3" s="426" t="s">
        <v>32</v>
      </c>
      <c r="AA3" s="427"/>
      <c r="AB3" s="421"/>
      <c r="AC3" s="422"/>
      <c r="AD3" s="426" t="s">
        <v>33</v>
      </c>
      <c r="AE3" s="427"/>
      <c r="AF3" s="424" t="s">
        <v>25</v>
      </c>
      <c r="AG3" s="428" t="s">
        <v>26</v>
      </c>
      <c r="AH3" s="430" t="s">
        <v>27</v>
      </c>
    </row>
    <row r="4" spans="1:34">
      <c r="A4" s="415"/>
      <c r="B4" s="415"/>
      <c r="C4" s="38"/>
      <c r="D4" s="415"/>
      <c r="E4" s="415"/>
      <c r="F4" s="402"/>
      <c r="G4" s="399"/>
      <c r="H4" s="402"/>
      <c r="I4" s="404"/>
      <c r="J4" s="406"/>
      <c r="K4" s="395"/>
      <c r="L4" s="397"/>
      <c r="M4" s="399"/>
      <c r="N4" s="395"/>
      <c r="O4" s="397"/>
      <c r="P4" s="406"/>
      <c r="Q4" s="397"/>
      <c r="R4" s="418"/>
      <c r="S4" s="420"/>
      <c r="T4" s="342" t="s">
        <v>34</v>
      </c>
      <c r="U4" s="342" t="s">
        <v>35</v>
      </c>
      <c r="V4" s="399"/>
      <c r="W4" s="404"/>
      <c r="X4" s="341" t="s">
        <v>34</v>
      </c>
      <c r="Y4" s="343" t="s">
        <v>35</v>
      </c>
      <c r="Z4" s="344" t="s">
        <v>36</v>
      </c>
      <c r="AA4" s="344" t="s">
        <v>37</v>
      </c>
      <c r="AB4" s="423"/>
      <c r="AC4" s="423"/>
      <c r="AD4" s="344" t="s">
        <v>38</v>
      </c>
      <c r="AE4" s="344" t="s">
        <v>39</v>
      </c>
      <c r="AF4" s="425"/>
      <c r="AG4" s="429"/>
      <c r="AH4" s="431"/>
    </row>
    <row r="5" spans="1:34" ht="15" customHeight="1">
      <c r="A5" s="39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07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42"/>
      <c r="AC5" s="44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35" t="e">
        <f>AG15</f>
        <v>#N/A</v>
      </c>
    </row>
    <row r="6" spans="1:34" ht="15" customHeight="1">
      <c r="A6" s="39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08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9"/>
      <c r="AC6" s="439"/>
      <c r="AD6" s="149"/>
      <c r="AE6" s="149"/>
      <c r="AF6" s="307" t="e">
        <f t="shared" si="1"/>
        <v>#N/A</v>
      </c>
      <c r="AG6" s="72" t="e">
        <f t="shared" si="2"/>
        <v>#N/A</v>
      </c>
      <c r="AH6" s="436"/>
    </row>
    <row r="7" spans="1:34" ht="15" customHeight="1">
      <c r="A7" s="39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08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40"/>
      <c r="AC7" s="440"/>
      <c r="AD7" s="92"/>
      <c r="AE7" s="92"/>
      <c r="AF7" s="307" t="e">
        <f t="shared" si="1"/>
        <v>#N/A</v>
      </c>
      <c r="AG7" s="72" t="e">
        <f t="shared" si="2"/>
        <v>#N/A</v>
      </c>
      <c r="AH7" s="436"/>
    </row>
    <row r="8" spans="1:34" ht="15" customHeight="1">
      <c r="A8" s="39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08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9"/>
      <c r="AC8" s="439"/>
      <c r="AD8" s="149"/>
      <c r="AE8" s="149"/>
      <c r="AF8" s="307">
        <f t="shared" si="1"/>
        <v>0</v>
      </c>
      <c r="AG8" s="72" t="e">
        <f t="shared" si="2"/>
        <v>#DIV/0!</v>
      </c>
      <c r="AH8" s="436"/>
    </row>
    <row r="9" spans="1:34" ht="15" customHeight="1">
      <c r="A9" s="39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09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9"/>
      <c r="AC9" s="439"/>
      <c r="AD9" s="149"/>
      <c r="AE9" s="149"/>
      <c r="AF9" s="307">
        <f t="shared" si="1"/>
        <v>0</v>
      </c>
      <c r="AG9" s="72" t="e">
        <f t="shared" si="2"/>
        <v>#DIV/0!</v>
      </c>
      <c r="AH9" s="437"/>
    </row>
    <row r="10" spans="1:34" ht="15" customHeight="1">
      <c r="A10" s="39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09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40"/>
      <c r="AC10" s="440"/>
      <c r="AD10" s="92"/>
      <c r="AE10" s="92"/>
      <c r="AF10" s="307">
        <f t="shared" si="1"/>
        <v>0</v>
      </c>
      <c r="AG10" s="72" t="e">
        <f t="shared" si="2"/>
        <v>#DIV/0!</v>
      </c>
      <c r="AH10" s="437"/>
    </row>
    <row r="11" spans="1:34" ht="15" customHeight="1">
      <c r="A11" s="39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09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9"/>
      <c r="AC11" s="439"/>
      <c r="AD11" s="149"/>
      <c r="AE11" s="149"/>
      <c r="AF11" s="307">
        <f t="shared" si="1"/>
        <v>0</v>
      </c>
      <c r="AG11" s="72" t="e">
        <f t="shared" si="2"/>
        <v>#DIV/0!</v>
      </c>
      <c r="AH11" s="437"/>
    </row>
    <row r="12" spans="1:34" ht="15" customHeight="1">
      <c r="A12" s="39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09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9"/>
      <c r="AC12" s="439"/>
      <c r="AD12" s="149"/>
      <c r="AE12" s="149"/>
      <c r="AF12" s="308"/>
      <c r="AG12" s="85"/>
      <c r="AH12" s="437"/>
    </row>
    <row r="13" spans="1:34" ht="15" customHeight="1">
      <c r="A13" s="39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40"/>
      <c r="AC13" s="440"/>
      <c r="AD13" s="92"/>
      <c r="AE13" s="92"/>
      <c r="AF13" s="308"/>
      <c r="AG13" s="85"/>
      <c r="AH13" s="437"/>
    </row>
    <row r="14" spans="1:34" ht="15" customHeight="1">
      <c r="A14" s="39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09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40"/>
      <c r="AC14" s="440"/>
      <c r="AD14" s="92"/>
      <c r="AE14" s="92"/>
      <c r="AF14" s="308"/>
      <c r="AG14" s="85"/>
      <c r="AH14" s="437"/>
    </row>
    <row r="15" spans="1:34" ht="15" customHeight="1">
      <c r="A15" s="393"/>
      <c r="B15" s="115"/>
      <c r="C15" s="115" t="s">
        <v>41</v>
      </c>
      <c r="D15" s="400" t="s">
        <v>42</v>
      </c>
      <c r="E15" s="40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1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41"/>
      <c r="AC15" s="44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38"/>
    </row>
    <row r="16" spans="1:34" ht="15" customHeight="1">
      <c r="A16" s="45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42"/>
      <c r="AC16" s="442"/>
      <c r="AD16" s="135"/>
      <c r="AE16" s="135"/>
      <c r="AF16" s="229" t="e">
        <f>N16-K16</f>
        <v>#N/A</v>
      </c>
      <c r="AG16" s="52" t="e">
        <f>N16/K16</f>
        <v>#N/A</v>
      </c>
      <c r="AH16" s="435" t="e">
        <f>AG26</f>
        <v>#N/A</v>
      </c>
    </row>
    <row r="17" spans="1:34" ht="15" customHeight="1">
      <c r="A17" s="45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40"/>
      <c r="AC17" s="440"/>
      <c r="AD17" s="92"/>
      <c r="AE17" s="92"/>
      <c r="AF17" s="307" t="e">
        <f>N17-K17</f>
        <v>#N/A</v>
      </c>
      <c r="AG17" s="72" t="e">
        <f>N17/K17</f>
        <v>#N/A</v>
      </c>
      <c r="AH17" s="436"/>
    </row>
    <row r="18" spans="1:34" ht="15" customHeight="1">
      <c r="A18" s="45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40"/>
      <c r="AC18" s="440"/>
      <c r="AD18" s="92"/>
      <c r="AE18" s="92"/>
      <c r="AF18" s="307" t="e">
        <f>N18-K18</f>
        <v>#N/A</v>
      </c>
      <c r="AG18" s="72" t="e">
        <f>N18/K18</f>
        <v>#N/A</v>
      </c>
      <c r="AH18" s="436"/>
    </row>
    <row r="19" spans="1:34" ht="15" customHeight="1">
      <c r="A19" s="45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9"/>
      <c r="AC19" s="439"/>
      <c r="AD19" s="149"/>
      <c r="AE19" s="149"/>
      <c r="AF19" s="307">
        <f>N19-K19</f>
        <v>0</v>
      </c>
      <c r="AG19" s="72" t="e">
        <f>N19/K19</f>
        <v>#DIV/0!</v>
      </c>
      <c r="AH19" s="437"/>
    </row>
    <row r="20" spans="1:34" ht="15" customHeight="1">
      <c r="A20" s="45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40"/>
      <c r="AC20" s="440"/>
      <c r="AD20" s="92"/>
      <c r="AE20" s="92"/>
      <c r="AF20" s="307"/>
      <c r="AG20" s="72"/>
      <c r="AH20" s="437"/>
    </row>
    <row r="21" spans="1:34" ht="15" customHeight="1">
      <c r="A21" s="45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40"/>
      <c r="AC21" s="440"/>
      <c r="AD21" s="92"/>
      <c r="AE21" s="92"/>
      <c r="AF21" s="308"/>
      <c r="AG21" s="85"/>
      <c r="AH21" s="437"/>
    </row>
    <row r="22" spans="1:34" ht="15" customHeight="1">
      <c r="A22" s="45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7"/>
      <c r="T22" s="150"/>
      <c r="U22" s="150"/>
      <c r="V22" s="92"/>
      <c r="W22" s="149">
        <v>0</v>
      </c>
      <c r="X22" s="92"/>
      <c r="Y22" s="298"/>
      <c r="Z22" s="90"/>
      <c r="AA22" s="90"/>
      <c r="AB22" s="440"/>
      <c r="AC22" s="440"/>
      <c r="AD22" s="92"/>
      <c r="AE22" s="92"/>
      <c r="AF22" s="308"/>
      <c r="AG22" s="85"/>
      <c r="AH22" s="437"/>
    </row>
    <row r="23" spans="1:34" ht="15" customHeight="1">
      <c r="A23" s="45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7"/>
      <c r="T23" s="150"/>
      <c r="U23" s="150"/>
      <c r="W23" s="149">
        <f t="shared" si="4"/>
        <v>0</v>
      </c>
      <c r="X23" s="92"/>
      <c r="Y23" s="298"/>
      <c r="Z23" s="90"/>
      <c r="AA23" s="90"/>
      <c r="AB23" s="440"/>
      <c r="AC23" s="440"/>
      <c r="AD23" s="92"/>
      <c r="AE23" s="92"/>
      <c r="AF23" s="308"/>
      <c r="AG23" s="85"/>
      <c r="AH23" s="437"/>
    </row>
    <row r="24" spans="1:34" ht="15" customHeight="1">
      <c r="A24" s="45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40"/>
      <c r="AC24" s="440"/>
      <c r="AD24" s="92"/>
      <c r="AE24" s="92"/>
      <c r="AF24" s="308"/>
      <c r="AG24" s="85"/>
      <c r="AH24" s="437"/>
    </row>
    <row r="25" spans="1:34" ht="15" customHeight="1">
      <c r="A25" s="45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40"/>
      <c r="AC25" s="440"/>
      <c r="AD25" s="92"/>
      <c r="AE25" s="92"/>
      <c r="AF25" s="308"/>
      <c r="AG25" s="85"/>
      <c r="AH25" s="437"/>
    </row>
    <row r="26" spans="1:34" ht="15" customHeight="1">
      <c r="A26" s="455"/>
      <c r="B26" s="152"/>
      <c r="C26" s="153" t="s">
        <v>44</v>
      </c>
      <c r="D26" s="400" t="s">
        <v>42</v>
      </c>
      <c r="E26" s="40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41"/>
      <c r="AC26" s="44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38"/>
    </row>
    <row r="27" spans="1:34" ht="15" customHeight="1">
      <c r="A27" s="44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42"/>
      <c r="AC27" s="442"/>
      <c r="AD27" s="135"/>
      <c r="AE27" s="135"/>
      <c r="AF27" s="310" t="e">
        <f t="shared" si="6"/>
        <v>#N/A</v>
      </c>
      <c r="AG27" s="172" t="e">
        <f t="shared" si="7"/>
        <v>#N/A</v>
      </c>
      <c r="AH27" s="435" t="e">
        <f>AG37</f>
        <v>#N/A</v>
      </c>
    </row>
    <row r="28" spans="1:34" ht="15" customHeight="1">
      <c r="A28" s="44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40"/>
      <c r="AC28" s="440"/>
      <c r="AD28" s="92"/>
      <c r="AE28" s="92"/>
      <c r="AF28" s="311" t="e">
        <f t="shared" si="6"/>
        <v>#N/A</v>
      </c>
      <c r="AG28" s="99" t="e">
        <f t="shared" si="7"/>
        <v>#N/A</v>
      </c>
      <c r="AH28" s="456"/>
    </row>
    <row r="29" spans="1:34" ht="15" customHeight="1">
      <c r="A29" s="44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40"/>
      <c r="AC29" s="440"/>
      <c r="AD29" s="92"/>
      <c r="AE29" s="92"/>
      <c r="AF29" s="312" t="e">
        <f t="shared" si="6"/>
        <v>#N/A</v>
      </c>
      <c r="AG29" s="99" t="e">
        <f t="shared" si="7"/>
        <v>#N/A</v>
      </c>
      <c r="AH29" s="456"/>
    </row>
    <row r="30" spans="1:34" ht="15" customHeight="1">
      <c r="A30" s="44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40"/>
      <c r="AC30" s="440"/>
      <c r="AD30" s="92"/>
      <c r="AE30" s="92"/>
      <c r="AF30" s="312">
        <f t="shared" si="6"/>
        <v>0</v>
      </c>
      <c r="AG30" s="99" t="e">
        <f t="shared" si="7"/>
        <v>#DIV/0!</v>
      </c>
      <c r="AH30" s="457"/>
    </row>
    <row r="31" spans="1:34" ht="15" customHeight="1">
      <c r="A31" s="44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40"/>
      <c r="AC31" s="440"/>
      <c r="AD31" s="92"/>
      <c r="AE31" s="92"/>
      <c r="AF31" s="312">
        <f t="shared" si="6"/>
        <v>0</v>
      </c>
      <c r="AG31" s="99" t="e">
        <f t="shared" si="7"/>
        <v>#DIV/0!</v>
      </c>
      <c r="AH31" s="437"/>
    </row>
    <row r="32" spans="1:34" ht="15" customHeight="1">
      <c r="A32" s="44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40"/>
      <c r="AC32" s="440"/>
      <c r="AD32" s="92"/>
      <c r="AE32" s="92"/>
      <c r="AF32" s="307"/>
      <c r="AG32" s="72"/>
      <c r="AH32" s="437"/>
    </row>
    <row r="33" spans="1:34" ht="15" customHeight="1">
      <c r="A33" s="44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40"/>
      <c r="AC33" s="440"/>
      <c r="AD33" s="92"/>
      <c r="AE33" s="92"/>
      <c r="AF33" s="307"/>
      <c r="AG33" s="112"/>
      <c r="AH33" s="437"/>
    </row>
    <row r="34" spans="1:34" ht="15" customHeight="1">
      <c r="A34" s="44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40"/>
      <c r="AC34" s="440"/>
      <c r="AD34" s="92"/>
      <c r="AE34" s="92"/>
      <c r="AF34" s="307"/>
      <c r="AG34" s="112"/>
      <c r="AH34" s="437"/>
    </row>
    <row r="35" spans="1:34" ht="15" customHeight="1">
      <c r="A35" s="44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40"/>
      <c r="AC35" s="440"/>
      <c r="AD35" s="92"/>
      <c r="AE35" s="92"/>
      <c r="AF35" s="307"/>
      <c r="AG35" s="112"/>
      <c r="AH35" s="437"/>
    </row>
    <row r="36" spans="1:34" ht="15" customHeight="1">
      <c r="A36" s="44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40"/>
      <c r="AC36" s="440"/>
      <c r="AD36" s="92"/>
      <c r="AE36" s="92"/>
      <c r="AF36" s="307"/>
      <c r="AG36" s="112"/>
      <c r="AH36" s="437"/>
    </row>
    <row r="37" spans="1:34" ht="15" customHeight="1">
      <c r="A37" s="445"/>
      <c r="B37" s="152"/>
      <c r="C37" s="153" t="s">
        <v>47</v>
      </c>
      <c r="D37" s="449" t="s">
        <v>42</v>
      </c>
      <c r="E37" s="45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51"/>
      <c r="AC37" s="45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38"/>
    </row>
    <row r="38" spans="1:34" ht="15" customHeight="1">
      <c r="A38" s="46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6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70"/>
      <c r="AC38" s="470"/>
      <c r="AD38" s="192"/>
      <c r="AE38" s="192"/>
      <c r="AF38" s="313" t="e">
        <f>N38-K38</f>
        <v>#N/A</v>
      </c>
      <c r="AG38" s="195" t="e">
        <f>N38/K38</f>
        <v>#N/A</v>
      </c>
      <c r="AH38" s="458" t="e">
        <f>AG48</f>
        <v>#N/A</v>
      </c>
    </row>
    <row r="39" spans="1:34" ht="15" customHeight="1">
      <c r="A39" s="46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6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1"/>
      <c r="AC39" s="461"/>
      <c r="AD39" s="200"/>
      <c r="AE39" s="200"/>
      <c r="AF39" s="314" t="e">
        <f>N39-K39</f>
        <v>#N/A</v>
      </c>
      <c r="AG39" s="206" t="e">
        <f>N39/K39</f>
        <v>#N/A</v>
      </c>
      <c r="AH39" s="459"/>
    </row>
    <row r="40" spans="1:34" ht="15" customHeight="1">
      <c r="A40" s="46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08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40"/>
      <c r="AC40" s="440"/>
      <c r="AD40" s="92"/>
      <c r="AE40" s="92"/>
      <c r="AF40" s="314" t="e">
        <f>N40-K40</f>
        <v>#N/A</v>
      </c>
      <c r="AG40" s="206" t="e">
        <f>N40/K40</f>
        <v>#N/A</v>
      </c>
      <c r="AH40" s="459"/>
    </row>
    <row r="41" spans="1:34" ht="15" customHeight="1">
      <c r="A41" s="46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08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40"/>
      <c r="AC41" s="440"/>
      <c r="AD41" s="92"/>
      <c r="AE41" s="92"/>
      <c r="AF41" s="314">
        <f>N41-K41</f>
        <v>0</v>
      </c>
      <c r="AG41" s="206" t="e">
        <f>N41/K41</f>
        <v>#DIV/0!</v>
      </c>
      <c r="AH41" s="459"/>
    </row>
    <row r="42" spans="1:34" ht="15" customHeight="1">
      <c r="A42" s="46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08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40"/>
      <c r="AC42" s="440"/>
      <c r="AD42" s="92"/>
      <c r="AE42" s="92"/>
      <c r="AF42" s="314"/>
      <c r="AG42" s="206"/>
      <c r="AH42" s="459"/>
    </row>
    <row r="43" spans="1:34" ht="15" customHeight="1">
      <c r="A43" s="46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08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40"/>
      <c r="AC43" s="440"/>
      <c r="AD43" s="92"/>
      <c r="AE43" s="92"/>
      <c r="AF43" s="213"/>
      <c r="AG43" s="206"/>
      <c r="AH43" s="459"/>
    </row>
    <row r="44" spans="1:34" ht="15" customHeight="1">
      <c r="A44" s="46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08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40"/>
      <c r="AC44" s="440"/>
      <c r="AD44" s="92"/>
      <c r="AE44" s="92"/>
      <c r="AF44" s="213"/>
      <c r="AG44" s="206"/>
      <c r="AH44" s="459"/>
    </row>
    <row r="45" spans="1:34" ht="15" customHeight="1">
      <c r="A45" s="46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08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40"/>
      <c r="AC45" s="440"/>
      <c r="AD45" s="92"/>
      <c r="AE45" s="92"/>
      <c r="AF45" s="213"/>
      <c r="AG45" s="206"/>
      <c r="AH45" s="459"/>
    </row>
    <row r="46" spans="1:34" ht="15" customHeight="1">
      <c r="A46" s="46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08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40"/>
      <c r="AC46" s="440"/>
      <c r="AD46" s="92"/>
      <c r="AE46" s="92"/>
      <c r="AF46" s="213"/>
      <c r="AG46" s="206"/>
      <c r="AH46" s="459"/>
    </row>
    <row r="47" spans="1:34" ht="15" customHeight="1">
      <c r="A47" s="46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08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40"/>
      <c r="AC47" s="440"/>
      <c r="AD47" s="92"/>
      <c r="AE47" s="92"/>
      <c r="AF47" s="213"/>
      <c r="AG47" s="206"/>
      <c r="AH47" s="459"/>
    </row>
    <row r="48" spans="1:34" ht="15" customHeight="1">
      <c r="A48" s="467"/>
      <c r="B48" s="219"/>
      <c r="C48" s="153" t="s">
        <v>49</v>
      </c>
      <c r="D48" s="400" t="s">
        <v>42</v>
      </c>
      <c r="E48" s="40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1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41"/>
      <c r="AC48" s="44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0"/>
    </row>
    <row r="49" spans="1:34" ht="15" customHeight="1">
      <c r="A49" s="46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07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42"/>
      <c r="AC49" s="442"/>
      <c r="AD49" s="135"/>
      <c r="AE49" s="135"/>
      <c r="AF49" s="229" t="e">
        <f t="shared" si="11"/>
        <v>#N/A</v>
      </c>
      <c r="AG49" s="52" t="e">
        <f t="shared" si="12"/>
        <v>#N/A</v>
      </c>
      <c r="AH49" s="435" t="e">
        <f>AG58</f>
        <v>#N/A</v>
      </c>
    </row>
    <row r="50" spans="1:34" ht="15" customHeight="1">
      <c r="A50" s="46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08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40"/>
      <c r="AC50" s="440"/>
      <c r="AD50" s="92"/>
      <c r="AE50" s="92"/>
      <c r="AF50" s="307" t="e">
        <f t="shared" si="11"/>
        <v>#N/A</v>
      </c>
      <c r="AG50" s="72" t="e">
        <f t="shared" si="12"/>
        <v>#N/A</v>
      </c>
      <c r="AH50" s="436"/>
    </row>
    <row r="51" spans="1:34" ht="15" customHeight="1">
      <c r="A51" s="46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08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40"/>
      <c r="AC51" s="440"/>
      <c r="AD51" s="92"/>
      <c r="AE51" s="92"/>
      <c r="AF51" s="307" t="e">
        <f t="shared" si="11"/>
        <v>#N/A</v>
      </c>
      <c r="AG51" s="72" t="e">
        <f t="shared" si="12"/>
        <v>#N/A</v>
      </c>
      <c r="AH51" s="436"/>
    </row>
    <row r="52" spans="1:34" ht="15" customHeight="1">
      <c r="A52" s="46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08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40"/>
      <c r="AC52" s="440"/>
      <c r="AD52" s="92"/>
      <c r="AE52" s="92"/>
      <c r="AF52" s="307">
        <f t="shared" si="11"/>
        <v>0</v>
      </c>
      <c r="AG52" s="72" t="e">
        <f t="shared" si="12"/>
        <v>#DIV/0!</v>
      </c>
      <c r="AH52" s="436"/>
    </row>
    <row r="53" spans="1:34" ht="15" customHeight="1">
      <c r="A53" s="46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08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40"/>
      <c r="AC53" s="440"/>
      <c r="AD53" s="92"/>
      <c r="AE53" s="92"/>
      <c r="AF53" s="307">
        <f t="shared" si="11"/>
        <v>0</v>
      </c>
      <c r="AG53" s="72" t="e">
        <f t="shared" si="12"/>
        <v>#DIV/0!</v>
      </c>
      <c r="AH53" s="436"/>
    </row>
    <row r="54" spans="1:34" ht="15" customHeight="1">
      <c r="A54" s="46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08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40"/>
      <c r="AC54" s="440"/>
      <c r="AD54" s="92"/>
      <c r="AE54" s="92"/>
      <c r="AF54" s="307"/>
      <c r="AG54" s="72"/>
      <c r="AH54" s="436"/>
    </row>
    <row r="55" spans="1:34" ht="15" customHeight="1">
      <c r="A55" s="46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08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40"/>
      <c r="AC55" s="440"/>
      <c r="AD55" s="92"/>
      <c r="AE55" s="92"/>
      <c r="AF55" s="307"/>
      <c r="AG55" s="72"/>
      <c r="AH55" s="436"/>
    </row>
    <row r="56" spans="1:34" ht="15" customHeight="1">
      <c r="A56" s="46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08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40"/>
      <c r="AC56" s="440"/>
      <c r="AD56" s="92"/>
      <c r="AE56" s="92"/>
      <c r="AF56" s="307"/>
      <c r="AG56" s="72"/>
      <c r="AH56" s="436"/>
    </row>
    <row r="57" spans="1:34" ht="15" customHeight="1">
      <c r="A57" s="46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08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40"/>
      <c r="AC57" s="440"/>
      <c r="AD57" s="92"/>
      <c r="AE57" s="92"/>
      <c r="AF57" s="307"/>
      <c r="AG57" s="72"/>
      <c r="AH57" s="436"/>
    </row>
    <row r="58" spans="1:34" ht="15" customHeight="1">
      <c r="A58" s="464"/>
      <c r="B58" s="239"/>
      <c r="C58" s="153" t="s">
        <v>51</v>
      </c>
      <c r="D58" s="400" t="s">
        <v>42</v>
      </c>
      <c r="E58" s="40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1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41"/>
      <c r="AC58" s="44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38"/>
    </row>
    <row r="59" spans="1:34" ht="15" customHeight="1">
      <c r="A59" s="47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07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42"/>
      <c r="AC59" s="442"/>
      <c r="AD59" s="135"/>
      <c r="AE59" s="135"/>
      <c r="AF59" s="310" t="e">
        <f>N59-K59</f>
        <v>#N/A</v>
      </c>
      <c r="AG59" s="246" t="e">
        <f>N59/K59</f>
        <v>#N/A</v>
      </c>
      <c r="AH59" s="435" t="e">
        <f>AG69</f>
        <v>#N/A</v>
      </c>
    </row>
    <row r="60" spans="1:34" ht="15" customHeight="1">
      <c r="A60" s="47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8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40"/>
      <c r="AC60" s="440"/>
      <c r="AD60" s="92"/>
      <c r="AE60" s="92"/>
      <c r="AF60" s="316" t="e">
        <f>N60-K60</f>
        <v>#N/A</v>
      </c>
      <c r="AG60" s="249" t="e">
        <f>N60/K60</f>
        <v>#N/A</v>
      </c>
      <c r="AH60" s="471"/>
    </row>
    <row r="61" spans="1:34" ht="15" customHeight="1">
      <c r="A61" s="47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08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40"/>
      <c r="AC61" s="440"/>
      <c r="AD61" s="92"/>
      <c r="AE61" s="92"/>
      <c r="AF61" s="317" t="e">
        <f>N61-K61</f>
        <v>#N/A</v>
      </c>
      <c r="AG61" s="247" t="e">
        <f>N61/K61</f>
        <v>#N/A</v>
      </c>
      <c r="AH61" s="436"/>
    </row>
    <row r="62" spans="1:34" ht="15" customHeight="1">
      <c r="A62" s="47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08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40"/>
      <c r="AC62" s="440"/>
      <c r="AD62" s="92"/>
      <c r="AE62" s="92"/>
      <c r="AF62" s="317">
        <f>N62-K62</f>
        <v>0</v>
      </c>
      <c r="AG62" s="247" t="e">
        <f>N62/K62</f>
        <v>#DIV/0!</v>
      </c>
      <c r="AH62" s="436"/>
    </row>
    <row r="63" spans="1:34" ht="15" customHeight="1">
      <c r="A63" s="47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08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40"/>
      <c r="AC63" s="440"/>
      <c r="AD63" s="92"/>
      <c r="AE63" s="92"/>
      <c r="AF63" s="317"/>
      <c r="AG63" s="247"/>
      <c r="AH63" s="436"/>
    </row>
    <row r="64" spans="1:34" ht="15" customHeight="1">
      <c r="A64" s="47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08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40"/>
      <c r="AC64" s="440"/>
      <c r="AD64" s="92"/>
      <c r="AE64" s="92"/>
      <c r="AF64" s="307"/>
      <c r="AG64" s="262"/>
      <c r="AH64" s="436"/>
    </row>
    <row r="65" spans="1:36" ht="15" customHeight="1">
      <c r="A65" s="47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08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40"/>
      <c r="AC65" s="440"/>
      <c r="AD65" s="92"/>
      <c r="AE65" s="92"/>
      <c r="AF65" s="307"/>
      <c r="AG65" s="262"/>
      <c r="AH65" s="436"/>
    </row>
    <row r="66" spans="1:36" ht="15" customHeight="1">
      <c r="A66" s="47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08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40"/>
      <c r="AC66" s="440"/>
      <c r="AD66" s="92"/>
      <c r="AE66" s="92"/>
      <c r="AF66" s="307"/>
      <c r="AG66" s="262"/>
      <c r="AH66" s="436"/>
    </row>
    <row r="67" spans="1:36" ht="15" customHeight="1">
      <c r="A67" s="47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08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40"/>
      <c r="AC67" s="440"/>
      <c r="AD67" s="92"/>
      <c r="AE67" s="92"/>
      <c r="AF67" s="307"/>
      <c r="AG67" s="262"/>
      <c r="AH67" s="436"/>
    </row>
    <row r="68" spans="1:36" ht="15" customHeight="1">
      <c r="A68" s="47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08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40" t="s">
        <v>53</v>
      </c>
      <c r="AC68" s="440"/>
      <c r="AD68" s="92"/>
      <c r="AE68" s="92"/>
      <c r="AF68" s="307"/>
      <c r="AG68" s="262"/>
      <c r="AH68" s="436"/>
    </row>
    <row r="69" spans="1:36" ht="15" customHeight="1">
      <c r="A69" s="479"/>
      <c r="B69" s="239"/>
      <c r="C69" s="153" t="s">
        <v>54</v>
      </c>
      <c r="D69" s="400" t="s">
        <v>42</v>
      </c>
      <c r="E69" s="40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1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41"/>
      <c r="AC69" s="44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38"/>
    </row>
    <row r="70" spans="1:36" ht="15" customHeight="1">
      <c r="A70" s="47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07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42"/>
      <c r="AC70" s="442"/>
      <c r="AD70" s="135"/>
      <c r="AE70" s="135"/>
      <c r="AF70" s="310" t="e">
        <f>N70-K70</f>
        <v>#N/A</v>
      </c>
      <c r="AG70" s="246" t="e">
        <f>N70/K70</f>
        <v>#N/A</v>
      </c>
      <c r="AH70" s="435" t="e">
        <f>AG79</f>
        <v>#N/A</v>
      </c>
    </row>
    <row r="71" spans="1:36" ht="15" customHeight="1">
      <c r="A71" s="47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08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1"/>
      <c r="AC71" s="461"/>
      <c r="AD71" s="200"/>
      <c r="AE71" s="200"/>
      <c r="AF71" s="311">
        <v>-300.31249999999704</v>
      </c>
      <c r="AG71" s="99">
        <v>0.80810702875399554</v>
      </c>
      <c r="AH71" s="456"/>
    </row>
    <row r="72" spans="1:36" ht="15" customHeight="1">
      <c r="A72" s="47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08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40"/>
      <c r="AC72" s="440"/>
      <c r="AD72" s="92"/>
      <c r="AE72" s="92"/>
      <c r="AF72" s="311">
        <v>-130.33333333333326</v>
      </c>
      <c r="AG72" s="99">
        <v>0.91671991480298198</v>
      </c>
      <c r="AH72" s="456"/>
    </row>
    <row r="73" spans="1:36" ht="15" customHeight="1">
      <c r="A73" s="47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08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40"/>
      <c r="AC73" s="440"/>
      <c r="AD73" s="92"/>
      <c r="AE73" s="92"/>
      <c r="AF73" s="311"/>
      <c r="AG73" s="99"/>
      <c r="AH73" s="456"/>
    </row>
    <row r="74" spans="1:36" ht="15" customHeight="1">
      <c r="A74" s="47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08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40"/>
      <c r="AC74" s="440"/>
      <c r="AD74" s="92"/>
      <c r="AE74" s="92"/>
      <c r="AF74" s="311"/>
      <c r="AG74" s="99"/>
      <c r="AH74" s="456"/>
    </row>
    <row r="75" spans="1:36" ht="15" customHeight="1">
      <c r="A75" s="47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08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40"/>
      <c r="AC75" s="440"/>
      <c r="AD75" s="92"/>
      <c r="AE75" s="92"/>
      <c r="AF75" s="318"/>
      <c r="AG75" s="280"/>
      <c r="AH75" s="436"/>
    </row>
    <row r="76" spans="1:36" ht="15" customHeight="1">
      <c r="A76" s="47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09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40"/>
      <c r="AC76" s="440"/>
      <c r="AD76" s="92"/>
      <c r="AE76" s="92"/>
      <c r="AF76" s="317"/>
      <c r="AG76" s="247"/>
      <c r="AH76" s="437"/>
    </row>
    <row r="77" spans="1:36" ht="15" customHeight="1">
      <c r="A77" s="47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09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40"/>
      <c r="AC77" s="440"/>
      <c r="AD77" s="92"/>
      <c r="AE77" s="92"/>
      <c r="AF77" s="307"/>
      <c r="AG77" s="262"/>
      <c r="AH77" s="437"/>
    </row>
    <row r="78" spans="1:36" ht="15" customHeight="1">
      <c r="A78" s="47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40"/>
      <c r="AC78" s="440"/>
      <c r="AD78" s="92"/>
      <c r="AE78" s="92"/>
      <c r="AF78" s="308"/>
      <c r="AG78" s="112"/>
      <c r="AH78" s="437"/>
    </row>
    <row r="79" spans="1:36" ht="15" customHeight="1">
      <c r="A79" s="474"/>
      <c r="B79" s="239"/>
      <c r="C79" s="153" t="s">
        <v>56</v>
      </c>
      <c r="D79" s="400" t="s">
        <v>42</v>
      </c>
      <c r="E79" s="40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1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41"/>
      <c r="AC79" s="44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3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7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9B126-B6EF-49B0-B11A-47618262B8BE}"/>
</file>

<file path=customXml/itemProps2.xml><?xml version="1.0" encoding="utf-8"?>
<ds:datastoreItem xmlns:ds="http://schemas.openxmlformats.org/officeDocument/2006/customXml" ds:itemID="{D4C8878B-AD5F-4CF7-8D19-6B4C0ABFC30E}"/>
</file>

<file path=customXml/itemProps3.xml><?xml version="1.0" encoding="utf-8"?>
<ds:datastoreItem xmlns:ds="http://schemas.openxmlformats.org/officeDocument/2006/customXml" ds:itemID="{8F539116-BCB7-42B1-982C-38F45A280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0801總</vt:lpstr>
      <vt:lpstr>0801</vt:lpstr>
      <vt:lpstr>0802總</vt:lpstr>
      <vt:lpstr>0802</vt:lpstr>
      <vt:lpstr>0803總</vt:lpstr>
      <vt:lpstr>0803</vt:lpstr>
      <vt:lpstr>0804總</vt:lpstr>
      <vt:lpstr>0804</vt:lpstr>
      <vt:lpstr>0805總</vt:lpstr>
      <vt:lpstr>0805</vt:lpstr>
      <vt:lpstr>0806總</vt:lpstr>
      <vt:lpstr>0806</vt:lpstr>
      <vt:lpstr>0807總</vt:lpstr>
      <vt:lpstr>0807</vt:lpstr>
      <vt:lpstr>0808總</vt:lpstr>
      <vt:lpstr>0808</vt:lpstr>
      <vt:lpstr>0809總</vt:lpstr>
      <vt:lpstr>0809</vt:lpstr>
      <vt:lpstr>0810總</vt:lpstr>
      <vt:lpstr>0810</vt:lpstr>
      <vt:lpstr>0811總</vt:lpstr>
      <vt:lpstr>0811</vt:lpstr>
      <vt:lpstr>0812總</vt:lpstr>
      <vt:lpstr>0812</vt:lpstr>
      <vt:lpstr>0813總</vt:lpstr>
      <vt:lpstr>0813</vt:lpstr>
      <vt:lpstr>0814總</vt:lpstr>
      <vt:lpstr>0814</vt:lpstr>
      <vt:lpstr>0815總</vt:lpstr>
      <vt:lpstr>0815</vt:lpstr>
      <vt:lpstr>0816總</vt:lpstr>
      <vt:lpstr>0816</vt:lpstr>
      <vt:lpstr>0817總</vt:lpstr>
      <vt:lpstr>0817</vt:lpstr>
      <vt:lpstr>0818總</vt:lpstr>
      <vt:lpstr>0818</vt:lpstr>
      <vt:lpstr>0819總</vt:lpstr>
      <vt:lpstr>0819</vt:lpstr>
      <vt:lpstr>0820總</vt:lpstr>
      <vt:lpstr>0820</vt:lpstr>
      <vt:lpstr>0821總</vt:lpstr>
      <vt:lpstr>0821</vt:lpstr>
      <vt:lpstr>0822總</vt:lpstr>
      <vt:lpstr>0822</vt:lpstr>
      <vt:lpstr>0823總</vt:lpstr>
      <vt:lpstr>0823</vt:lpstr>
      <vt:lpstr>0824總</vt:lpstr>
      <vt:lpstr>0824</vt:lpstr>
      <vt:lpstr>0825總</vt:lpstr>
      <vt:lpstr>0825</vt:lpstr>
      <vt:lpstr>0826總</vt:lpstr>
      <vt:lpstr>0826</vt:lpstr>
      <vt:lpstr>0827總</vt:lpstr>
      <vt:lpstr>0827</vt:lpstr>
      <vt:lpstr>0828總</vt:lpstr>
      <vt:lpstr>0828</vt:lpstr>
      <vt:lpstr>0829總</vt:lpstr>
      <vt:lpstr>0829</vt:lpstr>
      <vt:lpstr>0830總</vt:lpstr>
      <vt:lpstr>0830</vt:lpstr>
      <vt:lpstr>0831總</vt:lpstr>
      <vt:lpstr>0831</vt:lpstr>
      <vt:lpstr>'0801'!_FilterDatabase</vt:lpstr>
      <vt:lpstr>'0801總'!_FilterDatabase</vt:lpstr>
      <vt:lpstr>'0802'!_FilterDatabase</vt:lpstr>
      <vt:lpstr>'0802總'!_FilterDatabase</vt:lpstr>
      <vt:lpstr>'0803'!_FilterDatabase</vt:lpstr>
      <vt:lpstr>'0803總'!_FilterDatabase</vt:lpstr>
      <vt:lpstr>'0804'!_FilterDatabase</vt:lpstr>
      <vt:lpstr>'0804總'!_FilterDatabase</vt:lpstr>
      <vt:lpstr>'0805'!_FilterDatabase</vt:lpstr>
      <vt:lpstr>'0805總'!_FilterDatabase</vt:lpstr>
      <vt:lpstr>'0806'!_FilterDatabase</vt:lpstr>
      <vt:lpstr>'0806總'!_FilterDatabase</vt:lpstr>
      <vt:lpstr>'0807'!_FilterDatabase</vt:lpstr>
      <vt:lpstr>'0807總'!_FilterDatabase</vt:lpstr>
      <vt:lpstr>'0808'!_FilterDatabase</vt:lpstr>
      <vt:lpstr>'0808總'!_FilterDatabase</vt:lpstr>
      <vt:lpstr>'0809'!_FilterDatabase</vt:lpstr>
      <vt:lpstr>'0809總'!_FilterDatabase</vt:lpstr>
      <vt:lpstr>'0810'!_FilterDatabase</vt:lpstr>
      <vt:lpstr>'0810總'!_FilterDatabase</vt:lpstr>
      <vt:lpstr>'0811'!_FilterDatabase</vt:lpstr>
      <vt:lpstr>'0811總'!_FilterDatabase</vt:lpstr>
      <vt:lpstr>'0812'!_FilterDatabase</vt:lpstr>
      <vt:lpstr>'0812總'!_FilterDatabase</vt:lpstr>
      <vt:lpstr>'0813'!_FilterDatabase</vt:lpstr>
      <vt:lpstr>'0813總'!_FilterDatabase</vt:lpstr>
      <vt:lpstr>'0814'!_FilterDatabase</vt:lpstr>
      <vt:lpstr>'0814總'!_FilterDatabase</vt:lpstr>
      <vt:lpstr>'0815'!_FilterDatabase</vt:lpstr>
      <vt:lpstr>'0815總'!_FilterDatabase</vt:lpstr>
      <vt:lpstr>'0816'!_FilterDatabase</vt:lpstr>
      <vt:lpstr>'0816總'!_FilterDatabase</vt:lpstr>
      <vt:lpstr>'0817'!_FilterDatabase</vt:lpstr>
      <vt:lpstr>'0817總'!_FilterDatabase</vt:lpstr>
      <vt:lpstr>'0818'!_FilterDatabase</vt:lpstr>
      <vt:lpstr>'0818總'!_FilterDatabase</vt:lpstr>
      <vt:lpstr>'0819'!_FilterDatabase</vt:lpstr>
      <vt:lpstr>'0819總'!_FilterDatabase</vt:lpstr>
      <vt:lpstr>'0820'!_FilterDatabase</vt:lpstr>
      <vt:lpstr>'0820總'!_FilterDatabase</vt:lpstr>
      <vt:lpstr>'0821'!_FilterDatabase</vt:lpstr>
      <vt:lpstr>'0821總'!_FilterDatabase</vt:lpstr>
      <vt:lpstr>'0822'!_FilterDatabase</vt:lpstr>
      <vt:lpstr>'0822總'!_FilterDatabase</vt:lpstr>
      <vt:lpstr>'0823'!_FilterDatabase</vt:lpstr>
      <vt:lpstr>'0823總'!_FilterDatabase</vt:lpstr>
      <vt:lpstr>'0824'!_FilterDatabase</vt:lpstr>
      <vt:lpstr>'0824總'!_FilterDatabase</vt:lpstr>
      <vt:lpstr>'0825'!_FilterDatabase</vt:lpstr>
      <vt:lpstr>'0825總'!_FilterDatabase</vt:lpstr>
      <vt:lpstr>'0826'!_FilterDatabase</vt:lpstr>
      <vt:lpstr>'0826總'!_FilterDatabase</vt:lpstr>
      <vt:lpstr>'0827'!_FilterDatabase</vt:lpstr>
      <vt:lpstr>'0827總'!_FilterDatabase</vt:lpstr>
      <vt:lpstr>'0828'!_FilterDatabase</vt:lpstr>
      <vt:lpstr>'0828總'!_FilterDatabase</vt:lpstr>
      <vt:lpstr>'0829'!_FilterDatabase</vt:lpstr>
      <vt:lpstr>'0829總'!_FilterDatabase</vt:lpstr>
      <vt:lpstr>'0830'!_FilterDatabase</vt:lpstr>
      <vt:lpstr>'0830總'!_FilterDatabase</vt:lpstr>
      <vt:lpstr>'0831'!_FilterDatabase</vt:lpstr>
      <vt:lpstr>'0831總'!_FilterDatabase</vt:lpstr>
      <vt:lpstr>'0801'!Print_Area</vt:lpstr>
      <vt:lpstr>'0802'!Print_Area</vt:lpstr>
      <vt:lpstr>'0803'!Print_Area</vt:lpstr>
      <vt:lpstr>'0804'!Print_Area</vt:lpstr>
      <vt:lpstr>'0805'!Print_Area</vt:lpstr>
      <vt:lpstr>'0806'!Print_Area</vt:lpstr>
      <vt:lpstr>'0807'!Print_Area</vt:lpstr>
      <vt:lpstr>'0808'!Print_Area</vt:lpstr>
      <vt:lpstr>'0809'!Print_Area</vt:lpstr>
      <vt:lpstr>'0810'!Print_Area</vt:lpstr>
      <vt:lpstr>'0811'!Print_Area</vt:lpstr>
      <vt:lpstr>'0812'!Print_Area</vt:lpstr>
      <vt:lpstr>'0813'!Print_Area</vt:lpstr>
      <vt:lpstr>'0814'!Print_Area</vt:lpstr>
      <vt:lpstr>'0815'!Print_Area</vt:lpstr>
      <vt:lpstr>'0816'!Print_Area</vt:lpstr>
      <vt:lpstr>'0817'!Print_Area</vt:lpstr>
      <vt:lpstr>'0818'!Print_Area</vt:lpstr>
      <vt:lpstr>'0819'!Print_Area</vt:lpstr>
      <vt:lpstr>'0820'!Print_Area</vt:lpstr>
      <vt:lpstr>'0821'!Print_Area</vt:lpstr>
      <vt:lpstr>'0822'!Print_Area</vt:lpstr>
      <vt:lpstr>'0823'!Print_Area</vt:lpstr>
      <vt:lpstr>'0824'!Print_Area</vt:lpstr>
      <vt:lpstr>'0825'!Print_Area</vt:lpstr>
      <vt:lpstr>'0826'!Print_Area</vt:lpstr>
      <vt:lpstr>'0827'!Print_Area</vt:lpstr>
      <vt:lpstr>'0828'!Print_Area</vt:lpstr>
      <vt:lpstr>'0829'!Print_Area</vt:lpstr>
      <vt:lpstr>'0830'!Print_Area</vt:lpstr>
      <vt:lpstr>'0831'!Print_Area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2026-08-07T05:16:11Z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