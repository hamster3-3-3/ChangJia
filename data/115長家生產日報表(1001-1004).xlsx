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0" documentId="13_ncr:1_{926F7019-C420-45C9-9855-15CFC70B4604}" xr6:coauthVersionLast="47" xr6:coauthVersionMax="47" xr10:uidLastSave="{00000000-0000-0000-0000-000000000000}"/>
  <bookViews>
    <workbookView xWindow="-120" yWindow="-120" windowWidth="29040" windowHeight="15720" tabRatio="826" activeTab="10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1001總" sheetId="128" r:id="rId5"/>
    <sheet name="1001" sheetId="129" r:id="rId6"/>
    <sheet name="1002總" sheetId="130" r:id="rId7"/>
    <sheet name="1002" sheetId="131" r:id="rId8"/>
    <sheet name="1003總" sheetId="132" r:id="rId9"/>
    <sheet name="1003" sheetId="133" r:id="rId10"/>
    <sheet name="1004總" sheetId="134" r:id="rId11"/>
    <sheet name="1004" sheetId="135" r:id="rId12"/>
    <sheet name="1005總" sheetId="136" r:id="rId13"/>
    <sheet name="1005" sheetId="137" r:id="rId14"/>
    <sheet name="1006總" sheetId="138" r:id="rId15"/>
    <sheet name="1006" sheetId="139" r:id="rId16"/>
    <sheet name="1007總" sheetId="140" r:id="rId17"/>
    <sheet name="1007" sheetId="141" r:id="rId18"/>
    <sheet name="1008總" sheetId="142" r:id="rId19"/>
    <sheet name="1008" sheetId="143" r:id="rId20"/>
    <sheet name="1009總" sheetId="144" r:id="rId21"/>
    <sheet name="1009" sheetId="145" r:id="rId22"/>
    <sheet name="1010總" sheetId="146" r:id="rId23"/>
    <sheet name="1010" sheetId="147" r:id="rId24"/>
    <sheet name="1011總" sheetId="148" r:id="rId25"/>
    <sheet name="1011" sheetId="149" r:id="rId26"/>
    <sheet name="1012總" sheetId="150" r:id="rId27"/>
    <sheet name="1012" sheetId="151" r:id="rId28"/>
    <sheet name="1013總" sheetId="152" r:id="rId29"/>
    <sheet name="1013" sheetId="153" r:id="rId30"/>
    <sheet name="1014總" sheetId="154" r:id="rId31"/>
    <sheet name="1014" sheetId="155" r:id="rId32"/>
    <sheet name="1015總" sheetId="156" r:id="rId33"/>
    <sheet name="1015" sheetId="157" r:id="rId34"/>
    <sheet name="1016總" sheetId="158" r:id="rId35"/>
    <sheet name="1016" sheetId="159" r:id="rId36"/>
    <sheet name="1017總" sheetId="160" r:id="rId37"/>
    <sheet name="1017" sheetId="161" r:id="rId38"/>
    <sheet name="1018總" sheetId="162" r:id="rId39"/>
    <sheet name="1018" sheetId="163" r:id="rId40"/>
    <sheet name="1019總" sheetId="164" r:id="rId41"/>
    <sheet name="1019" sheetId="165" r:id="rId42"/>
    <sheet name="1020總" sheetId="166" r:id="rId43"/>
    <sheet name="1020" sheetId="167" r:id="rId44"/>
    <sheet name="1021總" sheetId="168" r:id="rId45"/>
    <sheet name="1021" sheetId="169" r:id="rId46"/>
    <sheet name="1022總" sheetId="170" r:id="rId47"/>
    <sheet name="1022" sheetId="171" r:id="rId48"/>
    <sheet name="1023總" sheetId="172" r:id="rId49"/>
    <sheet name="1023" sheetId="173" r:id="rId50"/>
    <sheet name="1024總" sheetId="174" r:id="rId51"/>
    <sheet name="1024" sheetId="175" r:id="rId52"/>
    <sheet name="1025總" sheetId="176" r:id="rId53"/>
    <sheet name="1025" sheetId="177" r:id="rId54"/>
    <sheet name="1026總" sheetId="178" r:id="rId55"/>
    <sheet name="1026" sheetId="179" r:id="rId56"/>
    <sheet name="1027總" sheetId="180" r:id="rId57"/>
    <sheet name="1027" sheetId="181" r:id="rId58"/>
    <sheet name="1028總" sheetId="182" r:id="rId59"/>
    <sheet name="1028" sheetId="183" r:id="rId60"/>
    <sheet name="1029總" sheetId="184" r:id="rId61"/>
    <sheet name="1029" sheetId="185" r:id="rId62"/>
    <sheet name="1030總" sheetId="186" r:id="rId63"/>
    <sheet name="1030" sheetId="187" r:id="rId64"/>
    <sheet name="1031總" sheetId="188" r:id="rId65"/>
    <sheet name="1031" sheetId="189" r:id="rId66"/>
  </sheets>
  <externalReferences>
    <externalReference r:id="rId67"/>
  </externalReferences>
  <definedNames>
    <definedName name="_xlnm._FilterDatabase" localSheetId="5">'1001'!$A$4:$AJ$79</definedName>
    <definedName name="_xlnm._FilterDatabase" localSheetId="4">'1001總'!$B$10:$J$25</definedName>
    <definedName name="_xlnm._FilterDatabase" localSheetId="7">'1002'!$A$4:$AJ$79</definedName>
    <definedName name="_xlnm._FilterDatabase" localSheetId="6">'1002總'!$B$10:$J$25</definedName>
    <definedName name="_xlnm._FilterDatabase" localSheetId="9">'1003'!$A$4:$AJ$79</definedName>
    <definedName name="_xlnm._FilterDatabase" localSheetId="8">'1003總'!$B$10:$J$25</definedName>
    <definedName name="_xlnm._FilterDatabase" localSheetId="11">'1004'!$A$4:$AJ$79</definedName>
    <definedName name="_xlnm._FilterDatabase" localSheetId="10">'1004總'!$B$10:$J$25</definedName>
    <definedName name="_xlnm._FilterDatabase" localSheetId="13">'1005'!$A$4:$AJ$79</definedName>
    <definedName name="_xlnm._FilterDatabase" localSheetId="12">'1005總'!$B$10:$J$25</definedName>
    <definedName name="_xlnm._FilterDatabase" localSheetId="15">'1006'!$A$4:$AJ$79</definedName>
    <definedName name="_xlnm._FilterDatabase" localSheetId="14">'1006總'!$B$10:$J$25</definedName>
    <definedName name="_xlnm._FilterDatabase" localSheetId="17">'1007'!$A$4:$AJ$79</definedName>
    <definedName name="_xlnm._FilterDatabase" localSheetId="16">'1007總'!$B$10:$J$25</definedName>
    <definedName name="_xlnm._FilterDatabase" localSheetId="19">'1008'!$A$4:$AJ$79</definedName>
    <definedName name="_xlnm._FilterDatabase" localSheetId="18">'1008總'!$B$10:$J$25</definedName>
    <definedName name="_xlnm._FilterDatabase" localSheetId="21">'1009'!$A$4:$AJ$79</definedName>
    <definedName name="_xlnm._FilterDatabase" localSheetId="20">'1009總'!$B$10:$J$25</definedName>
    <definedName name="_xlnm._FilterDatabase" localSheetId="23">'1010'!$A$4:$AJ$79</definedName>
    <definedName name="_xlnm._FilterDatabase" localSheetId="22">'1010總'!$B$10:$J$25</definedName>
    <definedName name="_xlnm._FilterDatabase" localSheetId="25">'1011'!$A$4:$AJ$79</definedName>
    <definedName name="_xlnm._FilterDatabase" localSheetId="24">'1011總'!$B$10:$J$25</definedName>
    <definedName name="_xlnm._FilterDatabase" localSheetId="27">'1012'!$A$4:$AJ$79</definedName>
    <definedName name="_xlnm._FilterDatabase" localSheetId="26">'1012總'!$B$10:$J$25</definedName>
    <definedName name="_xlnm._FilterDatabase" localSheetId="29">'1013'!$A$4:$AJ$79</definedName>
    <definedName name="_xlnm._FilterDatabase" localSheetId="28">'1013總'!$B$10:$J$25</definedName>
    <definedName name="_xlnm._FilterDatabase" localSheetId="31">'1014'!$A$4:$AJ$79</definedName>
    <definedName name="_xlnm._FilterDatabase" localSheetId="30">'1014總'!$B$10:$J$25</definedName>
    <definedName name="_xlnm._FilterDatabase" localSheetId="33">'1015'!$A$4:$AJ$79</definedName>
    <definedName name="_xlnm._FilterDatabase" localSheetId="32">'1015總'!$B$10:$J$25</definedName>
    <definedName name="_xlnm._FilterDatabase" localSheetId="35">'1016'!$A$4:$AJ$79</definedName>
    <definedName name="_xlnm._FilterDatabase" localSheetId="34">'1016總'!$B$10:$J$25</definedName>
    <definedName name="_xlnm._FilterDatabase" localSheetId="37">'1017'!$A$4:$AJ$79</definedName>
    <definedName name="_xlnm._FilterDatabase" localSheetId="36">'1017總'!$B$10:$J$25</definedName>
    <definedName name="_xlnm._FilterDatabase" localSheetId="39">'1018'!$A$4:$AJ$79</definedName>
    <definedName name="_xlnm._FilterDatabase" localSheetId="38">'1018總'!$B$10:$J$25</definedName>
    <definedName name="_xlnm._FilterDatabase" localSheetId="41">'1019'!$A$4:$AJ$79</definedName>
    <definedName name="_xlnm._FilterDatabase" localSheetId="40">'1019總'!$B$10:$J$25</definedName>
    <definedName name="_xlnm._FilterDatabase" localSheetId="43">'1020'!$A$4:$AJ$79</definedName>
    <definedName name="_xlnm._FilterDatabase" localSheetId="42">'1020總'!$B$10:$J$25</definedName>
    <definedName name="_xlnm._FilterDatabase" localSheetId="45">'1021'!$A$4:$AJ$79</definedName>
    <definedName name="_xlnm._FilterDatabase" localSheetId="44">'1021總'!$B$10:$J$25</definedName>
    <definedName name="_xlnm._FilterDatabase" localSheetId="47">'1022'!$A$4:$AJ$79</definedName>
    <definedName name="_xlnm._FilterDatabase" localSheetId="46">'1022總'!$B$10:$J$25</definedName>
    <definedName name="_xlnm._FilterDatabase" localSheetId="49">'1023'!$A$4:$AJ$79</definedName>
    <definedName name="_xlnm._FilterDatabase" localSheetId="48">'1023總'!$B$10:$J$25</definedName>
    <definedName name="_xlnm._FilterDatabase" localSheetId="51">'1024'!$A$4:$AJ$79</definedName>
    <definedName name="_xlnm._FilterDatabase" localSheetId="50">'1024總'!$B$10:$J$25</definedName>
    <definedName name="_xlnm._FilterDatabase" localSheetId="53">'1025'!$A$4:$AJ$79</definedName>
    <definedName name="_xlnm._FilterDatabase" localSheetId="52">'1025總'!$B$10:$J$25</definedName>
    <definedName name="_xlnm._FilterDatabase" localSheetId="55">'1026'!$A$4:$AJ$79</definedName>
    <definedName name="_xlnm._FilterDatabase" localSheetId="54">'1026總'!$B$10:$J$25</definedName>
    <definedName name="_xlnm._FilterDatabase" localSheetId="57">'1027'!$A$4:$AJ$79</definedName>
    <definedName name="_xlnm._FilterDatabase" localSheetId="56">'1027總'!$B$10:$J$25</definedName>
    <definedName name="_xlnm._FilterDatabase" localSheetId="59">'1028'!$A$4:$AJ$79</definedName>
    <definedName name="_xlnm._FilterDatabase" localSheetId="58">'1028總'!$B$10:$J$25</definedName>
    <definedName name="_xlnm._FilterDatabase" localSheetId="61">'1029'!$A$4:$AJ$79</definedName>
    <definedName name="_xlnm._FilterDatabase" localSheetId="60">'1029總'!$B$10:$J$25</definedName>
    <definedName name="_xlnm._FilterDatabase" localSheetId="63">'1030'!$A$4:$AJ$79</definedName>
    <definedName name="_xlnm._FilterDatabase" localSheetId="62">'1030總'!$B$10:$J$25</definedName>
    <definedName name="_xlnm._FilterDatabase" localSheetId="65">'1031'!$A$4:$AJ$79</definedName>
    <definedName name="_xlnm._FilterDatabase" localSheetId="64">'1031總'!$B$10:$J$25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'1001'!$A$1:$AH$79</definedName>
    <definedName name="_xlnm.Print_Area" localSheetId="7">'1002'!$A$1:$AH$79</definedName>
    <definedName name="_xlnm.Print_Area" localSheetId="9">'1003'!$A$1:$AH$79</definedName>
    <definedName name="_xlnm.Print_Area" localSheetId="11">'1004'!$A$1:$AH$79</definedName>
    <definedName name="_xlnm.Print_Area" localSheetId="13">'1005'!$A$1:$AH$79</definedName>
    <definedName name="_xlnm.Print_Area" localSheetId="15">'1006'!$A$1:$AH$79</definedName>
    <definedName name="_xlnm.Print_Area" localSheetId="17">'1007'!$A$1:$AH$79</definedName>
    <definedName name="_xlnm.Print_Area" localSheetId="19">'1008'!$A$1:$AH$79</definedName>
    <definedName name="_xlnm.Print_Area" localSheetId="21">'1009'!$A$1:$AH$79</definedName>
    <definedName name="_xlnm.Print_Area" localSheetId="23">'1010'!$A$1:$AH$79</definedName>
    <definedName name="_xlnm.Print_Area" localSheetId="25">'1011'!$A$1:$AH$79</definedName>
    <definedName name="_xlnm.Print_Area" localSheetId="27">'1012'!$A$1:$AH$79</definedName>
    <definedName name="_xlnm.Print_Area" localSheetId="29">'1013'!$A$1:$AH$79</definedName>
    <definedName name="_xlnm.Print_Area" localSheetId="31">'1014'!$A$1:$AH$79</definedName>
    <definedName name="_xlnm.Print_Area" localSheetId="33">'1015'!$A$1:$AH$79</definedName>
    <definedName name="_xlnm.Print_Area" localSheetId="35">'1016'!$A$1:$AH$79</definedName>
    <definedName name="_xlnm.Print_Area" localSheetId="37">'1017'!$A$1:$AH$79</definedName>
    <definedName name="_xlnm.Print_Area" localSheetId="39">'1018'!$A$1:$AH$79</definedName>
    <definedName name="_xlnm.Print_Area" localSheetId="41">'1019'!$A$1:$AH$79</definedName>
    <definedName name="_xlnm.Print_Area" localSheetId="43">'1020'!$A$1:$AH$79</definedName>
    <definedName name="_xlnm.Print_Area" localSheetId="45">'1021'!$A$1:$AH$79</definedName>
    <definedName name="_xlnm.Print_Area" localSheetId="47">'1022'!$A$1:$AH$79</definedName>
    <definedName name="_xlnm.Print_Area" localSheetId="49">'1023'!$A$1:$AH$79</definedName>
    <definedName name="_xlnm.Print_Area" localSheetId="51">'1024'!$A$1:$AH$79</definedName>
    <definedName name="_xlnm.Print_Area" localSheetId="53">'1025'!$A$1:$AH$79</definedName>
    <definedName name="_xlnm.Print_Area" localSheetId="55">'1026'!$A$1:$AH$79</definedName>
    <definedName name="_xlnm.Print_Area" localSheetId="57">'1027'!$A$1:$AH$79</definedName>
    <definedName name="_xlnm.Print_Area" localSheetId="59">'1028'!$A$1:$AH$79</definedName>
    <definedName name="_xlnm.Print_Area" localSheetId="61">'1029'!$A$1:$AH$79</definedName>
    <definedName name="_xlnm.Print_Area" localSheetId="63">'1030'!$A$1:$AH$79</definedName>
    <definedName name="_xlnm.Print_Area" localSheetId="65">'1031'!$A$1:$AH$79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35" l="1"/>
  <c r="J61" i="135"/>
  <c r="K61" i="135"/>
  <c r="L61" i="135"/>
  <c r="AG62" i="135"/>
  <c r="P30" i="135"/>
  <c r="H30" i="135"/>
  <c r="J30" i="135"/>
  <c r="K30" i="135"/>
  <c r="L30" i="135" s="1"/>
  <c r="F30" i="135"/>
  <c r="N19" i="135"/>
  <c r="O19" i="135"/>
  <c r="Q19" i="135" s="1"/>
  <c r="P19" i="135"/>
  <c r="H19" i="135"/>
  <c r="J19" i="135"/>
  <c r="K19" i="135"/>
  <c r="L19" i="135"/>
  <c r="F19" i="135"/>
  <c r="V7" i="135"/>
  <c r="V8" i="135"/>
  <c r="N7" i="135"/>
  <c r="O7" i="135" s="1"/>
  <c r="P7" i="135"/>
  <c r="P8" i="135"/>
  <c r="H7" i="135"/>
  <c r="J7" i="135"/>
  <c r="K7" i="135"/>
  <c r="L7" i="135" s="1"/>
  <c r="H8" i="135"/>
  <c r="J8" i="135"/>
  <c r="L8" i="135" s="1"/>
  <c r="K8" i="135"/>
  <c r="F8" i="135"/>
  <c r="AE79" i="189"/>
  <c r="AD79" i="189"/>
  <c r="AA79" i="189"/>
  <c r="J18" i="188" s="1"/>
  <c r="Z79" i="189"/>
  <c r="M79" i="189"/>
  <c r="W78" i="189"/>
  <c r="H78" i="189"/>
  <c r="W77" i="189"/>
  <c r="H77" i="189"/>
  <c r="W76" i="189"/>
  <c r="H76" i="189"/>
  <c r="W75" i="189"/>
  <c r="H75" i="189"/>
  <c r="W74" i="189"/>
  <c r="W73" i="189"/>
  <c r="W72" i="189"/>
  <c r="W71" i="189"/>
  <c r="AG70" i="189"/>
  <c r="AF70" i="189"/>
  <c r="W70" i="189"/>
  <c r="N70" i="189" s="1"/>
  <c r="P70" i="189"/>
  <c r="K70" i="189"/>
  <c r="K79" i="189" s="1"/>
  <c r="J70" i="189"/>
  <c r="J79" i="189" s="1"/>
  <c r="P79" i="189" s="1"/>
  <c r="F70" i="189"/>
  <c r="H70" i="189" s="1"/>
  <c r="B70" i="189"/>
  <c r="AE69" i="189"/>
  <c r="AD69" i="189"/>
  <c r="AA69" i="189"/>
  <c r="Z69" i="189"/>
  <c r="M69" i="189"/>
  <c r="P69" i="189" s="1"/>
  <c r="W68" i="189"/>
  <c r="H68" i="189"/>
  <c r="W67" i="189"/>
  <c r="W66" i="189"/>
  <c r="W65" i="189"/>
  <c r="W64" i="189"/>
  <c r="W63" i="189"/>
  <c r="AG62" i="189"/>
  <c r="AF62" i="189"/>
  <c r="W62" i="189"/>
  <c r="W61" i="189"/>
  <c r="N61" i="189" s="1"/>
  <c r="V61" i="189"/>
  <c r="K61" i="189"/>
  <c r="L61" i="189" s="1"/>
  <c r="J61" i="189"/>
  <c r="P61" i="189" s="1"/>
  <c r="H61" i="189"/>
  <c r="F61" i="189"/>
  <c r="B61" i="189"/>
  <c r="W60" i="189"/>
  <c r="V60" i="189"/>
  <c r="P60" i="189"/>
  <c r="N60" i="189"/>
  <c r="K60" i="189"/>
  <c r="J60" i="189"/>
  <c r="L60" i="189" s="1"/>
  <c r="F60" i="189"/>
  <c r="H60" i="189" s="1"/>
  <c r="B60" i="189"/>
  <c r="AF59" i="189"/>
  <c r="W59" i="189"/>
  <c r="N59" i="189" s="1"/>
  <c r="K59" i="189"/>
  <c r="L59" i="189" s="1"/>
  <c r="L69" i="189" s="1"/>
  <c r="I13" i="188" s="1"/>
  <c r="J6" i="188" s="1"/>
  <c r="J59" i="189"/>
  <c r="J69" i="189" s="1"/>
  <c r="F59" i="189"/>
  <c r="H59" i="189" s="1"/>
  <c r="B59" i="189"/>
  <c r="AE58" i="189"/>
  <c r="AD58" i="189"/>
  <c r="AA58" i="189"/>
  <c r="H19" i="188" s="1"/>
  <c r="Z58" i="189"/>
  <c r="M58" i="189"/>
  <c r="P58" i="189" s="1"/>
  <c r="L58" i="189"/>
  <c r="H13" i="188" s="1"/>
  <c r="K58" i="189"/>
  <c r="J58" i="189"/>
  <c r="W57" i="189"/>
  <c r="W56" i="189"/>
  <c r="W55" i="189"/>
  <c r="W54" i="189"/>
  <c r="AG53" i="189"/>
  <c r="AF53" i="189"/>
  <c r="W53" i="189"/>
  <c r="AG52" i="189"/>
  <c r="AF52" i="189"/>
  <c r="W52" i="189"/>
  <c r="V52" i="189"/>
  <c r="W51" i="189"/>
  <c r="V51" i="189"/>
  <c r="N51" i="189"/>
  <c r="K51" i="189"/>
  <c r="L51" i="189" s="1"/>
  <c r="J51" i="189"/>
  <c r="P51" i="189" s="1"/>
  <c r="H51" i="189"/>
  <c r="F51" i="189"/>
  <c r="B51" i="189"/>
  <c r="W50" i="189"/>
  <c r="V50" i="189"/>
  <c r="N50" i="189"/>
  <c r="K50" i="189"/>
  <c r="J50" i="189"/>
  <c r="L50" i="189" s="1"/>
  <c r="F50" i="189"/>
  <c r="H50" i="189" s="1"/>
  <c r="B50" i="189"/>
  <c r="W49" i="189"/>
  <c r="N49" i="189" s="1"/>
  <c r="AG49" i="189" s="1"/>
  <c r="K49" i="189"/>
  <c r="L49" i="189" s="1"/>
  <c r="J49" i="189"/>
  <c r="P49" i="189" s="1"/>
  <c r="F49" i="189"/>
  <c r="H49" i="189" s="1"/>
  <c r="B49" i="189"/>
  <c r="AE48" i="189"/>
  <c r="AD48" i="189"/>
  <c r="AA48" i="189"/>
  <c r="G19" i="188" s="1"/>
  <c r="Z48" i="189"/>
  <c r="W48" i="189"/>
  <c r="M48" i="189"/>
  <c r="L48" i="189"/>
  <c r="W47" i="189"/>
  <c r="H47" i="189"/>
  <c r="W46" i="189"/>
  <c r="W45" i="189"/>
  <c r="W44" i="189"/>
  <c r="W43" i="189"/>
  <c r="W42" i="189"/>
  <c r="AG41" i="189"/>
  <c r="AF41" i="189"/>
  <c r="W41" i="189"/>
  <c r="W40" i="189"/>
  <c r="V40" i="189"/>
  <c r="N40" i="189"/>
  <c r="K40" i="189"/>
  <c r="L40" i="189" s="1"/>
  <c r="J40" i="189"/>
  <c r="P40" i="189" s="1"/>
  <c r="H40" i="189"/>
  <c r="F40" i="189"/>
  <c r="B40" i="189"/>
  <c r="W39" i="189"/>
  <c r="V39" i="189"/>
  <c r="N39" i="189"/>
  <c r="K39" i="189"/>
  <c r="J39" i="189"/>
  <c r="F39" i="189"/>
  <c r="H39" i="189" s="1"/>
  <c r="B39" i="189"/>
  <c r="AF38" i="189"/>
  <c r="W38" i="189"/>
  <c r="N38" i="189" s="1"/>
  <c r="AG38" i="189" s="1"/>
  <c r="K38" i="189"/>
  <c r="L38" i="189" s="1"/>
  <c r="J38" i="189"/>
  <c r="J48" i="189" s="1"/>
  <c r="F38" i="189"/>
  <c r="H38" i="189" s="1"/>
  <c r="B38" i="189"/>
  <c r="AE37" i="189"/>
  <c r="AD37" i="189"/>
  <c r="AA37" i="189"/>
  <c r="Z37" i="189"/>
  <c r="M37" i="189"/>
  <c r="K37" i="189"/>
  <c r="W36" i="189"/>
  <c r="H36" i="189"/>
  <c r="W35" i="189"/>
  <c r="W34" i="189"/>
  <c r="W33" i="189"/>
  <c r="W32" i="189"/>
  <c r="AG31" i="189"/>
  <c r="AF31" i="189"/>
  <c r="W31" i="189"/>
  <c r="AG30" i="189"/>
  <c r="AF30" i="189"/>
  <c r="W30" i="189"/>
  <c r="V30" i="189"/>
  <c r="AG29" i="189"/>
  <c r="W29" i="189"/>
  <c r="V29" i="189"/>
  <c r="P29" i="189"/>
  <c r="N29" i="189"/>
  <c r="AF29" i="189" s="1"/>
  <c r="L29" i="189"/>
  <c r="K29" i="189"/>
  <c r="J29" i="189"/>
  <c r="H29" i="189"/>
  <c r="F29" i="189"/>
  <c r="B29" i="189"/>
  <c r="W28" i="189"/>
  <c r="N28" i="189" s="1"/>
  <c r="V28" i="189"/>
  <c r="P28" i="189"/>
  <c r="L28" i="189"/>
  <c r="K28" i="189"/>
  <c r="J28" i="189"/>
  <c r="H28" i="189"/>
  <c r="F28" i="189"/>
  <c r="B28" i="189"/>
  <c r="AG27" i="189"/>
  <c r="W27" i="189"/>
  <c r="N27" i="189" s="1"/>
  <c r="K27" i="189"/>
  <c r="J27" i="189"/>
  <c r="H27" i="189"/>
  <c r="F27" i="189"/>
  <c r="B27" i="189"/>
  <c r="AE26" i="189"/>
  <c r="AD26" i="189"/>
  <c r="AA26" i="189"/>
  <c r="Z26" i="189"/>
  <c r="P26" i="189"/>
  <c r="M26" i="189"/>
  <c r="I1" i="189" s="1"/>
  <c r="J26" i="189"/>
  <c r="W25" i="189"/>
  <c r="H25" i="189"/>
  <c r="W24" i="189"/>
  <c r="H24" i="189"/>
  <c r="W23" i="189"/>
  <c r="W21" i="189"/>
  <c r="W20" i="189"/>
  <c r="V20" i="189"/>
  <c r="AG19" i="189"/>
  <c r="AF19" i="189"/>
  <c r="W19" i="189"/>
  <c r="V19" i="189"/>
  <c r="W18" i="189"/>
  <c r="V18" i="189"/>
  <c r="N18" i="189"/>
  <c r="K18" i="189"/>
  <c r="J18" i="189"/>
  <c r="F18" i="189"/>
  <c r="H18" i="189" s="1"/>
  <c r="B18" i="189"/>
  <c r="W17" i="189"/>
  <c r="N17" i="189" s="1"/>
  <c r="V17" i="189"/>
  <c r="P17" i="189"/>
  <c r="K17" i="189"/>
  <c r="L17" i="189" s="1"/>
  <c r="J17" i="189"/>
  <c r="F17" i="189"/>
  <c r="H17" i="189" s="1"/>
  <c r="B17" i="189"/>
  <c r="W16" i="189"/>
  <c r="N16" i="189" s="1"/>
  <c r="O16" i="189" s="1"/>
  <c r="K16" i="189"/>
  <c r="J16" i="189"/>
  <c r="P16" i="189" s="1"/>
  <c r="F16" i="189"/>
  <c r="H16" i="189" s="1"/>
  <c r="B16" i="189"/>
  <c r="AE15" i="189"/>
  <c r="AD15" i="189"/>
  <c r="AA15" i="189"/>
  <c r="D19" i="188" s="1"/>
  <c r="Z15" i="189"/>
  <c r="M15" i="189"/>
  <c r="K15" i="189"/>
  <c r="W14" i="189"/>
  <c r="W13" i="189"/>
  <c r="W12" i="189"/>
  <c r="AG11" i="189"/>
  <c r="AF11" i="189"/>
  <c r="W11" i="189"/>
  <c r="AG10" i="189"/>
  <c r="AF10" i="189"/>
  <c r="W10" i="189"/>
  <c r="AG9" i="189"/>
  <c r="AF9" i="189"/>
  <c r="W9" i="189"/>
  <c r="AG8" i="189"/>
  <c r="AF8" i="189"/>
  <c r="W8" i="189"/>
  <c r="AF7" i="189"/>
  <c r="W7" i="189"/>
  <c r="N7" i="189" s="1"/>
  <c r="AG7" i="189" s="1"/>
  <c r="V7" i="189"/>
  <c r="R7" i="189"/>
  <c r="O7" i="189"/>
  <c r="Q7" i="189" s="1"/>
  <c r="K7" i="189"/>
  <c r="L7" i="189" s="1"/>
  <c r="J7" i="189"/>
  <c r="P7" i="189" s="1"/>
  <c r="F7" i="189"/>
  <c r="H7" i="189" s="1"/>
  <c r="B7" i="189"/>
  <c r="W6" i="189"/>
  <c r="N6" i="189" s="1"/>
  <c r="V6" i="189"/>
  <c r="K6" i="189"/>
  <c r="J6" i="189"/>
  <c r="P6" i="189" s="1"/>
  <c r="H6" i="189"/>
  <c r="F6" i="189"/>
  <c r="B6" i="189"/>
  <c r="W5" i="189"/>
  <c r="P5" i="189"/>
  <c r="O5" i="189"/>
  <c r="N5" i="189"/>
  <c r="L5" i="189"/>
  <c r="L15" i="189" s="1"/>
  <c r="D13" i="188" s="1"/>
  <c r="K5" i="189"/>
  <c r="J5" i="189"/>
  <c r="J15" i="189" s="1"/>
  <c r="P15" i="189" s="1"/>
  <c r="H5" i="189"/>
  <c r="G1" i="189" s="1"/>
  <c r="G2" i="189" s="1"/>
  <c r="F5" i="189"/>
  <c r="B5" i="189"/>
  <c r="Z2" i="189"/>
  <c r="I2" i="189"/>
  <c r="E1" i="189"/>
  <c r="J21" i="188"/>
  <c r="I21" i="188"/>
  <c r="H21" i="188"/>
  <c r="G21" i="188"/>
  <c r="F21" i="188"/>
  <c r="D21" i="188"/>
  <c r="J20" i="188"/>
  <c r="H20" i="188"/>
  <c r="G20" i="188"/>
  <c r="F20" i="188"/>
  <c r="E20" i="188"/>
  <c r="D20" i="188"/>
  <c r="J19" i="188"/>
  <c r="I19" i="188"/>
  <c r="E19" i="188"/>
  <c r="I18" i="188"/>
  <c r="H18" i="188"/>
  <c r="G18" i="188"/>
  <c r="F18" i="188"/>
  <c r="E18" i="188"/>
  <c r="D18" i="188"/>
  <c r="J16" i="188"/>
  <c r="I16" i="188"/>
  <c r="H16" i="188"/>
  <c r="G16" i="188"/>
  <c r="F16" i="188"/>
  <c r="E16" i="188"/>
  <c r="D16" i="188"/>
  <c r="G13" i="188"/>
  <c r="AE79" i="187"/>
  <c r="J21" i="186" s="1"/>
  <c r="AD79" i="187"/>
  <c r="AA79" i="187"/>
  <c r="Z79" i="187"/>
  <c r="M79" i="187"/>
  <c r="P79" i="187" s="1"/>
  <c r="J79" i="187"/>
  <c r="W78" i="187"/>
  <c r="H78" i="187"/>
  <c r="W77" i="187"/>
  <c r="H77" i="187"/>
  <c r="W76" i="187"/>
  <c r="H76" i="187"/>
  <c r="W75" i="187"/>
  <c r="H75" i="187"/>
  <c r="W74" i="187"/>
  <c r="W73" i="187"/>
  <c r="W72" i="187"/>
  <c r="W71" i="187"/>
  <c r="W70" i="187"/>
  <c r="P70" i="187"/>
  <c r="N70" i="187"/>
  <c r="L70" i="187"/>
  <c r="L79" i="187" s="1"/>
  <c r="J13" i="186" s="1"/>
  <c r="K70" i="187"/>
  <c r="K79" i="187" s="1"/>
  <c r="J70" i="187"/>
  <c r="F70" i="187"/>
  <c r="H70" i="187" s="1"/>
  <c r="B70" i="187"/>
  <c r="AE69" i="187"/>
  <c r="AD69" i="187"/>
  <c r="AA69" i="187"/>
  <c r="I19" i="186" s="1"/>
  <c r="Z69" i="187"/>
  <c r="I18" i="186" s="1"/>
  <c r="M69" i="187"/>
  <c r="W68" i="187"/>
  <c r="H68" i="187"/>
  <c r="W67" i="187"/>
  <c r="W66" i="187"/>
  <c r="W65" i="187"/>
  <c r="W64" i="187"/>
  <c r="W63" i="187"/>
  <c r="AG62" i="187"/>
  <c r="AF62" i="187"/>
  <c r="W62" i="187"/>
  <c r="W61" i="187"/>
  <c r="N61" i="187" s="1"/>
  <c r="V61" i="187"/>
  <c r="P61" i="187"/>
  <c r="L61" i="187"/>
  <c r="K61" i="187"/>
  <c r="J61" i="187"/>
  <c r="H61" i="187"/>
  <c r="F61" i="187"/>
  <c r="B61" i="187"/>
  <c r="AG60" i="187"/>
  <c r="AF60" i="187"/>
  <c r="W60" i="187"/>
  <c r="N60" i="187" s="1"/>
  <c r="O60" i="187" s="1"/>
  <c r="V60" i="187"/>
  <c r="P60" i="187"/>
  <c r="K60" i="187"/>
  <c r="J60" i="187"/>
  <c r="L60" i="187" s="1"/>
  <c r="F60" i="187"/>
  <c r="H60" i="187" s="1"/>
  <c r="B60" i="187"/>
  <c r="W59" i="187"/>
  <c r="N59" i="187"/>
  <c r="K59" i="187"/>
  <c r="K69" i="187" s="1"/>
  <c r="J59" i="187"/>
  <c r="H59" i="187"/>
  <c r="F59" i="187"/>
  <c r="B59" i="187"/>
  <c r="AE58" i="187"/>
  <c r="AD58" i="187"/>
  <c r="AA58" i="187"/>
  <c r="Z58" i="187"/>
  <c r="M58" i="187"/>
  <c r="I1" i="187" s="1"/>
  <c r="W57" i="187"/>
  <c r="W56" i="187"/>
  <c r="W55" i="187"/>
  <c r="W54" i="187"/>
  <c r="AG53" i="187"/>
  <c r="AF53" i="187"/>
  <c r="W53" i="187"/>
  <c r="AG52" i="187"/>
  <c r="AF52" i="187"/>
  <c r="W52" i="187"/>
  <c r="V52" i="187"/>
  <c r="W51" i="187"/>
  <c r="N51" i="187" s="1"/>
  <c r="V51" i="187"/>
  <c r="P51" i="187"/>
  <c r="L51" i="187"/>
  <c r="K51" i="187"/>
  <c r="J51" i="187"/>
  <c r="H51" i="187"/>
  <c r="F51" i="187"/>
  <c r="B51" i="187"/>
  <c r="AG50" i="187"/>
  <c r="AF50" i="187"/>
  <c r="W50" i="187"/>
  <c r="N50" i="187" s="1"/>
  <c r="O50" i="187" s="1"/>
  <c r="V50" i="187"/>
  <c r="P50" i="187"/>
  <c r="K50" i="187"/>
  <c r="J50" i="187"/>
  <c r="L50" i="187" s="1"/>
  <c r="F50" i="187"/>
  <c r="H50" i="187" s="1"/>
  <c r="B50" i="187"/>
  <c r="W49" i="187"/>
  <c r="N49" i="187"/>
  <c r="L49" i="187"/>
  <c r="L58" i="187" s="1"/>
  <c r="H13" i="186" s="1"/>
  <c r="K49" i="187"/>
  <c r="K58" i="187" s="1"/>
  <c r="J49" i="187"/>
  <c r="H49" i="187"/>
  <c r="F49" i="187"/>
  <c r="B49" i="187"/>
  <c r="AE48" i="187"/>
  <c r="G21" i="186" s="1"/>
  <c r="AD48" i="187"/>
  <c r="AA48" i="187"/>
  <c r="Z48" i="187"/>
  <c r="G18" i="186" s="1"/>
  <c r="W48" i="187"/>
  <c r="M48" i="187"/>
  <c r="W47" i="187"/>
  <c r="H47" i="187"/>
  <c r="W46" i="187"/>
  <c r="W45" i="187"/>
  <c r="W44" i="187"/>
  <c r="W43" i="187"/>
  <c r="W42" i="187"/>
  <c r="AG41" i="187"/>
  <c r="AF41" i="187"/>
  <c r="W41" i="187"/>
  <c r="W40" i="187"/>
  <c r="N40" i="187" s="1"/>
  <c r="V40" i="187"/>
  <c r="P40" i="187"/>
  <c r="L40" i="187"/>
  <c r="K40" i="187"/>
  <c r="J40" i="187"/>
  <c r="H40" i="187"/>
  <c r="F40" i="187"/>
  <c r="B40" i="187"/>
  <c r="AG39" i="187"/>
  <c r="W39" i="187"/>
  <c r="N39" i="187" s="1"/>
  <c r="O39" i="187" s="1"/>
  <c r="V39" i="187"/>
  <c r="P39" i="187"/>
  <c r="K39" i="187"/>
  <c r="J39" i="187"/>
  <c r="L39" i="187" s="1"/>
  <c r="F39" i="187"/>
  <c r="H39" i="187" s="1"/>
  <c r="B39" i="187"/>
  <c r="W38" i="187"/>
  <c r="N38" i="187" s="1"/>
  <c r="K38" i="187"/>
  <c r="K48" i="187" s="1"/>
  <c r="J38" i="187"/>
  <c r="H38" i="187"/>
  <c r="F38" i="187"/>
  <c r="B38" i="187"/>
  <c r="AE37" i="187"/>
  <c r="AD37" i="187"/>
  <c r="AA37" i="187"/>
  <c r="Z37" i="187"/>
  <c r="F18" i="186" s="1"/>
  <c r="M37" i="187"/>
  <c r="P37" i="187" s="1"/>
  <c r="J37" i="187"/>
  <c r="W36" i="187"/>
  <c r="H36" i="187"/>
  <c r="W35" i="187"/>
  <c r="W34" i="187"/>
  <c r="W33" i="187"/>
  <c r="W32" i="187"/>
  <c r="AG31" i="187"/>
  <c r="AF31" i="187"/>
  <c r="W31" i="187"/>
  <c r="AG30" i="187"/>
  <c r="AF30" i="187"/>
  <c r="W30" i="187"/>
  <c r="V30" i="187"/>
  <c r="W29" i="187"/>
  <c r="N29" i="187" s="1"/>
  <c r="AG29" i="187" s="1"/>
  <c r="V29" i="187"/>
  <c r="O29" i="187"/>
  <c r="K29" i="187"/>
  <c r="L29" i="187" s="1"/>
  <c r="J29" i="187"/>
  <c r="P29" i="187" s="1"/>
  <c r="H29" i="187"/>
  <c r="F29" i="187"/>
  <c r="B29" i="187"/>
  <c r="AG28" i="187"/>
  <c r="AF28" i="187"/>
  <c r="W28" i="187"/>
  <c r="N28" i="187" s="1"/>
  <c r="O28" i="187" s="1"/>
  <c r="V28" i="187"/>
  <c r="K28" i="187"/>
  <c r="J28" i="187"/>
  <c r="P28" i="187" s="1"/>
  <c r="H28" i="187"/>
  <c r="F28" i="187"/>
  <c r="B28" i="187"/>
  <c r="AG27" i="187"/>
  <c r="W27" i="187"/>
  <c r="Q27" i="187"/>
  <c r="P27" i="187"/>
  <c r="O27" i="187"/>
  <c r="N27" i="187"/>
  <c r="L27" i="187"/>
  <c r="L37" i="187" s="1"/>
  <c r="K27" i="187"/>
  <c r="K37" i="187" s="1"/>
  <c r="J27" i="187"/>
  <c r="H27" i="187"/>
  <c r="F27" i="187"/>
  <c r="B27" i="187"/>
  <c r="AE26" i="187"/>
  <c r="AE2" i="187" s="1"/>
  <c r="AD26" i="187"/>
  <c r="E20" i="186" s="1"/>
  <c r="AA26" i="187"/>
  <c r="Z26" i="187"/>
  <c r="E18" i="186" s="1"/>
  <c r="M26" i="187"/>
  <c r="W25" i="187"/>
  <c r="H25" i="187"/>
  <c r="W24" i="187"/>
  <c r="H24" i="187"/>
  <c r="W23" i="187"/>
  <c r="W21" i="187"/>
  <c r="W20" i="187"/>
  <c r="V20" i="187"/>
  <c r="AG19" i="187"/>
  <c r="AF19" i="187"/>
  <c r="W19" i="187"/>
  <c r="V19" i="187"/>
  <c r="AF18" i="187"/>
  <c r="W18" i="187"/>
  <c r="N18" i="187" s="1"/>
  <c r="O18" i="187" s="1"/>
  <c r="V18" i="187"/>
  <c r="P18" i="187"/>
  <c r="K18" i="187"/>
  <c r="J18" i="187"/>
  <c r="L18" i="187" s="1"/>
  <c r="F18" i="187"/>
  <c r="H18" i="187" s="1"/>
  <c r="B18" i="187"/>
  <c r="W17" i="187"/>
  <c r="V17" i="187"/>
  <c r="N17" i="187"/>
  <c r="L17" i="187"/>
  <c r="K17" i="187"/>
  <c r="J17" i="187"/>
  <c r="P17" i="187" s="1"/>
  <c r="H17" i="187"/>
  <c r="F17" i="187"/>
  <c r="B17" i="187"/>
  <c r="W16" i="187"/>
  <c r="P16" i="187"/>
  <c r="N16" i="187"/>
  <c r="K16" i="187"/>
  <c r="K26" i="187" s="1"/>
  <c r="J16" i="187"/>
  <c r="L16" i="187" s="1"/>
  <c r="L26" i="187" s="1"/>
  <c r="E13" i="186" s="1"/>
  <c r="F16" i="187"/>
  <c r="H16" i="187" s="1"/>
  <c r="B16" i="187"/>
  <c r="AE15" i="187"/>
  <c r="AD15" i="187"/>
  <c r="D20" i="186" s="1"/>
  <c r="AA15" i="187"/>
  <c r="Z15" i="187"/>
  <c r="P15" i="187"/>
  <c r="M15" i="187"/>
  <c r="K15" i="187"/>
  <c r="J15" i="187"/>
  <c r="W14" i="187"/>
  <c r="W13" i="187"/>
  <c r="W12" i="187"/>
  <c r="AG11" i="187"/>
  <c r="AF11" i="187"/>
  <c r="W11" i="187"/>
  <c r="AG10" i="187"/>
  <c r="AF10" i="187"/>
  <c r="W10" i="187"/>
  <c r="AG9" i="187"/>
  <c r="AF9" i="187"/>
  <c r="W9" i="187"/>
  <c r="AG8" i="187"/>
  <c r="AF8" i="187"/>
  <c r="W8" i="187"/>
  <c r="W7" i="187"/>
  <c r="V7" i="187"/>
  <c r="O7" i="187"/>
  <c r="N7" i="187"/>
  <c r="K7" i="187"/>
  <c r="J7" i="187"/>
  <c r="P7" i="187" s="1"/>
  <c r="H7" i="187"/>
  <c r="F7" i="187"/>
  <c r="B7" i="187"/>
  <c r="W6" i="187"/>
  <c r="V6" i="187"/>
  <c r="N6" i="187"/>
  <c r="K6" i="187"/>
  <c r="J6" i="187"/>
  <c r="F6" i="187"/>
  <c r="H6" i="187" s="1"/>
  <c r="B6" i="187"/>
  <c r="AG5" i="187"/>
  <c r="AF5" i="187"/>
  <c r="W5" i="187"/>
  <c r="N5" i="187" s="1"/>
  <c r="N15" i="187" s="1"/>
  <c r="K5" i="187"/>
  <c r="L5" i="187" s="1"/>
  <c r="L15" i="187" s="1"/>
  <c r="J5" i="187"/>
  <c r="P5" i="187" s="1"/>
  <c r="H5" i="187"/>
  <c r="G1" i="187" s="1"/>
  <c r="G2" i="187" s="1"/>
  <c r="F5" i="187"/>
  <c r="B5" i="187"/>
  <c r="AD2" i="187"/>
  <c r="I2" i="187"/>
  <c r="E1" i="187"/>
  <c r="I21" i="186"/>
  <c r="H21" i="186"/>
  <c r="F21" i="186"/>
  <c r="D21" i="186"/>
  <c r="J20" i="186"/>
  <c r="I20" i="186"/>
  <c r="H20" i="186"/>
  <c r="G20" i="186"/>
  <c r="F20" i="186"/>
  <c r="J19" i="186"/>
  <c r="H19" i="186"/>
  <c r="G19" i="186"/>
  <c r="F19" i="186"/>
  <c r="E19" i="186"/>
  <c r="D19" i="186"/>
  <c r="J18" i="186"/>
  <c r="H18" i="186"/>
  <c r="J16" i="186"/>
  <c r="I16" i="186"/>
  <c r="H16" i="186"/>
  <c r="G16" i="186"/>
  <c r="F16" i="186"/>
  <c r="E16" i="186"/>
  <c r="D16" i="186"/>
  <c r="F13" i="186"/>
  <c r="D13" i="186"/>
  <c r="H6" i="186"/>
  <c r="F6" i="186"/>
  <c r="AE79" i="185"/>
  <c r="AD79" i="185"/>
  <c r="AA79" i="185"/>
  <c r="Z79" i="185"/>
  <c r="M79" i="185"/>
  <c r="W78" i="185"/>
  <c r="H78" i="185"/>
  <c r="W77" i="185"/>
  <c r="H77" i="185"/>
  <c r="W76" i="185"/>
  <c r="H76" i="185"/>
  <c r="W75" i="185"/>
  <c r="H75" i="185"/>
  <c r="W74" i="185"/>
  <c r="W73" i="185"/>
  <c r="W72" i="185"/>
  <c r="W71" i="185"/>
  <c r="AF70" i="185"/>
  <c r="W70" i="185"/>
  <c r="N70" i="185"/>
  <c r="K70" i="185"/>
  <c r="K79" i="185" s="1"/>
  <c r="J70" i="185"/>
  <c r="J79" i="185" s="1"/>
  <c r="P79" i="185" s="1"/>
  <c r="F70" i="185"/>
  <c r="H70" i="185" s="1"/>
  <c r="B70" i="185"/>
  <c r="AE69" i="185"/>
  <c r="AD69" i="185"/>
  <c r="AA69" i="185"/>
  <c r="Z69" i="185"/>
  <c r="M69" i="185"/>
  <c r="L69" i="185"/>
  <c r="I13" i="184" s="1"/>
  <c r="J6" i="184" s="1"/>
  <c r="K69" i="185"/>
  <c r="J69" i="185"/>
  <c r="W68" i="185"/>
  <c r="H68" i="185"/>
  <c r="W67" i="185"/>
  <c r="W66" i="185"/>
  <c r="W65" i="185"/>
  <c r="W64" i="185"/>
  <c r="W63" i="185"/>
  <c r="AG62" i="185"/>
  <c r="AF62" i="185"/>
  <c r="W62" i="185"/>
  <c r="AG61" i="185"/>
  <c r="AF61" i="185"/>
  <c r="W61" i="185"/>
  <c r="N61" i="185" s="1"/>
  <c r="O61" i="185" s="1"/>
  <c r="V61" i="185"/>
  <c r="R61" i="185"/>
  <c r="L61" i="185"/>
  <c r="K61" i="185"/>
  <c r="J61" i="185"/>
  <c r="P61" i="185" s="1"/>
  <c r="F61" i="185"/>
  <c r="H61" i="185" s="1"/>
  <c r="B61" i="185"/>
  <c r="AF60" i="185"/>
  <c r="W60" i="185"/>
  <c r="V60" i="185"/>
  <c r="P60" i="185"/>
  <c r="N60" i="185"/>
  <c r="AG60" i="185" s="1"/>
  <c r="L60" i="185"/>
  <c r="K60" i="185"/>
  <c r="J60" i="185"/>
  <c r="F60" i="185"/>
  <c r="H60" i="185" s="1"/>
  <c r="B60" i="185"/>
  <c r="W59" i="185"/>
  <c r="N59" i="185" s="1"/>
  <c r="P59" i="185"/>
  <c r="L59" i="185"/>
  <c r="K59" i="185"/>
  <c r="J59" i="185"/>
  <c r="H59" i="185"/>
  <c r="F59" i="185"/>
  <c r="B59" i="185"/>
  <c r="AE58" i="185"/>
  <c r="H21" i="184" s="1"/>
  <c r="AD58" i="185"/>
  <c r="H20" i="184" s="1"/>
  <c r="AA58" i="185"/>
  <c r="Z58" i="185"/>
  <c r="M58" i="185"/>
  <c r="P58" i="185" s="1"/>
  <c r="L58" i="185"/>
  <c r="H13" i="184" s="1"/>
  <c r="K58" i="185"/>
  <c r="J58" i="185"/>
  <c r="W57" i="185"/>
  <c r="W56" i="185"/>
  <c r="W55" i="185"/>
  <c r="W54" i="185"/>
  <c r="AG53" i="185"/>
  <c r="AF53" i="185"/>
  <c r="W53" i="185"/>
  <c r="AG52" i="185"/>
  <c r="AF52" i="185"/>
  <c r="W52" i="185"/>
  <c r="V52" i="185"/>
  <c r="W51" i="185"/>
  <c r="N51" i="185" s="1"/>
  <c r="O51" i="185" s="1"/>
  <c r="V51" i="185"/>
  <c r="L51" i="185"/>
  <c r="R51" i="185" s="1"/>
  <c r="K51" i="185"/>
  <c r="AF51" i="185" s="1"/>
  <c r="J51" i="185"/>
  <c r="P51" i="185" s="1"/>
  <c r="F51" i="185"/>
  <c r="H51" i="185" s="1"/>
  <c r="B51" i="185"/>
  <c r="W50" i="185"/>
  <c r="V50" i="185"/>
  <c r="P50" i="185"/>
  <c r="N50" i="185"/>
  <c r="K50" i="185"/>
  <c r="L50" i="185" s="1"/>
  <c r="J50" i="185"/>
  <c r="F50" i="185"/>
  <c r="H50" i="185" s="1"/>
  <c r="B50" i="185"/>
  <c r="W49" i="185"/>
  <c r="N49" i="185" s="1"/>
  <c r="P49" i="185"/>
  <c r="L49" i="185"/>
  <c r="K49" i="185"/>
  <c r="J49" i="185"/>
  <c r="H49" i="185"/>
  <c r="F49" i="185"/>
  <c r="B49" i="185"/>
  <c r="AE48" i="185"/>
  <c r="AD48" i="185"/>
  <c r="G20" i="184" s="1"/>
  <c r="AA48" i="185"/>
  <c r="G19" i="184" s="1"/>
  <c r="Z48" i="185"/>
  <c r="W48" i="185"/>
  <c r="N48" i="185"/>
  <c r="M48" i="185"/>
  <c r="P48" i="185" s="1"/>
  <c r="L48" i="185"/>
  <c r="G13" i="184" s="1"/>
  <c r="K48" i="185"/>
  <c r="J48" i="185"/>
  <c r="W47" i="185"/>
  <c r="H47" i="185"/>
  <c r="W46" i="185"/>
  <c r="W45" i="185"/>
  <c r="W44" i="185"/>
  <c r="W43" i="185"/>
  <c r="W42" i="185"/>
  <c r="AG41" i="185"/>
  <c r="AF41" i="185"/>
  <c r="W41" i="185"/>
  <c r="W40" i="185"/>
  <c r="N40" i="185" s="1"/>
  <c r="O40" i="185" s="1"/>
  <c r="V40" i="185"/>
  <c r="K40" i="185"/>
  <c r="L40" i="185" s="1"/>
  <c r="J40" i="185"/>
  <c r="P40" i="185" s="1"/>
  <c r="F40" i="185"/>
  <c r="H40" i="185" s="1"/>
  <c r="B40" i="185"/>
  <c r="AF39" i="185"/>
  <c r="W39" i="185"/>
  <c r="V39" i="185"/>
  <c r="P39" i="185"/>
  <c r="O39" i="185"/>
  <c r="N39" i="185"/>
  <c r="K39" i="185"/>
  <c r="L39" i="185" s="1"/>
  <c r="J39" i="185"/>
  <c r="F39" i="185"/>
  <c r="H39" i="185" s="1"/>
  <c r="B39" i="185"/>
  <c r="W38" i="185"/>
  <c r="N38" i="185" s="1"/>
  <c r="P38" i="185"/>
  <c r="L38" i="185"/>
  <c r="K38" i="185"/>
  <c r="J38" i="185"/>
  <c r="H38" i="185"/>
  <c r="F38" i="185"/>
  <c r="B38" i="185"/>
  <c r="AE37" i="185"/>
  <c r="F21" i="184" s="1"/>
  <c r="AD37" i="185"/>
  <c r="AA37" i="185"/>
  <c r="F19" i="184" s="1"/>
  <c r="Z37" i="185"/>
  <c r="M37" i="185"/>
  <c r="L37" i="185"/>
  <c r="F13" i="184" s="1"/>
  <c r="K37" i="185"/>
  <c r="J37" i="185"/>
  <c r="W36" i="185"/>
  <c r="H36" i="185"/>
  <c r="W35" i="185"/>
  <c r="W34" i="185"/>
  <c r="W33" i="185"/>
  <c r="W32" i="185"/>
  <c r="AG31" i="185"/>
  <c r="AF31" i="185"/>
  <c r="W31" i="185"/>
  <c r="AG30" i="185"/>
  <c r="AF30" i="185"/>
  <c r="W30" i="185"/>
  <c r="V30" i="185"/>
  <c r="AG29" i="185"/>
  <c r="W29" i="185"/>
  <c r="N29" i="185" s="1"/>
  <c r="V29" i="185"/>
  <c r="L29" i="185"/>
  <c r="K29" i="185"/>
  <c r="J29" i="185"/>
  <c r="P29" i="185" s="1"/>
  <c r="H29" i="185"/>
  <c r="F29" i="185"/>
  <c r="B29" i="185"/>
  <c r="W28" i="185"/>
  <c r="V28" i="185"/>
  <c r="P28" i="185"/>
  <c r="N28" i="185"/>
  <c r="L28" i="185"/>
  <c r="K28" i="185"/>
  <c r="J28" i="185"/>
  <c r="H28" i="185"/>
  <c r="F28" i="185"/>
  <c r="B28" i="185"/>
  <c r="AG27" i="185"/>
  <c r="AF27" i="185"/>
  <c r="W27" i="185"/>
  <c r="N27" i="185" s="1"/>
  <c r="K27" i="185"/>
  <c r="L27" i="185" s="1"/>
  <c r="J27" i="185"/>
  <c r="P27" i="185" s="1"/>
  <c r="H27" i="185"/>
  <c r="F27" i="185"/>
  <c r="B27" i="185"/>
  <c r="AE26" i="185"/>
  <c r="AD26" i="185"/>
  <c r="AA26" i="185"/>
  <c r="E19" i="184" s="1"/>
  <c r="Z26" i="185"/>
  <c r="M26" i="185"/>
  <c r="K26" i="185"/>
  <c r="J26" i="185"/>
  <c r="W25" i="185"/>
  <c r="H25" i="185"/>
  <c r="W24" i="185"/>
  <c r="H24" i="185"/>
  <c r="W23" i="185"/>
  <c r="W21" i="185"/>
  <c r="W20" i="185"/>
  <c r="V20" i="185"/>
  <c r="AG19" i="185"/>
  <c r="AF19" i="185"/>
  <c r="W19" i="185"/>
  <c r="V19" i="185"/>
  <c r="AF18" i="185"/>
  <c r="W18" i="185"/>
  <c r="V18" i="185"/>
  <c r="P18" i="185"/>
  <c r="O18" i="185"/>
  <c r="N18" i="185"/>
  <c r="K18" i="185"/>
  <c r="L18" i="185" s="1"/>
  <c r="R18" i="185" s="1"/>
  <c r="J18" i="185"/>
  <c r="F18" i="185"/>
  <c r="H18" i="185" s="1"/>
  <c r="B18" i="185"/>
  <c r="AF17" i="185"/>
  <c r="W17" i="185"/>
  <c r="V17" i="185"/>
  <c r="P17" i="185"/>
  <c r="N17" i="185"/>
  <c r="K17" i="185"/>
  <c r="L17" i="185" s="1"/>
  <c r="J17" i="185"/>
  <c r="F17" i="185"/>
  <c r="H17" i="185" s="1"/>
  <c r="B17" i="185"/>
  <c r="AG16" i="185"/>
  <c r="W16" i="185"/>
  <c r="N16" i="185" s="1"/>
  <c r="O16" i="185" s="1"/>
  <c r="Q16" i="185" s="1"/>
  <c r="L16" i="185"/>
  <c r="L26" i="185" s="1"/>
  <c r="E13" i="184" s="1"/>
  <c r="K16" i="185"/>
  <c r="J16" i="185"/>
  <c r="P16" i="185" s="1"/>
  <c r="F16" i="185"/>
  <c r="H16" i="185" s="1"/>
  <c r="B16" i="185"/>
  <c r="AE15" i="185"/>
  <c r="AD15" i="185"/>
  <c r="AA15" i="185"/>
  <c r="Z15" i="185"/>
  <c r="M15" i="185"/>
  <c r="K15" i="185"/>
  <c r="W14" i="185"/>
  <c r="W13" i="185"/>
  <c r="W12" i="185"/>
  <c r="AG11" i="185"/>
  <c r="AF11" i="185"/>
  <c r="W11" i="185"/>
  <c r="AG10" i="185"/>
  <c r="AF10" i="185"/>
  <c r="W10" i="185"/>
  <c r="AG9" i="185"/>
  <c r="AF9" i="185"/>
  <c r="W9" i="185"/>
  <c r="AG8" i="185"/>
  <c r="AF8" i="185"/>
  <c r="W8" i="185"/>
  <c r="AG7" i="185"/>
  <c r="W7" i="185"/>
  <c r="N7" i="185" s="1"/>
  <c r="AF7" i="185" s="1"/>
  <c r="V7" i="185"/>
  <c r="P7" i="185"/>
  <c r="O7" i="185"/>
  <c r="L7" i="185"/>
  <c r="K7" i="185"/>
  <c r="J7" i="185"/>
  <c r="H7" i="185"/>
  <c r="F7" i="185"/>
  <c r="B7" i="185"/>
  <c r="W6" i="185"/>
  <c r="N6" i="185" s="1"/>
  <c r="O6" i="185" s="1"/>
  <c r="V6" i="185"/>
  <c r="P6" i="185"/>
  <c r="L6" i="185"/>
  <c r="R6" i="185" s="1"/>
  <c r="K6" i="185"/>
  <c r="J6" i="185"/>
  <c r="F6" i="185"/>
  <c r="H6" i="185" s="1"/>
  <c r="B6" i="185"/>
  <c r="W5" i="185"/>
  <c r="N5" i="185"/>
  <c r="L5" i="185"/>
  <c r="L15" i="185" s="1"/>
  <c r="D13" i="184" s="1"/>
  <c r="K5" i="185"/>
  <c r="J5" i="185"/>
  <c r="H5" i="185"/>
  <c r="F5" i="185"/>
  <c r="B5" i="185"/>
  <c r="I2" i="185"/>
  <c r="G1" i="185"/>
  <c r="E1" i="185"/>
  <c r="J21" i="184"/>
  <c r="I21" i="184"/>
  <c r="G21" i="184"/>
  <c r="D21" i="184"/>
  <c r="J20" i="184"/>
  <c r="I20" i="184"/>
  <c r="F20" i="184"/>
  <c r="E20" i="184"/>
  <c r="D20" i="184"/>
  <c r="J19" i="184"/>
  <c r="I19" i="184"/>
  <c r="H19" i="184"/>
  <c r="D19" i="184"/>
  <c r="J18" i="184"/>
  <c r="H18" i="184"/>
  <c r="G18" i="184"/>
  <c r="F18" i="184"/>
  <c r="E18" i="184"/>
  <c r="D18" i="184"/>
  <c r="J16" i="184"/>
  <c r="I16" i="184"/>
  <c r="H16" i="184"/>
  <c r="G16" i="184"/>
  <c r="F16" i="184"/>
  <c r="E16" i="184"/>
  <c r="D16" i="184"/>
  <c r="AE79" i="183"/>
  <c r="J21" i="182" s="1"/>
  <c r="AD79" i="183"/>
  <c r="J20" i="182" s="1"/>
  <c r="AA79" i="183"/>
  <c r="Z79" i="183"/>
  <c r="M79" i="183"/>
  <c r="K79" i="183"/>
  <c r="W78" i="183"/>
  <c r="H78" i="183"/>
  <c r="W77" i="183"/>
  <c r="H77" i="183"/>
  <c r="W76" i="183"/>
  <c r="H76" i="183"/>
  <c r="W75" i="183"/>
  <c r="H75" i="183"/>
  <c r="W74" i="183"/>
  <c r="W73" i="183"/>
  <c r="W72" i="183"/>
  <c r="W71" i="183"/>
  <c r="AG70" i="183"/>
  <c r="AF70" i="183"/>
  <c r="W70" i="183"/>
  <c r="P70" i="183"/>
  <c r="N70" i="183"/>
  <c r="O70" i="183" s="1"/>
  <c r="L70" i="183"/>
  <c r="L79" i="183" s="1"/>
  <c r="K70" i="183"/>
  <c r="J70" i="183"/>
  <c r="J79" i="183" s="1"/>
  <c r="H70" i="183"/>
  <c r="F70" i="183"/>
  <c r="B70" i="183"/>
  <c r="AE69" i="183"/>
  <c r="AD69" i="183"/>
  <c r="I20" i="182" s="1"/>
  <c r="AA69" i="183"/>
  <c r="Z69" i="183"/>
  <c r="M69" i="183"/>
  <c r="W68" i="183"/>
  <c r="H68" i="183"/>
  <c r="W67" i="183"/>
  <c r="W66" i="183"/>
  <c r="W65" i="183"/>
  <c r="W64" i="183"/>
  <c r="W63" i="183"/>
  <c r="AG62" i="183"/>
  <c r="AF62" i="183"/>
  <c r="W62" i="183"/>
  <c r="W61" i="183"/>
  <c r="V61" i="183"/>
  <c r="P61" i="183"/>
  <c r="N61" i="183"/>
  <c r="L61" i="183"/>
  <c r="K61" i="183"/>
  <c r="J61" i="183"/>
  <c r="F61" i="183"/>
  <c r="H61" i="183" s="1"/>
  <c r="B61" i="183"/>
  <c r="W60" i="183"/>
  <c r="V60" i="183"/>
  <c r="P60" i="183"/>
  <c r="N60" i="183"/>
  <c r="AG60" i="183" s="1"/>
  <c r="K60" i="183"/>
  <c r="L60" i="183" s="1"/>
  <c r="J60" i="183"/>
  <c r="F60" i="183"/>
  <c r="H60" i="183" s="1"/>
  <c r="B60" i="183"/>
  <c r="AF59" i="183"/>
  <c r="W59" i="183"/>
  <c r="N59" i="183" s="1"/>
  <c r="P59" i="183"/>
  <c r="L59" i="183"/>
  <c r="L69" i="183" s="1"/>
  <c r="K59" i="183"/>
  <c r="K69" i="183" s="1"/>
  <c r="J59" i="183"/>
  <c r="J69" i="183" s="1"/>
  <c r="P69" i="183" s="1"/>
  <c r="H59" i="183"/>
  <c r="F59" i="183"/>
  <c r="B59" i="183"/>
  <c r="AE58" i="183"/>
  <c r="AD58" i="183"/>
  <c r="AA58" i="183"/>
  <c r="Z58" i="183"/>
  <c r="M58" i="183"/>
  <c r="P58" i="183" s="1"/>
  <c r="K58" i="183"/>
  <c r="J58" i="183"/>
  <c r="W57" i="183"/>
  <c r="W56" i="183"/>
  <c r="W55" i="183"/>
  <c r="W54" i="183"/>
  <c r="AG53" i="183"/>
  <c r="AF53" i="183"/>
  <c r="W53" i="183"/>
  <c r="AG52" i="183"/>
  <c r="AF52" i="183"/>
  <c r="W52" i="183"/>
  <c r="V52" i="183"/>
  <c r="W51" i="183"/>
  <c r="V51" i="183"/>
  <c r="N51" i="183"/>
  <c r="L51" i="183"/>
  <c r="K51" i="183"/>
  <c r="J51" i="183"/>
  <c r="P51" i="183" s="1"/>
  <c r="H51" i="183"/>
  <c r="F51" i="183"/>
  <c r="B51" i="183"/>
  <c r="W50" i="183"/>
  <c r="V50" i="183"/>
  <c r="P50" i="183"/>
  <c r="N50" i="183"/>
  <c r="AG50" i="183" s="1"/>
  <c r="L50" i="183"/>
  <c r="K50" i="183"/>
  <c r="J50" i="183"/>
  <c r="F50" i="183"/>
  <c r="H50" i="183" s="1"/>
  <c r="B50" i="183"/>
  <c r="AG49" i="183"/>
  <c r="AF49" i="183"/>
  <c r="W49" i="183"/>
  <c r="N49" i="183" s="1"/>
  <c r="O49" i="183" s="1"/>
  <c r="P49" i="183"/>
  <c r="L49" i="183"/>
  <c r="L58" i="183" s="1"/>
  <c r="H13" i="182" s="1"/>
  <c r="K49" i="183"/>
  <c r="J49" i="183"/>
  <c r="H49" i="183"/>
  <c r="F49" i="183"/>
  <c r="B49" i="183"/>
  <c r="AE48" i="183"/>
  <c r="AD48" i="183"/>
  <c r="AA48" i="183"/>
  <c r="Z48" i="183"/>
  <c r="W48" i="183"/>
  <c r="P48" i="183"/>
  <c r="M48" i="183"/>
  <c r="L48" i="183"/>
  <c r="G13" i="182" s="1"/>
  <c r="K48" i="183"/>
  <c r="J48" i="183"/>
  <c r="W47" i="183"/>
  <c r="H47" i="183"/>
  <c r="W46" i="183"/>
  <c r="W45" i="183"/>
  <c r="W44" i="183"/>
  <c r="W43" i="183"/>
  <c r="W42" i="183"/>
  <c r="AG41" i="183"/>
  <c r="AF41" i="183"/>
  <c r="W41" i="183"/>
  <c r="W40" i="183"/>
  <c r="V40" i="183"/>
  <c r="O40" i="183"/>
  <c r="N40" i="183"/>
  <c r="L40" i="183"/>
  <c r="K40" i="183"/>
  <c r="J40" i="183"/>
  <c r="P40" i="183" s="1"/>
  <c r="H40" i="183"/>
  <c r="F40" i="183"/>
  <c r="B40" i="183"/>
  <c r="W39" i="183"/>
  <c r="V39" i="183"/>
  <c r="P39" i="183"/>
  <c r="N39" i="183"/>
  <c r="AG39" i="183" s="1"/>
  <c r="L39" i="183"/>
  <c r="K39" i="183"/>
  <c r="J39" i="183"/>
  <c r="F39" i="183"/>
  <c r="H39" i="183" s="1"/>
  <c r="B39" i="183"/>
  <c r="AF38" i="183"/>
  <c r="W38" i="183"/>
  <c r="N38" i="183" s="1"/>
  <c r="O38" i="183" s="1"/>
  <c r="R38" i="183" s="1"/>
  <c r="P38" i="183"/>
  <c r="L38" i="183"/>
  <c r="K38" i="183"/>
  <c r="J38" i="183"/>
  <c r="H38" i="183"/>
  <c r="F38" i="183"/>
  <c r="B38" i="183"/>
  <c r="AE37" i="183"/>
  <c r="AD37" i="183"/>
  <c r="AA37" i="183"/>
  <c r="Z37" i="183"/>
  <c r="M37" i="183"/>
  <c r="W36" i="183"/>
  <c r="H36" i="183"/>
  <c r="W35" i="183"/>
  <c r="W34" i="183"/>
  <c r="W33" i="183"/>
  <c r="W32" i="183"/>
  <c r="AG31" i="183"/>
  <c r="AF31" i="183"/>
  <c r="W31" i="183"/>
  <c r="AG30" i="183"/>
  <c r="AF30" i="183"/>
  <c r="W30" i="183"/>
  <c r="V30" i="183"/>
  <c r="W29" i="183"/>
  <c r="N29" i="183" s="1"/>
  <c r="V29" i="183"/>
  <c r="P29" i="183"/>
  <c r="L29" i="183"/>
  <c r="K29" i="183"/>
  <c r="J29" i="183"/>
  <c r="F29" i="183"/>
  <c r="H29" i="183" s="1"/>
  <c r="B29" i="183"/>
  <c r="W28" i="183"/>
  <c r="V28" i="183"/>
  <c r="P28" i="183"/>
  <c r="N28" i="183"/>
  <c r="K28" i="183"/>
  <c r="L28" i="183" s="1"/>
  <c r="J28" i="183"/>
  <c r="H28" i="183"/>
  <c r="F28" i="183"/>
  <c r="B28" i="183"/>
  <c r="W27" i="183"/>
  <c r="N27" i="183" s="1"/>
  <c r="K27" i="183"/>
  <c r="J27" i="183"/>
  <c r="H27" i="183"/>
  <c r="F27" i="183"/>
  <c r="B27" i="183"/>
  <c r="AE26" i="183"/>
  <c r="AD26" i="183"/>
  <c r="AA26" i="183"/>
  <c r="Z26" i="183"/>
  <c r="M26" i="183"/>
  <c r="W25" i="183"/>
  <c r="H25" i="183"/>
  <c r="W24" i="183"/>
  <c r="H24" i="183"/>
  <c r="W23" i="183"/>
  <c r="W21" i="183"/>
  <c r="W20" i="183"/>
  <c r="V20" i="183"/>
  <c r="AG19" i="183"/>
  <c r="AF19" i="183"/>
  <c r="W19" i="183"/>
  <c r="V19" i="183"/>
  <c r="W18" i="183"/>
  <c r="V18" i="183"/>
  <c r="P18" i="183"/>
  <c r="N18" i="183"/>
  <c r="L18" i="183"/>
  <c r="K18" i="183"/>
  <c r="J18" i="183"/>
  <c r="F18" i="183"/>
  <c r="H18" i="183" s="1"/>
  <c r="B18" i="183"/>
  <c r="W17" i="183"/>
  <c r="N17" i="183" s="1"/>
  <c r="V17" i="183"/>
  <c r="P17" i="183"/>
  <c r="K17" i="183"/>
  <c r="L17" i="183" s="1"/>
  <c r="J17" i="183"/>
  <c r="F17" i="183"/>
  <c r="H17" i="183" s="1"/>
  <c r="B17" i="183"/>
  <c r="AF16" i="183"/>
  <c r="W16" i="183"/>
  <c r="N16" i="183" s="1"/>
  <c r="K16" i="183"/>
  <c r="K26" i="183" s="1"/>
  <c r="J16" i="183"/>
  <c r="F16" i="183"/>
  <c r="H16" i="183" s="1"/>
  <c r="B16" i="183"/>
  <c r="AE15" i="183"/>
  <c r="AD15" i="183"/>
  <c r="AD2" i="183" s="1"/>
  <c r="AA15" i="183"/>
  <c r="D19" i="182" s="1"/>
  <c r="Z15" i="183"/>
  <c r="M15" i="183"/>
  <c r="W14" i="183"/>
  <c r="W13" i="183"/>
  <c r="W12" i="183"/>
  <c r="AG11" i="183"/>
  <c r="AF11" i="183"/>
  <c r="W11" i="183"/>
  <c r="AG10" i="183"/>
  <c r="AF10" i="183"/>
  <c r="W10" i="183"/>
  <c r="AG9" i="183"/>
  <c r="AF9" i="183"/>
  <c r="W9" i="183"/>
  <c r="AG8" i="183"/>
  <c r="AF8" i="183"/>
  <c r="W8" i="183"/>
  <c r="AG7" i="183"/>
  <c r="AF7" i="183"/>
  <c r="W7" i="183"/>
  <c r="N7" i="183" s="1"/>
  <c r="O7" i="183" s="1"/>
  <c r="Q7" i="183" s="1"/>
  <c r="V7" i="183"/>
  <c r="R7" i="183"/>
  <c r="P7" i="183"/>
  <c r="L7" i="183"/>
  <c r="K7" i="183"/>
  <c r="J7" i="183"/>
  <c r="H7" i="183"/>
  <c r="F7" i="183"/>
  <c r="B7" i="183"/>
  <c r="AF6" i="183"/>
  <c r="W6" i="183"/>
  <c r="N6" i="183" s="1"/>
  <c r="V6" i="183"/>
  <c r="L6" i="183"/>
  <c r="K6" i="183"/>
  <c r="J6" i="183"/>
  <c r="P6" i="183" s="1"/>
  <c r="F6" i="183"/>
  <c r="H6" i="183" s="1"/>
  <c r="B6" i="183"/>
  <c r="W5" i="183"/>
  <c r="N5" i="183" s="1"/>
  <c r="P5" i="183"/>
  <c r="K5" i="183"/>
  <c r="K15" i="183" s="1"/>
  <c r="J5" i="183"/>
  <c r="F5" i="183"/>
  <c r="H5" i="183" s="1"/>
  <c r="B5" i="183"/>
  <c r="AA2" i="183"/>
  <c r="Z2" i="183"/>
  <c r="I2" i="183"/>
  <c r="G1" i="183"/>
  <c r="G2" i="183" s="1"/>
  <c r="E1" i="183"/>
  <c r="I21" i="182"/>
  <c r="H21" i="182"/>
  <c r="G21" i="182"/>
  <c r="E21" i="182"/>
  <c r="D21" i="182"/>
  <c r="H20" i="182"/>
  <c r="G20" i="182"/>
  <c r="F20" i="182"/>
  <c r="E20" i="182"/>
  <c r="D20" i="182"/>
  <c r="J19" i="182"/>
  <c r="I19" i="182"/>
  <c r="H19" i="182"/>
  <c r="G19" i="182"/>
  <c r="F19" i="182"/>
  <c r="E19" i="182"/>
  <c r="J18" i="182"/>
  <c r="I18" i="182"/>
  <c r="H18" i="182"/>
  <c r="G18" i="182"/>
  <c r="F18" i="182"/>
  <c r="E18" i="182"/>
  <c r="D18" i="182"/>
  <c r="J16" i="182"/>
  <c r="I16" i="182"/>
  <c r="H16" i="182"/>
  <c r="G16" i="182"/>
  <c r="F16" i="182"/>
  <c r="E16" i="182"/>
  <c r="D16" i="182"/>
  <c r="J13" i="182"/>
  <c r="I13" i="182"/>
  <c r="J6" i="182" s="1"/>
  <c r="AE79" i="181"/>
  <c r="J21" i="180" s="1"/>
  <c r="AD79" i="181"/>
  <c r="J20" i="180" s="1"/>
  <c r="AA79" i="181"/>
  <c r="Z79" i="181"/>
  <c r="N79" i="181"/>
  <c r="M79" i="181"/>
  <c r="J79" i="181"/>
  <c r="W78" i="181"/>
  <c r="H78" i="181"/>
  <c r="W77" i="181"/>
  <c r="H77" i="181"/>
  <c r="W76" i="181"/>
  <c r="H76" i="181"/>
  <c r="W75" i="181"/>
  <c r="H75" i="181"/>
  <c r="W74" i="181"/>
  <c r="W73" i="181"/>
  <c r="W72" i="181"/>
  <c r="W71" i="181"/>
  <c r="W70" i="181"/>
  <c r="O70" i="181"/>
  <c r="N70" i="181"/>
  <c r="AF70" i="181" s="1"/>
  <c r="K70" i="181"/>
  <c r="J70" i="181"/>
  <c r="P70" i="181" s="1"/>
  <c r="H70" i="181"/>
  <c r="F70" i="181"/>
  <c r="B70" i="181"/>
  <c r="AE69" i="181"/>
  <c r="AD69" i="181"/>
  <c r="AA69" i="181"/>
  <c r="I19" i="180" s="1"/>
  <c r="Z69" i="181"/>
  <c r="I18" i="180" s="1"/>
  <c r="M69" i="181"/>
  <c r="W68" i="181"/>
  <c r="H68" i="181"/>
  <c r="W67" i="181"/>
  <c r="W66" i="181"/>
  <c r="W65" i="181"/>
  <c r="W64" i="181"/>
  <c r="W63" i="181"/>
  <c r="AG62" i="181"/>
  <c r="AF62" i="181"/>
  <c r="W62" i="181"/>
  <c r="W61" i="181"/>
  <c r="V61" i="181"/>
  <c r="P61" i="181"/>
  <c r="N61" i="181"/>
  <c r="K61" i="181"/>
  <c r="L61" i="181" s="1"/>
  <c r="J61" i="181"/>
  <c r="H61" i="181"/>
  <c r="F61" i="181"/>
  <c r="B61" i="181"/>
  <c r="AG60" i="181"/>
  <c r="AF60" i="181"/>
  <c r="W60" i="181"/>
  <c r="V60" i="181"/>
  <c r="N60" i="181"/>
  <c r="O60" i="181" s="1"/>
  <c r="K60" i="181"/>
  <c r="J60" i="181"/>
  <c r="F60" i="181"/>
  <c r="H60" i="181" s="1"/>
  <c r="B60" i="181"/>
  <c r="W59" i="181"/>
  <c r="O59" i="181"/>
  <c r="N59" i="181"/>
  <c r="L59" i="181"/>
  <c r="L69" i="181" s="1"/>
  <c r="I13" i="180" s="1"/>
  <c r="J6" i="180" s="1"/>
  <c r="K59" i="181"/>
  <c r="K69" i="181" s="1"/>
  <c r="J59" i="181"/>
  <c r="F59" i="181"/>
  <c r="H59" i="181" s="1"/>
  <c r="B59" i="181"/>
  <c r="AE58" i="181"/>
  <c r="AD58" i="181"/>
  <c r="AA58" i="181"/>
  <c r="Z58" i="181"/>
  <c r="H18" i="180" s="1"/>
  <c r="O58" i="181"/>
  <c r="N58" i="181"/>
  <c r="M58" i="181"/>
  <c r="K58" i="181"/>
  <c r="W57" i="181"/>
  <c r="W56" i="181"/>
  <c r="W55" i="181"/>
  <c r="W54" i="181"/>
  <c r="AG53" i="181"/>
  <c r="AF53" i="181"/>
  <c r="W53" i="181"/>
  <c r="AG52" i="181"/>
  <c r="AF52" i="181"/>
  <c r="W52" i="181"/>
  <c r="V52" i="181"/>
  <c r="W51" i="181"/>
  <c r="V51" i="181"/>
  <c r="P51" i="181"/>
  <c r="O51" i="181"/>
  <c r="N51" i="181"/>
  <c r="K51" i="181"/>
  <c r="L51" i="181" s="1"/>
  <c r="J51" i="181"/>
  <c r="H51" i="181"/>
  <c r="F51" i="181"/>
  <c r="B51" i="181"/>
  <c r="AG50" i="181"/>
  <c r="AF50" i="181"/>
  <c r="W50" i="181"/>
  <c r="V50" i="181"/>
  <c r="N50" i="181"/>
  <c r="O50" i="181" s="1"/>
  <c r="K50" i="181"/>
  <c r="J50" i="181"/>
  <c r="F50" i="181"/>
  <c r="H50" i="181" s="1"/>
  <c r="B50" i="181"/>
  <c r="AF49" i="181"/>
  <c r="W49" i="181"/>
  <c r="O49" i="181"/>
  <c r="N49" i="181"/>
  <c r="AG49" i="181" s="1"/>
  <c r="K49" i="181"/>
  <c r="J49" i="181"/>
  <c r="F49" i="181"/>
  <c r="H49" i="181" s="1"/>
  <c r="B49" i="181"/>
  <c r="AE48" i="181"/>
  <c r="AD48" i="181"/>
  <c r="AA48" i="181"/>
  <c r="G19" i="180" s="1"/>
  <c r="Z48" i="181"/>
  <c r="W48" i="181"/>
  <c r="M48" i="181"/>
  <c r="W47" i="181"/>
  <c r="H47" i="181"/>
  <c r="W46" i="181"/>
  <c r="W45" i="181"/>
  <c r="W44" i="181"/>
  <c r="W43" i="181"/>
  <c r="W42" i="181"/>
  <c r="AG41" i="181"/>
  <c r="AF41" i="181"/>
  <c r="W41" i="181"/>
  <c r="W40" i="181"/>
  <c r="V40" i="181"/>
  <c r="P40" i="181"/>
  <c r="O40" i="181"/>
  <c r="N40" i="181"/>
  <c r="K40" i="181"/>
  <c r="L40" i="181" s="1"/>
  <c r="J40" i="181"/>
  <c r="H40" i="181"/>
  <c r="F40" i="181"/>
  <c r="B40" i="181"/>
  <c r="AG39" i="181"/>
  <c r="AF39" i="181"/>
  <c r="W39" i="181"/>
  <c r="V39" i="181"/>
  <c r="N39" i="181"/>
  <c r="O39" i="181" s="1"/>
  <c r="K39" i="181"/>
  <c r="J39" i="181"/>
  <c r="F39" i="181"/>
  <c r="H39" i="181" s="1"/>
  <c r="B39" i="181"/>
  <c r="W38" i="181"/>
  <c r="N38" i="181"/>
  <c r="L38" i="181"/>
  <c r="L48" i="181" s="1"/>
  <c r="G13" i="180" s="1"/>
  <c r="K38" i="181"/>
  <c r="K48" i="181" s="1"/>
  <c r="J38" i="181"/>
  <c r="F38" i="181"/>
  <c r="H38" i="181" s="1"/>
  <c r="B38" i="181"/>
  <c r="AE37" i="181"/>
  <c r="AD37" i="181"/>
  <c r="AA37" i="181"/>
  <c r="F19" i="180" s="1"/>
  <c r="Z37" i="181"/>
  <c r="F18" i="180" s="1"/>
  <c r="M37" i="181"/>
  <c r="W36" i="181"/>
  <c r="H36" i="181"/>
  <c r="W35" i="181"/>
  <c r="W34" i="181"/>
  <c r="W33" i="181"/>
  <c r="W32" i="181"/>
  <c r="AG31" i="181"/>
  <c r="AF31" i="181"/>
  <c r="W31" i="181"/>
  <c r="AG30" i="181"/>
  <c r="AF30" i="181"/>
  <c r="W30" i="181"/>
  <c r="V30" i="181"/>
  <c r="W29" i="181"/>
  <c r="N29" i="181" s="1"/>
  <c r="V29" i="181"/>
  <c r="P29" i="181"/>
  <c r="L29" i="181"/>
  <c r="K29" i="181"/>
  <c r="J29" i="181"/>
  <c r="F29" i="181"/>
  <c r="H29" i="181" s="1"/>
  <c r="B29" i="181"/>
  <c r="W28" i="181"/>
  <c r="N28" i="181" s="1"/>
  <c r="V28" i="181"/>
  <c r="L28" i="181"/>
  <c r="K28" i="181"/>
  <c r="J28" i="181"/>
  <c r="P28" i="181" s="1"/>
  <c r="F28" i="181"/>
  <c r="H28" i="181" s="1"/>
  <c r="B28" i="181"/>
  <c r="W27" i="181"/>
  <c r="N27" i="181" s="1"/>
  <c r="O27" i="181"/>
  <c r="K27" i="181"/>
  <c r="K37" i="181" s="1"/>
  <c r="J27" i="181"/>
  <c r="F27" i="181"/>
  <c r="H27" i="181" s="1"/>
  <c r="B27" i="181"/>
  <c r="AE26" i="181"/>
  <c r="AD26" i="181"/>
  <c r="AA26" i="181"/>
  <c r="Z26" i="181"/>
  <c r="P26" i="181"/>
  <c r="M26" i="181"/>
  <c r="J26" i="181"/>
  <c r="W25" i="181"/>
  <c r="H25" i="181"/>
  <c r="W24" i="181"/>
  <c r="H24" i="181"/>
  <c r="W23" i="181"/>
  <c r="W21" i="181"/>
  <c r="W20" i="181"/>
  <c r="V20" i="181"/>
  <c r="AG19" i="181"/>
  <c r="AF19" i="181"/>
  <c r="W19" i="181"/>
  <c r="V19" i="181"/>
  <c r="W18" i="181"/>
  <c r="N18" i="181" s="1"/>
  <c r="O18" i="181" s="1"/>
  <c r="V18" i="181"/>
  <c r="K18" i="181"/>
  <c r="J18" i="181"/>
  <c r="F18" i="181"/>
  <c r="H18" i="181" s="1"/>
  <c r="B18" i="181"/>
  <c r="AG17" i="181"/>
  <c r="W17" i="181"/>
  <c r="V17" i="181"/>
  <c r="N17" i="181"/>
  <c r="K17" i="181"/>
  <c r="J17" i="181"/>
  <c r="F17" i="181"/>
  <c r="H17" i="181" s="1"/>
  <c r="B17" i="181"/>
  <c r="AG16" i="181"/>
  <c r="W16" i="181"/>
  <c r="P16" i="181"/>
  <c r="O16" i="181"/>
  <c r="N16" i="181"/>
  <c r="K16" i="181"/>
  <c r="K26" i="181" s="1"/>
  <c r="J16" i="181"/>
  <c r="F16" i="181"/>
  <c r="H16" i="181" s="1"/>
  <c r="B16" i="181"/>
  <c r="AE15" i="181"/>
  <c r="AD15" i="181"/>
  <c r="AA15" i="181"/>
  <c r="Z15" i="181"/>
  <c r="M15" i="181"/>
  <c r="K15" i="181"/>
  <c r="J15" i="181"/>
  <c r="W14" i="181"/>
  <c r="W13" i="181"/>
  <c r="W12" i="181"/>
  <c r="AG11" i="181"/>
  <c r="AF11" i="181"/>
  <c r="W11" i="181"/>
  <c r="AG10" i="181"/>
  <c r="AF10" i="181"/>
  <c r="W10" i="181"/>
  <c r="AG9" i="181"/>
  <c r="AF9" i="181"/>
  <c r="W9" i="181"/>
  <c r="AG8" i="181"/>
  <c r="AF8" i="181"/>
  <c r="W8" i="181"/>
  <c r="AG7" i="181"/>
  <c r="AF7" i="181"/>
  <c r="W7" i="181"/>
  <c r="V7" i="181"/>
  <c r="R7" i="181"/>
  <c r="N7" i="181"/>
  <c r="O7" i="181" s="1"/>
  <c r="Q7" i="181" s="1"/>
  <c r="K7" i="181"/>
  <c r="L7" i="181" s="1"/>
  <c r="J7" i="181"/>
  <c r="P7" i="181" s="1"/>
  <c r="F7" i="181"/>
  <c r="H7" i="181" s="1"/>
  <c r="B7" i="181"/>
  <c r="AG6" i="181"/>
  <c r="AF6" i="181"/>
  <c r="W6" i="181"/>
  <c r="N6" i="181" s="1"/>
  <c r="O6" i="181" s="1"/>
  <c r="R6" i="181" s="1"/>
  <c r="V6" i="181"/>
  <c r="P6" i="181"/>
  <c r="K6" i="181"/>
  <c r="L6" i="181" s="1"/>
  <c r="J6" i="181"/>
  <c r="F6" i="181"/>
  <c r="H6" i="181" s="1"/>
  <c r="B6" i="181"/>
  <c r="AG5" i="181"/>
  <c r="W5" i="181"/>
  <c r="N5" i="181" s="1"/>
  <c r="P5" i="181"/>
  <c r="L5" i="181"/>
  <c r="L15" i="181" s="1"/>
  <c r="D13" i="180" s="1"/>
  <c r="F6" i="180" s="1"/>
  <c r="K5" i="181"/>
  <c r="J5" i="181"/>
  <c r="F5" i="181"/>
  <c r="H5" i="181" s="1"/>
  <c r="G1" i="181" s="1"/>
  <c r="B5" i="181"/>
  <c r="AE2" i="181"/>
  <c r="I2" i="181"/>
  <c r="G2" i="181"/>
  <c r="I1" i="181"/>
  <c r="E1" i="181"/>
  <c r="I21" i="180"/>
  <c r="H21" i="180"/>
  <c r="G21" i="180"/>
  <c r="F21" i="180"/>
  <c r="E21" i="180"/>
  <c r="D21" i="180"/>
  <c r="I20" i="180"/>
  <c r="H20" i="180"/>
  <c r="G20" i="180"/>
  <c r="F20" i="180"/>
  <c r="D20" i="180"/>
  <c r="J19" i="180"/>
  <c r="H19" i="180"/>
  <c r="E19" i="180"/>
  <c r="J18" i="180"/>
  <c r="G18" i="180"/>
  <c r="E18" i="180"/>
  <c r="J16" i="180"/>
  <c r="I16" i="180"/>
  <c r="H16" i="180"/>
  <c r="G16" i="180"/>
  <c r="F16" i="180"/>
  <c r="E16" i="180"/>
  <c r="D16" i="180"/>
  <c r="H14" i="180"/>
  <c r="H6" i="180"/>
  <c r="AE79" i="179"/>
  <c r="J21" i="178" s="1"/>
  <c r="AD79" i="179"/>
  <c r="AA79" i="179"/>
  <c r="Z79" i="179"/>
  <c r="N79" i="179"/>
  <c r="M79" i="179"/>
  <c r="J79" i="179"/>
  <c r="P79" i="179" s="1"/>
  <c r="W78" i="179"/>
  <c r="H78" i="179"/>
  <c r="W77" i="179"/>
  <c r="H77" i="179"/>
  <c r="W76" i="179"/>
  <c r="H76" i="179"/>
  <c r="W75" i="179"/>
  <c r="H75" i="179"/>
  <c r="W74" i="179"/>
  <c r="W73" i="179"/>
  <c r="W72" i="179"/>
  <c r="W71" i="179"/>
  <c r="W70" i="179"/>
  <c r="N70" i="179"/>
  <c r="L70" i="179"/>
  <c r="L79" i="179" s="1"/>
  <c r="K70" i="179"/>
  <c r="K79" i="179" s="1"/>
  <c r="J70" i="179"/>
  <c r="P70" i="179" s="1"/>
  <c r="F70" i="179"/>
  <c r="H70" i="179" s="1"/>
  <c r="B70" i="179"/>
  <c r="AE69" i="179"/>
  <c r="AD69" i="179"/>
  <c r="I20" i="178" s="1"/>
  <c r="AA69" i="179"/>
  <c r="Z69" i="179"/>
  <c r="M69" i="179"/>
  <c r="W68" i="179"/>
  <c r="H68" i="179"/>
  <c r="W67" i="179"/>
  <c r="W66" i="179"/>
  <c r="W65" i="179"/>
  <c r="W64" i="179"/>
  <c r="W63" i="179"/>
  <c r="AG62" i="179"/>
  <c r="AF62" i="179"/>
  <c r="W62" i="179"/>
  <c r="W61" i="179"/>
  <c r="N61" i="179" s="1"/>
  <c r="V61" i="179"/>
  <c r="K61" i="179"/>
  <c r="J61" i="179"/>
  <c r="P61" i="179" s="1"/>
  <c r="F61" i="179"/>
  <c r="H61" i="179" s="1"/>
  <c r="B61" i="179"/>
  <c r="AG60" i="179"/>
  <c r="W60" i="179"/>
  <c r="N60" i="179" s="1"/>
  <c r="O60" i="179" s="1"/>
  <c r="V60" i="179"/>
  <c r="K60" i="179"/>
  <c r="J60" i="179"/>
  <c r="P60" i="179" s="1"/>
  <c r="F60" i="179"/>
  <c r="H60" i="179" s="1"/>
  <c r="B60" i="179"/>
  <c r="W59" i="179"/>
  <c r="N59" i="179" s="1"/>
  <c r="L59" i="179"/>
  <c r="L69" i="179" s="1"/>
  <c r="I13" i="178" s="1"/>
  <c r="J6" i="178" s="1"/>
  <c r="K59" i="179"/>
  <c r="K69" i="179" s="1"/>
  <c r="J59" i="179"/>
  <c r="F59" i="179"/>
  <c r="H59" i="179" s="1"/>
  <c r="B59" i="179"/>
  <c r="AE58" i="179"/>
  <c r="AD58" i="179"/>
  <c r="H20" i="178" s="1"/>
  <c r="AA58" i="179"/>
  <c r="Z58" i="179"/>
  <c r="M58" i="179"/>
  <c r="W57" i="179"/>
  <c r="W56" i="179"/>
  <c r="W55" i="179"/>
  <c r="W54" i="179"/>
  <c r="AG53" i="179"/>
  <c r="AF53" i="179"/>
  <c r="W53" i="179"/>
  <c r="AG52" i="179"/>
  <c r="AF52" i="179"/>
  <c r="W52" i="179"/>
  <c r="V52" i="179"/>
  <c r="W51" i="179"/>
  <c r="N51" i="179" s="1"/>
  <c r="V51" i="179"/>
  <c r="K51" i="179"/>
  <c r="L51" i="179" s="1"/>
  <c r="J51" i="179"/>
  <c r="P51" i="179" s="1"/>
  <c r="F51" i="179"/>
  <c r="H51" i="179" s="1"/>
  <c r="B51" i="179"/>
  <c r="W50" i="179"/>
  <c r="V50" i="179"/>
  <c r="N50" i="179"/>
  <c r="N58" i="179" s="1"/>
  <c r="K50" i="179"/>
  <c r="L50" i="179" s="1"/>
  <c r="J50" i="179"/>
  <c r="P50" i="179" s="1"/>
  <c r="H50" i="179"/>
  <c r="F50" i="179"/>
  <c r="B50" i="179"/>
  <c r="W49" i="179"/>
  <c r="O49" i="179"/>
  <c r="N49" i="179"/>
  <c r="K49" i="179"/>
  <c r="K58" i="179" s="1"/>
  <c r="J49" i="179"/>
  <c r="F49" i="179"/>
  <c r="H49" i="179" s="1"/>
  <c r="B49" i="179"/>
  <c r="AE48" i="179"/>
  <c r="AD48" i="179"/>
  <c r="AA48" i="179"/>
  <c r="Z48" i="179"/>
  <c r="G18" i="178" s="1"/>
  <c r="W48" i="179"/>
  <c r="M48" i="179"/>
  <c r="W47" i="179"/>
  <c r="H47" i="179"/>
  <c r="W46" i="179"/>
  <c r="W45" i="179"/>
  <c r="W44" i="179"/>
  <c r="W43" i="179"/>
  <c r="W42" i="179"/>
  <c r="AG41" i="179"/>
  <c r="AF41" i="179"/>
  <c r="W41" i="179"/>
  <c r="W40" i="179"/>
  <c r="V40" i="179"/>
  <c r="P40" i="179"/>
  <c r="N40" i="179"/>
  <c r="K40" i="179"/>
  <c r="L40" i="179" s="1"/>
  <c r="J40" i="179"/>
  <c r="F40" i="179"/>
  <c r="H40" i="179" s="1"/>
  <c r="B40" i="179"/>
  <c r="W39" i="179"/>
  <c r="V39" i="179"/>
  <c r="N39" i="179"/>
  <c r="K39" i="179"/>
  <c r="L39" i="179" s="1"/>
  <c r="J39" i="179"/>
  <c r="P39" i="179" s="1"/>
  <c r="F39" i="179"/>
  <c r="H39" i="179" s="1"/>
  <c r="B39" i="179"/>
  <c r="W38" i="179"/>
  <c r="O38" i="179"/>
  <c r="N38" i="179"/>
  <c r="K38" i="179"/>
  <c r="K48" i="179" s="1"/>
  <c r="J38" i="179"/>
  <c r="F38" i="179"/>
  <c r="H38" i="179" s="1"/>
  <c r="B38" i="179"/>
  <c r="AE37" i="179"/>
  <c r="AD37" i="179"/>
  <c r="F20" i="178" s="1"/>
  <c r="AA37" i="179"/>
  <c r="Z37" i="179"/>
  <c r="F18" i="178" s="1"/>
  <c r="M37" i="179"/>
  <c r="L37" i="179"/>
  <c r="F13" i="178" s="1"/>
  <c r="K37" i="179"/>
  <c r="W36" i="179"/>
  <c r="H36" i="179"/>
  <c r="W35" i="179"/>
  <c r="W34" i="179"/>
  <c r="W33" i="179"/>
  <c r="W32" i="179"/>
  <c r="AG31" i="179"/>
  <c r="AF31" i="179"/>
  <c r="W31" i="179"/>
  <c r="AG30" i="179"/>
  <c r="AF30" i="179"/>
  <c r="W30" i="179"/>
  <c r="V30" i="179"/>
  <c r="W29" i="179"/>
  <c r="N29" i="179" s="1"/>
  <c r="V29" i="179"/>
  <c r="P29" i="179"/>
  <c r="K29" i="179"/>
  <c r="J29" i="179"/>
  <c r="L29" i="179" s="1"/>
  <c r="H29" i="179"/>
  <c r="F29" i="179"/>
  <c r="B29" i="179"/>
  <c r="AG28" i="179"/>
  <c r="AF28" i="179"/>
  <c r="W28" i="179"/>
  <c r="V28" i="179"/>
  <c r="N28" i="179"/>
  <c r="O28" i="179" s="1"/>
  <c r="K28" i="179"/>
  <c r="L28" i="179" s="1"/>
  <c r="J28" i="179"/>
  <c r="P28" i="179" s="1"/>
  <c r="F28" i="179"/>
  <c r="H28" i="179" s="1"/>
  <c r="B28" i="179"/>
  <c r="W27" i="179"/>
  <c r="N27" i="179" s="1"/>
  <c r="L27" i="179"/>
  <c r="K27" i="179"/>
  <c r="J27" i="179"/>
  <c r="H27" i="179"/>
  <c r="F27" i="179"/>
  <c r="B27" i="179"/>
  <c r="AE26" i="179"/>
  <c r="AD26" i="179"/>
  <c r="E20" i="178" s="1"/>
  <c r="AA26" i="179"/>
  <c r="Z26" i="179"/>
  <c r="E18" i="178" s="1"/>
  <c r="P26" i="179"/>
  <c r="M26" i="179"/>
  <c r="J26" i="179"/>
  <c r="W25" i="179"/>
  <c r="H25" i="179"/>
  <c r="W24" i="179"/>
  <c r="H24" i="179"/>
  <c r="W23" i="179"/>
  <c r="W21" i="179"/>
  <c r="W20" i="179"/>
  <c r="V20" i="179"/>
  <c r="AG19" i="179"/>
  <c r="AF19" i="179"/>
  <c r="W19" i="179"/>
  <c r="V19" i="179"/>
  <c r="W18" i="179"/>
  <c r="N18" i="179" s="1"/>
  <c r="V18" i="179"/>
  <c r="O18" i="179"/>
  <c r="K18" i="179"/>
  <c r="L18" i="179" s="1"/>
  <c r="J18" i="179"/>
  <c r="P18" i="179" s="1"/>
  <c r="H18" i="179"/>
  <c r="F18" i="179"/>
  <c r="B18" i="179"/>
  <c r="W17" i="179"/>
  <c r="V17" i="179"/>
  <c r="N17" i="179"/>
  <c r="L17" i="179"/>
  <c r="K17" i="179"/>
  <c r="J17" i="179"/>
  <c r="P17" i="179" s="1"/>
  <c r="H17" i="179"/>
  <c r="F17" i="179"/>
  <c r="B17" i="179"/>
  <c r="W16" i="179"/>
  <c r="P16" i="179"/>
  <c r="O16" i="179"/>
  <c r="N16" i="179"/>
  <c r="K16" i="179"/>
  <c r="L16" i="179" s="1"/>
  <c r="L26" i="179" s="1"/>
  <c r="J16" i="179"/>
  <c r="H16" i="179"/>
  <c r="F16" i="179"/>
  <c r="B16" i="179"/>
  <c r="AE15" i="179"/>
  <c r="AE2" i="179" s="1"/>
  <c r="AD15" i="179"/>
  <c r="AA15" i="179"/>
  <c r="AA2" i="179" s="1"/>
  <c r="Z15" i="179"/>
  <c r="Z2" i="179" s="1"/>
  <c r="N15" i="179"/>
  <c r="AG15" i="179" s="1"/>
  <c r="M15" i="179"/>
  <c r="K15" i="179"/>
  <c r="W14" i="179"/>
  <c r="W13" i="179"/>
  <c r="W12" i="179"/>
  <c r="AG11" i="179"/>
  <c r="AF11" i="179"/>
  <c r="W11" i="179"/>
  <c r="AG10" i="179"/>
  <c r="AF10" i="179"/>
  <c r="W10" i="179"/>
  <c r="AG9" i="179"/>
  <c r="AF9" i="179"/>
  <c r="W9" i="179"/>
  <c r="AG8" i="179"/>
  <c r="AF8" i="179"/>
  <c r="W8" i="179"/>
  <c r="W7" i="179"/>
  <c r="N7" i="179" s="1"/>
  <c r="V7" i="179"/>
  <c r="P7" i="179"/>
  <c r="K7" i="179"/>
  <c r="J7" i="179"/>
  <c r="F7" i="179"/>
  <c r="H7" i="179" s="1"/>
  <c r="B7" i="179"/>
  <c r="W6" i="179"/>
  <c r="V6" i="179"/>
  <c r="N6" i="179"/>
  <c r="O6" i="179" s="1"/>
  <c r="K6" i="179"/>
  <c r="AG6" i="179" s="1"/>
  <c r="J6" i="179"/>
  <c r="P6" i="179" s="1"/>
  <c r="H6" i="179"/>
  <c r="F6" i="179"/>
  <c r="B6" i="179"/>
  <c r="AH5" i="179"/>
  <c r="AF5" i="179"/>
  <c r="W5" i="179"/>
  <c r="O5" i="179"/>
  <c r="N5" i="179"/>
  <c r="AG5" i="179" s="1"/>
  <c r="K5" i="179"/>
  <c r="J5" i="179"/>
  <c r="H5" i="179"/>
  <c r="G1" i="179" s="1"/>
  <c r="G2" i="179" s="1"/>
  <c r="F5" i="179"/>
  <c r="B5" i="179"/>
  <c r="I2" i="179"/>
  <c r="E1" i="179"/>
  <c r="I21" i="178"/>
  <c r="H21" i="178"/>
  <c r="G21" i="178"/>
  <c r="F21" i="178"/>
  <c r="E21" i="178"/>
  <c r="D21" i="178"/>
  <c r="J20" i="178"/>
  <c r="G20" i="178"/>
  <c r="J19" i="178"/>
  <c r="I19" i="178"/>
  <c r="H19" i="178"/>
  <c r="G19" i="178"/>
  <c r="F19" i="178"/>
  <c r="E19" i="178"/>
  <c r="D19" i="178"/>
  <c r="J18" i="178"/>
  <c r="I18" i="178"/>
  <c r="H18" i="178"/>
  <c r="J16" i="178"/>
  <c r="I16" i="178"/>
  <c r="H16" i="178"/>
  <c r="G16" i="178"/>
  <c r="F16" i="178"/>
  <c r="E16" i="178"/>
  <c r="D16" i="178"/>
  <c r="J13" i="178"/>
  <c r="E13" i="178"/>
  <c r="AE79" i="177"/>
  <c r="AD79" i="177"/>
  <c r="AA79" i="177"/>
  <c r="Z79" i="177"/>
  <c r="P79" i="177"/>
  <c r="M79" i="177"/>
  <c r="J79" i="177"/>
  <c r="W78" i="177"/>
  <c r="H78" i="177"/>
  <c r="W77" i="177"/>
  <c r="H77" i="177"/>
  <c r="W76" i="177"/>
  <c r="H76" i="177"/>
  <c r="W75" i="177"/>
  <c r="H75" i="177"/>
  <c r="W74" i="177"/>
  <c r="W73" i="177"/>
  <c r="W72" i="177"/>
  <c r="W71" i="177"/>
  <c r="W70" i="177"/>
  <c r="N70" i="177" s="1"/>
  <c r="L70" i="177"/>
  <c r="L79" i="177" s="1"/>
  <c r="J13" i="176" s="1"/>
  <c r="K70" i="177"/>
  <c r="K79" i="177" s="1"/>
  <c r="J70" i="177"/>
  <c r="P70" i="177" s="1"/>
  <c r="F70" i="177"/>
  <c r="H70" i="177" s="1"/>
  <c r="B70" i="177"/>
  <c r="AE69" i="177"/>
  <c r="AD69" i="177"/>
  <c r="AA69" i="177"/>
  <c r="Z69" i="177"/>
  <c r="M69" i="177"/>
  <c r="K69" i="177"/>
  <c r="W68" i="177"/>
  <c r="H68" i="177"/>
  <c r="W67" i="177"/>
  <c r="W66" i="177"/>
  <c r="W65" i="177"/>
  <c r="W64" i="177"/>
  <c r="W63" i="177"/>
  <c r="AG62" i="177"/>
  <c r="AF62" i="177"/>
  <c r="W62" i="177"/>
  <c r="W61" i="177"/>
  <c r="V61" i="177"/>
  <c r="N61" i="177"/>
  <c r="L61" i="177"/>
  <c r="K61" i="177"/>
  <c r="J61" i="177"/>
  <c r="P61" i="177" s="1"/>
  <c r="H61" i="177"/>
  <c r="F61" i="177"/>
  <c r="B61" i="177"/>
  <c r="W60" i="177"/>
  <c r="V60" i="177"/>
  <c r="P60" i="177"/>
  <c r="N60" i="177"/>
  <c r="K60" i="177"/>
  <c r="L60" i="177" s="1"/>
  <c r="J60" i="177"/>
  <c r="F60" i="177"/>
  <c r="H60" i="177" s="1"/>
  <c r="B60" i="177"/>
  <c r="W59" i="177"/>
  <c r="P59" i="177"/>
  <c r="N59" i="177"/>
  <c r="K59" i="177"/>
  <c r="J59" i="177"/>
  <c r="J69" i="177" s="1"/>
  <c r="F59" i="177"/>
  <c r="H59" i="177" s="1"/>
  <c r="B59" i="177"/>
  <c r="AE58" i="177"/>
  <c r="AD58" i="177"/>
  <c r="AA58" i="177"/>
  <c r="Z58" i="177"/>
  <c r="N58" i="177"/>
  <c r="M58" i="177"/>
  <c r="W57" i="177"/>
  <c r="W56" i="177"/>
  <c r="W55" i="177"/>
  <c r="W54" i="177"/>
  <c r="AG53" i="177"/>
  <c r="AF53" i="177"/>
  <c r="W53" i="177"/>
  <c r="AG52" i="177"/>
  <c r="AF52" i="177"/>
  <c r="W52" i="177"/>
  <c r="V52" i="177"/>
  <c r="AG51" i="177"/>
  <c r="AF51" i="177"/>
  <c r="W51" i="177"/>
  <c r="V51" i="177"/>
  <c r="N51" i="177"/>
  <c r="O51" i="177" s="1"/>
  <c r="L51" i="177"/>
  <c r="K51" i="177"/>
  <c r="J51" i="177"/>
  <c r="P51" i="177" s="1"/>
  <c r="F51" i="177"/>
  <c r="H51" i="177" s="1"/>
  <c r="B51" i="177"/>
  <c r="W50" i="177"/>
  <c r="N50" i="177" s="1"/>
  <c r="AG50" i="177" s="1"/>
  <c r="V50" i="177"/>
  <c r="P50" i="177"/>
  <c r="O50" i="177"/>
  <c r="L50" i="177"/>
  <c r="K50" i="177"/>
  <c r="J50" i="177"/>
  <c r="H50" i="177"/>
  <c r="F50" i="177"/>
  <c r="B50" i="177"/>
  <c r="W49" i="177"/>
  <c r="N49" i="177" s="1"/>
  <c r="P49" i="177"/>
  <c r="K49" i="177"/>
  <c r="J49" i="177"/>
  <c r="J58" i="177" s="1"/>
  <c r="F49" i="177"/>
  <c r="H49" i="177" s="1"/>
  <c r="B49" i="177"/>
  <c r="AE48" i="177"/>
  <c r="AD48" i="177"/>
  <c r="AA48" i="177"/>
  <c r="Z48" i="177"/>
  <c r="G18" i="176" s="1"/>
  <c r="W48" i="177"/>
  <c r="Q48" i="177"/>
  <c r="N48" i="177"/>
  <c r="AF48" i="177" s="1"/>
  <c r="M48" i="177"/>
  <c r="P48" i="177" s="1"/>
  <c r="K48" i="177"/>
  <c r="W47" i="177"/>
  <c r="H47" i="177"/>
  <c r="W46" i="177"/>
  <c r="W45" i="177"/>
  <c r="W44" i="177"/>
  <c r="W43" i="177"/>
  <c r="W42" i="177"/>
  <c r="AG41" i="177"/>
  <c r="AF41" i="177"/>
  <c r="W41" i="177"/>
  <c r="W40" i="177"/>
  <c r="V40" i="177"/>
  <c r="N40" i="177"/>
  <c r="K40" i="177"/>
  <c r="J40" i="177"/>
  <c r="P40" i="177" s="1"/>
  <c r="F40" i="177"/>
  <c r="H40" i="177" s="1"/>
  <c r="B40" i="177"/>
  <c r="W39" i="177"/>
  <c r="V39" i="177"/>
  <c r="P39" i="177"/>
  <c r="N39" i="177"/>
  <c r="K39" i="177"/>
  <c r="AG39" i="177" s="1"/>
  <c r="J39" i="177"/>
  <c r="F39" i="177"/>
  <c r="H39" i="177" s="1"/>
  <c r="B39" i="177"/>
  <c r="W38" i="177"/>
  <c r="N38" i="177"/>
  <c r="L38" i="177"/>
  <c r="L48" i="177" s="1"/>
  <c r="G13" i="176" s="1"/>
  <c r="K38" i="177"/>
  <c r="J38" i="177"/>
  <c r="J48" i="177" s="1"/>
  <c r="F38" i="177"/>
  <c r="H38" i="177" s="1"/>
  <c r="B38" i="177"/>
  <c r="AE37" i="177"/>
  <c r="AD37" i="177"/>
  <c r="AA37" i="177"/>
  <c r="Z37" i="177"/>
  <c r="M37" i="177"/>
  <c r="K37" i="177"/>
  <c r="W36" i="177"/>
  <c r="H36" i="177"/>
  <c r="W35" i="177"/>
  <c r="W34" i="177"/>
  <c r="W33" i="177"/>
  <c r="W32" i="177"/>
  <c r="AG31" i="177"/>
  <c r="AF31" i="177"/>
  <c r="W31" i="177"/>
  <c r="AG30" i="177"/>
  <c r="AF30" i="177"/>
  <c r="W30" i="177"/>
  <c r="V30" i="177"/>
  <c r="W29" i="177"/>
  <c r="V29" i="177"/>
  <c r="P29" i="177"/>
  <c r="N29" i="177"/>
  <c r="K29" i="177"/>
  <c r="L29" i="177" s="1"/>
  <c r="J29" i="177"/>
  <c r="F29" i="177"/>
  <c r="H29" i="177" s="1"/>
  <c r="B29" i="177"/>
  <c r="W28" i="177"/>
  <c r="V28" i="177"/>
  <c r="N28" i="177"/>
  <c r="K28" i="177"/>
  <c r="J28" i="177"/>
  <c r="P28" i="177" s="1"/>
  <c r="H28" i="177"/>
  <c r="F28" i="177"/>
  <c r="B28" i="177"/>
  <c r="W27" i="177"/>
  <c r="P27" i="177"/>
  <c r="N27" i="177"/>
  <c r="K27" i="177"/>
  <c r="J27" i="177"/>
  <c r="L27" i="177" s="1"/>
  <c r="L37" i="177" s="1"/>
  <c r="F13" i="176" s="1"/>
  <c r="H27" i="177"/>
  <c r="F27" i="177"/>
  <c r="B27" i="177"/>
  <c r="AE26" i="177"/>
  <c r="AD26" i="177"/>
  <c r="E20" i="176" s="1"/>
  <c r="AA26" i="177"/>
  <c r="Z26" i="177"/>
  <c r="M26" i="177"/>
  <c r="W25" i="177"/>
  <c r="H25" i="177"/>
  <c r="W24" i="177"/>
  <c r="H24" i="177"/>
  <c r="W23" i="177"/>
  <c r="W21" i="177"/>
  <c r="W20" i="177"/>
  <c r="V20" i="177"/>
  <c r="AG19" i="177"/>
  <c r="AF19" i="177"/>
  <c r="W19" i="177"/>
  <c r="V19" i="177"/>
  <c r="W18" i="177"/>
  <c r="V18" i="177"/>
  <c r="P18" i="177"/>
  <c r="O18" i="177"/>
  <c r="N18" i="177"/>
  <c r="AG18" i="177" s="1"/>
  <c r="L18" i="177"/>
  <c r="K18" i="177"/>
  <c r="J18" i="177"/>
  <c r="F18" i="177"/>
  <c r="H18" i="177" s="1"/>
  <c r="B18" i="177"/>
  <c r="W17" i="177"/>
  <c r="V17" i="177"/>
  <c r="P17" i="177"/>
  <c r="N17" i="177"/>
  <c r="AF17" i="177" s="1"/>
  <c r="L17" i="177"/>
  <c r="K17" i="177"/>
  <c r="J17" i="177"/>
  <c r="F17" i="177"/>
  <c r="H17" i="177" s="1"/>
  <c r="B17" i="177"/>
  <c r="AF16" i="177"/>
  <c r="W16" i="177"/>
  <c r="N16" i="177" s="1"/>
  <c r="K16" i="177"/>
  <c r="K26" i="177" s="1"/>
  <c r="J16" i="177"/>
  <c r="F16" i="177"/>
  <c r="H16" i="177" s="1"/>
  <c r="B16" i="177"/>
  <c r="AE15" i="177"/>
  <c r="D21" i="176" s="1"/>
  <c r="AD15" i="177"/>
  <c r="AA15" i="177"/>
  <c r="Z15" i="177"/>
  <c r="M15" i="177"/>
  <c r="K15" i="177"/>
  <c r="J15" i="177"/>
  <c r="W14" i="177"/>
  <c r="W13" i="177"/>
  <c r="W12" i="177"/>
  <c r="AG11" i="177"/>
  <c r="AF11" i="177"/>
  <c r="W11" i="177"/>
  <c r="AG10" i="177"/>
  <c r="AF10" i="177"/>
  <c r="W10" i="177"/>
  <c r="AG9" i="177"/>
  <c r="AF9" i="177"/>
  <c r="W9" i="177"/>
  <c r="AG8" i="177"/>
  <c r="AF8" i="177"/>
  <c r="W8" i="177"/>
  <c r="W7" i="177"/>
  <c r="V7" i="177"/>
  <c r="P7" i="177"/>
  <c r="N7" i="177"/>
  <c r="AG7" i="177" s="1"/>
  <c r="K7" i="177"/>
  <c r="L7" i="177" s="1"/>
  <c r="J7" i="177"/>
  <c r="F7" i="177"/>
  <c r="H7" i="177" s="1"/>
  <c r="B7" i="177"/>
  <c r="W6" i="177"/>
  <c r="V6" i="177"/>
  <c r="R6" i="177"/>
  <c r="O6" i="177"/>
  <c r="Q6" i="177" s="1"/>
  <c r="N6" i="177"/>
  <c r="AG6" i="177" s="1"/>
  <c r="L6" i="177"/>
  <c r="K6" i="177"/>
  <c r="J6" i="177"/>
  <c r="P6" i="177" s="1"/>
  <c r="H6" i="177"/>
  <c r="F6" i="177"/>
  <c r="B6" i="177"/>
  <c r="AG5" i="177"/>
  <c r="AF5" i="177"/>
  <c r="W5" i="177"/>
  <c r="N5" i="177"/>
  <c r="O5" i="177" s="1"/>
  <c r="K5" i="177"/>
  <c r="J5" i="177"/>
  <c r="P5" i="177" s="1"/>
  <c r="F5" i="177"/>
  <c r="H5" i="177" s="1"/>
  <c r="G1" i="177" s="1"/>
  <c r="G2" i="177" s="1"/>
  <c r="B5" i="177"/>
  <c r="AD2" i="177"/>
  <c r="I2" i="177"/>
  <c r="E1" i="177"/>
  <c r="I21" i="176"/>
  <c r="H21" i="176"/>
  <c r="G21" i="176"/>
  <c r="F21" i="176"/>
  <c r="E21" i="176"/>
  <c r="J20" i="176"/>
  <c r="I20" i="176"/>
  <c r="H20" i="176"/>
  <c r="G20" i="176"/>
  <c r="F20" i="176"/>
  <c r="D20" i="176"/>
  <c r="J19" i="176"/>
  <c r="H19" i="176"/>
  <c r="G19" i="176"/>
  <c r="F19" i="176"/>
  <c r="E19" i="176"/>
  <c r="D19" i="176"/>
  <c r="J18" i="176"/>
  <c r="I18" i="176"/>
  <c r="H18" i="176"/>
  <c r="F18" i="176"/>
  <c r="D18" i="176"/>
  <c r="J16" i="176"/>
  <c r="I16" i="176"/>
  <c r="H16" i="176"/>
  <c r="G16" i="176"/>
  <c r="F16" i="176"/>
  <c r="E16" i="176"/>
  <c r="D16" i="176"/>
  <c r="AE79" i="175"/>
  <c r="J21" i="174" s="1"/>
  <c r="AD79" i="175"/>
  <c r="AA79" i="175"/>
  <c r="Z79" i="175"/>
  <c r="M79" i="175"/>
  <c r="W78" i="175"/>
  <c r="H78" i="175"/>
  <c r="W77" i="175"/>
  <c r="H77" i="175"/>
  <c r="W76" i="175"/>
  <c r="H76" i="175"/>
  <c r="W75" i="175"/>
  <c r="H75" i="175"/>
  <c r="W74" i="175"/>
  <c r="W73" i="175"/>
  <c r="W72" i="175"/>
  <c r="W71" i="175"/>
  <c r="W70" i="175"/>
  <c r="N70" i="175"/>
  <c r="L70" i="175"/>
  <c r="L79" i="175" s="1"/>
  <c r="J13" i="174" s="1"/>
  <c r="K70" i="175"/>
  <c r="K79" i="175" s="1"/>
  <c r="J70" i="175"/>
  <c r="P70" i="175" s="1"/>
  <c r="H70" i="175"/>
  <c r="F70" i="175"/>
  <c r="B70" i="175"/>
  <c r="AE69" i="175"/>
  <c r="I21" i="174" s="1"/>
  <c r="AD69" i="175"/>
  <c r="AA69" i="175"/>
  <c r="Z69" i="175"/>
  <c r="M69" i="175"/>
  <c r="P69" i="175" s="1"/>
  <c r="J69" i="175"/>
  <c r="W68" i="175"/>
  <c r="H68" i="175"/>
  <c r="W67" i="175"/>
  <c r="W66" i="175"/>
  <c r="W65" i="175"/>
  <c r="W64" i="175"/>
  <c r="W63" i="175"/>
  <c r="AG62" i="175"/>
  <c r="AF62" i="175"/>
  <c r="W62" i="175"/>
  <c r="W61" i="175"/>
  <c r="V61" i="175"/>
  <c r="P61" i="175"/>
  <c r="O61" i="175"/>
  <c r="N61" i="175"/>
  <c r="AG61" i="175" s="1"/>
  <c r="L61" i="175"/>
  <c r="K61" i="175"/>
  <c r="J61" i="175"/>
  <c r="F61" i="175"/>
  <c r="H61" i="175" s="1"/>
  <c r="B61" i="175"/>
  <c r="W60" i="175"/>
  <c r="N60" i="175" s="1"/>
  <c r="AG60" i="175" s="1"/>
  <c r="V60" i="175"/>
  <c r="R60" i="175"/>
  <c r="P60" i="175"/>
  <c r="O60" i="175"/>
  <c r="Q60" i="175" s="1"/>
  <c r="L60" i="175"/>
  <c r="K60" i="175"/>
  <c r="J60" i="175"/>
  <c r="H60" i="175"/>
  <c r="F60" i="175"/>
  <c r="B60" i="175"/>
  <c r="W59" i="175"/>
  <c r="N59" i="175" s="1"/>
  <c r="P59" i="175"/>
  <c r="L59" i="175"/>
  <c r="L69" i="175" s="1"/>
  <c r="K59" i="175"/>
  <c r="K69" i="175" s="1"/>
  <c r="J59" i="175"/>
  <c r="F59" i="175"/>
  <c r="H59" i="175" s="1"/>
  <c r="B59" i="175"/>
  <c r="AE58" i="175"/>
  <c r="H21" i="174" s="1"/>
  <c r="AD58" i="175"/>
  <c r="AA58" i="175"/>
  <c r="Z58" i="175"/>
  <c r="M58" i="175"/>
  <c r="P58" i="175" s="1"/>
  <c r="L58" i="175"/>
  <c r="H13" i="174" s="1"/>
  <c r="J58" i="175"/>
  <c r="W57" i="175"/>
  <c r="W56" i="175"/>
  <c r="W55" i="175"/>
  <c r="W54" i="175"/>
  <c r="AG53" i="175"/>
  <c r="AF53" i="175"/>
  <c r="W53" i="175"/>
  <c r="AG52" i="175"/>
  <c r="AF52" i="175"/>
  <c r="W52" i="175"/>
  <c r="V52" i="175"/>
  <c r="W51" i="175"/>
  <c r="N51" i="175" s="1"/>
  <c r="V51" i="175"/>
  <c r="P51" i="175"/>
  <c r="K51" i="175"/>
  <c r="L51" i="175" s="1"/>
  <c r="J51" i="175"/>
  <c r="F51" i="175"/>
  <c r="H51" i="175" s="1"/>
  <c r="B51" i="175"/>
  <c r="W50" i="175"/>
  <c r="N50" i="175" s="1"/>
  <c r="AF50" i="175" s="1"/>
  <c r="V50" i="175"/>
  <c r="O50" i="175"/>
  <c r="L50" i="175"/>
  <c r="K50" i="175"/>
  <c r="AG50" i="175" s="1"/>
  <c r="J50" i="175"/>
  <c r="P50" i="175" s="1"/>
  <c r="H50" i="175"/>
  <c r="F50" i="175"/>
  <c r="B50" i="175"/>
  <c r="W49" i="175"/>
  <c r="P49" i="175"/>
  <c r="N49" i="175"/>
  <c r="AG49" i="175" s="1"/>
  <c r="L49" i="175"/>
  <c r="K49" i="175"/>
  <c r="K58" i="175" s="1"/>
  <c r="J49" i="175"/>
  <c r="F49" i="175"/>
  <c r="H49" i="175" s="1"/>
  <c r="B49" i="175"/>
  <c r="AE48" i="175"/>
  <c r="AD48" i="175"/>
  <c r="AD2" i="175" s="1"/>
  <c r="AA48" i="175"/>
  <c r="Z48" i="175"/>
  <c r="W48" i="175"/>
  <c r="M48" i="175"/>
  <c r="W47" i="175"/>
  <c r="H47" i="175"/>
  <c r="W46" i="175"/>
  <c r="W45" i="175"/>
  <c r="W44" i="175"/>
  <c r="W43" i="175"/>
  <c r="W42" i="175"/>
  <c r="AG41" i="175"/>
  <c r="AF41" i="175"/>
  <c r="W41" i="175"/>
  <c r="W40" i="175"/>
  <c r="N40" i="175" s="1"/>
  <c r="V40" i="175"/>
  <c r="P40" i="175"/>
  <c r="K40" i="175"/>
  <c r="L40" i="175" s="1"/>
  <c r="J40" i="175"/>
  <c r="F40" i="175"/>
  <c r="H40" i="175" s="1"/>
  <c r="B40" i="175"/>
  <c r="AG39" i="175"/>
  <c r="W39" i="175"/>
  <c r="N39" i="175" s="1"/>
  <c r="O39" i="175" s="1"/>
  <c r="V39" i="175"/>
  <c r="K39" i="175"/>
  <c r="J39" i="175"/>
  <c r="P39" i="175" s="1"/>
  <c r="F39" i="175"/>
  <c r="H39" i="175" s="1"/>
  <c r="B39" i="175"/>
  <c r="W38" i="175"/>
  <c r="N38" i="175"/>
  <c r="K38" i="175"/>
  <c r="J38" i="175"/>
  <c r="P38" i="175" s="1"/>
  <c r="H38" i="175"/>
  <c r="F38" i="175"/>
  <c r="B38" i="175"/>
  <c r="AE37" i="175"/>
  <c r="AD37" i="175"/>
  <c r="AA37" i="175"/>
  <c r="F19" i="174" s="1"/>
  <c r="Z37" i="175"/>
  <c r="F18" i="174" s="1"/>
  <c r="M37" i="175"/>
  <c r="W36" i="175"/>
  <c r="H36" i="175"/>
  <c r="W35" i="175"/>
  <c r="W34" i="175"/>
  <c r="W33" i="175"/>
  <c r="W32" i="175"/>
  <c r="AG31" i="175"/>
  <c r="AF31" i="175"/>
  <c r="W31" i="175"/>
  <c r="AG30" i="175"/>
  <c r="AF30" i="175"/>
  <c r="W30" i="175"/>
  <c r="V30" i="175"/>
  <c r="W29" i="175"/>
  <c r="V29" i="175"/>
  <c r="R29" i="175"/>
  <c r="Q29" i="175"/>
  <c r="P29" i="175"/>
  <c r="O29" i="175"/>
  <c r="N29" i="175"/>
  <c r="AG29" i="175" s="1"/>
  <c r="K29" i="175"/>
  <c r="L29" i="175" s="1"/>
  <c r="J29" i="175"/>
  <c r="F29" i="175"/>
  <c r="H29" i="175" s="1"/>
  <c r="B29" i="175"/>
  <c r="W28" i="175"/>
  <c r="N28" i="175" s="1"/>
  <c r="V28" i="175"/>
  <c r="K28" i="175"/>
  <c r="L28" i="175" s="1"/>
  <c r="J28" i="175"/>
  <c r="P28" i="175" s="1"/>
  <c r="H28" i="175"/>
  <c r="F28" i="175"/>
  <c r="B28" i="175"/>
  <c r="AG27" i="175"/>
  <c r="AF27" i="175"/>
  <c r="W27" i="175"/>
  <c r="O27" i="175"/>
  <c r="N27" i="175"/>
  <c r="K27" i="175"/>
  <c r="K37" i="175" s="1"/>
  <c r="J27" i="175"/>
  <c r="H27" i="175"/>
  <c r="F27" i="175"/>
  <c r="B27" i="175"/>
  <c r="AE26" i="175"/>
  <c r="AD26" i="175"/>
  <c r="AA26" i="175"/>
  <c r="Z26" i="175"/>
  <c r="M26" i="175"/>
  <c r="L26" i="175"/>
  <c r="E13" i="174" s="1"/>
  <c r="K26" i="175"/>
  <c r="W25" i="175"/>
  <c r="H25" i="175"/>
  <c r="W24" i="175"/>
  <c r="H24" i="175"/>
  <c r="W23" i="175"/>
  <c r="W21" i="175"/>
  <c r="W20" i="175"/>
  <c r="V20" i="175"/>
  <c r="AG19" i="175"/>
  <c r="AF19" i="175"/>
  <c r="W19" i="175"/>
  <c r="V19" i="175"/>
  <c r="W18" i="175"/>
  <c r="N18" i="175" s="1"/>
  <c r="V18" i="175"/>
  <c r="Q18" i="175"/>
  <c r="P18" i="175"/>
  <c r="O18" i="175"/>
  <c r="R18" i="175" s="1"/>
  <c r="L18" i="175"/>
  <c r="K18" i="175"/>
  <c r="AG18" i="175" s="1"/>
  <c r="J18" i="175"/>
  <c r="F18" i="175"/>
  <c r="H18" i="175" s="1"/>
  <c r="B18" i="175"/>
  <c r="W17" i="175"/>
  <c r="V17" i="175"/>
  <c r="P17" i="175"/>
  <c r="O17" i="175"/>
  <c r="Q17" i="175" s="1"/>
  <c r="N17" i="175"/>
  <c r="AG17" i="175" s="1"/>
  <c r="L17" i="175"/>
  <c r="K17" i="175"/>
  <c r="J17" i="175"/>
  <c r="H17" i="175"/>
  <c r="F17" i="175"/>
  <c r="B17" i="175"/>
  <c r="AG16" i="175"/>
  <c r="W16" i="175"/>
  <c r="N16" i="175" s="1"/>
  <c r="P16" i="175"/>
  <c r="L16" i="175"/>
  <c r="K16" i="175"/>
  <c r="J16" i="175"/>
  <c r="J26" i="175" s="1"/>
  <c r="P26" i="175" s="1"/>
  <c r="H16" i="175"/>
  <c r="F16" i="175"/>
  <c r="B16" i="175"/>
  <c r="AE15" i="175"/>
  <c r="D21" i="174" s="1"/>
  <c r="AD15" i="175"/>
  <c r="D20" i="174" s="1"/>
  <c r="AA15" i="175"/>
  <c r="Z15" i="175"/>
  <c r="D18" i="174" s="1"/>
  <c r="M15" i="175"/>
  <c r="L15" i="175"/>
  <c r="D13" i="174" s="1"/>
  <c r="K15" i="175"/>
  <c r="J15" i="175"/>
  <c r="W14" i="175"/>
  <c r="W13" i="175"/>
  <c r="W12" i="175"/>
  <c r="AG11" i="175"/>
  <c r="AF11" i="175"/>
  <c r="W11" i="175"/>
  <c r="AG10" i="175"/>
  <c r="AF10" i="175"/>
  <c r="W10" i="175"/>
  <c r="AG9" i="175"/>
  <c r="AF9" i="175"/>
  <c r="W9" i="175"/>
  <c r="AG8" i="175"/>
  <c r="AF8" i="175"/>
  <c r="W8" i="175"/>
  <c r="W7" i="175"/>
  <c r="V7" i="175"/>
  <c r="P7" i="175"/>
  <c r="O7" i="175"/>
  <c r="N7" i="175"/>
  <c r="AG7" i="175" s="1"/>
  <c r="L7" i="175"/>
  <c r="K7" i="175"/>
  <c r="J7" i="175"/>
  <c r="F7" i="175"/>
  <c r="H7" i="175" s="1"/>
  <c r="B7" i="175"/>
  <c r="W6" i="175"/>
  <c r="V6" i="175"/>
  <c r="R6" i="175"/>
  <c r="Q6" i="175"/>
  <c r="P6" i="175"/>
  <c r="O6" i="175"/>
  <c r="N6" i="175"/>
  <c r="AF6" i="175" s="1"/>
  <c r="L6" i="175"/>
  <c r="K6" i="175"/>
  <c r="J6" i="175"/>
  <c r="H6" i="175"/>
  <c r="F6" i="175"/>
  <c r="B6" i="175"/>
  <c r="W5" i="175"/>
  <c r="N5" i="175" s="1"/>
  <c r="K5" i="175"/>
  <c r="L5" i="175" s="1"/>
  <c r="J5" i="175"/>
  <c r="P5" i="175" s="1"/>
  <c r="F5" i="175"/>
  <c r="H5" i="175" s="1"/>
  <c r="G1" i="175" s="1"/>
  <c r="G2" i="175" s="1"/>
  <c r="B5" i="175"/>
  <c r="Z2" i="175"/>
  <c r="I2" i="175"/>
  <c r="E1" i="175"/>
  <c r="G21" i="174"/>
  <c r="F21" i="174"/>
  <c r="E21" i="174"/>
  <c r="J20" i="174"/>
  <c r="I20" i="174"/>
  <c r="H20" i="174"/>
  <c r="F20" i="174"/>
  <c r="E20" i="174"/>
  <c r="J19" i="174"/>
  <c r="I19" i="174"/>
  <c r="H19" i="174"/>
  <c r="E19" i="174"/>
  <c r="D19" i="174"/>
  <c r="J18" i="174"/>
  <c r="I18" i="174"/>
  <c r="H18" i="174"/>
  <c r="G18" i="174"/>
  <c r="E18" i="174"/>
  <c r="J16" i="174"/>
  <c r="I16" i="174"/>
  <c r="H16" i="174"/>
  <c r="G16" i="174"/>
  <c r="F16" i="174"/>
  <c r="E16" i="174"/>
  <c r="D16" i="174"/>
  <c r="I13" i="174"/>
  <c r="J6" i="174" s="1"/>
  <c r="AE79" i="173"/>
  <c r="J21" i="172" s="1"/>
  <c r="AD79" i="173"/>
  <c r="J20" i="172" s="1"/>
  <c r="AA79" i="173"/>
  <c r="Z79" i="173"/>
  <c r="M79" i="173"/>
  <c r="K79" i="173"/>
  <c r="W78" i="173"/>
  <c r="H78" i="173"/>
  <c r="W77" i="173"/>
  <c r="H77" i="173"/>
  <c r="W76" i="173"/>
  <c r="H76" i="173"/>
  <c r="W75" i="173"/>
  <c r="H75" i="173"/>
  <c r="W74" i="173"/>
  <c r="W73" i="173"/>
  <c r="W72" i="173"/>
  <c r="W71" i="173"/>
  <c r="W70" i="173"/>
  <c r="N70" i="173"/>
  <c r="K70" i="173"/>
  <c r="J70" i="173"/>
  <c r="H70" i="173"/>
  <c r="F70" i="173"/>
  <c r="B70" i="173"/>
  <c r="AE69" i="173"/>
  <c r="AD69" i="173"/>
  <c r="AA69" i="173"/>
  <c r="Z69" i="173"/>
  <c r="M69" i="173"/>
  <c r="W68" i="173"/>
  <c r="H68" i="173"/>
  <c r="W67" i="173"/>
  <c r="W66" i="173"/>
  <c r="W65" i="173"/>
  <c r="W64" i="173"/>
  <c r="W63" i="173"/>
  <c r="AG62" i="173"/>
  <c r="AF62" i="173"/>
  <c r="W62" i="173"/>
  <c r="W61" i="173"/>
  <c r="V61" i="173"/>
  <c r="R61" i="173"/>
  <c r="Q61" i="173"/>
  <c r="P61" i="173"/>
  <c r="O61" i="173"/>
  <c r="N61" i="173"/>
  <c r="AG61" i="173" s="1"/>
  <c r="L61" i="173"/>
  <c r="K61" i="173"/>
  <c r="J61" i="173"/>
  <c r="H61" i="173"/>
  <c r="F61" i="173"/>
  <c r="B61" i="173"/>
  <c r="W60" i="173"/>
  <c r="N60" i="173" s="1"/>
  <c r="V60" i="173"/>
  <c r="P60" i="173"/>
  <c r="L60" i="173"/>
  <c r="K60" i="173"/>
  <c r="J60" i="173"/>
  <c r="F60" i="173"/>
  <c r="H60" i="173" s="1"/>
  <c r="B60" i="173"/>
  <c r="W59" i="173"/>
  <c r="N59" i="173" s="1"/>
  <c r="K59" i="173"/>
  <c r="K69" i="173" s="1"/>
  <c r="J59" i="173"/>
  <c r="J69" i="173" s="1"/>
  <c r="P69" i="173" s="1"/>
  <c r="H59" i="173"/>
  <c r="F59" i="173"/>
  <c r="B59" i="173"/>
  <c r="AE58" i="173"/>
  <c r="AD58" i="173"/>
  <c r="AA58" i="173"/>
  <c r="Z58" i="173"/>
  <c r="M58" i="173"/>
  <c r="W57" i="173"/>
  <c r="W56" i="173"/>
  <c r="W55" i="173"/>
  <c r="W54" i="173"/>
  <c r="AG53" i="173"/>
  <c r="AF53" i="173"/>
  <c r="W53" i="173"/>
  <c r="AG52" i="173"/>
  <c r="AF52" i="173"/>
  <c r="W52" i="173"/>
  <c r="V52" i="173"/>
  <c r="W51" i="173"/>
  <c r="V51" i="173"/>
  <c r="P51" i="173"/>
  <c r="N51" i="173"/>
  <c r="L51" i="173"/>
  <c r="K51" i="173"/>
  <c r="J51" i="173"/>
  <c r="H51" i="173"/>
  <c r="F51" i="173"/>
  <c r="B51" i="173"/>
  <c r="W50" i="173"/>
  <c r="N50" i="173" s="1"/>
  <c r="V50" i="173"/>
  <c r="P50" i="173"/>
  <c r="L50" i="173"/>
  <c r="K50" i="173"/>
  <c r="J50" i="173"/>
  <c r="F50" i="173"/>
  <c r="H50" i="173" s="1"/>
  <c r="B50" i="173"/>
  <c r="W49" i="173"/>
  <c r="N49" i="173" s="1"/>
  <c r="K49" i="173"/>
  <c r="K58" i="173" s="1"/>
  <c r="J49" i="173"/>
  <c r="J58" i="173" s="1"/>
  <c r="H49" i="173"/>
  <c r="F49" i="173"/>
  <c r="B49" i="173"/>
  <c r="AE48" i="173"/>
  <c r="AD48" i="173"/>
  <c r="AA48" i="173"/>
  <c r="Z48" i="173"/>
  <c r="G18" i="172" s="1"/>
  <c r="W48" i="173"/>
  <c r="P48" i="173"/>
  <c r="M48" i="173"/>
  <c r="W47" i="173"/>
  <c r="H47" i="173"/>
  <c r="W46" i="173"/>
  <c r="W45" i="173"/>
  <c r="W44" i="173"/>
  <c r="W43" i="173"/>
  <c r="W42" i="173"/>
  <c r="AG41" i="173"/>
  <c r="AF41" i="173"/>
  <c r="W41" i="173"/>
  <c r="W40" i="173"/>
  <c r="V40" i="173"/>
  <c r="P40" i="173"/>
  <c r="N40" i="173"/>
  <c r="L40" i="173"/>
  <c r="K40" i="173"/>
  <c r="J40" i="173"/>
  <c r="H40" i="173"/>
  <c r="F40" i="173"/>
  <c r="B40" i="173"/>
  <c r="W39" i="173"/>
  <c r="N39" i="173" s="1"/>
  <c r="V39" i="173"/>
  <c r="P39" i="173"/>
  <c r="L39" i="173"/>
  <c r="K39" i="173"/>
  <c r="J39" i="173"/>
  <c r="F39" i="173"/>
  <c r="H39" i="173" s="1"/>
  <c r="B39" i="173"/>
  <c r="W38" i="173"/>
  <c r="N38" i="173" s="1"/>
  <c r="K38" i="173"/>
  <c r="K48" i="173" s="1"/>
  <c r="J38" i="173"/>
  <c r="J48" i="173" s="1"/>
  <c r="H38" i="173"/>
  <c r="F38" i="173"/>
  <c r="B38" i="173"/>
  <c r="AE37" i="173"/>
  <c r="F21" i="172" s="1"/>
  <c r="AD37" i="173"/>
  <c r="AA37" i="173"/>
  <c r="Z37" i="173"/>
  <c r="Q37" i="173"/>
  <c r="N37" i="173"/>
  <c r="M37" i="173"/>
  <c r="W36" i="173"/>
  <c r="H36" i="173"/>
  <c r="W35" i="173"/>
  <c r="W34" i="173"/>
  <c r="W33" i="173"/>
  <c r="W32" i="173"/>
  <c r="AG31" i="173"/>
  <c r="AF31" i="173"/>
  <c r="W31" i="173"/>
  <c r="AG30" i="173"/>
  <c r="AF30" i="173"/>
  <c r="W30" i="173"/>
  <c r="V30" i="173"/>
  <c r="W29" i="173"/>
  <c r="N29" i="173" s="1"/>
  <c r="V29" i="173"/>
  <c r="Q29" i="173"/>
  <c r="P29" i="173"/>
  <c r="O29" i="173"/>
  <c r="K29" i="173"/>
  <c r="L29" i="173" s="1"/>
  <c r="J29" i="173"/>
  <c r="F29" i="173"/>
  <c r="H29" i="173" s="1"/>
  <c r="B29" i="173"/>
  <c r="AG28" i="173"/>
  <c r="W28" i="173"/>
  <c r="N28" i="173" s="1"/>
  <c r="O28" i="173" s="1"/>
  <c r="V28" i="173"/>
  <c r="K28" i="173"/>
  <c r="J28" i="173"/>
  <c r="P28" i="173" s="1"/>
  <c r="F28" i="173"/>
  <c r="H28" i="173" s="1"/>
  <c r="B28" i="173"/>
  <c r="W27" i="173"/>
  <c r="N27" i="173"/>
  <c r="K27" i="173"/>
  <c r="K37" i="173" s="1"/>
  <c r="J27" i="173"/>
  <c r="H27" i="173"/>
  <c r="F27" i="173"/>
  <c r="B27" i="173"/>
  <c r="AE26" i="173"/>
  <c r="AD26" i="173"/>
  <c r="E20" i="172" s="1"/>
  <c r="AA26" i="173"/>
  <c r="Z26" i="173"/>
  <c r="E18" i="172" s="1"/>
  <c r="M26" i="173"/>
  <c r="W25" i="173"/>
  <c r="H25" i="173"/>
  <c r="W24" i="173"/>
  <c r="H24" i="173"/>
  <c r="W23" i="173"/>
  <c r="W21" i="173"/>
  <c r="W20" i="173"/>
  <c r="V20" i="173"/>
  <c r="AG19" i="173"/>
  <c r="AF19" i="173"/>
  <c r="W19" i="173"/>
  <c r="V19" i="173"/>
  <c r="AF18" i="173"/>
  <c r="W18" i="173"/>
  <c r="N18" i="173" s="1"/>
  <c r="V18" i="173"/>
  <c r="P18" i="173"/>
  <c r="L18" i="173"/>
  <c r="K18" i="173"/>
  <c r="J18" i="173"/>
  <c r="F18" i="173"/>
  <c r="H18" i="173" s="1"/>
  <c r="B18" i="173"/>
  <c r="AG17" i="173"/>
  <c r="AF17" i="173"/>
  <c r="W17" i="173"/>
  <c r="N17" i="173" s="1"/>
  <c r="O17" i="173" s="1"/>
  <c r="V17" i="173"/>
  <c r="K17" i="173"/>
  <c r="J17" i="173"/>
  <c r="P17" i="173" s="1"/>
  <c r="F17" i="173"/>
  <c r="H17" i="173" s="1"/>
  <c r="B17" i="173"/>
  <c r="W16" i="173"/>
  <c r="N16" i="173"/>
  <c r="K16" i="173"/>
  <c r="K26" i="173" s="1"/>
  <c r="J16" i="173"/>
  <c r="J26" i="173" s="1"/>
  <c r="P26" i="173" s="1"/>
  <c r="F16" i="173"/>
  <c r="H16" i="173" s="1"/>
  <c r="B16" i="173"/>
  <c r="AE15" i="173"/>
  <c r="AD15" i="173"/>
  <c r="D20" i="172" s="1"/>
  <c r="AA15" i="173"/>
  <c r="Z15" i="173"/>
  <c r="D18" i="172" s="1"/>
  <c r="P15" i="173"/>
  <c r="M15" i="173"/>
  <c r="W14" i="173"/>
  <c r="W13" i="173"/>
  <c r="W12" i="173"/>
  <c r="AG11" i="173"/>
  <c r="AF11" i="173"/>
  <c r="W11" i="173"/>
  <c r="AG10" i="173"/>
  <c r="AF10" i="173"/>
  <c r="W10" i="173"/>
  <c r="AG9" i="173"/>
  <c r="AF9" i="173"/>
  <c r="W9" i="173"/>
  <c r="AG8" i="173"/>
  <c r="AF8" i="173"/>
  <c r="W8" i="173"/>
  <c r="W7" i="173"/>
  <c r="N7" i="173" s="1"/>
  <c r="O7" i="173" s="1"/>
  <c r="V7" i="173"/>
  <c r="K7" i="173"/>
  <c r="AF7" i="173" s="1"/>
  <c r="J7" i="173"/>
  <c r="P7" i="173" s="1"/>
  <c r="H7" i="173"/>
  <c r="F7" i="173"/>
  <c r="B7" i="173"/>
  <c r="W6" i="173"/>
  <c r="V6" i="173"/>
  <c r="O6" i="173"/>
  <c r="N6" i="173"/>
  <c r="K6" i="173"/>
  <c r="J6" i="173"/>
  <c r="P6" i="173" s="1"/>
  <c r="F6" i="173"/>
  <c r="H6" i="173" s="1"/>
  <c r="B6" i="173"/>
  <c r="W5" i="173"/>
  <c r="N5" i="173" s="1"/>
  <c r="P5" i="173"/>
  <c r="K5" i="173"/>
  <c r="L5" i="173" s="1"/>
  <c r="L15" i="173" s="1"/>
  <c r="J5" i="173"/>
  <c r="J15" i="173" s="1"/>
  <c r="F5" i="173"/>
  <c r="H5" i="173" s="1"/>
  <c r="G1" i="173" s="1"/>
  <c r="G2" i="173" s="1"/>
  <c r="B5" i="173"/>
  <c r="AE2" i="173"/>
  <c r="AA2" i="173"/>
  <c r="Z2" i="173"/>
  <c r="I2" i="173"/>
  <c r="I1" i="173"/>
  <c r="E1" i="173"/>
  <c r="I21" i="172"/>
  <c r="H21" i="172"/>
  <c r="G21" i="172"/>
  <c r="E21" i="172"/>
  <c r="D21" i="172"/>
  <c r="I20" i="172"/>
  <c r="H20" i="172"/>
  <c r="G20" i="172"/>
  <c r="F20" i="172"/>
  <c r="J19" i="172"/>
  <c r="I19" i="172"/>
  <c r="H19" i="172"/>
  <c r="G19" i="172"/>
  <c r="F19" i="172"/>
  <c r="E19" i="172"/>
  <c r="D19" i="172"/>
  <c r="J18" i="172"/>
  <c r="I18" i="172"/>
  <c r="H18" i="172"/>
  <c r="F18" i="172"/>
  <c r="J16" i="172"/>
  <c r="I16" i="172"/>
  <c r="H16" i="172"/>
  <c r="G16" i="172"/>
  <c r="F16" i="172"/>
  <c r="E16" i="172"/>
  <c r="D16" i="172"/>
  <c r="D13" i="172"/>
  <c r="H6" i="172"/>
  <c r="F6" i="172"/>
  <c r="AE79" i="171"/>
  <c r="J21" i="170" s="1"/>
  <c r="AD79" i="171"/>
  <c r="J20" i="170" s="1"/>
  <c r="AA79" i="171"/>
  <c r="Z79" i="171"/>
  <c r="N79" i="171"/>
  <c r="M79" i="171"/>
  <c r="W78" i="171"/>
  <c r="H78" i="171"/>
  <c r="W77" i="171"/>
  <c r="H77" i="171"/>
  <c r="W76" i="171"/>
  <c r="H76" i="171"/>
  <c r="W75" i="171"/>
  <c r="H75" i="171"/>
  <c r="W74" i="171"/>
  <c r="W73" i="171"/>
  <c r="W72" i="171"/>
  <c r="W71" i="171"/>
  <c r="W70" i="171"/>
  <c r="N70" i="171"/>
  <c r="K70" i="171"/>
  <c r="J70" i="171"/>
  <c r="H70" i="171"/>
  <c r="F70" i="171"/>
  <c r="B70" i="171"/>
  <c r="AE69" i="171"/>
  <c r="AD69" i="171"/>
  <c r="AA69" i="171"/>
  <c r="Z69" i="171"/>
  <c r="M69" i="171"/>
  <c r="K69" i="171"/>
  <c r="J69" i="171"/>
  <c r="P69" i="171" s="1"/>
  <c r="W68" i="171"/>
  <c r="H68" i="171"/>
  <c r="W67" i="171"/>
  <c r="W66" i="171"/>
  <c r="W65" i="171"/>
  <c r="W64" i="171"/>
  <c r="W63" i="171"/>
  <c r="AG62" i="171"/>
  <c r="AF62" i="171"/>
  <c r="W62" i="171"/>
  <c r="AG61" i="171"/>
  <c r="AF61" i="171"/>
  <c r="W61" i="171"/>
  <c r="V61" i="171"/>
  <c r="N61" i="171"/>
  <c r="O61" i="171" s="1"/>
  <c r="K61" i="171"/>
  <c r="J61" i="171"/>
  <c r="P61" i="171" s="1"/>
  <c r="F61" i="171"/>
  <c r="H61" i="171" s="1"/>
  <c r="B61" i="171"/>
  <c r="AG60" i="171"/>
  <c r="W60" i="171"/>
  <c r="V60" i="171"/>
  <c r="N60" i="171"/>
  <c r="AF60" i="171" s="1"/>
  <c r="L60" i="171"/>
  <c r="K60" i="171"/>
  <c r="J60" i="171"/>
  <c r="P60" i="171" s="1"/>
  <c r="F60" i="171"/>
  <c r="H60" i="171" s="1"/>
  <c r="B60" i="171"/>
  <c r="W59" i="171"/>
  <c r="Q59" i="171"/>
  <c r="P59" i="171"/>
  <c r="O59" i="171"/>
  <c r="N59" i="171"/>
  <c r="L59" i="171"/>
  <c r="K59" i="171"/>
  <c r="J59" i="171"/>
  <c r="F59" i="171"/>
  <c r="H59" i="171" s="1"/>
  <c r="B59" i="171"/>
  <c r="AE58" i="171"/>
  <c r="H21" i="170" s="1"/>
  <c r="AD58" i="171"/>
  <c r="H20" i="170" s="1"/>
  <c r="AA58" i="171"/>
  <c r="Z58" i="171"/>
  <c r="H18" i="170" s="1"/>
  <c r="M58" i="171"/>
  <c r="K58" i="171"/>
  <c r="J58" i="171"/>
  <c r="P58" i="171" s="1"/>
  <c r="W57" i="171"/>
  <c r="W56" i="171"/>
  <c r="W55" i="171"/>
  <c r="W54" i="171"/>
  <c r="AG53" i="171"/>
  <c r="AF53" i="171"/>
  <c r="W53" i="171"/>
  <c r="AG52" i="171"/>
  <c r="AF52" i="171"/>
  <c r="W52" i="171"/>
  <c r="V52" i="171"/>
  <c r="W51" i="171"/>
  <c r="N51" i="171" s="1"/>
  <c r="V51" i="171"/>
  <c r="P51" i="171"/>
  <c r="K51" i="171"/>
  <c r="L51" i="171" s="1"/>
  <c r="J51" i="171"/>
  <c r="F51" i="171"/>
  <c r="H51" i="171" s="1"/>
  <c r="B51" i="171"/>
  <c r="AG50" i="171"/>
  <c r="AF50" i="171"/>
  <c r="W50" i="171"/>
  <c r="V50" i="171"/>
  <c r="O50" i="171"/>
  <c r="N50" i="171"/>
  <c r="K50" i="171"/>
  <c r="J50" i="171"/>
  <c r="P50" i="171" s="1"/>
  <c r="F50" i="171"/>
  <c r="H50" i="171" s="1"/>
  <c r="B50" i="171"/>
  <c r="AF49" i="171"/>
  <c r="W49" i="171"/>
  <c r="N49" i="171"/>
  <c r="N58" i="171" s="1"/>
  <c r="L49" i="171"/>
  <c r="L58" i="171" s="1"/>
  <c r="H13" i="170" s="1"/>
  <c r="K49" i="171"/>
  <c r="J49" i="171"/>
  <c r="P49" i="171" s="1"/>
  <c r="F49" i="171"/>
  <c r="H49" i="171" s="1"/>
  <c r="B49" i="171"/>
  <c r="AE48" i="171"/>
  <c r="AD48" i="171"/>
  <c r="AA48" i="171"/>
  <c r="Z48" i="171"/>
  <c r="G18" i="170" s="1"/>
  <c r="W48" i="171"/>
  <c r="M48" i="171"/>
  <c r="K48" i="171"/>
  <c r="J48" i="171"/>
  <c r="W47" i="171"/>
  <c r="H47" i="171"/>
  <c r="W46" i="171"/>
  <c r="W45" i="171"/>
  <c r="W44" i="171"/>
  <c r="W43" i="171"/>
  <c r="W42" i="171"/>
  <c r="AG41" i="171"/>
  <c r="AF41" i="171"/>
  <c r="W41" i="171"/>
  <c r="W40" i="171"/>
  <c r="V40" i="171"/>
  <c r="P40" i="171"/>
  <c r="O40" i="171"/>
  <c r="N40" i="171"/>
  <c r="AG40" i="171" s="1"/>
  <c r="K40" i="171"/>
  <c r="L40" i="171" s="1"/>
  <c r="J40" i="171"/>
  <c r="H40" i="171"/>
  <c r="F40" i="171"/>
  <c r="B40" i="171"/>
  <c r="W39" i="171"/>
  <c r="V39" i="171"/>
  <c r="N39" i="171"/>
  <c r="K39" i="171"/>
  <c r="L39" i="171" s="1"/>
  <c r="J39" i="171"/>
  <c r="P39" i="171" s="1"/>
  <c r="H39" i="171"/>
  <c r="F39" i="171"/>
  <c r="B39" i="171"/>
  <c r="AG38" i="171"/>
  <c r="AF38" i="171"/>
  <c r="W38" i="171"/>
  <c r="P38" i="171"/>
  <c r="N38" i="171"/>
  <c r="L38" i="171"/>
  <c r="L48" i="171" s="1"/>
  <c r="G13" i="170" s="1"/>
  <c r="K38" i="171"/>
  <c r="J38" i="171"/>
  <c r="F38" i="171"/>
  <c r="H38" i="171" s="1"/>
  <c r="B38" i="171"/>
  <c r="AE37" i="171"/>
  <c r="AD37" i="171"/>
  <c r="F20" i="170" s="1"/>
  <c r="AA37" i="171"/>
  <c r="Z37" i="171"/>
  <c r="M37" i="171"/>
  <c r="W36" i="171"/>
  <c r="H36" i="171"/>
  <c r="W35" i="171"/>
  <c r="W34" i="171"/>
  <c r="W33" i="171"/>
  <c r="W32" i="171"/>
  <c r="AG31" i="171"/>
  <c r="AF31" i="171"/>
  <c r="W31" i="171"/>
  <c r="AG30" i="171"/>
  <c r="AF30" i="171"/>
  <c r="W30" i="171"/>
  <c r="V30" i="171"/>
  <c r="AG29" i="171"/>
  <c r="W29" i="171"/>
  <c r="V29" i="171"/>
  <c r="N29" i="171"/>
  <c r="O29" i="171" s="1"/>
  <c r="L29" i="171"/>
  <c r="K29" i="171"/>
  <c r="J29" i="171"/>
  <c r="P29" i="171" s="1"/>
  <c r="F29" i="171"/>
  <c r="H29" i="171" s="1"/>
  <c r="B29" i="171"/>
  <c r="W28" i="171"/>
  <c r="V28" i="171"/>
  <c r="N28" i="171"/>
  <c r="K28" i="171"/>
  <c r="L28" i="171" s="1"/>
  <c r="J28" i="171"/>
  <c r="P28" i="171" s="1"/>
  <c r="F28" i="171"/>
  <c r="H28" i="171" s="1"/>
  <c r="B28" i="171"/>
  <c r="W27" i="171"/>
  <c r="N27" i="171" s="1"/>
  <c r="O27" i="171"/>
  <c r="K27" i="171"/>
  <c r="AF27" i="171" s="1"/>
  <c r="J27" i="171"/>
  <c r="F27" i="171"/>
  <c r="H27" i="171" s="1"/>
  <c r="B27" i="171"/>
  <c r="AE26" i="171"/>
  <c r="AD26" i="171"/>
  <c r="AA26" i="171"/>
  <c r="E19" i="170" s="1"/>
  <c r="Z26" i="171"/>
  <c r="N26" i="171"/>
  <c r="M26" i="171"/>
  <c r="W25" i="171"/>
  <c r="H25" i="171"/>
  <c r="W24" i="171"/>
  <c r="H24" i="171"/>
  <c r="W23" i="171"/>
  <c r="W21" i="171"/>
  <c r="W20" i="171"/>
  <c r="V20" i="171"/>
  <c r="AG19" i="171"/>
  <c r="AF19" i="171"/>
  <c r="W19" i="171"/>
  <c r="V19" i="171"/>
  <c r="AF18" i="171"/>
  <c r="W18" i="171"/>
  <c r="V18" i="171"/>
  <c r="P18" i="171"/>
  <c r="O18" i="171"/>
  <c r="N18" i="171"/>
  <c r="AG18" i="171" s="1"/>
  <c r="L18" i="171"/>
  <c r="K18" i="171"/>
  <c r="J18" i="171"/>
  <c r="F18" i="171"/>
  <c r="H18" i="171" s="1"/>
  <c r="B18" i="171"/>
  <c r="AG17" i="171"/>
  <c r="W17" i="171"/>
  <c r="N17" i="171" s="1"/>
  <c r="V17" i="171"/>
  <c r="P17" i="171"/>
  <c r="K17" i="171"/>
  <c r="L17" i="171" s="1"/>
  <c r="J17" i="171"/>
  <c r="H17" i="171"/>
  <c r="F17" i="171"/>
  <c r="B17" i="171"/>
  <c r="AG16" i="171"/>
  <c r="W16" i="171"/>
  <c r="N16" i="171"/>
  <c r="O16" i="171" s="1"/>
  <c r="L16" i="171"/>
  <c r="L26" i="171" s="1"/>
  <c r="E13" i="170" s="1"/>
  <c r="K16" i="171"/>
  <c r="K26" i="171" s="1"/>
  <c r="J16" i="171"/>
  <c r="J26" i="171" s="1"/>
  <c r="P26" i="171" s="1"/>
  <c r="F16" i="171"/>
  <c r="H16" i="171" s="1"/>
  <c r="B16" i="171"/>
  <c r="AE15" i="171"/>
  <c r="AD15" i="171"/>
  <c r="AA15" i="171"/>
  <c r="Z15" i="171"/>
  <c r="Z2" i="171" s="1"/>
  <c r="M15" i="171"/>
  <c r="W14" i="171"/>
  <c r="W13" i="171"/>
  <c r="W12" i="171"/>
  <c r="AG11" i="171"/>
  <c r="AF11" i="171"/>
  <c r="W11" i="171"/>
  <c r="AG10" i="171"/>
  <c r="AF10" i="171"/>
  <c r="W10" i="171"/>
  <c r="AG9" i="171"/>
  <c r="AF9" i="171"/>
  <c r="W9" i="171"/>
  <c r="AG8" i="171"/>
  <c r="AF8" i="171"/>
  <c r="W8" i="171"/>
  <c r="AG7" i="171"/>
  <c r="W7" i="171"/>
  <c r="N7" i="171" s="1"/>
  <c r="V7" i="171"/>
  <c r="K7" i="171"/>
  <c r="J7" i="171"/>
  <c r="P7" i="171" s="1"/>
  <c r="H7" i="171"/>
  <c r="F7" i="171"/>
  <c r="B7" i="171"/>
  <c r="W6" i="171"/>
  <c r="V6" i="171"/>
  <c r="N6" i="171"/>
  <c r="O6" i="171" s="1"/>
  <c r="K6" i="171"/>
  <c r="J6" i="171"/>
  <c r="P6" i="171" s="1"/>
  <c r="H6" i="171"/>
  <c r="F6" i="171"/>
  <c r="B6" i="171"/>
  <c r="W5" i="171"/>
  <c r="O5" i="171"/>
  <c r="N5" i="171"/>
  <c r="AG5" i="171" s="1"/>
  <c r="K5" i="171"/>
  <c r="K15" i="171" s="1"/>
  <c r="J5" i="171"/>
  <c r="F5" i="171"/>
  <c r="H5" i="171" s="1"/>
  <c r="G1" i="171" s="1"/>
  <c r="G2" i="171" s="1"/>
  <c r="B5" i="171"/>
  <c r="I2" i="171"/>
  <c r="E1" i="171"/>
  <c r="I21" i="170"/>
  <c r="G21" i="170"/>
  <c r="F21" i="170"/>
  <c r="E21" i="170"/>
  <c r="D21" i="170"/>
  <c r="I20" i="170"/>
  <c r="G20" i="170"/>
  <c r="E20" i="170"/>
  <c r="D20" i="170"/>
  <c r="J19" i="170"/>
  <c r="I19" i="170"/>
  <c r="H19" i="170"/>
  <c r="G19" i="170"/>
  <c r="F19" i="170"/>
  <c r="D19" i="170"/>
  <c r="J18" i="170"/>
  <c r="I18" i="170"/>
  <c r="F18" i="170"/>
  <c r="E18" i="170"/>
  <c r="D18" i="170"/>
  <c r="J16" i="170"/>
  <c r="I16" i="170"/>
  <c r="H16" i="170"/>
  <c r="G16" i="170"/>
  <c r="F16" i="170"/>
  <c r="E16" i="170"/>
  <c r="D16" i="170"/>
  <c r="AE79" i="169"/>
  <c r="AD79" i="169"/>
  <c r="AA79" i="169"/>
  <c r="Z79" i="169"/>
  <c r="N79" i="169"/>
  <c r="M79" i="169"/>
  <c r="W78" i="169"/>
  <c r="H78" i="169"/>
  <c r="W77" i="169"/>
  <c r="H77" i="169"/>
  <c r="W76" i="169"/>
  <c r="H76" i="169"/>
  <c r="W75" i="169"/>
  <c r="H75" i="169"/>
  <c r="W74" i="169"/>
  <c r="W73" i="169"/>
  <c r="W72" i="169"/>
  <c r="W71" i="169"/>
  <c r="W70" i="169"/>
  <c r="Q70" i="169"/>
  <c r="P70" i="169"/>
  <c r="O70" i="169"/>
  <c r="N70" i="169"/>
  <c r="AG70" i="169" s="1"/>
  <c r="L70" i="169"/>
  <c r="L79" i="169" s="1"/>
  <c r="J13" i="168" s="1"/>
  <c r="K70" i="169"/>
  <c r="K79" i="169" s="1"/>
  <c r="Q79" i="169" s="1"/>
  <c r="J70" i="169"/>
  <c r="J79" i="169" s="1"/>
  <c r="F70" i="169"/>
  <c r="H70" i="169" s="1"/>
  <c r="B70" i="169"/>
  <c r="AE69" i="169"/>
  <c r="AD69" i="169"/>
  <c r="I20" i="168" s="1"/>
  <c r="AA69" i="169"/>
  <c r="Z69" i="169"/>
  <c r="I18" i="168" s="1"/>
  <c r="M69" i="169"/>
  <c r="W68" i="169"/>
  <c r="H68" i="169"/>
  <c r="W67" i="169"/>
  <c r="W66" i="169"/>
  <c r="W65" i="169"/>
  <c r="W64" i="169"/>
  <c r="W63" i="169"/>
  <c r="AG62" i="169"/>
  <c r="AF62" i="169"/>
  <c r="W62" i="169"/>
  <c r="W61" i="169"/>
  <c r="V61" i="169"/>
  <c r="P61" i="169"/>
  <c r="N61" i="169"/>
  <c r="K61" i="169"/>
  <c r="L61" i="169" s="1"/>
  <c r="J61" i="169"/>
  <c r="F61" i="169"/>
  <c r="H61" i="169" s="1"/>
  <c r="B61" i="169"/>
  <c r="W60" i="169"/>
  <c r="N60" i="169" s="1"/>
  <c r="V60" i="169"/>
  <c r="P60" i="169"/>
  <c r="K60" i="169"/>
  <c r="J60" i="169"/>
  <c r="F60" i="169"/>
  <c r="H60" i="169" s="1"/>
  <c r="B60" i="169"/>
  <c r="W59" i="169"/>
  <c r="N59" i="169" s="1"/>
  <c r="K59" i="169"/>
  <c r="K69" i="169" s="1"/>
  <c r="J59" i="169"/>
  <c r="H59" i="169"/>
  <c r="F59" i="169"/>
  <c r="B59" i="169"/>
  <c r="AE58" i="169"/>
  <c r="AD58" i="169"/>
  <c r="AA58" i="169"/>
  <c r="Z58" i="169"/>
  <c r="H18" i="168" s="1"/>
  <c r="P58" i="169"/>
  <c r="M58" i="169"/>
  <c r="K58" i="169"/>
  <c r="W57" i="169"/>
  <c r="W56" i="169"/>
  <c r="W55" i="169"/>
  <c r="W54" i="169"/>
  <c r="AG53" i="169"/>
  <c r="AF53" i="169"/>
  <c r="W53" i="169"/>
  <c r="AG52" i="169"/>
  <c r="AF52" i="169"/>
  <c r="W52" i="169"/>
  <c r="V52" i="169"/>
  <c r="W51" i="169"/>
  <c r="V51" i="169"/>
  <c r="N51" i="169"/>
  <c r="L51" i="169"/>
  <c r="K51" i="169"/>
  <c r="J51" i="169"/>
  <c r="P51" i="169" s="1"/>
  <c r="F51" i="169"/>
  <c r="H51" i="169" s="1"/>
  <c r="B51" i="169"/>
  <c r="W50" i="169"/>
  <c r="V50" i="169"/>
  <c r="P50" i="169"/>
  <c r="O50" i="169"/>
  <c r="N50" i="169"/>
  <c r="AG50" i="169" s="1"/>
  <c r="K50" i="169"/>
  <c r="L50" i="169" s="1"/>
  <c r="J50" i="169"/>
  <c r="H50" i="169"/>
  <c r="F50" i="169"/>
  <c r="B50" i="169"/>
  <c r="W49" i="169"/>
  <c r="R49" i="169"/>
  <c r="P49" i="169"/>
  <c r="O49" i="169"/>
  <c r="N49" i="169"/>
  <c r="AG49" i="169" s="1"/>
  <c r="L49" i="169"/>
  <c r="L58" i="169" s="1"/>
  <c r="H13" i="168" s="1"/>
  <c r="K49" i="169"/>
  <c r="J49" i="169"/>
  <c r="J58" i="169" s="1"/>
  <c r="F49" i="169"/>
  <c r="H49" i="169" s="1"/>
  <c r="B49" i="169"/>
  <c r="AE48" i="169"/>
  <c r="AD48" i="169"/>
  <c r="G20" i="168" s="1"/>
  <c r="AA48" i="169"/>
  <c r="Z48" i="169"/>
  <c r="W48" i="169"/>
  <c r="M48" i="169"/>
  <c r="P48" i="169" s="1"/>
  <c r="L48" i="169"/>
  <c r="K48" i="169"/>
  <c r="J48" i="169"/>
  <c r="W47" i="169"/>
  <c r="H47" i="169"/>
  <c r="W46" i="169"/>
  <c r="W45" i="169"/>
  <c r="W44" i="169"/>
  <c r="W43" i="169"/>
  <c r="W42" i="169"/>
  <c r="AG41" i="169"/>
  <c r="AF41" i="169"/>
  <c r="W41" i="169"/>
  <c r="W40" i="169"/>
  <c r="N40" i="169" s="1"/>
  <c r="V40" i="169"/>
  <c r="K40" i="169"/>
  <c r="J40" i="169"/>
  <c r="P40" i="169" s="1"/>
  <c r="H40" i="169"/>
  <c r="F40" i="169"/>
  <c r="B40" i="169"/>
  <c r="AF39" i="169"/>
  <c r="W39" i="169"/>
  <c r="V39" i="169"/>
  <c r="N39" i="169"/>
  <c r="L39" i="169"/>
  <c r="K39" i="169"/>
  <c r="J39" i="169"/>
  <c r="P39" i="169" s="1"/>
  <c r="F39" i="169"/>
  <c r="H39" i="169" s="1"/>
  <c r="B39" i="169"/>
  <c r="W38" i="169"/>
  <c r="R38" i="169"/>
  <c r="P38" i="169"/>
  <c r="O38" i="169"/>
  <c r="N38" i="169"/>
  <c r="AG38" i="169" s="1"/>
  <c r="L38" i="169"/>
  <c r="Q38" i="169" s="1"/>
  <c r="K38" i="169"/>
  <c r="J38" i="169"/>
  <c r="F38" i="169"/>
  <c r="H38" i="169" s="1"/>
  <c r="B38" i="169"/>
  <c r="AE37" i="169"/>
  <c r="F21" i="168" s="1"/>
  <c r="AD37" i="169"/>
  <c r="F20" i="168" s="1"/>
  <c r="AA37" i="169"/>
  <c r="Z37" i="169"/>
  <c r="Z2" i="169" s="1"/>
  <c r="M37" i="169"/>
  <c r="L37" i="169"/>
  <c r="K37" i="169"/>
  <c r="J37" i="169"/>
  <c r="P37" i="169" s="1"/>
  <c r="W36" i="169"/>
  <c r="H36" i="169"/>
  <c r="W35" i="169"/>
  <c r="W34" i="169"/>
  <c r="W33" i="169"/>
  <c r="W32" i="169"/>
  <c r="AG31" i="169"/>
  <c r="AF31" i="169"/>
  <c r="W31" i="169"/>
  <c r="AG30" i="169"/>
  <c r="AF30" i="169"/>
  <c r="W30" i="169"/>
  <c r="V30" i="169"/>
  <c r="W29" i="169"/>
  <c r="N29" i="169" s="1"/>
  <c r="V29" i="169"/>
  <c r="L29" i="169"/>
  <c r="K29" i="169"/>
  <c r="J29" i="169"/>
  <c r="P29" i="169" s="1"/>
  <c r="H29" i="169"/>
  <c r="F29" i="169"/>
  <c r="B29" i="169"/>
  <c r="W28" i="169"/>
  <c r="V28" i="169"/>
  <c r="P28" i="169"/>
  <c r="O28" i="169"/>
  <c r="N28" i="169"/>
  <c r="AG28" i="169" s="1"/>
  <c r="L28" i="169"/>
  <c r="K28" i="169"/>
  <c r="J28" i="169"/>
  <c r="F28" i="169"/>
  <c r="H28" i="169" s="1"/>
  <c r="B28" i="169"/>
  <c r="W27" i="169"/>
  <c r="N27" i="169" s="1"/>
  <c r="P27" i="169"/>
  <c r="O27" i="169"/>
  <c r="L27" i="169"/>
  <c r="K27" i="169"/>
  <c r="J27" i="169"/>
  <c r="F27" i="169"/>
  <c r="H27" i="169" s="1"/>
  <c r="B27" i="169"/>
  <c r="AE26" i="169"/>
  <c r="E21" i="168" s="1"/>
  <c r="AD26" i="169"/>
  <c r="E20" i="168" s="1"/>
  <c r="AA26" i="169"/>
  <c r="Z26" i="169"/>
  <c r="M26" i="169"/>
  <c r="P26" i="169" s="1"/>
  <c r="L26" i="169"/>
  <c r="E13" i="168" s="1"/>
  <c r="K26" i="169"/>
  <c r="J26" i="169"/>
  <c r="W25" i="169"/>
  <c r="H25" i="169"/>
  <c r="W24" i="169"/>
  <c r="H24" i="169"/>
  <c r="W23" i="169"/>
  <c r="W21" i="169"/>
  <c r="W20" i="169"/>
  <c r="V20" i="169"/>
  <c r="AG19" i="169"/>
  <c r="AF19" i="169"/>
  <c r="W19" i="169"/>
  <c r="V19" i="169"/>
  <c r="AF18" i="169"/>
  <c r="W18" i="169"/>
  <c r="V18" i="169"/>
  <c r="N18" i="169"/>
  <c r="L18" i="169"/>
  <c r="K18" i="169"/>
  <c r="J18" i="169"/>
  <c r="P18" i="169" s="1"/>
  <c r="F18" i="169"/>
  <c r="H18" i="169" s="1"/>
  <c r="B18" i="169"/>
  <c r="W17" i="169"/>
  <c r="V17" i="169"/>
  <c r="P17" i="169"/>
  <c r="N17" i="169"/>
  <c r="K17" i="169"/>
  <c r="L17" i="169" s="1"/>
  <c r="J17" i="169"/>
  <c r="H17" i="169"/>
  <c r="F17" i="169"/>
  <c r="B17" i="169"/>
  <c r="AF16" i="169"/>
  <c r="W16" i="169"/>
  <c r="N16" i="169" s="1"/>
  <c r="P16" i="169"/>
  <c r="K16" i="169"/>
  <c r="L16" i="169" s="1"/>
  <c r="J16" i="169"/>
  <c r="F16" i="169"/>
  <c r="H16" i="169" s="1"/>
  <c r="B16" i="169"/>
  <c r="AE15" i="169"/>
  <c r="AD15" i="169"/>
  <c r="AD2" i="169" s="1"/>
  <c r="AA15" i="169"/>
  <c r="Z15" i="169"/>
  <c r="N15" i="169"/>
  <c r="M15" i="169"/>
  <c r="K15" i="169"/>
  <c r="W14" i="169"/>
  <c r="W13" i="169"/>
  <c r="W12" i="169"/>
  <c r="AG11" i="169"/>
  <c r="AF11" i="169"/>
  <c r="W11" i="169"/>
  <c r="AG10" i="169"/>
  <c r="AF10" i="169"/>
  <c r="W10" i="169"/>
  <c r="AG9" i="169"/>
  <c r="AF9" i="169"/>
  <c r="W9" i="169"/>
  <c r="AG8" i="169"/>
  <c r="AF8" i="169"/>
  <c r="W8" i="169"/>
  <c r="W7" i="169"/>
  <c r="V7" i="169"/>
  <c r="P7" i="169"/>
  <c r="O7" i="169"/>
  <c r="N7" i="169"/>
  <c r="AG7" i="169" s="1"/>
  <c r="L7" i="169"/>
  <c r="K7" i="169"/>
  <c r="J7" i="169"/>
  <c r="F7" i="169"/>
  <c r="H7" i="169" s="1"/>
  <c r="B7" i="169"/>
  <c r="W6" i="169"/>
  <c r="N6" i="169" s="1"/>
  <c r="V6" i="169"/>
  <c r="P6" i="169"/>
  <c r="K6" i="169"/>
  <c r="L6" i="169" s="1"/>
  <c r="J6" i="169"/>
  <c r="F6" i="169"/>
  <c r="H6" i="169" s="1"/>
  <c r="B6" i="169"/>
  <c r="W5" i="169"/>
  <c r="N5" i="169" s="1"/>
  <c r="L5" i="169"/>
  <c r="L15" i="169" s="1"/>
  <c r="D13" i="168" s="1"/>
  <c r="K5" i="169"/>
  <c r="J5" i="169"/>
  <c r="P5" i="169" s="1"/>
  <c r="H5" i="169"/>
  <c r="G1" i="169" s="1"/>
  <c r="F5" i="169"/>
  <c r="B5" i="169"/>
  <c r="I2" i="169"/>
  <c r="E1" i="169"/>
  <c r="J21" i="168"/>
  <c r="I21" i="168"/>
  <c r="H21" i="168"/>
  <c r="G21" i="168"/>
  <c r="D21" i="168"/>
  <c r="J20" i="168"/>
  <c r="H20" i="168"/>
  <c r="D20" i="168"/>
  <c r="J19" i="168"/>
  <c r="I19" i="168"/>
  <c r="H19" i="168"/>
  <c r="G19" i="168"/>
  <c r="F19" i="168"/>
  <c r="D19" i="168"/>
  <c r="J18" i="168"/>
  <c r="G18" i="168"/>
  <c r="F18" i="168"/>
  <c r="E18" i="168"/>
  <c r="D18" i="168"/>
  <c r="J16" i="168"/>
  <c r="I16" i="168"/>
  <c r="H16" i="168"/>
  <c r="G16" i="168"/>
  <c r="F16" i="168"/>
  <c r="E16" i="168"/>
  <c r="D16" i="168"/>
  <c r="G13" i="168"/>
  <c r="F13" i="168"/>
  <c r="AE79" i="167"/>
  <c r="AD79" i="167"/>
  <c r="AD2" i="167" s="1"/>
  <c r="AA79" i="167"/>
  <c r="Z79" i="167"/>
  <c r="M79" i="167"/>
  <c r="J79" i="167"/>
  <c r="W78" i="167"/>
  <c r="H78" i="167"/>
  <c r="W77" i="167"/>
  <c r="H77" i="167"/>
  <c r="W76" i="167"/>
  <c r="H76" i="167"/>
  <c r="W75" i="167"/>
  <c r="H75" i="167"/>
  <c r="W74" i="167"/>
  <c r="W73" i="167"/>
  <c r="W72" i="167"/>
  <c r="W71" i="167"/>
  <c r="AG70" i="167"/>
  <c r="W70" i="167"/>
  <c r="N70" i="167" s="1"/>
  <c r="K70" i="167"/>
  <c r="J70" i="167"/>
  <c r="P70" i="167" s="1"/>
  <c r="H70" i="167"/>
  <c r="F70" i="167"/>
  <c r="B70" i="167"/>
  <c r="AE69" i="167"/>
  <c r="AD69" i="167"/>
  <c r="AA69" i="167"/>
  <c r="Z69" i="167"/>
  <c r="M69" i="167"/>
  <c r="W68" i="167"/>
  <c r="H68" i="167"/>
  <c r="W67" i="167"/>
  <c r="W66" i="167"/>
  <c r="W65" i="167"/>
  <c r="W64" i="167"/>
  <c r="W63" i="167"/>
  <c r="AG62" i="167"/>
  <c r="AF62" i="167"/>
  <c r="W62" i="167"/>
  <c r="W61" i="167"/>
  <c r="V61" i="167"/>
  <c r="P61" i="167"/>
  <c r="N61" i="167"/>
  <c r="K61" i="167"/>
  <c r="L61" i="167" s="1"/>
  <c r="J61" i="167"/>
  <c r="F61" i="167"/>
  <c r="H61" i="167" s="1"/>
  <c r="B61" i="167"/>
  <c r="W60" i="167"/>
  <c r="V60" i="167"/>
  <c r="P60" i="167"/>
  <c r="N60" i="167"/>
  <c r="K60" i="167"/>
  <c r="L60" i="167" s="1"/>
  <c r="J60" i="167"/>
  <c r="H60" i="167"/>
  <c r="F60" i="167"/>
  <c r="B60" i="167"/>
  <c r="AF59" i="167"/>
  <c r="W59" i="167"/>
  <c r="N59" i="167" s="1"/>
  <c r="K59" i="167"/>
  <c r="K69" i="167" s="1"/>
  <c r="J59" i="167"/>
  <c r="H59" i="167"/>
  <c r="F59" i="167"/>
  <c r="B59" i="167"/>
  <c r="AE58" i="167"/>
  <c r="AD58" i="167"/>
  <c r="AA58" i="167"/>
  <c r="Z58" i="167"/>
  <c r="M58" i="167"/>
  <c r="K58" i="167"/>
  <c r="W57" i="167"/>
  <c r="W56" i="167"/>
  <c r="W55" i="167"/>
  <c r="W54" i="167"/>
  <c r="AG53" i="167"/>
  <c r="AF53" i="167"/>
  <c r="W53" i="167"/>
  <c r="AG52" i="167"/>
  <c r="AF52" i="167"/>
  <c r="W52" i="167"/>
  <c r="V52" i="167"/>
  <c r="W51" i="167"/>
  <c r="V51" i="167"/>
  <c r="N51" i="167"/>
  <c r="K51" i="167"/>
  <c r="L51" i="167" s="1"/>
  <c r="J51" i="167"/>
  <c r="P51" i="167" s="1"/>
  <c r="F51" i="167"/>
  <c r="H51" i="167" s="1"/>
  <c r="B51" i="167"/>
  <c r="W50" i="167"/>
  <c r="V50" i="167"/>
  <c r="P50" i="167"/>
  <c r="N50" i="167"/>
  <c r="K50" i="167"/>
  <c r="L50" i="167" s="1"/>
  <c r="J50" i="167"/>
  <c r="H50" i="167"/>
  <c r="F50" i="167"/>
  <c r="B50" i="167"/>
  <c r="AF49" i="167"/>
  <c r="W49" i="167"/>
  <c r="N49" i="167" s="1"/>
  <c r="O49" i="167" s="1"/>
  <c r="K49" i="167"/>
  <c r="J49" i="167"/>
  <c r="H49" i="167"/>
  <c r="F49" i="167"/>
  <c r="B49" i="167"/>
  <c r="AE48" i="167"/>
  <c r="AD48" i="167"/>
  <c r="AA48" i="167"/>
  <c r="Z48" i="167"/>
  <c r="W48" i="167"/>
  <c r="M48" i="167"/>
  <c r="W47" i="167"/>
  <c r="H47" i="167"/>
  <c r="W46" i="167"/>
  <c r="W45" i="167"/>
  <c r="W44" i="167"/>
  <c r="W43" i="167"/>
  <c r="W42" i="167"/>
  <c r="AG41" i="167"/>
  <c r="AF41" i="167"/>
  <c r="W41" i="167"/>
  <c r="W40" i="167"/>
  <c r="V40" i="167"/>
  <c r="P40" i="167"/>
  <c r="N40" i="167"/>
  <c r="K40" i="167"/>
  <c r="L40" i="167" s="1"/>
  <c r="J40" i="167"/>
  <c r="F40" i="167"/>
  <c r="H40" i="167" s="1"/>
  <c r="B40" i="167"/>
  <c r="W39" i="167"/>
  <c r="V39" i="167"/>
  <c r="P39" i="167"/>
  <c r="N39" i="167"/>
  <c r="K39" i="167"/>
  <c r="L39" i="167" s="1"/>
  <c r="J39" i="167"/>
  <c r="H39" i="167"/>
  <c r="F39" i="167"/>
  <c r="B39" i="167"/>
  <c r="W38" i="167"/>
  <c r="N38" i="167" s="1"/>
  <c r="O38" i="167" s="1"/>
  <c r="K38" i="167"/>
  <c r="K48" i="167" s="1"/>
  <c r="J38" i="167"/>
  <c r="H38" i="167"/>
  <c r="F38" i="167"/>
  <c r="B38" i="167"/>
  <c r="AE37" i="167"/>
  <c r="AD37" i="167"/>
  <c r="AA37" i="167"/>
  <c r="F19" i="166" s="1"/>
  <c r="Z37" i="167"/>
  <c r="M37" i="167"/>
  <c r="K37" i="167"/>
  <c r="W36" i="167"/>
  <c r="H36" i="167"/>
  <c r="W35" i="167"/>
  <c r="W34" i="167"/>
  <c r="W33" i="167"/>
  <c r="W32" i="167"/>
  <c r="AG31" i="167"/>
  <c r="AF31" i="167"/>
  <c r="W31" i="167"/>
  <c r="AG30" i="167"/>
  <c r="AF30" i="167"/>
  <c r="W30" i="167"/>
  <c r="V30" i="167"/>
  <c r="W29" i="167"/>
  <c r="V29" i="167"/>
  <c r="P29" i="167"/>
  <c r="N29" i="167"/>
  <c r="L29" i="167"/>
  <c r="K29" i="167"/>
  <c r="J29" i="167"/>
  <c r="H29" i="167"/>
  <c r="F29" i="167"/>
  <c r="B29" i="167"/>
  <c r="W28" i="167"/>
  <c r="N28" i="167" s="1"/>
  <c r="O28" i="167" s="1"/>
  <c r="R28" i="167" s="1"/>
  <c r="V28" i="167"/>
  <c r="P28" i="167"/>
  <c r="K28" i="167"/>
  <c r="L28" i="167" s="1"/>
  <c r="J28" i="167"/>
  <c r="F28" i="167"/>
  <c r="H28" i="167" s="1"/>
  <c r="B28" i="167"/>
  <c r="W27" i="167"/>
  <c r="N27" i="167" s="1"/>
  <c r="K27" i="167"/>
  <c r="L27" i="167" s="1"/>
  <c r="L37" i="167" s="1"/>
  <c r="F13" i="166" s="1"/>
  <c r="J27" i="167"/>
  <c r="F27" i="167"/>
  <c r="H27" i="167" s="1"/>
  <c r="B27" i="167"/>
  <c r="AE26" i="167"/>
  <c r="AD26" i="167"/>
  <c r="AA26" i="167"/>
  <c r="Z26" i="167"/>
  <c r="E18" i="166" s="1"/>
  <c r="M26" i="167"/>
  <c r="W25" i="167"/>
  <c r="H25" i="167"/>
  <c r="W24" i="167"/>
  <c r="H24" i="167"/>
  <c r="W23" i="167"/>
  <c r="W21" i="167"/>
  <c r="W20" i="167"/>
  <c r="V20" i="167"/>
  <c r="AG19" i="167"/>
  <c r="AF19" i="167"/>
  <c r="W19" i="167"/>
  <c r="V19" i="167"/>
  <c r="W18" i="167"/>
  <c r="N18" i="167" s="1"/>
  <c r="V18" i="167"/>
  <c r="P18" i="167"/>
  <c r="K18" i="167"/>
  <c r="L18" i="167" s="1"/>
  <c r="J18" i="167"/>
  <c r="H18" i="167"/>
  <c r="F18" i="167"/>
  <c r="B18" i="167"/>
  <c r="W17" i="167"/>
  <c r="N17" i="167" s="1"/>
  <c r="O17" i="167" s="1"/>
  <c r="V17" i="167"/>
  <c r="K17" i="167"/>
  <c r="J17" i="167"/>
  <c r="F17" i="167"/>
  <c r="H17" i="167" s="1"/>
  <c r="B17" i="167"/>
  <c r="AG16" i="167"/>
  <c r="AF16" i="167"/>
  <c r="W16" i="167"/>
  <c r="N16" i="167"/>
  <c r="K16" i="167"/>
  <c r="K26" i="167" s="1"/>
  <c r="J16" i="167"/>
  <c r="F16" i="167"/>
  <c r="H16" i="167" s="1"/>
  <c r="B16" i="167"/>
  <c r="AE15" i="167"/>
  <c r="D21" i="166" s="1"/>
  <c r="AD15" i="167"/>
  <c r="AA15" i="167"/>
  <c r="D19" i="166" s="1"/>
  <c r="Z15" i="167"/>
  <c r="D18" i="166" s="1"/>
  <c r="P15" i="167"/>
  <c r="M15" i="167"/>
  <c r="W14" i="167"/>
  <c r="W13" i="167"/>
  <c r="W12" i="167"/>
  <c r="AG11" i="167"/>
  <c r="AF11" i="167"/>
  <c r="W11" i="167"/>
  <c r="AG10" i="167"/>
  <c r="AF10" i="167"/>
  <c r="W10" i="167"/>
  <c r="AG9" i="167"/>
  <c r="AF9" i="167"/>
  <c r="W9" i="167"/>
  <c r="AG8" i="167"/>
  <c r="AF8" i="167"/>
  <c r="W8" i="167"/>
  <c r="W7" i="167"/>
  <c r="N7" i="167" s="1"/>
  <c r="V7" i="167"/>
  <c r="K7" i="167"/>
  <c r="J7" i="167"/>
  <c r="P7" i="167" s="1"/>
  <c r="F7" i="167"/>
  <c r="H7" i="167" s="1"/>
  <c r="B7" i="167"/>
  <c r="W6" i="167"/>
  <c r="V6" i="167"/>
  <c r="O6" i="167"/>
  <c r="N6" i="167"/>
  <c r="AG6" i="167" s="1"/>
  <c r="K6" i="167"/>
  <c r="L6" i="167" s="1"/>
  <c r="J6" i="167"/>
  <c r="P6" i="167" s="1"/>
  <c r="F6" i="167"/>
  <c r="H6" i="167" s="1"/>
  <c r="B6" i="167"/>
  <c r="W5" i="167"/>
  <c r="P5" i="167"/>
  <c r="N5" i="167"/>
  <c r="L5" i="167"/>
  <c r="L15" i="167" s="1"/>
  <c r="D13" i="166" s="1"/>
  <c r="K5" i="167"/>
  <c r="K15" i="167" s="1"/>
  <c r="J5" i="167"/>
  <c r="J15" i="167" s="1"/>
  <c r="F5" i="167"/>
  <c r="H5" i="167" s="1"/>
  <c r="G1" i="167" s="1"/>
  <c r="B5" i="167"/>
  <c r="AE2" i="167"/>
  <c r="AA2" i="167"/>
  <c r="I2" i="167"/>
  <c r="G2" i="167"/>
  <c r="E1" i="167"/>
  <c r="J21" i="166"/>
  <c r="I21" i="166"/>
  <c r="H21" i="166"/>
  <c r="G21" i="166"/>
  <c r="F21" i="166"/>
  <c r="E21" i="166"/>
  <c r="J20" i="166"/>
  <c r="I20" i="166"/>
  <c r="H20" i="166"/>
  <c r="G20" i="166"/>
  <c r="F20" i="166"/>
  <c r="E20" i="166"/>
  <c r="D20" i="166"/>
  <c r="J19" i="166"/>
  <c r="I19" i="166"/>
  <c r="H19" i="166"/>
  <c r="G19" i="166"/>
  <c r="E19" i="166"/>
  <c r="J18" i="166"/>
  <c r="I18" i="166"/>
  <c r="H18" i="166"/>
  <c r="G18" i="166"/>
  <c r="F18" i="166"/>
  <c r="J16" i="166"/>
  <c r="I16" i="166"/>
  <c r="H16" i="166"/>
  <c r="G16" i="166"/>
  <c r="F16" i="166"/>
  <c r="E16" i="166"/>
  <c r="D16" i="166"/>
  <c r="AE79" i="165"/>
  <c r="AD79" i="165"/>
  <c r="AA79" i="165"/>
  <c r="Z79" i="165"/>
  <c r="P79" i="165"/>
  <c r="O79" i="165"/>
  <c r="M79" i="165"/>
  <c r="K79" i="165"/>
  <c r="J79" i="165"/>
  <c r="W78" i="165"/>
  <c r="H78" i="165"/>
  <c r="W77" i="165"/>
  <c r="H77" i="165"/>
  <c r="W76" i="165"/>
  <c r="H76" i="165"/>
  <c r="W75" i="165"/>
  <c r="H75" i="165"/>
  <c r="W74" i="165"/>
  <c r="W73" i="165"/>
  <c r="W72" i="165"/>
  <c r="W71" i="165"/>
  <c r="W70" i="165"/>
  <c r="P70" i="165"/>
  <c r="O70" i="165"/>
  <c r="R70" i="165" s="1"/>
  <c r="N70" i="165"/>
  <c r="AG70" i="165" s="1"/>
  <c r="K70" i="165"/>
  <c r="L70" i="165" s="1"/>
  <c r="L79" i="165" s="1"/>
  <c r="J13" i="164" s="1"/>
  <c r="J70" i="165"/>
  <c r="F70" i="165"/>
  <c r="H70" i="165" s="1"/>
  <c r="B70" i="165"/>
  <c r="AE69" i="165"/>
  <c r="I21" i="164" s="1"/>
  <c r="AD69" i="165"/>
  <c r="I20" i="164" s="1"/>
  <c r="AA69" i="165"/>
  <c r="I19" i="164" s="1"/>
  <c r="Z69" i="165"/>
  <c r="I18" i="164" s="1"/>
  <c r="M69" i="165"/>
  <c r="K69" i="165"/>
  <c r="W68" i="165"/>
  <c r="H68" i="165"/>
  <c r="W67" i="165"/>
  <c r="W66" i="165"/>
  <c r="W65" i="165"/>
  <c r="W64" i="165"/>
  <c r="W63" i="165"/>
  <c r="AG62" i="165"/>
  <c r="AF62" i="165"/>
  <c r="W62" i="165"/>
  <c r="W61" i="165"/>
  <c r="V61" i="165"/>
  <c r="P61" i="165"/>
  <c r="N61" i="165"/>
  <c r="AG61" i="165" s="1"/>
  <c r="K61" i="165"/>
  <c r="L61" i="165" s="1"/>
  <c r="J61" i="165"/>
  <c r="F61" i="165"/>
  <c r="H61" i="165" s="1"/>
  <c r="B61" i="165"/>
  <c r="AF60" i="165"/>
  <c r="W60" i="165"/>
  <c r="N60" i="165" s="1"/>
  <c r="AG60" i="165" s="1"/>
  <c r="V60" i="165"/>
  <c r="P60" i="165"/>
  <c r="O60" i="165"/>
  <c r="K60" i="165"/>
  <c r="L60" i="165" s="1"/>
  <c r="J60" i="165"/>
  <c r="H60" i="165"/>
  <c r="F60" i="165"/>
  <c r="B60" i="165"/>
  <c r="AG59" i="165"/>
  <c r="W59" i="165"/>
  <c r="N59" i="165" s="1"/>
  <c r="K59" i="165"/>
  <c r="J59" i="165"/>
  <c r="H59" i="165"/>
  <c r="F59" i="165"/>
  <c r="B59" i="165"/>
  <c r="AE58" i="165"/>
  <c r="H21" i="164" s="1"/>
  <c r="AD58" i="165"/>
  <c r="H20" i="164" s="1"/>
  <c r="AA58" i="165"/>
  <c r="Z58" i="165"/>
  <c r="M58" i="165"/>
  <c r="P58" i="165" s="1"/>
  <c r="J58" i="165"/>
  <c r="W57" i="165"/>
  <c r="W56" i="165"/>
  <c r="W55" i="165"/>
  <c r="W54" i="165"/>
  <c r="AG53" i="165"/>
  <c r="AF53" i="165"/>
  <c r="W53" i="165"/>
  <c r="AG52" i="165"/>
  <c r="AF52" i="165"/>
  <c r="W52" i="165"/>
  <c r="V52" i="165"/>
  <c r="W51" i="165"/>
  <c r="N51" i="165" s="1"/>
  <c r="V51" i="165"/>
  <c r="P51" i="165"/>
  <c r="K51" i="165"/>
  <c r="L51" i="165" s="1"/>
  <c r="J51" i="165"/>
  <c r="F51" i="165"/>
  <c r="H51" i="165" s="1"/>
  <c r="B51" i="165"/>
  <c r="W50" i="165"/>
  <c r="N50" i="165" s="1"/>
  <c r="AG50" i="165" s="1"/>
  <c r="V50" i="165"/>
  <c r="P50" i="165"/>
  <c r="O50" i="165"/>
  <c r="R50" i="165" s="1"/>
  <c r="K50" i="165"/>
  <c r="L50" i="165" s="1"/>
  <c r="J50" i="165"/>
  <c r="H50" i="165"/>
  <c r="F50" i="165"/>
  <c r="B50" i="165"/>
  <c r="W49" i="165"/>
  <c r="N49" i="165" s="1"/>
  <c r="P49" i="165"/>
  <c r="L49" i="165"/>
  <c r="L58" i="165" s="1"/>
  <c r="K49" i="165"/>
  <c r="K58" i="165" s="1"/>
  <c r="J49" i="165"/>
  <c r="F49" i="165"/>
  <c r="H49" i="165" s="1"/>
  <c r="B49" i="165"/>
  <c r="AE48" i="165"/>
  <c r="G21" i="164" s="1"/>
  <c r="AD48" i="165"/>
  <c r="AA48" i="165"/>
  <c r="G19" i="164" s="1"/>
  <c r="Z48" i="165"/>
  <c r="W48" i="165"/>
  <c r="M48" i="165"/>
  <c r="K48" i="165"/>
  <c r="J48" i="165"/>
  <c r="P48" i="165" s="1"/>
  <c r="W47" i="165"/>
  <c r="H47" i="165"/>
  <c r="W46" i="165"/>
  <c r="W45" i="165"/>
  <c r="W44" i="165"/>
  <c r="W43" i="165"/>
  <c r="W42" i="165"/>
  <c r="AG41" i="165"/>
  <c r="AF41" i="165"/>
  <c r="W41" i="165"/>
  <c r="AG40" i="165"/>
  <c r="AF40" i="165"/>
  <c r="W40" i="165"/>
  <c r="N40" i="165" s="1"/>
  <c r="O40" i="165" s="1"/>
  <c r="V40" i="165"/>
  <c r="P40" i="165"/>
  <c r="K40" i="165"/>
  <c r="L40" i="165" s="1"/>
  <c r="J40" i="165"/>
  <c r="F40" i="165"/>
  <c r="H40" i="165" s="1"/>
  <c r="B40" i="165"/>
  <c r="W39" i="165"/>
  <c r="N39" i="165" s="1"/>
  <c r="AG39" i="165" s="1"/>
  <c r="V39" i="165"/>
  <c r="O39" i="165"/>
  <c r="K39" i="165"/>
  <c r="L39" i="165" s="1"/>
  <c r="J39" i="165"/>
  <c r="P39" i="165" s="1"/>
  <c r="H39" i="165"/>
  <c r="F39" i="165"/>
  <c r="B39" i="165"/>
  <c r="AG38" i="165"/>
  <c r="W38" i="165"/>
  <c r="O38" i="165"/>
  <c r="N38" i="165"/>
  <c r="L38" i="165"/>
  <c r="L48" i="165" s="1"/>
  <c r="G13" i="164" s="1"/>
  <c r="K38" i="165"/>
  <c r="J38" i="165"/>
  <c r="P38" i="165" s="1"/>
  <c r="F38" i="165"/>
  <c r="H38" i="165" s="1"/>
  <c r="B38" i="165"/>
  <c r="AE37" i="165"/>
  <c r="F21" i="164" s="1"/>
  <c r="AD37" i="165"/>
  <c r="AA37" i="165"/>
  <c r="Z37" i="165"/>
  <c r="F18" i="164" s="1"/>
  <c r="M37" i="165"/>
  <c r="W36" i="165"/>
  <c r="H36" i="165"/>
  <c r="W35" i="165"/>
  <c r="W34" i="165"/>
  <c r="W33" i="165"/>
  <c r="W32" i="165"/>
  <c r="AG31" i="165"/>
  <c r="AF31" i="165"/>
  <c r="W31" i="165"/>
  <c r="AG30" i="165"/>
  <c r="AF30" i="165"/>
  <c r="W30" i="165"/>
  <c r="V30" i="165"/>
  <c r="W29" i="165"/>
  <c r="V29" i="165"/>
  <c r="P29" i="165"/>
  <c r="N29" i="165"/>
  <c r="K29" i="165"/>
  <c r="J29" i="165"/>
  <c r="F29" i="165"/>
  <c r="H29" i="165" s="1"/>
  <c r="B29" i="165"/>
  <c r="AG28" i="165"/>
  <c r="AF28" i="165"/>
  <c r="W28" i="165"/>
  <c r="N28" i="165" s="1"/>
  <c r="N37" i="165" s="1"/>
  <c r="V28" i="165"/>
  <c r="K28" i="165"/>
  <c r="J28" i="165"/>
  <c r="P28" i="165" s="1"/>
  <c r="F28" i="165"/>
  <c r="H28" i="165" s="1"/>
  <c r="B28" i="165"/>
  <c r="W27" i="165"/>
  <c r="O27" i="165"/>
  <c r="R27" i="165" s="1"/>
  <c r="N27" i="165"/>
  <c r="L27" i="165"/>
  <c r="L37" i="165" s="1"/>
  <c r="F13" i="164" s="1"/>
  <c r="K27" i="165"/>
  <c r="J27" i="165"/>
  <c r="F27" i="165"/>
  <c r="H27" i="165" s="1"/>
  <c r="B27" i="165"/>
  <c r="AE26" i="165"/>
  <c r="AD26" i="165"/>
  <c r="E20" i="164" s="1"/>
  <c r="AA26" i="165"/>
  <c r="Z26" i="165"/>
  <c r="E18" i="164" s="1"/>
  <c r="M26" i="165"/>
  <c r="W25" i="165"/>
  <c r="H25" i="165"/>
  <c r="W24" i="165"/>
  <c r="H24" i="165"/>
  <c r="W23" i="165"/>
  <c r="W21" i="165"/>
  <c r="W20" i="165"/>
  <c r="V20" i="165"/>
  <c r="AG19" i="165"/>
  <c r="AF19" i="165"/>
  <c r="W19" i="165"/>
  <c r="V19" i="165"/>
  <c r="W18" i="165"/>
  <c r="N18" i="165" s="1"/>
  <c r="V18" i="165"/>
  <c r="P18" i="165"/>
  <c r="O18" i="165"/>
  <c r="K18" i="165"/>
  <c r="J18" i="165"/>
  <c r="F18" i="165"/>
  <c r="H18" i="165" s="1"/>
  <c r="B18" i="165"/>
  <c r="W17" i="165"/>
  <c r="N17" i="165" s="1"/>
  <c r="V17" i="165"/>
  <c r="P17" i="165"/>
  <c r="K17" i="165"/>
  <c r="L17" i="165" s="1"/>
  <c r="J17" i="165"/>
  <c r="H17" i="165"/>
  <c r="F17" i="165"/>
  <c r="B17" i="165"/>
  <c r="AG16" i="165"/>
  <c r="W16" i="165"/>
  <c r="N16" i="165" s="1"/>
  <c r="K16" i="165"/>
  <c r="K26" i="165" s="1"/>
  <c r="J16" i="165"/>
  <c r="H16" i="165"/>
  <c r="F16" i="165"/>
  <c r="B16" i="165"/>
  <c r="AE15" i="165"/>
  <c r="AD15" i="165"/>
  <c r="D20" i="164" s="1"/>
  <c r="AA15" i="165"/>
  <c r="Z15" i="165"/>
  <c r="M15" i="165"/>
  <c r="K15" i="165"/>
  <c r="W14" i="165"/>
  <c r="W13" i="165"/>
  <c r="W12" i="165"/>
  <c r="AG11" i="165"/>
  <c r="AF11" i="165"/>
  <c r="W11" i="165"/>
  <c r="AG10" i="165"/>
  <c r="AF10" i="165"/>
  <c r="W10" i="165"/>
  <c r="AG9" i="165"/>
  <c r="AF9" i="165"/>
  <c r="W9" i="165"/>
  <c r="AG8" i="165"/>
  <c r="AF8" i="165"/>
  <c r="W8" i="165"/>
  <c r="W7" i="165"/>
  <c r="V7" i="165"/>
  <c r="P7" i="165"/>
  <c r="N7" i="165"/>
  <c r="K7" i="165"/>
  <c r="J7" i="165"/>
  <c r="F7" i="165"/>
  <c r="H7" i="165" s="1"/>
  <c r="B7" i="165"/>
  <c r="W6" i="165"/>
  <c r="V6" i="165"/>
  <c r="P6" i="165"/>
  <c r="N6" i="165"/>
  <c r="K6" i="165"/>
  <c r="L6" i="165" s="1"/>
  <c r="J6" i="165"/>
  <c r="H6" i="165"/>
  <c r="F6" i="165"/>
  <c r="B6" i="165"/>
  <c r="AG5" i="165"/>
  <c r="W5" i="165"/>
  <c r="N5" i="165"/>
  <c r="AF5" i="165" s="1"/>
  <c r="K5" i="165"/>
  <c r="J5" i="165"/>
  <c r="F5" i="165"/>
  <c r="H5" i="165" s="1"/>
  <c r="G1" i="165" s="1"/>
  <c r="G2" i="165" s="1"/>
  <c r="B5" i="165"/>
  <c r="AA2" i="165"/>
  <c r="I2" i="165"/>
  <c r="E1" i="165"/>
  <c r="J21" i="164"/>
  <c r="E21" i="164"/>
  <c r="J20" i="164"/>
  <c r="F20" i="164"/>
  <c r="J19" i="164"/>
  <c r="H19" i="164"/>
  <c r="F19" i="164"/>
  <c r="E19" i="164"/>
  <c r="D19" i="164"/>
  <c r="J18" i="164"/>
  <c r="H18" i="164"/>
  <c r="G18" i="164"/>
  <c r="D18" i="164"/>
  <c r="J16" i="164"/>
  <c r="I16" i="164"/>
  <c r="H16" i="164"/>
  <c r="G16" i="164"/>
  <c r="F16" i="164"/>
  <c r="E16" i="164"/>
  <c r="D16" i="164"/>
  <c r="H13" i="164"/>
  <c r="AE79" i="163"/>
  <c r="AD79" i="163"/>
  <c r="AA79" i="163"/>
  <c r="Z79" i="163"/>
  <c r="M79" i="163"/>
  <c r="L79" i="163"/>
  <c r="J13" i="162" s="1"/>
  <c r="K79" i="163"/>
  <c r="W78" i="163"/>
  <c r="H78" i="163"/>
  <c r="W77" i="163"/>
  <c r="H77" i="163"/>
  <c r="W76" i="163"/>
  <c r="H76" i="163"/>
  <c r="W75" i="163"/>
  <c r="H75" i="163"/>
  <c r="W74" i="163"/>
  <c r="W73" i="163"/>
  <c r="W72" i="163"/>
  <c r="W71" i="163"/>
  <c r="W70" i="163"/>
  <c r="N70" i="163" s="1"/>
  <c r="P70" i="163"/>
  <c r="L70" i="163"/>
  <c r="K70" i="163"/>
  <c r="J70" i="163"/>
  <c r="J79" i="163" s="1"/>
  <c r="F70" i="163"/>
  <c r="H70" i="163" s="1"/>
  <c r="B70" i="163"/>
  <c r="AE69" i="163"/>
  <c r="AD69" i="163"/>
  <c r="I20" i="162" s="1"/>
  <c r="AA69" i="163"/>
  <c r="Z69" i="163"/>
  <c r="P69" i="163"/>
  <c r="M69" i="163"/>
  <c r="J69" i="163"/>
  <c r="W68" i="163"/>
  <c r="H68" i="163"/>
  <c r="W67" i="163"/>
  <c r="W66" i="163"/>
  <c r="W65" i="163"/>
  <c r="W64" i="163"/>
  <c r="W63" i="163"/>
  <c r="AG62" i="163"/>
  <c r="AF62" i="163"/>
  <c r="W62" i="163"/>
  <c r="W61" i="163"/>
  <c r="V61" i="163"/>
  <c r="O61" i="163"/>
  <c r="N61" i="163"/>
  <c r="K61" i="163"/>
  <c r="L61" i="163" s="1"/>
  <c r="Q61" i="163" s="1"/>
  <c r="J61" i="163"/>
  <c r="P61" i="163" s="1"/>
  <c r="H61" i="163"/>
  <c r="F61" i="163"/>
  <c r="B61" i="163"/>
  <c r="AF60" i="163"/>
  <c r="W60" i="163"/>
  <c r="V60" i="163"/>
  <c r="P60" i="163"/>
  <c r="N60" i="163"/>
  <c r="AG60" i="163" s="1"/>
  <c r="L60" i="163"/>
  <c r="K60" i="163"/>
  <c r="J60" i="163"/>
  <c r="F60" i="163"/>
  <c r="H60" i="163" s="1"/>
  <c r="B60" i="163"/>
  <c r="AG59" i="163"/>
  <c r="AF59" i="163"/>
  <c r="W59" i="163"/>
  <c r="N59" i="163" s="1"/>
  <c r="P59" i="163"/>
  <c r="K59" i="163"/>
  <c r="K69" i="163" s="1"/>
  <c r="J59" i="163"/>
  <c r="F59" i="163"/>
  <c r="H59" i="163" s="1"/>
  <c r="B59" i="163"/>
  <c r="AE58" i="163"/>
  <c r="H21" i="162" s="1"/>
  <c r="AD58" i="163"/>
  <c r="AA58" i="163"/>
  <c r="Z58" i="163"/>
  <c r="M58" i="163"/>
  <c r="P58" i="163" s="1"/>
  <c r="K58" i="163"/>
  <c r="J58" i="163"/>
  <c r="W57" i="163"/>
  <c r="W56" i="163"/>
  <c r="W55" i="163"/>
  <c r="W54" i="163"/>
  <c r="AG53" i="163"/>
  <c r="AF53" i="163"/>
  <c r="W53" i="163"/>
  <c r="AG52" i="163"/>
  <c r="AF52" i="163"/>
  <c r="W52" i="163"/>
  <c r="V52" i="163"/>
  <c r="W51" i="163"/>
  <c r="N51" i="163" s="1"/>
  <c r="V51" i="163"/>
  <c r="O51" i="163"/>
  <c r="L51" i="163"/>
  <c r="K51" i="163"/>
  <c r="J51" i="163"/>
  <c r="P51" i="163" s="1"/>
  <c r="F51" i="163"/>
  <c r="H51" i="163" s="1"/>
  <c r="B51" i="163"/>
  <c r="W50" i="163"/>
  <c r="V50" i="163"/>
  <c r="P50" i="163"/>
  <c r="N50" i="163"/>
  <c r="K50" i="163"/>
  <c r="L50" i="163" s="1"/>
  <c r="J50" i="163"/>
  <c r="H50" i="163"/>
  <c r="F50" i="163"/>
  <c r="B50" i="163"/>
  <c r="AF49" i="163"/>
  <c r="W49" i="163"/>
  <c r="P49" i="163"/>
  <c r="N49" i="163"/>
  <c r="AG49" i="163" s="1"/>
  <c r="L49" i="163"/>
  <c r="L58" i="163" s="1"/>
  <c r="H13" i="162" s="1"/>
  <c r="K49" i="163"/>
  <c r="J49" i="163"/>
  <c r="F49" i="163"/>
  <c r="H49" i="163" s="1"/>
  <c r="B49" i="163"/>
  <c r="AE48" i="163"/>
  <c r="AD48" i="163"/>
  <c r="AA48" i="163"/>
  <c r="Z48" i="163"/>
  <c r="G18" i="162" s="1"/>
  <c r="W48" i="163"/>
  <c r="N48" i="163"/>
  <c r="M48" i="163"/>
  <c r="L48" i="163"/>
  <c r="G13" i="162" s="1"/>
  <c r="K48" i="163"/>
  <c r="J48" i="163"/>
  <c r="P48" i="163" s="1"/>
  <c r="W47" i="163"/>
  <c r="H47" i="163"/>
  <c r="W46" i="163"/>
  <c r="W45" i="163"/>
  <c r="W44" i="163"/>
  <c r="W43" i="163"/>
  <c r="W42" i="163"/>
  <c r="AG41" i="163"/>
  <c r="AF41" i="163"/>
  <c r="W41" i="163"/>
  <c r="AG40" i="163"/>
  <c r="AF40" i="163"/>
  <c r="W40" i="163"/>
  <c r="N40" i="163" s="1"/>
  <c r="O40" i="163" s="1"/>
  <c r="V40" i="163"/>
  <c r="Q40" i="163"/>
  <c r="K40" i="163"/>
  <c r="L40" i="163" s="1"/>
  <c r="J40" i="163"/>
  <c r="P40" i="163" s="1"/>
  <c r="F40" i="163"/>
  <c r="H40" i="163" s="1"/>
  <c r="B40" i="163"/>
  <c r="W39" i="163"/>
  <c r="N39" i="163" s="1"/>
  <c r="V39" i="163"/>
  <c r="O39" i="163"/>
  <c r="L39" i="163"/>
  <c r="K39" i="163"/>
  <c r="J39" i="163"/>
  <c r="P39" i="163" s="1"/>
  <c r="F39" i="163"/>
  <c r="H39" i="163" s="1"/>
  <c r="B39" i="163"/>
  <c r="W38" i="163"/>
  <c r="P38" i="163"/>
  <c r="N38" i="163"/>
  <c r="AF38" i="163" s="1"/>
  <c r="K38" i="163"/>
  <c r="L38" i="163" s="1"/>
  <c r="J38" i="163"/>
  <c r="H38" i="163"/>
  <c r="F38" i="163"/>
  <c r="B38" i="163"/>
  <c r="AE37" i="163"/>
  <c r="AD37" i="163"/>
  <c r="F20" i="162" s="1"/>
  <c r="AA37" i="163"/>
  <c r="F19" i="162" s="1"/>
  <c r="Z37" i="163"/>
  <c r="F18" i="162" s="1"/>
  <c r="M37" i="163"/>
  <c r="J37" i="163"/>
  <c r="W36" i="163"/>
  <c r="H36" i="163"/>
  <c r="W35" i="163"/>
  <c r="W34" i="163"/>
  <c r="W33" i="163"/>
  <c r="W32" i="163"/>
  <c r="AG31" i="163"/>
  <c r="AF31" i="163"/>
  <c r="W31" i="163"/>
  <c r="AG30" i="163"/>
  <c r="AF30" i="163"/>
  <c r="W30" i="163"/>
  <c r="V30" i="163"/>
  <c r="W29" i="163"/>
  <c r="N29" i="163" s="1"/>
  <c r="AG29" i="163" s="1"/>
  <c r="V29" i="163"/>
  <c r="K29" i="163"/>
  <c r="J29" i="163"/>
  <c r="F29" i="163"/>
  <c r="H29" i="163" s="1"/>
  <c r="B29" i="163"/>
  <c r="AG28" i="163"/>
  <c r="W28" i="163"/>
  <c r="N28" i="163" s="1"/>
  <c r="V28" i="163"/>
  <c r="L28" i="163"/>
  <c r="K28" i="163"/>
  <c r="J28" i="163"/>
  <c r="P28" i="163" s="1"/>
  <c r="H28" i="163"/>
  <c r="F28" i="163"/>
  <c r="B28" i="163"/>
  <c r="AF27" i="163"/>
  <c r="W27" i="163"/>
  <c r="O27" i="163"/>
  <c r="N27" i="163"/>
  <c r="AG27" i="163" s="1"/>
  <c r="K27" i="163"/>
  <c r="J27" i="163"/>
  <c r="P27" i="163" s="1"/>
  <c r="F27" i="163"/>
  <c r="H27" i="163" s="1"/>
  <c r="B27" i="163"/>
  <c r="AE26" i="163"/>
  <c r="AD26" i="163"/>
  <c r="E20" i="162" s="1"/>
  <c r="AA26" i="163"/>
  <c r="Z26" i="163"/>
  <c r="M26" i="163"/>
  <c r="L26" i="163"/>
  <c r="E13" i="162" s="1"/>
  <c r="W25" i="163"/>
  <c r="H25" i="163"/>
  <c r="W24" i="163"/>
  <c r="H24" i="163"/>
  <c r="W23" i="163"/>
  <c r="W21" i="163"/>
  <c r="W20" i="163"/>
  <c r="V20" i="163"/>
  <c r="AG19" i="163"/>
  <c r="AF19" i="163"/>
  <c r="W19" i="163"/>
  <c r="V19" i="163"/>
  <c r="W18" i="163"/>
  <c r="V18" i="163"/>
  <c r="P18" i="163"/>
  <c r="N18" i="163"/>
  <c r="L18" i="163"/>
  <c r="K18" i="163"/>
  <c r="J18" i="163"/>
  <c r="F18" i="163"/>
  <c r="H18" i="163" s="1"/>
  <c r="B18" i="163"/>
  <c r="W17" i="163"/>
  <c r="N17" i="163" s="1"/>
  <c r="AG17" i="163" s="1"/>
  <c r="V17" i="163"/>
  <c r="K17" i="163"/>
  <c r="J17" i="163"/>
  <c r="F17" i="163"/>
  <c r="H17" i="163" s="1"/>
  <c r="B17" i="163"/>
  <c r="AG16" i="163"/>
  <c r="W16" i="163"/>
  <c r="N16" i="163" s="1"/>
  <c r="O16" i="163" s="1"/>
  <c r="L16" i="163"/>
  <c r="K16" i="163"/>
  <c r="K26" i="163" s="1"/>
  <c r="J16" i="163"/>
  <c r="F16" i="163"/>
  <c r="H16" i="163" s="1"/>
  <c r="B16" i="163"/>
  <c r="AE15" i="163"/>
  <c r="D21" i="162" s="1"/>
  <c r="AD15" i="163"/>
  <c r="AA15" i="163"/>
  <c r="D19" i="162" s="1"/>
  <c r="Z15" i="163"/>
  <c r="M15" i="163"/>
  <c r="K15" i="163"/>
  <c r="J15" i="163"/>
  <c r="P15" i="163" s="1"/>
  <c r="W14" i="163"/>
  <c r="W13" i="163"/>
  <c r="W12" i="163"/>
  <c r="AG11" i="163"/>
  <c r="AF11" i="163"/>
  <c r="W11" i="163"/>
  <c r="AG10" i="163"/>
  <c r="AF10" i="163"/>
  <c r="W10" i="163"/>
  <c r="AG9" i="163"/>
  <c r="AF9" i="163"/>
  <c r="W9" i="163"/>
  <c r="AG8" i="163"/>
  <c r="AF8" i="163"/>
  <c r="W8" i="163"/>
  <c r="AG7" i="163"/>
  <c r="W7" i="163"/>
  <c r="V7" i="163"/>
  <c r="P7" i="163"/>
  <c r="N7" i="163"/>
  <c r="AF7" i="163" s="1"/>
  <c r="K7" i="163"/>
  <c r="L7" i="163" s="1"/>
  <c r="J7" i="163"/>
  <c r="H7" i="163"/>
  <c r="F7" i="163"/>
  <c r="B7" i="163"/>
  <c r="AG6" i="163"/>
  <c r="W6" i="163"/>
  <c r="N6" i="163" s="1"/>
  <c r="O6" i="163" s="1"/>
  <c r="R6" i="163" s="1"/>
  <c r="V6" i="163"/>
  <c r="K6" i="163"/>
  <c r="L6" i="163" s="1"/>
  <c r="J6" i="163"/>
  <c r="P6" i="163" s="1"/>
  <c r="H6" i="163"/>
  <c r="F6" i="163"/>
  <c r="B6" i="163"/>
  <c r="AF5" i="163"/>
  <c r="W5" i="163"/>
  <c r="N5" i="163" s="1"/>
  <c r="AG5" i="163" s="1"/>
  <c r="K5" i="163"/>
  <c r="L5" i="163" s="1"/>
  <c r="L15" i="163" s="1"/>
  <c r="D13" i="162" s="1"/>
  <c r="J5" i="163"/>
  <c r="P5" i="163" s="1"/>
  <c r="F5" i="163"/>
  <c r="H5" i="163" s="1"/>
  <c r="B5" i="163"/>
  <c r="AE2" i="163"/>
  <c r="I2" i="163"/>
  <c r="G1" i="163"/>
  <c r="G2" i="163" s="1"/>
  <c r="E1" i="163"/>
  <c r="J21" i="162"/>
  <c r="I21" i="162"/>
  <c r="G21" i="162"/>
  <c r="F21" i="162"/>
  <c r="E21" i="162"/>
  <c r="J20" i="162"/>
  <c r="H20" i="162"/>
  <c r="G20" i="162"/>
  <c r="D20" i="162"/>
  <c r="J19" i="162"/>
  <c r="I19" i="162"/>
  <c r="H19" i="162"/>
  <c r="G19" i="162"/>
  <c r="E19" i="162"/>
  <c r="J18" i="162"/>
  <c r="I18" i="162"/>
  <c r="H18" i="162"/>
  <c r="D18" i="162"/>
  <c r="J16" i="162"/>
  <c r="I16" i="162"/>
  <c r="H16" i="162"/>
  <c r="G16" i="162"/>
  <c r="F16" i="162"/>
  <c r="E16" i="162"/>
  <c r="D16" i="162"/>
  <c r="AE79" i="161"/>
  <c r="AD79" i="161"/>
  <c r="J20" i="160" s="1"/>
  <c r="AA79" i="161"/>
  <c r="Z79" i="161"/>
  <c r="Q79" i="161"/>
  <c r="N79" i="161"/>
  <c r="M79" i="161"/>
  <c r="J79" i="161"/>
  <c r="W78" i="161"/>
  <c r="H78" i="161"/>
  <c r="W77" i="161"/>
  <c r="H77" i="161"/>
  <c r="W76" i="161"/>
  <c r="H76" i="161"/>
  <c r="W75" i="161"/>
  <c r="H75" i="161"/>
  <c r="W74" i="161"/>
  <c r="W73" i="161"/>
  <c r="W72" i="161"/>
  <c r="W71" i="161"/>
  <c r="W70" i="161"/>
  <c r="N70" i="161"/>
  <c r="K70" i="161"/>
  <c r="K79" i="161" s="1"/>
  <c r="J70" i="161"/>
  <c r="P70" i="161" s="1"/>
  <c r="H70" i="161"/>
  <c r="F70" i="161"/>
  <c r="B70" i="161"/>
  <c r="AE69" i="161"/>
  <c r="AD69" i="161"/>
  <c r="AA69" i="161"/>
  <c r="I19" i="160" s="1"/>
  <c r="Z69" i="161"/>
  <c r="M69" i="161"/>
  <c r="K69" i="161"/>
  <c r="W68" i="161"/>
  <c r="H68" i="161"/>
  <c r="W67" i="161"/>
  <c r="W66" i="161"/>
  <c r="W65" i="161"/>
  <c r="W64" i="161"/>
  <c r="W63" i="161"/>
  <c r="AG62" i="161"/>
  <c r="AF62" i="161"/>
  <c r="W62" i="161"/>
  <c r="W61" i="161"/>
  <c r="V61" i="161"/>
  <c r="N61" i="161"/>
  <c r="K61" i="161"/>
  <c r="J61" i="161"/>
  <c r="P61" i="161" s="1"/>
  <c r="H61" i="161"/>
  <c r="F61" i="161"/>
  <c r="B61" i="161"/>
  <c r="W60" i="161"/>
  <c r="N60" i="161" s="1"/>
  <c r="V60" i="161"/>
  <c r="P60" i="161"/>
  <c r="K60" i="161"/>
  <c r="J60" i="161"/>
  <c r="L60" i="161" s="1"/>
  <c r="H60" i="161"/>
  <c r="F60" i="161"/>
  <c r="B60" i="161"/>
  <c r="AG59" i="161"/>
  <c r="W59" i="161"/>
  <c r="N59" i="161" s="1"/>
  <c r="O59" i="161" s="1"/>
  <c r="K59" i="161"/>
  <c r="J59" i="161"/>
  <c r="H59" i="161"/>
  <c r="F59" i="161"/>
  <c r="B59" i="161"/>
  <c r="AE58" i="161"/>
  <c r="AD58" i="161"/>
  <c r="AA58" i="161"/>
  <c r="H19" i="160" s="1"/>
  <c r="Z58" i="161"/>
  <c r="M58" i="161"/>
  <c r="J58" i="161"/>
  <c r="P58" i="161" s="1"/>
  <c r="W57" i="161"/>
  <c r="W56" i="161"/>
  <c r="W55" i="161"/>
  <c r="W54" i="161"/>
  <c r="AG53" i="161"/>
  <c r="AF53" i="161"/>
  <c r="W53" i="161"/>
  <c r="AG52" i="161"/>
  <c r="AF52" i="161"/>
  <c r="W52" i="161"/>
  <c r="V52" i="161"/>
  <c r="W51" i="161"/>
  <c r="V51" i="161"/>
  <c r="O51" i="161"/>
  <c r="N51" i="161"/>
  <c r="K51" i="161"/>
  <c r="J51" i="161"/>
  <c r="P51" i="161" s="1"/>
  <c r="H51" i="161"/>
  <c r="F51" i="161"/>
  <c r="B51" i="161"/>
  <c r="W50" i="161"/>
  <c r="N50" i="161" s="1"/>
  <c r="N58" i="161" s="1"/>
  <c r="V50" i="161"/>
  <c r="P50" i="161"/>
  <c r="K50" i="161"/>
  <c r="L50" i="161" s="1"/>
  <c r="J50" i="161"/>
  <c r="H50" i="161"/>
  <c r="F50" i="161"/>
  <c r="B50" i="161"/>
  <c r="W49" i="161"/>
  <c r="N49" i="161" s="1"/>
  <c r="O49" i="161" s="1"/>
  <c r="P49" i="161"/>
  <c r="K49" i="161"/>
  <c r="J49" i="161"/>
  <c r="H49" i="161"/>
  <c r="F49" i="161"/>
  <c r="B49" i="161"/>
  <c r="AE48" i="161"/>
  <c r="AD48" i="161"/>
  <c r="AA48" i="161"/>
  <c r="Z48" i="161"/>
  <c r="W48" i="161"/>
  <c r="M48" i="161"/>
  <c r="P48" i="161" s="1"/>
  <c r="J48" i="161"/>
  <c r="W47" i="161"/>
  <c r="H47" i="161"/>
  <c r="W46" i="161"/>
  <c r="W45" i="161"/>
  <c r="W44" i="161"/>
  <c r="W43" i="161"/>
  <c r="W42" i="161"/>
  <c r="AG41" i="161"/>
  <c r="AF41" i="161"/>
  <c r="W41" i="161"/>
  <c r="W40" i="161"/>
  <c r="V40" i="161"/>
  <c r="O40" i="161"/>
  <c r="N40" i="161"/>
  <c r="K40" i="161"/>
  <c r="L40" i="161" s="1"/>
  <c r="J40" i="161"/>
  <c r="P40" i="161" s="1"/>
  <c r="H40" i="161"/>
  <c r="F40" i="161"/>
  <c r="B40" i="161"/>
  <c r="W39" i="161"/>
  <c r="V39" i="161"/>
  <c r="P39" i="161"/>
  <c r="O39" i="161"/>
  <c r="N39" i="161"/>
  <c r="L39" i="161"/>
  <c r="K39" i="161"/>
  <c r="J39" i="161"/>
  <c r="H39" i="161"/>
  <c r="F39" i="161"/>
  <c r="B39" i="161"/>
  <c r="W38" i="161"/>
  <c r="N38" i="161" s="1"/>
  <c r="O38" i="161" s="1"/>
  <c r="Q38" i="161" s="1"/>
  <c r="R38" i="161"/>
  <c r="P38" i="161"/>
  <c r="K38" i="161"/>
  <c r="L38" i="161" s="1"/>
  <c r="L48" i="161" s="1"/>
  <c r="G13" i="160" s="1"/>
  <c r="J38" i="161"/>
  <c r="F38" i="161"/>
  <c r="H38" i="161" s="1"/>
  <c r="B38" i="161"/>
  <c r="AE37" i="161"/>
  <c r="F21" i="160" s="1"/>
  <c r="AD37" i="161"/>
  <c r="F20" i="160" s="1"/>
  <c r="AA37" i="161"/>
  <c r="Z37" i="161"/>
  <c r="M37" i="161"/>
  <c r="K37" i="161"/>
  <c r="W36" i="161"/>
  <c r="H36" i="161"/>
  <c r="W35" i="161"/>
  <c r="W34" i="161"/>
  <c r="W33" i="161"/>
  <c r="W32" i="161"/>
  <c r="AG31" i="161"/>
  <c r="AF31" i="161"/>
  <c r="W31" i="161"/>
  <c r="AG30" i="161"/>
  <c r="AF30" i="161"/>
  <c r="W30" i="161"/>
  <c r="V30" i="161"/>
  <c r="W29" i="161"/>
  <c r="V29" i="161"/>
  <c r="Q29" i="161"/>
  <c r="P29" i="161"/>
  <c r="O29" i="161"/>
  <c r="R29" i="161" s="1"/>
  <c r="N29" i="161"/>
  <c r="L29" i="161"/>
  <c r="K29" i="161"/>
  <c r="J29" i="161"/>
  <c r="F29" i="161"/>
  <c r="H29" i="161" s="1"/>
  <c r="B29" i="161"/>
  <c r="W28" i="161"/>
  <c r="V28" i="161"/>
  <c r="R28" i="161"/>
  <c r="P28" i="161"/>
  <c r="O28" i="161"/>
  <c r="Q28" i="161" s="1"/>
  <c r="N28" i="161"/>
  <c r="AF28" i="161" s="1"/>
  <c r="K28" i="161"/>
  <c r="L28" i="161" s="1"/>
  <c r="J28" i="161"/>
  <c r="H28" i="161"/>
  <c r="F28" i="161"/>
  <c r="B28" i="161"/>
  <c r="AG27" i="161"/>
  <c r="AF27" i="161"/>
  <c r="W27" i="161"/>
  <c r="N27" i="161" s="1"/>
  <c r="P27" i="161"/>
  <c r="K27" i="161"/>
  <c r="J27" i="161"/>
  <c r="J37" i="161" s="1"/>
  <c r="H27" i="161"/>
  <c r="F27" i="161"/>
  <c r="B27" i="161"/>
  <c r="AE26" i="161"/>
  <c r="AD26" i="161"/>
  <c r="AA26" i="161"/>
  <c r="Z26" i="161"/>
  <c r="M26" i="161"/>
  <c r="W25" i="161"/>
  <c r="H25" i="161"/>
  <c r="W24" i="161"/>
  <c r="H24" i="161"/>
  <c r="W23" i="161"/>
  <c r="W21" i="161"/>
  <c r="W20" i="161"/>
  <c r="V20" i="161"/>
  <c r="AG19" i="161"/>
  <c r="AF19" i="161"/>
  <c r="W19" i="161"/>
  <c r="V19" i="161"/>
  <c r="AG18" i="161"/>
  <c r="W18" i="161"/>
  <c r="V18" i="161"/>
  <c r="P18" i="161"/>
  <c r="N18" i="161"/>
  <c r="AF18" i="161" s="1"/>
  <c r="L18" i="161"/>
  <c r="K18" i="161"/>
  <c r="J18" i="161"/>
  <c r="H18" i="161"/>
  <c r="F18" i="161"/>
  <c r="B18" i="161"/>
  <c r="AF17" i="161"/>
  <c r="W17" i="161"/>
  <c r="N17" i="161" s="1"/>
  <c r="AG17" i="161" s="1"/>
  <c r="V17" i="161"/>
  <c r="K17" i="161"/>
  <c r="J17" i="161"/>
  <c r="P17" i="161" s="1"/>
  <c r="F17" i="161"/>
  <c r="H17" i="161" s="1"/>
  <c r="B17" i="161"/>
  <c r="W16" i="161"/>
  <c r="N16" i="161" s="1"/>
  <c r="O16" i="161" s="1"/>
  <c r="K16" i="161"/>
  <c r="J16" i="161"/>
  <c r="F16" i="161"/>
  <c r="H16" i="161" s="1"/>
  <c r="B16" i="161"/>
  <c r="AE15" i="161"/>
  <c r="AD15" i="161"/>
  <c r="AA15" i="161"/>
  <c r="D19" i="160" s="1"/>
  <c r="Z15" i="161"/>
  <c r="P15" i="161"/>
  <c r="M15" i="161"/>
  <c r="I1" i="161" s="1"/>
  <c r="L15" i="161"/>
  <c r="D13" i="160" s="1"/>
  <c r="J15" i="161"/>
  <c r="W14" i="161"/>
  <c r="W13" i="161"/>
  <c r="W12" i="161"/>
  <c r="AG11" i="161"/>
  <c r="AF11" i="161"/>
  <c r="W11" i="161"/>
  <c r="AG10" i="161"/>
  <c r="AF10" i="161"/>
  <c r="W10" i="161"/>
  <c r="AG9" i="161"/>
  <c r="AF9" i="161"/>
  <c r="W9" i="161"/>
  <c r="AG8" i="161"/>
  <c r="AF8" i="161"/>
  <c r="W8" i="161"/>
  <c r="W7" i="161"/>
  <c r="V7" i="161"/>
  <c r="R7" i="161"/>
  <c r="P7" i="161"/>
  <c r="N7" i="161"/>
  <c r="O7" i="161" s="1"/>
  <c r="Q7" i="161" s="1"/>
  <c r="L7" i="161"/>
  <c r="K7" i="161"/>
  <c r="J7" i="161"/>
  <c r="H7" i="161"/>
  <c r="F7" i="161"/>
  <c r="B7" i="161"/>
  <c r="AF6" i="161"/>
  <c r="W6" i="161"/>
  <c r="N6" i="161" s="1"/>
  <c r="V6" i="161"/>
  <c r="P6" i="161"/>
  <c r="K6" i="161"/>
  <c r="L6" i="161" s="1"/>
  <c r="J6" i="161"/>
  <c r="H6" i="161"/>
  <c r="F6" i="161"/>
  <c r="B6" i="161"/>
  <c r="AF5" i="161"/>
  <c r="W5" i="161"/>
  <c r="N5" i="161" s="1"/>
  <c r="P5" i="161"/>
  <c r="L5" i="161"/>
  <c r="K5" i="161"/>
  <c r="K15" i="161" s="1"/>
  <c r="J5" i="161"/>
  <c r="F5" i="161"/>
  <c r="H5" i="161" s="1"/>
  <c r="G1" i="161" s="1"/>
  <c r="G2" i="161" s="1"/>
  <c r="B5" i="161"/>
  <c r="AE2" i="161"/>
  <c r="AA2" i="161"/>
  <c r="Z2" i="161"/>
  <c r="I2" i="161"/>
  <c r="E1" i="161"/>
  <c r="J21" i="160"/>
  <c r="I21" i="160"/>
  <c r="H21" i="160"/>
  <c r="G21" i="160"/>
  <c r="E21" i="160"/>
  <c r="D21" i="160"/>
  <c r="I20" i="160"/>
  <c r="H20" i="160"/>
  <c r="G20" i="160"/>
  <c r="E20" i="160"/>
  <c r="D20" i="160"/>
  <c r="J19" i="160"/>
  <c r="G19" i="160"/>
  <c r="F19" i="160"/>
  <c r="E19" i="160"/>
  <c r="J18" i="160"/>
  <c r="I18" i="160"/>
  <c r="H18" i="160"/>
  <c r="G18" i="160"/>
  <c r="F18" i="160"/>
  <c r="E18" i="160"/>
  <c r="D18" i="160"/>
  <c r="J16" i="160"/>
  <c r="I16" i="160"/>
  <c r="H16" i="160"/>
  <c r="G16" i="160"/>
  <c r="F16" i="160"/>
  <c r="E16" i="160"/>
  <c r="D16" i="160"/>
  <c r="AE79" i="159"/>
  <c r="AD79" i="159"/>
  <c r="AA79" i="159"/>
  <c r="Z79" i="159"/>
  <c r="M79" i="159"/>
  <c r="P79" i="159" s="1"/>
  <c r="J79" i="159"/>
  <c r="W78" i="159"/>
  <c r="H78" i="159"/>
  <c r="W77" i="159"/>
  <c r="H77" i="159"/>
  <c r="W76" i="159"/>
  <c r="H76" i="159"/>
  <c r="W75" i="159"/>
  <c r="H75" i="159"/>
  <c r="W74" i="159"/>
  <c r="W73" i="159"/>
  <c r="W72" i="159"/>
  <c r="W71" i="159"/>
  <c r="W70" i="159"/>
  <c r="P70" i="159"/>
  <c r="N70" i="159"/>
  <c r="AF70" i="159" s="1"/>
  <c r="L70" i="159"/>
  <c r="L79" i="159" s="1"/>
  <c r="K70" i="159"/>
  <c r="K79" i="159" s="1"/>
  <c r="J70" i="159"/>
  <c r="H70" i="159"/>
  <c r="F70" i="159"/>
  <c r="B70" i="159"/>
  <c r="AE69" i="159"/>
  <c r="AD69" i="159"/>
  <c r="AA69" i="159"/>
  <c r="I19" i="158" s="1"/>
  <c r="Z69" i="159"/>
  <c r="M69" i="159"/>
  <c r="W68" i="159"/>
  <c r="H68" i="159"/>
  <c r="W67" i="159"/>
  <c r="W66" i="159"/>
  <c r="W65" i="159"/>
  <c r="W64" i="159"/>
  <c r="W63" i="159"/>
  <c r="AG62" i="159"/>
  <c r="AF62" i="159"/>
  <c r="W62" i="159"/>
  <c r="W61" i="159"/>
  <c r="V61" i="159"/>
  <c r="R61" i="159"/>
  <c r="Q61" i="159"/>
  <c r="P61" i="159"/>
  <c r="O61" i="159"/>
  <c r="N61" i="159"/>
  <c r="AF61" i="159" s="1"/>
  <c r="K61" i="159"/>
  <c r="L61" i="159" s="1"/>
  <c r="J61" i="159"/>
  <c r="H61" i="159"/>
  <c r="F61" i="159"/>
  <c r="B61" i="159"/>
  <c r="W60" i="159"/>
  <c r="N60" i="159" s="1"/>
  <c r="V60" i="159"/>
  <c r="K60" i="159"/>
  <c r="J60" i="159"/>
  <c r="P60" i="159" s="1"/>
  <c r="H60" i="159"/>
  <c r="F60" i="159"/>
  <c r="B60" i="159"/>
  <c r="AG59" i="159"/>
  <c r="W59" i="159"/>
  <c r="N59" i="159"/>
  <c r="AF59" i="159" s="1"/>
  <c r="K59" i="159"/>
  <c r="K69" i="159" s="1"/>
  <c r="J59" i="159"/>
  <c r="H59" i="159"/>
  <c r="F59" i="159"/>
  <c r="B59" i="159"/>
  <c r="AE58" i="159"/>
  <c r="H21" i="158" s="1"/>
  <c r="AD58" i="159"/>
  <c r="AA58" i="159"/>
  <c r="Z58" i="159"/>
  <c r="H18" i="158" s="1"/>
  <c r="N58" i="159"/>
  <c r="M58" i="159"/>
  <c r="L58" i="159"/>
  <c r="H13" i="158" s="1"/>
  <c r="K58" i="159"/>
  <c r="J58" i="159"/>
  <c r="P58" i="159" s="1"/>
  <c r="W57" i="159"/>
  <c r="W56" i="159"/>
  <c r="W55" i="159"/>
  <c r="W54" i="159"/>
  <c r="AG53" i="159"/>
  <c r="AF53" i="159"/>
  <c r="W53" i="159"/>
  <c r="AG52" i="159"/>
  <c r="AF52" i="159"/>
  <c r="W52" i="159"/>
  <c r="V52" i="159"/>
  <c r="W51" i="159"/>
  <c r="V51" i="159"/>
  <c r="N51" i="159"/>
  <c r="K51" i="159"/>
  <c r="L51" i="159" s="1"/>
  <c r="J51" i="159"/>
  <c r="P51" i="159" s="1"/>
  <c r="H51" i="159"/>
  <c r="F51" i="159"/>
  <c r="B51" i="159"/>
  <c r="W50" i="159"/>
  <c r="V50" i="159"/>
  <c r="O50" i="159"/>
  <c r="N50" i="159"/>
  <c r="K50" i="159"/>
  <c r="J50" i="159"/>
  <c r="P50" i="159" s="1"/>
  <c r="H50" i="159"/>
  <c r="F50" i="159"/>
  <c r="B50" i="159"/>
  <c r="W49" i="159"/>
  <c r="R49" i="159"/>
  <c r="O49" i="159"/>
  <c r="Q49" i="159" s="1"/>
  <c r="N49" i="159"/>
  <c r="AG49" i="159" s="1"/>
  <c r="L49" i="159"/>
  <c r="K49" i="159"/>
  <c r="J49" i="159"/>
  <c r="P49" i="159" s="1"/>
  <c r="H49" i="159"/>
  <c r="F49" i="159"/>
  <c r="B49" i="159"/>
  <c r="AE48" i="159"/>
  <c r="AD48" i="159"/>
  <c r="AA48" i="159"/>
  <c r="G19" i="158" s="1"/>
  <c r="Z48" i="159"/>
  <c r="W48" i="159"/>
  <c r="M48" i="159"/>
  <c r="K48" i="159"/>
  <c r="W47" i="159"/>
  <c r="H47" i="159"/>
  <c r="W46" i="159"/>
  <c r="W45" i="159"/>
  <c r="W44" i="159"/>
  <c r="W43" i="159"/>
  <c r="W42" i="159"/>
  <c r="AG41" i="159"/>
  <c r="AF41" i="159"/>
  <c r="W41" i="159"/>
  <c r="W40" i="159"/>
  <c r="N40" i="159" s="1"/>
  <c r="V40" i="159"/>
  <c r="P40" i="159"/>
  <c r="K40" i="159"/>
  <c r="J40" i="159"/>
  <c r="H40" i="159"/>
  <c r="F40" i="159"/>
  <c r="B40" i="159"/>
  <c r="W39" i="159"/>
  <c r="N39" i="159" s="1"/>
  <c r="V39" i="159"/>
  <c r="L39" i="159"/>
  <c r="K39" i="159"/>
  <c r="J39" i="159"/>
  <c r="P39" i="159" s="1"/>
  <c r="F39" i="159"/>
  <c r="H39" i="159" s="1"/>
  <c r="B39" i="159"/>
  <c r="W38" i="159"/>
  <c r="O38" i="159"/>
  <c r="N38" i="159"/>
  <c r="K38" i="159"/>
  <c r="J38" i="159"/>
  <c r="F38" i="159"/>
  <c r="H38" i="159" s="1"/>
  <c r="B38" i="159"/>
  <c r="AE37" i="159"/>
  <c r="AD37" i="159"/>
  <c r="F20" i="158" s="1"/>
  <c r="AA37" i="159"/>
  <c r="Z37" i="159"/>
  <c r="P37" i="159"/>
  <c r="M37" i="159"/>
  <c r="L37" i="159"/>
  <c r="J37" i="159"/>
  <c r="W36" i="159"/>
  <c r="H36" i="159"/>
  <c r="W35" i="159"/>
  <c r="W34" i="159"/>
  <c r="W33" i="159"/>
  <c r="W32" i="159"/>
  <c r="AG31" i="159"/>
  <c r="AF31" i="159"/>
  <c r="W31" i="159"/>
  <c r="AG30" i="159"/>
  <c r="AF30" i="159"/>
  <c r="W30" i="159"/>
  <c r="V30" i="159"/>
  <c r="W29" i="159"/>
  <c r="V29" i="159"/>
  <c r="R29" i="159"/>
  <c r="P29" i="159"/>
  <c r="N29" i="159"/>
  <c r="O29" i="159" s="1"/>
  <c r="Q29" i="159" s="1"/>
  <c r="L29" i="159"/>
  <c r="K29" i="159"/>
  <c r="J29" i="159"/>
  <c r="H29" i="159"/>
  <c r="F29" i="159"/>
  <c r="B29" i="159"/>
  <c r="AF28" i="159"/>
  <c r="W28" i="159"/>
  <c r="N28" i="159" s="1"/>
  <c r="V28" i="159"/>
  <c r="P28" i="159"/>
  <c r="K28" i="159"/>
  <c r="L28" i="159" s="1"/>
  <c r="J28" i="159"/>
  <c r="H28" i="159"/>
  <c r="F28" i="159"/>
  <c r="B28" i="159"/>
  <c r="W27" i="159"/>
  <c r="N27" i="159" s="1"/>
  <c r="P27" i="159"/>
  <c r="L27" i="159"/>
  <c r="K27" i="159"/>
  <c r="K37" i="159" s="1"/>
  <c r="J27" i="159"/>
  <c r="F27" i="159"/>
  <c r="H27" i="159" s="1"/>
  <c r="B27" i="159"/>
  <c r="AE26" i="159"/>
  <c r="AD26" i="159"/>
  <c r="E20" i="158" s="1"/>
  <c r="AA26" i="159"/>
  <c r="AA2" i="159" s="1"/>
  <c r="Z26" i="159"/>
  <c r="E18" i="158" s="1"/>
  <c r="M26" i="159"/>
  <c r="J26" i="159"/>
  <c r="P26" i="159" s="1"/>
  <c r="W25" i="159"/>
  <c r="H25" i="159"/>
  <c r="W24" i="159"/>
  <c r="H24" i="159"/>
  <c r="W23" i="159"/>
  <c r="W21" i="159"/>
  <c r="W20" i="159"/>
  <c r="V20" i="159"/>
  <c r="AG19" i="159"/>
  <c r="AF19" i="159"/>
  <c r="W19" i="159"/>
  <c r="V19" i="159"/>
  <c r="AG18" i="159"/>
  <c r="W18" i="159"/>
  <c r="N18" i="159" s="1"/>
  <c r="V18" i="159"/>
  <c r="K18" i="159"/>
  <c r="J18" i="159"/>
  <c r="P18" i="159" s="1"/>
  <c r="H18" i="159"/>
  <c r="F18" i="159"/>
  <c r="B18" i="159"/>
  <c r="W17" i="159"/>
  <c r="N17" i="159" s="1"/>
  <c r="V17" i="159"/>
  <c r="K17" i="159"/>
  <c r="L17" i="159" s="1"/>
  <c r="J17" i="159"/>
  <c r="P17" i="159" s="1"/>
  <c r="F17" i="159"/>
  <c r="H17" i="159" s="1"/>
  <c r="B17" i="159"/>
  <c r="W16" i="159"/>
  <c r="P16" i="159"/>
  <c r="N16" i="159"/>
  <c r="L16" i="159"/>
  <c r="L26" i="159" s="1"/>
  <c r="E13" i="158" s="1"/>
  <c r="K16" i="159"/>
  <c r="K26" i="159" s="1"/>
  <c r="J16" i="159"/>
  <c r="H16" i="159"/>
  <c r="F16" i="159"/>
  <c r="B16" i="159"/>
  <c r="AE15" i="159"/>
  <c r="AD15" i="159"/>
  <c r="AD2" i="159" s="1"/>
  <c r="AA15" i="159"/>
  <c r="Z15" i="159"/>
  <c r="D18" i="158" s="1"/>
  <c r="M15" i="159"/>
  <c r="P15" i="159" s="1"/>
  <c r="J15" i="159"/>
  <c r="W14" i="159"/>
  <c r="W13" i="159"/>
  <c r="W12" i="159"/>
  <c r="AG11" i="159"/>
  <c r="AF11" i="159"/>
  <c r="W11" i="159"/>
  <c r="AG10" i="159"/>
  <c r="AF10" i="159"/>
  <c r="W10" i="159"/>
  <c r="AG9" i="159"/>
  <c r="AF9" i="159"/>
  <c r="W9" i="159"/>
  <c r="AG8" i="159"/>
  <c r="AF8" i="159"/>
  <c r="W8" i="159"/>
  <c r="W7" i="159"/>
  <c r="V7" i="159"/>
  <c r="O7" i="159"/>
  <c r="N7" i="159"/>
  <c r="AG7" i="159" s="1"/>
  <c r="K7" i="159"/>
  <c r="L7" i="159" s="1"/>
  <c r="Q7" i="159" s="1"/>
  <c r="J7" i="159"/>
  <c r="P7" i="159" s="1"/>
  <c r="H7" i="159"/>
  <c r="F7" i="159"/>
  <c r="B7" i="159"/>
  <c r="AG6" i="159"/>
  <c r="AF6" i="159"/>
  <c r="W6" i="159"/>
  <c r="V6" i="159"/>
  <c r="P6" i="159"/>
  <c r="N6" i="159"/>
  <c r="O6" i="159" s="1"/>
  <c r="L6" i="159"/>
  <c r="K6" i="159"/>
  <c r="J6" i="159"/>
  <c r="F6" i="159"/>
  <c r="H6" i="159" s="1"/>
  <c r="B6" i="159"/>
  <c r="W5" i="159"/>
  <c r="N5" i="159" s="1"/>
  <c r="P5" i="159"/>
  <c r="K5" i="159"/>
  <c r="J5" i="159"/>
  <c r="F5" i="159"/>
  <c r="H5" i="159" s="1"/>
  <c r="G1" i="159" s="1"/>
  <c r="B5" i="159"/>
  <c r="I2" i="159"/>
  <c r="I1" i="159"/>
  <c r="E1" i="159"/>
  <c r="J21" i="158"/>
  <c r="I21" i="158"/>
  <c r="F21" i="158"/>
  <c r="E21" i="158"/>
  <c r="D21" i="158"/>
  <c r="J20" i="158"/>
  <c r="I20" i="158"/>
  <c r="H20" i="158"/>
  <c r="G20" i="158"/>
  <c r="D20" i="158"/>
  <c r="J19" i="158"/>
  <c r="H19" i="158"/>
  <c r="F19" i="158"/>
  <c r="E19" i="158"/>
  <c r="D19" i="158"/>
  <c r="J18" i="158"/>
  <c r="I18" i="158"/>
  <c r="G18" i="158"/>
  <c r="F18" i="158"/>
  <c r="J16" i="158"/>
  <c r="I16" i="158"/>
  <c r="H16" i="158"/>
  <c r="G16" i="158"/>
  <c r="F16" i="158"/>
  <c r="E16" i="158"/>
  <c r="D16" i="158"/>
  <c r="J13" i="158"/>
  <c r="F13" i="158"/>
  <c r="AE79" i="157"/>
  <c r="J21" i="156" s="1"/>
  <c r="AD79" i="157"/>
  <c r="AA79" i="157"/>
  <c r="Z79" i="157"/>
  <c r="P79" i="157"/>
  <c r="N79" i="157"/>
  <c r="AG79" i="157" s="1"/>
  <c r="AH70" i="157" s="1"/>
  <c r="M79" i="157"/>
  <c r="K79" i="157"/>
  <c r="J79" i="157"/>
  <c r="W78" i="157"/>
  <c r="H78" i="157"/>
  <c r="W77" i="157"/>
  <c r="H77" i="157"/>
  <c r="W76" i="157"/>
  <c r="H76" i="157"/>
  <c r="W75" i="157"/>
  <c r="H75" i="157"/>
  <c r="W74" i="157"/>
  <c r="W73" i="157"/>
  <c r="W72" i="157"/>
  <c r="W71" i="157"/>
  <c r="W70" i="157"/>
  <c r="N70" i="157" s="1"/>
  <c r="AG70" i="157" s="1"/>
  <c r="P70" i="157"/>
  <c r="O70" i="157"/>
  <c r="L70" i="157"/>
  <c r="L79" i="157" s="1"/>
  <c r="K70" i="157"/>
  <c r="J70" i="157"/>
  <c r="F70" i="157"/>
  <c r="H70" i="157" s="1"/>
  <c r="B70" i="157"/>
  <c r="AE69" i="157"/>
  <c r="I21" i="156" s="1"/>
  <c r="AD69" i="157"/>
  <c r="AA69" i="157"/>
  <c r="Z69" i="157"/>
  <c r="M69" i="157"/>
  <c r="P69" i="157" s="1"/>
  <c r="J69" i="157"/>
  <c r="W68" i="157"/>
  <c r="H68" i="157"/>
  <c r="W67" i="157"/>
  <c r="W66" i="157"/>
  <c r="W65" i="157"/>
  <c r="W64" i="157"/>
  <c r="W63" i="157"/>
  <c r="AG62" i="157"/>
  <c r="AF62" i="157"/>
  <c r="W62" i="157"/>
  <c r="W61" i="157"/>
  <c r="N61" i="157" s="1"/>
  <c r="V61" i="157"/>
  <c r="P61" i="157"/>
  <c r="L61" i="157"/>
  <c r="K61" i="157"/>
  <c r="J61" i="157"/>
  <c r="H61" i="157"/>
  <c r="F61" i="157"/>
  <c r="B61" i="157"/>
  <c r="W60" i="157"/>
  <c r="N60" i="157" s="1"/>
  <c r="V60" i="157"/>
  <c r="P60" i="157"/>
  <c r="O60" i="157"/>
  <c r="K60" i="157"/>
  <c r="L60" i="157" s="1"/>
  <c r="J60" i="157"/>
  <c r="H60" i="157"/>
  <c r="F60" i="157"/>
  <c r="B60" i="157"/>
  <c r="AG59" i="157"/>
  <c r="W59" i="157"/>
  <c r="P59" i="157"/>
  <c r="N59" i="157"/>
  <c r="AF59" i="157" s="1"/>
  <c r="K59" i="157"/>
  <c r="L59" i="157" s="1"/>
  <c r="L69" i="157" s="1"/>
  <c r="I13" i="156" s="1"/>
  <c r="J6" i="156" s="1"/>
  <c r="J59" i="157"/>
  <c r="H59" i="157"/>
  <c r="F59" i="157"/>
  <c r="B59" i="157"/>
  <c r="AE58" i="157"/>
  <c r="AD58" i="157"/>
  <c r="H20" i="156" s="1"/>
  <c r="AA58" i="157"/>
  <c r="Z58" i="157"/>
  <c r="M58" i="157"/>
  <c r="L58" i="157"/>
  <c r="H13" i="156" s="1"/>
  <c r="W57" i="157"/>
  <c r="W56" i="157"/>
  <c r="W55" i="157"/>
  <c r="W54" i="157"/>
  <c r="AG53" i="157"/>
  <c r="AF53" i="157"/>
  <c r="W53" i="157"/>
  <c r="AG52" i="157"/>
  <c r="AF52" i="157"/>
  <c r="W52" i="157"/>
  <c r="V52" i="157"/>
  <c r="W51" i="157"/>
  <c r="N51" i="157" s="1"/>
  <c r="V51" i="157"/>
  <c r="K51" i="157"/>
  <c r="J51" i="157"/>
  <c r="P51" i="157" s="1"/>
  <c r="H51" i="157"/>
  <c r="F51" i="157"/>
  <c r="B51" i="157"/>
  <c r="W50" i="157"/>
  <c r="N50" i="157" s="1"/>
  <c r="V50" i="157"/>
  <c r="K50" i="157"/>
  <c r="L50" i="157" s="1"/>
  <c r="J50" i="157"/>
  <c r="P50" i="157" s="1"/>
  <c r="H50" i="157"/>
  <c r="F50" i="157"/>
  <c r="B50" i="157"/>
  <c r="W49" i="157"/>
  <c r="N49" i="157"/>
  <c r="K49" i="157"/>
  <c r="L49" i="157" s="1"/>
  <c r="J49" i="157"/>
  <c r="P49" i="157" s="1"/>
  <c r="H49" i="157"/>
  <c r="F49" i="157"/>
  <c r="B49" i="157"/>
  <c r="AE48" i="157"/>
  <c r="AD48" i="157"/>
  <c r="AA48" i="157"/>
  <c r="Z48" i="157"/>
  <c r="W48" i="157"/>
  <c r="P48" i="157"/>
  <c r="M48" i="157"/>
  <c r="K48" i="157"/>
  <c r="J48" i="157"/>
  <c r="W47" i="157"/>
  <c r="H47" i="157"/>
  <c r="W46" i="157"/>
  <c r="W45" i="157"/>
  <c r="W44" i="157"/>
  <c r="W43" i="157"/>
  <c r="W42" i="157"/>
  <c r="AG41" i="157"/>
  <c r="AF41" i="157"/>
  <c r="W41" i="157"/>
  <c r="W40" i="157"/>
  <c r="N40" i="157" s="1"/>
  <c r="V40" i="157"/>
  <c r="P40" i="157"/>
  <c r="O40" i="157"/>
  <c r="K40" i="157"/>
  <c r="J40" i="157"/>
  <c r="H40" i="157"/>
  <c r="F40" i="157"/>
  <c r="B40" i="157"/>
  <c r="W39" i="157"/>
  <c r="V39" i="157"/>
  <c r="O39" i="157"/>
  <c r="N39" i="157"/>
  <c r="L39" i="157"/>
  <c r="K39" i="157"/>
  <c r="AG39" i="157" s="1"/>
  <c r="J39" i="157"/>
  <c r="P39" i="157" s="1"/>
  <c r="H39" i="157"/>
  <c r="F39" i="157"/>
  <c r="B39" i="157"/>
  <c r="W38" i="157"/>
  <c r="P38" i="157"/>
  <c r="N38" i="157"/>
  <c r="K38" i="157"/>
  <c r="J38" i="157"/>
  <c r="H38" i="157"/>
  <c r="F38" i="157"/>
  <c r="B38" i="157"/>
  <c r="AE37" i="157"/>
  <c r="F21" i="156" s="1"/>
  <c r="AD37" i="157"/>
  <c r="AA37" i="157"/>
  <c r="Z37" i="157"/>
  <c r="F18" i="156" s="1"/>
  <c r="M37" i="157"/>
  <c r="P37" i="157" s="1"/>
  <c r="J37" i="157"/>
  <c r="W36" i="157"/>
  <c r="H36" i="157"/>
  <c r="W35" i="157"/>
  <c r="W34" i="157"/>
  <c r="W33" i="157"/>
  <c r="W32" i="157"/>
  <c r="AG31" i="157"/>
  <c r="AF31" i="157"/>
  <c r="W31" i="157"/>
  <c r="AG30" i="157"/>
  <c r="AF30" i="157"/>
  <c r="W30" i="157"/>
  <c r="V30" i="157"/>
  <c r="AG29" i="157"/>
  <c r="W29" i="157"/>
  <c r="V29" i="157"/>
  <c r="N29" i="157"/>
  <c r="O29" i="157" s="1"/>
  <c r="K29" i="157"/>
  <c r="J29" i="157"/>
  <c r="P29" i="157" s="1"/>
  <c r="F29" i="157"/>
  <c r="H29" i="157" s="1"/>
  <c r="B29" i="157"/>
  <c r="AG28" i="157"/>
  <c r="W28" i="157"/>
  <c r="N28" i="157" s="1"/>
  <c r="O28" i="157" s="1"/>
  <c r="V28" i="157"/>
  <c r="P28" i="157"/>
  <c r="K28" i="157"/>
  <c r="L28" i="157" s="1"/>
  <c r="J28" i="157"/>
  <c r="H28" i="157"/>
  <c r="F28" i="157"/>
  <c r="B28" i="157"/>
  <c r="W27" i="157"/>
  <c r="P27" i="157"/>
  <c r="N27" i="157"/>
  <c r="K27" i="157"/>
  <c r="J27" i="157"/>
  <c r="H27" i="157"/>
  <c r="F27" i="157"/>
  <c r="B27" i="157"/>
  <c r="AE26" i="157"/>
  <c r="AD26" i="157"/>
  <c r="AD2" i="157" s="1"/>
  <c r="AA26" i="157"/>
  <c r="Z26" i="157"/>
  <c r="M26" i="157"/>
  <c r="K26" i="157"/>
  <c r="W25" i="157"/>
  <c r="H25" i="157"/>
  <c r="W24" i="157"/>
  <c r="H24" i="157"/>
  <c r="W23" i="157"/>
  <c r="W21" i="157"/>
  <c r="W20" i="157"/>
  <c r="V20" i="157"/>
  <c r="AG19" i="157"/>
  <c r="AF19" i="157"/>
  <c r="W19" i="157"/>
  <c r="V19" i="157"/>
  <c r="W18" i="157"/>
  <c r="V18" i="157"/>
  <c r="N18" i="157"/>
  <c r="L18" i="157"/>
  <c r="K18" i="157"/>
  <c r="J18" i="157"/>
  <c r="P18" i="157" s="1"/>
  <c r="H18" i="157"/>
  <c r="F18" i="157"/>
  <c r="B18" i="157"/>
  <c r="AG17" i="157"/>
  <c r="AF17" i="157"/>
  <c r="W17" i="157"/>
  <c r="V17" i="157"/>
  <c r="P17" i="157"/>
  <c r="N17" i="157"/>
  <c r="O17" i="157" s="1"/>
  <c r="R17" i="157" s="1"/>
  <c r="L17" i="157"/>
  <c r="K17" i="157"/>
  <c r="J17" i="157"/>
  <c r="F17" i="157"/>
  <c r="H17" i="157" s="1"/>
  <c r="B17" i="157"/>
  <c r="AG16" i="157"/>
  <c r="W16" i="157"/>
  <c r="N16" i="157" s="1"/>
  <c r="O16" i="157" s="1"/>
  <c r="K16" i="157"/>
  <c r="J16" i="157"/>
  <c r="F16" i="157"/>
  <c r="H16" i="157" s="1"/>
  <c r="B16" i="157"/>
  <c r="AE15" i="157"/>
  <c r="D21" i="156" s="1"/>
  <c r="AD15" i="157"/>
  <c r="AA15" i="157"/>
  <c r="Z15" i="157"/>
  <c r="M15" i="157"/>
  <c r="W14" i="157"/>
  <c r="W13" i="157"/>
  <c r="W12" i="157"/>
  <c r="AG11" i="157"/>
  <c r="AF11" i="157"/>
  <c r="W11" i="157"/>
  <c r="AG10" i="157"/>
  <c r="AF10" i="157"/>
  <c r="W10" i="157"/>
  <c r="AG9" i="157"/>
  <c r="AF9" i="157"/>
  <c r="W9" i="157"/>
  <c r="AG8" i="157"/>
  <c r="AF8" i="157"/>
  <c r="W8" i="157"/>
  <c r="W7" i="157"/>
  <c r="N7" i="157" s="1"/>
  <c r="V7" i="157"/>
  <c r="P7" i="157"/>
  <c r="K7" i="157"/>
  <c r="J7" i="157"/>
  <c r="H7" i="157"/>
  <c r="F7" i="157"/>
  <c r="B7" i="157"/>
  <c r="AG6" i="157"/>
  <c r="AF6" i="157"/>
  <c r="W6" i="157"/>
  <c r="V6" i="157"/>
  <c r="R6" i="157"/>
  <c r="N6" i="157"/>
  <c r="O6" i="157" s="1"/>
  <c r="Q6" i="157" s="1"/>
  <c r="L6" i="157"/>
  <c r="K6" i="157"/>
  <c r="J6" i="157"/>
  <c r="P6" i="157" s="1"/>
  <c r="F6" i="157"/>
  <c r="H6" i="157" s="1"/>
  <c r="B6" i="157"/>
  <c r="AF5" i="157"/>
  <c r="W5" i="157"/>
  <c r="N5" i="157"/>
  <c r="O5" i="157" s="1"/>
  <c r="L5" i="157"/>
  <c r="L15" i="157" s="1"/>
  <c r="K5" i="157"/>
  <c r="K15" i="157" s="1"/>
  <c r="J5" i="157"/>
  <c r="J15" i="157" s="1"/>
  <c r="P15" i="157" s="1"/>
  <c r="F5" i="157"/>
  <c r="H5" i="157" s="1"/>
  <c r="G1" i="157" s="1"/>
  <c r="B5" i="157"/>
  <c r="I2" i="157"/>
  <c r="I1" i="157"/>
  <c r="E1" i="157"/>
  <c r="H21" i="156"/>
  <c r="G21" i="156"/>
  <c r="E21" i="156"/>
  <c r="J20" i="156"/>
  <c r="I20" i="156"/>
  <c r="G20" i="156"/>
  <c r="F20" i="156"/>
  <c r="D20" i="156"/>
  <c r="J19" i="156"/>
  <c r="I19" i="156"/>
  <c r="H19" i="156"/>
  <c r="G19" i="156"/>
  <c r="E19" i="156"/>
  <c r="D19" i="156"/>
  <c r="J18" i="156"/>
  <c r="I18" i="156"/>
  <c r="H18" i="156"/>
  <c r="G18" i="156"/>
  <c r="D18" i="156"/>
  <c r="J16" i="156"/>
  <c r="I16" i="156"/>
  <c r="H16" i="156"/>
  <c r="G16" i="156"/>
  <c r="F16" i="156"/>
  <c r="E16" i="156"/>
  <c r="D16" i="156"/>
  <c r="J13" i="156"/>
  <c r="D13" i="156"/>
  <c r="AE79" i="155"/>
  <c r="AD79" i="155"/>
  <c r="AA79" i="155"/>
  <c r="Z79" i="155"/>
  <c r="O79" i="155"/>
  <c r="N79" i="155"/>
  <c r="M79" i="155"/>
  <c r="W78" i="155"/>
  <c r="H78" i="155"/>
  <c r="W77" i="155"/>
  <c r="H77" i="155"/>
  <c r="W76" i="155"/>
  <c r="H76" i="155"/>
  <c r="W75" i="155"/>
  <c r="H75" i="155"/>
  <c r="W74" i="155"/>
  <c r="W73" i="155"/>
  <c r="W72" i="155"/>
  <c r="W71" i="155"/>
  <c r="W70" i="155"/>
  <c r="O70" i="155"/>
  <c r="N70" i="155"/>
  <c r="K70" i="155"/>
  <c r="J70" i="155"/>
  <c r="F70" i="155"/>
  <c r="H70" i="155" s="1"/>
  <c r="B70" i="155"/>
  <c r="AE69" i="155"/>
  <c r="AD69" i="155"/>
  <c r="AA69" i="155"/>
  <c r="Z69" i="155"/>
  <c r="M69" i="155"/>
  <c r="K69" i="155"/>
  <c r="W68" i="155"/>
  <c r="H68" i="155"/>
  <c r="W67" i="155"/>
  <c r="W66" i="155"/>
  <c r="W65" i="155"/>
  <c r="W64" i="155"/>
  <c r="W63" i="155"/>
  <c r="AG62" i="155"/>
  <c r="AF62" i="155"/>
  <c r="W62" i="155"/>
  <c r="AG61" i="155"/>
  <c r="W61" i="155"/>
  <c r="V61" i="155"/>
  <c r="Q61" i="155"/>
  <c r="P61" i="155"/>
  <c r="O61" i="155"/>
  <c r="R61" i="155" s="1"/>
  <c r="N61" i="155"/>
  <c r="AF61" i="155" s="1"/>
  <c r="L61" i="155"/>
  <c r="K61" i="155"/>
  <c r="J61" i="155"/>
  <c r="H61" i="155"/>
  <c r="F61" i="155"/>
  <c r="B61" i="155"/>
  <c r="AF60" i="155"/>
  <c r="W60" i="155"/>
  <c r="N60" i="155" s="1"/>
  <c r="V60" i="155"/>
  <c r="P60" i="155"/>
  <c r="K60" i="155"/>
  <c r="L60" i="155" s="1"/>
  <c r="J60" i="155"/>
  <c r="F60" i="155"/>
  <c r="H60" i="155" s="1"/>
  <c r="B60" i="155"/>
  <c r="AF59" i="155"/>
  <c r="W59" i="155"/>
  <c r="N59" i="155" s="1"/>
  <c r="K59" i="155"/>
  <c r="J59" i="155"/>
  <c r="H59" i="155"/>
  <c r="F59" i="155"/>
  <c r="B59" i="155"/>
  <c r="AE58" i="155"/>
  <c r="AD58" i="155"/>
  <c r="AA58" i="155"/>
  <c r="H19" i="154" s="1"/>
  <c r="Z58" i="155"/>
  <c r="H18" i="154" s="1"/>
  <c r="N58" i="155"/>
  <c r="M58" i="155"/>
  <c r="W57" i="155"/>
  <c r="W56" i="155"/>
  <c r="W55" i="155"/>
  <c r="W54" i="155"/>
  <c r="AG53" i="155"/>
  <c r="AF53" i="155"/>
  <c r="W53" i="155"/>
  <c r="AG52" i="155"/>
  <c r="AF52" i="155"/>
  <c r="W52" i="155"/>
  <c r="V52" i="155"/>
  <c r="AG51" i="155"/>
  <c r="W51" i="155"/>
  <c r="V51" i="155"/>
  <c r="P51" i="155"/>
  <c r="O51" i="155"/>
  <c r="N51" i="155"/>
  <c r="AF51" i="155" s="1"/>
  <c r="L51" i="155"/>
  <c r="K51" i="155"/>
  <c r="J51" i="155"/>
  <c r="F51" i="155"/>
  <c r="H51" i="155" s="1"/>
  <c r="B51" i="155"/>
  <c r="W50" i="155"/>
  <c r="N50" i="155" s="1"/>
  <c r="V50" i="155"/>
  <c r="P50" i="155"/>
  <c r="O50" i="155"/>
  <c r="K50" i="155"/>
  <c r="AG50" i="155" s="1"/>
  <c r="J50" i="155"/>
  <c r="F50" i="155"/>
  <c r="H50" i="155" s="1"/>
  <c r="B50" i="155"/>
  <c r="W49" i="155"/>
  <c r="P49" i="155"/>
  <c r="O49" i="155"/>
  <c r="N49" i="155"/>
  <c r="K49" i="155"/>
  <c r="J49" i="155"/>
  <c r="J58" i="155" s="1"/>
  <c r="P58" i="155" s="1"/>
  <c r="H49" i="155"/>
  <c r="F49" i="155"/>
  <c r="B49" i="155"/>
  <c r="AE48" i="155"/>
  <c r="AD48" i="155"/>
  <c r="AA48" i="155"/>
  <c r="Z48" i="155"/>
  <c r="G18" i="154" s="1"/>
  <c r="W48" i="155"/>
  <c r="M48" i="155"/>
  <c r="W47" i="155"/>
  <c r="H47" i="155"/>
  <c r="W46" i="155"/>
  <c r="W45" i="155"/>
  <c r="W44" i="155"/>
  <c r="W43" i="155"/>
  <c r="W42" i="155"/>
  <c r="AG41" i="155"/>
  <c r="AF41" i="155"/>
  <c r="W41" i="155"/>
  <c r="W40" i="155"/>
  <c r="V40" i="155"/>
  <c r="P40" i="155"/>
  <c r="N40" i="155"/>
  <c r="L40" i="155"/>
  <c r="K40" i="155"/>
  <c r="J40" i="155"/>
  <c r="H40" i="155"/>
  <c r="F40" i="155"/>
  <c r="B40" i="155"/>
  <c r="W39" i="155"/>
  <c r="N39" i="155" s="1"/>
  <c r="O39" i="155" s="1"/>
  <c r="V39" i="155"/>
  <c r="K39" i="155"/>
  <c r="AG39" i="155" s="1"/>
  <c r="J39" i="155"/>
  <c r="P39" i="155" s="1"/>
  <c r="H39" i="155"/>
  <c r="F39" i="155"/>
  <c r="B39" i="155"/>
  <c r="W38" i="155"/>
  <c r="N38" i="155"/>
  <c r="K38" i="155"/>
  <c r="L38" i="155" s="1"/>
  <c r="L48" i="155" s="1"/>
  <c r="G13" i="154" s="1"/>
  <c r="J38" i="155"/>
  <c r="J48" i="155" s="1"/>
  <c r="P48" i="155" s="1"/>
  <c r="H38" i="155"/>
  <c r="F38" i="155"/>
  <c r="B38" i="155"/>
  <c r="AE37" i="155"/>
  <c r="F21" i="154" s="1"/>
  <c r="AD37" i="155"/>
  <c r="AA37" i="155"/>
  <c r="Z37" i="155"/>
  <c r="F18" i="154" s="1"/>
  <c r="M37" i="155"/>
  <c r="W36" i="155"/>
  <c r="H36" i="155"/>
  <c r="W35" i="155"/>
  <c r="W34" i="155"/>
  <c r="W33" i="155"/>
  <c r="W32" i="155"/>
  <c r="AG31" i="155"/>
  <c r="AF31" i="155"/>
  <c r="W31" i="155"/>
  <c r="AG30" i="155"/>
  <c r="AF30" i="155"/>
  <c r="W30" i="155"/>
  <c r="V30" i="155"/>
  <c r="W29" i="155"/>
  <c r="N29" i="155" s="1"/>
  <c r="AG29" i="155" s="1"/>
  <c r="V29" i="155"/>
  <c r="R29" i="155"/>
  <c r="P29" i="155"/>
  <c r="O29" i="155"/>
  <c r="Q29" i="155" s="1"/>
  <c r="L29" i="155"/>
  <c r="K29" i="155"/>
  <c r="J29" i="155"/>
  <c r="F29" i="155"/>
  <c r="H29" i="155" s="1"/>
  <c r="B29" i="155"/>
  <c r="W28" i="155"/>
  <c r="N28" i="155" s="1"/>
  <c r="V28" i="155"/>
  <c r="P28" i="155"/>
  <c r="K28" i="155"/>
  <c r="L28" i="155" s="1"/>
  <c r="J28" i="155"/>
  <c r="H28" i="155"/>
  <c r="F28" i="155"/>
  <c r="B28" i="155"/>
  <c r="W27" i="155"/>
  <c r="N27" i="155" s="1"/>
  <c r="L27" i="155"/>
  <c r="L37" i="155" s="1"/>
  <c r="F13" i="154" s="1"/>
  <c r="K27" i="155"/>
  <c r="K37" i="155" s="1"/>
  <c r="J27" i="155"/>
  <c r="J37" i="155" s="1"/>
  <c r="P37" i="155" s="1"/>
  <c r="H27" i="155"/>
  <c r="F27" i="155"/>
  <c r="B27" i="155"/>
  <c r="AE26" i="155"/>
  <c r="AD26" i="155"/>
  <c r="E20" i="154" s="1"/>
  <c r="AA26" i="155"/>
  <c r="Z26" i="155"/>
  <c r="E18" i="154" s="1"/>
  <c r="M26" i="155"/>
  <c r="P26" i="155" s="1"/>
  <c r="W25" i="155"/>
  <c r="H25" i="155"/>
  <c r="W24" i="155"/>
  <c r="H24" i="155"/>
  <c r="W23" i="155"/>
  <c r="W21" i="155"/>
  <c r="W20" i="155"/>
  <c r="V20" i="155"/>
  <c r="AG19" i="155"/>
  <c r="AF19" i="155"/>
  <c r="W19" i="155"/>
  <c r="V19" i="155"/>
  <c r="W18" i="155"/>
  <c r="N18" i="155" s="1"/>
  <c r="V18" i="155"/>
  <c r="P18" i="155"/>
  <c r="L18" i="155"/>
  <c r="K18" i="155"/>
  <c r="J18" i="155"/>
  <c r="H18" i="155"/>
  <c r="F18" i="155"/>
  <c r="B18" i="155"/>
  <c r="AG17" i="155"/>
  <c r="AF17" i="155"/>
  <c r="W17" i="155"/>
  <c r="N17" i="155" s="1"/>
  <c r="O17" i="155" s="1"/>
  <c r="V17" i="155"/>
  <c r="P17" i="155"/>
  <c r="L17" i="155"/>
  <c r="K17" i="155"/>
  <c r="J17" i="155"/>
  <c r="F17" i="155"/>
  <c r="H17" i="155" s="1"/>
  <c r="B17" i="155"/>
  <c r="W16" i="155"/>
  <c r="N16" i="155" s="1"/>
  <c r="K16" i="155"/>
  <c r="K26" i="155" s="1"/>
  <c r="J16" i="155"/>
  <c r="J26" i="155" s="1"/>
  <c r="F16" i="155"/>
  <c r="H16" i="155" s="1"/>
  <c r="B16" i="155"/>
  <c r="AE15" i="155"/>
  <c r="AE2" i="155" s="1"/>
  <c r="AD15" i="155"/>
  <c r="AA15" i="155"/>
  <c r="AA2" i="155" s="1"/>
  <c r="Z15" i="155"/>
  <c r="M15" i="155"/>
  <c r="L15" i="155"/>
  <c r="D13" i="154" s="1"/>
  <c r="J15" i="155"/>
  <c r="W14" i="155"/>
  <c r="W13" i="155"/>
  <c r="W12" i="155"/>
  <c r="AG11" i="155"/>
  <c r="AF11" i="155"/>
  <c r="W11" i="155"/>
  <c r="AG10" i="155"/>
  <c r="AF10" i="155"/>
  <c r="W10" i="155"/>
  <c r="AG9" i="155"/>
  <c r="AF9" i="155"/>
  <c r="W9" i="155"/>
  <c r="AG8" i="155"/>
  <c r="AF8" i="155"/>
  <c r="W8" i="155"/>
  <c r="W7" i="155"/>
  <c r="V7" i="155"/>
  <c r="N7" i="155"/>
  <c r="L7" i="155"/>
  <c r="K7" i="155"/>
  <c r="J7" i="155"/>
  <c r="P7" i="155" s="1"/>
  <c r="F7" i="155"/>
  <c r="H7" i="155" s="1"/>
  <c r="B7" i="155"/>
  <c r="W6" i="155"/>
  <c r="V6" i="155"/>
  <c r="N6" i="155"/>
  <c r="K6" i="155"/>
  <c r="L6" i="155" s="1"/>
  <c r="J6" i="155"/>
  <c r="P6" i="155" s="1"/>
  <c r="F6" i="155"/>
  <c r="H6" i="155" s="1"/>
  <c r="B6" i="155"/>
  <c r="W5" i="155"/>
  <c r="N5" i="155" s="1"/>
  <c r="P5" i="155"/>
  <c r="L5" i="155"/>
  <c r="K5" i="155"/>
  <c r="K15" i="155" s="1"/>
  <c r="J5" i="155"/>
  <c r="F5" i="155"/>
  <c r="H5" i="155" s="1"/>
  <c r="B5" i="155"/>
  <c r="I2" i="155"/>
  <c r="G1" i="155"/>
  <c r="G2" i="155" s="1"/>
  <c r="E1" i="155"/>
  <c r="J21" i="154"/>
  <c r="I21" i="154"/>
  <c r="H21" i="154"/>
  <c r="G21" i="154"/>
  <c r="E21" i="154"/>
  <c r="J20" i="154"/>
  <c r="I20" i="154"/>
  <c r="H20" i="154"/>
  <c r="G20" i="154"/>
  <c r="F20" i="154"/>
  <c r="J19" i="154"/>
  <c r="I19" i="154"/>
  <c r="G19" i="154"/>
  <c r="F19" i="154"/>
  <c r="E19" i="154"/>
  <c r="D19" i="154"/>
  <c r="J18" i="154"/>
  <c r="I18" i="154"/>
  <c r="D18" i="154"/>
  <c r="J16" i="154"/>
  <c r="I16" i="154"/>
  <c r="H16" i="154"/>
  <c r="G16" i="154"/>
  <c r="F16" i="154"/>
  <c r="E16" i="154"/>
  <c r="D16" i="154"/>
  <c r="AE79" i="153"/>
  <c r="J21" i="152" s="1"/>
  <c r="AD79" i="153"/>
  <c r="J20" i="152" s="1"/>
  <c r="AA79" i="153"/>
  <c r="Z79" i="153"/>
  <c r="M79" i="153"/>
  <c r="W78" i="153"/>
  <c r="H78" i="153"/>
  <c r="W77" i="153"/>
  <c r="H77" i="153"/>
  <c r="W76" i="153"/>
  <c r="H76" i="153"/>
  <c r="W75" i="153"/>
  <c r="H75" i="153"/>
  <c r="W74" i="153"/>
  <c r="W73" i="153"/>
  <c r="W72" i="153"/>
  <c r="W71" i="153"/>
  <c r="W70" i="153"/>
  <c r="N70" i="153" s="1"/>
  <c r="K70" i="153"/>
  <c r="J70" i="153"/>
  <c r="H70" i="153"/>
  <c r="F70" i="153"/>
  <c r="B70" i="153"/>
  <c r="AE69" i="153"/>
  <c r="AD69" i="153"/>
  <c r="AA69" i="153"/>
  <c r="Z69" i="153"/>
  <c r="M69" i="153"/>
  <c r="P69" i="153" s="1"/>
  <c r="K69" i="153"/>
  <c r="J69" i="153"/>
  <c r="W68" i="153"/>
  <c r="H68" i="153"/>
  <c r="W67" i="153"/>
  <c r="W66" i="153"/>
  <c r="W65" i="153"/>
  <c r="W64" i="153"/>
  <c r="W63" i="153"/>
  <c r="AG62" i="153"/>
  <c r="AF62" i="153"/>
  <c r="W62" i="153"/>
  <c r="W61" i="153"/>
  <c r="N61" i="153" s="1"/>
  <c r="V61" i="153"/>
  <c r="K61" i="153"/>
  <c r="J61" i="153"/>
  <c r="P61" i="153" s="1"/>
  <c r="H61" i="153"/>
  <c r="F61" i="153"/>
  <c r="B61" i="153"/>
  <c r="W60" i="153"/>
  <c r="V60" i="153"/>
  <c r="N60" i="153"/>
  <c r="O60" i="153" s="1"/>
  <c r="L60" i="153"/>
  <c r="K60" i="153"/>
  <c r="J60" i="153"/>
  <c r="P60" i="153" s="1"/>
  <c r="H60" i="153"/>
  <c r="F60" i="153"/>
  <c r="B60" i="153"/>
  <c r="W59" i="153"/>
  <c r="P59" i="153"/>
  <c r="N59" i="153"/>
  <c r="L59" i="153"/>
  <c r="L69" i="153" s="1"/>
  <c r="K59" i="153"/>
  <c r="J59" i="153"/>
  <c r="H59" i="153"/>
  <c r="F59" i="153"/>
  <c r="B59" i="153"/>
  <c r="AE58" i="153"/>
  <c r="H21" i="152" s="1"/>
  <c r="AD58" i="153"/>
  <c r="AA58" i="153"/>
  <c r="Z58" i="153"/>
  <c r="H18" i="152" s="1"/>
  <c r="P58" i="153"/>
  <c r="M58" i="153"/>
  <c r="K58" i="153"/>
  <c r="J58" i="153"/>
  <c r="W57" i="153"/>
  <c r="W56" i="153"/>
  <c r="W55" i="153"/>
  <c r="W54" i="153"/>
  <c r="AG53" i="153"/>
  <c r="AF53" i="153"/>
  <c r="W53" i="153"/>
  <c r="AG52" i="153"/>
  <c r="AF52" i="153"/>
  <c r="W52" i="153"/>
  <c r="V52" i="153"/>
  <c r="W51" i="153"/>
  <c r="N51" i="153" s="1"/>
  <c r="V51" i="153"/>
  <c r="P51" i="153"/>
  <c r="K51" i="153"/>
  <c r="L51" i="153" s="1"/>
  <c r="J51" i="153"/>
  <c r="H51" i="153"/>
  <c r="F51" i="153"/>
  <c r="B51" i="153"/>
  <c r="AG50" i="153"/>
  <c r="AF50" i="153"/>
  <c r="W50" i="153"/>
  <c r="V50" i="153"/>
  <c r="N50" i="153"/>
  <c r="O50" i="153" s="1"/>
  <c r="K50" i="153"/>
  <c r="L50" i="153" s="1"/>
  <c r="J50" i="153"/>
  <c r="P50" i="153" s="1"/>
  <c r="F50" i="153"/>
  <c r="H50" i="153" s="1"/>
  <c r="B50" i="153"/>
  <c r="AG49" i="153"/>
  <c r="AF49" i="153"/>
  <c r="W49" i="153"/>
  <c r="P49" i="153"/>
  <c r="N49" i="153"/>
  <c r="O49" i="153" s="1"/>
  <c r="L49" i="153"/>
  <c r="L58" i="153" s="1"/>
  <c r="H13" i="152" s="1"/>
  <c r="K49" i="153"/>
  <c r="J49" i="153"/>
  <c r="H49" i="153"/>
  <c r="F49" i="153"/>
  <c r="B49" i="153"/>
  <c r="AE48" i="153"/>
  <c r="AD48" i="153"/>
  <c r="AA48" i="153"/>
  <c r="Z48" i="153"/>
  <c r="W48" i="153"/>
  <c r="M48" i="153"/>
  <c r="P48" i="153" s="1"/>
  <c r="L48" i="153"/>
  <c r="K48" i="153"/>
  <c r="J48" i="153"/>
  <c r="W47" i="153"/>
  <c r="H47" i="153"/>
  <c r="W46" i="153"/>
  <c r="W45" i="153"/>
  <c r="W44" i="153"/>
  <c r="W43" i="153"/>
  <c r="W42" i="153"/>
  <c r="AG41" i="153"/>
  <c r="AF41" i="153"/>
  <c r="W41" i="153"/>
  <c r="W40" i="153"/>
  <c r="V40" i="153"/>
  <c r="N40" i="153"/>
  <c r="K40" i="153"/>
  <c r="J40" i="153"/>
  <c r="P40" i="153" s="1"/>
  <c r="F40" i="153"/>
  <c r="H40" i="153" s="1"/>
  <c r="B40" i="153"/>
  <c r="W39" i="153"/>
  <c r="V39" i="153"/>
  <c r="O39" i="153"/>
  <c r="N39" i="153"/>
  <c r="AF39" i="153" s="1"/>
  <c r="L39" i="153"/>
  <c r="K39" i="153"/>
  <c r="AG39" i="153" s="1"/>
  <c r="J39" i="153"/>
  <c r="P39" i="153" s="1"/>
  <c r="F39" i="153"/>
  <c r="H39" i="153" s="1"/>
  <c r="B39" i="153"/>
  <c r="AF38" i="153"/>
  <c r="W38" i="153"/>
  <c r="Q38" i="153"/>
  <c r="P38" i="153"/>
  <c r="O38" i="153"/>
  <c r="R38" i="153" s="1"/>
  <c r="N38" i="153"/>
  <c r="AG38" i="153" s="1"/>
  <c r="L38" i="153"/>
  <c r="K38" i="153"/>
  <c r="J38" i="153"/>
  <c r="F38" i="153"/>
  <c r="H38" i="153" s="1"/>
  <c r="B38" i="153"/>
  <c r="AE37" i="153"/>
  <c r="F21" i="152" s="1"/>
  <c r="AD37" i="153"/>
  <c r="F20" i="152" s="1"/>
  <c r="AA37" i="153"/>
  <c r="F19" i="152" s="1"/>
  <c r="Z37" i="153"/>
  <c r="M37" i="153"/>
  <c r="W36" i="153"/>
  <c r="H36" i="153"/>
  <c r="W35" i="153"/>
  <c r="W34" i="153"/>
  <c r="W33" i="153"/>
  <c r="W32" i="153"/>
  <c r="AG31" i="153"/>
  <c r="AF31" i="153"/>
  <c r="W31" i="153"/>
  <c r="AG30" i="153"/>
  <c r="AF30" i="153"/>
  <c r="W30" i="153"/>
  <c r="V30" i="153"/>
  <c r="W29" i="153"/>
  <c r="V29" i="153"/>
  <c r="N29" i="153"/>
  <c r="O29" i="153" s="1"/>
  <c r="L29" i="153"/>
  <c r="Q29" i="153" s="1"/>
  <c r="K29" i="153"/>
  <c r="J29" i="153"/>
  <c r="P29" i="153" s="1"/>
  <c r="H29" i="153"/>
  <c r="F29" i="153"/>
  <c r="B29" i="153"/>
  <c r="W28" i="153"/>
  <c r="V28" i="153"/>
  <c r="N28" i="153"/>
  <c r="L28" i="153"/>
  <c r="K28" i="153"/>
  <c r="J28" i="153"/>
  <c r="P28" i="153" s="1"/>
  <c r="F28" i="153"/>
  <c r="H28" i="153" s="1"/>
  <c r="B28" i="153"/>
  <c r="W27" i="153"/>
  <c r="N27" i="153" s="1"/>
  <c r="N37" i="153" s="1"/>
  <c r="P27" i="153"/>
  <c r="O27" i="153"/>
  <c r="K27" i="153"/>
  <c r="K37" i="153" s="1"/>
  <c r="AG37" i="153" s="1"/>
  <c r="AH27" i="153" s="1"/>
  <c r="J27" i="153"/>
  <c r="J37" i="153" s="1"/>
  <c r="P37" i="153" s="1"/>
  <c r="F27" i="153"/>
  <c r="H27" i="153" s="1"/>
  <c r="B27" i="153"/>
  <c r="AE26" i="153"/>
  <c r="AD26" i="153"/>
  <c r="AA26" i="153"/>
  <c r="E19" i="152" s="1"/>
  <c r="Z26" i="153"/>
  <c r="P26" i="153"/>
  <c r="M26" i="153"/>
  <c r="K26" i="153"/>
  <c r="J26" i="153"/>
  <c r="W25" i="153"/>
  <c r="H25" i="153"/>
  <c r="W24" i="153"/>
  <c r="H24" i="153"/>
  <c r="W23" i="153"/>
  <c r="W21" i="153"/>
  <c r="W20" i="153"/>
  <c r="V20" i="153"/>
  <c r="AG19" i="153"/>
  <c r="AF19" i="153"/>
  <c r="W19" i="153"/>
  <c r="V19" i="153"/>
  <c r="W18" i="153"/>
  <c r="V18" i="153"/>
  <c r="O18" i="153"/>
  <c r="N18" i="153"/>
  <c r="AG18" i="153" s="1"/>
  <c r="L18" i="153"/>
  <c r="K18" i="153"/>
  <c r="J18" i="153"/>
  <c r="P18" i="153" s="1"/>
  <c r="F18" i="153"/>
  <c r="H18" i="153" s="1"/>
  <c r="B18" i="153"/>
  <c r="W17" i="153"/>
  <c r="N17" i="153" s="1"/>
  <c r="V17" i="153"/>
  <c r="P17" i="153"/>
  <c r="K17" i="153"/>
  <c r="L17" i="153" s="1"/>
  <c r="J17" i="153"/>
  <c r="F17" i="153"/>
  <c r="H17" i="153" s="1"/>
  <c r="B17" i="153"/>
  <c r="AF16" i="153"/>
  <c r="W16" i="153"/>
  <c r="N16" i="153" s="1"/>
  <c r="P16" i="153"/>
  <c r="K16" i="153"/>
  <c r="L16" i="153" s="1"/>
  <c r="L26" i="153" s="1"/>
  <c r="E13" i="152" s="1"/>
  <c r="J16" i="153"/>
  <c r="H16" i="153"/>
  <c r="F16" i="153"/>
  <c r="B16" i="153"/>
  <c r="AE15" i="153"/>
  <c r="AD15" i="153"/>
  <c r="AA15" i="153"/>
  <c r="Z15" i="153"/>
  <c r="Z2" i="153" s="1"/>
  <c r="N15" i="153"/>
  <c r="M15" i="153"/>
  <c r="K15" i="153"/>
  <c r="W14" i="153"/>
  <c r="W13" i="153"/>
  <c r="W12" i="153"/>
  <c r="AG11" i="153"/>
  <c r="AF11" i="153"/>
  <c r="W11" i="153"/>
  <c r="AG10" i="153"/>
  <c r="AF10" i="153"/>
  <c r="W10" i="153"/>
  <c r="AG9" i="153"/>
  <c r="AF9" i="153"/>
  <c r="W9" i="153"/>
  <c r="AG8" i="153"/>
  <c r="AF8" i="153"/>
  <c r="W8" i="153"/>
  <c r="W7" i="153"/>
  <c r="V7" i="153"/>
  <c r="P7" i="153"/>
  <c r="N7" i="153"/>
  <c r="AG7" i="153" s="1"/>
  <c r="K7" i="153"/>
  <c r="J7" i="153"/>
  <c r="L7" i="153" s="1"/>
  <c r="H7" i="153"/>
  <c r="F7" i="153"/>
  <c r="B7" i="153"/>
  <c r="AG6" i="153"/>
  <c r="AF6" i="153"/>
  <c r="W6" i="153"/>
  <c r="V6" i="153"/>
  <c r="P6" i="153"/>
  <c r="N6" i="153"/>
  <c r="O6" i="153" s="1"/>
  <c r="K6" i="153"/>
  <c r="L6" i="153" s="1"/>
  <c r="J6" i="153"/>
  <c r="F6" i="153"/>
  <c r="H6" i="153" s="1"/>
  <c r="B6" i="153"/>
  <c r="W5" i="153"/>
  <c r="N5" i="153" s="1"/>
  <c r="K5" i="153"/>
  <c r="J5" i="153"/>
  <c r="H5" i="153"/>
  <c r="G1" i="153" s="1"/>
  <c r="G2" i="153" s="1"/>
  <c r="F5" i="153"/>
  <c r="B5" i="153"/>
  <c r="AA2" i="153"/>
  <c r="I2" i="153"/>
  <c r="E1" i="153"/>
  <c r="I21" i="152"/>
  <c r="G21" i="152"/>
  <c r="E21" i="152"/>
  <c r="D21" i="152"/>
  <c r="I20" i="152"/>
  <c r="G20" i="152"/>
  <c r="E20" i="152"/>
  <c r="D20" i="152"/>
  <c r="J19" i="152"/>
  <c r="I19" i="152"/>
  <c r="H19" i="152"/>
  <c r="G19" i="152"/>
  <c r="D19" i="152"/>
  <c r="J18" i="152"/>
  <c r="I18" i="152"/>
  <c r="G18" i="152"/>
  <c r="F18" i="152"/>
  <c r="E18" i="152"/>
  <c r="D18" i="152"/>
  <c r="J16" i="152"/>
  <c r="I16" i="152"/>
  <c r="H16" i="152"/>
  <c r="G16" i="152"/>
  <c r="F16" i="152"/>
  <c r="E16" i="152"/>
  <c r="D16" i="152"/>
  <c r="I13" i="152"/>
  <c r="J6" i="152" s="1"/>
  <c r="G13" i="152"/>
  <c r="AE79" i="151"/>
  <c r="AD79" i="151"/>
  <c r="AA79" i="151"/>
  <c r="Z79" i="151"/>
  <c r="Q79" i="151"/>
  <c r="O79" i="151"/>
  <c r="N79" i="151"/>
  <c r="AG79" i="151" s="1"/>
  <c r="AH70" i="151" s="1"/>
  <c r="M79" i="151"/>
  <c r="P79" i="151" s="1"/>
  <c r="W78" i="151"/>
  <c r="H78" i="151"/>
  <c r="W77" i="151"/>
  <c r="H77" i="151"/>
  <c r="W76" i="151"/>
  <c r="H76" i="151"/>
  <c r="W75" i="151"/>
  <c r="H75" i="151"/>
  <c r="W74" i="151"/>
  <c r="W73" i="151"/>
  <c r="W72" i="151"/>
  <c r="W71" i="151"/>
  <c r="AG70" i="151"/>
  <c r="W70" i="151"/>
  <c r="N70" i="151" s="1"/>
  <c r="AF70" i="151" s="1"/>
  <c r="P70" i="151"/>
  <c r="O70" i="151"/>
  <c r="L70" i="151"/>
  <c r="L79" i="151" s="1"/>
  <c r="K70" i="151"/>
  <c r="K79" i="151" s="1"/>
  <c r="J70" i="151"/>
  <c r="J79" i="151" s="1"/>
  <c r="F70" i="151"/>
  <c r="H70" i="151" s="1"/>
  <c r="B70" i="151"/>
  <c r="AE69" i="151"/>
  <c r="I21" i="150" s="1"/>
  <c r="AD69" i="151"/>
  <c r="AA69" i="151"/>
  <c r="Z69" i="151"/>
  <c r="M69" i="151"/>
  <c r="K69" i="151"/>
  <c r="W68" i="151"/>
  <c r="H68" i="151"/>
  <c r="W67" i="151"/>
  <c r="W66" i="151"/>
  <c r="W65" i="151"/>
  <c r="W64" i="151"/>
  <c r="W63" i="151"/>
  <c r="AG62" i="151"/>
  <c r="AF62" i="151"/>
  <c r="W62" i="151"/>
  <c r="AG61" i="151"/>
  <c r="AF61" i="151"/>
  <c r="W61" i="151"/>
  <c r="V61" i="151"/>
  <c r="Q61" i="151"/>
  <c r="P61" i="151"/>
  <c r="N61" i="151"/>
  <c r="O61" i="151" s="1"/>
  <c r="R61" i="151" s="1"/>
  <c r="K61" i="151"/>
  <c r="L61" i="151" s="1"/>
  <c r="J61" i="151"/>
  <c r="F61" i="151"/>
  <c r="H61" i="151" s="1"/>
  <c r="B61" i="151"/>
  <c r="W60" i="151"/>
  <c r="N60" i="151" s="1"/>
  <c r="V60" i="151"/>
  <c r="K60" i="151"/>
  <c r="J60" i="151"/>
  <c r="P60" i="151" s="1"/>
  <c r="H60" i="151"/>
  <c r="F60" i="151"/>
  <c r="B60" i="151"/>
  <c r="AG59" i="151"/>
  <c r="W59" i="151"/>
  <c r="O59" i="151"/>
  <c r="N59" i="151"/>
  <c r="K59" i="151"/>
  <c r="J59" i="151"/>
  <c r="P59" i="151" s="1"/>
  <c r="F59" i="151"/>
  <c r="H59" i="151" s="1"/>
  <c r="B59" i="151"/>
  <c r="AE58" i="151"/>
  <c r="AD58" i="151"/>
  <c r="AA58" i="151"/>
  <c r="Z58" i="151"/>
  <c r="H18" i="150" s="1"/>
  <c r="M58" i="151"/>
  <c r="K58" i="151"/>
  <c r="W57" i="151"/>
  <c r="W56" i="151"/>
  <c r="W55" i="151"/>
  <c r="W54" i="151"/>
  <c r="AG53" i="151"/>
  <c r="AF53" i="151"/>
  <c r="W53" i="151"/>
  <c r="AG52" i="151"/>
  <c r="AF52" i="151"/>
  <c r="W52" i="151"/>
  <c r="V52" i="151"/>
  <c r="W51" i="151"/>
  <c r="V51" i="151"/>
  <c r="P51" i="151"/>
  <c r="N51" i="151"/>
  <c r="L51" i="151"/>
  <c r="K51" i="151"/>
  <c r="J51" i="151"/>
  <c r="H51" i="151"/>
  <c r="F51" i="151"/>
  <c r="B51" i="151"/>
  <c r="W50" i="151"/>
  <c r="V50" i="151"/>
  <c r="P50" i="151"/>
  <c r="O50" i="151"/>
  <c r="N50" i="151"/>
  <c r="K50" i="151"/>
  <c r="L50" i="151" s="1"/>
  <c r="J50" i="151"/>
  <c r="H50" i="151"/>
  <c r="F50" i="151"/>
  <c r="B50" i="151"/>
  <c r="AG49" i="151"/>
  <c r="W49" i="151"/>
  <c r="N49" i="151" s="1"/>
  <c r="P49" i="151"/>
  <c r="K49" i="151"/>
  <c r="J49" i="151"/>
  <c r="J58" i="151" s="1"/>
  <c r="H49" i="151"/>
  <c r="F49" i="151"/>
  <c r="B49" i="151"/>
  <c r="AE48" i="151"/>
  <c r="G21" i="150" s="1"/>
  <c r="AD48" i="151"/>
  <c r="AA48" i="151"/>
  <c r="Z48" i="151"/>
  <c r="W48" i="151"/>
  <c r="M48" i="151"/>
  <c r="I1" i="151" s="1"/>
  <c r="L48" i="151"/>
  <c r="G13" i="150" s="1"/>
  <c r="K48" i="151"/>
  <c r="W47" i="151"/>
  <c r="H47" i="151"/>
  <c r="W46" i="151"/>
  <c r="W45" i="151"/>
  <c r="W44" i="151"/>
  <c r="W43" i="151"/>
  <c r="W42" i="151"/>
  <c r="AG41" i="151"/>
  <c r="AF41" i="151"/>
  <c r="W41" i="151"/>
  <c r="AG40" i="151"/>
  <c r="W40" i="151"/>
  <c r="V40" i="151"/>
  <c r="N40" i="151"/>
  <c r="L40" i="151"/>
  <c r="K40" i="151"/>
  <c r="J40" i="151"/>
  <c r="P40" i="151" s="1"/>
  <c r="F40" i="151"/>
  <c r="H40" i="151" s="1"/>
  <c r="B40" i="151"/>
  <c r="W39" i="151"/>
  <c r="V39" i="151"/>
  <c r="P39" i="151"/>
  <c r="O39" i="151"/>
  <c r="N39" i="151"/>
  <c r="K39" i="151"/>
  <c r="AG39" i="151" s="1"/>
  <c r="J39" i="151"/>
  <c r="H39" i="151"/>
  <c r="F39" i="151"/>
  <c r="B39" i="151"/>
  <c r="W38" i="151"/>
  <c r="N38" i="151" s="1"/>
  <c r="P38" i="151"/>
  <c r="K38" i="151"/>
  <c r="L38" i="151" s="1"/>
  <c r="J38" i="151"/>
  <c r="J48" i="151" s="1"/>
  <c r="H38" i="151"/>
  <c r="F38" i="151"/>
  <c r="B38" i="151"/>
  <c r="AE37" i="151"/>
  <c r="AD37" i="151"/>
  <c r="F20" i="150" s="1"/>
  <c r="AA37" i="151"/>
  <c r="F19" i="150" s="1"/>
  <c r="Z37" i="151"/>
  <c r="M37" i="151"/>
  <c r="K37" i="151"/>
  <c r="J37" i="151"/>
  <c r="P37" i="151" s="1"/>
  <c r="W36" i="151"/>
  <c r="H36" i="151"/>
  <c r="W35" i="151"/>
  <c r="W34" i="151"/>
  <c r="W33" i="151"/>
  <c r="W32" i="151"/>
  <c r="AG31" i="151"/>
  <c r="AF31" i="151"/>
  <c r="W31" i="151"/>
  <c r="AG30" i="151"/>
  <c r="AF30" i="151"/>
  <c r="W30" i="151"/>
  <c r="V30" i="151"/>
  <c r="W29" i="151"/>
  <c r="V29" i="151"/>
  <c r="P29" i="151"/>
  <c r="N29" i="151"/>
  <c r="O29" i="151" s="1"/>
  <c r="K29" i="151"/>
  <c r="AG29" i="151" s="1"/>
  <c r="J29" i="151"/>
  <c r="F29" i="151"/>
  <c r="H29" i="151" s="1"/>
  <c r="B29" i="151"/>
  <c r="W28" i="151"/>
  <c r="V28" i="151"/>
  <c r="P28" i="151"/>
  <c r="O28" i="151"/>
  <c r="N28" i="151"/>
  <c r="L28" i="151"/>
  <c r="K28" i="151"/>
  <c r="AF28" i="151" s="1"/>
  <c r="J28" i="151"/>
  <c r="F28" i="151"/>
  <c r="H28" i="151" s="1"/>
  <c r="B28" i="151"/>
  <c r="W27" i="151"/>
  <c r="P27" i="151"/>
  <c r="N27" i="151"/>
  <c r="K27" i="151"/>
  <c r="L27" i="151" s="1"/>
  <c r="L37" i="151" s="1"/>
  <c r="F13" i="150" s="1"/>
  <c r="J27" i="151"/>
  <c r="H27" i="151"/>
  <c r="F27" i="151"/>
  <c r="B27" i="151"/>
  <c r="AE26" i="151"/>
  <c r="E21" i="150" s="1"/>
  <c r="AD26" i="151"/>
  <c r="AA26" i="151"/>
  <c r="Z26" i="151"/>
  <c r="M26" i="151"/>
  <c r="L26" i="151"/>
  <c r="E13" i="150" s="1"/>
  <c r="K26" i="151"/>
  <c r="W25" i="151"/>
  <c r="H25" i="151"/>
  <c r="W24" i="151"/>
  <c r="H24" i="151"/>
  <c r="W23" i="151"/>
  <c r="W21" i="151"/>
  <c r="W20" i="151"/>
  <c r="V20" i="151"/>
  <c r="AG19" i="151"/>
  <c r="AF19" i="151"/>
  <c r="W19" i="151"/>
  <c r="V19" i="151"/>
  <c r="AG18" i="151"/>
  <c r="W18" i="151"/>
  <c r="N18" i="151" s="1"/>
  <c r="V18" i="151"/>
  <c r="K18" i="151"/>
  <c r="J18" i="151"/>
  <c r="P18" i="151" s="1"/>
  <c r="H18" i="151"/>
  <c r="F18" i="151"/>
  <c r="B18" i="151"/>
  <c r="W17" i="151"/>
  <c r="V17" i="151"/>
  <c r="N17" i="151"/>
  <c r="AF17" i="151" s="1"/>
  <c r="K17" i="151"/>
  <c r="J17" i="151"/>
  <c r="H17" i="151"/>
  <c r="F17" i="151"/>
  <c r="B17" i="151"/>
  <c r="W16" i="151"/>
  <c r="N16" i="151"/>
  <c r="L16" i="151"/>
  <c r="K16" i="151"/>
  <c r="J16" i="151"/>
  <c r="P16" i="151" s="1"/>
  <c r="F16" i="151"/>
  <c r="H16" i="151" s="1"/>
  <c r="B16" i="151"/>
  <c r="AE15" i="151"/>
  <c r="D21" i="150" s="1"/>
  <c r="AD15" i="151"/>
  <c r="AA15" i="151"/>
  <c r="D19" i="150" s="1"/>
  <c r="Z15" i="151"/>
  <c r="D18" i="150" s="1"/>
  <c r="M15" i="151"/>
  <c r="K15" i="151"/>
  <c r="J15" i="151"/>
  <c r="P15" i="151" s="1"/>
  <c r="W14" i="151"/>
  <c r="W13" i="151"/>
  <c r="W12" i="151"/>
  <c r="AG11" i="151"/>
  <c r="AF11" i="151"/>
  <c r="W11" i="151"/>
  <c r="AG10" i="151"/>
  <c r="AF10" i="151"/>
  <c r="W10" i="151"/>
  <c r="AG9" i="151"/>
  <c r="AF9" i="151"/>
  <c r="W9" i="151"/>
  <c r="AG8" i="151"/>
  <c r="AF8" i="151"/>
  <c r="W8" i="151"/>
  <c r="W7" i="151"/>
  <c r="V7" i="151"/>
  <c r="N7" i="151"/>
  <c r="AF7" i="151" s="1"/>
  <c r="K7" i="151"/>
  <c r="J7" i="151"/>
  <c r="P7" i="151" s="1"/>
  <c r="F7" i="151"/>
  <c r="H7" i="151" s="1"/>
  <c r="B7" i="151"/>
  <c r="W6" i="151"/>
  <c r="N6" i="151" s="1"/>
  <c r="V6" i="151"/>
  <c r="K6" i="151"/>
  <c r="J6" i="151"/>
  <c r="P6" i="151" s="1"/>
  <c r="F6" i="151"/>
  <c r="H6" i="151" s="1"/>
  <c r="B6" i="151"/>
  <c r="W5" i="151"/>
  <c r="Q5" i="151"/>
  <c r="P5" i="151"/>
  <c r="O5" i="151"/>
  <c r="N5" i="151"/>
  <c r="AG5" i="151" s="1"/>
  <c r="L5" i="151"/>
  <c r="L15" i="151" s="1"/>
  <c r="D13" i="150" s="1"/>
  <c r="F6" i="150" s="1"/>
  <c r="K5" i="151"/>
  <c r="AF5" i="151" s="1"/>
  <c r="J5" i="151"/>
  <c r="F5" i="151"/>
  <c r="H5" i="151" s="1"/>
  <c r="G1" i="151" s="1"/>
  <c r="G2" i="151" s="1"/>
  <c r="B5" i="151"/>
  <c r="AE2" i="151"/>
  <c r="Z2" i="151"/>
  <c r="I2" i="151"/>
  <c r="E1" i="151"/>
  <c r="J21" i="150"/>
  <c r="H21" i="150"/>
  <c r="F21" i="150"/>
  <c r="J20" i="150"/>
  <c r="I20" i="150"/>
  <c r="H20" i="150"/>
  <c r="G20" i="150"/>
  <c r="D20" i="150"/>
  <c r="J19" i="150"/>
  <c r="I19" i="150"/>
  <c r="H19" i="150"/>
  <c r="G19" i="150"/>
  <c r="E19" i="150"/>
  <c r="J18" i="150"/>
  <c r="I18" i="150"/>
  <c r="G18" i="150"/>
  <c r="F18" i="150"/>
  <c r="E18" i="150"/>
  <c r="J16" i="150"/>
  <c r="I16" i="150"/>
  <c r="H16" i="150"/>
  <c r="G16" i="150"/>
  <c r="F16" i="150"/>
  <c r="E16" i="150"/>
  <c r="D16" i="150"/>
  <c r="J13" i="150"/>
  <c r="H6" i="150"/>
  <c r="AE79" i="149"/>
  <c r="AD79" i="149"/>
  <c r="AA79" i="149"/>
  <c r="J18" i="148" s="1"/>
  <c r="Z79" i="149"/>
  <c r="M79" i="149"/>
  <c r="P79" i="149" s="1"/>
  <c r="J79" i="149"/>
  <c r="W78" i="149"/>
  <c r="H78" i="149"/>
  <c r="W77" i="149"/>
  <c r="H77" i="149"/>
  <c r="W76" i="149"/>
  <c r="H76" i="149"/>
  <c r="W75" i="149"/>
  <c r="H75" i="149"/>
  <c r="W74" i="149"/>
  <c r="W73" i="149"/>
  <c r="W72" i="149"/>
  <c r="W71" i="149"/>
  <c r="AF70" i="149"/>
  <c r="W70" i="149"/>
  <c r="N70" i="149" s="1"/>
  <c r="K70" i="149"/>
  <c r="J70" i="149"/>
  <c r="P70" i="149" s="1"/>
  <c r="H70" i="149"/>
  <c r="F70" i="149"/>
  <c r="B70" i="149"/>
  <c r="AF69" i="149"/>
  <c r="AE69" i="149"/>
  <c r="I21" i="148" s="1"/>
  <c r="AD69" i="149"/>
  <c r="AA69" i="149"/>
  <c r="I19" i="148" s="1"/>
  <c r="Z69" i="149"/>
  <c r="N69" i="149"/>
  <c r="M69" i="149"/>
  <c r="K69" i="149"/>
  <c r="W68" i="149"/>
  <c r="H68" i="149"/>
  <c r="W67" i="149"/>
  <c r="W66" i="149"/>
  <c r="W65" i="149"/>
  <c r="W64" i="149"/>
  <c r="W63" i="149"/>
  <c r="AG62" i="149"/>
  <c r="AF62" i="149"/>
  <c r="W62" i="149"/>
  <c r="W61" i="149"/>
  <c r="N61" i="149" s="1"/>
  <c r="O61" i="149" s="1"/>
  <c r="V61" i="149"/>
  <c r="P61" i="149"/>
  <c r="K61" i="149"/>
  <c r="AG61" i="149" s="1"/>
  <c r="J61" i="149"/>
  <c r="H61" i="149"/>
  <c r="F61" i="149"/>
  <c r="B61" i="149"/>
  <c r="W60" i="149"/>
  <c r="N60" i="149" s="1"/>
  <c r="V60" i="149"/>
  <c r="P60" i="149"/>
  <c r="O60" i="149"/>
  <c r="K60" i="149"/>
  <c r="J60" i="149"/>
  <c r="H60" i="149"/>
  <c r="F60" i="149"/>
  <c r="B60" i="149"/>
  <c r="W59" i="149"/>
  <c r="O59" i="149"/>
  <c r="N59" i="149"/>
  <c r="K59" i="149"/>
  <c r="J59" i="149"/>
  <c r="F59" i="149"/>
  <c r="H59" i="149" s="1"/>
  <c r="B59" i="149"/>
  <c r="AE58" i="149"/>
  <c r="H21" i="148" s="1"/>
  <c r="AD58" i="149"/>
  <c r="H20" i="148" s="1"/>
  <c r="AA58" i="149"/>
  <c r="Z58" i="149"/>
  <c r="M58" i="149"/>
  <c r="W57" i="149"/>
  <c r="W56" i="149"/>
  <c r="W55" i="149"/>
  <c r="W54" i="149"/>
  <c r="AG53" i="149"/>
  <c r="AF53" i="149"/>
  <c r="W53" i="149"/>
  <c r="AG52" i="149"/>
  <c r="AF52" i="149"/>
  <c r="W52" i="149"/>
  <c r="V52" i="149"/>
  <c r="W51" i="149"/>
  <c r="N51" i="149" s="1"/>
  <c r="V51" i="149"/>
  <c r="P51" i="149"/>
  <c r="K51" i="149"/>
  <c r="L51" i="149" s="1"/>
  <c r="J51" i="149"/>
  <c r="F51" i="149"/>
  <c r="H51" i="149" s="1"/>
  <c r="B51" i="149"/>
  <c r="W50" i="149"/>
  <c r="N50" i="149" s="1"/>
  <c r="O50" i="149" s="1"/>
  <c r="R50" i="149" s="1"/>
  <c r="V50" i="149"/>
  <c r="K50" i="149"/>
  <c r="L50" i="149" s="1"/>
  <c r="J50" i="149"/>
  <c r="P50" i="149" s="1"/>
  <c r="F50" i="149"/>
  <c r="H50" i="149" s="1"/>
  <c r="B50" i="149"/>
  <c r="W49" i="149"/>
  <c r="O49" i="149"/>
  <c r="N49" i="149"/>
  <c r="AG49" i="149" s="1"/>
  <c r="K49" i="149"/>
  <c r="K58" i="149" s="1"/>
  <c r="J49" i="149"/>
  <c r="J58" i="149" s="1"/>
  <c r="F49" i="149"/>
  <c r="H49" i="149" s="1"/>
  <c r="B49" i="149"/>
  <c r="AE48" i="149"/>
  <c r="AD48" i="149"/>
  <c r="AA48" i="149"/>
  <c r="Z48" i="149"/>
  <c r="W48" i="149"/>
  <c r="M48" i="149"/>
  <c r="W47" i="149"/>
  <c r="H47" i="149"/>
  <c r="W46" i="149"/>
  <c r="W45" i="149"/>
  <c r="W44" i="149"/>
  <c r="W43" i="149"/>
  <c r="W42" i="149"/>
  <c r="AG41" i="149"/>
  <c r="AF41" i="149"/>
  <c r="W41" i="149"/>
  <c r="W40" i="149"/>
  <c r="N40" i="149" s="1"/>
  <c r="V40" i="149"/>
  <c r="P40" i="149"/>
  <c r="K40" i="149"/>
  <c r="L40" i="149" s="1"/>
  <c r="J40" i="149"/>
  <c r="F40" i="149"/>
  <c r="H40" i="149" s="1"/>
  <c r="B40" i="149"/>
  <c r="W39" i="149"/>
  <c r="N39" i="149" s="1"/>
  <c r="AG39" i="149" s="1"/>
  <c r="V39" i="149"/>
  <c r="K39" i="149"/>
  <c r="J39" i="149"/>
  <c r="P39" i="149" s="1"/>
  <c r="F39" i="149"/>
  <c r="H39" i="149" s="1"/>
  <c r="B39" i="149"/>
  <c r="W38" i="149"/>
  <c r="N38" i="149" s="1"/>
  <c r="K38" i="149"/>
  <c r="K48" i="149" s="1"/>
  <c r="J38" i="149"/>
  <c r="F38" i="149"/>
  <c r="H38" i="149" s="1"/>
  <c r="B38" i="149"/>
  <c r="AE37" i="149"/>
  <c r="AD37" i="149"/>
  <c r="AA37" i="149"/>
  <c r="F19" i="148" s="1"/>
  <c r="Z37" i="149"/>
  <c r="F18" i="148" s="1"/>
  <c r="M37" i="149"/>
  <c r="P37" i="149" s="1"/>
  <c r="W36" i="149"/>
  <c r="H36" i="149"/>
  <c r="W35" i="149"/>
  <c r="W34" i="149"/>
  <c r="W33" i="149"/>
  <c r="W32" i="149"/>
  <c r="AG31" i="149"/>
  <c r="AF31" i="149"/>
  <c r="W31" i="149"/>
  <c r="AG30" i="149"/>
  <c r="AF30" i="149"/>
  <c r="W30" i="149"/>
  <c r="V30" i="149"/>
  <c r="W29" i="149"/>
  <c r="N29" i="149" s="1"/>
  <c r="V29" i="149"/>
  <c r="K29" i="149"/>
  <c r="J29" i="149"/>
  <c r="P29" i="149" s="1"/>
  <c r="H29" i="149"/>
  <c r="F29" i="149"/>
  <c r="B29" i="149"/>
  <c r="W28" i="149"/>
  <c r="V28" i="149"/>
  <c r="N28" i="149"/>
  <c r="O28" i="149" s="1"/>
  <c r="K28" i="149"/>
  <c r="J28" i="149"/>
  <c r="P28" i="149" s="1"/>
  <c r="F28" i="149"/>
  <c r="H28" i="149" s="1"/>
  <c r="B28" i="149"/>
  <c r="W27" i="149"/>
  <c r="O27" i="149"/>
  <c r="N27" i="149"/>
  <c r="K27" i="149"/>
  <c r="K37" i="149" s="1"/>
  <c r="J27" i="149"/>
  <c r="J37" i="149" s="1"/>
  <c r="H27" i="149"/>
  <c r="F27" i="149"/>
  <c r="B27" i="149"/>
  <c r="AE26" i="149"/>
  <c r="AD26" i="149"/>
  <c r="AA26" i="149"/>
  <c r="Z26" i="149"/>
  <c r="E18" i="148" s="1"/>
  <c r="P26" i="149"/>
  <c r="M26" i="149"/>
  <c r="J26" i="149"/>
  <c r="W25" i="149"/>
  <c r="H25" i="149"/>
  <c r="W24" i="149"/>
  <c r="H24" i="149"/>
  <c r="W23" i="149"/>
  <c r="W21" i="149"/>
  <c r="W20" i="149"/>
  <c r="V20" i="149"/>
  <c r="AG19" i="149"/>
  <c r="AF19" i="149"/>
  <c r="W19" i="149"/>
  <c r="V19" i="149"/>
  <c r="W18" i="149"/>
  <c r="N18" i="149" s="1"/>
  <c r="V18" i="149"/>
  <c r="Q18" i="149"/>
  <c r="P18" i="149"/>
  <c r="O18" i="149"/>
  <c r="K18" i="149"/>
  <c r="L18" i="149" s="1"/>
  <c r="J18" i="149"/>
  <c r="H18" i="149"/>
  <c r="F18" i="149"/>
  <c r="B18" i="149"/>
  <c r="W17" i="149"/>
  <c r="V17" i="149"/>
  <c r="N17" i="149"/>
  <c r="K17" i="149"/>
  <c r="L17" i="149" s="1"/>
  <c r="J17" i="149"/>
  <c r="P17" i="149" s="1"/>
  <c r="H17" i="149"/>
  <c r="F17" i="149"/>
  <c r="B17" i="149"/>
  <c r="W16" i="149"/>
  <c r="R16" i="149"/>
  <c r="Q16" i="149"/>
  <c r="P16" i="149"/>
  <c r="O16" i="149"/>
  <c r="N16" i="149"/>
  <c r="K16" i="149"/>
  <c r="L16" i="149" s="1"/>
  <c r="L26" i="149" s="1"/>
  <c r="J16" i="149"/>
  <c r="H16" i="149"/>
  <c r="F16" i="149"/>
  <c r="B16" i="149"/>
  <c r="AE15" i="149"/>
  <c r="AE2" i="149" s="1"/>
  <c r="AD15" i="149"/>
  <c r="AA15" i="149"/>
  <c r="Z15" i="149"/>
  <c r="Z2" i="149" s="1"/>
  <c r="M15" i="149"/>
  <c r="I1" i="149" s="1"/>
  <c r="W14" i="149"/>
  <c r="W13" i="149"/>
  <c r="W12" i="149"/>
  <c r="AG11" i="149"/>
  <c r="AF11" i="149"/>
  <c r="W11" i="149"/>
  <c r="AG10" i="149"/>
  <c r="AF10" i="149"/>
  <c r="W10" i="149"/>
  <c r="AG9" i="149"/>
  <c r="AF9" i="149"/>
  <c r="W9" i="149"/>
  <c r="AG8" i="149"/>
  <c r="AF8" i="149"/>
  <c r="W8" i="149"/>
  <c r="W7" i="149"/>
  <c r="N7" i="149" s="1"/>
  <c r="V7" i="149"/>
  <c r="L7" i="149"/>
  <c r="K7" i="149"/>
  <c r="J7" i="149"/>
  <c r="P7" i="149" s="1"/>
  <c r="F7" i="149"/>
  <c r="H7" i="149" s="1"/>
  <c r="B7" i="149"/>
  <c r="W6" i="149"/>
  <c r="N6" i="149" s="1"/>
  <c r="V6" i="149"/>
  <c r="K6" i="149"/>
  <c r="J6" i="149"/>
  <c r="P6" i="149" s="1"/>
  <c r="H6" i="149"/>
  <c r="F6" i="149"/>
  <c r="B6" i="149"/>
  <c r="W5" i="149"/>
  <c r="N5" i="149"/>
  <c r="K5" i="149"/>
  <c r="J5" i="149"/>
  <c r="F5" i="149"/>
  <c r="H5" i="149" s="1"/>
  <c r="G1" i="149" s="1"/>
  <c r="G2" i="149" s="1"/>
  <c r="B5" i="149"/>
  <c r="I2" i="149"/>
  <c r="E1" i="149"/>
  <c r="J21" i="148"/>
  <c r="G21" i="148"/>
  <c r="F21" i="148"/>
  <c r="E21" i="148"/>
  <c r="D21" i="148"/>
  <c r="J20" i="148"/>
  <c r="I20" i="148"/>
  <c r="G20" i="148"/>
  <c r="F20" i="148"/>
  <c r="E20" i="148"/>
  <c r="J19" i="148"/>
  <c r="H19" i="148"/>
  <c r="G19" i="148"/>
  <c r="E19" i="148"/>
  <c r="D19" i="148"/>
  <c r="I18" i="148"/>
  <c r="H18" i="148"/>
  <c r="G18" i="148"/>
  <c r="J16" i="148"/>
  <c r="I16" i="148"/>
  <c r="H16" i="148"/>
  <c r="G16" i="148"/>
  <c r="F16" i="148"/>
  <c r="E16" i="148"/>
  <c r="D16" i="148"/>
  <c r="E13" i="148"/>
  <c r="AE79" i="147"/>
  <c r="AD79" i="147"/>
  <c r="AA79" i="147"/>
  <c r="Z79" i="147"/>
  <c r="M79" i="147"/>
  <c r="K79" i="147"/>
  <c r="W78" i="147"/>
  <c r="H78" i="147"/>
  <c r="W77" i="147"/>
  <c r="H77" i="147"/>
  <c r="W76" i="147"/>
  <c r="H76" i="147"/>
  <c r="W75" i="147"/>
  <c r="H75" i="147"/>
  <c r="W74" i="147"/>
  <c r="W73" i="147"/>
  <c r="W72" i="147"/>
  <c r="W71" i="147"/>
  <c r="W70" i="147"/>
  <c r="R70" i="147"/>
  <c r="O70" i="147"/>
  <c r="Q70" i="147" s="1"/>
  <c r="N70" i="147"/>
  <c r="N79" i="147" s="1"/>
  <c r="AG79" i="147" s="1"/>
  <c r="AH70" i="147" s="1"/>
  <c r="L70" i="147"/>
  <c r="L79" i="147" s="1"/>
  <c r="J13" i="146" s="1"/>
  <c r="K70" i="147"/>
  <c r="J70" i="147"/>
  <c r="F70" i="147"/>
  <c r="H70" i="147" s="1"/>
  <c r="B70" i="147"/>
  <c r="AE69" i="147"/>
  <c r="I21" i="146" s="1"/>
  <c r="AD69" i="147"/>
  <c r="I20" i="146" s="1"/>
  <c r="AA69" i="147"/>
  <c r="I19" i="146" s="1"/>
  <c r="Z69" i="147"/>
  <c r="M69" i="147"/>
  <c r="P69" i="147" s="1"/>
  <c r="J69" i="147"/>
  <c r="W68" i="147"/>
  <c r="H68" i="147"/>
  <c r="W67" i="147"/>
  <c r="W66" i="147"/>
  <c r="W65" i="147"/>
  <c r="W64" i="147"/>
  <c r="W63" i="147"/>
  <c r="AG62" i="147"/>
  <c r="AF62" i="147"/>
  <c r="W62" i="147"/>
  <c r="AG61" i="147"/>
  <c r="AF61" i="147"/>
  <c r="W61" i="147"/>
  <c r="V61" i="147"/>
  <c r="O61" i="147"/>
  <c r="Q61" i="147" s="1"/>
  <c r="N61" i="147"/>
  <c r="K61" i="147"/>
  <c r="L61" i="147" s="1"/>
  <c r="R61" i="147" s="1"/>
  <c r="J61" i="147"/>
  <c r="P61" i="147" s="1"/>
  <c r="F61" i="147"/>
  <c r="H61" i="147" s="1"/>
  <c r="B61" i="147"/>
  <c r="W60" i="147"/>
  <c r="N60" i="147" s="1"/>
  <c r="V60" i="147"/>
  <c r="P60" i="147"/>
  <c r="K60" i="147"/>
  <c r="L60" i="147" s="1"/>
  <c r="J60" i="147"/>
  <c r="H60" i="147"/>
  <c r="F60" i="147"/>
  <c r="B60" i="147"/>
  <c r="W59" i="147"/>
  <c r="P59" i="147"/>
  <c r="N59" i="147"/>
  <c r="O59" i="147" s="1"/>
  <c r="K59" i="147"/>
  <c r="J59" i="147"/>
  <c r="H59" i="147"/>
  <c r="F59" i="147"/>
  <c r="B59" i="147"/>
  <c r="AE58" i="147"/>
  <c r="AD58" i="147"/>
  <c r="AA58" i="147"/>
  <c r="Z58" i="147"/>
  <c r="H18" i="146" s="1"/>
  <c r="M58" i="147"/>
  <c r="P58" i="147" s="1"/>
  <c r="J58" i="147"/>
  <c r="W57" i="147"/>
  <c r="W56" i="147"/>
  <c r="W55" i="147"/>
  <c r="W54" i="147"/>
  <c r="AG53" i="147"/>
  <c r="AF53" i="147"/>
  <c r="W53" i="147"/>
  <c r="AG52" i="147"/>
  <c r="AF52" i="147"/>
  <c r="W52" i="147"/>
  <c r="V52" i="147"/>
  <c r="W51" i="147"/>
  <c r="V51" i="147"/>
  <c r="O51" i="147"/>
  <c r="R51" i="147" s="1"/>
  <c r="N51" i="147"/>
  <c r="AG51" i="147" s="1"/>
  <c r="L51" i="147"/>
  <c r="K51" i="147"/>
  <c r="J51" i="147"/>
  <c r="P51" i="147" s="1"/>
  <c r="F51" i="147"/>
  <c r="H51" i="147" s="1"/>
  <c r="B51" i="147"/>
  <c r="W50" i="147"/>
  <c r="V50" i="147"/>
  <c r="P50" i="147"/>
  <c r="N50" i="147"/>
  <c r="AG50" i="147" s="1"/>
  <c r="K50" i="147"/>
  <c r="L50" i="147" s="1"/>
  <c r="J50" i="147"/>
  <c r="H50" i="147"/>
  <c r="F50" i="147"/>
  <c r="B50" i="147"/>
  <c r="AG49" i="147"/>
  <c r="W49" i="147"/>
  <c r="N49" i="147" s="1"/>
  <c r="P49" i="147"/>
  <c r="K49" i="147"/>
  <c r="K58" i="147" s="1"/>
  <c r="J49" i="147"/>
  <c r="F49" i="147"/>
  <c r="H49" i="147" s="1"/>
  <c r="B49" i="147"/>
  <c r="AE48" i="147"/>
  <c r="AD48" i="147"/>
  <c r="G20" i="146" s="1"/>
  <c r="AA48" i="147"/>
  <c r="Z48" i="147"/>
  <c r="W48" i="147"/>
  <c r="M48" i="147"/>
  <c r="P48" i="147" s="1"/>
  <c r="K48" i="147"/>
  <c r="J48" i="147"/>
  <c r="W47" i="147"/>
  <c r="H47" i="147"/>
  <c r="W46" i="147"/>
  <c r="W45" i="147"/>
  <c r="W44" i="147"/>
  <c r="W43" i="147"/>
  <c r="W42" i="147"/>
  <c r="AG41" i="147"/>
  <c r="AF41" i="147"/>
  <c r="W41" i="147"/>
  <c r="W40" i="147"/>
  <c r="V40" i="147"/>
  <c r="O40" i="147"/>
  <c r="N40" i="147"/>
  <c r="K40" i="147"/>
  <c r="J40" i="147"/>
  <c r="P40" i="147" s="1"/>
  <c r="F40" i="147"/>
  <c r="H40" i="147" s="1"/>
  <c r="B40" i="147"/>
  <c r="W39" i="147"/>
  <c r="V39" i="147"/>
  <c r="P39" i="147"/>
  <c r="N39" i="147"/>
  <c r="K39" i="147"/>
  <c r="L39" i="147" s="1"/>
  <c r="J39" i="147"/>
  <c r="H39" i="147"/>
  <c r="F39" i="147"/>
  <c r="B39" i="147"/>
  <c r="W38" i="147"/>
  <c r="Q38" i="147"/>
  <c r="P38" i="147"/>
  <c r="N38" i="147"/>
  <c r="O38" i="147" s="1"/>
  <c r="K38" i="147"/>
  <c r="L38" i="147" s="1"/>
  <c r="L48" i="147" s="1"/>
  <c r="G13" i="146" s="1"/>
  <c r="J38" i="147"/>
  <c r="H38" i="147"/>
  <c r="F38" i="147"/>
  <c r="B38" i="147"/>
  <c r="AE37" i="147"/>
  <c r="F21" i="146" s="1"/>
  <c r="AD37" i="147"/>
  <c r="F20" i="146" s="1"/>
  <c r="AA37" i="147"/>
  <c r="Z37" i="147"/>
  <c r="F18" i="146" s="1"/>
  <c r="M37" i="147"/>
  <c r="W36" i="147"/>
  <c r="H36" i="147"/>
  <c r="W35" i="147"/>
  <c r="W34" i="147"/>
  <c r="W33" i="147"/>
  <c r="W32" i="147"/>
  <c r="AG31" i="147"/>
  <c r="AF31" i="147"/>
  <c r="W31" i="147"/>
  <c r="AG30" i="147"/>
  <c r="AF30" i="147"/>
  <c r="W30" i="147"/>
  <c r="V30" i="147"/>
  <c r="W29" i="147"/>
  <c r="N29" i="147" s="1"/>
  <c r="V29" i="147"/>
  <c r="P29" i="147"/>
  <c r="K29" i="147"/>
  <c r="L29" i="147" s="1"/>
  <c r="J29" i="147"/>
  <c r="F29" i="147"/>
  <c r="H29" i="147" s="1"/>
  <c r="B29" i="147"/>
  <c r="AG28" i="147"/>
  <c r="W28" i="147"/>
  <c r="N28" i="147" s="1"/>
  <c r="V28" i="147"/>
  <c r="P28" i="147"/>
  <c r="K28" i="147"/>
  <c r="L28" i="147" s="1"/>
  <c r="J28" i="147"/>
  <c r="H28" i="147"/>
  <c r="F28" i="147"/>
  <c r="B28" i="147"/>
  <c r="W27" i="147"/>
  <c r="N27" i="147" s="1"/>
  <c r="K27" i="147"/>
  <c r="J27" i="147"/>
  <c r="H27" i="147"/>
  <c r="F27" i="147"/>
  <c r="B27" i="147"/>
  <c r="AE26" i="147"/>
  <c r="AD26" i="147"/>
  <c r="AA26" i="147"/>
  <c r="Z26" i="147"/>
  <c r="Z2" i="147" s="1"/>
  <c r="N26" i="147"/>
  <c r="M26" i="147"/>
  <c r="P26" i="147" s="1"/>
  <c r="W25" i="147"/>
  <c r="H25" i="147"/>
  <c r="W24" i="147"/>
  <c r="H24" i="147"/>
  <c r="W23" i="147"/>
  <c r="W21" i="147"/>
  <c r="W20" i="147"/>
  <c r="V20" i="147"/>
  <c r="AG19" i="147"/>
  <c r="AF19" i="147"/>
  <c r="W19" i="147"/>
  <c r="V19" i="147"/>
  <c r="W18" i="147"/>
  <c r="V18" i="147"/>
  <c r="P18" i="147"/>
  <c r="N18" i="147"/>
  <c r="K18" i="147"/>
  <c r="L18" i="147" s="1"/>
  <c r="J18" i="147"/>
  <c r="H18" i="147"/>
  <c r="F18" i="147"/>
  <c r="B18" i="147"/>
  <c r="W17" i="147"/>
  <c r="N17" i="147" s="1"/>
  <c r="O17" i="147" s="1"/>
  <c r="V17" i="147"/>
  <c r="P17" i="147"/>
  <c r="L17" i="147"/>
  <c r="K17" i="147"/>
  <c r="J17" i="147"/>
  <c r="F17" i="147"/>
  <c r="H17" i="147" s="1"/>
  <c r="B17" i="147"/>
  <c r="W16" i="147"/>
  <c r="N16" i="147" s="1"/>
  <c r="AF16" i="147" s="1"/>
  <c r="P16" i="147"/>
  <c r="O16" i="147"/>
  <c r="K16" i="147"/>
  <c r="AG16" i="147" s="1"/>
  <c r="J16" i="147"/>
  <c r="J26" i="147" s="1"/>
  <c r="H16" i="147"/>
  <c r="F16" i="147"/>
  <c r="B16" i="147"/>
  <c r="AE15" i="147"/>
  <c r="AD15" i="147"/>
  <c r="AA15" i="147"/>
  <c r="Z15" i="147"/>
  <c r="M15" i="147"/>
  <c r="W14" i="147"/>
  <c r="W13" i="147"/>
  <c r="W12" i="147"/>
  <c r="AG11" i="147"/>
  <c r="AF11" i="147"/>
  <c r="W11" i="147"/>
  <c r="AG10" i="147"/>
  <c r="AF10" i="147"/>
  <c r="W10" i="147"/>
  <c r="AG9" i="147"/>
  <c r="AF9" i="147"/>
  <c r="W9" i="147"/>
  <c r="AG8" i="147"/>
  <c r="AF8" i="147"/>
  <c r="W8" i="147"/>
  <c r="W7" i="147"/>
  <c r="N7" i="147" s="1"/>
  <c r="V7" i="147"/>
  <c r="P7" i="147"/>
  <c r="K7" i="147"/>
  <c r="L7" i="147" s="1"/>
  <c r="J7" i="147"/>
  <c r="H7" i="147"/>
  <c r="F7" i="147"/>
  <c r="B7" i="147"/>
  <c r="W6" i="147"/>
  <c r="N6" i="147" s="1"/>
  <c r="O6" i="147" s="1"/>
  <c r="V6" i="147"/>
  <c r="K6" i="147"/>
  <c r="J6" i="147"/>
  <c r="P6" i="147" s="1"/>
  <c r="F6" i="147"/>
  <c r="H6" i="147" s="1"/>
  <c r="B6" i="147"/>
  <c r="W5" i="147"/>
  <c r="N5" i="147"/>
  <c r="L5" i="147"/>
  <c r="L15" i="147" s="1"/>
  <c r="D13" i="146" s="1"/>
  <c r="F6" i="146" s="1"/>
  <c r="K5" i="147"/>
  <c r="K15" i="147" s="1"/>
  <c r="J5" i="147"/>
  <c r="J15" i="147" s="1"/>
  <c r="P15" i="147" s="1"/>
  <c r="F5" i="147"/>
  <c r="H5" i="147" s="1"/>
  <c r="B5" i="147"/>
  <c r="I2" i="147"/>
  <c r="I1" i="147"/>
  <c r="G1" i="147"/>
  <c r="G2" i="147" s="1"/>
  <c r="E1" i="147"/>
  <c r="J21" i="146"/>
  <c r="H21" i="146"/>
  <c r="G21" i="146"/>
  <c r="E21" i="146"/>
  <c r="D21" i="146"/>
  <c r="J20" i="146"/>
  <c r="H20" i="146"/>
  <c r="E20" i="146"/>
  <c r="J19" i="146"/>
  <c r="H19" i="146"/>
  <c r="G19" i="146"/>
  <c r="F19" i="146"/>
  <c r="E19" i="146"/>
  <c r="J18" i="146"/>
  <c r="I18" i="146"/>
  <c r="G18" i="146"/>
  <c r="E18" i="146"/>
  <c r="D18" i="146"/>
  <c r="J16" i="146"/>
  <c r="I16" i="146"/>
  <c r="H16" i="146"/>
  <c r="G16" i="146"/>
  <c r="F16" i="146"/>
  <c r="E16" i="146"/>
  <c r="D16" i="146"/>
  <c r="AE79" i="145"/>
  <c r="AD79" i="145"/>
  <c r="AA79" i="145"/>
  <c r="Z79" i="145"/>
  <c r="N79" i="145"/>
  <c r="M79" i="145"/>
  <c r="W78" i="145"/>
  <c r="H78" i="145"/>
  <c r="W77" i="145"/>
  <c r="H77" i="145"/>
  <c r="W76" i="145"/>
  <c r="H76" i="145"/>
  <c r="W75" i="145"/>
  <c r="H75" i="145"/>
  <c r="W74" i="145"/>
  <c r="W73" i="145"/>
  <c r="W72" i="145"/>
  <c r="W71" i="145"/>
  <c r="W70" i="145"/>
  <c r="O70" i="145"/>
  <c r="N70" i="145"/>
  <c r="K70" i="145"/>
  <c r="L70" i="145" s="1"/>
  <c r="L79" i="145" s="1"/>
  <c r="J13" i="144" s="1"/>
  <c r="J70" i="145"/>
  <c r="P70" i="145" s="1"/>
  <c r="H70" i="145"/>
  <c r="F70" i="145"/>
  <c r="B70" i="145"/>
  <c r="AE69" i="145"/>
  <c r="AD69" i="145"/>
  <c r="AA69" i="145"/>
  <c r="I19" i="144" s="1"/>
  <c r="Z69" i="145"/>
  <c r="I18" i="144" s="1"/>
  <c r="M69" i="145"/>
  <c r="K69" i="145"/>
  <c r="W68" i="145"/>
  <c r="H68" i="145"/>
  <c r="W67" i="145"/>
  <c r="W66" i="145"/>
  <c r="W65" i="145"/>
  <c r="W64" i="145"/>
  <c r="W63" i="145"/>
  <c r="AG62" i="145"/>
  <c r="AF62" i="145"/>
  <c r="W62" i="145"/>
  <c r="W61" i="145"/>
  <c r="V61" i="145"/>
  <c r="P61" i="145"/>
  <c r="N61" i="145"/>
  <c r="AF61" i="145" s="1"/>
  <c r="K61" i="145"/>
  <c r="L61" i="145" s="1"/>
  <c r="J61" i="145"/>
  <c r="H61" i="145"/>
  <c r="F61" i="145"/>
  <c r="B61" i="145"/>
  <c r="W60" i="145"/>
  <c r="N60" i="145" s="1"/>
  <c r="V60" i="145"/>
  <c r="P60" i="145"/>
  <c r="K60" i="145"/>
  <c r="J60" i="145"/>
  <c r="L60" i="145" s="1"/>
  <c r="F60" i="145"/>
  <c r="H60" i="145" s="1"/>
  <c r="B60" i="145"/>
  <c r="W59" i="145"/>
  <c r="N59" i="145" s="1"/>
  <c r="K59" i="145"/>
  <c r="J59" i="145"/>
  <c r="H59" i="145"/>
  <c r="F59" i="145"/>
  <c r="B59" i="145"/>
  <c r="AE58" i="145"/>
  <c r="AD58" i="145"/>
  <c r="AA58" i="145"/>
  <c r="Z58" i="145"/>
  <c r="P58" i="145"/>
  <c r="M58" i="145"/>
  <c r="K58" i="145"/>
  <c r="J58" i="145"/>
  <c r="W57" i="145"/>
  <c r="W56" i="145"/>
  <c r="W55" i="145"/>
  <c r="W54" i="145"/>
  <c r="AG53" i="145"/>
  <c r="AF53" i="145"/>
  <c r="W53" i="145"/>
  <c r="AG52" i="145"/>
  <c r="AF52" i="145"/>
  <c r="W52" i="145"/>
  <c r="V52" i="145"/>
  <c r="W51" i="145"/>
  <c r="V51" i="145"/>
  <c r="O51" i="145"/>
  <c r="N51" i="145"/>
  <c r="K51" i="145"/>
  <c r="L51" i="145" s="1"/>
  <c r="J51" i="145"/>
  <c r="P51" i="145" s="1"/>
  <c r="H51" i="145"/>
  <c r="F51" i="145"/>
  <c r="B51" i="145"/>
  <c r="W50" i="145"/>
  <c r="V50" i="145"/>
  <c r="R50" i="145"/>
  <c r="Q50" i="145"/>
  <c r="P50" i="145"/>
  <c r="O50" i="145"/>
  <c r="N50" i="145"/>
  <c r="AG50" i="145" s="1"/>
  <c r="L50" i="145"/>
  <c r="K50" i="145"/>
  <c r="J50" i="145"/>
  <c r="F50" i="145"/>
  <c r="H50" i="145" s="1"/>
  <c r="B50" i="145"/>
  <c r="AG49" i="145"/>
  <c r="AF49" i="145"/>
  <c r="W49" i="145"/>
  <c r="N49" i="145" s="1"/>
  <c r="K49" i="145"/>
  <c r="L49" i="145" s="1"/>
  <c r="L58" i="145" s="1"/>
  <c r="H13" i="144" s="1"/>
  <c r="J49" i="145"/>
  <c r="P49" i="145" s="1"/>
  <c r="F49" i="145"/>
  <c r="H49" i="145" s="1"/>
  <c r="B49" i="145"/>
  <c r="AE48" i="145"/>
  <c r="G21" i="144" s="1"/>
  <c r="AD48" i="145"/>
  <c r="AA48" i="145"/>
  <c r="Z48" i="145"/>
  <c r="G18" i="144" s="1"/>
  <c r="W48" i="145"/>
  <c r="M48" i="145"/>
  <c r="L48" i="145"/>
  <c r="G13" i="144" s="1"/>
  <c r="K48" i="145"/>
  <c r="W47" i="145"/>
  <c r="H47" i="145"/>
  <c r="W46" i="145"/>
  <c r="W45" i="145"/>
  <c r="W44" i="145"/>
  <c r="W43" i="145"/>
  <c r="W42" i="145"/>
  <c r="AG41" i="145"/>
  <c r="AF41" i="145"/>
  <c r="W41" i="145"/>
  <c r="W40" i="145"/>
  <c r="N40" i="145" s="1"/>
  <c r="V40" i="145"/>
  <c r="K40" i="145"/>
  <c r="L40" i="145" s="1"/>
  <c r="J40" i="145"/>
  <c r="P40" i="145" s="1"/>
  <c r="H40" i="145"/>
  <c r="F40" i="145"/>
  <c r="B40" i="145"/>
  <c r="W39" i="145"/>
  <c r="V39" i="145"/>
  <c r="N39" i="145"/>
  <c r="K39" i="145"/>
  <c r="J39" i="145"/>
  <c r="P39" i="145" s="1"/>
  <c r="H39" i="145"/>
  <c r="F39" i="145"/>
  <c r="B39" i="145"/>
  <c r="W38" i="145"/>
  <c r="R38" i="145"/>
  <c r="O38" i="145"/>
  <c r="Q38" i="145" s="1"/>
  <c r="N38" i="145"/>
  <c r="AG38" i="145" s="1"/>
  <c r="L38" i="145"/>
  <c r="K38" i="145"/>
  <c r="J38" i="145"/>
  <c r="F38" i="145"/>
  <c r="H38" i="145" s="1"/>
  <c r="B38" i="145"/>
  <c r="AE37" i="145"/>
  <c r="F21" i="144" s="1"/>
  <c r="AD37" i="145"/>
  <c r="AA37" i="145"/>
  <c r="F19" i="144" s="1"/>
  <c r="Z37" i="145"/>
  <c r="F18" i="144" s="1"/>
  <c r="M37" i="145"/>
  <c r="K37" i="145"/>
  <c r="J37" i="145"/>
  <c r="P37" i="145" s="1"/>
  <c r="W36" i="145"/>
  <c r="H36" i="145"/>
  <c r="W35" i="145"/>
  <c r="W34" i="145"/>
  <c r="W33" i="145"/>
  <c r="W32" i="145"/>
  <c r="AG31" i="145"/>
  <c r="AF31" i="145"/>
  <c r="W31" i="145"/>
  <c r="AG30" i="145"/>
  <c r="AF30" i="145"/>
  <c r="W30" i="145"/>
  <c r="V30" i="145"/>
  <c r="W29" i="145"/>
  <c r="N29" i="145" s="1"/>
  <c r="V29" i="145"/>
  <c r="P29" i="145"/>
  <c r="L29" i="145"/>
  <c r="K29" i="145"/>
  <c r="J29" i="145"/>
  <c r="H29" i="145"/>
  <c r="F29" i="145"/>
  <c r="B29" i="145"/>
  <c r="W28" i="145"/>
  <c r="N28" i="145" s="1"/>
  <c r="AG28" i="145" s="1"/>
  <c r="V28" i="145"/>
  <c r="P28" i="145"/>
  <c r="O28" i="145"/>
  <c r="K28" i="145"/>
  <c r="AF28" i="145" s="1"/>
  <c r="J28" i="145"/>
  <c r="H28" i="145"/>
  <c r="F28" i="145"/>
  <c r="B28" i="145"/>
  <c r="W27" i="145"/>
  <c r="Q27" i="145"/>
  <c r="P27" i="145"/>
  <c r="O27" i="145"/>
  <c r="R27" i="145" s="1"/>
  <c r="N27" i="145"/>
  <c r="N37" i="145" s="1"/>
  <c r="L27" i="145"/>
  <c r="L37" i="145" s="1"/>
  <c r="K27" i="145"/>
  <c r="J27" i="145"/>
  <c r="F27" i="145"/>
  <c r="H27" i="145" s="1"/>
  <c r="B27" i="145"/>
  <c r="AE26" i="145"/>
  <c r="E21" i="144" s="1"/>
  <c r="AD26" i="145"/>
  <c r="AA26" i="145"/>
  <c r="Z26" i="145"/>
  <c r="M26" i="145"/>
  <c r="P26" i="145" s="1"/>
  <c r="W25" i="145"/>
  <c r="H25" i="145"/>
  <c r="W24" i="145"/>
  <c r="H24" i="145"/>
  <c r="W23" i="145"/>
  <c r="W21" i="145"/>
  <c r="W20" i="145"/>
  <c r="V20" i="145"/>
  <c r="AG19" i="145"/>
  <c r="AF19" i="145"/>
  <c r="W19" i="145"/>
  <c r="V19" i="145"/>
  <c r="AG18" i="145"/>
  <c r="AF18" i="145"/>
  <c r="W18" i="145"/>
  <c r="N18" i="145" s="1"/>
  <c r="O18" i="145" s="1"/>
  <c r="V18" i="145"/>
  <c r="L18" i="145"/>
  <c r="K18" i="145"/>
  <c r="J18" i="145"/>
  <c r="P18" i="145" s="1"/>
  <c r="F18" i="145"/>
  <c r="H18" i="145" s="1"/>
  <c r="B18" i="145"/>
  <c r="W17" i="145"/>
  <c r="N17" i="145" s="1"/>
  <c r="V17" i="145"/>
  <c r="K17" i="145"/>
  <c r="J17" i="145"/>
  <c r="P17" i="145" s="1"/>
  <c r="F17" i="145"/>
  <c r="H17" i="145" s="1"/>
  <c r="B17" i="145"/>
  <c r="W16" i="145"/>
  <c r="O16" i="145"/>
  <c r="N16" i="145"/>
  <c r="K16" i="145"/>
  <c r="K26" i="145" s="1"/>
  <c r="J16" i="145"/>
  <c r="J26" i="145" s="1"/>
  <c r="H16" i="145"/>
  <c r="F16" i="145"/>
  <c r="B16" i="145"/>
  <c r="AE15" i="145"/>
  <c r="AE2" i="145" s="1"/>
  <c r="AD15" i="145"/>
  <c r="AA15" i="145"/>
  <c r="D19" i="144" s="1"/>
  <c r="Z15" i="145"/>
  <c r="P15" i="145"/>
  <c r="M15" i="145"/>
  <c r="J15" i="145"/>
  <c r="W14" i="145"/>
  <c r="W13" i="145"/>
  <c r="W12" i="145"/>
  <c r="AG11" i="145"/>
  <c r="AF11" i="145"/>
  <c r="W11" i="145"/>
  <c r="AG10" i="145"/>
  <c r="AF10" i="145"/>
  <c r="W10" i="145"/>
  <c r="AG9" i="145"/>
  <c r="AF9" i="145"/>
  <c r="W9" i="145"/>
  <c r="AG8" i="145"/>
  <c r="AF8" i="145"/>
  <c r="W8" i="145"/>
  <c r="AG7" i="145"/>
  <c r="AF7" i="145"/>
  <c r="W7" i="145"/>
  <c r="N7" i="145" s="1"/>
  <c r="O7" i="145" s="1"/>
  <c r="V7" i="145"/>
  <c r="K7" i="145"/>
  <c r="L7" i="145" s="1"/>
  <c r="J7" i="145"/>
  <c r="P7" i="145" s="1"/>
  <c r="F7" i="145"/>
  <c r="H7" i="145" s="1"/>
  <c r="B7" i="145"/>
  <c r="W6" i="145"/>
  <c r="N6" i="145" s="1"/>
  <c r="V6" i="145"/>
  <c r="K6" i="145"/>
  <c r="J6" i="145"/>
  <c r="P6" i="145" s="1"/>
  <c r="F6" i="145"/>
  <c r="H6" i="145" s="1"/>
  <c r="B6" i="145"/>
  <c r="W5" i="145"/>
  <c r="P5" i="145"/>
  <c r="O5" i="145"/>
  <c r="N5" i="145"/>
  <c r="K5" i="145"/>
  <c r="K15" i="145" s="1"/>
  <c r="J5" i="145"/>
  <c r="H5" i="145"/>
  <c r="G1" i="145" s="1"/>
  <c r="F5" i="145"/>
  <c r="B5" i="145"/>
  <c r="I2" i="145"/>
  <c r="G2" i="145"/>
  <c r="E1" i="145"/>
  <c r="J21" i="144"/>
  <c r="I21" i="144"/>
  <c r="H21" i="144"/>
  <c r="D21" i="144"/>
  <c r="J20" i="144"/>
  <c r="I20" i="144"/>
  <c r="H20" i="144"/>
  <c r="G20" i="144"/>
  <c r="F20" i="144"/>
  <c r="D20" i="144"/>
  <c r="J19" i="144"/>
  <c r="H19" i="144"/>
  <c r="G19" i="144"/>
  <c r="E19" i="144"/>
  <c r="J18" i="144"/>
  <c r="H18" i="144"/>
  <c r="E18" i="144"/>
  <c r="J16" i="144"/>
  <c r="I16" i="144"/>
  <c r="H16" i="144"/>
  <c r="G16" i="144"/>
  <c r="F16" i="144"/>
  <c r="E16" i="144"/>
  <c r="D16" i="144"/>
  <c r="F13" i="144"/>
  <c r="AE79" i="143"/>
  <c r="AD79" i="143"/>
  <c r="AA79" i="143"/>
  <c r="Z79" i="143"/>
  <c r="Q79" i="143"/>
  <c r="N79" i="143"/>
  <c r="AF79" i="143" s="1"/>
  <c r="M79" i="143"/>
  <c r="W78" i="143"/>
  <c r="H78" i="143"/>
  <c r="W77" i="143"/>
  <c r="H77" i="143"/>
  <c r="W76" i="143"/>
  <c r="H76" i="143"/>
  <c r="W75" i="143"/>
  <c r="H75" i="143"/>
  <c r="W74" i="143"/>
  <c r="W73" i="143"/>
  <c r="W72" i="143"/>
  <c r="W71" i="143"/>
  <c r="W70" i="143"/>
  <c r="R70" i="143"/>
  <c r="Q70" i="143"/>
  <c r="P70" i="143"/>
  <c r="O70" i="143"/>
  <c r="O79" i="143" s="1"/>
  <c r="N70" i="143"/>
  <c r="AG70" i="143" s="1"/>
  <c r="L70" i="143"/>
  <c r="L79" i="143" s="1"/>
  <c r="J13" i="142" s="1"/>
  <c r="K70" i="143"/>
  <c r="K79" i="143" s="1"/>
  <c r="J70" i="143"/>
  <c r="J79" i="143" s="1"/>
  <c r="P79" i="143" s="1"/>
  <c r="F70" i="143"/>
  <c r="H70" i="143" s="1"/>
  <c r="B70" i="143"/>
  <c r="AE69" i="143"/>
  <c r="I21" i="142" s="1"/>
  <c r="AD69" i="143"/>
  <c r="I20" i="142" s="1"/>
  <c r="AA69" i="143"/>
  <c r="Z69" i="143"/>
  <c r="I18" i="142" s="1"/>
  <c r="M69" i="143"/>
  <c r="W68" i="143"/>
  <c r="H68" i="143"/>
  <c r="W67" i="143"/>
  <c r="W66" i="143"/>
  <c r="W65" i="143"/>
  <c r="W64" i="143"/>
  <c r="W63" i="143"/>
  <c r="AG62" i="143"/>
  <c r="AF62" i="143"/>
  <c r="W62" i="143"/>
  <c r="W61" i="143"/>
  <c r="N61" i="143" s="1"/>
  <c r="V61" i="143"/>
  <c r="P61" i="143"/>
  <c r="K61" i="143"/>
  <c r="L61" i="143" s="1"/>
  <c r="J61" i="143"/>
  <c r="H61" i="143"/>
  <c r="F61" i="143"/>
  <c r="B61" i="143"/>
  <c r="AG60" i="143"/>
  <c r="AF60" i="143"/>
  <c r="W60" i="143"/>
  <c r="V60" i="143"/>
  <c r="P60" i="143"/>
  <c r="N60" i="143"/>
  <c r="O60" i="143" s="1"/>
  <c r="K60" i="143"/>
  <c r="L60" i="143" s="1"/>
  <c r="J60" i="143"/>
  <c r="F60" i="143"/>
  <c r="H60" i="143" s="1"/>
  <c r="B60" i="143"/>
  <c r="W59" i="143"/>
  <c r="N59" i="143" s="1"/>
  <c r="K59" i="143"/>
  <c r="J59" i="143"/>
  <c r="H59" i="143"/>
  <c r="F59" i="143"/>
  <c r="B59" i="143"/>
  <c r="AE58" i="143"/>
  <c r="AD58" i="143"/>
  <c r="H20" i="142" s="1"/>
  <c r="AA58" i="143"/>
  <c r="Z58" i="143"/>
  <c r="M58" i="143"/>
  <c r="K58" i="143"/>
  <c r="W57" i="143"/>
  <c r="W56" i="143"/>
  <c r="W55" i="143"/>
  <c r="W54" i="143"/>
  <c r="AG53" i="143"/>
  <c r="AF53" i="143"/>
  <c r="W53" i="143"/>
  <c r="AG52" i="143"/>
  <c r="AF52" i="143"/>
  <c r="W52" i="143"/>
  <c r="V52" i="143"/>
  <c r="W51" i="143"/>
  <c r="N51" i="143" s="1"/>
  <c r="AG51" i="143" s="1"/>
  <c r="V51" i="143"/>
  <c r="P51" i="143"/>
  <c r="O51" i="143"/>
  <c r="K51" i="143"/>
  <c r="AF51" i="143" s="1"/>
  <c r="J51" i="143"/>
  <c r="H51" i="143"/>
  <c r="F51" i="143"/>
  <c r="B51" i="143"/>
  <c r="W50" i="143"/>
  <c r="V50" i="143"/>
  <c r="P50" i="143"/>
  <c r="N50" i="143"/>
  <c r="AG50" i="143" s="1"/>
  <c r="L50" i="143"/>
  <c r="K50" i="143"/>
  <c r="J50" i="143"/>
  <c r="H50" i="143"/>
  <c r="F50" i="143"/>
  <c r="B50" i="143"/>
  <c r="W49" i="143"/>
  <c r="N49" i="143" s="1"/>
  <c r="P49" i="143"/>
  <c r="K49" i="143"/>
  <c r="J49" i="143"/>
  <c r="J58" i="143" s="1"/>
  <c r="P58" i="143" s="1"/>
  <c r="H49" i="143"/>
  <c r="F49" i="143"/>
  <c r="B49" i="143"/>
  <c r="AE48" i="143"/>
  <c r="AD48" i="143"/>
  <c r="G20" i="142" s="1"/>
  <c r="AA48" i="143"/>
  <c r="G19" i="142" s="1"/>
  <c r="Z48" i="143"/>
  <c r="W48" i="143"/>
  <c r="M48" i="143"/>
  <c r="P48" i="143" s="1"/>
  <c r="K48" i="143"/>
  <c r="J48" i="143"/>
  <c r="W47" i="143"/>
  <c r="H47" i="143"/>
  <c r="W46" i="143"/>
  <c r="W45" i="143"/>
  <c r="W44" i="143"/>
  <c r="W43" i="143"/>
  <c r="W42" i="143"/>
  <c r="AG41" i="143"/>
  <c r="AF41" i="143"/>
  <c r="W41" i="143"/>
  <c r="W40" i="143"/>
  <c r="N40" i="143" s="1"/>
  <c r="V40" i="143"/>
  <c r="P40" i="143"/>
  <c r="L40" i="143"/>
  <c r="K40" i="143"/>
  <c r="J40" i="143"/>
  <c r="H40" i="143"/>
  <c r="F40" i="143"/>
  <c r="B40" i="143"/>
  <c r="W39" i="143"/>
  <c r="V39" i="143"/>
  <c r="P39" i="143"/>
  <c r="O39" i="143"/>
  <c r="N39" i="143"/>
  <c r="AG39" i="143" s="1"/>
  <c r="L39" i="143"/>
  <c r="K39" i="143"/>
  <c r="AF39" i="143" s="1"/>
  <c r="J39" i="143"/>
  <c r="F39" i="143"/>
  <c r="H39" i="143" s="1"/>
  <c r="B39" i="143"/>
  <c r="W38" i="143"/>
  <c r="N38" i="143" s="1"/>
  <c r="P38" i="143"/>
  <c r="K38" i="143"/>
  <c r="J38" i="143"/>
  <c r="L38" i="143" s="1"/>
  <c r="L48" i="143" s="1"/>
  <c r="G13" i="142" s="1"/>
  <c r="F38" i="143"/>
  <c r="H38" i="143" s="1"/>
  <c r="B38" i="143"/>
  <c r="AE37" i="143"/>
  <c r="F21" i="142" s="1"/>
  <c r="AD37" i="143"/>
  <c r="AA37" i="143"/>
  <c r="F19" i="142" s="1"/>
  <c r="Z37" i="143"/>
  <c r="M37" i="143"/>
  <c r="P37" i="143" s="1"/>
  <c r="L37" i="143"/>
  <c r="F13" i="142" s="1"/>
  <c r="K37" i="143"/>
  <c r="J37" i="143"/>
  <c r="W36" i="143"/>
  <c r="H36" i="143"/>
  <c r="W35" i="143"/>
  <c r="W34" i="143"/>
  <c r="W33" i="143"/>
  <c r="W32" i="143"/>
  <c r="AG31" i="143"/>
  <c r="AF31" i="143"/>
  <c r="W31" i="143"/>
  <c r="AG30" i="143"/>
  <c r="AF30" i="143"/>
  <c r="W30" i="143"/>
  <c r="V30" i="143"/>
  <c r="W29" i="143"/>
  <c r="V29" i="143"/>
  <c r="N29" i="143"/>
  <c r="K29" i="143"/>
  <c r="L29" i="143" s="1"/>
  <c r="J29" i="143"/>
  <c r="P29" i="143" s="1"/>
  <c r="H29" i="143"/>
  <c r="F29" i="143"/>
  <c r="B29" i="143"/>
  <c r="W28" i="143"/>
  <c r="V28" i="143"/>
  <c r="R28" i="143"/>
  <c r="Q28" i="143"/>
  <c r="O28" i="143"/>
  <c r="N28" i="143"/>
  <c r="AG28" i="143" s="1"/>
  <c r="L28" i="143"/>
  <c r="K28" i="143"/>
  <c r="J28" i="143"/>
  <c r="P28" i="143" s="1"/>
  <c r="F28" i="143"/>
  <c r="H28" i="143" s="1"/>
  <c r="B28" i="143"/>
  <c r="AG27" i="143"/>
  <c r="W27" i="143"/>
  <c r="N27" i="143" s="1"/>
  <c r="L27" i="143"/>
  <c r="K27" i="143"/>
  <c r="J27" i="143"/>
  <c r="P27" i="143" s="1"/>
  <c r="F27" i="143"/>
  <c r="H27" i="143" s="1"/>
  <c r="B27" i="143"/>
  <c r="AE26" i="143"/>
  <c r="E21" i="142" s="1"/>
  <c r="AD26" i="143"/>
  <c r="AA26" i="143"/>
  <c r="Z26" i="143"/>
  <c r="M26" i="143"/>
  <c r="K26" i="143"/>
  <c r="W25" i="143"/>
  <c r="H25" i="143"/>
  <c r="W24" i="143"/>
  <c r="H24" i="143"/>
  <c r="W23" i="143"/>
  <c r="W21" i="143"/>
  <c r="W20" i="143"/>
  <c r="V20" i="143"/>
  <c r="AG19" i="143"/>
  <c r="AF19" i="143"/>
  <c r="W19" i="143"/>
  <c r="V19" i="143"/>
  <c r="W18" i="143"/>
  <c r="V18" i="143"/>
  <c r="P18" i="143"/>
  <c r="O18" i="143"/>
  <c r="N18" i="143"/>
  <c r="AG18" i="143" s="1"/>
  <c r="L18" i="143"/>
  <c r="K18" i="143"/>
  <c r="AF18" i="143" s="1"/>
  <c r="J18" i="143"/>
  <c r="F18" i="143"/>
  <c r="H18" i="143" s="1"/>
  <c r="B18" i="143"/>
  <c r="W17" i="143"/>
  <c r="V17" i="143"/>
  <c r="R17" i="143"/>
  <c r="P17" i="143"/>
  <c r="O17" i="143"/>
  <c r="Q17" i="143" s="1"/>
  <c r="N17" i="143"/>
  <c r="AG17" i="143" s="1"/>
  <c r="K17" i="143"/>
  <c r="L17" i="143" s="1"/>
  <c r="J17" i="143"/>
  <c r="H17" i="143"/>
  <c r="F17" i="143"/>
  <c r="B17" i="143"/>
  <c r="W16" i="143"/>
  <c r="N16" i="143" s="1"/>
  <c r="K16" i="143"/>
  <c r="L16" i="143" s="1"/>
  <c r="L26" i="143" s="1"/>
  <c r="E13" i="142" s="1"/>
  <c r="J16" i="143"/>
  <c r="H16" i="143"/>
  <c r="F16" i="143"/>
  <c r="B16" i="143"/>
  <c r="AE15" i="143"/>
  <c r="AD15" i="143"/>
  <c r="AA15" i="143"/>
  <c r="AA2" i="143" s="1"/>
  <c r="Z15" i="143"/>
  <c r="Z2" i="143" s="1"/>
  <c r="M15" i="143"/>
  <c r="W14" i="143"/>
  <c r="W13" i="143"/>
  <c r="W12" i="143"/>
  <c r="AG11" i="143"/>
  <c r="AF11" i="143"/>
  <c r="W11" i="143"/>
  <c r="AG10" i="143"/>
  <c r="AF10" i="143"/>
  <c r="W10" i="143"/>
  <c r="AG9" i="143"/>
  <c r="AF9" i="143"/>
  <c r="W9" i="143"/>
  <c r="AG8" i="143"/>
  <c r="AF8" i="143"/>
  <c r="W8" i="143"/>
  <c r="W7" i="143"/>
  <c r="N7" i="143" s="1"/>
  <c r="V7" i="143"/>
  <c r="P7" i="143"/>
  <c r="K7" i="143"/>
  <c r="J7" i="143"/>
  <c r="L7" i="143" s="1"/>
  <c r="F7" i="143"/>
  <c r="H7" i="143" s="1"/>
  <c r="B7" i="143"/>
  <c r="W6" i="143"/>
  <c r="N6" i="143" s="1"/>
  <c r="V6" i="143"/>
  <c r="K6" i="143"/>
  <c r="L6" i="143" s="1"/>
  <c r="J6" i="143"/>
  <c r="P6" i="143" s="1"/>
  <c r="H6" i="143"/>
  <c r="F6" i="143"/>
  <c r="B6" i="143"/>
  <c r="W5" i="143"/>
  <c r="N5" i="143"/>
  <c r="K5" i="143"/>
  <c r="J5" i="143"/>
  <c r="J15" i="143" s="1"/>
  <c r="H5" i="143"/>
  <c r="F5" i="143"/>
  <c r="B5" i="143"/>
  <c r="I2" i="143"/>
  <c r="G2" i="143"/>
  <c r="G1" i="143"/>
  <c r="E1" i="143"/>
  <c r="J21" i="142"/>
  <c r="H21" i="142"/>
  <c r="G21" i="142"/>
  <c r="D21" i="142"/>
  <c r="J20" i="142"/>
  <c r="F20" i="142"/>
  <c r="E20" i="142"/>
  <c r="D20" i="142"/>
  <c r="J19" i="142"/>
  <c r="I19" i="142"/>
  <c r="H19" i="142"/>
  <c r="E19" i="142"/>
  <c r="D19" i="142"/>
  <c r="J18" i="142"/>
  <c r="H18" i="142"/>
  <c r="G18" i="142"/>
  <c r="F18" i="142"/>
  <c r="E18" i="142"/>
  <c r="D18" i="142"/>
  <c r="J16" i="142"/>
  <c r="I16" i="142"/>
  <c r="H16" i="142"/>
  <c r="G16" i="142"/>
  <c r="F16" i="142"/>
  <c r="E16" i="142"/>
  <c r="D16" i="142"/>
  <c r="AE79" i="141"/>
  <c r="J21" i="140" s="1"/>
  <c r="AD79" i="141"/>
  <c r="J20" i="140" s="1"/>
  <c r="AA79" i="141"/>
  <c r="Z79" i="141"/>
  <c r="M79" i="141"/>
  <c r="K79" i="141"/>
  <c r="W78" i="141"/>
  <c r="H78" i="141"/>
  <c r="W77" i="141"/>
  <c r="H77" i="141"/>
  <c r="W76" i="141"/>
  <c r="H76" i="141"/>
  <c r="W75" i="141"/>
  <c r="H75" i="141"/>
  <c r="W74" i="141"/>
  <c r="W73" i="141"/>
  <c r="W72" i="141"/>
  <c r="W71" i="141"/>
  <c r="W70" i="141"/>
  <c r="N70" i="141"/>
  <c r="K70" i="141"/>
  <c r="J70" i="141"/>
  <c r="H70" i="141"/>
  <c r="F70" i="141"/>
  <c r="B70" i="141"/>
  <c r="AE69" i="141"/>
  <c r="AD69" i="141"/>
  <c r="AA69" i="141"/>
  <c r="Z69" i="141"/>
  <c r="P69" i="141"/>
  <c r="M69" i="141"/>
  <c r="J69" i="141"/>
  <c r="W68" i="141"/>
  <c r="H68" i="141"/>
  <c r="W67" i="141"/>
  <c r="W66" i="141"/>
  <c r="W65" i="141"/>
  <c r="W64" i="141"/>
  <c r="W63" i="141"/>
  <c r="AG62" i="141"/>
  <c r="AF62" i="141"/>
  <c r="W62" i="141"/>
  <c r="W61" i="141"/>
  <c r="V61" i="141"/>
  <c r="R61" i="141"/>
  <c r="O61" i="141"/>
  <c r="Q61" i="141" s="1"/>
  <c r="N61" i="141"/>
  <c r="L61" i="141"/>
  <c r="K61" i="141"/>
  <c r="J61" i="141"/>
  <c r="P61" i="141" s="1"/>
  <c r="F61" i="141"/>
  <c r="H61" i="141" s="1"/>
  <c r="B61" i="141"/>
  <c r="AF60" i="141"/>
  <c r="W60" i="141"/>
  <c r="N60" i="141" s="1"/>
  <c r="V60" i="141"/>
  <c r="P60" i="141"/>
  <c r="K60" i="141"/>
  <c r="L60" i="141" s="1"/>
  <c r="J60" i="141"/>
  <c r="F60" i="141"/>
  <c r="H60" i="141" s="1"/>
  <c r="B60" i="141"/>
  <c r="W59" i="141"/>
  <c r="N59" i="141" s="1"/>
  <c r="P59" i="141"/>
  <c r="K59" i="141"/>
  <c r="J59" i="141"/>
  <c r="H59" i="141"/>
  <c r="F59" i="141"/>
  <c r="B59" i="141"/>
  <c r="AE58" i="141"/>
  <c r="AD58" i="141"/>
  <c r="AA58" i="141"/>
  <c r="Z58" i="141"/>
  <c r="M58" i="141"/>
  <c r="P58" i="141" s="1"/>
  <c r="W57" i="141"/>
  <c r="W56" i="141"/>
  <c r="W55" i="141"/>
  <c r="W54" i="141"/>
  <c r="AG53" i="141"/>
  <c r="AF53" i="141"/>
  <c r="W53" i="141"/>
  <c r="AG52" i="141"/>
  <c r="AF52" i="141"/>
  <c r="W52" i="141"/>
  <c r="V52" i="141"/>
  <c r="W51" i="141"/>
  <c r="V51" i="141"/>
  <c r="Q51" i="141"/>
  <c r="O51" i="141"/>
  <c r="R51" i="141" s="1"/>
  <c r="N51" i="141"/>
  <c r="L51" i="141"/>
  <c r="K51" i="141"/>
  <c r="J51" i="141"/>
  <c r="P51" i="141" s="1"/>
  <c r="F51" i="141"/>
  <c r="H51" i="141" s="1"/>
  <c r="B51" i="141"/>
  <c r="W50" i="141"/>
  <c r="N50" i="141" s="1"/>
  <c r="V50" i="141"/>
  <c r="P50" i="141"/>
  <c r="K50" i="141"/>
  <c r="L50" i="141" s="1"/>
  <c r="J50" i="141"/>
  <c r="F50" i="141"/>
  <c r="H50" i="141" s="1"/>
  <c r="B50" i="141"/>
  <c r="W49" i="141"/>
  <c r="N49" i="141" s="1"/>
  <c r="P49" i="141"/>
  <c r="L49" i="141"/>
  <c r="L58" i="141" s="1"/>
  <c r="H13" i="140" s="1"/>
  <c r="K49" i="141"/>
  <c r="K58" i="141" s="1"/>
  <c r="J49" i="141"/>
  <c r="J58" i="141" s="1"/>
  <c r="H49" i="141"/>
  <c r="F49" i="141"/>
  <c r="B49" i="141"/>
  <c r="AE48" i="141"/>
  <c r="AD48" i="141"/>
  <c r="AA48" i="141"/>
  <c r="Z48" i="141"/>
  <c r="G18" i="140" s="1"/>
  <c r="W48" i="141"/>
  <c r="P48" i="141"/>
  <c r="M48" i="141"/>
  <c r="J48" i="141"/>
  <c r="W47" i="141"/>
  <c r="H47" i="141"/>
  <c r="W46" i="141"/>
  <c r="W45" i="141"/>
  <c r="W44" i="141"/>
  <c r="W43" i="141"/>
  <c r="W42" i="141"/>
  <c r="AG41" i="141"/>
  <c r="AF41" i="141"/>
  <c r="W41" i="141"/>
  <c r="W40" i="141"/>
  <c r="V40" i="141"/>
  <c r="O40" i="141"/>
  <c r="R40" i="141" s="1"/>
  <c r="N40" i="141"/>
  <c r="L40" i="141"/>
  <c r="K40" i="141"/>
  <c r="J40" i="141"/>
  <c r="P40" i="141" s="1"/>
  <c r="F40" i="141"/>
  <c r="H40" i="141" s="1"/>
  <c r="B40" i="141"/>
  <c r="AF39" i="141"/>
  <c r="W39" i="141"/>
  <c r="N39" i="141" s="1"/>
  <c r="V39" i="141"/>
  <c r="P39" i="141"/>
  <c r="K39" i="141"/>
  <c r="L39" i="141" s="1"/>
  <c r="J39" i="141"/>
  <c r="F39" i="141"/>
  <c r="H39" i="141" s="1"/>
  <c r="B39" i="141"/>
  <c r="AG38" i="141"/>
  <c r="W38" i="141"/>
  <c r="N38" i="141" s="1"/>
  <c r="O38" i="141" s="1"/>
  <c r="P38" i="141"/>
  <c r="L38" i="141"/>
  <c r="L48" i="141" s="1"/>
  <c r="G13" i="140" s="1"/>
  <c r="K38" i="141"/>
  <c r="K48" i="141" s="1"/>
  <c r="J38" i="141"/>
  <c r="H38" i="141"/>
  <c r="F38" i="141"/>
  <c r="B38" i="141"/>
  <c r="AE37" i="141"/>
  <c r="F21" i="140" s="1"/>
  <c r="AD37" i="141"/>
  <c r="AA37" i="141"/>
  <c r="Z37" i="141"/>
  <c r="M37" i="141"/>
  <c r="W36" i="141"/>
  <c r="H36" i="141"/>
  <c r="W35" i="141"/>
  <c r="W34" i="141"/>
  <c r="W33" i="141"/>
  <c r="W32" i="141"/>
  <c r="AG31" i="141"/>
  <c r="AF31" i="141"/>
  <c r="W31" i="141"/>
  <c r="AG30" i="141"/>
  <c r="AF30" i="141"/>
  <c r="W30" i="141"/>
  <c r="V30" i="141"/>
  <c r="W29" i="141"/>
  <c r="N29" i="141" s="1"/>
  <c r="V29" i="141"/>
  <c r="Q29" i="141"/>
  <c r="P29" i="141"/>
  <c r="O29" i="141"/>
  <c r="R29" i="141" s="1"/>
  <c r="K29" i="141"/>
  <c r="J29" i="141"/>
  <c r="L29" i="141" s="1"/>
  <c r="F29" i="141"/>
  <c r="H29" i="141" s="1"/>
  <c r="B29" i="141"/>
  <c r="W28" i="141"/>
  <c r="N28" i="141" s="1"/>
  <c r="V28" i="141"/>
  <c r="K28" i="141"/>
  <c r="J28" i="141"/>
  <c r="P28" i="141" s="1"/>
  <c r="H28" i="141"/>
  <c r="F28" i="141"/>
  <c r="B28" i="141"/>
  <c r="AG27" i="141"/>
  <c r="W27" i="141"/>
  <c r="N27" i="141"/>
  <c r="K27" i="141"/>
  <c r="J27" i="141"/>
  <c r="H27" i="141"/>
  <c r="F27" i="141"/>
  <c r="B27" i="141"/>
  <c r="AE26" i="141"/>
  <c r="AD26" i="141"/>
  <c r="E20" i="140" s="1"/>
  <c r="AA26" i="141"/>
  <c r="E19" i="140" s="1"/>
  <c r="Z26" i="141"/>
  <c r="E18" i="140" s="1"/>
  <c r="M26" i="141"/>
  <c r="I1" i="141" s="1"/>
  <c r="W25" i="141"/>
  <c r="H25" i="141"/>
  <c r="W24" i="141"/>
  <c r="H24" i="141"/>
  <c r="W23" i="141"/>
  <c r="W21" i="141"/>
  <c r="W20" i="141"/>
  <c r="V20" i="141"/>
  <c r="AG19" i="141"/>
  <c r="AF19" i="141"/>
  <c r="W19" i="141"/>
  <c r="V19" i="141"/>
  <c r="W18" i="141"/>
  <c r="N18" i="141" s="1"/>
  <c r="V18" i="141"/>
  <c r="P18" i="141"/>
  <c r="K18" i="141"/>
  <c r="L18" i="141" s="1"/>
  <c r="J18" i="141"/>
  <c r="F18" i="141"/>
  <c r="H18" i="141" s="1"/>
  <c r="B18" i="141"/>
  <c r="W17" i="141"/>
  <c r="N17" i="141" s="1"/>
  <c r="V17" i="141"/>
  <c r="K17" i="141"/>
  <c r="J17" i="141"/>
  <c r="P17" i="141" s="1"/>
  <c r="F17" i="141"/>
  <c r="H17" i="141" s="1"/>
  <c r="B17" i="141"/>
  <c r="W16" i="141"/>
  <c r="P16" i="141"/>
  <c r="O16" i="141"/>
  <c r="N16" i="141"/>
  <c r="K16" i="141"/>
  <c r="J16" i="141"/>
  <c r="J26" i="141" s="1"/>
  <c r="P26" i="141" s="1"/>
  <c r="F16" i="141"/>
  <c r="H16" i="141" s="1"/>
  <c r="B16" i="141"/>
  <c r="AE15" i="141"/>
  <c r="AD15" i="141"/>
  <c r="AA15" i="141"/>
  <c r="D19" i="140" s="1"/>
  <c r="Z15" i="141"/>
  <c r="M15" i="141"/>
  <c r="W14" i="141"/>
  <c r="W13" i="141"/>
  <c r="W12" i="141"/>
  <c r="AG11" i="141"/>
  <c r="AF11" i="141"/>
  <c r="W11" i="141"/>
  <c r="AG10" i="141"/>
  <c r="AF10" i="141"/>
  <c r="W10" i="141"/>
  <c r="AG9" i="141"/>
  <c r="AF9" i="141"/>
  <c r="W9" i="141"/>
  <c r="AG8" i="141"/>
  <c r="AF8" i="141"/>
  <c r="W8" i="141"/>
  <c r="AG7" i="141"/>
  <c r="W7" i="141"/>
  <c r="N7" i="141" s="1"/>
  <c r="O7" i="141" s="1"/>
  <c r="V7" i="141"/>
  <c r="P7" i="141"/>
  <c r="L7" i="141"/>
  <c r="K7" i="141"/>
  <c r="J7" i="141"/>
  <c r="F7" i="141"/>
  <c r="H7" i="141" s="1"/>
  <c r="B7" i="141"/>
  <c r="W6" i="141"/>
  <c r="V6" i="141"/>
  <c r="P6" i="141"/>
  <c r="O6" i="141"/>
  <c r="N6" i="141"/>
  <c r="K6" i="141"/>
  <c r="AF6" i="141" s="1"/>
  <c r="J6" i="141"/>
  <c r="F6" i="141"/>
  <c r="H6" i="141" s="1"/>
  <c r="B6" i="141"/>
  <c r="W5" i="141"/>
  <c r="N5" i="141" s="1"/>
  <c r="P5" i="141"/>
  <c r="O5" i="141"/>
  <c r="K5" i="141"/>
  <c r="K15" i="141" s="1"/>
  <c r="J5" i="141"/>
  <c r="L5" i="141" s="1"/>
  <c r="L15" i="141" s="1"/>
  <c r="F5" i="141"/>
  <c r="H5" i="141" s="1"/>
  <c r="G1" i="141" s="1"/>
  <c r="G2" i="141" s="1"/>
  <c r="B5" i="141"/>
  <c r="AE2" i="141"/>
  <c r="I2" i="141"/>
  <c r="E1" i="141"/>
  <c r="I21" i="140"/>
  <c r="H21" i="140"/>
  <c r="G21" i="140"/>
  <c r="E21" i="140"/>
  <c r="D21" i="140"/>
  <c r="I20" i="140"/>
  <c r="H20" i="140"/>
  <c r="G20" i="140"/>
  <c r="F20" i="140"/>
  <c r="J19" i="140"/>
  <c r="I19" i="140"/>
  <c r="H19" i="140"/>
  <c r="G19" i="140"/>
  <c r="F19" i="140"/>
  <c r="J18" i="140"/>
  <c r="I18" i="140"/>
  <c r="H18" i="140"/>
  <c r="F18" i="140"/>
  <c r="D18" i="140"/>
  <c r="J16" i="140"/>
  <c r="I16" i="140"/>
  <c r="H16" i="140"/>
  <c r="G16" i="140"/>
  <c r="F16" i="140"/>
  <c r="E16" i="140"/>
  <c r="D16" i="140"/>
  <c r="D13" i="140"/>
  <c r="F6" i="140" s="1"/>
  <c r="AG79" i="139"/>
  <c r="AH70" i="139" s="1"/>
  <c r="AE79" i="139"/>
  <c r="J21" i="138" s="1"/>
  <c r="AD79" i="139"/>
  <c r="J20" i="138" s="1"/>
  <c r="AA79" i="139"/>
  <c r="J18" i="138" s="1"/>
  <c r="Z79" i="139"/>
  <c r="P79" i="139"/>
  <c r="N79" i="139"/>
  <c r="AF79" i="139" s="1"/>
  <c r="M79" i="139"/>
  <c r="J79" i="139"/>
  <c r="W78" i="139"/>
  <c r="H78" i="139"/>
  <c r="W77" i="139"/>
  <c r="H77" i="139"/>
  <c r="W76" i="139"/>
  <c r="H76" i="139"/>
  <c r="W75" i="139"/>
  <c r="H75" i="139"/>
  <c r="W74" i="139"/>
  <c r="W73" i="139"/>
  <c r="W72" i="139"/>
  <c r="W71" i="139"/>
  <c r="AG70" i="139"/>
  <c r="W70" i="139"/>
  <c r="P70" i="139"/>
  <c r="O70" i="139"/>
  <c r="N70" i="139"/>
  <c r="AF70" i="139" s="1"/>
  <c r="K70" i="139"/>
  <c r="K79" i="139" s="1"/>
  <c r="J70" i="139"/>
  <c r="H70" i="139"/>
  <c r="F70" i="139"/>
  <c r="B70" i="139"/>
  <c r="AE69" i="139"/>
  <c r="AD69" i="139"/>
  <c r="I20" i="138" s="1"/>
  <c r="AA69" i="139"/>
  <c r="Z69" i="139"/>
  <c r="I18" i="138" s="1"/>
  <c r="M69" i="139"/>
  <c r="K69" i="139"/>
  <c r="W68" i="139"/>
  <c r="H68" i="139"/>
  <c r="W67" i="139"/>
  <c r="W66" i="139"/>
  <c r="W65" i="139"/>
  <c r="W64" i="139"/>
  <c r="W63" i="139"/>
  <c r="AG62" i="139"/>
  <c r="AF62" i="139"/>
  <c r="W62" i="139"/>
  <c r="W61" i="139"/>
  <c r="V61" i="139"/>
  <c r="P61" i="139"/>
  <c r="N61" i="139"/>
  <c r="K61" i="139"/>
  <c r="J61" i="139"/>
  <c r="H61" i="139"/>
  <c r="F61" i="139"/>
  <c r="B61" i="139"/>
  <c r="W60" i="139"/>
  <c r="V60" i="139"/>
  <c r="N60" i="139"/>
  <c r="L60" i="139"/>
  <c r="K60" i="139"/>
  <c r="J60" i="139"/>
  <c r="P60" i="139" s="1"/>
  <c r="H60" i="139"/>
  <c r="F60" i="139"/>
  <c r="B60" i="139"/>
  <c r="W59" i="139"/>
  <c r="O59" i="139"/>
  <c r="N59" i="139"/>
  <c r="K59" i="139"/>
  <c r="J59" i="139"/>
  <c r="F59" i="139"/>
  <c r="H59" i="139" s="1"/>
  <c r="B59" i="139"/>
  <c r="AE58" i="139"/>
  <c r="AD58" i="139"/>
  <c r="AA58" i="139"/>
  <c r="Z58" i="139"/>
  <c r="H18" i="138" s="1"/>
  <c r="M58" i="139"/>
  <c r="K58" i="139"/>
  <c r="W57" i="139"/>
  <c r="W56" i="139"/>
  <c r="W55" i="139"/>
  <c r="W54" i="139"/>
  <c r="AG53" i="139"/>
  <c r="AF53" i="139"/>
  <c r="W53" i="139"/>
  <c r="AG52" i="139"/>
  <c r="AF52" i="139"/>
  <c r="W52" i="139"/>
  <c r="V52" i="139"/>
  <c r="W51" i="139"/>
  <c r="V51" i="139"/>
  <c r="N51" i="139"/>
  <c r="K51" i="139"/>
  <c r="L51" i="139" s="1"/>
  <c r="J51" i="139"/>
  <c r="P51" i="139" s="1"/>
  <c r="F51" i="139"/>
  <c r="H51" i="139" s="1"/>
  <c r="B51" i="139"/>
  <c r="W50" i="139"/>
  <c r="V50" i="139"/>
  <c r="N50" i="139"/>
  <c r="O50" i="139" s="1"/>
  <c r="L50" i="139"/>
  <c r="Q50" i="139" s="1"/>
  <c r="K50" i="139"/>
  <c r="AG50" i="139" s="1"/>
  <c r="J50" i="139"/>
  <c r="P50" i="139" s="1"/>
  <c r="F50" i="139"/>
  <c r="H50" i="139" s="1"/>
  <c r="B50" i="139"/>
  <c r="W49" i="139"/>
  <c r="N49" i="139"/>
  <c r="L49" i="139"/>
  <c r="L58" i="139" s="1"/>
  <c r="H13" i="138" s="1"/>
  <c r="K49" i="139"/>
  <c r="J49" i="139"/>
  <c r="P49" i="139" s="1"/>
  <c r="F49" i="139"/>
  <c r="H49" i="139" s="1"/>
  <c r="B49" i="139"/>
  <c r="AE48" i="139"/>
  <c r="G21" i="138" s="1"/>
  <c r="AD48" i="139"/>
  <c r="AA48" i="139"/>
  <c r="Z48" i="139"/>
  <c r="G18" i="138" s="1"/>
  <c r="W48" i="139"/>
  <c r="M48" i="139"/>
  <c r="K48" i="139"/>
  <c r="J48" i="139"/>
  <c r="P48" i="139" s="1"/>
  <c r="W47" i="139"/>
  <c r="H47" i="139"/>
  <c r="W46" i="139"/>
  <c r="W45" i="139"/>
  <c r="W44" i="139"/>
  <c r="W43" i="139"/>
  <c r="W42" i="139"/>
  <c r="AG41" i="139"/>
  <c r="AF41" i="139"/>
  <c r="W41" i="139"/>
  <c r="AG40" i="139"/>
  <c r="AF40" i="139"/>
  <c r="W40" i="139"/>
  <c r="V40" i="139"/>
  <c r="N40" i="139"/>
  <c r="O40" i="139" s="1"/>
  <c r="K40" i="139"/>
  <c r="L40" i="139" s="1"/>
  <c r="R40" i="139" s="1"/>
  <c r="J40" i="139"/>
  <c r="P40" i="139" s="1"/>
  <c r="H40" i="139"/>
  <c r="F40" i="139"/>
  <c r="B40" i="139"/>
  <c r="W39" i="139"/>
  <c r="V39" i="139"/>
  <c r="N39" i="139"/>
  <c r="O39" i="139" s="1"/>
  <c r="K39" i="139"/>
  <c r="J39" i="139"/>
  <c r="P39" i="139" s="1"/>
  <c r="H39" i="139"/>
  <c r="F39" i="139"/>
  <c r="B39" i="139"/>
  <c r="W38" i="139"/>
  <c r="N38" i="139"/>
  <c r="L38" i="139"/>
  <c r="L48" i="139" s="1"/>
  <c r="G13" i="138" s="1"/>
  <c r="K38" i="139"/>
  <c r="J38" i="139"/>
  <c r="P38" i="139" s="1"/>
  <c r="F38" i="139"/>
  <c r="H38" i="139" s="1"/>
  <c r="B38" i="139"/>
  <c r="AE37" i="139"/>
  <c r="AD37" i="139"/>
  <c r="F20" i="138" s="1"/>
  <c r="AA37" i="139"/>
  <c r="F19" i="138" s="1"/>
  <c r="Z37" i="139"/>
  <c r="N37" i="139"/>
  <c r="M37" i="139"/>
  <c r="K37" i="139"/>
  <c r="W36" i="139"/>
  <c r="H36" i="139"/>
  <c r="W35" i="139"/>
  <c r="W34" i="139"/>
  <c r="W33" i="139"/>
  <c r="W32" i="139"/>
  <c r="AG31" i="139"/>
  <c r="AF31" i="139"/>
  <c r="W31" i="139"/>
  <c r="AG30" i="139"/>
  <c r="AF30" i="139"/>
  <c r="W30" i="139"/>
  <c r="V30" i="139"/>
  <c r="W29" i="139"/>
  <c r="N29" i="139" s="1"/>
  <c r="O29" i="139" s="1"/>
  <c r="V29" i="139"/>
  <c r="K29" i="139"/>
  <c r="AG29" i="139" s="1"/>
  <c r="J29" i="139"/>
  <c r="P29" i="139" s="1"/>
  <c r="F29" i="139"/>
  <c r="H29" i="139" s="1"/>
  <c r="B29" i="139"/>
  <c r="W28" i="139"/>
  <c r="V28" i="139"/>
  <c r="N28" i="139"/>
  <c r="L28" i="139"/>
  <c r="K28" i="139"/>
  <c r="AF28" i="139" s="1"/>
  <c r="J28" i="139"/>
  <c r="P28" i="139" s="1"/>
  <c r="F28" i="139"/>
  <c r="H28" i="139" s="1"/>
  <c r="B28" i="139"/>
  <c r="W27" i="139"/>
  <c r="N27" i="139" s="1"/>
  <c r="K27" i="139"/>
  <c r="J27" i="139"/>
  <c r="F27" i="139"/>
  <c r="H27" i="139" s="1"/>
  <c r="B27" i="139"/>
  <c r="AE26" i="139"/>
  <c r="AD26" i="139"/>
  <c r="E20" i="138" s="1"/>
  <c r="AA26" i="139"/>
  <c r="E19" i="138" s="1"/>
  <c r="Z26" i="139"/>
  <c r="M26" i="139"/>
  <c r="P26" i="139" s="1"/>
  <c r="J26" i="139"/>
  <c r="W25" i="139"/>
  <c r="H25" i="139"/>
  <c r="W24" i="139"/>
  <c r="H24" i="139"/>
  <c r="W23" i="139"/>
  <c r="W21" i="139"/>
  <c r="W20" i="139"/>
  <c r="V20" i="139"/>
  <c r="AG19" i="139"/>
  <c r="AF19" i="139"/>
  <c r="W19" i="139"/>
  <c r="V19" i="139"/>
  <c r="W18" i="139"/>
  <c r="V18" i="139"/>
  <c r="N18" i="139"/>
  <c r="O18" i="139" s="1"/>
  <c r="K18" i="139"/>
  <c r="J18" i="139"/>
  <c r="P18" i="139" s="1"/>
  <c r="F18" i="139"/>
  <c r="H18" i="139" s="1"/>
  <c r="B18" i="139"/>
  <c r="W17" i="139"/>
  <c r="V17" i="139"/>
  <c r="P17" i="139"/>
  <c r="N17" i="139"/>
  <c r="L17" i="139"/>
  <c r="K17" i="139"/>
  <c r="J17" i="139"/>
  <c r="H17" i="139"/>
  <c r="F17" i="139"/>
  <c r="B17" i="139"/>
  <c r="W16" i="139"/>
  <c r="P16" i="139"/>
  <c r="N16" i="139"/>
  <c r="K16" i="139"/>
  <c r="K26" i="139" s="1"/>
  <c r="J16" i="139"/>
  <c r="F16" i="139"/>
  <c r="H16" i="139" s="1"/>
  <c r="B16" i="139"/>
  <c r="AE15" i="139"/>
  <c r="AD15" i="139"/>
  <c r="AA15" i="139"/>
  <c r="Z15" i="139"/>
  <c r="M15" i="139"/>
  <c r="W14" i="139"/>
  <c r="W13" i="139"/>
  <c r="W12" i="139"/>
  <c r="AG11" i="139"/>
  <c r="AF11" i="139"/>
  <c r="W11" i="139"/>
  <c r="AG10" i="139"/>
  <c r="AF10" i="139"/>
  <c r="W10" i="139"/>
  <c r="AG9" i="139"/>
  <c r="AF9" i="139"/>
  <c r="W9" i="139"/>
  <c r="AG8" i="139"/>
  <c r="AF8" i="139"/>
  <c r="W8" i="139"/>
  <c r="AG7" i="139"/>
  <c r="AF7" i="139"/>
  <c r="W7" i="139"/>
  <c r="V7" i="139"/>
  <c r="P7" i="139"/>
  <c r="N7" i="139"/>
  <c r="O7" i="139" s="1"/>
  <c r="L7" i="139"/>
  <c r="K7" i="139"/>
  <c r="J7" i="139"/>
  <c r="F7" i="139"/>
  <c r="H7" i="139" s="1"/>
  <c r="B7" i="139"/>
  <c r="W6" i="139"/>
  <c r="N6" i="139" s="1"/>
  <c r="V6" i="139"/>
  <c r="P6" i="139"/>
  <c r="K6" i="139"/>
  <c r="L6" i="139" s="1"/>
  <c r="J6" i="139"/>
  <c r="F6" i="139"/>
  <c r="H6" i="139" s="1"/>
  <c r="B6" i="139"/>
  <c r="AG5" i="139"/>
  <c r="AF5" i="139"/>
  <c r="W5" i="139"/>
  <c r="N5" i="139" s="1"/>
  <c r="O5" i="139" s="1"/>
  <c r="K5" i="139"/>
  <c r="K15" i="139" s="1"/>
  <c r="J5" i="139"/>
  <c r="H5" i="139"/>
  <c r="G1" i="139" s="1"/>
  <c r="G2" i="139" s="1"/>
  <c r="F5" i="139"/>
  <c r="B5" i="139"/>
  <c r="AD2" i="139"/>
  <c r="AA2" i="139"/>
  <c r="I2" i="139"/>
  <c r="E1" i="139"/>
  <c r="J22" i="138"/>
  <c r="G22" i="138"/>
  <c r="I21" i="138"/>
  <c r="H21" i="138"/>
  <c r="F21" i="138"/>
  <c r="E21" i="138"/>
  <c r="D21" i="138"/>
  <c r="H20" i="138"/>
  <c r="G20" i="138"/>
  <c r="D20" i="138"/>
  <c r="J19" i="138"/>
  <c r="I19" i="138"/>
  <c r="H19" i="138"/>
  <c r="G19" i="138"/>
  <c r="D19" i="138"/>
  <c r="F18" i="138"/>
  <c r="E18" i="138"/>
  <c r="D18" i="138"/>
  <c r="J16" i="138"/>
  <c r="I16" i="138"/>
  <c r="H16" i="138"/>
  <c r="G16" i="138"/>
  <c r="F16" i="138"/>
  <c r="E16" i="138"/>
  <c r="D16" i="138"/>
  <c r="AE79" i="137"/>
  <c r="J21" i="136" s="1"/>
  <c r="AD79" i="137"/>
  <c r="J20" i="136" s="1"/>
  <c r="AA79" i="137"/>
  <c r="J18" i="136" s="1"/>
  <c r="Z79" i="137"/>
  <c r="M79" i="137"/>
  <c r="J79" i="137"/>
  <c r="W78" i="137"/>
  <c r="H78" i="137"/>
  <c r="W77" i="137"/>
  <c r="H77" i="137"/>
  <c r="W76" i="137"/>
  <c r="H76" i="137"/>
  <c r="W75" i="137"/>
  <c r="H75" i="137"/>
  <c r="W74" i="137"/>
  <c r="W73" i="137"/>
  <c r="W72" i="137"/>
  <c r="W71" i="137"/>
  <c r="W70" i="137"/>
  <c r="N70" i="137" s="1"/>
  <c r="AF70" i="137" s="1"/>
  <c r="P70" i="137"/>
  <c r="K70" i="137"/>
  <c r="J70" i="137"/>
  <c r="F70" i="137"/>
  <c r="H70" i="137" s="1"/>
  <c r="B70" i="137"/>
  <c r="AE69" i="137"/>
  <c r="I21" i="136" s="1"/>
  <c r="AD69" i="137"/>
  <c r="I20" i="136" s="1"/>
  <c r="AA69" i="137"/>
  <c r="I19" i="136" s="1"/>
  <c r="Z69" i="137"/>
  <c r="M69" i="137"/>
  <c r="W68" i="137"/>
  <c r="H68" i="137"/>
  <c r="W67" i="137"/>
  <c r="W66" i="137"/>
  <c r="W65" i="137"/>
  <c r="W64" i="137"/>
  <c r="W63" i="137"/>
  <c r="AG62" i="137"/>
  <c r="AF62" i="137"/>
  <c r="W62" i="137"/>
  <c r="W61" i="137"/>
  <c r="V61" i="137"/>
  <c r="Q61" i="137"/>
  <c r="P61" i="137"/>
  <c r="O61" i="137"/>
  <c r="R61" i="137" s="1"/>
  <c r="N61" i="137"/>
  <c r="L61" i="137"/>
  <c r="K61" i="137"/>
  <c r="J61" i="137"/>
  <c r="F61" i="137"/>
  <c r="H61" i="137" s="1"/>
  <c r="B61" i="137"/>
  <c r="W60" i="137"/>
  <c r="V60" i="137"/>
  <c r="P60" i="137"/>
  <c r="N60" i="137"/>
  <c r="AF60" i="137" s="1"/>
  <c r="K60" i="137"/>
  <c r="L60" i="137" s="1"/>
  <c r="J60" i="137"/>
  <c r="H60" i="137"/>
  <c r="F60" i="137"/>
  <c r="B60" i="137"/>
  <c r="W59" i="137"/>
  <c r="N59" i="137" s="1"/>
  <c r="P59" i="137"/>
  <c r="K59" i="137"/>
  <c r="J59" i="137"/>
  <c r="J69" i="137" s="1"/>
  <c r="P69" i="137" s="1"/>
  <c r="H59" i="137"/>
  <c r="F59" i="137"/>
  <c r="B59" i="137"/>
  <c r="AE58" i="137"/>
  <c r="AD58" i="137"/>
  <c r="H20" i="136" s="1"/>
  <c r="AA58" i="137"/>
  <c r="H19" i="136" s="1"/>
  <c r="Z58" i="137"/>
  <c r="M58" i="137"/>
  <c r="P58" i="137" s="1"/>
  <c r="K58" i="137"/>
  <c r="W57" i="137"/>
  <c r="W56" i="137"/>
  <c r="W55" i="137"/>
  <c r="W54" i="137"/>
  <c r="AG53" i="137"/>
  <c r="AF53" i="137"/>
  <c r="W53" i="137"/>
  <c r="AG52" i="137"/>
  <c r="AF52" i="137"/>
  <c r="W52" i="137"/>
  <c r="V52" i="137"/>
  <c r="AF51" i="137"/>
  <c r="W51" i="137"/>
  <c r="N51" i="137" s="1"/>
  <c r="V51" i="137"/>
  <c r="P51" i="137"/>
  <c r="K51" i="137"/>
  <c r="L51" i="137" s="1"/>
  <c r="J51" i="137"/>
  <c r="F51" i="137"/>
  <c r="H51" i="137" s="1"/>
  <c r="B51" i="137"/>
  <c r="W50" i="137"/>
  <c r="N50" i="137" s="1"/>
  <c r="V50" i="137"/>
  <c r="P50" i="137"/>
  <c r="K50" i="137"/>
  <c r="J50" i="137"/>
  <c r="H50" i="137"/>
  <c r="F50" i="137"/>
  <c r="B50" i="137"/>
  <c r="W49" i="137"/>
  <c r="N49" i="137" s="1"/>
  <c r="K49" i="137"/>
  <c r="J49" i="137"/>
  <c r="J58" i="137" s="1"/>
  <c r="F49" i="137"/>
  <c r="H49" i="137" s="1"/>
  <c r="B49" i="137"/>
  <c r="AE48" i="137"/>
  <c r="AD48" i="137"/>
  <c r="AA48" i="137"/>
  <c r="Z48" i="137"/>
  <c r="W48" i="137"/>
  <c r="P48" i="137"/>
  <c r="M48" i="137"/>
  <c r="J48" i="137"/>
  <c r="W47" i="137"/>
  <c r="H47" i="137"/>
  <c r="W46" i="137"/>
  <c r="W45" i="137"/>
  <c r="W44" i="137"/>
  <c r="W43" i="137"/>
  <c r="W42" i="137"/>
  <c r="AG41" i="137"/>
  <c r="AF41" i="137"/>
  <c r="W41" i="137"/>
  <c r="W40" i="137"/>
  <c r="N40" i="137" s="1"/>
  <c r="V40" i="137"/>
  <c r="K40" i="137"/>
  <c r="J40" i="137"/>
  <c r="P40" i="137" s="1"/>
  <c r="F40" i="137"/>
  <c r="H40" i="137" s="1"/>
  <c r="B40" i="137"/>
  <c r="W39" i="137"/>
  <c r="N39" i="137" s="1"/>
  <c r="V39" i="137"/>
  <c r="K39" i="137"/>
  <c r="J39" i="137"/>
  <c r="P39" i="137" s="1"/>
  <c r="H39" i="137"/>
  <c r="F39" i="137"/>
  <c r="B39" i="137"/>
  <c r="W38" i="137"/>
  <c r="N38" i="137"/>
  <c r="K38" i="137"/>
  <c r="J38" i="137"/>
  <c r="P38" i="137" s="1"/>
  <c r="H38" i="137"/>
  <c r="F38" i="137"/>
  <c r="B38" i="137"/>
  <c r="AE37" i="137"/>
  <c r="AD37" i="137"/>
  <c r="AA37" i="137"/>
  <c r="F19" i="136" s="1"/>
  <c r="Z37" i="137"/>
  <c r="M37" i="137"/>
  <c r="W36" i="137"/>
  <c r="H36" i="137"/>
  <c r="W35" i="137"/>
  <c r="W34" i="137"/>
  <c r="W33" i="137"/>
  <c r="W32" i="137"/>
  <c r="AG31" i="137"/>
  <c r="AF31" i="137"/>
  <c r="W31" i="137"/>
  <c r="AG30" i="137"/>
  <c r="AF30" i="137"/>
  <c r="W30" i="137"/>
  <c r="V30" i="137"/>
  <c r="W29" i="137"/>
  <c r="V29" i="137"/>
  <c r="P29" i="137"/>
  <c r="N29" i="137"/>
  <c r="AG29" i="137" s="1"/>
  <c r="L29" i="137"/>
  <c r="K29" i="137"/>
  <c r="J29" i="137"/>
  <c r="H29" i="137"/>
  <c r="F29" i="137"/>
  <c r="B29" i="137"/>
  <c r="AG28" i="137"/>
  <c r="AF28" i="137"/>
  <c r="W28" i="137"/>
  <c r="N28" i="137" s="1"/>
  <c r="O28" i="137" s="1"/>
  <c r="V28" i="137"/>
  <c r="P28" i="137"/>
  <c r="K28" i="137"/>
  <c r="L28" i="137" s="1"/>
  <c r="J28" i="137"/>
  <c r="F28" i="137"/>
  <c r="H28" i="137" s="1"/>
  <c r="B28" i="137"/>
  <c r="W27" i="137"/>
  <c r="N27" i="137" s="1"/>
  <c r="K27" i="137"/>
  <c r="K37" i="137" s="1"/>
  <c r="J27" i="137"/>
  <c r="H27" i="137"/>
  <c r="F27" i="137"/>
  <c r="B27" i="137"/>
  <c r="AE26" i="137"/>
  <c r="E21" i="136" s="1"/>
  <c r="AD26" i="137"/>
  <c r="AA26" i="137"/>
  <c r="Z26" i="137"/>
  <c r="E18" i="136" s="1"/>
  <c r="N26" i="137"/>
  <c r="M26" i="137"/>
  <c r="J26" i="137"/>
  <c r="W25" i="137"/>
  <c r="H25" i="137"/>
  <c r="W24" i="137"/>
  <c r="H24" i="137"/>
  <c r="W23" i="137"/>
  <c r="W21" i="137"/>
  <c r="W20" i="137"/>
  <c r="V20" i="137"/>
  <c r="AG19" i="137"/>
  <c r="AF19" i="137"/>
  <c r="W19" i="137"/>
  <c r="V19" i="137"/>
  <c r="W18" i="137"/>
  <c r="V18" i="137"/>
  <c r="N18" i="137"/>
  <c r="K18" i="137"/>
  <c r="J18" i="137"/>
  <c r="P18" i="137" s="1"/>
  <c r="H18" i="137"/>
  <c r="F18" i="137"/>
  <c r="B18" i="137"/>
  <c r="W17" i="137"/>
  <c r="V17" i="137"/>
  <c r="O17" i="137"/>
  <c r="N17" i="137"/>
  <c r="L17" i="137"/>
  <c r="K17" i="137"/>
  <c r="J17" i="137"/>
  <c r="P17" i="137" s="1"/>
  <c r="H17" i="137"/>
  <c r="F17" i="137"/>
  <c r="B17" i="137"/>
  <c r="W16" i="137"/>
  <c r="N16" i="137"/>
  <c r="AG16" i="137" s="1"/>
  <c r="L16" i="137"/>
  <c r="L26" i="137" s="1"/>
  <c r="E13" i="136" s="1"/>
  <c r="K16" i="137"/>
  <c r="K26" i="137" s="1"/>
  <c r="J16" i="137"/>
  <c r="P16" i="137" s="1"/>
  <c r="F16" i="137"/>
  <c r="H16" i="137" s="1"/>
  <c r="B16" i="137"/>
  <c r="AE15" i="137"/>
  <c r="D21" i="136" s="1"/>
  <c r="AD15" i="137"/>
  <c r="AA15" i="137"/>
  <c r="D19" i="136" s="1"/>
  <c r="Z15" i="137"/>
  <c r="M15" i="137"/>
  <c r="K15" i="137"/>
  <c r="J15" i="137"/>
  <c r="P15" i="137" s="1"/>
  <c r="W14" i="137"/>
  <c r="W13" i="137"/>
  <c r="W12" i="137"/>
  <c r="AG11" i="137"/>
  <c r="AF11" i="137"/>
  <c r="W11" i="137"/>
  <c r="AG10" i="137"/>
  <c r="AF10" i="137"/>
  <c r="W10" i="137"/>
  <c r="AG9" i="137"/>
  <c r="AF9" i="137"/>
  <c r="W9" i="137"/>
  <c r="AG8" i="137"/>
  <c r="AF8" i="137"/>
  <c r="W8" i="137"/>
  <c r="W7" i="137"/>
  <c r="V7" i="137"/>
  <c r="N7" i="137"/>
  <c r="K7" i="137"/>
  <c r="J7" i="137"/>
  <c r="P7" i="137" s="1"/>
  <c r="F7" i="137"/>
  <c r="H7" i="137" s="1"/>
  <c r="B7" i="137"/>
  <c r="W6" i="137"/>
  <c r="V6" i="137"/>
  <c r="O6" i="137"/>
  <c r="N6" i="137"/>
  <c r="L6" i="137"/>
  <c r="K6" i="137"/>
  <c r="J6" i="137"/>
  <c r="P6" i="137" s="1"/>
  <c r="H6" i="137"/>
  <c r="F6" i="137"/>
  <c r="B6" i="137"/>
  <c r="W5" i="137"/>
  <c r="P5" i="137"/>
  <c r="N5" i="137"/>
  <c r="N15" i="137" s="1"/>
  <c r="L5" i="137"/>
  <c r="L15" i="137" s="1"/>
  <c r="D13" i="136" s="1"/>
  <c r="H6" i="136" s="1"/>
  <c r="K5" i="137"/>
  <c r="J5" i="137"/>
  <c r="H5" i="137"/>
  <c r="G1" i="137" s="1"/>
  <c r="G2" i="137" s="1"/>
  <c r="F5" i="137"/>
  <c r="B5" i="137"/>
  <c r="AD2" i="137"/>
  <c r="AA2" i="137"/>
  <c r="I2" i="137"/>
  <c r="E1" i="137"/>
  <c r="H21" i="136"/>
  <c r="G21" i="136"/>
  <c r="F21" i="136"/>
  <c r="G20" i="136"/>
  <c r="F20" i="136"/>
  <c r="E20" i="136"/>
  <c r="D20" i="136"/>
  <c r="J19" i="136"/>
  <c r="G19" i="136"/>
  <c r="E19" i="136"/>
  <c r="I18" i="136"/>
  <c r="H18" i="136"/>
  <c r="G18" i="136"/>
  <c r="F18" i="136"/>
  <c r="J16" i="136"/>
  <c r="I16" i="136"/>
  <c r="H16" i="136"/>
  <c r="G16" i="136"/>
  <c r="F16" i="136"/>
  <c r="E16" i="136"/>
  <c r="D16" i="136"/>
  <c r="F6" i="136"/>
  <c r="AE79" i="135"/>
  <c r="AD79" i="135"/>
  <c r="AA79" i="135"/>
  <c r="Z79" i="135"/>
  <c r="M79" i="135"/>
  <c r="P79" i="135" s="1"/>
  <c r="J79" i="135"/>
  <c r="W78" i="135"/>
  <c r="H78" i="135"/>
  <c r="W77" i="135"/>
  <c r="H77" i="135"/>
  <c r="W76" i="135"/>
  <c r="H76" i="135"/>
  <c r="W75" i="135"/>
  <c r="H75" i="135"/>
  <c r="W74" i="135"/>
  <c r="W73" i="135"/>
  <c r="W72" i="135"/>
  <c r="W71" i="135"/>
  <c r="W70" i="135"/>
  <c r="N70" i="135" s="1"/>
  <c r="N79" i="135" s="1"/>
  <c r="P70" i="135"/>
  <c r="K70" i="135"/>
  <c r="J70" i="135"/>
  <c r="F70" i="135"/>
  <c r="H70" i="135" s="1"/>
  <c r="AE69" i="135"/>
  <c r="I21" i="134" s="1"/>
  <c r="AD69" i="135"/>
  <c r="I20" i="134" s="1"/>
  <c r="AA69" i="135"/>
  <c r="I19" i="134" s="1"/>
  <c r="Z69" i="135"/>
  <c r="I18" i="134" s="1"/>
  <c r="M69" i="135"/>
  <c r="W68" i="135"/>
  <c r="H68" i="135"/>
  <c r="W67" i="135"/>
  <c r="W66" i="135"/>
  <c r="W65" i="135"/>
  <c r="W64" i="135"/>
  <c r="W63" i="135"/>
  <c r="W62" i="135"/>
  <c r="W61" i="135"/>
  <c r="N61" i="135" s="1"/>
  <c r="O61" i="135" s="1"/>
  <c r="V61" i="135"/>
  <c r="P61" i="135"/>
  <c r="F61" i="135"/>
  <c r="W60" i="135"/>
  <c r="V60" i="135"/>
  <c r="N60" i="135"/>
  <c r="K60" i="135"/>
  <c r="J60" i="135"/>
  <c r="L60" i="135" s="1"/>
  <c r="F60" i="135"/>
  <c r="H60" i="135" s="1"/>
  <c r="W59" i="135"/>
  <c r="N59" i="135" s="1"/>
  <c r="K59" i="135"/>
  <c r="J59" i="135"/>
  <c r="F59" i="135"/>
  <c r="H59" i="135" s="1"/>
  <c r="AE58" i="135"/>
  <c r="AD58" i="135"/>
  <c r="H20" i="134" s="1"/>
  <c r="AA58" i="135"/>
  <c r="H19" i="134" s="1"/>
  <c r="Z58" i="135"/>
  <c r="H18" i="134" s="1"/>
  <c r="M58" i="135"/>
  <c r="W57" i="135"/>
  <c r="W56" i="135"/>
  <c r="W55" i="135"/>
  <c r="W54" i="135"/>
  <c r="AG53" i="135"/>
  <c r="AF53" i="135"/>
  <c r="W53" i="135"/>
  <c r="AG52" i="135"/>
  <c r="AF52" i="135"/>
  <c r="W52" i="135"/>
  <c r="W51" i="135"/>
  <c r="N51" i="135" s="1"/>
  <c r="AG51" i="135" s="1"/>
  <c r="V51" i="135"/>
  <c r="K51" i="135"/>
  <c r="J51" i="135"/>
  <c r="P51" i="135" s="1"/>
  <c r="F51" i="135"/>
  <c r="H51" i="135" s="1"/>
  <c r="W50" i="135"/>
  <c r="N50" i="135" s="1"/>
  <c r="V50" i="135"/>
  <c r="K50" i="135"/>
  <c r="J50" i="135"/>
  <c r="P50" i="135" s="1"/>
  <c r="F50" i="135"/>
  <c r="H50" i="135" s="1"/>
  <c r="W49" i="135"/>
  <c r="N49" i="135" s="1"/>
  <c r="K49" i="135"/>
  <c r="J49" i="135"/>
  <c r="L49" i="135" s="1"/>
  <c r="F49" i="135"/>
  <c r="H49" i="135" s="1"/>
  <c r="AE48" i="135"/>
  <c r="AD48" i="135"/>
  <c r="G20" i="134" s="1"/>
  <c r="AA48" i="135"/>
  <c r="Z48" i="135"/>
  <c r="G18" i="134" s="1"/>
  <c r="W48" i="135"/>
  <c r="M48" i="135"/>
  <c r="W47" i="135"/>
  <c r="H47" i="135"/>
  <c r="W46" i="135"/>
  <c r="W45" i="135"/>
  <c r="W44" i="135"/>
  <c r="W43" i="135"/>
  <c r="W42" i="135"/>
  <c r="AG41" i="135"/>
  <c r="AF41" i="135"/>
  <c r="W41" i="135"/>
  <c r="W40" i="135"/>
  <c r="N40" i="135" s="1"/>
  <c r="V40" i="135"/>
  <c r="K40" i="135"/>
  <c r="L40" i="135" s="1"/>
  <c r="J40" i="135"/>
  <c r="P40" i="135" s="1"/>
  <c r="F40" i="135"/>
  <c r="H40" i="135" s="1"/>
  <c r="W39" i="135"/>
  <c r="N39" i="135" s="1"/>
  <c r="O39" i="135" s="1"/>
  <c r="V39" i="135"/>
  <c r="K39" i="135"/>
  <c r="J39" i="135"/>
  <c r="P39" i="135" s="1"/>
  <c r="F39" i="135"/>
  <c r="H39" i="135" s="1"/>
  <c r="W38" i="135"/>
  <c r="N38" i="135" s="1"/>
  <c r="K38" i="135"/>
  <c r="J38" i="135"/>
  <c r="P38" i="135" s="1"/>
  <c r="F38" i="135"/>
  <c r="H38" i="135" s="1"/>
  <c r="AE37" i="135"/>
  <c r="AD37" i="135"/>
  <c r="F20" i="134" s="1"/>
  <c r="AA37" i="135"/>
  <c r="Z37" i="135"/>
  <c r="F18" i="134" s="1"/>
  <c r="M37" i="135"/>
  <c r="W36" i="135"/>
  <c r="H36" i="135"/>
  <c r="W35" i="135"/>
  <c r="W34" i="135"/>
  <c r="W33" i="135"/>
  <c r="W32" i="135"/>
  <c r="AG31" i="135"/>
  <c r="AF31" i="135"/>
  <c r="W31" i="135"/>
  <c r="W30" i="135"/>
  <c r="N30" i="135" s="1"/>
  <c r="V30" i="135"/>
  <c r="W29" i="135"/>
  <c r="N29" i="135" s="1"/>
  <c r="V29" i="135"/>
  <c r="K29" i="135"/>
  <c r="J29" i="135"/>
  <c r="P29" i="135" s="1"/>
  <c r="F29" i="135"/>
  <c r="H29" i="135" s="1"/>
  <c r="W28" i="135"/>
  <c r="N28" i="135" s="1"/>
  <c r="O28" i="135" s="1"/>
  <c r="V28" i="135"/>
  <c r="P28" i="135"/>
  <c r="L28" i="135"/>
  <c r="K28" i="135"/>
  <c r="J28" i="135"/>
  <c r="F28" i="135"/>
  <c r="H28" i="135" s="1"/>
  <c r="W27" i="135"/>
  <c r="N27" i="135" s="1"/>
  <c r="K27" i="135"/>
  <c r="K37" i="135" s="1"/>
  <c r="J27" i="135"/>
  <c r="F27" i="135"/>
  <c r="H27" i="135" s="1"/>
  <c r="AE26" i="135"/>
  <c r="AD26" i="135"/>
  <c r="E20" i="134" s="1"/>
  <c r="AA26" i="135"/>
  <c r="E19" i="134" s="1"/>
  <c r="Z26" i="135"/>
  <c r="E18" i="134" s="1"/>
  <c r="M26" i="135"/>
  <c r="W25" i="135"/>
  <c r="H25" i="135"/>
  <c r="W24" i="135"/>
  <c r="H24" i="135"/>
  <c r="W23" i="135"/>
  <c r="W21" i="135"/>
  <c r="W20" i="135"/>
  <c r="AG19" i="135"/>
  <c r="AF19" i="135"/>
  <c r="W19" i="135"/>
  <c r="V19" i="135"/>
  <c r="W18" i="135"/>
  <c r="V18" i="135"/>
  <c r="N18" i="135"/>
  <c r="K18" i="135"/>
  <c r="J18" i="135"/>
  <c r="P18" i="135" s="1"/>
  <c r="F18" i="135"/>
  <c r="H18" i="135" s="1"/>
  <c r="W17" i="135"/>
  <c r="N17" i="135" s="1"/>
  <c r="V17" i="135"/>
  <c r="P17" i="135"/>
  <c r="K17" i="135"/>
  <c r="L17" i="135" s="1"/>
  <c r="J17" i="135"/>
  <c r="F17" i="135"/>
  <c r="H17" i="135" s="1"/>
  <c r="W16" i="135"/>
  <c r="N16" i="135" s="1"/>
  <c r="AG16" i="135" s="1"/>
  <c r="K16" i="135"/>
  <c r="J16" i="135"/>
  <c r="F16" i="135"/>
  <c r="H16" i="135" s="1"/>
  <c r="AE15" i="135"/>
  <c r="D21" i="134" s="1"/>
  <c r="AD15" i="135"/>
  <c r="D20" i="134" s="1"/>
  <c r="AA15" i="135"/>
  <c r="Z15" i="135"/>
  <c r="Z2" i="135" s="1"/>
  <c r="M15" i="135"/>
  <c r="W14" i="135"/>
  <c r="W13" i="135"/>
  <c r="W12" i="135"/>
  <c r="AG11" i="135"/>
  <c r="AF11" i="135"/>
  <c r="W11" i="135"/>
  <c r="AG10" i="135"/>
  <c r="AF10" i="135"/>
  <c r="W10" i="135"/>
  <c r="AG9" i="135"/>
  <c r="AF9" i="135"/>
  <c r="W9" i="135"/>
  <c r="W8" i="135"/>
  <c r="N8" i="135" s="1"/>
  <c r="W7" i="135"/>
  <c r="AG7" i="135"/>
  <c r="F7" i="135"/>
  <c r="W6" i="135"/>
  <c r="N6" i="135" s="1"/>
  <c r="V6" i="135"/>
  <c r="K6" i="135"/>
  <c r="L6" i="135" s="1"/>
  <c r="J6" i="135"/>
  <c r="P6" i="135" s="1"/>
  <c r="F6" i="135"/>
  <c r="H6" i="135" s="1"/>
  <c r="W5" i="135"/>
  <c r="N5" i="135" s="1"/>
  <c r="K5" i="135"/>
  <c r="J5" i="135"/>
  <c r="F5" i="135"/>
  <c r="H5" i="135" s="1"/>
  <c r="I2" i="135"/>
  <c r="E1" i="135"/>
  <c r="J22" i="134"/>
  <c r="J21" i="134"/>
  <c r="G21" i="134"/>
  <c r="F21" i="134"/>
  <c r="E21" i="134"/>
  <c r="J20" i="134"/>
  <c r="J19" i="134"/>
  <c r="F19" i="134"/>
  <c r="D19" i="134"/>
  <c r="J18" i="134"/>
  <c r="J16" i="134"/>
  <c r="I16" i="134"/>
  <c r="H16" i="134"/>
  <c r="G16" i="134"/>
  <c r="F16" i="134"/>
  <c r="E16" i="134"/>
  <c r="D16" i="134"/>
  <c r="AE79" i="133"/>
  <c r="AD79" i="133"/>
  <c r="AA79" i="133"/>
  <c r="J18" i="132" s="1"/>
  <c r="Z79" i="133"/>
  <c r="N79" i="133"/>
  <c r="M79" i="133"/>
  <c r="L79" i="133"/>
  <c r="K79" i="133"/>
  <c r="W78" i="133"/>
  <c r="H78" i="133"/>
  <c r="W77" i="133"/>
  <c r="H77" i="133"/>
  <c r="W76" i="133"/>
  <c r="H76" i="133"/>
  <c r="W75" i="133"/>
  <c r="H75" i="133"/>
  <c r="W74" i="133"/>
  <c r="W73" i="133"/>
  <c r="W72" i="133"/>
  <c r="W71" i="133"/>
  <c r="AG70" i="133"/>
  <c r="AF70" i="133"/>
  <c r="W70" i="133"/>
  <c r="N70" i="133" s="1"/>
  <c r="O70" i="133" s="1"/>
  <c r="R70" i="133"/>
  <c r="P70" i="133"/>
  <c r="L70" i="133"/>
  <c r="K70" i="133"/>
  <c r="J70" i="133"/>
  <c r="J79" i="133" s="1"/>
  <c r="P79" i="133" s="1"/>
  <c r="F70" i="133"/>
  <c r="H70" i="133" s="1"/>
  <c r="AE69" i="133"/>
  <c r="AD69" i="133"/>
  <c r="AA69" i="133"/>
  <c r="Z69" i="133"/>
  <c r="M69" i="133"/>
  <c r="J69" i="133"/>
  <c r="W68" i="133"/>
  <c r="H68" i="133"/>
  <c r="W67" i="133"/>
  <c r="W66" i="133"/>
  <c r="W65" i="133"/>
  <c r="W64" i="133"/>
  <c r="W63" i="133"/>
  <c r="AG62" i="133"/>
  <c r="AF62" i="133"/>
  <c r="W62" i="133"/>
  <c r="N62" i="133" s="1"/>
  <c r="O62" i="133" s="1"/>
  <c r="V62" i="133"/>
  <c r="R62" i="133"/>
  <c r="Q62" i="133"/>
  <c r="P62" i="133"/>
  <c r="L62" i="133"/>
  <c r="K62" i="133"/>
  <c r="J62" i="133"/>
  <c r="F62" i="133"/>
  <c r="H62" i="133" s="1"/>
  <c r="W61" i="133"/>
  <c r="N61" i="133" s="1"/>
  <c r="V61" i="133"/>
  <c r="K61" i="133"/>
  <c r="L61" i="133" s="1"/>
  <c r="J61" i="133"/>
  <c r="P61" i="133" s="1"/>
  <c r="H61" i="133"/>
  <c r="F61" i="133"/>
  <c r="W60" i="133"/>
  <c r="N60" i="133" s="1"/>
  <c r="V60" i="133"/>
  <c r="L60" i="133"/>
  <c r="K60" i="133"/>
  <c r="J60" i="133"/>
  <c r="P60" i="133" s="1"/>
  <c r="H60" i="133"/>
  <c r="F60" i="133"/>
  <c r="W59" i="133"/>
  <c r="O59" i="133"/>
  <c r="N59" i="133"/>
  <c r="AG59" i="133" s="1"/>
  <c r="K59" i="133"/>
  <c r="J59" i="133"/>
  <c r="P59" i="133" s="1"/>
  <c r="F59" i="133"/>
  <c r="H59" i="133" s="1"/>
  <c r="AE58" i="133"/>
  <c r="AD58" i="133"/>
  <c r="AA58" i="133"/>
  <c r="Z58" i="133"/>
  <c r="M58" i="133"/>
  <c r="W57" i="133"/>
  <c r="W56" i="133"/>
  <c r="W55" i="133"/>
  <c r="W54" i="133"/>
  <c r="AG53" i="133"/>
  <c r="AF53" i="133"/>
  <c r="W53" i="133"/>
  <c r="AG52" i="133"/>
  <c r="AF52" i="133"/>
  <c r="W52" i="133"/>
  <c r="AG51" i="133"/>
  <c r="AF51" i="133"/>
  <c r="W51" i="133"/>
  <c r="W50" i="133"/>
  <c r="N50" i="133" s="1"/>
  <c r="O50" i="133" s="1"/>
  <c r="R50" i="133" s="1"/>
  <c r="V50" i="133"/>
  <c r="K50" i="133"/>
  <c r="L50" i="133" s="1"/>
  <c r="J50" i="133"/>
  <c r="P50" i="133" s="1"/>
  <c r="F50" i="133"/>
  <c r="H50" i="133" s="1"/>
  <c r="W49" i="133"/>
  <c r="N49" i="133" s="1"/>
  <c r="K49" i="133"/>
  <c r="K58" i="133" s="1"/>
  <c r="J49" i="133"/>
  <c r="P49" i="133" s="1"/>
  <c r="F49" i="133"/>
  <c r="H49" i="133" s="1"/>
  <c r="AE48" i="133"/>
  <c r="AD48" i="133"/>
  <c r="AA48" i="133"/>
  <c r="Z48" i="133"/>
  <c r="W48" i="133"/>
  <c r="N48" i="133"/>
  <c r="M48" i="133"/>
  <c r="W47" i="133"/>
  <c r="H47" i="133"/>
  <c r="W46" i="133"/>
  <c r="W45" i="133"/>
  <c r="W44" i="133"/>
  <c r="W43" i="133"/>
  <c r="W42" i="133"/>
  <c r="AG41" i="133"/>
  <c r="AF41" i="133"/>
  <c r="W41" i="133"/>
  <c r="AG40" i="133"/>
  <c r="AF40" i="133"/>
  <c r="W40" i="133"/>
  <c r="AF39" i="133"/>
  <c r="W39" i="133"/>
  <c r="N39" i="133" s="1"/>
  <c r="AG39" i="133" s="1"/>
  <c r="V39" i="133"/>
  <c r="Q39" i="133"/>
  <c r="P39" i="133"/>
  <c r="O39" i="133"/>
  <c r="R39" i="133" s="1"/>
  <c r="L39" i="133"/>
  <c r="K39" i="133"/>
  <c r="J39" i="133"/>
  <c r="F39" i="133"/>
  <c r="H39" i="133" s="1"/>
  <c r="W38" i="133"/>
  <c r="N38" i="133" s="1"/>
  <c r="K38" i="133"/>
  <c r="AG38" i="133" s="1"/>
  <c r="J38" i="133"/>
  <c r="H38" i="133"/>
  <c r="F38" i="133"/>
  <c r="AE37" i="133"/>
  <c r="AD37" i="133"/>
  <c r="AA37" i="133"/>
  <c r="Z37" i="133"/>
  <c r="M37" i="133"/>
  <c r="J37" i="133"/>
  <c r="P37" i="133" s="1"/>
  <c r="W36" i="133"/>
  <c r="H36" i="133"/>
  <c r="W35" i="133"/>
  <c r="W34" i="133"/>
  <c r="W33" i="133"/>
  <c r="W32" i="133"/>
  <c r="AG31" i="133"/>
  <c r="AF31" i="133"/>
  <c r="W31" i="133"/>
  <c r="W30" i="133"/>
  <c r="N30" i="133" s="1"/>
  <c r="V30" i="133"/>
  <c r="K30" i="133"/>
  <c r="L30" i="133" s="1"/>
  <c r="J30" i="133"/>
  <c r="P30" i="133" s="1"/>
  <c r="F30" i="133"/>
  <c r="H30" i="133" s="1"/>
  <c r="W29" i="133"/>
  <c r="V29" i="133"/>
  <c r="N29" i="133"/>
  <c r="AF29" i="133" s="1"/>
  <c r="K29" i="133"/>
  <c r="J29" i="133"/>
  <c r="P29" i="133" s="1"/>
  <c r="H29" i="133"/>
  <c r="F29" i="133"/>
  <c r="W28" i="133"/>
  <c r="V28" i="133"/>
  <c r="P28" i="133"/>
  <c r="N28" i="133"/>
  <c r="K28" i="133"/>
  <c r="K37" i="133" s="1"/>
  <c r="J28" i="133"/>
  <c r="F28" i="133"/>
  <c r="H28" i="133" s="1"/>
  <c r="AF27" i="133"/>
  <c r="W27" i="133"/>
  <c r="N27" i="133" s="1"/>
  <c r="AG27" i="133" s="1"/>
  <c r="P27" i="133"/>
  <c r="K27" i="133"/>
  <c r="L27" i="133" s="1"/>
  <c r="J27" i="133"/>
  <c r="F27" i="133"/>
  <c r="H27" i="133" s="1"/>
  <c r="AE26" i="133"/>
  <c r="AD26" i="133"/>
  <c r="AA26" i="133"/>
  <c r="Z26" i="133"/>
  <c r="M26" i="133"/>
  <c r="W25" i="133"/>
  <c r="H25" i="133"/>
  <c r="W24" i="133"/>
  <c r="H24" i="133"/>
  <c r="W23" i="133"/>
  <c r="W21" i="133"/>
  <c r="W20" i="133"/>
  <c r="AG19" i="133"/>
  <c r="AF19" i="133"/>
  <c r="W19" i="133"/>
  <c r="AG18" i="133"/>
  <c r="AF18" i="133"/>
  <c r="W18" i="133"/>
  <c r="AF17" i="133"/>
  <c r="W17" i="133"/>
  <c r="V17" i="133"/>
  <c r="N17" i="133"/>
  <c r="AG17" i="133" s="1"/>
  <c r="L17" i="133"/>
  <c r="K17" i="133"/>
  <c r="J17" i="133"/>
  <c r="H17" i="133"/>
  <c r="F17" i="133"/>
  <c r="W16" i="133"/>
  <c r="P16" i="133"/>
  <c r="N16" i="133"/>
  <c r="K16" i="133"/>
  <c r="K26" i="133" s="1"/>
  <c r="J16" i="133"/>
  <c r="F16" i="133"/>
  <c r="H16" i="133" s="1"/>
  <c r="AE15" i="133"/>
  <c r="AD15" i="133"/>
  <c r="AA15" i="133"/>
  <c r="Z15" i="133"/>
  <c r="P15" i="133"/>
  <c r="M15" i="133"/>
  <c r="J15" i="133"/>
  <c r="W14" i="133"/>
  <c r="W13" i="133"/>
  <c r="W12" i="133"/>
  <c r="W11" i="133"/>
  <c r="W10" i="133"/>
  <c r="AG9" i="133"/>
  <c r="AF9" i="133"/>
  <c r="W9" i="133"/>
  <c r="AG8" i="133"/>
  <c r="AF8" i="133"/>
  <c r="W8" i="133"/>
  <c r="AG7" i="133"/>
  <c r="AF7" i="133"/>
  <c r="W7" i="133"/>
  <c r="N7" i="133" s="1"/>
  <c r="O7" i="133" s="1"/>
  <c r="R7" i="133" s="1"/>
  <c r="V7" i="133"/>
  <c r="Q7" i="133"/>
  <c r="P7" i="133"/>
  <c r="L7" i="133"/>
  <c r="K7" i="133"/>
  <c r="J7" i="133"/>
  <c r="H7" i="133"/>
  <c r="F7" i="133"/>
  <c r="W6" i="133"/>
  <c r="N6" i="133" s="1"/>
  <c r="V6" i="133"/>
  <c r="K6" i="133"/>
  <c r="J6" i="133"/>
  <c r="P6" i="133" s="1"/>
  <c r="H6" i="133"/>
  <c r="F6" i="133"/>
  <c r="AG5" i="133"/>
  <c r="AF5" i="133"/>
  <c r="W5" i="133"/>
  <c r="N5" i="133"/>
  <c r="N15" i="133" s="1"/>
  <c r="L5" i="133"/>
  <c r="K5" i="133"/>
  <c r="J5" i="133"/>
  <c r="P5" i="133" s="1"/>
  <c r="H5" i="133"/>
  <c r="F5" i="133"/>
  <c r="I2" i="133"/>
  <c r="I1" i="133"/>
  <c r="E1" i="133"/>
  <c r="AE79" i="131"/>
  <c r="AD79" i="131"/>
  <c r="AA79" i="131"/>
  <c r="Z79" i="131"/>
  <c r="N79" i="131"/>
  <c r="Q79" i="131" s="1"/>
  <c r="M79" i="131"/>
  <c r="P79" i="131" s="1"/>
  <c r="L79" i="131"/>
  <c r="J13" i="130" s="1"/>
  <c r="K79" i="131"/>
  <c r="W78" i="131"/>
  <c r="H78" i="131"/>
  <c r="W77" i="131"/>
  <c r="H77" i="131"/>
  <c r="W76" i="131"/>
  <c r="W75" i="131"/>
  <c r="W74" i="131"/>
  <c r="W73" i="131"/>
  <c r="W72" i="131"/>
  <c r="W71" i="131"/>
  <c r="W70" i="131"/>
  <c r="N70" i="131"/>
  <c r="L70" i="131"/>
  <c r="K70" i="131"/>
  <c r="J70" i="131"/>
  <c r="J79" i="131" s="1"/>
  <c r="F70" i="131"/>
  <c r="H70" i="131" s="1"/>
  <c r="AE69" i="131"/>
  <c r="AD69" i="131"/>
  <c r="I20" i="130" s="1"/>
  <c r="AA69" i="131"/>
  <c r="Z69" i="131"/>
  <c r="I18" i="130" s="1"/>
  <c r="M69" i="131"/>
  <c r="W68" i="131"/>
  <c r="H68" i="131"/>
  <c r="W67" i="131"/>
  <c r="W66" i="131"/>
  <c r="W65" i="131"/>
  <c r="W64" i="131"/>
  <c r="W63" i="131"/>
  <c r="W62" i="131"/>
  <c r="V62" i="131"/>
  <c r="O62" i="131"/>
  <c r="N62" i="131"/>
  <c r="K62" i="131"/>
  <c r="J62" i="131"/>
  <c r="P62" i="131" s="1"/>
  <c r="F62" i="131"/>
  <c r="H62" i="131" s="1"/>
  <c r="W61" i="131"/>
  <c r="V61" i="131"/>
  <c r="P61" i="131"/>
  <c r="N61" i="131"/>
  <c r="L61" i="131"/>
  <c r="K61" i="131"/>
  <c r="J61" i="131"/>
  <c r="H61" i="131"/>
  <c r="F61" i="131"/>
  <c r="W60" i="131"/>
  <c r="N60" i="131" s="1"/>
  <c r="AG60" i="131" s="1"/>
  <c r="V60" i="131"/>
  <c r="P60" i="131"/>
  <c r="L60" i="131"/>
  <c r="K60" i="131"/>
  <c r="J60" i="131"/>
  <c r="F60" i="131"/>
  <c r="H60" i="131" s="1"/>
  <c r="W59" i="131"/>
  <c r="N59" i="131" s="1"/>
  <c r="K59" i="131"/>
  <c r="J59" i="131"/>
  <c r="F59" i="131"/>
  <c r="H59" i="131" s="1"/>
  <c r="AE58" i="131"/>
  <c r="H21" i="130" s="1"/>
  <c r="AD58" i="131"/>
  <c r="AA58" i="131"/>
  <c r="Z58" i="131"/>
  <c r="M58" i="131"/>
  <c r="P58" i="131" s="1"/>
  <c r="K58" i="131"/>
  <c r="J58" i="131"/>
  <c r="W57" i="131"/>
  <c r="W56" i="131"/>
  <c r="W55" i="131"/>
  <c r="W54" i="131"/>
  <c r="AG53" i="131"/>
  <c r="AF53" i="131"/>
  <c r="W53" i="131"/>
  <c r="AG52" i="131"/>
  <c r="AF52" i="131"/>
  <c r="W52" i="131"/>
  <c r="AG51" i="131"/>
  <c r="AF51" i="131"/>
  <c r="W51" i="131"/>
  <c r="W50" i="131"/>
  <c r="V50" i="131"/>
  <c r="P50" i="131"/>
  <c r="N50" i="131"/>
  <c r="L50" i="131"/>
  <c r="K50" i="131"/>
  <c r="J50" i="131"/>
  <c r="H50" i="131"/>
  <c r="F50" i="131"/>
  <c r="AF49" i="131"/>
  <c r="W49" i="131"/>
  <c r="N49" i="131" s="1"/>
  <c r="AG49" i="131" s="1"/>
  <c r="P49" i="131"/>
  <c r="K49" i="131"/>
  <c r="L49" i="131" s="1"/>
  <c r="L58" i="131" s="1"/>
  <c r="H13" i="130" s="1"/>
  <c r="J49" i="131"/>
  <c r="F49" i="131"/>
  <c r="H49" i="131" s="1"/>
  <c r="AE48" i="131"/>
  <c r="G21" i="130" s="1"/>
  <c r="AD48" i="131"/>
  <c r="G20" i="130" s="1"/>
  <c r="AA48" i="131"/>
  <c r="G19" i="130" s="1"/>
  <c r="Z48" i="131"/>
  <c r="G18" i="130" s="1"/>
  <c r="W48" i="131"/>
  <c r="M48" i="131"/>
  <c r="W47" i="131"/>
  <c r="H47" i="131"/>
  <c r="W46" i="131"/>
  <c r="W45" i="131"/>
  <c r="W44" i="131"/>
  <c r="W43" i="131"/>
  <c r="W42" i="131"/>
  <c r="AG41" i="131"/>
  <c r="AF41" i="131"/>
  <c r="W41" i="131"/>
  <c r="AG40" i="131"/>
  <c r="AF40" i="131"/>
  <c r="W40" i="131"/>
  <c r="AG39" i="131"/>
  <c r="W39" i="131"/>
  <c r="V39" i="131"/>
  <c r="P39" i="131"/>
  <c r="O39" i="131"/>
  <c r="N39" i="131"/>
  <c r="AF39" i="131" s="1"/>
  <c r="K39" i="131"/>
  <c r="L39" i="131" s="1"/>
  <c r="L48" i="131" s="1"/>
  <c r="G13" i="130" s="1"/>
  <c r="J39" i="131"/>
  <c r="J48" i="131" s="1"/>
  <c r="H39" i="131"/>
  <c r="F39" i="131"/>
  <c r="W38" i="131"/>
  <c r="R38" i="131"/>
  <c r="P38" i="131"/>
  <c r="O38" i="131"/>
  <c r="O48" i="131" s="1"/>
  <c r="N38" i="131"/>
  <c r="L38" i="131"/>
  <c r="K38" i="131"/>
  <c r="J38" i="131"/>
  <c r="H38" i="131"/>
  <c r="F38" i="131"/>
  <c r="AE37" i="131"/>
  <c r="F21" i="130" s="1"/>
  <c r="AD37" i="131"/>
  <c r="AD2" i="131" s="1"/>
  <c r="AA37" i="131"/>
  <c r="F19" i="130" s="1"/>
  <c r="Z37" i="131"/>
  <c r="F18" i="130" s="1"/>
  <c r="M37" i="131"/>
  <c r="J37" i="131"/>
  <c r="P37" i="131" s="1"/>
  <c r="W36" i="131"/>
  <c r="H36" i="131"/>
  <c r="W35" i="131"/>
  <c r="W34" i="131"/>
  <c r="W33" i="131"/>
  <c r="W32" i="131"/>
  <c r="W31" i="131"/>
  <c r="V31" i="131"/>
  <c r="P31" i="131"/>
  <c r="O31" i="131"/>
  <c r="Q31" i="131" s="1"/>
  <c r="N31" i="131"/>
  <c r="L31" i="131"/>
  <c r="K31" i="131"/>
  <c r="J31" i="131"/>
  <c r="F31" i="131"/>
  <c r="H31" i="131" s="1"/>
  <c r="W30" i="131"/>
  <c r="N30" i="131" s="1"/>
  <c r="V30" i="131"/>
  <c r="P30" i="131"/>
  <c r="K30" i="131"/>
  <c r="L30" i="131" s="1"/>
  <c r="J30" i="131"/>
  <c r="H30" i="131"/>
  <c r="F30" i="131"/>
  <c r="AG29" i="131"/>
  <c r="W29" i="131"/>
  <c r="N29" i="131" s="1"/>
  <c r="O29" i="131" s="1"/>
  <c r="Q29" i="131" s="1"/>
  <c r="V29" i="131"/>
  <c r="P29" i="131"/>
  <c r="L29" i="131"/>
  <c r="K29" i="131"/>
  <c r="J29" i="131"/>
  <c r="F29" i="131"/>
  <c r="H29" i="131" s="1"/>
  <c r="AG28" i="131"/>
  <c r="W28" i="131"/>
  <c r="N28" i="131" s="1"/>
  <c r="O28" i="131" s="1"/>
  <c r="V28" i="131"/>
  <c r="K28" i="131"/>
  <c r="J28" i="131"/>
  <c r="P28" i="131" s="1"/>
  <c r="H28" i="131"/>
  <c r="F28" i="131"/>
  <c r="AF27" i="131"/>
  <c r="W27" i="131"/>
  <c r="N27" i="131"/>
  <c r="L27" i="131"/>
  <c r="K27" i="131"/>
  <c r="K37" i="131" s="1"/>
  <c r="J27" i="131"/>
  <c r="P27" i="131" s="1"/>
  <c r="F27" i="131"/>
  <c r="H27" i="131" s="1"/>
  <c r="AE26" i="131"/>
  <c r="AD26" i="131"/>
  <c r="AA26" i="131"/>
  <c r="Z26" i="131"/>
  <c r="Z2" i="131" s="1"/>
  <c r="O26" i="131"/>
  <c r="N26" i="131"/>
  <c r="M26" i="131"/>
  <c r="W25" i="131"/>
  <c r="H25" i="131"/>
  <c r="W24" i="131"/>
  <c r="H24" i="131"/>
  <c r="W23" i="131"/>
  <c r="W21" i="131"/>
  <c r="W20" i="131"/>
  <c r="AG19" i="131"/>
  <c r="AF19" i="131"/>
  <c r="W19" i="131"/>
  <c r="AG18" i="131"/>
  <c r="AF18" i="131"/>
  <c r="W18" i="131"/>
  <c r="AF17" i="131"/>
  <c r="W17" i="131"/>
  <c r="N17" i="131" s="1"/>
  <c r="AG17" i="131" s="1"/>
  <c r="V17" i="131"/>
  <c r="Q17" i="131"/>
  <c r="P17" i="131"/>
  <c r="O17" i="131"/>
  <c r="R17" i="131" s="1"/>
  <c r="K17" i="131"/>
  <c r="L17" i="131" s="1"/>
  <c r="J17" i="131"/>
  <c r="F17" i="131"/>
  <c r="H17" i="131" s="1"/>
  <c r="W16" i="131"/>
  <c r="N16" i="131" s="1"/>
  <c r="O16" i="131" s="1"/>
  <c r="K16" i="131"/>
  <c r="AF16" i="131" s="1"/>
  <c r="J16" i="131"/>
  <c r="F16" i="131"/>
  <c r="H16" i="131" s="1"/>
  <c r="AE15" i="131"/>
  <c r="AD15" i="131"/>
  <c r="D20" i="130" s="1"/>
  <c r="AA15" i="131"/>
  <c r="Z15" i="131"/>
  <c r="N15" i="131"/>
  <c r="M15" i="131"/>
  <c r="I1" i="131" s="1"/>
  <c r="J15" i="131"/>
  <c r="W14" i="131"/>
  <c r="W13" i="131"/>
  <c r="W12" i="131"/>
  <c r="AG11" i="131"/>
  <c r="AF11" i="131"/>
  <c r="W11" i="131"/>
  <c r="AG10" i="131"/>
  <c r="AF10" i="131"/>
  <c r="W10" i="131"/>
  <c r="AG9" i="131"/>
  <c r="AF9" i="131"/>
  <c r="W9" i="131"/>
  <c r="AG8" i="131"/>
  <c r="AF8" i="131"/>
  <c r="W8" i="131"/>
  <c r="W7" i="131"/>
  <c r="V7" i="131"/>
  <c r="P7" i="131"/>
  <c r="O7" i="131"/>
  <c r="R7" i="131" s="1"/>
  <c r="N7" i="131"/>
  <c r="K7" i="131"/>
  <c r="L7" i="131" s="1"/>
  <c r="J7" i="131"/>
  <c r="H7" i="131"/>
  <c r="F7" i="131"/>
  <c r="AF6" i="131"/>
  <c r="W6" i="131"/>
  <c r="N6" i="131" s="1"/>
  <c r="O6" i="131" s="1"/>
  <c r="R6" i="131" s="1"/>
  <c r="V6" i="131"/>
  <c r="Q6" i="131"/>
  <c r="P6" i="131"/>
  <c r="L6" i="131"/>
  <c r="K6" i="131"/>
  <c r="J6" i="131"/>
  <c r="H6" i="131"/>
  <c r="F6" i="131"/>
  <c r="W5" i="131"/>
  <c r="N5" i="131" s="1"/>
  <c r="O5" i="131" s="1"/>
  <c r="O15" i="131" s="1"/>
  <c r="K5" i="131"/>
  <c r="AG5" i="131" s="1"/>
  <c r="J5" i="131"/>
  <c r="P5" i="131" s="1"/>
  <c r="F5" i="131"/>
  <c r="H5" i="131" s="1"/>
  <c r="I2" i="131"/>
  <c r="E1" i="131"/>
  <c r="J22" i="130"/>
  <c r="G22" i="130"/>
  <c r="J21" i="130"/>
  <c r="I21" i="130"/>
  <c r="E21" i="130"/>
  <c r="D21" i="130"/>
  <c r="J20" i="130"/>
  <c r="H20" i="130"/>
  <c r="F20" i="130"/>
  <c r="E20" i="130"/>
  <c r="J19" i="130"/>
  <c r="I19" i="130"/>
  <c r="H19" i="130"/>
  <c r="E19" i="130"/>
  <c r="D19" i="130"/>
  <c r="J18" i="130"/>
  <c r="H18" i="130"/>
  <c r="E18" i="130"/>
  <c r="D18" i="130"/>
  <c r="J16" i="130"/>
  <c r="I16" i="130"/>
  <c r="H16" i="130"/>
  <c r="G16" i="130"/>
  <c r="F16" i="130"/>
  <c r="E16" i="130"/>
  <c r="D16" i="130"/>
  <c r="AE79" i="129"/>
  <c r="AD79" i="129"/>
  <c r="J20" i="128" s="1"/>
  <c r="AA79" i="129"/>
  <c r="J18" i="128" s="1"/>
  <c r="Z79" i="129"/>
  <c r="P79" i="129"/>
  <c r="M79" i="129"/>
  <c r="W78" i="129"/>
  <c r="H78" i="129"/>
  <c r="W77" i="129"/>
  <c r="H77" i="129"/>
  <c r="W76" i="129"/>
  <c r="H76" i="129"/>
  <c r="W75" i="129"/>
  <c r="W74" i="129"/>
  <c r="W73" i="129"/>
  <c r="W72" i="129"/>
  <c r="W71" i="129"/>
  <c r="V71" i="129"/>
  <c r="P71" i="129"/>
  <c r="N71" i="129"/>
  <c r="O71" i="129" s="1"/>
  <c r="L71" i="129"/>
  <c r="K71" i="129"/>
  <c r="J71" i="129"/>
  <c r="H71" i="129"/>
  <c r="F71" i="129"/>
  <c r="W70" i="129"/>
  <c r="N70" i="129" s="1"/>
  <c r="P70" i="129"/>
  <c r="O70" i="129"/>
  <c r="R70" i="129" s="1"/>
  <c r="L70" i="129"/>
  <c r="L79" i="129" s="1"/>
  <c r="J13" i="128" s="1"/>
  <c r="K70" i="129"/>
  <c r="K79" i="129" s="1"/>
  <c r="J70" i="129"/>
  <c r="J79" i="129" s="1"/>
  <c r="F70" i="129"/>
  <c r="H70" i="129" s="1"/>
  <c r="AE69" i="129"/>
  <c r="I21" i="128" s="1"/>
  <c r="AD69" i="129"/>
  <c r="AA69" i="129"/>
  <c r="Z69" i="129"/>
  <c r="I18" i="128" s="1"/>
  <c r="M69" i="129"/>
  <c r="P69" i="129" s="1"/>
  <c r="K69" i="129"/>
  <c r="J69" i="129"/>
  <c r="W68" i="129"/>
  <c r="H68" i="129"/>
  <c r="W67" i="129"/>
  <c r="W66" i="129"/>
  <c r="W65" i="129"/>
  <c r="W64" i="129"/>
  <c r="W63" i="129"/>
  <c r="V63" i="129"/>
  <c r="P63" i="129"/>
  <c r="O63" i="129"/>
  <c r="N63" i="129"/>
  <c r="K63" i="129"/>
  <c r="L63" i="129" s="1"/>
  <c r="R63" i="129" s="1"/>
  <c r="J63" i="129"/>
  <c r="F63" i="129"/>
  <c r="H63" i="129" s="1"/>
  <c r="W62" i="129"/>
  <c r="V62" i="129"/>
  <c r="P62" i="129"/>
  <c r="O62" i="129"/>
  <c r="N62" i="129"/>
  <c r="K62" i="129"/>
  <c r="J62" i="129"/>
  <c r="H62" i="129"/>
  <c r="F62" i="129"/>
  <c r="W61" i="129"/>
  <c r="N61" i="129" s="1"/>
  <c r="V61" i="129"/>
  <c r="P61" i="129"/>
  <c r="L61" i="129"/>
  <c r="K61" i="129"/>
  <c r="J61" i="129"/>
  <c r="F61" i="129"/>
  <c r="H61" i="129" s="1"/>
  <c r="W60" i="129"/>
  <c r="N60" i="129" s="1"/>
  <c r="AF60" i="129" s="1"/>
  <c r="V60" i="129"/>
  <c r="P60" i="129"/>
  <c r="K60" i="129"/>
  <c r="J60" i="129"/>
  <c r="H60" i="129"/>
  <c r="F60" i="129"/>
  <c r="AF59" i="129"/>
  <c r="W59" i="129"/>
  <c r="O59" i="129"/>
  <c r="N59" i="129"/>
  <c r="K59" i="129"/>
  <c r="L59" i="129" s="1"/>
  <c r="J59" i="129"/>
  <c r="P59" i="129" s="1"/>
  <c r="F59" i="129"/>
  <c r="H59" i="129" s="1"/>
  <c r="AE58" i="129"/>
  <c r="H21" i="128" s="1"/>
  <c r="AD58" i="129"/>
  <c r="AA58" i="129"/>
  <c r="Z58" i="129"/>
  <c r="H18" i="128" s="1"/>
  <c r="M58" i="129"/>
  <c r="P58" i="129" s="1"/>
  <c r="W57" i="129"/>
  <c r="W56" i="129"/>
  <c r="W55" i="129"/>
  <c r="W54" i="129"/>
  <c r="AG53" i="129"/>
  <c r="AF53" i="129"/>
  <c r="W53" i="129"/>
  <c r="AG52" i="129"/>
  <c r="AF52" i="129"/>
  <c r="W52" i="129"/>
  <c r="W51" i="129"/>
  <c r="V51" i="129"/>
  <c r="P51" i="129"/>
  <c r="O51" i="129"/>
  <c r="N51" i="129"/>
  <c r="K51" i="129"/>
  <c r="L51" i="129" s="1"/>
  <c r="J51" i="129"/>
  <c r="H51" i="129"/>
  <c r="F51" i="129"/>
  <c r="W50" i="129"/>
  <c r="N50" i="129" s="1"/>
  <c r="V50" i="129"/>
  <c r="P50" i="129"/>
  <c r="K50" i="129"/>
  <c r="J50" i="129"/>
  <c r="H50" i="129"/>
  <c r="F50" i="129"/>
  <c r="W49" i="129"/>
  <c r="N49" i="129" s="1"/>
  <c r="K49" i="129"/>
  <c r="J49" i="129"/>
  <c r="J58" i="129" s="1"/>
  <c r="H49" i="129"/>
  <c r="F49" i="129"/>
  <c r="AE48" i="129"/>
  <c r="G21" i="128" s="1"/>
  <c r="AD48" i="129"/>
  <c r="G20" i="128" s="1"/>
  <c r="AA48" i="129"/>
  <c r="Z48" i="129"/>
  <c r="G18" i="128" s="1"/>
  <c r="W48" i="129"/>
  <c r="O48" i="129"/>
  <c r="N48" i="129"/>
  <c r="M48" i="129"/>
  <c r="P48" i="129" s="1"/>
  <c r="J48" i="129"/>
  <c r="W47" i="129"/>
  <c r="H47" i="129"/>
  <c r="W46" i="129"/>
  <c r="W45" i="129"/>
  <c r="W44" i="129"/>
  <c r="W43" i="129"/>
  <c r="W42" i="129"/>
  <c r="AG41" i="129"/>
  <c r="AF41" i="129"/>
  <c r="W41" i="129"/>
  <c r="AG40" i="129"/>
  <c r="AF40" i="129"/>
  <c r="W40" i="129"/>
  <c r="W39" i="129"/>
  <c r="V39" i="129"/>
  <c r="P39" i="129"/>
  <c r="O39" i="129"/>
  <c r="N39" i="129"/>
  <c r="K39" i="129"/>
  <c r="L39" i="129" s="1"/>
  <c r="Q39" i="129" s="1"/>
  <c r="J39" i="129"/>
  <c r="F39" i="129"/>
  <c r="H39" i="129" s="1"/>
  <c r="W38" i="129"/>
  <c r="N38" i="129" s="1"/>
  <c r="P38" i="129"/>
  <c r="O38" i="129"/>
  <c r="K38" i="129"/>
  <c r="K48" i="129" s="1"/>
  <c r="J38" i="129"/>
  <c r="F38" i="129"/>
  <c r="H38" i="129" s="1"/>
  <c r="AE37" i="129"/>
  <c r="AD37" i="129"/>
  <c r="F20" i="128" s="1"/>
  <c r="AA37" i="129"/>
  <c r="Z37" i="129"/>
  <c r="M37" i="129"/>
  <c r="W36" i="129"/>
  <c r="H36" i="129"/>
  <c r="W35" i="129"/>
  <c r="W34" i="129"/>
  <c r="W33" i="129"/>
  <c r="W32" i="129"/>
  <c r="AG31" i="129"/>
  <c r="AF31" i="129"/>
  <c r="W31" i="129"/>
  <c r="AG30" i="129"/>
  <c r="AF30" i="129"/>
  <c r="W30" i="129"/>
  <c r="W29" i="129"/>
  <c r="V29" i="129"/>
  <c r="N29" i="129"/>
  <c r="O29" i="129" s="1"/>
  <c r="Q29" i="129" s="1"/>
  <c r="K29" i="129"/>
  <c r="L29" i="129" s="1"/>
  <c r="R29" i="129" s="1"/>
  <c r="J29" i="129"/>
  <c r="P29" i="129" s="1"/>
  <c r="F29" i="129"/>
  <c r="H29" i="129" s="1"/>
  <c r="W28" i="129"/>
  <c r="N28" i="129" s="1"/>
  <c r="V28" i="129"/>
  <c r="K28" i="129"/>
  <c r="J28" i="129"/>
  <c r="P28" i="129" s="1"/>
  <c r="H28" i="129"/>
  <c r="F28" i="129"/>
  <c r="AG27" i="129"/>
  <c r="W27" i="129"/>
  <c r="O27" i="129"/>
  <c r="N27" i="129"/>
  <c r="L27" i="129"/>
  <c r="Q27" i="129" s="1"/>
  <c r="K27" i="129"/>
  <c r="J27" i="129"/>
  <c r="P27" i="129" s="1"/>
  <c r="H27" i="129"/>
  <c r="F27" i="129"/>
  <c r="AE26" i="129"/>
  <c r="AD26" i="129"/>
  <c r="AA26" i="129"/>
  <c r="E19" i="128" s="1"/>
  <c r="Z26" i="129"/>
  <c r="N26" i="129"/>
  <c r="M26" i="129"/>
  <c r="W25" i="129"/>
  <c r="H25" i="129"/>
  <c r="W24" i="129"/>
  <c r="H24" i="129"/>
  <c r="W23" i="129"/>
  <c r="W21" i="129"/>
  <c r="W20" i="129"/>
  <c r="AG19" i="129"/>
  <c r="AF19" i="129"/>
  <c r="W19" i="129"/>
  <c r="AG18" i="129"/>
  <c r="AF18" i="129"/>
  <c r="W18" i="129"/>
  <c r="V18" i="129"/>
  <c r="Q18" i="129"/>
  <c r="P18" i="129"/>
  <c r="N18" i="129"/>
  <c r="O18" i="129" s="1"/>
  <c r="R18" i="129" s="1"/>
  <c r="L18" i="129"/>
  <c r="K18" i="129"/>
  <c r="J18" i="129"/>
  <c r="F18" i="129"/>
  <c r="H18" i="129" s="1"/>
  <c r="AG17" i="129"/>
  <c r="AF17" i="129"/>
  <c r="W17" i="129"/>
  <c r="N17" i="129" s="1"/>
  <c r="V17" i="129"/>
  <c r="O17" i="129"/>
  <c r="K17" i="129"/>
  <c r="J17" i="129"/>
  <c r="P17" i="129" s="1"/>
  <c r="H17" i="129"/>
  <c r="F17" i="129"/>
  <c r="W16" i="129"/>
  <c r="N16" i="129"/>
  <c r="O16" i="129" s="1"/>
  <c r="K16" i="129"/>
  <c r="L16" i="129" s="1"/>
  <c r="J16" i="129"/>
  <c r="P16" i="129" s="1"/>
  <c r="F16" i="129"/>
  <c r="H16" i="129" s="1"/>
  <c r="AE15" i="129"/>
  <c r="AD15" i="129"/>
  <c r="AA15" i="129"/>
  <c r="Z15" i="129"/>
  <c r="M15" i="129"/>
  <c r="I1" i="129" s="1"/>
  <c r="W14" i="129"/>
  <c r="W13" i="129"/>
  <c r="W12" i="129"/>
  <c r="AG11" i="129"/>
  <c r="AF11" i="129"/>
  <c r="W11" i="129"/>
  <c r="AG10" i="129"/>
  <c r="AF10" i="129"/>
  <c r="W10" i="129"/>
  <c r="AG9" i="129"/>
  <c r="AF9" i="129"/>
  <c r="W9" i="129"/>
  <c r="W8" i="129"/>
  <c r="N8" i="129" s="1"/>
  <c r="V8" i="129"/>
  <c r="K8" i="129"/>
  <c r="J8" i="129"/>
  <c r="P8" i="129" s="1"/>
  <c r="H8" i="129"/>
  <c r="F8" i="129"/>
  <c r="AG7" i="129"/>
  <c r="AF7" i="129"/>
  <c r="W7" i="129"/>
  <c r="V7" i="129"/>
  <c r="P7" i="129"/>
  <c r="N7" i="129"/>
  <c r="O7" i="129" s="1"/>
  <c r="L7" i="129"/>
  <c r="R7" i="129" s="1"/>
  <c r="K7" i="129"/>
  <c r="J7" i="129"/>
  <c r="F7" i="129"/>
  <c r="H7" i="129" s="1"/>
  <c r="W6" i="129"/>
  <c r="N6" i="129" s="1"/>
  <c r="AF6" i="129" s="1"/>
  <c r="V6" i="129"/>
  <c r="K6" i="129"/>
  <c r="AG6" i="129" s="1"/>
  <c r="J6" i="129"/>
  <c r="P6" i="129" s="1"/>
  <c r="F6" i="129"/>
  <c r="H6" i="129" s="1"/>
  <c r="W5" i="129"/>
  <c r="O5" i="129"/>
  <c r="N5" i="129"/>
  <c r="AF5" i="129" s="1"/>
  <c r="K5" i="129"/>
  <c r="L5" i="129" s="1"/>
  <c r="J5" i="129"/>
  <c r="P5" i="129" s="1"/>
  <c r="F5" i="129"/>
  <c r="H5" i="129" s="1"/>
  <c r="I2" i="129"/>
  <c r="E1" i="129"/>
  <c r="J22" i="128"/>
  <c r="G22" i="128"/>
  <c r="F22" i="128"/>
  <c r="J21" i="128"/>
  <c r="F21" i="128"/>
  <c r="E21" i="128"/>
  <c r="I20" i="128"/>
  <c r="H20" i="128"/>
  <c r="E20" i="128"/>
  <c r="D20" i="128"/>
  <c r="J19" i="128"/>
  <c r="I19" i="128"/>
  <c r="H19" i="128"/>
  <c r="G19" i="128"/>
  <c r="F19" i="128"/>
  <c r="D19" i="128"/>
  <c r="F18" i="128"/>
  <c r="E18" i="128"/>
  <c r="D18" i="128"/>
  <c r="J16" i="128"/>
  <c r="I16" i="128"/>
  <c r="H16" i="128"/>
  <c r="G16" i="128"/>
  <c r="F16" i="128"/>
  <c r="E16" i="128"/>
  <c r="D16" i="128"/>
  <c r="AE79" i="3"/>
  <c r="AD79" i="3"/>
  <c r="AA79" i="3"/>
  <c r="Z79" i="3"/>
  <c r="M79" i="3"/>
  <c r="J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 s="1"/>
  <c r="O70" i="3" s="1"/>
  <c r="K70" i="3"/>
  <c r="K79" i="3" s="1"/>
  <c r="J70" i="3"/>
  <c r="P70" i="3" s="1"/>
  <c r="F70" i="3"/>
  <c r="H70" i="3" s="1"/>
  <c r="B70" i="3"/>
  <c r="AE69" i="3"/>
  <c r="AD69" i="3"/>
  <c r="AA69" i="3"/>
  <c r="Z69" i="3"/>
  <c r="M69" i="3"/>
  <c r="I22" i="128" s="1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K61" i="3"/>
  <c r="J61" i="3"/>
  <c r="L61" i="3" s="1"/>
  <c r="F61" i="3"/>
  <c r="H61" i="3" s="1"/>
  <c r="B61" i="3"/>
  <c r="W60" i="3"/>
  <c r="N60" i="3" s="1"/>
  <c r="V60" i="3"/>
  <c r="P60" i="3"/>
  <c r="K60" i="3"/>
  <c r="L60" i="3" s="1"/>
  <c r="J60" i="3"/>
  <c r="F60" i="3"/>
  <c r="H60" i="3" s="1"/>
  <c r="B60" i="3"/>
  <c r="W59" i="3"/>
  <c r="N59" i="3" s="1"/>
  <c r="K59" i="3"/>
  <c r="J59" i="3"/>
  <c r="P59" i="3" s="1"/>
  <c r="F59" i="3"/>
  <c r="H59" i="3" s="1"/>
  <c r="B59" i="3"/>
  <c r="AE58" i="3"/>
  <c r="AD58" i="3"/>
  <c r="AA58" i="3"/>
  <c r="Z58" i="3"/>
  <c r="M58" i="3"/>
  <c r="H22" i="130" s="1"/>
  <c r="W57" i="3"/>
  <c r="W56" i="3"/>
  <c r="W55" i="3"/>
  <c r="W54" i="3"/>
  <c r="AG53" i="3"/>
  <c r="AF53" i="3"/>
  <c r="W53" i="3"/>
  <c r="AG52" i="3"/>
  <c r="AF52" i="3"/>
  <c r="W52" i="3"/>
  <c r="V52" i="3"/>
  <c r="W51" i="3"/>
  <c r="N51" i="3" s="1"/>
  <c r="V51" i="3"/>
  <c r="K51" i="3"/>
  <c r="L51" i="3" s="1"/>
  <c r="J51" i="3"/>
  <c r="P51" i="3" s="1"/>
  <c r="F51" i="3"/>
  <c r="H51" i="3" s="1"/>
  <c r="B51" i="3"/>
  <c r="W50" i="3"/>
  <c r="V50" i="3"/>
  <c r="N50" i="3"/>
  <c r="N58" i="3" s="1"/>
  <c r="K50" i="3"/>
  <c r="L50" i="3" s="1"/>
  <c r="J50" i="3"/>
  <c r="P50" i="3" s="1"/>
  <c r="F50" i="3"/>
  <c r="H50" i="3" s="1"/>
  <c r="B50" i="3"/>
  <c r="W49" i="3"/>
  <c r="P49" i="3"/>
  <c r="O49" i="3"/>
  <c r="N49" i="3"/>
  <c r="AG49" i="3" s="1"/>
  <c r="K49" i="3"/>
  <c r="K58" i="3" s="1"/>
  <c r="J49" i="3"/>
  <c r="J58" i="3" s="1"/>
  <c r="F49" i="3"/>
  <c r="H49" i="3" s="1"/>
  <c r="B49" i="3"/>
  <c r="AE48" i="3"/>
  <c r="AD48" i="3"/>
  <c r="AA48" i="3"/>
  <c r="Z48" i="3"/>
  <c r="W48" i="3"/>
  <c r="M48" i="3"/>
  <c r="W47" i="3"/>
  <c r="H47" i="3"/>
  <c r="W46" i="3"/>
  <c r="W45" i="3"/>
  <c r="W44" i="3"/>
  <c r="W43" i="3"/>
  <c r="W42" i="3"/>
  <c r="AG41" i="3"/>
  <c r="AF41" i="3"/>
  <c r="W41" i="3"/>
  <c r="AF40" i="3"/>
  <c r="W40" i="3"/>
  <c r="V40" i="3"/>
  <c r="P40" i="3"/>
  <c r="O40" i="3"/>
  <c r="N40" i="3"/>
  <c r="AG40" i="3" s="1"/>
  <c r="K40" i="3"/>
  <c r="L40" i="3" s="1"/>
  <c r="R40" i="3" s="1"/>
  <c r="J40" i="3"/>
  <c r="F40" i="3"/>
  <c r="H40" i="3" s="1"/>
  <c r="B40" i="3"/>
  <c r="W39" i="3"/>
  <c r="N39" i="3" s="1"/>
  <c r="V39" i="3"/>
  <c r="P39" i="3"/>
  <c r="K39" i="3"/>
  <c r="L39" i="3" s="1"/>
  <c r="J39" i="3"/>
  <c r="H39" i="3"/>
  <c r="F39" i="3"/>
  <c r="B39" i="3"/>
  <c r="W38" i="3"/>
  <c r="N38" i="3" s="1"/>
  <c r="K38" i="3"/>
  <c r="K48" i="3" s="1"/>
  <c r="J38" i="3"/>
  <c r="P38" i="3" s="1"/>
  <c r="H38" i="3"/>
  <c r="F38" i="3"/>
  <c r="B38" i="3"/>
  <c r="AE37" i="3"/>
  <c r="AD37" i="3"/>
  <c r="AA37" i="3"/>
  <c r="Z37" i="3"/>
  <c r="M37" i="3"/>
  <c r="F22" i="136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V29" i="3"/>
  <c r="P29" i="3"/>
  <c r="N29" i="3"/>
  <c r="AG29" i="3" s="1"/>
  <c r="L29" i="3"/>
  <c r="K29" i="3"/>
  <c r="J29" i="3"/>
  <c r="H29" i="3"/>
  <c r="F29" i="3"/>
  <c r="B29" i="3"/>
  <c r="W28" i="3"/>
  <c r="N28" i="3" s="1"/>
  <c r="V28" i="3"/>
  <c r="K28" i="3"/>
  <c r="J28" i="3"/>
  <c r="L28" i="3" s="1"/>
  <c r="F28" i="3"/>
  <c r="H28" i="3" s="1"/>
  <c r="B28" i="3"/>
  <c r="W27" i="3"/>
  <c r="N27" i="3" s="1"/>
  <c r="K27" i="3"/>
  <c r="L27" i="3" s="1"/>
  <c r="L37" i="3" s="1"/>
  <c r="F13" i="2" s="1"/>
  <c r="J27" i="3"/>
  <c r="J37" i="3" s="1"/>
  <c r="P37" i="3" s="1"/>
  <c r="F27" i="3"/>
  <c r="H27" i="3" s="1"/>
  <c r="B27" i="3"/>
  <c r="AE26" i="3"/>
  <c r="AD26" i="3"/>
  <c r="AA26" i="3"/>
  <c r="Z26" i="3"/>
  <c r="M26" i="3"/>
  <c r="W25" i="3"/>
  <c r="H25" i="3"/>
  <c r="W24" i="3"/>
  <c r="H24" i="3"/>
  <c r="W23" i="3"/>
  <c r="W21" i="3"/>
  <c r="W20" i="3"/>
  <c r="V20" i="3"/>
  <c r="AG19" i="3"/>
  <c r="AF19" i="3"/>
  <c r="W19" i="3"/>
  <c r="V19" i="3"/>
  <c r="AF18" i="3"/>
  <c r="W18" i="3"/>
  <c r="V18" i="3"/>
  <c r="P18" i="3"/>
  <c r="O18" i="3"/>
  <c r="N18" i="3"/>
  <c r="AG18" i="3" s="1"/>
  <c r="K18" i="3"/>
  <c r="L18" i="3" s="1"/>
  <c r="R18" i="3" s="1"/>
  <c r="J18" i="3"/>
  <c r="F18" i="3"/>
  <c r="H18" i="3" s="1"/>
  <c r="B18" i="3"/>
  <c r="W17" i="3"/>
  <c r="N17" i="3" s="1"/>
  <c r="V17" i="3"/>
  <c r="K17" i="3"/>
  <c r="L17" i="3" s="1"/>
  <c r="J17" i="3"/>
  <c r="P17" i="3" s="1"/>
  <c r="F17" i="3"/>
  <c r="H17" i="3" s="1"/>
  <c r="B17" i="3"/>
  <c r="W16" i="3"/>
  <c r="N16" i="3"/>
  <c r="O16" i="3" s="1"/>
  <c r="L16" i="3"/>
  <c r="L26" i="3" s="1"/>
  <c r="E13" i="2" s="1"/>
  <c r="K16" i="3"/>
  <c r="K26" i="3" s="1"/>
  <c r="J16" i="3"/>
  <c r="J26" i="3" s="1"/>
  <c r="P26" i="3" s="1"/>
  <c r="H16" i="3"/>
  <c r="F16" i="3"/>
  <c r="B16" i="3"/>
  <c r="AE15" i="3"/>
  <c r="AE2" i="3" s="1"/>
  <c r="AD15" i="3"/>
  <c r="AA15" i="3"/>
  <c r="Z15" i="3"/>
  <c r="Z2" i="3" s="1"/>
  <c r="P15" i="3"/>
  <c r="M15" i="3"/>
  <c r="K15" i="3"/>
  <c r="J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N7" i="3" s="1"/>
  <c r="V7" i="3"/>
  <c r="K7" i="3"/>
  <c r="J7" i="3"/>
  <c r="P7" i="3" s="1"/>
  <c r="H7" i="3"/>
  <c r="F7" i="3"/>
  <c r="B7" i="3"/>
  <c r="W6" i="3"/>
  <c r="V6" i="3"/>
  <c r="N6" i="3"/>
  <c r="O6" i="3" s="1"/>
  <c r="L6" i="3"/>
  <c r="K6" i="3"/>
  <c r="J6" i="3"/>
  <c r="P6" i="3" s="1"/>
  <c r="H6" i="3"/>
  <c r="F6" i="3"/>
  <c r="B6" i="3"/>
  <c r="W5" i="3"/>
  <c r="P5" i="3"/>
  <c r="N5" i="3"/>
  <c r="AG5" i="3" s="1"/>
  <c r="L5" i="3"/>
  <c r="L15" i="3" s="1"/>
  <c r="D13" i="2" s="1"/>
  <c r="K5" i="3"/>
  <c r="J5" i="3"/>
  <c r="H5" i="3"/>
  <c r="G1" i="3" s="1"/>
  <c r="F5" i="3"/>
  <c r="B5" i="3"/>
  <c r="AD2" i="3"/>
  <c r="N6" i="148" s="1"/>
  <c r="AA2" i="3"/>
  <c r="M6" i="134" s="1"/>
  <c r="I2" i="3"/>
  <c r="E1" i="3"/>
  <c r="G3" i="132" s="1"/>
  <c r="J22" i="2"/>
  <c r="G22" i="2"/>
  <c r="F22" i="2"/>
  <c r="E22" i="2"/>
  <c r="D22" i="2"/>
  <c r="J16" i="2"/>
  <c r="I16" i="2"/>
  <c r="H16" i="2"/>
  <c r="G16" i="2"/>
  <c r="F16" i="2"/>
  <c r="E16" i="2"/>
  <c r="D16" i="2"/>
  <c r="G3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132"/>
  <c r="G22" i="132"/>
  <c r="D22" i="132"/>
  <c r="J21" i="132"/>
  <c r="I21" i="132"/>
  <c r="H21" i="132"/>
  <c r="G21" i="132"/>
  <c r="F21" i="132"/>
  <c r="E21" i="132"/>
  <c r="D21" i="132"/>
  <c r="J20" i="132"/>
  <c r="I20" i="132"/>
  <c r="H20" i="132"/>
  <c r="G20" i="132"/>
  <c r="F20" i="132"/>
  <c r="E20" i="132"/>
  <c r="D20" i="132"/>
  <c r="J19" i="132"/>
  <c r="I19" i="132"/>
  <c r="H19" i="132"/>
  <c r="G19" i="132"/>
  <c r="F19" i="132"/>
  <c r="E19" i="132"/>
  <c r="D19" i="132"/>
  <c r="I18" i="132"/>
  <c r="H18" i="132"/>
  <c r="G18" i="132"/>
  <c r="F18" i="132"/>
  <c r="E18" i="132"/>
  <c r="D18" i="132"/>
  <c r="J16" i="132"/>
  <c r="I16" i="132"/>
  <c r="H16" i="132"/>
  <c r="G16" i="132"/>
  <c r="F16" i="132"/>
  <c r="E16" i="132"/>
  <c r="D16" i="132"/>
  <c r="J13" i="132"/>
  <c r="AG8" i="135" l="1"/>
  <c r="O8" i="135"/>
  <c r="AF62" i="135"/>
  <c r="O30" i="135"/>
  <c r="Q30" i="135" s="1"/>
  <c r="AG30" i="135"/>
  <c r="AF30" i="135"/>
  <c r="R30" i="135"/>
  <c r="R19" i="135"/>
  <c r="Q7" i="135"/>
  <c r="R7" i="135"/>
  <c r="AF8" i="135"/>
  <c r="AG49" i="135"/>
  <c r="O49" i="135"/>
  <c r="Q49" i="135" s="1"/>
  <c r="AA2" i="135"/>
  <c r="AG60" i="135"/>
  <c r="G19" i="134"/>
  <c r="AF28" i="135"/>
  <c r="AG39" i="135"/>
  <c r="L50" i="135"/>
  <c r="O60" i="135"/>
  <c r="Q60" i="135" s="1"/>
  <c r="AG28" i="135"/>
  <c r="P60" i="135"/>
  <c r="L18" i="135"/>
  <c r="AG18" i="135"/>
  <c r="AF16" i="135"/>
  <c r="L29" i="135"/>
  <c r="K48" i="135"/>
  <c r="J69" i="135"/>
  <c r="P69" i="135" s="1"/>
  <c r="D18" i="134"/>
  <c r="L16" i="135"/>
  <c r="L26" i="135" s="1"/>
  <c r="E13" i="134" s="1"/>
  <c r="J48" i="135"/>
  <c r="P48" i="135" s="1"/>
  <c r="P49" i="135"/>
  <c r="P59" i="135"/>
  <c r="L70" i="135"/>
  <c r="L79" i="135" s="1"/>
  <c r="J13" i="134" s="1"/>
  <c r="AF40" i="135"/>
  <c r="O27" i="3"/>
  <c r="N37" i="3"/>
  <c r="AG27" i="3"/>
  <c r="AF27" i="3"/>
  <c r="O49" i="129"/>
  <c r="N58" i="129"/>
  <c r="AF49" i="129"/>
  <c r="AG49" i="129"/>
  <c r="O39" i="3"/>
  <c r="AG39" i="3"/>
  <c r="AF39" i="3"/>
  <c r="O6" i="186"/>
  <c r="O6" i="188"/>
  <c r="O6" i="184"/>
  <c r="O6" i="178"/>
  <c r="O6" i="182"/>
  <c r="O6" i="176"/>
  <c r="O6" i="166"/>
  <c r="O6" i="180"/>
  <c r="O6" i="174"/>
  <c r="O6" i="172"/>
  <c r="O6" i="170"/>
  <c r="O6" i="162"/>
  <c r="O6" i="164"/>
  <c r="O6" i="168"/>
  <c r="O6" i="156"/>
  <c r="O6" i="160"/>
  <c r="O6" i="158"/>
  <c r="O6" i="152"/>
  <c r="O6" i="154"/>
  <c r="O6" i="136"/>
  <c r="O6" i="146"/>
  <c r="O6" i="140"/>
  <c r="O6" i="144"/>
  <c r="O6" i="148"/>
  <c r="O6" i="150"/>
  <c r="O6" i="142"/>
  <c r="O6" i="134"/>
  <c r="O6" i="138"/>
  <c r="O6" i="128"/>
  <c r="O6" i="130"/>
  <c r="O6" i="2"/>
  <c r="O6" i="132"/>
  <c r="D14" i="130"/>
  <c r="N58" i="133"/>
  <c r="O49" i="133"/>
  <c r="AG49" i="133"/>
  <c r="AF49" i="133"/>
  <c r="O60" i="133"/>
  <c r="AF60" i="133"/>
  <c r="N69" i="133"/>
  <c r="AG60" i="133"/>
  <c r="O7" i="3"/>
  <c r="AF7" i="3"/>
  <c r="AG7" i="3"/>
  <c r="Q58" i="3"/>
  <c r="AG58" i="3"/>
  <c r="AH49" i="3" s="1"/>
  <c r="AF58" i="3"/>
  <c r="AG60" i="3"/>
  <c r="AF60" i="3"/>
  <c r="O60" i="3"/>
  <c r="N48" i="3"/>
  <c r="O38" i="3"/>
  <c r="AG38" i="3"/>
  <c r="AF38" i="3"/>
  <c r="Q16" i="129"/>
  <c r="O26" i="129"/>
  <c r="R16" i="129"/>
  <c r="J3" i="188"/>
  <c r="J3" i="186"/>
  <c r="J3" i="184"/>
  <c r="J3" i="182"/>
  <c r="J3" i="178"/>
  <c r="J3" i="180"/>
  <c r="J3" i="174"/>
  <c r="J3" i="168"/>
  <c r="J3" i="172"/>
  <c r="J3" i="176"/>
  <c r="J3" i="170"/>
  <c r="J3" i="164"/>
  <c r="J3" i="166"/>
  <c r="J3" i="158"/>
  <c r="J3" i="156"/>
  <c r="J3" i="162"/>
  <c r="J3" i="160"/>
  <c r="J3" i="148"/>
  <c r="J3" i="150"/>
  <c r="J3" i="154"/>
  <c r="J3" i="152"/>
  <c r="J3" i="142"/>
  <c r="J3" i="144"/>
  <c r="J3" i="130"/>
  <c r="J3" i="138"/>
  <c r="J3" i="136"/>
  <c r="J3" i="132"/>
  <c r="J3" i="128"/>
  <c r="J3" i="146"/>
  <c r="J3" i="134"/>
  <c r="J3" i="2"/>
  <c r="J3" i="140"/>
  <c r="G2" i="3"/>
  <c r="G1" i="129"/>
  <c r="G2" i="129" s="1"/>
  <c r="R6" i="3"/>
  <c r="Q6" i="3"/>
  <c r="O28" i="3"/>
  <c r="AG28" i="3"/>
  <c r="AF28" i="3"/>
  <c r="Q40" i="3"/>
  <c r="R39" i="129"/>
  <c r="Q63" i="129"/>
  <c r="AG8" i="129"/>
  <c r="AF8" i="129"/>
  <c r="O8" i="129"/>
  <c r="N15" i="129"/>
  <c r="AG50" i="129"/>
  <c r="AF50" i="129"/>
  <c r="O50" i="129"/>
  <c r="AF28" i="129"/>
  <c r="O28" i="129"/>
  <c r="AG28" i="129"/>
  <c r="O30" i="133"/>
  <c r="AG30" i="133"/>
  <c r="AF30" i="133"/>
  <c r="R16" i="3"/>
  <c r="Q16" i="3"/>
  <c r="O26" i="3"/>
  <c r="AG61" i="3"/>
  <c r="O61" i="3"/>
  <c r="AF61" i="3"/>
  <c r="AG30" i="131"/>
  <c r="AF30" i="131"/>
  <c r="O30" i="131"/>
  <c r="G1" i="135"/>
  <c r="G2" i="135" s="1"/>
  <c r="O17" i="3"/>
  <c r="AG17" i="3"/>
  <c r="AF17" i="3"/>
  <c r="O61" i="129"/>
  <c r="AG61" i="129"/>
  <c r="AF61" i="129"/>
  <c r="H6" i="2"/>
  <c r="F6" i="2"/>
  <c r="O59" i="3"/>
  <c r="AG59" i="3"/>
  <c r="N69" i="3"/>
  <c r="AF59" i="3"/>
  <c r="Q18" i="3"/>
  <c r="AF48" i="129"/>
  <c r="AG48" i="129"/>
  <c r="AH38" i="129" s="1"/>
  <c r="L6" i="184"/>
  <c r="L6" i="188"/>
  <c r="L6" i="182"/>
  <c r="L6" i="186"/>
  <c r="L6" i="180"/>
  <c r="L6" i="178"/>
  <c r="L6" i="174"/>
  <c r="L6" i="176"/>
  <c r="L6" i="172"/>
  <c r="L6" i="166"/>
  <c r="L6" i="168"/>
  <c r="L6" i="164"/>
  <c r="L6" i="156"/>
  <c r="L6" i="162"/>
  <c r="L6" i="158"/>
  <c r="L6" i="170"/>
  <c r="L6" i="160"/>
  <c r="L6" i="150"/>
  <c r="L6" i="154"/>
  <c r="L6" i="152"/>
  <c r="L6" i="142"/>
  <c r="L6" i="146"/>
  <c r="L6" i="144"/>
  <c r="L6" i="140"/>
  <c r="L6" i="148"/>
  <c r="L6" i="138"/>
  <c r="L6" i="132"/>
  <c r="L6" i="134"/>
  <c r="L6" i="128"/>
  <c r="L6" i="136"/>
  <c r="L6" i="130"/>
  <c r="L6" i="2"/>
  <c r="AG51" i="3"/>
  <c r="O51" i="3"/>
  <c r="AF51" i="3"/>
  <c r="R51" i="129"/>
  <c r="Q51" i="129"/>
  <c r="R71" i="129"/>
  <c r="Q71" i="129"/>
  <c r="G1" i="131"/>
  <c r="G2" i="131" s="1"/>
  <c r="L7" i="3"/>
  <c r="M6" i="132"/>
  <c r="AF6" i="3"/>
  <c r="N15" i="3"/>
  <c r="AF16" i="3"/>
  <c r="E22" i="184"/>
  <c r="E22" i="186"/>
  <c r="E22" i="182"/>
  <c r="E22" i="180"/>
  <c r="E22" i="188"/>
  <c r="E22" i="178"/>
  <c r="E22" i="174"/>
  <c r="E22" i="176"/>
  <c r="E22" i="168"/>
  <c r="E22" i="170"/>
  <c r="E22" i="172"/>
  <c r="E22" i="162"/>
  <c r="E22" i="166"/>
  <c r="E22" i="158"/>
  <c r="E22" i="156"/>
  <c r="E22" i="164"/>
  <c r="E22" i="160"/>
  <c r="E22" i="154"/>
  <c r="E22" i="152"/>
  <c r="E22" i="146"/>
  <c r="E22" i="150"/>
  <c r="E22" i="144"/>
  <c r="E22" i="142"/>
  <c r="E22" i="148"/>
  <c r="E22" i="134"/>
  <c r="E22" i="130"/>
  <c r="E22" i="128"/>
  <c r="E22" i="138"/>
  <c r="P28" i="3"/>
  <c r="K37" i="3"/>
  <c r="AF50" i="3"/>
  <c r="P61" i="3"/>
  <c r="AD2" i="129"/>
  <c r="AG5" i="129"/>
  <c r="AE2" i="129"/>
  <c r="AF16" i="129"/>
  <c r="AF29" i="129"/>
  <c r="AF38" i="129"/>
  <c r="N69" i="129"/>
  <c r="O60" i="129"/>
  <c r="AG62" i="129"/>
  <c r="AF62" i="129"/>
  <c r="O79" i="129"/>
  <c r="E14" i="130"/>
  <c r="AE2" i="131"/>
  <c r="R29" i="131"/>
  <c r="R31" i="131"/>
  <c r="AG38" i="131"/>
  <c r="AF38" i="131"/>
  <c r="P70" i="131"/>
  <c r="O38" i="133"/>
  <c r="AF38" i="133"/>
  <c r="N48" i="135"/>
  <c r="O38" i="135"/>
  <c r="AG38" i="135"/>
  <c r="AF38" i="135"/>
  <c r="O50" i="135"/>
  <c r="AG50" i="135"/>
  <c r="AF50" i="135"/>
  <c r="E22" i="136"/>
  <c r="AF18" i="137"/>
  <c r="O18" i="137"/>
  <c r="AG18" i="137"/>
  <c r="R28" i="137"/>
  <c r="Q28" i="137"/>
  <c r="AG59" i="139"/>
  <c r="N69" i="139"/>
  <c r="AF59" i="139"/>
  <c r="L5" i="149"/>
  <c r="L15" i="149" s="1"/>
  <c r="D13" i="148" s="1"/>
  <c r="K15" i="149"/>
  <c r="AG5" i="149"/>
  <c r="AF5" i="149"/>
  <c r="L28" i="149"/>
  <c r="AG28" i="149"/>
  <c r="AF28" i="149"/>
  <c r="L6" i="129"/>
  <c r="L15" i="129" s="1"/>
  <c r="D13" i="128" s="1"/>
  <c r="AG6" i="3"/>
  <c r="AG50" i="3"/>
  <c r="J15" i="129"/>
  <c r="P15" i="129" s="1"/>
  <c r="AG16" i="129"/>
  <c r="J26" i="129"/>
  <c r="AG29" i="129"/>
  <c r="AF39" i="129"/>
  <c r="O69" i="129"/>
  <c r="Q59" i="129"/>
  <c r="M6" i="130"/>
  <c r="G14" i="130"/>
  <c r="G15" i="130" s="1"/>
  <c r="R48" i="131"/>
  <c r="S38" i="131" s="1"/>
  <c r="R39" i="131"/>
  <c r="Q39" i="131"/>
  <c r="N69" i="131"/>
  <c r="O59" i="131"/>
  <c r="AF79" i="131"/>
  <c r="O6" i="133"/>
  <c r="AF6" i="133"/>
  <c r="J37" i="135"/>
  <c r="P37" i="135" s="1"/>
  <c r="P27" i="135"/>
  <c r="R28" i="135"/>
  <c r="Q28" i="135"/>
  <c r="AG59" i="135"/>
  <c r="AF59" i="135"/>
  <c r="N69" i="135"/>
  <c r="O59" i="135"/>
  <c r="AG15" i="137"/>
  <c r="AH5" i="137" s="1"/>
  <c r="AF6" i="137"/>
  <c r="AG6" i="137"/>
  <c r="AF39" i="137"/>
  <c r="O39" i="137"/>
  <c r="AG39" i="137"/>
  <c r="P27" i="139"/>
  <c r="J37" i="139"/>
  <c r="P37" i="139" s="1"/>
  <c r="O69" i="139"/>
  <c r="G3" i="140"/>
  <c r="L5" i="143"/>
  <c r="L15" i="143" s="1"/>
  <c r="D13" i="142" s="1"/>
  <c r="K15" i="143"/>
  <c r="R39" i="143"/>
  <c r="Q39" i="143"/>
  <c r="O40" i="143"/>
  <c r="AG40" i="143"/>
  <c r="AF40" i="143"/>
  <c r="Q37" i="145"/>
  <c r="AG37" i="145"/>
  <c r="AH27" i="145" s="1"/>
  <c r="AF37" i="145"/>
  <c r="N6" i="132"/>
  <c r="M6" i="2"/>
  <c r="AG16" i="3"/>
  <c r="N26" i="3"/>
  <c r="N6" i="2"/>
  <c r="O5" i="3"/>
  <c r="O29" i="3"/>
  <c r="F22" i="188"/>
  <c r="F22" i="186"/>
  <c r="F22" i="184"/>
  <c r="F22" i="178"/>
  <c r="F22" i="180"/>
  <c r="F22" i="182"/>
  <c r="F22" i="176"/>
  <c r="F22" i="168"/>
  <c r="F22" i="170"/>
  <c r="F22" i="172"/>
  <c r="F22" i="174"/>
  <c r="F22" i="166"/>
  <c r="F22" i="164"/>
  <c r="F22" i="158"/>
  <c r="F22" i="156"/>
  <c r="F22" i="162"/>
  <c r="F22" i="148"/>
  <c r="F22" i="160"/>
  <c r="F22" i="154"/>
  <c r="F22" i="150"/>
  <c r="F22" i="152"/>
  <c r="F22" i="146"/>
  <c r="F22" i="144"/>
  <c r="F22" i="142"/>
  <c r="F22" i="130"/>
  <c r="F22" i="138"/>
  <c r="F22" i="134"/>
  <c r="L49" i="3"/>
  <c r="L58" i="3" s="1"/>
  <c r="H13" i="2" s="1"/>
  <c r="AF70" i="3"/>
  <c r="K15" i="129"/>
  <c r="K26" i="129"/>
  <c r="AG26" i="129" s="1"/>
  <c r="AH16" i="129" s="1"/>
  <c r="J37" i="129"/>
  <c r="P37" i="129" s="1"/>
  <c r="AG39" i="129"/>
  <c r="R59" i="129"/>
  <c r="N6" i="130"/>
  <c r="K15" i="131"/>
  <c r="AF15" i="131" s="1"/>
  <c r="N37" i="131"/>
  <c r="AF59" i="131"/>
  <c r="AG79" i="131"/>
  <c r="AH70" i="131" s="1"/>
  <c r="O5" i="133"/>
  <c r="AG6" i="133"/>
  <c r="L16" i="133"/>
  <c r="L26" i="133" s="1"/>
  <c r="E13" i="132" s="1"/>
  <c r="O17" i="133"/>
  <c r="Q50" i="133"/>
  <c r="AG79" i="133"/>
  <c r="AH70" i="133" s="1"/>
  <c r="AF79" i="133"/>
  <c r="Q79" i="133"/>
  <c r="AG61" i="135"/>
  <c r="AF61" i="135"/>
  <c r="R6" i="137"/>
  <c r="Q6" i="137"/>
  <c r="J37" i="137"/>
  <c r="P37" i="137" s="1"/>
  <c r="P27" i="137"/>
  <c r="O6" i="139"/>
  <c r="AG6" i="139"/>
  <c r="AF6" i="139"/>
  <c r="N15" i="139"/>
  <c r="AF17" i="139"/>
  <c r="AG17" i="139"/>
  <c r="R7" i="141"/>
  <c r="Q7" i="141"/>
  <c r="AF39" i="147"/>
  <c r="AG39" i="147"/>
  <c r="N48" i="147"/>
  <c r="O39" i="147"/>
  <c r="H22" i="188"/>
  <c r="H22" i="184"/>
  <c r="H22" i="186"/>
  <c r="H22" i="182"/>
  <c r="H22" i="180"/>
  <c r="H22" i="178"/>
  <c r="H22" i="170"/>
  <c r="H22" i="176"/>
  <c r="H22" i="168"/>
  <c r="H22" i="172"/>
  <c r="H22" i="174"/>
  <c r="H22" i="164"/>
  <c r="H22" i="166"/>
  <c r="H22" i="152"/>
  <c r="H22" i="162"/>
  <c r="H22" i="158"/>
  <c r="H22" i="160"/>
  <c r="H22" i="154"/>
  <c r="H22" i="156"/>
  <c r="H22" i="150"/>
  <c r="H22" i="138"/>
  <c r="H22" i="144"/>
  <c r="H22" i="142"/>
  <c r="H22" i="148"/>
  <c r="H22" i="146"/>
  <c r="H22" i="128"/>
  <c r="H22" i="136"/>
  <c r="H22" i="134"/>
  <c r="O27" i="135"/>
  <c r="AG27" i="135"/>
  <c r="N37" i="135"/>
  <c r="AF27" i="135"/>
  <c r="AG70" i="3"/>
  <c r="P26" i="129"/>
  <c r="K37" i="129"/>
  <c r="AG7" i="131"/>
  <c r="AF7" i="131"/>
  <c r="O27" i="131"/>
  <c r="AF28" i="131"/>
  <c r="AF29" i="131"/>
  <c r="Q38" i="131"/>
  <c r="AG59" i="131"/>
  <c r="AF60" i="131"/>
  <c r="AG16" i="133"/>
  <c r="AF16" i="133"/>
  <c r="N26" i="133"/>
  <c r="O16" i="133"/>
  <c r="L29" i="133"/>
  <c r="L27" i="135"/>
  <c r="L37" i="135" s="1"/>
  <c r="F13" i="134" s="1"/>
  <c r="R61" i="135"/>
  <c r="Q61" i="135"/>
  <c r="AF17" i="137"/>
  <c r="AG17" i="137"/>
  <c r="K48" i="137"/>
  <c r="L38" i="137"/>
  <c r="L48" i="137" s="1"/>
  <c r="G13" i="136" s="1"/>
  <c r="AG51" i="137"/>
  <c r="O51" i="137"/>
  <c r="J15" i="139"/>
  <c r="P5" i="139"/>
  <c r="O17" i="139"/>
  <c r="L27" i="139"/>
  <c r="L37" i="139" s="1"/>
  <c r="F13" i="138" s="1"/>
  <c r="AF7" i="141"/>
  <c r="O49" i="141"/>
  <c r="AG49" i="141"/>
  <c r="AF49" i="141"/>
  <c r="P70" i="141"/>
  <c r="J79" i="141"/>
  <c r="P79" i="141" s="1"/>
  <c r="L70" i="141"/>
  <c r="L79" i="141" s="1"/>
  <c r="J13" i="140" s="1"/>
  <c r="R7" i="145"/>
  <c r="Q7" i="145"/>
  <c r="L17" i="145"/>
  <c r="R17" i="147"/>
  <c r="Q17" i="147"/>
  <c r="O27" i="151"/>
  <c r="N37" i="151"/>
  <c r="AG27" i="151"/>
  <c r="AF27" i="151"/>
  <c r="P16" i="131"/>
  <c r="J26" i="131"/>
  <c r="P26" i="131" s="1"/>
  <c r="AG6" i="135"/>
  <c r="O6" i="135"/>
  <c r="AG40" i="135"/>
  <c r="O40" i="135"/>
  <c r="H21" i="134"/>
  <c r="AE2" i="135"/>
  <c r="R17" i="137"/>
  <c r="Q17" i="137"/>
  <c r="O27" i="137"/>
  <c r="AG27" i="137"/>
  <c r="N37" i="137"/>
  <c r="AF27" i="137"/>
  <c r="AF38" i="137"/>
  <c r="AG38" i="137"/>
  <c r="I22" i="188"/>
  <c r="I22" i="186"/>
  <c r="I22" i="182"/>
  <c r="I22" i="184"/>
  <c r="I22" i="180"/>
  <c r="I22" i="176"/>
  <c r="I22" i="178"/>
  <c r="I22" i="172"/>
  <c r="I22" i="170"/>
  <c r="I22" i="174"/>
  <c r="I22" i="166"/>
  <c r="I22" i="156"/>
  <c r="I22" i="168"/>
  <c r="I22" i="162"/>
  <c r="I22" i="164"/>
  <c r="I22" i="150"/>
  <c r="I22" i="160"/>
  <c r="I22" i="154"/>
  <c r="I22" i="152"/>
  <c r="I22" i="144"/>
  <c r="I22" i="142"/>
  <c r="I22" i="136"/>
  <c r="I22" i="158"/>
  <c r="I22" i="148"/>
  <c r="I22" i="146"/>
  <c r="I22" i="140"/>
  <c r="I22" i="134"/>
  <c r="L8" i="129"/>
  <c r="I22" i="130"/>
  <c r="L28" i="133"/>
  <c r="L37" i="133" s="1"/>
  <c r="F13" i="132" s="1"/>
  <c r="L49" i="133"/>
  <c r="L58" i="133" s="1"/>
  <c r="H13" i="132" s="1"/>
  <c r="P5" i="135"/>
  <c r="J15" i="135"/>
  <c r="P15" i="135" s="1"/>
  <c r="AF6" i="135"/>
  <c r="L39" i="135"/>
  <c r="R39" i="135" s="1"/>
  <c r="O70" i="135"/>
  <c r="AG26" i="137"/>
  <c r="AH16" i="137" s="1"/>
  <c r="AF26" i="137"/>
  <c r="O38" i="137"/>
  <c r="L40" i="137"/>
  <c r="L29" i="139"/>
  <c r="R29" i="139" s="1"/>
  <c r="E22" i="132"/>
  <c r="H22" i="2"/>
  <c r="J48" i="3"/>
  <c r="P48" i="3" s="1"/>
  <c r="R49" i="3"/>
  <c r="O50" i="3"/>
  <c r="O58" i="3" s="1"/>
  <c r="D21" i="128"/>
  <c r="O6" i="129"/>
  <c r="L17" i="129"/>
  <c r="R17" i="129" s="1"/>
  <c r="AF27" i="129"/>
  <c r="N37" i="129"/>
  <c r="AF51" i="129"/>
  <c r="AG59" i="129"/>
  <c r="AG60" i="129"/>
  <c r="Q7" i="131"/>
  <c r="AG27" i="131"/>
  <c r="AG28" i="133"/>
  <c r="AF28" i="133"/>
  <c r="O28" i="133"/>
  <c r="AF50" i="133"/>
  <c r="P69" i="133"/>
  <c r="L5" i="135"/>
  <c r="L15" i="135" s="1"/>
  <c r="D13" i="134" s="1"/>
  <c r="K15" i="135"/>
  <c r="J26" i="135"/>
  <c r="P26" i="135" s="1"/>
  <c r="P16" i="135"/>
  <c r="AG17" i="135"/>
  <c r="AF17" i="135"/>
  <c r="O17" i="135"/>
  <c r="L51" i="135"/>
  <c r="AE2" i="137"/>
  <c r="Z2" i="137"/>
  <c r="I22" i="138"/>
  <c r="N48" i="143"/>
  <c r="P16" i="3"/>
  <c r="P58" i="3"/>
  <c r="Q5" i="129"/>
  <c r="Q17" i="129"/>
  <c r="L28" i="129"/>
  <c r="L37" i="129" s="1"/>
  <c r="F13" i="128" s="1"/>
  <c r="AG51" i="129"/>
  <c r="K58" i="129"/>
  <c r="Q70" i="129"/>
  <c r="Q5" i="131"/>
  <c r="P15" i="131"/>
  <c r="L62" i="131"/>
  <c r="Z2" i="133"/>
  <c r="AG50" i="133"/>
  <c r="K69" i="133"/>
  <c r="O61" i="133"/>
  <c r="O69" i="133" s="1"/>
  <c r="AF61" i="133"/>
  <c r="O5" i="135"/>
  <c r="AF5" i="135"/>
  <c r="Q39" i="135"/>
  <c r="AG40" i="137"/>
  <c r="O40" i="137"/>
  <c r="AF40" i="137"/>
  <c r="AF50" i="137"/>
  <c r="O50" i="137"/>
  <c r="N69" i="137"/>
  <c r="AG59" i="137"/>
  <c r="O59" i="137"/>
  <c r="AG49" i="139"/>
  <c r="AF49" i="139"/>
  <c r="N58" i="139"/>
  <c r="O61" i="139"/>
  <c r="AF61" i="139"/>
  <c r="AG61" i="139"/>
  <c r="O15" i="141"/>
  <c r="R5" i="141"/>
  <c r="Q5" i="141"/>
  <c r="K69" i="141"/>
  <c r="L59" i="141"/>
  <c r="L69" i="141" s="1"/>
  <c r="I13" i="140" s="1"/>
  <c r="J6" i="140" s="1"/>
  <c r="P59" i="143"/>
  <c r="J69" i="143"/>
  <c r="K69" i="147"/>
  <c r="AG59" i="147"/>
  <c r="AF59" i="147"/>
  <c r="O60" i="147"/>
  <c r="AF60" i="147"/>
  <c r="F22" i="132"/>
  <c r="I22" i="2"/>
  <c r="L38" i="3"/>
  <c r="L48" i="3" s="1"/>
  <c r="G13" i="2" s="1"/>
  <c r="AF5" i="3"/>
  <c r="P27" i="3"/>
  <c r="AF29" i="3"/>
  <c r="G22" i="184"/>
  <c r="G22" i="188"/>
  <c r="G22" i="186"/>
  <c r="G22" i="182"/>
  <c r="G22" i="180"/>
  <c r="G22" i="178"/>
  <c r="G22" i="174"/>
  <c r="G22" i="176"/>
  <c r="G22" i="168"/>
  <c r="G22" i="170"/>
  <c r="G22" i="172"/>
  <c r="G22" i="162"/>
  <c r="G22" i="166"/>
  <c r="G22" i="160"/>
  <c r="G22" i="164"/>
  <c r="G22" i="156"/>
  <c r="G22" i="158"/>
  <c r="G22" i="154"/>
  <c r="G22" i="146"/>
  <c r="G22" i="152"/>
  <c r="G22" i="150"/>
  <c r="G22" i="144"/>
  <c r="G22" i="142"/>
  <c r="G22" i="140"/>
  <c r="G22" i="148"/>
  <c r="G22" i="136"/>
  <c r="G22" i="134"/>
  <c r="K69" i="3"/>
  <c r="L59" i="3"/>
  <c r="L69" i="3" s="1"/>
  <c r="I13" i="2" s="1"/>
  <c r="J6" i="2" s="1"/>
  <c r="P69" i="3"/>
  <c r="N79" i="3"/>
  <c r="R5" i="129"/>
  <c r="Q7" i="129"/>
  <c r="Q48" i="129"/>
  <c r="P49" i="129"/>
  <c r="L49" i="129"/>
  <c r="AF5" i="131"/>
  <c r="Q16" i="131"/>
  <c r="AG31" i="131"/>
  <c r="AF31" i="131"/>
  <c r="K48" i="131"/>
  <c r="AG62" i="131"/>
  <c r="AF62" i="131"/>
  <c r="AA2" i="133"/>
  <c r="O27" i="133"/>
  <c r="P38" i="133"/>
  <c r="J48" i="133"/>
  <c r="P48" i="133" s="1"/>
  <c r="L59" i="133"/>
  <c r="AG61" i="133"/>
  <c r="O79" i="133"/>
  <c r="Q70" i="133"/>
  <c r="AG5" i="135"/>
  <c r="O16" i="135"/>
  <c r="N26" i="135"/>
  <c r="AF39" i="135"/>
  <c r="O51" i="135"/>
  <c r="AF51" i="135"/>
  <c r="L7" i="137"/>
  <c r="N48" i="137"/>
  <c r="AG50" i="137"/>
  <c r="AF59" i="137"/>
  <c r="Z2" i="139"/>
  <c r="O49" i="139"/>
  <c r="K69" i="143"/>
  <c r="L59" i="143"/>
  <c r="L69" i="143" s="1"/>
  <c r="I13" i="142" s="1"/>
  <c r="J6" i="142" s="1"/>
  <c r="L59" i="147"/>
  <c r="AG60" i="147"/>
  <c r="AG40" i="153"/>
  <c r="AF40" i="153"/>
  <c r="O40" i="153"/>
  <c r="O48" i="153" s="1"/>
  <c r="N6" i="186"/>
  <c r="N6" i="188"/>
  <c r="N6" i="184"/>
  <c r="N6" i="180"/>
  <c r="N6" i="182"/>
  <c r="N6" i="178"/>
  <c r="N6" i="176"/>
  <c r="N6" i="172"/>
  <c r="N6" i="174"/>
  <c r="N6" i="170"/>
  <c r="N6" i="168"/>
  <c r="N6" i="162"/>
  <c r="N6" i="158"/>
  <c r="N6" i="164"/>
  <c r="N6" i="166"/>
  <c r="N6" i="156"/>
  <c r="N6" i="154"/>
  <c r="N6" i="144"/>
  <c r="N6" i="160"/>
  <c r="N6" i="146"/>
  <c r="N6" i="150"/>
  <c r="N6" i="152"/>
  <c r="N6" i="142"/>
  <c r="N6" i="140"/>
  <c r="N6" i="136"/>
  <c r="N6" i="138"/>
  <c r="L5" i="131"/>
  <c r="L15" i="131" s="1"/>
  <c r="D13" i="130" s="1"/>
  <c r="O29" i="133"/>
  <c r="K48" i="133"/>
  <c r="Q48" i="133" s="1"/>
  <c r="L38" i="133"/>
  <c r="L48" i="133" s="1"/>
  <c r="G13" i="132" s="1"/>
  <c r="I1" i="135"/>
  <c r="J58" i="135"/>
  <c r="P58" i="135" s="1"/>
  <c r="O7" i="137"/>
  <c r="AG7" i="137"/>
  <c r="AF7" i="137"/>
  <c r="O49" i="137"/>
  <c r="N58" i="137"/>
  <c r="AF49" i="137"/>
  <c r="R7" i="139"/>
  <c r="Q7" i="139"/>
  <c r="E22" i="140"/>
  <c r="O16" i="143"/>
  <c r="AF16" i="143"/>
  <c r="N26" i="143"/>
  <c r="P26" i="143"/>
  <c r="AF59" i="143"/>
  <c r="N69" i="143"/>
  <c r="O59" i="143"/>
  <c r="AG59" i="143"/>
  <c r="H22" i="132"/>
  <c r="L70" i="3"/>
  <c r="L79" i="3" s="1"/>
  <c r="J13" i="2" s="1"/>
  <c r="M6" i="128"/>
  <c r="R27" i="129"/>
  <c r="AG50" i="131"/>
  <c r="AF50" i="131"/>
  <c r="N58" i="131"/>
  <c r="L6" i="133"/>
  <c r="L15" i="133" s="1"/>
  <c r="D13" i="132" s="1"/>
  <c r="AE2" i="133"/>
  <c r="P26" i="133"/>
  <c r="R59" i="133"/>
  <c r="N15" i="135"/>
  <c r="AG29" i="135"/>
  <c r="AF29" i="135"/>
  <c r="O29" i="135"/>
  <c r="K58" i="135"/>
  <c r="AF15" i="137"/>
  <c r="AG49" i="137"/>
  <c r="AG18" i="139"/>
  <c r="AF18" i="139"/>
  <c r="AG38" i="139"/>
  <c r="N48" i="139"/>
  <c r="O38" i="139"/>
  <c r="AF38" i="139"/>
  <c r="O51" i="139"/>
  <c r="AF51" i="139"/>
  <c r="AG51" i="139"/>
  <c r="O60" i="139"/>
  <c r="AG60" i="139"/>
  <c r="AF60" i="139"/>
  <c r="F22" i="140"/>
  <c r="O50" i="141"/>
  <c r="AG50" i="141"/>
  <c r="N58" i="141"/>
  <c r="O6" i="143"/>
  <c r="AF6" i="143"/>
  <c r="I1" i="143"/>
  <c r="P15" i="143"/>
  <c r="AG16" i="143"/>
  <c r="AF39" i="145"/>
  <c r="AG39" i="145"/>
  <c r="N48" i="145"/>
  <c r="N69" i="145"/>
  <c r="O59" i="145"/>
  <c r="AG59" i="145"/>
  <c r="AF59" i="145"/>
  <c r="O29" i="149"/>
  <c r="AG29" i="149"/>
  <c r="AF29" i="149"/>
  <c r="AG38" i="149"/>
  <c r="N48" i="149"/>
  <c r="O38" i="149"/>
  <c r="AF38" i="149"/>
  <c r="M6" i="182"/>
  <c r="M6" i="184"/>
  <c r="M6" i="188"/>
  <c r="M6" i="180"/>
  <c r="M6" i="186"/>
  <c r="M6" i="178"/>
  <c r="M6" i="176"/>
  <c r="M6" i="172"/>
  <c r="M6" i="174"/>
  <c r="M6" i="166"/>
  <c r="M6" i="170"/>
  <c r="M6" i="168"/>
  <c r="M6" i="160"/>
  <c r="M6" i="162"/>
  <c r="M6" i="156"/>
  <c r="M6" i="154"/>
  <c r="M6" i="164"/>
  <c r="M6" i="158"/>
  <c r="M6" i="146"/>
  <c r="M6" i="144"/>
  <c r="M6" i="140"/>
  <c r="M6" i="150"/>
  <c r="M6" i="152"/>
  <c r="M6" i="142"/>
  <c r="M6" i="136"/>
  <c r="M6" i="148"/>
  <c r="M6" i="138"/>
  <c r="AG70" i="135"/>
  <c r="AF70" i="135"/>
  <c r="I1" i="137"/>
  <c r="P26" i="137"/>
  <c r="N79" i="137"/>
  <c r="AG70" i="137"/>
  <c r="O70" i="137"/>
  <c r="O16" i="139"/>
  <c r="N26" i="139"/>
  <c r="AG16" i="139"/>
  <c r="AF16" i="139"/>
  <c r="L39" i="139"/>
  <c r="Q39" i="139" s="1"/>
  <c r="AG39" i="139"/>
  <c r="AF39" i="139"/>
  <c r="L38" i="129"/>
  <c r="K26" i="131"/>
  <c r="AG26" i="131" s="1"/>
  <c r="AH16" i="131" s="1"/>
  <c r="L16" i="131"/>
  <c r="L26" i="131" s="1"/>
  <c r="Q26" i="131" s="1"/>
  <c r="G3" i="184"/>
  <c r="G3" i="186"/>
  <c r="G3" i="188"/>
  <c r="G3" i="182"/>
  <c r="G3" i="178"/>
  <c r="G3" i="174"/>
  <c r="G3" i="180"/>
  <c r="G3" i="168"/>
  <c r="G3" i="172"/>
  <c r="G3" i="176"/>
  <c r="G3" i="166"/>
  <c r="G3" i="158"/>
  <c r="G3" i="170"/>
  <c r="G3" i="164"/>
  <c r="G3" i="162"/>
  <c r="G3" i="160"/>
  <c r="G3" i="156"/>
  <c r="G3" i="152"/>
  <c r="G3" i="150"/>
  <c r="G3" i="148"/>
  <c r="G3" i="142"/>
  <c r="G3" i="154"/>
  <c r="G3" i="146"/>
  <c r="G3" i="144"/>
  <c r="G3" i="134"/>
  <c r="G3" i="130"/>
  <c r="G3" i="128"/>
  <c r="G3" i="138"/>
  <c r="G3" i="136"/>
  <c r="AF49" i="3"/>
  <c r="O79" i="3"/>
  <c r="Z2" i="129"/>
  <c r="AA2" i="131"/>
  <c r="P59" i="131"/>
  <c r="J69" i="131"/>
  <c r="P69" i="131" s="1"/>
  <c r="O60" i="131"/>
  <c r="AG61" i="131"/>
  <c r="AF61" i="131"/>
  <c r="R62" i="131"/>
  <c r="G1" i="133"/>
  <c r="G2" i="133" s="1"/>
  <c r="AD2" i="133"/>
  <c r="AG29" i="133"/>
  <c r="N37" i="133"/>
  <c r="I22" i="132"/>
  <c r="N6" i="128"/>
  <c r="L50" i="129"/>
  <c r="N79" i="129"/>
  <c r="AG70" i="129"/>
  <c r="AG6" i="131"/>
  <c r="AG16" i="131"/>
  <c r="P48" i="131"/>
  <c r="O49" i="131"/>
  <c r="K69" i="131"/>
  <c r="L59" i="131"/>
  <c r="L69" i="131" s="1"/>
  <c r="I13" i="130" s="1"/>
  <c r="J6" i="130" s="1"/>
  <c r="O61" i="131"/>
  <c r="AG70" i="131"/>
  <c r="AF70" i="131"/>
  <c r="P17" i="133"/>
  <c r="J26" i="133"/>
  <c r="I1" i="3"/>
  <c r="D22" i="186"/>
  <c r="D22" i="184"/>
  <c r="D22" i="180"/>
  <c r="D22" i="178"/>
  <c r="D22" i="188"/>
  <c r="D22" i="176"/>
  <c r="D22" i="182"/>
  <c r="D22" i="174"/>
  <c r="D22" i="168"/>
  <c r="D22" i="170"/>
  <c r="D22" i="172"/>
  <c r="D22" i="164"/>
  <c r="D22" i="158"/>
  <c r="D22" i="162"/>
  <c r="D22" i="166"/>
  <c r="D22" i="156"/>
  <c r="D22" i="152"/>
  <c r="D22" i="160"/>
  <c r="D22" i="154"/>
  <c r="D22" i="148"/>
  <c r="D22" i="146"/>
  <c r="D22" i="150"/>
  <c r="D22" i="138"/>
  <c r="D22" i="144"/>
  <c r="D22" i="134"/>
  <c r="D22" i="130"/>
  <c r="D22" i="142"/>
  <c r="D22" i="128"/>
  <c r="D22" i="140"/>
  <c r="Q70" i="3"/>
  <c r="G14" i="128"/>
  <c r="AA2" i="129"/>
  <c r="AG38" i="129"/>
  <c r="L60" i="129"/>
  <c r="L69" i="129" s="1"/>
  <c r="I13" i="128" s="1"/>
  <c r="J6" i="128" s="1"/>
  <c r="L62" i="129"/>
  <c r="R62" i="129" s="1"/>
  <c r="AF70" i="129"/>
  <c r="L28" i="131"/>
  <c r="R28" i="131" s="1"/>
  <c r="N48" i="131"/>
  <c r="O50" i="131"/>
  <c r="Q62" i="131"/>
  <c r="O70" i="131"/>
  <c r="K15" i="133"/>
  <c r="AG15" i="133" s="1"/>
  <c r="AH5" i="133" s="1"/>
  <c r="N6" i="134"/>
  <c r="L38" i="135"/>
  <c r="L48" i="135" s="1"/>
  <c r="G13" i="134" s="1"/>
  <c r="D22" i="136"/>
  <c r="L18" i="137"/>
  <c r="L39" i="137"/>
  <c r="L18" i="139"/>
  <c r="R18" i="139" s="1"/>
  <c r="Q37" i="139"/>
  <c r="AG37" i="139"/>
  <c r="AH27" i="139" s="1"/>
  <c r="AF37" i="139"/>
  <c r="H22" i="140"/>
  <c r="D20" i="140"/>
  <c r="AD2" i="141"/>
  <c r="AF50" i="141"/>
  <c r="AG6" i="143"/>
  <c r="O39" i="145"/>
  <c r="H6" i="146"/>
  <c r="R40" i="147"/>
  <c r="O40" i="149"/>
  <c r="AG40" i="149"/>
  <c r="AF40" i="149"/>
  <c r="K26" i="135"/>
  <c r="K79" i="137"/>
  <c r="L70" i="137"/>
  <c r="L79" i="137" s="1"/>
  <c r="J13" i="136" s="1"/>
  <c r="O15" i="139"/>
  <c r="AG27" i="139"/>
  <c r="AF27" i="139"/>
  <c r="J58" i="139"/>
  <c r="P58" i="139" s="1"/>
  <c r="O79" i="139"/>
  <c r="R16" i="141"/>
  <c r="Q16" i="141"/>
  <c r="AG51" i="141"/>
  <c r="AF51" i="141"/>
  <c r="AG61" i="143"/>
  <c r="AF61" i="143"/>
  <c r="O61" i="143"/>
  <c r="O26" i="145"/>
  <c r="R16" i="145"/>
  <c r="R51" i="145"/>
  <c r="Q51" i="145"/>
  <c r="AG60" i="145"/>
  <c r="AF60" i="145"/>
  <c r="O60" i="145"/>
  <c r="Q79" i="145"/>
  <c r="AG27" i="149"/>
  <c r="AF27" i="149"/>
  <c r="N37" i="149"/>
  <c r="L60" i="149"/>
  <c r="R60" i="149" s="1"/>
  <c r="AF60" i="149"/>
  <c r="Q50" i="151"/>
  <c r="R50" i="151"/>
  <c r="AD2" i="135"/>
  <c r="K79" i="135"/>
  <c r="Q79" i="135" s="1"/>
  <c r="P15" i="139"/>
  <c r="J69" i="139"/>
  <c r="P69" i="139" s="1"/>
  <c r="P59" i="139"/>
  <c r="O39" i="141"/>
  <c r="AG39" i="141"/>
  <c r="AG7" i="143"/>
  <c r="AF7" i="143"/>
  <c r="O7" i="143"/>
  <c r="R18" i="143"/>
  <c r="Q18" i="143"/>
  <c r="AD2" i="143"/>
  <c r="AF5" i="145"/>
  <c r="N15" i="145"/>
  <c r="AG5" i="145"/>
  <c r="O7" i="147"/>
  <c r="AG7" i="147"/>
  <c r="AF7" i="147"/>
  <c r="P27" i="147"/>
  <c r="J37" i="147"/>
  <c r="AF6" i="149"/>
  <c r="O6" i="149"/>
  <c r="AG6" i="149"/>
  <c r="O37" i="149"/>
  <c r="Q27" i="149"/>
  <c r="Q60" i="149"/>
  <c r="O69" i="149"/>
  <c r="J14" i="150"/>
  <c r="R79" i="151"/>
  <c r="S70" i="151" s="1"/>
  <c r="J15" i="150" s="1"/>
  <c r="N26" i="155"/>
  <c r="AG16" i="155"/>
  <c r="O16" i="155"/>
  <c r="AF16" i="155"/>
  <c r="O5" i="137"/>
  <c r="O29" i="137"/>
  <c r="L6" i="141"/>
  <c r="R6" i="141" s="1"/>
  <c r="R38" i="141"/>
  <c r="Q38" i="141"/>
  <c r="N48" i="141"/>
  <c r="AF29" i="143"/>
  <c r="AG29" i="143"/>
  <c r="R51" i="143"/>
  <c r="O15" i="145"/>
  <c r="D18" i="144"/>
  <c r="Z2" i="145"/>
  <c r="AF40" i="145"/>
  <c r="O40" i="145"/>
  <c r="AG40" i="145"/>
  <c r="J69" i="145"/>
  <c r="P69" i="145" s="1"/>
  <c r="P59" i="145"/>
  <c r="L40" i="147"/>
  <c r="AG40" i="147"/>
  <c r="AF40" i="147"/>
  <c r="P38" i="149"/>
  <c r="J48" i="149"/>
  <c r="R28" i="151"/>
  <c r="Q28" i="151"/>
  <c r="O18" i="135"/>
  <c r="D18" i="136"/>
  <c r="O16" i="137"/>
  <c r="O60" i="137"/>
  <c r="AG61" i="137"/>
  <c r="L16" i="139"/>
  <c r="L26" i="139" s="1"/>
  <c r="E13" i="138" s="1"/>
  <c r="L59" i="139"/>
  <c r="R59" i="139" s="1"/>
  <c r="L61" i="139"/>
  <c r="AG6" i="141"/>
  <c r="AF38" i="141"/>
  <c r="AG61" i="141"/>
  <c r="AF61" i="141"/>
  <c r="P16" i="143"/>
  <c r="J26" i="143"/>
  <c r="O29" i="143"/>
  <c r="R18" i="145"/>
  <c r="Q18" i="145"/>
  <c r="O29" i="145"/>
  <c r="AG29" i="145"/>
  <c r="AF29" i="145"/>
  <c r="P48" i="145"/>
  <c r="O49" i="145"/>
  <c r="N58" i="145"/>
  <c r="L59" i="145"/>
  <c r="L69" i="145" s="1"/>
  <c r="I13" i="144" s="1"/>
  <c r="J6" i="144" s="1"/>
  <c r="L6" i="147"/>
  <c r="Q6" i="147" s="1"/>
  <c r="AG6" i="147"/>
  <c r="AF6" i="147"/>
  <c r="N37" i="147"/>
  <c r="O27" i="147"/>
  <c r="AG27" i="147"/>
  <c r="AF27" i="147"/>
  <c r="Q51" i="147"/>
  <c r="P5" i="149"/>
  <c r="J15" i="149"/>
  <c r="P15" i="149" s="1"/>
  <c r="D20" i="148"/>
  <c r="AD2" i="149"/>
  <c r="P59" i="149"/>
  <c r="J69" i="149"/>
  <c r="P69" i="149" s="1"/>
  <c r="L59" i="149"/>
  <c r="L69" i="149" s="1"/>
  <c r="I13" i="148" s="1"/>
  <c r="J6" i="148" s="1"/>
  <c r="AF38" i="157"/>
  <c r="AG38" i="157"/>
  <c r="N48" i="157"/>
  <c r="O38" i="157"/>
  <c r="J58" i="133"/>
  <c r="P58" i="133" s="1"/>
  <c r="O27" i="139"/>
  <c r="AG28" i="139"/>
  <c r="Q40" i="139"/>
  <c r="R50" i="139"/>
  <c r="H6" i="140"/>
  <c r="L17" i="141"/>
  <c r="O18" i="141"/>
  <c r="AG18" i="141"/>
  <c r="L28" i="141"/>
  <c r="AF5" i="143"/>
  <c r="N15" i="143"/>
  <c r="AG5" i="143"/>
  <c r="O27" i="143"/>
  <c r="N37" i="143"/>
  <c r="O17" i="145"/>
  <c r="AG17" i="145"/>
  <c r="AF17" i="145"/>
  <c r="D19" i="146"/>
  <c r="AA2" i="147"/>
  <c r="AG29" i="147"/>
  <c r="O29" i="147"/>
  <c r="O49" i="147"/>
  <c r="N58" i="147"/>
  <c r="O69" i="147"/>
  <c r="P26" i="151"/>
  <c r="J22" i="184"/>
  <c r="J22" i="188"/>
  <c r="J22" i="186"/>
  <c r="J22" i="182"/>
  <c r="J22" i="180"/>
  <c r="J22" i="178"/>
  <c r="J22" i="174"/>
  <c r="J22" i="172"/>
  <c r="J22" i="170"/>
  <c r="J22" i="166"/>
  <c r="J22" i="168"/>
  <c r="J22" i="176"/>
  <c r="J22" i="162"/>
  <c r="J22" i="164"/>
  <c r="J22" i="160"/>
  <c r="J22" i="158"/>
  <c r="J22" i="150"/>
  <c r="J22" i="154"/>
  <c r="J22" i="152"/>
  <c r="J22" i="142"/>
  <c r="J22" i="140"/>
  <c r="J22" i="146"/>
  <c r="J22" i="156"/>
  <c r="J22" i="144"/>
  <c r="AF7" i="135"/>
  <c r="N58" i="135"/>
  <c r="AF5" i="137"/>
  <c r="AF16" i="137"/>
  <c r="L27" i="137"/>
  <c r="L37" i="137" s="1"/>
  <c r="F13" i="136" s="1"/>
  <c r="AF29" i="137"/>
  <c r="L49" i="137"/>
  <c r="L58" i="137" s="1"/>
  <c r="H13" i="136" s="1"/>
  <c r="L5" i="139"/>
  <c r="L15" i="139" s="1"/>
  <c r="D13" i="138" s="1"/>
  <c r="AE2" i="139"/>
  <c r="O28" i="139"/>
  <c r="R39" i="139"/>
  <c r="AF18" i="141"/>
  <c r="J37" i="141"/>
  <c r="P27" i="141"/>
  <c r="AG29" i="141"/>
  <c r="AF29" i="141"/>
  <c r="AG40" i="141"/>
  <c r="AF40" i="141"/>
  <c r="O60" i="141"/>
  <c r="AG60" i="141"/>
  <c r="O5" i="143"/>
  <c r="AF27" i="143"/>
  <c r="L6" i="145"/>
  <c r="AG70" i="145"/>
  <c r="AF70" i="145"/>
  <c r="AD2" i="147"/>
  <c r="D20" i="146"/>
  <c r="AF29" i="147"/>
  <c r="O48" i="147"/>
  <c r="AF49" i="147"/>
  <c r="AG7" i="149"/>
  <c r="O7" i="149"/>
  <c r="AF7" i="149"/>
  <c r="O51" i="149"/>
  <c r="O58" i="149" s="1"/>
  <c r="AG51" i="149"/>
  <c r="AF51" i="149"/>
  <c r="AF18" i="135"/>
  <c r="J22" i="136"/>
  <c r="AG5" i="137"/>
  <c r="AG60" i="137"/>
  <c r="AF61" i="137"/>
  <c r="I1" i="139"/>
  <c r="N15" i="141"/>
  <c r="AG5" i="141"/>
  <c r="AF5" i="141"/>
  <c r="AF16" i="141"/>
  <c r="K26" i="141"/>
  <c r="O17" i="141"/>
  <c r="AG17" i="141"/>
  <c r="K37" i="141"/>
  <c r="L27" i="141"/>
  <c r="L37" i="141" s="1"/>
  <c r="F13" i="140" s="1"/>
  <c r="O59" i="141"/>
  <c r="N69" i="141"/>
  <c r="N79" i="141"/>
  <c r="O70" i="141"/>
  <c r="AG70" i="141"/>
  <c r="AF70" i="141"/>
  <c r="N58" i="143"/>
  <c r="AF49" i="143"/>
  <c r="AG49" i="143"/>
  <c r="O49" i="143"/>
  <c r="AD2" i="145"/>
  <c r="E20" i="144"/>
  <c r="O79" i="145"/>
  <c r="Q70" i="145"/>
  <c r="R70" i="145"/>
  <c r="AE2" i="147"/>
  <c r="AF17" i="149"/>
  <c r="AG17" i="149"/>
  <c r="AF59" i="133"/>
  <c r="AF49" i="135"/>
  <c r="K69" i="135"/>
  <c r="AF60" i="135"/>
  <c r="L50" i="137"/>
  <c r="P79" i="137"/>
  <c r="Q29" i="139"/>
  <c r="Z2" i="141"/>
  <c r="L16" i="141"/>
  <c r="L26" i="141" s="1"/>
  <c r="E13" i="140" s="1"/>
  <c r="AF17" i="141"/>
  <c r="AF27" i="141"/>
  <c r="O28" i="141"/>
  <c r="AF28" i="141"/>
  <c r="P37" i="141"/>
  <c r="Q40" i="141"/>
  <c r="AF59" i="141"/>
  <c r="AG38" i="143"/>
  <c r="AF38" i="143"/>
  <c r="O38" i="143"/>
  <c r="J14" i="142"/>
  <c r="R79" i="143"/>
  <c r="S70" i="143" s="1"/>
  <c r="J15" i="142" s="1"/>
  <c r="O6" i="145"/>
  <c r="AG6" i="145"/>
  <c r="AF6" i="145"/>
  <c r="AG5" i="147"/>
  <c r="AF5" i="147"/>
  <c r="N15" i="147"/>
  <c r="O5" i="147"/>
  <c r="AF18" i="147"/>
  <c r="AG18" i="147"/>
  <c r="J22" i="148"/>
  <c r="O17" i="149"/>
  <c r="AG16" i="151"/>
  <c r="N26" i="151"/>
  <c r="AF16" i="151"/>
  <c r="P70" i="153"/>
  <c r="J79" i="153"/>
  <c r="P79" i="153" s="1"/>
  <c r="O58" i="155"/>
  <c r="P79" i="3"/>
  <c r="L59" i="135"/>
  <c r="L69" i="135" s="1"/>
  <c r="I13" i="134" s="1"/>
  <c r="J6" i="134" s="1"/>
  <c r="P49" i="137"/>
  <c r="K69" i="137"/>
  <c r="L59" i="137"/>
  <c r="L69" i="137" s="1"/>
  <c r="I13" i="136" s="1"/>
  <c r="J6" i="136" s="1"/>
  <c r="AF29" i="139"/>
  <c r="AF50" i="139"/>
  <c r="Q79" i="139"/>
  <c r="AA2" i="141"/>
  <c r="N26" i="141"/>
  <c r="O27" i="141"/>
  <c r="AG28" i="141"/>
  <c r="N37" i="141"/>
  <c r="AG59" i="141"/>
  <c r="Q60" i="143"/>
  <c r="R60" i="143"/>
  <c r="P69" i="143"/>
  <c r="AG16" i="145"/>
  <c r="AF16" i="145"/>
  <c r="N26" i="145"/>
  <c r="AF51" i="145"/>
  <c r="AG51" i="145"/>
  <c r="P79" i="145"/>
  <c r="I1" i="145"/>
  <c r="O18" i="147"/>
  <c r="AF28" i="147"/>
  <c r="O28" i="147"/>
  <c r="R38" i="147"/>
  <c r="O26" i="149"/>
  <c r="Q50" i="149"/>
  <c r="O16" i="151"/>
  <c r="Q18" i="153"/>
  <c r="R18" i="153"/>
  <c r="AG79" i="143"/>
  <c r="AH70" i="143" s="1"/>
  <c r="D18" i="148"/>
  <c r="AG6" i="151"/>
  <c r="AF6" i="151"/>
  <c r="N15" i="151"/>
  <c r="P17" i="151"/>
  <c r="L17" i="151"/>
  <c r="AG15" i="153"/>
  <c r="AH5" i="153" s="1"/>
  <c r="AF15" i="153"/>
  <c r="O16" i="153"/>
  <c r="AG16" i="153"/>
  <c r="N26" i="153"/>
  <c r="Q37" i="153"/>
  <c r="AF37" i="153"/>
  <c r="O18" i="155"/>
  <c r="AG18" i="155"/>
  <c r="AF18" i="155"/>
  <c r="Q51" i="155"/>
  <c r="R51" i="155"/>
  <c r="Q58" i="161"/>
  <c r="AG58" i="161"/>
  <c r="AH49" i="161" s="1"/>
  <c r="AF58" i="161"/>
  <c r="Z2" i="163"/>
  <c r="E18" i="162"/>
  <c r="J79" i="145"/>
  <c r="L16" i="147"/>
  <c r="K26" i="147"/>
  <c r="AG26" i="147" s="1"/>
  <c r="AH16" i="147" s="1"/>
  <c r="O50" i="147"/>
  <c r="O79" i="147"/>
  <c r="AF16" i="149"/>
  <c r="N26" i="149"/>
  <c r="AF39" i="149"/>
  <c r="P48" i="149"/>
  <c r="N79" i="149"/>
  <c r="O70" i="149"/>
  <c r="AG70" i="149"/>
  <c r="AF18" i="151"/>
  <c r="O18" i="151"/>
  <c r="L29" i="151"/>
  <c r="Q29" i="151" s="1"/>
  <c r="R6" i="153"/>
  <c r="Q6" i="153"/>
  <c r="AG29" i="153"/>
  <c r="AF29" i="153"/>
  <c r="R17" i="155"/>
  <c r="Q17" i="155"/>
  <c r="AF27" i="155"/>
  <c r="AG27" i="155"/>
  <c r="O27" i="155"/>
  <c r="N37" i="155"/>
  <c r="Q60" i="157"/>
  <c r="R60" i="157"/>
  <c r="AG61" i="157"/>
  <c r="AF61" i="157"/>
  <c r="O61" i="157"/>
  <c r="K79" i="145"/>
  <c r="AG79" i="145" s="1"/>
  <c r="AH70" i="145" s="1"/>
  <c r="R29" i="151"/>
  <c r="AG6" i="155"/>
  <c r="AF6" i="155"/>
  <c r="AF40" i="155"/>
  <c r="AG40" i="155"/>
  <c r="O39" i="159"/>
  <c r="AG39" i="159"/>
  <c r="O50" i="143"/>
  <c r="L51" i="143"/>
  <c r="Q51" i="143" s="1"/>
  <c r="L5" i="145"/>
  <c r="L15" i="145" s="1"/>
  <c r="D13" i="144" s="1"/>
  <c r="L16" i="145"/>
  <c r="L26" i="145" s="1"/>
  <c r="E13" i="144" s="1"/>
  <c r="L28" i="145"/>
  <c r="R28" i="145" s="1"/>
  <c r="L39" i="145"/>
  <c r="O61" i="145"/>
  <c r="Q79" i="147"/>
  <c r="AA2" i="149"/>
  <c r="R18" i="149"/>
  <c r="L27" i="149"/>
  <c r="L37" i="149" s="1"/>
  <c r="F13" i="148" s="1"/>
  <c r="L49" i="149"/>
  <c r="L58" i="149" s="1"/>
  <c r="H13" i="148" s="1"/>
  <c r="L61" i="149"/>
  <c r="R61" i="149" s="1"/>
  <c r="AA2" i="151"/>
  <c r="O17" i="151"/>
  <c r="AG28" i="151"/>
  <c r="AG38" i="151"/>
  <c r="AF38" i="151"/>
  <c r="N48" i="151"/>
  <c r="P48" i="151"/>
  <c r="AF50" i="151"/>
  <c r="AG50" i="151"/>
  <c r="AG51" i="151"/>
  <c r="AF51" i="151"/>
  <c r="O51" i="151"/>
  <c r="R29" i="153"/>
  <c r="H20" i="152"/>
  <c r="AD2" i="153"/>
  <c r="O6" i="155"/>
  <c r="O40" i="155"/>
  <c r="N69" i="155"/>
  <c r="AG59" i="155"/>
  <c r="O59" i="155"/>
  <c r="J48" i="159"/>
  <c r="P48" i="159" s="1"/>
  <c r="P38" i="159"/>
  <c r="AF39" i="159"/>
  <c r="AG79" i="161"/>
  <c r="AH70" i="161" s="1"/>
  <c r="AF79" i="161"/>
  <c r="J15" i="141"/>
  <c r="P15" i="141" s="1"/>
  <c r="P5" i="143"/>
  <c r="P16" i="145"/>
  <c r="L27" i="147"/>
  <c r="L37" i="147" s="1"/>
  <c r="F13" i="146" s="1"/>
  <c r="N15" i="149"/>
  <c r="P27" i="149"/>
  <c r="L29" i="149"/>
  <c r="P49" i="149"/>
  <c r="AG50" i="149"/>
  <c r="P58" i="149"/>
  <c r="AG17" i="151"/>
  <c r="AF29" i="151"/>
  <c r="L60" i="151"/>
  <c r="P5" i="153"/>
  <c r="J15" i="153"/>
  <c r="P15" i="153" s="1"/>
  <c r="AG28" i="153"/>
  <c r="AF28" i="153"/>
  <c r="O28" i="153"/>
  <c r="O61" i="153"/>
  <c r="AG61" i="153"/>
  <c r="AF61" i="153"/>
  <c r="AF70" i="153"/>
  <c r="O70" i="153"/>
  <c r="N79" i="153"/>
  <c r="AG70" i="153"/>
  <c r="H6" i="154"/>
  <c r="F6" i="154"/>
  <c r="G2" i="157"/>
  <c r="AG27" i="159"/>
  <c r="O27" i="159"/>
  <c r="N37" i="159"/>
  <c r="J69" i="161"/>
  <c r="P69" i="161" s="1"/>
  <c r="P59" i="161"/>
  <c r="L59" i="161"/>
  <c r="L69" i="161" s="1"/>
  <c r="I13" i="160" s="1"/>
  <c r="J6" i="160" s="1"/>
  <c r="AF17" i="143"/>
  <c r="AA2" i="145"/>
  <c r="AF27" i="145"/>
  <c r="AF38" i="145"/>
  <c r="P5" i="147"/>
  <c r="K37" i="147"/>
  <c r="AF50" i="147"/>
  <c r="AF70" i="147"/>
  <c r="O5" i="149"/>
  <c r="L6" i="149"/>
  <c r="L38" i="149"/>
  <c r="L48" i="149" s="1"/>
  <c r="G13" i="148" s="1"/>
  <c r="L39" i="149"/>
  <c r="AF50" i="149"/>
  <c r="AG59" i="149"/>
  <c r="AF59" i="149"/>
  <c r="Q61" i="149"/>
  <c r="O7" i="151"/>
  <c r="O49" i="151"/>
  <c r="AF49" i="151"/>
  <c r="J69" i="151"/>
  <c r="P69" i="151" s="1"/>
  <c r="L5" i="153"/>
  <c r="L15" i="153" s="1"/>
  <c r="D13" i="152" s="1"/>
  <c r="AG60" i="153"/>
  <c r="AF60" i="153"/>
  <c r="J14" i="154"/>
  <c r="P15" i="155"/>
  <c r="AG7" i="157"/>
  <c r="AF7" i="157"/>
  <c r="O7" i="157"/>
  <c r="AF27" i="159"/>
  <c r="AF28" i="143"/>
  <c r="AF50" i="143"/>
  <c r="AF70" i="143"/>
  <c r="AG27" i="145"/>
  <c r="AF50" i="145"/>
  <c r="AG17" i="147"/>
  <c r="AF38" i="147"/>
  <c r="AG70" i="147"/>
  <c r="AG16" i="149"/>
  <c r="AF18" i="149"/>
  <c r="O39" i="149"/>
  <c r="R59" i="149"/>
  <c r="AG60" i="149"/>
  <c r="AF61" i="149"/>
  <c r="L6" i="151"/>
  <c r="AD2" i="151"/>
  <c r="P58" i="151"/>
  <c r="O5" i="153"/>
  <c r="AF5" i="153"/>
  <c r="R50" i="153"/>
  <c r="Q50" i="153"/>
  <c r="AG51" i="153"/>
  <c r="O51" i="153"/>
  <c r="AG38" i="155"/>
  <c r="N48" i="155"/>
  <c r="AF38" i="155"/>
  <c r="J79" i="155"/>
  <c r="P79" i="155" s="1"/>
  <c r="P70" i="155"/>
  <c r="O17" i="159"/>
  <c r="AF17" i="159"/>
  <c r="AE2" i="143"/>
  <c r="O37" i="145"/>
  <c r="AG61" i="145"/>
  <c r="AF17" i="147"/>
  <c r="P37" i="147"/>
  <c r="AG38" i="147"/>
  <c r="Q40" i="147"/>
  <c r="L49" i="147"/>
  <c r="L58" i="147" s="1"/>
  <c r="H13" i="146" s="1"/>
  <c r="AF51" i="147"/>
  <c r="R59" i="147"/>
  <c r="N69" i="147"/>
  <c r="AF79" i="147"/>
  <c r="AG18" i="149"/>
  <c r="AF49" i="149"/>
  <c r="Q59" i="149"/>
  <c r="O6" i="151"/>
  <c r="O15" i="151" s="1"/>
  <c r="L39" i="151"/>
  <c r="R39" i="151" s="1"/>
  <c r="AF40" i="151"/>
  <c r="O40" i="151"/>
  <c r="N58" i="151"/>
  <c r="AF59" i="151"/>
  <c r="N69" i="151"/>
  <c r="AF60" i="151"/>
  <c r="O60" i="151"/>
  <c r="AG60" i="151"/>
  <c r="Q70" i="151"/>
  <c r="AG5" i="153"/>
  <c r="O17" i="153"/>
  <c r="AG17" i="153"/>
  <c r="AF27" i="153"/>
  <c r="L27" i="153"/>
  <c r="L37" i="153" s="1"/>
  <c r="F13" i="152" s="1"/>
  <c r="R39" i="153"/>
  <c r="AF51" i="153"/>
  <c r="R60" i="153"/>
  <c r="Q60" i="153"/>
  <c r="N15" i="155"/>
  <c r="AG28" i="155"/>
  <c r="AF28" i="155"/>
  <c r="O28" i="155"/>
  <c r="O38" i="155"/>
  <c r="AG70" i="155"/>
  <c r="AF70" i="155"/>
  <c r="L70" i="155"/>
  <c r="L79" i="155" s="1"/>
  <c r="J13" i="154" s="1"/>
  <c r="K79" i="155"/>
  <c r="AG79" i="155" s="1"/>
  <c r="AH70" i="155" s="1"/>
  <c r="H6" i="156"/>
  <c r="F6" i="156"/>
  <c r="AG17" i="159"/>
  <c r="AE2" i="165"/>
  <c r="D21" i="164"/>
  <c r="L49" i="143"/>
  <c r="L58" i="143" s="1"/>
  <c r="H13" i="142" s="1"/>
  <c r="J48" i="145"/>
  <c r="P38" i="145"/>
  <c r="P70" i="147"/>
  <c r="J79" i="147"/>
  <c r="P79" i="147" s="1"/>
  <c r="L70" i="149"/>
  <c r="L79" i="149" s="1"/>
  <c r="J13" i="148" s="1"/>
  <c r="AG7" i="151"/>
  <c r="O69" i="151"/>
  <c r="Q59" i="151"/>
  <c r="AF17" i="153"/>
  <c r="O37" i="153"/>
  <c r="R27" i="153"/>
  <c r="Q27" i="153"/>
  <c r="Q39" i="153"/>
  <c r="AD2" i="155"/>
  <c r="L70" i="139"/>
  <c r="AG16" i="141"/>
  <c r="K26" i="149"/>
  <c r="AG69" i="149"/>
  <c r="AH59" i="149" s="1"/>
  <c r="Q69" i="149"/>
  <c r="E20" i="150"/>
  <c r="R5" i="151"/>
  <c r="L18" i="151"/>
  <c r="O38" i="151"/>
  <c r="R70" i="151"/>
  <c r="O58" i="153"/>
  <c r="R49" i="153"/>
  <c r="Q49" i="153"/>
  <c r="O7" i="155"/>
  <c r="AF7" i="155"/>
  <c r="AG7" i="155"/>
  <c r="Q70" i="157"/>
  <c r="O79" i="157"/>
  <c r="R70" i="157"/>
  <c r="Q58" i="159"/>
  <c r="AG58" i="159"/>
  <c r="AH49" i="159" s="1"/>
  <c r="AF58" i="159"/>
  <c r="L29" i="163"/>
  <c r="P29" i="163"/>
  <c r="D21" i="154"/>
  <c r="K48" i="155"/>
  <c r="P59" i="155"/>
  <c r="J69" i="155"/>
  <c r="P69" i="155" s="1"/>
  <c r="L5" i="159"/>
  <c r="L15" i="159" s="1"/>
  <c r="D13" i="158" s="1"/>
  <c r="K15" i="159"/>
  <c r="O18" i="159"/>
  <c r="AF18" i="159"/>
  <c r="J26" i="161"/>
  <c r="P26" i="161" s="1"/>
  <c r="P16" i="161"/>
  <c r="R51" i="163"/>
  <c r="Q51" i="163"/>
  <c r="O7" i="153"/>
  <c r="L50" i="155"/>
  <c r="Q58" i="155"/>
  <c r="L59" i="155"/>
  <c r="L69" i="155" s="1"/>
  <c r="I13" i="154" s="1"/>
  <c r="J6" i="154" s="1"/>
  <c r="AG50" i="159"/>
  <c r="AF50" i="159"/>
  <c r="AG60" i="159"/>
  <c r="AF60" i="159"/>
  <c r="O60" i="159"/>
  <c r="L16" i="161"/>
  <c r="L26" i="161" s="1"/>
  <c r="E13" i="160" s="1"/>
  <c r="AG16" i="161"/>
  <c r="AF16" i="161"/>
  <c r="L51" i="161"/>
  <c r="Q51" i="161" s="1"/>
  <c r="AG51" i="161"/>
  <c r="O7" i="167"/>
  <c r="AG7" i="167"/>
  <c r="AF7" i="167"/>
  <c r="R27" i="169"/>
  <c r="Q27" i="169"/>
  <c r="N69" i="153"/>
  <c r="K58" i="155"/>
  <c r="AF58" i="155" s="1"/>
  <c r="L49" i="155"/>
  <c r="L58" i="155" s="1"/>
  <c r="H13" i="154" s="1"/>
  <c r="K37" i="157"/>
  <c r="L27" i="157"/>
  <c r="L37" i="157" s="1"/>
  <c r="F13" i="156" s="1"/>
  <c r="R28" i="157"/>
  <c r="Q28" i="157"/>
  <c r="AG40" i="157"/>
  <c r="AF40" i="157"/>
  <c r="L40" i="157"/>
  <c r="O51" i="157"/>
  <c r="AG51" i="157"/>
  <c r="O5" i="159"/>
  <c r="AF5" i="159"/>
  <c r="AF40" i="159"/>
  <c r="AG40" i="159"/>
  <c r="O40" i="159"/>
  <c r="R50" i="159"/>
  <c r="Q50" i="159"/>
  <c r="F6" i="160"/>
  <c r="H6" i="160"/>
  <c r="L17" i="163"/>
  <c r="P17" i="163"/>
  <c r="P79" i="163"/>
  <c r="I1" i="163"/>
  <c r="J58" i="167"/>
  <c r="P49" i="167"/>
  <c r="L7" i="151"/>
  <c r="J26" i="151"/>
  <c r="AF39" i="151"/>
  <c r="L59" i="151"/>
  <c r="L69" i="151" s="1"/>
  <c r="I13" i="150" s="1"/>
  <c r="J6" i="150" s="1"/>
  <c r="L40" i="153"/>
  <c r="O59" i="153"/>
  <c r="I1" i="155"/>
  <c r="O5" i="155"/>
  <c r="P27" i="155"/>
  <c r="L39" i="155"/>
  <c r="AG49" i="155"/>
  <c r="O60" i="155"/>
  <c r="AG60" i="155"/>
  <c r="Q79" i="155"/>
  <c r="R5" i="157"/>
  <c r="Q5" i="157"/>
  <c r="N26" i="157"/>
  <c r="O27" i="157"/>
  <c r="N37" i="157"/>
  <c r="AG27" i="157"/>
  <c r="AF27" i="157"/>
  <c r="AF28" i="157"/>
  <c r="R40" i="157"/>
  <c r="Q40" i="157"/>
  <c r="AF51" i="157"/>
  <c r="K58" i="157"/>
  <c r="AG5" i="159"/>
  <c r="AG28" i="159"/>
  <c r="O28" i="159"/>
  <c r="AF60" i="161"/>
  <c r="O60" i="161"/>
  <c r="N69" i="161"/>
  <c r="AG60" i="161"/>
  <c r="AF50" i="163"/>
  <c r="N58" i="163"/>
  <c r="AG50" i="163"/>
  <c r="O50" i="163"/>
  <c r="K79" i="149"/>
  <c r="L61" i="153"/>
  <c r="K79" i="153"/>
  <c r="L70" i="153"/>
  <c r="L79" i="153" s="1"/>
  <c r="J13" i="152" s="1"/>
  <c r="D20" i="154"/>
  <c r="Z2" i="155"/>
  <c r="P38" i="155"/>
  <c r="AG5" i="157"/>
  <c r="Z2" i="157"/>
  <c r="E18" i="156"/>
  <c r="Q39" i="157"/>
  <c r="R39" i="157"/>
  <c r="AF50" i="157"/>
  <c r="O50" i="157"/>
  <c r="L38" i="159"/>
  <c r="AG38" i="159"/>
  <c r="AF38" i="159"/>
  <c r="L17" i="161"/>
  <c r="R59" i="161"/>
  <c r="L49" i="151"/>
  <c r="L58" i="151" s="1"/>
  <c r="H13" i="150" s="1"/>
  <c r="I1" i="153"/>
  <c r="AF7" i="153"/>
  <c r="AF18" i="153"/>
  <c r="AF29" i="155"/>
  <c r="AG50" i="157"/>
  <c r="AF60" i="157"/>
  <c r="AG60" i="157"/>
  <c r="N15" i="159"/>
  <c r="G21" i="158"/>
  <c r="AE2" i="159"/>
  <c r="AG40" i="161"/>
  <c r="AF40" i="161"/>
  <c r="N48" i="161"/>
  <c r="Q48" i="163"/>
  <c r="AG48" i="163"/>
  <c r="AH38" i="163" s="1"/>
  <c r="AF48" i="163"/>
  <c r="J37" i="171"/>
  <c r="P37" i="171" s="1"/>
  <c r="L27" i="171"/>
  <c r="P27" i="171"/>
  <c r="AG5" i="155"/>
  <c r="L16" i="155"/>
  <c r="L26" i="155" s="1"/>
  <c r="E13" i="154" s="1"/>
  <c r="AF39" i="155"/>
  <c r="AF49" i="155"/>
  <c r="AF50" i="155"/>
  <c r="R70" i="155"/>
  <c r="Q70" i="155"/>
  <c r="P16" i="157"/>
  <c r="J26" i="157"/>
  <c r="P26" i="157" s="1"/>
  <c r="L16" i="157"/>
  <c r="L26" i="157" s="1"/>
  <c r="E13" i="156" s="1"/>
  <c r="Q17" i="157"/>
  <c r="AF18" i="157"/>
  <c r="AG18" i="157"/>
  <c r="F19" i="156"/>
  <c r="AA2" i="157"/>
  <c r="AF16" i="159"/>
  <c r="N26" i="159"/>
  <c r="O16" i="159"/>
  <c r="AG16" i="159"/>
  <c r="O48" i="159"/>
  <c r="R40" i="161"/>
  <c r="Q40" i="161"/>
  <c r="AG50" i="161"/>
  <c r="AF50" i="161"/>
  <c r="O50" i="161"/>
  <c r="AG17" i="165"/>
  <c r="O17" i="165"/>
  <c r="AF17" i="165"/>
  <c r="AG18" i="167"/>
  <c r="AF18" i="167"/>
  <c r="O18" i="167"/>
  <c r="N58" i="149"/>
  <c r="AG27" i="153"/>
  <c r="AF59" i="153"/>
  <c r="AF5" i="155"/>
  <c r="AF79" i="155"/>
  <c r="O18" i="157"/>
  <c r="N58" i="157"/>
  <c r="AF49" i="157"/>
  <c r="O49" i="157"/>
  <c r="AG49" i="157"/>
  <c r="AG6" i="161"/>
  <c r="O6" i="161"/>
  <c r="K26" i="161"/>
  <c r="L49" i="161"/>
  <c r="K58" i="161"/>
  <c r="AF6" i="165"/>
  <c r="AG6" i="165"/>
  <c r="O6" i="165"/>
  <c r="R79" i="165"/>
  <c r="S70" i="165" s="1"/>
  <c r="J15" i="164" s="1"/>
  <c r="J14" i="164"/>
  <c r="AF79" i="151"/>
  <c r="N58" i="153"/>
  <c r="AG59" i="153"/>
  <c r="R16" i="157"/>
  <c r="Q16" i="157"/>
  <c r="Q29" i="157"/>
  <c r="G2" i="159"/>
  <c r="R6" i="159"/>
  <c r="Q6" i="159"/>
  <c r="R7" i="159"/>
  <c r="AF51" i="159"/>
  <c r="O51" i="159"/>
  <c r="AG51" i="159"/>
  <c r="R39" i="161"/>
  <c r="Q39" i="161"/>
  <c r="O48" i="161"/>
  <c r="F6" i="162"/>
  <c r="H6" i="162"/>
  <c r="AE2" i="153"/>
  <c r="N48" i="153"/>
  <c r="P16" i="155"/>
  <c r="O15" i="157"/>
  <c r="AF16" i="157"/>
  <c r="AG5" i="161"/>
  <c r="O5" i="161"/>
  <c r="N15" i="161"/>
  <c r="O27" i="161"/>
  <c r="N37" i="161"/>
  <c r="R49" i="161"/>
  <c r="L70" i="161"/>
  <c r="L79" i="161" s="1"/>
  <c r="J13" i="160" s="1"/>
  <c r="AG18" i="163"/>
  <c r="O18" i="163"/>
  <c r="AF18" i="163"/>
  <c r="N79" i="163"/>
  <c r="O70" i="163"/>
  <c r="AG70" i="163"/>
  <c r="AF70" i="163"/>
  <c r="P5" i="165"/>
  <c r="J15" i="165"/>
  <c r="P15" i="165" s="1"/>
  <c r="AD2" i="165"/>
  <c r="G20" i="164"/>
  <c r="O51" i="165"/>
  <c r="AG51" i="165"/>
  <c r="AF51" i="165"/>
  <c r="N58" i="165"/>
  <c r="Q16" i="163"/>
  <c r="AF7" i="165"/>
  <c r="L7" i="165"/>
  <c r="AF37" i="165"/>
  <c r="AG37" i="165"/>
  <c r="AH27" i="165" s="1"/>
  <c r="O59" i="165"/>
  <c r="AF59" i="165"/>
  <c r="I1" i="169"/>
  <c r="P70" i="171"/>
  <c r="J79" i="171"/>
  <c r="P79" i="171" s="1"/>
  <c r="AG29" i="161"/>
  <c r="AF29" i="161"/>
  <c r="AF28" i="163"/>
  <c r="O28" i="163"/>
  <c r="R39" i="163"/>
  <c r="Q39" i="163"/>
  <c r="AG7" i="165"/>
  <c r="Z2" i="165"/>
  <c r="P37" i="165"/>
  <c r="AF38" i="165"/>
  <c r="N48" i="165"/>
  <c r="O59" i="167"/>
  <c r="N69" i="167"/>
  <c r="AG59" i="167"/>
  <c r="O40" i="169"/>
  <c r="AF40" i="169"/>
  <c r="AG40" i="169"/>
  <c r="N79" i="159"/>
  <c r="R38" i="165"/>
  <c r="O48" i="165"/>
  <c r="Q38" i="165"/>
  <c r="AG50" i="167"/>
  <c r="AF50" i="167"/>
  <c r="O50" i="167"/>
  <c r="N58" i="167"/>
  <c r="P58" i="167"/>
  <c r="N15" i="157"/>
  <c r="AF29" i="157"/>
  <c r="AF39" i="157"/>
  <c r="J58" i="157"/>
  <c r="P58" i="157" s="1"/>
  <c r="Q79" i="157"/>
  <c r="L50" i="159"/>
  <c r="O70" i="159"/>
  <c r="AG39" i="161"/>
  <c r="AF39" i="161"/>
  <c r="P79" i="161"/>
  <c r="N37" i="163"/>
  <c r="O38" i="163"/>
  <c r="AG39" i="163"/>
  <c r="AF39" i="163"/>
  <c r="AG18" i="165"/>
  <c r="AF18" i="165"/>
  <c r="L18" i="165"/>
  <c r="AG49" i="165"/>
  <c r="AF49" i="165"/>
  <c r="O49" i="165"/>
  <c r="Z2" i="167"/>
  <c r="O27" i="167"/>
  <c r="N37" i="167"/>
  <c r="AG27" i="167"/>
  <c r="AF27" i="167"/>
  <c r="AF7" i="159"/>
  <c r="J69" i="159"/>
  <c r="P69" i="159" s="1"/>
  <c r="P59" i="159"/>
  <c r="AF70" i="161"/>
  <c r="R17" i="167"/>
  <c r="Q17" i="167"/>
  <c r="L49" i="167"/>
  <c r="L58" i="167" s="1"/>
  <c r="H13" i="166" s="1"/>
  <c r="K69" i="157"/>
  <c r="AF70" i="157"/>
  <c r="AF29" i="159"/>
  <c r="N48" i="159"/>
  <c r="AF49" i="159"/>
  <c r="AF7" i="161"/>
  <c r="AG28" i="161"/>
  <c r="AF38" i="161"/>
  <c r="AF51" i="161"/>
  <c r="O70" i="161"/>
  <c r="Q6" i="163"/>
  <c r="O7" i="163"/>
  <c r="N15" i="163"/>
  <c r="J26" i="163"/>
  <c r="P26" i="163" s="1"/>
  <c r="P16" i="163"/>
  <c r="O17" i="163"/>
  <c r="O29" i="163"/>
  <c r="AG38" i="163"/>
  <c r="AG51" i="163"/>
  <c r="AF51" i="163"/>
  <c r="AG61" i="163"/>
  <c r="AF61" i="163"/>
  <c r="AG29" i="165"/>
  <c r="AF29" i="165"/>
  <c r="O29" i="165"/>
  <c r="AF17" i="167"/>
  <c r="P15" i="169"/>
  <c r="O16" i="169"/>
  <c r="N26" i="169"/>
  <c r="AG16" i="169"/>
  <c r="O37" i="171"/>
  <c r="E20" i="156"/>
  <c r="P5" i="157"/>
  <c r="L29" i="157"/>
  <c r="R29" i="157" s="1"/>
  <c r="L51" i="157"/>
  <c r="L18" i="159"/>
  <c r="AG29" i="159"/>
  <c r="L59" i="159"/>
  <c r="L69" i="159" s="1"/>
  <c r="I13" i="158" s="1"/>
  <c r="J6" i="158" s="1"/>
  <c r="AG61" i="159"/>
  <c r="AG70" i="159"/>
  <c r="AG7" i="161"/>
  <c r="O17" i="161"/>
  <c r="O26" i="161" s="1"/>
  <c r="N26" i="161"/>
  <c r="AG38" i="161"/>
  <c r="L61" i="161"/>
  <c r="R61" i="163"/>
  <c r="P16" i="165"/>
  <c r="J26" i="165"/>
  <c r="P26" i="165" s="1"/>
  <c r="L16" i="165"/>
  <c r="L26" i="165" s="1"/>
  <c r="E13" i="164" s="1"/>
  <c r="R40" i="165"/>
  <c r="Q40" i="165"/>
  <c r="R60" i="165"/>
  <c r="Q60" i="165"/>
  <c r="AG17" i="167"/>
  <c r="AG15" i="169"/>
  <c r="AH5" i="169" s="1"/>
  <c r="AF15" i="169"/>
  <c r="AF79" i="157"/>
  <c r="Z2" i="159"/>
  <c r="N69" i="159"/>
  <c r="AF61" i="161"/>
  <c r="AG61" i="161"/>
  <c r="P59" i="165"/>
  <c r="J69" i="165"/>
  <c r="P69" i="165" s="1"/>
  <c r="L59" i="165"/>
  <c r="L69" i="165" s="1"/>
  <c r="I13" i="164" s="1"/>
  <c r="J6" i="164" s="1"/>
  <c r="R6" i="167"/>
  <c r="Q6" i="167"/>
  <c r="N26" i="167"/>
  <c r="AD2" i="173"/>
  <c r="N26" i="173"/>
  <c r="AG16" i="173"/>
  <c r="AF16" i="173"/>
  <c r="O16" i="173"/>
  <c r="L7" i="157"/>
  <c r="O59" i="157"/>
  <c r="N69" i="157"/>
  <c r="L40" i="159"/>
  <c r="O59" i="159"/>
  <c r="AD2" i="161"/>
  <c r="O18" i="161"/>
  <c r="L27" i="161"/>
  <c r="L37" i="161" s="1"/>
  <c r="F13" i="160" s="1"/>
  <c r="K48" i="161"/>
  <c r="AF49" i="161"/>
  <c r="Q59" i="161"/>
  <c r="O61" i="161"/>
  <c r="AG70" i="161"/>
  <c r="R16" i="163"/>
  <c r="AF29" i="163"/>
  <c r="I1" i="165"/>
  <c r="J37" i="165"/>
  <c r="P27" i="165"/>
  <c r="O28" i="165"/>
  <c r="R39" i="165"/>
  <c r="H6" i="166"/>
  <c r="F6" i="166"/>
  <c r="AG51" i="169"/>
  <c r="O51" i="169"/>
  <c r="AF51" i="169"/>
  <c r="O50" i="173"/>
  <c r="AG50" i="173"/>
  <c r="AF50" i="173"/>
  <c r="AE2" i="157"/>
  <c r="L38" i="157"/>
  <c r="L48" i="157" s="1"/>
  <c r="G13" i="156" s="1"/>
  <c r="L60" i="159"/>
  <c r="P37" i="161"/>
  <c r="AG49" i="161"/>
  <c r="AF59" i="161"/>
  <c r="O5" i="163"/>
  <c r="AF6" i="163"/>
  <c r="AF17" i="163"/>
  <c r="L27" i="163"/>
  <c r="K37" i="163"/>
  <c r="R40" i="163"/>
  <c r="O59" i="163"/>
  <c r="N69" i="163"/>
  <c r="AF16" i="165"/>
  <c r="O16" i="165"/>
  <c r="N26" i="165"/>
  <c r="K37" i="165"/>
  <c r="Q37" i="165" s="1"/>
  <c r="AG27" i="165"/>
  <c r="AF27" i="165"/>
  <c r="Q50" i="165"/>
  <c r="N69" i="165"/>
  <c r="Q70" i="165"/>
  <c r="AG51" i="167"/>
  <c r="AF51" i="167"/>
  <c r="O51" i="167"/>
  <c r="R7" i="169"/>
  <c r="Q7" i="169"/>
  <c r="J15" i="171"/>
  <c r="P15" i="171" s="1"/>
  <c r="P5" i="171"/>
  <c r="L5" i="171"/>
  <c r="L15" i="171" s="1"/>
  <c r="D13" i="170" s="1"/>
  <c r="Q61" i="171"/>
  <c r="R61" i="171"/>
  <c r="H6" i="168"/>
  <c r="F6" i="168"/>
  <c r="AG17" i="169"/>
  <c r="AF17" i="169"/>
  <c r="O17" i="169"/>
  <c r="N69" i="169"/>
  <c r="O59" i="169"/>
  <c r="AG59" i="169"/>
  <c r="AF59" i="169"/>
  <c r="AD2" i="171"/>
  <c r="Q58" i="171"/>
  <c r="AG58" i="171"/>
  <c r="AH49" i="171" s="1"/>
  <c r="AF58" i="171"/>
  <c r="L7" i="167"/>
  <c r="L16" i="167"/>
  <c r="L26" i="167" s="1"/>
  <c r="E13" i="166" s="1"/>
  <c r="J69" i="167"/>
  <c r="P69" i="167" s="1"/>
  <c r="P59" i="167"/>
  <c r="O5" i="169"/>
  <c r="AF5" i="169"/>
  <c r="AG61" i="169"/>
  <c r="AF61" i="169"/>
  <c r="O61" i="169"/>
  <c r="AG28" i="171"/>
  <c r="AF28" i="171"/>
  <c r="N37" i="171"/>
  <c r="O28" i="171"/>
  <c r="P48" i="171"/>
  <c r="I1" i="171"/>
  <c r="N26" i="163"/>
  <c r="O49" i="163"/>
  <c r="O60" i="163"/>
  <c r="AF39" i="165"/>
  <c r="AG5" i="167"/>
  <c r="AF5" i="167"/>
  <c r="AF28" i="167"/>
  <c r="AF38" i="167"/>
  <c r="AG60" i="167"/>
  <c r="AF60" i="167"/>
  <c r="AG61" i="167"/>
  <c r="AF61" i="167"/>
  <c r="AG5" i="169"/>
  <c r="O29" i="169"/>
  <c r="AF29" i="169"/>
  <c r="O51" i="175"/>
  <c r="AG51" i="175"/>
  <c r="AF51" i="175"/>
  <c r="AF16" i="163"/>
  <c r="O7" i="165"/>
  <c r="O61" i="165"/>
  <c r="N79" i="165"/>
  <c r="O5" i="167"/>
  <c r="O16" i="167"/>
  <c r="AG28" i="167"/>
  <c r="AG38" i="167"/>
  <c r="N48" i="167"/>
  <c r="O60" i="167"/>
  <c r="O61" i="167"/>
  <c r="P79" i="167"/>
  <c r="R28" i="169"/>
  <c r="Q28" i="169"/>
  <c r="AG29" i="169"/>
  <c r="L40" i="169"/>
  <c r="L6" i="171"/>
  <c r="R6" i="171" s="1"/>
  <c r="AG6" i="171"/>
  <c r="O7" i="171"/>
  <c r="AF7" i="171"/>
  <c r="R18" i="171"/>
  <c r="Q18" i="171"/>
  <c r="L5" i="165"/>
  <c r="L15" i="165" s="1"/>
  <c r="D13" i="164" s="1"/>
  <c r="AF6" i="167"/>
  <c r="I1" i="167"/>
  <c r="E19" i="168"/>
  <c r="AA2" i="169"/>
  <c r="O39" i="169"/>
  <c r="O48" i="169" s="1"/>
  <c r="AG39" i="169"/>
  <c r="AF6" i="171"/>
  <c r="O17" i="171"/>
  <c r="AF17" i="171"/>
  <c r="N15" i="165"/>
  <c r="J37" i="167"/>
  <c r="P37" i="167" s="1"/>
  <c r="P27" i="167"/>
  <c r="K79" i="167"/>
  <c r="L70" i="167"/>
  <c r="L79" i="167" s="1"/>
  <c r="J13" i="166" s="1"/>
  <c r="N37" i="169"/>
  <c r="AG27" i="169"/>
  <c r="AF27" i="169"/>
  <c r="O60" i="169"/>
  <c r="AG60" i="169"/>
  <c r="AF60" i="169"/>
  <c r="O51" i="171"/>
  <c r="AG51" i="171"/>
  <c r="L59" i="163"/>
  <c r="L69" i="163" s="1"/>
  <c r="I13" i="162" s="1"/>
  <c r="J6" i="162" s="1"/>
  <c r="O5" i="165"/>
  <c r="AF61" i="165"/>
  <c r="AF70" i="165"/>
  <c r="J48" i="167"/>
  <c r="P48" i="167" s="1"/>
  <c r="P38" i="167"/>
  <c r="G2" i="169"/>
  <c r="AE2" i="169"/>
  <c r="R50" i="169"/>
  <c r="Q50" i="169"/>
  <c r="P59" i="169"/>
  <c r="J69" i="169"/>
  <c r="P69" i="169" s="1"/>
  <c r="R5" i="171"/>
  <c r="Q5" i="171"/>
  <c r="N15" i="171"/>
  <c r="AG26" i="171"/>
  <c r="AH16" i="171" s="1"/>
  <c r="AF26" i="171"/>
  <c r="R29" i="171"/>
  <c r="Q40" i="171"/>
  <c r="R40" i="171"/>
  <c r="AF51" i="171"/>
  <c r="R59" i="171"/>
  <c r="L69" i="171"/>
  <c r="I13" i="170" s="1"/>
  <c r="J6" i="170" s="1"/>
  <c r="R16" i="179"/>
  <c r="Q16" i="179"/>
  <c r="Q27" i="165"/>
  <c r="L28" i="165"/>
  <c r="Q39" i="165"/>
  <c r="AF50" i="165"/>
  <c r="Q28" i="167"/>
  <c r="AG29" i="167"/>
  <c r="AF29" i="167"/>
  <c r="AG39" i="167"/>
  <c r="AF39" i="167"/>
  <c r="AG40" i="167"/>
  <c r="AF40" i="167"/>
  <c r="N79" i="167"/>
  <c r="O70" i="167"/>
  <c r="O6" i="169"/>
  <c r="AG6" i="169"/>
  <c r="O18" i="169"/>
  <c r="AG18" i="169"/>
  <c r="AG79" i="169"/>
  <c r="AH70" i="169" s="1"/>
  <c r="O49" i="173"/>
  <c r="N58" i="173"/>
  <c r="AG49" i="173"/>
  <c r="AF49" i="173"/>
  <c r="AG58" i="179"/>
  <c r="AH49" i="179" s="1"/>
  <c r="Q58" i="179"/>
  <c r="AF58" i="179"/>
  <c r="AA2" i="163"/>
  <c r="AD2" i="163"/>
  <c r="P37" i="163"/>
  <c r="L29" i="165"/>
  <c r="N15" i="167"/>
  <c r="J26" i="167"/>
  <c r="P26" i="167" s="1"/>
  <c r="P16" i="167"/>
  <c r="P17" i="167"/>
  <c r="L17" i="167"/>
  <c r="O29" i="167"/>
  <c r="O39" i="167"/>
  <c r="O40" i="167"/>
  <c r="AG49" i="167"/>
  <c r="AF70" i="167"/>
  <c r="AF6" i="169"/>
  <c r="O58" i="169"/>
  <c r="AG39" i="171"/>
  <c r="O38" i="173"/>
  <c r="N48" i="173"/>
  <c r="O39" i="173"/>
  <c r="AG39" i="173"/>
  <c r="AG51" i="173"/>
  <c r="AF51" i="173"/>
  <c r="H6" i="174"/>
  <c r="F6" i="174"/>
  <c r="K58" i="177"/>
  <c r="Q58" i="177" s="1"/>
  <c r="AF49" i="177"/>
  <c r="P5" i="179"/>
  <c r="L5" i="179"/>
  <c r="L15" i="179" s="1"/>
  <c r="D13" i="178" s="1"/>
  <c r="J15" i="179"/>
  <c r="P15" i="179" s="1"/>
  <c r="J15" i="169"/>
  <c r="P79" i="169"/>
  <c r="AG49" i="171"/>
  <c r="N69" i="171"/>
  <c r="L17" i="173"/>
  <c r="R17" i="173" s="1"/>
  <c r="AF38" i="173"/>
  <c r="AF39" i="173"/>
  <c r="O51" i="173"/>
  <c r="I1" i="175"/>
  <c r="P15" i="175"/>
  <c r="G19" i="174"/>
  <c r="AA2" i="175"/>
  <c r="R61" i="175"/>
  <c r="Q61" i="175"/>
  <c r="AG16" i="177"/>
  <c r="N26" i="177"/>
  <c r="O16" i="177"/>
  <c r="Z2" i="177"/>
  <c r="E18" i="176"/>
  <c r="L39" i="177"/>
  <c r="L49" i="177"/>
  <c r="L58" i="177" s="1"/>
  <c r="H13" i="176" s="1"/>
  <c r="J21" i="176"/>
  <c r="AE2" i="177"/>
  <c r="Q49" i="169"/>
  <c r="R70" i="169"/>
  <c r="AG38" i="173"/>
  <c r="R17" i="175"/>
  <c r="P58" i="179"/>
  <c r="N58" i="169"/>
  <c r="O79" i="169"/>
  <c r="K37" i="171"/>
  <c r="O39" i="171"/>
  <c r="N15" i="173"/>
  <c r="AG5" i="173"/>
  <c r="AF5" i="173"/>
  <c r="L16" i="173"/>
  <c r="L26" i="173" s="1"/>
  <c r="E13" i="172" s="1"/>
  <c r="O18" i="173"/>
  <c r="AG18" i="173"/>
  <c r="R29" i="173"/>
  <c r="L49" i="173"/>
  <c r="L58" i="173" s="1"/>
  <c r="H13" i="172" s="1"/>
  <c r="R7" i="175"/>
  <c r="Q7" i="175"/>
  <c r="AF16" i="175"/>
  <c r="O16" i="175"/>
  <c r="N26" i="175"/>
  <c r="J37" i="175"/>
  <c r="P37" i="175" s="1"/>
  <c r="P27" i="175"/>
  <c r="R39" i="175"/>
  <c r="P15" i="177"/>
  <c r="I1" i="177"/>
  <c r="AG16" i="179"/>
  <c r="AF16" i="179"/>
  <c r="N26" i="179"/>
  <c r="AG39" i="179"/>
  <c r="AF39" i="179"/>
  <c r="O39" i="179"/>
  <c r="O48" i="179" s="1"/>
  <c r="AF79" i="179"/>
  <c r="AG79" i="179"/>
  <c r="AH70" i="179" s="1"/>
  <c r="Q79" i="179"/>
  <c r="L61" i="171"/>
  <c r="K79" i="171"/>
  <c r="AF79" i="171" s="1"/>
  <c r="L70" i="171"/>
  <c r="L79" i="171" s="1"/>
  <c r="J13" i="170" s="1"/>
  <c r="J37" i="173"/>
  <c r="P27" i="173"/>
  <c r="L28" i="173"/>
  <c r="R28" i="173" s="1"/>
  <c r="P70" i="173"/>
  <c r="J79" i="173"/>
  <c r="P79" i="173" s="1"/>
  <c r="N15" i="175"/>
  <c r="O5" i="175"/>
  <c r="AG28" i="175"/>
  <c r="AF28" i="175"/>
  <c r="N37" i="175"/>
  <c r="O28" i="175"/>
  <c r="K48" i="175"/>
  <c r="AG38" i="175"/>
  <c r="AF38" i="175"/>
  <c r="O59" i="175"/>
  <c r="N69" i="175"/>
  <c r="AF70" i="175"/>
  <c r="N79" i="175"/>
  <c r="O70" i="175"/>
  <c r="AG70" i="175"/>
  <c r="O61" i="177"/>
  <c r="AF61" i="177"/>
  <c r="AG61" i="177"/>
  <c r="P16" i="171"/>
  <c r="O49" i="171"/>
  <c r="O60" i="171"/>
  <c r="AG70" i="171"/>
  <c r="AF70" i="171"/>
  <c r="P16" i="173"/>
  <c r="P58" i="173"/>
  <c r="O60" i="173"/>
  <c r="AG60" i="173"/>
  <c r="AF5" i="175"/>
  <c r="Q27" i="175"/>
  <c r="L38" i="175"/>
  <c r="L48" i="175" s="1"/>
  <c r="G13" i="174" s="1"/>
  <c r="AF59" i="175"/>
  <c r="AF28" i="177"/>
  <c r="O28" i="177"/>
  <c r="AG28" i="177"/>
  <c r="R51" i="177"/>
  <c r="Q51" i="177"/>
  <c r="AF60" i="177"/>
  <c r="AG60" i="177"/>
  <c r="N79" i="177"/>
  <c r="AG70" i="177"/>
  <c r="AF70" i="177"/>
  <c r="O70" i="177"/>
  <c r="L7" i="179"/>
  <c r="AF7" i="179"/>
  <c r="J48" i="179"/>
  <c r="P48" i="179" s="1"/>
  <c r="P38" i="179"/>
  <c r="L38" i="179"/>
  <c r="O50" i="179"/>
  <c r="AG50" i="179"/>
  <c r="AF50" i="179"/>
  <c r="L38" i="167"/>
  <c r="L48" i="167" s="1"/>
  <c r="G13" i="166" s="1"/>
  <c r="L59" i="167"/>
  <c r="L69" i="167" s="1"/>
  <c r="I13" i="166" s="1"/>
  <c r="J6" i="166" s="1"/>
  <c r="N48" i="169"/>
  <c r="AF49" i="169"/>
  <c r="L59" i="169"/>
  <c r="L69" i="169" s="1"/>
  <c r="I13" i="168" s="1"/>
  <c r="J6" i="168" s="1"/>
  <c r="AF70" i="169"/>
  <c r="AA2" i="171"/>
  <c r="L7" i="171"/>
  <c r="Q16" i="171"/>
  <c r="Q29" i="171"/>
  <c r="O70" i="171"/>
  <c r="L7" i="173"/>
  <c r="L27" i="173"/>
  <c r="L37" i="173" s="1"/>
  <c r="F13" i="172" s="1"/>
  <c r="AG29" i="173"/>
  <c r="AF29" i="173"/>
  <c r="L59" i="173"/>
  <c r="L69" i="173" s="1"/>
  <c r="I13" i="172" s="1"/>
  <c r="J6" i="172" s="1"/>
  <c r="AF60" i="173"/>
  <c r="L70" i="173"/>
  <c r="L79" i="173" s="1"/>
  <c r="J13" i="172" s="1"/>
  <c r="AG5" i="175"/>
  <c r="N48" i="175"/>
  <c r="R50" i="175"/>
  <c r="Q50" i="175"/>
  <c r="AG59" i="175"/>
  <c r="R18" i="177"/>
  <c r="Q18" i="177"/>
  <c r="O60" i="177"/>
  <c r="AG29" i="179"/>
  <c r="O29" i="179"/>
  <c r="AF29" i="179"/>
  <c r="AF7" i="169"/>
  <c r="AF38" i="169"/>
  <c r="Q6" i="171"/>
  <c r="AE2" i="171"/>
  <c r="R16" i="171"/>
  <c r="AG27" i="171"/>
  <c r="AF39" i="171"/>
  <c r="L50" i="171"/>
  <c r="R50" i="171" s="1"/>
  <c r="AF59" i="171"/>
  <c r="Q79" i="171"/>
  <c r="L6" i="173"/>
  <c r="AF27" i="173"/>
  <c r="AG40" i="173"/>
  <c r="AF40" i="173"/>
  <c r="O59" i="173"/>
  <c r="AF59" i="173"/>
  <c r="N69" i="173"/>
  <c r="N79" i="173"/>
  <c r="O70" i="173"/>
  <c r="AG70" i="173"/>
  <c r="AF70" i="173"/>
  <c r="J58" i="179"/>
  <c r="P49" i="179"/>
  <c r="L60" i="169"/>
  <c r="AF5" i="171"/>
  <c r="AF40" i="171"/>
  <c r="AG59" i="171"/>
  <c r="AG6" i="173"/>
  <c r="AF6" i="173"/>
  <c r="R7" i="173"/>
  <c r="Q7" i="173"/>
  <c r="O27" i="173"/>
  <c r="AF28" i="173"/>
  <c r="P37" i="173"/>
  <c r="O40" i="173"/>
  <c r="AG59" i="173"/>
  <c r="O15" i="177"/>
  <c r="R5" i="177"/>
  <c r="N37" i="177"/>
  <c r="L40" i="177"/>
  <c r="AG40" i="177"/>
  <c r="I19" i="176"/>
  <c r="AA2" i="177"/>
  <c r="R18" i="179"/>
  <c r="Q18" i="179"/>
  <c r="AF28" i="169"/>
  <c r="AF50" i="169"/>
  <c r="AF79" i="169"/>
  <c r="N48" i="171"/>
  <c r="O5" i="173"/>
  <c r="R6" i="173"/>
  <c r="Q6" i="173"/>
  <c r="AG37" i="173"/>
  <c r="AH27" i="173" s="1"/>
  <c r="AF37" i="173"/>
  <c r="G20" i="174"/>
  <c r="O27" i="177"/>
  <c r="AG27" i="177"/>
  <c r="AF27" i="177"/>
  <c r="R50" i="177"/>
  <c r="Q50" i="177"/>
  <c r="O40" i="179"/>
  <c r="AG40" i="179"/>
  <c r="AF40" i="179"/>
  <c r="AF16" i="171"/>
  <c r="AF29" i="171"/>
  <c r="O38" i="171"/>
  <c r="AG7" i="173"/>
  <c r="AG27" i="173"/>
  <c r="L38" i="173"/>
  <c r="L48" i="173" s="1"/>
  <c r="G13" i="172" s="1"/>
  <c r="AG40" i="175"/>
  <c r="AF40" i="175"/>
  <c r="O40" i="175"/>
  <c r="O59" i="177"/>
  <c r="AG59" i="177"/>
  <c r="AF59" i="177"/>
  <c r="N69" i="177"/>
  <c r="AF18" i="179"/>
  <c r="AG18" i="179"/>
  <c r="AG48" i="177"/>
  <c r="AH38" i="177" s="1"/>
  <c r="AG70" i="179"/>
  <c r="AF70" i="179"/>
  <c r="N48" i="181"/>
  <c r="AG38" i="181"/>
  <c r="AF38" i="181"/>
  <c r="O38" i="181"/>
  <c r="R40" i="183"/>
  <c r="Q40" i="183"/>
  <c r="J37" i="177"/>
  <c r="P37" i="177" s="1"/>
  <c r="O70" i="179"/>
  <c r="P50" i="181"/>
  <c r="L50" i="181"/>
  <c r="J79" i="175"/>
  <c r="P79" i="175" s="1"/>
  <c r="P58" i="177"/>
  <c r="O27" i="179"/>
  <c r="AF27" i="179"/>
  <c r="AE2" i="175"/>
  <c r="AF39" i="175"/>
  <c r="O49" i="175"/>
  <c r="O7" i="177"/>
  <c r="O17" i="177"/>
  <c r="AG58" i="177"/>
  <c r="AH49" i="177" s="1"/>
  <c r="L59" i="177"/>
  <c r="L69" i="177" s="1"/>
  <c r="I13" i="176" s="1"/>
  <c r="J6" i="176" s="1"/>
  <c r="AG27" i="179"/>
  <c r="O51" i="179"/>
  <c r="AG51" i="179"/>
  <c r="AF51" i="179"/>
  <c r="P59" i="179"/>
  <c r="J69" i="179"/>
  <c r="AF60" i="179"/>
  <c r="O28" i="181"/>
  <c r="AG28" i="181"/>
  <c r="AF28" i="181"/>
  <c r="J48" i="175"/>
  <c r="P48" i="175" s="1"/>
  <c r="N58" i="175"/>
  <c r="N15" i="177"/>
  <c r="AG29" i="177"/>
  <c r="O29" i="177"/>
  <c r="O38" i="177"/>
  <c r="AG38" i="177"/>
  <c r="AF38" i="177"/>
  <c r="AF39" i="177"/>
  <c r="L6" i="179"/>
  <c r="R6" i="179" s="1"/>
  <c r="AF17" i="179"/>
  <c r="AG17" i="179"/>
  <c r="AG59" i="179"/>
  <c r="N69" i="179"/>
  <c r="O59" i="179"/>
  <c r="AF59" i="179"/>
  <c r="K15" i="173"/>
  <c r="AF17" i="175"/>
  <c r="L27" i="175"/>
  <c r="O38" i="175"/>
  <c r="AF60" i="175"/>
  <c r="AF6" i="177"/>
  <c r="P38" i="177"/>
  <c r="O39" i="177"/>
  <c r="O40" i="177"/>
  <c r="AF40" i="177"/>
  <c r="AG7" i="179"/>
  <c r="O7" i="179"/>
  <c r="O17" i="179"/>
  <c r="N37" i="179"/>
  <c r="AG38" i="179"/>
  <c r="AF38" i="179"/>
  <c r="N48" i="179"/>
  <c r="L49" i="179"/>
  <c r="L58" i="179" s="1"/>
  <c r="H13" i="178" s="1"/>
  <c r="H15" i="180"/>
  <c r="P17" i="181"/>
  <c r="L17" i="181"/>
  <c r="Q40" i="181"/>
  <c r="R40" i="181"/>
  <c r="AG58" i="181"/>
  <c r="AH49" i="181" s="1"/>
  <c r="AF58" i="181"/>
  <c r="Q58" i="181"/>
  <c r="AG5" i="183"/>
  <c r="AF5" i="183"/>
  <c r="N15" i="183"/>
  <c r="O5" i="183"/>
  <c r="P38" i="173"/>
  <c r="P49" i="173"/>
  <c r="P59" i="173"/>
  <c r="AF61" i="173"/>
  <c r="AG6" i="175"/>
  <c r="AF29" i="175"/>
  <c r="L39" i="175"/>
  <c r="Q39" i="175" s="1"/>
  <c r="AF49" i="175"/>
  <c r="L5" i="177"/>
  <c r="L15" i="177" s="1"/>
  <c r="D13" i="176" s="1"/>
  <c r="J26" i="177"/>
  <c r="P26" i="177" s="1"/>
  <c r="P16" i="177"/>
  <c r="O49" i="177"/>
  <c r="AG49" i="177"/>
  <c r="AD2" i="179"/>
  <c r="D20" i="178"/>
  <c r="Q38" i="179"/>
  <c r="AG49" i="179"/>
  <c r="AF49" i="179"/>
  <c r="R58" i="181"/>
  <c r="S49" i="181" s="1"/>
  <c r="AF7" i="175"/>
  <c r="AF18" i="175"/>
  <c r="AF7" i="177"/>
  <c r="AG17" i="177"/>
  <c r="AF18" i="177"/>
  <c r="O15" i="179"/>
  <c r="R5" i="179"/>
  <c r="K26" i="179"/>
  <c r="O58" i="179"/>
  <c r="R49" i="179"/>
  <c r="AF61" i="175"/>
  <c r="L16" i="177"/>
  <c r="L26" i="177" s="1"/>
  <c r="E13" i="176" s="1"/>
  <c r="AF50" i="177"/>
  <c r="AF15" i="179"/>
  <c r="I1" i="179"/>
  <c r="J37" i="179"/>
  <c r="P37" i="179" s="1"/>
  <c r="P27" i="179"/>
  <c r="R28" i="179"/>
  <c r="O61" i="179"/>
  <c r="AG61" i="179"/>
  <c r="AF29" i="177"/>
  <c r="P69" i="177"/>
  <c r="D18" i="178"/>
  <c r="AF6" i="179"/>
  <c r="Q28" i="179"/>
  <c r="AF61" i="179"/>
  <c r="P69" i="179"/>
  <c r="O5" i="181"/>
  <c r="AF5" i="181"/>
  <c r="N15" i="181"/>
  <c r="AG61" i="181"/>
  <c r="AF61" i="181"/>
  <c r="O61" i="181"/>
  <c r="D18" i="180"/>
  <c r="Z2" i="181"/>
  <c r="P39" i="181"/>
  <c r="L39" i="181"/>
  <c r="J15" i="183"/>
  <c r="P15" i="183" s="1"/>
  <c r="L5" i="183"/>
  <c r="L15" i="183" s="1"/>
  <c r="D13" i="182" s="1"/>
  <c r="P26" i="183"/>
  <c r="F6" i="184"/>
  <c r="H6" i="184"/>
  <c r="D19" i="180"/>
  <c r="AA2" i="181"/>
  <c r="R5" i="189"/>
  <c r="Q5" i="189"/>
  <c r="P18" i="181"/>
  <c r="L18" i="181"/>
  <c r="R18" i="181" s="1"/>
  <c r="AD2" i="181"/>
  <c r="E20" i="180"/>
  <c r="O29" i="181"/>
  <c r="AG29" i="181"/>
  <c r="AF29" i="181"/>
  <c r="J48" i="181"/>
  <c r="P48" i="181" s="1"/>
  <c r="P38" i="181"/>
  <c r="AG40" i="181"/>
  <c r="AF40" i="181"/>
  <c r="J58" i="181"/>
  <c r="P58" i="181" s="1"/>
  <c r="P49" i="181"/>
  <c r="L49" i="181"/>
  <c r="L58" i="181" s="1"/>
  <c r="H13" i="180" s="1"/>
  <c r="AG17" i="183"/>
  <c r="AF17" i="183"/>
  <c r="O17" i="183"/>
  <c r="L28" i="177"/>
  <c r="L60" i="179"/>
  <c r="R60" i="179" s="1"/>
  <c r="L61" i="179"/>
  <c r="Q18" i="181"/>
  <c r="J37" i="181"/>
  <c r="P37" i="181" s="1"/>
  <c r="P27" i="181"/>
  <c r="R59" i="181"/>
  <c r="Q59" i="181"/>
  <c r="Q79" i="181"/>
  <c r="AF79" i="181"/>
  <c r="AG79" i="181"/>
  <c r="AH70" i="181" s="1"/>
  <c r="AF18" i="181"/>
  <c r="AG28" i="183"/>
  <c r="AF28" i="183"/>
  <c r="O28" i="183"/>
  <c r="AG29" i="183"/>
  <c r="AF29" i="183"/>
  <c r="O29" i="183"/>
  <c r="Q48" i="185"/>
  <c r="AG48" i="185"/>
  <c r="AH38" i="185" s="1"/>
  <c r="AF48" i="185"/>
  <c r="L16" i="181"/>
  <c r="L26" i="181" s="1"/>
  <c r="E13" i="180" s="1"/>
  <c r="O17" i="181"/>
  <c r="AF17" i="181"/>
  <c r="AG18" i="181"/>
  <c r="L27" i="181"/>
  <c r="L37" i="181" s="1"/>
  <c r="F13" i="180" s="1"/>
  <c r="AG18" i="183"/>
  <c r="AF18" i="183"/>
  <c r="O18" i="183"/>
  <c r="R27" i="181"/>
  <c r="Q27" i="181"/>
  <c r="Q6" i="181"/>
  <c r="R16" i="181"/>
  <c r="Q16" i="181"/>
  <c r="P27" i="183"/>
  <c r="J37" i="183"/>
  <c r="P37" i="183" s="1"/>
  <c r="N37" i="183"/>
  <c r="O38" i="187"/>
  <c r="AG38" i="187"/>
  <c r="AF38" i="187"/>
  <c r="N48" i="187"/>
  <c r="J69" i="181"/>
  <c r="P69" i="181" s="1"/>
  <c r="P59" i="181"/>
  <c r="P60" i="181"/>
  <c r="L60" i="181"/>
  <c r="R60" i="181" s="1"/>
  <c r="O6" i="183"/>
  <c r="AG6" i="183"/>
  <c r="Q38" i="183"/>
  <c r="AG50" i="185"/>
  <c r="AF50" i="185"/>
  <c r="O50" i="185"/>
  <c r="O17" i="187"/>
  <c r="AF17" i="187"/>
  <c r="AG17" i="187"/>
  <c r="R60" i="187"/>
  <c r="Q60" i="187"/>
  <c r="AF29" i="185"/>
  <c r="O29" i="185"/>
  <c r="L39" i="189"/>
  <c r="P39" i="189"/>
  <c r="AG51" i="183"/>
  <c r="AF51" i="183"/>
  <c r="AF5" i="185"/>
  <c r="AG5" i="185"/>
  <c r="N15" i="185"/>
  <c r="O5" i="185"/>
  <c r="AF16" i="187"/>
  <c r="N26" i="187"/>
  <c r="AG16" i="187"/>
  <c r="O6" i="189"/>
  <c r="O15" i="189" s="1"/>
  <c r="AG6" i="189"/>
  <c r="L18" i="189"/>
  <c r="P18" i="189"/>
  <c r="N26" i="181"/>
  <c r="N69" i="181"/>
  <c r="P79" i="181"/>
  <c r="I1" i="183"/>
  <c r="L27" i="183"/>
  <c r="L37" i="183" s="1"/>
  <c r="F13" i="182" s="1"/>
  <c r="F21" i="182"/>
  <c r="AE2" i="183"/>
  <c r="AG38" i="183"/>
  <c r="N48" i="183"/>
  <c r="O51" i="183"/>
  <c r="N37" i="185"/>
  <c r="O27" i="185"/>
  <c r="O16" i="187"/>
  <c r="AG51" i="187"/>
  <c r="AF51" i="187"/>
  <c r="O51" i="187"/>
  <c r="L59" i="187"/>
  <c r="L69" i="187" s="1"/>
  <c r="I13" i="186" s="1"/>
  <c r="J6" i="186" s="1"/>
  <c r="H6" i="188"/>
  <c r="F6" i="188"/>
  <c r="AF6" i="189"/>
  <c r="AG59" i="189"/>
  <c r="N69" i="189"/>
  <c r="O59" i="189"/>
  <c r="I1" i="185"/>
  <c r="O59" i="187"/>
  <c r="AG59" i="187"/>
  <c r="AF59" i="187"/>
  <c r="AF5" i="189"/>
  <c r="N15" i="189"/>
  <c r="AG5" i="189"/>
  <c r="AG51" i="181"/>
  <c r="AF51" i="181"/>
  <c r="AF59" i="181"/>
  <c r="K79" i="181"/>
  <c r="L70" i="181"/>
  <c r="L79" i="181" s="1"/>
  <c r="J13" i="180" s="1"/>
  <c r="O27" i="183"/>
  <c r="AF27" i="183"/>
  <c r="R49" i="183"/>
  <c r="Q49" i="183"/>
  <c r="G2" i="185"/>
  <c r="R7" i="185"/>
  <c r="Q7" i="185"/>
  <c r="L7" i="187"/>
  <c r="R7" i="187" s="1"/>
  <c r="Q51" i="181"/>
  <c r="AG59" i="181"/>
  <c r="J26" i="183"/>
  <c r="P16" i="183"/>
  <c r="AG27" i="183"/>
  <c r="E21" i="184"/>
  <c r="AE2" i="185"/>
  <c r="O61" i="189"/>
  <c r="AG61" i="189"/>
  <c r="AF61" i="189"/>
  <c r="AG27" i="181"/>
  <c r="AF27" i="181"/>
  <c r="R49" i="181"/>
  <c r="Q49" i="181"/>
  <c r="O79" i="181"/>
  <c r="Q70" i="181"/>
  <c r="K37" i="183"/>
  <c r="N58" i="183"/>
  <c r="O49" i="187"/>
  <c r="AG49" i="187"/>
  <c r="N58" i="187"/>
  <c r="AF49" i="187"/>
  <c r="O27" i="189"/>
  <c r="N37" i="189"/>
  <c r="AG28" i="189"/>
  <c r="AF28" i="189"/>
  <c r="O28" i="189"/>
  <c r="AF16" i="181"/>
  <c r="R51" i="181"/>
  <c r="L16" i="183"/>
  <c r="L26" i="183" s="1"/>
  <c r="E13" i="182" s="1"/>
  <c r="AG40" i="183"/>
  <c r="AF40" i="183"/>
  <c r="O59" i="183"/>
  <c r="N69" i="183"/>
  <c r="L6" i="187"/>
  <c r="P6" i="187"/>
  <c r="R18" i="187"/>
  <c r="Q18" i="187"/>
  <c r="L28" i="187"/>
  <c r="R28" i="187" s="1"/>
  <c r="AF27" i="189"/>
  <c r="AD2" i="189"/>
  <c r="I20" i="188"/>
  <c r="AG38" i="185"/>
  <c r="AF38" i="185"/>
  <c r="O38" i="185"/>
  <c r="N79" i="187"/>
  <c r="AG70" i="187"/>
  <c r="AF70" i="187"/>
  <c r="P15" i="181"/>
  <c r="N37" i="181"/>
  <c r="AG70" i="181"/>
  <c r="O16" i="183"/>
  <c r="N26" i="183"/>
  <c r="AG16" i="183"/>
  <c r="AG59" i="183"/>
  <c r="AG18" i="187"/>
  <c r="AG61" i="187"/>
  <c r="AF61" i="187"/>
  <c r="O61" i="187"/>
  <c r="N69" i="187"/>
  <c r="O70" i="187"/>
  <c r="AG17" i="189"/>
  <c r="AF17" i="189"/>
  <c r="O17" i="189"/>
  <c r="N79" i="183"/>
  <c r="R16" i="185"/>
  <c r="Q18" i="185"/>
  <c r="R39" i="185"/>
  <c r="Q39" i="185"/>
  <c r="AG49" i="185"/>
  <c r="N58" i="185"/>
  <c r="AF49" i="185"/>
  <c r="O49" i="185"/>
  <c r="AG15" i="187"/>
  <c r="AH5" i="187" s="1"/>
  <c r="O79" i="183"/>
  <c r="Q70" i="183"/>
  <c r="R70" i="183"/>
  <c r="AD2" i="185"/>
  <c r="AF28" i="185"/>
  <c r="AG28" i="185"/>
  <c r="Q40" i="185"/>
  <c r="J48" i="187"/>
  <c r="P48" i="187" s="1"/>
  <c r="P38" i="187"/>
  <c r="Q16" i="189"/>
  <c r="J37" i="189"/>
  <c r="P27" i="189"/>
  <c r="F19" i="188"/>
  <c r="AA2" i="189"/>
  <c r="O60" i="183"/>
  <c r="AF61" i="183"/>
  <c r="AG61" i="183"/>
  <c r="O28" i="185"/>
  <c r="AF40" i="185"/>
  <c r="O60" i="185"/>
  <c r="R39" i="187"/>
  <c r="Q39" i="187"/>
  <c r="J58" i="187"/>
  <c r="P58" i="187" s="1"/>
  <c r="P49" i="187"/>
  <c r="L6" i="189"/>
  <c r="AF16" i="189"/>
  <c r="L27" i="189"/>
  <c r="L37" i="189" s="1"/>
  <c r="F13" i="188" s="1"/>
  <c r="O29" i="189"/>
  <c r="N58" i="189"/>
  <c r="O39" i="183"/>
  <c r="O50" i="183"/>
  <c r="O61" i="183"/>
  <c r="P5" i="185"/>
  <c r="J15" i="185"/>
  <c r="P15" i="185" s="1"/>
  <c r="AF16" i="185"/>
  <c r="AG40" i="185"/>
  <c r="Q61" i="185"/>
  <c r="E21" i="186"/>
  <c r="L38" i="187"/>
  <c r="L48" i="187" s="1"/>
  <c r="G13" i="186" s="1"/>
  <c r="AF39" i="187"/>
  <c r="AG40" i="187"/>
  <c r="AF40" i="187"/>
  <c r="O40" i="187"/>
  <c r="R50" i="187"/>
  <c r="Q50" i="187"/>
  <c r="J69" i="187"/>
  <c r="P69" i="187" s="1"/>
  <c r="P59" i="187"/>
  <c r="AG16" i="189"/>
  <c r="N26" i="189"/>
  <c r="AF49" i="189"/>
  <c r="N79" i="189"/>
  <c r="O70" i="189"/>
  <c r="AG59" i="185"/>
  <c r="AF59" i="185"/>
  <c r="O59" i="185"/>
  <c r="P69" i="185"/>
  <c r="AG70" i="185"/>
  <c r="N79" i="185"/>
  <c r="O70" i="185"/>
  <c r="AF6" i="187"/>
  <c r="AG6" i="187"/>
  <c r="D18" i="186"/>
  <c r="Z2" i="187"/>
  <c r="J26" i="187"/>
  <c r="Q29" i="187"/>
  <c r="AF18" i="189"/>
  <c r="AG18" i="189"/>
  <c r="AF39" i="189"/>
  <c r="AG39" i="189"/>
  <c r="O40" i="189"/>
  <c r="AG40" i="189"/>
  <c r="AF40" i="189"/>
  <c r="AF60" i="183"/>
  <c r="Q51" i="185"/>
  <c r="N69" i="185"/>
  <c r="O6" i="187"/>
  <c r="AG7" i="187"/>
  <c r="AF7" i="187"/>
  <c r="AA2" i="187"/>
  <c r="P26" i="187"/>
  <c r="R29" i="187"/>
  <c r="O18" i="189"/>
  <c r="O39" i="189"/>
  <c r="AF50" i="189"/>
  <c r="AG50" i="189"/>
  <c r="O51" i="189"/>
  <c r="AG51" i="189"/>
  <c r="AF51" i="189"/>
  <c r="AF39" i="183"/>
  <c r="AF50" i="183"/>
  <c r="Q6" i="185"/>
  <c r="P26" i="185"/>
  <c r="Z2" i="185"/>
  <c r="I18" i="184"/>
  <c r="O5" i="187"/>
  <c r="N37" i="187"/>
  <c r="AF27" i="187"/>
  <c r="AE2" i="189"/>
  <c r="E21" i="188"/>
  <c r="P48" i="189"/>
  <c r="O50" i="189"/>
  <c r="AF6" i="185"/>
  <c r="AG17" i="185"/>
  <c r="N26" i="185"/>
  <c r="AG51" i="185"/>
  <c r="R27" i="187"/>
  <c r="O37" i="187"/>
  <c r="P37" i="189"/>
  <c r="O38" i="189"/>
  <c r="N48" i="189"/>
  <c r="P50" i="189"/>
  <c r="AF60" i="189"/>
  <c r="AG60" i="189"/>
  <c r="P79" i="183"/>
  <c r="AA2" i="185"/>
  <c r="AG6" i="185"/>
  <c r="O17" i="185"/>
  <c r="AG18" i="185"/>
  <c r="O26" i="185"/>
  <c r="P37" i="185"/>
  <c r="AG39" i="185"/>
  <c r="R40" i="185"/>
  <c r="AF15" i="187"/>
  <c r="Q28" i="187"/>
  <c r="AF29" i="187"/>
  <c r="L16" i="189"/>
  <c r="L26" i="189" s="1"/>
  <c r="E13" i="188" s="1"/>
  <c r="K26" i="189"/>
  <c r="O49" i="189"/>
  <c r="O60" i="189"/>
  <c r="L70" i="185"/>
  <c r="L79" i="185" s="1"/>
  <c r="J13" i="184" s="1"/>
  <c r="P38" i="189"/>
  <c r="P59" i="189"/>
  <c r="P70" i="185"/>
  <c r="K48" i="189"/>
  <c r="K69" i="189"/>
  <c r="L70" i="189"/>
  <c r="L79" i="189" s="1"/>
  <c r="J13" i="188" s="1"/>
  <c r="R8" i="135" l="1"/>
  <c r="Q8" i="135"/>
  <c r="R49" i="135"/>
  <c r="L58" i="135"/>
  <c r="H13" i="134" s="1"/>
  <c r="R60" i="135"/>
  <c r="R58" i="3"/>
  <c r="S49" i="3" s="1"/>
  <c r="H14" i="2"/>
  <c r="H15" i="2" s="1"/>
  <c r="R58" i="149"/>
  <c r="S49" i="149" s="1"/>
  <c r="H14" i="148"/>
  <c r="H15" i="148" s="1"/>
  <c r="R48" i="153"/>
  <c r="S38" i="153" s="1"/>
  <c r="G14" i="152"/>
  <c r="G15" i="152" s="1"/>
  <c r="I14" i="132"/>
  <c r="G14" i="178"/>
  <c r="R26" i="161"/>
  <c r="S16" i="161" s="1"/>
  <c r="Q26" i="161"/>
  <c r="E14" i="160"/>
  <c r="E15" i="160" s="1"/>
  <c r="H6" i="132"/>
  <c r="R15" i="189"/>
  <c r="S5" i="189" s="1"/>
  <c r="Q15" i="189"/>
  <c r="D14" i="188"/>
  <c r="R48" i="169"/>
  <c r="S38" i="169" s="1"/>
  <c r="G14" i="168"/>
  <c r="G15" i="168" s="1"/>
  <c r="Q15" i="151"/>
  <c r="D14" i="150"/>
  <c r="R15" i="151"/>
  <c r="S5" i="151" s="1"/>
  <c r="AF79" i="185"/>
  <c r="AG79" i="185"/>
  <c r="AH70" i="185" s="1"/>
  <c r="Q79" i="185"/>
  <c r="AG69" i="187"/>
  <c r="AH59" i="187" s="1"/>
  <c r="AF69" i="187"/>
  <c r="Q69" i="187"/>
  <c r="Q69" i="189"/>
  <c r="AF69" i="189"/>
  <c r="AG69" i="189"/>
  <c r="AH59" i="189" s="1"/>
  <c r="R50" i="179"/>
  <c r="Q50" i="179"/>
  <c r="Q48" i="183"/>
  <c r="AG48" i="183"/>
  <c r="AH38" i="183" s="1"/>
  <c r="AF48" i="183"/>
  <c r="AF15" i="177"/>
  <c r="AG15" i="177"/>
  <c r="AH5" i="177" s="1"/>
  <c r="AF48" i="175"/>
  <c r="AG48" i="175"/>
  <c r="AH38" i="175" s="1"/>
  <c r="Q48" i="175"/>
  <c r="AG58" i="173"/>
  <c r="AH49" i="173" s="1"/>
  <c r="AF58" i="173"/>
  <c r="Q58" i="173"/>
  <c r="Q5" i="165"/>
  <c r="O15" i="165"/>
  <c r="R5" i="165"/>
  <c r="R50" i="173"/>
  <c r="Q50" i="173"/>
  <c r="R6" i="161"/>
  <c r="Q6" i="161"/>
  <c r="Q18" i="167"/>
  <c r="R18" i="167"/>
  <c r="R60" i="155"/>
  <c r="Q60" i="155"/>
  <c r="Q7" i="167"/>
  <c r="R7" i="167"/>
  <c r="Q17" i="153"/>
  <c r="R17" i="153"/>
  <c r="R6" i="155"/>
  <c r="Q6" i="155"/>
  <c r="O48" i="157"/>
  <c r="Q38" i="157"/>
  <c r="R38" i="157"/>
  <c r="D14" i="144"/>
  <c r="Q15" i="145"/>
  <c r="R15" i="145"/>
  <c r="S5" i="145" s="1"/>
  <c r="R50" i="189"/>
  <c r="Q50" i="189"/>
  <c r="R40" i="187"/>
  <c r="Q40" i="187"/>
  <c r="O48" i="185"/>
  <c r="R38" i="185"/>
  <c r="Q38" i="185"/>
  <c r="O69" i="183"/>
  <c r="R59" i="183"/>
  <c r="Q59" i="183"/>
  <c r="R5" i="181"/>
  <c r="Q5" i="181"/>
  <c r="O15" i="181"/>
  <c r="R15" i="179"/>
  <c r="S5" i="179" s="1"/>
  <c r="D14" i="178"/>
  <c r="Q15" i="179"/>
  <c r="R60" i="171"/>
  <c r="Q60" i="171"/>
  <c r="O69" i="171"/>
  <c r="H14" i="168"/>
  <c r="H15" i="168" s="1"/>
  <c r="R58" i="169"/>
  <c r="S49" i="169" s="1"/>
  <c r="AG15" i="167"/>
  <c r="AH5" i="167" s="1"/>
  <c r="AF15" i="167"/>
  <c r="H6" i="164"/>
  <c r="F6" i="164"/>
  <c r="R61" i="167"/>
  <c r="Q61" i="167"/>
  <c r="Q61" i="169"/>
  <c r="R61" i="169"/>
  <c r="AF58" i="187"/>
  <c r="AG58" i="187"/>
  <c r="AH49" i="187" s="1"/>
  <c r="Q58" i="187"/>
  <c r="AG15" i="189"/>
  <c r="AH5" i="189" s="1"/>
  <c r="AF15" i="189"/>
  <c r="Q5" i="179"/>
  <c r="Q28" i="173"/>
  <c r="R5" i="163"/>
  <c r="Q5" i="163"/>
  <c r="O15" i="163"/>
  <c r="R61" i="161"/>
  <c r="Q61" i="161"/>
  <c r="R17" i="163"/>
  <c r="Q17" i="163"/>
  <c r="AG58" i="155"/>
  <c r="AH49" i="155" s="1"/>
  <c r="R50" i="155"/>
  <c r="Q50" i="155"/>
  <c r="AF79" i="153"/>
  <c r="Q79" i="153"/>
  <c r="AG79" i="153"/>
  <c r="AH70" i="153" s="1"/>
  <c r="R17" i="151"/>
  <c r="Q17" i="151"/>
  <c r="AG26" i="149"/>
  <c r="AH16" i="149" s="1"/>
  <c r="AF26" i="149"/>
  <c r="R7" i="149"/>
  <c r="Q7" i="149"/>
  <c r="Q48" i="189"/>
  <c r="AG48" i="189"/>
  <c r="AH38" i="189" s="1"/>
  <c r="AF48" i="189"/>
  <c r="R6" i="187"/>
  <c r="Q6" i="187"/>
  <c r="R70" i="189"/>
  <c r="O79" i="189"/>
  <c r="Q70" i="189"/>
  <c r="R29" i="189"/>
  <c r="Q29" i="189"/>
  <c r="R49" i="187"/>
  <c r="Q49" i="187"/>
  <c r="O58" i="187"/>
  <c r="R61" i="189"/>
  <c r="Q61" i="189"/>
  <c r="R5" i="185"/>
  <c r="O15" i="185"/>
  <c r="Q5" i="185"/>
  <c r="R39" i="181"/>
  <c r="Q39" i="181"/>
  <c r="AF58" i="177"/>
  <c r="AF15" i="183"/>
  <c r="AG15" i="183"/>
  <c r="AH5" i="183" s="1"/>
  <c r="AG48" i="179"/>
  <c r="AH38" i="179" s="1"/>
  <c r="AF48" i="179"/>
  <c r="Q48" i="179"/>
  <c r="R7" i="177"/>
  <c r="Q7" i="177"/>
  <c r="R70" i="179"/>
  <c r="Q70" i="179"/>
  <c r="O79" i="179"/>
  <c r="R27" i="173"/>
  <c r="Q27" i="173"/>
  <c r="O37" i="173"/>
  <c r="Q29" i="179"/>
  <c r="R29" i="179"/>
  <c r="Q70" i="177"/>
  <c r="O79" i="177"/>
  <c r="R70" i="177"/>
  <c r="O37" i="175"/>
  <c r="R28" i="175"/>
  <c r="Q28" i="175"/>
  <c r="R79" i="169"/>
  <c r="S70" i="169" s="1"/>
  <c r="J15" i="168" s="1"/>
  <c r="J14" i="168"/>
  <c r="Q50" i="171"/>
  <c r="R29" i="169"/>
  <c r="Q29" i="169"/>
  <c r="R60" i="163"/>
  <c r="Q60" i="163"/>
  <c r="AF26" i="165"/>
  <c r="AG26" i="165"/>
  <c r="AH16" i="165" s="1"/>
  <c r="R27" i="167"/>
  <c r="Q27" i="167"/>
  <c r="O37" i="167"/>
  <c r="R50" i="167"/>
  <c r="Q50" i="167"/>
  <c r="O58" i="167"/>
  <c r="Q59" i="167"/>
  <c r="O69" i="167"/>
  <c r="R59" i="167"/>
  <c r="O26" i="163"/>
  <c r="R70" i="163"/>
  <c r="Q70" i="163"/>
  <c r="O79" i="163"/>
  <c r="R51" i="159"/>
  <c r="Q51" i="159"/>
  <c r="O58" i="159"/>
  <c r="Q17" i="165"/>
  <c r="R17" i="165"/>
  <c r="AG69" i="161"/>
  <c r="AH59" i="161" s="1"/>
  <c r="AF69" i="161"/>
  <c r="Q69" i="161"/>
  <c r="O15" i="155"/>
  <c r="R5" i="155"/>
  <c r="Q5" i="155"/>
  <c r="I14" i="150"/>
  <c r="R69" i="151"/>
  <c r="S59" i="151" s="1"/>
  <c r="Q60" i="151"/>
  <c r="R60" i="151"/>
  <c r="R5" i="153"/>
  <c r="Q5" i="153"/>
  <c r="O15" i="153"/>
  <c r="R51" i="151"/>
  <c r="Q51" i="151"/>
  <c r="Q50" i="143"/>
  <c r="R50" i="143"/>
  <c r="R79" i="147"/>
  <c r="S70" i="147" s="1"/>
  <c r="J15" i="146" s="1"/>
  <c r="J14" i="146"/>
  <c r="AG15" i="151"/>
  <c r="AH5" i="151" s="1"/>
  <c r="AF15" i="151"/>
  <c r="O48" i="143"/>
  <c r="R38" i="143"/>
  <c r="Q38" i="143"/>
  <c r="Q79" i="141"/>
  <c r="AG79" i="141"/>
  <c r="AH70" i="141" s="1"/>
  <c r="AF79" i="141"/>
  <c r="R18" i="141"/>
  <c r="Q18" i="141"/>
  <c r="AF26" i="155"/>
  <c r="AG26" i="155"/>
  <c r="AH16" i="155" s="1"/>
  <c r="Q16" i="145"/>
  <c r="R39" i="145"/>
  <c r="Q39" i="145"/>
  <c r="O48" i="145"/>
  <c r="AF48" i="149"/>
  <c r="AG48" i="149"/>
  <c r="AH38" i="149" s="1"/>
  <c r="Q48" i="149"/>
  <c r="Q29" i="135"/>
  <c r="R29" i="135"/>
  <c r="Q61" i="139"/>
  <c r="R61" i="139"/>
  <c r="Q48" i="143"/>
  <c r="AF48" i="143"/>
  <c r="AG48" i="143"/>
  <c r="AH38" i="143" s="1"/>
  <c r="H6" i="134"/>
  <c r="F6" i="134"/>
  <c r="R6" i="147"/>
  <c r="O26" i="133"/>
  <c r="R16" i="133"/>
  <c r="Q16" i="133"/>
  <c r="Q48" i="147"/>
  <c r="AG48" i="147"/>
  <c r="AH38" i="147" s="1"/>
  <c r="AF48" i="147"/>
  <c r="Q6" i="139"/>
  <c r="R6" i="139"/>
  <c r="R17" i="133"/>
  <c r="Q17" i="133"/>
  <c r="H6" i="142"/>
  <c r="F6" i="142"/>
  <c r="Q59" i="135"/>
  <c r="O69" i="135"/>
  <c r="R59" i="135"/>
  <c r="Q60" i="129"/>
  <c r="R60" i="129"/>
  <c r="R16" i="131"/>
  <c r="R30" i="131"/>
  <c r="Q30" i="131"/>
  <c r="Q15" i="131"/>
  <c r="R17" i="159"/>
  <c r="Q17" i="159"/>
  <c r="R48" i="147"/>
  <c r="S38" i="147" s="1"/>
  <c r="G14" i="146"/>
  <c r="G15" i="146" s="1"/>
  <c r="AF37" i="149"/>
  <c r="Q37" i="149"/>
  <c r="AG37" i="149"/>
  <c r="AH27" i="149" s="1"/>
  <c r="R38" i="129"/>
  <c r="Q38" i="129"/>
  <c r="L48" i="129"/>
  <c r="O58" i="139"/>
  <c r="R49" i="139"/>
  <c r="Q49" i="139"/>
  <c r="Q58" i="139"/>
  <c r="AG58" i="139"/>
  <c r="AH49" i="139" s="1"/>
  <c r="AF58" i="139"/>
  <c r="AG26" i="133"/>
  <c r="AH16" i="133" s="1"/>
  <c r="AF26" i="133"/>
  <c r="AF69" i="135"/>
  <c r="AG69" i="135"/>
  <c r="AH59" i="135" s="1"/>
  <c r="Q69" i="135"/>
  <c r="Q59" i="131"/>
  <c r="R59" i="131"/>
  <c r="O69" i="131"/>
  <c r="AF69" i="129"/>
  <c r="Q69" i="129"/>
  <c r="AG69" i="129"/>
  <c r="AH59" i="129" s="1"/>
  <c r="Q59" i="3"/>
  <c r="O69" i="3"/>
  <c r="R59" i="3"/>
  <c r="R28" i="129"/>
  <c r="Q28" i="129"/>
  <c r="Q38" i="3"/>
  <c r="R38" i="3"/>
  <c r="O48" i="3"/>
  <c r="D15" i="130"/>
  <c r="R39" i="3"/>
  <c r="Q39" i="3"/>
  <c r="Q15" i="157"/>
  <c r="D14" i="156"/>
  <c r="R15" i="157"/>
  <c r="S5" i="157" s="1"/>
  <c r="R50" i="161"/>
  <c r="Q50" i="161"/>
  <c r="O58" i="161"/>
  <c r="R59" i="153"/>
  <c r="O69" i="153"/>
  <c r="Q59" i="153"/>
  <c r="Q69" i="153"/>
  <c r="AG69" i="153"/>
  <c r="AH59" i="153" s="1"/>
  <c r="AF69" i="153"/>
  <c r="R60" i="159"/>
  <c r="Q60" i="159"/>
  <c r="H14" i="152"/>
  <c r="H15" i="152" s="1"/>
  <c r="R58" i="153"/>
  <c r="S49" i="153" s="1"/>
  <c r="Q69" i="151"/>
  <c r="AG69" i="151"/>
  <c r="AH59" i="151" s="1"/>
  <c r="AF69" i="151"/>
  <c r="H6" i="152"/>
  <c r="F6" i="152"/>
  <c r="Q5" i="149"/>
  <c r="O15" i="149"/>
  <c r="R5" i="149"/>
  <c r="AF37" i="159"/>
  <c r="AG37" i="159"/>
  <c r="AH27" i="159" s="1"/>
  <c r="Q37" i="159"/>
  <c r="R39" i="159"/>
  <c r="Q39" i="159"/>
  <c r="R18" i="155"/>
  <c r="Q18" i="155"/>
  <c r="Q5" i="139"/>
  <c r="R79" i="145"/>
  <c r="S70" i="145" s="1"/>
  <c r="J15" i="144" s="1"/>
  <c r="J14" i="144"/>
  <c r="R59" i="141"/>
  <c r="Q59" i="141"/>
  <c r="O69" i="141"/>
  <c r="R29" i="143"/>
  <c r="Q29" i="143"/>
  <c r="Q60" i="137"/>
  <c r="R60" i="137"/>
  <c r="E14" i="144"/>
  <c r="E15" i="144" s="1"/>
  <c r="R26" i="145"/>
  <c r="S16" i="145" s="1"/>
  <c r="Q26" i="145"/>
  <c r="Q51" i="139"/>
  <c r="R51" i="139"/>
  <c r="R29" i="133"/>
  <c r="Q29" i="133"/>
  <c r="J14" i="132"/>
  <c r="R79" i="133"/>
  <c r="S70" i="133" s="1"/>
  <c r="J15" i="132" s="1"/>
  <c r="R5" i="131"/>
  <c r="Q37" i="151"/>
  <c r="AG37" i="151"/>
  <c r="AH27" i="151" s="1"/>
  <c r="AF37" i="151"/>
  <c r="AG69" i="131"/>
  <c r="AH59" i="131" s="1"/>
  <c r="AF69" i="131"/>
  <c r="Q69" i="131"/>
  <c r="H6" i="148"/>
  <c r="F6" i="148"/>
  <c r="AG48" i="3"/>
  <c r="AH38" i="3" s="1"/>
  <c r="AF48" i="3"/>
  <c r="Q48" i="3"/>
  <c r="Q7" i="3"/>
  <c r="R7" i="3"/>
  <c r="R15" i="131"/>
  <c r="S5" i="131" s="1"/>
  <c r="AF26" i="129"/>
  <c r="O58" i="189"/>
  <c r="Q49" i="189"/>
  <c r="R49" i="189"/>
  <c r="R60" i="185"/>
  <c r="Q60" i="185"/>
  <c r="AG79" i="189"/>
  <c r="AH70" i="189" s="1"/>
  <c r="AF79" i="189"/>
  <c r="Q79" i="189"/>
  <c r="AF15" i="185"/>
  <c r="AG15" i="185"/>
  <c r="AH5" i="185" s="1"/>
  <c r="R29" i="183"/>
  <c r="Q29" i="183"/>
  <c r="R49" i="175"/>
  <c r="O58" i="175"/>
  <c r="Q49" i="175"/>
  <c r="Q48" i="169"/>
  <c r="AG48" i="169"/>
  <c r="AH38" i="169" s="1"/>
  <c r="AF48" i="169"/>
  <c r="R40" i="167"/>
  <c r="Q40" i="167"/>
  <c r="R5" i="169"/>
  <c r="Q5" i="169"/>
  <c r="O15" i="169"/>
  <c r="Q79" i="163"/>
  <c r="AG79" i="163"/>
  <c r="AH70" i="163" s="1"/>
  <c r="AF79" i="163"/>
  <c r="Q50" i="147"/>
  <c r="R50" i="147"/>
  <c r="AG37" i="141"/>
  <c r="AH27" i="141" s="1"/>
  <c r="AF37" i="141"/>
  <c r="Q37" i="141"/>
  <c r="R51" i="189"/>
  <c r="Q51" i="189"/>
  <c r="Q17" i="189"/>
  <c r="R17" i="189"/>
  <c r="O26" i="189"/>
  <c r="R60" i="177"/>
  <c r="Q60" i="177"/>
  <c r="AF69" i="171"/>
  <c r="Q69" i="171"/>
  <c r="AG69" i="171"/>
  <c r="AH59" i="171" s="1"/>
  <c r="R39" i="167"/>
  <c r="Q39" i="167"/>
  <c r="O48" i="167"/>
  <c r="O37" i="157"/>
  <c r="R27" i="157"/>
  <c r="Q27" i="157"/>
  <c r="AG26" i="189"/>
  <c r="AH16" i="189" s="1"/>
  <c r="AF26" i="189"/>
  <c r="Q27" i="183"/>
  <c r="O37" i="183"/>
  <c r="R27" i="183"/>
  <c r="Q6" i="169"/>
  <c r="R6" i="169"/>
  <c r="R18" i="163"/>
  <c r="Q18" i="163"/>
  <c r="L26" i="147"/>
  <c r="E13" i="146" s="1"/>
  <c r="Q16" i="147"/>
  <c r="AG48" i="141"/>
  <c r="AH38" i="141" s="1"/>
  <c r="AF48" i="141"/>
  <c r="Q48" i="141"/>
  <c r="R69" i="149"/>
  <c r="S59" i="149" s="1"/>
  <c r="I14" i="148"/>
  <c r="R39" i="141"/>
  <c r="Q39" i="141"/>
  <c r="R61" i="143"/>
  <c r="Q61" i="143"/>
  <c r="D14" i="138"/>
  <c r="Q15" i="139"/>
  <c r="R15" i="139"/>
  <c r="S5" i="139" s="1"/>
  <c r="R61" i="131"/>
  <c r="Q61" i="131"/>
  <c r="Q37" i="133"/>
  <c r="AG37" i="133"/>
  <c r="AH27" i="133" s="1"/>
  <c r="AF37" i="133"/>
  <c r="AG15" i="135"/>
  <c r="AH5" i="135" s="1"/>
  <c r="AF15" i="135"/>
  <c r="R28" i="133"/>
  <c r="Q28" i="133"/>
  <c r="Q6" i="129"/>
  <c r="R6" i="129"/>
  <c r="O15" i="129"/>
  <c r="Q38" i="137"/>
  <c r="R38" i="137"/>
  <c r="O48" i="137"/>
  <c r="O37" i="151"/>
  <c r="R27" i="151"/>
  <c r="Q27" i="151"/>
  <c r="R49" i="141"/>
  <c r="Q49" i="141"/>
  <c r="O58" i="141"/>
  <c r="AF26" i="147"/>
  <c r="O15" i="133"/>
  <c r="R5" i="133"/>
  <c r="Q5" i="133"/>
  <c r="R69" i="139"/>
  <c r="S59" i="139" s="1"/>
  <c r="I14" i="138"/>
  <c r="R50" i="135"/>
  <c r="Q50" i="135"/>
  <c r="R50" i="129"/>
  <c r="Q50" i="129"/>
  <c r="AG15" i="131"/>
  <c r="AH5" i="131" s="1"/>
  <c r="Q29" i="177"/>
  <c r="R29" i="177"/>
  <c r="F14" i="170"/>
  <c r="Q79" i="187"/>
  <c r="AG79" i="187"/>
  <c r="AH70" i="187" s="1"/>
  <c r="AF79" i="187"/>
  <c r="R6" i="183"/>
  <c r="Q6" i="183"/>
  <c r="Q69" i="185"/>
  <c r="AG69" i="185"/>
  <c r="AH59" i="185" s="1"/>
  <c r="AF69" i="185"/>
  <c r="R60" i="183"/>
  <c r="Q60" i="183"/>
  <c r="AG79" i="183"/>
  <c r="AH70" i="183" s="1"/>
  <c r="Q79" i="183"/>
  <c r="AF79" i="183"/>
  <c r="Q58" i="183"/>
  <c r="AG58" i="183"/>
  <c r="AH49" i="183" s="1"/>
  <c r="AF58" i="183"/>
  <c r="AF48" i="187"/>
  <c r="AG48" i="187"/>
  <c r="AH38" i="187" s="1"/>
  <c r="Q48" i="187"/>
  <c r="AF37" i="175"/>
  <c r="AG37" i="175"/>
  <c r="AH27" i="175" s="1"/>
  <c r="Q37" i="175"/>
  <c r="Q58" i="169"/>
  <c r="AG58" i="169"/>
  <c r="AH49" i="169" s="1"/>
  <c r="AF58" i="169"/>
  <c r="Q17" i="171"/>
  <c r="R17" i="171"/>
  <c r="Q59" i="169"/>
  <c r="R59" i="169"/>
  <c r="O69" i="169"/>
  <c r="O26" i="165"/>
  <c r="R16" i="165"/>
  <c r="Q16" i="165"/>
  <c r="AG26" i="173"/>
  <c r="AH16" i="173" s="1"/>
  <c r="AF26" i="173"/>
  <c r="Q29" i="165"/>
  <c r="R29" i="165"/>
  <c r="AF48" i="165"/>
  <c r="Q48" i="165"/>
  <c r="AG48" i="165"/>
  <c r="AH38" i="165" s="1"/>
  <c r="AG37" i="157"/>
  <c r="AH27" i="157" s="1"/>
  <c r="AF37" i="157"/>
  <c r="Q37" i="157"/>
  <c r="R18" i="147"/>
  <c r="Q18" i="147"/>
  <c r="AG69" i="141"/>
  <c r="AH59" i="141" s="1"/>
  <c r="AF69" i="141"/>
  <c r="Q69" i="141"/>
  <c r="R59" i="187"/>
  <c r="Q59" i="187"/>
  <c r="O69" i="187"/>
  <c r="R18" i="183"/>
  <c r="Q18" i="183"/>
  <c r="AG26" i="177"/>
  <c r="AH16" i="177" s="1"/>
  <c r="AF26" i="177"/>
  <c r="R16" i="167"/>
  <c r="Q16" i="167"/>
  <c r="O26" i="167"/>
  <c r="AG26" i="163"/>
  <c r="AH16" i="163" s="1"/>
  <c r="AF26" i="163"/>
  <c r="AF69" i="169"/>
  <c r="AG69" i="169"/>
  <c r="AH59" i="169" s="1"/>
  <c r="Q69" i="169"/>
  <c r="Q6" i="165"/>
  <c r="R6" i="165"/>
  <c r="Q18" i="157"/>
  <c r="R18" i="157"/>
  <c r="O26" i="157"/>
  <c r="R5" i="159"/>
  <c r="Q5" i="159"/>
  <c r="O15" i="159"/>
  <c r="F14" i="186"/>
  <c r="F15" i="186" s="1"/>
  <c r="R37" i="187"/>
  <c r="S27" i="187" s="1"/>
  <c r="R79" i="183"/>
  <c r="S70" i="183" s="1"/>
  <c r="J15" i="182" s="1"/>
  <c r="J14" i="182"/>
  <c r="L37" i="175"/>
  <c r="F13" i="174" s="1"/>
  <c r="R27" i="175"/>
  <c r="R70" i="173"/>
  <c r="O79" i="173"/>
  <c r="Q70" i="173"/>
  <c r="R38" i="167"/>
  <c r="R60" i="169"/>
  <c r="Q60" i="169"/>
  <c r="R17" i="169"/>
  <c r="Q17" i="169"/>
  <c r="Q69" i="163"/>
  <c r="AG69" i="163"/>
  <c r="AH59" i="163" s="1"/>
  <c r="AF69" i="163"/>
  <c r="R28" i="165"/>
  <c r="Q28" i="165"/>
  <c r="R18" i="161"/>
  <c r="Q18" i="161"/>
  <c r="O79" i="159"/>
  <c r="Q70" i="159"/>
  <c r="R70" i="159"/>
  <c r="AG26" i="157"/>
  <c r="AH16" i="157" s="1"/>
  <c r="AF26" i="157"/>
  <c r="Q16" i="161"/>
  <c r="Q61" i="153"/>
  <c r="R61" i="153"/>
  <c r="R79" i="155"/>
  <c r="S70" i="155" s="1"/>
  <c r="J15" i="154" s="1"/>
  <c r="R27" i="141"/>
  <c r="Q27" i="141"/>
  <c r="O37" i="141"/>
  <c r="R5" i="147"/>
  <c r="O15" i="147"/>
  <c r="Q5" i="147"/>
  <c r="Q28" i="189"/>
  <c r="R28" i="189"/>
  <c r="AG26" i="181"/>
  <c r="AH16" i="181" s="1"/>
  <c r="AF26" i="181"/>
  <c r="Q61" i="181"/>
  <c r="R61" i="181"/>
  <c r="R17" i="179"/>
  <c r="Q17" i="179"/>
  <c r="R38" i="181"/>
  <c r="Q38" i="181"/>
  <c r="O48" i="181"/>
  <c r="R59" i="177"/>
  <c r="Q59" i="177"/>
  <c r="O69" i="177"/>
  <c r="R40" i="179"/>
  <c r="Q40" i="179"/>
  <c r="O15" i="173"/>
  <c r="R5" i="173"/>
  <c r="Q5" i="173"/>
  <c r="AG37" i="177"/>
  <c r="AH27" i="177" s="1"/>
  <c r="Q37" i="177"/>
  <c r="AF37" i="177"/>
  <c r="Q79" i="173"/>
  <c r="AG79" i="173"/>
  <c r="AH70" i="173" s="1"/>
  <c r="AF79" i="173"/>
  <c r="Q60" i="173"/>
  <c r="R60" i="173"/>
  <c r="R70" i="175"/>
  <c r="Q70" i="175"/>
  <c r="O79" i="175"/>
  <c r="O15" i="175"/>
  <c r="R5" i="175"/>
  <c r="Q5" i="175"/>
  <c r="Q17" i="173"/>
  <c r="R39" i="173"/>
  <c r="Q39" i="173"/>
  <c r="R29" i="167"/>
  <c r="Q29" i="167"/>
  <c r="R70" i="167"/>
  <c r="O79" i="167"/>
  <c r="Q70" i="167"/>
  <c r="AG15" i="171"/>
  <c r="AH5" i="171" s="1"/>
  <c r="AF15" i="171"/>
  <c r="R39" i="169"/>
  <c r="Q39" i="169"/>
  <c r="Q79" i="165"/>
  <c r="AG79" i="165"/>
  <c r="AH70" i="165" s="1"/>
  <c r="AF79" i="165"/>
  <c r="Q38" i="167"/>
  <c r="O69" i="163"/>
  <c r="R59" i="163"/>
  <c r="Q59" i="163"/>
  <c r="R51" i="161"/>
  <c r="O79" i="161"/>
  <c r="Q70" i="161"/>
  <c r="R70" i="161"/>
  <c r="G14" i="164"/>
  <c r="G15" i="164" s="1"/>
  <c r="R48" i="165"/>
  <c r="S38" i="165" s="1"/>
  <c r="AG48" i="153"/>
  <c r="AH38" i="153" s="1"/>
  <c r="AF48" i="153"/>
  <c r="Q48" i="153"/>
  <c r="R38" i="159"/>
  <c r="Q38" i="159"/>
  <c r="L48" i="159"/>
  <c r="G13" i="158" s="1"/>
  <c r="R51" i="157"/>
  <c r="Q51" i="157"/>
  <c r="Q39" i="151"/>
  <c r="AG58" i="151"/>
  <c r="AH49" i="151" s="1"/>
  <c r="AF58" i="151"/>
  <c r="Q58" i="151"/>
  <c r="R28" i="153"/>
  <c r="Q28" i="153"/>
  <c r="R59" i="155"/>
  <c r="Q59" i="155"/>
  <c r="O69" i="155"/>
  <c r="AF37" i="155"/>
  <c r="AG37" i="155"/>
  <c r="AH27" i="155" s="1"/>
  <c r="Q37" i="155"/>
  <c r="AG26" i="141"/>
  <c r="AH16" i="141" s="1"/>
  <c r="AF26" i="141"/>
  <c r="Q49" i="155"/>
  <c r="AF15" i="147"/>
  <c r="AG15" i="147"/>
  <c r="AH5" i="147" s="1"/>
  <c r="Q58" i="135"/>
  <c r="AG58" i="135"/>
  <c r="AH49" i="135" s="1"/>
  <c r="AF58" i="135"/>
  <c r="R17" i="145"/>
  <c r="Q17" i="145"/>
  <c r="Q58" i="145"/>
  <c r="AG58" i="145"/>
  <c r="AH49" i="145" s="1"/>
  <c r="AF58" i="145"/>
  <c r="R40" i="145"/>
  <c r="Q40" i="145"/>
  <c r="R7" i="147"/>
  <c r="Q7" i="147"/>
  <c r="AF79" i="145"/>
  <c r="R70" i="131"/>
  <c r="O79" i="131"/>
  <c r="Q70" i="131"/>
  <c r="R79" i="3"/>
  <c r="S70" i="3" s="1"/>
  <c r="J15" i="2" s="1"/>
  <c r="J14" i="2"/>
  <c r="Q29" i="149"/>
  <c r="R29" i="149"/>
  <c r="Q6" i="143"/>
  <c r="R6" i="143"/>
  <c r="R38" i="139"/>
  <c r="Q38" i="139"/>
  <c r="O48" i="139"/>
  <c r="Q58" i="137"/>
  <c r="AG58" i="137"/>
  <c r="AH49" i="137" s="1"/>
  <c r="AF58" i="137"/>
  <c r="L69" i="133"/>
  <c r="I13" i="132" s="1"/>
  <c r="J6" i="132" s="1"/>
  <c r="Q59" i="133"/>
  <c r="L58" i="129"/>
  <c r="H13" i="128" s="1"/>
  <c r="R40" i="135"/>
  <c r="Q40" i="135"/>
  <c r="O26" i="147"/>
  <c r="AF37" i="135"/>
  <c r="AG37" i="135"/>
  <c r="AH27" i="135" s="1"/>
  <c r="Q37" i="135"/>
  <c r="R70" i="3"/>
  <c r="Q69" i="139"/>
  <c r="AF69" i="139"/>
  <c r="AG69" i="139"/>
  <c r="AH59" i="139" s="1"/>
  <c r="AF26" i="131"/>
  <c r="R61" i="3"/>
  <c r="Q61" i="3"/>
  <c r="Q69" i="133"/>
  <c r="AF69" i="133"/>
  <c r="AG69" i="133"/>
  <c r="AH59" i="133" s="1"/>
  <c r="R18" i="189"/>
  <c r="Q18" i="189"/>
  <c r="R58" i="179"/>
  <c r="S49" i="179" s="1"/>
  <c r="H14" i="178"/>
  <c r="H15" i="178" s="1"/>
  <c r="R61" i="183"/>
  <c r="Q61" i="183"/>
  <c r="AF69" i="183"/>
  <c r="Q69" i="183"/>
  <c r="AG69" i="183"/>
  <c r="AH59" i="183" s="1"/>
  <c r="Q38" i="189"/>
  <c r="O48" i="189"/>
  <c r="R38" i="189"/>
  <c r="AF26" i="183"/>
  <c r="AG26" i="183"/>
  <c r="AH16" i="183" s="1"/>
  <c r="R51" i="187"/>
  <c r="Q51" i="187"/>
  <c r="R28" i="181"/>
  <c r="Q28" i="181"/>
  <c r="O37" i="181"/>
  <c r="AF69" i="177"/>
  <c r="AG69" i="177"/>
  <c r="AH59" i="177" s="1"/>
  <c r="Q69" i="177"/>
  <c r="O26" i="177"/>
  <c r="R16" i="177"/>
  <c r="Q16" i="177"/>
  <c r="R18" i="169"/>
  <c r="Q18" i="169"/>
  <c r="Q7" i="171"/>
  <c r="R7" i="171"/>
  <c r="O58" i="163"/>
  <c r="R49" i="163"/>
  <c r="Q49" i="163"/>
  <c r="AG69" i="159"/>
  <c r="AH59" i="159" s="1"/>
  <c r="AF69" i="159"/>
  <c r="Q69" i="159"/>
  <c r="AG15" i="163"/>
  <c r="AH5" i="163" s="1"/>
  <c r="AF15" i="163"/>
  <c r="Q58" i="157"/>
  <c r="AG58" i="157"/>
  <c r="AH49" i="157" s="1"/>
  <c r="AF58" i="157"/>
  <c r="R60" i="161"/>
  <c r="Q60" i="161"/>
  <c r="O69" i="161"/>
  <c r="Q69" i="147"/>
  <c r="AG69" i="147"/>
  <c r="AH59" i="147" s="1"/>
  <c r="AF69" i="147"/>
  <c r="AF37" i="187"/>
  <c r="AG37" i="187"/>
  <c r="AH27" i="187" s="1"/>
  <c r="Q37" i="187"/>
  <c r="R16" i="183"/>
  <c r="Q16" i="183"/>
  <c r="O26" i="183"/>
  <c r="Q17" i="187"/>
  <c r="R17" i="187"/>
  <c r="H6" i="176"/>
  <c r="F6" i="176"/>
  <c r="R38" i="175"/>
  <c r="O48" i="175"/>
  <c r="Q38" i="175"/>
  <c r="Q61" i="177"/>
  <c r="R61" i="177"/>
  <c r="Q7" i="163"/>
  <c r="R7" i="163"/>
  <c r="R49" i="165"/>
  <c r="O58" i="165"/>
  <c r="Q49" i="165"/>
  <c r="AF58" i="165"/>
  <c r="Q58" i="165"/>
  <c r="AG58" i="165"/>
  <c r="AH49" i="165" s="1"/>
  <c r="R26" i="185"/>
  <c r="S16" i="185" s="1"/>
  <c r="E14" i="184"/>
  <c r="E15" i="184" s="1"/>
  <c r="Q26" i="185"/>
  <c r="Q7" i="187"/>
  <c r="AG69" i="181"/>
  <c r="AH59" i="181" s="1"/>
  <c r="AF69" i="181"/>
  <c r="Q69" i="181"/>
  <c r="R50" i="185"/>
  <c r="Q50" i="185"/>
  <c r="AG37" i="179"/>
  <c r="AH27" i="179" s="1"/>
  <c r="AF37" i="179"/>
  <c r="Q37" i="179"/>
  <c r="Q79" i="177"/>
  <c r="AG79" i="177"/>
  <c r="AH70" i="177" s="1"/>
  <c r="AF79" i="177"/>
  <c r="O26" i="171"/>
  <c r="R18" i="173"/>
  <c r="Q18" i="173"/>
  <c r="Q49" i="167"/>
  <c r="O15" i="167"/>
  <c r="R5" i="167"/>
  <c r="Q5" i="167"/>
  <c r="R51" i="167"/>
  <c r="Q51" i="167"/>
  <c r="AG15" i="159"/>
  <c r="AH5" i="159" s="1"/>
  <c r="AF15" i="159"/>
  <c r="R28" i="159"/>
  <c r="Q28" i="159"/>
  <c r="L79" i="139"/>
  <c r="J13" i="138" s="1"/>
  <c r="R70" i="139"/>
  <c r="R27" i="159"/>
  <c r="O37" i="159"/>
  <c r="Q27" i="159"/>
  <c r="R18" i="151"/>
  <c r="Q18" i="151"/>
  <c r="R58" i="155"/>
  <c r="S49" i="155" s="1"/>
  <c r="H14" i="154"/>
  <c r="H15" i="154" s="1"/>
  <c r="O26" i="137"/>
  <c r="R16" i="137"/>
  <c r="Q16" i="137"/>
  <c r="AG37" i="181"/>
  <c r="AH27" i="181" s="1"/>
  <c r="AF37" i="181"/>
  <c r="Q37" i="181"/>
  <c r="R79" i="181"/>
  <c r="S70" i="181" s="1"/>
  <c r="J15" i="180" s="1"/>
  <c r="J14" i="180"/>
  <c r="O26" i="187"/>
  <c r="R16" i="187"/>
  <c r="Q16" i="187"/>
  <c r="R38" i="187"/>
  <c r="Q38" i="187"/>
  <c r="O48" i="187"/>
  <c r="Q28" i="183"/>
  <c r="R28" i="183"/>
  <c r="Q60" i="179"/>
  <c r="R60" i="189"/>
  <c r="Q60" i="189"/>
  <c r="R17" i="185"/>
  <c r="Q17" i="185"/>
  <c r="Q5" i="187"/>
  <c r="O15" i="187"/>
  <c r="R5" i="187"/>
  <c r="R39" i="189"/>
  <c r="Q39" i="189"/>
  <c r="R70" i="185"/>
  <c r="Q70" i="185"/>
  <c r="O79" i="185"/>
  <c r="O58" i="185"/>
  <c r="R49" i="185"/>
  <c r="Q49" i="185"/>
  <c r="R70" i="187"/>
  <c r="O79" i="187"/>
  <c r="Q70" i="187"/>
  <c r="R70" i="181"/>
  <c r="Q59" i="189"/>
  <c r="O69" i="189"/>
  <c r="R59" i="189"/>
  <c r="O37" i="185"/>
  <c r="R27" i="185"/>
  <c r="Q27" i="185"/>
  <c r="Q37" i="183"/>
  <c r="AG37" i="183"/>
  <c r="AH27" i="183" s="1"/>
  <c r="AF37" i="183"/>
  <c r="Q49" i="179"/>
  <c r="Q7" i="179"/>
  <c r="R7" i="179"/>
  <c r="R38" i="177"/>
  <c r="Q38" i="177"/>
  <c r="O48" i="177"/>
  <c r="R40" i="175"/>
  <c r="Q40" i="175"/>
  <c r="AG48" i="171"/>
  <c r="AH38" i="171" s="1"/>
  <c r="AF48" i="171"/>
  <c r="Q48" i="171"/>
  <c r="Q5" i="177"/>
  <c r="AG69" i="173"/>
  <c r="AH59" i="173" s="1"/>
  <c r="AF69" i="173"/>
  <c r="Q69" i="173"/>
  <c r="R70" i="171"/>
  <c r="Q70" i="171"/>
  <c r="O79" i="171"/>
  <c r="Q79" i="175"/>
  <c r="AG79" i="175"/>
  <c r="AH70" i="175" s="1"/>
  <c r="AF79" i="175"/>
  <c r="AG15" i="175"/>
  <c r="AH5" i="175" s="1"/>
  <c r="AF15" i="175"/>
  <c r="AG48" i="173"/>
  <c r="AH38" i="173" s="1"/>
  <c r="AF48" i="173"/>
  <c r="Q48" i="173"/>
  <c r="AG79" i="167"/>
  <c r="AH70" i="167" s="1"/>
  <c r="AF79" i="167"/>
  <c r="Q79" i="167"/>
  <c r="O26" i="179"/>
  <c r="E2" i="179" s="1"/>
  <c r="O15" i="171"/>
  <c r="R61" i="165"/>
  <c r="Q61" i="165"/>
  <c r="R28" i="171"/>
  <c r="Q28" i="171"/>
  <c r="Q59" i="159"/>
  <c r="O69" i="159"/>
  <c r="R59" i="159"/>
  <c r="AG26" i="167"/>
  <c r="AH16" i="167" s="1"/>
  <c r="AF26" i="167"/>
  <c r="R18" i="165"/>
  <c r="Q18" i="165"/>
  <c r="R51" i="165"/>
  <c r="Q51" i="165"/>
  <c r="R27" i="171"/>
  <c r="Q27" i="171"/>
  <c r="L37" i="171"/>
  <c r="F13" i="170" s="1"/>
  <c r="Q50" i="157"/>
  <c r="R50" i="157"/>
  <c r="R16" i="161"/>
  <c r="O37" i="169"/>
  <c r="R40" i="151"/>
  <c r="Q40" i="151"/>
  <c r="AF48" i="155"/>
  <c r="AG48" i="155"/>
  <c r="AH38" i="155" s="1"/>
  <c r="Q48" i="155"/>
  <c r="Q49" i="151"/>
  <c r="O58" i="151"/>
  <c r="R49" i="151"/>
  <c r="AG15" i="149"/>
  <c r="AH5" i="149" s="1"/>
  <c r="AF15" i="149"/>
  <c r="R27" i="155"/>
  <c r="Q27" i="155"/>
  <c r="O37" i="155"/>
  <c r="AG26" i="153"/>
  <c r="AH16" i="153" s="1"/>
  <c r="AF26" i="153"/>
  <c r="R49" i="155"/>
  <c r="O58" i="143"/>
  <c r="R49" i="143"/>
  <c r="Q49" i="143"/>
  <c r="Q37" i="143"/>
  <c r="AF37" i="143"/>
  <c r="AG37" i="143"/>
  <c r="AH27" i="143" s="1"/>
  <c r="R49" i="145"/>
  <c r="Q49" i="145"/>
  <c r="O58" i="145"/>
  <c r="R18" i="135"/>
  <c r="Q18" i="135"/>
  <c r="AG58" i="141"/>
  <c r="AH49" i="141" s="1"/>
  <c r="AF58" i="141"/>
  <c r="Q58" i="141"/>
  <c r="AG48" i="139"/>
  <c r="AH38" i="139" s="1"/>
  <c r="AF48" i="139"/>
  <c r="Q48" i="139"/>
  <c r="O69" i="143"/>
  <c r="R59" i="143"/>
  <c r="Q59" i="143"/>
  <c r="Q49" i="137"/>
  <c r="O58" i="137"/>
  <c r="R49" i="137"/>
  <c r="Q48" i="137"/>
  <c r="AG48" i="137"/>
  <c r="AH38" i="137" s="1"/>
  <c r="AF48" i="137"/>
  <c r="Q59" i="137"/>
  <c r="R59" i="137"/>
  <c r="O69" i="137"/>
  <c r="Q5" i="135"/>
  <c r="R5" i="135"/>
  <c r="O15" i="135"/>
  <c r="Q6" i="141"/>
  <c r="AG15" i="3"/>
  <c r="AH5" i="3" s="1"/>
  <c r="AF15" i="3"/>
  <c r="Q62" i="129"/>
  <c r="Q28" i="3"/>
  <c r="R28" i="3"/>
  <c r="L26" i="129"/>
  <c r="E13" i="128" s="1"/>
  <c r="R38" i="173"/>
  <c r="Q38" i="173"/>
  <c r="O48" i="173"/>
  <c r="Q37" i="169"/>
  <c r="AG37" i="169"/>
  <c r="AH27" i="169" s="1"/>
  <c r="AF37" i="169"/>
  <c r="R7" i="165"/>
  <c r="Q7" i="165"/>
  <c r="AG79" i="159"/>
  <c r="AH70" i="159" s="1"/>
  <c r="AF79" i="159"/>
  <c r="Q79" i="159"/>
  <c r="Q49" i="161"/>
  <c r="L58" i="161"/>
  <c r="H13" i="160" s="1"/>
  <c r="Q18" i="159"/>
  <c r="R18" i="159"/>
  <c r="R38" i="151"/>
  <c r="O48" i="151"/>
  <c r="Q38" i="151"/>
  <c r="R7" i="151"/>
  <c r="Q7" i="151"/>
  <c r="AG69" i="155"/>
  <c r="AH59" i="155" s="1"/>
  <c r="AF69" i="155"/>
  <c r="Q69" i="155"/>
  <c r="Q48" i="151"/>
  <c r="AG48" i="151"/>
  <c r="AH38" i="151" s="1"/>
  <c r="AF48" i="151"/>
  <c r="R61" i="145"/>
  <c r="Q61" i="145"/>
  <c r="Q70" i="149"/>
  <c r="O79" i="149"/>
  <c r="R70" i="149"/>
  <c r="AF26" i="145"/>
  <c r="AG26" i="145"/>
  <c r="AH16" i="145" s="1"/>
  <c r="R17" i="141"/>
  <c r="Q17" i="141"/>
  <c r="O37" i="143"/>
  <c r="R27" i="143"/>
  <c r="Q27" i="143"/>
  <c r="O37" i="139"/>
  <c r="R27" i="139"/>
  <c r="Q27" i="139"/>
  <c r="AG15" i="145"/>
  <c r="AH5" i="145" s="1"/>
  <c r="AF15" i="145"/>
  <c r="R50" i="131"/>
  <c r="Q50" i="131"/>
  <c r="O58" i="131"/>
  <c r="R49" i="131"/>
  <c r="Q49" i="131"/>
  <c r="AG69" i="143"/>
  <c r="AH59" i="143" s="1"/>
  <c r="AF69" i="143"/>
  <c r="Q69" i="143"/>
  <c r="Q40" i="153"/>
  <c r="R40" i="153"/>
  <c r="Q17" i="135"/>
  <c r="R17" i="135"/>
  <c r="R50" i="3"/>
  <c r="Q50" i="3"/>
  <c r="R70" i="135"/>
  <c r="Q70" i="135"/>
  <c r="O79" i="135"/>
  <c r="R6" i="135"/>
  <c r="Q6" i="135"/>
  <c r="R27" i="135"/>
  <c r="Q27" i="135"/>
  <c r="O37" i="135"/>
  <c r="Q28" i="131"/>
  <c r="Q18" i="139"/>
  <c r="O48" i="135"/>
  <c r="R38" i="135"/>
  <c r="Q38" i="135"/>
  <c r="R61" i="129"/>
  <c r="Q61" i="129"/>
  <c r="E14" i="2"/>
  <c r="E15" i="2" s="1"/>
  <c r="R26" i="3"/>
  <c r="S16" i="3" s="1"/>
  <c r="Q26" i="3"/>
  <c r="AG15" i="129"/>
  <c r="AH5" i="129" s="1"/>
  <c r="AF15" i="129"/>
  <c r="R60" i="3"/>
  <c r="Q60" i="3"/>
  <c r="R60" i="133"/>
  <c r="Q60" i="133"/>
  <c r="AG58" i="129"/>
  <c r="AH49" i="129" s="1"/>
  <c r="AF58" i="129"/>
  <c r="Q58" i="129"/>
  <c r="R40" i="189"/>
  <c r="Q40" i="189"/>
  <c r="Q37" i="185"/>
  <c r="AG37" i="185"/>
  <c r="AH27" i="185" s="1"/>
  <c r="AF37" i="185"/>
  <c r="R61" i="179"/>
  <c r="Q61" i="179"/>
  <c r="Q37" i="171"/>
  <c r="AG37" i="171"/>
  <c r="AH27" i="171" s="1"/>
  <c r="AF37" i="171"/>
  <c r="R38" i="155"/>
  <c r="O48" i="155"/>
  <c r="Q38" i="155"/>
  <c r="Q58" i="185"/>
  <c r="AG58" i="185"/>
  <c r="AH49" i="185" s="1"/>
  <c r="AF58" i="185"/>
  <c r="R61" i="187"/>
  <c r="Q61" i="187"/>
  <c r="Q37" i="189"/>
  <c r="AG37" i="189"/>
  <c r="AH27" i="189" s="1"/>
  <c r="AF37" i="189"/>
  <c r="R51" i="183"/>
  <c r="Q51" i="183"/>
  <c r="AG15" i="181"/>
  <c r="AH5" i="181" s="1"/>
  <c r="AF15" i="181"/>
  <c r="Q6" i="179"/>
  <c r="Q59" i="179"/>
  <c r="R59" i="179"/>
  <c r="O69" i="179"/>
  <c r="R51" i="179"/>
  <c r="Q51" i="179"/>
  <c r="O37" i="179"/>
  <c r="R27" i="179"/>
  <c r="Q27" i="179"/>
  <c r="AG48" i="181"/>
  <c r="AH38" i="181" s="1"/>
  <c r="AF48" i="181"/>
  <c r="Q48" i="181"/>
  <c r="R15" i="177"/>
  <c r="S5" i="177" s="1"/>
  <c r="Q15" i="177"/>
  <c r="D14" i="176"/>
  <c r="R59" i="173"/>
  <c r="Q59" i="173"/>
  <c r="O69" i="173"/>
  <c r="L48" i="179"/>
  <c r="G13" i="178" s="1"/>
  <c r="R38" i="179"/>
  <c r="AG69" i="175"/>
  <c r="AH59" i="175" s="1"/>
  <c r="AF69" i="175"/>
  <c r="Q69" i="175"/>
  <c r="R39" i="179"/>
  <c r="Q39" i="179"/>
  <c r="AG26" i="175"/>
  <c r="AH16" i="175" s="1"/>
  <c r="AF26" i="175"/>
  <c r="H6" i="178"/>
  <c r="F6" i="178"/>
  <c r="AG79" i="171"/>
  <c r="AH70" i="171" s="1"/>
  <c r="AG69" i="165"/>
  <c r="AH59" i="165" s="1"/>
  <c r="AF69" i="165"/>
  <c r="Q69" i="165"/>
  <c r="L37" i="163"/>
  <c r="F13" i="162" s="1"/>
  <c r="Q27" i="163"/>
  <c r="AG69" i="157"/>
  <c r="AH59" i="157" s="1"/>
  <c r="AF69" i="157"/>
  <c r="Q69" i="157"/>
  <c r="R17" i="161"/>
  <c r="Q17" i="161"/>
  <c r="R59" i="165"/>
  <c r="O69" i="165"/>
  <c r="Q59" i="165"/>
  <c r="AG37" i="161"/>
  <c r="AH27" i="161" s="1"/>
  <c r="AF37" i="161"/>
  <c r="Q37" i="161"/>
  <c r="AF58" i="149"/>
  <c r="AG58" i="149"/>
  <c r="AH49" i="149" s="1"/>
  <c r="Q58" i="149"/>
  <c r="R48" i="159"/>
  <c r="S38" i="159" s="1"/>
  <c r="G14" i="158"/>
  <c r="G15" i="158" s="1"/>
  <c r="Q50" i="163"/>
  <c r="R50" i="163"/>
  <c r="J14" i="156"/>
  <c r="R79" i="157"/>
  <c r="S70" i="157" s="1"/>
  <c r="J15" i="156" s="1"/>
  <c r="Q28" i="155"/>
  <c r="R28" i="155"/>
  <c r="Q51" i="153"/>
  <c r="R51" i="153"/>
  <c r="R39" i="149"/>
  <c r="Q39" i="149"/>
  <c r="R7" i="157"/>
  <c r="Q7" i="157"/>
  <c r="R40" i="155"/>
  <c r="Q40" i="155"/>
  <c r="Q79" i="149"/>
  <c r="AG79" i="149"/>
  <c r="AH70" i="149" s="1"/>
  <c r="AF79" i="149"/>
  <c r="O26" i="153"/>
  <c r="R16" i="153"/>
  <c r="Q16" i="153"/>
  <c r="O26" i="151"/>
  <c r="Q16" i="151"/>
  <c r="R16" i="151"/>
  <c r="Q28" i="141"/>
  <c r="R28" i="141"/>
  <c r="I14" i="146"/>
  <c r="O48" i="141"/>
  <c r="Q29" i="137"/>
  <c r="R29" i="137"/>
  <c r="R27" i="149"/>
  <c r="R60" i="145"/>
  <c r="Q60" i="145"/>
  <c r="Q48" i="131"/>
  <c r="AF48" i="131"/>
  <c r="AG48" i="131"/>
  <c r="AH38" i="131" s="1"/>
  <c r="AG26" i="139"/>
  <c r="AH16" i="139" s="1"/>
  <c r="AF26" i="139"/>
  <c r="R59" i="145"/>
  <c r="Q59" i="145"/>
  <c r="O69" i="145"/>
  <c r="R50" i="141"/>
  <c r="Q50" i="141"/>
  <c r="R27" i="133"/>
  <c r="O37" i="133"/>
  <c r="Q27" i="133"/>
  <c r="AF69" i="137"/>
  <c r="AG69" i="137"/>
  <c r="AH59" i="137" s="1"/>
  <c r="Q69" i="137"/>
  <c r="Q61" i="133"/>
  <c r="R61" i="133"/>
  <c r="O37" i="129"/>
  <c r="AG37" i="131"/>
  <c r="AH27" i="131" s="1"/>
  <c r="AF37" i="131"/>
  <c r="Q37" i="131"/>
  <c r="R39" i="137"/>
  <c r="Q39" i="137"/>
  <c r="L37" i="131"/>
  <c r="F13" i="130" s="1"/>
  <c r="H6" i="130" s="1"/>
  <c r="AG48" i="135"/>
  <c r="AH38" i="135" s="1"/>
  <c r="AF48" i="135"/>
  <c r="Q48" i="135"/>
  <c r="R51" i="3"/>
  <c r="Q51" i="3"/>
  <c r="Q8" i="129"/>
  <c r="R8" i="129"/>
  <c r="O58" i="129"/>
  <c r="R49" i="129"/>
  <c r="Q49" i="129"/>
  <c r="R17" i="181"/>
  <c r="Q17" i="181"/>
  <c r="R59" i="175"/>
  <c r="O69" i="175"/>
  <c r="Q59" i="175"/>
  <c r="AF26" i="169"/>
  <c r="AG26" i="169"/>
  <c r="AH16" i="169" s="1"/>
  <c r="G14" i="160"/>
  <c r="G15" i="160" s="1"/>
  <c r="R48" i="161"/>
  <c r="S38" i="161" s="1"/>
  <c r="H6" i="158"/>
  <c r="F6" i="158"/>
  <c r="R37" i="149"/>
  <c r="S27" i="149" s="1"/>
  <c r="F14" i="148"/>
  <c r="F15" i="148" s="1"/>
  <c r="O26" i="139"/>
  <c r="E2" i="139" s="1"/>
  <c r="R16" i="139"/>
  <c r="Q16" i="139"/>
  <c r="Q49" i="149"/>
  <c r="AG69" i="145"/>
  <c r="AH59" i="145" s="1"/>
  <c r="AF69" i="145"/>
  <c r="Q69" i="145"/>
  <c r="Q7" i="137"/>
  <c r="R7" i="137"/>
  <c r="Q51" i="135"/>
  <c r="R51" i="135"/>
  <c r="R50" i="137"/>
  <c r="Q50" i="137"/>
  <c r="R17" i="139"/>
  <c r="Q17" i="139"/>
  <c r="O58" i="135"/>
  <c r="Q29" i="3"/>
  <c r="R29" i="3"/>
  <c r="R40" i="143"/>
  <c r="Q40" i="143"/>
  <c r="E15" i="130"/>
  <c r="AG48" i="133"/>
  <c r="AH38" i="133" s="1"/>
  <c r="R16" i="189"/>
  <c r="R29" i="185"/>
  <c r="Q29" i="185"/>
  <c r="R17" i="183"/>
  <c r="Q17" i="183"/>
  <c r="R29" i="163"/>
  <c r="Q29" i="163"/>
  <c r="R16" i="147"/>
  <c r="Q26" i="149"/>
  <c r="E14" i="148"/>
  <c r="E15" i="148" s="1"/>
  <c r="R26" i="149"/>
  <c r="S16" i="149" s="1"/>
  <c r="R5" i="139"/>
  <c r="AG26" i="151"/>
  <c r="AH16" i="151" s="1"/>
  <c r="AF26" i="151"/>
  <c r="R6" i="145"/>
  <c r="Q6" i="145"/>
  <c r="O26" i="141"/>
  <c r="R5" i="143"/>
  <c r="Q5" i="143"/>
  <c r="O15" i="143"/>
  <c r="O58" i="147"/>
  <c r="R49" i="147"/>
  <c r="Q49" i="147"/>
  <c r="AG48" i="157"/>
  <c r="AH38" i="157" s="1"/>
  <c r="AF48" i="157"/>
  <c r="Q48" i="157"/>
  <c r="R29" i="145"/>
  <c r="Q29" i="145"/>
  <c r="Q5" i="145"/>
  <c r="R40" i="149"/>
  <c r="Q40" i="149"/>
  <c r="R70" i="137"/>
  <c r="Q70" i="137"/>
  <c r="O79" i="137"/>
  <c r="R49" i="149"/>
  <c r="Q48" i="145"/>
  <c r="AG48" i="145"/>
  <c r="AH38" i="145" s="1"/>
  <c r="AF48" i="145"/>
  <c r="Q58" i="131"/>
  <c r="AF58" i="131"/>
  <c r="AG58" i="131"/>
  <c r="AH49" i="131" s="1"/>
  <c r="AG26" i="143"/>
  <c r="AH16" i="143" s="1"/>
  <c r="AF26" i="143"/>
  <c r="AG79" i="3"/>
  <c r="AH70" i="3" s="1"/>
  <c r="AF79" i="3"/>
  <c r="Q79" i="3"/>
  <c r="D14" i="140"/>
  <c r="R15" i="141"/>
  <c r="S5" i="141" s="1"/>
  <c r="Q15" i="141"/>
  <c r="AG37" i="137"/>
  <c r="AH27" i="137" s="1"/>
  <c r="AF37" i="137"/>
  <c r="Q37" i="137"/>
  <c r="O37" i="131"/>
  <c r="R27" i="131"/>
  <c r="Q27" i="131"/>
  <c r="AG15" i="139"/>
  <c r="AH5" i="139" s="1"/>
  <c r="AF15" i="139"/>
  <c r="R5" i="3"/>
  <c r="Q5" i="3"/>
  <c r="O15" i="3"/>
  <c r="Q6" i="133"/>
  <c r="R6" i="133"/>
  <c r="Q38" i="133"/>
  <c r="R38" i="133"/>
  <c r="O48" i="133"/>
  <c r="R79" i="129"/>
  <c r="S70" i="129" s="1"/>
  <c r="J15" i="128" s="1"/>
  <c r="J14" i="128"/>
  <c r="AF79" i="135"/>
  <c r="R17" i="3"/>
  <c r="Q17" i="3"/>
  <c r="E14" i="128"/>
  <c r="E15" i="128" s="1"/>
  <c r="R26" i="129"/>
  <c r="S16" i="129" s="1"/>
  <c r="Q26" i="129"/>
  <c r="R49" i="133"/>
  <c r="Q49" i="133"/>
  <c r="O58" i="133"/>
  <c r="O37" i="189"/>
  <c r="R27" i="189"/>
  <c r="Q27" i="189"/>
  <c r="Q6" i="189"/>
  <c r="R6" i="189"/>
  <c r="O69" i="157"/>
  <c r="Q59" i="157"/>
  <c r="R59" i="157"/>
  <c r="R6" i="151"/>
  <c r="Q6" i="151"/>
  <c r="R51" i="149"/>
  <c r="Q51" i="149"/>
  <c r="AG15" i="143"/>
  <c r="AH5" i="143" s="1"/>
  <c r="AF15" i="143"/>
  <c r="Q40" i="177"/>
  <c r="R40" i="177"/>
  <c r="AF58" i="175"/>
  <c r="Q58" i="175"/>
  <c r="AG58" i="175"/>
  <c r="AH49" i="175" s="1"/>
  <c r="Q27" i="177"/>
  <c r="O37" i="177"/>
  <c r="E2" i="177" s="1"/>
  <c r="R27" i="177"/>
  <c r="Q40" i="169"/>
  <c r="R40" i="169"/>
  <c r="Q51" i="173"/>
  <c r="R51" i="173"/>
  <c r="R51" i="175"/>
  <c r="Q51" i="175"/>
  <c r="R40" i="159"/>
  <c r="Q40" i="159"/>
  <c r="R5" i="145"/>
  <c r="Q59" i="147"/>
  <c r="L69" i="147"/>
  <c r="I13" i="146" s="1"/>
  <c r="J6" i="146" s="1"/>
  <c r="AG26" i="135"/>
  <c r="AH16" i="135" s="1"/>
  <c r="AF26" i="135"/>
  <c r="AF48" i="133"/>
  <c r="AF15" i="133"/>
  <c r="R69" i="129"/>
  <c r="S59" i="129" s="1"/>
  <c r="I14" i="128"/>
  <c r="R28" i="149"/>
  <c r="Q28" i="149"/>
  <c r="R18" i="137"/>
  <c r="Q18" i="137"/>
  <c r="AG79" i="135"/>
  <c r="AH70" i="135" s="1"/>
  <c r="AG58" i="133"/>
  <c r="AH49" i="133" s="1"/>
  <c r="AF58" i="133"/>
  <c r="Q58" i="133"/>
  <c r="Q37" i="3"/>
  <c r="AG37" i="3"/>
  <c r="AH27" i="3" s="1"/>
  <c r="AF37" i="3"/>
  <c r="AG26" i="185"/>
  <c r="AH16" i="185" s="1"/>
  <c r="AF26" i="185"/>
  <c r="AF26" i="161"/>
  <c r="AG26" i="161"/>
  <c r="AH16" i="161" s="1"/>
  <c r="R29" i="181"/>
  <c r="Q29" i="181"/>
  <c r="AF69" i="179"/>
  <c r="AG69" i="179"/>
  <c r="AH59" i="179" s="1"/>
  <c r="Q69" i="179"/>
  <c r="Q16" i="175"/>
  <c r="O26" i="175"/>
  <c r="R16" i="175"/>
  <c r="R28" i="163"/>
  <c r="Q28" i="163"/>
  <c r="Q27" i="161"/>
  <c r="O37" i="161"/>
  <c r="R27" i="161"/>
  <c r="R37" i="153"/>
  <c r="S27" i="153" s="1"/>
  <c r="F14" i="152"/>
  <c r="F15" i="152" s="1"/>
  <c r="AF58" i="143"/>
  <c r="AG58" i="143"/>
  <c r="AH49" i="143" s="1"/>
  <c r="Q58" i="143"/>
  <c r="R28" i="139"/>
  <c r="Q28" i="139"/>
  <c r="AG58" i="147"/>
  <c r="AH49" i="147" s="1"/>
  <c r="AF58" i="147"/>
  <c r="Q58" i="147"/>
  <c r="O15" i="137"/>
  <c r="R5" i="137"/>
  <c r="Q5" i="137"/>
  <c r="O69" i="185"/>
  <c r="R59" i="185"/>
  <c r="Q59" i="185"/>
  <c r="O58" i="183"/>
  <c r="Q50" i="183"/>
  <c r="R50" i="183"/>
  <c r="H6" i="182"/>
  <c r="F6" i="182"/>
  <c r="Q40" i="173"/>
  <c r="R40" i="173"/>
  <c r="Q28" i="177"/>
  <c r="R28" i="177"/>
  <c r="AG15" i="173"/>
  <c r="AH5" i="173" s="1"/>
  <c r="AF15" i="173"/>
  <c r="R49" i="173"/>
  <c r="Q49" i="173"/>
  <c r="O58" i="173"/>
  <c r="O26" i="169"/>
  <c r="Q16" i="169"/>
  <c r="R16" i="169"/>
  <c r="AF15" i="157"/>
  <c r="AG15" i="157"/>
  <c r="AH5" i="157" s="1"/>
  <c r="AF15" i="161"/>
  <c r="AG15" i="161"/>
  <c r="AH5" i="161" s="1"/>
  <c r="O26" i="159"/>
  <c r="R16" i="159"/>
  <c r="Q16" i="159"/>
  <c r="AG58" i="163"/>
  <c r="AH49" i="163" s="1"/>
  <c r="AF58" i="163"/>
  <c r="Q58" i="163"/>
  <c r="Q39" i="183"/>
  <c r="O48" i="183"/>
  <c r="R39" i="183"/>
  <c r="R28" i="185"/>
  <c r="Q28" i="185"/>
  <c r="AG26" i="187"/>
  <c r="AH16" i="187" s="1"/>
  <c r="AF26" i="187"/>
  <c r="O26" i="181"/>
  <c r="R39" i="177"/>
  <c r="Q39" i="177"/>
  <c r="R50" i="181"/>
  <c r="Q50" i="181"/>
  <c r="O58" i="171"/>
  <c r="R49" i="171"/>
  <c r="Q49" i="171"/>
  <c r="AG26" i="179"/>
  <c r="AH16" i="179" s="1"/>
  <c r="AF26" i="179"/>
  <c r="R39" i="171"/>
  <c r="Q39" i="171"/>
  <c r="R60" i="167"/>
  <c r="Q60" i="167"/>
  <c r="H6" i="170"/>
  <c r="F6" i="170"/>
  <c r="R51" i="169"/>
  <c r="Q51" i="169"/>
  <c r="R16" i="173"/>
  <c r="Q16" i="173"/>
  <c r="O26" i="173"/>
  <c r="Q48" i="159"/>
  <c r="AG48" i="159"/>
  <c r="AH38" i="159" s="1"/>
  <c r="AF48" i="159"/>
  <c r="O48" i="163"/>
  <c r="Q38" i="163"/>
  <c r="R38" i="163"/>
  <c r="O37" i="163"/>
  <c r="R5" i="161"/>
  <c r="Q5" i="161"/>
  <c r="O15" i="161"/>
  <c r="Q58" i="153"/>
  <c r="AG58" i="153"/>
  <c r="AH49" i="153" s="1"/>
  <c r="AF58" i="153"/>
  <c r="AF26" i="159"/>
  <c r="AG26" i="159"/>
  <c r="AH16" i="159" s="1"/>
  <c r="Q48" i="161"/>
  <c r="AG48" i="161"/>
  <c r="AH38" i="161" s="1"/>
  <c r="AF48" i="161"/>
  <c r="R39" i="155"/>
  <c r="Q39" i="155"/>
  <c r="AF15" i="155"/>
  <c r="AG15" i="155"/>
  <c r="AH5" i="155" s="1"/>
  <c r="F14" i="144"/>
  <c r="F15" i="144" s="1"/>
  <c r="R37" i="145"/>
  <c r="S27" i="145" s="1"/>
  <c r="F6" i="144"/>
  <c r="H6" i="144"/>
  <c r="H6" i="138"/>
  <c r="F6" i="138"/>
  <c r="R29" i="147"/>
  <c r="Q29" i="147"/>
  <c r="Q27" i="147"/>
  <c r="O37" i="147"/>
  <c r="R27" i="147"/>
  <c r="Q28" i="145"/>
  <c r="R16" i="155"/>
  <c r="O26" i="155"/>
  <c r="Q16" i="155"/>
  <c r="Q6" i="149"/>
  <c r="R6" i="149"/>
  <c r="Q70" i="139"/>
  <c r="Q60" i="131"/>
  <c r="R60" i="131"/>
  <c r="Q58" i="189"/>
  <c r="AG58" i="189"/>
  <c r="AH49" i="189" s="1"/>
  <c r="AF58" i="189"/>
  <c r="O69" i="181"/>
  <c r="Q60" i="181"/>
  <c r="O58" i="177"/>
  <c r="Q49" i="177"/>
  <c r="R49" i="177"/>
  <c r="R5" i="183"/>
  <c r="O15" i="183"/>
  <c r="Q5" i="183"/>
  <c r="R17" i="177"/>
  <c r="Q17" i="177"/>
  <c r="R38" i="171"/>
  <c r="O48" i="171"/>
  <c r="Q38" i="171"/>
  <c r="Q51" i="171"/>
  <c r="R51" i="171"/>
  <c r="AG15" i="165"/>
  <c r="AH5" i="165" s="1"/>
  <c r="AF15" i="165"/>
  <c r="AG48" i="167"/>
  <c r="AH38" i="167" s="1"/>
  <c r="AF48" i="167"/>
  <c r="Q48" i="167"/>
  <c r="O37" i="165"/>
  <c r="R49" i="167"/>
  <c r="Q37" i="167"/>
  <c r="AG37" i="167"/>
  <c r="AH27" i="167" s="1"/>
  <c r="AF37" i="167"/>
  <c r="AG37" i="163"/>
  <c r="AH27" i="163" s="1"/>
  <c r="Q37" i="163"/>
  <c r="AF37" i="163"/>
  <c r="Q58" i="167"/>
  <c r="AG58" i="167"/>
  <c r="AH49" i="167" s="1"/>
  <c r="AF58" i="167"/>
  <c r="AF69" i="167"/>
  <c r="Q69" i="167"/>
  <c r="AG69" i="167"/>
  <c r="AH59" i="167" s="1"/>
  <c r="R27" i="163"/>
  <c r="R49" i="157"/>
  <c r="Q49" i="157"/>
  <c r="O58" i="157"/>
  <c r="Q7" i="153"/>
  <c r="R7" i="153"/>
  <c r="R7" i="155"/>
  <c r="Q7" i="155"/>
  <c r="R59" i="151"/>
  <c r="R70" i="153"/>
  <c r="Q70" i="153"/>
  <c r="O79" i="153"/>
  <c r="R61" i="157"/>
  <c r="Q61" i="157"/>
  <c r="R28" i="147"/>
  <c r="Q28" i="147"/>
  <c r="Q17" i="149"/>
  <c r="R17" i="149"/>
  <c r="R70" i="141"/>
  <c r="O79" i="141"/>
  <c r="Q70" i="141"/>
  <c r="AG15" i="141"/>
  <c r="AH5" i="141" s="1"/>
  <c r="AF15" i="141"/>
  <c r="R60" i="141"/>
  <c r="Q60" i="141"/>
  <c r="AG37" i="147"/>
  <c r="AH27" i="147" s="1"/>
  <c r="AF37" i="147"/>
  <c r="Q37" i="147"/>
  <c r="L69" i="139"/>
  <c r="I13" i="138" s="1"/>
  <c r="J6" i="138" s="1"/>
  <c r="Q59" i="139"/>
  <c r="R7" i="143"/>
  <c r="Q7" i="143"/>
  <c r="R79" i="139"/>
  <c r="S70" i="139" s="1"/>
  <c r="J15" i="138" s="1"/>
  <c r="J14" i="138"/>
  <c r="AF79" i="129"/>
  <c r="AG79" i="129"/>
  <c r="AH70" i="129" s="1"/>
  <c r="Q79" i="129"/>
  <c r="E13" i="130"/>
  <c r="R26" i="131"/>
  <c r="S16" i="131" s="1"/>
  <c r="AG79" i="137"/>
  <c r="AH70" i="137" s="1"/>
  <c r="AF79" i="137"/>
  <c r="Q79" i="137"/>
  <c r="R38" i="149"/>
  <c r="Q38" i="149"/>
  <c r="O48" i="149"/>
  <c r="R60" i="139"/>
  <c r="Q60" i="139"/>
  <c r="Q16" i="143"/>
  <c r="R16" i="143"/>
  <c r="O26" i="143"/>
  <c r="R16" i="135"/>
  <c r="Q16" i="135"/>
  <c r="O26" i="135"/>
  <c r="Q60" i="147"/>
  <c r="R60" i="147"/>
  <c r="R40" i="137"/>
  <c r="Q40" i="137"/>
  <c r="Q37" i="129"/>
  <c r="AG37" i="129"/>
  <c r="AH27" i="129" s="1"/>
  <c r="AF37" i="129"/>
  <c r="Q27" i="137"/>
  <c r="O37" i="137"/>
  <c r="R27" i="137"/>
  <c r="Q49" i="3"/>
  <c r="R51" i="137"/>
  <c r="Q51" i="137"/>
  <c r="R39" i="147"/>
  <c r="Q39" i="147"/>
  <c r="AG26" i="3"/>
  <c r="AH16" i="3" s="1"/>
  <c r="AF26" i="3"/>
  <c r="AF69" i="3"/>
  <c r="Q69" i="3"/>
  <c r="AG69" i="3"/>
  <c r="AH59" i="3" s="1"/>
  <c r="R30" i="133"/>
  <c r="Q30" i="133"/>
  <c r="R27" i="3"/>
  <c r="Q27" i="3"/>
  <c r="O37" i="3"/>
  <c r="R37" i="163" l="1"/>
  <c r="S27" i="163" s="1"/>
  <c r="F14" i="162"/>
  <c r="F15" i="162" s="1"/>
  <c r="R58" i="173"/>
  <c r="S49" i="173" s="1"/>
  <c r="H14" i="172"/>
  <c r="H15" i="172" s="1"/>
  <c r="R26" i="175"/>
  <c r="S16" i="175" s="1"/>
  <c r="Q26" i="175"/>
  <c r="E14" i="174"/>
  <c r="E15" i="174" s="1"/>
  <c r="R37" i="189"/>
  <c r="S27" i="189" s="1"/>
  <c r="F14" i="188"/>
  <c r="F15" i="188" s="1"/>
  <c r="G14" i="132"/>
  <c r="G15" i="132" s="1"/>
  <c r="R48" i="133"/>
  <c r="S38" i="133" s="1"/>
  <c r="F14" i="130"/>
  <c r="R37" i="131"/>
  <c r="S27" i="131" s="1"/>
  <c r="E2" i="131"/>
  <c r="H14" i="134"/>
  <c r="H15" i="134" s="1"/>
  <c r="R58" i="135"/>
  <c r="S49" i="135" s="1"/>
  <c r="J14" i="148"/>
  <c r="R79" i="149"/>
  <c r="S70" i="149" s="1"/>
  <c r="J15" i="148" s="1"/>
  <c r="R58" i="145"/>
  <c r="S49" i="145" s="1"/>
  <c r="H14" i="144"/>
  <c r="H15" i="144" s="1"/>
  <c r="F14" i="154"/>
  <c r="F15" i="154" s="1"/>
  <c r="R37" i="155"/>
  <c r="S27" i="155" s="1"/>
  <c r="R26" i="137"/>
  <c r="S16" i="137" s="1"/>
  <c r="E14" i="136"/>
  <c r="E15" i="136" s="1"/>
  <c r="Q26" i="137"/>
  <c r="Q26" i="177"/>
  <c r="E14" i="176"/>
  <c r="E15" i="176" s="1"/>
  <c r="R26" i="177"/>
  <c r="S16" i="177" s="1"/>
  <c r="R48" i="189"/>
  <c r="S38" i="189" s="1"/>
  <c r="G14" i="188"/>
  <c r="G15" i="188" s="1"/>
  <c r="R26" i="147"/>
  <c r="S16" i="147" s="1"/>
  <c r="Q26" i="147"/>
  <c r="E14" i="146"/>
  <c r="E15" i="146" s="1"/>
  <c r="R37" i="141"/>
  <c r="S27" i="141" s="1"/>
  <c r="F14" i="140"/>
  <c r="F15" i="140" s="1"/>
  <c r="E14" i="156"/>
  <c r="E15" i="156" s="1"/>
  <c r="R26" i="157"/>
  <c r="S16" i="157" s="1"/>
  <c r="Q26" i="157"/>
  <c r="R37" i="157"/>
  <c r="S27" i="157" s="1"/>
  <c r="F14" i="156"/>
  <c r="F15" i="156" s="1"/>
  <c r="E2" i="145"/>
  <c r="R79" i="153"/>
  <c r="S70" i="153" s="1"/>
  <c r="J15" i="152" s="1"/>
  <c r="J14" i="152"/>
  <c r="F14" i="164"/>
  <c r="F15" i="164" s="1"/>
  <c r="R37" i="165"/>
  <c r="S27" i="165" s="1"/>
  <c r="R58" i="183"/>
  <c r="S49" i="183" s="1"/>
  <c r="H14" i="182"/>
  <c r="H15" i="182" s="1"/>
  <c r="R58" i="133"/>
  <c r="S49" i="133" s="1"/>
  <c r="H14" i="132"/>
  <c r="H15" i="132" s="1"/>
  <c r="R26" i="141"/>
  <c r="S16" i="141" s="1"/>
  <c r="Q26" i="141"/>
  <c r="E14" i="140"/>
  <c r="E15" i="140" s="1"/>
  <c r="I14" i="174"/>
  <c r="R69" i="175"/>
  <c r="S59" i="175" s="1"/>
  <c r="D15" i="176"/>
  <c r="I14" i="178"/>
  <c r="R69" i="179"/>
  <c r="S59" i="179" s="1"/>
  <c r="F14" i="134"/>
  <c r="F15" i="134" s="1"/>
  <c r="R37" i="135"/>
  <c r="S27" i="135" s="1"/>
  <c r="R48" i="151"/>
  <c r="S38" i="151" s="1"/>
  <c r="G14" i="150"/>
  <c r="G15" i="150" s="1"/>
  <c r="R15" i="135"/>
  <c r="S5" i="135" s="1"/>
  <c r="D14" i="134"/>
  <c r="Q15" i="135"/>
  <c r="E2" i="135"/>
  <c r="F14" i="168"/>
  <c r="F15" i="168" s="1"/>
  <c r="R37" i="169"/>
  <c r="S27" i="169" s="1"/>
  <c r="G14" i="174"/>
  <c r="G15" i="174" s="1"/>
  <c r="R48" i="175"/>
  <c r="S38" i="175" s="1"/>
  <c r="R79" i="173"/>
  <c r="S70" i="173" s="1"/>
  <c r="J15" i="172" s="1"/>
  <c r="J14" i="172"/>
  <c r="E14" i="164"/>
  <c r="E15" i="164" s="1"/>
  <c r="R26" i="165"/>
  <c r="S16" i="165" s="1"/>
  <c r="Q26" i="165"/>
  <c r="F6" i="130"/>
  <c r="D15" i="138"/>
  <c r="R48" i="167"/>
  <c r="S38" i="167" s="1"/>
  <c r="G14" i="166"/>
  <c r="G15" i="166" s="1"/>
  <c r="E2" i="157"/>
  <c r="J14" i="176"/>
  <c r="R79" i="177"/>
  <c r="S70" i="177" s="1"/>
  <c r="J15" i="176" s="1"/>
  <c r="E2" i="187"/>
  <c r="R15" i="187"/>
  <c r="S5" i="187" s="1"/>
  <c r="Q15" i="187"/>
  <c r="D14" i="186"/>
  <c r="E2" i="175"/>
  <c r="R15" i="175"/>
  <c r="S5" i="175" s="1"/>
  <c r="Q15" i="175"/>
  <c r="D14" i="174"/>
  <c r="I14" i="168"/>
  <c r="R69" i="169"/>
  <c r="S59" i="169" s="1"/>
  <c r="D14" i="154"/>
  <c r="R15" i="155"/>
  <c r="S5" i="155" s="1"/>
  <c r="Q15" i="155"/>
  <c r="E2" i="155"/>
  <c r="R26" i="163"/>
  <c r="S16" i="163" s="1"/>
  <c r="Q26" i="163"/>
  <c r="E14" i="162"/>
  <c r="E15" i="162" s="1"/>
  <c r="R58" i="187"/>
  <c r="S49" i="187" s="1"/>
  <c r="H14" i="186"/>
  <c r="H15" i="186" s="1"/>
  <c r="D15" i="144"/>
  <c r="R48" i="179"/>
  <c r="S38" i="179" s="1"/>
  <c r="G14" i="148"/>
  <c r="G15" i="148" s="1"/>
  <c r="R48" i="149"/>
  <c r="S38" i="149" s="1"/>
  <c r="D14" i="182"/>
  <c r="R15" i="183"/>
  <c r="S5" i="183" s="1"/>
  <c r="Q15" i="183"/>
  <c r="E2" i="183"/>
  <c r="R48" i="163"/>
  <c r="S38" i="163" s="1"/>
  <c r="G14" i="162"/>
  <c r="G15" i="162" s="1"/>
  <c r="R26" i="181"/>
  <c r="S16" i="181" s="1"/>
  <c r="Q26" i="181"/>
  <c r="E14" i="180"/>
  <c r="E15" i="180" s="1"/>
  <c r="Q26" i="139"/>
  <c r="E14" i="138"/>
  <c r="E15" i="138" s="1"/>
  <c r="R26" i="139"/>
  <c r="S16" i="139" s="1"/>
  <c r="R37" i="139"/>
  <c r="S27" i="139" s="1"/>
  <c r="F14" i="138"/>
  <c r="F15" i="138" s="1"/>
  <c r="G14" i="172"/>
  <c r="G15" i="172" s="1"/>
  <c r="R48" i="173"/>
  <c r="S38" i="173" s="1"/>
  <c r="I14" i="142"/>
  <c r="R69" i="143"/>
  <c r="S59" i="143" s="1"/>
  <c r="I14" i="158"/>
  <c r="R69" i="159"/>
  <c r="S59" i="159" s="1"/>
  <c r="R79" i="187"/>
  <c r="S70" i="187" s="1"/>
  <c r="J15" i="186" s="1"/>
  <c r="J14" i="186"/>
  <c r="R79" i="161"/>
  <c r="S70" i="161" s="1"/>
  <c r="J15" i="160" s="1"/>
  <c r="J14" i="160"/>
  <c r="R79" i="175"/>
  <c r="S70" i="175" s="1"/>
  <c r="J15" i="174" s="1"/>
  <c r="J14" i="174"/>
  <c r="R69" i="141"/>
  <c r="S59" i="141" s="1"/>
  <c r="I14" i="140"/>
  <c r="D15" i="156"/>
  <c r="R69" i="171"/>
  <c r="S59" i="171" s="1"/>
  <c r="I14" i="170"/>
  <c r="I14" i="182"/>
  <c r="R69" i="183"/>
  <c r="S59" i="183" s="1"/>
  <c r="D15" i="188"/>
  <c r="G15" i="178"/>
  <c r="R69" i="3"/>
  <c r="S59" i="3" s="1"/>
  <c r="I14" i="2"/>
  <c r="J7" i="148"/>
  <c r="I15" i="148"/>
  <c r="J8" i="148" s="1"/>
  <c r="R37" i="183"/>
  <c r="S27" i="183" s="1"/>
  <c r="F14" i="182"/>
  <c r="F15" i="182" s="1"/>
  <c r="R58" i="167"/>
  <c r="S49" i="167" s="1"/>
  <c r="H14" i="166"/>
  <c r="H15" i="166" s="1"/>
  <c r="R48" i="185"/>
  <c r="S38" i="185" s="1"/>
  <c r="G14" i="184"/>
  <c r="G15" i="184" s="1"/>
  <c r="E14" i="158"/>
  <c r="E15" i="158" s="1"/>
  <c r="R26" i="159"/>
  <c r="S16" i="159" s="1"/>
  <c r="Q26" i="159"/>
  <c r="R69" i="185"/>
  <c r="S59" i="185" s="1"/>
  <c r="I14" i="184"/>
  <c r="R26" i="151"/>
  <c r="S16" i="151" s="1"/>
  <c r="Q26" i="151"/>
  <c r="E14" i="150"/>
  <c r="E15" i="150" s="1"/>
  <c r="Q26" i="187"/>
  <c r="E14" i="186"/>
  <c r="E15" i="186" s="1"/>
  <c r="R26" i="187"/>
  <c r="S16" i="187" s="1"/>
  <c r="I14" i="160"/>
  <c r="R69" i="161"/>
  <c r="S59" i="161" s="1"/>
  <c r="F14" i="180"/>
  <c r="F15" i="180" s="1"/>
  <c r="R37" i="181"/>
  <c r="S27" i="181" s="1"/>
  <c r="D14" i="172"/>
  <c r="E2" i="173"/>
  <c r="R15" i="173"/>
  <c r="S5" i="173" s="1"/>
  <c r="Q15" i="173"/>
  <c r="R37" i="151"/>
  <c r="S27" i="151" s="1"/>
  <c r="F14" i="150"/>
  <c r="F15" i="150" s="1"/>
  <c r="R69" i="167"/>
  <c r="S59" i="167" s="1"/>
  <c r="I14" i="166"/>
  <c r="J7" i="132"/>
  <c r="I15" i="132"/>
  <c r="J8" i="132" s="1"/>
  <c r="H14" i="162"/>
  <c r="H15" i="162" s="1"/>
  <c r="R58" i="163"/>
  <c r="S49" i="163" s="1"/>
  <c r="R69" i="187"/>
  <c r="S59" i="187" s="1"/>
  <c r="I14" i="186"/>
  <c r="J7" i="138"/>
  <c r="I15" i="138"/>
  <c r="J8" i="138" s="1"/>
  <c r="R15" i="149"/>
  <c r="S5" i="149" s="1"/>
  <c r="E2" i="149"/>
  <c r="Q15" i="149"/>
  <c r="D14" i="148"/>
  <c r="R26" i="133"/>
  <c r="S16" i="133" s="1"/>
  <c r="Q26" i="133"/>
  <c r="E14" i="132"/>
  <c r="E15" i="132" s="1"/>
  <c r="F14" i="172"/>
  <c r="F15" i="172" s="1"/>
  <c r="R37" i="173"/>
  <c r="S27" i="173" s="1"/>
  <c r="R48" i="157"/>
  <c r="S38" i="157" s="1"/>
  <c r="G14" i="156"/>
  <c r="G15" i="156" s="1"/>
  <c r="E2" i="189"/>
  <c r="R69" i="133"/>
  <c r="S59" i="133" s="1"/>
  <c r="F14" i="2"/>
  <c r="F15" i="2" s="1"/>
  <c r="R37" i="3"/>
  <c r="S27" i="3" s="1"/>
  <c r="E2" i="141"/>
  <c r="R48" i="155"/>
  <c r="S38" i="155" s="1"/>
  <c r="G14" i="154"/>
  <c r="G15" i="154" s="1"/>
  <c r="R79" i="135"/>
  <c r="S70" i="135" s="1"/>
  <c r="J15" i="134" s="1"/>
  <c r="J14" i="134"/>
  <c r="R37" i="143"/>
  <c r="S27" i="143" s="1"/>
  <c r="F14" i="142"/>
  <c r="F15" i="142" s="1"/>
  <c r="R58" i="151"/>
  <c r="S49" i="151" s="1"/>
  <c r="H14" i="150"/>
  <c r="H15" i="150" s="1"/>
  <c r="R37" i="159"/>
  <c r="S27" i="159" s="1"/>
  <c r="F14" i="158"/>
  <c r="F15" i="158" s="1"/>
  <c r="R15" i="167"/>
  <c r="S5" i="167" s="1"/>
  <c r="Q15" i="167"/>
  <c r="E2" i="167"/>
  <c r="D14" i="166"/>
  <c r="R58" i="165"/>
  <c r="S49" i="165" s="1"/>
  <c r="H14" i="164"/>
  <c r="H15" i="164" s="1"/>
  <c r="R69" i="155"/>
  <c r="S59" i="155" s="1"/>
  <c r="I14" i="154"/>
  <c r="E14" i="134"/>
  <c r="E15" i="134" s="1"/>
  <c r="R26" i="135"/>
  <c r="S16" i="135" s="1"/>
  <c r="Q26" i="135"/>
  <c r="H14" i="176"/>
  <c r="H15" i="176" s="1"/>
  <c r="R58" i="177"/>
  <c r="S49" i="177" s="1"/>
  <c r="R26" i="155"/>
  <c r="S16" i="155" s="1"/>
  <c r="Q26" i="155"/>
  <c r="E14" i="154"/>
  <c r="E15" i="154" s="1"/>
  <c r="R26" i="173"/>
  <c r="S16" i="173" s="1"/>
  <c r="Q26" i="173"/>
  <c r="E14" i="172"/>
  <c r="E15" i="172" s="1"/>
  <c r="D14" i="136"/>
  <c r="R15" i="137"/>
  <c r="S5" i="137" s="1"/>
  <c r="Q15" i="137"/>
  <c r="E2" i="137"/>
  <c r="R37" i="161"/>
  <c r="S27" i="161" s="1"/>
  <c r="F14" i="160"/>
  <c r="F15" i="160" s="1"/>
  <c r="I14" i="156"/>
  <c r="R69" i="157"/>
  <c r="S59" i="157" s="1"/>
  <c r="D15" i="140"/>
  <c r="R58" i="129"/>
  <c r="S49" i="129" s="1"/>
  <c r="H14" i="128"/>
  <c r="H15" i="128" s="1"/>
  <c r="E14" i="152"/>
  <c r="E15" i="152" s="1"/>
  <c r="Q26" i="153"/>
  <c r="R26" i="153"/>
  <c r="S16" i="153" s="1"/>
  <c r="H14" i="184"/>
  <c r="H15" i="184" s="1"/>
  <c r="R58" i="185"/>
  <c r="S49" i="185" s="1"/>
  <c r="R26" i="183"/>
  <c r="S16" i="183" s="1"/>
  <c r="E14" i="182"/>
  <c r="E15" i="182" s="1"/>
  <c r="Q26" i="183"/>
  <c r="R79" i="131"/>
  <c r="S70" i="131" s="1"/>
  <c r="J15" i="130" s="1"/>
  <c r="J14" i="130"/>
  <c r="R69" i="163"/>
  <c r="S59" i="163" s="1"/>
  <c r="I14" i="162"/>
  <c r="R69" i="177"/>
  <c r="S59" i="177" s="1"/>
  <c r="I14" i="176"/>
  <c r="R58" i="175"/>
  <c r="S49" i="175" s="1"/>
  <c r="H14" i="174"/>
  <c r="H15" i="174" s="1"/>
  <c r="R48" i="145"/>
  <c r="S38" i="145" s="1"/>
  <c r="G14" i="144"/>
  <c r="G15" i="144" s="1"/>
  <c r="Q15" i="163"/>
  <c r="E2" i="163"/>
  <c r="D14" i="162"/>
  <c r="R15" i="163"/>
  <c r="S5" i="163" s="1"/>
  <c r="F6" i="132"/>
  <c r="E2" i="153"/>
  <c r="R15" i="153"/>
  <c r="S5" i="153" s="1"/>
  <c r="Q15" i="153"/>
  <c r="D14" i="152"/>
  <c r="R37" i="171"/>
  <c r="S27" i="171" s="1"/>
  <c r="D14" i="128"/>
  <c r="R15" i="129"/>
  <c r="S5" i="129" s="1"/>
  <c r="E2" i="129"/>
  <c r="Q15" i="129"/>
  <c r="R58" i="189"/>
  <c r="S49" i="189" s="1"/>
  <c r="H14" i="188"/>
  <c r="H15" i="188" s="1"/>
  <c r="R69" i="153"/>
  <c r="S59" i="153" s="1"/>
  <c r="I14" i="152"/>
  <c r="R48" i="143"/>
  <c r="S38" i="143" s="1"/>
  <c r="G14" i="142"/>
  <c r="G15" i="142" s="1"/>
  <c r="R58" i="159"/>
  <c r="S49" i="159" s="1"/>
  <c r="H14" i="158"/>
  <c r="H15" i="158" s="1"/>
  <c r="R79" i="179"/>
  <c r="S70" i="179" s="1"/>
  <c r="J15" i="178" s="1"/>
  <c r="J14" i="178"/>
  <c r="J14" i="188"/>
  <c r="R79" i="189"/>
  <c r="S70" i="189" s="1"/>
  <c r="J15" i="188" s="1"/>
  <c r="D15" i="178"/>
  <c r="R37" i="133"/>
  <c r="S27" i="133" s="1"/>
  <c r="F14" i="132"/>
  <c r="F15" i="132" s="1"/>
  <c r="H14" i="142"/>
  <c r="H15" i="142" s="1"/>
  <c r="R58" i="143"/>
  <c r="S49" i="143" s="1"/>
  <c r="E2" i="161"/>
  <c r="R15" i="161"/>
  <c r="S5" i="161" s="1"/>
  <c r="Q15" i="161"/>
  <c r="D14" i="160"/>
  <c r="H14" i="146"/>
  <c r="H15" i="146" s="1"/>
  <c r="R58" i="147"/>
  <c r="S49" i="147" s="1"/>
  <c r="E2" i="159"/>
  <c r="R15" i="159"/>
  <c r="S5" i="159" s="1"/>
  <c r="Q15" i="159"/>
  <c r="D14" i="158"/>
  <c r="F15" i="170"/>
  <c r="R15" i="133"/>
  <c r="S5" i="133" s="1"/>
  <c r="Q15" i="133"/>
  <c r="E2" i="133"/>
  <c r="D14" i="132"/>
  <c r="R26" i="189"/>
  <c r="S16" i="189" s="1"/>
  <c r="Q26" i="189"/>
  <c r="E14" i="188"/>
  <c r="E15" i="188" s="1"/>
  <c r="I14" i="130"/>
  <c r="R69" i="131"/>
  <c r="S59" i="131" s="1"/>
  <c r="R37" i="167"/>
  <c r="S27" i="167" s="1"/>
  <c r="F14" i="166"/>
  <c r="F15" i="166" s="1"/>
  <c r="E2" i="165"/>
  <c r="R15" i="165"/>
  <c r="S5" i="165" s="1"/>
  <c r="Q15" i="165"/>
  <c r="D14" i="164"/>
  <c r="R79" i="141"/>
  <c r="S70" i="141" s="1"/>
  <c r="J15" i="140" s="1"/>
  <c r="J14" i="140"/>
  <c r="R69" i="137"/>
  <c r="S59" i="137" s="1"/>
  <c r="I14" i="136"/>
  <c r="I14" i="134"/>
  <c r="R69" i="135"/>
  <c r="S59" i="135" s="1"/>
  <c r="D14" i="2"/>
  <c r="Q15" i="3"/>
  <c r="R15" i="3"/>
  <c r="S5" i="3" s="1"/>
  <c r="E2" i="3"/>
  <c r="J14" i="166"/>
  <c r="R79" i="167"/>
  <c r="S70" i="167" s="1"/>
  <c r="J15" i="166" s="1"/>
  <c r="G14" i="136"/>
  <c r="G15" i="136" s="1"/>
  <c r="R48" i="137"/>
  <c r="S38" i="137" s="1"/>
  <c r="R58" i="157"/>
  <c r="S49" i="157" s="1"/>
  <c r="H14" i="156"/>
  <c r="H15" i="156" s="1"/>
  <c r="J14" i="136"/>
  <c r="R79" i="137"/>
  <c r="S70" i="137" s="1"/>
  <c r="J15" i="136" s="1"/>
  <c r="R69" i="145"/>
  <c r="S59" i="145" s="1"/>
  <c r="I14" i="144"/>
  <c r="R58" i="131"/>
  <c r="S49" i="131" s="1"/>
  <c r="H14" i="130"/>
  <c r="H15" i="130" s="1"/>
  <c r="J14" i="184"/>
  <c r="R79" i="185"/>
  <c r="S70" i="185" s="1"/>
  <c r="J15" i="184" s="1"/>
  <c r="R69" i="181"/>
  <c r="S59" i="181" s="1"/>
  <c r="I14" i="180"/>
  <c r="R48" i="183"/>
  <c r="S38" i="183" s="1"/>
  <c r="G14" i="182"/>
  <c r="G15" i="182" s="1"/>
  <c r="R37" i="129"/>
  <c r="S27" i="129" s="1"/>
  <c r="F14" i="128"/>
  <c r="F15" i="128" s="1"/>
  <c r="G14" i="140"/>
  <c r="G15" i="140" s="1"/>
  <c r="R48" i="141"/>
  <c r="S38" i="141" s="1"/>
  <c r="D14" i="170"/>
  <c r="Q15" i="171"/>
  <c r="E2" i="171"/>
  <c r="R15" i="171"/>
  <c r="S5" i="171" s="1"/>
  <c r="F14" i="184"/>
  <c r="F15" i="184" s="1"/>
  <c r="R37" i="185"/>
  <c r="S27" i="185" s="1"/>
  <c r="R48" i="139"/>
  <c r="S38" i="139" s="1"/>
  <c r="G14" i="138"/>
  <c r="G15" i="138" s="1"/>
  <c r="R37" i="137"/>
  <c r="S27" i="137" s="1"/>
  <c r="F14" i="136"/>
  <c r="F15" i="136" s="1"/>
  <c r="R26" i="143"/>
  <c r="S16" i="143" s="1"/>
  <c r="Q26" i="143"/>
  <c r="E14" i="142"/>
  <c r="E15" i="142" s="1"/>
  <c r="R48" i="171"/>
  <c r="S38" i="171" s="1"/>
  <c r="G14" i="170"/>
  <c r="G15" i="170" s="1"/>
  <c r="H14" i="170"/>
  <c r="H15" i="170" s="1"/>
  <c r="R58" i="171"/>
  <c r="S49" i="171" s="1"/>
  <c r="J7" i="128"/>
  <c r="I15" i="128"/>
  <c r="J8" i="128" s="1"/>
  <c r="R15" i="143"/>
  <c r="S5" i="143" s="1"/>
  <c r="Q15" i="143"/>
  <c r="E2" i="143"/>
  <c r="D14" i="142"/>
  <c r="R69" i="147"/>
  <c r="S59" i="147" s="1"/>
  <c r="I14" i="164"/>
  <c r="R69" i="165"/>
  <c r="S59" i="165" s="1"/>
  <c r="R69" i="173"/>
  <c r="S59" i="173" s="1"/>
  <c r="I14" i="172"/>
  <c r="R37" i="179"/>
  <c r="S27" i="179" s="1"/>
  <c r="F14" i="178"/>
  <c r="F15" i="178" s="1"/>
  <c r="R48" i="135"/>
  <c r="S38" i="135" s="1"/>
  <c r="G14" i="134"/>
  <c r="G15" i="134" s="1"/>
  <c r="Q26" i="179"/>
  <c r="R26" i="179"/>
  <c r="S16" i="179" s="1"/>
  <c r="E14" i="178"/>
  <c r="E15" i="178" s="1"/>
  <c r="R79" i="171"/>
  <c r="S70" i="171" s="1"/>
  <c r="J15" i="170" s="1"/>
  <c r="J14" i="170"/>
  <c r="G14" i="176"/>
  <c r="G15" i="176" s="1"/>
  <c r="R48" i="177"/>
  <c r="S38" i="177" s="1"/>
  <c r="E14" i="170"/>
  <c r="E15" i="170" s="1"/>
  <c r="R26" i="171"/>
  <c r="S16" i="171" s="1"/>
  <c r="Q26" i="171"/>
  <c r="R48" i="181"/>
  <c r="S38" i="181" s="1"/>
  <c r="G14" i="180"/>
  <c r="G15" i="180" s="1"/>
  <c r="D14" i="146"/>
  <c r="E2" i="147"/>
  <c r="R15" i="147"/>
  <c r="S5" i="147" s="1"/>
  <c r="Q15" i="147"/>
  <c r="Q26" i="167"/>
  <c r="E14" i="166"/>
  <c r="E15" i="166" s="1"/>
  <c r="R26" i="167"/>
  <c r="S16" i="167" s="1"/>
  <c r="R15" i="169"/>
  <c r="S5" i="169" s="1"/>
  <c r="Q15" i="169"/>
  <c r="D14" i="168"/>
  <c r="E2" i="169"/>
  <c r="H14" i="160"/>
  <c r="H15" i="160" s="1"/>
  <c r="R58" i="161"/>
  <c r="S49" i="161" s="1"/>
  <c r="G14" i="2"/>
  <c r="G15" i="2" s="1"/>
  <c r="R48" i="3"/>
  <c r="S38" i="3" s="1"/>
  <c r="H14" i="138"/>
  <c r="H15" i="138" s="1"/>
  <c r="R58" i="139"/>
  <c r="S49" i="139" s="1"/>
  <c r="Q15" i="185"/>
  <c r="R15" i="185"/>
  <c r="S5" i="185" s="1"/>
  <c r="D14" i="184"/>
  <c r="E2" i="185"/>
  <c r="D14" i="180"/>
  <c r="Q15" i="181"/>
  <c r="E2" i="181"/>
  <c r="R15" i="181"/>
  <c r="S5" i="181" s="1"/>
  <c r="D15" i="150"/>
  <c r="F7" i="150"/>
  <c r="R37" i="177"/>
  <c r="S27" i="177" s="1"/>
  <c r="F14" i="176"/>
  <c r="F15" i="176" s="1"/>
  <c r="R37" i="147"/>
  <c r="S27" i="147" s="1"/>
  <c r="F14" i="146"/>
  <c r="F15" i="146" s="1"/>
  <c r="R26" i="169"/>
  <c r="S16" i="169" s="1"/>
  <c r="Q26" i="169"/>
  <c r="E14" i="168"/>
  <c r="E15" i="168" s="1"/>
  <c r="I15" i="146"/>
  <c r="J8" i="146" s="1"/>
  <c r="J7" i="146"/>
  <c r="R58" i="137"/>
  <c r="S49" i="137" s="1"/>
  <c r="H14" i="136"/>
  <c r="H15" i="136" s="1"/>
  <c r="R69" i="189"/>
  <c r="S59" i="189" s="1"/>
  <c r="I14" i="188"/>
  <c r="G14" i="186"/>
  <c r="G15" i="186" s="1"/>
  <c r="R48" i="187"/>
  <c r="S38" i="187" s="1"/>
  <c r="J14" i="158"/>
  <c r="R79" i="159"/>
  <c r="S70" i="159" s="1"/>
  <c r="J15" i="158" s="1"/>
  <c r="H14" i="140"/>
  <c r="H15" i="140" s="1"/>
  <c r="R58" i="141"/>
  <c r="S49" i="141" s="1"/>
  <c r="G13" i="128"/>
  <c r="G15" i="128" s="1"/>
  <c r="R48" i="129"/>
  <c r="S38" i="129" s="1"/>
  <c r="J7" i="150"/>
  <c r="I15" i="150"/>
  <c r="J8" i="150" s="1"/>
  <c r="R79" i="163"/>
  <c r="S70" i="163" s="1"/>
  <c r="J15" i="162" s="1"/>
  <c r="J14" i="162"/>
  <c r="R37" i="175"/>
  <c r="S27" i="175" s="1"/>
  <c r="F14" i="174"/>
  <c r="F15" i="174" s="1"/>
  <c r="E2" i="151"/>
  <c r="H8" i="144" l="1"/>
  <c r="F8" i="144"/>
  <c r="J7" i="152"/>
  <c r="I15" i="152"/>
  <c r="J8" i="152" s="1"/>
  <c r="I15" i="176"/>
  <c r="J8" i="176" s="1"/>
  <c r="J7" i="176"/>
  <c r="F7" i="144"/>
  <c r="J7" i="168"/>
  <c r="I15" i="168"/>
  <c r="J8" i="168" s="1"/>
  <c r="I15" i="178"/>
  <c r="J8" i="178" s="1"/>
  <c r="J7" i="178"/>
  <c r="F7" i="178"/>
  <c r="F8" i="156"/>
  <c r="H8" i="156"/>
  <c r="J7" i="158"/>
  <c r="I15" i="158"/>
  <c r="J8" i="158" s="1"/>
  <c r="H7" i="144"/>
  <c r="D15" i="174"/>
  <c r="F7" i="174"/>
  <c r="H7" i="174"/>
  <c r="F7" i="176"/>
  <c r="I15" i="130"/>
  <c r="J8" i="130" s="1"/>
  <c r="J7" i="130"/>
  <c r="I15" i="154"/>
  <c r="J8" i="154" s="1"/>
  <c r="J7" i="154"/>
  <c r="I15" i="186"/>
  <c r="J8" i="186" s="1"/>
  <c r="J7" i="186"/>
  <c r="J7" i="184"/>
  <c r="I15" i="184"/>
  <c r="J8" i="184" s="1"/>
  <c r="F7" i="156"/>
  <c r="H8" i="138"/>
  <c r="F8" i="138"/>
  <c r="H7" i="176"/>
  <c r="F7" i="146"/>
  <c r="H7" i="146"/>
  <c r="D15" i="146"/>
  <c r="J7" i="134"/>
  <c r="I15" i="134"/>
  <c r="J8" i="134" s="1"/>
  <c r="I15" i="162"/>
  <c r="J8" i="162" s="1"/>
  <c r="J7" i="162"/>
  <c r="H8" i="178"/>
  <c r="F8" i="178"/>
  <c r="H7" i="162"/>
  <c r="F7" i="162"/>
  <c r="D15" i="162"/>
  <c r="H7" i="172"/>
  <c r="D15" i="172"/>
  <c r="F7" i="172"/>
  <c r="J7" i="2"/>
  <c r="I15" i="2"/>
  <c r="J8" i="2" s="1"/>
  <c r="H7" i="156"/>
  <c r="J7" i="142"/>
  <c r="I15" i="142"/>
  <c r="J8" i="142" s="1"/>
  <c r="F7" i="138"/>
  <c r="F8" i="176"/>
  <c r="H8" i="176"/>
  <c r="D15" i="158"/>
  <c r="H7" i="158"/>
  <c r="F7" i="158"/>
  <c r="H8" i="150"/>
  <c r="F8" i="150"/>
  <c r="J7" i="136"/>
  <c r="I15" i="136"/>
  <c r="J8" i="136" s="1"/>
  <c r="H7" i="178"/>
  <c r="F7" i="180"/>
  <c r="D15" i="180"/>
  <c r="H7" i="180"/>
  <c r="F8" i="140"/>
  <c r="H8" i="140"/>
  <c r="I15" i="140"/>
  <c r="J8" i="140" s="1"/>
  <c r="J7" i="140"/>
  <c r="H7" i="138"/>
  <c r="H7" i="136"/>
  <c r="F7" i="136"/>
  <c r="D15" i="136"/>
  <c r="H7" i="168"/>
  <c r="D15" i="168"/>
  <c r="F7" i="168"/>
  <c r="J7" i="180"/>
  <c r="I15" i="180"/>
  <c r="J8" i="180" s="1"/>
  <c r="H7" i="160"/>
  <c r="F7" i="160"/>
  <c r="D15" i="160"/>
  <c r="F7" i="140"/>
  <c r="F7" i="186"/>
  <c r="H7" i="186"/>
  <c r="D15" i="186"/>
  <c r="H7" i="134"/>
  <c r="F7" i="134"/>
  <c r="D15" i="134"/>
  <c r="J7" i="174"/>
  <c r="I15" i="174"/>
  <c r="J8" i="174" s="1"/>
  <c r="J7" i="170"/>
  <c r="I15" i="170"/>
  <c r="J8" i="170" s="1"/>
  <c r="F7" i="164"/>
  <c r="D15" i="164"/>
  <c r="H7" i="164"/>
  <c r="D15" i="128"/>
  <c r="H7" i="128"/>
  <c r="F7" i="128"/>
  <c r="J7" i="160"/>
  <c r="I15" i="160"/>
  <c r="J8" i="160" s="1"/>
  <c r="H7" i="188"/>
  <c r="D15" i="182"/>
  <c r="H7" i="182"/>
  <c r="F7" i="182"/>
  <c r="D15" i="142"/>
  <c r="F7" i="142"/>
  <c r="H7" i="142"/>
  <c r="D15" i="166"/>
  <c r="H7" i="166"/>
  <c r="F7" i="166"/>
  <c r="I15" i="156"/>
  <c r="J8" i="156" s="1"/>
  <c r="J7" i="156"/>
  <c r="F7" i="148"/>
  <c r="D15" i="148"/>
  <c r="H7" i="148"/>
  <c r="I15" i="166"/>
  <c r="J8" i="166" s="1"/>
  <c r="J7" i="166"/>
  <c r="H8" i="188"/>
  <c r="F8" i="188"/>
  <c r="F7" i="2"/>
  <c r="H7" i="2"/>
  <c r="D15" i="2"/>
  <c r="H7" i="140"/>
  <c r="F7" i="188"/>
  <c r="H7" i="170"/>
  <c r="F7" i="170"/>
  <c r="D15" i="170"/>
  <c r="D15" i="184"/>
  <c r="H7" i="184"/>
  <c r="F7" i="184"/>
  <c r="I15" i="172"/>
  <c r="J8" i="172" s="1"/>
  <c r="J7" i="172"/>
  <c r="F6" i="128"/>
  <c r="D15" i="132"/>
  <c r="F7" i="132"/>
  <c r="H7" i="132"/>
  <c r="I15" i="188"/>
  <c r="J8" i="188" s="1"/>
  <c r="J7" i="188"/>
  <c r="I15" i="164"/>
  <c r="J8" i="164" s="1"/>
  <c r="J7" i="164"/>
  <c r="D15" i="152"/>
  <c r="H7" i="152"/>
  <c r="F7" i="152"/>
  <c r="H7" i="150"/>
  <c r="J7" i="144"/>
  <c r="I15" i="144"/>
  <c r="J8" i="144" s="1"/>
  <c r="I15" i="182"/>
  <c r="J8" i="182" s="1"/>
  <c r="J7" i="182"/>
  <c r="H7" i="154"/>
  <c r="D15" i="154"/>
  <c r="F7" i="154"/>
  <c r="F15" i="130"/>
  <c r="H7" i="130"/>
  <c r="F7" i="130"/>
  <c r="H6" i="128"/>
  <c r="H8" i="152" l="1"/>
  <c r="F8" i="152"/>
  <c r="H8" i="142"/>
  <c r="F8" i="142"/>
  <c r="H8" i="172"/>
  <c r="F8" i="172"/>
  <c r="H8" i="130"/>
  <c r="F8" i="130"/>
  <c r="F8" i="154"/>
  <c r="H8" i="154"/>
  <c r="H8" i="148"/>
  <c r="F8" i="148"/>
  <c r="F8" i="134"/>
  <c r="H8" i="134"/>
  <c r="H8" i="180"/>
  <c r="F8" i="180"/>
  <c r="H8" i="174"/>
  <c r="F8" i="174"/>
  <c r="H8" i="146"/>
  <c r="F8" i="146"/>
  <c r="F8" i="170"/>
  <c r="H8" i="170"/>
  <c r="F8" i="182"/>
  <c r="H8" i="182"/>
  <c r="H8" i="168"/>
  <c r="F8" i="168"/>
  <c r="H8" i="160"/>
  <c r="F8" i="160"/>
  <c r="H8" i="158"/>
  <c r="F8" i="158"/>
  <c r="H8" i="132"/>
  <c r="F8" i="132"/>
  <c r="H8" i="2"/>
  <c r="F8" i="2"/>
  <c r="F8" i="184"/>
  <c r="H8" i="184"/>
  <c r="F8" i="162"/>
  <c r="H8" i="162"/>
  <c r="H8" i="186"/>
  <c r="F8" i="186"/>
  <c r="H8" i="136"/>
  <c r="F8" i="136"/>
  <c r="H8" i="166"/>
  <c r="F8" i="166"/>
  <c r="F8" i="128"/>
  <c r="H8" i="128"/>
  <c r="F8" i="164"/>
  <c r="H8" i="164"/>
</calcChain>
</file>

<file path=xl/sharedStrings.xml><?xml version="1.0" encoding="utf-8"?>
<sst xmlns="http://schemas.openxmlformats.org/spreadsheetml/2006/main" count="4955" uniqueCount="197">
  <si>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</si>
  <si>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</si>
  <si>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</si>
  <si>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</si>
  <si>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</si>
  <si>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</si>
  <si>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</si>
  <si>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</si>
  <si>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</si>
  <si>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</si>
  <si>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</si>
  <si>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</si>
  <si>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</si>
  <si>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</si>
  <si>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</si>
  <si>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</si>
  <si>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</si>
  <si>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</si>
  <si>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</si>
  <si>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</si>
  <si>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</si>
  <si>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</si>
  <si>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</si>
  <si>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</si>
  <si>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</si>
  <si>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</si>
  <si>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</si>
  <si>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</si>
  <si>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</si>
  <si>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</si>
  <si>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</si>
  <si>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</si>
  <si>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</si>
  <si>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</si>
  <si>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</si>
  <si>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</si>
  <si>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</si>
  <si>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</si>
  <si>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</si>
  <si>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</si>
  <si>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</si>
  <si>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</si>
  <si>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</si>
  <si>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</si>
  <si>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</si>
  <si>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</si>
  <si>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</si>
  <si>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</si>
  <si>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</si>
  <si>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</si>
  <si>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</si>
  <si>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</si>
  <si>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</si>
  <si>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</si>
  <si>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</si>
  <si>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</si>
  <si>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</si>
  <si>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</si>
  <si>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</si>
  <si>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</si>
  <si>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</si>
  <si>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</si>
  <si>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</si>
  <si>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</si>
  <si>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</si>
  <si>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</si>
  <si>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</si>
  <si>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</si>
  <si>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</si>
  <si>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</si>
  <si>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</si>
  <si>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</si>
  <si>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</si>
  <si>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</si>
  <si>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</si>
  <si>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</si>
  <si>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</si>
  <si>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</si>
  <si>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</si>
  <si>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</si>
  <si>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</si>
  <si>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</si>
  <si>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</si>
  <si>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</si>
  <si>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</si>
  <si>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</si>
  <si>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</si>
  <si>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</si>
  <si>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</si>
  <si>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</si>
  <si>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</si>
  <si>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</si>
  <si>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</si>
  <si>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</si>
  <si>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</si>
  <si>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</si>
  <si>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</si>
  <si>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</si>
  <si>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</si>
  <si>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</si>
  <si>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</si>
  <si>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</si>
  <si>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</si>
  <si>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</si>
  <si>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</si>
  <si>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</si>
  <si>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</si>
  <si>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</si>
  <si>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</si>
  <si>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</si>
  <si>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</si>
  <si>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</si>
  <si>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10月1日  星期四</t>
  </si>
  <si>
    <t>白酒清炒鮮蛤義大利麵</t>
  </si>
  <si>
    <t>香煎魚排佐檸檬奶油義大利麵</t>
  </si>
  <si>
    <t>奶油培根義大利麵</t>
  </si>
  <si>
    <t>青醬蛤蜊義大利麵</t>
  </si>
  <si>
    <t>義式蕃茄起司義大利麵</t>
  </si>
  <si>
    <t>燻鴨佐白蘭地義大利麵</t>
  </si>
  <si>
    <t>拿坡里燻腸義大利麵</t>
  </si>
  <si>
    <t>熱乾麵</t>
  </si>
  <si>
    <t>青花椒麻雞肉拌麵</t>
  </si>
  <si>
    <t>府城鹽水意麵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</si>
  <si>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</si>
  <si>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</si>
  <si>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</si>
  <si>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</si>
  <si>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</si>
  <si>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</si>
  <si>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生產數量少</t>
  </si>
  <si>
    <t>麻辣雞心</t>
  </si>
  <si>
    <t>番茄蘑菇義大利麵</t>
  </si>
  <si>
    <t>蕃茄莎莎海鮮冷義大利麵</t>
  </si>
  <si>
    <t>10月2日  星期五</t>
  </si>
  <si>
    <t>10:00-10:26封膜異常</t>
  </si>
  <si>
    <t>10月3日  星期六</t>
  </si>
  <si>
    <t>10月4日  星期日</t>
  </si>
  <si>
    <t>10月5日  星期一</t>
  </si>
  <si>
    <t>10月6日  星期二</t>
  </si>
  <si>
    <t>10月7日  星期三</t>
  </si>
  <si>
    <t>10月8日  星期四</t>
  </si>
  <si>
    <t>10月9日  星期五</t>
  </si>
  <si>
    <t>10月10日  星期六</t>
  </si>
  <si>
    <t>10月11日  星期日</t>
  </si>
  <si>
    <t>10月12日  星期一</t>
  </si>
  <si>
    <t>10月13日  星期二</t>
  </si>
  <si>
    <t>10月14日  星期三</t>
  </si>
  <si>
    <t>10月15日  星期四</t>
  </si>
  <si>
    <t>10月16日  星期五</t>
  </si>
  <si>
    <t>10月17日  星期六</t>
  </si>
  <si>
    <t>10月18日  星期日</t>
  </si>
  <si>
    <t>10月19日  星期一</t>
  </si>
  <si>
    <t>10月20日  星期二</t>
  </si>
  <si>
    <t>10月21日  星期三</t>
  </si>
  <si>
    <t>10月22日  星期四</t>
  </si>
  <si>
    <t>10月23日  星期五</t>
  </si>
  <si>
    <t>10月24日  星期六</t>
  </si>
  <si>
    <t>10月25日  星期日</t>
  </si>
  <si>
    <t>10月26日  星期一</t>
  </si>
  <si>
    <t>10月27日  星期二</t>
  </si>
  <si>
    <t>check</t>
  </si>
  <si>
    <t>類別</t>
  </si>
  <si>
    <t>4度C</t>
  </si>
  <si>
    <t>奶油鮮蝦明太子細扁麵</t>
  </si>
  <si>
    <t>金沙豆腐義大利麵</t>
  </si>
  <si>
    <t>羅馬黑胡椒起司義大利麵</t>
  </si>
  <si>
    <t>義式蛋蛋青醬鮪魚冷義大利麵</t>
  </si>
  <si>
    <t>沙茶豬肉炒麵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</si>
  <si>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</si>
  <si>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</si>
  <si>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</si>
  <si>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</si>
  <si>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</si>
  <si>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</si>
  <si>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</si>
  <si>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</si>
  <si>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</si>
  <si>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10月29日  星期四</t>
  </si>
  <si>
    <t>10月30日  星期五</t>
  </si>
  <si>
    <t>10月31日  星期六</t>
  </si>
  <si>
    <t>10月28日  星期三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</si>
  <si>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</si>
  <si>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</si>
  <si>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</si>
  <si>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</si>
  <si>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</si>
  <si>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</si>
  <si>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</si>
  <si>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</si>
  <si>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</si>
  <si>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</si>
  <si>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</si>
  <si>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</si>
  <si>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</si>
  <si>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</si>
  <si>
    <t>八爪機異常改手工作業+5人</t>
    <phoneticPr fontId="8" type="noConversion"/>
  </si>
  <si>
    <t>生產數量少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</si>
</sst>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491">
    <xf numFmtId="0" fontId="0" fillId="0" borderId="0" xfId="0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178" fontId="9" fillId="0" borderId="0" xfId="28" applyNumberFormat="1" applyFont="1" applyBorder="1" applyAlignment="1">
      <alignment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10" applyFont="1">
      <alignment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9" fontId="18" fillId="0" borderId="1" xfId="2" applyNumberFormat="1" applyFont="1" applyBorder="1" applyAlignment="1">
      <alignment horizontal="center" vertical="center"/>
    </xf>
    <xf numFmtId="180" fontId="18" fillId="0" borderId="9" xfId="29" applyNumberFormat="1" applyFont="1" applyBorder="1" applyAlignment="1">
      <alignment horizontal="center" vertical="center"/>
    </xf>
    <xf numFmtId="180" fontId="18" fillId="0" borderId="9" xfId="29" applyNumberFormat="1" applyFont="1" applyFill="1" applyBorder="1" applyAlignment="1">
      <alignment horizontal="center" vertical="center"/>
    </xf>
    <xf numFmtId="20" fontId="19" fillId="0" borderId="1" xfId="2" applyNumberFormat="1" applyFont="1" applyBorder="1" applyAlignment="1">
      <alignment horizontal="center" vertical="center"/>
    </xf>
    <xf numFmtId="181" fontId="19" fillId="0" borderId="12" xfId="20" applyNumberFormat="1" applyFont="1" applyBorder="1" applyAlignment="1">
      <alignment horizontal="center" vertical="center"/>
    </xf>
    <xf numFmtId="20" fontId="19" fillId="0" borderId="11" xfId="2" applyNumberFormat="1" applyFont="1" applyBorder="1" applyAlignment="1">
      <alignment horizontal="center" vertical="center"/>
    </xf>
    <xf numFmtId="20" fontId="19" fillId="0" borderId="1" xfId="20" applyNumberFormat="1" applyFont="1" applyBorder="1" applyAlignment="1">
      <alignment horizontal="center" vertical="center"/>
    </xf>
    <xf numFmtId="20" fontId="8" fillId="0" borderId="11" xfId="14" applyNumberFormat="1" applyFont="1" applyBorder="1" applyAlignment="1">
      <alignment horizontal="center" vertical="center"/>
    </xf>
    <xf numFmtId="20" fontId="8" fillId="6" borderId="11" xfId="14" applyNumberFormat="1" applyFont="1" applyFill="1" applyBorder="1" applyAlignment="1">
      <alignment horizontal="center" vertical="center"/>
    </xf>
    <xf numFmtId="20" fontId="19" fillId="0" borderId="13" xfId="20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13" xfId="20" applyFont="1" applyBorder="1">
      <alignment vertical="center"/>
    </xf>
    <xf numFmtId="0" fontId="21" fillId="0" borderId="13" xfId="20" applyFont="1" applyBorder="1" applyAlignment="1">
      <alignment horizontal="left" vertical="center"/>
    </xf>
    <xf numFmtId="178" fontId="22" fillId="7" borderId="13" xfId="24" applyNumberFormat="1" applyFont="1" applyFill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/>
    </xf>
    <xf numFmtId="43" fontId="21" fillId="0" borderId="13" xfId="24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1" fontId="21" fillId="0" borderId="13" xfId="20" applyNumberFormat="1" applyFont="1" applyBorder="1" applyAlignment="1">
      <alignment horizontal="center" vertical="center"/>
    </xf>
    <xf numFmtId="0" fontId="19" fillId="0" borderId="0" xfId="20" applyFont="1">
      <alignment vertical="center"/>
    </xf>
    <xf numFmtId="179" fontId="21" fillId="0" borderId="13" xfId="20" applyNumberFormat="1" applyFont="1" applyBorder="1" applyAlignment="1">
      <alignment horizontal="center" vertical="center"/>
    </xf>
    <xf numFmtId="179" fontId="24" fillId="0" borderId="13" xfId="20" applyNumberFormat="1" applyFont="1" applyBorder="1" applyAlignment="1">
      <alignment horizontal="center" vertical="center" wrapText="1"/>
    </xf>
    <xf numFmtId="2" fontId="21" fillId="0" borderId="13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0" borderId="17" xfId="19" applyFont="1" applyBorder="1" applyAlignment="1">
      <alignment horizontal="center"/>
    </xf>
    <xf numFmtId="0" fontId="19" fillId="0" borderId="18" xfId="20" applyFont="1" applyBorder="1" applyAlignment="1">
      <alignment horizontal="center"/>
    </xf>
    <xf numFmtId="0" fontId="19" fillId="0" borderId="18" xfId="19" applyFont="1" applyBorder="1" applyAlignment="1"/>
    <xf numFmtId="1" fontId="19" fillId="0" borderId="19" xfId="20" applyNumberFormat="1" applyFont="1" applyBorder="1" applyAlignment="1">
      <alignment horizontal="center" vertical="center"/>
    </xf>
    <xf numFmtId="43" fontId="19" fillId="0" borderId="20" xfId="24" applyFont="1" applyBorder="1" applyAlignment="1">
      <alignment horizontal="center" vertical="center"/>
    </xf>
    <xf numFmtId="0" fontId="19" fillId="0" borderId="20" xfId="20" applyFont="1" applyBorder="1" applyAlignment="1">
      <alignment horizontal="center" vertical="center" wrapText="1"/>
    </xf>
    <xf numFmtId="1" fontId="19" fillId="3" borderId="20" xfId="20" applyNumberFormat="1" applyFont="1" applyFill="1" applyBorder="1" applyAlignment="1">
      <alignment horizontal="center" vertical="center"/>
    </xf>
    <xf numFmtId="1" fontId="19" fillId="0" borderId="20" xfId="20" applyNumberFormat="1" applyFont="1" applyBorder="1" applyAlignment="1">
      <alignment horizontal="center" vertical="center"/>
    </xf>
    <xf numFmtId="179" fontId="19" fillId="0" borderId="20" xfId="20" applyNumberFormat="1" applyFont="1" applyBorder="1" applyAlignment="1">
      <alignment horizontal="center" vertical="center"/>
    </xf>
    <xf numFmtId="0" fontId="19" fillId="3" borderId="20" xfId="20" applyFont="1" applyFill="1" applyBorder="1" applyAlignment="1">
      <alignment horizontal="center" vertical="center"/>
    </xf>
    <xf numFmtId="182" fontId="19" fillId="0" borderId="20" xfId="20" applyNumberFormat="1" applyFont="1" applyBorder="1" applyAlignment="1">
      <alignment horizontal="center" vertical="center"/>
    </xf>
    <xf numFmtId="183" fontId="19" fillId="0" borderId="20" xfId="20" applyNumberFormat="1" applyFont="1" applyBorder="1" applyAlignment="1">
      <alignment horizontal="center" vertical="center"/>
    </xf>
    <xf numFmtId="180" fontId="19" fillId="0" borderId="20" xfId="34" applyNumberFormat="1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0" fontId="19" fillId="0" borderId="22" xfId="20" applyFont="1" applyBorder="1">
      <alignment vertical="center"/>
    </xf>
    <xf numFmtId="0" fontId="19" fillId="0" borderId="21" xfId="20" applyFont="1" applyBorder="1" applyAlignment="1">
      <alignment horizontal="center" vertical="center" wrapText="1"/>
    </xf>
    <xf numFmtId="0" fontId="19" fillId="0" borderId="21" xfId="20" applyFont="1" applyBorder="1" applyAlignment="1">
      <alignment horizontal="center" vertical="center"/>
    </xf>
    <xf numFmtId="182" fontId="19" fillId="0" borderId="21" xfId="20" applyNumberFormat="1" applyFont="1" applyBorder="1" applyAlignment="1">
      <alignment horizontal="center" vertical="center"/>
    </xf>
    <xf numFmtId="0" fontId="19" fillId="0" borderId="25" xfId="19" applyFont="1" applyBorder="1" applyAlignment="1">
      <alignment horizontal="center"/>
    </xf>
    <xf numFmtId="0" fontId="19" fillId="0" borderId="26" xfId="20" applyFont="1" applyBorder="1" applyAlignment="1">
      <alignment horizontal="center"/>
    </xf>
    <xf numFmtId="0" fontId="19" fillId="0" borderId="27" xfId="19" applyFont="1" applyBorder="1" applyAlignment="1"/>
    <xf numFmtId="0" fontId="19" fillId="0" borderId="28" xfId="19" applyFont="1" applyBorder="1" applyAlignment="1"/>
    <xf numFmtId="0" fontId="19" fillId="0" borderId="29" xfId="19" applyFont="1" applyBorder="1" applyAlignment="1">
      <alignment horizontal="center"/>
    </xf>
    <xf numFmtId="1" fontId="19" fillId="0" borderId="30" xfId="20" applyNumberFormat="1" applyFont="1" applyBorder="1" applyAlignment="1">
      <alignment horizontal="center" vertical="center"/>
    </xf>
    <xf numFmtId="43" fontId="19" fillId="0" borderId="31" xfId="24" applyFont="1" applyBorder="1" applyAlignment="1">
      <alignment horizontal="center" vertical="center"/>
    </xf>
    <xf numFmtId="0" fontId="19" fillId="0" borderId="31" xfId="20" applyFont="1" applyBorder="1" applyAlignment="1">
      <alignment horizontal="center" vertical="center" wrapText="1"/>
    </xf>
    <xf numFmtId="1" fontId="19" fillId="3" borderId="31" xfId="20" applyNumberFormat="1" applyFont="1" applyFill="1" applyBorder="1" applyAlignment="1">
      <alignment horizontal="center" vertical="center"/>
    </xf>
    <xf numFmtId="1" fontId="19" fillId="0" borderId="31" xfId="20" applyNumberFormat="1" applyFont="1" applyBorder="1" applyAlignment="1">
      <alignment horizontal="center" vertical="center"/>
    </xf>
    <xf numFmtId="179" fontId="19" fillId="0" borderId="31" xfId="20" applyNumberFormat="1" applyFont="1" applyBorder="1" applyAlignment="1">
      <alignment horizontal="center" vertical="center"/>
    </xf>
    <xf numFmtId="0" fontId="19" fillId="3" borderId="31" xfId="20" applyFont="1" applyFill="1" applyBorder="1" applyAlignment="1">
      <alignment horizontal="center" vertical="center"/>
    </xf>
    <xf numFmtId="182" fontId="19" fillId="0" borderId="31" xfId="20" applyNumberFormat="1" applyFont="1" applyBorder="1" applyAlignment="1">
      <alignment horizontal="center" vertical="center"/>
    </xf>
    <xf numFmtId="183" fontId="19" fillId="0" borderId="31" xfId="20" applyNumberFormat="1" applyFont="1" applyBorder="1" applyAlignment="1">
      <alignment horizontal="center" vertical="center"/>
    </xf>
    <xf numFmtId="180" fontId="19" fillId="0" borderId="3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 wrapText="1"/>
    </xf>
    <xf numFmtId="182" fontId="19" fillId="0" borderId="13" xfId="20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center"/>
    </xf>
    <xf numFmtId="0" fontId="19" fillId="0" borderId="33" xfId="20" applyFont="1" applyBorder="1" applyAlignment="1">
      <alignment horizontal="center"/>
    </xf>
    <xf numFmtId="0" fontId="19" fillId="0" borderId="33" xfId="19" applyFont="1" applyBorder="1" applyAlignment="1"/>
    <xf numFmtId="43" fontId="19" fillId="0" borderId="13" xfId="24" applyFont="1" applyBorder="1" applyAlignment="1">
      <alignment horizontal="center" vertical="center"/>
    </xf>
    <xf numFmtId="1" fontId="19" fillId="3" borderId="13" xfId="20" applyNumberFormat="1" applyFont="1" applyFill="1" applyBorder="1" applyAlignment="1">
      <alignment horizontal="center" vertical="center"/>
    </xf>
    <xf numFmtId="1" fontId="19" fillId="0" borderId="13" xfId="20" applyNumberFormat="1" applyFont="1" applyBorder="1" applyAlignment="1">
      <alignment horizontal="center" vertical="center"/>
    </xf>
    <xf numFmtId="179" fontId="19" fillId="0" borderId="13" xfId="20" applyNumberFormat="1" applyFont="1" applyBorder="1" applyAlignment="1">
      <alignment horizontal="center" vertical="center"/>
    </xf>
    <xf numFmtId="0" fontId="19" fillId="3" borderId="13" xfId="20" applyFont="1" applyFill="1" applyBorder="1" applyAlignment="1">
      <alignment horizontal="center" vertical="center"/>
    </xf>
    <xf numFmtId="183" fontId="19" fillId="0" borderId="13" xfId="20" applyNumberFormat="1" applyFont="1" applyBorder="1" applyAlignment="1">
      <alignment horizontal="center" vertical="center"/>
    </xf>
    <xf numFmtId="20" fontId="19" fillId="0" borderId="27" xfId="20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/>
    </xf>
    <xf numFmtId="0" fontId="19" fillId="0" borderId="30" xfId="19" applyFont="1" applyBorder="1" applyAlignment="1"/>
    <xf numFmtId="0" fontId="19" fillId="0" borderId="37" xfId="20" applyFont="1" applyBorder="1" applyAlignment="1">
      <alignment horizontal="center"/>
    </xf>
    <xf numFmtId="0" fontId="19" fillId="0" borderId="38" xfId="19" applyFont="1" applyBorder="1" applyAlignment="1"/>
    <xf numFmtId="184" fontId="19" fillId="0" borderId="1" xfId="20" applyNumberFormat="1" applyFont="1" applyBorder="1" applyAlignment="1">
      <alignment horizontal="center" vertical="center"/>
    </xf>
    <xf numFmtId="43" fontId="19" fillId="0" borderId="1" xfId="2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179" fontId="19" fillId="0" borderId="30" xfId="20" applyNumberFormat="1" applyFont="1" applyBorder="1" applyAlignment="1">
      <alignment horizontal="center" vertical="center"/>
    </xf>
    <xf numFmtId="0" fontId="19" fillId="3" borderId="1" xfId="20" applyFont="1" applyFill="1" applyBorder="1" applyAlignment="1">
      <alignment horizontal="center" vertical="center"/>
    </xf>
    <xf numFmtId="1" fontId="19" fillId="0" borderId="1" xfId="20" applyNumberFormat="1" applyFont="1" applyBorder="1" applyAlignment="1">
      <alignment horizontal="center" vertical="center"/>
    </xf>
    <xf numFmtId="179" fontId="19" fillId="0" borderId="1" xfId="20" applyNumberFormat="1" applyFont="1" applyBorder="1" applyAlignment="1">
      <alignment horizontal="center" vertical="center"/>
    </xf>
    <xf numFmtId="182" fontId="19" fillId="0" borderId="1" xfId="20" applyNumberFormat="1" applyFont="1" applyBorder="1" applyAlignment="1">
      <alignment horizontal="center" vertical="center"/>
    </xf>
    <xf numFmtId="183" fontId="19" fillId="0" borderId="1" xfId="20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0" fontId="19" fillId="0" borderId="30" xfId="20" applyFont="1" applyBorder="1" applyAlignment="1">
      <alignment horizontal="center" vertical="center" wrapText="1"/>
    </xf>
    <xf numFmtId="0" fontId="19" fillId="0" borderId="39" xfId="20" applyFont="1" applyBorder="1" applyAlignment="1">
      <alignment horizontal="center" vertical="center"/>
    </xf>
    <xf numFmtId="0" fontId="19" fillId="0" borderId="40" xfId="20" applyFont="1" applyBorder="1" applyAlignment="1">
      <alignment horizontal="center" vertical="center"/>
    </xf>
    <xf numFmtId="0" fontId="19" fillId="0" borderId="41" xfId="19" applyFont="1" applyBorder="1" applyAlignment="1"/>
    <xf numFmtId="0" fontId="19" fillId="0" borderId="39" xfId="19" applyFont="1" applyBorder="1" applyAlignment="1"/>
    <xf numFmtId="0" fontId="19" fillId="0" borderId="30" xfId="19" applyFont="1" applyBorder="1" applyAlignment="1">
      <alignment horizontal="center"/>
    </xf>
    <xf numFmtId="1" fontId="19" fillId="3" borderId="14" xfId="20" applyNumberFormat="1" applyFont="1" applyFill="1" applyBorder="1" applyAlignment="1">
      <alignment horizontal="center" vertical="center"/>
    </xf>
    <xf numFmtId="1" fontId="19" fillId="0" borderId="14" xfId="20" applyNumberFormat="1" applyFont="1" applyBorder="1" applyAlignment="1">
      <alignment horizontal="center" vertical="center"/>
    </xf>
    <xf numFmtId="0" fontId="19" fillId="3" borderId="14" xfId="20" applyFont="1" applyFill="1" applyBorder="1" applyAlignment="1">
      <alignment horizontal="center" vertical="center"/>
    </xf>
    <xf numFmtId="181" fontId="19" fillId="0" borderId="14" xfId="20" applyNumberFormat="1" applyFont="1" applyBorder="1" applyAlignment="1">
      <alignment horizontal="center" vertical="center"/>
    </xf>
    <xf numFmtId="20" fontId="19" fillId="0" borderId="14" xfId="20" applyNumberFormat="1" applyFont="1" applyBorder="1" applyAlignment="1">
      <alignment horizontal="center" vertical="center"/>
    </xf>
    <xf numFmtId="182" fontId="19" fillId="0" borderId="14" xfId="20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1" fontId="8" fillId="6" borderId="1" xfId="14" applyNumberFormat="1" applyFont="1" applyFill="1" applyBorder="1" applyAlignment="1">
      <alignment horizontal="center" vertical="center"/>
    </xf>
    <xf numFmtId="181" fontId="8" fillId="6" borderId="11" xfId="14" applyNumberFormat="1" applyFont="1" applyFill="1" applyBorder="1" applyAlignment="1">
      <alignment horizontal="center" vertical="center"/>
    </xf>
    <xf numFmtId="0" fontId="19" fillId="0" borderId="43" xfId="20" applyFont="1" applyBorder="1" applyAlignment="1">
      <alignment horizontal="center"/>
    </xf>
    <xf numFmtId="0" fontId="19" fillId="11" borderId="44" xfId="20" applyFont="1" applyFill="1" applyBorder="1" applyAlignment="1">
      <alignment horizontal="center"/>
    </xf>
    <xf numFmtId="179" fontId="19" fillId="11" borderId="44" xfId="20" applyNumberFormat="1" applyFont="1" applyFill="1" applyBorder="1" applyAlignment="1">
      <alignment horizontal="center" vertical="center"/>
    </xf>
    <xf numFmtId="43" fontId="19" fillId="11" borderId="44" xfId="24" applyFont="1" applyFill="1" applyBorder="1" applyAlignment="1">
      <alignment horizontal="center" vertical="center"/>
    </xf>
    <xf numFmtId="0" fontId="19" fillId="11" borderId="44" xfId="20" applyFont="1" applyFill="1" applyBorder="1" applyAlignment="1">
      <alignment horizontal="center" vertical="center"/>
    </xf>
    <xf numFmtId="1" fontId="19" fillId="11" borderId="44" xfId="20" applyNumberFormat="1" applyFont="1" applyFill="1" applyBorder="1" applyAlignment="1">
      <alignment horizontal="center" vertical="center"/>
    </xf>
    <xf numFmtId="182" fontId="19" fillId="0" borderId="44" xfId="20" applyNumberFormat="1" applyFont="1" applyBorder="1" applyAlignment="1">
      <alignment horizontal="center" vertical="center"/>
    </xf>
    <xf numFmtId="183" fontId="19" fillId="0" borderId="44" xfId="20" applyNumberFormat="1" applyFont="1" applyBorder="1" applyAlignment="1">
      <alignment horizontal="center" vertical="center"/>
    </xf>
    <xf numFmtId="180" fontId="19" fillId="0" borderId="44" xfId="34" applyNumberFormat="1" applyFont="1" applyFill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181" fontId="19" fillId="0" borderId="4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 vertical="center"/>
    </xf>
    <xf numFmtId="0" fontId="19" fillId="0" borderId="43" xfId="20" applyFont="1" applyBorder="1" applyAlignment="1">
      <alignment horizontal="center" vertical="center" wrapText="1"/>
    </xf>
    <xf numFmtId="179" fontId="19" fillId="0" borderId="44" xfId="20" applyNumberFormat="1" applyFont="1" applyBorder="1" applyAlignment="1">
      <alignment horizontal="center" vertical="center"/>
    </xf>
    <xf numFmtId="0" fontId="19" fillId="0" borderId="46" xfId="19" applyFont="1" applyBorder="1" applyAlignment="1">
      <alignment horizontal="center"/>
    </xf>
    <xf numFmtId="0" fontId="19" fillId="0" borderId="47" xfId="20" applyFont="1" applyBorder="1" applyAlignment="1">
      <alignment horizontal="center"/>
    </xf>
    <xf numFmtId="0" fontId="19" fillId="0" borderId="48" xfId="19" applyFont="1" applyBorder="1" applyAlignment="1"/>
    <xf numFmtId="0" fontId="19" fillId="0" borderId="49" xfId="19" applyFont="1" applyBorder="1" applyAlignment="1"/>
    <xf numFmtId="184" fontId="19" fillId="0" borderId="17" xfId="2" applyNumberFormat="1" applyFont="1" applyBorder="1" applyAlignment="1">
      <alignment horizontal="center" vertical="center"/>
    </xf>
    <xf numFmtId="43" fontId="19" fillId="0" borderId="17" xfId="24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1" fontId="19" fillId="3" borderId="21" xfId="20" applyNumberFormat="1" applyFont="1" applyFill="1" applyBorder="1" applyAlignment="1">
      <alignment horizontal="center" vertical="center"/>
    </xf>
    <xf numFmtId="1" fontId="19" fillId="0" borderId="21" xfId="20" applyNumberFormat="1" applyFont="1" applyBorder="1" applyAlignment="1">
      <alignment horizontal="center" vertical="center"/>
    </xf>
    <xf numFmtId="179" fontId="19" fillId="0" borderId="21" xfId="20" applyNumberFormat="1" applyFont="1" applyBorder="1" applyAlignment="1">
      <alignment horizontal="center" vertical="center"/>
    </xf>
    <xf numFmtId="1" fontId="19" fillId="3" borderId="17" xfId="20" applyNumberFormat="1" applyFont="1" applyFill="1" applyBorder="1" applyAlignment="1">
      <alignment horizontal="center" vertical="center"/>
    </xf>
    <xf numFmtId="1" fontId="19" fillId="0" borderId="17" xfId="20" applyNumberFormat="1" applyFont="1" applyBorder="1" applyAlignment="1">
      <alignment horizontal="center" vertical="center"/>
    </xf>
    <xf numFmtId="179" fontId="19" fillId="0" borderId="17" xfId="20" applyNumberFormat="1" applyFont="1" applyBorder="1" applyAlignment="1">
      <alignment horizontal="center" vertical="center"/>
    </xf>
    <xf numFmtId="182" fontId="19" fillId="0" borderId="17" xfId="20" applyNumberFormat="1" applyFont="1" applyBorder="1" applyAlignment="1">
      <alignment horizontal="center" vertical="center"/>
    </xf>
    <xf numFmtId="183" fontId="19" fillId="0" borderId="17" xfId="20" applyNumberFormat="1" applyFont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20" fontId="19" fillId="0" borderId="17" xfId="20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184" fontId="19" fillId="0" borderId="1" xfId="2" applyNumberFormat="1" applyFont="1" applyBorder="1" applyAlignment="1">
      <alignment horizontal="center" vertical="center"/>
    </xf>
    <xf numFmtId="1" fontId="19" fillId="3" borderId="1" xfId="20" applyNumberFormat="1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181" fontId="19" fillId="0" borderId="1" xfId="20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/>
    </xf>
    <xf numFmtId="0" fontId="17" fillId="0" borderId="50" xfId="2" applyFont="1" applyBorder="1" applyAlignment="1">
      <alignment horizontal="center" vertical="center"/>
    </xf>
    <xf numFmtId="0" fontId="19" fillId="11" borderId="50" xfId="20" applyFont="1" applyFill="1" applyBorder="1" applyAlignment="1">
      <alignment horizontal="center"/>
    </xf>
    <xf numFmtId="1" fontId="19" fillId="11" borderId="50" xfId="20" applyNumberFormat="1" applyFont="1" applyFill="1" applyBorder="1" applyAlignment="1">
      <alignment horizontal="center" vertical="center"/>
    </xf>
    <xf numFmtId="43" fontId="19" fillId="11" borderId="50" xfId="24" applyFont="1" applyFill="1" applyBorder="1" applyAlignment="1">
      <alignment horizontal="center" vertical="center"/>
    </xf>
    <xf numFmtId="0" fontId="19" fillId="11" borderId="50" xfId="20" applyFont="1" applyFill="1" applyBorder="1" applyAlignment="1">
      <alignment horizontal="center" vertical="center"/>
    </xf>
    <xf numFmtId="179" fontId="19" fillId="11" borderId="50" xfId="20" applyNumberFormat="1" applyFont="1" applyFill="1" applyBorder="1" applyAlignment="1">
      <alignment horizontal="center" vertical="center"/>
    </xf>
    <xf numFmtId="182" fontId="19" fillId="0" borderId="50" xfId="20" applyNumberFormat="1" applyFont="1" applyBorder="1" applyAlignment="1">
      <alignment horizontal="center" vertical="center"/>
    </xf>
    <xf numFmtId="183" fontId="19" fillId="0" borderId="50" xfId="20" applyNumberFormat="1" applyFont="1" applyBorder="1" applyAlignment="1">
      <alignment horizontal="center" vertical="center"/>
    </xf>
    <xf numFmtId="180" fontId="19" fillId="0" borderId="50" xfId="34" applyNumberFormat="1" applyFont="1" applyFill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181" fontId="19" fillId="0" borderId="50" xfId="20" applyNumberFormat="1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1" fontId="19" fillId="0" borderId="50" xfId="20" applyNumberFormat="1" applyFont="1" applyBorder="1" applyAlignment="1">
      <alignment horizontal="center" vertical="center"/>
    </xf>
    <xf numFmtId="179" fontId="19" fillId="0" borderId="50" xfId="20" applyNumberFormat="1" applyFont="1" applyBorder="1" applyAlignment="1">
      <alignment horizontal="center" vertical="center"/>
    </xf>
    <xf numFmtId="0" fontId="19" fillId="0" borderId="52" xfId="19" applyFont="1" applyBorder="1" applyAlignment="1">
      <alignment horizontal="center"/>
    </xf>
    <xf numFmtId="0" fontId="19" fillId="0" borderId="53" xfId="19" applyFont="1" applyBorder="1" applyAlignment="1"/>
    <xf numFmtId="184" fontId="19" fillId="0" borderId="17" xfId="20" applyNumberFormat="1" applyFont="1" applyBorder="1" applyAlignment="1">
      <alignment horizontal="center" vertical="center"/>
    </xf>
    <xf numFmtId="0" fontId="19" fillId="3" borderId="17" xfId="20" applyFont="1" applyFill="1" applyBorder="1" applyAlignment="1">
      <alignment horizontal="center" vertical="center"/>
    </xf>
    <xf numFmtId="20" fontId="19" fillId="0" borderId="17" xfId="2" applyNumberFormat="1" applyFont="1" applyBorder="1" applyAlignment="1">
      <alignment horizontal="center" vertical="center"/>
    </xf>
    <xf numFmtId="180" fontId="19" fillId="0" borderId="55" xfId="34" applyNumberFormat="1" applyFont="1" applyBorder="1" applyAlignment="1">
      <alignment horizontal="center" vertical="center"/>
    </xf>
    <xf numFmtId="0" fontId="19" fillId="0" borderId="41" xfId="20" applyFont="1" applyBorder="1" applyAlignment="1">
      <alignment horizontal="center"/>
    </xf>
    <xf numFmtId="20" fontId="19" fillId="0" borderId="1" xfId="19" applyNumberFormat="1" applyFont="1" applyBorder="1" applyAlignment="1">
      <alignment horizontal="center" vertical="center"/>
    </xf>
    <xf numFmtId="0" fontId="19" fillId="0" borderId="58" xfId="19" applyFont="1" applyBorder="1" applyAlignment="1"/>
    <xf numFmtId="0" fontId="19" fillId="0" borderId="3" xfId="19" applyFont="1" applyBorder="1" applyAlignment="1"/>
    <xf numFmtId="0" fontId="19" fillId="0" borderId="58" xfId="20" applyFont="1" applyBorder="1" applyAlignment="1">
      <alignment horizontal="center" vertical="center"/>
    </xf>
    <xf numFmtId="0" fontId="19" fillId="0" borderId="60" xfId="19" applyFont="1" applyBorder="1" applyAlignment="1"/>
    <xf numFmtId="0" fontId="19" fillId="0" borderId="61" xfId="20" applyFont="1" applyBorder="1" applyAlignment="1">
      <alignment horizontal="center" vertical="center"/>
    </xf>
    <xf numFmtId="182" fontId="19" fillId="0" borderId="9" xfId="20" applyNumberFormat="1" applyFont="1" applyBorder="1" applyAlignment="1">
      <alignment horizontal="center" vertical="center"/>
    </xf>
    <xf numFmtId="183" fontId="19" fillId="0" borderId="9" xfId="20" applyNumberFormat="1" applyFont="1" applyBorder="1" applyAlignment="1">
      <alignment horizontal="center" vertical="center"/>
    </xf>
    <xf numFmtId="0" fontId="19" fillId="0" borderId="9" xfId="20" applyFont="1" applyBorder="1" applyAlignment="1">
      <alignment horizontal="center" vertical="center"/>
    </xf>
    <xf numFmtId="20" fontId="19" fillId="0" borderId="9" xfId="20" applyNumberFormat="1" applyFont="1" applyBorder="1" applyAlignment="1">
      <alignment horizontal="center" vertical="center"/>
    </xf>
    <xf numFmtId="0" fontId="19" fillId="0" borderId="55" xfId="19" applyFont="1" applyBorder="1" applyAlignment="1"/>
    <xf numFmtId="0" fontId="19" fillId="0" borderId="22" xfId="19" applyFont="1" applyBorder="1" applyAlignment="1"/>
    <xf numFmtId="184" fontId="8" fillId="0" borderId="17" xfId="2" applyNumberFormat="1" applyFont="1" applyBorder="1" applyAlignment="1">
      <alignment horizontal="center" vertical="center"/>
    </xf>
    <xf numFmtId="1" fontId="19" fillId="3" borderId="64" xfId="20" applyNumberFormat="1" applyFont="1" applyFill="1" applyBorder="1" applyAlignment="1">
      <alignment horizontal="center" vertical="center"/>
    </xf>
    <xf numFmtId="1" fontId="19" fillId="0" borderId="54" xfId="20" applyNumberFormat="1" applyFont="1" applyBorder="1" applyAlignment="1">
      <alignment horizontal="center" vertical="center"/>
    </xf>
    <xf numFmtId="179" fontId="19" fillId="0" borderId="65" xfId="20" applyNumberFormat="1" applyFont="1" applyBorder="1" applyAlignment="1">
      <alignment horizontal="center" vertical="center"/>
    </xf>
    <xf numFmtId="0" fontId="19" fillId="3" borderId="66" xfId="20" applyFont="1" applyFill="1" applyBorder="1" applyAlignment="1">
      <alignment horizontal="center" vertical="center"/>
    </xf>
    <xf numFmtId="20" fontId="8" fillId="0" borderId="17" xfId="1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0" fontId="8" fillId="0" borderId="17" xfId="20" applyFont="1" applyBorder="1" applyAlignment="1">
      <alignment horizontal="center" vertical="center" wrapText="1"/>
    </xf>
    <xf numFmtId="179" fontId="8" fillId="0" borderId="17" xfId="14" applyNumberFormat="1" applyFont="1" applyBorder="1" applyAlignment="1">
      <alignment horizontal="center" vertical="center"/>
    </xf>
    <xf numFmtId="180" fontId="8" fillId="0" borderId="17" xfId="33" applyNumberFormat="1" applyFont="1" applyBorder="1" applyAlignment="1">
      <alignment horizontal="center" vertical="center"/>
    </xf>
    <xf numFmtId="0" fontId="8" fillId="0" borderId="0" xfId="14" applyFont="1">
      <alignment vertical="center"/>
    </xf>
    <xf numFmtId="0" fontId="19" fillId="0" borderId="2" xfId="20" applyFont="1" applyBorder="1" applyAlignment="1">
      <alignment horizontal="center"/>
    </xf>
    <xf numFmtId="0" fontId="19" fillId="0" borderId="2" xfId="19" applyFont="1" applyBorder="1" applyAlignment="1"/>
    <xf numFmtId="184" fontId="8" fillId="0" borderId="1" xfId="2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1" fontId="8" fillId="3" borderId="1" xfId="14" applyNumberFormat="1" applyFont="1" applyFill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/>
    </xf>
    <xf numFmtId="179" fontId="8" fillId="0" borderId="1" xfId="1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" xfId="20" applyFont="1" applyBorder="1" applyAlignment="1">
      <alignment horizontal="center" vertical="center" wrapText="1"/>
    </xf>
    <xf numFmtId="180" fontId="8" fillId="0" borderId="1" xfId="33" applyNumberFormat="1" applyFont="1" applyBorder="1" applyAlignment="1">
      <alignment horizontal="center" vertical="center"/>
    </xf>
    <xf numFmtId="0" fontId="19" fillId="0" borderId="72" xfId="19" applyFont="1" applyBorder="1" applyAlignment="1">
      <alignment horizontal="center"/>
    </xf>
    <xf numFmtId="20" fontId="8" fillId="0" borderId="1" xfId="6" applyNumberFormat="1" applyFont="1" applyBorder="1" applyAlignment="1">
      <alignment horizontal="center" vertical="center"/>
    </xf>
    <xf numFmtId="20" fontId="8" fillId="0" borderId="2" xfId="6" applyNumberFormat="1" applyFont="1" applyBorder="1" applyAlignment="1">
      <alignment horizontal="center" vertical="center"/>
    </xf>
    <xf numFmtId="20" fontId="8" fillId="0" borderId="1" xfId="14" applyNumberFormat="1" applyFont="1" applyBorder="1" applyAlignment="1">
      <alignment horizontal="center" vertical="center"/>
    </xf>
    <xf numFmtId="179" fontId="8" fillId="0" borderId="7" xfId="14" applyNumberFormat="1" applyFont="1" applyBorder="1" applyAlignment="1">
      <alignment horizontal="center" vertical="center"/>
    </xf>
    <xf numFmtId="179" fontId="8" fillId="0" borderId="2" xfId="14" applyNumberFormat="1" applyFont="1" applyBorder="1" applyAlignment="1">
      <alignment horizontal="center" vertical="center"/>
    </xf>
    <xf numFmtId="182" fontId="8" fillId="0" borderId="4" xfId="14" applyNumberFormat="1" applyFont="1" applyBorder="1" applyAlignment="1">
      <alignment horizontal="center" vertical="center"/>
    </xf>
    <xf numFmtId="0" fontId="19" fillId="0" borderId="74" xfId="20" applyFont="1" applyBorder="1" applyAlignment="1">
      <alignment horizontal="center" vertical="center"/>
    </xf>
    <xf numFmtId="43" fontId="8" fillId="0" borderId="1" xfId="24" applyFont="1" applyBorder="1" applyAlignment="1">
      <alignment horizontal="center" vertical="center"/>
    </xf>
    <xf numFmtId="181" fontId="8" fillId="0" borderId="11" xfId="14" applyNumberFormat="1" applyFont="1" applyBorder="1" applyAlignment="1">
      <alignment horizontal="center" vertical="center"/>
    </xf>
    <xf numFmtId="0" fontId="19" fillId="0" borderId="62" xfId="20" applyFont="1" applyBorder="1" applyAlignment="1">
      <alignment horizontal="center" vertical="center"/>
    </xf>
    <xf numFmtId="181" fontId="8" fillId="0" borderId="1" xfId="14" applyNumberFormat="1" applyFont="1" applyBorder="1" applyAlignment="1">
      <alignment horizontal="center" vertical="center"/>
    </xf>
    <xf numFmtId="0" fontId="19" fillId="0" borderId="76" xfId="20" applyFont="1" applyBorder="1" applyAlignment="1">
      <alignment horizontal="center"/>
    </xf>
    <xf numFmtId="184" fontId="19" fillId="11" borderId="50" xfId="20" applyNumberFormat="1" applyFont="1" applyFill="1" applyBorder="1" applyAlignment="1">
      <alignment horizontal="center" vertical="center"/>
    </xf>
    <xf numFmtId="182" fontId="19" fillId="0" borderId="77" xfId="20" applyNumberFormat="1" applyFont="1" applyBorder="1" applyAlignment="1">
      <alignment horizontal="center" vertical="center"/>
    </xf>
    <xf numFmtId="183" fontId="19" fillId="0" borderId="78" xfId="20" applyNumberFormat="1" applyFont="1" applyBorder="1" applyAlignment="1">
      <alignment horizontal="center" vertical="center"/>
    </xf>
    <xf numFmtId="180" fontId="19" fillId="0" borderId="78" xfId="34" applyNumberFormat="1" applyFont="1" applyFill="1" applyBorder="1" applyAlignment="1">
      <alignment horizontal="center" vertical="center"/>
    </xf>
    <xf numFmtId="181" fontId="19" fillId="0" borderId="78" xfId="20" applyNumberFormat="1" applyFont="1" applyBorder="1" applyAlignment="1">
      <alignment horizontal="center" vertical="center"/>
    </xf>
    <xf numFmtId="0" fontId="19" fillId="0" borderId="78" xfId="20" applyFont="1" applyBorder="1" applyAlignment="1">
      <alignment horizontal="center" vertical="center"/>
    </xf>
    <xf numFmtId="0" fontId="8" fillId="0" borderId="50" xfId="20" applyFont="1" applyBorder="1" applyAlignment="1">
      <alignment horizontal="center" vertical="center" wrapText="1"/>
    </xf>
    <xf numFmtId="20" fontId="19" fillId="0" borderId="78" xfId="20" applyNumberFormat="1" applyFont="1" applyBorder="1" applyAlignment="1">
      <alignment horizontal="center" vertical="center"/>
    </xf>
    <xf numFmtId="1" fontId="8" fillId="0" borderId="17" xfId="14" applyNumberFormat="1" applyFont="1" applyBorder="1" applyAlignment="1">
      <alignment horizontal="center" vertical="center"/>
    </xf>
    <xf numFmtId="182" fontId="19" fillId="0" borderId="49" xfId="20" applyNumberFormat="1" applyFont="1" applyBorder="1" applyAlignment="1">
      <alignment horizontal="center" vertical="center"/>
    </xf>
    <xf numFmtId="183" fontId="19" fillId="0" borderId="21" xfId="20" applyNumberFormat="1" applyFont="1" applyBorder="1" applyAlignment="1">
      <alignment horizontal="center" vertical="center"/>
    </xf>
    <xf numFmtId="43" fontId="19" fillId="0" borderId="34" xfId="24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/>
    </xf>
    <xf numFmtId="0" fontId="19" fillId="3" borderId="60" xfId="20" applyFont="1" applyFill="1" applyBorder="1" applyAlignment="1">
      <alignment horizontal="center" vertical="center"/>
    </xf>
    <xf numFmtId="1" fontId="19" fillId="0" borderId="34" xfId="20" applyNumberFormat="1" applyFont="1" applyBorder="1" applyAlignment="1">
      <alignment horizontal="center" vertical="center"/>
    </xf>
    <xf numFmtId="179" fontId="19" fillId="0" borderId="34" xfId="20" applyNumberFormat="1" applyFont="1" applyBorder="1" applyAlignment="1">
      <alignment horizontal="center" vertical="center"/>
    </xf>
    <xf numFmtId="0" fontId="19" fillId="6" borderId="13" xfId="20" applyFont="1" applyFill="1" applyBorder="1" applyAlignment="1">
      <alignment horizontal="center" vertical="center" wrapText="1"/>
    </xf>
    <xf numFmtId="0" fontId="19" fillId="6" borderId="13" xfId="20" applyFont="1" applyFill="1" applyBorder="1" applyAlignment="1">
      <alignment horizontal="center" vertical="center"/>
    </xf>
    <xf numFmtId="179" fontId="19" fillId="0" borderId="1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/>
    </xf>
    <xf numFmtId="1" fontId="19" fillId="11" borderId="78" xfId="20" applyNumberFormat="1" applyFont="1" applyFill="1" applyBorder="1" applyAlignment="1">
      <alignment horizontal="center" vertical="center"/>
    </xf>
    <xf numFmtId="181" fontId="8" fillId="0" borderId="83" xfId="14" applyNumberFormat="1" applyFont="1" applyBorder="1" applyAlignment="1">
      <alignment horizontal="center" vertical="center"/>
    </xf>
    <xf numFmtId="1" fontId="19" fillId="0" borderId="44" xfId="20" applyNumberFormat="1" applyFont="1" applyBorder="1" applyAlignment="1">
      <alignment horizontal="center" vertical="center"/>
    </xf>
    <xf numFmtId="43" fontId="19" fillId="0" borderId="21" xfId="24" applyFont="1" applyBorder="1" applyAlignment="1">
      <alignment horizontal="center" vertical="center"/>
    </xf>
    <xf numFmtId="0" fontId="19" fillId="3" borderId="21" xfId="20" applyFont="1" applyFill="1" applyBorder="1" applyAlignment="1">
      <alignment horizontal="center" vertical="center"/>
    </xf>
    <xf numFmtId="20" fontId="19" fillId="0" borderId="21" xfId="20" applyNumberFormat="1" applyFont="1" applyBorder="1" applyAlignment="1">
      <alignment horizontal="center" vertical="center"/>
    </xf>
    <xf numFmtId="180" fontId="19" fillId="0" borderId="54" xfId="34" applyNumberFormat="1" applyFont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 wrapText="1"/>
    </xf>
    <xf numFmtId="180" fontId="19" fillId="0" borderId="12" xfId="34" applyNumberFormat="1" applyFont="1" applyBorder="1" applyAlignment="1">
      <alignment horizontal="center" vertical="center"/>
    </xf>
    <xf numFmtId="0" fontId="19" fillId="0" borderId="9" xfId="19" applyFont="1" applyBorder="1" applyAlignment="1">
      <alignment horizontal="center"/>
    </xf>
    <xf numFmtId="0" fontId="19" fillId="0" borderId="40" xfId="20" applyFont="1" applyBorder="1" applyAlignment="1">
      <alignment horizontal="center"/>
    </xf>
    <xf numFmtId="0" fontId="19" fillId="0" borderId="37" xfId="19" applyFont="1" applyBorder="1" applyAlignment="1"/>
    <xf numFmtId="0" fontId="19" fillId="0" borderId="40" xfId="19" applyFont="1" applyBorder="1" applyAlignment="1"/>
    <xf numFmtId="43" fontId="19" fillId="0" borderId="14" xfId="24" applyFont="1" applyBorder="1" applyAlignment="1">
      <alignment horizontal="center" vertical="center"/>
    </xf>
    <xf numFmtId="183" fontId="19" fillId="0" borderId="14" xfId="20" applyNumberFormat="1" applyFont="1" applyBorder="1" applyAlignment="1">
      <alignment horizontal="center" vertical="center"/>
    </xf>
    <xf numFmtId="0" fontId="19" fillId="0" borderId="87" xfId="20" applyFont="1" applyBorder="1" applyAlignment="1">
      <alignment horizontal="center" vertical="center" wrapText="1"/>
    </xf>
    <xf numFmtId="0" fontId="19" fillId="0" borderId="88" xfId="19" applyFont="1" applyBorder="1" applyAlignment="1"/>
    <xf numFmtId="0" fontId="19" fillId="0" borderId="89" xfId="19" applyFont="1" applyBorder="1" applyAlignment="1">
      <alignment horizontal="center"/>
    </xf>
    <xf numFmtId="0" fontId="19" fillId="0" borderId="73" xfId="19" applyFont="1" applyBorder="1" applyAlignment="1"/>
    <xf numFmtId="0" fontId="19" fillId="0" borderId="31" xfId="20" applyFont="1" applyBorder="1" applyAlignment="1">
      <alignment horizontal="center" vertical="center"/>
    </xf>
    <xf numFmtId="20" fontId="19" fillId="0" borderId="13" xfId="19" applyNumberFormat="1" applyFont="1" applyBorder="1" applyAlignment="1">
      <alignment horizontal="center" vertical="center"/>
    </xf>
    <xf numFmtId="180" fontId="19" fillId="0" borderId="27" xfId="34" applyNumberFormat="1" applyFont="1" applyBorder="1" applyAlignment="1">
      <alignment horizontal="center" vertical="center"/>
    </xf>
    <xf numFmtId="181" fontId="19" fillId="0" borderId="13" xfId="20" applyNumberFormat="1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1" fontId="19" fillId="0" borderId="90" xfId="20" applyNumberFormat="1" applyFont="1" applyBorder="1" applyAlignment="1">
      <alignment horizontal="center" vertical="center"/>
    </xf>
    <xf numFmtId="179" fontId="19" fillId="0" borderId="91" xfId="20" applyNumberFormat="1" applyFont="1" applyBorder="1" applyAlignment="1">
      <alignment horizontal="center" vertical="center"/>
    </xf>
    <xf numFmtId="0" fontId="19" fillId="11" borderId="78" xfId="20" applyFont="1" applyFill="1" applyBorder="1" applyAlignment="1">
      <alignment horizontal="center" vertical="center"/>
    </xf>
    <xf numFmtId="179" fontId="19" fillId="11" borderId="78" xfId="20" applyNumberFormat="1" applyFont="1" applyFill="1" applyBorder="1" applyAlignment="1">
      <alignment horizontal="center" vertical="center"/>
    </xf>
    <xf numFmtId="182" fontId="19" fillId="0" borderId="78" xfId="20" applyNumberFormat="1" applyFont="1" applyBorder="1" applyAlignment="1">
      <alignment horizontal="center" vertical="center"/>
    </xf>
    <xf numFmtId="20" fontId="19" fillId="0" borderId="54" xfId="20" applyNumberFormat="1" applyFont="1" applyBorder="1" applyAlignment="1">
      <alignment horizontal="center" vertical="center"/>
    </xf>
    <xf numFmtId="20" fontId="19" fillId="0" borderId="85" xfId="20" applyNumberFormat="1" applyFont="1" applyBorder="1" applyAlignment="1">
      <alignment horizontal="center" vertical="center"/>
    </xf>
    <xf numFmtId="20" fontId="19" fillId="0" borderId="34" xfId="20" applyNumberFormat="1" applyFont="1" applyBorder="1" applyAlignment="1">
      <alignment horizontal="center" vertical="center"/>
    </xf>
    <xf numFmtId="184" fontId="19" fillId="0" borderId="9" xfId="20" applyNumberFormat="1" applyFont="1" applyBorder="1" applyAlignment="1">
      <alignment horizontal="center" vertical="center"/>
    </xf>
    <xf numFmtId="1" fontId="19" fillId="3" borderId="27" xfId="20" applyNumberFormat="1" applyFont="1" applyFill="1" applyBorder="1" applyAlignment="1">
      <alignment horizontal="center" vertical="center"/>
    </xf>
    <xf numFmtId="1" fontId="19" fillId="3" borderId="9" xfId="20" applyNumberFormat="1" applyFont="1" applyFill="1" applyBorder="1" applyAlignment="1">
      <alignment horizontal="center" vertical="center"/>
    </xf>
    <xf numFmtId="1" fontId="19" fillId="0" borderId="9" xfId="20" applyNumberFormat="1" applyFont="1" applyBorder="1" applyAlignment="1">
      <alignment horizontal="center" vertical="center"/>
    </xf>
    <xf numFmtId="179" fontId="19" fillId="0" borderId="9" xfId="20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20" fontId="19" fillId="0" borderId="87" xfId="20" applyNumberFormat="1" applyFont="1" applyBorder="1" applyAlignment="1">
      <alignment horizontal="center" vertical="center"/>
    </xf>
    <xf numFmtId="180" fontId="19" fillId="0" borderId="94" xfId="34" applyNumberFormat="1" applyFont="1" applyBorder="1" applyAlignment="1">
      <alignment horizontal="center" vertical="center"/>
    </xf>
    <xf numFmtId="20" fontId="19" fillId="0" borderId="14" xfId="19" applyNumberFormat="1" applyFont="1" applyBorder="1" applyAlignment="1">
      <alignment horizontal="center" vertical="center"/>
    </xf>
    <xf numFmtId="43" fontId="19" fillId="11" borderId="78" xfId="24" applyFont="1" applyFill="1" applyBorder="1" applyAlignment="1">
      <alignment horizontal="center" vertical="center"/>
    </xf>
    <xf numFmtId="0" fontId="19" fillId="0" borderId="0" xfId="20" applyFont="1" applyAlignment="1">
      <alignment vertical="center" wrapText="1"/>
    </xf>
    <xf numFmtId="0" fontId="19" fillId="0" borderId="1" xfId="20" applyFont="1" applyBorder="1">
      <alignment vertical="center"/>
    </xf>
    <xf numFmtId="0" fontId="19" fillId="0" borderId="0" xfId="19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8" fillId="0" borderId="0" xfId="14" applyFont="1" applyAlignment="1">
      <alignment horizontal="center"/>
    </xf>
    <xf numFmtId="20" fontId="19" fillId="0" borderId="58" xfId="20" applyNumberFormat="1" applyFont="1" applyBorder="1" applyAlignment="1">
      <alignment horizontal="center" vertical="center"/>
    </xf>
    <xf numFmtId="20" fontId="19" fillId="0" borderId="41" xfId="20" applyNumberFormat="1" applyFont="1" applyBorder="1" applyAlignment="1">
      <alignment horizontal="center" vertical="center"/>
    </xf>
    <xf numFmtId="0" fontId="19" fillId="0" borderId="48" xfId="20" applyFont="1" applyBorder="1" applyAlignment="1">
      <alignment horizontal="center" vertical="center"/>
    </xf>
    <xf numFmtId="20" fontId="19" fillId="0" borderId="27" xfId="19" applyNumberFormat="1" applyFont="1" applyBorder="1" applyAlignment="1">
      <alignment horizontal="center" vertical="center"/>
    </xf>
    <xf numFmtId="20" fontId="19" fillId="0" borderId="55" xfId="20" applyNumberFormat="1" applyFont="1" applyBorder="1" applyAlignment="1">
      <alignment horizontal="center" vertical="center"/>
    </xf>
    <xf numFmtId="20" fontId="19" fillId="0" borderId="70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 wrapText="1"/>
    </xf>
    <xf numFmtId="179" fontId="19" fillId="0" borderId="76" xfId="20" applyNumberFormat="1" applyFont="1" applyBorder="1" applyAlignment="1">
      <alignment horizontal="center" vertical="center"/>
    </xf>
    <xf numFmtId="179" fontId="19" fillId="0" borderId="67" xfId="20" applyNumberFormat="1" applyFont="1" applyBorder="1" applyAlignment="1">
      <alignment horizontal="center" vertical="center"/>
    </xf>
    <xf numFmtId="20" fontId="19" fillId="0" borderId="2" xfId="20" applyNumberFormat="1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/>
    </xf>
    <xf numFmtId="179" fontId="19" fillId="0" borderId="99" xfId="20" applyNumberFormat="1" applyFont="1" applyBorder="1" applyAlignment="1">
      <alignment horizontal="center" vertical="center"/>
    </xf>
    <xf numFmtId="0" fontId="19" fillId="0" borderId="67" xfId="20" applyFont="1" applyBorder="1" applyAlignment="1">
      <alignment horizontal="center" vertical="center"/>
    </xf>
    <xf numFmtId="20" fontId="19" fillId="0" borderId="2" xfId="19" applyNumberFormat="1" applyFont="1" applyBorder="1" applyAlignment="1">
      <alignment horizontal="center" vertical="center"/>
    </xf>
    <xf numFmtId="179" fontId="8" fillId="0" borderId="100" xfId="14" applyNumberFormat="1" applyFont="1" applyBorder="1" applyAlignment="1">
      <alignment horizontal="center" vertical="center"/>
    </xf>
    <xf numFmtId="20" fontId="19" fillId="0" borderId="101" xfId="20" applyNumberFormat="1" applyFont="1" applyBorder="1" applyAlignment="1">
      <alignment horizontal="center" vertical="center"/>
    </xf>
    <xf numFmtId="20" fontId="19" fillId="0" borderId="37" xfId="20" applyNumberFormat="1" applyFont="1" applyBorder="1" applyAlignment="1">
      <alignment horizontal="center" vertical="center"/>
    </xf>
    <xf numFmtId="179" fontId="19" fillId="0" borderId="58" xfId="20" applyNumberFormat="1" applyFont="1" applyBorder="1" applyAlignment="1">
      <alignment horizontal="center" vertical="center"/>
    </xf>
    <xf numFmtId="20" fontId="19" fillId="0" borderId="41" xfId="19" applyNumberFormat="1" applyFont="1" applyBorder="1" applyAlignment="1">
      <alignment horizontal="center" vertical="center"/>
    </xf>
    <xf numFmtId="182" fontId="19" fillId="0" borderId="30" xfId="20" applyNumberFormat="1" applyFont="1" applyBorder="1" applyAlignment="1">
      <alignment horizontal="center" vertical="center"/>
    </xf>
    <xf numFmtId="182" fontId="19" fillId="0" borderId="39" xfId="20" applyNumberFormat="1" applyFont="1" applyBorder="1" applyAlignment="1">
      <alignment horizontal="center" vertical="center"/>
    </xf>
    <xf numFmtId="182" fontId="19" fillId="0" borderId="43" xfId="20" applyNumberFormat="1" applyFont="1" applyBorder="1" applyAlignment="1">
      <alignment horizontal="center" vertical="center"/>
    </xf>
    <xf numFmtId="182" fontId="19" fillId="0" borderId="46" xfId="20" applyNumberFormat="1" applyFont="1" applyBorder="1" applyAlignment="1">
      <alignment horizontal="center" vertical="center"/>
    </xf>
    <xf numFmtId="182" fontId="19" fillId="0" borderId="3" xfId="20" applyNumberFormat="1" applyFont="1" applyBorder="1" applyAlignment="1">
      <alignment horizontal="center" vertical="center"/>
    </xf>
    <xf numFmtId="182" fontId="19" fillId="0" borderId="96" xfId="20" applyNumberFormat="1" applyFont="1" applyBorder="1" applyAlignment="1">
      <alignment horizontal="center" vertical="center"/>
    </xf>
    <xf numFmtId="182" fontId="8" fillId="0" borderId="102" xfId="14" applyNumberFormat="1" applyFont="1" applyBorder="1" applyAlignment="1">
      <alignment horizontal="center" vertical="center"/>
    </xf>
    <xf numFmtId="182" fontId="8" fillId="0" borderId="3" xfId="14" applyNumberFormat="1" applyFont="1" applyBorder="1" applyAlignment="1">
      <alignment horizontal="center" vertical="center"/>
    </xf>
    <xf numFmtId="182" fontId="19" fillId="0" borderId="103" xfId="20" applyNumberFormat="1" applyFont="1" applyBorder="1" applyAlignment="1">
      <alignment horizontal="center" vertical="center"/>
    </xf>
    <xf numFmtId="182" fontId="19" fillId="0" borderId="97" xfId="20" applyNumberFormat="1" applyFont="1" applyBorder="1" applyAlignment="1">
      <alignment horizontal="center" vertical="center"/>
    </xf>
    <xf numFmtId="182" fontId="19" fillId="0" borderId="60" xfId="20" applyNumberFormat="1" applyFont="1" applyBorder="1" applyAlignment="1">
      <alignment horizontal="center" vertical="center"/>
    </xf>
    <xf numFmtId="182" fontId="19" fillId="0" borderId="104" xfId="20" applyNumberFormat="1" applyFont="1" applyBorder="1" applyAlignment="1">
      <alignment horizontal="center" vertical="center"/>
    </xf>
    <xf numFmtId="20" fontId="8" fillId="6" borderId="105" xfId="14" applyNumberFormat="1" applyFont="1" applyFill="1" applyBorder="1" applyAlignment="1">
      <alignment horizontal="center" vertical="center"/>
    </xf>
    <xf numFmtId="20" fontId="8" fillId="6" borderId="98" xfId="14" applyNumberFormat="1" applyFont="1" applyFill="1" applyBorder="1" applyAlignment="1">
      <alignment horizontal="center" vertical="center"/>
    </xf>
    <xf numFmtId="20" fontId="19" fillId="0" borderId="50" xfId="20" applyNumberFormat="1" applyFont="1" applyBorder="1" applyAlignment="1">
      <alignment horizontal="center" vertical="center"/>
    </xf>
    <xf numFmtId="20" fontId="19" fillId="0" borderId="99" xfId="20" applyNumberFormat="1" applyFont="1" applyBorder="1" applyAlignment="1">
      <alignment horizontal="center" vertical="center"/>
    </xf>
    <xf numFmtId="0" fontId="19" fillId="8" borderId="50" xfId="20" applyFont="1" applyFill="1" applyBorder="1" applyAlignment="1">
      <alignment horizontal="center" vertical="center"/>
    </xf>
    <xf numFmtId="9" fontId="19" fillId="8" borderId="50" xfId="29" applyFont="1" applyFill="1" applyBorder="1" applyAlignment="1">
      <alignment horizontal="center" vertical="center"/>
    </xf>
    <xf numFmtId="0" fontId="22" fillId="0" borderId="72" xfId="20" applyFont="1" applyBorder="1" applyAlignment="1">
      <alignment horizontal="center" vertical="center" wrapText="1"/>
    </xf>
    <xf numFmtId="0" fontId="22" fillId="0" borderId="15" xfId="20" applyFont="1" applyBorder="1" applyAlignment="1">
      <alignment horizontal="center" vertical="center"/>
    </xf>
    <xf numFmtId="20" fontId="19" fillId="0" borderId="10" xfId="2" applyNumberFormat="1" applyFont="1" applyBorder="1" applyAlignment="1">
      <alignment horizontal="center" vertical="center"/>
    </xf>
    <xf numFmtId="20" fontId="8" fillId="0" borderId="10" xfId="14" applyNumberFormat="1" applyFont="1" applyBorder="1" applyAlignment="1">
      <alignment horizontal="center" vertical="center"/>
    </xf>
    <xf numFmtId="20" fontId="8" fillId="6" borderId="10" xfId="14" applyNumberFormat="1" applyFont="1" applyFill="1" applyBorder="1" applyAlignment="1">
      <alignment horizontal="center" vertical="center"/>
    </xf>
    <xf numFmtId="0" fontId="17" fillId="14" borderId="1" xfId="10" applyFont="1" applyFill="1" applyBorder="1" applyAlignment="1">
      <alignment horizontal="center" vertical="center"/>
    </xf>
    <xf numFmtId="20" fontId="19" fillId="14" borderId="1" xfId="2" applyNumberFormat="1" applyFont="1" applyFill="1" applyBorder="1" applyAlignment="1">
      <alignment horizontal="center" vertical="center"/>
    </xf>
    <xf numFmtId="20" fontId="19" fillId="14" borderId="1" xfId="20" applyNumberFormat="1" applyFont="1" applyFill="1" applyBorder="1" applyAlignment="1">
      <alignment horizontal="center" vertical="center"/>
    </xf>
    <xf numFmtId="20" fontId="8" fillId="14" borderId="1" xfId="14" applyNumberFormat="1" applyFont="1" applyFill="1" applyBorder="1" applyAlignment="1">
      <alignment horizontal="center" vertical="center"/>
    </xf>
    <xf numFmtId="184" fontId="19" fillId="8" borderId="50" xfId="20" applyNumberFormat="1" applyFont="1" applyFill="1" applyBorder="1" applyAlignment="1">
      <alignment horizontal="center" vertical="center"/>
    </xf>
    <xf numFmtId="184" fontId="19" fillId="0" borderId="1" xfId="19" applyNumberFormat="1" applyFont="1" applyBorder="1" applyAlignment="1">
      <alignment horizontal="center" vertical="center"/>
    </xf>
    <xf numFmtId="184" fontId="8" fillId="0" borderId="17" xfId="14" applyNumberFormat="1" applyFont="1" applyBorder="1" applyAlignment="1">
      <alignment horizontal="center" vertical="center"/>
    </xf>
    <xf numFmtId="184" fontId="8" fillId="0" borderId="1" xfId="6" applyNumberFormat="1" applyFont="1" applyBorder="1" applyAlignment="1">
      <alignment horizontal="center" vertical="center"/>
    </xf>
    <xf numFmtId="184" fontId="8" fillId="0" borderId="1" xfId="14" applyNumberFormat="1" applyFont="1" applyBorder="1" applyAlignment="1">
      <alignment horizontal="center" vertical="center"/>
    </xf>
    <xf numFmtId="184" fontId="23" fillId="0" borderId="14" xfId="20" applyNumberFormat="1" applyFont="1" applyBorder="1" applyAlignment="1">
      <alignment horizontal="center" vertical="center"/>
    </xf>
    <xf numFmtId="182" fontId="23" fillId="0" borderId="14" xfId="20" applyNumberFormat="1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8" fillId="0" borderId="41" xfId="20" applyFont="1" applyBorder="1" applyAlignment="1">
      <alignment horizontal="center" vertical="center"/>
    </xf>
    <xf numFmtId="0" fontId="30" fillId="8" borderId="9" xfId="1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32" fillId="0" borderId="0" xfId="1" applyFont="1">
      <alignment vertical="center"/>
    </xf>
    <xf numFmtId="0" fontId="8" fillId="0" borderId="1" xfId="1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8" fillId="0" borderId="0" xfId="1" applyNumberFormat="1" applyFont="1">
      <alignment vertical="center"/>
    </xf>
    <xf numFmtId="0" fontId="8" fillId="0" borderId="0" xfId="1" quotePrefix="1" applyFont="1">
      <alignment vertical="center"/>
    </xf>
    <xf numFmtId="0" fontId="19" fillId="14" borderId="1" xfId="2" applyFont="1" applyFill="1" applyBorder="1" applyAlignment="1">
      <alignment horizontal="center" vertical="center"/>
    </xf>
    <xf numFmtId="0" fontId="19" fillId="14" borderId="1" xfId="20" applyFont="1" applyFill="1" applyBorder="1" applyAlignment="1">
      <alignment horizontal="center" vertical="center"/>
    </xf>
    <xf numFmtId="0" fontId="8" fillId="14" borderId="1" xfId="14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10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86" fontId="10" fillId="2" borderId="1" xfId="10" applyNumberFormat="1" applyFont="1" applyFill="1" applyBorder="1" applyAlignment="1">
      <alignment horizontal="center" vertical="center"/>
    </xf>
    <xf numFmtId="176" fontId="10" fillId="2" borderId="1" xfId="10" applyNumberFormat="1" applyFont="1" applyFill="1" applyBorder="1" applyAlignment="1">
      <alignment horizontal="center" vertical="center"/>
    </xf>
    <xf numFmtId="177" fontId="9" fillId="0" borderId="1" xfId="28" applyNumberFormat="1" applyFont="1" applyBorder="1" applyAlignment="1">
      <alignment horizontal="center" vertical="center"/>
    </xf>
    <xf numFmtId="177" fontId="9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12" fillId="0" borderId="1" xfId="33" applyNumberFormat="1" applyFont="1" applyFill="1" applyBorder="1" applyAlignment="1">
      <alignment horizontal="center" vertical="center"/>
    </xf>
    <xf numFmtId="178" fontId="9" fillId="3" borderId="1" xfId="28" applyNumberFormat="1" applyFont="1" applyFill="1" applyBorder="1" applyAlignment="1">
      <alignment horizontal="center" vertical="center"/>
    </xf>
    <xf numFmtId="178" fontId="9" fillId="4" borderId="1" xfId="28" applyNumberFormat="1" applyFont="1" applyFill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179" fontId="9" fillId="0" borderId="1" xfId="28" applyNumberFormat="1" applyFont="1" applyBorder="1" applyAlignment="1">
      <alignment horizontal="center" vertical="center"/>
    </xf>
    <xf numFmtId="0" fontId="28" fillId="8" borderId="1" xfId="20" applyFont="1" applyFill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1" fontId="29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8" fillId="8" borderId="3" xfId="2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textRotation="255"/>
    </xf>
    <xf numFmtId="0" fontId="8" fillId="0" borderId="10" xfId="2" applyFont="1" applyBorder="1" applyAlignment="1">
      <alignment horizontal="center" vertical="center" textRotation="255"/>
    </xf>
    <xf numFmtId="0" fontId="8" fillId="0" borderId="11" xfId="2" applyFont="1" applyBorder="1" applyAlignment="1">
      <alignment horizontal="center" vertical="center" textRotation="255"/>
    </xf>
    <xf numFmtId="0" fontId="8" fillId="0" borderId="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7" fillId="14" borderId="1" xfId="10" applyFont="1" applyFill="1" applyBorder="1" applyAlignment="1">
      <alignment horizontal="center" vertical="center" wrapText="1"/>
    </xf>
    <xf numFmtId="0" fontId="8" fillId="14" borderId="1" xfId="10" applyFont="1" applyFill="1" applyBorder="1" applyAlignment="1">
      <alignment horizontal="center" vertical="center"/>
    </xf>
    <xf numFmtId="179" fontId="12" fillId="5" borderId="1" xfId="2" applyNumberFormat="1" applyFont="1" applyFill="1" applyBorder="1" applyAlignment="1">
      <alignment horizontal="center" vertical="center"/>
    </xf>
    <xf numFmtId="179" fontId="12" fillId="5" borderId="1" xfId="28" applyNumberFormat="1" applyFont="1" applyFill="1" applyBorder="1" applyAlignment="1">
      <alignment horizontal="center" vertical="center"/>
    </xf>
    <xf numFmtId="0" fontId="19" fillId="3" borderId="16" xfId="20" applyFont="1" applyFill="1" applyBorder="1" applyAlignment="1">
      <alignment horizontal="center" vertical="center" wrapText="1"/>
    </xf>
    <xf numFmtId="0" fontId="19" fillId="3" borderId="24" xfId="20" applyFont="1" applyFill="1" applyBorder="1" applyAlignment="1">
      <alignment horizontal="center" vertical="center"/>
    </xf>
    <xf numFmtId="0" fontId="19" fillId="3" borderId="35" xfId="20" applyFont="1" applyFill="1" applyBorder="1" applyAlignment="1">
      <alignment horizontal="center" vertical="center"/>
    </xf>
    <xf numFmtId="0" fontId="19" fillId="3" borderId="42" xfId="20" applyFont="1" applyFill="1" applyBorder="1" applyAlignment="1">
      <alignment horizontal="center" vertical="center"/>
    </xf>
    <xf numFmtId="0" fontId="8" fillId="9" borderId="13" xfId="20" applyFont="1" applyFill="1" applyBorder="1" applyAlignment="1">
      <alignment horizontal="center" vertical="center"/>
    </xf>
    <xf numFmtId="0" fontId="8" fillId="9" borderId="14" xfId="20" applyFont="1" applyFill="1" applyBorder="1" applyAlignment="1">
      <alignment horizontal="center" vertical="center"/>
    </xf>
    <xf numFmtId="0" fontId="8" fillId="4" borderId="13" xfId="20" applyFont="1" applyFill="1" applyBorder="1" applyAlignment="1">
      <alignment horizontal="center" vertical="center"/>
    </xf>
    <xf numFmtId="0" fontId="8" fillId="4" borderId="14" xfId="20" applyFont="1" applyFill="1" applyBorder="1" applyAlignment="1">
      <alignment horizontal="center" vertical="center"/>
    </xf>
    <xf numFmtId="0" fontId="8" fillId="8" borderId="13" xfId="20" applyFont="1" applyFill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19" fillId="11" borderId="44" xfId="20" applyFont="1" applyFill="1" applyBorder="1" applyAlignment="1"/>
    <xf numFmtId="0" fontId="8" fillId="0" borderId="14" xfId="20" applyFont="1" applyBorder="1" applyAlignment="1">
      <alignment horizontal="center" vertical="center"/>
    </xf>
    <xf numFmtId="0" fontId="8" fillId="0" borderId="15" xfId="20" applyFont="1" applyBorder="1" applyAlignment="1">
      <alignment horizontal="center" vertical="center"/>
    </xf>
    <xf numFmtId="0" fontId="8" fillId="0" borderId="13" xfId="20" applyFont="1" applyBorder="1" applyAlignment="1">
      <alignment horizontal="center" vertical="center" wrapText="1"/>
    </xf>
    <xf numFmtId="0" fontId="8" fillId="0" borderId="14" xfId="20" applyFont="1" applyBorder="1" applyAlignment="1">
      <alignment horizontal="center" vertical="center" wrapText="1"/>
    </xf>
    <xf numFmtId="0" fontId="8" fillId="3" borderId="13" xfId="20" applyFont="1" applyFill="1" applyBorder="1" applyAlignment="1">
      <alignment horizontal="center" vertical="center"/>
    </xf>
    <xf numFmtId="0" fontId="8" fillId="3" borderId="14" xfId="20" applyFont="1" applyFill="1" applyBorder="1" applyAlignment="1">
      <alignment horizontal="center" vertical="center"/>
    </xf>
    <xf numFmtId="14" fontId="21" fillId="0" borderId="13" xfId="20" applyNumberFormat="1" applyFont="1" applyBorder="1" applyAlignment="1">
      <alignment horizontal="left" vertical="center"/>
    </xf>
    <xf numFmtId="0" fontId="19" fillId="0" borderId="13" xfId="20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0" fontId="23" fillId="0" borderId="13" xfId="20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0" fontId="8" fillId="5" borderId="13" xfId="20" applyFont="1" applyFill="1" applyBorder="1" applyAlignment="1">
      <alignment horizontal="center" vertical="center"/>
    </xf>
    <xf numFmtId="0" fontId="8" fillId="5" borderId="14" xfId="20" applyFont="1" applyFill="1" applyBorder="1" applyAlignment="1">
      <alignment horizontal="center" vertical="center"/>
    </xf>
    <xf numFmtId="0" fontId="8" fillId="10" borderId="13" xfId="20" applyFont="1" applyFill="1" applyBorder="1" applyAlignment="1">
      <alignment horizontal="center" vertical="center" wrapText="1"/>
    </xf>
    <xf numFmtId="0" fontId="8" fillId="10" borderId="14" xfId="20" applyFont="1" applyFill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/>
    </xf>
    <xf numFmtId="0" fontId="22" fillId="0" borderId="9" xfId="20" applyFont="1" applyBorder="1" applyAlignment="1">
      <alignment horizontal="center" vertical="center"/>
    </xf>
    <xf numFmtId="0" fontId="19" fillId="9" borderId="30" xfId="20" applyFont="1" applyFill="1" applyBorder="1" applyAlignment="1">
      <alignment horizontal="center" vertical="center"/>
    </xf>
    <xf numFmtId="0" fontId="19" fillId="9" borderId="39" xfId="20" applyFont="1" applyFill="1" applyBorder="1" applyAlignment="1">
      <alignment horizontal="center" vertical="center"/>
    </xf>
    <xf numFmtId="0" fontId="30" fillId="8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horizontal="center" vertical="center"/>
    </xf>
    <xf numFmtId="0" fontId="19" fillId="5" borderId="13" xfId="20" applyFont="1" applyFill="1" applyBorder="1" applyAlignment="1">
      <alignment horizontal="center" vertical="center"/>
    </xf>
    <xf numFmtId="0" fontId="19" fillId="5" borderId="14" xfId="20" applyFont="1" applyFill="1" applyBorder="1" applyAlignment="1">
      <alignment horizontal="center" vertical="center"/>
    </xf>
    <xf numFmtId="0" fontId="19" fillId="10" borderId="13" xfId="20" applyFont="1" applyFill="1" applyBorder="1" applyAlignment="1">
      <alignment horizontal="center" vertical="center" wrapText="1"/>
    </xf>
    <xf numFmtId="0" fontId="19" fillId="10" borderId="14" xfId="20" applyFont="1" applyFill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 wrapText="1"/>
    </xf>
    <xf numFmtId="0" fontId="8" fillId="8" borderId="27" xfId="20" applyFont="1" applyFill="1" applyBorder="1" applyAlignment="1">
      <alignment horizontal="center" vertical="center"/>
    </xf>
    <xf numFmtId="0" fontId="23" fillId="0" borderId="14" xfId="20" applyFont="1" applyBorder="1" applyAlignment="1">
      <alignment horizontal="center" vertical="center"/>
    </xf>
    <xf numFmtId="180" fontId="19" fillId="0" borderId="23" xfId="34" applyNumberFormat="1" applyFont="1" applyBorder="1" applyAlignment="1">
      <alignment horizontal="center" vertical="center"/>
    </xf>
    <xf numFmtId="180" fontId="19" fillId="0" borderId="32" xfId="34" applyNumberFormat="1" applyFont="1" applyBorder="1" applyAlignment="1">
      <alignment horizontal="center" vertical="center"/>
    </xf>
    <xf numFmtId="180" fontId="19" fillId="0" borderId="36" xfId="34" applyNumberFormat="1" applyFont="1" applyBorder="1" applyAlignment="1">
      <alignment horizontal="center" vertical="center"/>
    </xf>
    <xf numFmtId="180" fontId="19" fillId="0" borderId="45" xfId="34" applyNumberFormat="1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0" fontId="19" fillId="0" borderId="1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0" fontId="19" fillId="4" borderId="51" xfId="20" applyFont="1" applyFill="1" applyBorder="1" applyAlignment="1">
      <alignment horizontal="center" vertical="center" wrapText="1"/>
    </xf>
    <xf numFmtId="0" fontId="19" fillId="4" borderId="56" xfId="20" applyFont="1" applyFill="1" applyBorder="1" applyAlignment="1">
      <alignment horizontal="center" vertical="center"/>
    </xf>
    <xf numFmtId="0" fontId="19" fillId="4" borderId="106" xfId="20" applyFont="1" applyFill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0" fontId="19" fillId="11" borderId="107" xfId="20" applyFont="1" applyFill="1" applyBorder="1" applyAlignment="1"/>
    <xf numFmtId="0" fontId="19" fillId="11" borderId="108" xfId="20" applyFont="1" applyFill="1" applyBorder="1" applyAlignment="1"/>
    <xf numFmtId="9" fontId="19" fillId="0" borderId="50" xfId="29" applyFont="1" applyBorder="1" applyAlignment="1">
      <alignment horizontal="center" vertical="center"/>
    </xf>
    <xf numFmtId="0" fontId="19" fillId="10" borderId="16" xfId="20" applyFont="1" applyFill="1" applyBorder="1" applyAlignment="1">
      <alignment horizontal="center" vertical="center" wrapText="1"/>
    </xf>
    <xf numFmtId="0" fontId="19" fillId="10" borderId="24" xfId="20" applyFont="1" applyFill="1" applyBorder="1" applyAlignment="1">
      <alignment horizontal="center" vertical="center"/>
    </xf>
    <xf numFmtId="0" fontId="19" fillId="10" borderId="35" xfId="20" applyFont="1" applyFill="1" applyBorder="1" applyAlignment="1">
      <alignment horizontal="center" vertical="center"/>
    </xf>
    <xf numFmtId="0" fontId="19" fillId="10" borderId="42" xfId="20" applyFont="1" applyFill="1" applyBorder="1" applyAlignment="1">
      <alignment horizontal="center" vertical="center"/>
    </xf>
    <xf numFmtId="180" fontId="19" fillId="0" borderId="57" xfId="34" applyNumberFormat="1" applyFont="1" applyBorder="1" applyAlignment="1">
      <alignment horizontal="center" vertical="center"/>
    </xf>
    <xf numFmtId="180" fontId="19" fillId="0" borderId="59" xfId="34" applyNumberFormat="1" applyFont="1" applyBorder="1" applyAlignment="1">
      <alignment horizontal="center" vertical="center"/>
    </xf>
    <xf numFmtId="180" fontId="8" fillId="0" borderId="68" xfId="33" applyNumberFormat="1" applyFont="1" applyBorder="1" applyAlignment="1">
      <alignment horizontal="center" vertical="center"/>
    </xf>
    <xf numFmtId="180" fontId="8" fillId="0" borderId="71" xfId="33" applyNumberFormat="1" applyFont="1" applyBorder="1" applyAlignment="1">
      <alignment horizontal="center" vertical="center"/>
    </xf>
    <xf numFmtId="180" fontId="8" fillId="0" borderId="79" xfId="33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19" fillId="4" borderId="80" xfId="20" applyFont="1" applyFill="1" applyBorder="1" applyAlignment="1">
      <alignment horizontal="center" vertical="center" wrapText="1"/>
    </xf>
    <xf numFmtId="0" fontId="19" fillId="4" borderId="81" xfId="20" applyFont="1" applyFill="1" applyBorder="1" applyAlignment="1">
      <alignment horizontal="center" vertical="center"/>
    </xf>
    <xf numFmtId="0" fontId="19" fillId="4" borderId="82" xfId="20" applyFont="1" applyFill="1" applyBorder="1" applyAlignment="1">
      <alignment horizontal="center" vertical="center"/>
    </xf>
    <xf numFmtId="0" fontId="27" fillId="12" borderId="63" xfId="14" applyFont="1" applyFill="1" applyBorder="1" applyAlignment="1">
      <alignment horizontal="center" vertical="center" wrapText="1"/>
    </xf>
    <xf numFmtId="0" fontId="27" fillId="12" borderId="69" xfId="14" applyFont="1" applyFill="1" applyBorder="1" applyAlignment="1">
      <alignment horizontal="center" vertical="center" wrapText="1"/>
    </xf>
    <xf numFmtId="0" fontId="27" fillId="12" borderId="75" xfId="14" applyFont="1" applyFill="1" applyBorder="1" applyAlignment="1">
      <alignment horizontal="center" vertical="center" wrapText="1"/>
    </xf>
    <xf numFmtId="180" fontId="19" fillId="0" borderId="49" xfId="3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180" fontId="19" fillId="0" borderId="86" xfId="34" applyNumberFormat="1" applyFont="1" applyBorder="1" applyAlignment="1">
      <alignment horizontal="center" vertical="center"/>
    </xf>
    <xf numFmtId="0" fontId="19" fillId="13" borderId="92" xfId="20" applyFont="1" applyFill="1" applyBorder="1" applyAlignment="1">
      <alignment horizontal="center" vertical="center" wrapText="1"/>
    </xf>
    <xf numFmtId="0" fontId="19" fillId="13" borderId="93" xfId="20" applyFont="1" applyFill="1" applyBorder="1" applyAlignment="1">
      <alignment horizontal="center" vertical="center" wrapText="1"/>
    </xf>
    <xf numFmtId="0" fontId="19" fillId="13" borderId="95" xfId="20" applyFont="1" applyFill="1" applyBorder="1" applyAlignment="1">
      <alignment horizontal="center" vertical="center" wrapText="1"/>
    </xf>
    <xf numFmtId="180" fontId="19" fillId="0" borderId="39" xfId="34" applyNumberFormat="1" applyFont="1" applyBorder="1" applyAlignment="1">
      <alignment horizontal="center" vertical="center"/>
    </xf>
    <xf numFmtId="0" fontId="19" fillId="10" borderId="80" xfId="20" applyFont="1" applyFill="1" applyBorder="1" applyAlignment="1">
      <alignment horizontal="center" vertical="center" wrapText="1"/>
    </xf>
    <xf numFmtId="0" fontId="19" fillId="10" borderId="84" xfId="20" applyFont="1" applyFill="1" applyBorder="1" applyAlignment="1">
      <alignment horizontal="center" vertical="center" wrapText="1"/>
    </xf>
    <xf numFmtId="0" fontId="19" fillId="10" borderId="81" xfId="20" applyFont="1" applyFill="1" applyBorder="1" applyAlignment="1">
      <alignment horizontal="center" vertical="center" wrapText="1"/>
    </xf>
    <xf numFmtId="0" fontId="19" fillId="10" borderId="82" xfId="20" applyFont="1" applyFill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</cellXfs>
  <cellStyles count="35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7 2 4" xfId="5" xr:uid="{6854FE73-1D71-4778-B8EF-E0C70D2E3F6D}"/>
    <cellStyle name="一般 2 18" xfId="6" xr:uid="{00000000-0005-0000-0000-000002000000}"/>
    <cellStyle name="一般 2 18 2" xfId="7" xr:uid="{03161FD6-4425-4262-BB2E-6D1063ACF793}"/>
    <cellStyle name="一般 2 18 3" xfId="8" xr:uid="{31F1E51B-F9BF-4F3C-A967-B8FABF2A3A2B}"/>
    <cellStyle name="一般 2 18 4" xfId="9" xr:uid="{10281749-0702-4AA1-AE50-B7A6C8557806}"/>
    <cellStyle name="一般 2 2 2 2" xfId="10" xr:uid="{00000000-0005-0000-0000-000003000000}"/>
    <cellStyle name="一般 2 2 2 2 2" xfId="11" xr:uid="{DA50E455-3E19-4382-87FF-86AEE4927DF6}"/>
    <cellStyle name="一般 2 2 2 2 3" xfId="12" xr:uid="{804AD48E-FC35-4B36-A245-ABEA8153CA9F}"/>
    <cellStyle name="一般 2 2 2 2 4" xfId="13" xr:uid="{2FBE6B92-12E4-4011-A11A-7DA9C2D263AC}"/>
    <cellStyle name="一般 2 2 4" xfId="14" xr:uid="{00000000-0005-0000-0000-000004000000}"/>
    <cellStyle name="一般 2 2 4 2" xfId="15" xr:uid="{01302544-1802-4AFB-AC12-3C2E43DC83D6}"/>
    <cellStyle name="一般 2 2 4 3" xfId="16" xr:uid="{5CF42824-9C19-40E7-B382-3C290E62F3B6}"/>
    <cellStyle name="一般 2 2 4 4" xfId="17" xr:uid="{774F93B0-8056-4358-BD47-9DF717D8B889}"/>
    <cellStyle name="一般 2 2 4 5" xfId="18" xr:uid="{21F26EBC-C5FD-4CDE-A513-5F94663C7F1A}"/>
    <cellStyle name="一般 2 4 2" xfId="19" xr:uid="{00000000-0005-0000-0000-000005000000}"/>
    <cellStyle name="一般 2 8" xfId="20" xr:uid="{00000000-0005-0000-0000-000006000000}"/>
    <cellStyle name="一般 2 8 2" xfId="21" xr:uid="{334CB01B-E727-4275-8081-33B90D63854F}"/>
    <cellStyle name="一般 2 8 3" xfId="22" xr:uid="{F9F17BE2-5138-4A5C-8014-00D35F5AE168}"/>
    <cellStyle name="一般 2 8 4" xfId="23" xr:uid="{FEBE4050-B4EC-498B-B5E8-8E21BA208504}"/>
    <cellStyle name="千分位 2 8" xfId="24" xr:uid="{00000000-0005-0000-0000-000007000000}"/>
    <cellStyle name="千分位 2 8 2" xfId="25" xr:uid="{BB0D4EC8-904D-4466-883D-5E832DE73CA2}"/>
    <cellStyle name="千分位 2 8 3" xfId="26" xr:uid="{E1A231BD-C8F7-4A2E-B3AE-D5A9B17E8DFD}"/>
    <cellStyle name="千分位 2 8 4" xfId="27" xr:uid="{5DED1BBE-0BE6-4A43-B2E8-7C83693BF067}"/>
    <cellStyle name="千分位 9 5" xfId="28" xr:uid="{00000000-0005-0000-0000-000008000000}"/>
    <cellStyle name="百分比 2 2 2 2" xfId="29" xr:uid="{00000000-0005-0000-0000-000009000000}"/>
    <cellStyle name="百分比 2 2 2 2 2" xfId="30" xr:uid="{5BC30C65-EF5D-4641-9B4F-74412295E429}"/>
    <cellStyle name="百分比 2 2 2 2 3" xfId="31" xr:uid="{A0547F8E-D90B-4D71-A6F8-84102F8BF3BC}"/>
    <cellStyle name="百分比 2 2 2 2 4" xfId="32" xr:uid="{19100027-B114-4DBB-B02D-039F214A3907}"/>
    <cellStyle name="百分比 2 5" xfId="33" xr:uid="{00000000-0005-0000-0000-00000A000000}"/>
    <cellStyle name="百分比 7" xfId="34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C11" sqref="C11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86" width="10.28515625" style="347" customWidth="1"/>
    <col min="187" max="16384" width="10.28515625" style="347"/>
  </cols>
  <sheetData>
    <row r="1" spans="1:7">
      <c r="A1" s="351" t="s">
        <v>160</v>
      </c>
      <c r="B1" s="352" t="s">
        <v>89</v>
      </c>
      <c r="C1" s="352" t="s">
        <v>19</v>
      </c>
      <c r="D1" s="352" t="s">
        <v>161</v>
      </c>
      <c r="E1" s="352" t="s">
        <v>20</v>
      </c>
    </row>
    <row r="2" spans="1:7">
      <c r="A2" s="353"/>
      <c r="B2" s="354" t="s">
        <v>162</v>
      </c>
      <c r="C2" s="75" t="s">
        <v>163</v>
      </c>
      <c r="D2" s="354" t="s">
        <v>81</v>
      </c>
      <c r="E2" s="75">
        <v>57.21</v>
      </c>
    </row>
    <row r="3" spans="1:7">
      <c r="A3" s="353"/>
      <c r="B3" s="354" t="s">
        <v>162</v>
      </c>
      <c r="C3" s="75" t="s">
        <v>113</v>
      </c>
      <c r="D3" s="354" t="s">
        <v>81</v>
      </c>
      <c r="E3" s="75">
        <v>56.87</v>
      </c>
    </row>
    <row r="4" spans="1:7">
      <c r="A4" s="353"/>
      <c r="B4" s="354" t="s">
        <v>162</v>
      </c>
      <c r="C4" s="75" t="s">
        <v>117</v>
      </c>
      <c r="D4" s="354" t="s">
        <v>81</v>
      </c>
      <c r="E4" s="75">
        <v>50.39</v>
      </c>
    </row>
    <row r="5" spans="1:7">
      <c r="A5" s="353"/>
      <c r="B5" s="354" t="s">
        <v>162</v>
      </c>
      <c r="C5" s="75" t="s">
        <v>124</v>
      </c>
      <c r="D5" s="354" t="s">
        <v>81</v>
      </c>
      <c r="E5" s="75">
        <v>49.97</v>
      </c>
    </row>
    <row r="6" spans="1:7">
      <c r="A6" s="353"/>
      <c r="B6" s="354" t="s">
        <v>162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162</v>
      </c>
      <c r="C7" s="345" t="s">
        <v>114</v>
      </c>
      <c r="D7" s="354" t="s">
        <v>81</v>
      </c>
      <c r="E7" s="75">
        <v>58.17</v>
      </c>
    </row>
    <row r="8" spans="1:7">
      <c r="A8" s="353"/>
      <c r="B8" s="354" t="s">
        <v>162</v>
      </c>
      <c r="C8" s="75" t="s">
        <v>116</v>
      </c>
      <c r="D8" s="354" t="s">
        <v>81</v>
      </c>
      <c r="E8" s="75">
        <v>50.67</v>
      </c>
    </row>
    <row r="9" spans="1:7">
      <c r="A9" s="353"/>
      <c r="B9" s="354" t="s">
        <v>162</v>
      </c>
      <c r="C9" s="350" t="s">
        <v>164</v>
      </c>
      <c r="D9" s="354" t="s">
        <v>81</v>
      </c>
      <c r="E9" s="75">
        <v>49.91</v>
      </c>
    </row>
    <row r="10" spans="1:7">
      <c r="A10" s="353"/>
      <c r="B10" s="354" t="s">
        <v>162</v>
      </c>
      <c r="C10" s="75" t="s">
        <v>123</v>
      </c>
      <c r="D10" s="354" t="s">
        <v>81</v>
      </c>
      <c r="E10" s="75">
        <v>50.289000000000001</v>
      </c>
    </row>
    <row r="11" spans="1:7">
      <c r="A11" s="353"/>
      <c r="B11" s="354" t="s">
        <v>162</v>
      </c>
      <c r="C11" s="75" t="s">
        <v>118</v>
      </c>
      <c r="D11" s="354" t="s">
        <v>81</v>
      </c>
      <c r="E11" s="75">
        <v>61.65</v>
      </c>
    </row>
    <row r="12" spans="1:7">
      <c r="A12" s="353"/>
      <c r="B12" s="354" t="s">
        <v>162</v>
      </c>
      <c r="C12" s="350" t="s">
        <v>119</v>
      </c>
      <c r="D12" s="354" t="s">
        <v>81</v>
      </c>
      <c r="E12" s="75">
        <v>52.21</v>
      </c>
    </row>
    <row r="13" spans="1:7">
      <c r="A13" s="353"/>
      <c r="B13" s="354" t="s">
        <v>162</v>
      </c>
      <c r="C13" s="75" t="s">
        <v>165</v>
      </c>
      <c r="D13" s="354" t="s">
        <v>81</v>
      </c>
      <c r="E13" s="75">
        <v>50.67</v>
      </c>
      <c r="G13" s="349"/>
    </row>
    <row r="14" spans="1:7">
      <c r="A14" s="353"/>
      <c r="B14" s="354" t="s">
        <v>162</v>
      </c>
      <c r="C14" s="75" t="s">
        <v>166</v>
      </c>
      <c r="D14" s="354" t="s">
        <v>81</v>
      </c>
      <c r="E14" s="75">
        <v>45.66</v>
      </c>
    </row>
    <row r="15" spans="1:7">
      <c r="A15" s="353"/>
      <c r="B15" s="354" t="s">
        <v>162</v>
      </c>
      <c r="C15" s="75" t="s">
        <v>132</v>
      </c>
      <c r="D15" s="354" t="s">
        <v>81</v>
      </c>
      <c r="E15" s="75">
        <v>46.34</v>
      </c>
    </row>
    <row r="16" spans="1:7">
      <c r="A16" s="353"/>
      <c r="B16" s="354" t="s">
        <v>162</v>
      </c>
      <c r="C16" s="75" t="s">
        <v>121</v>
      </c>
      <c r="D16" s="354" t="s">
        <v>120</v>
      </c>
      <c r="E16" s="75">
        <v>49.91</v>
      </c>
    </row>
    <row r="17" spans="1:5">
      <c r="A17" s="353"/>
      <c r="B17" s="354" t="s">
        <v>162</v>
      </c>
      <c r="C17" s="75" t="s">
        <v>122</v>
      </c>
      <c r="D17" s="354" t="s">
        <v>120</v>
      </c>
      <c r="E17" s="75">
        <v>44.3</v>
      </c>
    </row>
    <row r="18" spans="1:5">
      <c r="A18" s="353"/>
      <c r="B18" s="354" t="s">
        <v>162</v>
      </c>
      <c r="C18" s="75" t="s">
        <v>167</v>
      </c>
      <c r="D18" s="354" t="s">
        <v>120</v>
      </c>
      <c r="E18" s="75">
        <v>49.52</v>
      </c>
    </row>
    <row r="19" spans="1:5">
      <c r="A19" s="353"/>
      <c r="B19" s="354" t="s">
        <v>162</v>
      </c>
      <c r="C19" s="75" t="s">
        <v>131</v>
      </c>
      <c r="D19" s="354" t="s">
        <v>81</v>
      </c>
      <c r="E19" s="75">
        <v>43.89</v>
      </c>
    </row>
    <row r="20" spans="1:5">
      <c r="A20" s="353"/>
      <c r="B20" s="354" t="s">
        <v>162</v>
      </c>
      <c r="C20" s="75"/>
      <c r="D20" s="354" t="s">
        <v>81</v>
      </c>
      <c r="E20" s="75"/>
    </row>
    <row r="21" spans="1:5">
      <c r="A21" s="353"/>
      <c r="B21" s="354" t="s">
        <v>162</v>
      </c>
      <c r="C21" s="75"/>
      <c r="D21" s="354" t="s">
        <v>81</v>
      </c>
      <c r="E21" s="75"/>
    </row>
    <row r="22" spans="1:5">
      <c r="A22" s="353"/>
      <c r="B22" s="354" t="s">
        <v>162</v>
      </c>
      <c r="C22" s="75"/>
      <c r="D22" s="354" t="s">
        <v>81</v>
      </c>
      <c r="E22" s="75"/>
    </row>
    <row r="23" spans="1:5">
      <c r="A23" s="353"/>
      <c r="B23" s="354" t="s">
        <v>162</v>
      </c>
      <c r="C23" s="75" t="s">
        <v>128</v>
      </c>
      <c r="D23" s="354" t="s">
        <v>125</v>
      </c>
      <c r="E23" s="75">
        <v>28.26</v>
      </c>
    </row>
    <row r="24" spans="1:5">
      <c r="A24" s="353"/>
      <c r="B24" s="354" t="s">
        <v>162</v>
      </c>
      <c r="C24" s="75" t="s">
        <v>126</v>
      </c>
      <c r="D24" s="354" t="s">
        <v>125</v>
      </c>
      <c r="E24" s="75">
        <v>26.99</v>
      </c>
    </row>
    <row r="25" spans="1:5">
      <c r="A25" s="353"/>
      <c r="B25" s="354" t="s">
        <v>162</v>
      </c>
      <c r="C25" s="75" t="s">
        <v>127</v>
      </c>
      <c r="D25" s="354" t="s">
        <v>125</v>
      </c>
      <c r="E25" s="75">
        <v>28.26</v>
      </c>
    </row>
    <row r="26" spans="1:5">
      <c r="A26" s="353"/>
      <c r="B26" s="354" t="s">
        <v>162</v>
      </c>
      <c r="C26" s="75" t="s">
        <v>130</v>
      </c>
      <c r="D26" s="354" t="s">
        <v>125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168</v>
      </c>
      <c r="C46" s="75" t="s">
        <v>116</v>
      </c>
      <c r="D46" s="354" t="s">
        <v>169</v>
      </c>
      <c r="E46" s="75">
        <v>29.38</v>
      </c>
    </row>
    <row r="47" spans="1:5">
      <c r="A47" s="351"/>
      <c r="B47" s="354" t="s">
        <v>168</v>
      </c>
      <c r="C47" s="75" t="s">
        <v>170</v>
      </c>
      <c r="D47" s="354" t="s">
        <v>169</v>
      </c>
      <c r="E47" s="75">
        <v>29.38</v>
      </c>
    </row>
    <row r="48" spans="1:5">
      <c r="A48" s="351"/>
      <c r="B48" s="354" t="s">
        <v>168</v>
      </c>
      <c r="C48" s="75" t="s">
        <v>171</v>
      </c>
      <c r="D48" s="354" t="s">
        <v>169</v>
      </c>
      <c r="E48" s="75">
        <v>29.38</v>
      </c>
    </row>
    <row r="49" spans="1:5">
      <c r="A49" s="351"/>
      <c r="B49" s="354" t="s">
        <v>168</v>
      </c>
      <c r="C49" s="75" t="s">
        <v>172</v>
      </c>
      <c r="D49" s="354" t="s">
        <v>169</v>
      </c>
      <c r="E49" s="75">
        <v>29.38</v>
      </c>
    </row>
    <row r="50" spans="1:5">
      <c r="A50" s="351"/>
      <c r="B50" s="354" t="s">
        <v>168</v>
      </c>
      <c r="C50" s="75" t="s">
        <v>173</v>
      </c>
      <c r="D50" s="354" t="s">
        <v>169</v>
      </c>
      <c r="E50" s="75">
        <v>29.38</v>
      </c>
    </row>
    <row r="51" spans="1:5">
      <c r="A51" s="351"/>
      <c r="B51" s="354" t="s">
        <v>168</v>
      </c>
      <c r="C51" s="75" t="s">
        <v>174</v>
      </c>
      <c r="D51" s="354" t="s">
        <v>169</v>
      </c>
      <c r="E51" s="75">
        <v>29.38</v>
      </c>
    </row>
    <row r="52" spans="1:5">
      <c r="A52" s="351"/>
      <c r="B52" s="354" t="s">
        <v>168</v>
      </c>
      <c r="C52" s="75"/>
      <c r="D52" s="354" t="s">
        <v>169</v>
      </c>
      <c r="E52" s="75"/>
    </row>
    <row r="53" spans="1:5">
      <c r="A53" s="351"/>
      <c r="B53" s="354" t="s">
        <v>168</v>
      </c>
      <c r="C53" s="354" t="s">
        <v>175</v>
      </c>
      <c r="D53" s="354" t="s">
        <v>169</v>
      </c>
      <c r="E53" s="75">
        <v>29.38</v>
      </c>
    </row>
    <row r="54" spans="1:5">
      <c r="A54" s="351"/>
      <c r="B54" s="354" t="s">
        <v>168</v>
      </c>
      <c r="C54" s="354"/>
      <c r="D54" s="354" t="s">
        <v>169</v>
      </c>
      <c r="E54" s="354"/>
    </row>
    <row r="55" spans="1:5">
      <c r="A55" s="351"/>
      <c r="B55" s="354" t="s">
        <v>168</v>
      </c>
      <c r="C55" s="354" t="s">
        <v>176</v>
      </c>
      <c r="D55" s="354" t="s">
        <v>169</v>
      </c>
      <c r="E55" s="354">
        <v>29.38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B6" sqref="B6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86" width="10.28515625" style="347" customWidth="1"/>
    <col min="187" max="16384" width="10.28515625" style="347"/>
  </cols>
  <sheetData>
    <row r="1" spans="1:14">
      <c r="A1" s="345" t="s">
        <v>181</v>
      </c>
      <c r="B1" s="345" t="s">
        <v>24</v>
      </c>
      <c r="C1" s="345" t="s">
        <v>182</v>
      </c>
      <c r="D1" s="346"/>
      <c r="E1" s="347" t="s">
        <v>183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113</v>
      </c>
      <c r="B3" s="345">
        <v>14</v>
      </c>
      <c r="C3" s="345">
        <v>2250</v>
      </c>
      <c r="D3" s="348" t="s">
        <v>106</v>
      </c>
      <c r="E3" s="347">
        <f>C3/B3</f>
        <v>160.71428571428572</v>
      </c>
      <c r="F3" s="358"/>
    </row>
    <row r="4" spans="1:14">
      <c r="A4" s="345" t="s">
        <v>184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116</v>
      </c>
      <c r="B5" s="345">
        <v>14</v>
      </c>
      <c r="C5" s="345">
        <v>2250</v>
      </c>
      <c r="D5" s="346"/>
      <c r="E5" s="347">
        <f t="shared" si="0"/>
        <v>160.71428571428572</v>
      </c>
      <c r="F5" s="358"/>
    </row>
    <row r="6" spans="1:14">
      <c r="A6" s="345" t="s">
        <v>185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117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115</v>
      </c>
      <c r="B8" s="345">
        <v>14</v>
      </c>
      <c r="C8" s="345">
        <v>2250</v>
      </c>
      <c r="D8" s="346"/>
      <c r="E8" s="347">
        <f t="shared" si="0"/>
        <v>160.71428571428572</v>
      </c>
    </row>
    <row r="9" spans="1:14">
      <c r="A9" s="345" t="s">
        <v>118</v>
      </c>
      <c r="B9" s="345">
        <v>18</v>
      </c>
      <c r="C9" s="345">
        <v>1636</v>
      </c>
      <c r="D9" s="346"/>
      <c r="E9" s="347">
        <f t="shared" si="0"/>
        <v>90.888888888888886</v>
      </c>
      <c r="F9" s="358"/>
    </row>
    <row r="10" spans="1:14">
      <c r="A10" s="345" t="s">
        <v>186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119</v>
      </c>
      <c r="B11" s="345">
        <v>18</v>
      </c>
      <c r="C11" s="345">
        <v>1636</v>
      </c>
      <c r="D11" s="346"/>
      <c r="E11" s="347">
        <f t="shared" si="0"/>
        <v>90.888888888888886</v>
      </c>
    </row>
    <row r="12" spans="1:14">
      <c r="A12" s="345" t="s">
        <v>114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123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123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121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121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124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187</v>
      </c>
      <c r="J15" s="345" t="s">
        <v>124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167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167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122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122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165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188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189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190</v>
      </c>
      <c r="J19" s="350" t="s">
        <v>191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166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132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164</v>
      </c>
      <c r="B22" s="345">
        <v>18</v>
      </c>
      <c r="C22" s="345">
        <v>1636</v>
      </c>
      <c r="D22" s="346"/>
      <c r="E22" s="347">
        <f t="shared" si="0"/>
        <v>90.888888888888886</v>
      </c>
    </row>
    <row r="23" spans="1:14">
      <c r="A23" s="345" t="s">
        <v>163</v>
      </c>
      <c r="B23" s="345">
        <v>18</v>
      </c>
      <c r="C23" s="345">
        <v>1636</v>
      </c>
      <c r="D23" s="346"/>
    </row>
    <row r="24" spans="1:14">
      <c r="A24" s="350" t="s">
        <v>131</v>
      </c>
      <c r="B24" s="345">
        <v>11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192</v>
      </c>
      <c r="B26" s="345"/>
      <c r="C26" s="345"/>
      <c r="D26" s="346"/>
    </row>
    <row r="27" spans="1:14">
      <c r="A27" s="345" t="s">
        <v>126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193</v>
      </c>
    </row>
    <row r="28" spans="1:14">
      <c r="A28" s="345" t="s">
        <v>127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130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128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194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7">
        <v>46015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s="6" customFormat="1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s="6" customFormat="1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392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394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397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396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397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s="196" customFormat="1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s="196" customFormat="1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s="196" customFormat="1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s="196" customFormat="1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s="196" customFormat="1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s="196" customFormat="1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s="196" customFormat="1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s="196" customFormat="1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s="196" customFormat="1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s="196" customFormat="1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D13A-21CA-488C-9BE8-55A3BA276411}">
  <dimension ref="B1:O26"/>
  <sheetViews>
    <sheetView topLeftCell="B1" zoomScale="70" zoomScaleNormal="70" workbookViewId="0">
      <selection activeCell="D18" sqref="D18:J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46296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>
        <f>AVERAGE(D13:J13)</f>
        <v>126.61069690735656</v>
      </c>
      <c r="G6" s="374"/>
      <c r="H6" s="375">
        <f>AVERAGE(D13:H13)</f>
        <v>124.64367263999615</v>
      </c>
      <c r="I6" s="375"/>
      <c r="J6" s="375">
        <f>AVERAGE(I13:J13)</f>
        <v>131.52825757575758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112.96092869189468</v>
      </c>
      <c r="G7" s="398"/>
      <c r="H7" s="399">
        <f>AVERAGE(D14:H14)</f>
        <v>111.92405990916814</v>
      </c>
      <c r="I7" s="399"/>
      <c r="J7" s="399">
        <f>AVERAGE(I14:J14)</f>
        <v>115.55310064871105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>
        <f>AVERAGE(D15:J15)</f>
        <v>0.89664475301728708</v>
      </c>
      <c r="G8" s="371"/>
      <c r="H8" s="371">
        <f>AVERAGE(D15:H15)</f>
        <v>0.90303963381163244</v>
      </c>
      <c r="I8" s="371"/>
      <c r="J8" s="371">
        <f>AVERAGE(I15:J15)</f>
        <v>0.88065755103142385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>
        <f>VALUE('1001'!L15)</f>
        <v>163.80494505494505</v>
      </c>
      <c r="E13" s="13">
        <f>VALUE('1001'!L26)</f>
        <v>169.64285714285714</v>
      </c>
      <c r="F13" s="13">
        <f>VALUE('1001'!L37)</f>
        <v>90.888888888888872</v>
      </c>
      <c r="G13" s="13">
        <f>VALUE('1001'!L48)</f>
        <v>99.006944444444443</v>
      </c>
      <c r="H13" s="13">
        <f>VALUE('1001'!L58)</f>
        <v>99.874727668845324</v>
      </c>
      <c r="I13" s="13">
        <f>VALUE('1001'!L69)</f>
        <v>140.79515151515153</v>
      </c>
      <c r="J13" s="13">
        <f>'1001'!L79</f>
        <v>122.26136363636364</v>
      </c>
    </row>
    <row r="14" spans="2:15" ht="39.950000000000003" customHeight="1">
      <c r="B14" s="392"/>
      <c r="C14" s="12" t="s">
        <v>100</v>
      </c>
      <c r="D14" s="13">
        <f>VALUE('1001'!O15)</f>
        <v>145.41055870645127</v>
      </c>
      <c r="E14" s="13">
        <f>VALUE('1001'!O26)</f>
        <v>148.59793875463387</v>
      </c>
      <c r="F14" s="13">
        <f>VALUE('1001'!O37)</f>
        <v>84.788651843512923</v>
      </c>
      <c r="G14" s="13">
        <f>VALUE('1001'!O48)</f>
        <v>93.037436048798796</v>
      </c>
      <c r="H14" s="13">
        <f>VALUE('1001'!O58)</f>
        <v>87.78571419244382</v>
      </c>
      <c r="I14" s="13">
        <f>VALUE('1001'!O69)</f>
        <v>119.76472515315884</v>
      </c>
      <c r="J14" s="13">
        <f>'1001'!O79</f>
        <v>111.34147614426327</v>
      </c>
    </row>
    <row r="15" spans="2:15" ht="39.950000000000003" customHeight="1">
      <c r="B15" s="393"/>
      <c r="C15" s="10" t="s">
        <v>26</v>
      </c>
      <c r="D15" s="14">
        <f t="shared" ref="D15:I15" si="0">D14/D13</f>
        <v>0.88770554916810507</v>
      </c>
      <c r="E15" s="14">
        <f t="shared" si="0"/>
        <v>0.87594574423784177</v>
      </c>
      <c r="F15" s="14">
        <f t="shared" si="0"/>
        <v>0.93288247749586362</v>
      </c>
      <c r="G15" s="14">
        <f t="shared" si="0"/>
        <v>0.93970616476306568</v>
      </c>
      <c r="H15" s="14">
        <f t="shared" si="0"/>
        <v>0.87895823339328594</v>
      </c>
      <c r="I15" s="14">
        <f t="shared" si="0"/>
        <v>0.85063103284682695</v>
      </c>
      <c r="J15" s="15">
        <f>'1001'!S70</f>
        <v>0.91068406921602074</v>
      </c>
    </row>
    <row r="16" spans="2:15" ht="17.25" customHeight="1">
      <c r="B16" s="394" t="s">
        <v>101</v>
      </c>
      <c r="C16" s="10" t="s">
        <v>34</v>
      </c>
      <c r="D16" s="16">
        <f>'1001'!T5</f>
        <v>0.29166666666666702</v>
      </c>
      <c r="E16" s="16">
        <f>'1001'!T16</f>
        <v>0.29166666666666702</v>
      </c>
      <c r="F16" s="16">
        <f>'1001'!T27</f>
        <v>0.29166666666666702</v>
      </c>
      <c r="G16" s="16">
        <f>'1001'!T38</f>
        <v>0.33333333333333298</v>
      </c>
      <c r="H16" s="16">
        <f>'1001'!T49</f>
        <v>0.29166666666666702</v>
      </c>
      <c r="I16" s="16">
        <f>'1001'!T59</f>
        <v>0.29513888888888901</v>
      </c>
      <c r="J16" s="17">
        <f>'1001'!T70</f>
        <v>0.33333333333333298</v>
      </c>
    </row>
    <row r="17" spans="2:10" ht="17.25" customHeight="1">
      <c r="B17" s="395"/>
      <c r="C17" s="10" t="s">
        <v>35</v>
      </c>
      <c r="D17" s="327">
        <v>0.59513888888888899</v>
      </c>
      <c r="E17" s="19">
        <v>0.55833333333333302</v>
      </c>
      <c r="F17" s="183">
        <v>0.5625</v>
      </c>
      <c r="G17" s="20">
        <v>0.47777777777777802</v>
      </c>
      <c r="H17" s="19">
        <v>0.59722222222222199</v>
      </c>
      <c r="I17" s="22">
        <v>0.61111111111111105</v>
      </c>
      <c r="J17" s="22">
        <v>0.484722222222222</v>
      </c>
    </row>
    <row r="18" spans="2:10" ht="17.25" customHeight="1">
      <c r="B18" s="396" t="s">
        <v>102</v>
      </c>
      <c r="C18" s="330" t="s">
        <v>36</v>
      </c>
      <c r="D18" s="359">
        <f>'1001'!Z15</f>
        <v>0</v>
      </c>
      <c r="E18" s="360">
        <f>'1001'!Z26</f>
        <v>0</v>
      </c>
      <c r="F18" s="360">
        <f>'1001'!Z37</f>
        <v>0</v>
      </c>
      <c r="G18" s="361">
        <f>'1001'!Z48</f>
        <v>0</v>
      </c>
      <c r="H18" s="361">
        <f>'1001'!Z58</f>
        <v>0</v>
      </c>
      <c r="I18" s="360">
        <f>'1001'!Z69</f>
        <v>0</v>
      </c>
      <c r="J18" s="360">
        <f>'1001'!AA79</f>
        <v>0</v>
      </c>
    </row>
    <row r="19" spans="2:10" ht="17.25" customHeight="1">
      <c r="B19" s="397"/>
      <c r="C19" s="330" t="s">
        <v>37</v>
      </c>
      <c r="D19" s="359">
        <f>'1001'!AA15</f>
        <v>0</v>
      </c>
      <c r="E19" s="360">
        <f>'1001'!AA26</f>
        <v>0</v>
      </c>
      <c r="F19" s="360">
        <f>'1001'!AA37</f>
        <v>0</v>
      </c>
      <c r="G19" s="361">
        <f>'1001'!AA48</f>
        <v>0</v>
      </c>
      <c r="H19" s="361">
        <f>'1001'!AA58</f>
        <v>0</v>
      </c>
      <c r="I19" s="360">
        <f>'1001'!AA69</f>
        <v>0</v>
      </c>
      <c r="J19" s="360">
        <f>'1001'!AB79</f>
        <v>0</v>
      </c>
    </row>
    <row r="20" spans="2:10" ht="17.25" customHeight="1">
      <c r="B20" s="396" t="s">
        <v>103</v>
      </c>
      <c r="C20" s="330" t="s">
        <v>36</v>
      </c>
      <c r="D20" s="359">
        <f>'1001'!AD15</f>
        <v>0</v>
      </c>
      <c r="E20" s="360">
        <f>'1001'!AD26</f>
        <v>0</v>
      </c>
      <c r="F20" s="360">
        <f>'1001'!AD37</f>
        <v>0</v>
      </c>
      <c r="G20" s="361">
        <f>'1001'!AD48</f>
        <v>0</v>
      </c>
      <c r="H20" s="361">
        <f>'1001'!AD58</f>
        <v>0</v>
      </c>
      <c r="I20" s="360">
        <f>'1001'!AD69</f>
        <v>0</v>
      </c>
      <c r="J20" s="360">
        <f>'1001'!AD79</f>
        <v>0</v>
      </c>
    </row>
    <row r="21" spans="2:10" ht="17.25" customHeight="1">
      <c r="B21" s="397"/>
      <c r="C21" s="330" t="s">
        <v>85</v>
      </c>
      <c r="D21" s="359">
        <f>'1001'!AE15</f>
        <v>0</v>
      </c>
      <c r="E21" s="360">
        <f>'1001'!AE26</f>
        <v>0</v>
      </c>
      <c r="F21" s="360">
        <f>'1001'!AE37</f>
        <v>0</v>
      </c>
      <c r="G21" s="361">
        <f>'1001'!AE48</f>
        <v>0</v>
      </c>
      <c r="H21" s="361">
        <f>'1001'!AE58</f>
        <v>0</v>
      </c>
      <c r="I21" s="360">
        <f>'1001'!AE69</f>
        <v>0</v>
      </c>
      <c r="J21" s="360">
        <f>'1001'!AE79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93D9-4393-48AD-8D59-13F8933C3ABE}">
  <sheetPr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G76" sqref="G76"/>
      <selection pane="topRight" activeCell="G76" sqref="G76"/>
      <selection pane="bottomLeft" activeCell="G76" sqref="G76"/>
      <selection pane="bottomRight" activeCell="K84" sqref="K8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52428</v>
      </c>
      <c r="F1" s="30" t="s">
        <v>2</v>
      </c>
      <c r="G1" s="31">
        <f>SUM(H5:H79)</f>
        <v>2482994.3369999998</v>
      </c>
      <c r="H1" s="32" t="s">
        <v>3</v>
      </c>
      <c r="I1" s="33">
        <f>M15+M26+M48+M58+M69+M79+M37</f>
        <v>98.38333333333334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112</v>
      </c>
      <c r="B2" s="417"/>
      <c r="C2" s="28"/>
      <c r="D2" s="28" t="s">
        <v>14</v>
      </c>
      <c r="E2" s="35">
        <f>AVERAGE(O15,O26,O37,O48,O58,O69,O79)</f>
        <v>112.96092869189468</v>
      </c>
      <c r="F2" s="36" t="s">
        <v>15</v>
      </c>
      <c r="G2" s="37">
        <f>G1/E1</f>
        <v>47.360081197070265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4607</v>
      </c>
      <c r="H5" s="43">
        <f>F5*G5</f>
        <v>262000.09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2176.5354330708783</v>
      </c>
      <c r="O5" s="47">
        <f>N5/M5</f>
        <v>155.46681664791987</v>
      </c>
      <c r="P5" s="49">
        <f>M5-J5</f>
        <v>0</v>
      </c>
      <c r="Q5" s="50">
        <f>O5-L5</f>
        <v>-5.2474690663658521</v>
      </c>
      <c r="R5" s="51">
        <f>O5/L5</f>
        <v>0.96734908136483466</v>
      </c>
      <c r="S5" s="420">
        <f>R15</f>
        <v>0.88770554916810507</v>
      </c>
      <c r="T5" s="319">
        <v>0.29166666666666702</v>
      </c>
      <c r="U5" s="320">
        <v>0.37986111111111098</v>
      </c>
      <c r="V5" s="53"/>
      <c r="W5" s="54">
        <f t="shared" ref="W5:W14" si="0">(U5-T5)*24*60</f>
        <v>126.9999999999993</v>
      </c>
      <c r="X5" s="55"/>
      <c r="Y5" s="290"/>
      <c r="Z5" s="169"/>
      <c r="AA5" s="169"/>
      <c r="AB5" s="452"/>
      <c r="AC5" s="452"/>
      <c r="AD5" s="135"/>
      <c r="AE5" s="135"/>
      <c r="AF5" s="229">
        <f t="shared" ref="AF5:AF11" si="1">N5-K5</f>
        <v>-73.464566929121702</v>
      </c>
      <c r="AG5" s="52">
        <f t="shared" ref="AG5:AG11" si="2">N5/K5</f>
        <v>0.96734908136483477</v>
      </c>
      <c r="AH5" s="445">
        <f>AG15</f>
        <v>0.88819988665210647</v>
      </c>
    </row>
    <row r="6" spans="1:34" ht="15" customHeight="1">
      <c r="A6" s="40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1293</v>
      </c>
      <c r="H6" s="63">
        <f>F6*G6</f>
        <v>75213.81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1939.5000000000573</v>
      </c>
      <c r="O6" s="67">
        <f>N6/M6</f>
        <v>149.19230769231211</v>
      </c>
      <c r="P6" s="69">
        <f>M6-J6</f>
        <v>0</v>
      </c>
      <c r="Q6" s="70">
        <f>O6-L6</f>
        <v>-23.884615384610953</v>
      </c>
      <c r="R6" s="71">
        <f>O6/L6</f>
        <v>0.86200000000002563</v>
      </c>
      <c r="S6" s="421"/>
      <c r="T6" s="16">
        <v>0.38541666666666702</v>
      </c>
      <c r="U6" s="16">
        <v>0.41319444444444398</v>
      </c>
      <c r="V6" s="30">
        <f>(T6-U5)*24*60</f>
        <v>8.000000000000691</v>
      </c>
      <c r="W6" s="73">
        <f t="shared" si="0"/>
        <v>39.99999999999882</v>
      </c>
      <c r="X6" s="22"/>
      <c r="Y6" s="84"/>
      <c r="Z6" s="90"/>
      <c r="AA6" s="90"/>
      <c r="AB6" s="449"/>
      <c r="AC6" s="449"/>
      <c r="AD6" s="149"/>
      <c r="AE6" s="149"/>
      <c r="AF6" s="307">
        <f t="shared" si="1"/>
        <v>-310.4999999999427</v>
      </c>
      <c r="AG6" s="72">
        <f t="shared" si="2"/>
        <v>0.86200000000002541</v>
      </c>
      <c r="AH6" s="446"/>
    </row>
    <row r="7" spans="1:34" ht="15" customHeight="1">
      <c r="A7" s="40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2169</v>
      </c>
      <c r="H7" s="78">
        <f>F7*G7</f>
        <v>106584.66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1859.1428571428617</v>
      </c>
      <c r="O7" s="81">
        <f>N7/M7</f>
        <v>132.79591836734727</v>
      </c>
      <c r="P7" s="74">
        <f>M7-J7</f>
        <v>0</v>
      </c>
      <c r="Q7" s="83">
        <f>O7-L7</f>
        <v>-27.918367346938453</v>
      </c>
      <c r="R7" s="72">
        <f>O7/L7</f>
        <v>0.82628571428571629</v>
      </c>
      <c r="S7" s="421"/>
      <c r="T7" s="18">
        <v>0.42013888888888901</v>
      </c>
      <c r="U7" s="18">
        <v>0.46875</v>
      </c>
      <c r="V7" s="30">
        <f>(T7-U6)*24*60</f>
        <v>10.000000000000844</v>
      </c>
      <c r="W7" s="73">
        <f t="shared" si="0"/>
        <v>69.999999999999829</v>
      </c>
      <c r="X7" s="22"/>
      <c r="Y7" s="84"/>
      <c r="Z7" s="90"/>
      <c r="AA7" s="90"/>
      <c r="AB7" s="450"/>
      <c r="AC7" s="450"/>
      <c r="AD7" s="92"/>
      <c r="AE7" s="92"/>
      <c r="AF7" s="307">
        <f t="shared" si="1"/>
        <v>-390.85714285713834</v>
      </c>
      <c r="AG7" s="72">
        <f t="shared" si="2"/>
        <v>0.82628571428571629</v>
      </c>
      <c r="AH7" s="446"/>
    </row>
    <row r="8" spans="1:34" ht="15" customHeight="1">
      <c r="A8" s="401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2927</v>
      </c>
      <c r="H8" s="78">
        <f>F8*G8</f>
        <v>143832.78</v>
      </c>
      <c r="I8" s="73"/>
      <c r="J8" s="79">
        <f>VLOOKUP(D8,產線配置圖!$A$3:$C$40,2,0)</f>
        <v>14</v>
      </c>
      <c r="K8" s="80">
        <f>VLOOKUP(D8,產線配置圖!$A$3:$C$40,3,0)</f>
        <v>2250</v>
      </c>
      <c r="L8" s="81">
        <f>K8/J8</f>
        <v>160.71428571428572</v>
      </c>
      <c r="M8" s="82">
        <v>14</v>
      </c>
      <c r="N8" s="80">
        <f>G8/W8*60</f>
        <v>2018.620689655161</v>
      </c>
      <c r="O8" s="81">
        <f>N8/M8</f>
        <v>144.18719211822579</v>
      </c>
      <c r="P8" s="74">
        <f>M8-J8</f>
        <v>0</v>
      </c>
      <c r="Q8" s="83">
        <f>O8-L8</f>
        <v>-16.527093596059927</v>
      </c>
      <c r="R8" s="72">
        <f>O8/L8</f>
        <v>0.89716475095784931</v>
      </c>
      <c r="S8" s="421"/>
      <c r="T8" s="16">
        <v>0.53472222222222199</v>
      </c>
      <c r="U8" s="16">
        <v>0.59513888888888899</v>
      </c>
      <c r="V8" s="30">
        <f>(T8-U7)*24*60</f>
        <v>94.999999999999659</v>
      </c>
      <c r="W8" s="73">
        <f t="shared" si="0"/>
        <v>87.000000000000483</v>
      </c>
      <c r="X8" s="22"/>
      <c r="Y8" s="84"/>
      <c r="Z8" s="90"/>
      <c r="AA8" s="90"/>
      <c r="AB8" s="449"/>
      <c r="AC8" s="449"/>
      <c r="AD8" s="149"/>
      <c r="AE8" s="149"/>
      <c r="AF8" s="307">
        <f t="shared" si="1"/>
        <v>-231.37931034483904</v>
      </c>
      <c r="AG8" s="72">
        <f t="shared" si="2"/>
        <v>0.89716475095784931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>
        <f t="shared" ref="J15:O15" si="3">AVERAGE(J5:J14)</f>
        <v>13.75</v>
      </c>
      <c r="K15" s="120">
        <f t="shared" si="3"/>
        <v>2250</v>
      </c>
      <c r="L15" s="117">
        <f t="shared" si="3"/>
        <v>163.80494505494505</v>
      </c>
      <c r="M15" s="120">
        <f t="shared" si="3"/>
        <v>13.75</v>
      </c>
      <c r="N15" s="120">
        <f t="shared" si="3"/>
        <v>1998.4497449672397</v>
      </c>
      <c r="O15" s="117">
        <f t="shared" si="3"/>
        <v>145.41055870645127</v>
      </c>
      <c r="P15" s="121">
        <f>M15-J15</f>
        <v>0</v>
      </c>
      <c r="Q15" s="122">
        <f>O15-L15</f>
        <v>-18.394386348493782</v>
      </c>
      <c r="R15" s="123">
        <f>O15/L15</f>
        <v>0.88770554916810507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>
        <f>N15-K15</f>
        <v>-251.55025503276033</v>
      </c>
      <c r="AG15" s="124">
        <f>N15/K15</f>
        <v>0.88819988665210647</v>
      </c>
      <c r="AH15" s="448"/>
    </row>
    <row r="16" spans="1:34" ht="15" customHeight="1">
      <c r="A16" s="462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3755</v>
      </c>
      <c r="H16" s="134">
        <f>F16*G16</f>
        <v>190265.85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2125.4716981132119</v>
      </c>
      <c r="O16" s="141">
        <f>N16/M16</f>
        <v>151.81940700808656</v>
      </c>
      <c r="P16" s="142">
        <f>M16-J16</f>
        <v>0</v>
      </c>
      <c r="Q16" s="143">
        <f>O16-L16</f>
        <v>-8.8948787061991652</v>
      </c>
      <c r="R16" s="144">
        <f>O16/L16</f>
        <v>0.94465408805031625</v>
      </c>
      <c r="S16" s="456">
        <f>R26</f>
        <v>0.87594574423784177</v>
      </c>
      <c r="T16" s="145">
        <v>0.29166666666666702</v>
      </c>
      <c r="U16" s="145">
        <v>0.36527777777777798</v>
      </c>
      <c r="V16" s="135"/>
      <c r="W16" s="146">
        <f t="shared" ref="W16:W78" si="4">(U16-T16)*24*60</f>
        <v>105.99999999999979</v>
      </c>
      <c r="X16" s="141"/>
      <c r="Y16" s="296"/>
      <c r="Z16" s="169"/>
      <c r="AA16" s="169"/>
      <c r="AB16" s="452"/>
      <c r="AC16" s="452"/>
      <c r="AD16" s="135"/>
      <c r="AE16" s="135"/>
      <c r="AF16" s="229">
        <f>N16-K16</f>
        <v>-124.52830188678809</v>
      </c>
      <c r="AG16" s="52">
        <f>N16/K16</f>
        <v>0.94465408805031637</v>
      </c>
      <c r="AH16" s="445">
        <f>AG26</f>
        <v>0.87666613428415185</v>
      </c>
    </row>
    <row r="17" spans="1:34" ht="15" customHeight="1">
      <c r="A17" s="463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4563</v>
      </c>
      <c r="H17" s="78">
        <f>F17*G17</f>
        <v>229929.57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1941.7021276595879</v>
      </c>
      <c r="O17" s="96">
        <f>N17/M17</f>
        <v>161.808510638299</v>
      </c>
      <c r="P17" s="97">
        <f>M17-J17</f>
        <v>0</v>
      </c>
      <c r="Q17" s="98">
        <f>O17-L17</f>
        <v>-25.691489361701002</v>
      </c>
      <c r="R17" s="99">
        <f>O17/L17</f>
        <v>0.86297872340426129</v>
      </c>
      <c r="S17" s="457"/>
      <c r="T17" s="19">
        <v>0.37291666666666701</v>
      </c>
      <c r="U17" s="19">
        <v>0.47083333333333299</v>
      </c>
      <c r="V17" s="30">
        <f>(T17-U16)*24*60</f>
        <v>11.000000000000201</v>
      </c>
      <c r="W17" s="149">
        <f t="shared" si="4"/>
        <v>140.99999999999903</v>
      </c>
      <c r="X17" s="19"/>
      <c r="Y17" s="297"/>
      <c r="Z17" s="90"/>
      <c r="AA17" s="90"/>
      <c r="AB17" s="450"/>
      <c r="AC17" s="450"/>
      <c r="AD17" s="92"/>
      <c r="AE17" s="92"/>
      <c r="AF17" s="307">
        <f>N17-K17</f>
        <v>-308.29787234041214</v>
      </c>
      <c r="AG17" s="72">
        <f>N17/K17</f>
        <v>0.86297872340426129</v>
      </c>
      <c r="AH17" s="446"/>
    </row>
    <row r="18" spans="1:34" ht="15" customHeight="1">
      <c r="A18" s="463"/>
      <c r="B18" s="75" t="s">
        <v>81</v>
      </c>
      <c r="C18" s="76"/>
      <c r="D18" s="59" t="s">
        <v>113</v>
      </c>
      <c r="E18" s="77"/>
      <c r="F18" s="75">
        <f>VLOOKUP(D18,廠價表!$C$1:$E$43,3,0)</f>
        <v>56.87</v>
      </c>
      <c r="G18" s="147">
        <v>956</v>
      </c>
      <c r="H18" s="78">
        <f>F18*G18</f>
        <v>54367.72</v>
      </c>
      <c r="I18" s="30"/>
      <c r="J18" s="79">
        <f>VLOOKUP(D18,產線配置圖!$A$3:$C$40,2,0)</f>
        <v>14</v>
      </c>
      <c r="K18" s="80">
        <f>VLOOKUP(D18,產線配置圖!$A$3:$C$40,3,0)</f>
        <v>2250</v>
      </c>
      <c r="L18" s="81">
        <f>K18/J18</f>
        <v>160.71428571428572</v>
      </c>
      <c r="M18" s="148">
        <v>14</v>
      </c>
      <c r="N18" s="95">
        <f>G18/W18*60</f>
        <v>1850.3225806452251</v>
      </c>
      <c r="O18" s="96">
        <f>N18/M18</f>
        <v>132.16589861751609</v>
      </c>
      <c r="P18" s="97">
        <f>M18-J18</f>
        <v>0</v>
      </c>
      <c r="Q18" s="98">
        <f>O18-L18</f>
        <v>-28.54838709676963</v>
      </c>
      <c r="R18" s="99">
        <f>O18/L18</f>
        <v>0.8223655913978779</v>
      </c>
      <c r="S18" s="457"/>
      <c r="T18" s="19">
        <v>0.53680555555555598</v>
      </c>
      <c r="U18" s="19">
        <v>0.55833333333333302</v>
      </c>
      <c r="V18" s="30">
        <f>(T18-U17)*24*60</f>
        <v>95.000000000001108</v>
      </c>
      <c r="W18" s="149">
        <f t="shared" si="4"/>
        <v>30.999999999998931</v>
      </c>
      <c r="X18" s="22"/>
      <c r="Y18" s="84"/>
      <c r="Z18" s="90"/>
      <c r="AA18" s="90"/>
      <c r="AB18" s="450"/>
      <c r="AC18" s="450"/>
      <c r="AD18" s="92"/>
      <c r="AE18" s="92"/>
      <c r="AF18" s="307">
        <f>N18-K18</f>
        <v>-399.67741935477488</v>
      </c>
      <c r="AG18" s="72">
        <f>N18/K18</f>
        <v>0.82236559139787779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169.64285714285714</v>
      </c>
      <c r="M26" s="155">
        <f t="shared" si="5"/>
        <v>13.333333333333334</v>
      </c>
      <c r="N26" s="155">
        <f t="shared" si="5"/>
        <v>1972.4988021393417</v>
      </c>
      <c r="O26" s="158">
        <f t="shared" si="5"/>
        <v>148.59793875463387</v>
      </c>
      <c r="P26" s="159">
        <f>M26-J26</f>
        <v>0</v>
      </c>
      <c r="Q26" s="160">
        <f>O26-L26</f>
        <v>-21.044918388223266</v>
      </c>
      <c r="R26" s="161">
        <f>O26/L26</f>
        <v>0.87594574423784177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>
        <f t="shared" ref="AF26:AF31" si="6">N26-K26</f>
        <v>-277.50119786065829</v>
      </c>
      <c r="AG26" s="124">
        <f t="shared" ref="AG26:AG31" si="7">N26/K26</f>
        <v>0.87666613428415185</v>
      </c>
      <c r="AH26" s="448"/>
    </row>
    <row r="27" spans="1:34" ht="15" customHeight="1">
      <c r="A27" s="453" t="s">
        <v>45</v>
      </c>
      <c r="B27" s="167" t="s">
        <v>81</v>
      </c>
      <c r="C27" s="130"/>
      <c r="D27" s="168" t="s">
        <v>118</v>
      </c>
      <c r="E27" s="132"/>
      <c r="F27" s="129">
        <f>VLOOKUP(D27,廠價表!$C$1:$E$43,3,0)</f>
        <v>61.65</v>
      </c>
      <c r="G27" s="169">
        <v>2936</v>
      </c>
      <c r="H27" s="134">
        <f>F27*G27</f>
        <v>181004.4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1409.2800000000093</v>
      </c>
      <c r="O27" s="141">
        <f>N27/M27</f>
        <v>88.080000000000581</v>
      </c>
      <c r="P27" s="142">
        <f>M27-J27</f>
        <v>-2</v>
      </c>
      <c r="Q27" s="143">
        <f>O27-L27</f>
        <v>-2.8088888888883048</v>
      </c>
      <c r="R27" s="144">
        <f>O27/L27</f>
        <v>0.96909535452323381</v>
      </c>
      <c r="S27" s="456">
        <f>R37</f>
        <v>0.93288247749586362</v>
      </c>
      <c r="T27" s="171">
        <v>0.29166666666666702</v>
      </c>
      <c r="U27" s="171">
        <v>0.37847222222222199</v>
      </c>
      <c r="V27" s="135"/>
      <c r="W27" s="146">
        <f t="shared" si="4"/>
        <v>124.99999999999916</v>
      </c>
      <c r="X27" s="135"/>
      <c r="Y27" s="300"/>
      <c r="Z27" s="169"/>
      <c r="AA27" s="169"/>
      <c r="AB27" s="452"/>
      <c r="AC27" s="452"/>
      <c r="AD27" s="135"/>
      <c r="AE27" s="135"/>
      <c r="AF27" s="310">
        <f t="shared" si="6"/>
        <v>-226.7199999999907</v>
      </c>
      <c r="AG27" s="172">
        <f t="shared" si="7"/>
        <v>0.86141809290954119</v>
      </c>
      <c r="AH27" s="445">
        <f>AG37</f>
        <v>0.86310946292158897</v>
      </c>
    </row>
    <row r="28" spans="1:34" ht="15" customHeight="1">
      <c r="A28" s="454"/>
      <c r="B28" s="75" t="s">
        <v>81</v>
      </c>
      <c r="C28" s="173"/>
      <c r="D28" s="59" t="s">
        <v>119</v>
      </c>
      <c r="E28" s="104"/>
      <c r="F28" s="75">
        <f>VLOOKUP(D28,廠價表!$C$1:$E$43,3,0)</f>
        <v>52.21</v>
      </c>
      <c r="G28" s="90">
        <v>2805</v>
      </c>
      <c r="H28" s="91">
        <f>F28*G28</f>
        <v>146449.04999999999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1476.3157894736783</v>
      </c>
      <c r="O28" s="96">
        <f>N28/M28</f>
        <v>86.842105263157549</v>
      </c>
      <c r="P28" s="97">
        <f>M28-J28</f>
        <v>-1</v>
      </c>
      <c r="Q28" s="98">
        <f>O28-L28</f>
        <v>-4.0467836257313365</v>
      </c>
      <c r="R28" s="99">
        <f>O28/L28</f>
        <v>0.95547548578046204</v>
      </c>
      <c r="S28" s="457"/>
      <c r="T28" s="19">
        <v>0.38333333333333303</v>
      </c>
      <c r="U28" s="19">
        <v>0.46250000000000002</v>
      </c>
      <c r="V28" s="92">
        <f>(T28-U27)*24*60</f>
        <v>6.9999999999998952</v>
      </c>
      <c r="W28" s="149">
        <f t="shared" si="4"/>
        <v>114.00000000000047</v>
      </c>
      <c r="X28" s="174"/>
      <c r="Y28" s="301"/>
      <c r="Z28" s="335"/>
      <c r="AA28" s="335"/>
      <c r="AB28" s="450"/>
      <c r="AC28" s="450"/>
      <c r="AD28" s="92"/>
      <c r="AE28" s="92"/>
      <c r="AF28" s="311">
        <f t="shared" si="6"/>
        <v>-159.68421052632175</v>
      </c>
      <c r="AG28" s="99">
        <f t="shared" si="7"/>
        <v>0.90239351434821413</v>
      </c>
      <c r="AH28" s="466"/>
    </row>
    <row r="29" spans="1:34" ht="15" customHeight="1">
      <c r="A29" s="454"/>
      <c r="B29" s="75" t="s">
        <v>81</v>
      </c>
      <c r="C29" s="173"/>
      <c r="D29" s="59" t="s">
        <v>119</v>
      </c>
      <c r="E29" s="104"/>
      <c r="F29" s="75">
        <f>VLOOKUP(D29,廠價表!$C$1:$E$43,3,0)</f>
        <v>52.21</v>
      </c>
      <c r="G29" s="90">
        <v>1238</v>
      </c>
      <c r="H29" s="91">
        <f>F29*G29</f>
        <v>64635.98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1350.5454545454711</v>
      </c>
      <c r="O29" s="96">
        <f>N29/M29</f>
        <v>79.443850267380654</v>
      </c>
      <c r="P29" s="97">
        <f>M29-J29</f>
        <v>-1</v>
      </c>
      <c r="Q29" s="98">
        <f>O29-L29</f>
        <v>-11.445038621508232</v>
      </c>
      <c r="R29" s="99">
        <f>O29/L29</f>
        <v>0.87407659218389477</v>
      </c>
      <c r="S29" s="457"/>
      <c r="T29" s="19">
        <v>0.52430555555555602</v>
      </c>
      <c r="U29" s="19">
        <v>0.5625</v>
      </c>
      <c r="V29" s="92">
        <f>(T29-U28)*24*60</f>
        <v>89.000000000000639</v>
      </c>
      <c r="W29" s="149">
        <f t="shared" si="4"/>
        <v>54.999999999999325</v>
      </c>
      <c r="X29" s="22"/>
      <c r="Y29" s="84"/>
      <c r="Z29" s="90"/>
      <c r="AA29" s="90"/>
      <c r="AB29" s="450"/>
      <c r="AC29" s="450"/>
      <c r="AD29" s="92"/>
      <c r="AE29" s="92"/>
      <c r="AF29" s="312">
        <f t="shared" si="6"/>
        <v>-285.4545454545289</v>
      </c>
      <c r="AG29" s="99">
        <f t="shared" si="7"/>
        <v>0.82551678150701169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/>
      <c r="U30" s="19"/>
      <c r="V30" s="92"/>
      <c r="W30" s="149">
        <f t="shared" si="4"/>
        <v>0</v>
      </c>
      <c r="X30" s="174"/>
      <c r="Y30" s="301"/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>
        <f t="shared" ref="J37:O37" si="8">AVERAGE(J27:J36)</f>
        <v>18</v>
      </c>
      <c r="K37" s="155">
        <f t="shared" si="8"/>
        <v>1636</v>
      </c>
      <c r="L37" s="158">
        <f t="shared" si="8"/>
        <v>90.888888888888872</v>
      </c>
      <c r="M37" s="155">
        <f t="shared" si="8"/>
        <v>16.666666666666668</v>
      </c>
      <c r="N37" s="155">
        <f t="shared" si="8"/>
        <v>1412.0470813397196</v>
      </c>
      <c r="O37" s="158">
        <f t="shared" si="8"/>
        <v>84.788651843512923</v>
      </c>
      <c r="P37" s="159">
        <f>M37-J37</f>
        <v>-1.3333333333333321</v>
      </c>
      <c r="Q37" s="160">
        <f>N37-K37</f>
        <v>-223.95291866028037</v>
      </c>
      <c r="R37" s="161">
        <f>O37/L37</f>
        <v>0.93288247749586362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>
        <f>N37-K37</f>
        <v>-223.95291866028037</v>
      </c>
      <c r="AG37" s="124">
        <f>N37/K37</f>
        <v>0.86310946292158897</v>
      </c>
      <c r="AH37" s="448"/>
    </row>
    <row r="38" spans="1:34" ht="15" customHeight="1">
      <c r="A38" s="475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VLOOKUP(D38,廠價表!$C$1:$E$43,3,0)</f>
        <v>49.91</v>
      </c>
      <c r="G38" s="186">
        <v>2031</v>
      </c>
      <c r="H38" s="134">
        <f>F38*G38</f>
        <v>101367.20999999999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1582.5974025973785</v>
      </c>
      <c r="O38" s="141">
        <f>N38/M38</f>
        <v>98.912337662336157</v>
      </c>
      <c r="P38" s="142">
        <f>M38-J38</f>
        <v>0</v>
      </c>
      <c r="Q38" s="143">
        <f>O38-L38</f>
        <v>-8.2126623376638435</v>
      </c>
      <c r="R38" s="144">
        <f>O38/L38</f>
        <v>0.92333570746638183</v>
      </c>
      <c r="S38" s="478">
        <f>R48</f>
        <v>0.93970616476306568</v>
      </c>
      <c r="T38" s="191">
        <v>0.33333333333333298</v>
      </c>
      <c r="U38" s="191">
        <v>0.38680555555555601</v>
      </c>
      <c r="V38" s="192"/>
      <c r="W38" s="193">
        <f t="shared" si="4"/>
        <v>77.000000000001165</v>
      </c>
      <c r="X38" s="194"/>
      <c r="Y38" s="302"/>
      <c r="Z38" s="336"/>
      <c r="AA38" s="336"/>
      <c r="AB38" s="480"/>
      <c r="AC38" s="480"/>
      <c r="AD38" s="192"/>
      <c r="AE38" s="192"/>
      <c r="AF38" s="313">
        <f>N38-K38</f>
        <v>-131.4025974026215</v>
      </c>
      <c r="AG38" s="195">
        <f>N38/K38</f>
        <v>0.92333570746638183</v>
      </c>
      <c r="AH38" s="468">
        <f>AG48</f>
        <v>0.9407531410245028</v>
      </c>
    </row>
    <row r="39" spans="1:34" ht="15" customHeight="1">
      <c r="A39" s="476"/>
      <c r="B39" s="75" t="s">
        <v>120</v>
      </c>
      <c r="C39" s="197"/>
      <c r="D39" s="198" t="s">
        <v>122</v>
      </c>
      <c r="E39" s="176"/>
      <c r="F39" s="75">
        <f>VLOOKUP(D39,廠價表!$C$1:$E$43,3,0)</f>
        <v>44.3</v>
      </c>
      <c r="G39" s="199">
        <v>3164</v>
      </c>
      <c r="H39" s="91">
        <f>F39*G39</f>
        <v>140165.19999999998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1568.9256198347059</v>
      </c>
      <c r="O39" s="203">
        <f>N39/M39</f>
        <v>87.162534435261435</v>
      </c>
      <c r="P39" s="97">
        <f>M39-J39</f>
        <v>0</v>
      </c>
      <c r="Q39" s="98">
        <f>O39-L39</f>
        <v>-3.7263544536274509</v>
      </c>
      <c r="R39" s="99">
        <f>O39/L39</f>
        <v>0.95900099011901341</v>
      </c>
      <c r="S39" s="479"/>
      <c r="T39" s="20">
        <v>0.39374999999999999</v>
      </c>
      <c r="U39" s="20">
        <v>0.47777777777777802</v>
      </c>
      <c r="V39" s="92">
        <f>(T39-U38)*24*60</f>
        <v>9.999999999999325</v>
      </c>
      <c r="W39" s="205">
        <f t="shared" si="4"/>
        <v>121.00000000000037</v>
      </c>
      <c r="X39" s="22"/>
      <c r="Y39" s="84"/>
      <c r="Z39" s="90"/>
      <c r="AA39" s="90"/>
      <c r="AB39" s="471"/>
      <c r="AC39" s="471"/>
      <c r="AD39" s="200"/>
      <c r="AE39" s="200"/>
      <c r="AF39" s="314">
        <f>N39-K39</f>
        <v>-67.074380165294087</v>
      </c>
      <c r="AG39" s="206">
        <f>N39/K39</f>
        <v>0.95900099011901341</v>
      </c>
      <c r="AH39" s="469"/>
    </row>
    <row r="40" spans="1:34" ht="15" customHeight="1">
      <c r="A40" s="476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2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50"/>
      <c r="AC40" s="450"/>
      <c r="AD40" s="92"/>
      <c r="AE40" s="92"/>
      <c r="AF40" s="314">
        <f>N40-K40</f>
        <v>0</v>
      </c>
      <c r="AG40" s="206" t="e">
        <f>N40/K40</f>
        <v>#DIV/0!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>
        <f t="shared" ref="J48:O48" si="10">AVERAGE(J38:J47)</f>
        <v>17</v>
      </c>
      <c r="K48" s="155">
        <f t="shared" si="10"/>
        <v>1675</v>
      </c>
      <c r="L48" s="158">
        <f t="shared" si="10"/>
        <v>99.006944444444443</v>
      </c>
      <c r="M48" s="155">
        <f t="shared" si="10"/>
        <v>17</v>
      </c>
      <c r="N48" s="155">
        <f t="shared" si="10"/>
        <v>1575.7615112160422</v>
      </c>
      <c r="O48" s="158">
        <f t="shared" si="10"/>
        <v>93.037436048798796</v>
      </c>
      <c r="P48" s="221">
        <f>M48-J48</f>
        <v>0</v>
      </c>
      <c r="Q48" s="222">
        <f>N48-K48</f>
        <v>-99.238488783957791</v>
      </c>
      <c r="R48" s="223">
        <f>O48/L48</f>
        <v>0.93970616476306568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>
        <f t="shared" ref="AF48:AF53" si="11">N48-K48</f>
        <v>-99.238488783957791</v>
      </c>
      <c r="AG48" s="162">
        <f t="shared" ref="AG48:AG53" si="12">N48/K48</f>
        <v>0.9407531410245028</v>
      </c>
      <c r="AH48" s="470"/>
    </row>
    <row r="49" spans="1:34" ht="15" customHeight="1">
      <c r="A49" s="472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VLOOKUP(D49,廠價表!$C$1:$E$43,3,0)</f>
        <v>50.289000000000001</v>
      </c>
      <c r="G49" s="228">
        <v>2103</v>
      </c>
      <c r="H49" s="134">
        <f>F49*G49</f>
        <v>105757.76700000001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1520.2409638554197</v>
      </c>
      <c r="O49" s="141">
        <f>N49/M49</f>
        <v>89.425939050318803</v>
      </c>
      <c r="P49" s="229">
        <f>M49-J49</f>
        <v>0</v>
      </c>
      <c r="Q49" s="230">
        <f>O49-L49</f>
        <v>-6.809355067328255</v>
      </c>
      <c r="R49" s="52">
        <f>O49/L49</f>
        <v>0.92924264294341052</v>
      </c>
      <c r="S49" s="420">
        <f>R58</f>
        <v>0.87895823339328594</v>
      </c>
      <c r="T49" s="191">
        <v>0.29166666666666702</v>
      </c>
      <c r="U49" s="191">
        <v>0.34930555555555598</v>
      </c>
      <c r="V49" s="55"/>
      <c r="W49" s="193">
        <f t="shared" si="4"/>
        <v>83.000000000000099</v>
      </c>
      <c r="X49" s="55"/>
      <c r="Y49" s="290"/>
      <c r="Z49" s="169"/>
      <c r="AA49" s="169"/>
      <c r="AB49" s="452"/>
      <c r="AC49" s="452"/>
      <c r="AD49" s="135"/>
      <c r="AE49" s="135"/>
      <c r="AF49" s="229">
        <f t="shared" si="11"/>
        <v>-115.75903614458025</v>
      </c>
      <c r="AG49" s="52">
        <f t="shared" si="12"/>
        <v>0.92924264294341063</v>
      </c>
      <c r="AH49" s="445">
        <f>AG58</f>
        <v>0.84841092671285923</v>
      </c>
    </row>
    <row r="50" spans="1:34" ht="15" customHeight="1">
      <c r="A50" s="473"/>
      <c r="B50" s="75" t="s">
        <v>81</v>
      </c>
      <c r="C50" s="76"/>
      <c r="D50" s="59" t="s">
        <v>124</v>
      </c>
      <c r="E50" s="77"/>
      <c r="F50" s="75">
        <f>VLOOKUP(D50,廠價表!$C$1:$E$43,3,0)</f>
        <v>49.97</v>
      </c>
      <c r="G50" s="202">
        <v>4169</v>
      </c>
      <c r="H50" s="231">
        <f>F50*G50</f>
        <v>208324.93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1497.8443113772485</v>
      </c>
      <c r="O50" s="235">
        <f>N50/M50</f>
        <v>93.615269461078029</v>
      </c>
      <c r="P50" s="74">
        <f>M50-J50</f>
        <v>0</v>
      </c>
      <c r="Q50" s="83">
        <f>O50-L50</f>
        <v>-18.884730538921971</v>
      </c>
      <c r="R50" s="72">
        <f>O50/L50</f>
        <v>0.83213572854291584</v>
      </c>
      <c r="S50" s="421"/>
      <c r="T50" s="21">
        <v>0.35416666666666702</v>
      </c>
      <c r="U50" s="21">
        <v>0.47013888888888899</v>
      </c>
      <c r="V50" s="30">
        <f>(T50-U49)*24*60</f>
        <v>6.9999999999998952</v>
      </c>
      <c r="W50" s="236">
        <f t="shared" si="4"/>
        <v>166.99999999999966</v>
      </c>
      <c r="X50" s="22"/>
      <c r="Y50" s="84"/>
      <c r="Z50" s="90"/>
      <c r="AA50" s="90"/>
      <c r="AB50" s="450"/>
      <c r="AC50" s="450"/>
      <c r="AD50" s="92"/>
      <c r="AE50" s="92"/>
      <c r="AF50" s="307">
        <f t="shared" si="11"/>
        <v>-302.15568862275154</v>
      </c>
      <c r="AG50" s="72">
        <f t="shared" si="12"/>
        <v>0.83213572854291584</v>
      </c>
      <c r="AH50" s="446"/>
    </row>
    <row r="51" spans="1:34" ht="15" customHeight="1">
      <c r="A51" s="473"/>
      <c r="B51" s="75" t="s">
        <v>120</v>
      </c>
      <c r="C51" s="76"/>
      <c r="D51" s="59" t="s">
        <v>122</v>
      </c>
      <c r="E51" s="77"/>
      <c r="F51" s="75">
        <f>VLOOKUP(D51,廠價表!$C$1:$E$43,3,0)</f>
        <v>44.3</v>
      </c>
      <c r="G51" s="202">
        <v>1949</v>
      </c>
      <c r="H51" s="231">
        <f>F51*G51</f>
        <v>86340.7</v>
      </c>
      <c r="I51" s="232"/>
      <c r="J51" s="79">
        <f>VLOOKUP(D51,產線配置圖!$A$3:$C$40,2,0)</f>
        <v>18</v>
      </c>
      <c r="K51" s="80">
        <f>VLOOKUP(D51,產線配置圖!$A$3:$C$40,3,0)</f>
        <v>1636</v>
      </c>
      <c r="L51" s="81">
        <f>K51/J51</f>
        <v>90.888888888888886</v>
      </c>
      <c r="M51" s="233">
        <v>16</v>
      </c>
      <c r="N51" s="234">
        <f>G51/W51*60</f>
        <v>1285.054945054954</v>
      </c>
      <c r="O51" s="235">
        <f>N51/M51</f>
        <v>80.315934065934627</v>
      </c>
      <c r="P51" s="74">
        <f>M51-J51</f>
        <v>-2</v>
      </c>
      <c r="Q51" s="83">
        <f>O51-L51</f>
        <v>-10.572954822954259</v>
      </c>
      <c r="R51" s="72">
        <f>O51/L51</f>
        <v>0.88367164620221472</v>
      </c>
      <c r="S51" s="421"/>
      <c r="T51" s="21">
        <v>0.53402777777777799</v>
      </c>
      <c r="U51" s="19">
        <v>0.59722222222222199</v>
      </c>
      <c r="V51" s="30">
        <f>(T51-U50)*24*60</f>
        <v>92.000000000000156</v>
      </c>
      <c r="W51" s="236">
        <f t="shared" si="4"/>
        <v>90.999999999999361</v>
      </c>
      <c r="X51" s="22"/>
      <c r="Y51" s="84"/>
      <c r="Z51" s="90"/>
      <c r="AA51" s="90"/>
      <c r="AB51" s="450"/>
      <c r="AC51" s="450"/>
      <c r="AD51" s="92"/>
      <c r="AE51" s="92"/>
      <c r="AF51" s="307">
        <f t="shared" si="11"/>
        <v>-350.94505494504597</v>
      </c>
      <c r="AG51" s="72">
        <f t="shared" si="12"/>
        <v>0.78548590773530202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>
        <f t="shared" ref="J58:O58" si="13">AVERAGE(J49:J57)</f>
        <v>17</v>
      </c>
      <c r="K58" s="120">
        <f t="shared" si="13"/>
        <v>1690.6666666666667</v>
      </c>
      <c r="L58" s="117">
        <f t="shared" si="13"/>
        <v>99.874727668845324</v>
      </c>
      <c r="M58" s="120">
        <f t="shared" si="13"/>
        <v>16.333333333333332</v>
      </c>
      <c r="N58" s="120">
        <f t="shared" si="13"/>
        <v>1434.3800734292074</v>
      </c>
      <c r="O58" s="117">
        <f t="shared" si="13"/>
        <v>87.78571419244382</v>
      </c>
      <c r="P58" s="121">
        <f>M58-J58</f>
        <v>-0.66666666666666785</v>
      </c>
      <c r="Q58" s="122">
        <f>N58-K58</f>
        <v>-256.28659323745933</v>
      </c>
      <c r="R58" s="123">
        <f>O58/L58</f>
        <v>0.87895823339328594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>
        <f>N58-K58</f>
        <v>-256.28659323745933</v>
      </c>
      <c r="AG58" s="124">
        <f>N58/K58</f>
        <v>0.84841092671285923</v>
      </c>
      <c r="AH58" s="448"/>
    </row>
    <row r="59" spans="1:34" ht="15" customHeight="1">
      <c r="A59" s="486" t="s">
        <v>52</v>
      </c>
      <c r="B59" s="129" t="s">
        <v>125</v>
      </c>
      <c r="C59" s="130"/>
      <c r="D59" s="131" t="s">
        <v>126</v>
      </c>
      <c r="E59" s="132"/>
      <c r="F59" s="129">
        <f>VLOOKUP(D59,廠價表!$C$1:$E$43,3,0)</f>
        <v>26.99</v>
      </c>
      <c r="G59" s="55">
        <v>3157</v>
      </c>
      <c r="H59" s="243">
        <f>F59*G59</f>
        <v>85207.43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1491.4960629921331</v>
      </c>
      <c r="O59" s="138">
        <f>N59/M59</f>
        <v>99.433070866142216</v>
      </c>
      <c r="P59" s="56">
        <f>M59-J59</f>
        <v>0</v>
      </c>
      <c r="Q59" s="230">
        <f>O59-L59</f>
        <v>-9.6335958005244464</v>
      </c>
      <c r="R59" s="52">
        <f>O59/L59</f>
        <v>0.91167241014189082</v>
      </c>
      <c r="S59" s="420">
        <f>R69</f>
        <v>0.85063103284682695</v>
      </c>
      <c r="T59" s="245">
        <v>0.29513888888888901</v>
      </c>
      <c r="U59" s="245">
        <v>0.38333333333333303</v>
      </c>
      <c r="V59" s="55"/>
      <c r="W59" s="54">
        <f t="shared" si="4"/>
        <v>126.99999999999939</v>
      </c>
      <c r="X59" s="55"/>
      <c r="Y59" s="290"/>
      <c r="Z59" s="169"/>
      <c r="AA59" s="169"/>
      <c r="AB59" s="452"/>
      <c r="AC59" s="452"/>
      <c r="AD59" s="135"/>
      <c r="AE59" s="135"/>
      <c r="AF59" s="310">
        <f>N59-K59</f>
        <v>-144.50393700786685</v>
      </c>
      <c r="AG59" s="246">
        <f>N59/K59</f>
        <v>0.91167241014189071</v>
      </c>
      <c r="AH59" s="445">
        <f>AG69</f>
        <v>0.85388657296923054</v>
      </c>
    </row>
    <row r="60" spans="1:34" ht="15" customHeight="1">
      <c r="A60" s="487"/>
      <c r="B60" s="75" t="s">
        <v>125</v>
      </c>
      <c r="C60" s="86"/>
      <c r="D60" s="175" t="s">
        <v>127</v>
      </c>
      <c r="E60" s="87"/>
      <c r="F60" s="75">
        <f>VLOOKUP(D60,廠價表!$C$1:$E$43,3,0)</f>
        <v>28.26</v>
      </c>
      <c r="G60" s="30">
        <v>1116</v>
      </c>
      <c r="H60" s="78">
        <f>F60*G60</f>
        <v>31538.160000000003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1395.0000000000143</v>
      </c>
      <c r="O60" s="81">
        <f>N60/M60</f>
        <v>126.81818181818312</v>
      </c>
      <c r="P60" s="74">
        <f>M60-J60</f>
        <v>0</v>
      </c>
      <c r="Q60" s="83">
        <f>O60-L60</f>
        <v>-21.909090909089599</v>
      </c>
      <c r="R60" s="72">
        <f>O60/L60</f>
        <v>0.85268948655257604</v>
      </c>
      <c r="S60" s="490"/>
      <c r="T60" s="22">
        <v>0.39374999999999999</v>
      </c>
      <c r="U60" s="22">
        <v>0.42708333333333298</v>
      </c>
      <c r="V60" s="30">
        <f>(T60-U59)*24*60</f>
        <v>15.000000000000426</v>
      </c>
      <c r="W60" s="248">
        <f t="shared" si="4"/>
        <v>47.99999999999951</v>
      </c>
      <c r="X60" s="232"/>
      <c r="Y60" s="177"/>
      <c r="Z60" s="90"/>
      <c r="AA60" s="90"/>
      <c r="AB60" s="450"/>
      <c r="AC60" s="450"/>
      <c r="AD60" s="92"/>
      <c r="AE60" s="92"/>
      <c r="AF60" s="316">
        <f>N60-K60</f>
        <v>-240.99999999998568</v>
      </c>
      <c r="AG60" s="249">
        <f>N60/K60</f>
        <v>0.85268948655257604</v>
      </c>
      <c r="AH60" s="481"/>
    </row>
    <row r="61" spans="1:34" ht="15" customHeight="1">
      <c r="A61" s="488"/>
      <c r="B61" s="250" t="s">
        <v>125</v>
      </c>
      <c r="C61" s="251"/>
      <c r="D61" s="252" t="s">
        <v>128</v>
      </c>
      <c r="E61" s="253"/>
      <c r="F61" s="250">
        <f>VLOOKUP(D61,廠價表!$C$1:$E$43,3,0)</f>
        <v>28.26</v>
      </c>
      <c r="G61" s="38">
        <v>638</v>
      </c>
      <c r="H61" s="254">
        <f>F61*G61</f>
        <v>18029.88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1093.7142857143122</v>
      </c>
      <c r="O61" s="238">
        <f>N61/M61</f>
        <v>99.428571428573832</v>
      </c>
      <c r="P61" s="111">
        <f>M61-J61</f>
        <v>0</v>
      </c>
      <c r="Q61" s="255">
        <f>O61-L61</f>
        <v>-49.298701298698887</v>
      </c>
      <c r="R61" s="85">
        <f>O61/L61</f>
        <v>0.66852951449530085</v>
      </c>
      <c r="S61" s="421"/>
      <c r="T61" s="22">
        <v>0.43402777777777801</v>
      </c>
      <c r="U61" s="22">
        <v>0.45833333333333298</v>
      </c>
      <c r="V61" s="30">
        <f>(T61-U60)*24*60</f>
        <v>10.000000000000844</v>
      </c>
      <c r="W61" s="256">
        <f t="shared" si="4"/>
        <v>34.999999999999154</v>
      </c>
      <c r="X61" s="22"/>
      <c r="Y61" s="84"/>
      <c r="Z61" s="90"/>
      <c r="AA61" s="90"/>
      <c r="AB61" s="450" t="s">
        <v>129</v>
      </c>
      <c r="AC61" s="450"/>
      <c r="AD61" s="92"/>
      <c r="AE61" s="92"/>
      <c r="AF61" s="317">
        <f>N61-K61</f>
        <v>-542.28571428568785</v>
      </c>
      <c r="AG61" s="247">
        <f>N61/K61</f>
        <v>0.66852951449530085</v>
      </c>
      <c r="AH61" s="446"/>
    </row>
    <row r="62" spans="1:34" ht="15" customHeight="1">
      <c r="A62" s="488"/>
      <c r="B62" s="250" t="s">
        <v>125</v>
      </c>
      <c r="C62" s="251"/>
      <c r="D62" s="257" t="s">
        <v>130</v>
      </c>
      <c r="E62" s="253"/>
      <c r="F62" s="250">
        <f>VLOOKUP(D62,廠價表!$C$1:$E$43,3,0)</f>
        <v>28.26</v>
      </c>
      <c r="G62" s="38">
        <v>1388</v>
      </c>
      <c r="H62" s="254">
        <f t="shared" ref="H62:H63" si="14">F62*G62</f>
        <v>39224.880000000005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5">K62/J62</f>
        <v>148.72727272727272</v>
      </c>
      <c r="M62" s="108">
        <v>11</v>
      </c>
      <c r="N62" s="107">
        <f t="shared" ref="N62:N63" si="16">G62/W62*60</f>
        <v>1514.1818181818369</v>
      </c>
      <c r="O62" s="238">
        <f t="shared" ref="O62:O63" si="17">N62/M62</f>
        <v>137.65289256198517</v>
      </c>
      <c r="P62" s="111">
        <f t="shared" ref="P62:P63" si="18">M62-J62</f>
        <v>0</v>
      </c>
      <c r="Q62" s="255">
        <f t="shared" ref="Q62:Q63" si="19">O62-L62</f>
        <v>-11.07438016528755</v>
      </c>
      <c r="R62" s="85">
        <f t="shared" ref="R62:R63" si="20">O62/L62</f>
        <v>0.9255390086686045</v>
      </c>
      <c r="S62" s="421"/>
      <c r="T62" s="22">
        <v>0.46527777777777801</v>
      </c>
      <c r="U62" s="22">
        <v>0.50347222222222199</v>
      </c>
      <c r="V62" s="30">
        <f>(T62-U61)*24*60</f>
        <v>10.000000000000844</v>
      </c>
      <c r="W62" s="248">
        <f t="shared" si="4"/>
        <v>54.999999999999325</v>
      </c>
      <c r="X62" s="22"/>
      <c r="Y62" s="84"/>
      <c r="Z62" s="90"/>
      <c r="AA62" s="90"/>
      <c r="AB62" s="450"/>
      <c r="AC62" s="450"/>
      <c r="AD62" s="92"/>
      <c r="AE62" s="92"/>
      <c r="AF62" s="317">
        <f>N62-K62</f>
        <v>-121.81818181816311</v>
      </c>
      <c r="AG62" s="247">
        <f>N62/K62</f>
        <v>0.9255390086686045</v>
      </c>
      <c r="AH62" s="446"/>
    </row>
    <row r="63" spans="1:34" ht="15" customHeight="1">
      <c r="A63" s="488"/>
      <c r="B63" s="258" t="s">
        <v>125</v>
      </c>
      <c r="C63" s="58"/>
      <c r="D63" s="259" t="s">
        <v>130</v>
      </c>
      <c r="E63" s="60"/>
      <c r="F63" s="250">
        <f>VLOOKUP(D63,廠價表!$C$1:$E$43,3,0)</f>
        <v>28.26</v>
      </c>
      <c r="G63" s="260">
        <v>1863</v>
      </c>
      <c r="H63" s="254">
        <f t="shared" si="14"/>
        <v>52648.380000000005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5"/>
        <v>148.72727272727272</v>
      </c>
      <c r="M63" s="68">
        <v>11</v>
      </c>
      <c r="N63" s="107">
        <f t="shared" si="16"/>
        <v>1490.4000000000085</v>
      </c>
      <c r="O63" s="238">
        <f t="shared" si="17"/>
        <v>135.49090909090987</v>
      </c>
      <c r="P63" s="111">
        <f t="shared" si="18"/>
        <v>0</v>
      </c>
      <c r="Q63" s="255">
        <f t="shared" si="19"/>
        <v>-13.236363636362853</v>
      </c>
      <c r="R63" s="85">
        <f t="shared" si="20"/>
        <v>0.91100244498778027</v>
      </c>
      <c r="S63" s="421"/>
      <c r="T63" s="22">
        <v>0.55902777777777801</v>
      </c>
      <c r="U63" s="22">
        <v>0.61111111111111105</v>
      </c>
      <c r="V63" s="30">
        <f>(T63-U62)*24*60</f>
        <v>80.000000000000682</v>
      </c>
      <c r="W63" s="248">
        <f t="shared" si="4"/>
        <v>74.999999999999574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2"/>
      <c r="U66" s="22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>
        <f t="shared" ref="J69:O69" si="21">AVERAGE(J59:J68)</f>
        <v>11.8</v>
      </c>
      <c r="K69" s="240">
        <f t="shared" si="21"/>
        <v>1636</v>
      </c>
      <c r="L69" s="268">
        <f t="shared" si="21"/>
        <v>140.79515151515153</v>
      </c>
      <c r="M69" s="240">
        <f t="shared" si="21"/>
        <v>11.8</v>
      </c>
      <c r="N69" s="240">
        <f t="shared" si="21"/>
        <v>1396.9584333776611</v>
      </c>
      <c r="O69" s="268">
        <f t="shared" si="21"/>
        <v>119.76472515315884</v>
      </c>
      <c r="P69" s="269">
        <f>M69-J69</f>
        <v>0</v>
      </c>
      <c r="Q69" s="222">
        <f>N69-K69</f>
        <v>-239.04156662233891</v>
      </c>
      <c r="R69" s="123">
        <f>O69/L69</f>
        <v>0.85063103284682695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>
        <f>N69-K69</f>
        <v>-239.04156662233891</v>
      </c>
      <c r="AG69" s="124">
        <f>N69/K69</f>
        <v>0.85388657296923054</v>
      </c>
      <c r="AH69" s="448"/>
    </row>
    <row r="70" spans="1:36" ht="15" customHeight="1">
      <c r="A70" s="482" t="s">
        <v>55</v>
      </c>
      <c r="B70" s="129" t="s">
        <v>81</v>
      </c>
      <c r="C70" s="129"/>
      <c r="D70" s="131" t="s">
        <v>131</v>
      </c>
      <c r="E70" s="132"/>
      <c r="F70" s="129">
        <f>VLOOKUP(D70,廠價表!$C$1:$E$43,3,0)</f>
        <v>43.89</v>
      </c>
      <c r="G70" s="55">
        <v>2761</v>
      </c>
      <c r="H70" s="243">
        <f>F70*G70</f>
        <v>121180.29000000001</v>
      </c>
      <c r="I70" s="55"/>
      <c r="J70" s="136">
        <f>VLOOKUP(D70,產線配置圖!$A$3:$C$40,2,0)</f>
        <v>11</v>
      </c>
      <c r="K70" s="137">
        <f>VLOOKUP(D70,產線配置圖!$A$3:$C$40,3,0)</f>
        <v>1565</v>
      </c>
      <c r="L70" s="138">
        <f>K70/J70</f>
        <v>142.27272727272728</v>
      </c>
      <c r="M70" s="244">
        <v>8</v>
      </c>
      <c r="N70" s="137">
        <f>G70/W70*60</f>
        <v>1089.8684210526269</v>
      </c>
      <c r="O70" s="138">
        <f>N70/M70</f>
        <v>136.23355263157836</v>
      </c>
      <c r="P70" s="56">
        <f>M70-J70</f>
        <v>-3</v>
      </c>
      <c r="Q70" s="230">
        <f>O70-L70</f>
        <v>-6.039174641148918</v>
      </c>
      <c r="R70" s="52">
        <f>O70/L70</f>
        <v>0.95755212712291493</v>
      </c>
      <c r="S70" s="420">
        <f>R79</f>
        <v>0.91068406921602074</v>
      </c>
      <c r="T70" s="245">
        <v>0.33333333333333298</v>
      </c>
      <c r="U70" s="245">
        <v>0.43888888888888899</v>
      </c>
      <c r="V70" s="55"/>
      <c r="W70" s="54">
        <f t="shared" si="4"/>
        <v>152.00000000000065</v>
      </c>
      <c r="X70" s="270"/>
      <c r="Y70" s="292"/>
      <c r="Z70" s="169"/>
      <c r="AA70" s="169"/>
      <c r="AB70" s="452"/>
      <c r="AC70" s="452"/>
      <c r="AD70" s="135"/>
      <c r="AE70" s="135"/>
      <c r="AF70" s="310">
        <f>N70-K70</f>
        <v>-475.1315789473731</v>
      </c>
      <c r="AG70" s="246">
        <f>N70/K70</f>
        <v>0.69640154699848367</v>
      </c>
      <c r="AH70" s="445">
        <f>AG79</f>
        <v>0.63755445713185155</v>
      </c>
    </row>
    <row r="71" spans="1:36" ht="15" customHeight="1">
      <c r="A71" s="483"/>
      <c r="B71" s="75" t="s">
        <v>81</v>
      </c>
      <c r="C71" s="76"/>
      <c r="D71" s="59" t="s">
        <v>132</v>
      </c>
      <c r="E71" s="77"/>
      <c r="F71" s="250">
        <f>VLOOKUP(D71,廠價表!$C$1:$E$43,3,0)</f>
        <v>46.34</v>
      </c>
      <c r="G71" s="30">
        <v>840</v>
      </c>
      <c r="H71" s="254">
        <f>F71*G71</f>
        <v>38925.600000000006</v>
      </c>
      <c r="I71" s="182"/>
      <c r="J71" s="106">
        <f>VLOOKUP(D71,產線配置圖!$A$3:$C$40,2,0)</f>
        <v>16</v>
      </c>
      <c r="K71" s="107">
        <f>VLOOKUP(D71,產線配置圖!$A$3:$C$40,3,0)</f>
        <v>1636</v>
      </c>
      <c r="L71" s="238">
        <f>K71/J71</f>
        <v>102.25</v>
      </c>
      <c r="M71" s="82">
        <v>11</v>
      </c>
      <c r="N71" s="80">
        <f>G71/W71*60</f>
        <v>950.94339622642997</v>
      </c>
      <c r="O71" s="81">
        <f>N71/M71</f>
        <v>86.449399656948174</v>
      </c>
      <c r="P71" s="74">
        <f>M71-J71</f>
        <v>-5</v>
      </c>
      <c r="Q71" s="83">
        <f>O71-L71</f>
        <v>-15.800600343051826</v>
      </c>
      <c r="R71" s="72">
        <f>O71/L71</f>
        <v>0.84547090129044666</v>
      </c>
      <c r="S71" s="421"/>
      <c r="T71" s="22">
        <v>0.44791666666666702</v>
      </c>
      <c r="U71" s="22">
        <v>0.484722222222222</v>
      </c>
      <c r="V71" s="30">
        <f>(T71-U70)*24*60</f>
        <v>13.000000000000353</v>
      </c>
      <c r="W71" s="73">
        <f t="shared" si="4"/>
        <v>52.999999999999176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>
        <f t="shared" ref="J79:O79" si="22">AVERAGE(J70:J78)</f>
        <v>13.5</v>
      </c>
      <c r="K79" s="240">
        <f t="shared" si="22"/>
        <v>1600.5</v>
      </c>
      <c r="L79" s="268">
        <f t="shared" si="22"/>
        <v>122.26136363636364</v>
      </c>
      <c r="M79" s="240">
        <f t="shared" si="22"/>
        <v>9.5</v>
      </c>
      <c r="N79" s="240">
        <f t="shared" si="22"/>
        <v>1020.4059086395284</v>
      </c>
      <c r="O79" s="268">
        <f t="shared" si="22"/>
        <v>111.34147614426327</v>
      </c>
      <c r="P79" s="269">
        <f>M79-J79</f>
        <v>-4</v>
      </c>
      <c r="Q79" s="222">
        <f>N79-K79</f>
        <v>-580.09409136047157</v>
      </c>
      <c r="R79" s="223">
        <f>O79/L79</f>
        <v>0.91068406921602074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>
        <f>N79-K79</f>
        <v>-580.09409136047157</v>
      </c>
      <c r="AG79" s="124">
        <f>N79/K79</f>
        <v>0.63755445713185155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327-2C94-4247-A034-6E8132CD2CFB}">
  <dimension ref="B1:O26"/>
  <sheetViews>
    <sheetView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46297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>
        <f>AVERAGE(D13:J13)</f>
        <v>130.93755125593361</v>
      </c>
      <c r="G6" s="374"/>
      <c r="H6" s="375">
        <f>AVERAGE(D13:H13)</f>
        <v>127.09560206133736</v>
      </c>
      <c r="I6" s="375"/>
      <c r="J6" s="375">
        <f>AVERAGE(I13:J13)</f>
        <v>140.54242424242426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114.46452526338615</v>
      </c>
      <c r="G7" s="398"/>
      <c r="H7" s="399">
        <f>AVERAGE(D14:H14)</f>
        <v>108.89261057170172</v>
      </c>
      <c r="I7" s="399"/>
      <c r="J7" s="399">
        <f>AVERAGE(I14:J14)</f>
        <v>128.3943119925973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>
        <f>AVERAGE(D15:J15)</f>
        <v>0.87855005289590404</v>
      </c>
      <c r="G8" s="371"/>
      <c r="H8" s="371">
        <f>AVERAGE(D15:H15)</f>
        <v>0.86465191665946206</v>
      </c>
      <c r="I8" s="371"/>
      <c r="J8" s="371">
        <f>AVERAGE(I15:J15)</f>
        <v>0.91329539348700894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>
        <f>VALUE('1002'!L15)</f>
        <v>164.83516483516482</v>
      </c>
      <c r="E13" s="13">
        <f>VALUE('1002'!L26)</f>
        <v>174.10714285714286</v>
      </c>
      <c r="F13" s="13">
        <f>VALUE('1002'!L37)</f>
        <v>93.161111111111111</v>
      </c>
      <c r="G13" s="13">
        <f>VALUE('1002'!L48)</f>
        <v>99.006944444444443</v>
      </c>
      <c r="H13" s="13">
        <f>VALUE('1002'!L58)</f>
        <v>104.36764705882354</v>
      </c>
      <c r="I13" s="13">
        <f>VALUE('1002'!L69)</f>
        <v>138.81212121212121</v>
      </c>
      <c r="J13" s="13">
        <f>'1002'!L79</f>
        <v>142.27272727272728</v>
      </c>
    </row>
    <row r="14" spans="2:15" ht="39.950000000000003" customHeight="1">
      <c r="B14" s="392"/>
      <c r="C14" s="12" t="s">
        <v>100</v>
      </c>
      <c r="D14" s="13">
        <f>VALUE('1002'!O15)</f>
        <v>135.4697129793293</v>
      </c>
      <c r="E14" s="13">
        <f>VALUE('1002'!O26)</f>
        <v>146.55215246799401</v>
      </c>
      <c r="F14" s="13">
        <f>VALUE('1002'!O37)</f>
        <v>85.599073665665543</v>
      </c>
      <c r="G14" s="13">
        <f>VALUE('1002'!O48)</f>
        <v>89.499118165784949</v>
      </c>
      <c r="H14" s="13">
        <f>VALUE('1002'!O58)</f>
        <v>87.342995579734847</v>
      </c>
      <c r="I14" s="13">
        <f>VALUE('1002'!O69)</f>
        <v>123.76298295955229</v>
      </c>
      <c r="J14" s="13">
        <f>'1002'!O79</f>
        <v>133.02564102564227</v>
      </c>
    </row>
    <row r="15" spans="2:15" ht="39.950000000000003" customHeight="1">
      <c r="B15" s="393"/>
      <c r="C15" s="10" t="s">
        <v>26</v>
      </c>
      <c r="D15" s="14">
        <f t="shared" ref="D15:I15" si="0">D14/D13</f>
        <v>0.82184959207459785</v>
      </c>
      <c r="E15" s="14">
        <f t="shared" si="0"/>
        <v>0.84173543981617072</v>
      </c>
      <c r="F15" s="14">
        <f t="shared" si="0"/>
        <v>0.91882838927901467</v>
      </c>
      <c r="G15" s="14">
        <f t="shared" si="0"/>
        <v>0.9039680869659138</v>
      </c>
      <c r="H15" s="14">
        <f t="shared" si="0"/>
        <v>0.83687807516161328</v>
      </c>
      <c r="I15" s="14">
        <f t="shared" si="0"/>
        <v>0.89158628136247497</v>
      </c>
      <c r="J15" s="15">
        <f>'1002'!S70</f>
        <v>0.93500450561154302</v>
      </c>
    </row>
    <row r="16" spans="2:15" ht="17.25" customHeight="1">
      <c r="B16" s="394" t="s">
        <v>101</v>
      </c>
      <c r="C16" s="10" t="s">
        <v>34</v>
      </c>
      <c r="D16" s="16">
        <f>'1002'!T5</f>
        <v>0.29166666666666702</v>
      </c>
      <c r="E16" s="16">
        <f>'1002'!T16</f>
        <v>0.29236111111111102</v>
      </c>
      <c r="F16" s="16">
        <f>'1002'!T27</f>
        <v>0.29166666666666702</v>
      </c>
      <c r="G16" s="16">
        <f>'1002'!T38</f>
        <v>0.33333333333333298</v>
      </c>
      <c r="H16" s="16">
        <f>'1002'!T49</f>
        <v>0.29166666666666702</v>
      </c>
      <c r="I16" s="16">
        <f>'1002'!T59</f>
        <v>0.29375000000000001</v>
      </c>
      <c r="J16" s="17">
        <f>'1002'!T70</f>
        <v>0.29166666666666702</v>
      </c>
    </row>
    <row r="17" spans="2:10" ht="17.25" customHeight="1">
      <c r="B17" s="395"/>
      <c r="C17" s="10" t="s">
        <v>35</v>
      </c>
      <c r="D17" s="18">
        <v>0.48125000000000001</v>
      </c>
      <c r="E17" s="183">
        <v>0.45486111111111099</v>
      </c>
      <c r="F17" s="19">
        <v>0.61666666666666703</v>
      </c>
      <c r="G17" s="328">
        <v>0.48263888888888901</v>
      </c>
      <c r="H17" s="21">
        <v>0.468055555555556</v>
      </c>
      <c r="I17" s="110">
        <v>0.50347222222222199</v>
      </c>
      <c r="J17" s="110">
        <v>0.38194444444444398</v>
      </c>
    </row>
    <row r="18" spans="2:10" ht="17.25" customHeight="1">
      <c r="B18" s="396" t="s">
        <v>102</v>
      </c>
      <c r="C18" s="330" t="s">
        <v>36</v>
      </c>
      <c r="D18" s="359">
        <f>'1002'!Z15</f>
        <v>0</v>
      </c>
      <c r="E18" s="360">
        <f>'1002'!Z26</f>
        <v>0</v>
      </c>
      <c r="F18" s="360">
        <f>'1002'!Z37</f>
        <v>0</v>
      </c>
      <c r="G18" s="361">
        <f>'1002'!Z48</f>
        <v>0</v>
      </c>
      <c r="H18" s="361">
        <f>'1002'!Z58</f>
        <v>1</v>
      </c>
      <c r="I18" s="360">
        <f>'1002'!Z69</f>
        <v>0</v>
      </c>
      <c r="J18" s="360">
        <f>'1002'!AA79</f>
        <v>0</v>
      </c>
    </row>
    <row r="19" spans="2:10" ht="17.25" customHeight="1">
      <c r="B19" s="397"/>
      <c r="C19" s="330" t="s">
        <v>37</v>
      </c>
      <c r="D19" s="359">
        <f>'1002'!AA15</f>
        <v>0</v>
      </c>
      <c r="E19" s="360">
        <f>'1002'!AA26</f>
        <v>0</v>
      </c>
      <c r="F19" s="360">
        <f>'1002'!AA37</f>
        <v>0</v>
      </c>
      <c r="G19" s="361">
        <f>'1002'!AA48</f>
        <v>0</v>
      </c>
      <c r="H19" s="361">
        <f>'1002'!AA58</f>
        <v>26</v>
      </c>
      <c r="I19" s="360">
        <f>'1002'!AA69</f>
        <v>0</v>
      </c>
      <c r="J19" s="360">
        <f>'1002'!AB79</f>
        <v>0</v>
      </c>
    </row>
    <row r="20" spans="2:10" ht="17.25" customHeight="1">
      <c r="B20" s="396" t="s">
        <v>103</v>
      </c>
      <c r="C20" s="330" t="s">
        <v>36</v>
      </c>
      <c r="D20" s="359">
        <f>'1002'!AD15</f>
        <v>0</v>
      </c>
      <c r="E20" s="360">
        <f>'1002'!AD26</f>
        <v>0</v>
      </c>
      <c r="F20" s="360">
        <f>'1002'!AD37</f>
        <v>0</v>
      </c>
      <c r="G20" s="361">
        <f>'1002'!AD48</f>
        <v>0</v>
      </c>
      <c r="H20" s="361">
        <f>'1002'!AD58</f>
        <v>0</v>
      </c>
      <c r="I20" s="360">
        <f>'1002'!AD69</f>
        <v>0</v>
      </c>
      <c r="J20" s="360">
        <f>'1002'!AD79</f>
        <v>0</v>
      </c>
    </row>
    <row r="21" spans="2:10" ht="17.25" customHeight="1">
      <c r="B21" s="397"/>
      <c r="C21" s="330" t="s">
        <v>85</v>
      </c>
      <c r="D21" s="359">
        <f>'1002'!AE15</f>
        <v>0</v>
      </c>
      <c r="E21" s="360">
        <f>'1002'!AE26</f>
        <v>0</v>
      </c>
      <c r="F21" s="360">
        <f>'1002'!AE37</f>
        <v>0</v>
      </c>
      <c r="G21" s="361">
        <f>'1002'!AE48</f>
        <v>0</v>
      </c>
      <c r="H21" s="361">
        <f>'1002'!AE58</f>
        <v>0</v>
      </c>
      <c r="I21" s="360">
        <f>'1002'!AE69</f>
        <v>0</v>
      </c>
      <c r="J21" s="360">
        <f>'1002'!AE79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910F-919A-4194-A227-7D945621AA48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G76" sqref="G76"/>
      <selection pane="topRight" activeCell="G76" sqref="G76"/>
      <selection pane="bottomLeft" activeCell="G76" sqref="G76"/>
      <selection pane="bottomRight" activeCell="U50" sqref="U5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43337</v>
      </c>
      <c r="F1" s="30" t="s">
        <v>2</v>
      </c>
      <c r="G1" s="31">
        <f>SUM(H5:H79)</f>
        <v>2052134.334</v>
      </c>
      <c r="H1" s="32" t="s">
        <v>3</v>
      </c>
      <c r="I1" s="33">
        <f>M15+M26+M48+M58+M69+M79+M37</f>
        <v>97.716666666666654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133</v>
      </c>
      <c r="B2" s="417"/>
      <c r="C2" s="28"/>
      <c r="D2" s="28" t="s">
        <v>14</v>
      </c>
      <c r="E2" s="35">
        <f>AVERAGE(O15,O26,O37,O48,O58,O69,O79)</f>
        <v>114.46452526338615</v>
      </c>
      <c r="F2" s="36" t="s">
        <v>15</v>
      </c>
      <c r="G2" s="37">
        <f>G1/E1</f>
        <v>47.352939382052291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1</v>
      </c>
      <c r="AA2" s="339">
        <f>AA15+AA26+AA37+AA48+AA58+AA69+AA79</f>
        <v>26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2541</v>
      </c>
      <c r="H5" s="43">
        <f>F5*G5</f>
        <v>144506.66999999998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1905.75000000002</v>
      </c>
      <c r="O5" s="47">
        <f>N5/M5</f>
        <v>136.12500000000142</v>
      </c>
      <c r="P5" s="49">
        <f>M5-J5</f>
        <v>0</v>
      </c>
      <c r="Q5" s="50">
        <f>O5-L5</f>
        <v>-24.589285714284301</v>
      </c>
      <c r="R5" s="51">
        <f>O5/L5</f>
        <v>0.84700000000000875</v>
      </c>
      <c r="S5" s="420">
        <f>R15</f>
        <v>0.82184959207459785</v>
      </c>
      <c r="T5" s="319">
        <v>0.29166666666666702</v>
      </c>
      <c r="U5" s="320">
        <v>0.34722222222222199</v>
      </c>
      <c r="V5" s="53"/>
      <c r="W5" s="54">
        <f t="shared" ref="W5:W14" si="0">(U5-T5)*24*60</f>
        <v>79.999999999999162</v>
      </c>
      <c r="X5" s="55"/>
      <c r="Y5" s="290"/>
      <c r="Z5" s="169"/>
      <c r="AA5" s="169"/>
      <c r="AB5" s="452"/>
      <c r="AC5" s="452"/>
      <c r="AD5" s="135"/>
      <c r="AE5" s="135"/>
      <c r="AF5" s="229">
        <f t="shared" ref="AF5:AF11" si="1">N5-K5</f>
        <v>-344.24999999997999</v>
      </c>
      <c r="AG5" s="52">
        <f t="shared" ref="AG5:AG11" si="2">N5/K5</f>
        <v>0.84700000000000886</v>
      </c>
      <c r="AH5" s="445">
        <f>AG15</f>
        <v>0.82305853405853957</v>
      </c>
    </row>
    <row r="6" spans="1:34" ht="15" customHeight="1">
      <c r="A6" s="40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1133</v>
      </c>
      <c r="H6" s="63">
        <f>F6*G6</f>
        <v>65906.61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1743.0769230769472</v>
      </c>
      <c r="O6" s="67">
        <f>N6/M6</f>
        <v>134.08284023668824</v>
      </c>
      <c r="P6" s="69">
        <f>M6-J6</f>
        <v>0</v>
      </c>
      <c r="Q6" s="70">
        <f>O6-L6</f>
        <v>-38.994082840234825</v>
      </c>
      <c r="R6" s="71">
        <f>O6/L6</f>
        <v>0.77470085470086547</v>
      </c>
      <c r="S6" s="421"/>
      <c r="T6" s="16">
        <v>0.35486111111111102</v>
      </c>
      <c r="U6" s="16">
        <v>0.38194444444444398</v>
      </c>
      <c r="V6" s="30">
        <f>(T6-U5)*24*60</f>
        <v>11.000000000000201</v>
      </c>
      <c r="W6" s="73">
        <f t="shared" si="0"/>
        <v>38.99999999999946</v>
      </c>
      <c r="X6" s="22"/>
      <c r="Y6" s="84"/>
      <c r="Z6" s="90"/>
      <c r="AA6" s="90"/>
      <c r="AB6" s="449" t="s">
        <v>129</v>
      </c>
      <c r="AC6" s="449"/>
      <c r="AD6" s="149"/>
      <c r="AE6" s="149"/>
      <c r="AF6" s="307">
        <f t="shared" si="1"/>
        <v>-506.9230769230528</v>
      </c>
      <c r="AG6" s="72">
        <f t="shared" si="2"/>
        <v>0.77470085470086547</v>
      </c>
      <c r="AH6" s="446"/>
    </row>
    <row r="7" spans="1:34" ht="15" customHeight="1">
      <c r="A7" s="40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4195</v>
      </c>
      <c r="H7" s="78">
        <f>F7*G7</f>
        <v>206142.3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1906.8181818181749</v>
      </c>
      <c r="O7" s="81">
        <f>N7/M7</f>
        <v>136.20129870129821</v>
      </c>
      <c r="P7" s="74">
        <f>M7-J7</f>
        <v>0</v>
      </c>
      <c r="Q7" s="83">
        <f>O7-L7</f>
        <v>-24.512987012987509</v>
      </c>
      <c r="R7" s="72">
        <f>O7/L7</f>
        <v>0.84747474747474438</v>
      </c>
      <c r="S7" s="421"/>
      <c r="T7" s="18">
        <v>0.389583333333333</v>
      </c>
      <c r="U7" s="18">
        <v>0.48125000000000001</v>
      </c>
      <c r="V7" s="30">
        <f>(T7-U6)*24*60</f>
        <v>11.000000000000201</v>
      </c>
      <c r="W7" s="73">
        <f t="shared" si="0"/>
        <v>132.00000000000048</v>
      </c>
      <c r="X7" s="22"/>
      <c r="Y7" s="84"/>
      <c r="Z7" s="90"/>
      <c r="AA7" s="90"/>
      <c r="AB7" s="450"/>
      <c r="AC7" s="450"/>
      <c r="AD7" s="92"/>
      <c r="AE7" s="92"/>
      <c r="AF7" s="307">
        <f t="shared" si="1"/>
        <v>-343.18181818182507</v>
      </c>
      <c r="AG7" s="72">
        <f t="shared" si="2"/>
        <v>0.84747474747474438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>
        <f t="shared" ref="J15:O15" si="3">AVERAGE(J5:J14)</f>
        <v>13.666666666666666</v>
      </c>
      <c r="K15" s="120">
        <f t="shared" si="3"/>
        <v>2250</v>
      </c>
      <c r="L15" s="117">
        <f t="shared" si="3"/>
        <v>164.83516483516482</v>
      </c>
      <c r="M15" s="120">
        <f t="shared" si="3"/>
        <v>13.666666666666666</v>
      </c>
      <c r="N15" s="120">
        <f t="shared" si="3"/>
        <v>1851.8817016317141</v>
      </c>
      <c r="O15" s="117">
        <f t="shared" si="3"/>
        <v>135.4697129793293</v>
      </c>
      <c r="P15" s="121">
        <f>M15-J15</f>
        <v>0</v>
      </c>
      <c r="Q15" s="122">
        <f>O15-L15</f>
        <v>-29.365451855835516</v>
      </c>
      <c r="R15" s="123">
        <f>O15/L15</f>
        <v>0.82184959207459785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>
        <f>N15-K15</f>
        <v>-398.11829836828588</v>
      </c>
      <c r="AG15" s="124">
        <f>N15/K15</f>
        <v>0.82305853405853957</v>
      </c>
      <c r="AH15" s="448"/>
    </row>
    <row r="16" spans="1:34" ht="15" customHeight="1">
      <c r="A16" s="462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3303</v>
      </c>
      <c r="H16" s="134">
        <f>F16*G16</f>
        <v>167363.01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1962.17821782178</v>
      </c>
      <c r="O16" s="141">
        <f>N16/M16</f>
        <v>140.15558698727</v>
      </c>
      <c r="P16" s="142">
        <f>M16-J16</f>
        <v>0</v>
      </c>
      <c r="Q16" s="143">
        <f>O16-L16</f>
        <v>-20.558698727015724</v>
      </c>
      <c r="R16" s="144">
        <f>O16/L16</f>
        <v>0.87207920792079108</v>
      </c>
      <c r="S16" s="456">
        <f>R26</f>
        <v>0.84173543981617072</v>
      </c>
      <c r="T16" s="145">
        <v>0.29236111111111102</v>
      </c>
      <c r="U16" s="145">
        <v>0.36249999999999999</v>
      </c>
      <c r="V16" s="135"/>
      <c r="W16" s="146">
        <f t="shared" ref="W16:W78" si="4">(U16-T16)*24*60</f>
        <v>101.00000000000011</v>
      </c>
      <c r="X16" s="141"/>
      <c r="Y16" s="296"/>
      <c r="Z16" s="169"/>
      <c r="AA16" s="169"/>
      <c r="AB16" s="452"/>
      <c r="AC16" s="452"/>
      <c r="AD16" s="135"/>
      <c r="AE16" s="135"/>
      <c r="AF16" s="229">
        <f>N16-K16</f>
        <v>-287.82178217822002</v>
      </c>
      <c r="AG16" s="52">
        <f>N16/K16</f>
        <v>0.87207920792079108</v>
      </c>
      <c r="AH16" s="445">
        <f>AG26</f>
        <v>0.84390285182364344</v>
      </c>
    </row>
    <row r="17" spans="1:34" ht="15" customHeight="1">
      <c r="A17" s="463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3579</v>
      </c>
      <c r="H17" s="78">
        <f>F17*G17</f>
        <v>180345.81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1835.3846153846157</v>
      </c>
      <c r="O17" s="96">
        <f>N17/M17</f>
        <v>152.94871794871798</v>
      </c>
      <c r="P17" s="97">
        <f>M17-J17</f>
        <v>0</v>
      </c>
      <c r="Q17" s="98">
        <f>O17-L17</f>
        <v>-34.551282051282016</v>
      </c>
      <c r="R17" s="99">
        <f>O17/L17</f>
        <v>0.81572649572649591</v>
      </c>
      <c r="S17" s="457"/>
      <c r="T17" s="19">
        <v>0.37361111111111101</v>
      </c>
      <c r="U17" s="19">
        <v>0.45486111111111099</v>
      </c>
      <c r="V17" s="30">
        <f>(T17-U16)*24*60</f>
        <v>15.999999999999863</v>
      </c>
      <c r="W17" s="149">
        <f t="shared" si="4"/>
        <v>116.99999999999999</v>
      </c>
      <c r="X17" s="19"/>
      <c r="Y17" s="297"/>
      <c r="Z17" s="90"/>
      <c r="AA17" s="90"/>
      <c r="AB17" s="450"/>
      <c r="AC17" s="450"/>
      <c r="AD17" s="92"/>
      <c r="AE17" s="92"/>
      <c r="AF17" s="307">
        <f>N17-K17</f>
        <v>-414.6153846153843</v>
      </c>
      <c r="AG17" s="72">
        <f>N17/K17</f>
        <v>0.81572649572649591</v>
      </c>
      <c r="AH17" s="446"/>
    </row>
    <row r="18" spans="1:34" ht="15" customHeight="1">
      <c r="A18" s="463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57"/>
      <c r="T18" s="19"/>
      <c r="U18" s="19"/>
      <c r="V18" s="30"/>
      <c r="W18" s="149">
        <f t="shared" si="4"/>
        <v>0</v>
      </c>
      <c r="X18" s="22"/>
      <c r="Y18" s="84"/>
      <c r="Z18" s="90"/>
      <c r="AA18" s="90"/>
      <c r="AB18" s="450"/>
      <c r="AC18" s="450"/>
      <c r="AD18" s="92"/>
      <c r="AE18" s="92"/>
      <c r="AF18" s="307">
        <f>N18-K18</f>
        <v>0</v>
      </c>
      <c r="AG18" s="72" t="e">
        <f>N18/K18</f>
        <v>#DIV/0!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174.10714285714286</v>
      </c>
      <c r="M26" s="155">
        <f t="shared" si="5"/>
        <v>13</v>
      </c>
      <c r="N26" s="155">
        <f t="shared" si="5"/>
        <v>1898.7814166031978</v>
      </c>
      <c r="O26" s="158">
        <f t="shared" si="5"/>
        <v>146.55215246799401</v>
      </c>
      <c r="P26" s="159">
        <f>M26-J26</f>
        <v>0</v>
      </c>
      <c r="Q26" s="160">
        <f>O26-L26</f>
        <v>-27.554990389148855</v>
      </c>
      <c r="R26" s="161">
        <f>O26/L26</f>
        <v>0.84173543981617072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>
        <f t="shared" ref="AF26:AF31" si="6">N26-K26</f>
        <v>-351.21858339680216</v>
      </c>
      <c r="AG26" s="124">
        <f t="shared" ref="AG26:AG31" si="7">N26/K26</f>
        <v>0.84390285182364344</v>
      </c>
      <c r="AH26" s="448"/>
    </row>
    <row r="27" spans="1:34" ht="15" customHeight="1">
      <c r="A27" s="453" t="s">
        <v>45</v>
      </c>
      <c r="B27" s="167" t="s">
        <v>81</v>
      </c>
      <c r="C27" s="130"/>
      <c r="D27" s="168" t="s">
        <v>118</v>
      </c>
      <c r="E27" s="132"/>
      <c r="F27" s="129">
        <f>VLOOKUP(D27,廠價表!$C$1:$E$43,3,0)</f>
        <v>61.65</v>
      </c>
      <c r="G27" s="169">
        <v>3504</v>
      </c>
      <c r="H27" s="134">
        <f>F27*G27</f>
        <v>216021.6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16</v>
      </c>
      <c r="N27" s="140">
        <f>G27/W27*60</f>
        <v>1401.6000000000095</v>
      </c>
      <c r="O27" s="141">
        <f>N27/M27</f>
        <v>87.600000000000591</v>
      </c>
      <c r="P27" s="142">
        <f>M27-J27</f>
        <v>-2</v>
      </c>
      <c r="Q27" s="143">
        <f>O27-L27</f>
        <v>-3.2888888888882946</v>
      </c>
      <c r="R27" s="144">
        <f>O27/L27</f>
        <v>0.96381418092910187</v>
      </c>
      <c r="S27" s="456">
        <f>R37</f>
        <v>0.91882838927901467</v>
      </c>
      <c r="T27" s="171">
        <v>0.29166666666666702</v>
      </c>
      <c r="U27" s="171">
        <v>0.39583333333333298</v>
      </c>
      <c r="V27" s="135"/>
      <c r="W27" s="146">
        <f t="shared" si="4"/>
        <v>149.99999999999898</v>
      </c>
      <c r="X27" s="135"/>
      <c r="Y27" s="300"/>
      <c r="Z27" s="169"/>
      <c r="AA27" s="169"/>
      <c r="AB27" s="452"/>
      <c r="AC27" s="452"/>
      <c r="AD27" s="135"/>
      <c r="AE27" s="135"/>
      <c r="AF27" s="310">
        <f t="shared" si="6"/>
        <v>-234.39999999999054</v>
      </c>
      <c r="AG27" s="172">
        <f t="shared" si="7"/>
        <v>0.85672371638142386</v>
      </c>
      <c r="AH27" s="445">
        <f>AG37</f>
        <v>0.87716190181169473</v>
      </c>
    </row>
    <row r="28" spans="1:34" ht="15" customHeight="1">
      <c r="A28" s="454"/>
      <c r="B28" s="75" t="s">
        <v>81</v>
      </c>
      <c r="C28" s="173"/>
      <c r="D28" s="59" t="s">
        <v>132</v>
      </c>
      <c r="E28" s="104"/>
      <c r="F28" s="75">
        <f>VLOOKUP(D28,廠價表!$C$1:$E$43,3,0)</f>
        <v>46.34</v>
      </c>
      <c r="G28" s="90">
        <v>779</v>
      </c>
      <c r="H28" s="91">
        <f>F28*G28</f>
        <v>36098.86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1558.0000000000261</v>
      </c>
      <c r="O28" s="96">
        <f>N28/M28</f>
        <v>97.375000000001634</v>
      </c>
      <c r="P28" s="97">
        <f>M28-J28</f>
        <v>0</v>
      </c>
      <c r="Q28" s="98">
        <f>O28-L28</f>
        <v>-4.8749999999983658</v>
      </c>
      <c r="R28" s="99">
        <f>O28/L28</f>
        <v>0.95232273838632409</v>
      </c>
      <c r="S28" s="457"/>
      <c r="T28" s="19">
        <v>0.40138888888888902</v>
      </c>
      <c r="U28" s="19">
        <v>0.422222222222222</v>
      </c>
      <c r="V28" s="92">
        <f>(T28-U27)*24*60</f>
        <v>8.000000000000691</v>
      </c>
      <c r="W28" s="149">
        <f t="shared" si="4"/>
        <v>29.999999999999496</v>
      </c>
      <c r="X28" s="174"/>
      <c r="Y28" s="301"/>
      <c r="Z28" s="335"/>
      <c r="AA28" s="335"/>
      <c r="AB28" s="450"/>
      <c r="AC28" s="450"/>
      <c r="AD28" s="92"/>
      <c r="AE28" s="92"/>
      <c r="AF28" s="311">
        <f t="shared" si="6"/>
        <v>-77.999999999973852</v>
      </c>
      <c r="AG28" s="99">
        <f t="shared" si="7"/>
        <v>0.95232273838632409</v>
      </c>
      <c r="AH28" s="466"/>
    </row>
    <row r="29" spans="1:34" ht="15" customHeight="1">
      <c r="A29" s="454"/>
      <c r="B29" s="75" t="s">
        <v>81</v>
      </c>
      <c r="C29" s="173"/>
      <c r="D29" s="59" t="s">
        <v>119</v>
      </c>
      <c r="E29" s="104"/>
      <c r="F29" s="75">
        <f>VLOOKUP(D29,廠價表!$C$1:$E$43,3,0)</f>
        <v>52.21</v>
      </c>
      <c r="G29" s="90">
        <v>1619</v>
      </c>
      <c r="H29" s="91">
        <f>F29*G29</f>
        <v>84527.99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1428.5294117647127</v>
      </c>
      <c r="O29" s="96">
        <f>N29/M29</f>
        <v>84.031141868512506</v>
      </c>
      <c r="P29" s="97">
        <f>M29-J29</f>
        <v>-1</v>
      </c>
      <c r="Q29" s="98">
        <f>O29-L29</f>
        <v>-6.8577470203763795</v>
      </c>
      <c r="R29" s="99">
        <f>O29/L29</f>
        <v>0.92454801566823053</v>
      </c>
      <c r="S29" s="457"/>
      <c r="T29" s="19">
        <v>0.42847222222222198</v>
      </c>
      <c r="U29" s="19">
        <v>0.47569444444444398</v>
      </c>
      <c r="V29" s="92">
        <f t="shared" ref="V29:V31" si="8">(T29-U28)*24*60</f>
        <v>8.999999999999968</v>
      </c>
      <c r="W29" s="149">
        <f t="shared" si="4"/>
        <v>67.999999999999673</v>
      </c>
      <c r="X29" s="22"/>
      <c r="Y29" s="84"/>
      <c r="Z29" s="90"/>
      <c r="AA29" s="90"/>
      <c r="AB29" s="450"/>
      <c r="AC29" s="450"/>
      <c r="AD29" s="92"/>
      <c r="AE29" s="92"/>
      <c r="AF29" s="312">
        <f t="shared" si="6"/>
        <v>-207.47058823528732</v>
      </c>
      <c r="AG29" s="99">
        <f t="shared" si="7"/>
        <v>0.87318423701999548</v>
      </c>
      <c r="AH29" s="466"/>
    </row>
    <row r="30" spans="1:34" ht="15" customHeight="1">
      <c r="A30" s="454"/>
      <c r="B30" s="75" t="s">
        <v>81</v>
      </c>
      <c r="C30" s="88"/>
      <c r="D30" s="59" t="s">
        <v>119</v>
      </c>
      <c r="E30" s="89"/>
      <c r="F30" s="75">
        <f>VLOOKUP(D30,廠價表!$C$1:$E$43,3,0)</f>
        <v>52.21</v>
      </c>
      <c r="G30" s="90">
        <v>1769</v>
      </c>
      <c r="H30" s="91">
        <f>F30*G30</f>
        <v>92359.49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18</v>
      </c>
      <c r="N30" s="95">
        <f t="shared" ref="N30:N31" si="9">G30/W30*60</f>
        <v>1516.285714285716</v>
      </c>
      <c r="O30" s="96">
        <f t="shared" ref="O30:O31" si="10">N30/M30</f>
        <v>84.23809523809534</v>
      </c>
      <c r="P30" s="97">
        <f t="shared" ref="P30:P31" si="11">M30-J30</f>
        <v>0</v>
      </c>
      <c r="Q30" s="98">
        <f t="shared" ref="Q30:Q31" si="12">O30-L30</f>
        <v>-6.6507936507935455</v>
      </c>
      <c r="R30" s="99">
        <f t="shared" ref="R30:R31" si="13">O30/L30</f>
        <v>0.92682500873210039</v>
      </c>
      <c r="S30" s="457"/>
      <c r="T30" s="19">
        <v>0.53472222222222199</v>
      </c>
      <c r="U30" s="19">
        <v>0.58333333333333304</v>
      </c>
      <c r="V30" s="92">
        <f t="shared" si="8"/>
        <v>85.000000000000341</v>
      </c>
      <c r="W30" s="149">
        <f t="shared" si="4"/>
        <v>69.999999999999915</v>
      </c>
      <c r="X30" s="174"/>
      <c r="Y30" s="301"/>
      <c r="Z30" s="335"/>
      <c r="AA30" s="335"/>
      <c r="AB30" s="450"/>
      <c r="AC30" s="450"/>
      <c r="AD30" s="92"/>
      <c r="AE30" s="92"/>
      <c r="AF30" s="312">
        <f t="shared" si="6"/>
        <v>-119.71428571428396</v>
      </c>
      <c r="AG30" s="99">
        <f t="shared" si="7"/>
        <v>0.92682500873210028</v>
      </c>
      <c r="AH30" s="467"/>
    </row>
    <row r="31" spans="1:34" ht="15" customHeight="1">
      <c r="A31" s="454"/>
      <c r="B31" s="75" t="s">
        <v>120</v>
      </c>
      <c r="C31" s="88"/>
      <c r="D31" s="59" t="s">
        <v>122</v>
      </c>
      <c r="E31" s="89"/>
      <c r="F31" s="75">
        <f>VLOOKUP(D31,廠價表!$C$1:$E$43,3,0)</f>
        <v>44.3</v>
      </c>
      <c r="G31" s="90">
        <v>826</v>
      </c>
      <c r="H31" s="91">
        <f>F31*G31</f>
        <v>36591.799999999996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>K31/J31</f>
        <v>90.888888888888886</v>
      </c>
      <c r="M31" s="94">
        <v>17</v>
      </c>
      <c r="N31" s="95">
        <f t="shared" si="9"/>
        <v>1270.7692307691987</v>
      </c>
      <c r="O31" s="96">
        <f t="shared" si="10"/>
        <v>74.751131221717571</v>
      </c>
      <c r="P31" s="97">
        <f t="shared" si="11"/>
        <v>-1</v>
      </c>
      <c r="Q31" s="98">
        <f t="shared" si="12"/>
        <v>-16.137757667171314</v>
      </c>
      <c r="R31" s="99">
        <f t="shared" si="13"/>
        <v>0.82244520904090246</v>
      </c>
      <c r="S31" s="457"/>
      <c r="T31" s="19">
        <v>0.58958333333333302</v>
      </c>
      <c r="U31" s="19">
        <v>0.61666666666666703</v>
      </c>
      <c r="V31" s="92">
        <f t="shared" si="8"/>
        <v>8.999999999999968</v>
      </c>
      <c r="W31" s="149">
        <f t="shared" si="4"/>
        <v>39.000000000000981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-365.23076923080134</v>
      </c>
      <c r="AG31" s="99">
        <f t="shared" si="7"/>
        <v>0.77675380853862996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>
        <f t="shared" ref="J37:O37" si="14">AVERAGE(J27:J36)</f>
        <v>17.600000000000001</v>
      </c>
      <c r="K37" s="155">
        <f t="shared" si="14"/>
        <v>1636</v>
      </c>
      <c r="L37" s="158">
        <f t="shared" si="14"/>
        <v>93.161111111111111</v>
      </c>
      <c r="M37" s="155">
        <f t="shared" si="14"/>
        <v>16.8</v>
      </c>
      <c r="N37" s="155">
        <f t="shared" si="14"/>
        <v>1435.0368713639325</v>
      </c>
      <c r="O37" s="158">
        <f t="shared" si="14"/>
        <v>85.599073665665543</v>
      </c>
      <c r="P37" s="159">
        <f>M37-J37</f>
        <v>-0.80000000000000071</v>
      </c>
      <c r="Q37" s="160">
        <f>N37-K37</f>
        <v>-200.96312863606749</v>
      </c>
      <c r="R37" s="161">
        <f>O37/L37</f>
        <v>0.91882838927901467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>
        <f>N37-K37</f>
        <v>-200.96312863606749</v>
      </c>
      <c r="AG37" s="124">
        <f>N37/K37</f>
        <v>0.87716190181169473</v>
      </c>
      <c r="AH37" s="448"/>
    </row>
    <row r="38" spans="1:34" ht="15" customHeight="1">
      <c r="A38" s="475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VLOOKUP(D38,廠價表!$C$1:$E$43,3,0)</f>
        <v>49.91</v>
      </c>
      <c r="G38" s="186">
        <v>1712</v>
      </c>
      <c r="H38" s="134">
        <f>F38*G38</f>
        <v>85445.92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1467.428571428575</v>
      </c>
      <c r="O38" s="141">
        <f>N38/M38</f>
        <v>91.714285714285936</v>
      </c>
      <c r="P38" s="142">
        <f>M38-J38</f>
        <v>0</v>
      </c>
      <c r="Q38" s="143">
        <f>O38-L38</f>
        <v>-15.410714285714064</v>
      </c>
      <c r="R38" s="144">
        <f>O38/L38</f>
        <v>0.85614269044841018</v>
      </c>
      <c r="S38" s="478">
        <f>R48</f>
        <v>0.9039680869659138</v>
      </c>
      <c r="T38" s="191">
        <v>0.33333333333333298</v>
      </c>
      <c r="U38" s="191">
        <v>0.38194444444444398</v>
      </c>
      <c r="V38" s="192"/>
      <c r="W38" s="193">
        <f t="shared" si="4"/>
        <v>69.999999999999829</v>
      </c>
      <c r="X38" s="194"/>
      <c r="Y38" s="302"/>
      <c r="Z38" s="336"/>
      <c r="AA38" s="336"/>
      <c r="AB38" s="480"/>
      <c r="AC38" s="480"/>
      <c r="AD38" s="192"/>
      <c r="AE38" s="192"/>
      <c r="AF38" s="313">
        <f>N38-K38</f>
        <v>-246.57142857142503</v>
      </c>
      <c r="AG38" s="195">
        <f>N38/K38</f>
        <v>0.85614269044841018</v>
      </c>
      <c r="AH38" s="468">
        <f>AG48</f>
        <v>0.90702677090736916</v>
      </c>
    </row>
    <row r="39" spans="1:34" ht="15" customHeight="1">
      <c r="A39" s="476"/>
      <c r="B39" s="75" t="s">
        <v>120</v>
      </c>
      <c r="C39" s="197"/>
      <c r="D39" s="198" t="s">
        <v>122</v>
      </c>
      <c r="E39" s="176"/>
      <c r="F39" s="75">
        <f>VLOOKUP(D39,廠價表!$C$1:$E$43,3,0)</f>
        <v>44.3</v>
      </c>
      <c r="G39" s="199">
        <v>3535</v>
      </c>
      <c r="H39" s="91">
        <f>F39*G39</f>
        <v>156600.5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1571.1111111111113</v>
      </c>
      <c r="O39" s="203">
        <f>N39/M39</f>
        <v>87.283950617283963</v>
      </c>
      <c r="P39" s="97">
        <f>M39-J39</f>
        <v>0</v>
      </c>
      <c r="Q39" s="98">
        <f>O39-L39</f>
        <v>-3.6049382716049223</v>
      </c>
      <c r="R39" s="99">
        <f>O39/L39</f>
        <v>0.96033686498234194</v>
      </c>
      <c r="S39" s="479"/>
      <c r="T39" s="20">
        <v>0.38888888888888901</v>
      </c>
      <c r="U39" s="20">
        <v>0.48263888888888901</v>
      </c>
      <c r="V39" s="92">
        <f>(T39-U38)*24*60</f>
        <v>10.000000000000844</v>
      </c>
      <c r="W39" s="205">
        <f t="shared" si="4"/>
        <v>135</v>
      </c>
      <c r="X39" s="22"/>
      <c r="Y39" s="84"/>
      <c r="Z39" s="90"/>
      <c r="AA39" s="90"/>
      <c r="AB39" s="471"/>
      <c r="AC39" s="471"/>
      <c r="AD39" s="200"/>
      <c r="AE39" s="200"/>
      <c r="AF39" s="314">
        <f>N39-K39</f>
        <v>-64.888888888888687</v>
      </c>
      <c r="AG39" s="206">
        <f>N39/K39</f>
        <v>0.96033686498234183</v>
      </c>
      <c r="AH39" s="469"/>
    </row>
    <row r="40" spans="1:34" ht="15" customHeight="1">
      <c r="A40" s="476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21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450"/>
      <c r="AC40" s="450"/>
      <c r="AD40" s="92"/>
      <c r="AE40" s="92"/>
      <c r="AF40" s="314">
        <f>N40-K40</f>
        <v>0</v>
      </c>
      <c r="AG40" s="206" t="e">
        <f>N40/K40</f>
        <v>#DIV/0!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15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15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15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15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15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>
        <f t="shared" ref="J48:O48" si="16">AVERAGE(J38:J47)</f>
        <v>17</v>
      </c>
      <c r="K48" s="155">
        <f t="shared" si="16"/>
        <v>1675</v>
      </c>
      <c r="L48" s="158">
        <f t="shared" si="16"/>
        <v>99.006944444444443</v>
      </c>
      <c r="M48" s="155">
        <f t="shared" si="16"/>
        <v>17</v>
      </c>
      <c r="N48" s="155">
        <f t="shared" si="16"/>
        <v>1519.2698412698433</v>
      </c>
      <c r="O48" s="158">
        <f t="shared" si="16"/>
        <v>89.499118165784949</v>
      </c>
      <c r="P48" s="221">
        <f>M48-J48</f>
        <v>0</v>
      </c>
      <c r="Q48" s="222">
        <f>N48-K48</f>
        <v>-155.73015873015675</v>
      </c>
      <c r="R48" s="223">
        <f>O48/L48</f>
        <v>0.9039680869659138</v>
      </c>
      <c r="S48" s="424"/>
      <c r="T48" s="224"/>
      <c r="U48" s="224"/>
      <c r="V48" s="225"/>
      <c r="W48" s="226">
        <f t="shared" si="15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>
        <f t="shared" ref="AF48:AF53" si="17">N48-K48</f>
        <v>-155.73015873015675</v>
      </c>
      <c r="AG48" s="162">
        <f t="shared" ref="AG48:AG53" si="18">N48/K48</f>
        <v>0.90702677090736916</v>
      </c>
      <c r="AH48" s="470"/>
    </row>
    <row r="49" spans="1:34" ht="15" customHeight="1">
      <c r="A49" s="472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VLOOKUP(D49,廠價表!$C$1:$E$43,3,0)</f>
        <v>50.289000000000001</v>
      </c>
      <c r="G49" s="228">
        <v>1806</v>
      </c>
      <c r="H49" s="134">
        <f>F49*G49</f>
        <v>90821.934000000008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1548.0000000000036</v>
      </c>
      <c r="O49" s="141">
        <f>N49/M49</f>
        <v>91.058823529411981</v>
      </c>
      <c r="P49" s="229">
        <f>M49-J49</f>
        <v>0</v>
      </c>
      <c r="Q49" s="230">
        <f>O49-L49</f>
        <v>-5.1764705882350768</v>
      </c>
      <c r="R49" s="52">
        <f>O49/L49</f>
        <v>0.94621026894865756</v>
      </c>
      <c r="S49" s="420">
        <f>R58</f>
        <v>0.83687807516161328</v>
      </c>
      <c r="T49" s="191">
        <v>0.29166666666666702</v>
      </c>
      <c r="U49" s="191">
        <v>0.34027777777777801</v>
      </c>
      <c r="V49" s="55"/>
      <c r="W49" s="193">
        <f t="shared" si="4"/>
        <v>69.999999999999829</v>
      </c>
      <c r="X49" s="55"/>
      <c r="Y49" s="290"/>
      <c r="Z49" s="169"/>
      <c r="AA49" s="169"/>
      <c r="AB49" s="452"/>
      <c r="AC49" s="452"/>
      <c r="AD49" s="135"/>
      <c r="AE49" s="135"/>
      <c r="AF49" s="229">
        <f t="shared" si="17"/>
        <v>-87.999999999996362</v>
      </c>
      <c r="AG49" s="52">
        <f t="shared" si="18"/>
        <v>0.94621026894865745</v>
      </c>
      <c r="AH49" s="445">
        <f>AG58</f>
        <v>0.83994024507593923</v>
      </c>
    </row>
    <row r="50" spans="1:34" ht="15" customHeight="1">
      <c r="A50" s="473"/>
      <c r="B50" s="75" t="s">
        <v>81</v>
      </c>
      <c r="C50" s="76"/>
      <c r="D50" s="59" t="s">
        <v>124</v>
      </c>
      <c r="E50" s="77"/>
      <c r="F50" s="75">
        <f>VLOOKUP(D50,廠價表!$C$1:$E$43,3,0)</f>
        <v>49.97</v>
      </c>
      <c r="G50" s="202">
        <v>3858</v>
      </c>
      <c r="H50" s="231">
        <f>F50*G50</f>
        <v>192784.26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1338.0346820809234</v>
      </c>
      <c r="O50" s="235">
        <f>N50/M50</f>
        <v>83.627167630057713</v>
      </c>
      <c r="P50" s="74">
        <f>M50-J50</f>
        <v>0</v>
      </c>
      <c r="Q50" s="83">
        <f>O50-L50</f>
        <v>-28.872832369942287</v>
      </c>
      <c r="R50" s="72">
        <f>O50/L50</f>
        <v>0.7433526011560686</v>
      </c>
      <c r="S50" s="421"/>
      <c r="T50" s="21">
        <v>0.34791666666666698</v>
      </c>
      <c r="U50" s="21">
        <v>0.468055555555556</v>
      </c>
      <c r="V50" s="30">
        <f>(T50-U49)*24*60</f>
        <v>11.000000000000121</v>
      </c>
      <c r="W50" s="236">
        <f t="shared" si="4"/>
        <v>173.00000000000017</v>
      </c>
      <c r="X50" s="22"/>
      <c r="Y50" s="84"/>
      <c r="Z50" s="90">
        <v>1</v>
      </c>
      <c r="AA50" s="90">
        <v>26</v>
      </c>
      <c r="AB50" s="450" t="s">
        <v>134</v>
      </c>
      <c r="AC50" s="450"/>
      <c r="AD50" s="92"/>
      <c r="AE50" s="92"/>
      <c r="AF50" s="307">
        <f t="shared" si="17"/>
        <v>-461.9653179190766</v>
      </c>
      <c r="AG50" s="72">
        <f t="shared" si="18"/>
        <v>0.7433526011560686</v>
      </c>
      <c r="AH50" s="446"/>
    </row>
    <row r="51" spans="1:34" ht="15" customHeight="1">
      <c r="A51" s="473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421"/>
      <c r="T51" s="21"/>
      <c r="U51" s="19"/>
      <c r="V51" s="30"/>
      <c r="W51" s="236">
        <f t="shared" si="4"/>
        <v>0</v>
      </c>
      <c r="X51" s="22"/>
      <c r="Y51" s="84"/>
      <c r="Z51" s="90"/>
      <c r="AA51" s="90"/>
      <c r="AB51" s="450"/>
      <c r="AC51" s="450"/>
      <c r="AD51" s="92"/>
      <c r="AE51" s="92"/>
      <c r="AF51" s="307">
        <f t="shared" si="17"/>
        <v>0</v>
      </c>
      <c r="AG51" s="72" t="e">
        <f t="shared" si="18"/>
        <v>#DIV/0!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/>
      <c r="U52" s="21"/>
      <c r="V52" s="30"/>
      <c r="W52" s="236">
        <f t="shared" si="4"/>
        <v>0</v>
      </c>
      <c r="X52" s="22"/>
      <c r="Y52" s="84"/>
      <c r="Z52" s="90"/>
      <c r="AA52" s="90"/>
      <c r="AB52" s="450"/>
      <c r="AC52" s="450"/>
      <c r="AD52" s="92"/>
      <c r="AE52" s="92"/>
      <c r="AF52" s="307">
        <f t="shared" si="17"/>
        <v>0</v>
      </c>
      <c r="AG52" s="72" t="e">
        <f t="shared" si="18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7"/>
        <v>0</v>
      </c>
      <c r="AG53" s="72" t="e">
        <f t="shared" si="18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1718</v>
      </c>
      <c r="L58" s="117">
        <f t="shared" si="19"/>
        <v>104.36764705882354</v>
      </c>
      <c r="M58" s="120">
        <f t="shared" si="19"/>
        <v>16.5</v>
      </c>
      <c r="N58" s="120">
        <f t="shared" si="19"/>
        <v>1443.0173410404636</v>
      </c>
      <c r="O58" s="117">
        <f t="shared" si="19"/>
        <v>87.342995579734847</v>
      </c>
      <c r="P58" s="121">
        <f>M58-J58</f>
        <v>0</v>
      </c>
      <c r="Q58" s="122">
        <f>N58-K58</f>
        <v>-274.98265895953637</v>
      </c>
      <c r="R58" s="123">
        <f>O58/L58</f>
        <v>0.83687807516161328</v>
      </c>
      <c r="S58" s="424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26</v>
      </c>
      <c r="AB58" s="451"/>
      <c r="AC58" s="451"/>
      <c r="AD58" s="323">
        <f>SUM(AD49:AD57)</f>
        <v>0</v>
      </c>
      <c r="AE58" s="323">
        <f>SUM(AE49:AE57)</f>
        <v>0</v>
      </c>
      <c r="AF58" s="309">
        <f>N58-K58</f>
        <v>-274.98265895953637</v>
      </c>
      <c r="AG58" s="124">
        <f>N58/K58</f>
        <v>0.83994024507593923</v>
      </c>
      <c r="AH58" s="448"/>
    </row>
    <row r="59" spans="1:34" ht="15" customHeight="1">
      <c r="A59" s="486" t="s">
        <v>52</v>
      </c>
      <c r="B59" s="129" t="s">
        <v>125</v>
      </c>
      <c r="C59" s="130"/>
      <c r="D59" s="131" t="s">
        <v>126</v>
      </c>
      <c r="E59" s="132"/>
      <c r="F59" s="129">
        <f>VLOOKUP(D59,廠價表!$C$1:$E$43,3,0)</f>
        <v>26.99</v>
      </c>
      <c r="G59" s="55">
        <v>2596</v>
      </c>
      <c r="H59" s="243">
        <f>F59*G59</f>
        <v>70066.039999999994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1527.0588235294194</v>
      </c>
      <c r="O59" s="138">
        <f>N59/M59</f>
        <v>101.80392156862796</v>
      </c>
      <c r="P59" s="56">
        <f>M59-J59</f>
        <v>0</v>
      </c>
      <c r="Q59" s="230">
        <f>O59-L59</f>
        <v>-7.2627450980387067</v>
      </c>
      <c r="R59" s="52">
        <f>O59/L59</f>
        <v>0.93341003883216345</v>
      </c>
      <c r="S59" s="420">
        <f>R69</f>
        <v>0.89158628136247497</v>
      </c>
      <c r="T59" s="245">
        <v>0.29375000000000001</v>
      </c>
      <c r="U59" s="245">
        <v>0.36458333333333298</v>
      </c>
      <c r="V59" s="55"/>
      <c r="W59" s="54">
        <f t="shared" si="4"/>
        <v>101.99999999999947</v>
      </c>
      <c r="X59" s="55"/>
      <c r="Y59" s="290"/>
      <c r="Z59" s="169"/>
      <c r="AA59" s="169"/>
      <c r="AB59" s="452"/>
      <c r="AC59" s="452"/>
      <c r="AD59" s="135"/>
      <c r="AE59" s="135"/>
      <c r="AF59" s="310">
        <f>N59-K59</f>
        <v>-108.94117647058056</v>
      </c>
      <c r="AG59" s="246">
        <f>N59/K59</f>
        <v>0.93341003883216345</v>
      </c>
      <c r="AH59" s="445">
        <f>AG69</f>
        <v>0.87267804375198588</v>
      </c>
    </row>
    <row r="60" spans="1:34" ht="15" customHeight="1">
      <c r="A60" s="487"/>
      <c r="B60" s="75" t="s">
        <v>125</v>
      </c>
      <c r="C60" s="86"/>
      <c r="D60" s="175" t="s">
        <v>127</v>
      </c>
      <c r="E60" s="87"/>
      <c r="F60" s="75">
        <f>VLOOKUP(D60,廠價表!$C$1:$E$43,3,0)</f>
        <v>28.26</v>
      </c>
      <c r="G60" s="30">
        <v>950</v>
      </c>
      <c r="H60" s="78">
        <f>F60*G60</f>
        <v>26847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1390.2439024390346</v>
      </c>
      <c r="O60" s="81">
        <f>N60/M60</f>
        <v>126.38580931263951</v>
      </c>
      <c r="P60" s="74">
        <f>M60-J60</f>
        <v>0</v>
      </c>
      <c r="Q60" s="83">
        <f>O60-L60</f>
        <v>-22.341463414633211</v>
      </c>
      <c r="R60" s="72">
        <f>O60/L60</f>
        <v>0.84978233645417767</v>
      </c>
      <c r="S60" s="490"/>
      <c r="T60" s="22">
        <v>0.37152777777777801</v>
      </c>
      <c r="U60" s="22">
        <v>0.4</v>
      </c>
      <c r="V60" s="30">
        <f>(T60-U59)*24*60</f>
        <v>10.000000000000844</v>
      </c>
      <c r="W60" s="248">
        <f t="shared" si="4"/>
        <v>40.999999999999694</v>
      </c>
      <c r="X60" s="232"/>
      <c r="Y60" s="177"/>
      <c r="Z60" s="90"/>
      <c r="AA60" s="90"/>
      <c r="AB60" s="450"/>
      <c r="AC60" s="450"/>
      <c r="AD60" s="92"/>
      <c r="AE60" s="92"/>
      <c r="AF60" s="316">
        <f>N60-K60</f>
        <v>-245.75609756096537</v>
      </c>
      <c r="AG60" s="249">
        <f>N60/K60</f>
        <v>0.84978233645417767</v>
      </c>
      <c r="AH60" s="481"/>
    </row>
    <row r="61" spans="1:34" ht="15" customHeight="1">
      <c r="A61" s="488"/>
      <c r="B61" s="250" t="s">
        <v>125</v>
      </c>
      <c r="C61" s="251"/>
      <c r="D61" s="252" t="s">
        <v>128</v>
      </c>
      <c r="E61" s="253"/>
      <c r="F61" s="75">
        <f>VLOOKUP(D61,廠價表!$C$1:$E$43,3,0)</f>
        <v>28.26</v>
      </c>
      <c r="G61" s="38">
        <v>435</v>
      </c>
      <c r="H61" s="78">
        <f t="shared" ref="H61:H62" si="20">F61*G61</f>
        <v>12293.1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2" si="21">K61/J61</f>
        <v>148.72727272727272</v>
      </c>
      <c r="M61" s="108">
        <v>11</v>
      </c>
      <c r="N61" s="107">
        <f>G61/W61*60</f>
        <v>1373.6842105263611</v>
      </c>
      <c r="O61" s="238">
        <f>N61/M61</f>
        <v>124.88038277512373</v>
      </c>
      <c r="P61" s="111">
        <f>M61-J61</f>
        <v>0</v>
      </c>
      <c r="Q61" s="255">
        <f>O61-L61</f>
        <v>-23.846889952148985</v>
      </c>
      <c r="R61" s="85">
        <f>O61/L61</f>
        <v>0.83966027538286137</v>
      </c>
      <c r="S61" s="421"/>
      <c r="T61" s="22">
        <v>0.405555555555556</v>
      </c>
      <c r="U61" s="22">
        <v>0.41875000000000001</v>
      </c>
      <c r="V61" s="30">
        <f t="shared" ref="V61:V62" si="22">(T61-U60)*24*60</f>
        <v>8.0000000000006111</v>
      </c>
      <c r="W61" s="256">
        <f t="shared" si="4"/>
        <v>18.999999999999375</v>
      </c>
      <c r="X61" s="22"/>
      <c r="Y61" s="84"/>
      <c r="Z61" s="90"/>
      <c r="AA61" s="90"/>
      <c r="AB61" s="450"/>
      <c r="AC61" s="450"/>
      <c r="AD61" s="92"/>
      <c r="AE61" s="92"/>
      <c r="AF61" s="317">
        <f>N61-K61</f>
        <v>-262.31578947363892</v>
      </c>
      <c r="AG61" s="247">
        <f>N61/K61</f>
        <v>0.83966027538286125</v>
      </c>
      <c r="AH61" s="446"/>
    </row>
    <row r="62" spans="1:34" ht="15" customHeight="1">
      <c r="A62" s="488"/>
      <c r="B62" s="250" t="s">
        <v>125</v>
      </c>
      <c r="C62" s="251"/>
      <c r="D62" s="257" t="s">
        <v>130</v>
      </c>
      <c r="E62" s="253"/>
      <c r="F62" s="75">
        <f>VLOOKUP(D62,廠價表!$C$1:$E$43,3,0)</f>
        <v>28.26</v>
      </c>
      <c r="G62" s="38">
        <v>2603</v>
      </c>
      <c r="H62" s="78">
        <f t="shared" si="20"/>
        <v>73560.78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1"/>
        <v>148.72727272727272</v>
      </c>
      <c r="M62" s="108">
        <v>10</v>
      </c>
      <c r="N62" s="80">
        <f>G62/W62*60</f>
        <v>1419.8181818181797</v>
      </c>
      <c r="O62" s="81">
        <f>N62/M62</f>
        <v>141.98181818181797</v>
      </c>
      <c r="P62" s="74">
        <f>M62-J62</f>
        <v>-1</v>
      </c>
      <c r="Q62" s="83">
        <f>O62-L62</f>
        <v>-6.7454545454547485</v>
      </c>
      <c r="R62" s="72">
        <f>O62/L62</f>
        <v>0.9546454767726148</v>
      </c>
      <c r="S62" s="421"/>
      <c r="T62" s="22">
        <v>0.42708333333333298</v>
      </c>
      <c r="U62" s="22">
        <v>0.50347222222222199</v>
      </c>
      <c r="V62" s="30">
        <f t="shared" si="22"/>
        <v>11.999999999999478</v>
      </c>
      <c r="W62" s="248">
        <f t="shared" si="4"/>
        <v>110.00000000000017</v>
      </c>
      <c r="X62" s="22"/>
      <c r="Y62" s="84"/>
      <c r="Z62" s="90"/>
      <c r="AA62" s="90"/>
      <c r="AB62" s="450"/>
      <c r="AC62" s="450"/>
      <c r="AD62" s="92"/>
      <c r="AE62" s="92"/>
      <c r="AF62" s="317">
        <f>N62-K62</f>
        <v>-216.18181818182029</v>
      </c>
      <c r="AG62" s="247">
        <f>N62/K62</f>
        <v>0.8678595243387407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>
        <f t="shared" ref="J69:O69" si="23">AVERAGE(J59:J68)</f>
        <v>12</v>
      </c>
      <c r="K69" s="240">
        <f t="shared" si="23"/>
        <v>1636</v>
      </c>
      <c r="L69" s="268">
        <f t="shared" si="23"/>
        <v>138.81212121212121</v>
      </c>
      <c r="M69" s="240">
        <f t="shared" si="23"/>
        <v>11.75</v>
      </c>
      <c r="N69" s="240">
        <f t="shared" si="23"/>
        <v>1427.7012795782489</v>
      </c>
      <c r="O69" s="268">
        <f t="shared" si="23"/>
        <v>123.76298295955229</v>
      </c>
      <c r="P69" s="269">
        <f>M69-J69</f>
        <v>-0.25</v>
      </c>
      <c r="Q69" s="222">
        <f>N69-K69</f>
        <v>-208.29872042175111</v>
      </c>
      <c r="R69" s="123">
        <f>O69/L69</f>
        <v>0.89158628136247497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>
        <f>N69-K69</f>
        <v>-208.29872042175111</v>
      </c>
      <c r="AG69" s="124">
        <f>N69/K69</f>
        <v>0.87267804375198588</v>
      </c>
      <c r="AH69" s="448"/>
    </row>
    <row r="70" spans="1:36" ht="15" customHeight="1">
      <c r="A70" s="482" t="s">
        <v>55</v>
      </c>
      <c r="B70" s="129" t="s">
        <v>81</v>
      </c>
      <c r="C70" s="129"/>
      <c r="D70" s="131" t="s">
        <v>131</v>
      </c>
      <c r="E70" s="132"/>
      <c r="F70" s="129">
        <f>VLOOKUP(D70,廠價表!$C$1:$E$43,3,0)</f>
        <v>43.89</v>
      </c>
      <c r="G70" s="55">
        <v>2594</v>
      </c>
      <c r="H70" s="243">
        <f>F70*G70</f>
        <v>113850.66</v>
      </c>
      <c r="I70" s="55"/>
      <c r="J70" s="136">
        <f>VLOOKUP(D70,產線配置圖!$A$3:$C$40,2,0)</f>
        <v>11</v>
      </c>
      <c r="K70" s="137">
        <f>VLOOKUP(D70,產線配置圖!$A$3:$C$40,3,0)</f>
        <v>1565</v>
      </c>
      <c r="L70" s="138">
        <f>K70/J70</f>
        <v>142.27272727272728</v>
      </c>
      <c r="M70" s="244">
        <v>9</v>
      </c>
      <c r="N70" s="137">
        <f>G70/W70*60</f>
        <v>1197.2307692307804</v>
      </c>
      <c r="O70" s="138">
        <f>N70/M70</f>
        <v>133.02564102564227</v>
      </c>
      <c r="P70" s="56">
        <f>M70-J70</f>
        <v>-2</v>
      </c>
      <c r="Q70" s="230">
        <f>O70-L70</f>
        <v>-9.2470862470850079</v>
      </c>
      <c r="R70" s="52">
        <f>O70/L70</f>
        <v>0.93500450561154302</v>
      </c>
      <c r="S70" s="420">
        <f>R79</f>
        <v>0.93500450561154302</v>
      </c>
      <c r="T70" s="245">
        <v>0.29166666666666702</v>
      </c>
      <c r="U70" s="245">
        <v>0.38194444444444398</v>
      </c>
      <c r="V70" s="55"/>
      <c r="W70" s="54">
        <f t="shared" si="4"/>
        <v>129.99999999999881</v>
      </c>
      <c r="X70" s="270"/>
      <c r="Y70" s="292"/>
      <c r="Z70" s="169"/>
      <c r="AA70" s="169"/>
      <c r="AB70" s="452"/>
      <c r="AC70" s="452"/>
      <c r="AD70" s="135"/>
      <c r="AE70" s="135"/>
      <c r="AF70" s="310">
        <f>N70-K70</f>
        <v>-367.76923076921958</v>
      </c>
      <c r="AG70" s="246">
        <f>N70/K70</f>
        <v>0.76500368640944438</v>
      </c>
      <c r="AH70" s="445">
        <f>AG79</f>
        <v>0.76500368640944438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>
        <f t="shared" ref="J79:O79" si="24">AVERAGE(J70:J78)</f>
        <v>11</v>
      </c>
      <c r="K79" s="240">
        <f t="shared" si="24"/>
        <v>1565</v>
      </c>
      <c r="L79" s="268">
        <f t="shared" si="24"/>
        <v>142.27272727272728</v>
      </c>
      <c r="M79" s="240">
        <f t="shared" si="24"/>
        <v>9</v>
      </c>
      <c r="N79" s="240">
        <f t="shared" si="24"/>
        <v>1197.2307692307804</v>
      </c>
      <c r="O79" s="268">
        <f t="shared" si="24"/>
        <v>133.02564102564227</v>
      </c>
      <c r="P79" s="269">
        <f>M79-J79</f>
        <v>-2</v>
      </c>
      <c r="Q79" s="222">
        <f>N79-K79</f>
        <v>-367.76923076921958</v>
      </c>
      <c r="R79" s="223">
        <f>O79/L79</f>
        <v>0.93500450561154302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>
        <f>N79-K79</f>
        <v>-367.76923076921958</v>
      </c>
      <c r="AG79" s="124">
        <f>N79/K79</f>
        <v>0.76500368640944438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D0AE-7D8F-4C5C-B00A-1CC61BDEF78A}">
  <dimension ref="B1:O26"/>
  <sheetViews>
    <sheetView topLeftCell="B2" zoomScale="70" zoomScaleNormal="70" workbookViewId="0">
      <selection activeCell="Q21" sqref="Q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46298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>
        <f>AVERAGE(D13:J13)</f>
        <v>131.01870204958439</v>
      </c>
      <c r="G6" s="374"/>
      <c r="H6" s="375">
        <f>AVERAGE(D13:H13)</f>
        <v>127.20921317244847</v>
      </c>
      <c r="I6" s="375"/>
      <c r="J6" s="375">
        <f>AVERAGE(I13:J13)</f>
        <v>140.54242424242426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115.29073933848522</v>
      </c>
      <c r="G7" s="398"/>
      <c r="H7" s="399">
        <f>AVERAGE(D14:H14)</f>
        <v>113.00562814747245</v>
      </c>
      <c r="I7" s="399"/>
      <c r="J7" s="399">
        <f>AVERAGE(I14:J14)</f>
        <v>121.00351731601721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>
        <f>AVERAGE(D15:J15)</f>
        <v>0.88617581611270868</v>
      </c>
      <c r="G8" s="371"/>
      <c r="H8" s="371">
        <f>AVERAGE(D15:H15)</f>
        <v>0.89651687372636224</v>
      </c>
      <c r="I8" s="371"/>
      <c r="J8" s="371">
        <f>AVERAGE(I15:J15)</f>
        <v>0.86032317207857467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>
        <f>VALUE('1003'!L15)</f>
        <v>164.83516483516482</v>
      </c>
      <c r="E13" s="13">
        <f>VALUE('1003'!L26)</f>
        <v>174.10714285714286</v>
      </c>
      <c r="F13" s="13">
        <f>VALUE('1003'!L37)</f>
        <v>93.729166666666657</v>
      </c>
      <c r="G13" s="13">
        <f>VALUE('1003'!L48)</f>
        <v>99.006944444444443</v>
      </c>
      <c r="H13" s="13">
        <f>VALUE('1003'!L58)</f>
        <v>104.36764705882354</v>
      </c>
      <c r="I13" s="13">
        <f>VALUE('1003'!L69)</f>
        <v>138.81212121212121</v>
      </c>
      <c r="J13" s="13">
        <f>'1003'!L79</f>
        <v>142.27272727272728</v>
      </c>
    </row>
    <row r="14" spans="2:15" ht="39.950000000000003" customHeight="1">
      <c r="B14" s="392"/>
      <c r="C14" s="12" t="s">
        <v>100</v>
      </c>
      <c r="D14" s="13">
        <f>VALUE('1003'!O15)</f>
        <v>143.18287419916317</v>
      </c>
      <c r="E14" s="13">
        <f>VALUE('1003'!O26)</f>
        <v>147.89960688325226</v>
      </c>
      <c r="F14" s="13">
        <f>VALUE('1003'!O37)</f>
        <v>85.012412972435683</v>
      </c>
      <c r="G14" s="13">
        <f>VALUE('1003'!O48)</f>
        <v>90.981018518517857</v>
      </c>
      <c r="H14" s="13">
        <f>VALUE('1003'!O58)</f>
        <v>97.952228163993311</v>
      </c>
      <c r="I14" s="13">
        <f>VALUE('1003'!O69)</f>
        <v>112.0737012987002</v>
      </c>
      <c r="J14" s="13">
        <f>'1003'!O79</f>
        <v>129.93333333333422</v>
      </c>
    </row>
    <row r="15" spans="2:15" ht="39.950000000000003" customHeight="1">
      <c r="B15" s="393"/>
      <c r="C15" s="10" t="s">
        <v>26</v>
      </c>
      <c r="D15" s="14">
        <f t="shared" ref="D15:I15" si="0">D14/D13</f>
        <v>0.86864277014158997</v>
      </c>
      <c r="E15" s="14">
        <f t="shared" si="0"/>
        <v>0.84947466517560266</v>
      </c>
      <c r="F15" s="14">
        <f t="shared" si="0"/>
        <v>0.90700062740095866</v>
      </c>
      <c r="G15" s="14">
        <f t="shared" si="0"/>
        <v>0.91893572747889263</v>
      </c>
      <c r="H15" s="14">
        <f t="shared" si="0"/>
        <v>0.9385305784347675</v>
      </c>
      <c r="I15" s="14">
        <f t="shared" si="0"/>
        <v>0.80737690858738798</v>
      </c>
      <c r="J15" s="15">
        <f>'1003'!S70</f>
        <v>0.91326943556976126</v>
      </c>
    </row>
    <row r="16" spans="2:15" ht="17.25" customHeight="1">
      <c r="B16" s="394" t="s">
        <v>101</v>
      </c>
      <c r="C16" s="10" t="s">
        <v>34</v>
      </c>
      <c r="D16" s="16">
        <f>'1003'!T5</f>
        <v>0.29166666666666702</v>
      </c>
      <c r="E16" s="16">
        <f>'1003'!T16</f>
        <v>0.29166666666666702</v>
      </c>
      <c r="F16" s="16">
        <f>'1003'!T27</f>
        <v>0.29166666666666702</v>
      </c>
      <c r="G16" s="16">
        <f>'1003'!T38</f>
        <v>0.33333333333333298</v>
      </c>
      <c r="H16" s="16">
        <f>'1003'!T49</f>
        <v>0.29166666666666702</v>
      </c>
      <c r="I16" s="16">
        <f>'1003'!T59</f>
        <v>0.29166666666666702</v>
      </c>
      <c r="J16" s="17">
        <f>'1003'!T70</f>
        <v>0.29166666666666702</v>
      </c>
    </row>
    <row r="17" spans="2:10" ht="17.25" customHeight="1">
      <c r="B17" s="395"/>
      <c r="C17" s="10" t="s">
        <v>35</v>
      </c>
      <c r="D17" s="16">
        <v>0.483333333333333</v>
      </c>
      <c r="E17" s="183">
        <v>0.46180555555555602</v>
      </c>
      <c r="F17" s="19">
        <v>0.57986111111111105</v>
      </c>
      <c r="G17" s="328">
        <v>0.49305555555555602</v>
      </c>
      <c r="H17" s="21">
        <v>0.46388888888888902</v>
      </c>
      <c r="I17" s="22">
        <v>0.51041666666666696</v>
      </c>
      <c r="J17" s="110">
        <v>0.36111111111111099</v>
      </c>
    </row>
    <row r="18" spans="2:10" ht="17.25" customHeight="1">
      <c r="B18" s="396" t="s">
        <v>102</v>
      </c>
      <c r="C18" s="330" t="s">
        <v>36</v>
      </c>
      <c r="D18" s="359">
        <f>'1003'!Z15</f>
        <v>0</v>
      </c>
      <c r="E18" s="360">
        <f>'1003'!Z26</f>
        <v>0</v>
      </c>
      <c r="F18" s="360">
        <f>'1003'!Z37</f>
        <v>0</v>
      </c>
      <c r="G18" s="361">
        <f>'1003'!Z48</f>
        <v>0</v>
      </c>
      <c r="H18" s="361">
        <f>'1003'!Z58</f>
        <v>0</v>
      </c>
      <c r="I18" s="360">
        <f>'1003'!Z69</f>
        <v>0</v>
      </c>
      <c r="J18" s="360">
        <f>'1003'!AA79</f>
        <v>0</v>
      </c>
    </row>
    <row r="19" spans="2:10" ht="17.25" customHeight="1">
      <c r="B19" s="397"/>
      <c r="C19" s="330" t="s">
        <v>37</v>
      </c>
      <c r="D19" s="359">
        <f>'1003'!AA15</f>
        <v>0</v>
      </c>
      <c r="E19" s="360">
        <f>'1003'!AA26</f>
        <v>0</v>
      </c>
      <c r="F19" s="360">
        <f>'1003'!AA37</f>
        <v>0</v>
      </c>
      <c r="G19" s="361">
        <f>'1003'!AA48</f>
        <v>0</v>
      </c>
      <c r="H19" s="361">
        <f>'1003'!AA58</f>
        <v>0</v>
      </c>
      <c r="I19" s="360">
        <f>'1003'!AA69</f>
        <v>0</v>
      </c>
      <c r="J19" s="360">
        <f>'1003'!AB79</f>
        <v>0</v>
      </c>
    </row>
    <row r="20" spans="2:10" ht="17.25" customHeight="1">
      <c r="B20" s="396" t="s">
        <v>103</v>
      </c>
      <c r="C20" s="330" t="s">
        <v>36</v>
      </c>
      <c r="D20" s="359">
        <f>'1003'!AD15</f>
        <v>0</v>
      </c>
      <c r="E20" s="360">
        <f>'1003'!AD26</f>
        <v>0</v>
      </c>
      <c r="F20" s="360">
        <f>'1003'!AD37</f>
        <v>0</v>
      </c>
      <c r="G20" s="361">
        <f>'1003'!AD48</f>
        <v>0</v>
      </c>
      <c r="H20" s="361">
        <f>'1003'!AD58</f>
        <v>0</v>
      </c>
      <c r="I20" s="360">
        <f>'1003'!AD69</f>
        <v>0</v>
      </c>
      <c r="J20" s="360">
        <f>'1003'!AD79</f>
        <v>0</v>
      </c>
    </row>
    <row r="21" spans="2:10" ht="17.25" customHeight="1">
      <c r="B21" s="397"/>
      <c r="C21" s="330" t="s">
        <v>85</v>
      </c>
      <c r="D21" s="359">
        <f>'1003'!AE15</f>
        <v>0</v>
      </c>
      <c r="E21" s="360">
        <f>'1003'!AE26</f>
        <v>0</v>
      </c>
      <c r="F21" s="360">
        <f>'1003'!AE37</f>
        <v>0</v>
      </c>
      <c r="G21" s="361">
        <f>'1003'!AE48</f>
        <v>0</v>
      </c>
      <c r="H21" s="361">
        <f>'1003'!AE58</f>
        <v>0</v>
      </c>
      <c r="I21" s="360">
        <f>'1003'!AE69</f>
        <v>0</v>
      </c>
      <c r="J21" s="360">
        <f>'1003'!AE79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5BD4-0318-4A2F-84B3-0DF916181439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7" sqref="U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43958</v>
      </c>
      <c r="F1" s="30" t="s">
        <v>2</v>
      </c>
      <c r="G1" s="31">
        <f>SUM(H5:H79)</f>
        <v>2056079.3639999998</v>
      </c>
      <c r="H1" s="32" t="s">
        <v>3</v>
      </c>
      <c r="I1" s="33">
        <f>M15+M26+M48+M58+M69+M79+M37</f>
        <v>97.166666666666657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135</v>
      </c>
      <c r="B2" s="417"/>
      <c r="C2" s="28"/>
      <c r="D2" s="28" t="s">
        <v>14</v>
      </c>
      <c r="E2" s="35">
        <f>AVERAGE(O15,O26,O37,O48,O58,O69,O79)</f>
        <v>115.29073933848522</v>
      </c>
      <c r="F2" s="36" t="s">
        <v>15</v>
      </c>
      <c r="G2" s="37">
        <f>G1/E1</f>
        <v>46.773724100277533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2618</v>
      </c>
      <c r="H5" s="43">
        <f>F5*G5</f>
        <v>148885.66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1892.5301204819255</v>
      </c>
      <c r="O5" s="47">
        <f>N5/M5</f>
        <v>135.18072289156609</v>
      </c>
      <c r="P5" s="49">
        <f>M5-J5</f>
        <v>0</v>
      </c>
      <c r="Q5" s="50">
        <f>O5-L5</f>
        <v>-25.533562822719631</v>
      </c>
      <c r="R5" s="51">
        <f>O5/L5</f>
        <v>0.84112449799196676</v>
      </c>
      <c r="S5" s="420">
        <f>R15</f>
        <v>0.86864277014158997</v>
      </c>
      <c r="T5" s="319">
        <v>0.29166666666666702</v>
      </c>
      <c r="U5" s="320">
        <v>0.34930555555555598</v>
      </c>
      <c r="V5" s="53"/>
      <c r="W5" s="54">
        <f t="shared" ref="W5:W14" si="0">(U5-T5)*24*60</f>
        <v>83.000000000000099</v>
      </c>
      <c r="X5" s="55"/>
      <c r="Y5" s="290"/>
      <c r="Z5" s="169"/>
      <c r="AA5" s="169"/>
      <c r="AB5" s="452"/>
      <c r="AC5" s="452"/>
      <c r="AD5" s="135"/>
      <c r="AE5" s="135"/>
      <c r="AF5" s="229">
        <f t="shared" ref="AF5:AF9" si="1">N5-K5</f>
        <v>-357.46987951807455</v>
      </c>
      <c r="AG5" s="52">
        <f t="shared" ref="AG5:AG9" si="2">N5/K5</f>
        <v>0.84112449799196687</v>
      </c>
      <c r="AH5" s="445">
        <f>AG15</f>
        <v>0.86860227137029233</v>
      </c>
    </row>
    <row r="6" spans="1:34" ht="15" customHeight="1">
      <c r="A6" s="401"/>
      <c r="B6" s="75" t="s">
        <v>81</v>
      </c>
      <c r="C6" s="76"/>
      <c r="D6" s="59" t="s">
        <v>114</v>
      </c>
      <c r="E6" s="77"/>
      <c r="F6" s="75">
        <f>VLOOKUP(D6,廠價表!$C$1:$E$43,3,0)</f>
        <v>58.17</v>
      </c>
      <c r="G6" s="66">
        <v>979</v>
      </c>
      <c r="H6" s="78">
        <f>F6*G6</f>
        <v>56948.43</v>
      </c>
      <c r="I6" s="73"/>
      <c r="J6" s="79">
        <f>VLOOKUP(D6,產線配置圖!$A$3:$C$40,2,0)</f>
        <v>13</v>
      </c>
      <c r="K6" s="80">
        <f>VLOOKUP(D6,產線配置圖!$A$3:$C$40,3,0)</f>
        <v>2250</v>
      </c>
      <c r="L6" s="81">
        <f>K6/J6</f>
        <v>173.07692307692307</v>
      </c>
      <c r="M6" s="82">
        <v>13</v>
      </c>
      <c r="N6" s="80">
        <f>G6/W6*60</f>
        <v>1957.9999999999395</v>
      </c>
      <c r="O6" s="81">
        <f>N6/M6</f>
        <v>150.61538461537995</v>
      </c>
      <c r="P6" s="74">
        <f>M6-J6</f>
        <v>0</v>
      </c>
      <c r="Q6" s="83">
        <f>O6-L6</f>
        <v>-22.461538461543114</v>
      </c>
      <c r="R6" s="72">
        <f>O6/L6</f>
        <v>0.87022222222219536</v>
      </c>
      <c r="S6" s="421"/>
      <c r="T6" s="18">
        <v>0.35694444444444401</v>
      </c>
      <c r="U6" s="18">
        <v>0.37777777777777799</v>
      </c>
      <c r="V6" s="30">
        <f t="shared" ref="V6:V7" si="3">(T6-U5)*24*60</f>
        <v>10.999999999998762</v>
      </c>
      <c r="W6" s="73">
        <f t="shared" si="0"/>
        <v>30.000000000000931</v>
      </c>
      <c r="X6" s="22"/>
      <c r="Y6" s="84"/>
      <c r="Z6" s="90"/>
      <c r="AA6" s="90"/>
      <c r="AB6" s="450"/>
      <c r="AC6" s="450"/>
      <c r="AD6" s="92"/>
      <c r="AE6" s="92"/>
      <c r="AF6" s="307">
        <f t="shared" si="1"/>
        <v>-292.00000000006048</v>
      </c>
      <c r="AG6" s="72">
        <f t="shared" si="2"/>
        <v>0.87022222222219536</v>
      </c>
      <c r="AH6" s="446"/>
    </row>
    <row r="7" spans="1:34" ht="15" customHeight="1">
      <c r="A7" s="40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4763</v>
      </c>
      <c r="H7" s="78">
        <f>F7*G7</f>
        <v>234053.82</v>
      </c>
      <c r="I7" s="73"/>
      <c r="J7" s="79">
        <f>VLOOKUP(D7,產線配置圖!$A$3:$C$40,2,0)</f>
        <v>14</v>
      </c>
      <c r="K7" s="80">
        <f>VLOOKUP(D7,產線配置圖!$A$3:$C$40,3,0)</f>
        <v>2250</v>
      </c>
      <c r="L7" s="81">
        <f>K7/J7</f>
        <v>160.71428571428572</v>
      </c>
      <c r="M7" s="82">
        <v>14</v>
      </c>
      <c r="N7" s="80">
        <f>G7/W7*60</f>
        <v>2012.5352112676082</v>
      </c>
      <c r="O7" s="81">
        <f>N7/M7</f>
        <v>143.75251509054345</v>
      </c>
      <c r="P7" s="74">
        <f>M7-J7</f>
        <v>0</v>
      </c>
      <c r="Q7" s="83">
        <f>O7-L7</f>
        <v>-16.961770623742268</v>
      </c>
      <c r="R7" s="72">
        <f>O7/L7</f>
        <v>0.89446009389671477</v>
      </c>
      <c r="S7" s="421"/>
      <c r="T7" s="16">
        <v>0.38472222222222202</v>
      </c>
      <c r="U7" s="16">
        <v>0.483333333333333</v>
      </c>
      <c r="V7" s="30">
        <f t="shared" si="3"/>
        <v>9.9999999999994049</v>
      </c>
      <c r="W7" s="73">
        <f t="shared" si="0"/>
        <v>141.99999999999983</v>
      </c>
      <c r="X7" s="22"/>
      <c r="Y7" s="84"/>
      <c r="Z7" s="90"/>
      <c r="AA7" s="90"/>
      <c r="AB7" s="449"/>
      <c r="AC7" s="449"/>
      <c r="AD7" s="149"/>
      <c r="AE7" s="149"/>
      <c r="AF7" s="307">
        <f t="shared" si="1"/>
        <v>-237.46478873239175</v>
      </c>
      <c r="AG7" s="72">
        <f t="shared" si="2"/>
        <v>0.89446009389671477</v>
      </c>
      <c r="AH7" s="446"/>
    </row>
    <row r="8" spans="1:34" ht="15" customHeight="1">
      <c r="A8" s="402"/>
      <c r="B8" s="75"/>
      <c r="C8" s="86"/>
      <c r="D8" s="59"/>
      <c r="E8" s="87"/>
      <c r="F8" s="75"/>
      <c r="G8" s="62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2"/>
      <c r="T8" s="22"/>
      <c r="U8" s="22"/>
      <c r="V8" s="30"/>
      <c r="W8" s="73">
        <f t="shared" si="0"/>
        <v>0</v>
      </c>
      <c r="X8" s="22"/>
      <c r="Y8" s="84"/>
      <c r="Z8" s="90"/>
      <c r="AA8" s="90"/>
      <c r="AB8" s="450"/>
      <c r="AC8" s="450"/>
      <c r="AD8" s="92"/>
      <c r="AE8" s="92"/>
      <c r="AF8" s="307">
        <f t="shared" si="1"/>
        <v>0</v>
      </c>
      <c r="AG8" s="72" t="e">
        <f t="shared" si="2"/>
        <v>#DIV/0!</v>
      </c>
      <c r="AH8" s="447"/>
    </row>
    <row r="9" spans="1:34" ht="15" customHeight="1">
      <c r="A9" s="402"/>
      <c r="B9" s="75"/>
      <c r="C9" s="88"/>
      <c r="D9" s="59"/>
      <c r="E9" s="89"/>
      <c r="F9" s="75"/>
      <c r="G9" s="90"/>
      <c r="H9" s="91"/>
      <c r="I9" s="92"/>
      <c r="J9" s="79"/>
      <c r="K9" s="80"/>
      <c r="L9" s="93"/>
      <c r="M9" s="94"/>
      <c r="N9" s="95"/>
      <c r="O9" s="96"/>
      <c r="P9" s="97"/>
      <c r="Q9" s="98"/>
      <c r="R9" s="99"/>
      <c r="S9" s="422"/>
      <c r="T9" s="22"/>
      <c r="U9" s="22"/>
      <c r="V9" s="30"/>
      <c r="W9" s="100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101"/>
      <c r="C10" s="102"/>
      <c r="D10" s="103"/>
      <c r="E10" s="104"/>
      <c r="F10" s="105"/>
      <c r="G10" s="62"/>
      <c r="H10" s="78"/>
      <c r="I10" s="38"/>
      <c r="J10" s="106"/>
      <c r="K10" s="107"/>
      <c r="L10" s="81"/>
      <c r="M10" s="108"/>
      <c r="N10" s="62"/>
      <c r="O10" s="81"/>
      <c r="P10" s="74"/>
      <c r="Q10" s="83"/>
      <c r="R10" s="72"/>
      <c r="S10" s="422"/>
      <c r="T10" s="109"/>
      <c r="U10" s="109"/>
      <c r="V10" s="38"/>
      <c r="W10" s="100">
        <f t="shared" ref="W10:W11" si="4">(U10-T10)*24*60</f>
        <v>0</v>
      </c>
      <c r="X10" s="110"/>
      <c r="Y10" s="289"/>
      <c r="Z10" s="90"/>
      <c r="AA10" s="90"/>
      <c r="AB10" s="449"/>
      <c r="AC10" s="449"/>
      <c r="AD10" s="149"/>
      <c r="AE10" s="149"/>
      <c r="AF10" s="308"/>
      <c r="AG10" s="85"/>
      <c r="AH10" s="447"/>
    </row>
    <row r="11" spans="1:34" ht="15" customHeight="1">
      <c r="A11" s="402"/>
      <c r="B11" s="75"/>
      <c r="C11" s="76"/>
      <c r="D11" s="59"/>
      <c r="E11" s="77"/>
      <c r="F11" s="75"/>
      <c r="G11" s="62"/>
      <c r="H11" s="78"/>
      <c r="I11" s="73"/>
      <c r="J11" s="79"/>
      <c r="K11" s="80"/>
      <c r="L11" s="81"/>
      <c r="M11" s="82"/>
      <c r="N11" s="80"/>
      <c r="O11" s="81"/>
      <c r="P11" s="74"/>
      <c r="Q11" s="83"/>
      <c r="R11" s="72"/>
      <c r="S11" s="422"/>
      <c r="T11" s="113"/>
      <c r="U11" s="113"/>
      <c r="V11" s="101"/>
      <c r="W11" s="100">
        <f t="shared" si="4"/>
        <v>0</v>
      </c>
      <c r="X11" s="110"/>
      <c r="Y11" s="289"/>
      <c r="Z11" s="90"/>
      <c r="AA11" s="90"/>
      <c r="AB11" s="450"/>
      <c r="AC11" s="450"/>
      <c r="AD11" s="92"/>
      <c r="AE11" s="92"/>
      <c r="AF11" s="308"/>
      <c r="AG11" s="85"/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>
        <f t="shared" ref="J15:O15" si="5">AVERAGE(J5:J14)</f>
        <v>13.666666666666666</v>
      </c>
      <c r="K15" s="120">
        <f t="shared" si="5"/>
        <v>2250</v>
      </c>
      <c r="L15" s="117">
        <f t="shared" si="5"/>
        <v>164.83516483516482</v>
      </c>
      <c r="M15" s="120">
        <f t="shared" si="5"/>
        <v>13.666666666666666</v>
      </c>
      <c r="N15" s="120">
        <f t="shared" si="5"/>
        <v>1954.3551105831577</v>
      </c>
      <c r="O15" s="117">
        <f t="shared" si="5"/>
        <v>143.18287419916317</v>
      </c>
      <c r="P15" s="121">
        <f>M15-J15</f>
        <v>0</v>
      </c>
      <c r="Q15" s="122">
        <f>O15-L15</f>
        <v>-21.652290636001652</v>
      </c>
      <c r="R15" s="123">
        <f>O15/L15</f>
        <v>0.86864277014158997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>
        <f>N15-K15</f>
        <v>-295.64488941684226</v>
      </c>
      <c r="AG15" s="124">
        <f>N15/K15</f>
        <v>0.86860227137029233</v>
      </c>
      <c r="AH15" s="448"/>
    </row>
    <row r="16" spans="1:34" ht="15" customHeight="1">
      <c r="A16" s="462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VLOOKUP(D16,廠價表!$C$1:$E$43,3,0)</f>
        <v>50.67</v>
      </c>
      <c r="G16" s="133">
        <v>3439</v>
      </c>
      <c r="H16" s="134">
        <f>F16*G16</f>
        <v>174254.13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1928.4112149532866</v>
      </c>
      <c r="O16" s="141">
        <f>N16/M16</f>
        <v>137.74365821094904</v>
      </c>
      <c r="P16" s="142">
        <f>M16-J16</f>
        <v>0</v>
      </c>
      <c r="Q16" s="143">
        <f>O16-L16</f>
        <v>-22.970627503336686</v>
      </c>
      <c r="R16" s="144">
        <f>O16/L16</f>
        <v>0.85707165109034955</v>
      </c>
      <c r="S16" s="456">
        <f>R26</f>
        <v>0.84947466517560266</v>
      </c>
      <c r="T16" s="145">
        <v>0.29166666666666702</v>
      </c>
      <c r="U16" s="145">
        <v>0.36597222222222198</v>
      </c>
      <c r="V16" s="135"/>
      <c r="W16" s="146">
        <f t="shared" ref="W16:W78" si="6">(U16-T16)*24*60</f>
        <v>106.99999999999915</v>
      </c>
      <c r="X16" s="141"/>
      <c r="Y16" s="296"/>
      <c r="Z16" s="169"/>
      <c r="AA16" s="169"/>
      <c r="AB16" s="452"/>
      <c r="AC16" s="452"/>
      <c r="AD16" s="135"/>
      <c r="AE16" s="135"/>
      <c r="AF16" s="229">
        <f>N16-K16</f>
        <v>-321.58878504671338</v>
      </c>
      <c r="AG16" s="52">
        <f>N16/K16</f>
        <v>0.85707165109034966</v>
      </c>
      <c r="AH16" s="445">
        <f>AG26</f>
        <v>0.85001730702665612</v>
      </c>
    </row>
    <row r="17" spans="1:34" ht="15" customHeight="1">
      <c r="A17" s="463"/>
      <c r="B17" s="75" t="s">
        <v>81</v>
      </c>
      <c r="C17" s="76"/>
      <c r="D17" s="59" t="s">
        <v>117</v>
      </c>
      <c r="E17" s="77"/>
      <c r="F17" s="75">
        <f>VLOOKUP(D17,廠價表!$C$1:$E$43,3,0)</f>
        <v>50.39</v>
      </c>
      <c r="G17" s="147">
        <v>3983</v>
      </c>
      <c r="H17" s="78">
        <f>F17*G17</f>
        <v>200703.37</v>
      </c>
      <c r="I17" s="30"/>
      <c r="J17" s="79">
        <f>VLOOKUP(D17,產線配置圖!$A$3:$C$40,2,0)</f>
        <v>12</v>
      </c>
      <c r="K17" s="80">
        <f>VLOOKUP(D17,產線配置圖!$A$3:$C$40,3,0)</f>
        <v>2250</v>
      </c>
      <c r="L17" s="81">
        <f>K17/J17</f>
        <v>187.5</v>
      </c>
      <c r="M17" s="148">
        <v>12</v>
      </c>
      <c r="N17" s="95">
        <f>G17/W17*60</f>
        <v>1896.6666666666663</v>
      </c>
      <c r="O17" s="96">
        <f>N17/M17</f>
        <v>158.05555555555551</v>
      </c>
      <c r="P17" s="97">
        <f>M17-J17</f>
        <v>0</v>
      </c>
      <c r="Q17" s="98">
        <f>O17-L17</f>
        <v>-29.444444444444485</v>
      </c>
      <c r="R17" s="99">
        <f>O17/L17</f>
        <v>0.84296296296296269</v>
      </c>
      <c r="S17" s="457"/>
      <c r="T17" s="19">
        <v>0.374305555555556</v>
      </c>
      <c r="U17" s="19">
        <v>0.46180555555555602</v>
      </c>
      <c r="V17" s="30">
        <f>(T17-U16)*24*60</f>
        <v>12.000000000000997</v>
      </c>
      <c r="W17" s="149">
        <f t="shared" si="6"/>
        <v>126.00000000000003</v>
      </c>
      <c r="X17" s="19"/>
      <c r="Y17" s="297"/>
      <c r="Z17" s="90"/>
      <c r="AA17" s="90"/>
      <c r="AB17" s="450"/>
      <c r="AC17" s="450"/>
      <c r="AD17" s="92"/>
      <c r="AE17" s="92"/>
      <c r="AF17" s="307">
        <f>N17-K17</f>
        <v>-353.33333333333371</v>
      </c>
      <c r="AG17" s="72">
        <f>N17/K17</f>
        <v>0.8429629629629628</v>
      </c>
      <c r="AH17" s="446"/>
    </row>
    <row r="18" spans="1:34" ht="15" customHeight="1">
      <c r="A18" s="463"/>
      <c r="B18" s="75"/>
      <c r="C18" s="76"/>
      <c r="D18" s="59"/>
      <c r="E18" s="77"/>
      <c r="F18" s="75"/>
      <c r="G18" s="147"/>
      <c r="H18" s="78"/>
      <c r="I18" s="30"/>
      <c r="J18" s="79"/>
      <c r="K18" s="80"/>
      <c r="L18" s="81"/>
      <c r="M18" s="148"/>
      <c r="N18" s="95"/>
      <c r="O18" s="96"/>
      <c r="P18" s="97"/>
      <c r="Q18" s="98"/>
      <c r="R18" s="99"/>
      <c r="S18" s="457"/>
      <c r="T18" s="19"/>
      <c r="U18" s="19"/>
      <c r="V18" s="30"/>
      <c r="W18" s="149">
        <f t="shared" si="6"/>
        <v>0</v>
      </c>
      <c r="X18" s="22"/>
      <c r="Y18" s="84"/>
      <c r="Z18" s="90"/>
      <c r="AA18" s="90"/>
      <c r="AB18" s="450"/>
      <c r="AC18" s="450"/>
      <c r="AD18" s="92"/>
      <c r="AE18" s="92"/>
      <c r="AF18" s="307">
        <f>N18-K18</f>
        <v>0</v>
      </c>
      <c r="AG18" s="72" t="e">
        <f>N18/K18</f>
        <v>#DIV/0!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/>
      <c r="W19" s="149">
        <f t="shared" si="6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/>
      <c r="W20" s="149">
        <f t="shared" si="6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6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6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6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6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>
        <f t="shared" ref="J26:O26" si="7">AVERAGE(J16:J25)</f>
        <v>13</v>
      </c>
      <c r="K26" s="155">
        <f t="shared" si="7"/>
        <v>2250</v>
      </c>
      <c r="L26" s="158">
        <f t="shared" si="7"/>
        <v>174.10714285714286</v>
      </c>
      <c r="M26" s="155">
        <f t="shared" si="7"/>
        <v>13</v>
      </c>
      <c r="N26" s="155">
        <f t="shared" si="7"/>
        <v>1912.5389408099763</v>
      </c>
      <c r="O26" s="158">
        <f t="shared" si="7"/>
        <v>147.89960688325226</v>
      </c>
      <c r="P26" s="159">
        <f>M26-J26</f>
        <v>0</v>
      </c>
      <c r="Q26" s="160">
        <f>O26-L26</f>
        <v>-26.2075359738906</v>
      </c>
      <c r="R26" s="161">
        <f>O26/L26</f>
        <v>0.84947466517560266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>
        <f t="shared" ref="AF26:AF31" si="8">N26-K26</f>
        <v>-337.46105919002366</v>
      </c>
      <c r="AG26" s="124">
        <f t="shared" ref="AG26:AG31" si="9">N26/K26</f>
        <v>0.85001730702665612</v>
      </c>
      <c r="AH26" s="448"/>
    </row>
    <row r="27" spans="1:34" ht="15" customHeight="1">
      <c r="A27" s="453" t="s">
        <v>45</v>
      </c>
      <c r="B27" s="167" t="s">
        <v>81</v>
      </c>
      <c r="C27" s="130"/>
      <c r="D27" s="168" t="s">
        <v>118</v>
      </c>
      <c r="E27" s="132"/>
      <c r="F27" s="129">
        <f>VLOOKUP(D27,廠價表!$C$1:$E$43,3,0)</f>
        <v>61.65</v>
      </c>
      <c r="G27" s="169">
        <v>1821</v>
      </c>
      <c r="H27" s="134">
        <f>F27*G27</f>
        <v>112264.65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1456.80000000001</v>
      </c>
      <c r="O27" s="141">
        <f>N27/M27</f>
        <v>85.694117647059414</v>
      </c>
      <c r="P27" s="142">
        <f>M27-J27</f>
        <v>-1</v>
      </c>
      <c r="Q27" s="143">
        <f>O27-L27</f>
        <v>-5.1947712418294714</v>
      </c>
      <c r="R27" s="144">
        <f>O27/L27</f>
        <v>0.94284481518769525</v>
      </c>
      <c r="S27" s="456">
        <f>R37</f>
        <v>0.90700062740095866</v>
      </c>
      <c r="T27" s="171">
        <v>0.29166666666666702</v>
      </c>
      <c r="U27" s="171">
        <v>0.34375</v>
      </c>
      <c r="V27" s="135"/>
      <c r="W27" s="146">
        <f t="shared" si="6"/>
        <v>74.999999999999488</v>
      </c>
      <c r="X27" s="135"/>
      <c r="Y27" s="300"/>
      <c r="Z27" s="169"/>
      <c r="AA27" s="169"/>
      <c r="AB27" s="452"/>
      <c r="AC27" s="452"/>
      <c r="AD27" s="135"/>
      <c r="AE27" s="135"/>
      <c r="AF27" s="310">
        <f t="shared" si="8"/>
        <v>-179.19999999999004</v>
      </c>
      <c r="AG27" s="172">
        <f t="shared" si="9"/>
        <v>0.89046454767726768</v>
      </c>
      <c r="AH27" s="445">
        <f>AG37</f>
        <v>0.88380594238333487</v>
      </c>
    </row>
    <row r="28" spans="1:34" ht="15" customHeight="1">
      <c r="A28" s="454"/>
      <c r="B28" s="75" t="s">
        <v>81</v>
      </c>
      <c r="C28" s="173"/>
      <c r="D28" s="59" t="s">
        <v>132</v>
      </c>
      <c r="E28" s="104"/>
      <c r="F28" s="75">
        <f>VLOOKUP(D28,廠價表!$C$1:$E$43,3,0)</f>
        <v>46.34</v>
      </c>
      <c r="G28" s="90">
        <v>679</v>
      </c>
      <c r="H28" s="91">
        <f>F28*G28</f>
        <v>31464.86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1358.0000000000193</v>
      </c>
      <c r="O28" s="96">
        <f>N28/M28</f>
        <v>84.875000000001208</v>
      </c>
      <c r="P28" s="97">
        <f>M28-J28</f>
        <v>0</v>
      </c>
      <c r="Q28" s="98">
        <f>O28-L28</f>
        <v>-17.374999999998792</v>
      </c>
      <c r="R28" s="99">
        <f>O28/L28</f>
        <v>0.83007334963326362</v>
      </c>
      <c r="S28" s="457"/>
      <c r="T28" s="19">
        <v>0.35</v>
      </c>
      <c r="U28" s="19">
        <v>0.37083333333333302</v>
      </c>
      <c r="V28" s="92">
        <f>(T28-U27)*24*60</f>
        <v>8.999999999999968</v>
      </c>
      <c r="W28" s="149">
        <f t="shared" si="6"/>
        <v>29.999999999999574</v>
      </c>
      <c r="X28" s="174"/>
      <c r="Y28" s="301"/>
      <c r="Z28" s="335"/>
      <c r="AA28" s="335"/>
      <c r="AB28" s="450"/>
      <c r="AC28" s="450"/>
      <c r="AD28" s="92"/>
      <c r="AE28" s="92"/>
      <c r="AF28" s="311">
        <f t="shared" si="8"/>
        <v>-277.99999999998067</v>
      </c>
      <c r="AG28" s="99">
        <f t="shared" si="9"/>
        <v>0.83007334963326362</v>
      </c>
      <c r="AH28" s="466"/>
    </row>
    <row r="29" spans="1:34" ht="15" customHeight="1">
      <c r="A29" s="454"/>
      <c r="B29" s="75" t="s">
        <v>81</v>
      </c>
      <c r="C29" s="173"/>
      <c r="D29" s="59" t="s">
        <v>119</v>
      </c>
      <c r="E29" s="104"/>
      <c r="F29" s="75">
        <f>VLOOKUP(D29,廠價表!$C$1:$E$43,3,0)</f>
        <v>52.21</v>
      </c>
      <c r="G29" s="90">
        <v>3629</v>
      </c>
      <c r="H29" s="91">
        <f>F29*G29</f>
        <v>189470.09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1577.8260869565274</v>
      </c>
      <c r="O29" s="96">
        <f>N29/M29</f>
        <v>87.657004830918197</v>
      </c>
      <c r="P29" s="97">
        <f>M29-J29</f>
        <v>0</v>
      </c>
      <c r="Q29" s="98">
        <f>O29-L29</f>
        <v>-3.2318840579706887</v>
      </c>
      <c r="R29" s="99">
        <f>O29/L29</f>
        <v>0.96444137344531022</v>
      </c>
      <c r="S29" s="457"/>
      <c r="T29" s="19">
        <v>0.37638888888888899</v>
      </c>
      <c r="U29" s="19">
        <v>0.47222222222222199</v>
      </c>
      <c r="V29" s="92">
        <f>(T29-U28)*24*60</f>
        <v>8.0000000000006111</v>
      </c>
      <c r="W29" s="149">
        <f t="shared" si="6"/>
        <v>137.99999999999952</v>
      </c>
      <c r="X29" s="22"/>
      <c r="Y29" s="84"/>
      <c r="Z29" s="90"/>
      <c r="AA29" s="90"/>
      <c r="AB29" s="450"/>
      <c r="AC29" s="450"/>
      <c r="AD29" s="92"/>
      <c r="AE29" s="92"/>
      <c r="AF29" s="312">
        <f t="shared" si="8"/>
        <v>-58.173913043472567</v>
      </c>
      <c r="AG29" s="99">
        <f t="shared" si="9"/>
        <v>0.96444137344531011</v>
      </c>
      <c r="AH29" s="466"/>
    </row>
    <row r="30" spans="1:34" ht="15" customHeight="1">
      <c r="A30" s="454"/>
      <c r="B30" s="75" t="s">
        <v>120</v>
      </c>
      <c r="C30" s="88"/>
      <c r="D30" s="59" t="s">
        <v>122</v>
      </c>
      <c r="E30" s="89"/>
      <c r="F30" s="75">
        <f>VLOOKUP(D30,廠價表!$C$1:$E$43,3,0)</f>
        <v>44.3</v>
      </c>
      <c r="G30" s="90">
        <v>1391</v>
      </c>
      <c r="H30" s="91">
        <f>F30*G30</f>
        <v>61621.299999999996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1390.9999999999866</v>
      </c>
      <c r="O30" s="96">
        <f>N30/M30</f>
        <v>81.823529411763914</v>
      </c>
      <c r="P30" s="97">
        <f>M30-J30</f>
        <v>-1</v>
      </c>
      <c r="Q30" s="98">
        <f>O30-L30</f>
        <v>-9.0653594771249715</v>
      </c>
      <c r="R30" s="99">
        <f>O30/L30</f>
        <v>0.90025888105852725</v>
      </c>
      <c r="S30" s="457"/>
      <c r="T30" s="19">
        <v>0.53819444444444398</v>
      </c>
      <c r="U30" s="19">
        <v>0.57986111111111105</v>
      </c>
      <c r="V30" s="92">
        <f>(T30-U29)*24*60</f>
        <v>94.999999999999659</v>
      </c>
      <c r="W30" s="149">
        <f t="shared" si="6"/>
        <v>60.000000000000583</v>
      </c>
      <c r="X30" s="174"/>
      <c r="Y30" s="301"/>
      <c r="Z30" s="335"/>
      <c r="AA30" s="335"/>
      <c r="AB30" s="450"/>
      <c r="AC30" s="450"/>
      <c r="AD30" s="92"/>
      <c r="AE30" s="92"/>
      <c r="AF30" s="312">
        <f t="shared" si="8"/>
        <v>-245.00000000001342</v>
      </c>
      <c r="AG30" s="99">
        <f t="shared" si="9"/>
        <v>0.85024449877749786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6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8"/>
        <v>0</v>
      </c>
      <c r="AG31" s="99" t="e">
        <f t="shared" si="9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6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6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6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6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6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>
        <f t="shared" ref="J37:O37" si="10">AVERAGE(J27:J36)</f>
        <v>17.5</v>
      </c>
      <c r="K37" s="155">
        <f t="shared" si="10"/>
        <v>1636</v>
      </c>
      <c r="L37" s="158">
        <f t="shared" si="10"/>
        <v>93.729166666666657</v>
      </c>
      <c r="M37" s="155">
        <f t="shared" si="10"/>
        <v>17</v>
      </c>
      <c r="N37" s="155">
        <f t="shared" si="10"/>
        <v>1445.9065217391358</v>
      </c>
      <c r="O37" s="158">
        <f t="shared" si="10"/>
        <v>85.012412972435683</v>
      </c>
      <c r="P37" s="159">
        <f>M37-J37</f>
        <v>-0.5</v>
      </c>
      <c r="Q37" s="160">
        <f>N37-K37</f>
        <v>-190.09347826086423</v>
      </c>
      <c r="R37" s="161">
        <f>O37/L37</f>
        <v>0.90700062740095866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>
        <f>N37-K37</f>
        <v>-190.09347826086423</v>
      </c>
      <c r="AG37" s="124">
        <f>N37/K37</f>
        <v>0.88380594238333487</v>
      </c>
      <c r="AH37" s="448"/>
    </row>
    <row r="38" spans="1:34" ht="15" customHeight="1">
      <c r="A38" s="475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VLOOKUP(D38,廠價表!$C$1:$E$43,3,0)</f>
        <v>49.91</v>
      </c>
      <c r="G38" s="186">
        <v>1815</v>
      </c>
      <c r="H38" s="134">
        <f>F38*G38</f>
        <v>90586.65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1451.9999999999804</v>
      </c>
      <c r="O38" s="141">
        <f>N38/M38</f>
        <v>96.79999999999869</v>
      </c>
      <c r="P38" s="142">
        <f>M38-J38</f>
        <v>-1</v>
      </c>
      <c r="Q38" s="143">
        <f>O38-L38</f>
        <v>-10.32500000000131</v>
      </c>
      <c r="R38" s="144">
        <f>O38/L38</f>
        <v>0.90361726954491195</v>
      </c>
      <c r="S38" s="478">
        <f>R48</f>
        <v>0.91893572747889263</v>
      </c>
      <c r="T38" s="191">
        <v>0.33333333333333298</v>
      </c>
      <c r="U38" s="191">
        <v>0.38541666666666702</v>
      </c>
      <c r="V38" s="192"/>
      <c r="W38" s="193">
        <f t="shared" si="6"/>
        <v>75.000000000001009</v>
      </c>
      <c r="X38" s="194"/>
      <c r="Y38" s="302"/>
      <c r="Z38" s="336"/>
      <c r="AA38" s="336"/>
      <c r="AB38" s="480"/>
      <c r="AC38" s="480"/>
      <c r="AD38" s="192"/>
      <c r="AE38" s="192"/>
      <c r="AF38" s="313">
        <f>N38-K38</f>
        <v>-262.00000000001955</v>
      </c>
      <c r="AG38" s="195">
        <f>N38/K38</f>
        <v>0.84714119019835499</v>
      </c>
      <c r="AH38" s="468">
        <f>AG48</f>
        <v>0.89101990049750646</v>
      </c>
    </row>
    <row r="39" spans="1:34" ht="15" customHeight="1">
      <c r="A39" s="476"/>
      <c r="B39" s="75" t="s">
        <v>120</v>
      </c>
      <c r="C39" s="197"/>
      <c r="D39" s="198" t="s">
        <v>122</v>
      </c>
      <c r="E39" s="176"/>
      <c r="F39" s="75">
        <f>VLOOKUP(D39,廠價表!$C$1:$E$43,3,0)</f>
        <v>44.3</v>
      </c>
      <c r="G39" s="199">
        <v>3679</v>
      </c>
      <c r="H39" s="91">
        <f>F39*G39</f>
        <v>162979.69999999998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1532.9166666666661</v>
      </c>
      <c r="O39" s="203">
        <f>N39/M39</f>
        <v>85.16203703703701</v>
      </c>
      <c r="P39" s="97">
        <f>M39-J39</f>
        <v>0</v>
      </c>
      <c r="Q39" s="98">
        <f>O39-L39</f>
        <v>-5.7268518518518761</v>
      </c>
      <c r="R39" s="99">
        <f>O39/L39</f>
        <v>0.93699062754686202</v>
      </c>
      <c r="S39" s="479"/>
      <c r="T39" s="20">
        <v>0.39305555555555599</v>
      </c>
      <c r="U39" s="20">
        <v>0.49305555555555602</v>
      </c>
      <c r="V39" s="92">
        <f>(T39-U38)*24*60</f>
        <v>11.000000000000121</v>
      </c>
      <c r="W39" s="205">
        <f t="shared" si="6"/>
        <v>144.00000000000006</v>
      </c>
      <c r="X39" s="22"/>
      <c r="Y39" s="84"/>
      <c r="Z39" s="90"/>
      <c r="AA39" s="90"/>
      <c r="AB39" s="471"/>
      <c r="AC39" s="471"/>
      <c r="AD39" s="200"/>
      <c r="AE39" s="200"/>
      <c r="AF39" s="314">
        <f>N39-K39</f>
        <v>-103.08333333333394</v>
      </c>
      <c r="AG39" s="206">
        <f>N39/K39</f>
        <v>0.93699062754686191</v>
      </c>
      <c r="AH39" s="469"/>
    </row>
    <row r="40" spans="1:34" ht="15" customHeight="1">
      <c r="A40" s="476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21"/>
      <c r="T40" s="20"/>
      <c r="U40" s="20"/>
      <c r="V40" s="92"/>
      <c r="W40" s="205">
        <f t="shared" si="6"/>
        <v>0</v>
      </c>
      <c r="X40" s="208"/>
      <c r="Y40" s="209"/>
      <c r="Z40" s="337"/>
      <c r="AA40" s="337"/>
      <c r="AB40" s="450"/>
      <c r="AC40" s="450"/>
      <c r="AD40" s="92"/>
      <c r="AE40" s="92"/>
      <c r="AF40" s="314">
        <f>N40-K40</f>
        <v>0</v>
      </c>
      <c r="AG40" s="206" t="e">
        <f>N40/K40</f>
        <v>#DIV/0!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6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6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11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11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11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11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11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>
        <f t="shared" ref="J48:O48" si="12">AVERAGE(J38:J47)</f>
        <v>17</v>
      </c>
      <c r="K48" s="155">
        <f t="shared" si="12"/>
        <v>1675</v>
      </c>
      <c r="L48" s="158">
        <f t="shared" si="12"/>
        <v>99.006944444444443</v>
      </c>
      <c r="M48" s="155">
        <f t="shared" si="12"/>
        <v>16.5</v>
      </c>
      <c r="N48" s="155">
        <f t="shared" si="12"/>
        <v>1492.4583333333233</v>
      </c>
      <c r="O48" s="158">
        <f t="shared" si="12"/>
        <v>90.981018518517857</v>
      </c>
      <c r="P48" s="221">
        <f>M48-J48</f>
        <v>-0.5</v>
      </c>
      <c r="Q48" s="222">
        <f>N48-K48</f>
        <v>-182.54166666667675</v>
      </c>
      <c r="R48" s="223">
        <f>O48/L48</f>
        <v>0.91893572747889263</v>
      </c>
      <c r="S48" s="424"/>
      <c r="T48" s="224"/>
      <c r="U48" s="224"/>
      <c r="V48" s="225"/>
      <c r="W48" s="226">
        <f t="shared" si="11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>
        <f t="shared" ref="AF48:AF53" si="13">N48-K48</f>
        <v>-182.54166666667675</v>
      </c>
      <c r="AG48" s="162">
        <f t="shared" ref="AG48:AG53" si="14">N48/K48</f>
        <v>0.89101990049750646</v>
      </c>
      <c r="AH48" s="470"/>
    </row>
    <row r="49" spans="1:34" ht="15" customHeight="1">
      <c r="A49" s="472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VLOOKUP(D49,廠價表!$C$1:$E$43,3,0)</f>
        <v>50.289000000000001</v>
      </c>
      <c r="G49" s="228">
        <v>1886</v>
      </c>
      <c r="H49" s="134">
        <f>F49*G49</f>
        <v>94845.054000000004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1508.8000000000104</v>
      </c>
      <c r="O49" s="141">
        <f>N49/M49</f>
        <v>88.752941176471197</v>
      </c>
      <c r="P49" s="229">
        <f>M49-J49</f>
        <v>0</v>
      </c>
      <c r="Q49" s="230">
        <f>O49-L49</f>
        <v>-7.4823529411758614</v>
      </c>
      <c r="R49" s="52">
        <f>O49/L49</f>
        <v>0.92224938875306262</v>
      </c>
      <c r="S49" s="420">
        <f>R58</f>
        <v>0.9385305784347675</v>
      </c>
      <c r="T49" s="191">
        <v>0.29166666666666702</v>
      </c>
      <c r="U49" s="191">
        <v>0.34375</v>
      </c>
      <c r="V49" s="55"/>
      <c r="W49" s="193">
        <f t="shared" si="6"/>
        <v>74.999999999999488</v>
      </c>
      <c r="X49" s="55"/>
      <c r="Y49" s="290"/>
      <c r="Z49" s="169"/>
      <c r="AA49" s="169"/>
      <c r="AB49" s="452"/>
      <c r="AC49" s="452"/>
      <c r="AD49" s="135"/>
      <c r="AE49" s="135"/>
      <c r="AF49" s="229">
        <f t="shared" si="13"/>
        <v>-127.19999999998959</v>
      </c>
      <c r="AG49" s="52">
        <f t="shared" si="14"/>
        <v>0.92224938875306262</v>
      </c>
      <c r="AH49" s="445">
        <f>AG58</f>
        <v>0.90688961794899348</v>
      </c>
    </row>
    <row r="50" spans="1:34" ht="15" customHeight="1">
      <c r="A50" s="473"/>
      <c r="B50" s="75" t="s">
        <v>81</v>
      </c>
      <c r="C50" s="76"/>
      <c r="D50" s="59" t="s">
        <v>124</v>
      </c>
      <c r="E50" s="77"/>
      <c r="F50" s="75">
        <f>VLOOKUP(D50,廠價表!$C$1:$E$43,3,0)</f>
        <v>49.97</v>
      </c>
      <c r="G50" s="202">
        <v>4420</v>
      </c>
      <c r="H50" s="231">
        <f>F50*G50</f>
        <v>220867.4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15</v>
      </c>
      <c r="N50" s="234">
        <f>G50/W50*60</f>
        <v>1607.2727272727313</v>
      </c>
      <c r="O50" s="235">
        <f>N50/M50</f>
        <v>107.15151515151543</v>
      </c>
      <c r="P50" s="74">
        <f>M50-J50</f>
        <v>-1</v>
      </c>
      <c r="Q50" s="83">
        <f>O50-L50</f>
        <v>-5.3484848484845742</v>
      </c>
      <c r="R50" s="72">
        <f>O50/L50</f>
        <v>0.95245791245791489</v>
      </c>
      <c r="S50" s="421"/>
      <c r="T50" s="21">
        <v>0.34930555555555598</v>
      </c>
      <c r="U50" s="21">
        <v>0.46388888888888902</v>
      </c>
      <c r="V50" s="30">
        <f>(T50-U49)*24*60</f>
        <v>8.0000000000006111</v>
      </c>
      <c r="W50" s="236">
        <f t="shared" si="6"/>
        <v>164.99999999999957</v>
      </c>
      <c r="X50" s="22"/>
      <c r="Y50" s="84"/>
      <c r="Z50" s="90"/>
      <c r="AA50" s="90"/>
      <c r="AB50" s="450"/>
      <c r="AC50" s="450"/>
      <c r="AD50" s="92"/>
      <c r="AE50" s="92"/>
      <c r="AF50" s="307">
        <f t="shared" si="13"/>
        <v>-192.72727272726866</v>
      </c>
      <c r="AG50" s="72">
        <f t="shared" si="14"/>
        <v>0.89292929292929524</v>
      </c>
      <c r="AH50" s="446"/>
    </row>
    <row r="51" spans="1:34" ht="15" customHeight="1">
      <c r="A51" s="473"/>
      <c r="B51" s="75"/>
      <c r="C51" s="76"/>
      <c r="D51" s="59"/>
      <c r="E51" s="77"/>
      <c r="F51" s="75"/>
      <c r="G51" s="202"/>
      <c r="H51" s="231"/>
      <c r="I51" s="232"/>
      <c r="J51" s="79"/>
      <c r="K51" s="80"/>
      <c r="L51" s="81"/>
      <c r="M51" s="233"/>
      <c r="N51" s="234"/>
      <c r="O51" s="235"/>
      <c r="P51" s="74"/>
      <c r="Q51" s="83"/>
      <c r="R51" s="72"/>
      <c r="S51" s="421"/>
      <c r="T51" s="21"/>
      <c r="U51" s="19"/>
      <c r="V51" s="30"/>
      <c r="W51" s="236">
        <f t="shared" si="6"/>
        <v>0</v>
      </c>
      <c r="X51" s="22"/>
      <c r="Y51" s="84"/>
      <c r="Z51" s="90"/>
      <c r="AA51" s="90"/>
      <c r="AB51" s="450"/>
      <c r="AC51" s="450"/>
      <c r="AD51" s="92"/>
      <c r="AE51" s="92"/>
      <c r="AF51" s="307">
        <f t="shared" si="13"/>
        <v>0</v>
      </c>
      <c r="AG51" s="72" t="e">
        <f t="shared" si="14"/>
        <v>#DIV/0!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/>
      <c r="U52" s="21"/>
      <c r="V52" s="30"/>
      <c r="W52" s="236">
        <f t="shared" si="6"/>
        <v>0</v>
      </c>
      <c r="X52" s="22"/>
      <c r="Y52" s="84"/>
      <c r="Z52" s="90"/>
      <c r="AA52" s="90"/>
      <c r="AB52" s="450"/>
      <c r="AC52" s="450"/>
      <c r="AD52" s="92"/>
      <c r="AE52" s="92"/>
      <c r="AF52" s="307">
        <f t="shared" si="13"/>
        <v>0</v>
      </c>
      <c r="AG52" s="72" t="e">
        <f t="shared" si="14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6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3"/>
        <v>0</v>
      </c>
      <c r="AG53" s="72" t="e">
        <f t="shared" si="14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6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6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6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6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>
        <f t="shared" ref="J58:O58" si="15">AVERAGE(J49:J57)</f>
        <v>16.5</v>
      </c>
      <c r="K58" s="120">
        <f t="shared" si="15"/>
        <v>1718</v>
      </c>
      <c r="L58" s="117">
        <f t="shared" si="15"/>
        <v>104.36764705882354</v>
      </c>
      <c r="M58" s="120">
        <f t="shared" si="15"/>
        <v>16</v>
      </c>
      <c r="N58" s="120">
        <f t="shared" si="15"/>
        <v>1558.0363636363709</v>
      </c>
      <c r="O58" s="117">
        <f t="shared" si="15"/>
        <v>97.952228163993311</v>
      </c>
      <c r="P58" s="121">
        <f>M58-J58</f>
        <v>-0.5</v>
      </c>
      <c r="Q58" s="122">
        <f>N58-K58</f>
        <v>-159.96363636362912</v>
      </c>
      <c r="R58" s="123">
        <f>O58/L58</f>
        <v>0.9385305784347675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>
        <f>N58-K58</f>
        <v>-159.96363636362912</v>
      </c>
      <c r="AG58" s="124">
        <f>N58/K58</f>
        <v>0.90688961794899348</v>
      </c>
      <c r="AH58" s="448"/>
    </row>
    <row r="59" spans="1:34" ht="15" customHeight="1">
      <c r="A59" s="486" t="s">
        <v>52</v>
      </c>
      <c r="B59" s="129" t="s">
        <v>125</v>
      </c>
      <c r="C59" s="130"/>
      <c r="D59" s="131" t="s">
        <v>126</v>
      </c>
      <c r="E59" s="132"/>
      <c r="F59" s="129">
        <f>VLOOKUP(D59,廠價表!$C$1:$E$43,3,0)</f>
        <v>26.99</v>
      </c>
      <c r="G59" s="55">
        <v>2834</v>
      </c>
      <c r="H59" s="243">
        <f>F59*G59</f>
        <v>76489.659999999989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1545.8181818181793</v>
      </c>
      <c r="O59" s="138">
        <f>N59/M59</f>
        <v>103.05454545454528</v>
      </c>
      <c r="P59" s="56">
        <f>M59-J59</f>
        <v>0</v>
      </c>
      <c r="Q59" s="230">
        <f>O59-L59</f>
        <v>-6.0121212121213858</v>
      </c>
      <c r="R59" s="52">
        <f>O59/L59</f>
        <v>0.94487663925316578</v>
      </c>
      <c r="S59" s="420">
        <f>R69</f>
        <v>0.80737690858738798</v>
      </c>
      <c r="T59" s="245">
        <v>0.29166666666666702</v>
      </c>
      <c r="U59" s="245">
        <v>0.36805555555555602</v>
      </c>
      <c r="V59" s="55"/>
      <c r="W59" s="54">
        <f t="shared" si="6"/>
        <v>110.00000000000017</v>
      </c>
      <c r="X59" s="55"/>
      <c r="Y59" s="290"/>
      <c r="Z59" s="169"/>
      <c r="AA59" s="169"/>
      <c r="AB59" s="452"/>
      <c r="AC59" s="452"/>
      <c r="AD59" s="135"/>
      <c r="AE59" s="135"/>
      <c r="AF59" s="310">
        <f>N59-K59</f>
        <v>-90.181818181820745</v>
      </c>
      <c r="AG59" s="246">
        <f>N59/K59</f>
        <v>0.94487663925316578</v>
      </c>
      <c r="AH59" s="445">
        <f>AG69</f>
        <v>0.81654355729843975</v>
      </c>
    </row>
    <row r="60" spans="1:34" ht="15" customHeight="1">
      <c r="A60" s="487"/>
      <c r="B60" s="75" t="s">
        <v>125</v>
      </c>
      <c r="C60" s="86"/>
      <c r="D60" s="175" t="s">
        <v>127</v>
      </c>
      <c r="E60" s="87"/>
      <c r="F60" s="75">
        <f>VLOOKUP(D60,廠價表!$C$1:$E$43,3,0)</f>
        <v>28.26</v>
      </c>
      <c r="G60" s="30">
        <v>931</v>
      </c>
      <c r="H60" s="78">
        <f>F60*G60</f>
        <v>26310.06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1396.4999999999882</v>
      </c>
      <c r="O60" s="81">
        <f>N60/M60</f>
        <v>126.95454545454437</v>
      </c>
      <c r="P60" s="74">
        <f>M60-J60</f>
        <v>0</v>
      </c>
      <c r="Q60" s="83">
        <f>O60-L60</f>
        <v>-21.772727272728346</v>
      </c>
      <c r="R60" s="72">
        <f>O60/L60</f>
        <v>0.85360635696820797</v>
      </c>
      <c r="S60" s="490"/>
      <c r="T60" s="22">
        <v>0.375</v>
      </c>
      <c r="U60" s="22">
        <v>0.40277777777777801</v>
      </c>
      <c r="V60" s="30">
        <f>(T60-U59)*24*60</f>
        <v>9.999999999999325</v>
      </c>
      <c r="W60" s="248">
        <f t="shared" si="6"/>
        <v>40.000000000000341</v>
      </c>
      <c r="X60" s="232"/>
      <c r="Y60" s="177"/>
      <c r="Z60" s="90"/>
      <c r="AA60" s="90"/>
      <c r="AB60" s="450"/>
      <c r="AC60" s="450"/>
      <c r="AD60" s="92"/>
      <c r="AE60" s="92"/>
      <c r="AF60" s="316">
        <f>N60-K60</f>
        <v>-239.50000000001182</v>
      </c>
      <c r="AG60" s="249">
        <f>N60/K60</f>
        <v>0.85360635696820797</v>
      </c>
      <c r="AH60" s="481"/>
    </row>
    <row r="61" spans="1:34" ht="15" customHeight="1">
      <c r="A61" s="488"/>
      <c r="B61" s="250" t="s">
        <v>125</v>
      </c>
      <c r="C61" s="251"/>
      <c r="D61" s="252" t="s">
        <v>128</v>
      </c>
      <c r="E61" s="253"/>
      <c r="F61" s="250">
        <f>VLOOKUP(D61,廠價表!$C$1:$E$43,3,0)</f>
        <v>28.26</v>
      </c>
      <c r="G61" s="38">
        <v>424</v>
      </c>
      <c r="H61" s="254">
        <f>F61*G61</f>
        <v>11982.24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2" si="16">G61/W61*60</f>
        <v>847.99999999997135</v>
      </c>
      <c r="O61" s="81">
        <f t="shared" ref="O61:O62" si="17">N61/M61</f>
        <v>77.090909090906493</v>
      </c>
      <c r="P61" s="74">
        <f t="shared" ref="P61:P62" si="18">M61-J61</f>
        <v>0</v>
      </c>
      <c r="Q61" s="83">
        <f t="shared" ref="Q61:Q62" si="19">O61-L61</f>
        <v>-71.636363636366227</v>
      </c>
      <c r="R61" s="72">
        <f t="shared" ref="R61:R62" si="20">O61/L61</f>
        <v>0.51833740831294095</v>
      </c>
      <c r="S61" s="421"/>
      <c r="T61" s="22">
        <v>0.40972222222222199</v>
      </c>
      <c r="U61" s="22">
        <v>0.43055555555555602</v>
      </c>
      <c r="V61" s="30">
        <f t="shared" ref="V61:V62" si="21">(T61-U60)*24*60</f>
        <v>9.999999999999325</v>
      </c>
      <c r="W61" s="256">
        <f t="shared" si="6"/>
        <v>30.000000000001013</v>
      </c>
      <c r="X61" s="22"/>
      <c r="Y61" s="84"/>
      <c r="Z61" s="90"/>
      <c r="AA61" s="90"/>
      <c r="AB61" s="450" t="s">
        <v>129</v>
      </c>
      <c r="AC61" s="450"/>
      <c r="AD61" s="92"/>
      <c r="AE61" s="92"/>
      <c r="AF61" s="317">
        <f>N61-K61</f>
        <v>-788.00000000002865</v>
      </c>
      <c r="AG61" s="247">
        <f>N61/K61</f>
        <v>0.51833740831294095</v>
      </c>
      <c r="AH61" s="446"/>
    </row>
    <row r="62" spans="1:34" ht="15" customHeight="1">
      <c r="A62" s="488"/>
      <c r="B62" s="250" t="s">
        <v>125</v>
      </c>
      <c r="C62" s="251"/>
      <c r="D62" s="257" t="s">
        <v>130</v>
      </c>
      <c r="E62" s="253"/>
      <c r="F62" s="250">
        <f>VLOOKUP(D62,廠價表!$C$1:$E$43,3,0)</f>
        <v>28.26</v>
      </c>
      <c r="G62" s="38">
        <v>2718</v>
      </c>
      <c r="H62" s="78">
        <f>F62*G62</f>
        <v>76810.680000000008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80">
        <f t="shared" si="16"/>
        <v>1553.1428571428507</v>
      </c>
      <c r="O62" s="81">
        <f t="shared" si="17"/>
        <v>141.19480519480462</v>
      </c>
      <c r="P62" s="74">
        <f t="shared" si="18"/>
        <v>0</v>
      </c>
      <c r="Q62" s="83">
        <f t="shared" si="19"/>
        <v>-7.5324675324681039</v>
      </c>
      <c r="R62" s="72">
        <f t="shared" si="20"/>
        <v>0.94935382465944429</v>
      </c>
      <c r="S62" s="421"/>
      <c r="T62" s="22">
        <v>0.4375</v>
      </c>
      <c r="U62" s="22">
        <v>0.51041666666666696</v>
      </c>
      <c r="V62" s="30">
        <f t="shared" si="21"/>
        <v>9.999999999999325</v>
      </c>
      <c r="W62" s="248">
        <f t="shared" si="6"/>
        <v>105.00000000000043</v>
      </c>
      <c r="X62" s="22"/>
      <c r="Y62" s="84"/>
      <c r="Z62" s="90"/>
      <c r="AA62" s="90"/>
      <c r="AB62" s="450"/>
      <c r="AC62" s="450"/>
      <c r="AD62" s="92"/>
      <c r="AE62" s="92"/>
      <c r="AF62" s="317">
        <f>N62-K62</f>
        <v>-82.857142857149256</v>
      </c>
      <c r="AG62" s="247">
        <f>N62/K62</f>
        <v>0.94935382465944418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6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6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6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6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6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6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>
        <f t="shared" ref="J69:O69" si="22">AVERAGE(J59:J68)</f>
        <v>12</v>
      </c>
      <c r="K69" s="240">
        <f t="shared" si="22"/>
        <v>1636</v>
      </c>
      <c r="L69" s="268">
        <f t="shared" si="22"/>
        <v>138.81212121212121</v>
      </c>
      <c r="M69" s="240">
        <f t="shared" si="22"/>
        <v>12</v>
      </c>
      <c r="N69" s="240">
        <f t="shared" si="22"/>
        <v>1335.8652597402474</v>
      </c>
      <c r="O69" s="268">
        <f t="shared" si="22"/>
        <v>112.0737012987002</v>
      </c>
      <c r="P69" s="269">
        <f>M69-J69</f>
        <v>0</v>
      </c>
      <c r="Q69" s="222">
        <f>N69-K69</f>
        <v>-300.13474025975256</v>
      </c>
      <c r="R69" s="123">
        <f>O69/L69</f>
        <v>0.80737690858738798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>
        <f>N69-K69</f>
        <v>-300.13474025975256</v>
      </c>
      <c r="AG69" s="124">
        <f>N69/K69</f>
        <v>0.81654355729843975</v>
      </c>
      <c r="AH69" s="448"/>
    </row>
    <row r="70" spans="1:36" ht="15" customHeight="1">
      <c r="A70" s="482" t="s">
        <v>55</v>
      </c>
      <c r="B70" s="129" t="s">
        <v>81</v>
      </c>
      <c r="C70" s="129"/>
      <c r="D70" s="131" t="s">
        <v>131</v>
      </c>
      <c r="E70" s="132"/>
      <c r="F70" s="129">
        <f>VLOOKUP(D70,廠價表!$C$1:$E$43,3,0)</f>
        <v>43.89</v>
      </c>
      <c r="G70" s="55">
        <v>1949</v>
      </c>
      <c r="H70" s="243">
        <f>F70*G70</f>
        <v>85541.61</v>
      </c>
      <c r="I70" s="55"/>
      <c r="J70" s="136">
        <f>VLOOKUP(D70,產線配置圖!$A$3:$C$40,2,0)</f>
        <v>11</v>
      </c>
      <c r="K70" s="137">
        <f>VLOOKUP(D70,產線配置圖!$A$3:$C$40,3,0)</f>
        <v>1565</v>
      </c>
      <c r="L70" s="138">
        <f>K70/J70</f>
        <v>142.27272727272728</v>
      </c>
      <c r="M70" s="244">
        <v>9</v>
      </c>
      <c r="N70" s="137">
        <f>G70/W70*60</f>
        <v>1169.400000000008</v>
      </c>
      <c r="O70" s="138">
        <f>N70/M70</f>
        <v>129.93333333333422</v>
      </c>
      <c r="P70" s="56">
        <f>M70-J70</f>
        <v>-2</v>
      </c>
      <c r="Q70" s="230">
        <f>O70-L70</f>
        <v>-12.339393939393062</v>
      </c>
      <c r="R70" s="52">
        <f>O70/L70</f>
        <v>0.91326943556976126</v>
      </c>
      <c r="S70" s="420">
        <f>R79</f>
        <v>0.91326943556976126</v>
      </c>
      <c r="T70" s="245">
        <v>0.29166666666666702</v>
      </c>
      <c r="U70" s="245">
        <v>0.36111111111111099</v>
      </c>
      <c r="V70" s="55"/>
      <c r="W70" s="54">
        <f t="shared" si="6"/>
        <v>99.999999999999318</v>
      </c>
      <c r="X70" s="270"/>
      <c r="Y70" s="292"/>
      <c r="Z70" s="169"/>
      <c r="AA70" s="169"/>
      <c r="AB70" s="452"/>
      <c r="AC70" s="452"/>
      <c r="AD70" s="135"/>
      <c r="AE70" s="135"/>
      <c r="AF70" s="310">
        <f>N70-K70</f>
        <v>-395.59999999999195</v>
      </c>
      <c r="AG70" s="246">
        <f>N70/K70</f>
        <v>0.74722044728435022</v>
      </c>
      <c r="AH70" s="445">
        <f>AG79</f>
        <v>0.74722044728435022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6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6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6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6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6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6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6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6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>
        <f t="shared" ref="J79:O79" si="23">AVERAGE(J70:J78)</f>
        <v>11</v>
      </c>
      <c r="K79" s="240">
        <f t="shared" si="23"/>
        <v>1565</v>
      </c>
      <c r="L79" s="268">
        <f t="shared" si="23"/>
        <v>142.27272727272728</v>
      </c>
      <c r="M79" s="240">
        <f t="shared" si="23"/>
        <v>9</v>
      </c>
      <c r="N79" s="240">
        <f t="shared" si="23"/>
        <v>1169.400000000008</v>
      </c>
      <c r="O79" s="268">
        <f t="shared" si="23"/>
        <v>129.93333333333422</v>
      </c>
      <c r="P79" s="269">
        <f>M79-J79</f>
        <v>-2</v>
      </c>
      <c r="Q79" s="222">
        <f>N79-K79</f>
        <v>-395.59999999999195</v>
      </c>
      <c r="R79" s="223">
        <f>O79/L79</f>
        <v>0.91326943556976126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>
        <f>N79-K79</f>
        <v>-395.59999999999195</v>
      </c>
      <c r="AG79" s="124">
        <f>N79/K79</f>
        <v>0.74722044728435022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9:AC9"/>
    <mergeCell ref="AB12:AC12"/>
    <mergeCell ref="AB13:AC13"/>
    <mergeCell ref="AB14:AC14"/>
    <mergeCell ref="AB15:AC15"/>
    <mergeCell ref="AB8:AC8"/>
    <mergeCell ref="AB5:AC5"/>
    <mergeCell ref="AB10:AC10"/>
    <mergeCell ref="AB11:AC11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15:S16 AH15:AH16 AH49 AH79">
    <cfRule type="cellIs" dxfId="284" priority="9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7 S5:S8 S37:S62 AH59:AH62 S69:S76 AH69:AH76">
    <cfRule type="cellIs" dxfId="281" priority="7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9CCE-FA37-453D-BD18-7E75FF9549D1}">
  <dimension ref="B1:O26"/>
  <sheetViews>
    <sheetView tabSelected="1" topLeftCell="B1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46299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>
        <f>AVERAGE(D13:J13)</f>
        <v>130.40005855100392</v>
      </c>
      <c r="G6" s="374"/>
      <c r="H6" s="375">
        <f>AVERAGE(D13:H13)</f>
        <v>127.0041223754459</v>
      </c>
      <c r="I6" s="375"/>
      <c r="J6" s="375">
        <f>AVERAGE(I13:J13)</f>
        <v>138.889898989899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113.47509141661574</v>
      </c>
      <c r="G7" s="398"/>
      <c r="H7" s="399">
        <f>AVERAGE(D14:H14)</f>
        <v>115.70771352935068</v>
      </c>
      <c r="I7" s="399"/>
      <c r="J7" s="399">
        <f>AVERAGE(I14:J14)</f>
        <v>107.89353613477834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>
        <f>AVERAGE(D15:J15)</f>
        <v>0.87366661772673304</v>
      </c>
      <c r="G8" s="371"/>
      <c r="H8" s="371">
        <f>AVERAGE(D15:H15)</f>
        <v>0.91294820029510271</v>
      </c>
      <c r="I8" s="371"/>
      <c r="J8" s="371">
        <f>AVERAGE(I15:J15)</f>
        <v>0.7754626613058091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>
        <f>VALUE('1004'!L15)</f>
        <v>163.80494505494505</v>
      </c>
      <c r="E13" s="13">
        <f>VALUE('1004'!L26)</f>
        <v>174.10714285714286</v>
      </c>
      <c r="F13" s="13">
        <f>VALUE('1004'!L37)</f>
        <v>93.729166666666657</v>
      </c>
      <c r="G13" s="13">
        <f>VALUE('1004'!L48)</f>
        <v>96.300925925925924</v>
      </c>
      <c r="H13" s="13">
        <f>VALUE('1004'!L58)</f>
        <v>107.07843137254902</v>
      </c>
      <c r="I13" s="13">
        <f>VALUE('1004'!L69)</f>
        <v>135.50707070707071</v>
      </c>
      <c r="J13" s="13">
        <f>'1004'!L79</f>
        <v>142.27272727272728</v>
      </c>
    </row>
    <row r="14" spans="2:15" ht="39.950000000000003" customHeight="1">
      <c r="B14" s="392"/>
      <c r="C14" s="12" t="s">
        <v>100</v>
      </c>
      <c r="D14" s="13">
        <f>VALUE('1004'!O15)</f>
        <v>142.55031882301148</v>
      </c>
      <c r="E14" s="13">
        <f>VALUE('1004'!O26)</f>
        <v>163.62768460653791</v>
      </c>
      <c r="F14" s="13">
        <f>VALUE('1004'!O37)</f>
        <v>87.965745071181544</v>
      </c>
      <c r="G14" s="13">
        <f>VALUE('1004'!O48)</f>
        <v>90.055235920852269</v>
      </c>
      <c r="H14" s="13">
        <f>VALUE('1004'!O58)</f>
        <v>94.339583225170216</v>
      </c>
      <c r="I14" s="13">
        <f>VALUE('1004'!O69)</f>
        <v>97.485586069981537</v>
      </c>
      <c r="J14" s="13">
        <f>'1004'!O79</f>
        <v>118.30148619957514</v>
      </c>
    </row>
    <row r="15" spans="2:15" ht="39.950000000000003" customHeight="1">
      <c r="B15" s="393"/>
      <c r="C15" s="10" t="s">
        <v>26</v>
      </c>
      <c r="D15" s="14">
        <f t="shared" ref="D15:I15" si="0">D14/D13</f>
        <v>0.87024429436605755</v>
      </c>
      <c r="E15" s="14">
        <f t="shared" si="0"/>
        <v>0.93981029107344849</v>
      </c>
      <c r="F15" s="14">
        <f t="shared" si="0"/>
        <v>0.9385098385011591</v>
      </c>
      <c r="G15" s="14">
        <f t="shared" si="0"/>
        <v>0.9351440295612754</v>
      </c>
      <c r="H15" s="14">
        <f t="shared" si="0"/>
        <v>0.88103254797357278</v>
      </c>
      <c r="I15" s="14">
        <f t="shared" si="0"/>
        <v>0.71941327903632979</v>
      </c>
      <c r="J15" s="15">
        <f>'1004'!S70</f>
        <v>0.83151204357528841</v>
      </c>
    </row>
    <row r="16" spans="2:15" ht="17.25" customHeight="1">
      <c r="B16" s="394" t="s">
        <v>101</v>
      </c>
      <c r="C16" s="10" t="s">
        <v>34</v>
      </c>
      <c r="D16" s="16">
        <f>'1004'!T5</f>
        <v>0.29861111111111099</v>
      </c>
      <c r="E16" s="16">
        <f>'1004'!T16</f>
        <v>0.30208333333333298</v>
      </c>
      <c r="F16" s="16">
        <f>'1004'!T27</f>
        <v>0.29166666666666702</v>
      </c>
      <c r="G16" s="16">
        <f>'1004'!T38</f>
        <v>0.33333333333333298</v>
      </c>
      <c r="H16" s="16">
        <f>'1004'!T49</f>
        <v>0.29166666666666702</v>
      </c>
      <c r="I16" s="16">
        <f>'1004'!T59</f>
        <v>0.29166666666666702</v>
      </c>
      <c r="J16" s="17">
        <f>'1004'!T70</f>
        <v>0.29861111111111099</v>
      </c>
    </row>
    <row r="17" spans="2:10" ht="17.25" customHeight="1">
      <c r="B17" s="395"/>
      <c r="C17" s="10" t="s">
        <v>35</v>
      </c>
      <c r="D17" s="16">
        <v>0.65972222222222221</v>
      </c>
      <c r="E17" s="183">
        <v>0.625</v>
      </c>
      <c r="F17" s="19">
        <v>0.59722222222222221</v>
      </c>
      <c r="G17" s="328">
        <v>0.65</v>
      </c>
      <c r="H17" s="19">
        <v>0.59236111111111101</v>
      </c>
      <c r="I17" s="110">
        <v>0.47569444444444442</v>
      </c>
      <c r="J17" s="110">
        <v>0.40763888888888888</v>
      </c>
    </row>
    <row r="18" spans="2:10" ht="17.25" customHeight="1">
      <c r="B18" s="396" t="s">
        <v>102</v>
      </c>
      <c r="C18" s="330" t="s">
        <v>36</v>
      </c>
      <c r="D18" s="359">
        <f>'1004'!Z15</f>
        <v>0</v>
      </c>
      <c r="E18" s="360">
        <f>'1004'!Z26</f>
        <v>0</v>
      </c>
      <c r="F18" s="360">
        <f>'1004'!Z37</f>
        <v>0</v>
      </c>
      <c r="G18" s="361">
        <f>'1004'!Z48</f>
        <v>0</v>
      </c>
      <c r="H18" s="361">
        <f>'1004'!Z58</f>
        <v>0</v>
      </c>
      <c r="I18" s="360">
        <f>'1004'!Z69</f>
        <v>0</v>
      </c>
      <c r="J18" s="360">
        <f>'1004'!AA79</f>
        <v>0</v>
      </c>
    </row>
    <row r="19" spans="2:10" ht="17.25" customHeight="1">
      <c r="B19" s="397"/>
      <c r="C19" s="330" t="s">
        <v>37</v>
      </c>
      <c r="D19" s="359">
        <f>'1004'!AA15</f>
        <v>0</v>
      </c>
      <c r="E19" s="360">
        <f>'1004'!AA26</f>
        <v>0</v>
      </c>
      <c r="F19" s="360">
        <f>'1004'!AA37</f>
        <v>0</v>
      </c>
      <c r="G19" s="361">
        <f>'1004'!AA48</f>
        <v>0</v>
      </c>
      <c r="H19" s="361">
        <f>'1004'!AA58</f>
        <v>0</v>
      </c>
      <c r="I19" s="360">
        <f>'1004'!AA69</f>
        <v>0</v>
      </c>
      <c r="J19" s="360">
        <f>'1004'!AB79</f>
        <v>0</v>
      </c>
    </row>
    <row r="20" spans="2:10" ht="17.25" customHeight="1">
      <c r="B20" s="396" t="s">
        <v>103</v>
      </c>
      <c r="C20" s="330" t="s">
        <v>36</v>
      </c>
      <c r="D20" s="359">
        <f>'1004'!AD15</f>
        <v>0</v>
      </c>
      <c r="E20" s="360">
        <f>'1004'!AD26</f>
        <v>0</v>
      </c>
      <c r="F20" s="360">
        <f>'1004'!AD37</f>
        <v>0</v>
      </c>
      <c r="G20" s="361">
        <f>'1004'!AD48</f>
        <v>0</v>
      </c>
      <c r="H20" s="361">
        <f>'1004'!AD58</f>
        <v>0</v>
      </c>
      <c r="I20" s="360">
        <f>'1004'!AD69</f>
        <v>0</v>
      </c>
      <c r="J20" s="360">
        <f>'1004'!AD79</f>
        <v>0</v>
      </c>
    </row>
    <row r="21" spans="2:10" ht="17.25" customHeight="1">
      <c r="B21" s="397"/>
      <c r="C21" s="330" t="s">
        <v>85</v>
      </c>
      <c r="D21" s="359">
        <f>'1004'!AE15</f>
        <v>0</v>
      </c>
      <c r="E21" s="360">
        <f>'1004'!AE26</f>
        <v>0</v>
      </c>
      <c r="F21" s="360">
        <f>'1004'!AE37</f>
        <v>0</v>
      </c>
      <c r="G21" s="361">
        <f>'1004'!AE48</f>
        <v>0</v>
      </c>
      <c r="H21" s="361">
        <f>'1004'!AE58</f>
        <v>0</v>
      </c>
      <c r="I21" s="360">
        <f>'1004'!AE69</f>
        <v>0</v>
      </c>
      <c r="J21" s="360">
        <f>'1004'!AE79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F5E7-A418-433E-B381-9B5232A93482}">
  <sheetPr>
    <tabColor theme="9" tint="0.79998168889431442"/>
  </sheetPr>
  <dimension ref="A1:AJ92"/>
  <sheetViews>
    <sheetView zoomScale="69" zoomScaleNormal="69" workbookViewId="0">
      <pane xSplit="5" ySplit="4" topLeftCell="F47" activePane="bottomRight" state="frozen"/>
      <selection activeCell="G76" sqref="G76"/>
      <selection pane="topRight" activeCell="G76" sqref="G76"/>
      <selection pane="bottomLeft" activeCell="G76" sqref="G76"/>
      <selection pane="bottomRight" activeCell="U51" sqref="U5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58995</v>
      </c>
      <c r="F1" s="30" t="s">
        <v>2</v>
      </c>
      <c r="G1" s="31">
        <f>SUM(H5:H79)</f>
        <v>2846561.5310000009</v>
      </c>
      <c r="H1" s="32" t="s">
        <v>3</v>
      </c>
      <c r="I1" s="33">
        <f>M15+M26+M48+M58+M69+M79+M37</f>
        <v>99.916666666666657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136</v>
      </c>
      <c r="B2" s="417"/>
      <c r="C2" s="28"/>
      <c r="D2" s="28" t="s">
        <v>14</v>
      </c>
      <c r="E2" s="35">
        <f>AVERAGE(O15,O26,O37,O48,O58,O69,O79)</f>
        <v>113.47509141661574</v>
      </c>
      <c r="F2" s="36" t="s">
        <v>15</v>
      </c>
      <c r="G2" s="37">
        <f>G1/E1</f>
        <v>48.250894669039766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56.87</v>
      </c>
      <c r="G5" s="42">
        <v>4293</v>
      </c>
      <c r="H5" s="43">
        <f>F5*G5</f>
        <v>244142.91</v>
      </c>
      <c r="I5" s="44"/>
      <c r="J5" s="45">
        <f>VLOOKUP(D5,產線配置圖!$A$3:$C$40,2,0)</f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2111.311475409841</v>
      </c>
      <c r="O5" s="47">
        <f>N5/M5</f>
        <v>150.80796252927436</v>
      </c>
      <c r="P5" s="49">
        <f>M5-J5</f>
        <v>0</v>
      </c>
      <c r="Q5" s="50">
        <f>O5-L5</f>
        <v>-9.9063231850113596</v>
      </c>
      <c r="R5" s="51">
        <f>O5/L5</f>
        <v>0.93836065573770711</v>
      </c>
      <c r="S5" s="420">
        <f>R15</f>
        <v>0.87024429436605755</v>
      </c>
      <c r="T5" s="319">
        <v>0.29861111111111099</v>
      </c>
      <c r="U5" s="320">
        <v>0.38333333333333303</v>
      </c>
      <c r="V5" s="53"/>
      <c r="W5" s="54">
        <f t="shared" ref="W5:W14" si="0">(U5-T5)*24*60</f>
        <v>121.99999999999973</v>
      </c>
      <c r="X5" s="55"/>
      <c r="Y5" s="290"/>
      <c r="Z5" s="169"/>
      <c r="AA5" s="169"/>
      <c r="AB5" s="452"/>
      <c r="AC5" s="452"/>
      <c r="AD5" s="135"/>
      <c r="AE5" s="135"/>
      <c r="AF5" s="229">
        <f t="shared" ref="AF5:AF11" si="1">N5-K5</f>
        <v>-138.68852459015898</v>
      </c>
      <c r="AG5" s="52">
        <f t="shared" ref="AG5:AG11" si="2">N5/K5</f>
        <v>0.93836065573770711</v>
      </c>
      <c r="AH5" s="445">
        <f>AG15</f>
        <v>0.86990853649417965</v>
      </c>
    </row>
    <row r="6" spans="1:34" ht="15" customHeight="1">
      <c r="A6" s="401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1498</v>
      </c>
      <c r="H6" s="63">
        <f>F6*G6</f>
        <v>87138.66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1997.3333333333335</v>
      </c>
      <c r="O6" s="67">
        <f>N6/M6</f>
        <v>153.64102564102566</v>
      </c>
      <c r="P6" s="69">
        <f>M6-J6</f>
        <v>0</v>
      </c>
      <c r="Q6" s="70">
        <f>O6-L6</f>
        <v>-19.435897435897402</v>
      </c>
      <c r="R6" s="71">
        <f>O6/L6</f>
        <v>0.88770370370370388</v>
      </c>
      <c r="S6" s="421"/>
      <c r="T6" s="16">
        <v>0.390972222222222</v>
      </c>
      <c r="U6" s="16">
        <v>0.422222222222222</v>
      </c>
      <c r="V6" s="30">
        <f>(T6-U5)*24*60</f>
        <v>11.000000000000121</v>
      </c>
      <c r="W6" s="73">
        <f t="shared" si="0"/>
        <v>45</v>
      </c>
      <c r="X6" s="22"/>
      <c r="Y6" s="84"/>
      <c r="Z6" s="90"/>
      <c r="AA6" s="90"/>
      <c r="AB6" s="449"/>
      <c r="AC6" s="449"/>
      <c r="AD6" s="149"/>
      <c r="AE6" s="149"/>
      <c r="AF6" s="307">
        <f t="shared" si="1"/>
        <v>-252.66666666666652</v>
      </c>
      <c r="AG6" s="72">
        <f t="shared" si="2"/>
        <v>0.88770370370370377</v>
      </c>
      <c r="AH6" s="446"/>
    </row>
    <row r="7" spans="1:34" ht="15" customHeight="1">
      <c r="A7" s="401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2188</v>
      </c>
      <c r="H7" s="63">
        <f t="shared" ref="H7:H8" si="3">F7*G7</f>
        <v>107518.32</v>
      </c>
      <c r="I7" s="64"/>
      <c r="J7" s="65">
        <f>VLOOKUP(D7,產線配置圖!$A$3:$C$40,2,0)</f>
        <v>14</v>
      </c>
      <c r="K7" s="66">
        <f>VLOOKUP(D7,產線配置圖!$A$3:$C$40,3,0)</f>
        <v>2250</v>
      </c>
      <c r="L7" s="67">
        <f t="shared" ref="L7:L8" si="4">K7/J7</f>
        <v>160.71428571428572</v>
      </c>
      <c r="M7" s="82">
        <v>14</v>
      </c>
      <c r="N7" s="66">
        <f t="shared" ref="N7:N8" si="5">G7/W7*60</f>
        <v>1875.4285714285761</v>
      </c>
      <c r="O7" s="67">
        <f t="shared" ref="O7:O8" si="6">N7/M7</f>
        <v>133.95918367346971</v>
      </c>
      <c r="P7" s="69">
        <f t="shared" ref="P7:P8" si="7">M7-J7</f>
        <v>0</v>
      </c>
      <c r="Q7" s="70">
        <f t="shared" ref="Q7:Q8" si="8">O7-L7</f>
        <v>-26.755102040816013</v>
      </c>
      <c r="R7" s="71">
        <f t="shared" ref="R7:R8" si="9">O7/L7</f>
        <v>0.83352380952381144</v>
      </c>
      <c r="S7" s="421"/>
      <c r="T7" s="18">
        <v>0.43055555555555602</v>
      </c>
      <c r="U7" s="18">
        <v>0.47916666666666702</v>
      </c>
      <c r="V7" s="30">
        <f t="shared" ref="V7:V8" si="10">(T7-U6)*24*60</f>
        <v>12.000000000000997</v>
      </c>
      <c r="W7" s="73">
        <f t="shared" si="0"/>
        <v>69.999999999999829</v>
      </c>
      <c r="X7" s="22"/>
      <c r="Y7" s="84"/>
      <c r="Z7" s="90"/>
      <c r="AA7" s="90"/>
      <c r="AB7" s="450"/>
      <c r="AC7" s="450"/>
      <c r="AD7" s="92"/>
      <c r="AE7" s="92"/>
      <c r="AF7" s="307">
        <f t="shared" si="1"/>
        <v>-374.57142857142389</v>
      </c>
      <c r="AG7" s="72">
        <f t="shared" si="2"/>
        <v>0.83352380952381155</v>
      </c>
      <c r="AH7" s="446"/>
    </row>
    <row r="8" spans="1:34" ht="15" customHeight="1">
      <c r="A8" s="401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4459</v>
      </c>
      <c r="H8" s="63">
        <f t="shared" si="3"/>
        <v>219115.26</v>
      </c>
      <c r="I8" s="64"/>
      <c r="J8" s="65">
        <f>VLOOKUP(D8,產線配置圖!$A$3:$C$40,2,0)</f>
        <v>14</v>
      </c>
      <c r="K8" s="66">
        <f>VLOOKUP(D8,產線配置圖!$A$3:$C$40,3,0)</f>
        <v>2250</v>
      </c>
      <c r="L8" s="67">
        <f t="shared" si="4"/>
        <v>160.71428571428572</v>
      </c>
      <c r="M8" s="82">
        <v>14</v>
      </c>
      <c r="N8" s="66">
        <f t="shared" si="5"/>
        <v>1845.1034482758664</v>
      </c>
      <c r="O8" s="67">
        <f t="shared" si="6"/>
        <v>131.79310344827618</v>
      </c>
      <c r="P8" s="69">
        <f t="shared" si="7"/>
        <v>0</v>
      </c>
      <c r="Q8" s="70">
        <f t="shared" si="8"/>
        <v>-28.921182266009538</v>
      </c>
      <c r="R8" s="71">
        <f t="shared" si="9"/>
        <v>0.82004597701149617</v>
      </c>
      <c r="S8" s="421"/>
      <c r="T8" s="16">
        <v>0.55902777777777801</v>
      </c>
      <c r="U8" s="16">
        <v>0.65972222222222221</v>
      </c>
      <c r="V8" s="30">
        <f t="shared" si="10"/>
        <v>114.99999999999983</v>
      </c>
      <c r="W8" s="73">
        <f t="shared" si="0"/>
        <v>144.99999999999966</v>
      </c>
      <c r="X8" s="22"/>
      <c r="Y8" s="84"/>
      <c r="Z8" s="90"/>
      <c r="AA8" s="90"/>
      <c r="AB8" s="449"/>
      <c r="AC8" s="449"/>
      <c r="AD8" s="149"/>
      <c r="AE8" s="149"/>
      <c r="AF8" s="307">
        <f t="shared" si="1"/>
        <v>-404.89655172413359</v>
      </c>
      <c r="AG8" s="72">
        <f t="shared" si="2"/>
        <v>0.82004597701149617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>
        <f t="shared" ref="J15:O15" si="11">AVERAGE(J5:J14)</f>
        <v>13.75</v>
      </c>
      <c r="K15" s="120">
        <f t="shared" si="11"/>
        <v>2250</v>
      </c>
      <c r="L15" s="117">
        <f t="shared" si="11"/>
        <v>163.80494505494505</v>
      </c>
      <c r="M15" s="120">
        <f t="shared" si="11"/>
        <v>13.75</v>
      </c>
      <c r="N15" s="120">
        <f t="shared" si="11"/>
        <v>1957.2942071119041</v>
      </c>
      <c r="O15" s="117">
        <f t="shared" si="11"/>
        <v>142.55031882301148</v>
      </c>
      <c r="P15" s="121">
        <f>M15-J15</f>
        <v>0</v>
      </c>
      <c r="Q15" s="122">
        <f>O15-L15</f>
        <v>-21.254626231933571</v>
      </c>
      <c r="R15" s="123">
        <f>O15/L15</f>
        <v>0.87024429436605755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>
        <f>N15-K15</f>
        <v>-292.70579288809586</v>
      </c>
      <c r="AG15" s="124">
        <f>N15/K15</f>
        <v>0.86990853649417965</v>
      </c>
      <c r="AH15" s="448"/>
    </row>
    <row r="16" spans="1:34" ht="15" customHeight="1">
      <c r="A16" s="462" t="s">
        <v>43</v>
      </c>
      <c r="B16" s="129" t="s">
        <v>81</v>
      </c>
      <c r="C16" s="130"/>
      <c r="D16" s="131" t="s">
        <v>113</v>
      </c>
      <c r="E16" s="132"/>
      <c r="F16" s="129">
        <f>VLOOKUP(D16,廠價表!$C$1:$E$43,3,0)</f>
        <v>56.87</v>
      </c>
      <c r="G16" s="133">
        <v>2021</v>
      </c>
      <c r="H16" s="134">
        <f>F16*G16</f>
        <v>114934.26999999999</v>
      </c>
      <c r="I16" s="135"/>
      <c r="J16" s="136">
        <f>VLOOKUP(D16,產線配置圖!$A$3:$C$40,2,0)</f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2165.3571428571354</v>
      </c>
      <c r="O16" s="141">
        <f>N16/M16</f>
        <v>154.66836734693825</v>
      </c>
      <c r="P16" s="142">
        <f>M16-J16</f>
        <v>0</v>
      </c>
      <c r="Q16" s="143">
        <f>O16-L16</f>
        <v>-6.0459183673474683</v>
      </c>
      <c r="R16" s="144">
        <f>O16/L16</f>
        <v>0.96238095238094912</v>
      </c>
      <c r="S16" s="456">
        <f>R26</f>
        <v>0.93981029107344849</v>
      </c>
      <c r="T16" s="145">
        <v>0.30208333333333298</v>
      </c>
      <c r="U16" s="145">
        <v>0.34097222222222201</v>
      </c>
      <c r="V16" s="135"/>
      <c r="W16" s="146">
        <f t="shared" ref="W16:W78" si="12">(U16-T16)*24*60</f>
        <v>56.000000000000199</v>
      </c>
      <c r="X16" s="141"/>
      <c r="Y16" s="296"/>
      <c r="Z16" s="169"/>
      <c r="AA16" s="169"/>
      <c r="AB16" s="452"/>
      <c r="AC16" s="452"/>
      <c r="AD16" s="135"/>
      <c r="AE16" s="135"/>
      <c r="AF16" s="229">
        <f>N16-K16</f>
        <v>-84.642857142864614</v>
      </c>
      <c r="AG16" s="52">
        <f>N16/K16</f>
        <v>0.96238095238094901</v>
      </c>
      <c r="AH16" s="445">
        <f>AG26</f>
        <v>0.93994495076073958</v>
      </c>
    </row>
    <row r="17" spans="1:34" ht="15" customHeight="1">
      <c r="A17" s="463"/>
      <c r="B17" s="75" t="s">
        <v>81</v>
      </c>
      <c r="C17" s="76"/>
      <c r="D17" s="59" t="s">
        <v>116</v>
      </c>
      <c r="E17" s="77"/>
      <c r="F17" s="75">
        <f>VLOOKUP(D17,廠價表!$C$1:$E$43,3,0)</f>
        <v>50.67</v>
      </c>
      <c r="G17" s="147">
        <v>4559</v>
      </c>
      <c r="H17" s="78">
        <f>F17*G17</f>
        <v>231004.53</v>
      </c>
      <c r="I17" s="30"/>
      <c r="J17" s="79">
        <f>VLOOKUP(D17,產線配置圖!$A$3:$C$40,2,0)</f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2072.2727272727197</v>
      </c>
      <c r="O17" s="96">
        <f>N17/M17</f>
        <v>148.01948051947997</v>
      </c>
      <c r="P17" s="97">
        <f>M17-J17</f>
        <v>0</v>
      </c>
      <c r="Q17" s="98">
        <f>O17-L17</f>
        <v>-12.694805194805753</v>
      </c>
      <c r="R17" s="99">
        <f>O17/L17</f>
        <v>0.9210101010100975</v>
      </c>
      <c r="S17" s="457"/>
      <c r="T17" s="19">
        <v>0.34861111111111098</v>
      </c>
      <c r="U17" s="19">
        <v>0.44027777777777799</v>
      </c>
      <c r="V17" s="30">
        <f>(T17-U16)*24*60</f>
        <v>11.000000000000121</v>
      </c>
      <c r="W17" s="149">
        <f t="shared" si="12"/>
        <v>132.00000000000048</v>
      </c>
      <c r="X17" s="19"/>
      <c r="Y17" s="297"/>
      <c r="Z17" s="90"/>
      <c r="AA17" s="90"/>
      <c r="AB17" s="450"/>
      <c r="AC17" s="450"/>
      <c r="AD17" s="92"/>
      <c r="AE17" s="92"/>
      <c r="AF17" s="307">
        <f>N17-K17</f>
        <v>-177.72727272728025</v>
      </c>
      <c r="AG17" s="72">
        <f>N17/K17</f>
        <v>0.92101010101009761</v>
      </c>
      <c r="AH17" s="446"/>
    </row>
    <row r="18" spans="1:34" ht="15" customHeight="1">
      <c r="A18" s="463"/>
      <c r="B18" s="75" t="s">
        <v>81</v>
      </c>
      <c r="C18" s="76"/>
      <c r="D18" s="59" t="s">
        <v>117</v>
      </c>
      <c r="E18" s="77"/>
      <c r="F18" s="75">
        <f>VLOOKUP(D18,廠價表!$C$1:$E$43,3,0)</f>
        <v>50.39</v>
      </c>
      <c r="G18" s="147">
        <v>2285</v>
      </c>
      <c r="H18" s="78">
        <f>F18*G18</f>
        <v>115141.15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2176.1904761904784</v>
      </c>
      <c r="O18" s="96">
        <f>N18/M18</f>
        <v>181.34920634920653</v>
      </c>
      <c r="P18" s="97">
        <f>M18-J18</f>
        <v>0</v>
      </c>
      <c r="Q18" s="98">
        <f>O18-L18</f>
        <v>-6.1507936507934744</v>
      </c>
      <c r="R18" s="99">
        <f>O18/L18</f>
        <v>0.96719576719576816</v>
      </c>
      <c r="S18" s="457"/>
      <c r="T18" s="19">
        <v>0.44583333333333303</v>
      </c>
      <c r="U18" s="19">
        <v>0.48958333333333298</v>
      </c>
      <c r="V18" s="30">
        <f>(T18-U17)*24*60</f>
        <v>7.9999999999992522</v>
      </c>
      <c r="W18" s="149">
        <f t="shared" si="12"/>
        <v>62.999999999999936</v>
      </c>
      <c r="X18" s="22"/>
      <c r="Y18" s="84"/>
      <c r="Z18" s="90"/>
      <c r="AA18" s="90"/>
      <c r="AB18" s="450"/>
      <c r="AC18" s="450"/>
      <c r="AD18" s="92"/>
      <c r="AE18" s="92"/>
      <c r="AF18" s="307">
        <f>N18-K18</f>
        <v>-73.809523809521579</v>
      </c>
      <c r="AG18" s="72">
        <f>N18/K18</f>
        <v>0.96719576719576816</v>
      </c>
      <c r="AH18" s="446"/>
    </row>
    <row r="19" spans="1:34" ht="15" customHeight="1">
      <c r="A19" s="463"/>
      <c r="B19" s="75" t="s">
        <v>81</v>
      </c>
      <c r="C19" s="76"/>
      <c r="D19" s="59" t="s">
        <v>117</v>
      </c>
      <c r="E19" s="77"/>
      <c r="F19" s="75">
        <f>VLOOKUP(D19,廠價表!$C$1:$E$43,3,0)</f>
        <v>50.39</v>
      </c>
      <c r="G19" s="147">
        <v>3239</v>
      </c>
      <c r="H19" s="78">
        <f>F19*G19</f>
        <v>163213.21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2045.6842105263231</v>
      </c>
      <c r="O19" s="96">
        <f>N19/M19</f>
        <v>170.47368421052693</v>
      </c>
      <c r="P19" s="97">
        <f>M19-J19</f>
        <v>0</v>
      </c>
      <c r="Q19" s="98">
        <f>O19-L19</f>
        <v>-17.026315789473074</v>
      </c>
      <c r="R19" s="99">
        <f>O19/L19</f>
        <v>0.90919298245614366</v>
      </c>
      <c r="S19" s="457"/>
      <c r="T19" s="19">
        <v>0.55902777777777801</v>
      </c>
      <c r="U19" s="19">
        <v>0.625</v>
      </c>
      <c r="V19" s="30">
        <f>(T19-U18)*24*60</f>
        <v>100.00000000000084</v>
      </c>
      <c r="W19" s="149">
        <f t="shared" si="12"/>
        <v>94.999999999999659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-204.31578947367689</v>
      </c>
      <c r="AG19" s="72">
        <f>N19/K19</f>
        <v>0.90919298245614366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12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174.10714285714286</v>
      </c>
      <c r="M26" s="155">
        <f t="shared" si="13"/>
        <v>13</v>
      </c>
      <c r="N26" s="155">
        <f t="shared" si="13"/>
        <v>2114.8761392116639</v>
      </c>
      <c r="O26" s="158">
        <f t="shared" si="13"/>
        <v>163.62768460653791</v>
      </c>
      <c r="P26" s="159">
        <f>M26-J26</f>
        <v>0</v>
      </c>
      <c r="Q26" s="160">
        <f>O26-L26</f>
        <v>-10.479458250604949</v>
      </c>
      <c r="R26" s="161">
        <f>O26/L26</f>
        <v>0.93981029107344849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>
        <f t="shared" ref="AF26:AF31" si="14">N26-K26</f>
        <v>-135.12386078833606</v>
      </c>
      <c r="AG26" s="124">
        <f t="shared" ref="AG26:AG31" si="15">N26/K26</f>
        <v>0.93994495076073958</v>
      </c>
      <c r="AH26" s="448"/>
    </row>
    <row r="27" spans="1:34" ht="15" customHeight="1">
      <c r="A27" s="453" t="s">
        <v>45</v>
      </c>
      <c r="B27" s="167" t="s">
        <v>81</v>
      </c>
      <c r="C27" s="130"/>
      <c r="D27" s="168" t="s">
        <v>119</v>
      </c>
      <c r="E27" s="132"/>
      <c r="F27" s="129">
        <f>VLOOKUP(D27,廠價表!$C$1:$E$43,3,0)</f>
        <v>52.21</v>
      </c>
      <c r="G27" s="169">
        <v>2498</v>
      </c>
      <c r="H27" s="134">
        <f>F27*G27</f>
        <v>130420.58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1455.1456310679687</v>
      </c>
      <c r="O27" s="141">
        <f>N27/M27</f>
        <v>85.596801827527571</v>
      </c>
      <c r="P27" s="142">
        <f>M27-J27</f>
        <v>-1</v>
      </c>
      <c r="Q27" s="143">
        <f>O27-L27</f>
        <v>-5.2920870613613147</v>
      </c>
      <c r="R27" s="144">
        <f>O27/L27</f>
        <v>0.94177410323685595</v>
      </c>
      <c r="S27" s="456">
        <f>R37</f>
        <v>0.9385098385011591</v>
      </c>
      <c r="T27" s="171">
        <v>0.29166666666666702</v>
      </c>
      <c r="U27" s="171">
        <v>0.36319444444444443</v>
      </c>
      <c r="V27" s="135"/>
      <c r="W27" s="146">
        <f t="shared" si="12"/>
        <v>102.99999999999947</v>
      </c>
      <c r="X27" s="135"/>
      <c r="Y27" s="300"/>
      <c r="Z27" s="169"/>
      <c r="AA27" s="169"/>
      <c r="AB27" s="452"/>
      <c r="AC27" s="452"/>
      <c r="AD27" s="135"/>
      <c r="AE27" s="135"/>
      <c r="AF27" s="310">
        <f t="shared" si="14"/>
        <v>-180.85436893203132</v>
      </c>
      <c r="AG27" s="172">
        <f t="shared" si="15"/>
        <v>0.88945331972369723</v>
      </c>
      <c r="AH27" s="445">
        <f>AG37</f>
        <v>0.88622220351902881</v>
      </c>
    </row>
    <row r="28" spans="1:34" ht="15" customHeight="1">
      <c r="A28" s="454"/>
      <c r="B28" s="75" t="s">
        <v>81</v>
      </c>
      <c r="C28" s="173"/>
      <c r="D28" s="59" t="s">
        <v>132</v>
      </c>
      <c r="E28" s="104"/>
      <c r="F28" s="75">
        <f>VLOOKUP(D28,廠價表!$C$1:$E$43,3,0)</f>
        <v>46.34</v>
      </c>
      <c r="G28" s="90">
        <v>704</v>
      </c>
      <c r="H28" s="91">
        <f>F28*G28</f>
        <v>32623.360000000001</v>
      </c>
      <c r="I28" s="92"/>
      <c r="J28" s="79">
        <f>VLOOKUP(D28,產線配置圖!$A$3:$C$40,2,0)</f>
        <v>16</v>
      </c>
      <c r="K28" s="80">
        <f>VLOOKUP(D28,產線配置圖!$A$3:$C$40,3,0)</f>
        <v>1636</v>
      </c>
      <c r="L28" s="93">
        <f>K28/J28</f>
        <v>102.25</v>
      </c>
      <c r="M28" s="94">
        <v>16</v>
      </c>
      <c r="N28" s="95">
        <f>G28/W28*60</f>
        <v>1564.4444444444453</v>
      </c>
      <c r="O28" s="96">
        <f>N28/M28</f>
        <v>97.777777777777828</v>
      </c>
      <c r="P28" s="97">
        <f>M28-J28</f>
        <v>0</v>
      </c>
      <c r="Q28" s="98">
        <f>O28-L28</f>
        <v>-4.4722222222221717</v>
      </c>
      <c r="R28" s="99">
        <f>O28/L28</f>
        <v>0.95626188535724033</v>
      </c>
      <c r="S28" s="457"/>
      <c r="T28" s="19">
        <v>0.36875000000000002</v>
      </c>
      <c r="U28" s="19">
        <v>0.38750000000000001</v>
      </c>
      <c r="V28" s="92">
        <f>(T28-U27)*24*60</f>
        <v>8.0000000000000515</v>
      </c>
      <c r="W28" s="149">
        <f t="shared" si="12"/>
        <v>26.999999999999986</v>
      </c>
      <c r="X28" s="174"/>
      <c r="Y28" s="301"/>
      <c r="Z28" s="335"/>
      <c r="AA28" s="335"/>
      <c r="AB28" s="450"/>
      <c r="AC28" s="450"/>
      <c r="AD28" s="92"/>
      <c r="AE28" s="92"/>
      <c r="AF28" s="311">
        <f t="shared" si="14"/>
        <v>-71.555555555554747</v>
      </c>
      <c r="AG28" s="99">
        <f t="shared" si="15"/>
        <v>0.95626188535724033</v>
      </c>
      <c r="AH28" s="466"/>
    </row>
    <row r="29" spans="1:34" ht="15" customHeight="1">
      <c r="A29" s="454"/>
      <c r="B29" s="75" t="s">
        <v>81</v>
      </c>
      <c r="C29" s="173"/>
      <c r="D29" s="59" t="s">
        <v>118</v>
      </c>
      <c r="E29" s="104"/>
      <c r="F29" s="75">
        <f>VLOOKUP(D29,廠價表!$C$1:$E$43,3,0)</f>
        <v>61.65</v>
      </c>
      <c r="G29" s="90">
        <v>2117</v>
      </c>
      <c r="H29" s="91">
        <f>F29*G29</f>
        <v>130513.05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1351.2765957446811</v>
      </c>
      <c r="O29" s="96">
        <f>N29/M29</f>
        <v>84.45478723404257</v>
      </c>
      <c r="P29" s="97">
        <f>M29-J29</f>
        <v>-2</v>
      </c>
      <c r="Q29" s="98">
        <f>O29-L29</f>
        <v>-6.4341016548463159</v>
      </c>
      <c r="R29" s="99">
        <f>O29/L29</f>
        <v>0.92920915049680097</v>
      </c>
      <c r="S29" s="457"/>
      <c r="T29" s="19">
        <v>0.39305555555555555</v>
      </c>
      <c r="U29" s="19">
        <v>0.45833333333333331</v>
      </c>
      <c r="V29" s="92">
        <f>(T29-U28)*24*60</f>
        <v>7.9999999999999716</v>
      </c>
      <c r="W29" s="149">
        <f t="shared" si="12"/>
        <v>93.999999999999986</v>
      </c>
      <c r="X29" s="22"/>
      <c r="Y29" s="84"/>
      <c r="Z29" s="90"/>
      <c r="AA29" s="90"/>
      <c r="AB29" s="450"/>
      <c r="AC29" s="450"/>
      <c r="AD29" s="92"/>
      <c r="AE29" s="92"/>
      <c r="AF29" s="312">
        <f t="shared" si="14"/>
        <v>-284.72340425531888</v>
      </c>
      <c r="AG29" s="99">
        <f t="shared" si="15"/>
        <v>0.82596368933048969</v>
      </c>
      <c r="AH29" s="466"/>
    </row>
    <row r="30" spans="1:34" ht="15" customHeight="1">
      <c r="A30" s="454"/>
      <c r="B30" s="75" t="s">
        <v>81</v>
      </c>
      <c r="C30" s="88"/>
      <c r="D30" s="59" t="s">
        <v>119</v>
      </c>
      <c r="E30" s="89"/>
      <c r="F30" s="75">
        <f>VLOOKUP(D30,廠價表!$C$1:$E$43,3,0)</f>
        <v>52.21</v>
      </c>
      <c r="G30" s="90">
        <v>2500</v>
      </c>
      <c r="H30" s="91">
        <f>F30*G30</f>
        <v>130525</v>
      </c>
      <c r="I30" s="92"/>
      <c r="J30" s="79">
        <f>VLOOKUP(D30,產線配置圖!$A$3:$C$40,2,0)</f>
        <v>18</v>
      </c>
      <c r="K30" s="80">
        <f>VLOOKUP(D30,產線配置圖!$A$3:$C$40,3,0)</f>
        <v>1636</v>
      </c>
      <c r="L30" s="93">
        <f>K30/J30</f>
        <v>90.888888888888886</v>
      </c>
      <c r="M30" s="94">
        <v>17</v>
      </c>
      <c r="N30" s="95">
        <f>G30/W30*60</f>
        <v>1428.5714285714294</v>
      </c>
      <c r="O30" s="96">
        <f>N30/M30</f>
        <v>84.033613445378194</v>
      </c>
      <c r="P30" s="97">
        <f>M30-J30</f>
        <v>-1</v>
      </c>
      <c r="Q30" s="98">
        <f>O30-L30</f>
        <v>-6.855275443510692</v>
      </c>
      <c r="R30" s="99">
        <f>O30/L30</f>
        <v>0.9245752090567283</v>
      </c>
      <c r="S30" s="457"/>
      <c r="T30" s="19">
        <v>0.52430555555555558</v>
      </c>
      <c r="U30" s="19">
        <v>0.59722222222222221</v>
      </c>
      <c r="V30" s="92">
        <f>(T30-U29)*24*60</f>
        <v>95.000000000000057</v>
      </c>
      <c r="W30" s="149">
        <f t="shared" si="12"/>
        <v>104.99999999999994</v>
      </c>
      <c r="X30" s="174"/>
      <c r="Y30" s="301"/>
      <c r="Z30" s="335"/>
      <c r="AA30" s="335"/>
      <c r="AB30" s="450"/>
      <c r="AC30" s="450"/>
      <c r="AD30" s="92"/>
      <c r="AE30" s="92"/>
      <c r="AF30" s="312">
        <f t="shared" si="14"/>
        <v>-207.42857142857065</v>
      </c>
      <c r="AG30" s="99">
        <f t="shared" si="15"/>
        <v>0.87320991966468786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14"/>
        <v>0</v>
      </c>
      <c r="AG31" s="99" t="e">
        <f t="shared" si="15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>
        <f t="shared" ref="J37:O37" si="16">AVERAGE(J27:J36)</f>
        <v>17.5</v>
      </c>
      <c r="K37" s="155">
        <f t="shared" si="16"/>
        <v>1636</v>
      </c>
      <c r="L37" s="158">
        <f t="shared" si="16"/>
        <v>93.729166666666657</v>
      </c>
      <c r="M37" s="155">
        <f t="shared" si="16"/>
        <v>16.5</v>
      </c>
      <c r="N37" s="155">
        <f t="shared" si="16"/>
        <v>1449.859524957131</v>
      </c>
      <c r="O37" s="158">
        <f t="shared" si="16"/>
        <v>87.965745071181544</v>
      </c>
      <c r="P37" s="159">
        <f>M37-J37</f>
        <v>-1</v>
      </c>
      <c r="Q37" s="160">
        <f>N37-K37</f>
        <v>-186.14047504286896</v>
      </c>
      <c r="R37" s="161">
        <f>O37/L37</f>
        <v>0.9385098385011591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>
        <f>N37-K37</f>
        <v>-186.14047504286896</v>
      </c>
      <c r="AG37" s="124">
        <f>N37/K37</f>
        <v>0.88622220351902881</v>
      </c>
      <c r="AH37" s="448"/>
    </row>
    <row r="38" spans="1:34" ht="15" customHeight="1">
      <c r="A38" s="475" t="s">
        <v>48</v>
      </c>
      <c r="B38" s="167" t="s">
        <v>120</v>
      </c>
      <c r="C38" s="129"/>
      <c r="D38" s="184" t="s">
        <v>121</v>
      </c>
      <c r="E38" s="185"/>
      <c r="F38" s="39">
        <f>VLOOKUP(D38,廠價表!$C$1:$E$43,3,0)</f>
        <v>49.91</v>
      </c>
      <c r="G38" s="186">
        <v>2490</v>
      </c>
      <c r="H38" s="134">
        <f>F38*G38</f>
        <v>124275.9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1659.9999999999911</v>
      </c>
      <c r="O38" s="141">
        <f>N38/M38</f>
        <v>103.74999999999945</v>
      </c>
      <c r="P38" s="142">
        <f>M38-J38</f>
        <v>0</v>
      </c>
      <c r="Q38" s="143">
        <f>O38-L38</f>
        <v>-3.3750000000005542</v>
      </c>
      <c r="R38" s="144">
        <f>O38/L38</f>
        <v>0.96849474912484901</v>
      </c>
      <c r="S38" s="478">
        <f>R48</f>
        <v>0.9351440295612754</v>
      </c>
      <c r="T38" s="191">
        <v>0.33333333333333298</v>
      </c>
      <c r="U38" s="191">
        <v>0.39583333333333331</v>
      </c>
      <c r="V38" s="192"/>
      <c r="W38" s="193">
        <f t="shared" si="12"/>
        <v>90.000000000000483</v>
      </c>
      <c r="X38" s="194"/>
      <c r="Y38" s="302"/>
      <c r="Z38" s="336"/>
      <c r="AA38" s="336"/>
      <c r="AB38" s="480"/>
      <c r="AC38" s="480"/>
      <c r="AD38" s="192"/>
      <c r="AE38" s="192"/>
      <c r="AF38" s="313">
        <f>N38-K38</f>
        <v>-54.000000000008868</v>
      </c>
      <c r="AG38" s="195">
        <f>N38/K38</f>
        <v>0.96849474912484901</v>
      </c>
      <c r="AH38" s="468">
        <f>AG48</f>
        <v>0.93371093857320964</v>
      </c>
    </row>
    <row r="39" spans="1:34" ht="15" customHeight="1">
      <c r="A39" s="476"/>
      <c r="B39" s="75" t="s">
        <v>120</v>
      </c>
      <c r="C39" s="197"/>
      <c r="D39" s="198" t="s">
        <v>122</v>
      </c>
      <c r="E39" s="176"/>
      <c r="F39" s="75">
        <f>VLOOKUP(D39,廠價表!$C$1:$E$43,3,0)</f>
        <v>44.3</v>
      </c>
      <c r="G39" s="199">
        <v>3256</v>
      </c>
      <c r="H39" s="91">
        <f>F39*G39</f>
        <v>144240.79999999999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1562.8800000000047</v>
      </c>
      <c r="O39" s="203">
        <f>N39/M39</f>
        <v>86.826666666666924</v>
      </c>
      <c r="P39" s="97">
        <f>M39-J39</f>
        <v>0</v>
      </c>
      <c r="Q39" s="98">
        <f>O39-L39</f>
        <v>-4.0622222222219619</v>
      </c>
      <c r="R39" s="99">
        <f>O39/L39</f>
        <v>0.95530562347188552</v>
      </c>
      <c r="S39" s="479"/>
      <c r="T39" s="20">
        <v>0.40277777777777801</v>
      </c>
      <c r="U39" s="20">
        <v>0.48958333333333331</v>
      </c>
      <c r="V39" s="92">
        <f>(T39-U38)*24*60</f>
        <v>10.000000000000364</v>
      </c>
      <c r="W39" s="205">
        <f t="shared" si="12"/>
        <v>124.99999999999963</v>
      </c>
      <c r="X39" s="22"/>
      <c r="Y39" s="84"/>
      <c r="Z39" s="90"/>
      <c r="AA39" s="90"/>
      <c r="AB39" s="471"/>
      <c r="AC39" s="471"/>
      <c r="AD39" s="200"/>
      <c r="AE39" s="200"/>
      <c r="AF39" s="314">
        <f>N39-K39</f>
        <v>-73.119999999995343</v>
      </c>
      <c r="AG39" s="206">
        <f>N39/K39</f>
        <v>0.95530562347188552</v>
      </c>
      <c r="AH39" s="469"/>
    </row>
    <row r="40" spans="1:34" ht="15" customHeight="1">
      <c r="A40" s="476"/>
      <c r="B40" s="75" t="s">
        <v>120</v>
      </c>
      <c r="C40" s="207"/>
      <c r="D40" s="198" t="s">
        <v>122</v>
      </c>
      <c r="E40" s="178"/>
      <c r="F40" s="75">
        <f>VLOOKUP(D40,廠價表!$C$1:$E$43,3,0)</f>
        <v>44.3</v>
      </c>
      <c r="G40" s="199">
        <v>3486</v>
      </c>
      <c r="H40" s="91">
        <f>F40*G40</f>
        <v>154429.79999999999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1432.6027397260277</v>
      </c>
      <c r="O40" s="203">
        <f>N40/M40</f>
        <v>79.589041095890423</v>
      </c>
      <c r="P40" s="97">
        <f>M40-J40</f>
        <v>0</v>
      </c>
      <c r="Q40" s="98">
        <f>O40-L40</f>
        <v>-11.299847792998463</v>
      </c>
      <c r="R40" s="99">
        <f>O40/L40</f>
        <v>0.87567404628730294</v>
      </c>
      <c r="S40" s="421"/>
      <c r="T40" s="20">
        <v>0.54861111111111116</v>
      </c>
      <c r="U40" s="20">
        <v>0.65</v>
      </c>
      <c r="V40" s="92">
        <f>(T40-U39)*24*60</f>
        <v>85.000000000000099</v>
      </c>
      <c r="W40" s="205">
        <f t="shared" si="12"/>
        <v>145.99999999999997</v>
      </c>
      <c r="X40" s="208"/>
      <c r="Y40" s="209"/>
      <c r="Z40" s="337"/>
      <c r="AA40" s="337"/>
      <c r="AB40" s="450"/>
      <c r="AC40" s="450"/>
      <c r="AD40" s="92"/>
      <c r="AE40" s="92"/>
      <c r="AF40" s="314">
        <f>N40-K40</f>
        <v>-203.39726027397228</v>
      </c>
      <c r="AG40" s="206">
        <f>N40/K40</f>
        <v>0.87567404628730305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1551.8275799086744</v>
      </c>
      <c r="O48" s="158">
        <f t="shared" si="18"/>
        <v>90.055235920852269</v>
      </c>
      <c r="P48" s="221">
        <f>M48-J48</f>
        <v>0</v>
      </c>
      <c r="Q48" s="222">
        <f>N48-K48</f>
        <v>-110.17242009132565</v>
      </c>
      <c r="R48" s="223">
        <f>O48/L48</f>
        <v>0.9351440295612754</v>
      </c>
      <c r="S48" s="424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>
        <f t="shared" ref="AF48:AF53" si="19">N48-K48</f>
        <v>-110.17242009132565</v>
      </c>
      <c r="AG48" s="162">
        <f t="shared" ref="AG48:AG53" si="20">N48/K48</f>
        <v>0.93371093857320964</v>
      </c>
      <c r="AH48" s="470"/>
    </row>
    <row r="49" spans="1:34" ht="15" customHeight="1">
      <c r="A49" s="472" t="s">
        <v>50</v>
      </c>
      <c r="B49" s="129" t="s">
        <v>81</v>
      </c>
      <c r="C49" s="130"/>
      <c r="D49" s="131" t="s">
        <v>123</v>
      </c>
      <c r="E49" s="132"/>
      <c r="F49" s="129">
        <f>VLOOKUP(D49,廠價表!$C$1:$E$43,3,0)</f>
        <v>50.289000000000001</v>
      </c>
      <c r="G49" s="228">
        <v>2609</v>
      </c>
      <c r="H49" s="134">
        <f>F49*G49</f>
        <v>131204.00100000002</v>
      </c>
      <c r="I49" s="135"/>
      <c r="J49" s="136">
        <f>VLOOKUP(D49,產線配置圖!$A$3:$C$40,2,0)</f>
        <v>17</v>
      </c>
      <c r="K49" s="137">
        <f>VLOOKUP(D49,產線配置圖!$A$3:$C$40,3,0)</f>
        <v>1636</v>
      </c>
      <c r="L49" s="138">
        <f>K49/J49</f>
        <v>96.235294117647058</v>
      </c>
      <c r="M49" s="170">
        <v>17</v>
      </c>
      <c r="N49" s="140">
        <f>G49/W49*60</f>
        <v>1565.400000000008</v>
      </c>
      <c r="O49" s="141">
        <f>N49/M49</f>
        <v>92.08235294117695</v>
      </c>
      <c r="P49" s="229">
        <f>M49-J49</f>
        <v>0</v>
      </c>
      <c r="Q49" s="230">
        <f>O49-L49</f>
        <v>-4.1529411764701081</v>
      </c>
      <c r="R49" s="52">
        <f>O49/L49</f>
        <v>0.95684596577017611</v>
      </c>
      <c r="S49" s="420">
        <f>R58</f>
        <v>0.88103254797357278</v>
      </c>
      <c r="T49" s="191">
        <v>0.29166666666666702</v>
      </c>
      <c r="U49" s="191">
        <v>0.3611111111111111</v>
      </c>
      <c r="V49" s="55"/>
      <c r="W49" s="193">
        <f t="shared" si="12"/>
        <v>99.999999999999488</v>
      </c>
      <c r="X49" s="55"/>
      <c r="Y49" s="290"/>
      <c r="Z49" s="169"/>
      <c r="AA49" s="169"/>
      <c r="AB49" s="452"/>
      <c r="AC49" s="452"/>
      <c r="AD49" s="135"/>
      <c r="AE49" s="135"/>
      <c r="AF49" s="229">
        <f t="shared" si="19"/>
        <v>-70.599999999991951</v>
      </c>
      <c r="AG49" s="52">
        <f t="shared" si="20"/>
        <v>0.95684596577017611</v>
      </c>
      <c r="AH49" s="445">
        <f>AG58</f>
        <v>0.8824259640468578</v>
      </c>
    </row>
    <row r="50" spans="1:34" ht="15" customHeight="1">
      <c r="A50" s="473"/>
      <c r="B50" s="75" t="s">
        <v>81</v>
      </c>
      <c r="C50" s="76"/>
      <c r="D50" s="59" t="s">
        <v>124</v>
      </c>
      <c r="E50" s="77"/>
      <c r="F50" s="75">
        <f>VLOOKUP(D50,廠價表!$C$1:$E$43,3,0)</f>
        <v>49.97</v>
      </c>
      <c r="G50" s="202">
        <v>3321</v>
      </c>
      <c r="H50" s="231">
        <f>F50*G50</f>
        <v>165950.37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1509.5454545454597</v>
      </c>
      <c r="O50" s="235">
        <f>N50/M50</f>
        <v>94.346590909091233</v>
      </c>
      <c r="P50" s="74">
        <f>M50-J50</f>
        <v>0</v>
      </c>
      <c r="Q50" s="83">
        <f>O50-L50</f>
        <v>-18.153409090908767</v>
      </c>
      <c r="R50" s="72">
        <f>O50/L50</f>
        <v>0.83863636363636651</v>
      </c>
      <c r="S50" s="421"/>
      <c r="T50" s="21">
        <v>0.36666666666666664</v>
      </c>
      <c r="U50" s="21">
        <v>0.45833333333333298</v>
      </c>
      <c r="V50" s="30">
        <f>(T50-U49)*24*60</f>
        <v>7.9999999999999716</v>
      </c>
      <c r="W50" s="236">
        <f t="shared" si="12"/>
        <v>131.99999999999955</v>
      </c>
      <c r="X50" s="22"/>
      <c r="Y50" s="84"/>
      <c r="Z50" s="90"/>
      <c r="AA50" s="90"/>
      <c r="AB50" s="450"/>
      <c r="AC50" s="450"/>
      <c r="AD50" s="92"/>
      <c r="AE50" s="92"/>
      <c r="AF50" s="307">
        <f t="shared" si="19"/>
        <v>-290.45454545454027</v>
      </c>
      <c r="AG50" s="72">
        <f t="shared" si="20"/>
        <v>0.83863636363636651</v>
      </c>
      <c r="AH50" s="446"/>
    </row>
    <row r="51" spans="1:34" ht="15" customHeight="1">
      <c r="A51" s="473"/>
      <c r="B51" s="75" t="s">
        <v>81</v>
      </c>
      <c r="C51" s="76"/>
      <c r="D51" s="59" t="s">
        <v>124</v>
      </c>
      <c r="E51" s="77"/>
      <c r="F51" s="75">
        <f>VLOOKUP(D51,廠價表!$C$1:$E$43,3,0)</f>
        <v>49.97</v>
      </c>
      <c r="G51" s="202">
        <v>2653</v>
      </c>
      <c r="H51" s="231">
        <f>F51*G51</f>
        <v>132570.41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1545.4368932038794</v>
      </c>
      <c r="O51" s="235">
        <f>N51/M51</f>
        <v>96.589805825242465</v>
      </c>
      <c r="P51" s="74">
        <f>M51-J51</f>
        <v>0</v>
      </c>
      <c r="Q51" s="83">
        <f>O51-L51</f>
        <v>-15.910194174757535</v>
      </c>
      <c r="R51" s="72">
        <f>O51/L51</f>
        <v>0.85857605177993301</v>
      </c>
      <c r="S51" s="421"/>
      <c r="T51" s="21">
        <v>0.52083333333333304</v>
      </c>
      <c r="U51" s="19">
        <v>0.59236111111111101</v>
      </c>
      <c r="V51" s="30">
        <f>(T51-U50)*24*60</f>
        <v>90.000000000000085</v>
      </c>
      <c r="W51" s="236">
        <f t="shared" si="12"/>
        <v>103.00000000000027</v>
      </c>
      <c r="X51" s="22"/>
      <c r="Y51" s="84"/>
      <c r="Z51" s="90"/>
      <c r="AA51" s="90"/>
      <c r="AB51" s="450"/>
      <c r="AC51" s="450"/>
      <c r="AD51" s="92"/>
      <c r="AE51" s="92"/>
      <c r="AF51" s="307">
        <f t="shared" si="19"/>
        <v>-254.56310679612056</v>
      </c>
      <c r="AG51" s="72">
        <f t="shared" si="20"/>
        <v>0.85857605177993301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/>
      <c r="U52" s="21"/>
      <c r="V52" s="30"/>
      <c r="W52" s="236">
        <f t="shared" si="12"/>
        <v>0</v>
      </c>
      <c r="X52" s="22"/>
      <c r="Y52" s="84"/>
      <c r="Z52" s="90"/>
      <c r="AA52" s="90"/>
      <c r="AB52" s="450"/>
      <c r="AC52" s="450"/>
      <c r="AD52" s="92"/>
      <c r="AE52" s="92"/>
      <c r="AF52" s="307">
        <f t="shared" si="19"/>
        <v>0</v>
      </c>
      <c r="AG52" s="72" t="e">
        <f t="shared" si="20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9"/>
        <v>0</v>
      </c>
      <c r="AG53" s="72" t="e">
        <f t="shared" si="20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>
        <f t="shared" ref="J58:O58" si="21">AVERAGE(J49:J57)</f>
        <v>16.333333333333332</v>
      </c>
      <c r="K58" s="120">
        <f t="shared" si="21"/>
        <v>1745.3333333333333</v>
      </c>
      <c r="L58" s="117">
        <f t="shared" si="21"/>
        <v>107.07843137254902</v>
      </c>
      <c r="M58" s="120">
        <f t="shared" si="21"/>
        <v>16.333333333333332</v>
      </c>
      <c r="N58" s="120">
        <f t="shared" si="21"/>
        <v>1540.1274492497823</v>
      </c>
      <c r="O58" s="117">
        <f t="shared" si="21"/>
        <v>94.339583225170216</v>
      </c>
      <c r="P58" s="121">
        <f>M58-J58</f>
        <v>0</v>
      </c>
      <c r="Q58" s="122">
        <f>N58-K58</f>
        <v>-205.20588408355093</v>
      </c>
      <c r="R58" s="123">
        <f>O58/L58</f>
        <v>0.88103254797357278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>
        <f>N58-K58</f>
        <v>-205.20588408355093</v>
      </c>
      <c r="AG58" s="124">
        <f>N58/K58</f>
        <v>0.8824259640468578</v>
      </c>
      <c r="AH58" s="448"/>
    </row>
    <row r="59" spans="1:34" ht="15" customHeight="1">
      <c r="A59" s="486" t="s">
        <v>52</v>
      </c>
      <c r="B59" s="129" t="s">
        <v>125</v>
      </c>
      <c r="C59" s="130"/>
      <c r="D59" s="131" t="s">
        <v>126</v>
      </c>
      <c r="E59" s="132"/>
      <c r="F59" s="129">
        <f>VLOOKUP(D59,廠價表!$C$1:$E$43,3,0)</f>
        <v>26.99</v>
      </c>
      <c r="G59" s="55">
        <v>4071</v>
      </c>
      <c r="H59" s="243">
        <f>F59*G59</f>
        <v>109876.29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1555.79617834396</v>
      </c>
      <c r="O59" s="138">
        <f>N59/M59</f>
        <v>103.71974522293067</v>
      </c>
      <c r="P59" s="56">
        <f>M59-J59</f>
        <v>0</v>
      </c>
      <c r="Q59" s="230">
        <f>O59-L59</f>
        <v>-5.3469214437359938</v>
      </c>
      <c r="R59" s="52">
        <f>O59/L59</f>
        <v>0.95097565913444992</v>
      </c>
      <c r="S59" s="420">
        <f>R69</f>
        <v>0.71941327903632979</v>
      </c>
      <c r="T59" s="245">
        <v>0.29166666666666702</v>
      </c>
      <c r="U59" s="245">
        <v>0.40069444444444402</v>
      </c>
      <c r="V59" s="55"/>
      <c r="W59" s="54">
        <f t="shared" si="12"/>
        <v>156.99999999999889</v>
      </c>
      <c r="X59" s="55"/>
      <c r="Y59" s="290"/>
      <c r="Z59" s="169"/>
      <c r="AA59" s="169"/>
      <c r="AB59" s="452"/>
      <c r="AC59" s="452"/>
      <c r="AD59" s="135"/>
      <c r="AE59" s="135"/>
      <c r="AF59" s="310">
        <f>N59-K59</f>
        <v>-80.203821656039963</v>
      </c>
      <c r="AG59" s="246">
        <f>N59/K59</f>
        <v>0.95097565913444992</v>
      </c>
      <c r="AH59" s="445">
        <f>AG69</f>
        <v>0.83272554147610889</v>
      </c>
    </row>
    <row r="60" spans="1:34" ht="15" customHeight="1">
      <c r="A60" s="487"/>
      <c r="B60" s="75" t="s">
        <v>125</v>
      </c>
      <c r="C60" s="86"/>
      <c r="D60" s="175" t="s">
        <v>127</v>
      </c>
      <c r="E60" s="87"/>
      <c r="F60" s="75">
        <f>VLOOKUP(D60,廠價表!$C$1:$E$43,3,0)</f>
        <v>28.26</v>
      </c>
      <c r="G60" s="30">
        <v>1335</v>
      </c>
      <c r="H60" s="78">
        <f>F60*G60</f>
        <v>37727.1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16</v>
      </c>
      <c r="N60" s="80">
        <f>G60/W60*60</f>
        <v>1456.363636363614</v>
      </c>
      <c r="O60" s="81">
        <f>N60/M60</f>
        <v>91.022727272725874</v>
      </c>
      <c r="P60" s="74">
        <f>M60-J60</f>
        <v>5</v>
      </c>
      <c r="Q60" s="83">
        <f>O60-L60</f>
        <v>-57.704545454546846</v>
      </c>
      <c r="R60" s="72">
        <f>O60/L60</f>
        <v>0.61201100244497841</v>
      </c>
      <c r="S60" s="490"/>
      <c r="T60" s="22">
        <v>0.40972222222222199</v>
      </c>
      <c r="U60" s="22">
        <v>0.44791666666666702</v>
      </c>
      <c r="V60" s="30">
        <f>(T60-U59)*24*60</f>
        <v>13.000000000000274</v>
      </c>
      <c r="W60" s="248">
        <f t="shared" si="12"/>
        <v>55.000000000000846</v>
      </c>
      <c r="X60" s="232"/>
      <c r="Y60" s="177"/>
      <c r="Z60" s="90"/>
      <c r="AA60" s="90"/>
      <c r="AB60" s="450" t="s">
        <v>195</v>
      </c>
      <c r="AC60" s="450"/>
      <c r="AD60" s="92"/>
      <c r="AE60" s="92"/>
      <c r="AF60" s="316">
        <f>N60-K60</f>
        <v>-179.63636363638602</v>
      </c>
      <c r="AG60" s="249">
        <f>N60/K60</f>
        <v>0.89019782173815032</v>
      </c>
      <c r="AH60" s="481"/>
    </row>
    <row r="61" spans="1:34" ht="15" customHeight="1">
      <c r="A61" s="488"/>
      <c r="B61" s="250" t="s">
        <v>125</v>
      </c>
      <c r="C61" s="251"/>
      <c r="D61" s="252" t="s">
        <v>128</v>
      </c>
      <c r="E61" s="253"/>
      <c r="F61" s="250">
        <f>VLOOKUP(D61,廠價表!$C$1:$E$43,3,0)</f>
        <v>28.26</v>
      </c>
      <c r="G61" s="38">
        <v>627</v>
      </c>
      <c r="H61" s="78">
        <f t="shared" ref="H61:H62" si="22">F61*G61</f>
        <v>17719.02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2" si="23">K61/J61</f>
        <v>148.72727272727272</v>
      </c>
      <c r="M61" s="108">
        <v>11</v>
      </c>
      <c r="N61" s="107">
        <f>G61/W61*60</f>
        <v>1074.8571428571688</v>
      </c>
      <c r="O61" s="238">
        <f>N61/M61</f>
        <v>97.714285714288067</v>
      </c>
      <c r="P61" s="111">
        <f>M61-J61</f>
        <v>0</v>
      </c>
      <c r="Q61" s="255">
        <f>O61-L61</f>
        <v>-51.012987012984652</v>
      </c>
      <c r="R61" s="85">
        <f>O61/L61</f>
        <v>0.65700314355572664</v>
      </c>
      <c r="S61" s="421"/>
      <c r="T61" s="22">
        <v>0.45138888888888901</v>
      </c>
      <c r="U61" s="22">
        <v>0.47569444444444398</v>
      </c>
      <c r="V61" s="30">
        <f>(T61-U60)*24*60</f>
        <v>4.9999999999996625</v>
      </c>
      <c r="W61" s="256">
        <f t="shared" si="12"/>
        <v>34.999999999999154</v>
      </c>
      <c r="X61" s="22"/>
      <c r="Y61" s="84"/>
      <c r="Z61" s="90"/>
      <c r="AA61" s="90"/>
      <c r="AB61" s="450" t="s">
        <v>196</v>
      </c>
      <c r="AC61" s="450"/>
      <c r="AD61" s="92"/>
      <c r="AE61" s="92"/>
      <c r="AF61" s="317">
        <f>N61-K61</f>
        <v>-561.14285714283119</v>
      </c>
      <c r="AG61" s="247">
        <f>N61/K61</f>
        <v>0.65700314355572664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78"/>
      <c r="I62" s="30"/>
      <c r="J62" s="79"/>
      <c r="K62" s="80"/>
      <c r="L62" s="81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>
        <f t="shared" ref="J69:O69" si="24">AVERAGE(J59:J68)</f>
        <v>12.333333333333334</v>
      </c>
      <c r="K69" s="240">
        <f t="shared" si="24"/>
        <v>1636</v>
      </c>
      <c r="L69" s="268">
        <f t="shared" si="24"/>
        <v>135.50707070707071</v>
      </c>
      <c r="M69" s="240">
        <f t="shared" si="24"/>
        <v>14</v>
      </c>
      <c r="N69" s="240">
        <f t="shared" si="24"/>
        <v>1362.3389858549142</v>
      </c>
      <c r="O69" s="268">
        <f t="shared" si="24"/>
        <v>97.485586069981537</v>
      </c>
      <c r="P69" s="269">
        <f>M69-J69</f>
        <v>1.6666666666666661</v>
      </c>
      <c r="Q69" s="222">
        <f>N69-K69</f>
        <v>-273.6610141450858</v>
      </c>
      <c r="R69" s="123">
        <f>O69/L69</f>
        <v>0.71941327903632979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>
        <f>N69-K69</f>
        <v>-273.6610141450858</v>
      </c>
      <c r="AG69" s="124">
        <f>N69/K69</f>
        <v>0.83272554147610889</v>
      </c>
      <c r="AH69" s="448"/>
    </row>
    <row r="70" spans="1:36" ht="15" customHeight="1">
      <c r="A70" s="482" t="s">
        <v>55</v>
      </c>
      <c r="B70" s="129" t="s">
        <v>81</v>
      </c>
      <c r="C70" s="129"/>
      <c r="D70" s="131" t="s">
        <v>131</v>
      </c>
      <c r="E70" s="132"/>
      <c r="F70" s="129">
        <f>VLOOKUP(D70,廠價表!$C$1:$E$43,3,0)</f>
        <v>43.89</v>
      </c>
      <c r="G70" s="55">
        <v>2786</v>
      </c>
      <c r="H70" s="243">
        <f>F70*G70</f>
        <v>122277.54000000001</v>
      </c>
      <c r="I70" s="55"/>
      <c r="J70" s="136">
        <f>VLOOKUP(D70,產線配置圖!$A$3:$C$40,2,0)</f>
        <v>11</v>
      </c>
      <c r="K70" s="137">
        <f>VLOOKUP(D70,產線配置圖!$A$3:$C$40,3,0)</f>
        <v>1565</v>
      </c>
      <c r="L70" s="138">
        <f>K70/J70</f>
        <v>142.27272727272728</v>
      </c>
      <c r="M70" s="244">
        <v>9</v>
      </c>
      <c r="N70" s="137">
        <f>G70/W70*60</f>
        <v>1064.7133757961763</v>
      </c>
      <c r="O70" s="138">
        <f>N70/M70</f>
        <v>118.30148619957514</v>
      </c>
      <c r="P70" s="56">
        <f>M70-J70</f>
        <v>-2</v>
      </c>
      <c r="Q70" s="230">
        <f>O70-L70</f>
        <v>-23.971241073152143</v>
      </c>
      <c r="R70" s="52">
        <f>O70/L70</f>
        <v>0.83151204357528841</v>
      </c>
      <c r="S70" s="420">
        <f>R79</f>
        <v>0.83151204357528841</v>
      </c>
      <c r="T70" s="245">
        <v>0.29861111111111099</v>
      </c>
      <c r="U70" s="245">
        <v>0.40763888888888899</v>
      </c>
      <c r="V70" s="55"/>
      <c r="W70" s="54">
        <f t="shared" si="12"/>
        <v>157.00000000000031</v>
      </c>
      <c r="X70" s="270"/>
      <c r="Y70" s="292"/>
      <c r="Z70" s="169"/>
      <c r="AA70" s="169"/>
      <c r="AB70" s="452"/>
      <c r="AC70" s="452"/>
      <c r="AD70" s="135"/>
      <c r="AE70" s="135"/>
      <c r="AF70" s="310">
        <f>N70-K70</f>
        <v>-500.28662420382375</v>
      </c>
      <c r="AG70" s="246">
        <f>N70/K70</f>
        <v>0.68032803565250877</v>
      </c>
      <c r="AH70" s="445">
        <f>AG79</f>
        <v>0.68032803565250877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>
        <f t="shared" ref="J79:O79" si="25">AVERAGE(J70:J78)</f>
        <v>11</v>
      </c>
      <c r="K79" s="240">
        <f t="shared" si="25"/>
        <v>1565</v>
      </c>
      <c r="L79" s="268">
        <f t="shared" si="25"/>
        <v>142.27272727272728</v>
      </c>
      <c r="M79" s="240">
        <f t="shared" si="25"/>
        <v>9</v>
      </c>
      <c r="N79" s="240">
        <f t="shared" si="25"/>
        <v>1064.7133757961763</v>
      </c>
      <c r="O79" s="268">
        <f t="shared" si="25"/>
        <v>118.30148619957514</v>
      </c>
      <c r="P79" s="269">
        <f>M79-J79</f>
        <v>-2</v>
      </c>
      <c r="Q79" s="222">
        <f>N79-K79</f>
        <v>-500.28662420382375</v>
      </c>
      <c r="R79" s="223">
        <f>O79/L79</f>
        <v>0.83151204357528841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>
        <f>N79-K79</f>
        <v>-500.28662420382375</v>
      </c>
      <c r="AG79" s="124">
        <f>N79/K79</f>
        <v>0.68032803565250877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78" priority="1" operator="greaterThan">
      <formula>0</formula>
    </cfRule>
  </conditionalFormatting>
  <conditionalFormatting sqref="AF5:AF79 Q5:Q79">
    <cfRule type="cellIs" dxfId="277" priority="4" operator="lessThan">
      <formula>0</formula>
    </cfRule>
  </conditionalFormatting>
  <conditionalFormatting sqref="AG5:AG79 R5:R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8E6F-6A51-4AD1-B085-37B0801CB77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46300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VALUE('1005'!L15)</f>
        <v>#N/A</v>
      </c>
      <c r="E13" s="13" t="e">
        <f>VALUE('1005'!L26)</f>
        <v>#N/A</v>
      </c>
      <c r="F13" s="13" t="e">
        <f>VALUE('1005'!L37)</f>
        <v>#N/A</v>
      </c>
      <c r="G13" s="13" t="e">
        <f>VALUE('1005'!L48)</f>
        <v>#N/A</v>
      </c>
      <c r="H13" s="13" t="e">
        <f>VALUE('1005'!L58)</f>
        <v>#N/A</v>
      </c>
      <c r="I13" s="13" t="e">
        <f>VALUE('1005'!L69)</f>
        <v>#N/A</v>
      </c>
      <c r="J13" s="13" t="e">
        <f>'1005'!L79</f>
        <v>#N/A</v>
      </c>
    </row>
    <row r="14" spans="2:15" ht="39.950000000000003" customHeight="1">
      <c r="B14" s="392"/>
      <c r="C14" s="12" t="s">
        <v>100</v>
      </c>
      <c r="D14" s="13">
        <f>VALUE('1005'!O15)</f>
        <v>113.916365108528</v>
      </c>
      <c r="E14" s="13">
        <f>VALUE('1005'!O26)</f>
        <v>132.12003238004002</v>
      </c>
      <c r="F14" s="13">
        <f>VALUE('1005'!O37)</f>
        <v>126.23842229199551</v>
      </c>
      <c r="G14" s="13">
        <f>VALUE('1005'!O48)</f>
        <v>112.05430077169194</v>
      </c>
      <c r="H14" s="13">
        <f>VALUE('1005'!O58)</f>
        <v>102.47461972914017</v>
      </c>
      <c r="I14" s="13">
        <f>VALUE('1005'!O69)</f>
        <v>155.46443341604788</v>
      </c>
      <c r="J14" s="13">
        <f>'1005'!O79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'1005'!S70</f>
        <v>#N/A</v>
      </c>
    </row>
    <row r="16" spans="2:15" ht="17.25" customHeight="1">
      <c r="B16" s="394" t="s">
        <v>101</v>
      </c>
      <c r="C16" s="10" t="s">
        <v>34</v>
      </c>
      <c r="D16" s="16">
        <f>'1005'!T5</f>
        <v>0.29097222222222202</v>
      </c>
      <c r="E16" s="16">
        <f>'1005'!T16</f>
        <v>0.29097222222222202</v>
      </c>
      <c r="F16" s="16">
        <f>'1005'!T27</f>
        <v>0.29166666666666702</v>
      </c>
      <c r="G16" s="16">
        <f>'1005'!T38</f>
        <v>0.33333333333333298</v>
      </c>
      <c r="H16" s="16">
        <f>'1005'!T49</f>
        <v>0.29166666666666702</v>
      </c>
      <c r="I16" s="16">
        <f>'1005'!T59</f>
        <v>0.29166666666666702</v>
      </c>
      <c r="J16" s="17">
        <f>'1005'!T70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'1005'!Z15</f>
        <v>0</v>
      </c>
      <c r="E18" s="360">
        <f>'1005'!Z26</f>
        <v>0</v>
      </c>
      <c r="F18" s="360">
        <f>'1005'!Z37</f>
        <v>0</v>
      </c>
      <c r="G18" s="361">
        <f>'1005'!Z48</f>
        <v>0</v>
      </c>
      <c r="H18" s="361">
        <f>'1005'!Z58</f>
        <v>0</v>
      </c>
      <c r="I18" s="360">
        <f>'1005'!Z69</f>
        <v>0</v>
      </c>
      <c r="J18" s="360">
        <f>'1005'!AA79</f>
        <v>0</v>
      </c>
    </row>
    <row r="19" spans="2:10" ht="17.25" customHeight="1">
      <c r="B19" s="397"/>
      <c r="C19" s="330" t="s">
        <v>37</v>
      </c>
      <c r="D19" s="359">
        <f>'1005'!AA15</f>
        <v>0</v>
      </c>
      <c r="E19" s="360">
        <f>'1005'!AA26</f>
        <v>0</v>
      </c>
      <c r="F19" s="360">
        <f>'1005'!AA37</f>
        <v>0</v>
      </c>
      <c r="G19" s="361">
        <f>'1005'!AA48</f>
        <v>0</v>
      </c>
      <c r="H19" s="361">
        <f>'1005'!AA58</f>
        <v>0</v>
      </c>
      <c r="I19" s="360">
        <f>'1005'!AA69</f>
        <v>0</v>
      </c>
      <c r="J19" s="360">
        <f>'1005'!AB79</f>
        <v>0</v>
      </c>
    </row>
    <row r="20" spans="2:10" ht="17.25" customHeight="1">
      <c r="B20" s="396" t="s">
        <v>103</v>
      </c>
      <c r="C20" s="330" t="s">
        <v>36</v>
      </c>
      <c r="D20" s="359">
        <f>'1005'!AD15</f>
        <v>0</v>
      </c>
      <c r="E20" s="360">
        <f>'1005'!AD26</f>
        <v>0</v>
      </c>
      <c r="F20" s="360">
        <f>'1005'!AD37</f>
        <v>0</v>
      </c>
      <c r="G20" s="361">
        <f>'1005'!AD48</f>
        <v>0</v>
      </c>
      <c r="H20" s="361">
        <f>'1005'!AD58</f>
        <v>0</v>
      </c>
      <c r="I20" s="360">
        <f>'1005'!AD69</f>
        <v>0</v>
      </c>
      <c r="J20" s="360">
        <f>'1005'!AD79</f>
        <v>0</v>
      </c>
    </row>
    <row r="21" spans="2:10" ht="17.25" customHeight="1">
      <c r="B21" s="397"/>
      <c r="C21" s="330" t="s">
        <v>85</v>
      </c>
      <c r="D21" s="359">
        <f>'1005'!AE15</f>
        <v>0</v>
      </c>
      <c r="E21" s="360">
        <f>'1005'!AE26</f>
        <v>0</v>
      </c>
      <c r="F21" s="360">
        <f>'1005'!AE37</f>
        <v>0</v>
      </c>
      <c r="G21" s="361">
        <f>'1005'!AE48</f>
        <v>0</v>
      </c>
      <c r="H21" s="361">
        <f>'1005'!AE58</f>
        <v>0</v>
      </c>
      <c r="I21" s="360">
        <f>'1005'!AE69</f>
        <v>0</v>
      </c>
      <c r="J21" s="360">
        <f>'1005'!AE79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7548-31ED-4BFB-8B00-D71CBA2D1481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137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CA1E-19CC-4BCC-AE25-F948E3078120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46301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VALUE('1006'!L15)</f>
        <v>#N/A</v>
      </c>
      <c r="E13" s="13" t="e">
        <f>VALUE('1006'!L26)</f>
        <v>#N/A</v>
      </c>
      <c r="F13" s="13" t="e">
        <f>VALUE('1006'!L37)</f>
        <v>#N/A</v>
      </c>
      <c r="G13" s="13" t="e">
        <f>VALUE('1006'!L48)</f>
        <v>#N/A</v>
      </c>
      <c r="H13" s="13" t="e">
        <f>VALUE('1006'!L58)</f>
        <v>#N/A</v>
      </c>
      <c r="I13" s="13" t="e">
        <f>VALUE('1006'!L69)</f>
        <v>#N/A</v>
      </c>
      <c r="J13" s="13" t="e">
        <f>'1006'!L79</f>
        <v>#N/A</v>
      </c>
    </row>
    <row r="14" spans="2:15" ht="39.950000000000003" customHeight="1">
      <c r="B14" s="392"/>
      <c r="C14" s="12" t="s">
        <v>100</v>
      </c>
      <c r="D14" s="13">
        <f>VALUE('1006'!O15)</f>
        <v>113.916365108528</v>
      </c>
      <c r="E14" s="13">
        <f>VALUE('1006'!O26)</f>
        <v>132.12003238004002</v>
      </c>
      <c r="F14" s="13">
        <f>VALUE('1006'!O37)</f>
        <v>126.23842229199551</v>
      </c>
      <c r="G14" s="13">
        <f>VALUE('1006'!O48)</f>
        <v>112.05430077169194</v>
      </c>
      <c r="H14" s="13">
        <f>VALUE('1006'!O58)</f>
        <v>102.47461972914017</v>
      </c>
      <c r="I14" s="13">
        <f>VALUE('1006'!O69)</f>
        <v>155.46443341604788</v>
      </c>
      <c r="J14" s="13">
        <f>'1006'!O79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'1006'!S70</f>
        <v>#N/A</v>
      </c>
    </row>
    <row r="16" spans="2:15" ht="17.25" customHeight="1">
      <c r="B16" s="394" t="s">
        <v>101</v>
      </c>
      <c r="C16" s="10" t="s">
        <v>34</v>
      </c>
      <c r="D16" s="16">
        <f>'1006'!T5</f>
        <v>0.29097222222222202</v>
      </c>
      <c r="E16" s="16">
        <f>'1006'!T16</f>
        <v>0.29097222222222202</v>
      </c>
      <c r="F16" s="16">
        <f>'1006'!T27</f>
        <v>0.29166666666666702</v>
      </c>
      <c r="G16" s="16">
        <f>'1006'!T38</f>
        <v>0.33333333333333298</v>
      </c>
      <c r="H16" s="16">
        <f>'1006'!T49</f>
        <v>0.29166666666666702</v>
      </c>
      <c r="I16" s="16">
        <f>'1006'!T59</f>
        <v>0.29166666666666702</v>
      </c>
      <c r="J16" s="17">
        <f>'1006'!T70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'1006'!Z15</f>
        <v>0</v>
      </c>
      <c r="E18" s="360">
        <f>'1006'!Z26</f>
        <v>0</v>
      </c>
      <c r="F18" s="360">
        <f>'1006'!Z37</f>
        <v>0</v>
      </c>
      <c r="G18" s="361">
        <f>'1006'!Z48</f>
        <v>0</v>
      </c>
      <c r="H18" s="361">
        <f>'1006'!Z58</f>
        <v>0</v>
      </c>
      <c r="I18" s="360">
        <f>'1006'!Z69</f>
        <v>0</v>
      </c>
      <c r="J18" s="360">
        <f>'1006'!AA79</f>
        <v>0</v>
      </c>
    </row>
    <row r="19" spans="2:10" ht="17.25" customHeight="1">
      <c r="B19" s="397"/>
      <c r="C19" s="330" t="s">
        <v>37</v>
      </c>
      <c r="D19" s="359">
        <f>'1006'!AA15</f>
        <v>0</v>
      </c>
      <c r="E19" s="360">
        <f>'1006'!AA26</f>
        <v>0</v>
      </c>
      <c r="F19" s="360">
        <f>'1006'!AA37</f>
        <v>0</v>
      </c>
      <c r="G19" s="361">
        <f>'1006'!AA48</f>
        <v>0</v>
      </c>
      <c r="H19" s="361">
        <f>'1006'!AA58</f>
        <v>0</v>
      </c>
      <c r="I19" s="360">
        <f>'1006'!AA69</f>
        <v>0</v>
      </c>
      <c r="J19" s="360">
        <f>'1006'!AB79</f>
        <v>0</v>
      </c>
    </row>
    <row r="20" spans="2:10" ht="17.25" customHeight="1">
      <c r="B20" s="396" t="s">
        <v>103</v>
      </c>
      <c r="C20" s="330" t="s">
        <v>36</v>
      </c>
      <c r="D20" s="359">
        <f>'1006'!AD15</f>
        <v>0</v>
      </c>
      <c r="E20" s="360">
        <f>'1006'!AD26</f>
        <v>0</v>
      </c>
      <c r="F20" s="360">
        <f>'1006'!AD37</f>
        <v>0</v>
      </c>
      <c r="G20" s="361">
        <f>'1006'!AD48</f>
        <v>0</v>
      </c>
      <c r="H20" s="361">
        <f>'1006'!AD58</f>
        <v>0</v>
      </c>
      <c r="I20" s="360">
        <f>'1006'!AD69</f>
        <v>0</v>
      </c>
      <c r="J20" s="360">
        <f>'1006'!AD79</f>
        <v>0</v>
      </c>
    </row>
    <row r="21" spans="2:10" ht="17.25" customHeight="1">
      <c r="B21" s="397"/>
      <c r="C21" s="330" t="s">
        <v>85</v>
      </c>
      <c r="D21" s="359">
        <f>'1006'!AE15</f>
        <v>0</v>
      </c>
      <c r="E21" s="360">
        <f>'1006'!AE26</f>
        <v>0</v>
      </c>
      <c r="F21" s="360">
        <f>'1006'!AE37</f>
        <v>0</v>
      </c>
      <c r="G21" s="361">
        <f>'1006'!AE48</f>
        <v>0</v>
      </c>
      <c r="H21" s="361">
        <f>'1006'!AE58</f>
        <v>0</v>
      </c>
      <c r="I21" s="360">
        <f>'1006'!AE69</f>
        <v>0</v>
      </c>
      <c r="J21" s="360">
        <f>'1006'!AE79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50651-54B1-4B42-B7C1-FB8D259BD41B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138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2AE4-D6D8-4A06-9E59-BC8251E2876A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46302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VALUE('1007'!L15)</f>
        <v>#N/A</v>
      </c>
      <c r="E13" s="13" t="e">
        <f>VALUE('1007'!L26)</f>
        <v>#N/A</v>
      </c>
      <c r="F13" s="13" t="e">
        <f>VALUE('1007'!L37)</f>
        <v>#N/A</v>
      </c>
      <c r="G13" s="13" t="e">
        <f>VALUE('1007'!L48)</f>
        <v>#N/A</v>
      </c>
      <c r="H13" s="13" t="e">
        <f>VALUE('1007'!L58)</f>
        <v>#N/A</v>
      </c>
      <c r="I13" s="13" t="e">
        <f>VALUE('1007'!L69)</f>
        <v>#N/A</v>
      </c>
      <c r="J13" s="13" t="e">
        <f>'1007'!L79</f>
        <v>#N/A</v>
      </c>
    </row>
    <row r="14" spans="2:15" ht="39.950000000000003" customHeight="1">
      <c r="B14" s="392"/>
      <c r="C14" s="12" t="s">
        <v>100</v>
      </c>
      <c r="D14" s="13">
        <f>VALUE('1007'!O15)</f>
        <v>113.916365108528</v>
      </c>
      <c r="E14" s="13">
        <f>VALUE('1007'!O26)</f>
        <v>132.12003238004002</v>
      </c>
      <c r="F14" s="13">
        <f>VALUE('1007'!O37)</f>
        <v>126.23842229199551</v>
      </c>
      <c r="G14" s="13">
        <f>VALUE('1007'!O48)</f>
        <v>112.05430077169194</v>
      </c>
      <c r="H14" s="13">
        <f>VALUE('1007'!O58)</f>
        <v>102.47461972914017</v>
      </c>
      <c r="I14" s="13">
        <f>VALUE('1007'!O69)</f>
        <v>155.46443341604788</v>
      </c>
      <c r="J14" s="13">
        <f>'1007'!O79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'1007'!S70</f>
        <v>#N/A</v>
      </c>
    </row>
    <row r="16" spans="2:15" ht="17.25" customHeight="1">
      <c r="B16" s="394" t="s">
        <v>101</v>
      </c>
      <c r="C16" s="10" t="s">
        <v>34</v>
      </c>
      <c r="D16" s="16">
        <f>'1007'!T5</f>
        <v>0.29097222222222202</v>
      </c>
      <c r="E16" s="16">
        <f>'1007'!T16</f>
        <v>0.29097222222222202</v>
      </c>
      <c r="F16" s="16">
        <f>'1007'!T27</f>
        <v>0.29166666666666702</v>
      </c>
      <c r="G16" s="16">
        <f>'1007'!T38</f>
        <v>0.33333333333333298</v>
      </c>
      <c r="H16" s="16">
        <f>'1007'!T49</f>
        <v>0.29166666666666702</v>
      </c>
      <c r="I16" s="16">
        <f>'1007'!T59</f>
        <v>0.29166666666666702</v>
      </c>
      <c r="J16" s="17">
        <f>'1007'!T70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'1007'!Z15</f>
        <v>0</v>
      </c>
      <c r="E18" s="360">
        <f>'1007'!Z26</f>
        <v>0</v>
      </c>
      <c r="F18" s="360">
        <f>'1007'!Z37</f>
        <v>0</v>
      </c>
      <c r="G18" s="361">
        <f>'1007'!Z48</f>
        <v>0</v>
      </c>
      <c r="H18" s="361">
        <f>'1007'!Z58</f>
        <v>0</v>
      </c>
      <c r="I18" s="360">
        <f>'1007'!Z69</f>
        <v>0</v>
      </c>
      <c r="J18" s="360">
        <f>'1007'!AA79</f>
        <v>0</v>
      </c>
    </row>
    <row r="19" spans="2:10" ht="17.25" customHeight="1">
      <c r="B19" s="397"/>
      <c r="C19" s="330" t="s">
        <v>37</v>
      </c>
      <c r="D19" s="359">
        <f>'1007'!AA15</f>
        <v>0</v>
      </c>
      <c r="E19" s="360">
        <f>'1007'!AA26</f>
        <v>0</v>
      </c>
      <c r="F19" s="360">
        <f>'1007'!AA37</f>
        <v>0</v>
      </c>
      <c r="G19" s="361">
        <f>'1007'!AA48</f>
        <v>0</v>
      </c>
      <c r="H19" s="361">
        <f>'1007'!AA58</f>
        <v>0</v>
      </c>
      <c r="I19" s="360">
        <f>'1007'!AA69</f>
        <v>0</v>
      </c>
      <c r="J19" s="360">
        <f>'1007'!AB79</f>
        <v>0</v>
      </c>
    </row>
    <row r="20" spans="2:10" ht="17.25" customHeight="1">
      <c r="B20" s="396" t="s">
        <v>103</v>
      </c>
      <c r="C20" s="330" t="s">
        <v>36</v>
      </c>
      <c r="D20" s="359">
        <f>'1007'!AD15</f>
        <v>0</v>
      </c>
      <c r="E20" s="360">
        <f>'1007'!AD26</f>
        <v>0</v>
      </c>
      <c r="F20" s="360">
        <f>'1007'!AD37</f>
        <v>0</v>
      </c>
      <c r="G20" s="361">
        <f>'1007'!AD48</f>
        <v>0</v>
      </c>
      <c r="H20" s="361">
        <f>'1007'!AD58</f>
        <v>0</v>
      </c>
      <c r="I20" s="360">
        <f>'1007'!AD69</f>
        <v>0</v>
      </c>
      <c r="J20" s="360">
        <f>'1007'!AD79</f>
        <v>0</v>
      </c>
    </row>
    <row r="21" spans="2:10" ht="17.25" customHeight="1">
      <c r="B21" s="397"/>
      <c r="C21" s="330" t="s">
        <v>85</v>
      </c>
      <c r="D21" s="359">
        <f>'1007'!AE15</f>
        <v>0</v>
      </c>
      <c r="E21" s="360">
        <f>'1007'!AE26</f>
        <v>0</v>
      </c>
      <c r="F21" s="360">
        <f>'1007'!AE37</f>
        <v>0</v>
      </c>
      <c r="G21" s="361">
        <f>'1007'!AE48</f>
        <v>0</v>
      </c>
      <c r="H21" s="361">
        <f>'1007'!AE58</f>
        <v>0</v>
      </c>
      <c r="I21" s="360">
        <f>'1007'!AE69</f>
        <v>0</v>
      </c>
      <c r="J21" s="360">
        <f>'1007'!AE79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4FD9-016C-4A53-95DE-025BE996E3F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139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CA4C-EFBE-47CD-A500-7F4C7D90A07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46303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VALUE('1008'!L15)</f>
        <v>#N/A</v>
      </c>
      <c r="E13" s="13" t="e">
        <f>VALUE('1008'!L26)</f>
        <v>#N/A</v>
      </c>
      <c r="F13" s="13" t="e">
        <f>VALUE('1008'!L37)</f>
        <v>#N/A</v>
      </c>
      <c r="G13" s="13" t="e">
        <f>VALUE('1008'!L48)</f>
        <v>#N/A</v>
      </c>
      <c r="H13" s="13" t="e">
        <f>VALUE('1008'!L58)</f>
        <v>#N/A</v>
      </c>
      <c r="I13" s="13" t="e">
        <f>VALUE('1008'!L69)</f>
        <v>#N/A</v>
      </c>
      <c r="J13" s="13" t="e">
        <f>'1008'!L79</f>
        <v>#N/A</v>
      </c>
    </row>
    <row r="14" spans="2:15" ht="39.950000000000003" customHeight="1">
      <c r="B14" s="392"/>
      <c r="C14" s="12" t="s">
        <v>100</v>
      </c>
      <c r="D14" s="13">
        <f>VALUE('1008'!O15)</f>
        <v>113.916365108528</v>
      </c>
      <c r="E14" s="13">
        <f>VALUE('1008'!O26)</f>
        <v>132.12003238004002</v>
      </c>
      <c r="F14" s="13">
        <f>VALUE('1008'!O37)</f>
        <v>126.23842229199551</v>
      </c>
      <c r="G14" s="13">
        <f>VALUE('1008'!O48)</f>
        <v>112.05430077169194</v>
      </c>
      <c r="H14" s="13">
        <f>VALUE('1008'!O58)</f>
        <v>102.47461972914017</v>
      </c>
      <c r="I14" s="13">
        <f>VALUE('1008'!O69)</f>
        <v>155.46443341604788</v>
      </c>
      <c r="J14" s="13">
        <f>'1008'!O79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'1008'!S70</f>
        <v>#N/A</v>
      </c>
    </row>
    <row r="16" spans="2:15" ht="17.25" customHeight="1">
      <c r="B16" s="394" t="s">
        <v>101</v>
      </c>
      <c r="C16" s="10" t="s">
        <v>34</v>
      </c>
      <c r="D16" s="16">
        <f>'1008'!T5</f>
        <v>0.29097222222222202</v>
      </c>
      <c r="E16" s="16">
        <f>'1008'!T16</f>
        <v>0.29097222222222202</v>
      </c>
      <c r="F16" s="16">
        <f>'1008'!T27</f>
        <v>0.29166666666666702</v>
      </c>
      <c r="G16" s="16">
        <f>'1008'!T38</f>
        <v>0.33333333333333298</v>
      </c>
      <c r="H16" s="16">
        <f>'1008'!T49</f>
        <v>0.29166666666666702</v>
      </c>
      <c r="I16" s="16">
        <f>'1008'!T59</f>
        <v>0.29166666666666702</v>
      </c>
      <c r="J16" s="17">
        <f>'1008'!T70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'1008'!Z15</f>
        <v>0</v>
      </c>
      <c r="E18" s="360">
        <f>'1008'!Z26</f>
        <v>0</v>
      </c>
      <c r="F18" s="360">
        <f>'1008'!Z37</f>
        <v>0</v>
      </c>
      <c r="G18" s="361">
        <f>'1008'!Z48</f>
        <v>0</v>
      </c>
      <c r="H18" s="361">
        <f>'1008'!Z58</f>
        <v>0</v>
      </c>
      <c r="I18" s="360">
        <f>'1008'!Z69</f>
        <v>0</v>
      </c>
      <c r="J18" s="360">
        <f>'1008'!AA79</f>
        <v>0</v>
      </c>
    </row>
    <row r="19" spans="2:10" ht="17.25" customHeight="1">
      <c r="B19" s="397"/>
      <c r="C19" s="330" t="s">
        <v>37</v>
      </c>
      <c r="D19" s="359">
        <f>'1008'!AA15</f>
        <v>0</v>
      </c>
      <c r="E19" s="360">
        <f>'1008'!AA26</f>
        <v>0</v>
      </c>
      <c r="F19" s="360">
        <f>'1008'!AA37</f>
        <v>0</v>
      </c>
      <c r="G19" s="361">
        <f>'1008'!AA48</f>
        <v>0</v>
      </c>
      <c r="H19" s="361">
        <f>'1008'!AA58</f>
        <v>0</v>
      </c>
      <c r="I19" s="360">
        <f>'1008'!AA69</f>
        <v>0</v>
      </c>
      <c r="J19" s="360">
        <f>'1008'!AB79</f>
        <v>0</v>
      </c>
    </row>
    <row r="20" spans="2:10" ht="17.25" customHeight="1">
      <c r="B20" s="396" t="s">
        <v>103</v>
      </c>
      <c r="C20" s="330" t="s">
        <v>36</v>
      </c>
      <c r="D20" s="359">
        <f>'1008'!AD15</f>
        <v>0</v>
      </c>
      <c r="E20" s="360">
        <f>'1008'!AD26</f>
        <v>0</v>
      </c>
      <c r="F20" s="360">
        <f>'1008'!AD37</f>
        <v>0</v>
      </c>
      <c r="G20" s="361">
        <f>'1008'!AD48</f>
        <v>0</v>
      </c>
      <c r="H20" s="361">
        <f>'1008'!AD58</f>
        <v>0</v>
      </c>
      <c r="I20" s="360">
        <f>'1008'!AD69</f>
        <v>0</v>
      </c>
      <c r="J20" s="360">
        <f>'1008'!AD79</f>
        <v>0</v>
      </c>
    </row>
    <row r="21" spans="2:10" ht="17.25" customHeight="1">
      <c r="B21" s="397"/>
      <c r="C21" s="330" t="s">
        <v>85</v>
      </c>
      <c r="D21" s="359">
        <f>'1008'!AE15</f>
        <v>0</v>
      </c>
      <c r="E21" s="360">
        <f>'1008'!AE26</f>
        <v>0</v>
      </c>
      <c r="F21" s="360">
        <f>'1008'!AE37</f>
        <v>0</v>
      </c>
      <c r="G21" s="361">
        <f>'1008'!AE48</f>
        <v>0</v>
      </c>
      <c r="H21" s="361">
        <f>'1008'!AE58</f>
        <v>0</v>
      </c>
      <c r="I21" s="360">
        <f>'1008'!AE69</f>
        <v>0</v>
      </c>
      <c r="J21" s="360">
        <f>'1008'!AE79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D483-1217-4165-B486-79291AD60097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140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0BC5-7711-456B-BF07-0E179B0AF7C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46304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VALUE('1009'!L15)</f>
        <v>#N/A</v>
      </c>
      <c r="E13" s="13" t="e">
        <f>VALUE('1009'!L26)</f>
        <v>#N/A</v>
      </c>
      <c r="F13" s="13" t="e">
        <f>VALUE('1009'!L37)</f>
        <v>#N/A</v>
      </c>
      <c r="G13" s="13" t="e">
        <f>VALUE('1009'!L48)</f>
        <v>#N/A</v>
      </c>
      <c r="H13" s="13" t="e">
        <f>VALUE('1009'!L58)</f>
        <v>#N/A</v>
      </c>
      <c r="I13" s="13" t="e">
        <f>VALUE('1009'!L69)</f>
        <v>#N/A</v>
      </c>
      <c r="J13" s="13" t="e">
        <f>'1009'!L79</f>
        <v>#N/A</v>
      </c>
    </row>
    <row r="14" spans="2:15" ht="39.950000000000003" customHeight="1">
      <c r="B14" s="392"/>
      <c r="C14" s="12" t="s">
        <v>100</v>
      </c>
      <c r="D14" s="13">
        <f>VALUE('1009'!O15)</f>
        <v>113.916365108528</v>
      </c>
      <c r="E14" s="13">
        <f>VALUE('1009'!O26)</f>
        <v>132.12003238004002</v>
      </c>
      <c r="F14" s="13">
        <f>VALUE('1009'!O37)</f>
        <v>126.23842229199551</v>
      </c>
      <c r="G14" s="13">
        <f>VALUE('1009'!O48)</f>
        <v>112.05430077169194</v>
      </c>
      <c r="H14" s="13">
        <f>VALUE('1009'!O58)</f>
        <v>102.47461972914017</v>
      </c>
      <c r="I14" s="13">
        <f>VALUE('1009'!O69)</f>
        <v>155.46443341604788</v>
      </c>
      <c r="J14" s="13">
        <f>'1009'!O79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'1009'!S70</f>
        <v>#N/A</v>
      </c>
    </row>
    <row r="16" spans="2:15" ht="17.25" customHeight="1">
      <c r="B16" s="394" t="s">
        <v>101</v>
      </c>
      <c r="C16" s="10" t="s">
        <v>34</v>
      </c>
      <c r="D16" s="16">
        <f>'1009'!T5</f>
        <v>0.29097222222222202</v>
      </c>
      <c r="E16" s="16">
        <f>'1009'!T16</f>
        <v>0.29097222222222202</v>
      </c>
      <c r="F16" s="16">
        <f>'1009'!T27</f>
        <v>0.29166666666666702</v>
      </c>
      <c r="G16" s="16">
        <f>'1009'!T38</f>
        <v>0.33333333333333298</v>
      </c>
      <c r="H16" s="16">
        <f>'1009'!T49</f>
        <v>0.29166666666666702</v>
      </c>
      <c r="I16" s="16">
        <f>'1009'!T59</f>
        <v>0.29166666666666702</v>
      </c>
      <c r="J16" s="17">
        <f>'1009'!T70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'1009'!Z15</f>
        <v>0</v>
      </c>
      <c r="E18" s="360">
        <f>'1009'!Z26</f>
        <v>0</v>
      </c>
      <c r="F18" s="360">
        <f>'1009'!Z37</f>
        <v>0</v>
      </c>
      <c r="G18" s="361">
        <f>'1009'!Z48</f>
        <v>0</v>
      </c>
      <c r="H18" s="361">
        <f>'1009'!Z58</f>
        <v>0</v>
      </c>
      <c r="I18" s="360">
        <f>'1009'!Z69</f>
        <v>0</v>
      </c>
      <c r="J18" s="360">
        <f>'1009'!AA79</f>
        <v>0</v>
      </c>
    </row>
    <row r="19" spans="2:10" ht="17.25" customHeight="1">
      <c r="B19" s="397"/>
      <c r="C19" s="330" t="s">
        <v>37</v>
      </c>
      <c r="D19" s="359">
        <f>'1009'!AA15</f>
        <v>0</v>
      </c>
      <c r="E19" s="360">
        <f>'1009'!AA26</f>
        <v>0</v>
      </c>
      <c r="F19" s="360">
        <f>'1009'!AA37</f>
        <v>0</v>
      </c>
      <c r="G19" s="361">
        <f>'1009'!AA48</f>
        <v>0</v>
      </c>
      <c r="H19" s="361">
        <f>'1009'!AA58</f>
        <v>0</v>
      </c>
      <c r="I19" s="360">
        <f>'1009'!AA69</f>
        <v>0</v>
      </c>
      <c r="J19" s="360">
        <f>'1009'!AB79</f>
        <v>0</v>
      </c>
    </row>
    <row r="20" spans="2:10" ht="17.25" customHeight="1">
      <c r="B20" s="396" t="s">
        <v>103</v>
      </c>
      <c r="C20" s="330" t="s">
        <v>36</v>
      </c>
      <c r="D20" s="359">
        <f>'1009'!AD15</f>
        <v>0</v>
      </c>
      <c r="E20" s="360">
        <f>'1009'!AD26</f>
        <v>0</v>
      </c>
      <c r="F20" s="360">
        <f>'1009'!AD37</f>
        <v>0</v>
      </c>
      <c r="G20" s="361">
        <f>'1009'!AD48</f>
        <v>0</v>
      </c>
      <c r="H20" s="361">
        <f>'1009'!AD58</f>
        <v>0</v>
      </c>
      <c r="I20" s="360">
        <f>'1009'!AD69</f>
        <v>0</v>
      </c>
      <c r="J20" s="360">
        <f>'1009'!AD79</f>
        <v>0</v>
      </c>
    </row>
    <row r="21" spans="2:10" ht="17.25" customHeight="1">
      <c r="B21" s="397"/>
      <c r="C21" s="330" t="s">
        <v>85</v>
      </c>
      <c r="D21" s="359">
        <f>'1009'!AE15</f>
        <v>0</v>
      </c>
      <c r="E21" s="360">
        <f>'1009'!AE26</f>
        <v>0</v>
      </c>
      <c r="F21" s="360">
        <f>'1009'!AE37</f>
        <v>0</v>
      </c>
      <c r="G21" s="361">
        <f>'1009'!AE48</f>
        <v>0</v>
      </c>
      <c r="H21" s="361">
        <f>'1009'!AE58</f>
        <v>0</v>
      </c>
      <c r="I21" s="360">
        <f>'1009'!AE69</f>
        <v>0</v>
      </c>
      <c r="J21" s="360">
        <f>'1009'!AE79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B6CF-4F93-4E66-A4C8-D13E416D5351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141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4C0E-21E8-4C51-9C19-2A8E35B625F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46305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VALUE('1010'!L15)</f>
        <v>#N/A</v>
      </c>
      <c r="E13" s="13" t="e">
        <f>VALUE('1010'!L26)</f>
        <v>#N/A</v>
      </c>
      <c r="F13" s="13" t="e">
        <f>VALUE('1010'!L37)</f>
        <v>#N/A</v>
      </c>
      <c r="G13" s="13" t="e">
        <f>VALUE('1010'!L48)</f>
        <v>#N/A</v>
      </c>
      <c r="H13" s="13" t="e">
        <f>VALUE('1010'!L58)</f>
        <v>#N/A</v>
      </c>
      <c r="I13" s="13" t="e">
        <f>VALUE('1010'!L69)</f>
        <v>#N/A</v>
      </c>
      <c r="J13" s="13" t="e">
        <f>'1010'!L79</f>
        <v>#N/A</v>
      </c>
    </row>
    <row r="14" spans="2:15" ht="39.950000000000003" customHeight="1">
      <c r="B14" s="392"/>
      <c r="C14" s="12" t="s">
        <v>100</v>
      </c>
      <c r="D14" s="13">
        <f>VALUE('1010'!O15)</f>
        <v>113.916365108528</v>
      </c>
      <c r="E14" s="13">
        <f>VALUE('1010'!O26)</f>
        <v>132.12003238004002</v>
      </c>
      <c r="F14" s="13">
        <f>VALUE('1010'!O37)</f>
        <v>126.23842229199551</v>
      </c>
      <c r="G14" s="13">
        <f>VALUE('1010'!O48)</f>
        <v>112.05430077169194</v>
      </c>
      <c r="H14" s="13">
        <f>VALUE('1010'!O58)</f>
        <v>102.47461972914017</v>
      </c>
      <c r="I14" s="13">
        <f>VALUE('1010'!O69)</f>
        <v>155.46443341604788</v>
      </c>
      <c r="J14" s="13">
        <f>'1010'!O79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'1010'!S70</f>
        <v>#N/A</v>
      </c>
    </row>
    <row r="16" spans="2:15" ht="17.25" customHeight="1">
      <c r="B16" s="394" t="s">
        <v>101</v>
      </c>
      <c r="C16" s="10" t="s">
        <v>34</v>
      </c>
      <c r="D16" s="16">
        <f>'1010'!T5</f>
        <v>0.29097222222222202</v>
      </c>
      <c r="E16" s="16">
        <f>'1010'!T16</f>
        <v>0.29097222222222202</v>
      </c>
      <c r="F16" s="16">
        <f>'1010'!T27</f>
        <v>0.29166666666666702</v>
      </c>
      <c r="G16" s="16">
        <f>'1010'!T38</f>
        <v>0.33333333333333298</v>
      </c>
      <c r="H16" s="16">
        <f>'1010'!T49</f>
        <v>0.29166666666666702</v>
      </c>
      <c r="I16" s="16">
        <f>'1010'!T59</f>
        <v>0.29166666666666702</v>
      </c>
      <c r="J16" s="17">
        <f>'1010'!T70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'1010'!Z15</f>
        <v>0</v>
      </c>
      <c r="E18" s="360">
        <f>'1010'!Z26</f>
        <v>0</v>
      </c>
      <c r="F18" s="360">
        <f>'1010'!Z37</f>
        <v>0</v>
      </c>
      <c r="G18" s="361">
        <f>'1010'!Z48</f>
        <v>0</v>
      </c>
      <c r="H18" s="361">
        <f>'1010'!Z58</f>
        <v>0</v>
      </c>
      <c r="I18" s="360">
        <f>'1010'!Z69</f>
        <v>0</v>
      </c>
      <c r="J18" s="360">
        <f>'1010'!AA79</f>
        <v>0</v>
      </c>
    </row>
    <row r="19" spans="2:10" ht="17.25" customHeight="1">
      <c r="B19" s="397"/>
      <c r="C19" s="330" t="s">
        <v>37</v>
      </c>
      <c r="D19" s="359">
        <f>'1010'!AA15</f>
        <v>0</v>
      </c>
      <c r="E19" s="360">
        <f>'1010'!AA26</f>
        <v>0</v>
      </c>
      <c r="F19" s="360">
        <f>'1010'!AA37</f>
        <v>0</v>
      </c>
      <c r="G19" s="361">
        <f>'1010'!AA48</f>
        <v>0</v>
      </c>
      <c r="H19" s="361">
        <f>'1010'!AA58</f>
        <v>0</v>
      </c>
      <c r="I19" s="360">
        <f>'1010'!AA69</f>
        <v>0</v>
      </c>
      <c r="J19" s="360">
        <f>'1010'!AB79</f>
        <v>0</v>
      </c>
    </row>
    <row r="20" spans="2:10" ht="17.25" customHeight="1">
      <c r="B20" s="396" t="s">
        <v>103</v>
      </c>
      <c r="C20" s="330" t="s">
        <v>36</v>
      </c>
      <c r="D20" s="359">
        <f>'1010'!AD15</f>
        <v>0</v>
      </c>
      <c r="E20" s="360">
        <f>'1010'!AD26</f>
        <v>0</v>
      </c>
      <c r="F20" s="360">
        <f>'1010'!AD37</f>
        <v>0</v>
      </c>
      <c r="G20" s="361">
        <f>'1010'!AD48</f>
        <v>0</v>
      </c>
      <c r="H20" s="361">
        <f>'1010'!AD58</f>
        <v>0</v>
      </c>
      <c r="I20" s="360">
        <f>'1010'!AD69</f>
        <v>0</v>
      </c>
      <c r="J20" s="360">
        <f>'1010'!AD79</f>
        <v>0</v>
      </c>
    </row>
    <row r="21" spans="2:10" ht="17.25" customHeight="1">
      <c r="B21" s="397"/>
      <c r="C21" s="330" t="s">
        <v>85</v>
      </c>
      <c r="D21" s="359">
        <f>'1010'!AE15</f>
        <v>0</v>
      </c>
      <c r="E21" s="360">
        <f>'1010'!AE26</f>
        <v>0</v>
      </c>
      <c r="F21" s="360">
        <f>'1010'!AE37</f>
        <v>0</v>
      </c>
      <c r="G21" s="361">
        <f>'1010'!AE48</f>
        <v>0</v>
      </c>
      <c r="H21" s="361">
        <f>'1010'!AE58</f>
        <v>0</v>
      </c>
      <c r="I21" s="360">
        <f>'1010'!AE69</f>
        <v>0</v>
      </c>
      <c r="J21" s="360">
        <f>'1010'!AE79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E145-68E5-4234-9813-F725F438BCC7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142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4244-57D9-464D-9545-E2DDBB2C084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46306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VALUE('1011'!L15)</f>
        <v>#N/A</v>
      </c>
      <c r="E13" s="13" t="e">
        <f>VALUE('1011'!L26)</f>
        <v>#N/A</v>
      </c>
      <c r="F13" s="13" t="e">
        <f>VALUE('1011'!L37)</f>
        <v>#N/A</v>
      </c>
      <c r="G13" s="13" t="e">
        <f>VALUE('1011'!L48)</f>
        <v>#N/A</v>
      </c>
      <c r="H13" s="13" t="e">
        <f>VALUE('1011'!L58)</f>
        <v>#N/A</v>
      </c>
      <c r="I13" s="13" t="e">
        <f>VALUE('1011'!L69)</f>
        <v>#N/A</v>
      </c>
      <c r="J13" s="13" t="e">
        <f>'1011'!L79</f>
        <v>#N/A</v>
      </c>
    </row>
    <row r="14" spans="2:15" ht="39.950000000000003" customHeight="1">
      <c r="B14" s="392"/>
      <c r="C14" s="12" t="s">
        <v>100</v>
      </c>
      <c r="D14" s="13">
        <f>VALUE('1011'!O15)</f>
        <v>113.916365108528</v>
      </c>
      <c r="E14" s="13">
        <f>VALUE('1011'!O26)</f>
        <v>132.12003238004002</v>
      </c>
      <c r="F14" s="13">
        <f>VALUE('1011'!O37)</f>
        <v>126.23842229199551</v>
      </c>
      <c r="G14" s="13">
        <f>VALUE('1011'!O48)</f>
        <v>112.05430077169194</v>
      </c>
      <c r="H14" s="13">
        <f>VALUE('1011'!O58)</f>
        <v>102.47461972914017</v>
      </c>
      <c r="I14" s="13">
        <f>VALUE('1011'!O69)</f>
        <v>155.46443341604788</v>
      </c>
      <c r="J14" s="13">
        <f>'1011'!O79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'1011'!S70</f>
        <v>#N/A</v>
      </c>
    </row>
    <row r="16" spans="2:15" ht="17.25" customHeight="1">
      <c r="B16" s="394" t="s">
        <v>101</v>
      </c>
      <c r="C16" s="10" t="s">
        <v>34</v>
      </c>
      <c r="D16" s="16">
        <f>'1011'!T5</f>
        <v>0.29097222222222202</v>
      </c>
      <c r="E16" s="16">
        <f>'1011'!T16</f>
        <v>0.29097222222222202</v>
      </c>
      <c r="F16" s="16">
        <f>'1011'!T27</f>
        <v>0.29166666666666702</v>
      </c>
      <c r="G16" s="16">
        <f>'1011'!T38</f>
        <v>0.33333333333333298</v>
      </c>
      <c r="H16" s="16">
        <f>'1011'!T49</f>
        <v>0.29166666666666702</v>
      </c>
      <c r="I16" s="16">
        <f>'1011'!T59</f>
        <v>0.29166666666666702</v>
      </c>
      <c r="J16" s="17">
        <f>'1011'!T70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'1011'!Z15</f>
        <v>0</v>
      </c>
      <c r="E18" s="360">
        <f>'1011'!Z26</f>
        <v>0</v>
      </c>
      <c r="F18" s="360">
        <f>'1011'!Z37</f>
        <v>0</v>
      </c>
      <c r="G18" s="361">
        <f>'1011'!Z48</f>
        <v>0</v>
      </c>
      <c r="H18" s="361">
        <f>'1011'!Z58</f>
        <v>0</v>
      </c>
      <c r="I18" s="360">
        <f>'1011'!Z69</f>
        <v>0</v>
      </c>
      <c r="J18" s="360">
        <f>'1011'!AA79</f>
        <v>0</v>
      </c>
    </row>
    <row r="19" spans="2:10" ht="17.25" customHeight="1">
      <c r="B19" s="397"/>
      <c r="C19" s="330" t="s">
        <v>37</v>
      </c>
      <c r="D19" s="359">
        <f>'1011'!AA15</f>
        <v>0</v>
      </c>
      <c r="E19" s="360">
        <f>'1011'!AA26</f>
        <v>0</v>
      </c>
      <c r="F19" s="360">
        <f>'1011'!AA37</f>
        <v>0</v>
      </c>
      <c r="G19" s="361">
        <f>'1011'!AA48</f>
        <v>0</v>
      </c>
      <c r="H19" s="361">
        <f>'1011'!AA58</f>
        <v>0</v>
      </c>
      <c r="I19" s="360">
        <f>'1011'!AA69</f>
        <v>0</v>
      </c>
      <c r="J19" s="360">
        <f>'1011'!AB79</f>
        <v>0</v>
      </c>
    </row>
    <row r="20" spans="2:10" ht="17.25" customHeight="1">
      <c r="B20" s="396" t="s">
        <v>103</v>
      </c>
      <c r="C20" s="330" t="s">
        <v>36</v>
      </c>
      <c r="D20" s="359">
        <f>'1011'!AD15</f>
        <v>0</v>
      </c>
      <c r="E20" s="360">
        <f>'1011'!AD26</f>
        <v>0</v>
      </c>
      <c r="F20" s="360">
        <f>'1011'!AD37</f>
        <v>0</v>
      </c>
      <c r="G20" s="361">
        <f>'1011'!AD48</f>
        <v>0</v>
      </c>
      <c r="H20" s="361">
        <f>'1011'!AD58</f>
        <v>0</v>
      </c>
      <c r="I20" s="360">
        <f>'1011'!AD69</f>
        <v>0</v>
      </c>
      <c r="J20" s="360">
        <f>'1011'!AD79</f>
        <v>0</v>
      </c>
    </row>
    <row r="21" spans="2:10" ht="17.25" customHeight="1">
      <c r="B21" s="397"/>
      <c r="C21" s="330" t="s">
        <v>85</v>
      </c>
      <c r="D21" s="359">
        <f>'1011'!AE15</f>
        <v>0</v>
      </c>
      <c r="E21" s="360">
        <f>'1011'!AE26</f>
        <v>0</v>
      </c>
      <c r="F21" s="360">
        <f>'1011'!AE37</f>
        <v>0</v>
      </c>
      <c r="G21" s="361">
        <f>'1011'!AE48</f>
        <v>0</v>
      </c>
      <c r="H21" s="361">
        <f>'1011'!AE58</f>
        <v>0</v>
      </c>
      <c r="I21" s="360">
        <f>'1011'!AE69</f>
        <v>0</v>
      </c>
      <c r="J21" s="360">
        <f>'1011'!AE79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3913-AC9D-4255-8346-BEBB90580F4D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143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55F2-62C1-4172-9F02-E8EBCE35373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46307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VALUE('1012'!L15)</f>
        <v>#N/A</v>
      </c>
      <c r="E13" s="13" t="e">
        <f>VALUE('1012'!L26)</f>
        <v>#N/A</v>
      </c>
      <c r="F13" s="13" t="e">
        <f>VALUE('1012'!L37)</f>
        <v>#N/A</v>
      </c>
      <c r="G13" s="13" t="e">
        <f>VALUE('1012'!L48)</f>
        <v>#N/A</v>
      </c>
      <c r="H13" s="13" t="e">
        <f>VALUE('1012'!L58)</f>
        <v>#N/A</v>
      </c>
      <c r="I13" s="13" t="e">
        <f>VALUE('1012'!L69)</f>
        <v>#N/A</v>
      </c>
      <c r="J13" s="13" t="e">
        <f>'1012'!L79</f>
        <v>#N/A</v>
      </c>
    </row>
    <row r="14" spans="2:15" ht="39.950000000000003" customHeight="1">
      <c r="B14" s="392"/>
      <c r="C14" s="12" t="s">
        <v>100</v>
      </c>
      <c r="D14" s="13">
        <f>VALUE('1012'!O15)</f>
        <v>113.916365108528</v>
      </c>
      <c r="E14" s="13">
        <f>VALUE('1012'!O26)</f>
        <v>132.12003238004002</v>
      </c>
      <c r="F14" s="13">
        <f>VALUE('1012'!O37)</f>
        <v>126.23842229199551</v>
      </c>
      <c r="G14" s="13">
        <f>VALUE('1012'!O48)</f>
        <v>112.05430077169194</v>
      </c>
      <c r="H14" s="13">
        <f>VALUE('1012'!O58)</f>
        <v>102.47461972914017</v>
      </c>
      <c r="I14" s="13">
        <f>VALUE('1012'!O69)</f>
        <v>155.46443341604788</v>
      </c>
      <c r="J14" s="13">
        <f>'1012'!O79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'1012'!S70</f>
        <v>#N/A</v>
      </c>
    </row>
    <row r="16" spans="2:15" ht="17.25" customHeight="1">
      <c r="B16" s="394" t="s">
        <v>101</v>
      </c>
      <c r="C16" s="10" t="s">
        <v>34</v>
      </c>
      <c r="D16" s="16">
        <f>'1012'!T5</f>
        <v>0.29097222222222202</v>
      </c>
      <c r="E16" s="16">
        <f>'1012'!T16</f>
        <v>0.29097222222222202</v>
      </c>
      <c r="F16" s="16">
        <f>'1012'!T27</f>
        <v>0.29166666666666702</v>
      </c>
      <c r="G16" s="16">
        <f>'1012'!T38</f>
        <v>0.33333333333333298</v>
      </c>
      <c r="H16" s="16">
        <f>'1012'!T49</f>
        <v>0.29166666666666702</v>
      </c>
      <c r="I16" s="16">
        <f>'1012'!T59</f>
        <v>0.29166666666666702</v>
      </c>
      <c r="J16" s="17">
        <f>'1012'!T70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'1012'!Z15</f>
        <v>0</v>
      </c>
      <c r="E18" s="360">
        <f>'1012'!Z26</f>
        <v>0</v>
      </c>
      <c r="F18" s="360">
        <f>'1012'!Z37</f>
        <v>0</v>
      </c>
      <c r="G18" s="361">
        <f>'1012'!Z48</f>
        <v>0</v>
      </c>
      <c r="H18" s="361">
        <f>'1012'!Z58</f>
        <v>0</v>
      </c>
      <c r="I18" s="360">
        <f>'1012'!Z69</f>
        <v>0</v>
      </c>
      <c r="J18" s="360">
        <f>'1012'!AA79</f>
        <v>0</v>
      </c>
    </row>
    <row r="19" spans="2:10" ht="17.25" customHeight="1">
      <c r="B19" s="397"/>
      <c r="C19" s="330" t="s">
        <v>37</v>
      </c>
      <c r="D19" s="359">
        <f>'1012'!AA15</f>
        <v>0</v>
      </c>
      <c r="E19" s="360">
        <f>'1012'!AA26</f>
        <v>0</v>
      </c>
      <c r="F19" s="360">
        <f>'1012'!AA37</f>
        <v>0</v>
      </c>
      <c r="G19" s="361">
        <f>'1012'!AA48</f>
        <v>0</v>
      </c>
      <c r="H19" s="361">
        <f>'1012'!AA58</f>
        <v>0</v>
      </c>
      <c r="I19" s="360">
        <f>'1012'!AA69</f>
        <v>0</v>
      </c>
      <c r="J19" s="360">
        <f>'1012'!AB79</f>
        <v>0</v>
      </c>
    </row>
    <row r="20" spans="2:10" ht="17.25" customHeight="1">
      <c r="B20" s="396" t="s">
        <v>103</v>
      </c>
      <c r="C20" s="330" t="s">
        <v>36</v>
      </c>
      <c r="D20" s="359">
        <f>'1012'!AD15</f>
        <v>0</v>
      </c>
      <c r="E20" s="360">
        <f>'1012'!AD26</f>
        <v>0</v>
      </c>
      <c r="F20" s="360">
        <f>'1012'!AD37</f>
        <v>0</v>
      </c>
      <c r="G20" s="361">
        <f>'1012'!AD48</f>
        <v>0</v>
      </c>
      <c r="H20" s="361">
        <f>'1012'!AD58</f>
        <v>0</v>
      </c>
      <c r="I20" s="360">
        <f>'1012'!AD69</f>
        <v>0</v>
      </c>
      <c r="J20" s="360">
        <f>'1012'!AD79</f>
        <v>0</v>
      </c>
    </row>
    <row r="21" spans="2:10" ht="17.25" customHeight="1">
      <c r="B21" s="397"/>
      <c r="C21" s="330" t="s">
        <v>85</v>
      </c>
      <c r="D21" s="359">
        <f>'1012'!AE15</f>
        <v>0</v>
      </c>
      <c r="E21" s="360">
        <f>'1012'!AE26</f>
        <v>0</v>
      </c>
      <c r="F21" s="360">
        <f>'1012'!AE37</f>
        <v>0</v>
      </c>
      <c r="G21" s="361">
        <f>'1012'!AE48</f>
        <v>0</v>
      </c>
      <c r="H21" s="361">
        <f>'1012'!AE58</f>
        <v>0</v>
      </c>
      <c r="I21" s="360">
        <f>'1012'!AE69</f>
        <v>0</v>
      </c>
      <c r="J21" s="360">
        <f>'1012'!AE79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2948-E97B-4E9D-9CF7-4E6418CE4E1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144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AC35-713D-4CD3-8D23-076403B3715C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46308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VALUE('1013'!L15)</f>
        <v>#N/A</v>
      </c>
      <c r="E13" s="13" t="e">
        <f>VALUE('1013'!L26)</f>
        <v>#N/A</v>
      </c>
      <c r="F13" s="13" t="e">
        <f>VALUE('1013'!L37)</f>
        <v>#N/A</v>
      </c>
      <c r="G13" s="13" t="e">
        <f>VALUE('1013'!L48)</f>
        <v>#N/A</v>
      </c>
      <c r="H13" s="13" t="e">
        <f>VALUE('1013'!L58)</f>
        <v>#N/A</v>
      </c>
      <c r="I13" s="13" t="e">
        <f>VALUE('1013'!L69)</f>
        <v>#N/A</v>
      </c>
      <c r="J13" s="13" t="e">
        <f>'1013'!L79</f>
        <v>#N/A</v>
      </c>
    </row>
    <row r="14" spans="2:15" ht="39.950000000000003" customHeight="1">
      <c r="B14" s="392"/>
      <c r="C14" s="12" t="s">
        <v>100</v>
      </c>
      <c r="D14" s="13">
        <f>VALUE('1013'!O15)</f>
        <v>113.916365108528</v>
      </c>
      <c r="E14" s="13">
        <f>VALUE('1013'!O26)</f>
        <v>132.12003238004002</v>
      </c>
      <c r="F14" s="13">
        <f>VALUE('1013'!O37)</f>
        <v>126.23842229199551</v>
      </c>
      <c r="G14" s="13">
        <f>VALUE('1013'!O48)</f>
        <v>112.05430077169194</v>
      </c>
      <c r="H14" s="13">
        <f>VALUE('1013'!O58)</f>
        <v>102.47461972914017</v>
      </c>
      <c r="I14" s="13">
        <f>VALUE('1013'!O69)</f>
        <v>155.46443341604788</v>
      </c>
      <c r="J14" s="13">
        <f>'1013'!O79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'1013'!S70</f>
        <v>#N/A</v>
      </c>
    </row>
    <row r="16" spans="2:15" ht="17.25" customHeight="1">
      <c r="B16" s="394" t="s">
        <v>101</v>
      </c>
      <c r="C16" s="10" t="s">
        <v>34</v>
      </c>
      <c r="D16" s="16">
        <f>'1013'!T5</f>
        <v>0.29097222222222202</v>
      </c>
      <c r="E16" s="16">
        <f>'1013'!T16</f>
        <v>0.29097222222222202</v>
      </c>
      <c r="F16" s="16">
        <f>'1013'!T27</f>
        <v>0.29166666666666702</v>
      </c>
      <c r="G16" s="16">
        <f>'1013'!T38</f>
        <v>0.33333333333333298</v>
      </c>
      <c r="H16" s="16">
        <f>'1013'!T49</f>
        <v>0.29166666666666702</v>
      </c>
      <c r="I16" s="16">
        <f>'1013'!T59</f>
        <v>0.29166666666666702</v>
      </c>
      <c r="J16" s="17">
        <f>'1013'!T70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'1013'!Z15</f>
        <v>0</v>
      </c>
      <c r="E18" s="360">
        <f>'1013'!Z26</f>
        <v>0</v>
      </c>
      <c r="F18" s="360">
        <f>'1013'!Z37</f>
        <v>0</v>
      </c>
      <c r="G18" s="361">
        <f>'1013'!Z48</f>
        <v>0</v>
      </c>
      <c r="H18" s="361">
        <f>'1013'!Z58</f>
        <v>0</v>
      </c>
      <c r="I18" s="360">
        <f>'1013'!Z69</f>
        <v>0</v>
      </c>
      <c r="J18" s="360">
        <f>'1013'!AA79</f>
        <v>0</v>
      </c>
    </row>
    <row r="19" spans="2:10" ht="17.25" customHeight="1">
      <c r="B19" s="397"/>
      <c r="C19" s="330" t="s">
        <v>37</v>
      </c>
      <c r="D19" s="359">
        <f>'1013'!AA15</f>
        <v>0</v>
      </c>
      <c r="E19" s="360">
        <f>'1013'!AA26</f>
        <v>0</v>
      </c>
      <c r="F19" s="360">
        <f>'1013'!AA37</f>
        <v>0</v>
      </c>
      <c r="G19" s="361">
        <f>'1013'!AA48</f>
        <v>0</v>
      </c>
      <c r="H19" s="361">
        <f>'1013'!AA58</f>
        <v>0</v>
      </c>
      <c r="I19" s="360">
        <f>'1013'!AA69</f>
        <v>0</v>
      </c>
      <c r="J19" s="360">
        <f>'1013'!AB79</f>
        <v>0</v>
      </c>
    </row>
    <row r="20" spans="2:10" ht="17.25" customHeight="1">
      <c r="B20" s="396" t="s">
        <v>103</v>
      </c>
      <c r="C20" s="330" t="s">
        <v>36</v>
      </c>
      <c r="D20" s="359">
        <f>'1013'!AD15</f>
        <v>0</v>
      </c>
      <c r="E20" s="360">
        <f>'1013'!AD26</f>
        <v>0</v>
      </c>
      <c r="F20" s="360">
        <f>'1013'!AD37</f>
        <v>0</v>
      </c>
      <c r="G20" s="361">
        <f>'1013'!AD48</f>
        <v>0</v>
      </c>
      <c r="H20" s="361">
        <f>'1013'!AD58</f>
        <v>0</v>
      </c>
      <c r="I20" s="360">
        <f>'1013'!AD69</f>
        <v>0</v>
      </c>
      <c r="J20" s="360">
        <f>'1013'!AD79</f>
        <v>0</v>
      </c>
    </row>
    <row r="21" spans="2:10" ht="17.25" customHeight="1">
      <c r="B21" s="397"/>
      <c r="C21" s="330" t="s">
        <v>85</v>
      </c>
      <c r="D21" s="359">
        <f>'1013'!AE15</f>
        <v>0</v>
      </c>
      <c r="E21" s="360">
        <f>'1013'!AE26</f>
        <v>0</v>
      </c>
      <c r="F21" s="360">
        <f>'1013'!AE37</f>
        <v>0</v>
      </c>
      <c r="G21" s="361">
        <f>'1013'!AE48</f>
        <v>0</v>
      </c>
      <c r="H21" s="361">
        <f>'1013'!AE58</f>
        <v>0</v>
      </c>
      <c r="I21" s="360">
        <f>'1013'!AE69</f>
        <v>0</v>
      </c>
      <c r="J21" s="360">
        <f>'1013'!AE79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9F72-F87E-453F-91B0-FABB1F73AFC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145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F766-CFCE-422C-B93F-551390BC089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46309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VALUE('1014'!L15)</f>
        <v>#N/A</v>
      </c>
      <c r="E13" s="13" t="e">
        <f>VALUE('1014'!L26)</f>
        <v>#N/A</v>
      </c>
      <c r="F13" s="13" t="e">
        <f>VALUE('1014'!L37)</f>
        <v>#N/A</v>
      </c>
      <c r="G13" s="13" t="e">
        <f>VALUE('1014'!L48)</f>
        <v>#N/A</v>
      </c>
      <c r="H13" s="13" t="e">
        <f>VALUE('1014'!L58)</f>
        <v>#N/A</v>
      </c>
      <c r="I13" s="13" t="e">
        <f>VALUE('1014'!L69)</f>
        <v>#N/A</v>
      </c>
      <c r="J13" s="13" t="e">
        <f>'1014'!L79</f>
        <v>#N/A</v>
      </c>
    </row>
    <row r="14" spans="2:15" ht="39.950000000000003" customHeight="1">
      <c r="B14" s="392"/>
      <c r="C14" s="12" t="s">
        <v>100</v>
      </c>
      <c r="D14" s="13">
        <f>VALUE('1014'!O15)</f>
        <v>113.916365108528</v>
      </c>
      <c r="E14" s="13">
        <f>VALUE('1014'!O26)</f>
        <v>132.12003238004002</v>
      </c>
      <c r="F14" s="13">
        <f>VALUE('1014'!O37)</f>
        <v>126.23842229199551</v>
      </c>
      <c r="G14" s="13">
        <f>VALUE('1014'!O48)</f>
        <v>112.05430077169194</v>
      </c>
      <c r="H14" s="13">
        <f>VALUE('1014'!O58)</f>
        <v>102.47461972914017</v>
      </c>
      <c r="I14" s="13">
        <f>VALUE('1014'!O69)</f>
        <v>155.46443341604788</v>
      </c>
      <c r="J14" s="13">
        <f>'1014'!O79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'1014'!S70</f>
        <v>#N/A</v>
      </c>
    </row>
    <row r="16" spans="2:15" ht="17.25" customHeight="1">
      <c r="B16" s="394" t="s">
        <v>101</v>
      </c>
      <c r="C16" s="10" t="s">
        <v>34</v>
      </c>
      <c r="D16" s="16">
        <f>'1014'!T5</f>
        <v>0.29097222222222202</v>
      </c>
      <c r="E16" s="16">
        <f>'1014'!T16</f>
        <v>0.29097222222222202</v>
      </c>
      <c r="F16" s="16">
        <f>'1014'!T27</f>
        <v>0.29166666666666702</v>
      </c>
      <c r="G16" s="16">
        <f>'1014'!T38</f>
        <v>0.33333333333333298</v>
      </c>
      <c r="H16" s="16">
        <f>'1014'!T49</f>
        <v>0.29166666666666702</v>
      </c>
      <c r="I16" s="16">
        <f>'1014'!T59</f>
        <v>0.29166666666666702</v>
      </c>
      <c r="J16" s="17">
        <f>'1014'!T70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'1014'!Z15</f>
        <v>0</v>
      </c>
      <c r="E18" s="360">
        <f>'1014'!Z26</f>
        <v>0</v>
      </c>
      <c r="F18" s="360">
        <f>'1014'!Z37</f>
        <v>0</v>
      </c>
      <c r="G18" s="361">
        <f>'1014'!Z48</f>
        <v>0</v>
      </c>
      <c r="H18" s="361">
        <f>'1014'!Z58</f>
        <v>0</v>
      </c>
      <c r="I18" s="360">
        <f>'1014'!Z69</f>
        <v>0</v>
      </c>
      <c r="J18" s="360">
        <f>'1014'!AA79</f>
        <v>0</v>
      </c>
    </row>
    <row r="19" spans="2:10" ht="17.25" customHeight="1">
      <c r="B19" s="397"/>
      <c r="C19" s="330" t="s">
        <v>37</v>
      </c>
      <c r="D19" s="359">
        <f>'1014'!AA15</f>
        <v>0</v>
      </c>
      <c r="E19" s="360">
        <f>'1014'!AA26</f>
        <v>0</v>
      </c>
      <c r="F19" s="360">
        <f>'1014'!AA37</f>
        <v>0</v>
      </c>
      <c r="G19" s="361">
        <f>'1014'!AA48</f>
        <v>0</v>
      </c>
      <c r="H19" s="361">
        <f>'1014'!AA58</f>
        <v>0</v>
      </c>
      <c r="I19" s="360">
        <f>'1014'!AA69</f>
        <v>0</v>
      </c>
      <c r="J19" s="360">
        <f>'1014'!AB79</f>
        <v>0</v>
      </c>
    </row>
    <row r="20" spans="2:10" ht="17.25" customHeight="1">
      <c r="B20" s="396" t="s">
        <v>103</v>
      </c>
      <c r="C20" s="330" t="s">
        <v>36</v>
      </c>
      <c r="D20" s="359">
        <f>'1014'!AD15</f>
        <v>0</v>
      </c>
      <c r="E20" s="360">
        <f>'1014'!AD26</f>
        <v>0</v>
      </c>
      <c r="F20" s="360">
        <f>'1014'!AD37</f>
        <v>0</v>
      </c>
      <c r="G20" s="361">
        <f>'1014'!AD48</f>
        <v>0</v>
      </c>
      <c r="H20" s="361">
        <f>'1014'!AD58</f>
        <v>0</v>
      </c>
      <c r="I20" s="360">
        <f>'1014'!AD69</f>
        <v>0</v>
      </c>
      <c r="J20" s="360">
        <f>'1014'!AD79</f>
        <v>0</v>
      </c>
    </row>
    <row r="21" spans="2:10" ht="17.25" customHeight="1">
      <c r="B21" s="397"/>
      <c r="C21" s="330" t="s">
        <v>85</v>
      </c>
      <c r="D21" s="359">
        <f>'1014'!AE15</f>
        <v>0</v>
      </c>
      <c r="E21" s="360">
        <f>'1014'!AE26</f>
        <v>0</v>
      </c>
      <c r="F21" s="360">
        <f>'1014'!AE37</f>
        <v>0</v>
      </c>
      <c r="G21" s="361">
        <f>'1014'!AE48</f>
        <v>0</v>
      </c>
      <c r="H21" s="361">
        <f>'1014'!AE58</f>
        <v>0</v>
      </c>
      <c r="I21" s="360">
        <f>'1014'!AE69</f>
        <v>0</v>
      </c>
      <c r="J21" s="360">
        <f>'1014'!AE79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ADC3-7343-4B1F-B46F-527DFD0E731C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146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E243-C99A-43EB-AE30-47849EF4E1B4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46310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VALUE('1015'!L15)</f>
        <v>#N/A</v>
      </c>
      <c r="E13" s="13" t="e">
        <f>VALUE('1015'!L26)</f>
        <v>#N/A</v>
      </c>
      <c r="F13" s="13" t="e">
        <f>VALUE('1015'!L37)</f>
        <v>#N/A</v>
      </c>
      <c r="G13" s="13" t="e">
        <f>VALUE('1015'!L48)</f>
        <v>#N/A</v>
      </c>
      <c r="H13" s="13" t="e">
        <f>VALUE('1015'!L58)</f>
        <v>#N/A</v>
      </c>
      <c r="I13" s="13" t="e">
        <f>VALUE('1015'!L69)</f>
        <v>#N/A</v>
      </c>
      <c r="J13" s="13" t="e">
        <f>'1015'!L79</f>
        <v>#N/A</v>
      </c>
    </row>
    <row r="14" spans="2:15" ht="39.950000000000003" customHeight="1">
      <c r="B14" s="392"/>
      <c r="C14" s="12" t="s">
        <v>100</v>
      </c>
      <c r="D14" s="13">
        <f>VALUE('1015'!O15)</f>
        <v>113.916365108528</v>
      </c>
      <c r="E14" s="13">
        <f>VALUE('1015'!O26)</f>
        <v>132.12003238004002</v>
      </c>
      <c r="F14" s="13">
        <f>VALUE('1015'!O37)</f>
        <v>126.23842229199551</v>
      </c>
      <c r="G14" s="13">
        <f>VALUE('1015'!O48)</f>
        <v>112.05430077169194</v>
      </c>
      <c r="H14" s="13">
        <f>VALUE('1015'!O58)</f>
        <v>102.47461972914017</v>
      </c>
      <c r="I14" s="13">
        <f>VALUE('1015'!O69)</f>
        <v>155.46443341604788</v>
      </c>
      <c r="J14" s="13">
        <f>'1015'!O79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'1015'!S70</f>
        <v>#N/A</v>
      </c>
    </row>
    <row r="16" spans="2:15" ht="17.25" customHeight="1">
      <c r="B16" s="394" t="s">
        <v>101</v>
      </c>
      <c r="C16" s="10" t="s">
        <v>34</v>
      </c>
      <c r="D16" s="16">
        <f>'1015'!T5</f>
        <v>0.29097222222222202</v>
      </c>
      <c r="E16" s="16">
        <f>'1015'!T16</f>
        <v>0.29097222222222202</v>
      </c>
      <c r="F16" s="16">
        <f>'1015'!T27</f>
        <v>0.29166666666666702</v>
      </c>
      <c r="G16" s="16">
        <f>'1015'!T38</f>
        <v>0.33333333333333298</v>
      </c>
      <c r="H16" s="16">
        <f>'1015'!T49</f>
        <v>0.29166666666666702</v>
      </c>
      <c r="I16" s="16">
        <f>'1015'!T59</f>
        <v>0.29166666666666702</v>
      </c>
      <c r="J16" s="17">
        <f>'1015'!T70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'1015'!Z15</f>
        <v>0</v>
      </c>
      <c r="E18" s="360">
        <f>'1015'!Z26</f>
        <v>0</v>
      </c>
      <c r="F18" s="360">
        <f>'1015'!Z37</f>
        <v>0</v>
      </c>
      <c r="G18" s="361">
        <f>'1015'!Z48</f>
        <v>0</v>
      </c>
      <c r="H18" s="361">
        <f>'1015'!Z58</f>
        <v>0</v>
      </c>
      <c r="I18" s="360">
        <f>'1015'!Z69</f>
        <v>0</v>
      </c>
      <c r="J18" s="360">
        <f>'1015'!AA79</f>
        <v>0</v>
      </c>
    </row>
    <row r="19" spans="2:10" ht="17.25" customHeight="1">
      <c r="B19" s="397"/>
      <c r="C19" s="330" t="s">
        <v>37</v>
      </c>
      <c r="D19" s="359">
        <f>'1015'!AA15</f>
        <v>0</v>
      </c>
      <c r="E19" s="360">
        <f>'1015'!AA26</f>
        <v>0</v>
      </c>
      <c r="F19" s="360">
        <f>'1015'!AA37</f>
        <v>0</v>
      </c>
      <c r="G19" s="361">
        <f>'1015'!AA48</f>
        <v>0</v>
      </c>
      <c r="H19" s="361">
        <f>'1015'!AA58</f>
        <v>0</v>
      </c>
      <c r="I19" s="360">
        <f>'1015'!AA69</f>
        <v>0</v>
      </c>
      <c r="J19" s="360">
        <f>'1015'!AB79</f>
        <v>0</v>
      </c>
    </row>
    <row r="20" spans="2:10" ht="17.25" customHeight="1">
      <c r="B20" s="396" t="s">
        <v>103</v>
      </c>
      <c r="C20" s="330" t="s">
        <v>36</v>
      </c>
      <c r="D20" s="359">
        <f>'1015'!AD15</f>
        <v>0</v>
      </c>
      <c r="E20" s="360">
        <f>'1015'!AD26</f>
        <v>0</v>
      </c>
      <c r="F20" s="360">
        <f>'1015'!AD37</f>
        <v>0</v>
      </c>
      <c r="G20" s="361">
        <f>'1015'!AD48</f>
        <v>0</v>
      </c>
      <c r="H20" s="361">
        <f>'1015'!AD58</f>
        <v>0</v>
      </c>
      <c r="I20" s="360">
        <f>'1015'!AD69</f>
        <v>0</v>
      </c>
      <c r="J20" s="360">
        <f>'1015'!AD79</f>
        <v>0</v>
      </c>
    </row>
    <row r="21" spans="2:10" ht="17.25" customHeight="1">
      <c r="B21" s="397"/>
      <c r="C21" s="330" t="s">
        <v>85</v>
      </c>
      <c r="D21" s="359">
        <f>'1015'!AE15</f>
        <v>0</v>
      </c>
      <c r="E21" s="360">
        <f>'1015'!AE26</f>
        <v>0</v>
      </c>
      <c r="F21" s="360">
        <f>'1015'!AE37</f>
        <v>0</v>
      </c>
      <c r="G21" s="361">
        <f>'1015'!AE48</f>
        <v>0</v>
      </c>
      <c r="H21" s="361">
        <f>'1015'!AE58</f>
        <v>0</v>
      </c>
      <c r="I21" s="360">
        <f>'1015'!AE69</f>
        <v>0</v>
      </c>
      <c r="J21" s="360">
        <f>'1015'!AE79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7099-78F1-44DA-B44C-588EC0D6E72A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147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989A-221C-4D3C-8834-E9416ABBAC55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46311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VALUE('1016'!L15)</f>
        <v>#N/A</v>
      </c>
      <c r="E13" s="13" t="e">
        <f>VALUE('1016'!L26)</f>
        <v>#N/A</v>
      </c>
      <c r="F13" s="13" t="e">
        <f>VALUE('1016'!L37)</f>
        <v>#N/A</v>
      </c>
      <c r="G13" s="13" t="e">
        <f>VALUE('1016'!L48)</f>
        <v>#N/A</v>
      </c>
      <c r="H13" s="13" t="e">
        <f>VALUE('1016'!L58)</f>
        <v>#N/A</v>
      </c>
      <c r="I13" s="13" t="e">
        <f>VALUE('1016'!L69)</f>
        <v>#N/A</v>
      </c>
      <c r="J13" s="13" t="e">
        <f>'1016'!L79</f>
        <v>#N/A</v>
      </c>
    </row>
    <row r="14" spans="2:15" ht="39.950000000000003" customHeight="1">
      <c r="B14" s="392"/>
      <c r="C14" s="12" t="s">
        <v>100</v>
      </c>
      <c r="D14" s="13">
        <f>VALUE('1016'!O15)</f>
        <v>113.916365108528</v>
      </c>
      <c r="E14" s="13">
        <f>VALUE('1016'!O26)</f>
        <v>132.12003238004002</v>
      </c>
      <c r="F14" s="13">
        <f>VALUE('1016'!O37)</f>
        <v>126.23842229199551</v>
      </c>
      <c r="G14" s="13">
        <f>VALUE('1016'!O48)</f>
        <v>112.05430077169194</v>
      </c>
      <c r="H14" s="13">
        <f>VALUE('1016'!O58)</f>
        <v>102.47461972914017</v>
      </c>
      <c r="I14" s="13">
        <f>VALUE('1016'!O69)</f>
        <v>155.46443341604788</v>
      </c>
      <c r="J14" s="13">
        <f>'1016'!O79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'1016'!S70</f>
        <v>#N/A</v>
      </c>
    </row>
    <row r="16" spans="2:15" ht="17.25" customHeight="1">
      <c r="B16" s="394" t="s">
        <v>101</v>
      </c>
      <c r="C16" s="10" t="s">
        <v>34</v>
      </c>
      <c r="D16" s="16">
        <f>'1016'!T5</f>
        <v>0.29097222222222202</v>
      </c>
      <c r="E16" s="16">
        <f>'1016'!T16</f>
        <v>0.29097222222222202</v>
      </c>
      <c r="F16" s="16">
        <f>'1016'!T27</f>
        <v>0.29166666666666702</v>
      </c>
      <c r="G16" s="16">
        <f>'1016'!T38</f>
        <v>0.33333333333333298</v>
      </c>
      <c r="H16" s="16">
        <f>'1016'!T49</f>
        <v>0.29166666666666702</v>
      </c>
      <c r="I16" s="16">
        <f>'1016'!T59</f>
        <v>0.29166666666666702</v>
      </c>
      <c r="J16" s="17">
        <f>'1016'!T70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'1016'!Z15</f>
        <v>0</v>
      </c>
      <c r="E18" s="360">
        <f>'1016'!Z26</f>
        <v>0</v>
      </c>
      <c r="F18" s="360">
        <f>'1016'!Z37</f>
        <v>0</v>
      </c>
      <c r="G18" s="361">
        <f>'1016'!Z48</f>
        <v>0</v>
      </c>
      <c r="H18" s="361">
        <f>'1016'!Z58</f>
        <v>0</v>
      </c>
      <c r="I18" s="360">
        <f>'1016'!Z69</f>
        <v>0</v>
      </c>
      <c r="J18" s="360">
        <f>'1016'!AA79</f>
        <v>0</v>
      </c>
    </row>
    <row r="19" spans="2:10" ht="17.25" customHeight="1">
      <c r="B19" s="397"/>
      <c r="C19" s="330" t="s">
        <v>37</v>
      </c>
      <c r="D19" s="359">
        <f>'1016'!AA15</f>
        <v>0</v>
      </c>
      <c r="E19" s="360">
        <f>'1016'!AA26</f>
        <v>0</v>
      </c>
      <c r="F19" s="360">
        <f>'1016'!AA37</f>
        <v>0</v>
      </c>
      <c r="G19" s="361">
        <f>'1016'!AA48</f>
        <v>0</v>
      </c>
      <c r="H19" s="361">
        <f>'1016'!AA58</f>
        <v>0</v>
      </c>
      <c r="I19" s="360">
        <f>'1016'!AA69</f>
        <v>0</v>
      </c>
      <c r="J19" s="360">
        <f>'1016'!AB79</f>
        <v>0</v>
      </c>
    </row>
    <row r="20" spans="2:10" ht="17.25" customHeight="1">
      <c r="B20" s="396" t="s">
        <v>103</v>
      </c>
      <c r="C20" s="330" t="s">
        <v>36</v>
      </c>
      <c r="D20" s="359">
        <f>'1016'!AD15</f>
        <v>0</v>
      </c>
      <c r="E20" s="360">
        <f>'1016'!AD26</f>
        <v>0</v>
      </c>
      <c r="F20" s="360">
        <f>'1016'!AD37</f>
        <v>0</v>
      </c>
      <c r="G20" s="361">
        <f>'1016'!AD48</f>
        <v>0</v>
      </c>
      <c r="H20" s="361">
        <f>'1016'!AD58</f>
        <v>0</v>
      </c>
      <c r="I20" s="360">
        <f>'1016'!AD69</f>
        <v>0</v>
      </c>
      <c r="J20" s="360">
        <f>'1016'!AD79</f>
        <v>0</v>
      </c>
    </row>
    <row r="21" spans="2:10" ht="17.25" customHeight="1">
      <c r="B21" s="397"/>
      <c r="C21" s="330" t="s">
        <v>85</v>
      </c>
      <c r="D21" s="359">
        <f>'1016'!AE15</f>
        <v>0</v>
      </c>
      <c r="E21" s="360">
        <f>'1016'!AE26</f>
        <v>0</v>
      </c>
      <c r="F21" s="360">
        <f>'1016'!AE37</f>
        <v>0</v>
      </c>
      <c r="G21" s="361">
        <f>'1016'!AE48</f>
        <v>0</v>
      </c>
      <c r="H21" s="361">
        <f>'1016'!AE58</f>
        <v>0</v>
      </c>
      <c r="I21" s="360">
        <f>'1016'!AE69</f>
        <v>0</v>
      </c>
      <c r="J21" s="360">
        <f>'1016'!AE79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2627-79D6-4B47-91A2-78D8C4A697FA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148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E796-7419-41A1-AF6B-73E810CCB596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46312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VALUE('1017'!L15)</f>
        <v>#N/A</v>
      </c>
      <c r="E13" s="13" t="e">
        <f>VALUE('1017'!L26)</f>
        <v>#N/A</v>
      </c>
      <c r="F13" s="13" t="e">
        <f>VALUE('1017'!L37)</f>
        <v>#N/A</v>
      </c>
      <c r="G13" s="13" t="e">
        <f>VALUE('1017'!L48)</f>
        <v>#N/A</v>
      </c>
      <c r="H13" s="13" t="e">
        <f>VALUE('1017'!L58)</f>
        <v>#N/A</v>
      </c>
      <c r="I13" s="13" t="e">
        <f>VALUE('1017'!L69)</f>
        <v>#N/A</v>
      </c>
      <c r="J13" s="13" t="e">
        <f>'1017'!L79</f>
        <v>#N/A</v>
      </c>
    </row>
    <row r="14" spans="2:15" ht="39.950000000000003" customHeight="1">
      <c r="B14" s="392"/>
      <c r="C14" s="12" t="s">
        <v>100</v>
      </c>
      <c r="D14" s="13">
        <f>VALUE('1017'!O15)</f>
        <v>113.916365108528</v>
      </c>
      <c r="E14" s="13">
        <f>VALUE('1017'!O26)</f>
        <v>132.12003238004002</v>
      </c>
      <c r="F14" s="13">
        <f>VALUE('1017'!O37)</f>
        <v>126.23842229199551</v>
      </c>
      <c r="G14" s="13">
        <f>VALUE('1017'!O48)</f>
        <v>112.05430077169194</v>
      </c>
      <c r="H14" s="13">
        <f>VALUE('1017'!O58)</f>
        <v>102.47461972914017</v>
      </c>
      <c r="I14" s="13">
        <f>VALUE('1017'!O69)</f>
        <v>155.46443341604788</v>
      </c>
      <c r="J14" s="13">
        <f>'1017'!O79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'1017'!S70</f>
        <v>#N/A</v>
      </c>
    </row>
    <row r="16" spans="2:15" ht="17.25" customHeight="1">
      <c r="B16" s="394" t="s">
        <v>101</v>
      </c>
      <c r="C16" s="10" t="s">
        <v>34</v>
      </c>
      <c r="D16" s="16">
        <f>'1017'!T5</f>
        <v>0.29097222222222202</v>
      </c>
      <c r="E16" s="16">
        <f>'1017'!T16</f>
        <v>0.29097222222222202</v>
      </c>
      <c r="F16" s="16">
        <f>'1017'!T27</f>
        <v>0.29166666666666702</v>
      </c>
      <c r="G16" s="16">
        <f>'1017'!T38</f>
        <v>0.33333333333333298</v>
      </c>
      <c r="H16" s="16">
        <f>'1017'!T49</f>
        <v>0.29166666666666702</v>
      </c>
      <c r="I16" s="16">
        <f>'1017'!T59</f>
        <v>0.29166666666666702</v>
      </c>
      <c r="J16" s="17">
        <f>'1017'!T70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'1017'!Z15</f>
        <v>0</v>
      </c>
      <c r="E18" s="360">
        <f>'1017'!Z26</f>
        <v>0</v>
      </c>
      <c r="F18" s="360">
        <f>'1017'!Z37</f>
        <v>0</v>
      </c>
      <c r="G18" s="361">
        <f>'1017'!Z48</f>
        <v>0</v>
      </c>
      <c r="H18" s="361">
        <f>'1017'!Z58</f>
        <v>0</v>
      </c>
      <c r="I18" s="360">
        <f>'1017'!Z69</f>
        <v>0</v>
      </c>
      <c r="J18" s="360">
        <f>'1017'!AA79</f>
        <v>0</v>
      </c>
    </row>
    <row r="19" spans="2:10" ht="17.25" customHeight="1">
      <c r="B19" s="397"/>
      <c r="C19" s="330" t="s">
        <v>37</v>
      </c>
      <c r="D19" s="359">
        <f>'1017'!AA15</f>
        <v>0</v>
      </c>
      <c r="E19" s="360">
        <f>'1017'!AA26</f>
        <v>0</v>
      </c>
      <c r="F19" s="360">
        <f>'1017'!AA37</f>
        <v>0</v>
      </c>
      <c r="G19" s="361">
        <f>'1017'!AA48</f>
        <v>0</v>
      </c>
      <c r="H19" s="361">
        <f>'1017'!AA58</f>
        <v>0</v>
      </c>
      <c r="I19" s="360">
        <f>'1017'!AA69</f>
        <v>0</v>
      </c>
      <c r="J19" s="360">
        <f>'1017'!AB79</f>
        <v>0</v>
      </c>
    </row>
    <row r="20" spans="2:10" ht="17.25" customHeight="1">
      <c r="B20" s="396" t="s">
        <v>103</v>
      </c>
      <c r="C20" s="330" t="s">
        <v>36</v>
      </c>
      <c r="D20" s="359">
        <f>'1017'!AD15</f>
        <v>0</v>
      </c>
      <c r="E20" s="360">
        <f>'1017'!AD26</f>
        <v>0</v>
      </c>
      <c r="F20" s="360">
        <f>'1017'!AD37</f>
        <v>0</v>
      </c>
      <c r="G20" s="361">
        <f>'1017'!AD48</f>
        <v>0</v>
      </c>
      <c r="H20" s="361">
        <f>'1017'!AD58</f>
        <v>0</v>
      </c>
      <c r="I20" s="360">
        <f>'1017'!AD69</f>
        <v>0</v>
      </c>
      <c r="J20" s="360">
        <f>'1017'!AD79</f>
        <v>0</v>
      </c>
    </row>
    <row r="21" spans="2:10" ht="17.25" customHeight="1">
      <c r="B21" s="397"/>
      <c r="C21" s="330" t="s">
        <v>85</v>
      </c>
      <c r="D21" s="359">
        <f>'1017'!AE15</f>
        <v>0</v>
      </c>
      <c r="E21" s="360">
        <f>'1017'!AE26</f>
        <v>0</v>
      </c>
      <c r="F21" s="360">
        <f>'1017'!AE37</f>
        <v>0</v>
      </c>
      <c r="G21" s="361">
        <f>'1017'!AE48</f>
        <v>0</v>
      </c>
      <c r="H21" s="361">
        <f>'1017'!AE58</f>
        <v>0</v>
      </c>
      <c r="I21" s="360">
        <f>'1017'!AE69</f>
        <v>0</v>
      </c>
      <c r="J21" s="360">
        <f>'1017'!AE79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6D93-F057-4C67-93D1-B44BE517A453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149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F44C-3F78-4B73-8212-F41BFC110662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46313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VALUE('1018'!L15)</f>
        <v>#N/A</v>
      </c>
      <c r="E13" s="13" t="e">
        <f>VALUE('1018'!L26)</f>
        <v>#N/A</v>
      </c>
      <c r="F13" s="13" t="e">
        <f>VALUE('1018'!L37)</f>
        <v>#N/A</v>
      </c>
      <c r="G13" s="13" t="e">
        <f>VALUE('1018'!L48)</f>
        <v>#N/A</v>
      </c>
      <c r="H13" s="13" t="e">
        <f>VALUE('1018'!L58)</f>
        <v>#N/A</v>
      </c>
      <c r="I13" s="13" t="e">
        <f>VALUE('1018'!L69)</f>
        <v>#N/A</v>
      </c>
      <c r="J13" s="13" t="e">
        <f>'1018'!L79</f>
        <v>#N/A</v>
      </c>
    </row>
    <row r="14" spans="2:15" ht="39.950000000000003" customHeight="1">
      <c r="B14" s="392"/>
      <c r="C14" s="12" t="s">
        <v>100</v>
      </c>
      <c r="D14" s="13">
        <f>VALUE('1018'!O15)</f>
        <v>113.916365108528</v>
      </c>
      <c r="E14" s="13">
        <f>VALUE('1018'!O26)</f>
        <v>132.12003238004002</v>
      </c>
      <c r="F14" s="13">
        <f>VALUE('1018'!O37)</f>
        <v>126.23842229199551</v>
      </c>
      <c r="G14" s="13">
        <f>VALUE('1018'!O48)</f>
        <v>112.05430077169194</v>
      </c>
      <c r="H14" s="13">
        <f>VALUE('1018'!O58)</f>
        <v>102.47461972914017</v>
      </c>
      <c r="I14" s="13">
        <f>VALUE('1018'!O69)</f>
        <v>155.46443341604788</v>
      </c>
      <c r="J14" s="13">
        <f>'1018'!O79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'1018'!S70</f>
        <v>#N/A</v>
      </c>
    </row>
    <row r="16" spans="2:15" ht="17.25" customHeight="1">
      <c r="B16" s="394" t="s">
        <v>101</v>
      </c>
      <c r="C16" s="10" t="s">
        <v>34</v>
      </c>
      <c r="D16" s="16">
        <f>'1018'!T5</f>
        <v>0.29097222222222202</v>
      </c>
      <c r="E16" s="16">
        <f>'1018'!T16</f>
        <v>0.29097222222222202</v>
      </c>
      <c r="F16" s="16">
        <f>'1018'!T27</f>
        <v>0.29166666666666702</v>
      </c>
      <c r="G16" s="16">
        <f>'1018'!T38</f>
        <v>0.33333333333333298</v>
      </c>
      <c r="H16" s="16">
        <f>'1018'!T49</f>
        <v>0.29166666666666702</v>
      </c>
      <c r="I16" s="16">
        <f>'1018'!T59</f>
        <v>0.29166666666666702</v>
      </c>
      <c r="J16" s="17">
        <f>'1018'!T70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'1018'!Z15</f>
        <v>0</v>
      </c>
      <c r="E18" s="360">
        <f>'1018'!Z26</f>
        <v>0</v>
      </c>
      <c r="F18" s="360">
        <f>'1018'!Z37</f>
        <v>0</v>
      </c>
      <c r="G18" s="361">
        <f>'1018'!Z48</f>
        <v>0</v>
      </c>
      <c r="H18" s="361">
        <f>'1018'!Z58</f>
        <v>0</v>
      </c>
      <c r="I18" s="360">
        <f>'1018'!Z69</f>
        <v>0</v>
      </c>
      <c r="J18" s="360">
        <f>'1018'!AA79</f>
        <v>0</v>
      </c>
    </row>
    <row r="19" spans="2:10" ht="17.25" customHeight="1">
      <c r="B19" s="397"/>
      <c r="C19" s="330" t="s">
        <v>37</v>
      </c>
      <c r="D19" s="359">
        <f>'1018'!AA15</f>
        <v>0</v>
      </c>
      <c r="E19" s="360">
        <f>'1018'!AA26</f>
        <v>0</v>
      </c>
      <c r="F19" s="360">
        <f>'1018'!AA37</f>
        <v>0</v>
      </c>
      <c r="G19" s="361">
        <f>'1018'!AA48</f>
        <v>0</v>
      </c>
      <c r="H19" s="361">
        <f>'1018'!AA58</f>
        <v>0</v>
      </c>
      <c r="I19" s="360">
        <f>'1018'!AA69</f>
        <v>0</v>
      </c>
      <c r="J19" s="360">
        <f>'1018'!AB79</f>
        <v>0</v>
      </c>
    </row>
    <row r="20" spans="2:10" ht="17.25" customHeight="1">
      <c r="B20" s="396" t="s">
        <v>103</v>
      </c>
      <c r="C20" s="330" t="s">
        <v>36</v>
      </c>
      <c r="D20" s="359">
        <f>'1018'!AD15</f>
        <v>0</v>
      </c>
      <c r="E20" s="360">
        <f>'1018'!AD26</f>
        <v>0</v>
      </c>
      <c r="F20" s="360">
        <f>'1018'!AD37</f>
        <v>0</v>
      </c>
      <c r="G20" s="361">
        <f>'1018'!AD48</f>
        <v>0</v>
      </c>
      <c r="H20" s="361">
        <f>'1018'!AD58</f>
        <v>0</v>
      </c>
      <c r="I20" s="360">
        <f>'1018'!AD69</f>
        <v>0</v>
      </c>
      <c r="J20" s="360">
        <f>'1018'!AD79</f>
        <v>0</v>
      </c>
    </row>
    <row r="21" spans="2:10" ht="17.25" customHeight="1">
      <c r="B21" s="397"/>
      <c r="C21" s="330" t="s">
        <v>85</v>
      </c>
      <c r="D21" s="359">
        <f>'1018'!AE15</f>
        <v>0</v>
      </c>
      <c r="E21" s="360">
        <f>'1018'!AE26</f>
        <v>0</v>
      </c>
      <c r="F21" s="360">
        <f>'1018'!AE37</f>
        <v>0</v>
      </c>
      <c r="G21" s="361">
        <f>'1018'!AE48</f>
        <v>0</v>
      </c>
      <c r="H21" s="361">
        <f>'1018'!AE58</f>
        <v>0</v>
      </c>
      <c r="I21" s="360">
        <f>'1018'!AE69</f>
        <v>0</v>
      </c>
      <c r="J21" s="360">
        <f>'1018'!AE79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3B7A-A67F-4D2C-B9C4-AC06F9FDC5ED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150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6C76-4C44-4FC3-B722-A717EE9B296E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46314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VALUE('1019'!L15)</f>
        <v>#N/A</v>
      </c>
      <c r="E13" s="13" t="e">
        <f>VALUE('1019'!L26)</f>
        <v>#N/A</v>
      </c>
      <c r="F13" s="13" t="e">
        <f>VALUE('1019'!L37)</f>
        <v>#N/A</v>
      </c>
      <c r="G13" s="13" t="e">
        <f>VALUE('1019'!L48)</f>
        <v>#N/A</v>
      </c>
      <c r="H13" s="13" t="e">
        <f>VALUE('1019'!L58)</f>
        <v>#N/A</v>
      </c>
      <c r="I13" s="13" t="e">
        <f>VALUE('1019'!L69)</f>
        <v>#N/A</v>
      </c>
      <c r="J13" s="13" t="e">
        <f>'1019'!L79</f>
        <v>#N/A</v>
      </c>
    </row>
    <row r="14" spans="2:15" ht="39.950000000000003" customHeight="1">
      <c r="B14" s="392"/>
      <c r="C14" s="12" t="s">
        <v>100</v>
      </c>
      <c r="D14" s="13">
        <f>VALUE('1019'!O15)</f>
        <v>113.916365108528</v>
      </c>
      <c r="E14" s="13">
        <f>VALUE('1019'!O26)</f>
        <v>132.12003238004002</v>
      </c>
      <c r="F14" s="13">
        <f>VALUE('1019'!O37)</f>
        <v>126.23842229199551</v>
      </c>
      <c r="G14" s="13">
        <f>VALUE('1019'!O48)</f>
        <v>112.05430077169194</v>
      </c>
      <c r="H14" s="13">
        <f>VALUE('1019'!O58)</f>
        <v>102.47461972914017</v>
      </c>
      <c r="I14" s="13">
        <f>VALUE('1019'!O69)</f>
        <v>155.46443341604788</v>
      </c>
      <c r="J14" s="13">
        <f>'1019'!O79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'1019'!S70</f>
        <v>#N/A</v>
      </c>
    </row>
    <row r="16" spans="2:15" ht="17.25" customHeight="1">
      <c r="B16" s="394" t="s">
        <v>101</v>
      </c>
      <c r="C16" s="10" t="s">
        <v>34</v>
      </c>
      <c r="D16" s="16">
        <f>'1019'!T5</f>
        <v>0.29097222222222202</v>
      </c>
      <c r="E16" s="16">
        <f>'1019'!T16</f>
        <v>0.29097222222222202</v>
      </c>
      <c r="F16" s="16">
        <f>'1019'!T27</f>
        <v>0.29166666666666702</v>
      </c>
      <c r="G16" s="16">
        <f>'1019'!T38</f>
        <v>0.33333333333333298</v>
      </c>
      <c r="H16" s="16">
        <f>'1019'!T49</f>
        <v>0.29166666666666702</v>
      </c>
      <c r="I16" s="16">
        <f>'1019'!T59</f>
        <v>0.29166666666666702</v>
      </c>
      <c r="J16" s="17">
        <f>'1019'!T70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'1019'!Z15</f>
        <v>0</v>
      </c>
      <c r="E18" s="360">
        <f>'1019'!Z26</f>
        <v>0</v>
      </c>
      <c r="F18" s="360">
        <f>'1019'!Z37</f>
        <v>0</v>
      </c>
      <c r="G18" s="361">
        <f>'1019'!Z48</f>
        <v>0</v>
      </c>
      <c r="H18" s="361">
        <f>'1019'!Z58</f>
        <v>0</v>
      </c>
      <c r="I18" s="360">
        <f>'1019'!Z69</f>
        <v>0</v>
      </c>
      <c r="J18" s="360">
        <f>'1019'!AA79</f>
        <v>0</v>
      </c>
    </row>
    <row r="19" spans="2:10" ht="17.25" customHeight="1">
      <c r="B19" s="397"/>
      <c r="C19" s="330" t="s">
        <v>37</v>
      </c>
      <c r="D19" s="359">
        <f>'1019'!AA15</f>
        <v>0</v>
      </c>
      <c r="E19" s="360">
        <f>'1019'!AA26</f>
        <v>0</v>
      </c>
      <c r="F19" s="360">
        <f>'1019'!AA37</f>
        <v>0</v>
      </c>
      <c r="G19" s="361">
        <f>'1019'!AA48</f>
        <v>0</v>
      </c>
      <c r="H19" s="361">
        <f>'1019'!AA58</f>
        <v>0</v>
      </c>
      <c r="I19" s="360">
        <f>'1019'!AA69</f>
        <v>0</v>
      </c>
      <c r="J19" s="360">
        <f>'1019'!AB79</f>
        <v>0</v>
      </c>
    </row>
    <row r="20" spans="2:10" ht="17.25" customHeight="1">
      <c r="B20" s="396" t="s">
        <v>103</v>
      </c>
      <c r="C20" s="330" t="s">
        <v>36</v>
      </c>
      <c r="D20" s="359">
        <f>'1019'!AD15</f>
        <v>0</v>
      </c>
      <c r="E20" s="360">
        <f>'1019'!AD26</f>
        <v>0</v>
      </c>
      <c r="F20" s="360">
        <f>'1019'!AD37</f>
        <v>0</v>
      </c>
      <c r="G20" s="361">
        <f>'1019'!AD48</f>
        <v>0</v>
      </c>
      <c r="H20" s="361">
        <f>'1019'!AD58</f>
        <v>0</v>
      </c>
      <c r="I20" s="360">
        <f>'1019'!AD69</f>
        <v>0</v>
      </c>
      <c r="J20" s="360">
        <f>'1019'!AD79</f>
        <v>0</v>
      </c>
    </row>
    <row r="21" spans="2:10" ht="17.25" customHeight="1">
      <c r="B21" s="397"/>
      <c r="C21" s="330" t="s">
        <v>85</v>
      </c>
      <c r="D21" s="359">
        <f>'1019'!AE15</f>
        <v>0</v>
      </c>
      <c r="E21" s="360">
        <f>'1019'!AE26</f>
        <v>0</v>
      </c>
      <c r="F21" s="360">
        <f>'1019'!AE37</f>
        <v>0</v>
      </c>
      <c r="G21" s="361">
        <f>'1019'!AE48</f>
        <v>0</v>
      </c>
      <c r="H21" s="361">
        <f>'1019'!AE58</f>
        <v>0</v>
      </c>
      <c r="I21" s="360">
        <f>'1019'!AE69</f>
        <v>0</v>
      </c>
      <c r="J21" s="360">
        <f>'1019'!AE79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F388-318E-4726-BC0B-EBE425526EF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151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7518-5D9C-4135-B777-F90CA6C1859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46315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VALUE('1020'!L15)</f>
        <v>#N/A</v>
      </c>
      <c r="E13" s="13" t="e">
        <f>VALUE('1020'!L26)</f>
        <v>#N/A</v>
      </c>
      <c r="F13" s="13" t="e">
        <f>VALUE('1020'!L37)</f>
        <v>#N/A</v>
      </c>
      <c r="G13" s="13" t="e">
        <f>VALUE('1020'!L48)</f>
        <v>#N/A</v>
      </c>
      <c r="H13" s="13" t="e">
        <f>VALUE('1020'!L58)</f>
        <v>#N/A</v>
      </c>
      <c r="I13" s="13" t="e">
        <f>VALUE('1020'!L69)</f>
        <v>#N/A</v>
      </c>
      <c r="J13" s="13" t="e">
        <f>'1020'!L79</f>
        <v>#N/A</v>
      </c>
    </row>
    <row r="14" spans="2:15" ht="39.950000000000003" customHeight="1">
      <c r="B14" s="392"/>
      <c r="C14" s="12" t="s">
        <v>100</v>
      </c>
      <c r="D14" s="13">
        <f>VALUE('1020'!O15)</f>
        <v>113.916365108528</v>
      </c>
      <c r="E14" s="13">
        <f>VALUE('1020'!O26)</f>
        <v>132.12003238004002</v>
      </c>
      <c r="F14" s="13">
        <f>VALUE('1020'!O37)</f>
        <v>126.23842229199551</v>
      </c>
      <c r="G14" s="13">
        <f>VALUE('1020'!O48)</f>
        <v>112.05430077169194</v>
      </c>
      <c r="H14" s="13">
        <f>VALUE('1020'!O58)</f>
        <v>102.47461972914017</v>
      </c>
      <c r="I14" s="13">
        <f>VALUE('1020'!O69)</f>
        <v>155.46443341604788</v>
      </c>
      <c r="J14" s="13">
        <f>'1020'!O79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'1020'!S70</f>
        <v>#N/A</v>
      </c>
    </row>
    <row r="16" spans="2:15" ht="17.25" customHeight="1">
      <c r="B16" s="394" t="s">
        <v>101</v>
      </c>
      <c r="C16" s="10" t="s">
        <v>34</v>
      </c>
      <c r="D16" s="16">
        <f>'1020'!T5</f>
        <v>0.29097222222222202</v>
      </c>
      <c r="E16" s="16">
        <f>'1020'!T16</f>
        <v>0.29097222222222202</v>
      </c>
      <c r="F16" s="16">
        <f>'1020'!T27</f>
        <v>0.29166666666666702</v>
      </c>
      <c r="G16" s="16">
        <f>'1020'!T38</f>
        <v>0.33333333333333298</v>
      </c>
      <c r="H16" s="16">
        <f>'1020'!T49</f>
        <v>0.29166666666666702</v>
      </c>
      <c r="I16" s="16">
        <f>'1020'!T59</f>
        <v>0.29166666666666702</v>
      </c>
      <c r="J16" s="17">
        <f>'1020'!T70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'1020'!Z15</f>
        <v>0</v>
      </c>
      <c r="E18" s="360">
        <f>'1020'!Z26</f>
        <v>0</v>
      </c>
      <c r="F18" s="360">
        <f>'1020'!Z37</f>
        <v>0</v>
      </c>
      <c r="G18" s="361">
        <f>'1020'!Z48</f>
        <v>0</v>
      </c>
      <c r="H18" s="361">
        <f>'1020'!Z58</f>
        <v>0</v>
      </c>
      <c r="I18" s="360">
        <f>'1020'!Z69</f>
        <v>0</v>
      </c>
      <c r="J18" s="360">
        <f>'1020'!AA79</f>
        <v>0</v>
      </c>
    </row>
    <row r="19" spans="2:10" ht="17.25" customHeight="1">
      <c r="B19" s="397"/>
      <c r="C19" s="330" t="s">
        <v>37</v>
      </c>
      <c r="D19" s="359">
        <f>'1020'!AA15</f>
        <v>0</v>
      </c>
      <c r="E19" s="360">
        <f>'1020'!AA26</f>
        <v>0</v>
      </c>
      <c r="F19" s="360">
        <f>'1020'!AA37</f>
        <v>0</v>
      </c>
      <c r="G19" s="361">
        <f>'1020'!AA48</f>
        <v>0</v>
      </c>
      <c r="H19" s="361">
        <f>'1020'!AA58</f>
        <v>0</v>
      </c>
      <c r="I19" s="360">
        <f>'1020'!AA69</f>
        <v>0</v>
      </c>
      <c r="J19" s="360">
        <f>'1020'!AB79</f>
        <v>0</v>
      </c>
    </row>
    <row r="20" spans="2:10" ht="17.25" customHeight="1">
      <c r="B20" s="396" t="s">
        <v>103</v>
      </c>
      <c r="C20" s="330" t="s">
        <v>36</v>
      </c>
      <c r="D20" s="359">
        <f>'1020'!AD15</f>
        <v>0</v>
      </c>
      <c r="E20" s="360">
        <f>'1020'!AD26</f>
        <v>0</v>
      </c>
      <c r="F20" s="360">
        <f>'1020'!AD37</f>
        <v>0</v>
      </c>
      <c r="G20" s="361">
        <f>'1020'!AD48</f>
        <v>0</v>
      </c>
      <c r="H20" s="361">
        <f>'1020'!AD58</f>
        <v>0</v>
      </c>
      <c r="I20" s="360">
        <f>'1020'!AD69</f>
        <v>0</v>
      </c>
      <c r="J20" s="360">
        <f>'1020'!AD79</f>
        <v>0</v>
      </c>
    </row>
    <row r="21" spans="2:10" ht="17.25" customHeight="1">
      <c r="B21" s="397"/>
      <c r="C21" s="330" t="s">
        <v>85</v>
      </c>
      <c r="D21" s="359">
        <f>'1020'!AE15</f>
        <v>0</v>
      </c>
      <c r="E21" s="360">
        <f>'1020'!AE26</f>
        <v>0</v>
      </c>
      <c r="F21" s="360">
        <f>'1020'!AE37</f>
        <v>0</v>
      </c>
      <c r="G21" s="361">
        <f>'1020'!AE48</f>
        <v>0</v>
      </c>
      <c r="H21" s="361">
        <f>'1020'!AE58</f>
        <v>0</v>
      </c>
      <c r="I21" s="360">
        <f>'1020'!AE69</f>
        <v>0</v>
      </c>
      <c r="J21" s="360">
        <f>'1020'!AE79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2A58-FD28-4CEB-8BC3-87878E091897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152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3798-96DD-42E4-836F-2DCE96FD0CDC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46316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VALUE('1021'!L15)</f>
        <v>#N/A</v>
      </c>
      <c r="E13" s="13" t="e">
        <f>VALUE('1021'!L26)</f>
        <v>#N/A</v>
      </c>
      <c r="F13" s="13" t="e">
        <f>VALUE('1021'!L37)</f>
        <v>#N/A</v>
      </c>
      <c r="G13" s="13" t="e">
        <f>VALUE('1021'!L48)</f>
        <v>#N/A</v>
      </c>
      <c r="H13" s="13" t="e">
        <f>VALUE('1021'!L58)</f>
        <v>#N/A</v>
      </c>
      <c r="I13" s="13" t="e">
        <f>VALUE('1021'!L69)</f>
        <v>#N/A</v>
      </c>
      <c r="J13" s="13" t="e">
        <f>'1021'!L79</f>
        <v>#N/A</v>
      </c>
    </row>
    <row r="14" spans="2:15" ht="39.950000000000003" customHeight="1">
      <c r="B14" s="392"/>
      <c r="C14" s="12" t="s">
        <v>100</v>
      </c>
      <c r="D14" s="13">
        <f>VALUE('1021'!O15)</f>
        <v>113.916365108528</v>
      </c>
      <c r="E14" s="13">
        <f>VALUE('1021'!O26)</f>
        <v>132.12003238004002</v>
      </c>
      <c r="F14" s="13">
        <f>VALUE('1021'!O37)</f>
        <v>126.23842229199551</v>
      </c>
      <c r="G14" s="13">
        <f>VALUE('1021'!O48)</f>
        <v>112.05430077169194</v>
      </c>
      <c r="H14" s="13">
        <f>VALUE('1021'!O58)</f>
        <v>102.47461972914017</v>
      </c>
      <c r="I14" s="13">
        <f>VALUE('1021'!O69)</f>
        <v>155.46443341604788</v>
      </c>
      <c r="J14" s="13">
        <f>'1021'!O79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'1021'!S70</f>
        <v>#N/A</v>
      </c>
    </row>
    <row r="16" spans="2:15" ht="17.25" customHeight="1">
      <c r="B16" s="394" t="s">
        <v>101</v>
      </c>
      <c r="C16" s="10" t="s">
        <v>34</v>
      </c>
      <c r="D16" s="16">
        <f>'1021'!T5</f>
        <v>0.29097222222222202</v>
      </c>
      <c r="E16" s="16">
        <f>'1021'!T16</f>
        <v>0.29097222222222202</v>
      </c>
      <c r="F16" s="16">
        <f>'1021'!T27</f>
        <v>0.29166666666666702</v>
      </c>
      <c r="G16" s="16">
        <f>'1021'!T38</f>
        <v>0.33333333333333298</v>
      </c>
      <c r="H16" s="16">
        <f>'1021'!T49</f>
        <v>0.29166666666666702</v>
      </c>
      <c r="I16" s="16">
        <f>'1021'!T59</f>
        <v>0.29166666666666702</v>
      </c>
      <c r="J16" s="17">
        <f>'1021'!T70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'1021'!Z15</f>
        <v>0</v>
      </c>
      <c r="E18" s="360">
        <f>'1021'!Z26</f>
        <v>0</v>
      </c>
      <c r="F18" s="360">
        <f>'1021'!Z37</f>
        <v>0</v>
      </c>
      <c r="G18" s="361">
        <f>'1021'!Z48</f>
        <v>0</v>
      </c>
      <c r="H18" s="361">
        <f>'1021'!Z58</f>
        <v>0</v>
      </c>
      <c r="I18" s="360">
        <f>'1021'!Z69</f>
        <v>0</v>
      </c>
      <c r="J18" s="360">
        <f>'1021'!AA79</f>
        <v>0</v>
      </c>
    </row>
    <row r="19" spans="2:10" ht="17.25" customHeight="1">
      <c r="B19" s="397"/>
      <c r="C19" s="330" t="s">
        <v>37</v>
      </c>
      <c r="D19" s="359">
        <f>'1021'!AA15</f>
        <v>0</v>
      </c>
      <c r="E19" s="360">
        <f>'1021'!AA26</f>
        <v>0</v>
      </c>
      <c r="F19" s="360">
        <f>'1021'!AA37</f>
        <v>0</v>
      </c>
      <c r="G19" s="361">
        <f>'1021'!AA48</f>
        <v>0</v>
      </c>
      <c r="H19" s="361">
        <f>'1021'!AA58</f>
        <v>0</v>
      </c>
      <c r="I19" s="360">
        <f>'1021'!AA69</f>
        <v>0</v>
      </c>
      <c r="J19" s="360">
        <f>'1021'!AB79</f>
        <v>0</v>
      </c>
    </row>
    <row r="20" spans="2:10" ht="17.25" customHeight="1">
      <c r="B20" s="396" t="s">
        <v>103</v>
      </c>
      <c r="C20" s="330" t="s">
        <v>36</v>
      </c>
      <c r="D20" s="359">
        <f>'1021'!AD15</f>
        <v>0</v>
      </c>
      <c r="E20" s="360">
        <f>'1021'!AD26</f>
        <v>0</v>
      </c>
      <c r="F20" s="360">
        <f>'1021'!AD37</f>
        <v>0</v>
      </c>
      <c r="G20" s="361">
        <f>'1021'!AD48</f>
        <v>0</v>
      </c>
      <c r="H20" s="361">
        <f>'1021'!AD58</f>
        <v>0</v>
      </c>
      <c r="I20" s="360">
        <f>'1021'!AD69</f>
        <v>0</v>
      </c>
      <c r="J20" s="360">
        <f>'1021'!AD79</f>
        <v>0</v>
      </c>
    </row>
    <row r="21" spans="2:10" ht="17.25" customHeight="1">
      <c r="B21" s="397"/>
      <c r="C21" s="330" t="s">
        <v>85</v>
      </c>
      <c r="D21" s="359">
        <f>'1021'!AE15</f>
        <v>0</v>
      </c>
      <c r="E21" s="360">
        <f>'1021'!AE26</f>
        <v>0</v>
      </c>
      <c r="F21" s="360">
        <f>'1021'!AE37</f>
        <v>0</v>
      </c>
      <c r="G21" s="361">
        <f>'1021'!AE48</f>
        <v>0</v>
      </c>
      <c r="H21" s="361">
        <f>'1021'!AE58</f>
        <v>0</v>
      </c>
      <c r="I21" s="360">
        <f>'1021'!AE69</f>
        <v>0</v>
      </c>
      <c r="J21" s="360">
        <f>'1021'!AE79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431D-058A-4907-B7DB-F2A01641FDDE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153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5FF8-2853-4A94-A80C-139C1BF9F03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46317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VALUE('1022'!L15)</f>
        <v>#N/A</v>
      </c>
      <c r="E13" s="13" t="e">
        <f>VALUE('1022'!L26)</f>
        <v>#N/A</v>
      </c>
      <c r="F13" s="13" t="e">
        <f>VALUE('1022'!L37)</f>
        <v>#N/A</v>
      </c>
      <c r="G13" s="13" t="e">
        <f>VALUE('1022'!L48)</f>
        <v>#N/A</v>
      </c>
      <c r="H13" s="13" t="e">
        <f>VALUE('1022'!L58)</f>
        <v>#N/A</v>
      </c>
      <c r="I13" s="13" t="e">
        <f>VALUE('1022'!L69)</f>
        <v>#N/A</v>
      </c>
      <c r="J13" s="13" t="e">
        <f>'1022'!L79</f>
        <v>#N/A</v>
      </c>
    </row>
    <row r="14" spans="2:15" ht="39.950000000000003" customHeight="1">
      <c r="B14" s="392"/>
      <c r="C14" s="12" t="s">
        <v>100</v>
      </c>
      <c r="D14" s="13">
        <f>VALUE('1022'!O15)</f>
        <v>113.916365108528</v>
      </c>
      <c r="E14" s="13">
        <f>VALUE('1022'!O26)</f>
        <v>132.12003238004002</v>
      </c>
      <c r="F14" s="13">
        <f>VALUE('1022'!O37)</f>
        <v>126.23842229199551</v>
      </c>
      <c r="G14" s="13">
        <f>VALUE('1022'!O48)</f>
        <v>112.05430077169194</v>
      </c>
      <c r="H14" s="13">
        <f>VALUE('1022'!O58)</f>
        <v>102.47461972914017</v>
      </c>
      <c r="I14" s="13">
        <f>VALUE('1022'!O69)</f>
        <v>155.46443341604788</v>
      </c>
      <c r="J14" s="13">
        <f>'1022'!O79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'1022'!S70</f>
        <v>#N/A</v>
      </c>
    </row>
    <row r="16" spans="2:15" ht="17.25" customHeight="1">
      <c r="B16" s="394" t="s">
        <v>101</v>
      </c>
      <c r="C16" s="10" t="s">
        <v>34</v>
      </c>
      <c r="D16" s="16">
        <f>'1022'!T5</f>
        <v>0.29097222222222202</v>
      </c>
      <c r="E16" s="16">
        <f>'1022'!T16</f>
        <v>0.29097222222222202</v>
      </c>
      <c r="F16" s="16">
        <f>'1022'!T27</f>
        <v>0.29166666666666702</v>
      </c>
      <c r="G16" s="16">
        <f>'1022'!T38</f>
        <v>0.33333333333333298</v>
      </c>
      <c r="H16" s="16">
        <f>'1022'!T49</f>
        <v>0.29166666666666702</v>
      </c>
      <c r="I16" s="16">
        <f>'1022'!T59</f>
        <v>0.29166666666666702</v>
      </c>
      <c r="J16" s="17">
        <f>'1022'!T70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'1022'!Z15</f>
        <v>0</v>
      </c>
      <c r="E18" s="360">
        <f>'1022'!Z26</f>
        <v>0</v>
      </c>
      <c r="F18" s="360">
        <f>'1022'!Z37</f>
        <v>0</v>
      </c>
      <c r="G18" s="361">
        <f>'1022'!Z48</f>
        <v>0</v>
      </c>
      <c r="H18" s="361">
        <f>'1022'!Z58</f>
        <v>0</v>
      </c>
      <c r="I18" s="360">
        <f>'1022'!Z69</f>
        <v>0</v>
      </c>
      <c r="J18" s="360">
        <f>'1022'!AA79</f>
        <v>0</v>
      </c>
    </row>
    <row r="19" spans="2:10" ht="17.25" customHeight="1">
      <c r="B19" s="397"/>
      <c r="C19" s="330" t="s">
        <v>37</v>
      </c>
      <c r="D19" s="359">
        <f>'1022'!AA15</f>
        <v>0</v>
      </c>
      <c r="E19" s="360">
        <f>'1022'!AA26</f>
        <v>0</v>
      </c>
      <c r="F19" s="360">
        <f>'1022'!AA37</f>
        <v>0</v>
      </c>
      <c r="G19" s="361">
        <f>'1022'!AA48</f>
        <v>0</v>
      </c>
      <c r="H19" s="361">
        <f>'1022'!AA58</f>
        <v>0</v>
      </c>
      <c r="I19" s="360">
        <f>'1022'!AA69</f>
        <v>0</v>
      </c>
      <c r="J19" s="360">
        <f>'1022'!AB79</f>
        <v>0</v>
      </c>
    </row>
    <row r="20" spans="2:10" ht="17.25" customHeight="1">
      <c r="B20" s="396" t="s">
        <v>103</v>
      </c>
      <c r="C20" s="330" t="s">
        <v>36</v>
      </c>
      <c r="D20" s="359">
        <f>'1022'!AD15</f>
        <v>0</v>
      </c>
      <c r="E20" s="360">
        <f>'1022'!AD26</f>
        <v>0</v>
      </c>
      <c r="F20" s="360">
        <f>'1022'!AD37</f>
        <v>0</v>
      </c>
      <c r="G20" s="361">
        <f>'1022'!AD48</f>
        <v>0</v>
      </c>
      <c r="H20" s="361">
        <f>'1022'!AD58</f>
        <v>0</v>
      </c>
      <c r="I20" s="360">
        <f>'1022'!AD69</f>
        <v>0</v>
      </c>
      <c r="J20" s="360">
        <f>'1022'!AD79</f>
        <v>0</v>
      </c>
    </row>
    <row r="21" spans="2:10" ht="17.25" customHeight="1">
      <c r="B21" s="397"/>
      <c r="C21" s="330" t="s">
        <v>85</v>
      </c>
      <c r="D21" s="359">
        <f>'1022'!AE15</f>
        <v>0</v>
      </c>
      <c r="E21" s="360">
        <f>'1022'!AE26</f>
        <v>0</v>
      </c>
      <c r="F21" s="360">
        <f>'1022'!AE37</f>
        <v>0</v>
      </c>
      <c r="G21" s="361">
        <f>'1022'!AE48</f>
        <v>0</v>
      </c>
      <c r="H21" s="361">
        <f>'1022'!AE58</f>
        <v>0</v>
      </c>
      <c r="I21" s="360">
        <f>'1022'!AE69</f>
        <v>0</v>
      </c>
      <c r="J21" s="360">
        <f>'1022'!AE79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EBDB-8454-47B4-9A83-8A4CFE515B0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154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F587-B3A0-4CF8-8D4E-94E1579349E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46318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VALUE('1023'!L15)</f>
        <v>#N/A</v>
      </c>
      <c r="E13" s="13" t="e">
        <f>VALUE('1023'!L26)</f>
        <v>#N/A</v>
      </c>
      <c r="F13" s="13" t="e">
        <f>VALUE('1023'!L37)</f>
        <v>#N/A</v>
      </c>
      <c r="G13" s="13" t="e">
        <f>VALUE('1023'!L48)</f>
        <v>#N/A</v>
      </c>
      <c r="H13" s="13" t="e">
        <f>VALUE('1023'!L58)</f>
        <v>#N/A</v>
      </c>
      <c r="I13" s="13" t="e">
        <f>VALUE('1023'!L69)</f>
        <v>#N/A</v>
      </c>
      <c r="J13" s="13" t="e">
        <f>'1023'!L79</f>
        <v>#N/A</v>
      </c>
    </row>
    <row r="14" spans="2:15" ht="39.950000000000003" customHeight="1">
      <c r="B14" s="392"/>
      <c r="C14" s="12" t="s">
        <v>100</v>
      </c>
      <c r="D14" s="13">
        <f>VALUE('1023'!O15)</f>
        <v>113.916365108528</v>
      </c>
      <c r="E14" s="13">
        <f>VALUE('1023'!O26)</f>
        <v>132.12003238004002</v>
      </c>
      <c r="F14" s="13">
        <f>VALUE('1023'!O37)</f>
        <v>126.23842229199551</v>
      </c>
      <c r="G14" s="13">
        <f>VALUE('1023'!O48)</f>
        <v>112.05430077169194</v>
      </c>
      <c r="H14" s="13">
        <f>VALUE('1023'!O58)</f>
        <v>102.47461972914017</v>
      </c>
      <c r="I14" s="13">
        <f>VALUE('1023'!O69)</f>
        <v>155.46443341604788</v>
      </c>
      <c r="J14" s="13">
        <f>'1023'!O79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'1023'!S70</f>
        <v>#N/A</v>
      </c>
    </row>
    <row r="16" spans="2:15" ht="17.25" customHeight="1">
      <c r="B16" s="394" t="s">
        <v>101</v>
      </c>
      <c r="C16" s="10" t="s">
        <v>34</v>
      </c>
      <c r="D16" s="16">
        <f>'1023'!T5</f>
        <v>0.29097222222222202</v>
      </c>
      <c r="E16" s="16">
        <f>'1023'!T16</f>
        <v>0.29097222222222202</v>
      </c>
      <c r="F16" s="16">
        <f>'1023'!T27</f>
        <v>0.29166666666666702</v>
      </c>
      <c r="G16" s="16">
        <f>'1023'!T38</f>
        <v>0.33333333333333298</v>
      </c>
      <c r="H16" s="16">
        <f>'1023'!T49</f>
        <v>0.29166666666666702</v>
      </c>
      <c r="I16" s="16">
        <f>'1023'!T59</f>
        <v>0.29166666666666702</v>
      </c>
      <c r="J16" s="17">
        <f>'1023'!T70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'1023'!Z15</f>
        <v>0</v>
      </c>
      <c r="E18" s="360">
        <f>'1023'!Z26</f>
        <v>0</v>
      </c>
      <c r="F18" s="360">
        <f>'1023'!Z37</f>
        <v>0</v>
      </c>
      <c r="G18" s="361">
        <f>'1023'!Z48</f>
        <v>0</v>
      </c>
      <c r="H18" s="361">
        <f>'1023'!Z58</f>
        <v>0</v>
      </c>
      <c r="I18" s="360">
        <f>'1023'!Z69</f>
        <v>0</v>
      </c>
      <c r="J18" s="360">
        <f>'1023'!AA79</f>
        <v>0</v>
      </c>
    </row>
    <row r="19" spans="2:10" ht="17.25" customHeight="1">
      <c r="B19" s="397"/>
      <c r="C19" s="330" t="s">
        <v>37</v>
      </c>
      <c r="D19" s="359">
        <f>'1023'!AA15</f>
        <v>0</v>
      </c>
      <c r="E19" s="360">
        <f>'1023'!AA26</f>
        <v>0</v>
      </c>
      <c r="F19" s="360">
        <f>'1023'!AA37</f>
        <v>0</v>
      </c>
      <c r="G19" s="361">
        <f>'1023'!AA48</f>
        <v>0</v>
      </c>
      <c r="H19" s="361">
        <f>'1023'!AA58</f>
        <v>0</v>
      </c>
      <c r="I19" s="360">
        <f>'1023'!AA69</f>
        <v>0</v>
      </c>
      <c r="J19" s="360">
        <f>'1023'!AB79</f>
        <v>0</v>
      </c>
    </row>
    <row r="20" spans="2:10" ht="17.25" customHeight="1">
      <c r="B20" s="396" t="s">
        <v>103</v>
      </c>
      <c r="C20" s="330" t="s">
        <v>36</v>
      </c>
      <c r="D20" s="359">
        <f>'1023'!AD15</f>
        <v>0</v>
      </c>
      <c r="E20" s="360">
        <f>'1023'!AD26</f>
        <v>0</v>
      </c>
      <c r="F20" s="360">
        <f>'1023'!AD37</f>
        <v>0</v>
      </c>
      <c r="G20" s="361">
        <f>'1023'!AD48</f>
        <v>0</v>
      </c>
      <c r="H20" s="361">
        <f>'1023'!AD58</f>
        <v>0</v>
      </c>
      <c r="I20" s="360">
        <f>'1023'!AD69</f>
        <v>0</v>
      </c>
      <c r="J20" s="360">
        <f>'1023'!AD79</f>
        <v>0</v>
      </c>
    </row>
    <row r="21" spans="2:10" ht="17.25" customHeight="1">
      <c r="B21" s="397"/>
      <c r="C21" s="330" t="s">
        <v>85</v>
      </c>
      <c r="D21" s="359">
        <f>'1023'!AE15</f>
        <v>0</v>
      </c>
      <c r="E21" s="360">
        <f>'1023'!AE26</f>
        <v>0</v>
      </c>
      <c r="F21" s="360">
        <f>'1023'!AE37</f>
        <v>0</v>
      </c>
      <c r="G21" s="361">
        <f>'1023'!AE48</f>
        <v>0</v>
      </c>
      <c r="H21" s="361">
        <f>'1023'!AE58</f>
        <v>0</v>
      </c>
      <c r="I21" s="360">
        <f>'1023'!AE69</f>
        <v>0</v>
      </c>
      <c r="J21" s="360">
        <f>'1023'!AE79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B41B-04C4-49B8-B52B-A1A348CD4E7D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155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F292-9371-4AE1-A16A-A375958B9661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46319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VALUE('1024'!L15)</f>
        <v>#N/A</v>
      </c>
      <c r="E13" s="13" t="e">
        <f>VALUE('1024'!L26)</f>
        <v>#N/A</v>
      </c>
      <c r="F13" s="13" t="e">
        <f>VALUE('1024'!L37)</f>
        <v>#N/A</v>
      </c>
      <c r="G13" s="13" t="e">
        <f>VALUE('1024'!L48)</f>
        <v>#N/A</v>
      </c>
      <c r="H13" s="13" t="e">
        <f>VALUE('1024'!L58)</f>
        <v>#N/A</v>
      </c>
      <c r="I13" s="13" t="e">
        <f>VALUE('1024'!L69)</f>
        <v>#N/A</v>
      </c>
      <c r="J13" s="13" t="e">
        <f>'1024'!L79</f>
        <v>#N/A</v>
      </c>
    </row>
    <row r="14" spans="2:15" ht="39.950000000000003" customHeight="1">
      <c r="B14" s="392"/>
      <c r="C14" s="12" t="s">
        <v>100</v>
      </c>
      <c r="D14" s="13">
        <f>VALUE('1024'!O15)</f>
        <v>113.916365108528</v>
      </c>
      <c r="E14" s="13">
        <f>VALUE('1024'!O26)</f>
        <v>132.12003238004002</v>
      </c>
      <c r="F14" s="13">
        <f>VALUE('1024'!O37)</f>
        <v>126.23842229199551</v>
      </c>
      <c r="G14" s="13">
        <f>VALUE('1024'!O48)</f>
        <v>112.05430077169194</v>
      </c>
      <c r="H14" s="13">
        <f>VALUE('1024'!O58)</f>
        <v>102.47461972914017</v>
      </c>
      <c r="I14" s="13">
        <f>VALUE('1024'!O69)</f>
        <v>155.46443341604788</v>
      </c>
      <c r="J14" s="13">
        <f>'1024'!O79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'1024'!S70</f>
        <v>#N/A</v>
      </c>
    </row>
    <row r="16" spans="2:15" ht="17.25" customHeight="1">
      <c r="B16" s="394" t="s">
        <v>101</v>
      </c>
      <c r="C16" s="10" t="s">
        <v>34</v>
      </c>
      <c r="D16" s="16">
        <f>'1024'!T5</f>
        <v>0.29097222222222202</v>
      </c>
      <c r="E16" s="16">
        <f>'1024'!T16</f>
        <v>0.29097222222222202</v>
      </c>
      <c r="F16" s="16">
        <f>'1024'!T27</f>
        <v>0.29166666666666702</v>
      </c>
      <c r="G16" s="16">
        <f>'1024'!T38</f>
        <v>0.33333333333333298</v>
      </c>
      <c r="H16" s="16">
        <f>'1024'!T49</f>
        <v>0.29166666666666702</v>
      </c>
      <c r="I16" s="16">
        <f>'1024'!T59</f>
        <v>0.29166666666666702</v>
      </c>
      <c r="J16" s="17">
        <f>'1024'!T70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'1024'!Z15</f>
        <v>0</v>
      </c>
      <c r="E18" s="360">
        <f>'1024'!Z26</f>
        <v>0</v>
      </c>
      <c r="F18" s="360">
        <f>'1024'!Z37</f>
        <v>0</v>
      </c>
      <c r="G18" s="361">
        <f>'1024'!Z48</f>
        <v>0</v>
      </c>
      <c r="H18" s="361">
        <f>'1024'!Z58</f>
        <v>0</v>
      </c>
      <c r="I18" s="360">
        <f>'1024'!Z69</f>
        <v>0</v>
      </c>
      <c r="J18" s="360">
        <f>'1024'!AA79</f>
        <v>0</v>
      </c>
    </row>
    <row r="19" spans="2:10" ht="17.25" customHeight="1">
      <c r="B19" s="397"/>
      <c r="C19" s="330" t="s">
        <v>37</v>
      </c>
      <c r="D19" s="359">
        <f>'1024'!AA15</f>
        <v>0</v>
      </c>
      <c r="E19" s="360">
        <f>'1024'!AA26</f>
        <v>0</v>
      </c>
      <c r="F19" s="360">
        <f>'1024'!AA37</f>
        <v>0</v>
      </c>
      <c r="G19" s="361">
        <f>'1024'!AA48</f>
        <v>0</v>
      </c>
      <c r="H19" s="361">
        <f>'1024'!AA58</f>
        <v>0</v>
      </c>
      <c r="I19" s="360">
        <f>'1024'!AA69</f>
        <v>0</v>
      </c>
      <c r="J19" s="360">
        <f>'1024'!AB79</f>
        <v>0</v>
      </c>
    </row>
    <row r="20" spans="2:10" ht="17.25" customHeight="1">
      <c r="B20" s="396" t="s">
        <v>103</v>
      </c>
      <c r="C20" s="330" t="s">
        <v>36</v>
      </c>
      <c r="D20" s="359">
        <f>'1024'!AD15</f>
        <v>0</v>
      </c>
      <c r="E20" s="360">
        <f>'1024'!AD26</f>
        <v>0</v>
      </c>
      <c r="F20" s="360">
        <f>'1024'!AD37</f>
        <v>0</v>
      </c>
      <c r="G20" s="361">
        <f>'1024'!AD48</f>
        <v>0</v>
      </c>
      <c r="H20" s="361">
        <f>'1024'!AD58</f>
        <v>0</v>
      </c>
      <c r="I20" s="360">
        <f>'1024'!AD69</f>
        <v>0</v>
      </c>
      <c r="J20" s="360">
        <f>'1024'!AD79</f>
        <v>0</v>
      </c>
    </row>
    <row r="21" spans="2:10" ht="17.25" customHeight="1">
      <c r="B21" s="397"/>
      <c r="C21" s="330" t="s">
        <v>85</v>
      </c>
      <c r="D21" s="359">
        <f>'1024'!AE15</f>
        <v>0</v>
      </c>
      <c r="E21" s="360">
        <f>'1024'!AE26</f>
        <v>0</v>
      </c>
      <c r="F21" s="360">
        <f>'1024'!AE37</f>
        <v>0</v>
      </c>
      <c r="G21" s="361">
        <f>'1024'!AE48</f>
        <v>0</v>
      </c>
      <c r="H21" s="361">
        <f>'1024'!AE58</f>
        <v>0</v>
      </c>
      <c r="I21" s="360">
        <f>'1024'!AE69</f>
        <v>0</v>
      </c>
      <c r="J21" s="360">
        <f>'1024'!AE79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DB48-2B70-43DC-B36D-0BA388A16FEA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156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12F6-4B35-4BC8-8057-C68E7D910FA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46320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VALUE('1025'!L15)</f>
        <v>#N/A</v>
      </c>
      <c r="E13" s="13" t="e">
        <f>VALUE('1025'!L26)</f>
        <v>#N/A</v>
      </c>
      <c r="F13" s="13" t="e">
        <f>VALUE('1025'!L37)</f>
        <v>#N/A</v>
      </c>
      <c r="G13" s="13" t="e">
        <f>VALUE('1025'!L48)</f>
        <v>#N/A</v>
      </c>
      <c r="H13" s="13" t="e">
        <f>VALUE('1025'!L58)</f>
        <v>#N/A</v>
      </c>
      <c r="I13" s="13" t="e">
        <f>VALUE('1025'!L69)</f>
        <v>#N/A</v>
      </c>
      <c r="J13" s="13" t="e">
        <f>'1025'!L79</f>
        <v>#N/A</v>
      </c>
    </row>
    <row r="14" spans="2:15" ht="39.950000000000003" customHeight="1">
      <c r="B14" s="392"/>
      <c r="C14" s="12" t="s">
        <v>100</v>
      </c>
      <c r="D14" s="13">
        <f>VALUE('1025'!O15)</f>
        <v>113.916365108528</v>
      </c>
      <c r="E14" s="13">
        <f>VALUE('1025'!O26)</f>
        <v>132.12003238004002</v>
      </c>
      <c r="F14" s="13">
        <f>VALUE('1025'!O37)</f>
        <v>126.23842229199551</v>
      </c>
      <c r="G14" s="13">
        <f>VALUE('1025'!O48)</f>
        <v>112.05430077169194</v>
      </c>
      <c r="H14" s="13">
        <f>VALUE('1025'!O58)</f>
        <v>102.47461972914017</v>
      </c>
      <c r="I14" s="13">
        <f>VALUE('1025'!O69)</f>
        <v>155.46443341604788</v>
      </c>
      <c r="J14" s="13">
        <f>'1025'!O79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'1025'!S70</f>
        <v>#N/A</v>
      </c>
    </row>
    <row r="16" spans="2:15" ht="17.25" customHeight="1">
      <c r="B16" s="394" t="s">
        <v>101</v>
      </c>
      <c r="C16" s="10" t="s">
        <v>34</v>
      </c>
      <c r="D16" s="16">
        <f>'1025'!T5</f>
        <v>0.29097222222222202</v>
      </c>
      <c r="E16" s="16">
        <f>'1025'!T16</f>
        <v>0.29097222222222202</v>
      </c>
      <c r="F16" s="16">
        <f>'1025'!T27</f>
        <v>0.29166666666666702</v>
      </c>
      <c r="G16" s="16">
        <f>'1025'!T38</f>
        <v>0.33333333333333298</v>
      </c>
      <c r="H16" s="16">
        <f>'1025'!T49</f>
        <v>0.29166666666666702</v>
      </c>
      <c r="I16" s="16">
        <f>'1025'!T59</f>
        <v>0.29166666666666702</v>
      </c>
      <c r="J16" s="17">
        <f>'1025'!T70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'1025'!Z15</f>
        <v>0</v>
      </c>
      <c r="E18" s="360">
        <f>'1025'!Z26</f>
        <v>0</v>
      </c>
      <c r="F18" s="360">
        <f>'1025'!Z37</f>
        <v>0</v>
      </c>
      <c r="G18" s="361">
        <f>'1025'!Z48</f>
        <v>0</v>
      </c>
      <c r="H18" s="361">
        <f>'1025'!Z58</f>
        <v>0</v>
      </c>
      <c r="I18" s="360">
        <f>'1025'!Z69</f>
        <v>0</v>
      </c>
      <c r="J18" s="360">
        <f>'1025'!AA79</f>
        <v>0</v>
      </c>
    </row>
    <row r="19" spans="2:10" ht="17.25" customHeight="1">
      <c r="B19" s="397"/>
      <c r="C19" s="330" t="s">
        <v>37</v>
      </c>
      <c r="D19" s="359">
        <f>'1025'!AA15</f>
        <v>0</v>
      </c>
      <c r="E19" s="360">
        <f>'1025'!AA26</f>
        <v>0</v>
      </c>
      <c r="F19" s="360">
        <f>'1025'!AA37</f>
        <v>0</v>
      </c>
      <c r="G19" s="361">
        <f>'1025'!AA48</f>
        <v>0</v>
      </c>
      <c r="H19" s="361">
        <f>'1025'!AA58</f>
        <v>0</v>
      </c>
      <c r="I19" s="360">
        <f>'1025'!AA69</f>
        <v>0</v>
      </c>
      <c r="J19" s="360">
        <f>'1025'!AB79</f>
        <v>0</v>
      </c>
    </row>
    <row r="20" spans="2:10" ht="17.25" customHeight="1">
      <c r="B20" s="396" t="s">
        <v>103</v>
      </c>
      <c r="C20" s="330" t="s">
        <v>36</v>
      </c>
      <c r="D20" s="359">
        <f>'1025'!AD15</f>
        <v>0</v>
      </c>
      <c r="E20" s="360">
        <f>'1025'!AD26</f>
        <v>0</v>
      </c>
      <c r="F20" s="360">
        <f>'1025'!AD37</f>
        <v>0</v>
      </c>
      <c r="G20" s="361">
        <f>'1025'!AD48</f>
        <v>0</v>
      </c>
      <c r="H20" s="361">
        <f>'1025'!AD58</f>
        <v>0</v>
      </c>
      <c r="I20" s="360">
        <f>'1025'!AD69</f>
        <v>0</v>
      </c>
      <c r="J20" s="360">
        <f>'1025'!AD79</f>
        <v>0</v>
      </c>
    </row>
    <row r="21" spans="2:10" ht="17.25" customHeight="1">
      <c r="B21" s="397"/>
      <c r="C21" s="330" t="s">
        <v>85</v>
      </c>
      <c r="D21" s="359">
        <f>'1025'!AE15</f>
        <v>0</v>
      </c>
      <c r="E21" s="360">
        <f>'1025'!AE26</f>
        <v>0</v>
      </c>
      <c r="F21" s="360">
        <f>'1025'!AE37</f>
        <v>0</v>
      </c>
      <c r="G21" s="361">
        <f>'1025'!AE48</f>
        <v>0</v>
      </c>
      <c r="H21" s="361">
        <f>'1025'!AE58</f>
        <v>0</v>
      </c>
      <c r="I21" s="360">
        <f>'1025'!AE69</f>
        <v>0</v>
      </c>
      <c r="J21" s="360">
        <f>'1025'!AE79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85A8-6A3A-4274-BCA1-191F3ED66AF0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157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7A21-FD46-4305-9106-606E7D833A57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46321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VALUE('1026'!L15)</f>
        <v>#N/A</v>
      </c>
      <c r="E13" s="13" t="e">
        <f>VALUE('1026'!L26)</f>
        <v>#N/A</v>
      </c>
      <c r="F13" s="13" t="e">
        <f>VALUE('1026'!L37)</f>
        <v>#N/A</v>
      </c>
      <c r="G13" s="13" t="e">
        <f>VALUE('1026'!L48)</f>
        <v>#N/A</v>
      </c>
      <c r="H13" s="13" t="e">
        <f>VALUE('1026'!L58)</f>
        <v>#N/A</v>
      </c>
      <c r="I13" s="13" t="e">
        <f>VALUE('1026'!L69)</f>
        <v>#N/A</v>
      </c>
      <c r="J13" s="13" t="e">
        <f>'1026'!L79</f>
        <v>#N/A</v>
      </c>
    </row>
    <row r="14" spans="2:15" ht="39.950000000000003" customHeight="1">
      <c r="B14" s="392"/>
      <c r="C14" s="12" t="s">
        <v>100</v>
      </c>
      <c r="D14" s="13">
        <f>VALUE('1026'!O15)</f>
        <v>113.916365108528</v>
      </c>
      <c r="E14" s="13">
        <f>VALUE('1026'!O26)</f>
        <v>132.12003238004002</v>
      </c>
      <c r="F14" s="13">
        <f>VALUE('1026'!O37)</f>
        <v>126.23842229199551</v>
      </c>
      <c r="G14" s="13">
        <f>VALUE('1026'!O48)</f>
        <v>112.05430077169194</v>
      </c>
      <c r="H14" s="13">
        <f>VALUE('1026'!O58)</f>
        <v>102.47461972914017</v>
      </c>
      <c r="I14" s="13">
        <f>VALUE('1026'!O69)</f>
        <v>155.46443341604788</v>
      </c>
      <c r="J14" s="13">
        <f>'1026'!O79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'1026'!S70</f>
        <v>#N/A</v>
      </c>
    </row>
    <row r="16" spans="2:15" ht="17.25" customHeight="1">
      <c r="B16" s="394" t="s">
        <v>101</v>
      </c>
      <c r="C16" s="10" t="s">
        <v>34</v>
      </c>
      <c r="D16" s="16">
        <f>'1026'!T5</f>
        <v>0.29097222222222202</v>
      </c>
      <c r="E16" s="16">
        <f>'1026'!T16</f>
        <v>0.29097222222222202</v>
      </c>
      <c r="F16" s="16">
        <f>'1026'!T27</f>
        <v>0.29166666666666702</v>
      </c>
      <c r="G16" s="16">
        <f>'1026'!T38</f>
        <v>0.33333333333333298</v>
      </c>
      <c r="H16" s="16">
        <f>'1026'!T49</f>
        <v>0.29166666666666702</v>
      </c>
      <c r="I16" s="16">
        <f>'1026'!T59</f>
        <v>0.29166666666666702</v>
      </c>
      <c r="J16" s="17">
        <f>'1026'!T70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'1026'!Z15</f>
        <v>0</v>
      </c>
      <c r="E18" s="360">
        <f>'1026'!Z26</f>
        <v>0</v>
      </c>
      <c r="F18" s="360">
        <f>'1026'!Z37</f>
        <v>0</v>
      </c>
      <c r="G18" s="361">
        <f>'1026'!Z48</f>
        <v>0</v>
      </c>
      <c r="H18" s="361">
        <f>'1026'!Z58</f>
        <v>0</v>
      </c>
      <c r="I18" s="360">
        <f>'1026'!Z69</f>
        <v>0</v>
      </c>
      <c r="J18" s="360">
        <f>'1026'!AA79</f>
        <v>0</v>
      </c>
    </row>
    <row r="19" spans="2:10" ht="17.25" customHeight="1">
      <c r="B19" s="397"/>
      <c r="C19" s="330" t="s">
        <v>37</v>
      </c>
      <c r="D19" s="359">
        <f>'1026'!AA15</f>
        <v>0</v>
      </c>
      <c r="E19" s="360">
        <f>'1026'!AA26</f>
        <v>0</v>
      </c>
      <c r="F19" s="360">
        <f>'1026'!AA37</f>
        <v>0</v>
      </c>
      <c r="G19" s="361">
        <f>'1026'!AA48</f>
        <v>0</v>
      </c>
      <c r="H19" s="361">
        <f>'1026'!AA58</f>
        <v>0</v>
      </c>
      <c r="I19" s="360">
        <f>'1026'!AA69</f>
        <v>0</v>
      </c>
      <c r="J19" s="360">
        <f>'1026'!AB79</f>
        <v>0</v>
      </c>
    </row>
    <row r="20" spans="2:10" ht="17.25" customHeight="1">
      <c r="B20" s="396" t="s">
        <v>103</v>
      </c>
      <c r="C20" s="330" t="s">
        <v>36</v>
      </c>
      <c r="D20" s="359">
        <f>'1026'!AD15</f>
        <v>0</v>
      </c>
      <c r="E20" s="360">
        <f>'1026'!AD26</f>
        <v>0</v>
      </c>
      <c r="F20" s="360">
        <f>'1026'!AD37</f>
        <v>0</v>
      </c>
      <c r="G20" s="361">
        <f>'1026'!AD48</f>
        <v>0</v>
      </c>
      <c r="H20" s="361">
        <f>'1026'!AD58</f>
        <v>0</v>
      </c>
      <c r="I20" s="360">
        <f>'1026'!AD69</f>
        <v>0</v>
      </c>
      <c r="J20" s="360">
        <f>'1026'!AD79</f>
        <v>0</v>
      </c>
    </row>
    <row r="21" spans="2:10" ht="17.25" customHeight="1">
      <c r="B21" s="397"/>
      <c r="C21" s="330" t="s">
        <v>85</v>
      </c>
      <c r="D21" s="359">
        <f>'1026'!AE15</f>
        <v>0</v>
      </c>
      <c r="E21" s="360">
        <f>'1026'!AE26</f>
        <v>0</v>
      </c>
      <c r="F21" s="360">
        <f>'1026'!AE37</f>
        <v>0</v>
      </c>
      <c r="G21" s="361">
        <f>'1026'!AE48</f>
        <v>0</v>
      </c>
      <c r="H21" s="361">
        <f>'1026'!AE58</f>
        <v>0</v>
      </c>
      <c r="I21" s="360">
        <f>'1026'!AE69</f>
        <v>0</v>
      </c>
      <c r="J21" s="360">
        <f>'1026'!AE79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192A-BEDD-4EAF-98B6-EA1448842A29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158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E247-D16F-42D2-BF00-D0293CE3D120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46322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VALUE('1027'!L15)</f>
        <v>#N/A</v>
      </c>
      <c r="E13" s="13" t="e">
        <f>VALUE('1027'!L26)</f>
        <v>#N/A</v>
      </c>
      <c r="F13" s="13" t="e">
        <f>VALUE('1027'!L37)</f>
        <v>#N/A</v>
      </c>
      <c r="G13" s="13" t="e">
        <f>VALUE('1027'!L48)</f>
        <v>#N/A</v>
      </c>
      <c r="H13" s="13" t="e">
        <f>VALUE('1027'!L58)</f>
        <v>#N/A</v>
      </c>
      <c r="I13" s="13" t="e">
        <f>VALUE('1027'!L69)</f>
        <v>#N/A</v>
      </c>
      <c r="J13" s="13" t="e">
        <f>'1027'!L79</f>
        <v>#N/A</v>
      </c>
    </row>
    <row r="14" spans="2:15" ht="39.950000000000003" customHeight="1">
      <c r="B14" s="392"/>
      <c r="C14" s="12" t="s">
        <v>100</v>
      </c>
      <c r="D14" s="13">
        <f>VALUE('1027'!O15)</f>
        <v>113.916365108528</v>
      </c>
      <c r="E14" s="13">
        <f>VALUE('1027'!O26)</f>
        <v>132.12003238004002</v>
      </c>
      <c r="F14" s="13">
        <f>VALUE('1027'!O37)</f>
        <v>126.23842229199551</v>
      </c>
      <c r="G14" s="13">
        <f>VALUE('1027'!O48)</f>
        <v>112.05430077169194</v>
      </c>
      <c r="H14" s="13">
        <f>VALUE('1027'!O58)</f>
        <v>102.47461972914017</v>
      </c>
      <c r="I14" s="13">
        <f>VALUE('1027'!O69)</f>
        <v>155.46443341604788</v>
      </c>
      <c r="J14" s="13">
        <f>'1027'!O79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'1027'!S70</f>
        <v>#N/A</v>
      </c>
    </row>
    <row r="16" spans="2:15" ht="17.25" customHeight="1">
      <c r="B16" s="394" t="s">
        <v>101</v>
      </c>
      <c r="C16" s="10" t="s">
        <v>34</v>
      </c>
      <c r="D16" s="16">
        <f>'1027'!T5</f>
        <v>0.29097222222222202</v>
      </c>
      <c r="E16" s="16">
        <f>'1027'!T16</f>
        <v>0.29097222222222202</v>
      </c>
      <c r="F16" s="16">
        <f>'1027'!T27</f>
        <v>0.29166666666666702</v>
      </c>
      <c r="G16" s="16">
        <f>'1027'!T38</f>
        <v>0.33333333333333298</v>
      </c>
      <c r="H16" s="16">
        <f>'1027'!T49</f>
        <v>0.29166666666666702</v>
      </c>
      <c r="I16" s="16">
        <f>'1027'!T59</f>
        <v>0.29166666666666702</v>
      </c>
      <c r="J16" s="17">
        <f>'1027'!T70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'1027'!Z15</f>
        <v>0</v>
      </c>
      <c r="E18" s="360">
        <f>'1027'!Z26</f>
        <v>0</v>
      </c>
      <c r="F18" s="360">
        <f>'1027'!Z37</f>
        <v>0</v>
      </c>
      <c r="G18" s="361">
        <f>'1027'!Z48</f>
        <v>0</v>
      </c>
      <c r="H18" s="361">
        <f>'1027'!Z58</f>
        <v>0</v>
      </c>
      <c r="I18" s="360">
        <f>'1027'!Z69</f>
        <v>0</v>
      </c>
      <c r="J18" s="360">
        <f>'1027'!AA79</f>
        <v>0</v>
      </c>
    </row>
    <row r="19" spans="2:10" ht="17.25" customHeight="1">
      <c r="B19" s="397"/>
      <c r="C19" s="330" t="s">
        <v>37</v>
      </c>
      <c r="D19" s="359">
        <f>'1027'!AA15</f>
        <v>0</v>
      </c>
      <c r="E19" s="360">
        <f>'1027'!AA26</f>
        <v>0</v>
      </c>
      <c r="F19" s="360">
        <f>'1027'!AA37</f>
        <v>0</v>
      </c>
      <c r="G19" s="361">
        <f>'1027'!AA48</f>
        <v>0</v>
      </c>
      <c r="H19" s="361">
        <f>'1027'!AA58</f>
        <v>0</v>
      </c>
      <c r="I19" s="360">
        <f>'1027'!AA69</f>
        <v>0</v>
      </c>
      <c r="J19" s="360">
        <f>'1027'!AB79</f>
        <v>0</v>
      </c>
    </row>
    <row r="20" spans="2:10" ht="17.25" customHeight="1">
      <c r="B20" s="396" t="s">
        <v>103</v>
      </c>
      <c r="C20" s="330" t="s">
        <v>36</v>
      </c>
      <c r="D20" s="359">
        <f>'1027'!AD15</f>
        <v>0</v>
      </c>
      <c r="E20" s="360">
        <f>'1027'!AD26</f>
        <v>0</v>
      </c>
      <c r="F20" s="360">
        <f>'1027'!AD37</f>
        <v>0</v>
      </c>
      <c r="G20" s="361">
        <f>'1027'!AD48</f>
        <v>0</v>
      </c>
      <c r="H20" s="361">
        <f>'1027'!AD58</f>
        <v>0</v>
      </c>
      <c r="I20" s="360">
        <f>'1027'!AD69</f>
        <v>0</v>
      </c>
      <c r="J20" s="360">
        <f>'1027'!AD79</f>
        <v>0</v>
      </c>
    </row>
    <row r="21" spans="2:10" ht="17.25" customHeight="1">
      <c r="B21" s="397"/>
      <c r="C21" s="330" t="s">
        <v>85</v>
      </c>
      <c r="D21" s="359">
        <f>'1027'!AE15</f>
        <v>0</v>
      </c>
      <c r="E21" s="360">
        <f>'1027'!AE26</f>
        <v>0</v>
      </c>
      <c r="F21" s="360">
        <f>'1027'!AE37</f>
        <v>0</v>
      </c>
      <c r="G21" s="361">
        <f>'1027'!AE48</f>
        <v>0</v>
      </c>
      <c r="H21" s="361">
        <f>'1027'!AE58</f>
        <v>0</v>
      </c>
      <c r="I21" s="360">
        <f>'1027'!AE69</f>
        <v>0</v>
      </c>
      <c r="J21" s="360">
        <f>'1027'!AE79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060C-4829-4C15-BB4E-170FA86F277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159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F90B-589D-4F7C-9F26-D9A5F961345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46323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VALUE('1028'!L15)</f>
        <v>#N/A</v>
      </c>
      <c r="E13" s="13" t="e">
        <f>VALUE('1028'!L26)</f>
        <v>#N/A</v>
      </c>
      <c r="F13" s="13" t="e">
        <f>VALUE('1028'!L37)</f>
        <v>#N/A</v>
      </c>
      <c r="G13" s="13" t="e">
        <f>VALUE('1028'!L48)</f>
        <v>#N/A</v>
      </c>
      <c r="H13" s="13" t="e">
        <f>VALUE('1028'!L58)</f>
        <v>#N/A</v>
      </c>
      <c r="I13" s="13" t="e">
        <f>VALUE('1028'!L69)</f>
        <v>#N/A</v>
      </c>
      <c r="J13" s="13" t="e">
        <f>'1028'!L79</f>
        <v>#N/A</v>
      </c>
    </row>
    <row r="14" spans="2:15" ht="39.950000000000003" customHeight="1">
      <c r="B14" s="392"/>
      <c r="C14" s="12" t="s">
        <v>100</v>
      </c>
      <c r="D14" s="13">
        <f>VALUE('1028'!O15)</f>
        <v>113.916365108528</v>
      </c>
      <c r="E14" s="13">
        <f>VALUE('1028'!O26)</f>
        <v>132.12003238004002</v>
      </c>
      <c r="F14" s="13">
        <f>VALUE('1028'!O37)</f>
        <v>126.23842229199551</v>
      </c>
      <c r="G14" s="13">
        <f>VALUE('1028'!O48)</f>
        <v>112.05430077169194</v>
      </c>
      <c r="H14" s="13">
        <f>VALUE('1028'!O58)</f>
        <v>102.47461972914017</v>
      </c>
      <c r="I14" s="13">
        <f>VALUE('1028'!O69)</f>
        <v>155.46443341604788</v>
      </c>
      <c r="J14" s="13">
        <f>'1028'!O79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'1028'!S70</f>
        <v>#N/A</v>
      </c>
    </row>
    <row r="16" spans="2:15" ht="17.25" customHeight="1">
      <c r="B16" s="394" t="s">
        <v>101</v>
      </c>
      <c r="C16" s="10" t="s">
        <v>34</v>
      </c>
      <c r="D16" s="16">
        <f>'1028'!T5</f>
        <v>0.29097222222222202</v>
      </c>
      <c r="E16" s="16">
        <f>'1028'!T16</f>
        <v>0.29097222222222202</v>
      </c>
      <c r="F16" s="16">
        <f>'1028'!T27</f>
        <v>0.29166666666666702</v>
      </c>
      <c r="G16" s="16">
        <f>'1028'!T38</f>
        <v>0.33333333333333298</v>
      </c>
      <c r="H16" s="16">
        <f>'1028'!T49</f>
        <v>0.29166666666666702</v>
      </c>
      <c r="I16" s="16">
        <f>'1028'!T59</f>
        <v>0.29166666666666702</v>
      </c>
      <c r="J16" s="17">
        <f>'1028'!T70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'1028'!Z15</f>
        <v>0</v>
      </c>
      <c r="E18" s="360">
        <f>'1028'!Z26</f>
        <v>0</v>
      </c>
      <c r="F18" s="360">
        <f>'1028'!Z37</f>
        <v>0</v>
      </c>
      <c r="G18" s="361">
        <f>'1028'!Z48</f>
        <v>0</v>
      </c>
      <c r="H18" s="361">
        <f>'1028'!Z58</f>
        <v>0</v>
      </c>
      <c r="I18" s="360">
        <f>'1028'!Z69</f>
        <v>0</v>
      </c>
      <c r="J18" s="360">
        <f>'1028'!AA79</f>
        <v>0</v>
      </c>
    </row>
    <row r="19" spans="2:10" ht="17.25" customHeight="1">
      <c r="B19" s="397"/>
      <c r="C19" s="330" t="s">
        <v>37</v>
      </c>
      <c r="D19" s="359">
        <f>'1028'!AA15</f>
        <v>0</v>
      </c>
      <c r="E19" s="360">
        <f>'1028'!AA26</f>
        <v>0</v>
      </c>
      <c r="F19" s="360">
        <f>'1028'!AA37</f>
        <v>0</v>
      </c>
      <c r="G19" s="361">
        <f>'1028'!AA48</f>
        <v>0</v>
      </c>
      <c r="H19" s="361">
        <f>'1028'!AA58</f>
        <v>0</v>
      </c>
      <c r="I19" s="360">
        <f>'1028'!AA69</f>
        <v>0</v>
      </c>
      <c r="J19" s="360">
        <f>'1028'!AB79</f>
        <v>0</v>
      </c>
    </row>
    <row r="20" spans="2:10" ht="17.25" customHeight="1">
      <c r="B20" s="396" t="s">
        <v>103</v>
      </c>
      <c r="C20" s="330" t="s">
        <v>36</v>
      </c>
      <c r="D20" s="359">
        <f>'1028'!AD15</f>
        <v>0</v>
      </c>
      <c r="E20" s="360">
        <f>'1028'!AD26</f>
        <v>0</v>
      </c>
      <c r="F20" s="360">
        <f>'1028'!AD37</f>
        <v>0</v>
      </c>
      <c r="G20" s="361">
        <f>'1028'!AD48</f>
        <v>0</v>
      </c>
      <c r="H20" s="361">
        <f>'1028'!AD58</f>
        <v>0</v>
      </c>
      <c r="I20" s="360">
        <f>'1028'!AD69</f>
        <v>0</v>
      </c>
      <c r="J20" s="360">
        <f>'1028'!AD79</f>
        <v>0</v>
      </c>
    </row>
    <row r="21" spans="2:10" ht="17.25" customHeight="1">
      <c r="B21" s="397"/>
      <c r="C21" s="330" t="s">
        <v>85</v>
      </c>
      <c r="D21" s="359">
        <f>'1028'!AE15</f>
        <v>0</v>
      </c>
      <c r="E21" s="360">
        <f>'1028'!AE26</f>
        <v>0</v>
      </c>
      <c r="F21" s="360">
        <f>'1028'!AE37</f>
        <v>0</v>
      </c>
      <c r="G21" s="361">
        <f>'1028'!AE48</f>
        <v>0</v>
      </c>
      <c r="H21" s="361">
        <f>'1028'!AE58</f>
        <v>0</v>
      </c>
      <c r="I21" s="360">
        <f>'1028'!AE69</f>
        <v>0</v>
      </c>
      <c r="J21" s="360">
        <f>'1028'!AE79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A08E-982E-4176-8DE7-00647782CCEF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180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FFBA-A9C3-432E-92AB-2897770E2CE9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46324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VALUE('1029'!L15)</f>
        <v>#N/A</v>
      </c>
      <c r="E13" s="13" t="e">
        <f>VALUE('1029'!L26)</f>
        <v>#N/A</v>
      </c>
      <c r="F13" s="13" t="e">
        <f>VALUE('1029'!L37)</f>
        <v>#N/A</v>
      </c>
      <c r="G13" s="13" t="e">
        <f>VALUE('1029'!L48)</f>
        <v>#N/A</v>
      </c>
      <c r="H13" s="13" t="e">
        <f>VALUE('1029'!L58)</f>
        <v>#N/A</v>
      </c>
      <c r="I13" s="13" t="e">
        <f>VALUE('1029'!L69)</f>
        <v>#N/A</v>
      </c>
      <c r="J13" s="13" t="e">
        <f>'1029'!L79</f>
        <v>#N/A</v>
      </c>
    </row>
    <row r="14" spans="2:15" ht="39.950000000000003" customHeight="1">
      <c r="B14" s="392"/>
      <c r="C14" s="12" t="s">
        <v>100</v>
      </c>
      <c r="D14" s="13">
        <f>VALUE('1029'!O15)</f>
        <v>113.916365108528</v>
      </c>
      <c r="E14" s="13">
        <f>VALUE('1029'!O26)</f>
        <v>132.12003238004002</v>
      </c>
      <c r="F14" s="13">
        <f>VALUE('1029'!O37)</f>
        <v>126.23842229199551</v>
      </c>
      <c r="G14" s="13">
        <f>VALUE('1029'!O48)</f>
        <v>112.05430077169194</v>
      </c>
      <c r="H14" s="13">
        <f>VALUE('1029'!O58)</f>
        <v>102.47461972914017</v>
      </c>
      <c r="I14" s="13">
        <f>VALUE('1029'!O69)</f>
        <v>155.46443341604788</v>
      </c>
      <c r="J14" s="13">
        <f>'1029'!O79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'1029'!S70</f>
        <v>#N/A</v>
      </c>
    </row>
    <row r="16" spans="2:15" ht="17.25" customHeight="1">
      <c r="B16" s="394" t="s">
        <v>101</v>
      </c>
      <c r="C16" s="10" t="s">
        <v>34</v>
      </c>
      <c r="D16" s="16">
        <f>'1029'!T5</f>
        <v>0.29097222222222202</v>
      </c>
      <c r="E16" s="16">
        <f>'1029'!T16</f>
        <v>0.29097222222222202</v>
      </c>
      <c r="F16" s="16">
        <f>'1029'!T27</f>
        <v>0.29166666666666702</v>
      </c>
      <c r="G16" s="16">
        <f>'1029'!T38</f>
        <v>0.33333333333333298</v>
      </c>
      <c r="H16" s="16">
        <f>'1029'!T49</f>
        <v>0.29166666666666702</v>
      </c>
      <c r="I16" s="16">
        <f>'1029'!T59</f>
        <v>0.29166666666666702</v>
      </c>
      <c r="J16" s="17">
        <f>'1029'!T70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'1029'!Z15</f>
        <v>0</v>
      </c>
      <c r="E18" s="360">
        <f>'1029'!Z26</f>
        <v>0</v>
      </c>
      <c r="F18" s="360">
        <f>'1029'!Z37</f>
        <v>0</v>
      </c>
      <c r="G18" s="361">
        <f>'1029'!Z48</f>
        <v>0</v>
      </c>
      <c r="H18" s="361">
        <f>'1029'!Z58</f>
        <v>0</v>
      </c>
      <c r="I18" s="360">
        <f>'1029'!Z69</f>
        <v>0</v>
      </c>
      <c r="J18" s="360">
        <f>'1029'!AA79</f>
        <v>0</v>
      </c>
    </row>
    <row r="19" spans="2:10" ht="17.25" customHeight="1">
      <c r="B19" s="397"/>
      <c r="C19" s="330" t="s">
        <v>37</v>
      </c>
      <c r="D19" s="359">
        <f>'1029'!AA15</f>
        <v>0</v>
      </c>
      <c r="E19" s="360">
        <f>'1029'!AA26</f>
        <v>0</v>
      </c>
      <c r="F19" s="360">
        <f>'1029'!AA37</f>
        <v>0</v>
      </c>
      <c r="G19" s="361">
        <f>'1029'!AA48</f>
        <v>0</v>
      </c>
      <c r="H19" s="361">
        <f>'1029'!AA58</f>
        <v>0</v>
      </c>
      <c r="I19" s="360">
        <f>'1029'!AA69</f>
        <v>0</v>
      </c>
      <c r="J19" s="360">
        <f>'1029'!AB79</f>
        <v>0</v>
      </c>
    </row>
    <row r="20" spans="2:10" ht="17.25" customHeight="1">
      <c r="B20" s="396" t="s">
        <v>103</v>
      </c>
      <c r="C20" s="330" t="s">
        <v>36</v>
      </c>
      <c r="D20" s="359">
        <f>'1029'!AD15</f>
        <v>0</v>
      </c>
      <c r="E20" s="360">
        <f>'1029'!AD26</f>
        <v>0</v>
      </c>
      <c r="F20" s="360">
        <f>'1029'!AD37</f>
        <v>0</v>
      </c>
      <c r="G20" s="361">
        <f>'1029'!AD48</f>
        <v>0</v>
      </c>
      <c r="H20" s="361">
        <f>'1029'!AD58</f>
        <v>0</v>
      </c>
      <c r="I20" s="360">
        <f>'1029'!AD69</f>
        <v>0</v>
      </c>
      <c r="J20" s="360">
        <f>'1029'!AD79</f>
        <v>0</v>
      </c>
    </row>
    <row r="21" spans="2:10" ht="17.25" customHeight="1">
      <c r="B21" s="397"/>
      <c r="C21" s="330" t="s">
        <v>85</v>
      </c>
      <c r="D21" s="359">
        <f>'1029'!AE15</f>
        <v>0</v>
      </c>
      <c r="E21" s="360">
        <f>'1029'!AE26</f>
        <v>0</v>
      </c>
      <c r="F21" s="360">
        <f>'1029'!AE37</f>
        <v>0</v>
      </c>
      <c r="G21" s="361">
        <f>'1029'!AE48</f>
        <v>0</v>
      </c>
      <c r="H21" s="361">
        <f>'1029'!AE58</f>
        <v>0</v>
      </c>
      <c r="I21" s="360">
        <f>'1029'!AE69</f>
        <v>0</v>
      </c>
      <c r="J21" s="360">
        <f>'1029'!AE79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2781-69D6-4967-8577-A014B21DA6C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177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22C6-92C6-405D-9CE6-26DBFE5EEE5B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46325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VALUE('1030'!L15)</f>
        <v>#N/A</v>
      </c>
      <c r="E13" s="13" t="e">
        <f>VALUE('1030'!L26)</f>
        <v>#N/A</v>
      </c>
      <c r="F13" s="13" t="e">
        <f>VALUE('1030'!L37)</f>
        <v>#N/A</v>
      </c>
      <c r="G13" s="13" t="e">
        <f>VALUE('1030'!L48)</f>
        <v>#N/A</v>
      </c>
      <c r="H13" s="13" t="e">
        <f>VALUE('1030'!L58)</f>
        <v>#N/A</v>
      </c>
      <c r="I13" s="13" t="e">
        <f>VALUE('1030'!L69)</f>
        <v>#N/A</v>
      </c>
      <c r="J13" s="13" t="e">
        <f>'1030'!L79</f>
        <v>#N/A</v>
      </c>
    </row>
    <row r="14" spans="2:15" ht="39.950000000000003" customHeight="1">
      <c r="B14" s="392"/>
      <c r="C14" s="12" t="s">
        <v>100</v>
      </c>
      <c r="D14" s="13">
        <f>VALUE('1030'!O15)</f>
        <v>113.916365108528</v>
      </c>
      <c r="E14" s="13">
        <f>VALUE('1030'!O26)</f>
        <v>132.12003238004002</v>
      </c>
      <c r="F14" s="13">
        <f>VALUE('1030'!O37)</f>
        <v>126.23842229199551</v>
      </c>
      <c r="G14" s="13">
        <f>VALUE('1030'!O48)</f>
        <v>112.05430077169194</v>
      </c>
      <c r="H14" s="13">
        <f>VALUE('1030'!O58)</f>
        <v>102.47461972914017</v>
      </c>
      <c r="I14" s="13">
        <f>VALUE('1030'!O69)</f>
        <v>155.46443341604788</v>
      </c>
      <c r="J14" s="13">
        <f>'1030'!O79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'1030'!S70</f>
        <v>#N/A</v>
      </c>
    </row>
    <row r="16" spans="2:15" ht="17.25" customHeight="1">
      <c r="B16" s="394" t="s">
        <v>101</v>
      </c>
      <c r="C16" s="10" t="s">
        <v>34</v>
      </c>
      <c r="D16" s="16">
        <f>'1030'!T5</f>
        <v>0.29097222222222202</v>
      </c>
      <c r="E16" s="16">
        <f>'1030'!T16</f>
        <v>0.29097222222222202</v>
      </c>
      <c r="F16" s="16">
        <f>'1030'!T27</f>
        <v>0.29166666666666702</v>
      </c>
      <c r="G16" s="16">
        <f>'1030'!T38</f>
        <v>0.33333333333333298</v>
      </c>
      <c r="H16" s="16">
        <f>'1030'!T49</f>
        <v>0.29166666666666702</v>
      </c>
      <c r="I16" s="16">
        <f>'1030'!T59</f>
        <v>0.29166666666666702</v>
      </c>
      <c r="J16" s="17">
        <f>'1030'!T70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'1030'!Z15</f>
        <v>0</v>
      </c>
      <c r="E18" s="360">
        <f>'1030'!Z26</f>
        <v>0</v>
      </c>
      <c r="F18" s="360">
        <f>'1030'!Z37</f>
        <v>0</v>
      </c>
      <c r="G18" s="361">
        <f>'1030'!Z48</f>
        <v>0</v>
      </c>
      <c r="H18" s="361">
        <f>'1030'!Z58</f>
        <v>0</v>
      </c>
      <c r="I18" s="360">
        <f>'1030'!Z69</f>
        <v>0</v>
      </c>
      <c r="J18" s="360">
        <f>'1030'!AA79</f>
        <v>0</v>
      </c>
    </row>
    <row r="19" spans="2:10" ht="17.25" customHeight="1">
      <c r="B19" s="397"/>
      <c r="C19" s="330" t="s">
        <v>37</v>
      </c>
      <c r="D19" s="359">
        <f>'1030'!AA15</f>
        <v>0</v>
      </c>
      <c r="E19" s="360">
        <f>'1030'!AA26</f>
        <v>0</v>
      </c>
      <c r="F19" s="360">
        <f>'1030'!AA37</f>
        <v>0</v>
      </c>
      <c r="G19" s="361">
        <f>'1030'!AA48</f>
        <v>0</v>
      </c>
      <c r="H19" s="361">
        <f>'1030'!AA58</f>
        <v>0</v>
      </c>
      <c r="I19" s="360">
        <f>'1030'!AA69</f>
        <v>0</v>
      </c>
      <c r="J19" s="360">
        <f>'1030'!AB79</f>
        <v>0</v>
      </c>
    </row>
    <row r="20" spans="2:10" ht="17.25" customHeight="1">
      <c r="B20" s="396" t="s">
        <v>103</v>
      </c>
      <c r="C20" s="330" t="s">
        <v>36</v>
      </c>
      <c r="D20" s="359">
        <f>'1030'!AD15</f>
        <v>0</v>
      </c>
      <c r="E20" s="360">
        <f>'1030'!AD26</f>
        <v>0</v>
      </c>
      <c r="F20" s="360">
        <f>'1030'!AD37</f>
        <v>0</v>
      </c>
      <c r="G20" s="361">
        <f>'1030'!AD48</f>
        <v>0</v>
      </c>
      <c r="H20" s="361">
        <f>'1030'!AD58</f>
        <v>0</v>
      </c>
      <c r="I20" s="360">
        <f>'1030'!AD69</f>
        <v>0</v>
      </c>
      <c r="J20" s="360">
        <f>'1030'!AD79</f>
        <v>0</v>
      </c>
    </row>
    <row r="21" spans="2:10" ht="17.25" customHeight="1">
      <c r="B21" s="397"/>
      <c r="C21" s="330" t="s">
        <v>85</v>
      </c>
      <c r="D21" s="359">
        <f>'1030'!AE15</f>
        <v>0</v>
      </c>
      <c r="E21" s="360">
        <f>'1030'!AE26</f>
        <v>0</v>
      </c>
      <c r="F21" s="360">
        <f>'1030'!AE37</f>
        <v>0</v>
      </c>
      <c r="G21" s="361">
        <f>'1030'!AE48</f>
        <v>0</v>
      </c>
      <c r="H21" s="361">
        <f>'1030'!AE58</f>
        <v>0</v>
      </c>
      <c r="I21" s="360">
        <f>'1030'!AE69</f>
        <v>0</v>
      </c>
      <c r="J21" s="360">
        <f>'1030'!AE79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4192-76C7-42FA-95AA-09E271A5D918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178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10A6-49C9-425B-9C57-8D778706652D}"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97" width="8.85546875" style="2" customWidth="1"/>
    <col min="198" max="16384" width="8.85546875" style="2"/>
  </cols>
  <sheetData>
    <row r="1" spans="2:15" ht="27.75" customHeight="1">
      <c r="B1" s="365" t="s">
        <v>70</v>
      </c>
      <c r="C1" s="365"/>
      <c r="D1" s="365"/>
      <c r="E1" s="365"/>
      <c r="F1" s="365"/>
      <c r="G1" s="365"/>
      <c r="H1" s="365"/>
      <c r="I1" s="365"/>
      <c r="J1" s="365"/>
      <c r="K1" s="365"/>
      <c r="L1" s="1"/>
      <c r="M1" s="1"/>
    </row>
    <row r="2" spans="2:15" ht="27.75" customHeight="1"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1"/>
      <c r="M2" s="1"/>
    </row>
    <row r="3" spans="2:15" ht="46.5" customHeight="1">
      <c r="B3" s="362" t="s">
        <v>71</v>
      </c>
      <c r="C3" s="362"/>
      <c r="D3" s="366">
        <v>46326</v>
      </c>
      <c r="E3" s="367"/>
      <c r="F3" s="3" t="s">
        <v>72</v>
      </c>
      <c r="G3" s="368">
        <f>範本!E1</f>
        <v>43309</v>
      </c>
      <c r="H3" s="368"/>
      <c r="I3" s="3" t="s">
        <v>2</v>
      </c>
      <c r="J3" s="369" t="e">
        <f>範本!G1</f>
        <v>#N/A</v>
      </c>
      <c r="K3" s="369"/>
      <c r="L3" s="4"/>
    </row>
    <row r="4" spans="2:15" ht="24" customHeight="1">
      <c r="B4" s="362" t="s">
        <v>73</v>
      </c>
      <c r="C4" s="362"/>
      <c r="D4" s="363">
        <v>3</v>
      </c>
      <c r="E4" s="363"/>
      <c r="F4" s="364" t="s">
        <v>74</v>
      </c>
      <c r="G4" s="364"/>
      <c r="H4" s="364" t="s">
        <v>75</v>
      </c>
      <c r="I4" s="364"/>
      <c r="J4" s="363" t="s">
        <v>76</v>
      </c>
      <c r="K4" s="364"/>
      <c r="L4" s="383" t="s">
        <v>77</v>
      </c>
      <c r="M4" s="376"/>
      <c r="N4" s="376" t="s">
        <v>78</v>
      </c>
      <c r="O4" s="376"/>
    </row>
    <row r="5" spans="2:15" ht="24" customHeight="1">
      <c r="B5" s="362" t="s">
        <v>14</v>
      </c>
      <c r="C5" s="362"/>
      <c r="D5" s="363" t="s">
        <v>79</v>
      </c>
      <c r="E5" s="363"/>
      <c r="F5" s="363" t="s">
        <v>80</v>
      </c>
      <c r="G5" s="363"/>
      <c r="H5" s="372" t="s">
        <v>81</v>
      </c>
      <c r="I5" s="372"/>
      <c r="J5" s="373" t="s">
        <v>82</v>
      </c>
      <c r="K5" s="373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362"/>
      <c r="C6" s="362"/>
      <c r="D6" s="362" t="s">
        <v>86</v>
      </c>
      <c r="E6" s="362"/>
      <c r="F6" s="374" t="e">
        <f>AVERAGE(D13:J13)</f>
        <v>#N/A</v>
      </c>
      <c r="G6" s="374"/>
      <c r="H6" s="375" t="e">
        <f>AVERAGE(D13:H13)</f>
        <v>#N/A</v>
      </c>
      <c r="I6" s="375"/>
      <c r="J6" s="375" t="e">
        <f>AVERAGE(I13:J13)</f>
        <v>#N/A</v>
      </c>
      <c r="K6" s="375"/>
      <c r="L6" s="377">
        <f>範本!Z2</f>
        <v>0</v>
      </c>
      <c r="M6" s="378">
        <f>範本!AA2</f>
        <v>0</v>
      </c>
      <c r="N6" s="379">
        <f>範本!AD2</f>
        <v>0</v>
      </c>
      <c r="O6" s="378">
        <f>範本!AE2</f>
        <v>0</v>
      </c>
    </row>
    <row r="7" spans="2:15" ht="39.6" customHeight="1">
      <c r="B7" s="362"/>
      <c r="C7" s="362"/>
      <c r="D7" s="370" t="s">
        <v>87</v>
      </c>
      <c r="E7" s="370"/>
      <c r="F7" s="398">
        <f>AVERAGE(D14:J14)</f>
        <v>116.11474837607263</v>
      </c>
      <c r="G7" s="398"/>
      <c r="H7" s="399">
        <f>AVERAGE(D14:H14)</f>
        <v>117.36074805627914</v>
      </c>
      <c r="I7" s="399"/>
      <c r="J7" s="399">
        <f>AVERAGE(I14:J14)</f>
        <v>112.99974917555633</v>
      </c>
      <c r="K7" s="399"/>
      <c r="L7" s="377"/>
      <c r="M7" s="378"/>
      <c r="N7" s="379"/>
      <c r="O7" s="378"/>
    </row>
    <row r="8" spans="2:15" ht="39.6" customHeight="1">
      <c r="B8" s="362"/>
      <c r="C8" s="362"/>
      <c r="D8" s="370" t="s">
        <v>27</v>
      </c>
      <c r="E8" s="370"/>
      <c r="F8" s="371" t="e">
        <f>AVERAGE(D15:J15)</f>
        <v>#N/A</v>
      </c>
      <c r="G8" s="371"/>
      <c r="H8" s="371" t="e">
        <f>AVERAGE(D15:H15)</f>
        <v>#N/A</v>
      </c>
      <c r="I8" s="371"/>
      <c r="J8" s="371" t="e">
        <f>AVERAGE(I15:J15)</f>
        <v>#N/A</v>
      </c>
      <c r="K8" s="371"/>
      <c r="L8" s="377"/>
      <c r="M8" s="378"/>
      <c r="N8" s="379"/>
      <c r="O8" s="378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380" t="s">
        <v>89</v>
      </c>
      <c r="C10" s="381"/>
      <c r="D10" s="384" t="s">
        <v>90</v>
      </c>
      <c r="E10" s="385"/>
      <c r="F10" s="385"/>
      <c r="G10" s="385"/>
      <c r="H10" s="385"/>
      <c r="I10" s="385"/>
      <c r="J10" s="386"/>
    </row>
    <row r="11" spans="2:15" ht="17.25" customHeight="1">
      <c r="B11" s="387" t="s">
        <v>91</v>
      </c>
      <c r="C11" s="388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389"/>
      <c r="C12" s="390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391" t="s">
        <v>14</v>
      </c>
      <c r="C13" s="12" t="s">
        <v>99</v>
      </c>
      <c r="D13" s="13" t="e">
        <f>VALUE('1031'!L15)</f>
        <v>#N/A</v>
      </c>
      <c r="E13" s="13" t="e">
        <f>VALUE('1031'!L26)</f>
        <v>#N/A</v>
      </c>
      <c r="F13" s="13" t="e">
        <f>VALUE('1031'!L37)</f>
        <v>#N/A</v>
      </c>
      <c r="G13" s="13" t="e">
        <f>VALUE('1031'!L48)</f>
        <v>#N/A</v>
      </c>
      <c r="H13" s="13" t="e">
        <f>VALUE('1031'!L58)</f>
        <v>#N/A</v>
      </c>
      <c r="I13" s="13" t="e">
        <f>VALUE('1031'!L69)</f>
        <v>#N/A</v>
      </c>
      <c r="J13" s="13" t="e">
        <f>'1031'!L79</f>
        <v>#N/A</v>
      </c>
    </row>
    <row r="14" spans="2:15" ht="39.950000000000003" customHeight="1">
      <c r="B14" s="392"/>
      <c r="C14" s="12" t="s">
        <v>100</v>
      </c>
      <c r="D14" s="13">
        <f>VALUE('1031'!O15)</f>
        <v>113.916365108528</v>
      </c>
      <c r="E14" s="13">
        <f>VALUE('1031'!O26)</f>
        <v>132.12003238004002</v>
      </c>
      <c r="F14" s="13">
        <f>VALUE('1031'!O37)</f>
        <v>126.23842229199551</v>
      </c>
      <c r="G14" s="13">
        <f>VALUE('1031'!O48)</f>
        <v>112.05430077169194</v>
      </c>
      <c r="H14" s="13">
        <f>VALUE('1031'!O58)</f>
        <v>102.47461972914017</v>
      </c>
      <c r="I14" s="13">
        <f>VALUE('1031'!O69)</f>
        <v>155.46443341604788</v>
      </c>
      <c r="J14" s="13">
        <f>'1031'!O79</f>
        <v>70.535064935064796</v>
      </c>
    </row>
    <row r="15" spans="2:15" ht="39.950000000000003" customHeight="1">
      <c r="B15" s="393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'1031'!S70</f>
        <v>#N/A</v>
      </c>
    </row>
    <row r="16" spans="2:15" ht="17.25" customHeight="1">
      <c r="B16" s="394" t="s">
        <v>101</v>
      </c>
      <c r="C16" s="10" t="s">
        <v>34</v>
      </c>
      <c r="D16" s="16">
        <f>'1031'!T5</f>
        <v>0.29097222222222202</v>
      </c>
      <c r="E16" s="16">
        <f>'1031'!T16</f>
        <v>0.29097222222222202</v>
      </c>
      <c r="F16" s="16">
        <f>'1031'!T27</f>
        <v>0.29166666666666702</v>
      </c>
      <c r="G16" s="16">
        <f>'1031'!T38</f>
        <v>0.33333333333333298</v>
      </c>
      <c r="H16" s="16">
        <f>'1031'!T49</f>
        <v>0.29166666666666702</v>
      </c>
      <c r="I16" s="16">
        <f>'1031'!T59</f>
        <v>0.29166666666666702</v>
      </c>
      <c r="J16" s="17">
        <f>'1031'!T70</f>
        <v>0.34722222222222199</v>
      </c>
    </row>
    <row r="17" spans="2:10" ht="17.25" customHeight="1">
      <c r="B17" s="395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396" t="s">
        <v>102</v>
      </c>
      <c r="C18" s="330" t="s">
        <v>36</v>
      </c>
      <c r="D18" s="359">
        <f>'1031'!Z15</f>
        <v>0</v>
      </c>
      <c r="E18" s="360">
        <f>'1031'!Z26</f>
        <v>0</v>
      </c>
      <c r="F18" s="360">
        <f>'1031'!Z37</f>
        <v>0</v>
      </c>
      <c r="G18" s="361">
        <f>'1031'!Z48</f>
        <v>0</v>
      </c>
      <c r="H18" s="361">
        <f>'1031'!Z58</f>
        <v>0</v>
      </c>
      <c r="I18" s="360">
        <f>'1031'!Z69</f>
        <v>0</v>
      </c>
      <c r="J18" s="360">
        <f>'1031'!AA79</f>
        <v>0</v>
      </c>
    </row>
    <row r="19" spans="2:10" ht="17.25" customHeight="1">
      <c r="B19" s="397"/>
      <c r="C19" s="330" t="s">
        <v>37</v>
      </c>
      <c r="D19" s="359">
        <f>'1031'!AA15</f>
        <v>0</v>
      </c>
      <c r="E19" s="360">
        <f>'1031'!AA26</f>
        <v>0</v>
      </c>
      <c r="F19" s="360">
        <f>'1031'!AA37</f>
        <v>0</v>
      </c>
      <c r="G19" s="361">
        <f>'1031'!AA48</f>
        <v>0</v>
      </c>
      <c r="H19" s="361">
        <f>'1031'!AA58</f>
        <v>0</v>
      </c>
      <c r="I19" s="360">
        <f>'1031'!AA69</f>
        <v>0</v>
      </c>
      <c r="J19" s="360">
        <f>'1031'!AB79</f>
        <v>0</v>
      </c>
    </row>
    <row r="20" spans="2:10" ht="17.25" customHeight="1">
      <c r="B20" s="396" t="s">
        <v>103</v>
      </c>
      <c r="C20" s="330" t="s">
        <v>36</v>
      </c>
      <c r="D20" s="359">
        <f>'1031'!AD15</f>
        <v>0</v>
      </c>
      <c r="E20" s="360">
        <f>'1031'!AD26</f>
        <v>0</v>
      </c>
      <c r="F20" s="360">
        <f>'1031'!AD37</f>
        <v>0</v>
      </c>
      <c r="G20" s="361">
        <f>'1031'!AD48</f>
        <v>0</v>
      </c>
      <c r="H20" s="361">
        <f>'1031'!AD58</f>
        <v>0</v>
      </c>
      <c r="I20" s="360">
        <f>'1031'!AD69</f>
        <v>0</v>
      </c>
      <c r="J20" s="360">
        <f>'1031'!AD79</f>
        <v>0</v>
      </c>
    </row>
    <row r="21" spans="2:10" ht="17.25" customHeight="1">
      <c r="B21" s="397"/>
      <c r="C21" s="330" t="s">
        <v>85</v>
      </c>
      <c r="D21" s="359">
        <f>'1031'!AE15</f>
        <v>0</v>
      </c>
      <c r="E21" s="360">
        <f>'1031'!AE26</f>
        <v>0</v>
      </c>
      <c r="F21" s="360">
        <f>'1031'!AE37</f>
        <v>0</v>
      </c>
      <c r="G21" s="361">
        <f>'1031'!AE48</f>
        <v>0</v>
      </c>
      <c r="H21" s="361">
        <f>'1031'!AE58</f>
        <v>0</v>
      </c>
      <c r="I21" s="360">
        <f>'1031'!AE69</f>
        <v>0</v>
      </c>
      <c r="J21" s="360">
        <f>'1031'!AE79</f>
        <v>0</v>
      </c>
    </row>
    <row r="22" spans="2:10" ht="17.25" customHeight="1">
      <c r="B22" s="380" t="s">
        <v>104</v>
      </c>
      <c r="C22" s="38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380" t="s">
        <v>105</v>
      </c>
      <c r="C23" s="38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380" t="s">
        <v>109</v>
      </c>
      <c r="C24" s="38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380" t="s">
        <v>111</v>
      </c>
      <c r="C25" s="381"/>
      <c r="D25" s="25"/>
      <c r="E25" s="25"/>
      <c r="F25" s="25"/>
      <c r="G25" s="25"/>
      <c r="H25" s="25"/>
      <c r="I25" s="25"/>
      <c r="J25" s="25"/>
    </row>
    <row r="26" spans="2:10">
      <c r="B26" s="382"/>
      <c r="C26" s="382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19C0-5572-458E-B5F1-41B6E81A50AE}"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210" width="8.7109375" style="34" customWidth="1"/>
    <col min="211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425" t="s">
        <v>4</v>
      </c>
      <c r="K1" s="425"/>
      <c r="L1" s="425"/>
      <c r="M1" s="425" t="s">
        <v>5</v>
      </c>
      <c r="N1" s="425"/>
      <c r="O1" s="425"/>
      <c r="P1" s="425" t="s">
        <v>6</v>
      </c>
      <c r="Q1" s="425"/>
      <c r="R1" s="425"/>
      <c r="S1" s="425"/>
      <c r="T1" s="425" t="s">
        <v>7</v>
      </c>
      <c r="U1" s="425"/>
      <c r="V1" s="425"/>
      <c r="W1" s="425"/>
      <c r="X1" s="425"/>
      <c r="Y1" s="425"/>
      <c r="Z1" s="294" t="s">
        <v>8</v>
      </c>
      <c r="AA1" s="294" t="s">
        <v>9</v>
      </c>
      <c r="AB1" s="425" t="s">
        <v>10</v>
      </c>
      <c r="AC1" s="425"/>
      <c r="AD1" s="294" t="s">
        <v>8</v>
      </c>
      <c r="AE1" s="294" t="s">
        <v>11</v>
      </c>
      <c r="AF1" s="425" t="s">
        <v>12</v>
      </c>
      <c r="AG1" s="426"/>
      <c r="AH1" s="426"/>
    </row>
    <row r="2" spans="1:34" ht="23.25">
      <c r="A2" s="417" t="s">
        <v>179</v>
      </c>
      <c r="B2" s="417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339">
        <f>Z15+Z26+Z37+Z48+Z58+Z69+Z79</f>
        <v>0</v>
      </c>
      <c r="AA2" s="339">
        <f>AA15+AA26+AA37+AA48+AA58+AA69+AA79</f>
        <v>0</v>
      </c>
      <c r="AB2" s="444"/>
      <c r="AC2" s="444"/>
      <c r="AD2" s="340">
        <f>AD15+AD26+AD37+AD48+AD58+AD69+AD79</f>
        <v>0</v>
      </c>
      <c r="AE2" s="340">
        <f>AE15+AE26+AE37+AE48+AE58+AE69+AE79</f>
        <v>0</v>
      </c>
      <c r="AF2" s="426"/>
      <c r="AG2" s="426"/>
      <c r="AH2" s="426"/>
    </row>
    <row r="3" spans="1:34" ht="32.1" customHeight="1">
      <c r="A3" s="418" t="s">
        <v>17</v>
      </c>
      <c r="B3" s="418" t="s">
        <v>18</v>
      </c>
      <c r="C3" s="30"/>
      <c r="D3" s="418" t="s">
        <v>19</v>
      </c>
      <c r="E3" s="418"/>
      <c r="F3" s="411" t="s">
        <v>20</v>
      </c>
      <c r="G3" s="408" t="s">
        <v>21</v>
      </c>
      <c r="H3" s="411" t="s">
        <v>22</v>
      </c>
      <c r="I3" s="413" t="s">
        <v>23</v>
      </c>
      <c r="J3" s="415" t="s">
        <v>24</v>
      </c>
      <c r="K3" s="404" t="s">
        <v>25</v>
      </c>
      <c r="L3" s="406" t="s">
        <v>14</v>
      </c>
      <c r="M3" s="408" t="s">
        <v>24</v>
      </c>
      <c r="N3" s="404" t="s">
        <v>25</v>
      </c>
      <c r="O3" s="406" t="s">
        <v>14</v>
      </c>
      <c r="P3" s="415" t="s">
        <v>24</v>
      </c>
      <c r="Q3" s="406" t="s">
        <v>14</v>
      </c>
      <c r="R3" s="427" t="s">
        <v>26</v>
      </c>
      <c r="S3" s="429" t="s">
        <v>27</v>
      </c>
      <c r="T3" s="408" t="s">
        <v>28</v>
      </c>
      <c r="U3" s="408"/>
      <c r="V3" s="442" t="s">
        <v>29</v>
      </c>
      <c r="W3" s="413" t="s">
        <v>30</v>
      </c>
      <c r="X3" s="408" t="s">
        <v>31</v>
      </c>
      <c r="Y3" s="443"/>
      <c r="Z3" s="436" t="s">
        <v>32</v>
      </c>
      <c r="AA3" s="437"/>
      <c r="AB3" s="431"/>
      <c r="AC3" s="432"/>
      <c r="AD3" s="436" t="s">
        <v>33</v>
      </c>
      <c r="AE3" s="437"/>
      <c r="AF3" s="434" t="s">
        <v>25</v>
      </c>
      <c r="AG3" s="438" t="s">
        <v>26</v>
      </c>
      <c r="AH3" s="440" t="s">
        <v>27</v>
      </c>
    </row>
    <row r="4" spans="1:34">
      <c r="A4" s="419"/>
      <c r="B4" s="419"/>
      <c r="C4" s="38"/>
      <c r="D4" s="419"/>
      <c r="E4" s="419"/>
      <c r="F4" s="412"/>
      <c r="G4" s="409"/>
      <c r="H4" s="412"/>
      <c r="I4" s="414"/>
      <c r="J4" s="416"/>
      <c r="K4" s="405"/>
      <c r="L4" s="407"/>
      <c r="M4" s="409"/>
      <c r="N4" s="405"/>
      <c r="O4" s="407"/>
      <c r="P4" s="416"/>
      <c r="Q4" s="407"/>
      <c r="R4" s="428"/>
      <c r="S4" s="430"/>
      <c r="T4" s="342" t="s">
        <v>34</v>
      </c>
      <c r="U4" s="342" t="s">
        <v>35</v>
      </c>
      <c r="V4" s="409"/>
      <c r="W4" s="414"/>
      <c r="X4" s="341" t="s">
        <v>34</v>
      </c>
      <c r="Y4" s="343" t="s">
        <v>35</v>
      </c>
      <c r="Z4" s="344" t="s">
        <v>36</v>
      </c>
      <c r="AA4" s="344" t="s">
        <v>37</v>
      </c>
      <c r="AB4" s="433"/>
      <c r="AC4" s="433"/>
      <c r="AD4" s="344" t="s">
        <v>38</v>
      </c>
      <c r="AE4" s="344" t="s">
        <v>39</v>
      </c>
      <c r="AF4" s="435"/>
      <c r="AG4" s="439"/>
      <c r="AH4" s="441"/>
    </row>
    <row r="5" spans="1:34" ht="15" customHeight="1">
      <c r="A5" s="400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420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452"/>
      <c r="AC5" s="452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445" t="e">
        <f>AG15</f>
        <v>#N/A</v>
      </c>
    </row>
    <row r="6" spans="1:34" ht="15" customHeight="1">
      <c r="A6" s="401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421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449"/>
      <c r="AC6" s="449"/>
      <c r="AD6" s="149"/>
      <c r="AE6" s="149"/>
      <c r="AF6" s="307" t="e">
        <f t="shared" si="1"/>
        <v>#N/A</v>
      </c>
      <c r="AG6" s="72" t="e">
        <f t="shared" si="2"/>
        <v>#N/A</v>
      </c>
      <c r="AH6" s="446"/>
    </row>
    <row r="7" spans="1:34" ht="15" customHeight="1">
      <c r="A7" s="401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421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450"/>
      <c r="AC7" s="450"/>
      <c r="AD7" s="92"/>
      <c r="AE7" s="92"/>
      <c r="AF7" s="307" t="e">
        <f t="shared" si="1"/>
        <v>#N/A</v>
      </c>
      <c r="AG7" s="72" t="e">
        <f t="shared" si="2"/>
        <v>#N/A</v>
      </c>
      <c r="AH7" s="446"/>
    </row>
    <row r="8" spans="1:34" ht="15" customHeight="1">
      <c r="A8" s="40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1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449"/>
      <c r="AC8" s="449"/>
      <c r="AD8" s="149"/>
      <c r="AE8" s="149"/>
      <c r="AF8" s="307">
        <f t="shared" si="1"/>
        <v>0</v>
      </c>
      <c r="AG8" s="72" t="e">
        <f t="shared" si="2"/>
        <v>#DIV/0!</v>
      </c>
      <c r="AH8" s="446"/>
    </row>
    <row r="9" spans="1:34" ht="15" customHeight="1">
      <c r="A9" s="40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2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449"/>
      <c r="AC9" s="449"/>
      <c r="AD9" s="149"/>
      <c r="AE9" s="149"/>
      <c r="AF9" s="307">
        <f t="shared" si="1"/>
        <v>0</v>
      </c>
      <c r="AG9" s="72" t="e">
        <f t="shared" si="2"/>
        <v>#DIV/0!</v>
      </c>
      <c r="AH9" s="447"/>
    </row>
    <row r="10" spans="1:34" ht="15" customHeight="1">
      <c r="A10" s="40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2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450"/>
      <c r="AC10" s="450"/>
      <c r="AD10" s="92"/>
      <c r="AE10" s="92"/>
      <c r="AF10" s="307">
        <f t="shared" si="1"/>
        <v>0</v>
      </c>
      <c r="AG10" s="72" t="e">
        <f t="shared" si="2"/>
        <v>#DIV/0!</v>
      </c>
      <c r="AH10" s="447"/>
    </row>
    <row r="11" spans="1:34" ht="15" customHeight="1">
      <c r="A11" s="40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2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449"/>
      <c r="AC11" s="449"/>
      <c r="AD11" s="149"/>
      <c r="AE11" s="149"/>
      <c r="AF11" s="307">
        <f t="shared" si="1"/>
        <v>0</v>
      </c>
      <c r="AG11" s="72" t="e">
        <f t="shared" si="2"/>
        <v>#DIV/0!</v>
      </c>
      <c r="AH11" s="447"/>
    </row>
    <row r="12" spans="1:34" ht="15" customHeight="1">
      <c r="A12" s="40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2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449"/>
      <c r="AC12" s="449"/>
      <c r="AD12" s="149"/>
      <c r="AE12" s="149"/>
      <c r="AF12" s="308"/>
      <c r="AG12" s="85"/>
      <c r="AH12" s="447"/>
    </row>
    <row r="13" spans="1:34" ht="15" customHeight="1">
      <c r="A13" s="40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3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450"/>
      <c r="AC13" s="450"/>
      <c r="AD13" s="92"/>
      <c r="AE13" s="92"/>
      <c r="AF13" s="308"/>
      <c r="AG13" s="85"/>
      <c r="AH13" s="447"/>
    </row>
    <row r="14" spans="1:34" ht="15" customHeight="1">
      <c r="A14" s="40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2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450"/>
      <c r="AC14" s="450"/>
      <c r="AD14" s="92"/>
      <c r="AE14" s="92"/>
      <c r="AF14" s="308"/>
      <c r="AG14" s="85"/>
      <c r="AH14" s="447"/>
    </row>
    <row r="15" spans="1:34" ht="15" customHeight="1">
      <c r="A15" s="403"/>
      <c r="B15" s="115"/>
      <c r="C15" s="115" t="s">
        <v>41</v>
      </c>
      <c r="D15" s="410" t="s">
        <v>42</v>
      </c>
      <c r="E15" s="410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424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51"/>
      <c r="AC15" s="451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448"/>
    </row>
    <row r="16" spans="1:34" ht="15" customHeight="1">
      <c r="A16" s="462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456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452"/>
      <c r="AC16" s="452"/>
      <c r="AD16" s="135"/>
      <c r="AE16" s="135"/>
      <c r="AF16" s="229" t="e">
        <f>N16-K16</f>
        <v>#N/A</v>
      </c>
      <c r="AG16" s="52" t="e">
        <f>N16/K16</f>
        <v>#N/A</v>
      </c>
      <c r="AH16" s="445" t="e">
        <f>AG26</f>
        <v>#N/A</v>
      </c>
    </row>
    <row r="17" spans="1:34" ht="15" customHeight="1">
      <c r="A17" s="463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457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450"/>
      <c r="AC17" s="450"/>
      <c r="AD17" s="92"/>
      <c r="AE17" s="92"/>
      <c r="AF17" s="307" t="e">
        <f>N17-K17</f>
        <v>#N/A</v>
      </c>
      <c r="AG17" s="72" t="e">
        <f>N17/K17</f>
        <v>#N/A</v>
      </c>
      <c r="AH17" s="446"/>
    </row>
    <row r="18" spans="1:34" ht="15" customHeight="1">
      <c r="A18" s="463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457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450"/>
      <c r="AC18" s="450"/>
      <c r="AD18" s="92"/>
      <c r="AE18" s="92"/>
      <c r="AF18" s="307" t="e">
        <f>N18-K18</f>
        <v>#N/A</v>
      </c>
      <c r="AG18" s="72" t="e">
        <f>N18/K18</f>
        <v>#N/A</v>
      </c>
      <c r="AH18" s="446"/>
    </row>
    <row r="19" spans="1:34" ht="15" customHeight="1">
      <c r="A19" s="463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57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449"/>
      <c r="AC19" s="449"/>
      <c r="AD19" s="149"/>
      <c r="AE19" s="149"/>
      <c r="AF19" s="307">
        <f>N19-K19</f>
        <v>0</v>
      </c>
      <c r="AG19" s="72" t="e">
        <f>N19/K19</f>
        <v>#DIV/0!</v>
      </c>
      <c r="AH19" s="447"/>
    </row>
    <row r="20" spans="1:34" ht="15" customHeight="1">
      <c r="A20" s="463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57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450"/>
      <c r="AC20" s="450"/>
      <c r="AD20" s="92"/>
      <c r="AE20" s="92"/>
      <c r="AF20" s="307"/>
      <c r="AG20" s="72"/>
      <c r="AH20" s="447"/>
    </row>
    <row r="21" spans="1:34" ht="15" customHeight="1">
      <c r="A21" s="464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57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450"/>
      <c r="AC21" s="450"/>
      <c r="AD21" s="92"/>
      <c r="AE21" s="92"/>
      <c r="AF21" s="308"/>
      <c r="AG21" s="85"/>
      <c r="AH21" s="447"/>
    </row>
    <row r="22" spans="1:34" ht="15" customHeight="1">
      <c r="A22" s="464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57"/>
      <c r="T22" s="150"/>
      <c r="U22" s="150"/>
      <c r="V22" s="92"/>
      <c r="W22" s="149">
        <v>0</v>
      </c>
      <c r="X22" s="92"/>
      <c r="Y22" s="298"/>
      <c r="Z22" s="90"/>
      <c r="AA22" s="90"/>
      <c r="AB22" s="450"/>
      <c r="AC22" s="450"/>
      <c r="AD22" s="92"/>
      <c r="AE22" s="92"/>
      <c r="AF22" s="308"/>
      <c r="AG22" s="85"/>
      <c r="AH22" s="447"/>
    </row>
    <row r="23" spans="1:34" ht="15" customHeight="1">
      <c r="A23" s="464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57"/>
      <c r="T23" s="150"/>
      <c r="U23" s="150"/>
      <c r="W23" s="149">
        <f t="shared" si="4"/>
        <v>0</v>
      </c>
      <c r="X23" s="92"/>
      <c r="Y23" s="298"/>
      <c r="Z23" s="90"/>
      <c r="AA23" s="90"/>
      <c r="AB23" s="450"/>
      <c r="AC23" s="450"/>
      <c r="AD23" s="92"/>
      <c r="AE23" s="92"/>
      <c r="AF23" s="308"/>
      <c r="AG23" s="85"/>
      <c r="AH23" s="447"/>
    </row>
    <row r="24" spans="1:34" ht="15" customHeight="1">
      <c r="A24" s="464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57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450"/>
      <c r="AC24" s="450"/>
      <c r="AD24" s="92"/>
      <c r="AE24" s="92"/>
      <c r="AF24" s="308"/>
      <c r="AG24" s="85"/>
      <c r="AH24" s="447"/>
    </row>
    <row r="25" spans="1:34" ht="15" customHeight="1">
      <c r="A25" s="464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57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450"/>
      <c r="AC25" s="450"/>
      <c r="AD25" s="92"/>
      <c r="AE25" s="92"/>
      <c r="AF25" s="308"/>
      <c r="AG25" s="85"/>
      <c r="AH25" s="447"/>
    </row>
    <row r="26" spans="1:34" ht="15" customHeight="1">
      <c r="A26" s="465"/>
      <c r="B26" s="152"/>
      <c r="C26" s="153" t="s">
        <v>44</v>
      </c>
      <c r="D26" s="410" t="s">
        <v>42</v>
      </c>
      <c r="E26" s="410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458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51"/>
      <c r="AC26" s="451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448"/>
    </row>
    <row r="27" spans="1:34" ht="15" customHeight="1">
      <c r="A27" s="453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456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452"/>
      <c r="AC27" s="452"/>
      <c r="AD27" s="135"/>
      <c r="AE27" s="135"/>
      <c r="AF27" s="310" t="e">
        <f t="shared" si="6"/>
        <v>#N/A</v>
      </c>
      <c r="AG27" s="172" t="e">
        <f t="shared" si="7"/>
        <v>#N/A</v>
      </c>
      <c r="AH27" s="445" t="e">
        <f>AG37</f>
        <v>#N/A</v>
      </c>
    </row>
    <row r="28" spans="1:34" ht="15" customHeight="1">
      <c r="A28" s="454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457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450"/>
      <c r="AC28" s="450"/>
      <c r="AD28" s="92"/>
      <c r="AE28" s="92"/>
      <c r="AF28" s="311" t="e">
        <f t="shared" si="6"/>
        <v>#N/A</v>
      </c>
      <c r="AG28" s="99" t="e">
        <f t="shared" si="7"/>
        <v>#N/A</v>
      </c>
      <c r="AH28" s="466"/>
    </row>
    <row r="29" spans="1:34" ht="15" customHeight="1">
      <c r="A29" s="454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457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450"/>
      <c r="AC29" s="450"/>
      <c r="AD29" s="92"/>
      <c r="AE29" s="92"/>
      <c r="AF29" s="312" t="e">
        <f t="shared" si="6"/>
        <v>#N/A</v>
      </c>
      <c r="AG29" s="99" t="e">
        <f t="shared" si="7"/>
        <v>#N/A</v>
      </c>
      <c r="AH29" s="466"/>
    </row>
    <row r="30" spans="1:34" ht="15" customHeight="1">
      <c r="A30" s="454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57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450"/>
      <c r="AC30" s="450"/>
      <c r="AD30" s="92"/>
      <c r="AE30" s="92"/>
      <c r="AF30" s="312">
        <f t="shared" si="6"/>
        <v>0</v>
      </c>
      <c r="AG30" s="99" t="e">
        <f t="shared" si="7"/>
        <v>#DIV/0!</v>
      </c>
      <c r="AH30" s="467"/>
    </row>
    <row r="31" spans="1:34" ht="15" customHeight="1">
      <c r="A31" s="454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57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450"/>
      <c r="AC31" s="450"/>
      <c r="AD31" s="92"/>
      <c r="AE31" s="92"/>
      <c r="AF31" s="312">
        <f t="shared" si="6"/>
        <v>0</v>
      </c>
      <c r="AG31" s="99" t="e">
        <f t="shared" si="7"/>
        <v>#DIV/0!</v>
      </c>
      <c r="AH31" s="447"/>
    </row>
    <row r="32" spans="1:34" ht="15" customHeight="1">
      <c r="A32" s="454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57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450"/>
      <c r="AC32" s="450"/>
      <c r="AD32" s="92"/>
      <c r="AE32" s="92"/>
      <c r="AF32" s="307"/>
      <c r="AG32" s="72"/>
      <c r="AH32" s="447"/>
    </row>
    <row r="33" spans="1:34" ht="15" customHeight="1">
      <c r="A33" s="454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57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450"/>
      <c r="AC33" s="450"/>
      <c r="AD33" s="92"/>
      <c r="AE33" s="92"/>
      <c r="AF33" s="307"/>
      <c r="AG33" s="112"/>
      <c r="AH33" s="447"/>
    </row>
    <row r="34" spans="1:34" ht="15" customHeight="1">
      <c r="A34" s="454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57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450"/>
      <c r="AC34" s="450"/>
      <c r="AD34" s="92"/>
      <c r="AE34" s="92"/>
      <c r="AF34" s="307"/>
      <c r="AG34" s="112"/>
      <c r="AH34" s="447"/>
    </row>
    <row r="35" spans="1:34" ht="15" customHeight="1">
      <c r="A35" s="454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57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450"/>
      <c r="AC35" s="450"/>
      <c r="AD35" s="92"/>
      <c r="AE35" s="92"/>
      <c r="AF35" s="307"/>
      <c r="AG35" s="112"/>
      <c r="AH35" s="447"/>
    </row>
    <row r="36" spans="1:34" ht="15" customHeight="1">
      <c r="A36" s="454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57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450"/>
      <c r="AC36" s="450"/>
      <c r="AD36" s="92"/>
      <c r="AE36" s="92"/>
      <c r="AF36" s="307"/>
      <c r="AG36" s="112"/>
      <c r="AH36" s="447"/>
    </row>
    <row r="37" spans="1:34" ht="15" customHeight="1">
      <c r="A37" s="455"/>
      <c r="B37" s="152"/>
      <c r="C37" s="153" t="s">
        <v>47</v>
      </c>
      <c r="D37" s="459" t="s">
        <v>42</v>
      </c>
      <c r="E37" s="460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458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61"/>
      <c r="AC37" s="461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448"/>
    </row>
    <row r="38" spans="1:34" ht="15" customHeight="1">
      <c r="A38" s="475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478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480"/>
      <c r="AC38" s="480"/>
      <c r="AD38" s="192"/>
      <c r="AE38" s="192"/>
      <c r="AF38" s="313" t="e">
        <f>N38-K38</f>
        <v>#N/A</v>
      </c>
      <c r="AG38" s="195" t="e">
        <f>N38/K38</f>
        <v>#N/A</v>
      </c>
      <c r="AH38" s="468" t="e">
        <f>AG48</f>
        <v>#N/A</v>
      </c>
    </row>
    <row r="39" spans="1:34" ht="15" customHeight="1">
      <c r="A39" s="476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479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471"/>
      <c r="AC39" s="471"/>
      <c r="AD39" s="200"/>
      <c r="AE39" s="200"/>
      <c r="AF39" s="314" t="e">
        <f>N39-K39</f>
        <v>#N/A</v>
      </c>
      <c r="AG39" s="206" t="e">
        <f>N39/K39</f>
        <v>#N/A</v>
      </c>
      <c r="AH39" s="469"/>
    </row>
    <row r="40" spans="1:34" ht="15" customHeight="1">
      <c r="A40" s="476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421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450"/>
      <c r="AC40" s="450"/>
      <c r="AD40" s="92"/>
      <c r="AE40" s="92"/>
      <c r="AF40" s="314" t="e">
        <f>N40-K40</f>
        <v>#N/A</v>
      </c>
      <c r="AG40" s="206" t="e">
        <f>N40/K40</f>
        <v>#N/A</v>
      </c>
      <c r="AH40" s="469"/>
    </row>
    <row r="41" spans="1:34" ht="15" customHeight="1">
      <c r="A41" s="476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1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450"/>
      <c r="AC41" s="450"/>
      <c r="AD41" s="92"/>
      <c r="AE41" s="92"/>
      <c r="AF41" s="314">
        <f>N41-K41</f>
        <v>0</v>
      </c>
      <c r="AG41" s="206" t="e">
        <f>N41/K41</f>
        <v>#DIV/0!</v>
      </c>
      <c r="AH41" s="469"/>
    </row>
    <row r="42" spans="1:34" ht="15" customHeight="1">
      <c r="A42" s="476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1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450"/>
      <c r="AC42" s="450"/>
      <c r="AD42" s="92"/>
      <c r="AE42" s="92"/>
      <c r="AF42" s="314"/>
      <c r="AG42" s="206"/>
      <c r="AH42" s="469"/>
    </row>
    <row r="43" spans="1:34" ht="15" customHeight="1">
      <c r="A43" s="476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1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450"/>
      <c r="AC43" s="450"/>
      <c r="AD43" s="92"/>
      <c r="AE43" s="92"/>
      <c r="AF43" s="213"/>
      <c r="AG43" s="206"/>
      <c r="AH43" s="469"/>
    </row>
    <row r="44" spans="1:34" ht="15" customHeight="1">
      <c r="A44" s="476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1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450"/>
      <c r="AC44" s="450"/>
      <c r="AD44" s="92"/>
      <c r="AE44" s="92"/>
      <c r="AF44" s="213"/>
      <c r="AG44" s="206"/>
      <c r="AH44" s="469"/>
    </row>
    <row r="45" spans="1:34" ht="15" customHeight="1">
      <c r="A45" s="476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1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450"/>
      <c r="AC45" s="450"/>
      <c r="AD45" s="92"/>
      <c r="AE45" s="92"/>
      <c r="AF45" s="213"/>
      <c r="AG45" s="206"/>
      <c r="AH45" s="469"/>
    </row>
    <row r="46" spans="1:34" ht="15" customHeight="1">
      <c r="A46" s="476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1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450"/>
      <c r="AC46" s="450"/>
      <c r="AD46" s="92"/>
      <c r="AE46" s="92"/>
      <c r="AF46" s="213"/>
      <c r="AG46" s="206"/>
      <c r="AH46" s="469"/>
    </row>
    <row r="47" spans="1:34" ht="15" customHeight="1">
      <c r="A47" s="476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1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450"/>
      <c r="AC47" s="450"/>
      <c r="AD47" s="92"/>
      <c r="AE47" s="92"/>
      <c r="AF47" s="213"/>
      <c r="AG47" s="206"/>
      <c r="AH47" s="469"/>
    </row>
    <row r="48" spans="1:34" ht="15" customHeight="1">
      <c r="A48" s="477"/>
      <c r="B48" s="219"/>
      <c r="C48" s="153" t="s">
        <v>49</v>
      </c>
      <c r="D48" s="410" t="s">
        <v>42</v>
      </c>
      <c r="E48" s="410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4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451"/>
      <c r="AC48" s="451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470"/>
    </row>
    <row r="49" spans="1:34" ht="15" customHeight="1">
      <c r="A49" s="472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0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452"/>
      <c r="AC49" s="452"/>
      <c r="AD49" s="135"/>
      <c r="AE49" s="135"/>
      <c r="AF49" s="229" t="e">
        <f t="shared" si="11"/>
        <v>#N/A</v>
      </c>
      <c r="AG49" s="52" t="e">
        <f t="shared" si="12"/>
        <v>#N/A</v>
      </c>
      <c r="AH49" s="445" t="e">
        <f>AG58</f>
        <v>#N/A</v>
      </c>
    </row>
    <row r="50" spans="1:34" ht="15" customHeight="1">
      <c r="A50" s="473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1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450"/>
      <c r="AC50" s="450"/>
      <c r="AD50" s="92"/>
      <c r="AE50" s="92"/>
      <c r="AF50" s="307" t="e">
        <f t="shared" si="11"/>
        <v>#N/A</v>
      </c>
      <c r="AG50" s="72" t="e">
        <f t="shared" si="12"/>
        <v>#N/A</v>
      </c>
      <c r="AH50" s="446"/>
    </row>
    <row r="51" spans="1:34" ht="15" customHeight="1">
      <c r="A51" s="473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1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450"/>
      <c r="AC51" s="450"/>
      <c r="AD51" s="92"/>
      <c r="AE51" s="92"/>
      <c r="AF51" s="307" t="e">
        <f t="shared" si="11"/>
        <v>#N/A</v>
      </c>
      <c r="AG51" s="72" t="e">
        <f t="shared" si="12"/>
        <v>#N/A</v>
      </c>
      <c r="AH51" s="446"/>
    </row>
    <row r="52" spans="1:34" ht="15" customHeight="1">
      <c r="A52" s="47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1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450"/>
      <c r="AC52" s="450"/>
      <c r="AD52" s="92"/>
      <c r="AE52" s="92"/>
      <c r="AF52" s="307">
        <f t="shared" si="11"/>
        <v>0</v>
      </c>
      <c r="AG52" s="72" t="e">
        <f t="shared" si="12"/>
        <v>#DIV/0!</v>
      </c>
      <c r="AH52" s="446"/>
    </row>
    <row r="53" spans="1:34" ht="15" customHeight="1">
      <c r="A53" s="47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1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450"/>
      <c r="AC53" s="450"/>
      <c r="AD53" s="92"/>
      <c r="AE53" s="92"/>
      <c r="AF53" s="307">
        <f t="shared" si="11"/>
        <v>0</v>
      </c>
      <c r="AG53" s="72" t="e">
        <f t="shared" si="12"/>
        <v>#DIV/0!</v>
      </c>
      <c r="AH53" s="446"/>
    </row>
    <row r="54" spans="1:34" ht="15" customHeight="1">
      <c r="A54" s="47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1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450"/>
      <c r="AC54" s="450"/>
      <c r="AD54" s="92"/>
      <c r="AE54" s="92"/>
      <c r="AF54" s="307"/>
      <c r="AG54" s="72"/>
      <c r="AH54" s="446"/>
    </row>
    <row r="55" spans="1:34" ht="15" customHeight="1">
      <c r="A55" s="47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1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450"/>
      <c r="AC55" s="450"/>
      <c r="AD55" s="92"/>
      <c r="AE55" s="92"/>
      <c r="AF55" s="307"/>
      <c r="AG55" s="72"/>
      <c r="AH55" s="446"/>
    </row>
    <row r="56" spans="1:34" ht="15" customHeight="1">
      <c r="A56" s="47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1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450"/>
      <c r="AC56" s="450"/>
      <c r="AD56" s="92"/>
      <c r="AE56" s="92"/>
      <c r="AF56" s="307"/>
      <c r="AG56" s="72"/>
      <c r="AH56" s="446"/>
    </row>
    <row r="57" spans="1:34" ht="15" customHeight="1">
      <c r="A57" s="47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1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450"/>
      <c r="AC57" s="450"/>
      <c r="AD57" s="92"/>
      <c r="AE57" s="92"/>
      <c r="AF57" s="307"/>
      <c r="AG57" s="72"/>
      <c r="AH57" s="446"/>
    </row>
    <row r="58" spans="1:34" ht="15" customHeight="1">
      <c r="A58" s="474"/>
      <c r="B58" s="239"/>
      <c r="C58" s="153" t="s">
        <v>51</v>
      </c>
      <c r="D58" s="410" t="s">
        <v>42</v>
      </c>
      <c r="E58" s="410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424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51"/>
      <c r="AC58" s="451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448"/>
    </row>
    <row r="59" spans="1:34" ht="15" customHeight="1">
      <c r="A59" s="486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420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452"/>
      <c r="AC59" s="452"/>
      <c r="AD59" s="135"/>
      <c r="AE59" s="135"/>
      <c r="AF59" s="310" t="e">
        <f>N59-K59</f>
        <v>#N/A</v>
      </c>
      <c r="AG59" s="246" t="e">
        <f>N59/K59</f>
        <v>#N/A</v>
      </c>
      <c r="AH59" s="445" t="e">
        <f>AG69</f>
        <v>#N/A</v>
      </c>
    </row>
    <row r="60" spans="1:34" ht="15" customHeight="1">
      <c r="A60" s="487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490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450"/>
      <c r="AC60" s="450"/>
      <c r="AD60" s="92"/>
      <c r="AE60" s="92"/>
      <c r="AF60" s="316" t="e">
        <f>N60-K60</f>
        <v>#N/A</v>
      </c>
      <c r="AG60" s="249" t="e">
        <f>N60/K60</f>
        <v>#N/A</v>
      </c>
      <c r="AH60" s="481"/>
    </row>
    <row r="61" spans="1:34" ht="15" customHeight="1">
      <c r="A61" s="488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421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450"/>
      <c r="AC61" s="450"/>
      <c r="AD61" s="92"/>
      <c r="AE61" s="92"/>
      <c r="AF61" s="317" t="e">
        <f>N61-K61</f>
        <v>#N/A</v>
      </c>
      <c r="AG61" s="247" t="e">
        <f>N61/K61</f>
        <v>#N/A</v>
      </c>
      <c r="AH61" s="446"/>
    </row>
    <row r="62" spans="1:34" ht="15" customHeight="1">
      <c r="A62" s="488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1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450"/>
      <c r="AC62" s="450"/>
      <c r="AD62" s="92"/>
      <c r="AE62" s="92"/>
      <c r="AF62" s="317">
        <f>N62-K62</f>
        <v>0</v>
      </c>
      <c r="AG62" s="247" t="e">
        <f>N62/K62</f>
        <v>#DIV/0!</v>
      </c>
      <c r="AH62" s="446"/>
    </row>
    <row r="63" spans="1:34" ht="15" customHeight="1">
      <c r="A63" s="488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1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450"/>
      <c r="AC63" s="450"/>
      <c r="AD63" s="92"/>
      <c r="AE63" s="92"/>
      <c r="AF63" s="317"/>
      <c r="AG63" s="247"/>
      <c r="AH63" s="446"/>
    </row>
    <row r="64" spans="1:34" ht="15" customHeight="1">
      <c r="A64" s="488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1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450"/>
      <c r="AC64" s="450"/>
      <c r="AD64" s="92"/>
      <c r="AE64" s="92"/>
      <c r="AF64" s="307"/>
      <c r="AG64" s="262"/>
      <c r="AH64" s="446"/>
    </row>
    <row r="65" spans="1:36" ht="15" customHeight="1">
      <c r="A65" s="488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1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450"/>
      <c r="AC65" s="450"/>
      <c r="AD65" s="92"/>
      <c r="AE65" s="92"/>
      <c r="AF65" s="307"/>
      <c r="AG65" s="262"/>
      <c r="AH65" s="446"/>
    </row>
    <row r="66" spans="1:36" ht="15" customHeight="1">
      <c r="A66" s="488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1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450"/>
      <c r="AC66" s="450"/>
      <c r="AD66" s="92"/>
      <c r="AE66" s="92"/>
      <c r="AF66" s="307"/>
      <c r="AG66" s="262"/>
      <c r="AH66" s="446"/>
    </row>
    <row r="67" spans="1:36" ht="15" customHeight="1">
      <c r="A67" s="488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1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450"/>
      <c r="AC67" s="450"/>
      <c r="AD67" s="92"/>
      <c r="AE67" s="92"/>
      <c r="AF67" s="307"/>
      <c r="AG67" s="262"/>
      <c r="AH67" s="446"/>
    </row>
    <row r="68" spans="1:36" ht="15" customHeight="1">
      <c r="A68" s="488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1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450" t="s">
        <v>53</v>
      </c>
      <c r="AC68" s="450"/>
      <c r="AD68" s="92"/>
      <c r="AE68" s="92"/>
      <c r="AF68" s="307"/>
      <c r="AG68" s="262"/>
      <c r="AH68" s="446"/>
    </row>
    <row r="69" spans="1:36" ht="15" customHeight="1">
      <c r="A69" s="489"/>
      <c r="B69" s="239"/>
      <c r="C69" s="153" t="s">
        <v>54</v>
      </c>
      <c r="D69" s="410" t="s">
        <v>42</v>
      </c>
      <c r="E69" s="410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4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51"/>
      <c r="AC69" s="451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48"/>
    </row>
    <row r="70" spans="1:36" ht="15" customHeight="1">
      <c r="A70" s="482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0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452"/>
      <c r="AC70" s="452"/>
      <c r="AD70" s="135"/>
      <c r="AE70" s="135"/>
      <c r="AF70" s="310" t="e">
        <f>N70-K70</f>
        <v>#N/A</v>
      </c>
      <c r="AG70" s="246" t="e">
        <f>N70/K70</f>
        <v>#N/A</v>
      </c>
      <c r="AH70" s="445" t="e">
        <f>AG79</f>
        <v>#N/A</v>
      </c>
    </row>
    <row r="71" spans="1:36" ht="15" customHeight="1">
      <c r="A71" s="483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1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471"/>
      <c r="AC71" s="471"/>
      <c r="AD71" s="200"/>
      <c r="AE71" s="200"/>
      <c r="AF71" s="311">
        <v>-300.31249999999704</v>
      </c>
      <c r="AG71" s="99">
        <v>0.80810702875399554</v>
      </c>
      <c r="AH71" s="466"/>
    </row>
    <row r="72" spans="1:36" ht="15" customHeight="1">
      <c r="A72" s="483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1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450"/>
      <c r="AC72" s="450"/>
      <c r="AD72" s="92"/>
      <c r="AE72" s="92"/>
      <c r="AF72" s="311">
        <v>-130.33333333333326</v>
      </c>
      <c r="AG72" s="99">
        <v>0.91671991480298198</v>
      </c>
      <c r="AH72" s="466"/>
    </row>
    <row r="73" spans="1:36" ht="15" customHeight="1">
      <c r="A73" s="483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1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450"/>
      <c r="AC73" s="450"/>
      <c r="AD73" s="92"/>
      <c r="AE73" s="92"/>
      <c r="AF73" s="311"/>
      <c r="AG73" s="99"/>
      <c r="AH73" s="466"/>
    </row>
    <row r="74" spans="1:36" ht="15" customHeight="1">
      <c r="A74" s="483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1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450"/>
      <c r="AC74" s="450"/>
      <c r="AD74" s="92"/>
      <c r="AE74" s="92"/>
      <c r="AF74" s="311"/>
      <c r="AG74" s="99"/>
      <c r="AH74" s="466"/>
    </row>
    <row r="75" spans="1:36" ht="15" customHeight="1">
      <c r="A75" s="483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1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450"/>
      <c r="AC75" s="450"/>
      <c r="AD75" s="92"/>
      <c r="AE75" s="92"/>
      <c r="AF75" s="318"/>
      <c r="AG75" s="280"/>
      <c r="AH75" s="446"/>
    </row>
    <row r="76" spans="1:36" ht="15" customHeight="1">
      <c r="A76" s="483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2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450"/>
      <c r="AC76" s="450"/>
      <c r="AD76" s="92"/>
      <c r="AE76" s="92"/>
      <c r="AF76" s="317"/>
      <c r="AG76" s="247"/>
      <c r="AH76" s="447"/>
    </row>
    <row r="77" spans="1:36" ht="15" customHeight="1">
      <c r="A77" s="483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2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450"/>
      <c r="AC77" s="450"/>
      <c r="AD77" s="92"/>
      <c r="AE77" s="92"/>
      <c r="AF77" s="307"/>
      <c r="AG77" s="262"/>
      <c r="AH77" s="447"/>
    </row>
    <row r="78" spans="1:36" ht="15" customHeight="1">
      <c r="A78" s="483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85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450"/>
      <c r="AC78" s="450"/>
      <c r="AD78" s="92"/>
      <c r="AE78" s="92"/>
      <c r="AF78" s="308"/>
      <c r="AG78" s="112"/>
      <c r="AH78" s="447"/>
    </row>
    <row r="79" spans="1:36" ht="15" customHeight="1">
      <c r="A79" s="484"/>
      <c r="B79" s="239"/>
      <c r="C79" s="153" t="s">
        <v>56</v>
      </c>
      <c r="D79" s="410" t="s">
        <v>42</v>
      </c>
      <c r="E79" s="410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4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51"/>
      <c r="AC79" s="451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48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P3:P4"/>
    <mergeCell ref="Q3:Q4"/>
    <mergeCell ref="S5:S15"/>
    <mergeCell ref="J1:L2"/>
    <mergeCell ref="M1:O2"/>
    <mergeCell ref="A2:B2"/>
    <mergeCell ref="A3:A4"/>
    <mergeCell ref="B3:B4"/>
    <mergeCell ref="D3:E4"/>
    <mergeCell ref="F3:F4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D96A5F-0AFF-4671-8573-0C7D336031AF}"/>
</file>

<file path=customXml/itemProps2.xml><?xml version="1.0" encoding="utf-8"?>
<ds:datastoreItem xmlns:ds="http://schemas.openxmlformats.org/officeDocument/2006/customXml" ds:itemID="{41C3A194-0425-43B1-BE49-6A7FCFAAB05F}"/>
</file>

<file path=customXml/itemProps3.xml><?xml version="1.0" encoding="utf-8"?>
<ds:datastoreItem xmlns:ds="http://schemas.openxmlformats.org/officeDocument/2006/customXml" ds:itemID="{C72FBFB9-BF48-4CF7-8BF5-D2BAA0091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1001總</vt:lpstr>
      <vt:lpstr>1001</vt:lpstr>
      <vt:lpstr>1002總</vt:lpstr>
      <vt:lpstr>1002</vt:lpstr>
      <vt:lpstr>1003總</vt:lpstr>
      <vt:lpstr>1003</vt:lpstr>
      <vt:lpstr>1004總</vt:lpstr>
      <vt:lpstr>1004</vt:lpstr>
      <vt:lpstr>1005總</vt:lpstr>
      <vt:lpstr>1005</vt:lpstr>
      <vt:lpstr>1006總</vt:lpstr>
      <vt:lpstr>1006</vt:lpstr>
      <vt:lpstr>1007總</vt:lpstr>
      <vt:lpstr>1007</vt:lpstr>
      <vt:lpstr>1008總</vt:lpstr>
      <vt:lpstr>1008</vt:lpstr>
      <vt:lpstr>1009總</vt:lpstr>
      <vt:lpstr>1009</vt:lpstr>
      <vt:lpstr>1010總</vt:lpstr>
      <vt:lpstr>1010</vt:lpstr>
      <vt:lpstr>1011總</vt:lpstr>
      <vt:lpstr>1011</vt:lpstr>
      <vt:lpstr>1012總</vt:lpstr>
      <vt:lpstr>1012</vt:lpstr>
      <vt:lpstr>1013總</vt:lpstr>
      <vt:lpstr>1013</vt:lpstr>
      <vt:lpstr>1014總</vt:lpstr>
      <vt:lpstr>1014</vt:lpstr>
      <vt:lpstr>1015總</vt:lpstr>
      <vt:lpstr>1015</vt:lpstr>
      <vt:lpstr>1016總</vt:lpstr>
      <vt:lpstr>1016</vt:lpstr>
      <vt:lpstr>1017總</vt:lpstr>
      <vt:lpstr>1017</vt:lpstr>
      <vt:lpstr>1018總</vt:lpstr>
      <vt:lpstr>1018</vt:lpstr>
      <vt:lpstr>1019總</vt:lpstr>
      <vt:lpstr>1019</vt:lpstr>
      <vt:lpstr>1020總</vt:lpstr>
      <vt:lpstr>1020</vt:lpstr>
      <vt:lpstr>1021總</vt:lpstr>
      <vt:lpstr>1021</vt:lpstr>
      <vt:lpstr>1022總</vt:lpstr>
      <vt:lpstr>1022</vt:lpstr>
      <vt:lpstr>1023總</vt:lpstr>
      <vt:lpstr>1023</vt:lpstr>
      <vt:lpstr>1024總</vt:lpstr>
      <vt:lpstr>1024</vt:lpstr>
      <vt:lpstr>1025總</vt:lpstr>
      <vt:lpstr>1025</vt:lpstr>
      <vt:lpstr>1026總</vt:lpstr>
      <vt:lpstr>1026</vt:lpstr>
      <vt:lpstr>1027總</vt:lpstr>
      <vt:lpstr>1027</vt:lpstr>
      <vt:lpstr>1028總</vt:lpstr>
      <vt:lpstr>1028</vt:lpstr>
      <vt:lpstr>1029總</vt:lpstr>
      <vt:lpstr>1029</vt:lpstr>
      <vt:lpstr>1030總</vt:lpstr>
      <vt:lpstr>1030</vt:lpstr>
      <vt:lpstr>1031總</vt:lpstr>
      <vt:lpstr>1031</vt:lpstr>
      <vt:lpstr>'1001'!_FilterDatabase</vt:lpstr>
      <vt:lpstr>'1001總'!_FilterDatabase</vt:lpstr>
      <vt:lpstr>'1002'!_FilterDatabase</vt:lpstr>
      <vt:lpstr>'1002總'!_FilterDatabase</vt:lpstr>
      <vt:lpstr>'1003'!_FilterDatabase</vt:lpstr>
      <vt:lpstr>'1003總'!_FilterDatabase</vt:lpstr>
      <vt:lpstr>'1004'!_FilterDatabase</vt:lpstr>
      <vt:lpstr>'1004總'!_FilterDatabase</vt:lpstr>
      <vt:lpstr>'1005'!_FilterDatabase</vt:lpstr>
      <vt:lpstr>'1005總'!_FilterDatabase</vt:lpstr>
      <vt:lpstr>'1006'!_FilterDatabase</vt:lpstr>
      <vt:lpstr>'1006總'!_FilterDatabase</vt:lpstr>
      <vt:lpstr>'1007'!_FilterDatabase</vt:lpstr>
      <vt:lpstr>'1007總'!_FilterDatabase</vt:lpstr>
      <vt:lpstr>'1008'!_FilterDatabase</vt:lpstr>
      <vt:lpstr>'1008總'!_FilterDatabase</vt:lpstr>
      <vt:lpstr>'1009'!_FilterDatabase</vt:lpstr>
      <vt:lpstr>'1009總'!_FilterDatabase</vt:lpstr>
      <vt:lpstr>'1010'!_FilterDatabase</vt:lpstr>
      <vt:lpstr>'1010總'!_FilterDatabase</vt:lpstr>
      <vt:lpstr>'1011'!_FilterDatabase</vt:lpstr>
      <vt:lpstr>'1011總'!_FilterDatabase</vt:lpstr>
      <vt:lpstr>'1012'!_FilterDatabase</vt:lpstr>
      <vt:lpstr>'1012總'!_FilterDatabase</vt:lpstr>
      <vt:lpstr>'1013'!_FilterDatabase</vt:lpstr>
      <vt:lpstr>'1013總'!_FilterDatabase</vt:lpstr>
      <vt:lpstr>'1014'!_FilterDatabase</vt:lpstr>
      <vt:lpstr>'1014總'!_FilterDatabase</vt:lpstr>
      <vt:lpstr>'1015'!_FilterDatabase</vt:lpstr>
      <vt:lpstr>'1015總'!_FilterDatabase</vt:lpstr>
      <vt:lpstr>'1016'!_FilterDatabase</vt:lpstr>
      <vt:lpstr>'1016總'!_FilterDatabase</vt:lpstr>
      <vt:lpstr>'1017'!_FilterDatabase</vt:lpstr>
      <vt:lpstr>'1017總'!_FilterDatabase</vt:lpstr>
      <vt:lpstr>'1018'!_FilterDatabase</vt:lpstr>
      <vt:lpstr>'1018總'!_FilterDatabase</vt:lpstr>
      <vt:lpstr>'1019'!_FilterDatabase</vt:lpstr>
      <vt:lpstr>'1019總'!_FilterDatabase</vt:lpstr>
      <vt:lpstr>'1020'!_FilterDatabase</vt:lpstr>
      <vt:lpstr>'1020總'!_FilterDatabase</vt:lpstr>
      <vt:lpstr>'1021'!_FilterDatabase</vt:lpstr>
      <vt:lpstr>'1021總'!_FilterDatabase</vt:lpstr>
      <vt:lpstr>'1022'!_FilterDatabase</vt:lpstr>
      <vt:lpstr>'1022總'!_FilterDatabase</vt:lpstr>
      <vt:lpstr>'1023'!_FilterDatabase</vt:lpstr>
      <vt:lpstr>'1023總'!_FilterDatabase</vt:lpstr>
      <vt:lpstr>'1024'!_FilterDatabase</vt:lpstr>
      <vt:lpstr>'1024總'!_FilterDatabase</vt:lpstr>
      <vt:lpstr>'1025'!_FilterDatabase</vt:lpstr>
      <vt:lpstr>'1025總'!_FilterDatabase</vt:lpstr>
      <vt:lpstr>'1026'!_FilterDatabase</vt:lpstr>
      <vt:lpstr>'1026總'!_FilterDatabase</vt:lpstr>
      <vt:lpstr>'1027'!_FilterDatabase</vt:lpstr>
      <vt:lpstr>'1027總'!_FilterDatabase</vt:lpstr>
      <vt:lpstr>'1028'!_FilterDatabase</vt:lpstr>
      <vt:lpstr>'1028總'!_FilterDatabase</vt:lpstr>
      <vt:lpstr>'1029'!_FilterDatabase</vt:lpstr>
      <vt:lpstr>'1029總'!_FilterDatabase</vt:lpstr>
      <vt:lpstr>'1030'!_FilterDatabase</vt:lpstr>
      <vt:lpstr>'1030總'!_FilterDatabase</vt:lpstr>
      <vt:lpstr>'1031'!_FilterDatabase</vt:lpstr>
      <vt:lpstr>'1031總'!_FilterDatabase</vt:lpstr>
      <vt:lpstr>'1001'!Print_Area</vt:lpstr>
      <vt:lpstr>'1002'!Print_Area</vt:lpstr>
      <vt:lpstr>'1003'!Print_Area</vt:lpstr>
      <vt:lpstr>'1004'!Print_Area</vt:lpstr>
      <vt:lpstr>'1005'!Print_Area</vt:lpstr>
      <vt:lpstr>'1006'!Print_Area</vt:lpstr>
      <vt:lpstr>'1007'!Print_Area</vt:lpstr>
      <vt:lpstr>'1008'!Print_Area</vt:lpstr>
      <vt:lpstr>'1009'!Print_Area</vt:lpstr>
      <vt:lpstr>'1010'!Print_Area</vt:lpstr>
      <vt:lpstr>'1011'!Print_Area</vt:lpstr>
      <vt:lpstr>'1012'!Print_Area</vt:lpstr>
      <vt:lpstr>'1013'!Print_Area</vt:lpstr>
      <vt:lpstr>'1014'!Print_Area</vt:lpstr>
      <vt:lpstr>'1015'!Print_Area</vt:lpstr>
      <vt:lpstr>'1016'!Print_Area</vt:lpstr>
      <vt:lpstr>'1017'!Print_Area</vt:lpstr>
      <vt:lpstr>'1018'!Print_Area</vt:lpstr>
      <vt:lpstr>'1019'!Print_Area</vt:lpstr>
      <vt:lpstr>'1020'!Print_Area</vt:lpstr>
      <vt:lpstr>'1021'!Print_Area</vt:lpstr>
      <vt:lpstr>'1022'!Print_Area</vt:lpstr>
      <vt:lpstr>'1023'!Print_Area</vt:lpstr>
      <vt:lpstr>'1024'!Print_Area</vt:lpstr>
      <vt:lpstr>'1025'!Print_Area</vt:lpstr>
      <vt:lpstr>'1026'!Print_Area</vt:lpstr>
      <vt:lpstr>'1027'!Print_Area</vt:lpstr>
      <vt:lpstr>'1028'!Print_Area</vt:lpstr>
      <vt:lpstr>'1029'!Print_Area</vt:lpstr>
      <vt:lpstr>'1030'!Print_Area</vt:lpstr>
      <vt:lpstr>'1031'!Print_Area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2026-10-05T02:43:05Z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