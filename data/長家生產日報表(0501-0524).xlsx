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/>
  <xr:revisionPtr revIDLastSave="0" documentId="13_ncr:1_{20EA7A50-F9DC-4011-836C-FD455E7B29E5}" xr6:coauthVersionLast="47" xr6:coauthVersionMax="47" xr10:uidLastSave="{00000000-0000-0000-0000-000000000000}"/>
  <bookViews>
    <workbookView xWindow="-80" yWindow="-80" windowWidth="19360" windowHeight="10240" tabRatio="826" firstSheet="42" activeTab="51" xr2:uid="{00000000-000D-0000-FFFF-FFFF00000000}"/>
  </bookViews>
  <sheets>
    <sheet name="廠價表" sheetId="5" r:id="rId1"/>
    <sheet name="產線配置圖" sheetId="4" r:id="rId2"/>
    <sheet name="範本總" sheetId="2" state="hidden" r:id="rId3"/>
    <sheet name="範本" sheetId="3" state="hidden" r:id="rId4"/>
    <sheet name="0501總" sheetId="482" r:id="rId5"/>
    <sheet name="0501" sheetId="483" r:id="rId6"/>
    <sheet name="0502總" sheetId="484" r:id="rId7"/>
    <sheet name="0502" sheetId="485" r:id="rId8"/>
    <sheet name="0503總" sheetId="486" r:id="rId9"/>
    <sheet name="0503" sheetId="487" r:id="rId10"/>
    <sheet name="0504總" sheetId="488" r:id="rId11"/>
    <sheet name="0504" sheetId="489" r:id="rId12"/>
    <sheet name="0505總" sheetId="490" r:id="rId13"/>
    <sheet name="0505" sheetId="491" r:id="rId14"/>
    <sheet name="0506總" sheetId="492" r:id="rId15"/>
    <sheet name="0506" sheetId="493" r:id="rId16"/>
    <sheet name="0507總" sheetId="494" r:id="rId17"/>
    <sheet name="0507" sheetId="495" r:id="rId18"/>
    <sheet name="0508總" sheetId="496" r:id="rId19"/>
    <sheet name="0508" sheetId="497" r:id="rId20"/>
    <sheet name="0509總" sheetId="498" r:id="rId21"/>
    <sheet name="0509" sheetId="499" r:id="rId22"/>
    <sheet name="0510總" sheetId="500" r:id="rId23"/>
    <sheet name="0510" sheetId="501" r:id="rId24"/>
    <sheet name="0511總" sheetId="502" r:id="rId25"/>
    <sheet name="0511" sheetId="503" r:id="rId26"/>
    <sheet name="0512總" sheetId="504" r:id="rId27"/>
    <sheet name="0512" sheetId="505" r:id="rId28"/>
    <sheet name="0513總" sheetId="506" r:id="rId29"/>
    <sheet name="0513" sheetId="507" r:id="rId30"/>
    <sheet name="0514總" sheetId="508" r:id="rId31"/>
    <sheet name="0514" sheetId="509" r:id="rId32"/>
    <sheet name="0515總" sheetId="510" r:id="rId33"/>
    <sheet name="0515" sheetId="511" r:id="rId34"/>
    <sheet name="0516總 " sheetId="512" r:id="rId35"/>
    <sheet name="0516" sheetId="513" r:id="rId36"/>
    <sheet name="0517總" sheetId="514" r:id="rId37"/>
    <sheet name="0517" sheetId="515" r:id="rId38"/>
    <sheet name="0518總 " sheetId="516" r:id="rId39"/>
    <sheet name="0518" sheetId="517" r:id="rId40"/>
    <sheet name="0519總 " sheetId="518" r:id="rId41"/>
    <sheet name="0519" sheetId="519" r:id="rId42"/>
    <sheet name="0520總" sheetId="520" r:id="rId43"/>
    <sheet name="0520" sheetId="521" r:id="rId44"/>
    <sheet name="0521總" sheetId="522" r:id="rId45"/>
    <sheet name="0521" sheetId="523" r:id="rId46"/>
    <sheet name="0522總" sheetId="524" r:id="rId47"/>
    <sheet name="0522" sheetId="525" r:id="rId48"/>
    <sheet name="0523總" sheetId="526" r:id="rId49"/>
    <sheet name="0523" sheetId="527" r:id="rId50"/>
    <sheet name="0524總" sheetId="528" r:id="rId51"/>
    <sheet name="0524" sheetId="529" r:id="rId52"/>
    <sheet name="0525總" sheetId="467" r:id="rId53"/>
    <sheet name="0525" sheetId="468" r:id="rId54"/>
    <sheet name="0526總" sheetId="469" r:id="rId55"/>
    <sheet name="0526" sheetId="470" r:id="rId56"/>
    <sheet name="0527總" sheetId="471" r:id="rId57"/>
    <sheet name="0527" sheetId="472" r:id="rId58"/>
    <sheet name="0528總" sheetId="473" r:id="rId59"/>
    <sheet name="0528" sheetId="474" r:id="rId60"/>
    <sheet name="0529總" sheetId="475" r:id="rId61"/>
    <sheet name="0529" sheetId="476" r:id="rId62"/>
    <sheet name="0530總" sheetId="477" r:id="rId63"/>
    <sheet name="0530" sheetId="478" r:id="rId64"/>
    <sheet name="0531總" sheetId="479" r:id="rId65"/>
    <sheet name="0531" sheetId="480" r:id="rId66"/>
  </sheets>
  <externalReferences>
    <externalReference r:id="rId67"/>
  </externalReferences>
  <definedNames>
    <definedName name="_xlnm._FilterDatabase" localSheetId="5">'0501'!$A$4:$AJ$79</definedName>
    <definedName name="_xlnm._FilterDatabase" localSheetId="4">'0501總'!$B$10:$J$25</definedName>
    <definedName name="_xlnm._FilterDatabase" localSheetId="7">'0502'!$A$4:$AJ$79</definedName>
    <definedName name="_xlnm._FilterDatabase" localSheetId="6">'0502總'!$B$10:$J$25</definedName>
    <definedName name="_xlnm._FilterDatabase" localSheetId="9">'0503'!$A$4:$AJ$79</definedName>
    <definedName name="_xlnm._FilterDatabase" localSheetId="8">'0503總'!$B$10:$J$25</definedName>
    <definedName name="_xlnm._FilterDatabase" localSheetId="11">'0504'!$A$4:$AJ$79</definedName>
    <definedName name="_xlnm._FilterDatabase" localSheetId="10">'0504總'!$B$10:$J$25</definedName>
    <definedName name="_xlnm._FilterDatabase" localSheetId="13">'0505'!$A$4:$AJ$79</definedName>
    <definedName name="_xlnm._FilterDatabase" localSheetId="12">'0505總'!$B$10:$J$25</definedName>
    <definedName name="_xlnm._FilterDatabase" localSheetId="15">'0506'!$A$4:$AJ$79</definedName>
    <definedName name="_xlnm._FilterDatabase" localSheetId="14">'0506總'!$B$10:$J$25</definedName>
    <definedName name="_xlnm._FilterDatabase" localSheetId="17">'0507'!$A$4:$AJ$79</definedName>
    <definedName name="_xlnm._FilterDatabase" localSheetId="16">'0507總'!$B$10:$J$25</definedName>
    <definedName name="_xlnm._FilterDatabase" localSheetId="19">'0508'!$A$4:$AJ$79</definedName>
    <definedName name="_xlnm._FilterDatabase" localSheetId="18">'0508總'!$B$10:$J$25</definedName>
    <definedName name="_xlnm._FilterDatabase" localSheetId="21">'0509'!$A$4:$AJ$79</definedName>
    <definedName name="_xlnm._FilterDatabase" localSheetId="20">'0509總'!$B$10:$J$25</definedName>
    <definedName name="_xlnm._FilterDatabase" localSheetId="23">'0510'!$A$4:$AJ$79</definedName>
    <definedName name="_xlnm._FilterDatabase" localSheetId="22">'0510總'!$B$10:$J$25</definedName>
    <definedName name="_xlnm._FilterDatabase" localSheetId="25">'0511'!$A$4:$AJ$79</definedName>
    <definedName name="_xlnm._FilterDatabase" localSheetId="24">'0511總'!$B$10:$J$25</definedName>
    <definedName name="_xlnm._FilterDatabase" localSheetId="27">'0512'!$A$4:$AJ$79</definedName>
    <definedName name="_xlnm._FilterDatabase" localSheetId="26">'0512總'!$B$10:$J$25</definedName>
    <definedName name="_xlnm._FilterDatabase" localSheetId="29">'0513'!$A$4:$AJ$79</definedName>
    <definedName name="_xlnm._FilterDatabase" localSheetId="28">'0513總'!$B$10:$J$25</definedName>
    <definedName name="_xlnm._FilterDatabase" localSheetId="31">'0514'!$A$4:$AJ$79</definedName>
    <definedName name="_xlnm._FilterDatabase" localSheetId="30">'0514總'!$B$10:$J$25</definedName>
    <definedName name="_xlnm._FilterDatabase" localSheetId="33">'0515'!$A$4:$AJ$79</definedName>
    <definedName name="_xlnm._FilterDatabase" localSheetId="32">'0515總'!$B$10:$J$25</definedName>
    <definedName name="_xlnm._FilterDatabase" localSheetId="35">'0516'!$A$4:$AJ$79</definedName>
    <definedName name="_xlnm._FilterDatabase" localSheetId="34">'0516總 '!$B$10:$J$25</definedName>
    <definedName name="_xlnm._FilterDatabase" localSheetId="37">'0517'!$A$4:$AJ$79</definedName>
    <definedName name="_xlnm._FilterDatabase" localSheetId="36">'0517總'!$B$10:$J$25</definedName>
    <definedName name="_xlnm._FilterDatabase" localSheetId="39">'0518'!$A$4:$AJ$79</definedName>
    <definedName name="_xlnm._FilterDatabase" localSheetId="38">'0518總 '!$B$10:$J$25</definedName>
    <definedName name="_xlnm._FilterDatabase" localSheetId="41">'0519'!$A$4:$AJ$79</definedName>
    <definedName name="_xlnm._FilterDatabase" localSheetId="40">'0519總 '!$B$10:$J$25</definedName>
    <definedName name="_xlnm._FilterDatabase" localSheetId="43">'0520'!$A$4:$AJ$79</definedName>
    <definedName name="_xlnm._FilterDatabase" localSheetId="42">'0520總'!$B$10:$J$25</definedName>
    <definedName name="_xlnm._FilterDatabase" localSheetId="45">'0521'!$A$4:$AJ$79</definedName>
    <definedName name="_xlnm._FilterDatabase" localSheetId="44">'0521總'!$B$10:$J$25</definedName>
    <definedName name="_xlnm._FilterDatabase" localSheetId="47">'0522'!$A$4:$AJ$79</definedName>
    <definedName name="_xlnm._FilterDatabase" localSheetId="46">'0522總'!$B$10:$J$25</definedName>
    <definedName name="_xlnm._FilterDatabase" localSheetId="49">'0523'!$A$4:$AJ$79</definedName>
    <definedName name="_xlnm._FilterDatabase" localSheetId="48">'0523總'!$B$10:$J$25</definedName>
    <definedName name="_xlnm._FilterDatabase" localSheetId="51">'0524'!$A$4:$AJ$79</definedName>
    <definedName name="_xlnm._FilterDatabase" localSheetId="50">'0524總'!$B$10:$J$25</definedName>
    <definedName name="_xlnm._FilterDatabase" localSheetId="53">'0525'!$A$4:$AJ$79</definedName>
    <definedName name="_xlnm._FilterDatabase" localSheetId="52">'0525總'!$B$10:$J$25</definedName>
    <definedName name="_xlnm._FilterDatabase" localSheetId="55">'0526'!$A$4:$AJ$79</definedName>
    <definedName name="_xlnm._FilterDatabase" localSheetId="54">'0526總'!$B$10:$J$25</definedName>
    <definedName name="_xlnm._FilterDatabase" localSheetId="57">'0527'!$A$4:$AJ$79</definedName>
    <definedName name="_xlnm._FilterDatabase" localSheetId="56">'0527總'!$B$10:$J$25</definedName>
    <definedName name="_xlnm._FilterDatabase" localSheetId="59">'0528'!$A$4:$AJ$79</definedName>
    <definedName name="_xlnm._FilterDatabase" localSheetId="58">'0528總'!$B$10:$J$25</definedName>
    <definedName name="_xlnm._FilterDatabase" localSheetId="61">'0529'!$A$4:$AJ$79</definedName>
    <definedName name="_xlnm._FilterDatabase" localSheetId="60">'0529總'!$B$10:$J$25</definedName>
    <definedName name="_xlnm._FilterDatabase" localSheetId="63">'0530'!$A$4:$AJ$79</definedName>
    <definedName name="_xlnm._FilterDatabase" localSheetId="62">'0530總'!$B$10:$J$25</definedName>
    <definedName name="_xlnm._FilterDatabase" localSheetId="65">'0531'!$A$4:$AJ$79</definedName>
    <definedName name="_xlnm._FilterDatabase" localSheetId="64">'0531總'!$B$10:$J$25</definedName>
    <definedName name="_xlnm._FilterDatabase" localSheetId="3" hidden="1">範本!$A$4:$AJ$79</definedName>
    <definedName name="_xlnm._FilterDatabase" localSheetId="2" hidden="1">範本總!$B$10:$J$25</definedName>
    <definedName name="_xlnm.Print_Area" localSheetId="5">'0501'!$A$1:$AH$79</definedName>
    <definedName name="_xlnm.Print_Area" localSheetId="7">'0502'!$A$1:$AH$79</definedName>
    <definedName name="_xlnm.Print_Area" localSheetId="9">'0503'!$A$1:$AH$79</definedName>
    <definedName name="_xlnm.Print_Area" localSheetId="11">'0504'!$A$1:$AH$79</definedName>
    <definedName name="_xlnm.Print_Area" localSheetId="13">'0505'!$A$1:$AH$79</definedName>
    <definedName name="_xlnm.Print_Area" localSheetId="15">'0506'!$A$1:$AH$79</definedName>
    <definedName name="_xlnm.Print_Area" localSheetId="17">'0507'!$A$1:$AH$79</definedName>
    <definedName name="_xlnm.Print_Area" localSheetId="19">'0508'!$A$1:$AH$79</definedName>
    <definedName name="_xlnm.Print_Area" localSheetId="21">'0509'!$A$1:$AH$79</definedName>
    <definedName name="_xlnm.Print_Area" localSheetId="23">'0510'!$A$1:$AH$79</definedName>
    <definedName name="_xlnm.Print_Area" localSheetId="25">'0511'!$A$1:$AH$79</definedName>
    <definedName name="_xlnm.Print_Area" localSheetId="27">'0512'!$A$1:$AH$79</definedName>
    <definedName name="_xlnm.Print_Area" localSheetId="29">'0513'!$A$1:$AH$79</definedName>
    <definedName name="_xlnm.Print_Area" localSheetId="31">'0514'!$A$1:$AH$79</definedName>
    <definedName name="_xlnm.Print_Area" localSheetId="33">'0515'!$A$1:$AH$79</definedName>
    <definedName name="_xlnm.Print_Area" localSheetId="35">'0516'!$A$1:$AH$79</definedName>
    <definedName name="_xlnm.Print_Area" localSheetId="37">'0517'!$A$1:$AH$79</definedName>
    <definedName name="_xlnm.Print_Area" localSheetId="39">'0518'!$A$1:$AH$79</definedName>
    <definedName name="_xlnm.Print_Area" localSheetId="41">'0519'!$A$1:$AH$79</definedName>
    <definedName name="_xlnm.Print_Area" localSheetId="43">'0520'!$A$1:$AH$79</definedName>
    <definedName name="_xlnm.Print_Area" localSheetId="45">'0521'!$A$1:$AH$79</definedName>
    <definedName name="_xlnm.Print_Area" localSheetId="47">'0522'!$A$1:$AH$79</definedName>
    <definedName name="_xlnm.Print_Area" localSheetId="49">'0523'!$A$1:$AH$79</definedName>
    <definedName name="_xlnm.Print_Area" localSheetId="51">'0524'!$A$1:$AH$79</definedName>
    <definedName name="_xlnm.Print_Area" localSheetId="53">'0525'!$A$1:$AH$79</definedName>
    <definedName name="_xlnm.Print_Area" localSheetId="55">'0526'!$A$1:$AH$79</definedName>
    <definedName name="_xlnm.Print_Area" localSheetId="57">'0527'!$A$1:$AH$79</definedName>
    <definedName name="_xlnm.Print_Area" localSheetId="59">'0528'!$A$1:$AH$79</definedName>
    <definedName name="_xlnm.Print_Area" localSheetId="61">'0529'!$A$1:$AH$79</definedName>
    <definedName name="_xlnm.Print_Area" localSheetId="63">'0530'!$A$1:$AH$79</definedName>
    <definedName name="_xlnm.Print_Area" localSheetId="65">'0531'!$A$1:$AH$79</definedName>
    <definedName name="_xlnm.Print_Area" localSheetId="3">範本!$A$1:$AH$79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79" i="529" l="1"/>
  <c r="AF79" i="529"/>
  <c r="AE79" i="529"/>
  <c r="AD79" i="529"/>
  <c r="AA79" i="529"/>
  <c r="Z79" i="529"/>
  <c r="W78" i="529"/>
  <c r="W77" i="529"/>
  <c r="W76" i="529"/>
  <c r="W75" i="529"/>
  <c r="W74" i="529"/>
  <c r="W73" i="529"/>
  <c r="W72" i="529"/>
  <c r="W71" i="529"/>
  <c r="AH70" i="529"/>
  <c r="AG70" i="529"/>
  <c r="AF70" i="529"/>
  <c r="W70" i="529"/>
  <c r="S70" i="529"/>
  <c r="AE69" i="529"/>
  <c r="I21" i="528" s="1"/>
  <c r="AD69" i="529"/>
  <c r="I20" i="528" s="1"/>
  <c r="AA69" i="529"/>
  <c r="I19" i="528" s="1"/>
  <c r="Z69" i="529"/>
  <c r="M69" i="529"/>
  <c r="W68" i="529"/>
  <c r="H68" i="529"/>
  <c r="W67" i="529"/>
  <c r="W66" i="529"/>
  <c r="W65" i="529"/>
  <c r="W64" i="529"/>
  <c r="W63" i="529"/>
  <c r="W62" i="529"/>
  <c r="N62" i="529" s="1"/>
  <c r="V62" i="529"/>
  <c r="P62" i="529"/>
  <c r="K62" i="529"/>
  <c r="L62" i="529" s="1"/>
  <c r="J62" i="529"/>
  <c r="F62" i="529"/>
  <c r="H62" i="529" s="1"/>
  <c r="W61" i="529"/>
  <c r="N61" i="529" s="1"/>
  <c r="V61" i="529"/>
  <c r="L61" i="529"/>
  <c r="K61" i="529"/>
  <c r="J61" i="529"/>
  <c r="P61" i="529" s="1"/>
  <c r="F61" i="529"/>
  <c r="H61" i="529" s="1"/>
  <c r="W60" i="529"/>
  <c r="N60" i="529" s="1"/>
  <c r="V60" i="529"/>
  <c r="K60" i="529"/>
  <c r="L60" i="529" s="1"/>
  <c r="J60" i="529"/>
  <c r="P60" i="529" s="1"/>
  <c r="F60" i="529"/>
  <c r="H60" i="529" s="1"/>
  <c r="W59" i="529"/>
  <c r="N59" i="529"/>
  <c r="AG59" i="529" s="1"/>
  <c r="K59" i="529"/>
  <c r="L59" i="529" s="1"/>
  <c r="J59" i="529"/>
  <c r="J69" i="529" s="1"/>
  <c r="P69" i="529" s="1"/>
  <c r="F59" i="529"/>
  <c r="H59" i="529" s="1"/>
  <c r="AE58" i="529"/>
  <c r="H21" i="528" s="1"/>
  <c r="AD58" i="529"/>
  <c r="AA58" i="529"/>
  <c r="Z58" i="529"/>
  <c r="H18" i="528" s="1"/>
  <c r="M58" i="529"/>
  <c r="W57" i="529"/>
  <c r="W56" i="529"/>
  <c r="W55" i="529"/>
  <c r="W54" i="529"/>
  <c r="W53" i="529"/>
  <c r="N53" i="529" s="1"/>
  <c r="V53" i="529"/>
  <c r="K53" i="529"/>
  <c r="L53" i="529" s="1"/>
  <c r="J53" i="529"/>
  <c r="P53" i="529" s="1"/>
  <c r="F53" i="529"/>
  <c r="H53" i="529" s="1"/>
  <c r="AG52" i="529"/>
  <c r="W52" i="529"/>
  <c r="V52" i="529"/>
  <c r="P52" i="529"/>
  <c r="N52" i="529"/>
  <c r="AF52" i="529" s="1"/>
  <c r="K52" i="529"/>
  <c r="L52" i="529" s="1"/>
  <c r="F52" i="529"/>
  <c r="H52" i="529" s="1"/>
  <c r="W51" i="529"/>
  <c r="V51" i="529"/>
  <c r="P51" i="529"/>
  <c r="N51" i="529"/>
  <c r="AG51" i="529" s="1"/>
  <c r="K51" i="529"/>
  <c r="L51" i="529" s="1"/>
  <c r="H51" i="529"/>
  <c r="F51" i="529"/>
  <c r="W50" i="529"/>
  <c r="V50" i="529"/>
  <c r="P50" i="529"/>
  <c r="N50" i="529"/>
  <c r="AG50" i="529" s="1"/>
  <c r="K50" i="529"/>
  <c r="K58" i="529" s="1"/>
  <c r="J50" i="529"/>
  <c r="H50" i="529"/>
  <c r="F50" i="529"/>
  <c r="W49" i="529"/>
  <c r="N49" i="529" s="1"/>
  <c r="P49" i="529"/>
  <c r="L49" i="529"/>
  <c r="J49" i="529"/>
  <c r="F49" i="529"/>
  <c r="H49" i="529" s="1"/>
  <c r="AE48" i="529"/>
  <c r="AD48" i="529"/>
  <c r="G20" i="528" s="1"/>
  <c r="AA48" i="529"/>
  <c r="G19" i="528" s="1"/>
  <c r="Z48" i="529"/>
  <c r="G18" i="528" s="1"/>
  <c r="W48" i="529"/>
  <c r="M48" i="529"/>
  <c r="W47" i="529"/>
  <c r="H47" i="529"/>
  <c r="W46" i="529"/>
  <c r="W45" i="529"/>
  <c r="W44" i="529"/>
  <c r="W43" i="529"/>
  <c r="W42" i="529"/>
  <c r="AG41" i="529"/>
  <c r="AF41" i="529"/>
  <c r="W41" i="529"/>
  <c r="W40" i="529"/>
  <c r="N40" i="529" s="1"/>
  <c r="V40" i="529"/>
  <c r="L40" i="529"/>
  <c r="K40" i="529"/>
  <c r="J40" i="529"/>
  <c r="P40" i="529" s="1"/>
  <c r="F40" i="529"/>
  <c r="H40" i="529" s="1"/>
  <c r="W39" i="529"/>
  <c r="N39" i="529" s="1"/>
  <c r="V39" i="529"/>
  <c r="K39" i="529"/>
  <c r="L39" i="529" s="1"/>
  <c r="J39" i="529"/>
  <c r="P39" i="529" s="1"/>
  <c r="F39" i="529"/>
  <c r="H39" i="529" s="1"/>
  <c r="W38" i="529"/>
  <c r="N38" i="529"/>
  <c r="AG38" i="529" s="1"/>
  <c r="K38" i="529"/>
  <c r="L38" i="529" s="1"/>
  <c r="J38" i="529"/>
  <c r="J48" i="529" s="1"/>
  <c r="F38" i="529"/>
  <c r="H38" i="529" s="1"/>
  <c r="AE37" i="529"/>
  <c r="AD37" i="529"/>
  <c r="AA37" i="529"/>
  <c r="Z37" i="529"/>
  <c r="F18" i="528" s="1"/>
  <c r="M37" i="529"/>
  <c r="W36" i="529"/>
  <c r="H36" i="529"/>
  <c r="W35" i="529"/>
  <c r="W34" i="529"/>
  <c r="W33" i="529"/>
  <c r="W32" i="529"/>
  <c r="AG31" i="529"/>
  <c r="AF31" i="529"/>
  <c r="W31" i="529"/>
  <c r="AG30" i="529"/>
  <c r="AF30" i="529"/>
  <c r="W30" i="529"/>
  <c r="AG29" i="529"/>
  <c r="AF29" i="529"/>
  <c r="W29" i="529"/>
  <c r="W28" i="529"/>
  <c r="N28" i="529" s="1"/>
  <c r="V28" i="529"/>
  <c r="K28" i="529"/>
  <c r="L28" i="529" s="1"/>
  <c r="J28" i="529"/>
  <c r="P28" i="529" s="1"/>
  <c r="F28" i="529"/>
  <c r="H28" i="529" s="1"/>
  <c r="AG27" i="529"/>
  <c r="W27" i="529"/>
  <c r="N27" i="529"/>
  <c r="N37" i="529" s="1"/>
  <c r="K27" i="529"/>
  <c r="K37" i="529" s="1"/>
  <c r="J27" i="529"/>
  <c r="J37" i="529" s="1"/>
  <c r="P37" i="529" s="1"/>
  <c r="H27" i="529"/>
  <c r="F27" i="529"/>
  <c r="AE26" i="529"/>
  <c r="E21" i="528" s="1"/>
  <c r="AD26" i="529"/>
  <c r="AA26" i="529"/>
  <c r="Z26" i="529"/>
  <c r="E18" i="528" s="1"/>
  <c r="P26" i="529"/>
  <c r="M26" i="529"/>
  <c r="J26" i="529"/>
  <c r="W25" i="529"/>
  <c r="H25" i="529"/>
  <c r="W24" i="529"/>
  <c r="H24" i="529"/>
  <c r="W23" i="529"/>
  <c r="W21" i="529"/>
  <c r="W20" i="529"/>
  <c r="AG19" i="529"/>
  <c r="W19" i="529"/>
  <c r="V19" i="529"/>
  <c r="P19" i="529"/>
  <c r="N19" i="529"/>
  <c r="AF19" i="529" s="1"/>
  <c r="K19" i="529"/>
  <c r="L19" i="529" s="1"/>
  <c r="F19" i="529"/>
  <c r="H19" i="529" s="1"/>
  <c r="W18" i="529"/>
  <c r="V18" i="529"/>
  <c r="P18" i="529"/>
  <c r="N18" i="529"/>
  <c r="AG18" i="529" s="1"/>
  <c r="K18" i="529"/>
  <c r="L18" i="529" s="1"/>
  <c r="H18" i="529"/>
  <c r="F18" i="529"/>
  <c r="W17" i="529"/>
  <c r="V17" i="529"/>
  <c r="P17" i="529"/>
  <c r="N17" i="529"/>
  <c r="AG17" i="529" s="1"/>
  <c r="K17" i="529"/>
  <c r="L17" i="529" s="1"/>
  <c r="J17" i="529"/>
  <c r="H17" i="529"/>
  <c r="F17" i="529"/>
  <c r="W16" i="529"/>
  <c r="N16" i="529" s="1"/>
  <c r="P16" i="529"/>
  <c r="L16" i="529"/>
  <c r="K16" i="529"/>
  <c r="K26" i="529" s="1"/>
  <c r="F16" i="529"/>
  <c r="H16" i="529" s="1"/>
  <c r="AE15" i="529"/>
  <c r="AD15" i="529"/>
  <c r="AD2" i="529" s="1"/>
  <c r="AA15" i="529"/>
  <c r="AA2" i="529" s="1"/>
  <c r="Z15" i="529"/>
  <c r="D18" i="528" s="1"/>
  <c r="M15" i="529"/>
  <c r="W14" i="529"/>
  <c r="W13" i="529"/>
  <c r="W12" i="529"/>
  <c r="AG11" i="529"/>
  <c r="AF11" i="529"/>
  <c r="W11" i="529"/>
  <c r="AG10" i="529"/>
  <c r="AF10" i="529"/>
  <c r="W10" i="529"/>
  <c r="W9" i="529"/>
  <c r="N9" i="529" s="1"/>
  <c r="V9" i="529"/>
  <c r="P9" i="529"/>
  <c r="K9" i="529"/>
  <c r="L9" i="529" s="1"/>
  <c r="J9" i="529"/>
  <c r="F9" i="529"/>
  <c r="H9" i="529" s="1"/>
  <c r="W8" i="529"/>
  <c r="N8" i="529" s="1"/>
  <c r="V8" i="529"/>
  <c r="L8" i="529"/>
  <c r="K8" i="529"/>
  <c r="J8" i="529"/>
  <c r="P8" i="529" s="1"/>
  <c r="F8" i="529"/>
  <c r="H8" i="529" s="1"/>
  <c r="W7" i="529"/>
  <c r="N7" i="529" s="1"/>
  <c r="V7" i="529"/>
  <c r="K7" i="529"/>
  <c r="L7" i="529" s="1"/>
  <c r="J7" i="529"/>
  <c r="P7" i="529" s="1"/>
  <c r="F7" i="529"/>
  <c r="H7" i="529" s="1"/>
  <c r="AG6" i="529"/>
  <c r="W6" i="529"/>
  <c r="V6" i="529"/>
  <c r="N6" i="529"/>
  <c r="AF6" i="529" s="1"/>
  <c r="K6" i="529"/>
  <c r="L6" i="529" s="1"/>
  <c r="J6" i="529"/>
  <c r="P6" i="529" s="1"/>
  <c r="H6" i="529"/>
  <c r="F6" i="529"/>
  <c r="W5" i="529"/>
  <c r="P5" i="529"/>
  <c r="N5" i="529"/>
  <c r="N15" i="529" s="1"/>
  <c r="L5" i="529"/>
  <c r="K5" i="529"/>
  <c r="J5" i="529"/>
  <c r="F5" i="529"/>
  <c r="H5" i="529" s="1"/>
  <c r="I2" i="529"/>
  <c r="I1" i="529"/>
  <c r="E1" i="529"/>
  <c r="J15" i="528"/>
  <c r="H19" i="528"/>
  <c r="G21" i="528"/>
  <c r="F21" i="528"/>
  <c r="F19" i="528"/>
  <c r="D21" i="528"/>
  <c r="J22" i="528"/>
  <c r="I22" i="528"/>
  <c r="H22" i="528"/>
  <c r="G22" i="528"/>
  <c r="F22" i="528"/>
  <c r="E22" i="528"/>
  <c r="J21" i="528"/>
  <c r="J20" i="528"/>
  <c r="H20" i="528"/>
  <c r="F20" i="528"/>
  <c r="E20" i="528"/>
  <c r="J19" i="528"/>
  <c r="E19" i="528"/>
  <c r="J18" i="528"/>
  <c r="I18" i="528"/>
  <c r="J17" i="528"/>
  <c r="J16" i="528"/>
  <c r="I16" i="528"/>
  <c r="H16" i="528"/>
  <c r="G16" i="528"/>
  <c r="F16" i="528"/>
  <c r="E16" i="528"/>
  <c r="D16" i="528"/>
  <c r="J14" i="528"/>
  <c r="J13" i="528"/>
  <c r="O8" i="528"/>
  <c r="N8" i="528"/>
  <c r="M8" i="528"/>
  <c r="L8" i="528"/>
  <c r="O7" i="528"/>
  <c r="N7" i="528"/>
  <c r="M7" i="528"/>
  <c r="L7" i="528"/>
  <c r="G3" i="528"/>
  <c r="AG79" i="527"/>
  <c r="AH70" i="527" s="1"/>
  <c r="AF79" i="527"/>
  <c r="AE79" i="527"/>
  <c r="AD79" i="527"/>
  <c r="J20" i="526" s="1"/>
  <c r="AA79" i="527"/>
  <c r="Z79" i="527"/>
  <c r="W78" i="527"/>
  <c r="W77" i="527"/>
  <c r="W76" i="527"/>
  <c r="W75" i="527"/>
  <c r="W74" i="527"/>
  <c r="W73" i="527"/>
  <c r="W72" i="527"/>
  <c r="W71" i="527"/>
  <c r="AG70" i="527"/>
  <c r="AF70" i="527"/>
  <c r="W70" i="527"/>
  <c r="S70" i="527"/>
  <c r="AE69" i="527"/>
  <c r="I21" i="526" s="1"/>
  <c r="AD69" i="527"/>
  <c r="I20" i="526" s="1"/>
  <c r="AA69" i="527"/>
  <c r="I19" i="526" s="1"/>
  <c r="Z69" i="527"/>
  <c r="M69" i="527"/>
  <c r="P69" i="527" s="1"/>
  <c r="W68" i="527"/>
  <c r="H68" i="527"/>
  <c r="W67" i="527"/>
  <c r="W66" i="527"/>
  <c r="W65" i="527"/>
  <c r="W64" i="527"/>
  <c r="W63" i="527"/>
  <c r="W62" i="527"/>
  <c r="N62" i="527" s="1"/>
  <c r="V62" i="527"/>
  <c r="P62" i="527"/>
  <c r="K62" i="527"/>
  <c r="L62" i="527" s="1"/>
  <c r="J62" i="527"/>
  <c r="F62" i="527"/>
  <c r="H62" i="527" s="1"/>
  <c r="W61" i="527"/>
  <c r="N61" i="527" s="1"/>
  <c r="V61" i="527"/>
  <c r="L61" i="527"/>
  <c r="K61" i="527"/>
  <c r="J61" i="527"/>
  <c r="P61" i="527" s="1"/>
  <c r="F61" i="527"/>
  <c r="H61" i="527" s="1"/>
  <c r="W60" i="527"/>
  <c r="N60" i="527" s="1"/>
  <c r="V60" i="527"/>
  <c r="K60" i="527"/>
  <c r="L60" i="527" s="1"/>
  <c r="J60" i="527"/>
  <c r="P60" i="527" s="1"/>
  <c r="F60" i="527"/>
  <c r="H60" i="527" s="1"/>
  <c r="W59" i="527"/>
  <c r="N59" i="527"/>
  <c r="AG59" i="527" s="1"/>
  <c r="K59" i="527"/>
  <c r="K69" i="527" s="1"/>
  <c r="J59" i="527"/>
  <c r="J69" i="527" s="1"/>
  <c r="F59" i="527"/>
  <c r="H59" i="527" s="1"/>
  <c r="AE58" i="527"/>
  <c r="AD58" i="527"/>
  <c r="AA58" i="527"/>
  <c r="Z58" i="527"/>
  <c r="H18" i="526" s="1"/>
  <c r="M58" i="527"/>
  <c r="W57" i="527"/>
  <c r="W56" i="527"/>
  <c r="W55" i="527"/>
  <c r="W54" i="527"/>
  <c r="W53" i="527"/>
  <c r="N53" i="527" s="1"/>
  <c r="V53" i="527"/>
  <c r="K53" i="527"/>
  <c r="L53" i="527" s="1"/>
  <c r="J53" i="527"/>
  <c r="J58" i="527" s="1"/>
  <c r="P58" i="527" s="1"/>
  <c r="F53" i="527"/>
  <c r="H53" i="527" s="1"/>
  <c r="AG52" i="527"/>
  <c r="W52" i="527"/>
  <c r="V52" i="527"/>
  <c r="P52" i="527"/>
  <c r="N52" i="527"/>
  <c r="AF52" i="527" s="1"/>
  <c r="K52" i="527"/>
  <c r="L52" i="527" s="1"/>
  <c r="F52" i="527"/>
  <c r="H52" i="527" s="1"/>
  <c r="W51" i="527"/>
  <c r="V51" i="527"/>
  <c r="P51" i="527"/>
  <c r="N51" i="527"/>
  <c r="AG51" i="527" s="1"/>
  <c r="K51" i="527"/>
  <c r="L51" i="527" s="1"/>
  <c r="H51" i="527"/>
  <c r="F51" i="527"/>
  <c r="W50" i="527"/>
  <c r="V50" i="527"/>
  <c r="P50" i="527"/>
  <c r="N50" i="527"/>
  <c r="O50" i="527" s="1"/>
  <c r="K50" i="527"/>
  <c r="K58" i="527" s="1"/>
  <c r="J50" i="527"/>
  <c r="H50" i="527"/>
  <c r="F50" i="527"/>
  <c r="W49" i="527"/>
  <c r="N49" i="527" s="1"/>
  <c r="P49" i="527"/>
  <c r="L49" i="527"/>
  <c r="J49" i="527"/>
  <c r="F49" i="527"/>
  <c r="H49" i="527" s="1"/>
  <c r="AE48" i="527"/>
  <c r="AD48" i="527"/>
  <c r="G20" i="526" s="1"/>
  <c r="AA48" i="527"/>
  <c r="G19" i="526" s="1"/>
  <c r="Z48" i="527"/>
  <c r="G18" i="526" s="1"/>
  <c r="W48" i="527"/>
  <c r="M48" i="527"/>
  <c r="W47" i="527"/>
  <c r="H47" i="527"/>
  <c r="W46" i="527"/>
  <c r="W45" i="527"/>
  <c r="W44" i="527"/>
  <c r="W43" i="527"/>
  <c r="W42" i="527"/>
  <c r="AG41" i="527"/>
  <c r="AF41" i="527"/>
  <c r="W41" i="527"/>
  <c r="AG40" i="527"/>
  <c r="AF40" i="527"/>
  <c r="W40" i="527"/>
  <c r="AG39" i="527"/>
  <c r="AF39" i="527"/>
  <c r="W39" i="527"/>
  <c r="V39" i="527"/>
  <c r="N39" i="527"/>
  <c r="O39" i="527" s="1"/>
  <c r="K39" i="527"/>
  <c r="L39" i="527" s="1"/>
  <c r="J39" i="527"/>
  <c r="P39" i="527" s="1"/>
  <c r="F39" i="527"/>
  <c r="H39" i="527" s="1"/>
  <c r="W38" i="527"/>
  <c r="P38" i="527"/>
  <c r="N38" i="527"/>
  <c r="N48" i="527" s="1"/>
  <c r="K38" i="527"/>
  <c r="K48" i="527" s="1"/>
  <c r="J38" i="527"/>
  <c r="F38" i="527"/>
  <c r="H38" i="527" s="1"/>
  <c r="AE37" i="527"/>
  <c r="AD37" i="527"/>
  <c r="AA37" i="527"/>
  <c r="Z37" i="527"/>
  <c r="F18" i="526" s="1"/>
  <c r="M37" i="527"/>
  <c r="W36" i="527"/>
  <c r="H36" i="527"/>
  <c r="W35" i="527"/>
  <c r="W34" i="527"/>
  <c r="W33" i="527"/>
  <c r="W32" i="527"/>
  <c r="AG31" i="527"/>
  <c r="AF31" i="527"/>
  <c r="W31" i="527"/>
  <c r="AG30" i="527"/>
  <c r="AF30" i="527"/>
  <c r="W30" i="527"/>
  <c r="W29" i="527"/>
  <c r="N29" i="527" s="1"/>
  <c r="V29" i="527"/>
  <c r="P29" i="527"/>
  <c r="K29" i="527"/>
  <c r="L29" i="527" s="1"/>
  <c r="J29" i="527"/>
  <c r="F29" i="527"/>
  <c r="H29" i="527" s="1"/>
  <c r="W28" i="527"/>
  <c r="N28" i="527" s="1"/>
  <c r="V28" i="527"/>
  <c r="K28" i="527"/>
  <c r="L28" i="527" s="1"/>
  <c r="J28" i="527"/>
  <c r="P28" i="527" s="1"/>
  <c r="F28" i="527"/>
  <c r="H28" i="527" s="1"/>
  <c r="AG27" i="527"/>
  <c r="W27" i="527"/>
  <c r="N27" i="527"/>
  <c r="AF27" i="527" s="1"/>
  <c r="K27" i="527"/>
  <c r="K37" i="527" s="1"/>
  <c r="J27" i="527"/>
  <c r="J37" i="527" s="1"/>
  <c r="P37" i="527" s="1"/>
  <c r="H27" i="527"/>
  <c r="F27" i="527"/>
  <c r="AE26" i="527"/>
  <c r="E21" i="526" s="1"/>
  <c r="AD26" i="527"/>
  <c r="AA26" i="527"/>
  <c r="Z26" i="527"/>
  <c r="P26" i="527"/>
  <c r="M26" i="527"/>
  <c r="J26" i="527"/>
  <c r="W25" i="527"/>
  <c r="H25" i="527"/>
  <c r="W24" i="527"/>
  <c r="H24" i="527"/>
  <c r="W23" i="527"/>
  <c r="W21" i="527"/>
  <c r="W20" i="527"/>
  <c r="AG19" i="527"/>
  <c r="AF19" i="527"/>
  <c r="W19" i="527"/>
  <c r="W18" i="527"/>
  <c r="V18" i="527"/>
  <c r="P18" i="527"/>
  <c r="N18" i="527"/>
  <c r="AF18" i="527" s="1"/>
  <c r="L18" i="527"/>
  <c r="K18" i="527"/>
  <c r="F18" i="527"/>
  <c r="H18" i="527" s="1"/>
  <c r="W17" i="527"/>
  <c r="V17" i="527"/>
  <c r="P17" i="527"/>
  <c r="N17" i="527"/>
  <c r="AG17" i="527" s="1"/>
  <c r="L17" i="527"/>
  <c r="K17" i="527"/>
  <c r="J17" i="527"/>
  <c r="F17" i="527"/>
  <c r="H17" i="527" s="1"/>
  <c r="W16" i="527"/>
  <c r="N16" i="527" s="1"/>
  <c r="P16" i="527"/>
  <c r="K16" i="527"/>
  <c r="L16" i="527" s="1"/>
  <c r="L26" i="527" s="1"/>
  <c r="F16" i="527"/>
  <c r="H16" i="527" s="1"/>
  <c r="AE15" i="527"/>
  <c r="D21" i="526" s="1"/>
  <c r="AD15" i="527"/>
  <c r="AD2" i="527" s="1"/>
  <c r="AA15" i="527"/>
  <c r="AA2" i="527" s="1"/>
  <c r="Z15" i="527"/>
  <c r="D18" i="526" s="1"/>
  <c r="M15" i="527"/>
  <c r="D22" i="526" s="1"/>
  <c r="W14" i="527"/>
  <c r="W13" i="527"/>
  <c r="W12" i="527"/>
  <c r="AG11" i="527"/>
  <c r="AF11" i="527"/>
  <c r="W11" i="527"/>
  <c r="AG10" i="527"/>
  <c r="AF10" i="527"/>
  <c r="W10" i="527"/>
  <c r="AG9" i="527"/>
  <c r="AF9" i="527"/>
  <c r="W9" i="527"/>
  <c r="AG8" i="527"/>
  <c r="AF8" i="527"/>
  <c r="W8" i="527"/>
  <c r="V8" i="527"/>
  <c r="N8" i="527"/>
  <c r="O8" i="527" s="1"/>
  <c r="K8" i="527"/>
  <c r="L8" i="527" s="1"/>
  <c r="J8" i="527"/>
  <c r="P8" i="527" s="1"/>
  <c r="F8" i="527"/>
  <c r="H8" i="527" s="1"/>
  <c r="W7" i="527"/>
  <c r="V7" i="527"/>
  <c r="N7" i="527"/>
  <c r="AG7" i="527" s="1"/>
  <c r="K7" i="527"/>
  <c r="K15" i="527" s="1"/>
  <c r="J7" i="527"/>
  <c r="P7" i="527" s="1"/>
  <c r="H7" i="527"/>
  <c r="F7" i="527"/>
  <c r="W6" i="527"/>
  <c r="V6" i="527"/>
  <c r="P6" i="527"/>
  <c r="N6" i="527"/>
  <c r="AF6" i="527" s="1"/>
  <c r="L6" i="527"/>
  <c r="K6" i="527"/>
  <c r="J6" i="527"/>
  <c r="F6" i="527"/>
  <c r="H6" i="527" s="1"/>
  <c r="W5" i="527"/>
  <c r="N5" i="527" s="1"/>
  <c r="P5" i="527"/>
  <c r="K5" i="527"/>
  <c r="L5" i="527" s="1"/>
  <c r="J5" i="527"/>
  <c r="F5" i="527"/>
  <c r="H5" i="527" s="1"/>
  <c r="Z2" i="527"/>
  <c r="I2" i="527"/>
  <c r="E1" i="527"/>
  <c r="G3" i="526" s="1"/>
  <c r="H21" i="526"/>
  <c r="H19" i="526"/>
  <c r="G21" i="526"/>
  <c r="F21" i="526"/>
  <c r="E19" i="526"/>
  <c r="E18" i="526"/>
  <c r="J22" i="526"/>
  <c r="I22" i="526"/>
  <c r="H22" i="526"/>
  <c r="F22" i="526"/>
  <c r="E22" i="526"/>
  <c r="J21" i="526"/>
  <c r="H20" i="526"/>
  <c r="F20" i="526"/>
  <c r="E20" i="526"/>
  <c r="J19" i="526"/>
  <c r="F19" i="526"/>
  <c r="J18" i="526"/>
  <c r="I18" i="526"/>
  <c r="J17" i="526"/>
  <c r="J16" i="526"/>
  <c r="I16" i="526"/>
  <c r="H16" i="526"/>
  <c r="G16" i="526"/>
  <c r="F16" i="526"/>
  <c r="E16" i="526"/>
  <c r="D16" i="526"/>
  <c r="J15" i="526"/>
  <c r="J14" i="526"/>
  <c r="J13" i="526"/>
  <c r="O8" i="526"/>
  <c r="N8" i="526"/>
  <c r="M8" i="526"/>
  <c r="L8" i="526"/>
  <c r="O7" i="526"/>
  <c r="N7" i="526"/>
  <c r="M7" i="526"/>
  <c r="L7" i="526"/>
  <c r="AG79" i="525"/>
  <c r="AH70" i="525" s="1"/>
  <c r="AF79" i="525"/>
  <c r="AE79" i="525"/>
  <c r="AD79" i="525"/>
  <c r="AA79" i="525"/>
  <c r="Z79" i="525"/>
  <c r="W78" i="525"/>
  <c r="W77" i="525"/>
  <c r="W76" i="525"/>
  <c r="W75" i="525"/>
  <c r="W74" i="525"/>
  <c r="W73" i="525"/>
  <c r="W72" i="525"/>
  <c r="W71" i="525"/>
  <c r="AG70" i="525"/>
  <c r="AF70" i="525"/>
  <c r="W70" i="525"/>
  <c r="S70" i="525"/>
  <c r="AE69" i="525"/>
  <c r="I21" i="524" s="1"/>
  <c r="AD69" i="525"/>
  <c r="I20" i="524" s="1"/>
  <c r="AA69" i="525"/>
  <c r="I19" i="524" s="1"/>
  <c r="Z69" i="525"/>
  <c r="M69" i="525"/>
  <c r="W68" i="525"/>
  <c r="H68" i="525"/>
  <c r="W67" i="525"/>
  <c r="W66" i="525"/>
  <c r="W65" i="525"/>
  <c r="W64" i="525"/>
  <c r="W63" i="525"/>
  <c r="W62" i="525"/>
  <c r="N62" i="525" s="1"/>
  <c r="V62" i="525"/>
  <c r="P62" i="525"/>
  <c r="K62" i="525"/>
  <c r="L62" i="525" s="1"/>
  <c r="J62" i="525"/>
  <c r="F62" i="525"/>
  <c r="H62" i="525" s="1"/>
  <c r="W61" i="525"/>
  <c r="N61" i="525" s="1"/>
  <c r="V61" i="525"/>
  <c r="K61" i="525"/>
  <c r="L61" i="525" s="1"/>
  <c r="J61" i="525"/>
  <c r="P61" i="525" s="1"/>
  <c r="F61" i="525"/>
  <c r="H61" i="525" s="1"/>
  <c r="W60" i="525"/>
  <c r="N60" i="525" s="1"/>
  <c r="V60" i="525"/>
  <c r="K60" i="525"/>
  <c r="L60" i="525" s="1"/>
  <c r="J60" i="525"/>
  <c r="P60" i="525" s="1"/>
  <c r="F60" i="525"/>
  <c r="H60" i="525" s="1"/>
  <c r="W59" i="525"/>
  <c r="N59" i="525"/>
  <c r="AG59" i="525" s="1"/>
  <c r="K59" i="525"/>
  <c r="K69" i="525" s="1"/>
  <c r="J59" i="525"/>
  <c r="H59" i="525"/>
  <c r="F59" i="525"/>
  <c r="AE58" i="525"/>
  <c r="H21" i="524" s="1"/>
  <c r="AD58" i="525"/>
  <c r="AA58" i="525"/>
  <c r="Z58" i="525"/>
  <c r="M58" i="525"/>
  <c r="W57" i="525"/>
  <c r="W56" i="525"/>
  <c r="W55" i="525"/>
  <c r="W54" i="525"/>
  <c r="N54" i="525" s="1"/>
  <c r="O54" i="525" s="1"/>
  <c r="V54" i="525"/>
  <c r="K54" i="525"/>
  <c r="L54" i="525" s="1"/>
  <c r="Q54" i="525" s="1"/>
  <c r="J54" i="525"/>
  <c r="P54" i="525" s="1"/>
  <c r="F54" i="525"/>
  <c r="H54" i="525" s="1"/>
  <c r="W53" i="525"/>
  <c r="N53" i="525" s="1"/>
  <c r="V53" i="525"/>
  <c r="K53" i="525"/>
  <c r="L53" i="525" s="1"/>
  <c r="J53" i="525"/>
  <c r="P53" i="525" s="1"/>
  <c r="F53" i="525"/>
  <c r="H53" i="525" s="1"/>
  <c r="AG52" i="525"/>
  <c r="AF52" i="525"/>
  <c r="W52" i="525"/>
  <c r="V52" i="525"/>
  <c r="P52" i="525"/>
  <c r="N52" i="525"/>
  <c r="O52" i="525" s="1"/>
  <c r="K52" i="525"/>
  <c r="L52" i="525" s="1"/>
  <c r="F52" i="525"/>
  <c r="H52" i="525" s="1"/>
  <c r="AG51" i="525"/>
  <c r="W51" i="525"/>
  <c r="V51" i="525"/>
  <c r="P51" i="525"/>
  <c r="N51" i="525"/>
  <c r="AF51" i="525" s="1"/>
  <c r="K51" i="525"/>
  <c r="L51" i="525" s="1"/>
  <c r="F51" i="525"/>
  <c r="H51" i="525" s="1"/>
  <c r="W50" i="525"/>
  <c r="V50" i="525"/>
  <c r="N50" i="525"/>
  <c r="AG50" i="525" s="1"/>
  <c r="K50" i="525"/>
  <c r="K58" i="525" s="1"/>
  <c r="J50" i="525"/>
  <c r="H50" i="525"/>
  <c r="F50" i="525"/>
  <c r="W49" i="525"/>
  <c r="P49" i="525"/>
  <c r="N49" i="525"/>
  <c r="L49" i="525"/>
  <c r="J49" i="525"/>
  <c r="F49" i="525"/>
  <c r="H49" i="525" s="1"/>
  <c r="AE48" i="525"/>
  <c r="G21" i="524" s="1"/>
  <c r="AD48" i="525"/>
  <c r="AA48" i="525"/>
  <c r="Z48" i="525"/>
  <c r="W48" i="525"/>
  <c r="M48" i="525"/>
  <c r="W47" i="525"/>
  <c r="H47" i="525"/>
  <c r="W46" i="525"/>
  <c r="W45" i="525"/>
  <c r="W44" i="525"/>
  <c r="W43" i="525"/>
  <c r="W42" i="525"/>
  <c r="AG41" i="525"/>
  <c r="AF41" i="525"/>
  <c r="W41" i="525"/>
  <c r="AG40" i="525"/>
  <c r="AF40" i="525"/>
  <c r="W40" i="525"/>
  <c r="W39" i="525"/>
  <c r="N39" i="525" s="1"/>
  <c r="V39" i="525"/>
  <c r="K39" i="525"/>
  <c r="L39" i="525" s="1"/>
  <c r="J39" i="525"/>
  <c r="P39" i="525" s="1"/>
  <c r="F39" i="525"/>
  <c r="H39" i="525" s="1"/>
  <c r="W38" i="525"/>
  <c r="N38" i="525"/>
  <c r="AG38" i="525" s="1"/>
  <c r="K38" i="525"/>
  <c r="J38" i="525"/>
  <c r="H38" i="525"/>
  <c r="F38" i="525"/>
  <c r="AE37" i="525"/>
  <c r="F21" i="524" s="1"/>
  <c r="AD37" i="525"/>
  <c r="F20" i="524" s="1"/>
  <c r="AA37" i="525"/>
  <c r="F19" i="524" s="1"/>
  <c r="Z37" i="525"/>
  <c r="F18" i="524" s="1"/>
  <c r="M37" i="525"/>
  <c r="W36" i="525"/>
  <c r="H36" i="525"/>
  <c r="W35" i="525"/>
  <c r="W34" i="525"/>
  <c r="W33" i="525"/>
  <c r="W32" i="525"/>
  <c r="AG31" i="525"/>
  <c r="AF31" i="525"/>
  <c r="W31" i="525"/>
  <c r="W30" i="525"/>
  <c r="V30" i="525"/>
  <c r="P30" i="525"/>
  <c r="N30" i="525"/>
  <c r="AF30" i="525" s="1"/>
  <c r="L30" i="525"/>
  <c r="K30" i="525"/>
  <c r="J30" i="525"/>
  <c r="F30" i="525"/>
  <c r="H30" i="525" s="1"/>
  <c r="W29" i="525"/>
  <c r="N29" i="525" s="1"/>
  <c r="V29" i="525"/>
  <c r="P29" i="525"/>
  <c r="K29" i="525"/>
  <c r="L29" i="525" s="1"/>
  <c r="J29" i="525"/>
  <c r="F29" i="525"/>
  <c r="H29" i="525" s="1"/>
  <c r="W28" i="525"/>
  <c r="N28" i="525" s="1"/>
  <c r="V28" i="525"/>
  <c r="K28" i="525"/>
  <c r="L28" i="525" s="1"/>
  <c r="J28" i="525"/>
  <c r="P28" i="525" s="1"/>
  <c r="F28" i="525"/>
  <c r="H28" i="525" s="1"/>
  <c r="W27" i="525"/>
  <c r="N27" i="525" s="1"/>
  <c r="P27" i="525"/>
  <c r="K27" i="525"/>
  <c r="K37" i="525" s="1"/>
  <c r="F27" i="525"/>
  <c r="H27" i="525" s="1"/>
  <c r="AE26" i="525"/>
  <c r="AD26" i="525"/>
  <c r="AA26" i="525"/>
  <c r="Z26" i="525"/>
  <c r="M26" i="525"/>
  <c r="K26" i="525"/>
  <c r="W25" i="525"/>
  <c r="H25" i="525"/>
  <c r="W24" i="525"/>
  <c r="H24" i="525"/>
  <c r="W23" i="525"/>
  <c r="W21" i="525"/>
  <c r="W20" i="525"/>
  <c r="AG19" i="525"/>
  <c r="AF19" i="525"/>
  <c r="W19" i="525"/>
  <c r="AG18" i="525"/>
  <c r="W18" i="525"/>
  <c r="V18" i="525"/>
  <c r="P18" i="525"/>
  <c r="N18" i="525"/>
  <c r="AF18" i="525" s="1"/>
  <c r="K18" i="525"/>
  <c r="L18" i="525" s="1"/>
  <c r="F18" i="525"/>
  <c r="H18" i="525" s="1"/>
  <c r="W17" i="525"/>
  <c r="V17" i="525"/>
  <c r="N17" i="525"/>
  <c r="AG17" i="525" s="1"/>
  <c r="K17" i="525"/>
  <c r="J17" i="525"/>
  <c r="H17" i="525"/>
  <c r="F17" i="525"/>
  <c r="W16" i="525"/>
  <c r="P16" i="525"/>
  <c r="N16" i="525"/>
  <c r="L16" i="525"/>
  <c r="K16" i="525"/>
  <c r="F16" i="525"/>
  <c r="H16" i="525" s="1"/>
  <c r="AE15" i="525"/>
  <c r="D21" i="524" s="1"/>
  <c r="AD15" i="525"/>
  <c r="AD2" i="525" s="1"/>
  <c r="AA15" i="525"/>
  <c r="AA2" i="525" s="1"/>
  <c r="Z15" i="525"/>
  <c r="D18" i="524" s="1"/>
  <c r="M15" i="525"/>
  <c r="W14" i="525"/>
  <c r="W13" i="525"/>
  <c r="W12" i="525"/>
  <c r="AG11" i="525"/>
  <c r="AF11" i="525"/>
  <c r="W11" i="525"/>
  <c r="AG10" i="525"/>
  <c r="AF10" i="525"/>
  <c r="W10" i="525"/>
  <c r="AG9" i="525"/>
  <c r="AF9" i="525"/>
  <c r="W9" i="525"/>
  <c r="AG8" i="525"/>
  <c r="AF8" i="525"/>
  <c r="W8" i="525"/>
  <c r="AG7" i="525"/>
  <c r="AF7" i="525"/>
  <c r="W7" i="525"/>
  <c r="V7" i="525"/>
  <c r="N7" i="525"/>
  <c r="O7" i="525" s="1"/>
  <c r="K7" i="525"/>
  <c r="L7" i="525" s="1"/>
  <c r="J7" i="525"/>
  <c r="P7" i="525" s="1"/>
  <c r="F7" i="525"/>
  <c r="H7" i="525" s="1"/>
  <c r="W6" i="525"/>
  <c r="V6" i="525"/>
  <c r="N6" i="525"/>
  <c r="AG6" i="525" s="1"/>
  <c r="K6" i="525"/>
  <c r="J6" i="525"/>
  <c r="H6" i="525"/>
  <c r="F6" i="525"/>
  <c r="W5" i="525"/>
  <c r="P5" i="525"/>
  <c r="N5" i="525"/>
  <c r="K5" i="525"/>
  <c r="J5" i="525"/>
  <c r="L5" i="525" s="1"/>
  <c r="F5" i="525"/>
  <c r="H5" i="525" s="1"/>
  <c r="I2" i="525"/>
  <c r="E1" i="525"/>
  <c r="I22" i="524"/>
  <c r="H20" i="524"/>
  <c r="H18" i="524"/>
  <c r="G20" i="524"/>
  <c r="G19" i="524"/>
  <c r="G18" i="524"/>
  <c r="E19" i="524"/>
  <c r="G3" i="524"/>
  <c r="J22" i="524"/>
  <c r="H22" i="524"/>
  <c r="F22" i="524"/>
  <c r="E22" i="524"/>
  <c r="D22" i="524"/>
  <c r="J21" i="524"/>
  <c r="E21" i="524"/>
  <c r="J20" i="524"/>
  <c r="E20" i="524"/>
  <c r="J19" i="524"/>
  <c r="H19" i="524"/>
  <c r="J18" i="524"/>
  <c r="I18" i="524"/>
  <c r="E18" i="524"/>
  <c r="J17" i="524"/>
  <c r="J16" i="524"/>
  <c r="I16" i="524"/>
  <c r="H16" i="524"/>
  <c r="G16" i="524"/>
  <c r="F16" i="524"/>
  <c r="E16" i="524"/>
  <c r="D16" i="524"/>
  <c r="J15" i="524"/>
  <c r="J14" i="524"/>
  <c r="J13" i="524"/>
  <c r="O8" i="524"/>
  <c r="N8" i="524"/>
  <c r="M8" i="524"/>
  <c r="L8" i="524"/>
  <c r="O7" i="524"/>
  <c r="N7" i="524"/>
  <c r="M7" i="524"/>
  <c r="L7" i="524"/>
  <c r="AG79" i="523"/>
  <c r="AH70" i="523" s="1"/>
  <c r="AF79" i="523"/>
  <c r="AE79" i="523"/>
  <c r="AD79" i="523"/>
  <c r="J20" i="522" s="1"/>
  <c r="AA79" i="523"/>
  <c r="Z79" i="523"/>
  <c r="W78" i="523"/>
  <c r="W77" i="523"/>
  <c r="W76" i="523"/>
  <c r="W75" i="523"/>
  <c r="W74" i="523"/>
  <c r="W73" i="523"/>
  <c r="W72" i="523"/>
  <c r="W71" i="523"/>
  <c r="AG70" i="523"/>
  <c r="AF70" i="523"/>
  <c r="W70" i="523"/>
  <c r="S70" i="523"/>
  <c r="J15" i="522" s="1"/>
  <c r="AE69" i="523"/>
  <c r="AD69" i="523"/>
  <c r="I20" i="522" s="1"/>
  <c r="AA69" i="523"/>
  <c r="I19" i="522" s="1"/>
  <c r="Z69" i="523"/>
  <c r="M69" i="523"/>
  <c r="W68" i="523"/>
  <c r="H68" i="523"/>
  <c r="W67" i="523"/>
  <c r="W66" i="523"/>
  <c r="W65" i="523"/>
  <c r="W64" i="523"/>
  <c r="W63" i="523"/>
  <c r="AG62" i="523"/>
  <c r="AF62" i="523"/>
  <c r="W62" i="523"/>
  <c r="W61" i="523"/>
  <c r="N61" i="523" s="1"/>
  <c r="O61" i="523" s="1"/>
  <c r="V61" i="523"/>
  <c r="K61" i="523"/>
  <c r="L61" i="523" s="1"/>
  <c r="J61" i="523"/>
  <c r="P61" i="523" s="1"/>
  <c r="F61" i="523"/>
  <c r="H61" i="523" s="1"/>
  <c r="W60" i="523"/>
  <c r="V60" i="523"/>
  <c r="N60" i="523"/>
  <c r="AG60" i="523" s="1"/>
  <c r="K60" i="523"/>
  <c r="L60" i="523" s="1"/>
  <c r="J60" i="523"/>
  <c r="P60" i="523" s="1"/>
  <c r="F60" i="523"/>
  <c r="H60" i="523" s="1"/>
  <c r="W59" i="523"/>
  <c r="P59" i="523"/>
  <c r="N59" i="523"/>
  <c r="K59" i="523"/>
  <c r="K69" i="523" s="1"/>
  <c r="J59" i="523"/>
  <c r="H59" i="523"/>
  <c r="F59" i="523"/>
  <c r="AE58" i="523"/>
  <c r="H21" i="522" s="1"/>
  <c r="AD58" i="523"/>
  <c r="H20" i="522" s="1"/>
  <c r="AA58" i="523"/>
  <c r="H19" i="522" s="1"/>
  <c r="Z58" i="523"/>
  <c r="H18" i="522" s="1"/>
  <c r="M58" i="523"/>
  <c r="W57" i="523"/>
  <c r="W56" i="523"/>
  <c r="W55" i="523"/>
  <c r="W54" i="523"/>
  <c r="AG53" i="523"/>
  <c r="W53" i="523"/>
  <c r="V53" i="523"/>
  <c r="N53" i="523"/>
  <c r="AF53" i="523" s="1"/>
  <c r="K53" i="523"/>
  <c r="L53" i="523" s="1"/>
  <c r="J53" i="523"/>
  <c r="P53" i="523" s="1"/>
  <c r="F53" i="523"/>
  <c r="H53" i="523" s="1"/>
  <c r="W52" i="523"/>
  <c r="V52" i="523"/>
  <c r="P52" i="523"/>
  <c r="N52" i="523"/>
  <c r="K52" i="523"/>
  <c r="L52" i="523" s="1"/>
  <c r="H52" i="523"/>
  <c r="F52" i="523"/>
  <c r="W51" i="523"/>
  <c r="V51" i="523"/>
  <c r="P51" i="523"/>
  <c r="N51" i="523"/>
  <c r="K51" i="523"/>
  <c r="F51" i="523"/>
  <c r="H51" i="523" s="1"/>
  <c r="W50" i="523"/>
  <c r="V50" i="523"/>
  <c r="P50" i="523"/>
  <c r="O50" i="523"/>
  <c r="R50" i="523" s="1"/>
  <c r="N50" i="523"/>
  <c r="L50" i="523"/>
  <c r="K50" i="523"/>
  <c r="J50" i="523"/>
  <c r="F50" i="523"/>
  <c r="H50" i="523" s="1"/>
  <c r="W49" i="523"/>
  <c r="N49" i="523" s="1"/>
  <c r="P49" i="523"/>
  <c r="J49" i="523"/>
  <c r="L49" i="523" s="1"/>
  <c r="F49" i="523"/>
  <c r="H49" i="523" s="1"/>
  <c r="AE48" i="523"/>
  <c r="AD48" i="523"/>
  <c r="AA48" i="523"/>
  <c r="G19" i="522" s="1"/>
  <c r="Z48" i="523"/>
  <c r="W48" i="523"/>
  <c r="N48" i="523"/>
  <c r="M48" i="523"/>
  <c r="I1" i="523" s="1"/>
  <c r="W47" i="523"/>
  <c r="H47" i="523"/>
  <c r="W46" i="523"/>
  <c r="W45" i="523"/>
  <c r="W44" i="523"/>
  <c r="W43" i="523"/>
  <c r="W42" i="523"/>
  <c r="AG41" i="523"/>
  <c r="AF41" i="523"/>
  <c r="W41" i="523"/>
  <c r="AG40" i="523"/>
  <c r="AF40" i="523"/>
  <c r="W40" i="523"/>
  <c r="W39" i="523"/>
  <c r="V39" i="523"/>
  <c r="N39" i="523"/>
  <c r="K39" i="523"/>
  <c r="K48" i="523" s="1"/>
  <c r="J39" i="523"/>
  <c r="J48" i="523" s="1"/>
  <c r="H39" i="523"/>
  <c r="F39" i="523"/>
  <c r="W38" i="523"/>
  <c r="P38" i="523"/>
  <c r="N38" i="523"/>
  <c r="L38" i="523"/>
  <c r="K38" i="523"/>
  <c r="J38" i="523"/>
  <c r="F38" i="523"/>
  <c r="H38" i="523" s="1"/>
  <c r="AE37" i="523"/>
  <c r="AD37" i="523"/>
  <c r="AA37" i="523"/>
  <c r="Z37" i="523"/>
  <c r="F18" i="522" s="1"/>
  <c r="M37" i="523"/>
  <c r="K37" i="523"/>
  <c r="J37" i="523"/>
  <c r="W36" i="523"/>
  <c r="H36" i="523"/>
  <c r="W35" i="523"/>
  <c r="W34" i="523"/>
  <c r="W33" i="523"/>
  <c r="W32" i="523"/>
  <c r="AG31" i="523"/>
  <c r="AF31" i="523"/>
  <c r="W31" i="523"/>
  <c r="AG30" i="523"/>
  <c r="AF30" i="523"/>
  <c r="W30" i="523"/>
  <c r="AG29" i="523"/>
  <c r="W29" i="523"/>
  <c r="N29" i="523" s="1"/>
  <c r="O29" i="523" s="1"/>
  <c r="V29" i="523"/>
  <c r="K29" i="523"/>
  <c r="J29" i="523"/>
  <c r="P29" i="523" s="1"/>
  <c r="F29" i="523"/>
  <c r="H29" i="523" s="1"/>
  <c r="W28" i="523"/>
  <c r="N28" i="523" s="1"/>
  <c r="V28" i="523"/>
  <c r="K28" i="523"/>
  <c r="L28" i="523" s="1"/>
  <c r="J28" i="523"/>
  <c r="P28" i="523" s="1"/>
  <c r="F28" i="523"/>
  <c r="H28" i="523" s="1"/>
  <c r="W27" i="523"/>
  <c r="P27" i="523"/>
  <c r="N27" i="523"/>
  <c r="K27" i="523"/>
  <c r="L27" i="523" s="1"/>
  <c r="H27" i="523"/>
  <c r="F27" i="523"/>
  <c r="AE26" i="523"/>
  <c r="AD26" i="523"/>
  <c r="E20" i="522" s="1"/>
  <c r="AA26" i="523"/>
  <c r="E19" i="522" s="1"/>
  <c r="Z26" i="523"/>
  <c r="E18" i="522" s="1"/>
  <c r="M26" i="523"/>
  <c r="W25" i="523"/>
  <c r="H25" i="523"/>
  <c r="W24" i="523"/>
  <c r="H24" i="523"/>
  <c r="W23" i="523"/>
  <c r="W21" i="523"/>
  <c r="W20" i="523"/>
  <c r="N20" i="523" s="1"/>
  <c r="O20" i="523" s="1"/>
  <c r="V20" i="523"/>
  <c r="P20" i="523"/>
  <c r="L20" i="523"/>
  <c r="K20" i="523"/>
  <c r="F20" i="523"/>
  <c r="H20" i="523" s="1"/>
  <c r="W19" i="523"/>
  <c r="V19" i="523"/>
  <c r="N19" i="523"/>
  <c r="O19" i="523" s="1"/>
  <c r="K19" i="523"/>
  <c r="L19" i="523" s="1"/>
  <c r="J19" i="523"/>
  <c r="P19" i="523" s="1"/>
  <c r="H19" i="523"/>
  <c r="F19" i="523"/>
  <c r="W18" i="523"/>
  <c r="V18" i="523"/>
  <c r="N18" i="523"/>
  <c r="K18" i="523"/>
  <c r="L18" i="523" s="1"/>
  <c r="J18" i="523"/>
  <c r="H18" i="523"/>
  <c r="F18" i="523"/>
  <c r="W17" i="523"/>
  <c r="V17" i="523"/>
  <c r="P17" i="523"/>
  <c r="N17" i="523"/>
  <c r="K17" i="523"/>
  <c r="L17" i="523" s="1"/>
  <c r="J17" i="523"/>
  <c r="H17" i="523"/>
  <c r="F17" i="523"/>
  <c r="W16" i="523"/>
  <c r="N16" i="523" s="1"/>
  <c r="AG16" i="523" s="1"/>
  <c r="P16" i="523"/>
  <c r="O16" i="523"/>
  <c r="R16" i="523" s="1"/>
  <c r="L16" i="523"/>
  <c r="K16" i="523"/>
  <c r="F16" i="523"/>
  <c r="H16" i="523" s="1"/>
  <c r="AE15" i="523"/>
  <c r="AD15" i="523"/>
  <c r="AA15" i="523"/>
  <c r="Z15" i="523"/>
  <c r="D18" i="522" s="1"/>
  <c r="M15" i="523"/>
  <c r="W14" i="523"/>
  <c r="W13" i="523"/>
  <c r="W12" i="523"/>
  <c r="W11" i="523"/>
  <c r="V11" i="523"/>
  <c r="N11" i="523"/>
  <c r="K11" i="523"/>
  <c r="L11" i="523" s="1"/>
  <c r="J11" i="523"/>
  <c r="P11" i="523" s="1"/>
  <c r="H11" i="523"/>
  <c r="F11" i="523"/>
  <c r="W10" i="523"/>
  <c r="V10" i="523"/>
  <c r="P10" i="523"/>
  <c r="N10" i="523"/>
  <c r="K10" i="523"/>
  <c r="L10" i="523" s="1"/>
  <c r="J10" i="523"/>
  <c r="H10" i="523"/>
  <c r="F10" i="523"/>
  <c r="W9" i="523"/>
  <c r="N9" i="523" s="1"/>
  <c r="V9" i="523"/>
  <c r="P9" i="523"/>
  <c r="K9" i="523"/>
  <c r="L9" i="523" s="1"/>
  <c r="J9" i="523"/>
  <c r="F9" i="523"/>
  <c r="H9" i="523" s="1"/>
  <c r="W8" i="523"/>
  <c r="N8" i="523" s="1"/>
  <c r="O8" i="523" s="1"/>
  <c r="R8" i="523" s="1"/>
  <c r="V8" i="523"/>
  <c r="P8" i="523"/>
  <c r="K8" i="523"/>
  <c r="L8" i="523" s="1"/>
  <c r="J8" i="523"/>
  <c r="F8" i="523"/>
  <c r="H8" i="523" s="1"/>
  <c r="W7" i="523"/>
  <c r="N7" i="523" s="1"/>
  <c r="O7" i="523" s="1"/>
  <c r="V7" i="523"/>
  <c r="K7" i="523"/>
  <c r="J7" i="523"/>
  <c r="P7" i="523" s="1"/>
  <c r="F7" i="523"/>
  <c r="H7" i="523" s="1"/>
  <c r="W6" i="523"/>
  <c r="V6" i="523"/>
  <c r="N6" i="523"/>
  <c r="O6" i="523" s="1"/>
  <c r="K6" i="523"/>
  <c r="L6" i="523" s="1"/>
  <c r="J6" i="523"/>
  <c r="P6" i="523" s="1"/>
  <c r="F6" i="523"/>
  <c r="H6" i="523" s="1"/>
  <c r="W5" i="523"/>
  <c r="N5" i="523"/>
  <c r="K5" i="523"/>
  <c r="K15" i="523" s="1"/>
  <c r="J5" i="523"/>
  <c r="P5" i="523" s="1"/>
  <c r="F5" i="523"/>
  <c r="H5" i="523" s="1"/>
  <c r="I2" i="523"/>
  <c r="E1" i="523"/>
  <c r="G3" i="522" s="1"/>
  <c r="G20" i="522"/>
  <c r="G18" i="522"/>
  <c r="F19" i="522"/>
  <c r="D19" i="522"/>
  <c r="J22" i="522"/>
  <c r="H22" i="522"/>
  <c r="F22" i="522"/>
  <c r="D22" i="522"/>
  <c r="J21" i="522"/>
  <c r="I21" i="522"/>
  <c r="G21" i="522"/>
  <c r="F21" i="522"/>
  <c r="E21" i="522"/>
  <c r="J19" i="522"/>
  <c r="J18" i="522"/>
  <c r="I18" i="522"/>
  <c r="J17" i="522"/>
  <c r="J16" i="522"/>
  <c r="I16" i="522"/>
  <c r="H16" i="522"/>
  <c r="G16" i="522"/>
  <c r="F16" i="522"/>
  <c r="E16" i="522"/>
  <c r="D16" i="522"/>
  <c r="J14" i="522"/>
  <c r="J13" i="522"/>
  <c r="O8" i="522"/>
  <c r="N8" i="522"/>
  <c r="M8" i="522"/>
  <c r="L8" i="522"/>
  <c r="O7" i="522"/>
  <c r="N7" i="522"/>
  <c r="M7" i="522"/>
  <c r="L7" i="522"/>
  <c r="O60" i="529" l="1"/>
  <c r="AF60" i="529"/>
  <c r="AG60" i="529"/>
  <c r="O62" i="529"/>
  <c r="AG62" i="529"/>
  <c r="AF62" i="529"/>
  <c r="N58" i="529"/>
  <c r="AG49" i="529"/>
  <c r="O49" i="529"/>
  <c r="AF49" i="529"/>
  <c r="AG15" i="529"/>
  <c r="AH5" i="529" s="1"/>
  <c r="O9" i="529"/>
  <c r="AG9" i="529"/>
  <c r="AF9" i="529"/>
  <c r="AG37" i="529"/>
  <c r="AH27" i="529" s="1"/>
  <c r="AF37" i="529"/>
  <c r="Q37" i="529"/>
  <c r="L26" i="529"/>
  <c r="E13" i="528" s="1"/>
  <c r="O8" i="529"/>
  <c r="AG8" i="529"/>
  <c r="AF8" i="529"/>
  <c r="L48" i="529"/>
  <c r="P48" i="529"/>
  <c r="O7" i="529"/>
  <c r="AG7" i="529"/>
  <c r="AF7" i="529"/>
  <c r="AF39" i="529"/>
  <c r="O39" i="529"/>
  <c r="AG39" i="529"/>
  <c r="AG16" i="529"/>
  <c r="AF16" i="529"/>
  <c r="N26" i="529"/>
  <c r="O16" i="529"/>
  <c r="AG28" i="529"/>
  <c r="AF28" i="529"/>
  <c r="O28" i="529"/>
  <c r="O40" i="529"/>
  <c r="AG40" i="529"/>
  <c r="AF40" i="529"/>
  <c r="AG53" i="529"/>
  <c r="O53" i="529"/>
  <c r="AF53" i="529"/>
  <c r="L69" i="529"/>
  <c r="G1" i="529"/>
  <c r="G2" i="529" s="1"/>
  <c r="L15" i="529"/>
  <c r="D13" i="528" s="1"/>
  <c r="O61" i="529"/>
  <c r="AF61" i="529"/>
  <c r="AG61" i="529"/>
  <c r="K69" i="529"/>
  <c r="Z2" i="529"/>
  <c r="O18" i="529"/>
  <c r="O38" i="529"/>
  <c r="O59" i="529"/>
  <c r="D19" i="528"/>
  <c r="O6" i="529"/>
  <c r="K15" i="529"/>
  <c r="AF15" i="529" s="1"/>
  <c r="O19" i="529"/>
  <c r="O27" i="529"/>
  <c r="P38" i="529"/>
  <c r="O52" i="529"/>
  <c r="P59" i="529"/>
  <c r="L50" i="529"/>
  <c r="L58" i="529" s="1"/>
  <c r="H13" i="528" s="1"/>
  <c r="O50" i="529"/>
  <c r="J15" i="529"/>
  <c r="P15" i="529" s="1"/>
  <c r="K48" i="529"/>
  <c r="O51" i="529"/>
  <c r="D20" i="528"/>
  <c r="N6" i="528" s="1"/>
  <c r="P27" i="529"/>
  <c r="N69" i="529"/>
  <c r="O5" i="529"/>
  <c r="O17" i="529"/>
  <c r="L27" i="529"/>
  <c r="L37" i="529" s="1"/>
  <c r="N48" i="529"/>
  <c r="AG5" i="529"/>
  <c r="AF17" i="529"/>
  <c r="AF50" i="529"/>
  <c r="AE2" i="529"/>
  <c r="J58" i="529"/>
  <c r="P58" i="529" s="1"/>
  <c r="D22" i="528"/>
  <c r="AF18" i="529"/>
  <c r="AF38" i="529"/>
  <c r="AF51" i="529"/>
  <c r="AF59" i="529"/>
  <c r="AF5" i="529"/>
  <c r="AF27" i="529"/>
  <c r="L6" i="528"/>
  <c r="M6" i="528"/>
  <c r="F13" i="528"/>
  <c r="I13" i="528"/>
  <c r="J6" i="528" s="1"/>
  <c r="G13" i="528"/>
  <c r="O29" i="527"/>
  <c r="AF29" i="527"/>
  <c r="AG29" i="527"/>
  <c r="R50" i="527"/>
  <c r="O5" i="527"/>
  <c r="N15" i="527"/>
  <c r="AG5" i="527"/>
  <c r="AF5" i="527"/>
  <c r="Q39" i="527"/>
  <c r="R39" i="527"/>
  <c r="O60" i="527"/>
  <c r="AG60" i="527"/>
  <c r="AF60" i="527"/>
  <c r="O62" i="527"/>
  <c r="AG62" i="527"/>
  <c r="AF62" i="527"/>
  <c r="O28" i="527"/>
  <c r="AG28" i="527"/>
  <c r="AF28" i="527"/>
  <c r="N58" i="527"/>
  <c r="AG49" i="527"/>
  <c r="O49" i="527"/>
  <c r="AF49" i="527"/>
  <c r="Q8" i="527"/>
  <c r="R8" i="527"/>
  <c r="Q48" i="527"/>
  <c r="AG48" i="527"/>
  <c r="AH38" i="527" s="1"/>
  <c r="AF48" i="527"/>
  <c r="G1" i="527"/>
  <c r="G2" i="527" s="1"/>
  <c r="O16" i="527"/>
  <c r="N26" i="527"/>
  <c r="AG16" i="527"/>
  <c r="AF16" i="527"/>
  <c r="O53" i="527"/>
  <c r="AG53" i="527"/>
  <c r="AF53" i="527"/>
  <c r="AG61" i="527"/>
  <c r="AF61" i="527"/>
  <c r="O61" i="527"/>
  <c r="O6" i="527"/>
  <c r="J15" i="527"/>
  <c r="P15" i="527" s="1"/>
  <c r="O51" i="527"/>
  <c r="O59" i="527"/>
  <c r="O27" i="527"/>
  <c r="O52" i="527"/>
  <c r="P59" i="527"/>
  <c r="P27" i="527"/>
  <c r="N69" i="527"/>
  <c r="O17" i="527"/>
  <c r="L38" i="527"/>
  <c r="L48" i="527" s="1"/>
  <c r="L7" i="527"/>
  <c r="L15" i="527" s="1"/>
  <c r="D13" i="526" s="1"/>
  <c r="D20" i="526"/>
  <c r="N6" i="526" s="1"/>
  <c r="J48" i="527"/>
  <c r="P48" i="527" s="1"/>
  <c r="P53" i="527"/>
  <c r="I1" i="527"/>
  <c r="AG6" i="527"/>
  <c r="AG18" i="527"/>
  <c r="K26" i="527"/>
  <c r="AF38" i="527"/>
  <c r="AF50" i="527"/>
  <c r="O18" i="527"/>
  <c r="L59" i="527"/>
  <c r="L69" i="527" s="1"/>
  <c r="I13" i="526" s="1"/>
  <c r="J6" i="526" s="1"/>
  <c r="L27" i="527"/>
  <c r="L37" i="527" s="1"/>
  <c r="F13" i="526" s="1"/>
  <c r="O38" i="527"/>
  <c r="AE2" i="527"/>
  <c r="O7" i="527"/>
  <c r="AF17" i="527"/>
  <c r="AF7" i="527"/>
  <c r="N37" i="527"/>
  <c r="AG38" i="527"/>
  <c r="AG50" i="527"/>
  <c r="AF51" i="527"/>
  <c r="AF59" i="527"/>
  <c r="L50" i="527"/>
  <c r="L58" i="527" s="1"/>
  <c r="H13" i="526" s="1"/>
  <c r="D19" i="526"/>
  <c r="M6" i="526" s="1"/>
  <c r="G13" i="526"/>
  <c r="O6" i="526"/>
  <c r="L6" i="526"/>
  <c r="G22" i="526"/>
  <c r="AG29" i="525"/>
  <c r="AF29" i="525"/>
  <c r="G1" i="525"/>
  <c r="G2" i="525" s="1"/>
  <c r="P15" i="525"/>
  <c r="L15" i="525"/>
  <c r="P38" i="525"/>
  <c r="J48" i="525"/>
  <c r="P48" i="525" s="1"/>
  <c r="J26" i="525"/>
  <c r="P26" i="525" s="1"/>
  <c r="P17" i="525"/>
  <c r="L38" i="525"/>
  <c r="L48" i="525" s="1"/>
  <c r="AG5" i="525"/>
  <c r="AF5" i="525"/>
  <c r="N15" i="525"/>
  <c r="O5" i="525"/>
  <c r="L17" i="525"/>
  <c r="L26" i="525" s="1"/>
  <c r="E13" i="524" s="1"/>
  <c r="J58" i="525"/>
  <c r="P58" i="525" s="1"/>
  <c r="P50" i="525"/>
  <c r="AG53" i="525"/>
  <c r="O53" i="525"/>
  <c r="AF53" i="525"/>
  <c r="R7" i="525"/>
  <c r="Q7" i="525"/>
  <c r="O28" i="525"/>
  <c r="AG28" i="525"/>
  <c r="AF28" i="525"/>
  <c r="O62" i="525"/>
  <c r="AG62" i="525"/>
  <c r="AF62" i="525"/>
  <c r="Q52" i="525"/>
  <c r="R52" i="525"/>
  <c r="O60" i="525"/>
  <c r="AG60" i="525"/>
  <c r="AF60" i="525"/>
  <c r="J15" i="525"/>
  <c r="P6" i="525"/>
  <c r="O29" i="525"/>
  <c r="L6" i="525"/>
  <c r="AG16" i="525"/>
  <c r="N26" i="525"/>
  <c r="AF16" i="525"/>
  <c r="O16" i="525"/>
  <c r="L58" i="525"/>
  <c r="H13" i="524" s="1"/>
  <c r="R54" i="525"/>
  <c r="J69" i="525"/>
  <c r="P69" i="525" s="1"/>
  <c r="P59" i="525"/>
  <c r="N37" i="525"/>
  <c r="O27" i="525"/>
  <c r="AG27" i="525"/>
  <c r="AF27" i="525"/>
  <c r="AG39" i="525"/>
  <c r="O39" i="525"/>
  <c r="AF39" i="525"/>
  <c r="N58" i="525"/>
  <c r="AG49" i="525"/>
  <c r="AF49" i="525"/>
  <c r="O49" i="525"/>
  <c r="AG61" i="525"/>
  <c r="AF61" i="525"/>
  <c r="O61" i="525"/>
  <c r="O30" i="525"/>
  <c r="L50" i="525"/>
  <c r="O17" i="525"/>
  <c r="O38" i="525"/>
  <c r="D20" i="524"/>
  <c r="N6" i="524" s="1"/>
  <c r="O18" i="525"/>
  <c r="N69" i="525"/>
  <c r="AG30" i="525"/>
  <c r="O6" i="525"/>
  <c r="O50" i="525"/>
  <c r="L27" i="525"/>
  <c r="L37" i="525" s="1"/>
  <c r="K48" i="525"/>
  <c r="O51" i="525"/>
  <c r="AE2" i="525"/>
  <c r="K15" i="525"/>
  <c r="J37" i="525"/>
  <c r="P37" i="525" s="1"/>
  <c r="AF6" i="525"/>
  <c r="AF17" i="525"/>
  <c r="AF38" i="525"/>
  <c r="AF50" i="525"/>
  <c r="AF59" i="525"/>
  <c r="L59" i="525"/>
  <c r="L69" i="525" s="1"/>
  <c r="I13" i="524" s="1"/>
  <c r="J6" i="524" s="1"/>
  <c r="Z2" i="525"/>
  <c r="O59" i="525"/>
  <c r="N48" i="525"/>
  <c r="I1" i="525"/>
  <c r="L6" i="524"/>
  <c r="D13" i="524"/>
  <c r="F13" i="524"/>
  <c r="O6" i="524"/>
  <c r="D19" i="524"/>
  <c r="M6" i="524" s="1"/>
  <c r="G22" i="524"/>
  <c r="G13" i="524"/>
  <c r="O28" i="523"/>
  <c r="AG28" i="523"/>
  <c r="AF28" i="523"/>
  <c r="AG9" i="523"/>
  <c r="AF9" i="523"/>
  <c r="O9" i="523"/>
  <c r="G1" i="523"/>
  <c r="G2" i="523" s="1"/>
  <c r="AG17" i="523"/>
  <c r="AF17" i="523"/>
  <c r="AG6" i="523"/>
  <c r="AG10" i="523"/>
  <c r="AF10" i="523"/>
  <c r="AG27" i="523"/>
  <c r="AF27" i="523"/>
  <c r="N37" i="523"/>
  <c r="AF8" i="523"/>
  <c r="O27" i="523"/>
  <c r="P48" i="523"/>
  <c r="L5" i="523"/>
  <c r="L15" i="523" s="1"/>
  <c r="R6" i="523"/>
  <c r="Q6" i="523"/>
  <c r="AF7" i="523"/>
  <c r="AG8" i="523"/>
  <c r="J26" i="523"/>
  <c r="P26" i="523" s="1"/>
  <c r="L39" i="523"/>
  <c r="L48" i="523" s="1"/>
  <c r="G13" i="522" s="1"/>
  <c r="Q48" i="523"/>
  <c r="Q50" i="523"/>
  <c r="AG5" i="523"/>
  <c r="AF5" i="523"/>
  <c r="N15" i="523"/>
  <c r="AG7" i="523"/>
  <c r="J15" i="523"/>
  <c r="P15" i="523" s="1"/>
  <c r="K26" i="523"/>
  <c r="R20" i="523"/>
  <c r="Q20" i="523"/>
  <c r="P37" i="523"/>
  <c r="AG38" i="523"/>
  <c r="AF38" i="523"/>
  <c r="AF39" i="523"/>
  <c r="O5" i="523"/>
  <c r="L26" i="523"/>
  <c r="E13" i="522" s="1"/>
  <c r="R19" i="523"/>
  <c r="Q19" i="523"/>
  <c r="O38" i="523"/>
  <c r="O39" i="523"/>
  <c r="O49" i="523"/>
  <c r="N58" i="523"/>
  <c r="AF6" i="523"/>
  <c r="AF18" i="523"/>
  <c r="P39" i="523"/>
  <c r="AF49" i="523"/>
  <c r="J58" i="523"/>
  <c r="P58" i="523" s="1"/>
  <c r="AF11" i="523"/>
  <c r="O17" i="523"/>
  <c r="O18" i="523"/>
  <c r="AG49" i="523"/>
  <c r="L59" i="523"/>
  <c r="L69" i="523" s="1"/>
  <c r="I13" i="522" s="1"/>
  <c r="J6" i="522" s="1"/>
  <c r="R61" i="523"/>
  <c r="Q61" i="523"/>
  <c r="O10" i="523"/>
  <c r="O11" i="523"/>
  <c r="Q16" i="523"/>
  <c r="P18" i="523"/>
  <c r="AF19" i="523"/>
  <c r="L29" i="523"/>
  <c r="R29" i="523" s="1"/>
  <c r="K58" i="523"/>
  <c r="AG59" i="523"/>
  <c r="AF59" i="523"/>
  <c r="O60" i="523"/>
  <c r="AF61" i="523"/>
  <c r="J69" i="523"/>
  <c r="AG19" i="523"/>
  <c r="AG39" i="523"/>
  <c r="AF48" i="523"/>
  <c r="L51" i="523"/>
  <c r="AG52" i="523"/>
  <c r="AF52" i="523"/>
  <c r="O53" i="523"/>
  <c r="O59" i="523"/>
  <c r="AG61" i="523"/>
  <c r="Q8" i="523"/>
  <c r="AA2" i="523"/>
  <c r="AG48" i="523"/>
  <c r="AH38" i="523" s="1"/>
  <c r="AG51" i="523"/>
  <c r="AF51" i="523"/>
  <c r="O52" i="523"/>
  <c r="Z2" i="523"/>
  <c r="L7" i="523"/>
  <c r="Q7" i="523" s="1"/>
  <c r="AD2" i="523"/>
  <c r="D20" i="522"/>
  <c r="AG18" i="523"/>
  <c r="Q29" i="523"/>
  <c r="O51" i="523"/>
  <c r="AF60" i="523"/>
  <c r="P69" i="523"/>
  <c r="AG11" i="523"/>
  <c r="AE2" i="523"/>
  <c r="AF16" i="523"/>
  <c r="N26" i="523"/>
  <c r="AF29" i="523"/>
  <c r="L58" i="523"/>
  <c r="H13" i="522" s="1"/>
  <c r="AG50" i="523"/>
  <c r="AF50" i="523"/>
  <c r="N69" i="523"/>
  <c r="M6" i="522"/>
  <c r="L6" i="522"/>
  <c r="D21" i="522"/>
  <c r="I22" i="522"/>
  <c r="E22" i="522"/>
  <c r="F20" i="522"/>
  <c r="N6" i="522" s="1"/>
  <c r="G22" i="522"/>
  <c r="AE79" i="480"/>
  <c r="AD79" i="480"/>
  <c r="AA79" i="480"/>
  <c r="Z79" i="480"/>
  <c r="P79" i="480"/>
  <c r="N79" i="480"/>
  <c r="M79" i="480"/>
  <c r="K79" i="480"/>
  <c r="J79" i="480"/>
  <c r="W78" i="480"/>
  <c r="H78" i="480"/>
  <c r="W77" i="480"/>
  <c r="H77" i="480"/>
  <c r="W76" i="480"/>
  <c r="H76" i="480"/>
  <c r="W75" i="480"/>
  <c r="H75" i="480"/>
  <c r="W74" i="480"/>
  <c r="W73" i="480"/>
  <c r="W72" i="480"/>
  <c r="W71" i="480"/>
  <c r="W70" i="480"/>
  <c r="N70" i="480" s="1"/>
  <c r="P70" i="480"/>
  <c r="L70" i="480"/>
  <c r="L79" i="480" s="1"/>
  <c r="K70" i="480"/>
  <c r="J70" i="480"/>
  <c r="F70" i="480"/>
  <c r="H70" i="480" s="1"/>
  <c r="B70" i="480"/>
  <c r="AE69" i="480"/>
  <c r="AD69" i="480"/>
  <c r="AA69" i="480"/>
  <c r="Z69" i="480"/>
  <c r="M69" i="480"/>
  <c r="J69" i="480"/>
  <c r="W68" i="480"/>
  <c r="H68" i="480"/>
  <c r="W67" i="480"/>
  <c r="W66" i="480"/>
  <c r="W65" i="480"/>
  <c r="W64" i="480"/>
  <c r="W63" i="480"/>
  <c r="AG62" i="480"/>
  <c r="AF62" i="480"/>
  <c r="W62" i="480"/>
  <c r="AF61" i="480"/>
  <c r="W61" i="480"/>
  <c r="N61" i="480" s="1"/>
  <c r="V61" i="480"/>
  <c r="K61" i="480"/>
  <c r="L61" i="480" s="1"/>
  <c r="J61" i="480"/>
  <c r="P61" i="480" s="1"/>
  <c r="H61" i="480"/>
  <c r="F61" i="480"/>
  <c r="B61" i="480"/>
  <c r="W60" i="480"/>
  <c r="V60" i="480"/>
  <c r="N60" i="480"/>
  <c r="L60" i="480"/>
  <c r="K60" i="480"/>
  <c r="J60" i="480"/>
  <c r="P60" i="480" s="1"/>
  <c r="F60" i="480"/>
  <c r="H60" i="480" s="1"/>
  <c r="B60" i="480"/>
  <c r="W59" i="480"/>
  <c r="N59" i="480" s="1"/>
  <c r="P59" i="480"/>
  <c r="K59" i="480"/>
  <c r="J59" i="480"/>
  <c r="H59" i="480"/>
  <c r="F59" i="480"/>
  <c r="B59" i="480"/>
  <c r="AE58" i="480"/>
  <c r="AD58" i="480"/>
  <c r="AA58" i="480"/>
  <c r="Z58" i="480"/>
  <c r="M58" i="480"/>
  <c r="L58" i="480"/>
  <c r="K58" i="480"/>
  <c r="J58" i="480"/>
  <c r="P58" i="480" s="1"/>
  <c r="W57" i="480"/>
  <c r="W56" i="480"/>
  <c r="W55" i="480"/>
  <c r="W54" i="480"/>
  <c r="AG53" i="480"/>
  <c r="AF53" i="480"/>
  <c r="W53" i="480"/>
  <c r="AG52" i="480"/>
  <c r="AF52" i="480"/>
  <c r="W52" i="480"/>
  <c r="V52" i="480"/>
  <c r="AG51" i="480"/>
  <c r="W51" i="480"/>
  <c r="N51" i="480" s="1"/>
  <c r="O51" i="480" s="1"/>
  <c r="V51" i="480"/>
  <c r="K51" i="480"/>
  <c r="J51" i="480"/>
  <c r="P51" i="480" s="1"/>
  <c r="F51" i="480"/>
  <c r="H51" i="480" s="1"/>
  <c r="B51" i="480"/>
  <c r="W50" i="480"/>
  <c r="N50" i="480" s="1"/>
  <c r="V50" i="480"/>
  <c r="O50" i="480"/>
  <c r="K50" i="480"/>
  <c r="L50" i="480" s="1"/>
  <c r="J50" i="480"/>
  <c r="P50" i="480" s="1"/>
  <c r="F50" i="480"/>
  <c r="H50" i="480" s="1"/>
  <c r="B50" i="480"/>
  <c r="W49" i="480"/>
  <c r="N49" i="480" s="1"/>
  <c r="P49" i="480"/>
  <c r="O49" i="480"/>
  <c r="L49" i="480"/>
  <c r="K49" i="480"/>
  <c r="J49" i="480"/>
  <c r="H49" i="480"/>
  <c r="F49" i="480"/>
  <c r="B49" i="480"/>
  <c r="AE48" i="480"/>
  <c r="AE2" i="480" s="1"/>
  <c r="AD48" i="480"/>
  <c r="AA48" i="480"/>
  <c r="Z48" i="480"/>
  <c r="W48" i="480"/>
  <c r="M48" i="480"/>
  <c r="P48" i="480" s="1"/>
  <c r="J48" i="480"/>
  <c r="W47" i="480"/>
  <c r="H47" i="480"/>
  <c r="W46" i="480"/>
  <c r="W45" i="480"/>
  <c r="W44" i="480"/>
  <c r="W43" i="480"/>
  <c r="W42" i="480"/>
  <c r="AG41" i="480"/>
  <c r="AF41" i="480"/>
  <c r="W41" i="480"/>
  <c r="W40" i="480"/>
  <c r="N40" i="480" s="1"/>
  <c r="O40" i="480" s="1"/>
  <c r="V40" i="480"/>
  <c r="K40" i="480"/>
  <c r="J40" i="480"/>
  <c r="P40" i="480" s="1"/>
  <c r="H40" i="480"/>
  <c r="F40" i="480"/>
  <c r="B40" i="480"/>
  <c r="W39" i="480"/>
  <c r="N39" i="480" s="1"/>
  <c r="V39" i="480"/>
  <c r="K39" i="480"/>
  <c r="L39" i="480" s="1"/>
  <c r="J39" i="480"/>
  <c r="P39" i="480" s="1"/>
  <c r="F39" i="480"/>
  <c r="H39" i="480" s="1"/>
  <c r="B39" i="480"/>
  <c r="W38" i="480"/>
  <c r="N38" i="480" s="1"/>
  <c r="P38" i="480"/>
  <c r="O38" i="480"/>
  <c r="K38" i="480"/>
  <c r="L38" i="480" s="1"/>
  <c r="L48" i="480" s="1"/>
  <c r="J38" i="480"/>
  <c r="H38" i="480"/>
  <c r="F38" i="480"/>
  <c r="B38" i="480"/>
  <c r="AE37" i="480"/>
  <c r="AD37" i="480"/>
  <c r="AA37" i="480"/>
  <c r="Z37" i="480"/>
  <c r="M37" i="480"/>
  <c r="L37" i="480"/>
  <c r="K37" i="480"/>
  <c r="J37" i="480"/>
  <c r="P37" i="480" s="1"/>
  <c r="W36" i="480"/>
  <c r="H36" i="480"/>
  <c r="W35" i="480"/>
  <c r="W34" i="480"/>
  <c r="W33" i="480"/>
  <c r="W32" i="480"/>
  <c r="AG31" i="480"/>
  <c r="AF31" i="480"/>
  <c r="W31" i="480"/>
  <c r="AG30" i="480"/>
  <c r="AF30" i="480"/>
  <c r="W30" i="480"/>
  <c r="V30" i="480"/>
  <c r="W29" i="480"/>
  <c r="N29" i="480" s="1"/>
  <c r="V29" i="480"/>
  <c r="K29" i="480"/>
  <c r="J29" i="480"/>
  <c r="P29" i="480" s="1"/>
  <c r="H29" i="480"/>
  <c r="F29" i="480"/>
  <c r="B29" i="480"/>
  <c r="W28" i="480"/>
  <c r="V28" i="480"/>
  <c r="N28" i="480"/>
  <c r="AF28" i="480" s="1"/>
  <c r="K28" i="480"/>
  <c r="J28" i="480"/>
  <c r="H28" i="480"/>
  <c r="F28" i="480"/>
  <c r="B28" i="480"/>
  <c r="W27" i="480"/>
  <c r="N27" i="480" s="1"/>
  <c r="L27" i="480"/>
  <c r="K27" i="480"/>
  <c r="J27" i="480"/>
  <c r="P27" i="480" s="1"/>
  <c r="F27" i="480"/>
  <c r="H27" i="480" s="1"/>
  <c r="B27" i="480"/>
  <c r="AE26" i="480"/>
  <c r="AD26" i="480"/>
  <c r="AA26" i="480"/>
  <c r="Z26" i="480"/>
  <c r="M26" i="480"/>
  <c r="L26" i="480"/>
  <c r="K26" i="480"/>
  <c r="J26" i="480"/>
  <c r="W25" i="480"/>
  <c r="H25" i="480"/>
  <c r="W24" i="480"/>
  <c r="H24" i="480"/>
  <c r="W23" i="480"/>
  <c r="W21" i="480"/>
  <c r="W20" i="480"/>
  <c r="V20" i="480"/>
  <c r="AG19" i="480"/>
  <c r="AF19" i="480"/>
  <c r="W19" i="480"/>
  <c r="V19" i="480"/>
  <c r="W18" i="480"/>
  <c r="V18" i="480"/>
  <c r="N18" i="480"/>
  <c r="K18" i="480"/>
  <c r="L18" i="480" s="1"/>
  <c r="J18" i="480"/>
  <c r="P18" i="480" s="1"/>
  <c r="F18" i="480"/>
  <c r="H18" i="480" s="1"/>
  <c r="B18" i="480"/>
  <c r="W17" i="480"/>
  <c r="V17" i="480"/>
  <c r="P17" i="480"/>
  <c r="N17" i="480"/>
  <c r="K17" i="480"/>
  <c r="J17" i="480"/>
  <c r="H17" i="480"/>
  <c r="F17" i="480"/>
  <c r="B17" i="480"/>
  <c r="AG16" i="480"/>
  <c r="AF16" i="480"/>
  <c r="W16" i="480"/>
  <c r="N16" i="480" s="1"/>
  <c r="R16" i="480"/>
  <c r="P16" i="480"/>
  <c r="O16" i="480"/>
  <c r="L16" i="480"/>
  <c r="K16" i="480"/>
  <c r="J16" i="480"/>
  <c r="F16" i="480"/>
  <c r="H16" i="480" s="1"/>
  <c r="B16" i="480"/>
  <c r="AE15" i="480"/>
  <c r="AD15" i="480"/>
  <c r="AD2" i="480" s="1"/>
  <c r="AA15" i="480"/>
  <c r="Z15" i="480"/>
  <c r="Z2" i="480" s="1"/>
  <c r="M15" i="480"/>
  <c r="W14" i="480"/>
  <c r="W13" i="480"/>
  <c r="W12" i="480"/>
  <c r="AG11" i="480"/>
  <c r="AF11" i="480"/>
  <c r="W11" i="480"/>
  <c r="AG10" i="480"/>
  <c r="AF10" i="480"/>
  <c r="W10" i="480"/>
  <c r="AG9" i="480"/>
  <c r="AF9" i="480"/>
  <c r="W9" i="480"/>
  <c r="AG8" i="480"/>
  <c r="AF8" i="480"/>
  <c r="W8" i="480"/>
  <c r="W7" i="480"/>
  <c r="N7" i="480" s="1"/>
  <c r="V7" i="480"/>
  <c r="Q7" i="480"/>
  <c r="P7" i="480"/>
  <c r="O7" i="480"/>
  <c r="R7" i="480" s="1"/>
  <c r="K7" i="480"/>
  <c r="L7" i="480" s="1"/>
  <c r="J7" i="480"/>
  <c r="H7" i="480"/>
  <c r="F7" i="480"/>
  <c r="B7" i="480"/>
  <c r="AF6" i="480"/>
  <c r="W6" i="480"/>
  <c r="N6" i="480" s="1"/>
  <c r="AG6" i="480" s="1"/>
  <c r="V6" i="480"/>
  <c r="P6" i="480"/>
  <c r="O6" i="480"/>
  <c r="Q6" i="480" s="1"/>
  <c r="L6" i="480"/>
  <c r="K6" i="480"/>
  <c r="J6" i="480"/>
  <c r="H6" i="480"/>
  <c r="F6" i="480"/>
  <c r="B6" i="480"/>
  <c r="W5" i="480"/>
  <c r="N5" i="480" s="1"/>
  <c r="K5" i="480"/>
  <c r="J5" i="480"/>
  <c r="H5" i="480"/>
  <c r="G1" i="480" s="1"/>
  <c r="G2" i="480" s="1"/>
  <c r="F5" i="480"/>
  <c r="B5" i="480"/>
  <c r="I2" i="480"/>
  <c r="E1" i="480"/>
  <c r="J16" i="479"/>
  <c r="I16" i="479"/>
  <c r="H16" i="479"/>
  <c r="G16" i="479"/>
  <c r="F16" i="479"/>
  <c r="E16" i="479"/>
  <c r="D16" i="479"/>
  <c r="AE79" i="478"/>
  <c r="AD79" i="478"/>
  <c r="AA79" i="478"/>
  <c r="Z79" i="478"/>
  <c r="M79" i="478"/>
  <c r="P79" i="478" s="1"/>
  <c r="L79" i="478"/>
  <c r="K79" i="478"/>
  <c r="J79" i="478"/>
  <c r="W78" i="478"/>
  <c r="H78" i="478"/>
  <c r="W77" i="478"/>
  <c r="H77" i="478"/>
  <c r="W76" i="478"/>
  <c r="H76" i="478"/>
  <c r="W75" i="478"/>
  <c r="H75" i="478"/>
  <c r="W74" i="478"/>
  <c r="W73" i="478"/>
  <c r="W72" i="478"/>
  <c r="W71" i="478"/>
  <c r="W70" i="478"/>
  <c r="N70" i="478"/>
  <c r="L70" i="478"/>
  <c r="K70" i="478"/>
  <c r="J70" i="478"/>
  <c r="P70" i="478" s="1"/>
  <c r="F70" i="478"/>
  <c r="H70" i="478" s="1"/>
  <c r="B70" i="478"/>
  <c r="AE69" i="478"/>
  <c r="AD69" i="478"/>
  <c r="AA69" i="478"/>
  <c r="Z69" i="478"/>
  <c r="N69" i="478"/>
  <c r="M69" i="478"/>
  <c r="P69" i="478" s="1"/>
  <c r="L69" i="478"/>
  <c r="K69" i="478"/>
  <c r="J69" i="478"/>
  <c r="W68" i="478"/>
  <c r="H68" i="478"/>
  <c r="W67" i="478"/>
  <c r="W66" i="478"/>
  <c r="W65" i="478"/>
  <c r="W64" i="478"/>
  <c r="W63" i="478"/>
  <c r="AG62" i="478"/>
  <c r="AF62" i="478"/>
  <c r="W62" i="478"/>
  <c r="W61" i="478"/>
  <c r="V61" i="478"/>
  <c r="N61" i="478"/>
  <c r="O61" i="478" s="1"/>
  <c r="K61" i="478"/>
  <c r="AG61" i="478" s="1"/>
  <c r="J61" i="478"/>
  <c r="P61" i="478" s="1"/>
  <c r="F61" i="478"/>
  <c r="H61" i="478" s="1"/>
  <c r="B61" i="478"/>
  <c r="W60" i="478"/>
  <c r="V60" i="478"/>
  <c r="P60" i="478"/>
  <c r="N60" i="478"/>
  <c r="AG60" i="478" s="1"/>
  <c r="K60" i="478"/>
  <c r="L60" i="478" s="1"/>
  <c r="J60" i="478"/>
  <c r="H60" i="478"/>
  <c r="F60" i="478"/>
  <c r="B60" i="478"/>
  <c r="W59" i="478"/>
  <c r="P59" i="478"/>
  <c r="N59" i="478"/>
  <c r="L59" i="478"/>
  <c r="K59" i="478"/>
  <c r="J59" i="478"/>
  <c r="F59" i="478"/>
  <c r="H59" i="478" s="1"/>
  <c r="B59" i="478"/>
  <c r="AE58" i="478"/>
  <c r="AD58" i="478"/>
  <c r="AA58" i="478"/>
  <c r="Z58" i="478"/>
  <c r="M58" i="478"/>
  <c r="L58" i="478"/>
  <c r="K58" i="478"/>
  <c r="J58" i="478"/>
  <c r="W57" i="478"/>
  <c r="W56" i="478"/>
  <c r="W55" i="478"/>
  <c r="W54" i="478"/>
  <c r="AG53" i="478"/>
  <c r="AF53" i="478"/>
  <c r="W53" i="478"/>
  <c r="AG52" i="478"/>
  <c r="AF52" i="478"/>
  <c r="W52" i="478"/>
  <c r="V52" i="478"/>
  <c r="AG51" i="478"/>
  <c r="AF51" i="478"/>
  <c r="W51" i="478"/>
  <c r="V51" i="478"/>
  <c r="R51" i="478"/>
  <c r="N51" i="478"/>
  <c r="O51" i="478" s="1"/>
  <c r="L51" i="478"/>
  <c r="K51" i="478"/>
  <c r="J51" i="478"/>
  <c r="P51" i="478" s="1"/>
  <c r="F51" i="478"/>
  <c r="H51" i="478" s="1"/>
  <c r="B51" i="478"/>
  <c r="W50" i="478"/>
  <c r="V50" i="478"/>
  <c r="P50" i="478"/>
  <c r="N50" i="478"/>
  <c r="K50" i="478"/>
  <c r="L50" i="478" s="1"/>
  <c r="J50" i="478"/>
  <c r="H50" i="478"/>
  <c r="F50" i="478"/>
  <c r="B50" i="478"/>
  <c r="W49" i="478"/>
  <c r="N49" i="478" s="1"/>
  <c r="P49" i="478"/>
  <c r="L49" i="478"/>
  <c r="K49" i="478"/>
  <c r="J49" i="478"/>
  <c r="F49" i="478"/>
  <c r="H49" i="478" s="1"/>
  <c r="B49" i="478"/>
  <c r="AE48" i="478"/>
  <c r="AD48" i="478"/>
  <c r="AA48" i="478"/>
  <c r="Z48" i="478"/>
  <c r="W48" i="478"/>
  <c r="M48" i="478"/>
  <c r="L48" i="478"/>
  <c r="K48" i="478"/>
  <c r="J48" i="478"/>
  <c r="W47" i="478"/>
  <c r="H47" i="478"/>
  <c r="W46" i="478"/>
  <c r="W45" i="478"/>
  <c r="W44" i="478"/>
  <c r="W43" i="478"/>
  <c r="W42" i="478"/>
  <c r="AG41" i="478"/>
  <c r="AF41" i="478"/>
  <c r="W41" i="478"/>
  <c r="AG40" i="478"/>
  <c r="AF40" i="478"/>
  <c r="W40" i="478"/>
  <c r="V40" i="478"/>
  <c r="N40" i="478"/>
  <c r="O40" i="478" s="1"/>
  <c r="K40" i="478"/>
  <c r="J40" i="478"/>
  <c r="P40" i="478" s="1"/>
  <c r="F40" i="478"/>
  <c r="H40" i="478" s="1"/>
  <c r="B40" i="478"/>
  <c r="W39" i="478"/>
  <c r="V39" i="478"/>
  <c r="P39" i="478"/>
  <c r="N39" i="478"/>
  <c r="K39" i="478"/>
  <c r="L39" i="478" s="1"/>
  <c r="J39" i="478"/>
  <c r="F39" i="478"/>
  <c r="H39" i="478" s="1"/>
  <c r="B39" i="478"/>
  <c r="W38" i="478"/>
  <c r="P38" i="478"/>
  <c r="N38" i="478"/>
  <c r="L38" i="478"/>
  <c r="K38" i="478"/>
  <c r="J38" i="478"/>
  <c r="F38" i="478"/>
  <c r="H38" i="478" s="1"/>
  <c r="B38" i="478"/>
  <c r="AE37" i="478"/>
  <c r="AD37" i="478"/>
  <c r="AA37" i="478"/>
  <c r="Z37" i="478"/>
  <c r="M37" i="478"/>
  <c r="K37" i="478"/>
  <c r="J37" i="478"/>
  <c r="W36" i="478"/>
  <c r="H36" i="478"/>
  <c r="W35" i="478"/>
  <c r="W34" i="478"/>
  <c r="W33" i="478"/>
  <c r="W32" i="478"/>
  <c r="AG31" i="478"/>
  <c r="AF31" i="478"/>
  <c r="W31" i="478"/>
  <c r="AG30" i="478"/>
  <c r="AF30" i="478"/>
  <c r="W30" i="478"/>
  <c r="V30" i="478"/>
  <c r="AF29" i="478"/>
  <c r="W29" i="478"/>
  <c r="N29" i="478" s="1"/>
  <c r="V29" i="478"/>
  <c r="K29" i="478"/>
  <c r="L29" i="478" s="1"/>
  <c r="J29" i="478"/>
  <c r="P29" i="478" s="1"/>
  <c r="F29" i="478"/>
  <c r="H29" i="478" s="1"/>
  <c r="B29" i="478"/>
  <c r="W28" i="478"/>
  <c r="V28" i="478"/>
  <c r="P28" i="478"/>
  <c r="O28" i="478"/>
  <c r="N28" i="478"/>
  <c r="K28" i="478"/>
  <c r="J28" i="478"/>
  <c r="H28" i="478"/>
  <c r="F28" i="478"/>
  <c r="B28" i="478"/>
  <c r="W27" i="478"/>
  <c r="N27" i="478" s="1"/>
  <c r="P27" i="478"/>
  <c r="K27" i="478"/>
  <c r="J27" i="478"/>
  <c r="L27" i="478" s="1"/>
  <c r="L37" i="478" s="1"/>
  <c r="F27" i="478"/>
  <c r="H27" i="478" s="1"/>
  <c r="B27" i="478"/>
  <c r="AE26" i="478"/>
  <c r="AD26" i="478"/>
  <c r="AA26" i="478"/>
  <c r="Z26" i="478"/>
  <c r="M26" i="478"/>
  <c r="K26" i="478"/>
  <c r="W25" i="478"/>
  <c r="H25" i="478"/>
  <c r="W24" i="478"/>
  <c r="H24" i="478"/>
  <c r="W23" i="478"/>
  <c r="W21" i="478"/>
  <c r="W20" i="478"/>
  <c r="V20" i="478"/>
  <c r="AG19" i="478"/>
  <c r="AF19" i="478"/>
  <c r="W19" i="478"/>
  <c r="V19" i="478"/>
  <c r="W18" i="478"/>
  <c r="V18" i="478"/>
  <c r="P18" i="478"/>
  <c r="O18" i="478"/>
  <c r="N18" i="478"/>
  <c r="K18" i="478"/>
  <c r="L18" i="478" s="1"/>
  <c r="J18" i="478"/>
  <c r="F18" i="478"/>
  <c r="H18" i="478" s="1"/>
  <c r="B18" i="478"/>
  <c r="W17" i="478"/>
  <c r="N17" i="478" s="1"/>
  <c r="V17" i="478"/>
  <c r="P17" i="478"/>
  <c r="O17" i="478"/>
  <c r="K17" i="478"/>
  <c r="L17" i="478" s="1"/>
  <c r="J17" i="478"/>
  <c r="H17" i="478"/>
  <c r="F17" i="478"/>
  <c r="B17" i="478"/>
  <c r="AF16" i="478"/>
  <c r="W16" i="478"/>
  <c r="N16" i="478" s="1"/>
  <c r="K16" i="478"/>
  <c r="J16" i="478"/>
  <c r="F16" i="478"/>
  <c r="H16" i="478" s="1"/>
  <c r="B16" i="478"/>
  <c r="AE15" i="478"/>
  <c r="AD15" i="478"/>
  <c r="AD2" i="478" s="1"/>
  <c r="AA15" i="478"/>
  <c r="Z15" i="478"/>
  <c r="P15" i="478"/>
  <c r="M15" i="478"/>
  <c r="J15" i="478"/>
  <c r="W14" i="478"/>
  <c r="W13" i="478"/>
  <c r="W12" i="478"/>
  <c r="AG11" i="478"/>
  <c r="AF11" i="478"/>
  <c r="W11" i="478"/>
  <c r="AG10" i="478"/>
  <c r="AF10" i="478"/>
  <c r="W10" i="478"/>
  <c r="AG9" i="478"/>
  <c r="AF9" i="478"/>
  <c r="W9" i="478"/>
  <c r="AG8" i="478"/>
  <c r="AF8" i="478"/>
  <c r="W8" i="478"/>
  <c r="W7" i="478"/>
  <c r="N7" i="478" s="1"/>
  <c r="V7" i="478"/>
  <c r="P7" i="478"/>
  <c r="L7" i="478"/>
  <c r="K7" i="478"/>
  <c r="J7" i="478"/>
  <c r="F7" i="478"/>
  <c r="H7" i="478" s="1"/>
  <c r="B7" i="478"/>
  <c r="AF6" i="478"/>
  <c r="W6" i="478"/>
  <c r="N6" i="478" s="1"/>
  <c r="V6" i="478"/>
  <c r="K6" i="478"/>
  <c r="J6" i="478"/>
  <c r="P6" i="478" s="1"/>
  <c r="F6" i="478"/>
  <c r="H6" i="478" s="1"/>
  <c r="B6" i="478"/>
  <c r="W5" i="478"/>
  <c r="N5" i="478" s="1"/>
  <c r="L5" i="478"/>
  <c r="L15" i="478" s="1"/>
  <c r="K5" i="478"/>
  <c r="K15" i="478" s="1"/>
  <c r="J5" i="478"/>
  <c r="P5" i="478" s="1"/>
  <c r="F5" i="478"/>
  <c r="H5" i="478" s="1"/>
  <c r="G1" i="478" s="1"/>
  <c r="G2" i="478" s="1"/>
  <c r="B5" i="478"/>
  <c r="I2" i="478"/>
  <c r="E1" i="478"/>
  <c r="J16" i="477"/>
  <c r="I16" i="477"/>
  <c r="H16" i="477"/>
  <c r="G16" i="477"/>
  <c r="F16" i="477"/>
  <c r="E16" i="477"/>
  <c r="D16" i="477"/>
  <c r="AE79" i="476"/>
  <c r="AD79" i="476"/>
  <c r="AA79" i="476"/>
  <c r="Z79" i="476"/>
  <c r="M79" i="476"/>
  <c r="K79" i="476"/>
  <c r="W78" i="476"/>
  <c r="H78" i="476"/>
  <c r="W77" i="476"/>
  <c r="H77" i="476"/>
  <c r="W76" i="476"/>
  <c r="H76" i="476"/>
  <c r="W75" i="476"/>
  <c r="H75" i="476"/>
  <c r="W74" i="476"/>
  <c r="W73" i="476"/>
  <c r="W72" i="476"/>
  <c r="W71" i="476"/>
  <c r="W70" i="476"/>
  <c r="N70" i="476" s="1"/>
  <c r="P70" i="476"/>
  <c r="K70" i="476"/>
  <c r="J70" i="476"/>
  <c r="L70" i="476" s="1"/>
  <c r="L79" i="476" s="1"/>
  <c r="F70" i="476"/>
  <c r="H70" i="476" s="1"/>
  <c r="B70" i="476"/>
  <c r="AE69" i="476"/>
  <c r="AD69" i="476"/>
  <c r="AA69" i="476"/>
  <c r="Z69" i="476"/>
  <c r="M69" i="476"/>
  <c r="P69" i="476" s="1"/>
  <c r="K69" i="476"/>
  <c r="W68" i="476"/>
  <c r="H68" i="476"/>
  <c r="W67" i="476"/>
  <c r="W66" i="476"/>
  <c r="W65" i="476"/>
  <c r="W64" i="476"/>
  <c r="W63" i="476"/>
  <c r="AG62" i="476"/>
  <c r="AF62" i="476"/>
  <c r="W62" i="476"/>
  <c r="W61" i="476"/>
  <c r="N61" i="476" s="1"/>
  <c r="V61" i="476"/>
  <c r="L61" i="476"/>
  <c r="K61" i="476"/>
  <c r="J61" i="476"/>
  <c r="P61" i="476" s="1"/>
  <c r="H61" i="476"/>
  <c r="F61" i="476"/>
  <c r="B61" i="476"/>
  <c r="W60" i="476"/>
  <c r="V60" i="476"/>
  <c r="P60" i="476"/>
  <c r="O60" i="476"/>
  <c r="N60" i="476"/>
  <c r="L60" i="476"/>
  <c r="K60" i="476"/>
  <c r="J60" i="476"/>
  <c r="F60" i="476"/>
  <c r="H60" i="476" s="1"/>
  <c r="B60" i="476"/>
  <c r="W59" i="476"/>
  <c r="P59" i="476"/>
  <c r="N59" i="476"/>
  <c r="L59" i="476"/>
  <c r="L69" i="476" s="1"/>
  <c r="K59" i="476"/>
  <c r="J59" i="476"/>
  <c r="J69" i="476" s="1"/>
  <c r="F59" i="476"/>
  <c r="H59" i="476" s="1"/>
  <c r="B59" i="476"/>
  <c r="AE58" i="476"/>
  <c r="AD58" i="476"/>
  <c r="AA58" i="476"/>
  <c r="Z58" i="476"/>
  <c r="M58" i="476"/>
  <c r="L58" i="476"/>
  <c r="K58" i="476"/>
  <c r="J58" i="476"/>
  <c r="W57" i="476"/>
  <c r="W56" i="476"/>
  <c r="W55" i="476"/>
  <c r="W54" i="476"/>
  <c r="AG53" i="476"/>
  <c r="AF53" i="476"/>
  <c r="W53" i="476"/>
  <c r="AG52" i="476"/>
  <c r="AF52" i="476"/>
  <c r="W52" i="476"/>
  <c r="V52" i="476"/>
  <c r="W51" i="476"/>
  <c r="V51" i="476"/>
  <c r="N51" i="476"/>
  <c r="K51" i="476"/>
  <c r="J51" i="476"/>
  <c r="P51" i="476" s="1"/>
  <c r="H51" i="476"/>
  <c r="F51" i="476"/>
  <c r="B51" i="476"/>
  <c r="AF50" i="476"/>
  <c r="W50" i="476"/>
  <c r="V50" i="476"/>
  <c r="P50" i="476"/>
  <c r="O50" i="476"/>
  <c r="N50" i="476"/>
  <c r="AG50" i="476" s="1"/>
  <c r="L50" i="476"/>
  <c r="K50" i="476"/>
  <c r="J50" i="476"/>
  <c r="H50" i="476"/>
  <c r="F50" i="476"/>
  <c r="B50" i="476"/>
  <c r="W49" i="476"/>
  <c r="N49" i="476" s="1"/>
  <c r="P49" i="476"/>
  <c r="L49" i="476"/>
  <c r="K49" i="476"/>
  <c r="J49" i="476"/>
  <c r="F49" i="476"/>
  <c r="H49" i="476" s="1"/>
  <c r="B49" i="476"/>
  <c r="AE48" i="476"/>
  <c r="AD48" i="476"/>
  <c r="AA48" i="476"/>
  <c r="Z48" i="476"/>
  <c r="W48" i="476"/>
  <c r="M48" i="476"/>
  <c r="P48" i="476" s="1"/>
  <c r="L48" i="476"/>
  <c r="K48" i="476"/>
  <c r="J48" i="476"/>
  <c r="W47" i="476"/>
  <c r="H47" i="476"/>
  <c r="W46" i="476"/>
  <c r="W45" i="476"/>
  <c r="W44" i="476"/>
  <c r="W43" i="476"/>
  <c r="W42" i="476"/>
  <c r="AG41" i="476"/>
  <c r="AF41" i="476"/>
  <c r="W41" i="476"/>
  <c r="W40" i="476"/>
  <c r="V40" i="476"/>
  <c r="N40" i="476"/>
  <c r="L40" i="476"/>
  <c r="K40" i="476"/>
  <c r="J40" i="476"/>
  <c r="P40" i="476" s="1"/>
  <c r="H40" i="476"/>
  <c r="F40" i="476"/>
  <c r="B40" i="476"/>
  <c r="W39" i="476"/>
  <c r="V39" i="476"/>
  <c r="N39" i="476"/>
  <c r="K39" i="476"/>
  <c r="J39" i="476"/>
  <c r="F39" i="476"/>
  <c r="H39" i="476" s="1"/>
  <c r="B39" i="476"/>
  <c r="W38" i="476"/>
  <c r="N38" i="476" s="1"/>
  <c r="P38" i="476"/>
  <c r="L38" i="476"/>
  <c r="K38" i="476"/>
  <c r="J38" i="476"/>
  <c r="F38" i="476"/>
  <c r="H38" i="476" s="1"/>
  <c r="B38" i="476"/>
  <c r="AE37" i="476"/>
  <c r="AD37" i="476"/>
  <c r="AA37" i="476"/>
  <c r="Z37" i="476"/>
  <c r="M37" i="476"/>
  <c r="K37" i="476"/>
  <c r="W36" i="476"/>
  <c r="H36" i="476"/>
  <c r="W35" i="476"/>
  <c r="W34" i="476"/>
  <c r="W33" i="476"/>
  <c r="W32" i="476"/>
  <c r="AG31" i="476"/>
  <c r="AF31" i="476"/>
  <c r="W31" i="476"/>
  <c r="AG30" i="476"/>
  <c r="AF30" i="476"/>
  <c r="W30" i="476"/>
  <c r="V30" i="476"/>
  <c r="AF29" i="476"/>
  <c r="W29" i="476"/>
  <c r="N29" i="476" s="1"/>
  <c r="O29" i="476" s="1"/>
  <c r="V29" i="476"/>
  <c r="P29" i="476"/>
  <c r="K29" i="476"/>
  <c r="L29" i="476" s="1"/>
  <c r="J29" i="476"/>
  <c r="F29" i="476"/>
  <c r="H29" i="476" s="1"/>
  <c r="B29" i="476"/>
  <c r="W28" i="476"/>
  <c r="N28" i="476" s="1"/>
  <c r="V28" i="476"/>
  <c r="P28" i="476"/>
  <c r="O28" i="476"/>
  <c r="K28" i="476"/>
  <c r="L28" i="476" s="1"/>
  <c r="J28" i="476"/>
  <c r="H28" i="476"/>
  <c r="F28" i="476"/>
  <c r="B28" i="476"/>
  <c r="AG27" i="476"/>
  <c r="AF27" i="476"/>
  <c r="W27" i="476"/>
  <c r="N27" i="476" s="1"/>
  <c r="O27" i="476"/>
  <c r="K27" i="476"/>
  <c r="J27" i="476"/>
  <c r="P27" i="476" s="1"/>
  <c r="F27" i="476"/>
  <c r="H27" i="476" s="1"/>
  <c r="B27" i="476"/>
  <c r="AE26" i="476"/>
  <c r="AD26" i="476"/>
  <c r="AA26" i="476"/>
  <c r="Z26" i="476"/>
  <c r="M26" i="476"/>
  <c r="J26" i="476"/>
  <c r="W25" i="476"/>
  <c r="H25" i="476"/>
  <c r="W24" i="476"/>
  <c r="H24" i="476"/>
  <c r="W23" i="476"/>
  <c r="W21" i="476"/>
  <c r="W20" i="476"/>
  <c r="V20" i="476"/>
  <c r="AG19" i="476"/>
  <c r="AF19" i="476"/>
  <c r="W19" i="476"/>
  <c r="V19" i="476"/>
  <c r="AG18" i="476"/>
  <c r="AF18" i="476"/>
  <c r="W18" i="476"/>
  <c r="V18" i="476"/>
  <c r="P18" i="476"/>
  <c r="N18" i="476"/>
  <c r="O18" i="476" s="1"/>
  <c r="K18" i="476"/>
  <c r="J18" i="476"/>
  <c r="L18" i="476" s="1"/>
  <c r="F18" i="476"/>
  <c r="H18" i="476" s="1"/>
  <c r="B18" i="476"/>
  <c r="W17" i="476"/>
  <c r="N17" i="476" s="1"/>
  <c r="V17" i="476"/>
  <c r="P17" i="476"/>
  <c r="K17" i="476"/>
  <c r="L17" i="476" s="1"/>
  <c r="J17" i="476"/>
  <c r="F17" i="476"/>
  <c r="H17" i="476" s="1"/>
  <c r="B17" i="476"/>
  <c r="AG16" i="476"/>
  <c r="W16" i="476"/>
  <c r="N16" i="476" s="1"/>
  <c r="O16" i="476" s="1"/>
  <c r="P16" i="476"/>
  <c r="K16" i="476"/>
  <c r="J16" i="476"/>
  <c r="F16" i="476"/>
  <c r="H16" i="476" s="1"/>
  <c r="B16" i="476"/>
  <c r="AE15" i="476"/>
  <c r="AD15" i="476"/>
  <c r="AA15" i="476"/>
  <c r="Z15" i="476"/>
  <c r="P15" i="476"/>
  <c r="M15" i="476"/>
  <c r="I1" i="476" s="1"/>
  <c r="K15" i="476"/>
  <c r="J15" i="476"/>
  <c r="W14" i="476"/>
  <c r="W13" i="476"/>
  <c r="W12" i="476"/>
  <c r="AG11" i="476"/>
  <c r="AF11" i="476"/>
  <c r="W11" i="476"/>
  <c r="AG10" i="476"/>
  <c r="AF10" i="476"/>
  <c r="W10" i="476"/>
  <c r="AG9" i="476"/>
  <c r="AF9" i="476"/>
  <c r="W9" i="476"/>
  <c r="AG8" i="476"/>
  <c r="AF8" i="476"/>
  <c r="W8" i="476"/>
  <c r="W7" i="476"/>
  <c r="V7" i="476"/>
  <c r="P7" i="476"/>
  <c r="N7" i="476"/>
  <c r="L7" i="476"/>
  <c r="K7" i="476"/>
  <c r="J7" i="476"/>
  <c r="F7" i="476"/>
  <c r="H7" i="476" s="1"/>
  <c r="B7" i="476"/>
  <c r="AF6" i="476"/>
  <c r="W6" i="476"/>
  <c r="N6" i="476" s="1"/>
  <c r="AG6" i="476" s="1"/>
  <c r="V6" i="476"/>
  <c r="P6" i="476"/>
  <c r="O6" i="476"/>
  <c r="L6" i="476"/>
  <c r="K6" i="476"/>
  <c r="J6" i="476"/>
  <c r="H6" i="476"/>
  <c r="F6" i="476"/>
  <c r="B6" i="476"/>
  <c r="W5" i="476"/>
  <c r="N5" i="476" s="1"/>
  <c r="P5" i="476"/>
  <c r="O5" i="476"/>
  <c r="K5" i="476"/>
  <c r="L5" i="476" s="1"/>
  <c r="L15" i="476" s="1"/>
  <c r="J5" i="476"/>
  <c r="H5" i="476"/>
  <c r="G1" i="476" s="1"/>
  <c r="G2" i="476" s="1"/>
  <c r="F5" i="476"/>
  <c r="B5" i="476"/>
  <c r="I2" i="476"/>
  <c r="E1" i="476"/>
  <c r="J16" i="475"/>
  <c r="I16" i="475"/>
  <c r="H16" i="475"/>
  <c r="G16" i="475"/>
  <c r="F16" i="475"/>
  <c r="E16" i="475"/>
  <c r="D16" i="475"/>
  <c r="AE79" i="474"/>
  <c r="AD79" i="474"/>
  <c r="AA79" i="474"/>
  <c r="Z79" i="474"/>
  <c r="P79" i="474"/>
  <c r="N79" i="474"/>
  <c r="M79" i="474"/>
  <c r="K79" i="474"/>
  <c r="W78" i="474"/>
  <c r="H78" i="474"/>
  <c r="W77" i="474"/>
  <c r="H77" i="474"/>
  <c r="W76" i="474"/>
  <c r="H76" i="474"/>
  <c r="W75" i="474"/>
  <c r="H75" i="474"/>
  <c r="W74" i="474"/>
  <c r="W73" i="474"/>
  <c r="W72" i="474"/>
  <c r="W71" i="474"/>
  <c r="W70" i="474"/>
  <c r="N70" i="474" s="1"/>
  <c r="P70" i="474"/>
  <c r="K70" i="474"/>
  <c r="J70" i="474"/>
  <c r="J79" i="474" s="1"/>
  <c r="F70" i="474"/>
  <c r="H70" i="474" s="1"/>
  <c r="B70" i="474"/>
  <c r="AE69" i="474"/>
  <c r="AD69" i="474"/>
  <c r="AA69" i="474"/>
  <c r="Z69" i="474"/>
  <c r="P69" i="474"/>
  <c r="M69" i="474"/>
  <c r="L69" i="474"/>
  <c r="K69" i="474"/>
  <c r="J69" i="474"/>
  <c r="W68" i="474"/>
  <c r="H68" i="474"/>
  <c r="W67" i="474"/>
  <c r="W66" i="474"/>
  <c r="W65" i="474"/>
  <c r="W64" i="474"/>
  <c r="W63" i="474"/>
  <c r="AG62" i="474"/>
  <c r="AF62" i="474"/>
  <c r="W62" i="474"/>
  <c r="AG61" i="474"/>
  <c r="W61" i="474"/>
  <c r="N61" i="474" s="1"/>
  <c r="AF61" i="474" s="1"/>
  <c r="V61" i="474"/>
  <c r="O61" i="474"/>
  <c r="K61" i="474"/>
  <c r="J61" i="474"/>
  <c r="P61" i="474" s="1"/>
  <c r="F61" i="474"/>
  <c r="H61" i="474" s="1"/>
  <c r="B61" i="474"/>
  <c r="W60" i="474"/>
  <c r="N60" i="474" s="1"/>
  <c r="V60" i="474"/>
  <c r="K60" i="474"/>
  <c r="L60" i="474" s="1"/>
  <c r="J60" i="474"/>
  <c r="P60" i="474" s="1"/>
  <c r="F60" i="474"/>
  <c r="H60" i="474" s="1"/>
  <c r="B60" i="474"/>
  <c r="AG59" i="474"/>
  <c r="W59" i="474"/>
  <c r="N59" i="474" s="1"/>
  <c r="P59" i="474"/>
  <c r="K59" i="474"/>
  <c r="L59" i="474" s="1"/>
  <c r="J59" i="474"/>
  <c r="H59" i="474"/>
  <c r="F59" i="474"/>
  <c r="B59" i="474"/>
  <c r="AE58" i="474"/>
  <c r="AD58" i="474"/>
  <c r="AA58" i="474"/>
  <c r="Z58" i="474"/>
  <c r="M58" i="474"/>
  <c r="J58" i="474"/>
  <c r="W57" i="474"/>
  <c r="W56" i="474"/>
  <c r="W55" i="474"/>
  <c r="W54" i="474"/>
  <c r="AG53" i="474"/>
  <c r="AF53" i="474"/>
  <c r="W53" i="474"/>
  <c r="AG52" i="474"/>
  <c r="AF52" i="474"/>
  <c r="W52" i="474"/>
  <c r="V52" i="474"/>
  <c r="W51" i="474"/>
  <c r="N51" i="474" s="1"/>
  <c r="O51" i="474" s="1"/>
  <c r="V51" i="474"/>
  <c r="K51" i="474"/>
  <c r="L51" i="474" s="1"/>
  <c r="J51" i="474"/>
  <c r="P51" i="474" s="1"/>
  <c r="F51" i="474"/>
  <c r="H51" i="474" s="1"/>
  <c r="B51" i="474"/>
  <c r="W50" i="474"/>
  <c r="V50" i="474"/>
  <c r="R50" i="474"/>
  <c r="O50" i="474"/>
  <c r="Q50" i="474" s="1"/>
  <c r="N50" i="474"/>
  <c r="L50" i="474"/>
  <c r="K50" i="474"/>
  <c r="J50" i="474"/>
  <c r="P50" i="474" s="1"/>
  <c r="F50" i="474"/>
  <c r="H50" i="474" s="1"/>
  <c r="B50" i="474"/>
  <c r="AG49" i="474"/>
  <c r="W49" i="474"/>
  <c r="N49" i="474" s="1"/>
  <c r="P49" i="474"/>
  <c r="O49" i="474"/>
  <c r="O58" i="474" s="1"/>
  <c r="K49" i="474"/>
  <c r="J49" i="474"/>
  <c r="H49" i="474"/>
  <c r="F49" i="474"/>
  <c r="B49" i="474"/>
  <c r="AE48" i="474"/>
  <c r="AD48" i="474"/>
  <c r="AA48" i="474"/>
  <c r="Z48" i="474"/>
  <c r="W48" i="474"/>
  <c r="M48" i="474"/>
  <c r="J48" i="474"/>
  <c r="W47" i="474"/>
  <c r="H47" i="474"/>
  <c r="W46" i="474"/>
  <c r="W45" i="474"/>
  <c r="W44" i="474"/>
  <c r="W43" i="474"/>
  <c r="W42" i="474"/>
  <c r="AG41" i="474"/>
  <c r="AF41" i="474"/>
  <c r="W41" i="474"/>
  <c r="W40" i="474"/>
  <c r="N40" i="474" s="1"/>
  <c r="V40" i="474"/>
  <c r="O40" i="474"/>
  <c r="K40" i="474"/>
  <c r="L40" i="474" s="1"/>
  <c r="J40" i="474"/>
  <c r="P40" i="474" s="1"/>
  <c r="H40" i="474"/>
  <c r="F40" i="474"/>
  <c r="B40" i="474"/>
  <c r="W39" i="474"/>
  <c r="V39" i="474"/>
  <c r="N39" i="474"/>
  <c r="K39" i="474"/>
  <c r="J39" i="474"/>
  <c r="F39" i="474"/>
  <c r="H39" i="474" s="1"/>
  <c r="B39" i="474"/>
  <c r="W38" i="474"/>
  <c r="N38" i="474" s="1"/>
  <c r="P38" i="474"/>
  <c r="K38" i="474"/>
  <c r="J38" i="474"/>
  <c r="H38" i="474"/>
  <c r="F38" i="474"/>
  <c r="B38" i="474"/>
  <c r="AE37" i="474"/>
  <c r="AD37" i="474"/>
  <c r="AA37" i="474"/>
  <c r="Z37" i="474"/>
  <c r="M37" i="474"/>
  <c r="P37" i="474" s="1"/>
  <c r="L37" i="474"/>
  <c r="K37" i="474"/>
  <c r="J37" i="474"/>
  <c r="W36" i="474"/>
  <c r="H36" i="474"/>
  <c r="W35" i="474"/>
  <c r="W34" i="474"/>
  <c r="W33" i="474"/>
  <c r="W32" i="474"/>
  <c r="AG31" i="474"/>
  <c r="AF31" i="474"/>
  <c r="W31" i="474"/>
  <c r="AG30" i="474"/>
  <c r="AF30" i="474"/>
  <c r="W30" i="474"/>
  <c r="V30" i="474"/>
  <c r="AG29" i="474"/>
  <c r="W29" i="474"/>
  <c r="V29" i="474"/>
  <c r="N29" i="474"/>
  <c r="K29" i="474"/>
  <c r="J29" i="474"/>
  <c r="P29" i="474" s="1"/>
  <c r="H29" i="474"/>
  <c r="F29" i="474"/>
  <c r="B29" i="474"/>
  <c r="W28" i="474"/>
  <c r="N28" i="474" s="1"/>
  <c r="V28" i="474"/>
  <c r="P28" i="474"/>
  <c r="L28" i="474"/>
  <c r="K28" i="474"/>
  <c r="J28" i="474"/>
  <c r="H28" i="474"/>
  <c r="F28" i="474"/>
  <c r="B28" i="474"/>
  <c r="AF27" i="474"/>
  <c r="W27" i="474"/>
  <c r="N27" i="474"/>
  <c r="K27" i="474"/>
  <c r="L27" i="474" s="1"/>
  <c r="J27" i="474"/>
  <c r="P27" i="474" s="1"/>
  <c r="F27" i="474"/>
  <c r="H27" i="474" s="1"/>
  <c r="B27" i="474"/>
  <c r="AE26" i="474"/>
  <c r="AD26" i="474"/>
  <c r="AA26" i="474"/>
  <c r="Z26" i="474"/>
  <c r="Z2" i="474" s="1"/>
  <c r="M26" i="474"/>
  <c r="L26" i="474"/>
  <c r="K26" i="474"/>
  <c r="J26" i="474"/>
  <c r="W25" i="474"/>
  <c r="H25" i="474"/>
  <c r="W24" i="474"/>
  <c r="H24" i="474"/>
  <c r="W23" i="474"/>
  <c r="W21" i="474"/>
  <c r="W20" i="474"/>
  <c r="V20" i="474"/>
  <c r="AG19" i="474"/>
  <c r="AF19" i="474"/>
  <c r="W19" i="474"/>
  <c r="V19" i="474"/>
  <c r="W18" i="474"/>
  <c r="N18" i="474" s="1"/>
  <c r="V18" i="474"/>
  <c r="L18" i="474"/>
  <c r="K18" i="474"/>
  <c r="J18" i="474"/>
  <c r="P18" i="474" s="1"/>
  <c r="F18" i="474"/>
  <c r="H18" i="474" s="1"/>
  <c r="B18" i="474"/>
  <c r="AF17" i="474"/>
  <c r="W17" i="474"/>
  <c r="V17" i="474"/>
  <c r="N17" i="474"/>
  <c r="K17" i="474"/>
  <c r="J17" i="474"/>
  <c r="P17" i="474" s="1"/>
  <c r="F17" i="474"/>
  <c r="H17" i="474" s="1"/>
  <c r="B17" i="474"/>
  <c r="AF16" i="474"/>
  <c r="W16" i="474"/>
  <c r="N16" i="474" s="1"/>
  <c r="L16" i="474"/>
  <c r="K16" i="474"/>
  <c r="J16" i="474"/>
  <c r="P16" i="474" s="1"/>
  <c r="F16" i="474"/>
  <c r="H16" i="474" s="1"/>
  <c r="B16" i="474"/>
  <c r="AE15" i="474"/>
  <c r="AD15" i="474"/>
  <c r="AA15" i="474"/>
  <c r="AA2" i="474" s="1"/>
  <c r="Z15" i="474"/>
  <c r="M15" i="474"/>
  <c r="W14" i="474"/>
  <c r="W13" i="474"/>
  <c r="W12" i="474"/>
  <c r="AG11" i="474"/>
  <c r="AF11" i="474"/>
  <c r="W11" i="474"/>
  <c r="AG10" i="474"/>
  <c r="AF10" i="474"/>
  <c r="W10" i="474"/>
  <c r="AG9" i="474"/>
  <c r="AF9" i="474"/>
  <c r="W9" i="474"/>
  <c r="AG8" i="474"/>
  <c r="AF8" i="474"/>
  <c r="W8" i="474"/>
  <c r="W7" i="474"/>
  <c r="N7" i="474" s="1"/>
  <c r="V7" i="474"/>
  <c r="P7" i="474"/>
  <c r="K7" i="474"/>
  <c r="L7" i="474" s="1"/>
  <c r="J7" i="474"/>
  <c r="H7" i="474"/>
  <c r="F7" i="474"/>
  <c r="B7" i="474"/>
  <c r="AF6" i="474"/>
  <c r="W6" i="474"/>
  <c r="N6" i="474" s="1"/>
  <c r="AG6" i="474" s="1"/>
  <c r="V6" i="474"/>
  <c r="K6" i="474"/>
  <c r="J6" i="474"/>
  <c r="F6" i="474"/>
  <c r="H6" i="474" s="1"/>
  <c r="B6" i="474"/>
  <c r="W5" i="474"/>
  <c r="N5" i="474"/>
  <c r="K5" i="474"/>
  <c r="J5" i="474"/>
  <c r="H5" i="474"/>
  <c r="G1" i="474" s="1"/>
  <c r="G2" i="474" s="1"/>
  <c r="F5" i="474"/>
  <c r="B5" i="474"/>
  <c r="AE2" i="474"/>
  <c r="I2" i="474"/>
  <c r="E1" i="474"/>
  <c r="J16" i="473"/>
  <c r="I16" i="473"/>
  <c r="H16" i="473"/>
  <c r="G16" i="473"/>
  <c r="F16" i="473"/>
  <c r="E16" i="473"/>
  <c r="D16" i="473"/>
  <c r="AE79" i="472"/>
  <c r="AD79" i="472"/>
  <c r="AA79" i="472"/>
  <c r="Z79" i="472"/>
  <c r="M79" i="472"/>
  <c r="J79" i="472"/>
  <c r="P79" i="472" s="1"/>
  <c r="W78" i="472"/>
  <c r="H78" i="472"/>
  <c r="W77" i="472"/>
  <c r="H77" i="472"/>
  <c r="W76" i="472"/>
  <c r="H76" i="472"/>
  <c r="W75" i="472"/>
  <c r="H75" i="472"/>
  <c r="W74" i="472"/>
  <c r="W73" i="472"/>
  <c r="W72" i="472"/>
  <c r="W71" i="472"/>
  <c r="W70" i="472"/>
  <c r="N70" i="472" s="1"/>
  <c r="K70" i="472"/>
  <c r="J70" i="472"/>
  <c r="P70" i="472" s="1"/>
  <c r="F70" i="472"/>
  <c r="H70" i="472" s="1"/>
  <c r="B70" i="472"/>
  <c r="AE69" i="472"/>
  <c r="AD69" i="472"/>
  <c r="AA69" i="472"/>
  <c r="Z69" i="472"/>
  <c r="M69" i="472"/>
  <c r="K69" i="472"/>
  <c r="J69" i="472"/>
  <c r="P69" i="472" s="1"/>
  <c r="W68" i="472"/>
  <c r="H68" i="472"/>
  <c r="W67" i="472"/>
  <c r="W66" i="472"/>
  <c r="W65" i="472"/>
  <c r="W64" i="472"/>
  <c r="W63" i="472"/>
  <c r="AG62" i="472"/>
  <c r="AF62" i="472"/>
  <c r="W62" i="472"/>
  <c r="AG61" i="472"/>
  <c r="AF61" i="472"/>
  <c r="W61" i="472"/>
  <c r="V61" i="472"/>
  <c r="N61" i="472"/>
  <c r="O61" i="472" s="1"/>
  <c r="K61" i="472"/>
  <c r="L61" i="472" s="1"/>
  <c r="J61" i="472"/>
  <c r="P61" i="472" s="1"/>
  <c r="H61" i="472"/>
  <c r="F61" i="472"/>
  <c r="B61" i="472"/>
  <c r="AG60" i="472"/>
  <c r="W60" i="472"/>
  <c r="V60" i="472"/>
  <c r="P60" i="472"/>
  <c r="N60" i="472"/>
  <c r="AF60" i="472" s="1"/>
  <c r="L60" i="472"/>
  <c r="K60" i="472"/>
  <c r="J60" i="472"/>
  <c r="H60" i="472"/>
  <c r="F60" i="472"/>
  <c r="B60" i="472"/>
  <c r="AF59" i="472"/>
  <c r="W59" i="472"/>
  <c r="N59" i="472"/>
  <c r="N69" i="472" s="1"/>
  <c r="K59" i="472"/>
  <c r="J59" i="472"/>
  <c r="P59" i="472" s="1"/>
  <c r="H59" i="472"/>
  <c r="F59" i="472"/>
  <c r="B59" i="472"/>
  <c r="AE58" i="472"/>
  <c r="AD58" i="472"/>
  <c r="AA58" i="472"/>
  <c r="Z58" i="472"/>
  <c r="M58" i="472"/>
  <c r="K58" i="472"/>
  <c r="W57" i="472"/>
  <c r="W56" i="472"/>
  <c r="W55" i="472"/>
  <c r="W54" i="472"/>
  <c r="AG53" i="472"/>
  <c r="AF53" i="472"/>
  <c r="W53" i="472"/>
  <c r="AG52" i="472"/>
  <c r="AF52" i="472"/>
  <c r="W52" i="472"/>
  <c r="V52" i="472"/>
  <c r="AG51" i="472"/>
  <c r="AF51" i="472"/>
  <c r="W51" i="472"/>
  <c r="V51" i="472"/>
  <c r="R51" i="472"/>
  <c r="N51" i="472"/>
  <c r="O51" i="472" s="1"/>
  <c r="Q51" i="472" s="1"/>
  <c r="K51" i="472"/>
  <c r="J51" i="472"/>
  <c r="L51" i="472" s="1"/>
  <c r="F51" i="472"/>
  <c r="H51" i="472" s="1"/>
  <c r="B51" i="472"/>
  <c r="AG50" i="472"/>
  <c r="AF50" i="472"/>
  <c r="W50" i="472"/>
  <c r="V50" i="472"/>
  <c r="Q50" i="472"/>
  <c r="P50" i="472"/>
  <c r="N50" i="472"/>
  <c r="O50" i="472" s="1"/>
  <c r="K50" i="472"/>
  <c r="L50" i="472" s="1"/>
  <c r="J50" i="472"/>
  <c r="F50" i="472"/>
  <c r="H50" i="472" s="1"/>
  <c r="B50" i="472"/>
  <c r="W49" i="472"/>
  <c r="P49" i="472"/>
  <c r="N49" i="472"/>
  <c r="K49" i="472"/>
  <c r="J49" i="472"/>
  <c r="L49" i="472" s="1"/>
  <c r="L58" i="472" s="1"/>
  <c r="H49" i="472"/>
  <c r="F49" i="472"/>
  <c r="B49" i="472"/>
  <c r="AE48" i="472"/>
  <c r="AD48" i="472"/>
  <c r="AA48" i="472"/>
  <c r="Z48" i="472"/>
  <c r="Z2" i="472" s="1"/>
  <c r="W48" i="472"/>
  <c r="M48" i="472"/>
  <c r="K48" i="472"/>
  <c r="W47" i="472"/>
  <c r="H47" i="472"/>
  <c r="W46" i="472"/>
  <c r="W45" i="472"/>
  <c r="W44" i="472"/>
  <c r="W43" i="472"/>
  <c r="W42" i="472"/>
  <c r="AG41" i="472"/>
  <c r="AF41" i="472"/>
  <c r="W41" i="472"/>
  <c r="W40" i="472"/>
  <c r="V40" i="472"/>
  <c r="P40" i="472"/>
  <c r="O40" i="472"/>
  <c r="N40" i="472"/>
  <c r="L40" i="472"/>
  <c r="K40" i="472"/>
  <c r="J40" i="472"/>
  <c r="H40" i="472"/>
  <c r="F40" i="472"/>
  <c r="B40" i="472"/>
  <c r="AF39" i="472"/>
  <c r="W39" i="472"/>
  <c r="V39" i="472"/>
  <c r="P39" i="472"/>
  <c r="N39" i="472"/>
  <c r="L39" i="472"/>
  <c r="K39" i="472"/>
  <c r="J39" i="472"/>
  <c r="F39" i="472"/>
  <c r="H39" i="472" s="1"/>
  <c r="B39" i="472"/>
  <c r="W38" i="472"/>
  <c r="N38" i="472"/>
  <c r="K38" i="472"/>
  <c r="J38" i="472"/>
  <c r="F38" i="472"/>
  <c r="H38" i="472" s="1"/>
  <c r="B38" i="472"/>
  <c r="AE37" i="472"/>
  <c r="AD37" i="472"/>
  <c r="AA37" i="472"/>
  <c r="Z37" i="472"/>
  <c r="M37" i="472"/>
  <c r="P37" i="472" s="1"/>
  <c r="K37" i="472"/>
  <c r="W36" i="472"/>
  <c r="H36" i="472"/>
  <c r="W35" i="472"/>
  <c r="W34" i="472"/>
  <c r="W33" i="472"/>
  <c r="W32" i="472"/>
  <c r="AG31" i="472"/>
  <c r="AF31" i="472"/>
  <c r="W31" i="472"/>
  <c r="AG30" i="472"/>
  <c r="AF30" i="472"/>
  <c r="W30" i="472"/>
  <c r="V30" i="472"/>
  <c r="W29" i="472"/>
  <c r="V29" i="472"/>
  <c r="P29" i="472"/>
  <c r="N29" i="472"/>
  <c r="L29" i="472"/>
  <c r="K29" i="472"/>
  <c r="J29" i="472"/>
  <c r="H29" i="472"/>
  <c r="F29" i="472"/>
  <c r="B29" i="472"/>
  <c r="W28" i="472"/>
  <c r="N28" i="472" s="1"/>
  <c r="V28" i="472"/>
  <c r="P28" i="472"/>
  <c r="O28" i="472"/>
  <c r="L28" i="472"/>
  <c r="K28" i="472"/>
  <c r="J28" i="472"/>
  <c r="F28" i="472"/>
  <c r="H28" i="472" s="1"/>
  <c r="B28" i="472"/>
  <c r="AG27" i="472"/>
  <c r="AF27" i="472"/>
  <c r="W27" i="472"/>
  <c r="N27" i="472" s="1"/>
  <c r="P27" i="472"/>
  <c r="O27" i="472"/>
  <c r="L27" i="472"/>
  <c r="L37" i="472" s="1"/>
  <c r="K27" i="472"/>
  <c r="J27" i="472"/>
  <c r="J37" i="472" s="1"/>
  <c r="H27" i="472"/>
  <c r="F27" i="472"/>
  <c r="B27" i="472"/>
  <c r="AE26" i="472"/>
  <c r="AD26" i="472"/>
  <c r="AD2" i="472" s="1"/>
  <c r="AA26" i="472"/>
  <c r="AA2" i="472" s="1"/>
  <c r="Z26" i="472"/>
  <c r="M26" i="472"/>
  <c r="P26" i="472" s="1"/>
  <c r="L26" i="472"/>
  <c r="K26" i="472"/>
  <c r="W25" i="472"/>
  <c r="H25" i="472"/>
  <c r="W24" i="472"/>
  <c r="H24" i="472"/>
  <c r="W23" i="472"/>
  <c r="W21" i="472"/>
  <c r="W20" i="472"/>
  <c r="V20" i="472"/>
  <c r="AG19" i="472"/>
  <c r="AF19" i="472"/>
  <c r="W19" i="472"/>
  <c r="V19" i="472"/>
  <c r="AG18" i="472"/>
  <c r="AF18" i="472"/>
  <c r="W18" i="472"/>
  <c r="V18" i="472"/>
  <c r="P18" i="472"/>
  <c r="N18" i="472"/>
  <c r="O18" i="472" s="1"/>
  <c r="R18" i="472" s="1"/>
  <c r="L18" i="472"/>
  <c r="K18" i="472"/>
  <c r="J18" i="472"/>
  <c r="H18" i="472"/>
  <c r="F18" i="472"/>
  <c r="B18" i="472"/>
  <c r="W17" i="472"/>
  <c r="N17" i="472" s="1"/>
  <c r="V17" i="472"/>
  <c r="P17" i="472"/>
  <c r="K17" i="472"/>
  <c r="L17" i="472" s="1"/>
  <c r="J17" i="472"/>
  <c r="H17" i="472"/>
  <c r="F17" i="472"/>
  <c r="B17" i="472"/>
  <c r="W16" i="472"/>
  <c r="N16" i="472"/>
  <c r="L16" i="472"/>
  <c r="K16" i="472"/>
  <c r="J16" i="472"/>
  <c r="J26" i="472" s="1"/>
  <c r="H16" i="472"/>
  <c r="F16" i="472"/>
  <c r="B16" i="472"/>
  <c r="AE15" i="472"/>
  <c r="AD15" i="472"/>
  <c r="AA15" i="472"/>
  <c r="Z15" i="472"/>
  <c r="M15" i="472"/>
  <c r="L15" i="472"/>
  <c r="J15" i="472"/>
  <c r="W14" i="472"/>
  <c r="W13" i="472"/>
  <c r="W12" i="472"/>
  <c r="AG11" i="472"/>
  <c r="AF11" i="472"/>
  <c r="W11" i="472"/>
  <c r="AG10" i="472"/>
  <c r="AF10" i="472"/>
  <c r="W10" i="472"/>
  <c r="AG9" i="472"/>
  <c r="AF9" i="472"/>
  <c r="W9" i="472"/>
  <c r="AG8" i="472"/>
  <c r="AF8" i="472"/>
  <c r="W8" i="472"/>
  <c r="W7" i="472"/>
  <c r="V7" i="472"/>
  <c r="P7" i="472"/>
  <c r="N7" i="472"/>
  <c r="L7" i="472"/>
  <c r="K7" i="472"/>
  <c r="J7" i="472"/>
  <c r="H7" i="472"/>
  <c r="F7" i="472"/>
  <c r="B7" i="472"/>
  <c r="W6" i="472"/>
  <c r="V6" i="472"/>
  <c r="P6" i="472"/>
  <c r="N6" i="472"/>
  <c r="K6" i="472"/>
  <c r="L6" i="472" s="1"/>
  <c r="J6" i="472"/>
  <c r="F6" i="472"/>
  <c r="H6" i="472" s="1"/>
  <c r="B6" i="472"/>
  <c r="W5" i="472"/>
  <c r="N5" i="472" s="1"/>
  <c r="K5" i="472"/>
  <c r="K15" i="472" s="1"/>
  <c r="J5" i="472"/>
  <c r="L5" i="472" s="1"/>
  <c r="F5" i="472"/>
  <c r="H5" i="472" s="1"/>
  <c r="B5" i="472"/>
  <c r="I2" i="472"/>
  <c r="G2" i="472"/>
  <c r="G1" i="472"/>
  <c r="E1" i="472"/>
  <c r="J16" i="471"/>
  <c r="I16" i="471"/>
  <c r="H16" i="471"/>
  <c r="G16" i="471"/>
  <c r="F16" i="471"/>
  <c r="E16" i="471"/>
  <c r="D16" i="471"/>
  <c r="AE79" i="470"/>
  <c r="AD79" i="470"/>
  <c r="AA79" i="470"/>
  <c r="Z79" i="470"/>
  <c r="M79" i="470"/>
  <c r="W78" i="470"/>
  <c r="H78" i="470"/>
  <c r="W77" i="470"/>
  <c r="H77" i="470"/>
  <c r="W76" i="470"/>
  <c r="H76" i="470"/>
  <c r="W75" i="470"/>
  <c r="H75" i="470"/>
  <c r="W74" i="470"/>
  <c r="W73" i="470"/>
  <c r="W72" i="470"/>
  <c r="W71" i="470"/>
  <c r="W70" i="470"/>
  <c r="N70" i="470" s="1"/>
  <c r="K70" i="470"/>
  <c r="J70" i="470"/>
  <c r="F70" i="470"/>
  <c r="H70" i="470" s="1"/>
  <c r="B70" i="470"/>
  <c r="AE69" i="470"/>
  <c r="AD69" i="470"/>
  <c r="AD2" i="470" s="1"/>
  <c r="AA69" i="470"/>
  <c r="Z69" i="470"/>
  <c r="M69" i="470"/>
  <c r="K69" i="470"/>
  <c r="W68" i="470"/>
  <c r="H68" i="470"/>
  <c r="W67" i="470"/>
  <c r="W66" i="470"/>
  <c r="W65" i="470"/>
  <c r="W64" i="470"/>
  <c r="W63" i="470"/>
  <c r="AG62" i="470"/>
  <c r="AF62" i="470"/>
  <c r="W62" i="470"/>
  <c r="W61" i="470"/>
  <c r="N61" i="470" s="1"/>
  <c r="V61" i="470"/>
  <c r="K61" i="470"/>
  <c r="J61" i="470"/>
  <c r="H61" i="470"/>
  <c r="F61" i="470"/>
  <c r="B61" i="470"/>
  <c r="W60" i="470"/>
  <c r="V60" i="470"/>
  <c r="P60" i="470"/>
  <c r="O60" i="470"/>
  <c r="N60" i="470"/>
  <c r="L60" i="470"/>
  <c r="K60" i="470"/>
  <c r="J60" i="470"/>
  <c r="H60" i="470"/>
  <c r="F60" i="470"/>
  <c r="B60" i="470"/>
  <c r="W59" i="470"/>
  <c r="N59" i="470" s="1"/>
  <c r="K59" i="470"/>
  <c r="J59" i="470"/>
  <c r="F59" i="470"/>
  <c r="H59" i="470" s="1"/>
  <c r="B59" i="470"/>
  <c r="AE58" i="470"/>
  <c r="AD58" i="470"/>
  <c r="AA58" i="470"/>
  <c r="Z58" i="470"/>
  <c r="M58" i="470"/>
  <c r="K58" i="470"/>
  <c r="W57" i="470"/>
  <c r="W56" i="470"/>
  <c r="W55" i="470"/>
  <c r="W54" i="470"/>
  <c r="AG53" i="470"/>
  <c r="AF53" i="470"/>
  <c r="W53" i="470"/>
  <c r="AG52" i="470"/>
  <c r="AF52" i="470"/>
  <c r="W52" i="470"/>
  <c r="V52" i="470"/>
  <c r="W51" i="470"/>
  <c r="N51" i="470" s="1"/>
  <c r="V51" i="470"/>
  <c r="P51" i="470"/>
  <c r="K51" i="470"/>
  <c r="J51" i="470"/>
  <c r="L51" i="470" s="1"/>
  <c r="H51" i="470"/>
  <c r="F51" i="470"/>
  <c r="B51" i="470"/>
  <c r="W50" i="470"/>
  <c r="N50" i="470" s="1"/>
  <c r="V50" i="470"/>
  <c r="L50" i="470"/>
  <c r="K50" i="470"/>
  <c r="J50" i="470"/>
  <c r="P50" i="470" s="1"/>
  <c r="H50" i="470"/>
  <c r="F50" i="470"/>
  <c r="B50" i="470"/>
  <c r="AG49" i="470"/>
  <c r="W49" i="470"/>
  <c r="O49" i="470"/>
  <c r="N49" i="470"/>
  <c r="AF49" i="470" s="1"/>
  <c r="K49" i="470"/>
  <c r="J49" i="470"/>
  <c r="H49" i="470"/>
  <c r="F49" i="470"/>
  <c r="B49" i="470"/>
  <c r="AE48" i="470"/>
  <c r="AD48" i="470"/>
  <c r="AA48" i="470"/>
  <c r="Z48" i="470"/>
  <c r="W48" i="470"/>
  <c r="M48" i="470"/>
  <c r="K48" i="470"/>
  <c r="W47" i="470"/>
  <c r="H47" i="470"/>
  <c r="W46" i="470"/>
  <c r="W45" i="470"/>
  <c r="W44" i="470"/>
  <c r="W43" i="470"/>
  <c r="W42" i="470"/>
  <c r="AG41" i="470"/>
  <c r="AF41" i="470"/>
  <c r="W41" i="470"/>
  <c r="W40" i="470"/>
  <c r="N40" i="470" s="1"/>
  <c r="V40" i="470"/>
  <c r="L40" i="470"/>
  <c r="K40" i="470"/>
  <c r="J40" i="470"/>
  <c r="P40" i="470" s="1"/>
  <c r="H40" i="470"/>
  <c r="F40" i="470"/>
  <c r="B40" i="470"/>
  <c r="W39" i="470"/>
  <c r="V39" i="470"/>
  <c r="P39" i="470"/>
  <c r="O39" i="470"/>
  <c r="N39" i="470"/>
  <c r="L39" i="470"/>
  <c r="K39" i="470"/>
  <c r="J39" i="470"/>
  <c r="H39" i="470"/>
  <c r="F39" i="470"/>
  <c r="B39" i="470"/>
  <c r="W38" i="470"/>
  <c r="N38" i="470" s="1"/>
  <c r="K38" i="470"/>
  <c r="J38" i="470"/>
  <c r="F38" i="470"/>
  <c r="H38" i="470" s="1"/>
  <c r="B38" i="470"/>
  <c r="AE37" i="470"/>
  <c r="AE2" i="470" s="1"/>
  <c r="AD37" i="470"/>
  <c r="AA37" i="470"/>
  <c r="AA2" i="470" s="1"/>
  <c r="Z37" i="470"/>
  <c r="M37" i="470"/>
  <c r="P37" i="470" s="1"/>
  <c r="J37" i="470"/>
  <c r="W36" i="470"/>
  <c r="H36" i="470"/>
  <c r="W35" i="470"/>
  <c r="W34" i="470"/>
  <c r="W33" i="470"/>
  <c r="W32" i="470"/>
  <c r="AG31" i="470"/>
  <c r="AF31" i="470"/>
  <c r="W31" i="470"/>
  <c r="AG30" i="470"/>
  <c r="AF30" i="470"/>
  <c r="W30" i="470"/>
  <c r="V30" i="470"/>
  <c r="AG29" i="470"/>
  <c r="AF29" i="470"/>
  <c r="W29" i="470"/>
  <c r="V29" i="470"/>
  <c r="P29" i="470"/>
  <c r="O29" i="470"/>
  <c r="N29" i="470"/>
  <c r="L29" i="470"/>
  <c r="K29" i="470"/>
  <c r="J29" i="470"/>
  <c r="F29" i="470"/>
  <c r="H29" i="470" s="1"/>
  <c r="B29" i="470"/>
  <c r="W28" i="470"/>
  <c r="N28" i="470" s="1"/>
  <c r="V28" i="470"/>
  <c r="P28" i="470"/>
  <c r="K28" i="470"/>
  <c r="L28" i="470" s="1"/>
  <c r="J28" i="470"/>
  <c r="H28" i="470"/>
  <c r="F28" i="470"/>
  <c r="B28" i="470"/>
  <c r="W27" i="470"/>
  <c r="P27" i="470"/>
  <c r="N27" i="470"/>
  <c r="L27" i="470"/>
  <c r="L37" i="470" s="1"/>
  <c r="K27" i="470"/>
  <c r="K37" i="470" s="1"/>
  <c r="J27" i="470"/>
  <c r="F27" i="470"/>
  <c r="H27" i="470" s="1"/>
  <c r="B27" i="470"/>
  <c r="AE26" i="470"/>
  <c r="AD26" i="470"/>
  <c r="AA26" i="470"/>
  <c r="Z26" i="470"/>
  <c r="M26" i="470"/>
  <c r="J26" i="470"/>
  <c r="P26" i="470" s="1"/>
  <c r="W25" i="470"/>
  <c r="H25" i="470"/>
  <c r="W24" i="470"/>
  <c r="H24" i="470"/>
  <c r="W23" i="470"/>
  <c r="W21" i="470"/>
  <c r="W20" i="470"/>
  <c r="V20" i="470"/>
  <c r="AG19" i="470"/>
  <c r="AF19" i="470"/>
  <c r="W19" i="470"/>
  <c r="V19" i="470"/>
  <c r="W18" i="470"/>
  <c r="N18" i="470" s="1"/>
  <c r="V18" i="470"/>
  <c r="P18" i="470"/>
  <c r="L18" i="470"/>
  <c r="K18" i="470"/>
  <c r="J18" i="470"/>
  <c r="H18" i="470"/>
  <c r="F18" i="470"/>
  <c r="B18" i="470"/>
  <c r="AF17" i="470"/>
  <c r="W17" i="470"/>
  <c r="N17" i="470" s="1"/>
  <c r="V17" i="470"/>
  <c r="K17" i="470"/>
  <c r="J17" i="470"/>
  <c r="P17" i="470" s="1"/>
  <c r="H17" i="470"/>
  <c r="F17" i="470"/>
  <c r="B17" i="470"/>
  <c r="W16" i="470"/>
  <c r="N16" i="470"/>
  <c r="L16" i="470"/>
  <c r="L26" i="470" s="1"/>
  <c r="K16" i="470"/>
  <c r="K26" i="470" s="1"/>
  <c r="J16" i="470"/>
  <c r="P16" i="470" s="1"/>
  <c r="H16" i="470"/>
  <c r="F16" i="470"/>
  <c r="B16" i="470"/>
  <c r="AE15" i="470"/>
  <c r="AD15" i="470"/>
  <c r="AA15" i="470"/>
  <c r="Z15" i="470"/>
  <c r="N15" i="470"/>
  <c r="M15" i="470"/>
  <c r="J15" i="470"/>
  <c r="W14" i="470"/>
  <c r="W13" i="470"/>
  <c r="W12" i="470"/>
  <c r="AG11" i="470"/>
  <c r="AF11" i="470"/>
  <c r="W11" i="470"/>
  <c r="AG10" i="470"/>
  <c r="AF10" i="470"/>
  <c r="W10" i="470"/>
  <c r="AG9" i="470"/>
  <c r="AF9" i="470"/>
  <c r="W9" i="470"/>
  <c r="AG8" i="470"/>
  <c r="AF8" i="470"/>
  <c r="W8" i="470"/>
  <c r="W7" i="470"/>
  <c r="V7" i="470"/>
  <c r="Q7" i="470"/>
  <c r="O7" i="470"/>
  <c r="N7" i="470"/>
  <c r="K7" i="470"/>
  <c r="L7" i="470" s="1"/>
  <c r="J7" i="470"/>
  <c r="P7" i="470" s="1"/>
  <c r="F7" i="470"/>
  <c r="H7" i="470" s="1"/>
  <c r="B7" i="470"/>
  <c r="W6" i="470"/>
  <c r="V6" i="470"/>
  <c r="O6" i="470"/>
  <c r="N6" i="470"/>
  <c r="K6" i="470"/>
  <c r="L6" i="470" s="1"/>
  <c r="J6" i="470"/>
  <c r="P6" i="470" s="1"/>
  <c r="F6" i="470"/>
  <c r="H6" i="470" s="1"/>
  <c r="B6" i="470"/>
  <c r="W5" i="470"/>
  <c r="P5" i="470"/>
  <c r="N5" i="470"/>
  <c r="O5" i="470" s="1"/>
  <c r="K5" i="470"/>
  <c r="J5" i="470"/>
  <c r="H5" i="470"/>
  <c r="G1" i="470" s="1"/>
  <c r="F5" i="470"/>
  <c r="B5" i="470"/>
  <c r="I2" i="470"/>
  <c r="G2" i="470"/>
  <c r="E1" i="470"/>
  <c r="J16" i="469"/>
  <c r="I16" i="469"/>
  <c r="H16" i="469"/>
  <c r="G16" i="469"/>
  <c r="F16" i="469"/>
  <c r="E16" i="469"/>
  <c r="D16" i="469"/>
  <c r="AE79" i="468"/>
  <c r="AD79" i="468"/>
  <c r="AD2" i="468" s="1"/>
  <c r="AA79" i="468"/>
  <c r="Z79" i="468"/>
  <c r="M79" i="468"/>
  <c r="P79" i="468" s="1"/>
  <c r="K79" i="468"/>
  <c r="J79" i="468"/>
  <c r="W78" i="468"/>
  <c r="H78" i="468"/>
  <c r="W77" i="468"/>
  <c r="H77" i="468"/>
  <c r="W76" i="468"/>
  <c r="H76" i="468"/>
  <c r="W75" i="468"/>
  <c r="H75" i="468"/>
  <c r="W74" i="468"/>
  <c r="W73" i="468"/>
  <c r="W72" i="468"/>
  <c r="W71" i="468"/>
  <c r="W70" i="468"/>
  <c r="P70" i="468"/>
  <c r="N70" i="468"/>
  <c r="L70" i="468"/>
  <c r="L79" i="468" s="1"/>
  <c r="K70" i="468"/>
  <c r="J70" i="468"/>
  <c r="H70" i="468"/>
  <c r="F70" i="468"/>
  <c r="B70" i="468"/>
  <c r="AE69" i="468"/>
  <c r="AD69" i="468"/>
  <c r="AA69" i="468"/>
  <c r="Z69" i="468"/>
  <c r="Z2" i="468" s="1"/>
  <c r="M69" i="468"/>
  <c r="W68" i="468"/>
  <c r="H68" i="468"/>
  <c r="W67" i="468"/>
  <c r="W66" i="468"/>
  <c r="W65" i="468"/>
  <c r="W64" i="468"/>
  <c r="W63" i="468"/>
  <c r="AG62" i="468"/>
  <c r="AF62" i="468"/>
  <c r="W62" i="468"/>
  <c r="W61" i="468"/>
  <c r="V61" i="468"/>
  <c r="P61" i="468"/>
  <c r="O61" i="468"/>
  <c r="N61" i="468"/>
  <c r="AG61" i="468" s="1"/>
  <c r="K61" i="468"/>
  <c r="L61" i="468" s="1"/>
  <c r="J61" i="468"/>
  <c r="F61" i="468"/>
  <c r="H61" i="468" s="1"/>
  <c r="B61" i="468"/>
  <c r="W60" i="468"/>
  <c r="N60" i="468" s="1"/>
  <c r="V60" i="468"/>
  <c r="K60" i="468"/>
  <c r="J60" i="468"/>
  <c r="L60" i="468" s="1"/>
  <c r="H60" i="468"/>
  <c r="F60" i="468"/>
  <c r="B60" i="468"/>
  <c r="AG59" i="468"/>
  <c r="AF59" i="468"/>
  <c r="W59" i="468"/>
  <c r="N59" i="468" s="1"/>
  <c r="O59" i="468"/>
  <c r="K59" i="468"/>
  <c r="K69" i="468" s="1"/>
  <c r="J59" i="468"/>
  <c r="H59" i="468"/>
  <c r="F59" i="468"/>
  <c r="B59" i="468"/>
  <c r="AE58" i="468"/>
  <c r="AD58" i="468"/>
  <c r="AA58" i="468"/>
  <c r="Z58" i="468"/>
  <c r="M58" i="468"/>
  <c r="W57" i="468"/>
  <c r="W56" i="468"/>
  <c r="W55" i="468"/>
  <c r="W54" i="468"/>
  <c r="AG53" i="468"/>
  <c r="AF53" i="468"/>
  <c r="W53" i="468"/>
  <c r="AG52" i="468"/>
  <c r="AF52" i="468"/>
  <c r="W52" i="468"/>
  <c r="V52" i="468"/>
  <c r="W51" i="468"/>
  <c r="V51" i="468"/>
  <c r="P51" i="468"/>
  <c r="O51" i="468"/>
  <c r="N51" i="468"/>
  <c r="L51" i="468"/>
  <c r="K51" i="468"/>
  <c r="J51" i="468"/>
  <c r="H51" i="468"/>
  <c r="F51" i="468"/>
  <c r="B51" i="468"/>
  <c r="W50" i="468"/>
  <c r="N50" i="468" s="1"/>
  <c r="V50" i="468"/>
  <c r="K50" i="468"/>
  <c r="J50" i="468"/>
  <c r="H50" i="468"/>
  <c r="F50" i="468"/>
  <c r="B50" i="468"/>
  <c r="AG49" i="468"/>
  <c r="AF49" i="468"/>
  <c r="W49" i="468"/>
  <c r="N49" i="468" s="1"/>
  <c r="O49" i="468"/>
  <c r="K49" i="468"/>
  <c r="K58" i="468" s="1"/>
  <c r="J49" i="468"/>
  <c r="F49" i="468"/>
  <c r="H49" i="468" s="1"/>
  <c r="B49" i="468"/>
  <c r="AE48" i="468"/>
  <c r="AD48" i="468"/>
  <c r="AA48" i="468"/>
  <c r="Z48" i="468"/>
  <c r="W48" i="468"/>
  <c r="N48" i="468"/>
  <c r="M48" i="468"/>
  <c r="K48" i="468"/>
  <c r="W47" i="468"/>
  <c r="H47" i="468"/>
  <c r="W46" i="468"/>
  <c r="W45" i="468"/>
  <c r="W44" i="468"/>
  <c r="W43" i="468"/>
  <c r="W42" i="468"/>
  <c r="AG41" i="468"/>
  <c r="AF41" i="468"/>
  <c r="W41" i="468"/>
  <c r="AG40" i="468"/>
  <c r="W40" i="468"/>
  <c r="N40" i="468" s="1"/>
  <c r="V40" i="468"/>
  <c r="P40" i="468"/>
  <c r="L40" i="468"/>
  <c r="K40" i="468"/>
  <c r="J40" i="468"/>
  <c r="H40" i="468"/>
  <c r="F40" i="468"/>
  <c r="B40" i="468"/>
  <c r="W39" i="468"/>
  <c r="N39" i="468" s="1"/>
  <c r="V39" i="468"/>
  <c r="L39" i="468"/>
  <c r="K39" i="468"/>
  <c r="J39" i="468"/>
  <c r="P39" i="468" s="1"/>
  <c r="H39" i="468"/>
  <c r="F39" i="468"/>
  <c r="B39" i="468"/>
  <c r="W38" i="468"/>
  <c r="N38" i="468" s="1"/>
  <c r="K38" i="468"/>
  <c r="L38" i="468" s="1"/>
  <c r="L48" i="468" s="1"/>
  <c r="J38" i="468"/>
  <c r="F38" i="468"/>
  <c r="H38" i="468" s="1"/>
  <c r="B38" i="468"/>
  <c r="AE37" i="468"/>
  <c r="AD37" i="468"/>
  <c r="AA37" i="468"/>
  <c r="Z37" i="468"/>
  <c r="M37" i="468"/>
  <c r="W36" i="468"/>
  <c r="H36" i="468"/>
  <c r="W35" i="468"/>
  <c r="W34" i="468"/>
  <c r="W33" i="468"/>
  <c r="W32" i="468"/>
  <c r="AG31" i="468"/>
  <c r="AF31" i="468"/>
  <c r="W31" i="468"/>
  <c r="AG30" i="468"/>
  <c r="AF30" i="468"/>
  <c r="W30" i="468"/>
  <c r="V30" i="468"/>
  <c r="AG29" i="468"/>
  <c r="W29" i="468"/>
  <c r="N29" i="468" s="1"/>
  <c r="V29" i="468"/>
  <c r="R29" i="468"/>
  <c r="Q29" i="468"/>
  <c r="P29" i="468"/>
  <c r="O29" i="468"/>
  <c r="K29" i="468"/>
  <c r="L29" i="468" s="1"/>
  <c r="J29" i="468"/>
  <c r="H29" i="468"/>
  <c r="F29" i="468"/>
  <c r="B29" i="468"/>
  <c r="AF28" i="468"/>
  <c r="W28" i="468"/>
  <c r="N28" i="468" s="1"/>
  <c r="AG28" i="468" s="1"/>
  <c r="V28" i="468"/>
  <c r="O28" i="468"/>
  <c r="L28" i="468"/>
  <c r="K28" i="468"/>
  <c r="J28" i="468"/>
  <c r="P28" i="468" s="1"/>
  <c r="F28" i="468"/>
  <c r="H28" i="468" s="1"/>
  <c r="B28" i="468"/>
  <c r="W27" i="468"/>
  <c r="O27" i="468"/>
  <c r="N27" i="468"/>
  <c r="K27" i="468"/>
  <c r="J27" i="468"/>
  <c r="H27" i="468"/>
  <c r="F27" i="468"/>
  <c r="B27" i="468"/>
  <c r="AE26" i="468"/>
  <c r="AD26" i="468"/>
  <c r="AA26" i="468"/>
  <c r="Z26" i="468"/>
  <c r="M26" i="468"/>
  <c r="W25" i="468"/>
  <c r="H25" i="468"/>
  <c r="W24" i="468"/>
  <c r="H24" i="468"/>
  <c r="W23" i="468"/>
  <c r="W21" i="468"/>
  <c r="W20" i="468"/>
  <c r="V20" i="468"/>
  <c r="AG19" i="468"/>
  <c r="AF19" i="468"/>
  <c r="W19" i="468"/>
  <c r="V19" i="468"/>
  <c r="W18" i="468"/>
  <c r="N18" i="468" s="1"/>
  <c r="V18" i="468"/>
  <c r="P18" i="468"/>
  <c r="L18" i="468"/>
  <c r="K18" i="468"/>
  <c r="J18" i="468"/>
  <c r="H18" i="468"/>
  <c r="F18" i="468"/>
  <c r="B18" i="468"/>
  <c r="W17" i="468"/>
  <c r="V17" i="468"/>
  <c r="P17" i="468"/>
  <c r="N17" i="468"/>
  <c r="L17" i="468"/>
  <c r="K17" i="468"/>
  <c r="J17" i="468"/>
  <c r="H17" i="468"/>
  <c r="F17" i="468"/>
  <c r="B17" i="468"/>
  <c r="W16" i="468"/>
  <c r="N16" i="468"/>
  <c r="K16" i="468"/>
  <c r="J16" i="468"/>
  <c r="F16" i="468"/>
  <c r="H16" i="468" s="1"/>
  <c r="B16" i="468"/>
  <c r="AE15" i="468"/>
  <c r="AD15" i="468"/>
  <c r="AA15" i="468"/>
  <c r="Z15" i="468"/>
  <c r="M15" i="468"/>
  <c r="K15" i="468"/>
  <c r="J15" i="468"/>
  <c r="W14" i="468"/>
  <c r="W13" i="468"/>
  <c r="W12" i="468"/>
  <c r="AG11" i="468"/>
  <c r="AF11" i="468"/>
  <c r="W11" i="468"/>
  <c r="AG10" i="468"/>
  <c r="AF10" i="468"/>
  <c r="W10" i="468"/>
  <c r="AG9" i="468"/>
  <c r="AF9" i="468"/>
  <c r="W9" i="468"/>
  <c r="AG8" i="468"/>
  <c r="AF8" i="468"/>
  <c r="W8" i="468"/>
  <c r="AG7" i="468"/>
  <c r="AF7" i="468"/>
  <c r="W7" i="468"/>
  <c r="N7" i="468" s="1"/>
  <c r="V7" i="468"/>
  <c r="O7" i="468"/>
  <c r="K7" i="468"/>
  <c r="L7" i="468" s="1"/>
  <c r="Q7" i="468" s="1"/>
  <c r="J7" i="468"/>
  <c r="P7" i="468" s="1"/>
  <c r="F7" i="468"/>
  <c r="H7" i="468" s="1"/>
  <c r="B7" i="468"/>
  <c r="W6" i="468"/>
  <c r="V6" i="468"/>
  <c r="N6" i="468"/>
  <c r="L6" i="468"/>
  <c r="K6" i="468"/>
  <c r="J6" i="468"/>
  <c r="P6" i="468" s="1"/>
  <c r="F6" i="468"/>
  <c r="H6" i="468" s="1"/>
  <c r="B6" i="468"/>
  <c r="W5" i="468"/>
  <c r="N5" i="468" s="1"/>
  <c r="P5" i="468"/>
  <c r="K5" i="468"/>
  <c r="L5" i="468" s="1"/>
  <c r="L15" i="468" s="1"/>
  <c r="J5" i="468"/>
  <c r="H5" i="468"/>
  <c r="G1" i="468" s="1"/>
  <c r="F5" i="468"/>
  <c r="B5" i="468"/>
  <c r="AA2" i="468"/>
  <c r="I2" i="468"/>
  <c r="E1" i="468"/>
  <c r="J16" i="467"/>
  <c r="I16" i="467"/>
  <c r="H16" i="467"/>
  <c r="G16" i="467"/>
  <c r="F16" i="467"/>
  <c r="E16" i="467"/>
  <c r="D16" i="467"/>
  <c r="AG79" i="521"/>
  <c r="AH70" i="521" s="1"/>
  <c r="AF79" i="521"/>
  <c r="AE79" i="521"/>
  <c r="AD79" i="521"/>
  <c r="AA79" i="521"/>
  <c r="Z79" i="521"/>
  <c r="W78" i="521"/>
  <c r="W77" i="521"/>
  <c r="W76" i="521"/>
  <c r="W75" i="521"/>
  <c r="W74" i="521"/>
  <c r="W73" i="521"/>
  <c r="W72" i="521"/>
  <c r="W71" i="521"/>
  <c r="AG70" i="521"/>
  <c r="AF70" i="521"/>
  <c r="W70" i="521"/>
  <c r="S70" i="521"/>
  <c r="AE69" i="521"/>
  <c r="AE2" i="521" s="1"/>
  <c r="AD69" i="521"/>
  <c r="AA69" i="521"/>
  <c r="Z69" i="521"/>
  <c r="M69" i="521"/>
  <c r="W68" i="521"/>
  <c r="H68" i="521"/>
  <c r="W67" i="521"/>
  <c r="W66" i="521"/>
  <c r="W65" i="521"/>
  <c r="W64" i="521"/>
  <c r="W63" i="521"/>
  <c r="AG62" i="521"/>
  <c r="W62" i="521"/>
  <c r="N62" i="521" s="1"/>
  <c r="AF62" i="521" s="1"/>
  <c r="V62" i="521"/>
  <c r="P62" i="521"/>
  <c r="O62" i="521"/>
  <c r="K62" i="521"/>
  <c r="J62" i="521"/>
  <c r="L62" i="521" s="1"/>
  <c r="H62" i="521"/>
  <c r="F62" i="521"/>
  <c r="W61" i="521"/>
  <c r="N61" i="521" s="1"/>
  <c r="O61" i="521" s="1"/>
  <c r="V61" i="521"/>
  <c r="P61" i="521"/>
  <c r="K61" i="521"/>
  <c r="L61" i="521" s="1"/>
  <c r="J61" i="521"/>
  <c r="F61" i="521"/>
  <c r="H61" i="521" s="1"/>
  <c r="W60" i="521"/>
  <c r="V60" i="521"/>
  <c r="N60" i="521"/>
  <c r="K60" i="521"/>
  <c r="L60" i="521" s="1"/>
  <c r="J60" i="521"/>
  <c r="P60" i="521" s="1"/>
  <c r="F60" i="521"/>
  <c r="H60" i="521" s="1"/>
  <c r="AF59" i="521"/>
  <c r="W59" i="521"/>
  <c r="N59" i="521"/>
  <c r="K59" i="521"/>
  <c r="J59" i="521"/>
  <c r="F59" i="521"/>
  <c r="H59" i="521" s="1"/>
  <c r="AE58" i="521"/>
  <c r="AD58" i="521"/>
  <c r="AA58" i="521"/>
  <c r="Z58" i="521"/>
  <c r="M58" i="521"/>
  <c r="W57" i="521"/>
  <c r="W56" i="521"/>
  <c r="W55" i="521"/>
  <c r="W54" i="521"/>
  <c r="AG53" i="521"/>
  <c r="AF53" i="521"/>
  <c r="W53" i="521"/>
  <c r="W52" i="521"/>
  <c r="N52" i="521" s="1"/>
  <c r="AG52" i="521" s="1"/>
  <c r="V52" i="521"/>
  <c r="K52" i="521"/>
  <c r="J52" i="521"/>
  <c r="H52" i="521"/>
  <c r="F52" i="521"/>
  <c r="W51" i="521"/>
  <c r="N51" i="521" s="1"/>
  <c r="V51" i="521"/>
  <c r="P51" i="521"/>
  <c r="L51" i="521"/>
  <c r="F51" i="521"/>
  <c r="H51" i="521" s="1"/>
  <c r="W50" i="521"/>
  <c r="N50" i="521" s="1"/>
  <c r="V50" i="521"/>
  <c r="P50" i="521"/>
  <c r="K50" i="521"/>
  <c r="J50" i="521"/>
  <c r="H50" i="521"/>
  <c r="F50" i="521"/>
  <c r="W49" i="521"/>
  <c r="P49" i="521"/>
  <c r="N49" i="521"/>
  <c r="L49" i="521"/>
  <c r="J49" i="521"/>
  <c r="H49" i="521"/>
  <c r="F49" i="521"/>
  <c r="AE48" i="521"/>
  <c r="AD48" i="521"/>
  <c r="AA48" i="521"/>
  <c r="Z48" i="521"/>
  <c r="W48" i="521"/>
  <c r="M48" i="521"/>
  <c r="L48" i="521"/>
  <c r="K48" i="521"/>
  <c r="J48" i="521"/>
  <c r="P48" i="521" s="1"/>
  <c r="W47" i="521"/>
  <c r="H47" i="521"/>
  <c r="W46" i="521"/>
  <c r="W45" i="521"/>
  <c r="W44" i="521"/>
  <c r="W43" i="521"/>
  <c r="W42" i="521"/>
  <c r="AG41" i="521"/>
  <c r="AF41" i="521"/>
  <c r="W41" i="521"/>
  <c r="AG40" i="521"/>
  <c r="AF40" i="521"/>
  <c r="W40" i="521"/>
  <c r="AG39" i="521"/>
  <c r="W39" i="521"/>
  <c r="V39" i="521"/>
  <c r="N39" i="521"/>
  <c r="K39" i="521"/>
  <c r="L39" i="521" s="1"/>
  <c r="J39" i="521"/>
  <c r="P39" i="521" s="1"/>
  <c r="H39" i="521"/>
  <c r="F39" i="521"/>
  <c r="AG38" i="521"/>
  <c r="W38" i="521"/>
  <c r="N38" i="521"/>
  <c r="K38" i="521"/>
  <c r="L38" i="521" s="1"/>
  <c r="J38" i="521"/>
  <c r="P38" i="521" s="1"/>
  <c r="H38" i="521"/>
  <c r="F38" i="521"/>
  <c r="AE37" i="521"/>
  <c r="AD37" i="521"/>
  <c r="AA37" i="521"/>
  <c r="Z37" i="521"/>
  <c r="M37" i="521"/>
  <c r="W36" i="521"/>
  <c r="H36" i="521"/>
  <c r="W35" i="521"/>
  <c r="W34" i="521"/>
  <c r="W33" i="521"/>
  <c r="W32" i="521"/>
  <c r="AG31" i="521"/>
  <c r="AF31" i="521"/>
  <c r="W31" i="521"/>
  <c r="W30" i="521"/>
  <c r="V30" i="521"/>
  <c r="P30" i="521"/>
  <c r="N30" i="521"/>
  <c r="K30" i="521"/>
  <c r="L30" i="521" s="1"/>
  <c r="J30" i="521"/>
  <c r="H30" i="521"/>
  <c r="F30" i="521"/>
  <c r="W29" i="521"/>
  <c r="N29" i="521" s="1"/>
  <c r="V29" i="521"/>
  <c r="P29" i="521"/>
  <c r="K29" i="521"/>
  <c r="L29" i="521" s="1"/>
  <c r="H29" i="521"/>
  <c r="F29" i="521"/>
  <c r="W28" i="521"/>
  <c r="N28" i="521" s="1"/>
  <c r="V28" i="521"/>
  <c r="P28" i="521"/>
  <c r="K28" i="521"/>
  <c r="J28" i="521"/>
  <c r="F28" i="521"/>
  <c r="H28" i="521" s="1"/>
  <c r="AG27" i="521"/>
  <c r="AF27" i="521"/>
  <c r="W27" i="521"/>
  <c r="N27" i="521" s="1"/>
  <c r="P27" i="521"/>
  <c r="O27" i="521"/>
  <c r="L27" i="521"/>
  <c r="K27" i="521"/>
  <c r="J37" i="521"/>
  <c r="P37" i="521" s="1"/>
  <c r="H27" i="521"/>
  <c r="F27" i="521"/>
  <c r="AE26" i="521"/>
  <c r="AD26" i="521"/>
  <c r="AA26" i="521"/>
  <c r="Z26" i="521"/>
  <c r="P26" i="521"/>
  <c r="M26" i="521"/>
  <c r="J26" i="521"/>
  <c r="W25" i="521"/>
  <c r="H25" i="521"/>
  <c r="W24" i="521"/>
  <c r="H24" i="521"/>
  <c r="W23" i="521"/>
  <c r="W21" i="521"/>
  <c r="W20" i="521"/>
  <c r="N20" i="521" s="1"/>
  <c r="V20" i="521"/>
  <c r="R20" i="521"/>
  <c r="Q20" i="521"/>
  <c r="P20" i="521"/>
  <c r="O20" i="521"/>
  <c r="K20" i="521"/>
  <c r="L20" i="521" s="1"/>
  <c r="J20" i="521"/>
  <c r="H20" i="521"/>
  <c r="F20" i="521"/>
  <c r="AF19" i="521"/>
  <c r="W19" i="521"/>
  <c r="V19" i="521"/>
  <c r="P19" i="521"/>
  <c r="N19" i="521"/>
  <c r="K19" i="521"/>
  <c r="L19" i="521" s="1"/>
  <c r="F19" i="521"/>
  <c r="H19" i="521" s="1"/>
  <c r="W18" i="521"/>
  <c r="N18" i="521" s="1"/>
  <c r="V18" i="521"/>
  <c r="P18" i="521"/>
  <c r="O18" i="521"/>
  <c r="K18" i="521"/>
  <c r="L18" i="521" s="1"/>
  <c r="L26" i="521" s="1"/>
  <c r="F18" i="521"/>
  <c r="H18" i="521" s="1"/>
  <c r="AF17" i="521"/>
  <c r="W17" i="521"/>
  <c r="N17" i="521" s="1"/>
  <c r="V17" i="521"/>
  <c r="L17" i="521"/>
  <c r="K17" i="521"/>
  <c r="J17" i="521"/>
  <c r="P17" i="521" s="1"/>
  <c r="F17" i="521"/>
  <c r="H17" i="521" s="1"/>
  <c r="AG16" i="521"/>
  <c r="W16" i="521"/>
  <c r="N16" i="521" s="1"/>
  <c r="P16" i="521"/>
  <c r="K16" i="521"/>
  <c r="L16" i="521" s="1"/>
  <c r="F16" i="521"/>
  <c r="H16" i="521" s="1"/>
  <c r="AE15" i="521"/>
  <c r="AD15" i="521"/>
  <c r="AA15" i="521"/>
  <c r="Z15" i="521"/>
  <c r="M15" i="521"/>
  <c r="K15" i="521"/>
  <c r="W14" i="521"/>
  <c r="W13" i="521"/>
  <c r="W12" i="521"/>
  <c r="AG11" i="521"/>
  <c r="AF11" i="521"/>
  <c r="W11" i="521"/>
  <c r="AG10" i="521"/>
  <c r="AF10" i="521"/>
  <c r="W10" i="521"/>
  <c r="W9" i="521"/>
  <c r="N9" i="521" s="1"/>
  <c r="V9" i="521"/>
  <c r="P9" i="521"/>
  <c r="L9" i="521"/>
  <c r="K9" i="521"/>
  <c r="J9" i="521"/>
  <c r="F9" i="521"/>
  <c r="H9" i="521" s="1"/>
  <c r="W8" i="521"/>
  <c r="N8" i="521" s="1"/>
  <c r="V8" i="521"/>
  <c r="P8" i="521"/>
  <c r="L8" i="521"/>
  <c r="K8" i="521"/>
  <c r="J8" i="521"/>
  <c r="H8" i="521"/>
  <c r="F8" i="521"/>
  <c r="AG7" i="521"/>
  <c r="AF7" i="521"/>
  <c r="W7" i="521"/>
  <c r="N7" i="521" s="1"/>
  <c r="O7" i="521" s="1"/>
  <c r="Q7" i="521" s="1"/>
  <c r="V7" i="521"/>
  <c r="R7" i="521"/>
  <c r="P7" i="521"/>
  <c r="L7" i="521"/>
  <c r="K7" i="521"/>
  <c r="J7" i="521"/>
  <c r="H7" i="521"/>
  <c r="F7" i="521"/>
  <c r="AF6" i="521"/>
  <c r="W6" i="521"/>
  <c r="N6" i="521" s="1"/>
  <c r="O6" i="521" s="1"/>
  <c r="V6" i="521"/>
  <c r="K6" i="521"/>
  <c r="J6" i="521"/>
  <c r="P6" i="521" s="1"/>
  <c r="F6" i="521"/>
  <c r="H6" i="521" s="1"/>
  <c r="AG5" i="521"/>
  <c r="W5" i="521"/>
  <c r="N5" i="521" s="1"/>
  <c r="AF5" i="521" s="1"/>
  <c r="O5" i="521"/>
  <c r="K5" i="521"/>
  <c r="J5" i="521"/>
  <c r="P5" i="521" s="1"/>
  <c r="F5" i="521"/>
  <c r="H5" i="521" s="1"/>
  <c r="I2" i="521"/>
  <c r="I1" i="521"/>
  <c r="E1" i="521"/>
  <c r="AG79" i="519"/>
  <c r="AF79" i="519"/>
  <c r="AE79" i="519"/>
  <c r="J21" i="518" s="1"/>
  <c r="AD79" i="519"/>
  <c r="AA79" i="519"/>
  <c r="J18" i="518" s="1"/>
  <c r="Z79" i="519"/>
  <c r="W78" i="519"/>
  <c r="W77" i="519"/>
  <c r="W76" i="519"/>
  <c r="W75" i="519"/>
  <c r="W74" i="519"/>
  <c r="W73" i="519"/>
  <c r="W72" i="519"/>
  <c r="W71" i="519"/>
  <c r="AH70" i="519"/>
  <c r="AG70" i="519"/>
  <c r="AF70" i="519"/>
  <c r="W70" i="519"/>
  <c r="S70" i="519"/>
  <c r="AE69" i="519"/>
  <c r="AD69" i="519"/>
  <c r="AA69" i="519"/>
  <c r="Z69" i="519"/>
  <c r="M69" i="519"/>
  <c r="W68" i="519"/>
  <c r="H68" i="519"/>
  <c r="W67" i="519"/>
  <c r="W66" i="519"/>
  <c r="W65" i="519"/>
  <c r="W64" i="519"/>
  <c r="W63" i="519"/>
  <c r="V63" i="519"/>
  <c r="W62" i="519"/>
  <c r="V62" i="519"/>
  <c r="N62" i="519"/>
  <c r="K62" i="519"/>
  <c r="J62" i="519"/>
  <c r="H62" i="519"/>
  <c r="F62" i="519"/>
  <c r="W61" i="519"/>
  <c r="V61" i="519"/>
  <c r="N61" i="519"/>
  <c r="L61" i="519"/>
  <c r="K61" i="519"/>
  <c r="J61" i="519"/>
  <c r="P61" i="519" s="1"/>
  <c r="H61" i="519"/>
  <c r="F61" i="519"/>
  <c r="W60" i="519"/>
  <c r="V60" i="519"/>
  <c r="N60" i="519"/>
  <c r="K60" i="519"/>
  <c r="J60" i="519"/>
  <c r="P60" i="519" s="1"/>
  <c r="F60" i="519"/>
  <c r="H60" i="519" s="1"/>
  <c r="AG59" i="519"/>
  <c r="W59" i="519"/>
  <c r="N59" i="519"/>
  <c r="K59" i="519"/>
  <c r="L59" i="519" s="1"/>
  <c r="J59" i="519"/>
  <c r="F59" i="519"/>
  <c r="H59" i="519" s="1"/>
  <c r="AE58" i="519"/>
  <c r="H21" i="518" s="1"/>
  <c r="AD58" i="519"/>
  <c r="H20" i="518" s="1"/>
  <c r="AA58" i="519"/>
  <c r="H19" i="518" s="1"/>
  <c r="Z58" i="519"/>
  <c r="M58" i="519"/>
  <c r="W57" i="519"/>
  <c r="W56" i="519"/>
  <c r="W55" i="519"/>
  <c r="W54" i="519"/>
  <c r="W53" i="519"/>
  <c r="N53" i="519" s="1"/>
  <c r="V53" i="519"/>
  <c r="K53" i="519"/>
  <c r="J53" i="519"/>
  <c r="P53" i="519" s="1"/>
  <c r="F53" i="519"/>
  <c r="H53" i="519" s="1"/>
  <c r="AG52" i="519"/>
  <c r="AF52" i="519"/>
  <c r="W52" i="519"/>
  <c r="N52" i="519" s="1"/>
  <c r="O52" i="519" s="1"/>
  <c r="V52" i="519"/>
  <c r="L52" i="519"/>
  <c r="K52" i="519"/>
  <c r="J52" i="519"/>
  <c r="P52" i="519" s="1"/>
  <c r="H52" i="519"/>
  <c r="F52" i="519"/>
  <c r="AG51" i="519"/>
  <c r="AF51" i="519"/>
  <c r="W51" i="519"/>
  <c r="N51" i="519" s="1"/>
  <c r="V51" i="519"/>
  <c r="P51" i="519"/>
  <c r="O51" i="519"/>
  <c r="L51" i="519"/>
  <c r="F51" i="519"/>
  <c r="H51" i="519" s="1"/>
  <c r="W50" i="519"/>
  <c r="N50" i="519" s="1"/>
  <c r="V50" i="519"/>
  <c r="O50" i="519"/>
  <c r="K50" i="519"/>
  <c r="J50" i="519"/>
  <c r="P50" i="519" s="1"/>
  <c r="F50" i="519"/>
  <c r="H50" i="519" s="1"/>
  <c r="W49" i="519"/>
  <c r="N49" i="519" s="1"/>
  <c r="J49" i="519"/>
  <c r="H49" i="519"/>
  <c r="F49" i="519"/>
  <c r="AE48" i="519"/>
  <c r="AD48" i="519"/>
  <c r="AA48" i="519"/>
  <c r="Z48" i="519"/>
  <c r="W48" i="519"/>
  <c r="N48" i="519"/>
  <c r="M48" i="519"/>
  <c r="G22" i="518" s="1"/>
  <c r="W47" i="519"/>
  <c r="H47" i="519"/>
  <c r="W46" i="519"/>
  <c r="W45" i="519"/>
  <c r="W44" i="519"/>
  <c r="W43" i="519"/>
  <c r="W42" i="519"/>
  <c r="AG41" i="519"/>
  <c r="AF41" i="519"/>
  <c r="W41" i="519"/>
  <c r="W40" i="519"/>
  <c r="V40" i="519"/>
  <c r="P40" i="519"/>
  <c r="N40" i="519"/>
  <c r="L40" i="519"/>
  <c r="K40" i="519"/>
  <c r="J40" i="519"/>
  <c r="H40" i="519"/>
  <c r="F40" i="519"/>
  <c r="W39" i="519"/>
  <c r="V39" i="519"/>
  <c r="P39" i="519"/>
  <c r="O39" i="519"/>
  <c r="N39" i="519"/>
  <c r="K39" i="519"/>
  <c r="J39" i="519"/>
  <c r="L39" i="519" s="1"/>
  <c r="F39" i="519"/>
  <c r="H39" i="519" s="1"/>
  <c r="W38" i="519"/>
  <c r="N38" i="519" s="1"/>
  <c r="AF38" i="519" s="1"/>
  <c r="P38" i="519"/>
  <c r="O38" i="519"/>
  <c r="K38" i="519"/>
  <c r="J38" i="519"/>
  <c r="J48" i="519" s="1"/>
  <c r="P48" i="519" s="1"/>
  <c r="F38" i="519"/>
  <c r="H38" i="519" s="1"/>
  <c r="AE37" i="519"/>
  <c r="F21" i="518" s="1"/>
  <c r="AD37" i="519"/>
  <c r="AA37" i="519"/>
  <c r="F19" i="518" s="1"/>
  <c r="Z37" i="519"/>
  <c r="M37" i="519"/>
  <c r="J37" i="519"/>
  <c r="W36" i="519"/>
  <c r="H36" i="519"/>
  <c r="W35" i="519"/>
  <c r="W34" i="519"/>
  <c r="W33" i="519"/>
  <c r="W32" i="519"/>
  <c r="AG31" i="519"/>
  <c r="AF31" i="519"/>
  <c r="W31" i="519"/>
  <c r="AG30" i="519"/>
  <c r="AF30" i="519"/>
  <c r="W30" i="519"/>
  <c r="W29" i="519"/>
  <c r="N29" i="519" s="1"/>
  <c r="V29" i="519"/>
  <c r="P29" i="519"/>
  <c r="O29" i="519"/>
  <c r="K29" i="519"/>
  <c r="H29" i="519"/>
  <c r="F29" i="519"/>
  <c r="AG28" i="519"/>
  <c r="AF28" i="519"/>
  <c r="W28" i="519"/>
  <c r="N28" i="519" s="1"/>
  <c r="O28" i="519" s="1"/>
  <c r="V28" i="519"/>
  <c r="K28" i="519"/>
  <c r="J28" i="519"/>
  <c r="F28" i="519"/>
  <c r="H28" i="519" s="1"/>
  <c r="W27" i="519"/>
  <c r="N27" i="519" s="1"/>
  <c r="P27" i="519"/>
  <c r="L27" i="519"/>
  <c r="K27" i="519"/>
  <c r="H27" i="519"/>
  <c r="F27" i="519"/>
  <c r="AE26" i="519"/>
  <c r="AD26" i="519"/>
  <c r="E20" i="518" s="1"/>
  <c r="AA26" i="519"/>
  <c r="E19" i="518" s="1"/>
  <c r="Z26" i="519"/>
  <c r="M26" i="519"/>
  <c r="W25" i="519"/>
  <c r="H25" i="519"/>
  <c r="W24" i="519"/>
  <c r="H24" i="519"/>
  <c r="W23" i="519"/>
  <c r="W21" i="519"/>
  <c r="W20" i="519"/>
  <c r="N20" i="519" s="1"/>
  <c r="V20" i="519"/>
  <c r="P20" i="519"/>
  <c r="O20" i="519"/>
  <c r="R20" i="519" s="1"/>
  <c r="L20" i="519"/>
  <c r="K20" i="519"/>
  <c r="J20" i="519"/>
  <c r="H20" i="519"/>
  <c r="F20" i="519"/>
  <c r="W19" i="519"/>
  <c r="V19" i="519"/>
  <c r="P19" i="519"/>
  <c r="O19" i="519"/>
  <c r="N19" i="519"/>
  <c r="K19" i="519"/>
  <c r="H19" i="519"/>
  <c r="F19" i="519"/>
  <c r="W18" i="519"/>
  <c r="N18" i="519" s="1"/>
  <c r="V18" i="519"/>
  <c r="P18" i="519"/>
  <c r="O18" i="519"/>
  <c r="R18" i="519" s="1"/>
  <c r="K18" i="519"/>
  <c r="L18" i="519" s="1"/>
  <c r="F18" i="519"/>
  <c r="H18" i="519" s="1"/>
  <c r="W17" i="519"/>
  <c r="N17" i="519" s="1"/>
  <c r="O17" i="519" s="1"/>
  <c r="V17" i="519"/>
  <c r="K17" i="519"/>
  <c r="L17" i="519" s="1"/>
  <c r="J17" i="519"/>
  <c r="F17" i="519"/>
  <c r="H17" i="519" s="1"/>
  <c r="AG16" i="519"/>
  <c r="W16" i="519"/>
  <c r="N16" i="519" s="1"/>
  <c r="P16" i="519"/>
  <c r="K16" i="519"/>
  <c r="L16" i="519" s="1"/>
  <c r="H16" i="519"/>
  <c r="F16" i="519"/>
  <c r="AE15" i="519"/>
  <c r="AD15" i="519"/>
  <c r="AA15" i="519"/>
  <c r="Z15" i="519"/>
  <c r="M15" i="519"/>
  <c r="W14" i="519"/>
  <c r="W13" i="519"/>
  <c r="W12" i="519"/>
  <c r="AG11" i="519"/>
  <c r="AF11" i="519"/>
  <c r="W11" i="519"/>
  <c r="AG10" i="519"/>
  <c r="AF10" i="519"/>
  <c r="W10" i="519"/>
  <c r="W9" i="519"/>
  <c r="N9" i="519" s="1"/>
  <c r="V9" i="519"/>
  <c r="K9" i="519"/>
  <c r="J9" i="519"/>
  <c r="P9" i="519" s="1"/>
  <c r="H9" i="519"/>
  <c r="F9" i="519"/>
  <c r="W8" i="519"/>
  <c r="N8" i="519" s="1"/>
  <c r="O8" i="519" s="1"/>
  <c r="V8" i="519"/>
  <c r="K8" i="519"/>
  <c r="J8" i="519"/>
  <c r="P8" i="519" s="1"/>
  <c r="H8" i="519"/>
  <c r="F8" i="519"/>
  <c r="W7" i="519"/>
  <c r="V7" i="519"/>
  <c r="N7" i="519"/>
  <c r="K7" i="519"/>
  <c r="L7" i="519" s="1"/>
  <c r="J7" i="519"/>
  <c r="P7" i="519" s="1"/>
  <c r="F7" i="519"/>
  <c r="H7" i="519" s="1"/>
  <c r="AG6" i="519"/>
  <c r="W6" i="519"/>
  <c r="V6" i="519"/>
  <c r="N6" i="519"/>
  <c r="K6" i="519"/>
  <c r="L6" i="519" s="1"/>
  <c r="J6" i="519"/>
  <c r="P6" i="519" s="1"/>
  <c r="F6" i="519"/>
  <c r="H6" i="519" s="1"/>
  <c r="W5" i="519"/>
  <c r="P5" i="519"/>
  <c r="N5" i="519"/>
  <c r="K5" i="519"/>
  <c r="L5" i="519" s="1"/>
  <c r="J5" i="519"/>
  <c r="F5" i="519"/>
  <c r="H5" i="519" s="1"/>
  <c r="AA2" i="519"/>
  <c r="I2" i="519"/>
  <c r="I1" i="519"/>
  <c r="E1" i="519"/>
  <c r="J22" i="518"/>
  <c r="I22" i="518"/>
  <c r="H22" i="518"/>
  <c r="F22" i="518"/>
  <c r="E22" i="518"/>
  <c r="D22" i="518"/>
  <c r="I21" i="518"/>
  <c r="G21" i="518"/>
  <c r="E21" i="518"/>
  <c r="J20" i="518"/>
  <c r="I20" i="518"/>
  <c r="G20" i="518"/>
  <c r="F20" i="518"/>
  <c r="D20" i="518"/>
  <c r="J19" i="518"/>
  <c r="I19" i="518"/>
  <c r="G19" i="518"/>
  <c r="D19" i="518"/>
  <c r="I18" i="518"/>
  <c r="H18" i="518"/>
  <c r="F18" i="518"/>
  <c r="E18" i="518"/>
  <c r="D18" i="518"/>
  <c r="J17" i="518"/>
  <c r="J16" i="518"/>
  <c r="I16" i="518"/>
  <c r="H16" i="518"/>
  <c r="G16" i="518"/>
  <c r="F16" i="518"/>
  <c r="E16" i="518"/>
  <c r="D16" i="518"/>
  <c r="J15" i="518"/>
  <c r="J14" i="518"/>
  <c r="J13" i="518"/>
  <c r="O8" i="518"/>
  <c r="N8" i="518"/>
  <c r="M8" i="518"/>
  <c r="L8" i="518"/>
  <c r="O7" i="518"/>
  <c r="N7" i="518"/>
  <c r="M7" i="518"/>
  <c r="L7" i="518"/>
  <c r="G3" i="518"/>
  <c r="AG79" i="517"/>
  <c r="AH70" i="517" s="1"/>
  <c r="AF79" i="517"/>
  <c r="AE79" i="517"/>
  <c r="AD79" i="517"/>
  <c r="J20" i="516" s="1"/>
  <c r="AA79" i="517"/>
  <c r="J18" i="516" s="1"/>
  <c r="Z79" i="517"/>
  <c r="W78" i="517"/>
  <c r="W77" i="517"/>
  <c r="W76" i="517"/>
  <c r="W75" i="517"/>
  <c r="W74" i="517"/>
  <c r="W73" i="517"/>
  <c r="W72" i="517"/>
  <c r="W71" i="517"/>
  <c r="AG70" i="517"/>
  <c r="AF70" i="517"/>
  <c r="W70" i="517"/>
  <c r="S70" i="517"/>
  <c r="AE69" i="517"/>
  <c r="AD69" i="517"/>
  <c r="AA69" i="517"/>
  <c r="I19" i="516" s="1"/>
  <c r="Z69" i="517"/>
  <c r="M69" i="517"/>
  <c r="W68" i="517"/>
  <c r="H68" i="517"/>
  <c r="W67" i="517"/>
  <c r="W66" i="517"/>
  <c r="W65" i="517"/>
  <c r="W64" i="517"/>
  <c r="W63" i="517"/>
  <c r="AF62" i="517"/>
  <c r="W62" i="517"/>
  <c r="N62" i="517" s="1"/>
  <c r="V62" i="517"/>
  <c r="P62" i="517"/>
  <c r="K62" i="517"/>
  <c r="L62" i="517" s="1"/>
  <c r="J62" i="517"/>
  <c r="F62" i="517"/>
  <c r="H62" i="517" s="1"/>
  <c r="W61" i="517"/>
  <c r="V61" i="517"/>
  <c r="N61" i="517"/>
  <c r="L61" i="517"/>
  <c r="K61" i="517"/>
  <c r="J61" i="517"/>
  <c r="P61" i="517" s="1"/>
  <c r="H61" i="517"/>
  <c r="F61" i="517"/>
  <c r="W60" i="517"/>
  <c r="N60" i="517" s="1"/>
  <c r="V60" i="517"/>
  <c r="P60" i="517"/>
  <c r="O60" i="517"/>
  <c r="K60" i="517"/>
  <c r="J60" i="517"/>
  <c r="F60" i="517"/>
  <c r="H60" i="517" s="1"/>
  <c r="W59" i="517"/>
  <c r="N59" i="517" s="1"/>
  <c r="P59" i="517"/>
  <c r="O59" i="517"/>
  <c r="L59" i="517"/>
  <c r="R59" i="517" s="1"/>
  <c r="K59" i="517"/>
  <c r="J59" i="517"/>
  <c r="H59" i="517"/>
  <c r="F59" i="517"/>
  <c r="AE58" i="517"/>
  <c r="H21" i="516" s="1"/>
  <c r="AD58" i="517"/>
  <c r="AA58" i="517"/>
  <c r="Z58" i="517"/>
  <c r="W57" i="517"/>
  <c r="W56" i="517"/>
  <c r="W55" i="517"/>
  <c r="W54" i="517"/>
  <c r="AG53" i="517"/>
  <c r="AF53" i="517"/>
  <c r="W53" i="517"/>
  <c r="N53" i="517" s="1"/>
  <c r="O53" i="517" s="1"/>
  <c r="Q53" i="517" s="1"/>
  <c r="V53" i="517"/>
  <c r="R53" i="517"/>
  <c r="P53" i="517"/>
  <c r="L53" i="517"/>
  <c r="K53" i="517"/>
  <c r="J53" i="517"/>
  <c r="F53" i="517"/>
  <c r="H53" i="517" s="1"/>
  <c r="AF52" i="517"/>
  <c r="W52" i="517"/>
  <c r="N52" i="517" s="1"/>
  <c r="O52" i="517" s="1"/>
  <c r="V52" i="517"/>
  <c r="K52" i="517"/>
  <c r="L52" i="517" s="1"/>
  <c r="J52" i="517"/>
  <c r="P52" i="517" s="1"/>
  <c r="F52" i="517"/>
  <c r="H52" i="517" s="1"/>
  <c r="W51" i="517"/>
  <c r="N51" i="517" s="1"/>
  <c r="O51" i="517" s="1"/>
  <c r="V51" i="517"/>
  <c r="P51" i="517"/>
  <c r="K51" i="517"/>
  <c r="L51" i="517" s="1"/>
  <c r="H51" i="517"/>
  <c r="F51" i="517"/>
  <c r="AG50" i="517"/>
  <c r="AF50" i="517"/>
  <c r="W50" i="517"/>
  <c r="N50" i="517" s="1"/>
  <c r="O50" i="517" s="1"/>
  <c r="R50" i="517"/>
  <c r="K50" i="517"/>
  <c r="L50" i="517" s="1"/>
  <c r="J50" i="517"/>
  <c r="P50" i="517" s="1"/>
  <c r="F50" i="517"/>
  <c r="H50" i="517" s="1"/>
  <c r="AG49" i="517"/>
  <c r="AF49" i="517"/>
  <c r="W49" i="517"/>
  <c r="N49" i="517" s="1"/>
  <c r="O49" i="517" s="1"/>
  <c r="L49" i="517"/>
  <c r="J49" i="517"/>
  <c r="P49" i="517" s="1"/>
  <c r="H49" i="517"/>
  <c r="F49" i="517"/>
  <c r="AE48" i="517"/>
  <c r="G21" i="516" s="1"/>
  <c r="AD48" i="517"/>
  <c r="AA48" i="517"/>
  <c r="G19" i="516" s="1"/>
  <c r="Z48" i="517"/>
  <c r="W48" i="517"/>
  <c r="M48" i="517"/>
  <c r="K48" i="517"/>
  <c r="W47" i="517"/>
  <c r="H47" i="517"/>
  <c r="W46" i="517"/>
  <c r="W45" i="517"/>
  <c r="W44" i="517"/>
  <c r="W43" i="517"/>
  <c r="W42" i="517"/>
  <c r="W41" i="517"/>
  <c r="N41" i="517" s="1"/>
  <c r="V41" i="517"/>
  <c r="P41" i="517"/>
  <c r="K41" i="517"/>
  <c r="J41" i="517"/>
  <c r="H41" i="517"/>
  <c r="F41" i="517"/>
  <c r="AG40" i="517"/>
  <c r="AF40" i="517"/>
  <c r="W40" i="517"/>
  <c r="V40" i="517"/>
  <c r="N40" i="517"/>
  <c r="O40" i="517" s="1"/>
  <c r="K40" i="517"/>
  <c r="J40" i="517"/>
  <c r="P40" i="517" s="1"/>
  <c r="F40" i="517"/>
  <c r="H40" i="517" s="1"/>
  <c r="W39" i="517"/>
  <c r="N39" i="517" s="1"/>
  <c r="V39" i="517"/>
  <c r="K39" i="517"/>
  <c r="J39" i="517"/>
  <c r="P39" i="517" s="1"/>
  <c r="F39" i="517"/>
  <c r="H39" i="517" s="1"/>
  <c r="AG38" i="517"/>
  <c r="AF38" i="517"/>
  <c r="W38" i="517"/>
  <c r="N38" i="517" s="1"/>
  <c r="O38" i="517" s="1"/>
  <c r="K38" i="517"/>
  <c r="J38" i="517"/>
  <c r="F38" i="517"/>
  <c r="H38" i="517" s="1"/>
  <c r="AE37" i="517"/>
  <c r="AD37" i="517"/>
  <c r="AA37" i="517"/>
  <c r="F19" i="516" s="1"/>
  <c r="Z37" i="517"/>
  <c r="N37" i="517"/>
  <c r="M37" i="517"/>
  <c r="K37" i="517"/>
  <c r="W36" i="517"/>
  <c r="H36" i="517"/>
  <c r="W35" i="517"/>
  <c r="W34" i="517"/>
  <c r="W33" i="517"/>
  <c r="W32" i="517"/>
  <c r="AG31" i="517"/>
  <c r="AF31" i="517"/>
  <c r="W31" i="517"/>
  <c r="AF30" i="517"/>
  <c r="W30" i="517"/>
  <c r="V30" i="517"/>
  <c r="P30" i="517"/>
  <c r="N30" i="517"/>
  <c r="L30" i="517"/>
  <c r="K30" i="517"/>
  <c r="J30" i="517"/>
  <c r="H30" i="517"/>
  <c r="F30" i="517"/>
  <c r="AF29" i="517"/>
  <c r="W29" i="517"/>
  <c r="N29" i="517" s="1"/>
  <c r="AG29" i="517" s="1"/>
  <c r="V29" i="517"/>
  <c r="P29" i="517"/>
  <c r="O29" i="517"/>
  <c r="K29" i="517"/>
  <c r="L29" i="517" s="1"/>
  <c r="J29" i="517"/>
  <c r="F29" i="517"/>
  <c r="H29" i="517" s="1"/>
  <c r="AG28" i="517"/>
  <c r="AF28" i="517"/>
  <c r="W28" i="517"/>
  <c r="V28" i="517"/>
  <c r="N28" i="517"/>
  <c r="O28" i="517" s="1"/>
  <c r="K28" i="517"/>
  <c r="J28" i="517"/>
  <c r="H28" i="517"/>
  <c r="F28" i="517"/>
  <c r="AF27" i="517"/>
  <c r="W27" i="517"/>
  <c r="N27" i="517" s="1"/>
  <c r="P27" i="517"/>
  <c r="K27" i="517"/>
  <c r="L27" i="517" s="1"/>
  <c r="H27" i="517"/>
  <c r="F27" i="517"/>
  <c r="AE26" i="517"/>
  <c r="E21" i="516" s="1"/>
  <c r="AD26" i="517"/>
  <c r="AA26" i="517"/>
  <c r="Z26" i="517"/>
  <c r="M26" i="517"/>
  <c r="J26" i="517"/>
  <c r="P26" i="517" s="1"/>
  <c r="W25" i="517"/>
  <c r="H25" i="517"/>
  <c r="W24" i="517"/>
  <c r="W23" i="517"/>
  <c r="W21" i="517"/>
  <c r="W20" i="517"/>
  <c r="V20" i="517"/>
  <c r="P20" i="517"/>
  <c r="O20" i="517"/>
  <c r="N20" i="517"/>
  <c r="K20" i="517"/>
  <c r="L20" i="517" s="1"/>
  <c r="H20" i="517"/>
  <c r="F20" i="517"/>
  <c r="W19" i="517"/>
  <c r="V19" i="517"/>
  <c r="P19" i="517"/>
  <c r="O19" i="517"/>
  <c r="N19" i="517"/>
  <c r="K19" i="517"/>
  <c r="L19" i="517" s="1"/>
  <c r="H19" i="517"/>
  <c r="F19" i="517"/>
  <c r="AF18" i="517"/>
  <c r="W18" i="517"/>
  <c r="V18" i="517"/>
  <c r="P18" i="517"/>
  <c r="N18" i="517"/>
  <c r="L18" i="517"/>
  <c r="K18" i="517"/>
  <c r="H18" i="517"/>
  <c r="F18" i="517"/>
  <c r="W17" i="517"/>
  <c r="V17" i="517"/>
  <c r="P17" i="517"/>
  <c r="O17" i="517"/>
  <c r="N17" i="517"/>
  <c r="K17" i="517"/>
  <c r="J17" i="517"/>
  <c r="F17" i="517"/>
  <c r="H17" i="517" s="1"/>
  <c r="AG16" i="517"/>
  <c r="W16" i="517"/>
  <c r="P16" i="517"/>
  <c r="O16" i="517"/>
  <c r="R16" i="517" s="1"/>
  <c r="N16" i="517"/>
  <c r="AF16" i="517" s="1"/>
  <c r="L16" i="517"/>
  <c r="K16" i="517"/>
  <c r="F16" i="517"/>
  <c r="H16" i="517" s="1"/>
  <c r="AE15" i="517"/>
  <c r="AD15" i="517"/>
  <c r="AA15" i="517"/>
  <c r="D19" i="516" s="1"/>
  <c r="M6" i="516" s="1"/>
  <c r="Z15" i="517"/>
  <c r="Z2" i="517" s="1"/>
  <c r="M15" i="517"/>
  <c r="K15" i="517"/>
  <c r="W14" i="517"/>
  <c r="W13" i="517"/>
  <c r="W12" i="517"/>
  <c r="AG11" i="517"/>
  <c r="AF11" i="517"/>
  <c r="W11" i="517"/>
  <c r="AG10" i="517"/>
  <c r="AF10" i="517"/>
  <c r="W10" i="517"/>
  <c r="AG9" i="517"/>
  <c r="AF9" i="517"/>
  <c r="W9" i="517"/>
  <c r="W8" i="517"/>
  <c r="N8" i="517" s="1"/>
  <c r="V8" i="517"/>
  <c r="P8" i="517"/>
  <c r="L8" i="517"/>
  <c r="K8" i="517"/>
  <c r="J8" i="517"/>
  <c r="H8" i="517"/>
  <c r="F8" i="517"/>
  <c r="W7" i="517"/>
  <c r="N7" i="517" s="1"/>
  <c r="O7" i="517" s="1"/>
  <c r="V7" i="517"/>
  <c r="K7" i="517"/>
  <c r="J7" i="517"/>
  <c r="P7" i="517" s="1"/>
  <c r="F7" i="517"/>
  <c r="H7" i="517" s="1"/>
  <c r="AF6" i="517"/>
  <c r="W6" i="517"/>
  <c r="N6" i="517" s="1"/>
  <c r="V6" i="517"/>
  <c r="P6" i="517"/>
  <c r="L6" i="517"/>
  <c r="K6" i="517"/>
  <c r="J6" i="517"/>
  <c r="H6" i="517"/>
  <c r="F6" i="517"/>
  <c r="W5" i="517"/>
  <c r="N5" i="517" s="1"/>
  <c r="L5" i="517"/>
  <c r="K5" i="517"/>
  <c r="J5" i="517"/>
  <c r="F5" i="517"/>
  <c r="H5" i="517" s="1"/>
  <c r="AD2" i="517"/>
  <c r="I2" i="517"/>
  <c r="E1" i="517"/>
  <c r="G3" i="516" s="1"/>
  <c r="J22" i="516"/>
  <c r="F22" i="516"/>
  <c r="E22" i="516"/>
  <c r="D22" i="516"/>
  <c r="J21" i="516"/>
  <c r="I21" i="516"/>
  <c r="D21" i="516"/>
  <c r="I20" i="516"/>
  <c r="H20" i="516"/>
  <c r="G20" i="516"/>
  <c r="F20" i="516"/>
  <c r="E20" i="516"/>
  <c r="D20" i="516"/>
  <c r="J19" i="516"/>
  <c r="H19" i="516"/>
  <c r="E19" i="516"/>
  <c r="I18" i="516"/>
  <c r="H18" i="516"/>
  <c r="G18" i="516"/>
  <c r="F18" i="516"/>
  <c r="E18" i="516"/>
  <c r="D18" i="516"/>
  <c r="L6" i="516" s="1"/>
  <c r="J17" i="516"/>
  <c r="J16" i="516"/>
  <c r="I16" i="516"/>
  <c r="H16" i="516"/>
  <c r="G16" i="516"/>
  <c r="F16" i="516"/>
  <c r="E16" i="516"/>
  <c r="D16" i="516"/>
  <c r="J15" i="516"/>
  <c r="J14" i="516"/>
  <c r="J13" i="516"/>
  <c r="O8" i="516"/>
  <c r="N8" i="516"/>
  <c r="M8" i="516"/>
  <c r="L8" i="516"/>
  <c r="O7" i="516"/>
  <c r="N7" i="516"/>
  <c r="M7" i="516"/>
  <c r="L7" i="516"/>
  <c r="AG79" i="515"/>
  <c r="AH70" i="515" s="1"/>
  <c r="AF79" i="515"/>
  <c r="AE79" i="515"/>
  <c r="AD79" i="515"/>
  <c r="AA79" i="515"/>
  <c r="Z79" i="515"/>
  <c r="W78" i="515"/>
  <c r="W77" i="515"/>
  <c r="W76" i="515"/>
  <c r="W75" i="515"/>
  <c r="W74" i="515"/>
  <c r="W73" i="515"/>
  <c r="W72" i="515"/>
  <c r="W71" i="515"/>
  <c r="AG70" i="515"/>
  <c r="AF70" i="515"/>
  <c r="W70" i="515"/>
  <c r="S70" i="515"/>
  <c r="AE69" i="515"/>
  <c r="AD69" i="515"/>
  <c r="I20" i="514" s="1"/>
  <c r="AA69" i="515"/>
  <c r="Z69" i="515"/>
  <c r="M69" i="515"/>
  <c r="P69" i="515" s="1"/>
  <c r="K69" i="515"/>
  <c r="W68" i="515"/>
  <c r="H68" i="515"/>
  <c r="W67" i="515"/>
  <c r="W66" i="515"/>
  <c r="W65" i="515"/>
  <c r="W64" i="515"/>
  <c r="W63" i="515"/>
  <c r="AG62" i="515"/>
  <c r="AF62" i="515"/>
  <c r="W62" i="515"/>
  <c r="W61" i="515"/>
  <c r="V61" i="515"/>
  <c r="R61" i="515"/>
  <c r="P61" i="515"/>
  <c r="O61" i="515"/>
  <c r="Q61" i="515" s="1"/>
  <c r="N61" i="515"/>
  <c r="L61" i="515"/>
  <c r="K61" i="515"/>
  <c r="J61" i="515"/>
  <c r="H61" i="515"/>
  <c r="F61" i="515"/>
  <c r="AF60" i="515"/>
  <c r="W60" i="515"/>
  <c r="N60" i="515" s="1"/>
  <c r="AG60" i="515" s="1"/>
  <c r="V60" i="515"/>
  <c r="R60" i="515"/>
  <c r="P60" i="515"/>
  <c r="O60" i="515"/>
  <c r="Q60" i="515" s="1"/>
  <c r="K60" i="515"/>
  <c r="L60" i="515" s="1"/>
  <c r="J60" i="515"/>
  <c r="F60" i="515"/>
  <c r="H60" i="515" s="1"/>
  <c r="W59" i="515"/>
  <c r="N59" i="515" s="1"/>
  <c r="P59" i="515"/>
  <c r="K59" i="515"/>
  <c r="J59" i="515"/>
  <c r="J69" i="515" s="1"/>
  <c r="H59" i="515"/>
  <c r="F59" i="515"/>
  <c r="AE58" i="515"/>
  <c r="AD58" i="515"/>
  <c r="H20" i="514" s="1"/>
  <c r="AA58" i="515"/>
  <c r="H19" i="514" s="1"/>
  <c r="Z58" i="515"/>
  <c r="M58" i="515"/>
  <c r="K58" i="515"/>
  <c r="J58" i="515"/>
  <c r="W57" i="515"/>
  <c r="W56" i="515"/>
  <c r="W55" i="515"/>
  <c r="W54" i="515"/>
  <c r="AG53" i="515"/>
  <c r="AF53" i="515"/>
  <c r="W53" i="515"/>
  <c r="AG52" i="515"/>
  <c r="W52" i="515"/>
  <c r="N52" i="515" s="1"/>
  <c r="V52" i="515"/>
  <c r="R52" i="515"/>
  <c r="Q52" i="515"/>
  <c r="P52" i="515"/>
  <c r="O52" i="515"/>
  <c r="L52" i="515"/>
  <c r="K52" i="515"/>
  <c r="AF52" i="515" s="1"/>
  <c r="J52" i="515"/>
  <c r="F52" i="515"/>
  <c r="H52" i="515" s="1"/>
  <c r="W51" i="515"/>
  <c r="V51" i="515"/>
  <c r="P51" i="515"/>
  <c r="O51" i="515"/>
  <c r="N51" i="515"/>
  <c r="L51" i="515"/>
  <c r="K51" i="515"/>
  <c r="F51" i="515"/>
  <c r="H51" i="515" s="1"/>
  <c r="W50" i="515"/>
  <c r="N50" i="515" s="1"/>
  <c r="O50" i="515" s="1"/>
  <c r="V50" i="515"/>
  <c r="P50" i="515"/>
  <c r="L50" i="515"/>
  <c r="K50" i="515"/>
  <c r="J50" i="515"/>
  <c r="H50" i="515"/>
  <c r="F50" i="515"/>
  <c r="AG49" i="515"/>
  <c r="AF49" i="515"/>
  <c r="W49" i="515"/>
  <c r="R49" i="515"/>
  <c r="Q49" i="515"/>
  <c r="P49" i="515"/>
  <c r="O49" i="515"/>
  <c r="N49" i="515"/>
  <c r="L49" i="515"/>
  <c r="J49" i="515"/>
  <c r="F49" i="515"/>
  <c r="H49" i="515" s="1"/>
  <c r="AE48" i="515"/>
  <c r="G21" i="514" s="1"/>
  <c r="AD48" i="515"/>
  <c r="AA48" i="515"/>
  <c r="G19" i="514" s="1"/>
  <c r="Z48" i="515"/>
  <c r="G18" i="514" s="1"/>
  <c r="W48" i="515"/>
  <c r="M48" i="515"/>
  <c r="K48" i="515"/>
  <c r="W47" i="515"/>
  <c r="H47" i="515"/>
  <c r="W46" i="515"/>
  <c r="W45" i="515"/>
  <c r="W44" i="515"/>
  <c r="W43" i="515"/>
  <c r="W42" i="515"/>
  <c r="V42" i="515"/>
  <c r="O42" i="515"/>
  <c r="N42" i="515"/>
  <c r="L42" i="515"/>
  <c r="K42" i="515"/>
  <c r="J42" i="515"/>
  <c r="P42" i="515" s="1"/>
  <c r="F42" i="515"/>
  <c r="H42" i="515" s="1"/>
  <c r="W41" i="515"/>
  <c r="V41" i="515"/>
  <c r="P41" i="515"/>
  <c r="N41" i="515"/>
  <c r="L41" i="515"/>
  <c r="K41" i="515"/>
  <c r="J41" i="515"/>
  <c r="H41" i="515"/>
  <c r="F41" i="515"/>
  <c r="W40" i="515"/>
  <c r="V40" i="515"/>
  <c r="P40" i="515"/>
  <c r="O40" i="515"/>
  <c r="N40" i="515"/>
  <c r="L40" i="515"/>
  <c r="K40" i="515"/>
  <c r="J40" i="515"/>
  <c r="J48" i="515" s="1"/>
  <c r="H40" i="515"/>
  <c r="F40" i="515"/>
  <c r="W39" i="515"/>
  <c r="V39" i="515"/>
  <c r="P39" i="515"/>
  <c r="N39" i="515"/>
  <c r="L39" i="515"/>
  <c r="K39" i="515"/>
  <c r="J39" i="515"/>
  <c r="F39" i="515"/>
  <c r="H39" i="515" s="1"/>
  <c r="AF38" i="515"/>
  <c r="W38" i="515"/>
  <c r="N38" i="515" s="1"/>
  <c r="P38" i="515"/>
  <c r="K38" i="515"/>
  <c r="J38" i="515"/>
  <c r="H38" i="515"/>
  <c r="F38" i="515"/>
  <c r="AE37" i="515"/>
  <c r="F21" i="514" s="1"/>
  <c r="AD37" i="515"/>
  <c r="AA37" i="515"/>
  <c r="F19" i="514" s="1"/>
  <c r="Z37" i="515"/>
  <c r="F18" i="514" s="1"/>
  <c r="M37" i="515"/>
  <c r="W36" i="515"/>
  <c r="H36" i="515"/>
  <c r="W35" i="515"/>
  <c r="W34" i="515"/>
  <c r="W33" i="515"/>
  <c r="W32" i="515"/>
  <c r="AG31" i="515"/>
  <c r="AF31" i="515"/>
  <c r="W31" i="515"/>
  <c r="W30" i="515"/>
  <c r="N30" i="515" s="1"/>
  <c r="V30" i="515"/>
  <c r="P30" i="515"/>
  <c r="L30" i="515"/>
  <c r="K30" i="515"/>
  <c r="J30" i="515"/>
  <c r="F30" i="515"/>
  <c r="H30" i="515" s="1"/>
  <c r="AF29" i="515"/>
  <c r="W29" i="515"/>
  <c r="N29" i="515" s="1"/>
  <c r="AG29" i="515" s="1"/>
  <c r="V29" i="515"/>
  <c r="R29" i="515"/>
  <c r="P29" i="515"/>
  <c r="O29" i="515"/>
  <c r="Q29" i="515" s="1"/>
  <c r="K29" i="515"/>
  <c r="L29" i="515" s="1"/>
  <c r="H29" i="515"/>
  <c r="F29" i="515"/>
  <c r="AF28" i="515"/>
  <c r="W28" i="515"/>
  <c r="N28" i="515" s="1"/>
  <c r="AG28" i="515" s="1"/>
  <c r="V28" i="515"/>
  <c r="O28" i="515"/>
  <c r="K28" i="515"/>
  <c r="L28" i="515" s="1"/>
  <c r="J28" i="515"/>
  <c r="P28" i="515" s="1"/>
  <c r="F28" i="515"/>
  <c r="H28" i="515" s="1"/>
  <c r="AG27" i="515"/>
  <c r="W27" i="515"/>
  <c r="N27" i="515"/>
  <c r="K27" i="515"/>
  <c r="J27" i="515"/>
  <c r="P27" i="515" s="1"/>
  <c r="F27" i="515"/>
  <c r="H27" i="515" s="1"/>
  <c r="AE26" i="515"/>
  <c r="E21" i="514" s="1"/>
  <c r="AD26" i="515"/>
  <c r="AA26" i="515"/>
  <c r="E19" i="514" s="1"/>
  <c r="Z26" i="515"/>
  <c r="M26" i="515"/>
  <c r="K26" i="515"/>
  <c r="W25" i="515"/>
  <c r="H25" i="515"/>
  <c r="W24" i="515"/>
  <c r="H24" i="515"/>
  <c r="W23" i="515"/>
  <c r="W21" i="515"/>
  <c r="W20" i="515"/>
  <c r="V20" i="515"/>
  <c r="R20" i="515"/>
  <c r="P20" i="515"/>
  <c r="N20" i="515"/>
  <c r="O20" i="515" s="1"/>
  <c r="Q20" i="515" s="1"/>
  <c r="L20" i="515"/>
  <c r="K20" i="515"/>
  <c r="J20" i="515"/>
  <c r="F20" i="515"/>
  <c r="H20" i="515" s="1"/>
  <c r="W19" i="515"/>
  <c r="V19" i="515"/>
  <c r="P19" i="515"/>
  <c r="N19" i="515"/>
  <c r="N26" i="515" s="1"/>
  <c r="L19" i="515"/>
  <c r="K19" i="515"/>
  <c r="F19" i="515"/>
  <c r="H19" i="515" s="1"/>
  <c r="AF18" i="515"/>
  <c r="W18" i="515"/>
  <c r="V18" i="515"/>
  <c r="P18" i="515"/>
  <c r="O18" i="515"/>
  <c r="N18" i="515"/>
  <c r="AG18" i="515" s="1"/>
  <c r="K18" i="515"/>
  <c r="L18" i="515" s="1"/>
  <c r="H18" i="515"/>
  <c r="F18" i="515"/>
  <c r="AG17" i="515"/>
  <c r="W17" i="515"/>
  <c r="N17" i="515" s="1"/>
  <c r="AF17" i="515" s="1"/>
  <c r="V17" i="515"/>
  <c r="K17" i="515"/>
  <c r="J17" i="515"/>
  <c r="H17" i="515"/>
  <c r="F17" i="515"/>
  <c r="AG16" i="515"/>
  <c r="W16" i="515"/>
  <c r="P16" i="515"/>
  <c r="N16" i="515"/>
  <c r="O16" i="515" s="1"/>
  <c r="L16" i="515"/>
  <c r="K16" i="515"/>
  <c r="F16" i="515"/>
  <c r="H16" i="515" s="1"/>
  <c r="AE15" i="515"/>
  <c r="AD15" i="515"/>
  <c r="AA15" i="515"/>
  <c r="Z15" i="515"/>
  <c r="M15" i="515"/>
  <c r="W14" i="515"/>
  <c r="W13" i="515"/>
  <c r="W12" i="515"/>
  <c r="AG11" i="515"/>
  <c r="AF11" i="515"/>
  <c r="W11" i="515"/>
  <c r="AG10" i="515"/>
  <c r="AF10" i="515"/>
  <c r="W10" i="515"/>
  <c r="AG9" i="515"/>
  <c r="AF9" i="515"/>
  <c r="W9" i="515"/>
  <c r="AF8" i="515"/>
  <c r="W8" i="515"/>
  <c r="V8" i="515"/>
  <c r="N8" i="515"/>
  <c r="K8" i="515"/>
  <c r="L8" i="515" s="1"/>
  <c r="J8" i="515"/>
  <c r="P8" i="515" s="1"/>
  <c r="F8" i="515"/>
  <c r="H8" i="515" s="1"/>
  <c r="W7" i="515"/>
  <c r="V7" i="515"/>
  <c r="N7" i="515"/>
  <c r="L7" i="515"/>
  <c r="K7" i="515"/>
  <c r="J7" i="515"/>
  <c r="P7" i="515" s="1"/>
  <c r="H7" i="515"/>
  <c r="F7" i="515"/>
  <c r="W6" i="515"/>
  <c r="V6" i="515"/>
  <c r="O6" i="515"/>
  <c r="N6" i="515"/>
  <c r="K6" i="515"/>
  <c r="K15" i="515" s="1"/>
  <c r="J6" i="515"/>
  <c r="H6" i="515"/>
  <c r="F6" i="515"/>
  <c r="AF5" i="515"/>
  <c r="W5" i="515"/>
  <c r="P5" i="515"/>
  <c r="N5" i="515"/>
  <c r="L5" i="515"/>
  <c r="K5" i="515"/>
  <c r="J5" i="515"/>
  <c r="F5" i="515"/>
  <c r="H5" i="515" s="1"/>
  <c r="AD2" i="515"/>
  <c r="AA2" i="515"/>
  <c r="Z2" i="515"/>
  <c r="I2" i="515"/>
  <c r="E1" i="515"/>
  <c r="J22" i="514"/>
  <c r="I22" i="514"/>
  <c r="G22" i="514"/>
  <c r="F22" i="514"/>
  <c r="E22" i="514"/>
  <c r="J21" i="514"/>
  <c r="I21" i="514"/>
  <c r="H21" i="514"/>
  <c r="J20" i="514"/>
  <c r="G20" i="514"/>
  <c r="F20" i="514"/>
  <c r="E20" i="514"/>
  <c r="D20" i="514"/>
  <c r="J19" i="514"/>
  <c r="I19" i="514"/>
  <c r="D19" i="514"/>
  <c r="J18" i="514"/>
  <c r="I18" i="514"/>
  <c r="H18" i="514"/>
  <c r="E18" i="514"/>
  <c r="D18" i="514"/>
  <c r="J17" i="514"/>
  <c r="J16" i="514"/>
  <c r="I16" i="514"/>
  <c r="H16" i="514"/>
  <c r="G16" i="514"/>
  <c r="F16" i="514"/>
  <c r="E16" i="514"/>
  <c r="D16" i="514"/>
  <c r="J15" i="514"/>
  <c r="J14" i="514"/>
  <c r="J13" i="514"/>
  <c r="O8" i="514"/>
  <c r="N8" i="514"/>
  <c r="M8" i="514"/>
  <c r="L8" i="514"/>
  <c r="O7" i="514"/>
  <c r="N7" i="514"/>
  <c r="M7" i="514"/>
  <c r="L7" i="514"/>
  <c r="G3" i="514"/>
  <c r="AG79" i="513"/>
  <c r="AH70" i="513" s="1"/>
  <c r="AF79" i="513"/>
  <c r="AE79" i="513"/>
  <c r="AD79" i="513"/>
  <c r="AA79" i="513"/>
  <c r="Z79" i="513"/>
  <c r="W78" i="513"/>
  <c r="W77" i="513"/>
  <c r="W76" i="513"/>
  <c r="W75" i="513"/>
  <c r="W74" i="513"/>
  <c r="W73" i="513"/>
  <c r="W72" i="513"/>
  <c r="W71" i="513"/>
  <c r="AG70" i="513"/>
  <c r="AF70" i="513"/>
  <c r="W70" i="513"/>
  <c r="S70" i="513"/>
  <c r="AE69" i="513"/>
  <c r="I21" i="512" s="1"/>
  <c r="AD69" i="513"/>
  <c r="AA69" i="513"/>
  <c r="I19" i="512" s="1"/>
  <c r="Z69" i="513"/>
  <c r="I18" i="512" s="1"/>
  <c r="M69" i="513"/>
  <c r="W68" i="513"/>
  <c r="H68" i="513"/>
  <c r="W67" i="513"/>
  <c r="W66" i="513"/>
  <c r="W65" i="513"/>
  <c r="W64" i="513"/>
  <c r="W63" i="513"/>
  <c r="AG62" i="513"/>
  <c r="W62" i="513"/>
  <c r="V62" i="513"/>
  <c r="P62" i="513"/>
  <c r="N62" i="513"/>
  <c r="L62" i="513"/>
  <c r="K62" i="513"/>
  <c r="J62" i="513"/>
  <c r="H62" i="513"/>
  <c r="F62" i="513"/>
  <c r="W61" i="513"/>
  <c r="N61" i="513" s="1"/>
  <c r="O61" i="513" s="1"/>
  <c r="V61" i="513"/>
  <c r="K61" i="513"/>
  <c r="L61" i="513" s="1"/>
  <c r="J61" i="513"/>
  <c r="P61" i="513" s="1"/>
  <c r="H61" i="513"/>
  <c r="F61" i="513"/>
  <c r="AG60" i="513"/>
  <c r="AF60" i="513"/>
  <c r="W60" i="513"/>
  <c r="N60" i="513" s="1"/>
  <c r="O60" i="513" s="1"/>
  <c r="V60" i="513"/>
  <c r="P60" i="513"/>
  <c r="L60" i="513"/>
  <c r="K60" i="513"/>
  <c r="J60" i="513"/>
  <c r="H60" i="513"/>
  <c r="F60" i="513"/>
  <c r="W59" i="513"/>
  <c r="N59" i="513" s="1"/>
  <c r="O59" i="513"/>
  <c r="K59" i="513"/>
  <c r="J59" i="513"/>
  <c r="P59" i="513" s="1"/>
  <c r="F59" i="513"/>
  <c r="H59" i="513" s="1"/>
  <c r="AE58" i="513"/>
  <c r="H21" i="512" s="1"/>
  <c r="AD58" i="513"/>
  <c r="AA58" i="513"/>
  <c r="Z58" i="513"/>
  <c r="H18" i="512" s="1"/>
  <c r="M58" i="513"/>
  <c r="P58" i="513" s="1"/>
  <c r="K58" i="513"/>
  <c r="J58" i="513"/>
  <c r="W57" i="513"/>
  <c r="W56" i="513"/>
  <c r="W55" i="513"/>
  <c r="W54" i="513"/>
  <c r="AG53" i="513"/>
  <c r="W53" i="513"/>
  <c r="N53" i="513" s="1"/>
  <c r="AF53" i="513" s="1"/>
  <c r="V53" i="513"/>
  <c r="Q53" i="513"/>
  <c r="P53" i="513"/>
  <c r="O53" i="513"/>
  <c r="R53" i="513" s="1"/>
  <c r="K53" i="513"/>
  <c r="L53" i="513" s="1"/>
  <c r="J53" i="513"/>
  <c r="F53" i="513"/>
  <c r="H53" i="513" s="1"/>
  <c r="AG52" i="513"/>
  <c r="W52" i="513"/>
  <c r="N52" i="513" s="1"/>
  <c r="V52" i="513"/>
  <c r="P52" i="513"/>
  <c r="L52" i="513"/>
  <c r="F52" i="513"/>
  <c r="H52" i="513" s="1"/>
  <c r="AF51" i="513"/>
  <c r="W51" i="513"/>
  <c r="N51" i="513" s="1"/>
  <c r="V51" i="513"/>
  <c r="P51" i="513"/>
  <c r="L51" i="513"/>
  <c r="F51" i="513"/>
  <c r="H51" i="513" s="1"/>
  <c r="AG50" i="513"/>
  <c r="AF50" i="513"/>
  <c r="W50" i="513"/>
  <c r="N50" i="513" s="1"/>
  <c r="O50" i="513" s="1"/>
  <c r="V50" i="513"/>
  <c r="K50" i="513"/>
  <c r="L50" i="513" s="1"/>
  <c r="Q50" i="513" s="1"/>
  <c r="J50" i="513"/>
  <c r="P50" i="513" s="1"/>
  <c r="F50" i="513"/>
  <c r="H50" i="513" s="1"/>
  <c r="W49" i="513"/>
  <c r="N49" i="513" s="1"/>
  <c r="L49" i="513"/>
  <c r="L58" i="513" s="1"/>
  <c r="J49" i="513"/>
  <c r="P49" i="513" s="1"/>
  <c r="F49" i="513"/>
  <c r="H49" i="513" s="1"/>
  <c r="AE48" i="513"/>
  <c r="AD48" i="513"/>
  <c r="G20" i="512" s="1"/>
  <c r="AA48" i="513"/>
  <c r="G19" i="512" s="1"/>
  <c r="Z48" i="513"/>
  <c r="W48" i="513"/>
  <c r="M48" i="513"/>
  <c r="W47" i="513"/>
  <c r="H47" i="513"/>
  <c r="W46" i="513"/>
  <c r="W45" i="513"/>
  <c r="W44" i="513"/>
  <c r="W43" i="513"/>
  <c r="W42" i="513"/>
  <c r="AG41" i="513"/>
  <c r="AF41" i="513"/>
  <c r="W41" i="513"/>
  <c r="AG40" i="513"/>
  <c r="AF40" i="513"/>
  <c r="W40" i="513"/>
  <c r="W39" i="513"/>
  <c r="V39" i="513"/>
  <c r="N39" i="513"/>
  <c r="K39" i="513"/>
  <c r="L39" i="513" s="1"/>
  <c r="J39" i="513"/>
  <c r="P39" i="513" s="1"/>
  <c r="F39" i="513"/>
  <c r="H39" i="513" s="1"/>
  <c r="W38" i="513"/>
  <c r="O38" i="513"/>
  <c r="N38" i="513"/>
  <c r="K38" i="513"/>
  <c r="J38" i="513"/>
  <c r="F38" i="513"/>
  <c r="H38" i="513" s="1"/>
  <c r="AE37" i="513"/>
  <c r="AD37" i="513"/>
  <c r="AA37" i="513"/>
  <c r="Z37" i="513"/>
  <c r="M37" i="513"/>
  <c r="K37" i="513"/>
  <c r="W36" i="513"/>
  <c r="H36" i="513"/>
  <c r="W35" i="513"/>
  <c r="W34" i="513"/>
  <c r="W33" i="513"/>
  <c r="W32" i="513"/>
  <c r="AG31" i="513"/>
  <c r="AF31" i="513"/>
  <c r="W31" i="513"/>
  <c r="AG30" i="513"/>
  <c r="AF30" i="513"/>
  <c r="W30" i="513"/>
  <c r="AG29" i="513"/>
  <c r="W29" i="513"/>
  <c r="V29" i="513"/>
  <c r="N29" i="513"/>
  <c r="AF29" i="513" s="1"/>
  <c r="K29" i="513"/>
  <c r="J29" i="513"/>
  <c r="P29" i="513" s="1"/>
  <c r="F29" i="513"/>
  <c r="H29" i="513" s="1"/>
  <c r="W28" i="513"/>
  <c r="V28" i="513"/>
  <c r="N28" i="513"/>
  <c r="O28" i="513" s="1"/>
  <c r="K28" i="513"/>
  <c r="J28" i="513"/>
  <c r="H28" i="513"/>
  <c r="F28" i="513"/>
  <c r="W27" i="513"/>
  <c r="N27" i="513" s="1"/>
  <c r="N37" i="513" s="1"/>
  <c r="P27" i="513"/>
  <c r="O27" i="513"/>
  <c r="K27" i="513"/>
  <c r="L27" i="513" s="1"/>
  <c r="J27" i="513"/>
  <c r="F27" i="513"/>
  <c r="H27" i="513" s="1"/>
  <c r="AE26" i="513"/>
  <c r="E21" i="512" s="1"/>
  <c r="AD26" i="513"/>
  <c r="AA26" i="513"/>
  <c r="Z26" i="513"/>
  <c r="M26" i="513"/>
  <c r="J26" i="513"/>
  <c r="W25" i="513"/>
  <c r="H25" i="513"/>
  <c r="W24" i="513"/>
  <c r="H24" i="513"/>
  <c r="W23" i="513"/>
  <c r="W21" i="513"/>
  <c r="W20" i="513"/>
  <c r="AG19" i="513"/>
  <c r="AF19" i="513"/>
  <c r="W19" i="513"/>
  <c r="W18" i="513"/>
  <c r="N18" i="513" s="1"/>
  <c r="V18" i="513"/>
  <c r="P18" i="513"/>
  <c r="K18" i="513"/>
  <c r="L18" i="513" s="1"/>
  <c r="H18" i="513"/>
  <c r="F18" i="513"/>
  <c r="W17" i="513"/>
  <c r="N17" i="513" s="1"/>
  <c r="V17" i="513"/>
  <c r="P17" i="513"/>
  <c r="K17" i="513"/>
  <c r="L17" i="513" s="1"/>
  <c r="J17" i="513"/>
  <c r="F17" i="513"/>
  <c r="H17" i="513" s="1"/>
  <c r="W16" i="513"/>
  <c r="P16" i="513"/>
  <c r="N16" i="513"/>
  <c r="L16" i="513"/>
  <c r="L26" i="513" s="1"/>
  <c r="E13" i="512" s="1"/>
  <c r="K16" i="513"/>
  <c r="H16" i="513"/>
  <c r="F16" i="513"/>
  <c r="AE15" i="513"/>
  <c r="AD15" i="513"/>
  <c r="AA15" i="513"/>
  <c r="Z15" i="513"/>
  <c r="M15" i="513"/>
  <c r="W14" i="513"/>
  <c r="W13" i="513"/>
  <c r="W12" i="513"/>
  <c r="AG11" i="513"/>
  <c r="AF11" i="513"/>
  <c r="W11" i="513"/>
  <c r="AG10" i="513"/>
  <c r="AF10" i="513"/>
  <c r="W10" i="513"/>
  <c r="AG9" i="513"/>
  <c r="AF9" i="513"/>
  <c r="W9" i="513"/>
  <c r="W8" i="513"/>
  <c r="V8" i="513"/>
  <c r="P8" i="513"/>
  <c r="N8" i="513"/>
  <c r="K8" i="513"/>
  <c r="L8" i="513" s="1"/>
  <c r="J8" i="513"/>
  <c r="F8" i="513"/>
  <c r="H8" i="513" s="1"/>
  <c r="W7" i="513"/>
  <c r="V7" i="513"/>
  <c r="P7" i="513"/>
  <c r="N7" i="513"/>
  <c r="L7" i="513"/>
  <c r="K7" i="513"/>
  <c r="J7" i="513"/>
  <c r="H7" i="513"/>
  <c r="F7" i="513"/>
  <c r="AG6" i="513"/>
  <c r="AF6" i="513"/>
  <c r="W6" i="513"/>
  <c r="N6" i="513" s="1"/>
  <c r="V6" i="513"/>
  <c r="O6" i="513"/>
  <c r="K6" i="513"/>
  <c r="J6" i="513"/>
  <c r="P6" i="513" s="1"/>
  <c r="H6" i="513"/>
  <c r="F6" i="513"/>
  <c r="W5" i="513"/>
  <c r="N5" i="513" s="1"/>
  <c r="K5" i="513"/>
  <c r="K15" i="513" s="1"/>
  <c r="J5" i="513"/>
  <c r="H5" i="513"/>
  <c r="F5" i="513"/>
  <c r="I2" i="513"/>
  <c r="E1" i="513"/>
  <c r="G3" i="512" s="1"/>
  <c r="J22" i="512"/>
  <c r="I22" i="512"/>
  <c r="G22" i="512"/>
  <c r="F22" i="512"/>
  <c r="J21" i="512"/>
  <c r="F21" i="512"/>
  <c r="D21" i="512"/>
  <c r="I20" i="512"/>
  <c r="H20" i="512"/>
  <c r="F20" i="512"/>
  <c r="E20" i="512"/>
  <c r="D20" i="512"/>
  <c r="J19" i="512"/>
  <c r="H19" i="512"/>
  <c r="F19" i="512"/>
  <c r="E19" i="512"/>
  <c r="J18" i="512"/>
  <c r="G18" i="512"/>
  <c r="F18" i="512"/>
  <c r="E18" i="512"/>
  <c r="J17" i="512"/>
  <c r="J16" i="512"/>
  <c r="I16" i="512"/>
  <c r="H16" i="512"/>
  <c r="G16" i="512"/>
  <c r="F16" i="512"/>
  <c r="E16" i="512"/>
  <c r="D16" i="512"/>
  <c r="J15" i="512"/>
  <c r="J14" i="512"/>
  <c r="J13" i="512"/>
  <c r="H13" i="512"/>
  <c r="O8" i="512"/>
  <c r="N8" i="512"/>
  <c r="M8" i="512"/>
  <c r="L8" i="512"/>
  <c r="O7" i="512"/>
  <c r="N7" i="512"/>
  <c r="M7" i="512"/>
  <c r="L7" i="512"/>
  <c r="AG79" i="511"/>
  <c r="AF79" i="511"/>
  <c r="AE79" i="511"/>
  <c r="AD79" i="511"/>
  <c r="AA79" i="511"/>
  <c r="J18" i="510" s="1"/>
  <c r="Z79" i="511"/>
  <c r="W78" i="511"/>
  <c r="W77" i="511"/>
  <c r="W76" i="511"/>
  <c r="H76" i="511"/>
  <c r="W75" i="511"/>
  <c r="H75" i="511"/>
  <c r="W74" i="511"/>
  <c r="W73" i="511"/>
  <c r="W72" i="511"/>
  <c r="W71" i="511"/>
  <c r="AH70" i="511"/>
  <c r="AG70" i="511"/>
  <c r="AF70" i="511"/>
  <c r="W70" i="511"/>
  <c r="S70" i="511"/>
  <c r="J15" i="510" s="1"/>
  <c r="AE69" i="511"/>
  <c r="AD69" i="511"/>
  <c r="I20" i="510" s="1"/>
  <c r="AA69" i="511"/>
  <c r="Z69" i="511"/>
  <c r="M69" i="511"/>
  <c r="W68" i="511"/>
  <c r="H68" i="511"/>
  <c r="W67" i="511"/>
  <c r="W66" i="511"/>
  <c r="W65" i="511"/>
  <c r="W64" i="511"/>
  <c r="W63" i="511"/>
  <c r="V63" i="511"/>
  <c r="N63" i="511"/>
  <c r="O63" i="511" s="1"/>
  <c r="K63" i="511"/>
  <c r="J63" i="511"/>
  <c r="P63" i="511" s="1"/>
  <c r="H63" i="511"/>
  <c r="F63" i="511"/>
  <c r="AG62" i="511"/>
  <c r="AF62" i="511"/>
  <c r="W62" i="511"/>
  <c r="N62" i="511" s="1"/>
  <c r="V62" i="511"/>
  <c r="P62" i="511"/>
  <c r="O62" i="511"/>
  <c r="L62" i="511"/>
  <c r="K62" i="511"/>
  <c r="J62" i="511"/>
  <c r="F62" i="511"/>
  <c r="H62" i="511" s="1"/>
  <c r="W61" i="511"/>
  <c r="N61" i="511" s="1"/>
  <c r="O61" i="511" s="1"/>
  <c r="V61" i="511"/>
  <c r="K61" i="511"/>
  <c r="L61" i="511" s="1"/>
  <c r="J61" i="511"/>
  <c r="P61" i="511" s="1"/>
  <c r="F61" i="511"/>
  <c r="H61" i="511" s="1"/>
  <c r="AG60" i="511"/>
  <c r="AF60" i="511"/>
  <c r="W60" i="511"/>
  <c r="V60" i="511"/>
  <c r="P60" i="511"/>
  <c r="N60" i="511"/>
  <c r="O60" i="511" s="1"/>
  <c r="K60" i="511"/>
  <c r="L60" i="511" s="1"/>
  <c r="J60" i="511"/>
  <c r="F60" i="511"/>
  <c r="H60" i="511" s="1"/>
  <c r="W59" i="511"/>
  <c r="N59" i="511"/>
  <c r="K59" i="511"/>
  <c r="J59" i="511"/>
  <c r="H59" i="511"/>
  <c r="F59" i="511"/>
  <c r="AE58" i="511"/>
  <c r="H21" i="510" s="1"/>
  <c r="AD58" i="511"/>
  <c r="H20" i="510" s="1"/>
  <c r="AA58" i="511"/>
  <c r="H19" i="510" s="1"/>
  <c r="Z58" i="511"/>
  <c r="M58" i="511"/>
  <c r="W57" i="511"/>
  <c r="W56" i="511"/>
  <c r="W55" i="511"/>
  <c r="W54" i="511"/>
  <c r="W53" i="511"/>
  <c r="N53" i="511" s="1"/>
  <c r="V53" i="511"/>
  <c r="K53" i="511"/>
  <c r="J53" i="511"/>
  <c r="H53" i="511"/>
  <c r="F53" i="511"/>
  <c r="W52" i="511"/>
  <c r="V52" i="511"/>
  <c r="P52" i="511"/>
  <c r="O52" i="511"/>
  <c r="N52" i="511"/>
  <c r="L52" i="511"/>
  <c r="R52" i="511" s="1"/>
  <c r="K52" i="511"/>
  <c r="F52" i="511"/>
  <c r="H52" i="511" s="1"/>
  <c r="W51" i="511"/>
  <c r="N51" i="511" s="1"/>
  <c r="O51" i="511" s="1"/>
  <c r="V51" i="511"/>
  <c r="P51" i="511"/>
  <c r="K51" i="511"/>
  <c r="L51" i="511" s="1"/>
  <c r="Q51" i="511" s="1"/>
  <c r="F51" i="511"/>
  <c r="H51" i="511" s="1"/>
  <c r="W50" i="511"/>
  <c r="N50" i="511" s="1"/>
  <c r="AG50" i="511" s="1"/>
  <c r="V50" i="511"/>
  <c r="P50" i="511"/>
  <c r="L50" i="511"/>
  <c r="K50" i="511"/>
  <c r="J50" i="511"/>
  <c r="F50" i="511"/>
  <c r="H50" i="511" s="1"/>
  <c r="W49" i="511"/>
  <c r="N49" i="511" s="1"/>
  <c r="J49" i="511"/>
  <c r="L49" i="511" s="1"/>
  <c r="F49" i="511"/>
  <c r="H49" i="511" s="1"/>
  <c r="AE48" i="511"/>
  <c r="G21" i="510" s="1"/>
  <c r="AD48" i="511"/>
  <c r="G20" i="510" s="1"/>
  <c r="AA48" i="511"/>
  <c r="G19" i="510" s="1"/>
  <c r="Z48" i="511"/>
  <c r="G18" i="510" s="1"/>
  <c r="W48" i="511"/>
  <c r="M48" i="511"/>
  <c r="W47" i="511"/>
  <c r="H47" i="511"/>
  <c r="W46" i="511"/>
  <c r="W45" i="511"/>
  <c r="W44" i="511"/>
  <c r="W43" i="511"/>
  <c r="W42" i="511"/>
  <c r="AG41" i="511"/>
  <c r="AF41" i="511"/>
  <c r="W41" i="511"/>
  <c r="AG40" i="511"/>
  <c r="AF40" i="511"/>
  <c r="W40" i="511"/>
  <c r="AG39" i="511"/>
  <c r="AF39" i="511"/>
  <c r="W39" i="511"/>
  <c r="N39" i="511" s="1"/>
  <c r="O39" i="511" s="1"/>
  <c r="V39" i="511"/>
  <c r="K39" i="511"/>
  <c r="J39" i="511"/>
  <c r="H39" i="511"/>
  <c r="F39" i="511"/>
  <c r="W38" i="511"/>
  <c r="N38" i="511" s="1"/>
  <c r="P38" i="511"/>
  <c r="L38" i="511"/>
  <c r="K38" i="511"/>
  <c r="K48" i="511" s="1"/>
  <c r="J38" i="511"/>
  <c r="F38" i="511"/>
  <c r="H38" i="511" s="1"/>
  <c r="AE37" i="511"/>
  <c r="F21" i="510" s="1"/>
  <c r="AD37" i="511"/>
  <c r="F20" i="510" s="1"/>
  <c r="AA37" i="511"/>
  <c r="Z37" i="511"/>
  <c r="F18" i="510" s="1"/>
  <c r="M37" i="511"/>
  <c r="J37" i="511"/>
  <c r="W36" i="511"/>
  <c r="W35" i="511"/>
  <c r="W34" i="511"/>
  <c r="W33" i="511"/>
  <c r="W32" i="511"/>
  <c r="AG31" i="511"/>
  <c r="AF31" i="511"/>
  <c r="W31" i="511"/>
  <c r="AG30" i="511"/>
  <c r="AF30" i="511"/>
  <c r="W30" i="511"/>
  <c r="AG29" i="511"/>
  <c r="W29" i="511"/>
  <c r="N29" i="511" s="1"/>
  <c r="V29" i="511"/>
  <c r="O29" i="511"/>
  <c r="K29" i="511"/>
  <c r="J29" i="511"/>
  <c r="P29" i="511" s="1"/>
  <c r="F29" i="511"/>
  <c r="H29" i="511" s="1"/>
  <c r="W28" i="511"/>
  <c r="N28" i="511" s="1"/>
  <c r="V28" i="511"/>
  <c r="K28" i="511"/>
  <c r="J28" i="511"/>
  <c r="P28" i="511" s="1"/>
  <c r="H28" i="511"/>
  <c r="F28" i="511"/>
  <c r="W27" i="511"/>
  <c r="N27" i="511"/>
  <c r="K27" i="511"/>
  <c r="J27" i="511"/>
  <c r="P27" i="511" s="1"/>
  <c r="H27" i="511"/>
  <c r="F27" i="511"/>
  <c r="AE26" i="511"/>
  <c r="AD26" i="511"/>
  <c r="AA26" i="511"/>
  <c r="E19" i="510" s="1"/>
  <c r="Z26" i="511"/>
  <c r="N26" i="511"/>
  <c r="M26" i="511"/>
  <c r="P26" i="511" s="1"/>
  <c r="J26" i="511"/>
  <c r="W25" i="511"/>
  <c r="H25" i="511"/>
  <c r="W24" i="511"/>
  <c r="H24" i="511"/>
  <c r="W23" i="511"/>
  <c r="W21" i="511"/>
  <c r="W20" i="511"/>
  <c r="AG19" i="511"/>
  <c r="AF19" i="511"/>
  <c r="W19" i="511"/>
  <c r="W18" i="511"/>
  <c r="N18" i="511" s="1"/>
  <c r="V18" i="511"/>
  <c r="P18" i="511"/>
  <c r="L18" i="511"/>
  <c r="K18" i="511"/>
  <c r="H18" i="511"/>
  <c r="F18" i="511"/>
  <c r="AG17" i="511"/>
  <c r="AF17" i="511"/>
  <c r="W17" i="511"/>
  <c r="V17" i="511"/>
  <c r="P17" i="511"/>
  <c r="N17" i="511"/>
  <c r="O17" i="511" s="1"/>
  <c r="L17" i="511"/>
  <c r="K17" i="511"/>
  <c r="J17" i="511"/>
  <c r="F17" i="511"/>
  <c r="H17" i="511" s="1"/>
  <c r="W16" i="511"/>
  <c r="N16" i="511" s="1"/>
  <c r="P16" i="511"/>
  <c r="L16" i="511"/>
  <c r="L26" i="511" s="1"/>
  <c r="E13" i="510" s="1"/>
  <c r="K16" i="511"/>
  <c r="K26" i="511" s="1"/>
  <c r="H16" i="511"/>
  <c r="F16" i="511"/>
  <c r="AE15" i="511"/>
  <c r="AD15" i="511"/>
  <c r="D20" i="510" s="1"/>
  <c r="AA15" i="511"/>
  <c r="Z15" i="511"/>
  <c r="M15" i="511"/>
  <c r="J15" i="511"/>
  <c r="P15" i="511" s="1"/>
  <c r="W14" i="511"/>
  <c r="W13" i="511"/>
  <c r="W12" i="511"/>
  <c r="AG11" i="511"/>
  <c r="AF11" i="511"/>
  <c r="W11" i="511"/>
  <c r="AG10" i="511"/>
  <c r="AF10" i="511"/>
  <c r="W10" i="511"/>
  <c r="AG9" i="511"/>
  <c r="AF9" i="511"/>
  <c r="W9" i="511"/>
  <c r="AF8" i="511"/>
  <c r="W8" i="511"/>
  <c r="N8" i="511" s="1"/>
  <c r="V8" i="511"/>
  <c r="K8" i="511"/>
  <c r="J8" i="511"/>
  <c r="P8" i="511" s="1"/>
  <c r="H8" i="511"/>
  <c r="F8" i="511"/>
  <c r="AG7" i="511"/>
  <c r="AF7" i="511"/>
  <c r="W7" i="511"/>
  <c r="V7" i="511"/>
  <c r="Q7" i="511"/>
  <c r="P7" i="511"/>
  <c r="O7" i="511"/>
  <c r="N7" i="511"/>
  <c r="L7" i="511"/>
  <c r="R7" i="511" s="1"/>
  <c r="K7" i="511"/>
  <c r="J7" i="511"/>
  <c r="F7" i="511"/>
  <c r="H7" i="511" s="1"/>
  <c r="W6" i="511"/>
  <c r="N6" i="511" s="1"/>
  <c r="V6" i="511"/>
  <c r="P6" i="511"/>
  <c r="L6" i="511"/>
  <c r="K6" i="511"/>
  <c r="J6" i="511"/>
  <c r="F6" i="511"/>
  <c r="H6" i="511" s="1"/>
  <c r="W5" i="511"/>
  <c r="N5" i="511" s="1"/>
  <c r="P5" i="511"/>
  <c r="K5" i="511"/>
  <c r="J5" i="511"/>
  <c r="F5" i="511"/>
  <c r="H5" i="511" s="1"/>
  <c r="AD2" i="511"/>
  <c r="AA2" i="511"/>
  <c r="I2" i="511"/>
  <c r="E1" i="511"/>
  <c r="J22" i="510"/>
  <c r="I22" i="510"/>
  <c r="H22" i="510"/>
  <c r="G22" i="510"/>
  <c r="F22" i="510"/>
  <c r="E22" i="510"/>
  <c r="D22" i="510"/>
  <c r="J21" i="510"/>
  <c r="I21" i="510"/>
  <c r="E21" i="510"/>
  <c r="J20" i="510"/>
  <c r="E20" i="510"/>
  <c r="O6" i="510" s="1"/>
  <c r="J19" i="510"/>
  <c r="I19" i="510"/>
  <c r="F19" i="510"/>
  <c r="D19" i="510"/>
  <c r="I18" i="510"/>
  <c r="H18" i="510"/>
  <c r="D18" i="510"/>
  <c r="J17" i="510"/>
  <c r="J16" i="510"/>
  <c r="I16" i="510"/>
  <c r="H16" i="510"/>
  <c r="G16" i="510"/>
  <c r="F16" i="510"/>
  <c r="E16" i="510"/>
  <c r="D16" i="510"/>
  <c r="J14" i="510"/>
  <c r="J13" i="510"/>
  <c r="O8" i="510"/>
  <c r="N8" i="510"/>
  <c r="M8" i="510"/>
  <c r="L8" i="510"/>
  <c r="O7" i="510"/>
  <c r="N7" i="510"/>
  <c r="M7" i="510"/>
  <c r="L7" i="510"/>
  <c r="G3" i="510"/>
  <c r="AG79" i="509"/>
  <c r="AF79" i="509"/>
  <c r="AE79" i="509"/>
  <c r="AD79" i="509"/>
  <c r="AA79" i="509"/>
  <c r="Z79" i="509"/>
  <c r="W78" i="509"/>
  <c r="W77" i="509"/>
  <c r="W76" i="509"/>
  <c r="W75" i="509"/>
  <c r="W74" i="509"/>
  <c r="W73" i="509"/>
  <c r="W72" i="509"/>
  <c r="W71" i="509"/>
  <c r="AH70" i="509"/>
  <c r="AG70" i="509"/>
  <c r="AF70" i="509"/>
  <c r="W70" i="509"/>
  <c r="S70" i="509"/>
  <c r="AE69" i="509"/>
  <c r="AD69" i="509"/>
  <c r="I20" i="508" s="1"/>
  <c r="AA69" i="509"/>
  <c r="Z69" i="509"/>
  <c r="I18" i="508" s="1"/>
  <c r="M69" i="509"/>
  <c r="K69" i="509"/>
  <c r="W68" i="509"/>
  <c r="H68" i="509"/>
  <c r="W67" i="509"/>
  <c r="W66" i="509"/>
  <c r="W65" i="509"/>
  <c r="W64" i="509"/>
  <c r="W63" i="509"/>
  <c r="AG62" i="509"/>
  <c r="AF62" i="509"/>
  <c r="W62" i="509"/>
  <c r="W61" i="509"/>
  <c r="N61" i="509" s="1"/>
  <c r="V61" i="509"/>
  <c r="P61" i="509"/>
  <c r="O61" i="509"/>
  <c r="R61" i="509" s="1"/>
  <c r="L61" i="509"/>
  <c r="K61" i="509"/>
  <c r="J61" i="509"/>
  <c r="H61" i="509"/>
  <c r="F61" i="509"/>
  <c r="AG60" i="509"/>
  <c r="AF60" i="509"/>
  <c r="W60" i="509"/>
  <c r="N60" i="509" s="1"/>
  <c r="V60" i="509"/>
  <c r="O60" i="509"/>
  <c r="K60" i="509"/>
  <c r="J60" i="509"/>
  <c r="F60" i="509"/>
  <c r="H60" i="509" s="1"/>
  <c r="W59" i="509"/>
  <c r="N59" i="509" s="1"/>
  <c r="P59" i="509"/>
  <c r="L59" i="509"/>
  <c r="K59" i="509"/>
  <c r="J59" i="509"/>
  <c r="H59" i="509"/>
  <c r="F59" i="509"/>
  <c r="AE58" i="509"/>
  <c r="AD58" i="509"/>
  <c r="AA58" i="509"/>
  <c r="H19" i="508" s="1"/>
  <c r="Z58" i="509"/>
  <c r="H18" i="508" s="1"/>
  <c r="M58" i="509"/>
  <c r="W57" i="509"/>
  <c r="W56" i="509"/>
  <c r="W55" i="509"/>
  <c r="W54" i="509"/>
  <c r="W53" i="509"/>
  <c r="N53" i="509" s="1"/>
  <c r="V53" i="509"/>
  <c r="P53" i="509"/>
  <c r="K53" i="509"/>
  <c r="L53" i="509" s="1"/>
  <c r="H53" i="509"/>
  <c r="F53" i="509"/>
  <c r="W52" i="509"/>
  <c r="N52" i="509" s="1"/>
  <c r="V52" i="509"/>
  <c r="P52" i="509"/>
  <c r="K52" i="509"/>
  <c r="L52" i="509" s="1"/>
  <c r="J52" i="509"/>
  <c r="F52" i="509"/>
  <c r="H52" i="509" s="1"/>
  <c r="W51" i="509"/>
  <c r="V51" i="509"/>
  <c r="P51" i="509"/>
  <c r="N51" i="509"/>
  <c r="K51" i="509"/>
  <c r="L51" i="509" s="1"/>
  <c r="H51" i="509"/>
  <c r="F51" i="509"/>
  <c r="W50" i="509"/>
  <c r="V50" i="509"/>
  <c r="N50" i="509"/>
  <c r="L50" i="509"/>
  <c r="L58" i="509" s="1"/>
  <c r="H13" i="508" s="1"/>
  <c r="K50" i="509"/>
  <c r="K58" i="509" s="1"/>
  <c r="J50" i="509"/>
  <c r="P50" i="509" s="1"/>
  <c r="H50" i="509"/>
  <c r="F50" i="509"/>
  <c r="W49" i="509"/>
  <c r="N49" i="509" s="1"/>
  <c r="O49" i="509"/>
  <c r="L49" i="509"/>
  <c r="J49" i="509"/>
  <c r="F49" i="509"/>
  <c r="H49" i="509" s="1"/>
  <c r="AE48" i="509"/>
  <c r="G21" i="508" s="1"/>
  <c r="AD48" i="509"/>
  <c r="G20" i="508" s="1"/>
  <c r="AA48" i="509"/>
  <c r="Z48" i="509"/>
  <c r="G18" i="508" s="1"/>
  <c r="W48" i="509"/>
  <c r="O48" i="509"/>
  <c r="M48" i="509"/>
  <c r="W47" i="509"/>
  <c r="H47" i="509"/>
  <c r="W46" i="509"/>
  <c r="W45" i="509"/>
  <c r="W44" i="509"/>
  <c r="W43" i="509"/>
  <c r="W42" i="509"/>
  <c r="AG41" i="509"/>
  <c r="AF41" i="509"/>
  <c r="W41" i="509"/>
  <c r="AG40" i="509"/>
  <c r="AF40" i="509"/>
  <c r="W40" i="509"/>
  <c r="W39" i="509"/>
  <c r="V39" i="509"/>
  <c r="N39" i="509"/>
  <c r="O39" i="509" s="1"/>
  <c r="K39" i="509"/>
  <c r="J39" i="509"/>
  <c r="P39" i="509" s="1"/>
  <c r="H39" i="509"/>
  <c r="F39" i="509"/>
  <c r="W38" i="509"/>
  <c r="O38" i="509"/>
  <c r="N38" i="509"/>
  <c r="K38" i="509"/>
  <c r="J38" i="509"/>
  <c r="F38" i="509"/>
  <c r="H38" i="509" s="1"/>
  <c r="AE37" i="509"/>
  <c r="AD37" i="509"/>
  <c r="AA37" i="509"/>
  <c r="Z37" i="509"/>
  <c r="F18" i="508" s="1"/>
  <c r="M37" i="509"/>
  <c r="W36" i="509"/>
  <c r="H36" i="509"/>
  <c r="W35" i="509"/>
  <c r="W34" i="509"/>
  <c r="W33" i="509"/>
  <c r="W32" i="509"/>
  <c r="AG31" i="509"/>
  <c r="AF31" i="509"/>
  <c r="W31" i="509"/>
  <c r="AG30" i="509"/>
  <c r="AF30" i="509"/>
  <c r="W30" i="509"/>
  <c r="W29" i="509"/>
  <c r="N29" i="509" s="1"/>
  <c r="V29" i="509"/>
  <c r="P29" i="509"/>
  <c r="K29" i="509"/>
  <c r="L29" i="509" s="1"/>
  <c r="J29" i="509"/>
  <c r="H29" i="509"/>
  <c r="F29" i="509"/>
  <c r="W28" i="509"/>
  <c r="V28" i="509"/>
  <c r="P28" i="509"/>
  <c r="N28" i="509"/>
  <c r="K28" i="509"/>
  <c r="J28" i="509"/>
  <c r="F28" i="509"/>
  <c r="H28" i="509" s="1"/>
  <c r="AF27" i="509"/>
  <c r="W27" i="509"/>
  <c r="N27" i="509"/>
  <c r="AG27" i="509" s="1"/>
  <c r="L27" i="509"/>
  <c r="K27" i="509"/>
  <c r="J27" i="509"/>
  <c r="H27" i="509"/>
  <c r="F27" i="509"/>
  <c r="AE26" i="509"/>
  <c r="AD26" i="509"/>
  <c r="E20" i="508" s="1"/>
  <c r="AA26" i="509"/>
  <c r="Z26" i="509"/>
  <c r="M26" i="509"/>
  <c r="W25" i="509"/>
  <c r="H25" i="509"/>
  <c r="W24" i="509"/>
  <c r="H24" i="509"/>
  <c r="W23" i="509"/>
  <c r="W21" i="509"/>
  <c r="W20" i="509"/>
  <c r="V20" i="509"/>
  <c r="R20" i="509"/>
  <c r="P20" i="509"/>
  <c r="O20" i="509"/>
  <c r="Q20" i="509" s="1"/>
  <c r="N20" i="509"/>
  <c r="K20" i="509"/>
  <c r="L20" i="509" s="1"/>
  <c r="J20" i="509"/>
  <c r="F20" i="509"/>
  <c r="H20" i="509" s="1"/>
  <c r="W19" i="509"/>
  <c r="V19" i="509"/>
  <c r="P19" i="509"/>
  <c r="N19" i="509"/>
  <c r="L19" i="509"/>
  <c r="K19" i="509"/>
  <c r="H19" i="509"/>
  <c r="F19" i="509"/>
  <c r="W18" i="509"/>
  <c r="V18" i="509"/>
  <c r="P18" i="509"/>
  <c r="N18" i="509"/>
  <c r="L18" i="509"/>
  <c r="K18" i="509"/>
  <c r="H18" i="509"/>
  <c r="F18" i="509"/>
  <c r="W17" i="509"/>
  <c r="V17" i="509"/>
  <c r="O17" i="509"/>
  <c r="N17" i="509"/>
  <c r="K17" i="509"/>
  <c r="AF17" i="509" s="1"/>
  <c r="J17" i="509"/>
  <c r="P17" i="509" s="1"/>
  <c r="F17" i="509"/>
  <c r="H17" i="509" s="1"/>
  <c r="W16" i="509"/>
  <c r="P16" i="509"/>
  <c r="O16" i="509"/>
  <c r="N16" i="509"/>
  <c r="K16" i="509"/>
  <c r="L16" i="509" s="1"/>
  <c r="H16" i="509"/>
  <c r="F16" i="509"/>
  <c r="AE15" i="509"/>
  <c r="AD15" i="509"/>
  <c r="AA15" i="509"/>
  <c r="Z15" i="509"/>
  <c r="N15" i="509"/>
  <c r="M15" i="509"/>
  <c r="W14" i="509"/>
  <c r="W13" i="509"/>
  <c r="W12" i="509"/>
  <c r="AG11" i="509"/>
  <c r="AF11" i="509"/>
  <c r="W11" i="509"/>
  <c r="AG10" i="509"/>
  <c r="AF10" i="509"/>
  <c r="W10" i="509"/>
  <c r="AG9" i="509"/>
  <c r="AF9" i="509"/>
  <c r="W9" i="509"/>
  <c r="W8" i="509"/>
  <c r="N8" i="509" s="1"/>
  <c r="V8" i="509"/>
  <c r="K8" i="509"/>
  <c r="J8" i="509"/>
  <c r="F8" i="509"/>
  <c r="H8" i="509" s="1"/>
  <c r="W7" i="509"/>
  <c r="N7" i="509" s="1"/>
  <c r="AG7" i="509" s="1"/>
  <c r="V7" i="509"/>
  <c r="P7" i="509"/>
  <c r="K7" i="509"/>
  <c r="L7" i="509" s="1"/>
  <c r="J7" i="509"/>
  <c r="F7" i="509"/>
  <c r="H7" i="509" s="1"/>
  <c r="AF6" i="509"/>
  <c r="W6" i="509"/>
  <c r="V6" i="509"/>
  <c r="N6" i="509"/>
  <c r="K6" i="509"/>
  <c r="J6" i="509"/>
  <c r="P6" i="509" s="1"/>
  <c r="H6" i="509"/>
  <c r="F6" i="509"/>
  <c r="AG5" i="509"/>
  <c r="AF5" i="509"/>
  <c r="W5" i="509"/>
  <c r="O5" i="509"/>
  <c r="N5" i="509"/>
  <c r="K5" i="509"/>
  <c r="K15" i="509" s="1"/>
  <c r="J5" i="509"/>
  <c r="F5" i="509"/>
  <c r="H5" i="509" s="1"/>
  <c r="I2" i="509"/>
  <c r="E1" i="509"/>
  <c r="G3" i="508" s="1"/>
  <c r="J22" i="508"/>
  <c r="I22" i="508"/>
  <c r="G22" i="508"/>
  <c r="J21" i="508"/>
  <c r="I21" i="508"/>
  <c r="F21" i="508"/>
  <c r="E21" i="508"/>
  <c r="D21" i="508"/>
  <c r="J20" i="508"/>
  <c r="H20" i="508"/>
  <c r="F20" i="508"/>
  <c r="J19" i="508"/>
  <c r="I19" i="508"/>
  <c r="G19" i="508"/>
  <c r="F19" i="508"/>
  <c r="E19" i="508"/>
  <c r="J18" i="508"/>
  <c r="E18" i="508"/>
  <c r="D18" i="508"/>
  <c r="J17" i="508"/>
  <c r="J16" i="508"/>
  <c r="I16" i="508"/>
  <c r="H16" i="508"/>
  <c r="G16" i="508"/>
  <c r="F16" i="508"/>
  <c r="E16" i="508"/>
  <c r="D16" i="508"/>
  <c r="J15" i="508"/>
  <c r="J14" i="508"/>
  <c r="G14" i="508"/>
  <c r="J13" i="508"/>
  <c r="O8" i="508"/>
  <c r="N8" i="508"/>
  <c r="M8" i="508"/>
  <c r="L8" i="508"/>
  <c r="O7" i="508"/>
  <c r="N7" i="508"/>
  <c r="M7" i="508"/>
  <c r="L7" i="508"/>
  <c r="AG79" i="507"/>
  <c r="AF79" i="507"/>
  <c r="AE79" i="507"/>
  <c r="J21" i="506" s="1"/>
  <c r="AD79" i="507"/>
  <c r="AA79" i="507"/>
  <c r="Z79" i="507"/>
  <c r="W78" i="507"/>
  <c r="H78" i="507"/>
  <c r="W77" i="507"/>
  <c r="H77" i="507"/>
  <c r="W76" i="507"/>
  <c r="H76" i="507"/>
  <c r="W75" i="507"/>
  <c r="H75" i="507"/>
  <c r="W74" i="507"/>
  <c r="W73" i="507"/>
  <c r="W72" i="507"/>
  <c r="W71" i="507"/>
  <c r="AH70" i="507"/>
  <c r="AG70" i="507"/>
  <c r="AF70" i="507"/>
  <c r="W70" i="507"/>
  <c r="S70" i="507"/>
  <c r="J15" i="506" s="1"/>
  <c r="AE69" i="507"/>
  <c r="I21" i="506" s="1"/>
  <c r="AD69" i="507"/>
  <c r="AA69" i="507"/>
  <c r="I19" i="506" s="1"/>
  <c r="Z69" i="507"/>
  <c r="I18" i="506" s="1"/>
  <c r="M69" i="507"/>
  <c r="W68" i="507"/>
  <c r="H68" i="507"/>
  <c r="W67" i="507"/>
  <c r="W66" i="507"/>
  <c r="W65" i="507"/>
  <c r="W64" i="507"/>
  <c r="W63" i="507"/>
  <c r="V63" i="507"/>
  <c r="O63" i="507"/>
  <c r="N63" i="507"/>
  <c r="K63" i="507"/>
  <c r="L63" i="507" s="1"/>
  <c r="J63" i="507"/>
  <c r="P63" i="507" s="1"/>
  <c r="F63" i="507"/>
  <c r="H63" i="507" s="1"/>
  <c r="AG62" i="507"/>
  <c r="W62" i="507"/>
  <c r="N62" i="507" s="1"/>
  <c r="AF62" i="507" s="1"/>
  <c r="V62" i="507"/>
  <c r="Q62" i="507"/>
  <c r="P62" i="507"/>
  <c r="O62" i="507"/>
  <c r="R62" i="507" s="1"/>
  <c r="L62" i="507"/>
  <c r="K62" i="507"/>
  <c r="J62" i="507"/>
  <c r="H62" i="507"/>
  <c r="F62" i="507"/>
  <c r="AF61" i="507"/>
  <c r="W61" i="507"/>
  <c r="V61" i="507"/>
  <c r="N61" i="507"/>
  <c r="K61" i="507"/>
  <c r="J61" i="507"/>
  <c r="P61" i="507" s="1"/>
  <c r="F61" i="507"/>
  <c r="H61" i="507" s="1"/>
  <c r="W60" i="507"/>
  <c r="N60" i="507" s="1"/>
  <c r="V60" i="507"/>
  <c r="P60" i="507"/>
  <c r="L60" i="507"/>
  <c r="K60" i="507"/>
  <c r="J60" i="507"/>
  <c r="F60" i="507"/>
  <c r="H60" i="507" s="1"/>
  <c r="AF59" i="507"/>
  <c r="W59" i="507"/>
  <c r="N59" i="507" s="1"/>
  <c r="AG59" i="507" s="1"/>
  <c r="O59" i="507"/>
  <c r="K59" i="507"/>
  <c r="J59" i="507"/>
  <c r="F59" i="507"/>
  <c r="H59" i="507" s="1"/>
  <c r="AE58" i="507"/>
  <c r="H21" i="506" s="1"/>
  <c r="AD58" i="507"/>
  <c r="H20" i="506" s="1"/>
  <c r="AA58" i="507"/>
  <c r="Z58" i="507"/>
  <c r="M58" i="507"/>
  <c r="J58" i="507"/>
  <c r="W57" i="507"/>
  <c r="W56" i="507"/>
  <c r="W55" i="507"/>
  <c r="W54" i="507"/>
  <c r="AG53" i="507"/>
  <c r="AF53" i="507"/>
  <c r="W53" i="507"/>
  <c r="AG52" i="507"/>
  <c r="AF52" i="507"/>
  <c r="W52" i="507"/>
  <c r="N52" i="507" s="1"/>
  <c r="V52" i="507"/>
  <c r="R52" i="507"/>
  <c r="O52" i="507"/>
  <c r="Q52" i="507" s="1"/>
  <c r="K52" i="507"/>
  <c r="L52" i="507" s="1"/>
  <c r="J52" i="507"/>
  <c r="P52" i="507" s="1"/>
  <c r="F52" i="507"/>
  <c r="H52" i="507" s="1"/>
  <c r="W51" i="507"/>
  <c r="N51" i="507" s="1"/>
  <c r="O51" i="507" s="1"/>
  <c r="V51" i="507"/>
  <c r="P51" i="507"/>
  <c r="K51" i="507"/>
  <c r="J51" i="507"/>
  <c r="F51" i="507"/>
  <c r="H51" i="507" s="1"/>
  <c r="W50" i="507"/>
  <c r="N50" i="507" s="1"/>
  <c r="V50" i="507"/>
  <c r="P50" i="507"/>
  <c r="L50" i="507"/>
  <c r="K50" i="507"/>
  <c r="J50" i="507"/>
  <c r="H50" i="507"/>
  <c r="F50" i="507"/>
  <c r="AG49" i="507"/>
  <c r="AF49" i="507"/>
  <c r="W49" i="507"/>
  <c r="P49" i="507"/>
  <c r="N49" i="507"/>
  <c r="O49" i="507" s="1"/>
  <c r="J49" i="507"/>
  <c r="L49" i="507" s="1"/>
  <c r="H49" i="507"/>
  <c r="F49" i="507"/>
  <c r="AE48" i="507"/>
  <c r="G21" i="506" s="1"/>
  <c r="AD48" i="507"/>
  <c r="G20" i="506" s="1"/>
  <c r="AA48" i="507"/>
  <c r="Z48" i="507"/>
  <c r="G18" i="506" s="1"/>
  <c r="W48" i="507"/>
  <c r="M48" i="507"/>
  <c r="G22" i="506" s="1"/>
  <c r="W47" i="507"/>
  <c r="H47" i="507"/>
  <c r="W46" i="507"/>
  <c r="W45" i="507"/>
  <c r="W44" i="507"/>
  <c r="W43" i="507"/>
  <c r="W42" i="507"/>
  <c r="AG41" i="507"/>
  <c r="AF41" i="507"/>
  <c r="W41" i="507"/>
  <c r="W40" i="507"/>
  <c r="N40" i="507" s="1"/>
  <c r="O40" i="507" s="1"/>
  <c r="V40" i="507"/>
  <c r="P40" i="507"/>
  <c r="K40" i="507"/>
  <c r="L40" i="507" s="1"/>
  <c r="J40" i="507"/>
  <c r="F40" i="507"/>
  <c r="H40" i="507" s="1"/>
  <c r="W39" i="507"/>
  <c r="N39" i="507" s="1"/>
  <c r="AG39" i="507" s="1"/>
  <c r="V39" i="507"/>
  <c r="P39" i="507"/>
  <c r="O39" i="507"/>
  <c r="K39" i="507"/>
  <c r="L39" i="507" s="1"/>
  <c r="J39" i="507"/>
  <c r="H39" i="507"/>
  <c r="F39" i="507"/>
  <c r="W38" i="507"/>
  <c r="N38" i="507"/>
  <c r="L38" i="507"/>
  <c r="L48" i="507" s="1"/>
  <c r="G13" i="506" s="1"/>
  <c r="K38" i="507"/>
  <c r="J38" i="507"/>
  <c r="H38" i="507"/>
  <c r="F38" i="507"/>
  <c r="AE37" i="507"/>
  <c r="AD37" i="507"/>
  <c r="AA37" i="507"/>
  <c r="Z37" i="507"/>
  <c r="F18" i="506" s="1"/>
  <c r="M37" i="507"/>
  <c r="W36" i="507"/>
  <c r="H36" i="507"/>
  <c r="W35" i="507"/>
  <c r="W34" i="507"/>
  <c r="W33" i="507"/>
  <c r="W32" i="507"/>
  <c r="AG31" i="507"/>
  <c r="AF31" i="507"/>
  <c r="W31" i="507"/>
  <c r="W30" i="507"/>
  <c r="N30" i="507"/>
  <c r="K30" i="507"/>
  <c r="J30" i="507"/>
  <c r="P30" i="507" s="1"/>
  <c r="H30" i="507"/>
  <c r="F30" i="507"/>
  <c r="W29" i="507"/>
  <c r="N29" i="507" s="1"/>
  <c r="V29" i="507"/>
  <c r="K29" i="507"/>
  <c r="J29" i="507"/>
  <c r="P29" i="507" s="1"/>
  <c r="H29" i="507"/>
  <c r="F29" i="507"/>
  <c r="W28" i="507"/>
  <c r="N28" i="507" s="1"/>
  <c r="V28" i="507"/>
  <c r="P28" i="507"/>
  <c r="K28" i="507"/>
  <c r="J28" i="507"/>
  <c r="H28" i="507"/>
  <c r="F28" i="507"/>
  <c r="AG27" i="507"/>
  <c r="W27" i="507"/>
  <c r="O27" i="507"/>
  <c r="N27" i="507"/>
  <c r="AF27" i="507" s="1"/>
  <c r="K27" i="507"/>
  <c r="J27" i="507"/>
  <c r="F27" i="507"/>
  <c r="H27" i="507" s="1"/>
  <c r="AE26" i="507"/>
  <c r="AD26" i="507"/>
  <c r="E20" i="506" s="1"/>
  <c r="AA26" i="507"/>
  <c r="Z26" i="507"/>
  <c r="E18" i="506" s="1"/>
  <c r="M26" i="507"/>
  <c r="J26" i="507"/>
  <c r="W25" i="507"/>
  <c r="H25" i="507"/>
  <c r="W24" i="507"/>
  <c r="H24" i="507"/>
  <c r="W23" i="507"/>
  <c r="W21" i="507"/>
  <c r="W20" i="507"/>
  <c r="AF19" i="507"/>
  <c r="W19" i="507"/>
  <c r="N19" i="507" s="1"/>
  <c r="O19" i="507" s="1"/>
  <c r="V19" i="507"/>
  <c r="P19" i="507"/>
  <c r="L19" i="507"/>
  <c r="K19" i="507"/>
  <c r="F19" i="507"/>
  <c r="H19" i="507" s="1"/>
  <c r="AF18" i="507"/>
  <c r="W18" i="507"/>
  <c r="N18" i="507" s="1"/>
  <c r="V18" i="507"/>
  <c r="P18" i="507"/>
  <c r="K18" i="507"/>
  <c r="L18" i="507" s="1"/>
  <c r="F18" i="507"/>
  <c r="H18" i="507" s="1"/>
  <c r="AG17" i="507"/>
  <c r="AF17" i="507"/>
  <c r="W17" i="507"/>
  <c r="N17" i="507" s="1"/>
  <c r="O17" i="507" s="1"/>
  <c r="V17" i="507"/>
  <c r="P17" i="507"/>
  <c r="K17" i="507"/>
  <c r="J17" i="507"/>
  <c r="L17" i="507" s="1"/>
  <c r="F17" i="507"/>
  <c r="H17" i="507" s="1"/>
  <c r="AG16" i="507"/>
  <c r="AF16" i="507"/>
  <c r="W16" i="507"/>
  <c r="N16" i="507" s="1"/>
  <c r="R16" i="507"/>
  <c r="P16" i="507"/>
  <c r="O16" i="507"/>
  <c r="L16" i="507"/>
  <c r="K16" i="507"/>
  <c r="K26" i="507" s="1"/>
  <c r="F16" i="507"/>
  <c r="H16" i="507" s="1"/>
  <c r="AE15" i="507"/>
  <c r="AD15" i="507"/>
  <c r="AA15" i="507"/>
  <c r="Z15" i="507"/>
  <c r="M15" i="507"/>
  <c r="J15" i="507"/>
  <c r="W14" i="507"/>
  <c r="W13" i="507"/>
  <c r="W12" i="507"/>
  <c r="AG11" i="507"/>
  <c r="AF11" i="507"/>
  <c r="W11" i="507"/>
  <c r="AG10" i="507"/>
  <c r="AF10" i="507"/>
  <c r="W10" i="507"/>
  <c r="W9" i="507"/>
  <c r="N9" i="507" s="1"/>
  <c r="V9" i="507"/>
  <c r="P9" i="507"/>
  <c r="L9" i="507"/>
  <c r="K9" i="507"/>
  <c r="J9" i="507"/>
  <c r="H9" i="507"/>
  <c r="F9" i="507"/>
  <c r="AF8" i="507"/>
  <c r="W8" i="507"/>
  <c r="V8" i="507"/>
  <c r="O8" i="507"/>
  <c r="N8" i="507"/>
  <c r="L8" i="507"/>
  <c r="K8" i="507"/>
  <c r="AG8" i="507" s="1"/>
  <c r="J8" i="507"/>
  <c r="P8" i="507" s="1"/>
  <c r="H8" i="507"/>
  <c r="F8" i="507"/>
  <c r="W7" i="507"/>
  <c r="V7" i="507"/>
  <c r="P7" i="507"/>
  <c r="N7" i="507"/>
  <c r="K7" i="507"/>
  <c r="J7" i="507"/>
  <c r="F7" i="507"/>
  <c r="H7" i="507" s="1"/>
  <c r="AG6" i="507"/>
  <c r="W6" i="507"/>
  <c r="V6" i="507"/>
  <c r="N6" i="507"/>
  <c r="K6" i="507"/>
  <c r="J6" i="507"/>
  <c r="P6" i="507" s="1"/>
  <c r="H6" i="507"/>
  <c r="F6" i="507"/>
  <c r="W5" i="507"/>
  <c r="P5" i="507"/>
  <c r="N5" i="507"/>
  <c r="L5" i="507"/>
  <c r="K5" i="507"/>
  <c r="J5" i="507"/>
  <c r="H5" i="507"/>
  <c r="F5" i="507"/>
  <c r="AD2" i="507"/>
  <c r="I2" i="507"/>
  <c r="E1" i="507"/>
  <c r="G3" i="506" s="1"/>
  <c r="J22" i="506"/>
  <c r="H22" i="506"/>
  <c r="F22" i="506"/>
  <c r="D22" i="506"/>
  <c r="F21" i="506"/>
  <c r="E21" i="506"/>
  <c r="D21" i="506"/>
  <c r="J20" i="506"/>
  <c r="I20" i="506"/>
  <c r="F20" i="506"/>
  <c r="D20" i="506"/>
  <c r="J19" i="506"/>
  <c r="H19" i="506"/>
  <c r="F19" i="506"/>
  <c r="E19" i="506"/>
  <c r="D19" i="506"/>
  <c r="J18" i="506"/>
  <c r="H18" i="506"/>
  <c r="D18" i="506"/>
  <c r="L6" i="506" s="1"/>
  <c r="J17" i="506"/>
  <c r="J16" i="506"/>
  <c r="I16" i="506"/>
  <c r="H16" i="506"/>
  <c r="G16" i="506"/>
  <c r="F16" i="506"/>
  <c r="E16" i="506"/>
  <c r="D16" i="506"/>
  <c r="J14" i="506"/>
  <c r="J13" i="506"/>
  <c r="O8" i="506"/>
  <c r="N8" i="506"/>
  <c r="M8" i="506"/>
  <c r="L8" i="506"/>
  <c r="O7" i="506"/>
  <c r="N7" i="506"/>
  <c r="M7" i="506"/>
  <c r="L7" i="506"/>
  <c r="AG79" i="505"/>
  <c r="AF79" i="505"/>
  <c r="AE79" i="505"/>
  <c r="AD79" i="505"/>
  <c r="AA79" i="505"/>
  <c r="Z79" i="505"/>
  <c r="W78" i="505"/>
  <c r="W77" i="505"/>
  <c r="W76" i="505"/>
  <c r="W75" i="505"/>
  <c r="W74" i="505"/>
  <c r="W73" i="505"/>
  <c r="W72" i="505"/>
  <c r="W71" i="505"/>
  <c r="AH70" i="505"/>
  <c r="W70" i="505"/>
  <c r="S70" i="505"/>
  <c r="AE69" i="505"/>
  <c r="I21" i="504" s="1"/>
  <c r="AD69" i="505"/>
  <c r="AA69" i="505"/>
  <c r="I19" i="504" s="1"/>
  <c r="Z69" i="505"/>
  <c r="M69" i="505"/>
  <c r="J69" i="505"/>
  <c r="P69" i="505" s="1"/>
  <c r="W68" i="505"/>
  <c r="H68" i="505"/>
  <c r="W67" i="505"/>
  <c r="W66" i="505"/>
  <c r="W65" i="505"/>
  <c r="W64" i="505"/>
  <c r="W63" i="505"/>
  <c r="V63" i="505"/>
  <c r="P63" i="505"/>
  <c r="N63" i="505"/>
  <c r="L63" i="505"/>
  <c r="K63" i="505"/>
  <c r="J63" i="505"/>
  <c r="H63" i="505"/>
  <c r="F63" i="505"/>
  <c r="W62" i="505"/>
  <c r="V62" i="505"/>
  <c r="P62" i="505"/>
  <c r="O62" i="505"/>
  <c r="N62" i="505"/>
  <c r="AG62" i="505" s="1"/>
  <c r="K62" i="505"/>
  <c r="J62" i="505"/>
  <c r="F62" i="505"/>
  <c r="H62" i="505" s="1"/>
  <c r="AF61" i="505"/>
  <c r="W61" i="505"/>
  <c r="N61" i="505" s="1"/>
  <c r="AG61" i="505" s="1"/>
  <c r="V61" i="505"/>
  <c r="R61" i="505"/>
  <c r="P61" i="505"/>
  <c r="O61" i="505"/>
  <c r="Q61" i="505" s="1"/>
  <c r="L61" i="505"/>
  <c r="K61" i="505"/>
  <c r="J61" i="505"/>
  <c r="H61" i="505"/>
  <c r="F61" i="505"/>
  <c r="AG60" i="505"/>
  <c r="AF60" i="505"/>
  <c r="W60" i="505"/>
  <c r="N60" i="505" s="1"/>
  <c r="V60" i="505"/>
  <c r="Q60" i="505"/>
  <c r="O60" i="505"/>
  <c r="R60" i="505" s="1"/>
  <c r="L60" i="505"/>
  <c r="K60" i="505"/>
  <c r="J60" i="505"/>
  <c r="P60" i="505" s="1"/>
  <c r="H60" i="505"/>
  <c r="F60" i="505"/>
  <c r="W59" i="505"/>
  <c r="P59" i="505"/>
  <c r="O59" i="505"/>
  <c r="N59" i="505"/>
  <c r="K59" i="505"/>
  <c r="J59" i="505"/>
  <c r="F59" i="505"/>
  <c r="H59" i="505" s="1"/>
  <c r="AE58" i="505"/>
  <c r="H21" i="504" s="1"/>
  <c r="AD58" i="505"/>
  <c r="AA58" i="505"/>
  <c r="H19" i="504" s="1"/>
  <c r="Z58" i="505"/>
  <c r="H18" i="504" s="1"/>
  <c r="M58" i="505"/>
  <c r="W57" i="505"/>
  <c r="W56" i="505"/>
  <c r="W55" i="505"/>
  <c r="W54" i="505"/>
  <c r="W53" i="505"/>
  <c r="W52" i="505"/>
  <c r="N52" i="505" s="1"/>
  <c r="O52" i="505" s="1"/>
  <c r="V52" i="505"/>
  <c r="K52" i="505"/>
  <c r="J52" i="505"/>
  <c r="P52" i="505" s="1"/>
  <c r="H52" i="505"/>
  <c r="F52" i="505"/>
  <c r="AG51" i="505"/>
  <c r="W51" i="505"/>
  <c r="V51" i="505"/>
  <c r="P51" i="505"/>
  <c r="N51" i="505"/>
  <c r="L51" i="505"/>
  <c r="K51" i="505"/>
  <c r="F51" i="505"/>
  <c r="H51" i="505" s="1"/>
  <c r="W50" i="505"/>
  <c r="N50" i="505" s="1"/>
  <c r="V50" i="505"/>
  <c r="L50" i="505"/>
  <c r="K50" i="505"/>
  <c r="J50" i="505"/>
  <c r="P50" i="505" s="1"/>
  <c r="F50" i="505"/>
  <c r="H50" i="505" s="1"/>
  <c r="W49" i="505"/>
  <c r="N49" i="505"/>
  <c r="K49" i="505"/>
  <c r="K58" i="505" s="1"/>
  <c r="J49" i="505"/>
  <c r="H49" i="505"/>
  <c r="F49" i="505"/>
  <c r="AE48" i="505"/>
  <c r="AD48" i="505"/>
  <c r="AA48" i="505"/>
  <c r="Z48" i="505"/>
  <c r="G18" i="504" s="1"/>
  <c r="W48" i="505"/>
  <c r="M48" i="505"/>
  <c r="W47" i="505"/>
  <c r="H47" i="505"/>
  <c r="W46" i="505"/>
  <c r="W45" i="505"/>
  <c r="W44" i="505"/>
  <c r="W43" i="505"/>
  <c r="W42" i="505"/>
  <c r="W41" i="505"/>
  <c r="AF40" i="505"/>
  <c r="W40" i="505"/>
  <c r="V40" i="505"/>
  <c r="P40" i="505"/>
  <c r="N40" i="505"/>
  <c r="L40" i="505"/>
  <c r="K40" i="505"/>
  <c r="J40" i="505"/>
  <c r="H40" i="505"/>
  <c r="F40" i="505"/>
  <c r="AG39" i="505"/>
  <c r="W39" i="505"/>
  <c r="V39" i="505"/>
  <c r="N39" i="505"/>
  <c r="K39" i="505"/>
  <c r="J39" i="505"/>
  <c r="P39" i="505" s="1"/>
  <c r="F39" i="505"/>
  <c r="H39" i="505" s="1"/>
  <c r="W38" i="505"/>
  <c r="N38" i="505"/>
  <c r="L38" i="505"/>
  <c r="K38" i="505"/>
  <c r="K48" i="505" s="1"/>
  <c r="J38" i="505"/>
  <c r="P38" i="505" s="1"/>
  <c r="H38" i="505"/>
  <c r="F38" i="505"/>
  <c r="AE37" i="505"/>
  <c r="AD37" i="505"/>
  <c r="AA37" i="505"/>
  <c r="Z37" i="505"/>
  <c r="F18" i="504" s="1"/>
  <c r="M37" i="505"/>
  <c r="W36" i="505"/>
  <c r="H36" i="505"/>
  <c r="W35" i="505"/>
  <c r="W34" i="505"/>
  <c r="W33" i="505"/>
  <c r="W32" i="505"/>
  <c r="W31" i="505"/>
  <c r="W30" i="505"/>
  <c r="W29" i="505"/>
  <c r="V29" i="505"/>
  <c r="P29" i="505"/>
  <c r="N29" i="505"/>
  <c r="L29" i="505"/>
  <c r="K29" i="505"/>
  <c r="H29" i="505"/>
  <c r="F29" i="505"/>
  <c r="W28" i="505"/>
  <c r="N28" i="505" s="1"/>
  <c r="V28" i="505"/>
  <c r="K28" i="505"/>
  <c r="J28" i="505"/>
  <c r="H28" i="505"/>
  <c r="F28" i="505"/>
  <c r="AG27" i="505"/>
  <c r="W27" i="505"/>
  <c r="P27" i="505"/>
  <c r="O27" i="505"/>
  <c r="N27" i="505"/>
  <c r="K27" i="505"/>
  <c r="K37" i="505" s="1"/>
  <c r="J27" i="505"/>
  <c r="H27" i="505"/>
  <c r="F27" i="505"/>
  <c r="AE26" i="505"/>
  <c r="E21" i="504" s="1"/>
  <c r="AD26" i="505"/>
  <c r="E20" i="504" s="1"/>
  <c r="AA26" i="505"/>
  <c r="Z26" i="505"/>
  <c r="E18" i="504" s="1"/>
  <c r="M26" i="505"/>
  <c r="W25" i="505"/>
  <c r="H25" i="505"/>
  <c r="W24" i="505"/>
  <c r="H24" i="505"/>
  <c r="W23" i="505"/>
  <c r="W21" i="505"/>
  <c r="N21" i="505" s="1"/>
  <c r="O21" i="505" s="1"/>
  <c r="V21" i="505"/>
  <c r="P21" i="505"/>
  <c r="L21" i="505"/>
  <c r="K21" i="505"/>
  <c r="J21" i="505"/>
  <c r="F21" i="505"/>
  <c r="H21" i="505" s="1"/>
  <c r="W20" i="505"/>
  <c r="N20" i="505" s="1"/>
  <c r="O20" i="505" s="1"/>
  <c r="V20" i="505"/>
  <c r="P20" i="505"/>
  <c r="L20" i="505"/>
  <c r="K20" i="505"/>
  <c r="J20" i="505"/>
  <c r="H20" i="505"/>
  <c r="F20" i="505"/>
  <c r="W19" i="505"/>
  <c r="N19" i="505" s="1"/>
  <c r="V19" i="505"/>
  <c r="P19" i="505"/>
  <c r="O19" i="505"/>
  <c r="L19" i="505"/>
  <c r="K19" i="505"/>
  <c r="J19" i="505"/>
  <c r="F19" i="505"/>
  <c r="H19" i="505" s="1"/>
  <c r="W18" i="505"/>
  <c r="V18" i="505"/>
  <c r="P18" i="505"/>
  <c r="N18" i="505"/>
  <c r="K18" i="505"/>
  <c r="J18" i="505"/>
  <c r="L18" i="505" s="1"/>
  <c r="H18" i="505"/>
  <c r="F18" i="505"/>
  <c r="W17" i="505"/>
  <c r="N17" i="505" s="1"/>
  <c r="V17" i="505"/>
  <c r="P17" i="505"/>
  <c r="K17" i="505"/>
  <c r="J17" i="505"/>
  <c r="F17" i="505"/>
  <c r="H17" i="505" s="1"/>
  <c r="W16" i="505"/>
  <c r="N16" i="505" s="1"/>
  <c r="K16" i="505"/>
  <c r="J16" i="505"/>
  <c r="H16" i="505"/>
  <c r="F16" i="505"/>
  <c r="AE15" i="505"/>
  <c r="D21" i="504" s="1"/>
  <c r="AD15" i="505"/>
  <c r="AA15" i="505"/>
  <c r="Z15" i="505"/>
  <c r="M15" i="505"/>
  <c r="K15" i="505"/>
  <c r="W14" i="505"/>
  <c r="W13" i="505"/>
  <c r="W12" i="505"/>
  <c r="W11" i="505"/>
  <c r="W10" i="505"/>
  <c r="W9" i="505"/>
  <c r="V9" i="505"/>
  <c r="N9" i="505"/>
  <c r="K9" i="505"/>
  <c r="J9" i="505"/>
  <c r="H9" i="505"/>
  <c r="F9" i="505"/>
  <c r="W8" i="505"/>
  <c r="N8" i="505" s="1"/>
  <c r="V8" i="505"/>
  <c r="P8" i="505"/>
  <c r="O8" i="505"/>
  <c r="K8" i="505"/>
  <c r="L8" i="505" s="1"/>
  <c r="J8" i="505"/>
  <c r="F8" i="505"/>
  <c r="H8" i="505" s="1"/>
  <c r="W7" i="505"/>
  <c r="N7" i="505" s="1"/>
  <c r="V7" i="505"/>
  <c r="K7" i="505"/>
  <c r="L7" i="505" s="1"/>
  <c r="J7" i="505"/>
  <c r="P7" i="505" s="1"/>
  <c r="F7" i="505"/>
  <c r="H7" i="505" s="1"/>
  <c r="W6" i="505"/>
  <c r="N6" i="505" s="1"/>
  <c r="O6" i="505" s="1"/>
  <c r="V6" i="505"/>
  <c r="P6" i="505"/>
  <c r="L6" i="505"/>
  <c r="K6" i="505"/>
  <c r="J6" i="505"/>
  <c r="F6" i="505"/>
  <c r="H6" i="505" s="1"/>
  <c r="W5" i="505"/>
  <c r="N5" i="505" s="1"/>
  <c r="K5" i="505"/>
  <c r="J5" i="505"/>
  <c r="H5" i="505"/>
  <c r="F5" i="505"/>
  <c r="AD2" i="505"/>
  <c r="Z2" i="505"/>
  <c r="I2" i="505"/>
  <c r="E1" i="505"/>
  <c r="G3" i="504" s="1"/>
  <c r="J22" i="504"/>
  <c r="I22" i="504"/>
  <c r="G22" i="504"/>
  <c r="F22" i="504"/>
  <c r="E22" i="504"/>
  <c r="D22" i="504"/>
  <c r="J21" i="504"/>
  <c r="G21" i="504"/>
  <c r="F21" i="504"/>
  <c r="J20" i="504"/>
  <c r="I20" i="504"/>
  <c r="H20" i="504"/>
  <c r="N6" i="504" s="1"/>
  <c r="G20" i="504"/>
  <c r="F20" i="504"/>
  <c r="D20" i="504"/>
  <c r="J19" i="504"/>
  <c r="G19" i="504"/>
  <c r="F19" i="504"/>
  <c r="E19" i="504"/>
  <c r="D19" i="504"/>
  <c r="J18" i="504"/>
  <c r="I18" i="504"/>
  <c r="D18" i="504"/>
  <c r="J17" i="504"/>
  <c r="J16" i="504"/>
  <c r="I16" i="504"/>
  <c r="H16" i="504"/>
  <c r="G16" i="504"/>
  <c r="F16" i="504"/>
  <c r="E16" i="504"/>
  <c r="D16" i="504"/>
  <c r="J15" i="504"/>
  <c r="J14" i="504"/>
  <c r="J13" i="504"/>
  <c r="O8" i="504"/>
  <c r="N8" i="504"/>
  <c r="M8" i="504"/>
  <c r="L8" i="504"/>
  <c r="O7" i="504"/>
  <c r="N7" i="504"/>
  <c r="M7" i="504"/>
  <c r="L7" i="504"/>
  <c r="AG79" i="503"/>
  <c r="AH70" i="503" s="1"/>
  <c r="AF79" i="503"/>
  <c r="AE79" i="503"/>
  <c r="AD79" i="503"/>
  <c r="J20" i="502" s="1"/>
  <c r="AA79" i="503"/>
  <c r="Z79" i="503"/>
  <c r="W78" i="503"/>
  <c r="W77" i="503"/>
  <c r="W76" i="503"/>
  <c r="W75" i="503"/>
  <c r="W74" i="503"/>
  <c r="W73" i="503"/>
  <c r="W72" i="503"/>
  <c r="W71" i="503"/>
  <c r="AG70" i="503"/>
  <c r="AF70" i="503"/>
  <c r="W70" i="503"/>
  <c r="S70" i="503"/>
  <c r="AE69" i="503"/>
  <c r="I21" i="502" s="1"/>
  <c r="AD69" i="503"/>
  <c r="AA69" i="503"/>
  <c r="Z69" i="503"/>
  <c r="M69" i="503"/>
  <c r="K69" i="503"/>
  <c r="W68" i="503"/>
  <c r="H68" i="503"/>
  <c r="W67" i="503"/>
  <c r="W66" i="503"/>
  <c r="W65" i="503"/>
  <c r="W64" i="503"/>
  <c r="W63" i="503"/>
  <c r="N63" i="503" s="1"/>
  <c r="O63" i="503" s="1"/>
  <c r="V63" i="503"/>
  <c r="P63" i="503"/>
  <c r="K63" i="503"/>
  <c r="L63" i="503" s="1"/>
  <c r="Q63" i="503" s="1"/>
  <c r="J63" i="503"/>
  <c r="F63" i="503"/>
  <c r="H63" i="503" s="1"/>
  <c r="W62" i="503"/>
  <c r="N62" i="503" s="1"/>
  <c r="V62" i="503"/>
  <c r="K62" i="503"/>
  <c r="J62" i="503"/>
  <c r="P62" i="503" s="1"/>
  <c r="F62" i="503"/>
  <c r="H62" i="503" s="1"/>
  <c r="AG61" i="503"/>
  <c r="W61" i="503"/>
  <c r="N61" i="503" s="1"/>
  <c r="V61" i="503"/>
  <c r="L61" i="503"/>
  <c r="K61" i="503"/>
  <c r="J61" i="503"/>
  <c r="P61" i="503" s="1"/>
  <c r="F61" i="503"/>
  <c r="H61" i="503" s="1"/>
  <c r="W60" i="503"/>
  <c r="V60" i="503"/>
  <c r="P60" i="503"/>
  <c r="N60" i="503"/>
  <c r="K60" i="503"/>
  <c r="L60" i="503" s="1"/>
  <c r="J60" i="503"/>
  <c r="H60" i="503"/>
  <c r="F60" i="503"/>
  <c r="W59" i="503"/>
  <c r="P59" i="503"/>
  <c r="O59" i="503"/>
  <c r="N59" i="503"/>
  <c r="K59" i="503"/>
  <c r="L59" i="503" s="1"/>
  <c r="J59" i="503"/>
  <c r="F59" i="503"/>
  <c r="H59" i="503" s="1"/>
  <c r="AE58" i="503"/>
  <c r="AD58" i="503"/>
  <c r="AA58" i="503"/>
  <c r="H19" i="502" s="1"/>
  <c r="Z58" i="503"/>
  <c r="N58" i="503"/>
  <c r="M58" i="503"/>
  <c r="W57" i="503"/>
  <c r="W56" i="503"/>
  <c r="W55" i="503"/>
  <c r="W54" i="503"/>
  <c r="W53" i="503"/>
  <c r="V53" i="503"/>
  <c r="O53" i="503"/>
  <c r="N53" i="503"/>
  <c r="K53" i="503"/>
  <c r="AF53" i="503" s="1"/>
  <c r="J53" i="503"/>
  <c r="P53" i="503" s="1"/>
  <c r="H53" i="503"/>
  <c r="F53" i="503"/>
  <c r="AF52" i="503"/>
  <c r="W52" i="503"/>
  <c r="V52" i="503"/>
  <c r="O52" i="503"/>
  <c r="N52" i="503"/>
  <c r="K52" i="503"/>
  <c r="J52" i="503"/>
  <c r="P52" i="503" s="1"/>
  <c r="F52" i="503"/>
  <c r="H52" i="503" s="1"/>
  <c r="W51" i="503"/>
  <c r="V51" i="503"/>
  <c r="Q51" i="503"/>
  <c r="P51" i="503"/>
  <c r="O51" i="503"/>
  <c r="R51" i="503" s="1"/>
  <c r="N51" i="503"/>
  <c r="L51" i="503"/>
  <c r="K51" i="503"/>
  <c r="H51" i="503"/>
  <c r="F51" i="503"/>
  <c r="W50" i="503"/>
  <c r="V50" i="503"/>
  <c r="O50" i="503"/>
  <c r="N50" i="503"/>
  <c r="K50" i="503"/>
  <c r="J50" i="503"/>
  <c r="H50" i="503"/>
  <c r="F50" i="503"/>
  <c r="W49" i="503"/>
  <c r="N49" i="503" s="1"/>
  <c r="O49" i="503"/>
  <c r="K49" i="503"/>
  <c r="J49" i="503"/>
  <c r="P49" i="503" s="1"/>
  <c r="H49" i="503"/>
  <c r="F49" i="503"/>
  <c r="AE48" i="503"/>
  <c r="G21" i="502" s="1"/>
  <c r="AD48" i="503"/>
  <c r="AA48" i="503"/>
  <c r="Z48" i="503"/>
  <c r="G18" i="502" s="1"/>
  <c r="W48" i="503"/>
  <c r="M48" i="503"/>
  <c r="W47" i="503"/>
  <c r="H47" i="503"/>
  <c r="W46" i="503"/>
  <c r="W45" i="503"/>
  <c r="W44" i="503"/>
  <c r="W43" i="503"/>
  <c r="W42" i="503"/>
  <c r="AG41" i="503"/>
  <c r="AF41" i="503"/>
  <c r="W41" i="503"/>
  <c r="AF40" i="503"/>
  <c r="W40" i="503"/>
  <c r="V40" i="503"/>
  <c r="P40" i="503"/>
  <c r="N40" i="503"/>
  <c r="O40" i="503" s="1"/>
  <c r="L40" i="503"/>
  <c r="K40" i="503"/>
  <c r="J40" i="503"/>
  <c r="H40" i="503"/>
  <c r="F40" i="503"/>
  <c r="W39" i="503"/>
  <c r="N39" i="503" s="1"/>
  <c r="V39" i="503"/>
  <c r="O39" i="503"/>
  <c r="K39" i="503"/>
  <c r="J39" i="503"/>
  <c r="P39" i="503" s="1"/>
  <c r="F39" i="503"/>
  <c r="H39" i="503" s="1"/>
  <c r="W38" i="503"/>
  <c r="N38" i="503" s="1"/>
  <c r="K38" i="503"/>
  <c r="J38" i="503"/>
  <c r="H38" i="503"/>
  <c r="F38" i="503"/>
  <c r="AE37" i="503"/>
  <c r="AD37" i="503"/>
  <c r="AA37" i="503"/>
  <c r="Z37" i="503"/>
  <c r="F18" i="502" s="1"/>
  <c r="M37" i="503"/>
  <c r="W36" i="503"/>
  <c r="H36" i="503"/>
  <c r="W35" i="503"/>
  <c r="W34" i="503"/>
  <c r="W33" i="503"/>
  <c r="W32" i="503"/>
  <c r="AG31" i="503"/>
  <c r="W31" i="503"/>
  <c r="V31" i="503"/>
  <c r="P31" i="503"/>
  <c r="N31" i="503"/>
  <c r="L31" i="503"/>
  <c r="K31" i="503"/>
  <c r="F31" i="503"/>
  <c r="H31" i="503" s="1"/>
  <c r="AG30" i="503"/>
  <c r="W30" i="503"/>
  <c r="V30" i="503"/>
  <c r="R30" i="503"/>
  <c r="P30" i="503"/>
  <c r="O30" i="503"/>
  <c r="Q30" i="503" s="1"/>
  <c r="N30" i="503"/>
  <c r="AF30" i="503" s="1"/>
  <c r="K30" i="503"/>
  <c r="L30" i="503" s="1"/>
  <c r="H30" i="503"/>
  <c r="F30" i="503"/>
  <c r="W29" i="503"/>
  <c r="N29" i="503" s="1"/>
  <c r="V29" i="503"/>
  <c r="L29" i="503"/>
  <c r="K29" i="503"/>
  <c r="J29" i="503"/>
  <c r="P29" i="503" s="1"/>
  <c r="H29" i="503"/>
  <c r="F29" i="503"/>
  <c r="W28" i="503"/>
  <c r="N28" i="503" s="1"/>
  <c r="V28" i="503"/>
  <c r="K28" i="503"/>
  <c r="J28" i="503"/>
  <c r="P28" i="503" s="1"/>
  <c r="F28" i="503"/>
  <c r="H28" i="503" s="1"/>
  <c r="W27" i="503"/>
  <c r="N27" i="503" s="1"/>
  <c r="K27" i="503"/>
  <c r="J27" i="503"/>
  <c r="J37" i="503" s="1"/>
  <c r="P37" i="503" s="1"/>
  <c r="F27" i="503"/>
  <c r="H27" i="503" s="1"/>
  <c r="AE26" i="503"/>
  <c r="E21" i="502" s="1"/>
  <c r="AD26" i="503"/>
  <c r="AA26" i="503"/>
  <c r="E19" i="502" s="1"/>
  <c r="Z26" i="503"/>
  <c r="E18" i="502" s="1"/>
  <c r="M26" i="503"/>
  <c r="W25" i="503"/>
  <c r="H25" i="503"/>
  <c r="W24" i="503"/>
  <c r="H24" i="503"/>
  <c r="W23" i="503"/>
  <c r="W22" i="503"/>
  <c r="W21" i="503"/>
  <c r="W20" i="503"/>
  <c r="V20" i="503"/>
  <c r="P20" i="503"/>
  <c r="N20" i="503"/>
  <c r="O20" i="503" s="1"/>
  <c r="K20" i="503"/>
  <c r="L20" i="503" s="1"/>
  <c r="J20" i="503"/>
  <c r="F20" i="503"/>
  <c r="H20" i="503" s="1"/>
  <c r="AF19" i="503"/>
  <c r="W19" i="503"/>
  <c r="V19" i="503"/>
  <c r="P19" i="503"/>
  <c r="N19" i="503"/>
  <c r="L19" i="503"/>
  <c r="K19" i="503"/>
  <c r="J19" i="503"/>
  <c r="H19" i="503"/>
  <c r="F19" i="503"/>
  <c r="AG18" i="503"/>
  <c r="W18" i="503"/>
  <c r="V18" i="503"/>
  <c r="O18" i="503"/>
  <c r="N18" i="503"/>
  <c r="AF18" i="503" s="1"/>
  <c r="K18" i="503"/>
  <c r="J18" i="503"/>
  <c r="P18" i="503" s="1"/>
  <c r="H18" i="503"/>
  <c r="F18" i="503"/>
  <c r="AF17" i="503"/>
  <c r="W17" i="503"/>
  <c r="V17" i="503"/>
  <c r="P17" i="503"/>
  <c r="N17" i="503"/>
  <c r="L17" i="503"/>
  <c r="K17" i="503"/>
  <c r="J17" i="503"/>
  <c r="F17" i="503"/>
  <c r="H17" i="503" s="1"/>
  <c r="AG16" i="503"/>
  <c r="W16" i="503"/>
  <c r="N16" i="503" s="1"/>
  <c r="P16" i="503"/>
  <c r="O16" i="503"/>
  <c r="K16" i="503"/>
  <c r="J16" i="503"/>
  <c r="J26" i="503" s="1"/>
  <c r="H16" i="503"/>
  <c r="F16" i="503"/>
  <c r="AE15" i="503"/>
  <c r="AD15" i="503"/>
  <c r="D20" i="502" s="1"/>
  <c r="AA15" i="503"/>
  <c r="Z15" i="503"/>
  <c r="M15" i="503"/>
  <c r="W14" i="503"/>
  <c r="W13" i="503"/>
  <c r="W12" i="503"/>
  <c r="AG11" i="503"/>
  <c r="AF11" i="503"/>
  <c r="W11" i="503"/>
  <c r="AG10" i="503"/>
  <c r="AF10" i="503"/>
  <c r="W10" i="503"/>
  <c r="AG9" i="503"/>
  <c r="AF9" i="503"/>
  <c r="W9" i="503"/>
  <c r="W8" i="503"/>
  <c r="V8" i="503"/>
  <c r="N8" i="503"/>
  <c r="AF8" i="503" s="1"/>
  <c r="K8" i="503"/>
  <c r="J8" i="503"/>
  <c r="H8" i="503"/>
  <c r="F8" i="503"/>
  <c r="W7" i="503"/>
  <c r="V7" i="503"/>
  <c r="N7" i="503"/>
  <c r="K7" i="503"/>
  <c r="L7" i="503" s="1"/>
  <c r="J7" i="503"/>
  <c r="P7" i="503" s="1"/>
  <c r="H7" i="503"/>
  <c r="F7" i="503"/>
  <c r="W6" i="503"/>
  <c r="V6" i="503"/>
  <c r="P6" i="503"/>
  <c r="N6" i="503"/>
  <c r="L6" i="503"/>
  <c r="K6" i="503"/>
  <c r="J6" i="503"/>
  <c r="H6" i="503"/>
  <c r="F6" i="503"/>
  <c r="AF5" i="503"/>
  <c r="W5" i="503"/>
  <c r="N5" i="503" s="1"/>
  <c r="K5" i="503"/>
  <c r="J5" i="503"/>
  <c r="H5" i="503"/>
  <c r="F5" i="503"/>
  <c r="I2" i="503"/>
  <c r="E1" i="503"/>
  <c r="G3" i="502" s="1"/>
  <c r="J22" i="502"/>
  <c r="H22" i="502"/>
  <c r="G22" i="502"/>
  <c r="F22" i="502"/>
  <c r="J21" i="502"/>
  <c r="H21" i="502"/>
  <c r="F21" i="502"/>
  <c r="D21" i="502"/>
  <c r="I20" i="502"/>
  <c r="H20" i="502"/>
  <c r="F20" i="502"/>
  <c r="E20" i="502"/>
  <c r="J19" i="502"/>
  <c r="I19" i="502"/>
  <c r="G19" i="502"/>
  <c r="F19" i="502"/>
  <c r="D19" i="502"/>
  <c r="M6" i="502" s="1"/>
  <c r="J18" i="502"/>
  <c r="I18" i="502"/>
  <c r="H18" i="502"/>
  <c r="D18" i="502"/>
  <c r="J17" i="502"/>
  <c r="J16" i="502"/>
  <c r="I16" i="502"/>
  <c r="H16" i="502"/>
  <c r="G16" i="502"/>
  <c r="F16" i="502"/>
  <c r="E16" i="502"/>
  <c r="D16" i="502"/>
  <c r="J15" i="502"/>
  <c r="J14" i="502"/>
  <c r="J13" i="502"/>
  <c r="O8" i="502"/>
  <c r="N8" i="502"/>
  <c r="M8" i="502"/>
  <c r="L8" i="502"/>
  <c r="O7" i="502"/>
  <c r="N7" i="502"/>
  <c r="M7" i="502"/>
  <c r="L7" i="502"/>
  <c r="AE79" i="501"/>
  <c r="J21" i="500" s="1"/>
  <c r="AD79" i="501"/>
  <c r="J20" i="500" s="1"/>
  <c r="AA79" i="501"/>
  <c r="Z79" i="501"/>
  <c r="M79" i="501"/>
  <c r="J79" i="501"/>
  <c r="W78" i="501"/>
  <c r="H78" i="501"/>
  <c r="W77" i="501"/>
  <c r="H77" i="501"/>
  <c r="W76" i="501"/>
  <c r="H76" i="501"/>
  <c r="W75" i="501"/>
  <c r="H75" i="501"/>
  <c r="W74" i="501"/>
  <c r="W73" i="501"/>
  <c r="W72" i="501"/>
  <c r="W71" i="501"/>
  <c r="AG70" i="501"/>
  <c r="W70" i="501"/>
  <c r="N70" i="501" s="1"/>
  <c r="P70" i="501"/>
  <c r="K70" i="501"/>
  <c r="K79" i="501" s="1"/>
  <c r="J70" i="501"/>
  <c r="L70" i="501" s="1"/>
  <c r="L79" i="501" s="1"/>
  <c r="J13" i="500" s="1"/>
  <c r="H70" i="501"/>
  <c r="F70" i="501"/>
  <c r="AE69" i="501"/>
  <c r="I21" i="500" s="1"/>
  <c r="AD69" i="501"/>
  <c r="I20" i="500" s="1"/>
  <c r="AA69" i="501"/>
  <c r="Z69" i="501"/>
  <c r="M69" i="501"/>
  <c r="W68" i="501"/>
  <c r="H68" i="501"/>
  <c r="W67" i="501"/>
  <c r="W66" i="501"/>
  <c r="W65" i="501"/>
  <c r="W64" i="501"/>
  <c r="W63" i="501"/>
  <c r="V63" i="501"/>
  <c r="P63" i="501"/>
  <c r="O63" i="501"/>
  <c r="N63" i="501"/>
  <c r="L63" i="501"/>
  <c r="Q63" i="501" s="1"/>
  <c r="K63" i="501"/>
  <c r="J63" i="501"/>
  <c r="H63" i="501"/>
  <c r="F63" i="501"/>
  <c r="W62" i="501"/>
  <c r="V62" i="501"/>
  <c r="R62" i="501"/>
  <c r="O62" i="501"/>
  <c r="N62" i="501"/>
  <c r="K62" i="501"/>
  <c r="L62" i="501" s="1"/>
  <c r="Q62" i="501" s="1"/>
  <c r="J62" i="501"/>
  <c r="P62" i="501" s="1"/>
  <c r="F62" i="501"/>
  <c r="H62" i="501" s="1"/>
  <c r="W61" i="501"/>
  <c r="N61" i="501" s="1"/>
  <c r="V61" i="501"/>
  <c r="P61" i="501"/>
  <c r="O61" i="501"/>
  <c r="L61" i="501"/>
  <c r="R61" i="501" s="1"/>
  <c r="K61" i="501"/>
  <c r="AF61" i="501" s="1"/>
  <c r="J61" i="501"/>
  <c r="F61" i="501"/>
  <c r="H61" i="501" s="1"/>
  <c r="W60" i="501"/>
  <c r="V60" i="501"/>
  <c r="N60" i="501"/>
  <c r="K60" i="501"/>
  <c r="J60" i="501"/>
  <c r="P60" i="501" s="1"/>
  <c r="F60" i="501"/>
  <c r="H60" i="501" s="1"/>
  <c r="W59" i="501"/>
  <c r="N59" i="501" s="1"/>
  <c r="P59" i="501"/>
  <c r="K59" i="501"/>
  <c r="J59" i="501"/>
  <c r="H59" i="501"/>
  <c r="F59" i="501"/>
  <c r="AE58" i="501"/>
  <c r="AD58" i="501"/>
  <c r="AA58" i="501"/>
  <c r="H19" i="500" s="1"/>
  <c r="Z58" i="501"/>
  <c r="M58" i="501"/>
  <c r="W57" i="501"/>
  <c r="W56" i="501"/>
  <c r="W55" i="501"/>
  <c r="W54" i="501"/>
  <c r="AG53" i="501"/>
  <c r="AF53" i="501"/>
  <c r="W53" i="501"/>
  <c r="AG52" i="501"/>
  <c r="AF52" i="501"/>
  <c r="W52" i="501"/>
  <c r="V52" i="501"/>
  <c r="P52" i="501"/>
  <c r="N52" i="501"/>
  <c r="O52" i="501" s="1"/>
  <c r="K52" i="501"/>
  <c r="L52" i="501" s="1"/>
  <c r="J52" i="501"/>
  <c r="H52" i="501"/>
  <c r="F52" i="501"/>
  <c r="AG51" i="501"/>
  <c r="AF51" i="501"/>
  <c r="W51" i="501"/>
  <c r="N51" i="501" s="1"/>
  <c r="O51" i="501" s="1"/>
  <c r="V51" i="501"/>
  <c r="P51" i="501"/>
  <c r="L51" i="501"/>
  <c r="K51" i="501"/>
  <c r="H51" i="501"/>
  <c r="F51" i="501"/>
  <c r="W50" i="501"/>
  <c r="N50" i="501" s="1"/>
  <c r="AG50" i="501" s="1"/>
  <c r="V50" i="501"/>
  <c r="P50" i="501"/>
  <c r="O50" i="501"/>
  <c r="K50" i="501"/>
  <c r="J50" i="501"/>
  <c r="L50" i="501" s="1"/>
  <c r="H50" i="501"/>
  <c r="F50" i="501"/>
  <c r="W49" i="501"/>
  <c r="O49" i="501"/>
  <c r="N49" i="501"/>
  <c r="K49" i="501"/>
  <c r="J49" i="501"/>
  <c r="H49" i="501"/>
  <c r="F49" i="501"/>
  <c r="AE48" i="501"/>
  <c r="G21" i="500" s="1"/>
  <c r="AD48" i="501"/>
  <c r="AA48" i="501"/>
  <c r="Z48" i="501"/>
  <c r="W48" i="501"/>
  <c r="M48" i="501"/>
  <c r="W47" i="501"/>
  <c r="H47" i="501"/>
  <c r="W46" i="501"/>
  <c r="W45" i="501"/>
  <c r="W44" i="501"/>
  <c r="W43" i="501"/>
  <c r="W42" i="501"/>
  <c r="W41" i="501"/>
  <c r="N41" i="501" s="1"/>
  <c r="V41" i="501"/>
  <c r="P41" i="501"/>
  <c r="L41" i="501"/>
  <c r="K41" i="501"/>
  <c r="J41" i="501"/>
  <c r="F41" i="501"/>
  <c r="H41" i="501" s="1"/>
  <c r="W40" i="501"/>
  <c r="V40" i="501"/>
  <c r="N40" i="501"/>
  <c r="K40" i="501"/>
  <c r="J40" i="501"/>
  <c r="P40" i="501" s="1"/>
  <c r="H40" i="501"/>
  <c r="F40" i="501"/>
  <c r="W39" i="501"/>
  <c r="N39" i="501" s="1"/>
  <c r="V39" i="501"/>
  <c r="Q39" i="501"/>
  <c r="P39" i="501"/>
  <c r="O39" i="501"/>
  <c r="R39" i="501" s="1"/>
  <c r="L39" i="501"/>
  <c r="K39" i="501"/>
  <c r="AG39" i="501" s="1"/>
  <c r="J39" i="501"/>
  <c r="H39" i="501"/>
  <c r="F39" i="501"/>
  <c r="AG38" i="501"/>
  <c r="W38" i="501"/>
  <c r="P38" i="501"/>
  <c r="O38" i="501"/>
  <c r="Q38" i="501" s="1"/>
  <c r="N38" i="501"/>
  <c r="L38" i="501"/>
  <c r="K38" i="501"/>
  <c r="K48" i="501" s="1"/>
  <c r="J38" i="501"/>
  <c r="F38" i="501"/>
  <c r="H38" i="501" s="1"/>
  <c r="AE37" i="501"/>
  <c r="AD37" i="501"/>
  <c r="AA37" i="501"/>
  <c r="F19" i="500" s="1"/>
  <c r="Z37" i="501"/>
  <c r="M37" i="501"/>
  <c r="W36" i="501"/>
  <c r="H36" i="501"/>
  <c r="W35" i="501"/>
  <c r="W34" i="501"/>
  <c r="W33" i="501"/>
  <c r="W32" i="501"/>
  <c r="AG31" i="501"/>
  <c r="AF31" i="501"/>
  <c r="W31" i="501"/>
  <c r="AG30" i="501"/>
  <c r="AF30" i="501"/>
  <c r="W30" i="501"/>
  <c r="W29" i="501"/>
  <c r="N29" i="501" s="1"/>
  <c r="V29" i="501"/>
  <c r="P29" i="501"/>
  <c r="O29" i="501"/>
  <c r="L29" i="501"/>
  <c r="K29" i="501"/>
  <c r="AF29" i="501" s="1"/>
  <c r="J29" i="501"/>
  <c r="F29" i="501"/>
  <c r="H29" i="501" s="1"/>
  <c r="W28" i="501"/>
  <c r="V28" i="501"/>
  <c r="N28" i="501"/>
  <c r="K28" i="501"/>
  <c r="J28" i="501"/>
  <c r="F28" i="501"/>
  <c r="H28" i="501" s="1"/>
  <c r="W27" i="501"/>
  <c r="N27" i="501" s="1"/>
  <c r="P27" i="501"/>
  <c r="L27" i="501"/>
  <c r="K27" i="501"/>
  <c r="J27" i="501"/>
  <c r="F27" i="501"/>
  <c r="H27" i="501" s="1"/>
  <c r="AE26" i="501"/>
  <c r="AD26" i="501"/>
  <c r="AA26" i="501"/>
  <c r="AA2" i="501" s="1"/>
  <c r="Z26" i="501"/>
  <c r="M26" i="501"/>
  <c r="K26" i="501"/>
  <c r="W25" i="501"/>
  <c r="H25" i="501"/>
  <c r="W24" i="501"/>
  <c r="H24" i="501"/>
  <c r="W23" i="501"/>
  <c r="W21" i="501"/>
  <c r="W20" i="501"/>
  <c r="N20" i="501" s="1"/>
  <c r="O20" i="501" s="1"/>
  <c r="V20" i="501"/>
  <c r="R20" i="501"/>
  <c r="Q20" i="501"/>
  <c r="P20" i="501"/>
  <c r="L20" i="501"/>
  <c r="K20" i="501"/>
  <c r="J20" i="501"/>
  <c r="F20" i="501"/>
  <c r="H20" i="501" s="1"/>
  <c r="W19" i="501"/>
  <c r="N19" i="501" s="1"/>
  <c r="V19" i="501"/>
  <c r="K19" i="501"/>
  <c r="J19" i="501"/>
  <c r="F19" i="501"/>
  <c r="H19" i="501" s="1"/>
  <c r="W18" i="501"/>
  <c r="N18" i="501" s="1"/>
  <c r="AG18" i="501" s="1"/>
  <c r="V18" i="501"/>
  <c r="O18" i="501"/>
  <c r="K18" i="501"/>
  <c r="J18" i="501"/>
  <c r="F18" i="501"/>
  <c r="H18" i="501" s="1"/>
  <c r="AF17" i="501"/>
  <c r="W17" i="501"/>
  <c r="N17" i="501" s="1"/>
  <c r="AG17" i="501" s="1"/>
  <c r="V17" i="501"/>
  <c r="P17" i="501"/>
  <c r="L17" i="501"/>
  <c r="K17" i="501"/>
  <c r="J17" i="501"/>
  <c r="F17" i="501"/>
  <c r="H17" i="501" s="1"/>
  <c r="W16" i="501"/>
  <c r="N16" i="501" s="1"/>
  <c r="Q16" i="501"/>
  <c r="O16" i="501"/>
  <c r="L16" i="501"/>
  <c r="K16" i="501"/>
  <c r="J16" i="501"/>
  <c r="P16" i="501" s="1"/>
  <c r="H16" i="501"/>
  <c r="F16" i="501"/>
  <c r="AE15" i="501"/>
  <c r="D21" i="500" s="1"/>
  <c r="AD15" i="501"/>
  <c r="AA15" i="501"/>
  <c r="Z15" i="501"/>
  <c r="M15" i="501"/>
  <c r="W14" i="501"/>
  <c r="W13" i="501"/>
  <c r="W12" i="501"/>
  <c r="AG11" i="501"/>
  <c r="AF11" i="501"/>
  <c r="W11" i="501"/>
  <c r="AG10" i="501"/>
  <c r="AF10" i="501"/>
  <c r="W10" i="501"/>
  <c r="AG9" i="501"/>
  <c r="AF9" i="501"/>
  <c r="W9" i="501"/>
  <c r="W8" i="501"/>
  <c r="N8" i="501" s="1"/>
  <c r="AF8" i="501" s="1"/>
  <c r="V8" i="501"/>
  <c r="P8" i="501"/>
  <c r="L8" i="501"/>
  <c r="K8" i="501"/>
  <c r="J8" i="501"/>
  <c r="H8" i="501"/>
  <c r="F8" i="501"/>
  <c r="W7" i="501"/>
  <c r="V7" i="501"/>
  <c r="O7" i="501"/>
  <c r="N7" i="501"/>
  <c r="K7" i="501"/>
  <c r="J7" i="501"/>
  <c r="H7" i="501"/>
  <c r="F7" i="501"/>
  <c r="AG6" i="501"/>
  <c r="AF6" i="501"/>
  <c r="W6" i="501"/>
  <c r="N6" i="501" s="1"/>
  <c r="V6" i="501"/>
  <c r="P6" i="501"/>
  <c r="O6" i="501"/>
  <c r="K6" i="501"/>
  <c r="J6" i="501"/>
  <c r="F6" i="501"/>
  <c r="H6" i="501" s="1"/>
  <c r="W5" i="501"/>
  <c r="N5" i="501" s="1"/>
  <c r="K5" i="501"/>
  <c r="J5" i="501"/>
  <c r="L5" i="501" s="1"/>
  <c r="H5" i="501"/>
  <c r="F5" i="501"/>
  <c r="I2" i="501"/>
  <c r="E1" i="501"/>
  <c r="G3" i="500" s="1"/>
  <c r="I22" i="500"/>
  <c r="H22" i="500"/>
  <c r="F22" i="500"/>
  <c r="E22" i="500"/>
  <c r="D22" i="500"/>
  <c r="H21" i="500"/>
  <c r="F21" i="500"/>
  <c r="E21" i="500"/>
  <c r="H20" i="500"/>
  <c r="G20" i="500"/>
  <c r="F20" i="500"/>
  <c r="E20" i="500"/>
  <c r="J19" i="500"/>
  <c r="I19" i="500"/>
  <c r="G19" i="500"/>
  <c r="E19" i="500"/>
  <c r="D19" i="500"/>
  <c r="J18" i="500"/>
  <c r="I18" i="500"/>
  <c r="H18" i="500"/>
  <c r="G18" i="500"/>
  <c r="E18" i="500"/>
  <c r="D18" i="500"/>
  <c r="J16" i="500"/>
  <c r="I16" i="500"/>
  <c r="H16" i="500"/>
  <c r="G16" i="500"/>
  <c r="F16" i="500"/>
  <c r="E16" i="500"/>
  <c r="D16" i="500"/>
  <c r="O8" i="500"/>
  <c r="N8" i="500"/>
  <c r="M8" i="500"/>
  <c r="L8" i="500"/>
  <c r="O7" i="500"/>
  <c r="N7" i="500"/>
  <c r="M7" i="500"/>
  <c r="L7" i="500"/>
  <c r="AG79" i="499"/>
  <c r="AF79" i="499"/>
  <c r="AE79" i="499"/>
  <c r="J21" i="498" s="1"/>
  <c r="AD79" i="499"/>
  <c r="J20" i="498" s="1"/>
  <c r="AA79" i="499"/>
  <c r="J18" i="498" s="1"/>
  <c r="Z79" i="499"/>
  <c r="W78" i="499"/>
  <c r="W77" i="499"/>
  <c r="W76" i="499"/>
  <c r="W75" i="499"/>
  <c r="W74" i="499"/>
  <c r="W73" i="499"/>
  <c r="W72" i="499"/>
  <c r="W71" i="499"/>
  <c r="AH70" i="499"/>
  <c r="AG70" i="499"/>
  <c r="AF70" i="499"/>
  <c r="W70" i="499"/>
  <c r="S70" i="499"/>
  <c r="AE69" i="499"/>
  <c r="AD69" i="499"/>
  <c r="AA69" i="499"/>
  <c r="Z69" i="499"/>
  <c r="M69" i="499"/>
  <c r="W68" i="499"/>
  <c r="H68" i="499"/>
  <c r="W67" i="499"/>
  <c r="W66" i="499"/>
  <c r="W65" i="499"/>
  <c r="W64" i="499"/>
  <c r="W63" i="499"/>
  <c r="AG62" i="499"/>
  <c r="AF62" i="499"/>
  <c r="W62" i="499"/>
  <c r="W61" i="499"/>
  <c r="V61" i="499"/>
  <c r="N61" i="499"/>
  <c r="O61" i="499" s="1"/>
  <c r="K61" i="499"/>
  <c r="AG61" i="499" s="1"/>
  <c r="J61" i="499"/>
  <c r="P61" i="499" s="1"/>
  <c r="H61" i="499"/>
  <c r="F61" i="499"/>
  <c r="W60" i="499"/>
  <c r="N60" i="499" s="1"/>
  <c r="V60" i="499"/>
  <c r="K60" i="499"/>
  <c r="L60" i="499" s="1"/>
  <c r="J60" i="499"/>
  <c r="P60" i="499" s="1"/>
  <c r="H60" i="499"/>
  <c r="F60" i="499"/>
  <c r="AG59" i="499"/>
  <c r="W59" i="499"/>
  <c r="N59" i="499"/>
  <c r="AF59" i="499" s="1"/>
  <c r="K59" i="499"/>
  <c r="J59" i="499"/>
  <c r="H59" i="499"/>
  <c r="F59" i="499"/>
  <c r="AE58" i="499"/>
  <c r="AD58" i="499"/>
  <c r="AA58" i="499"/>
  <c r="Z58" i="499"/>
  <c r="H18" i="498" s="1"/>
  <c r="M58" i="499"/>
  <c r="W57" i="499"/>
  <c r="W56" i="499"/>
  <c r="W55" i="499"/>
  <c r="W54" i="499"/>
  <c r="W53" i="499"/>
  <c r="N53" i="499" s="1"/>
  <c r="V53" i="499"/>
  <c r="K53" i="499"/>
  <c r="L53" i="499" s="1"/>
  <c r="J53" i="499"/>
  <c r="P53" i="499" s="1"/>
  <c r="H53" i="499"/>
  <c r="F53" i="499"/>
  <c r="W52" i="499"/>
  <c r="V52" i="499"/>
  <c r="P52" i="499"/>
  <c r="N52" i="499"/>
  <c r="K52" i="499"/>
  <c r="L52" i="499" s="1"/>
  <c r="F52" i="499"/>
  <c r="H52" i="499" s="1"/>
  <c r="W51" i="499"/>
  <c r="V51" i="499"/>
  <c r="P51" i="499"/>
  <c r="O51" i="499"/>
  <c r="R51" i="499" s="1"/>
  <c r="N51" i="499"/>
  <c r="AF51" i="499" s="1"/>
  <c r="L51" i="499"/>
  <c r="K51" i="499"/>
  <c r="F51" i="499"/>
  <c r="H51" i="499" s="1"/>
  <c r="W50" i="499"/>
  <c r="V50" i="499"/>
  <c r="P50" i="499"/>
  <c r="N50" i="499"/>
  <c r="K50" i="499"/>
  <c r="L50" i="499" s="1"/>
  <c r="J50" i="499"/>
  <c r="H50" i="499"/>
  <c r="F50" i="499"/>
  <c r="W49" i="499"/>
  <c r="O49" i="499"/>
  <c r="N49" i="499"/>
  <c r="K49" i="499"/>
  <c r="AG49" i="499" s="1"/>
  <c r="J49" i="499"/>
  <c r="P49" i="499" s="1"/>
  <c r="F49" i="499"/>
  <c r="H49" i="499" s="1"/>
  <c r="AE48" i="499"/>
  <c r="AD48" i="499"/>
  <c r="AA48" i="499"/>
  <c r="Z48" i="499"/>
  <c r="G18" i="498" s="1"/>
  <c r="W48" i="499"/>
  <c r="M48" i="499"/>
  <c r="K48" i="499"/>
  <c r="W47" i="499"/>
  <c r="H47" i="499"/>
  <c r="W46" i="499"/>
  <c r="W45" i="499"/>
  <c r="W44" i="499"/>
  <c r="W43" i="499"/>
  <c r="W42" i="499"/>
  <c r="N42" i="499" s="1"/>
  <c r="V42" i="499"/>
  <c r="O42" i="499"/>
  <c r="K42" i="499"/>
  <c r="J42" i="499"/>
  <c r="H42" i="499"/>
  <c r="F42" i="499"/>
  <c r="W41" i="499"/>
  <c r="N41" i="499" s="1"/>
  <c r="V41" i="499"/>
  <c r="K41" i="499"/>
  <c r="J41" i="499"/>
  <c r="H41" i="499"/>
  <c r="F41" i="499"/>
  <c r="AG40" i="499"/>
  <c r="W40" i="499"/>
  <c r="V40" i="499"/>
  <c r="P40" i="499"/>
  <c r="O40" i="499"/>
  <c r="N40" i="499"/>
  <c r="K40" i="499"/>
  <c r="J40" i="499"/>
  <c r="F40" i="499"/>
  <c r="H40" i="499" s="1"/>
  <c r="AG39" i="499"/>
  <c r="W39" i="499"/>
  <c r="V39" i="499"/>
  <c r="P39" i="499"/>
  <c r="O39" i="499"/>
  <c r="N39" i="499"/>
  <c r="AF39" i="499" s="1"/>
  <c r="K39" i="499"/>
  <c r="J39" i="499"/>
  <c r="H39" i="499"/>
  <c r="F39" i="499"/>
  <c r="AG38" i="499"/>
  <c r="AF38" i="499"/>
  <c r="W38" i="499"/>
  <c r="N38" i="499" s="1"/>
  <c r="O38" i="499" s="1"/>
  <c r="P38" i="499"/>
  <c r="K38" i="499"/>
  <c r="L38" i="499" s="1"/>
  <c r="R38" i="499" s="1"/>
  <c r="J38" i="499"/>
  <c r="H38" i="499"/>
  <c r="F38" i="499"/>
  <c r="AE37" i="499"/>
  <c r="AD37" i="499"/>
  <c r="F20" i="498" s="1"/>
  <c r="AA37" i="499"/>
  <c r="Z37" i="499"/>
  <c r="F18" i="498" s="1"/>
  <c r="P37" i="499"/>
  <c r="M37" i="499"/>
  <c r="J37" i="499"/>
  <c r="W36" i="499"/>
  <c r="H36" i="499"/>
  <c r="W35" i="499"/>
  <c r="W34" i="499"/>
  <c r="W33" i="499"/>
  <c r="W32" i="499"/>
  <c r="AG31" i="499"/>
  <c r="AF31" i="499"/>
  <c r="W31" i="499"/>
  <c r="W30" i="499"/>
  <c r="V30" i="499"/>
  <c r="P30" i="499"/>
  <c r="N30" i="499"/>
  <c r="K30" i="499"/>
  <c r="L30" i="499" s="1"/>
  <c r="J30" i="499"/>
  <c r="H30" i="499"/>
  <c r="F30" i="499"/>
  <c r="AG29" i="499"/>
  <c r="AF29" i="499"/>
  <c r="W29" i="499"/>
  <c r="N29" i="499" s="1"/>
  <c r="O29" i="499" s="1"/>
  <c r="V29" i="499"/>
  <c r="Q29" i="499"/>
  <c r="L29" i="499"/>
  <c r="R29" i="499" s="1"/>
  <c r="K29" i="499"/>
  <c r="J29" i="499"/>
  <c r="P29" i="499" s="1"/>
  <c r="H29" i="499"/>
  <c r="F29" i="499"/>
  <c r="W28" i="499"/>
  <c r="N28" i="499" s="1"/>
  <c r="AG28" i="499" s="1"/>
  <c r="V28" i="499"/>
  <c r="O28" i="499"/>
  <c r="K28" i="499"/>
  <c r="L28" i="499" s="1"/>
  <c r="L37" i="499" s="1"/>
  <c r="F13" i="498" s="1"/>
  <c r="J28" i="499"/>
  <c r="P28" i="499" s="1"/>
  <c r="F28" i="499"/>
  <c r="H28" i="499" s="1"/>
  <c r="AF27" i="499"/>
  <c r="W27" i="499"/>
  <c r="Q27" i="499"/>
  <c r="O27" i="499"/>
  <c r="N27" i="499"/>
  <c r="L27" i="499"/>
  <c r="K27" i="499"/>
  <c r="J27" i="499"/>
  <c r="P27" i="499" s="1"/>
  <c r="F27" i="499"/>
  <c r="H27" i="499" s="1"/>
  <c r="AE26" i="499"/>
  <c r="AD26" i="499"/>
  <c r="E20" i="498" s="1"/>
  <c r="AA26" i="499"/>
  <c r="E19" i="498" s="1"/>
  <c r="Z26" i="499"/>
  <c r="M26" i="499"/>
  <c r="K26" i="499"/>
  <c r="J26" i="499"/>
  <c r="W25" i="499"/>
  <c r="H25" i="499"/>
  <c r="W24" i="499"/>
  <c r="H24" i="499"/>
  <c r="W23" i="499"/>
  <c r="W21" i="499"/>
  <c r="W20" i="499"/>
  <c r="AG19" i="499"/>
  <c r="AF19" i="499"/>
  <c r="W19" i="499"/>
  <c r="AF18" i="499"/>
  <c r="W18" i="499"/>
  <c r="V18" i="499"/>
  <c r="R18" i="499"/>
  <c r="P18" i="499"/>
  <c r="N18" i="499"/>
  <c r="O18" i="499" s="1"/>
  <c r="Q18" i="499" s="1"/>
  <c r="L18" i="499"/>
  <c r="K18" i="499"/>
  <c r="J18" i="499"/>
  <c r="H18" i="499"/>
  <c r="F18" i="499"/>
  <c r="W17" i="499"/>
  <c r="N17" i="499" s="1"/>
  <c r="V17" i="499"/>
  <c r="P17" i="499"/>
  <c r="K17" i="499"/>
  <c r="L17" i="499" s="1"/>
  <c r="J17" i="499"/>
  <c r="H17" i="499"/>
  <c r="F17" i="499"/>
  <c r="AG16" i="499"/>
  <c r="W16" i="499"/>
  <c r="N16" i="499"/>
  <c r="L16" i="499"/>
  <c r="L26" i="499" s="1"/>
  <c r="E13" i="498" s="1"/>
  <c r="K16" i="499"/>
  <c r="J16" i="499"/>
  <c r="P16" i="499" s="1"/>
  <c r="F16" i="499"/>
  <c r="H16" i="499" s="1"/>
  <c r="AE15" i="499"/>
  <c r="AD15" i="499"/>
  <c r="AA15" i="499"/>
  <c r="Z15" i="499"/>
  <c r="P15" i="499"/>
  <c r="M15" i="499"/>
  <c r="D22" i="498" s="1"/>
  <c r="K15" i="499"/>
  <c r="J15" i="499"/>
  <c r="W14" i="499"/>
  <c r="W13" i="499"/>
  <c r="W12" i="499"/>
  <c r="AG11" i="499"/>
  <c r="AF11" i="499"/>
  <c r="W11" i="499"/>
  <c r="AG10" i="499"/>
  <c r="AF10" i="499"/>
  <c r="W10" i="499"/>
  <c r="AG9" i="499"/>
  <c r="AF9" i="499"/>
  <c r="W9" i="499"/>
  <c r="W8" i="499"/>
  <c r="N8" i="499" s="1"/>
  <c r="V8" i="499"/>
  <c r="P8" i="499"/>
  <c r="L8" i="499"/>
  <c r="K8" i="499"/>
  <c r="J8" i="499"/>
  <c r="H8" i="499"/>
  <c r="F8" i="499"/>
  <c r="AG7" i="499"/>
  <c r="AF7" i="499"/>
  <c r="W7" i="499"/>
  <c r="N7" i="499" s="1"/>
  <c r="V7" i="499"/>
  <c r="R7" i="499"/>
  <c r="P7" i="499"/>
  <c r="O7" i="499"/>
  <c r="L7" i="499"/>
  <c r="K7" i="499"/>
  <c r="J7" i="499"/>
  <c r="H7" i="499"/>
  <c r="F7" i="499"/>
  <c r="AG6" i="499"/>
  <c r="AF6" i="499"/>
  <c r="W6" i="499"/>
  <c r="V6" i="499"/>
  <c r="N6" i="499"/>
  <c r="O6" i="499" s="1"/>
  <c r="K6" i="499"/>
  <c r="J6" i="499"/>
  <c r="P6" i="499" s="1"/>
  <c r="H6" i="499"/>
  <c r="F6" i="499"/>
  <c r="AG5" i="499"/>
  <c r="W5" i="499"/>
  <c r="N5" i="499"/>
  <c r="L5" i="499"/>
  <c r="K5" i="499"/>
  <c r="J5" i="499"/>
  <c r="P5" i="499" s="1"/>
  <c r="H5" i="499"/>
  <c r="F5" i="499"/>
  <c r="I2" i="499"/>
  <c r="E1" i="499"/>
  <c r="J22" i="498"/>
  <c r="I22" i="498"/>
  <c r="G22" i="498"/>
  <c r="F22" i="498"/>
  <c r="I21" i="498"/>
  <c r="H21" i="498"/>
  <c r="G21" i="498"/>
  <c r="F21" i="498"/>
  <c r="E21" i="498"/>
  <c r="D21" i="498"/>
  <c r="I20" i="498"/>
  <c r="H20" i="498"/>
  <c r="G20" i="498"/>
  <c r="J19" i="498"/>
  <c r="I19" i="498"/>
  <c r="H19" i="498"/>
  <c r="G19" i="498"/>
  <c r="D19" i="498"/>
  <c r="I18" i="498"/>
  <c r="E18" i="498"/>
  <c r="J17" i="498"/>
  <c r="J16" i="498"/>
  <c r="I16" i="498"/>
  <c r="H16" i="498"/>
  <c r="G16" i="498"/>
  <c r="F16" i="498"/>
  <c r="E16" i="498"/>
  <c r="D16" i="498"/>
  <c r="J15" i="498"/>
  <c r="J14" i="498"/>
  <c r="J13" i="498"/>
  <c r="O8" i="498"/>
  <c r="N8" i="498"/>
  <c r="M8" i="498"/>
  <c r="L8" i="498"/>
  <c r="O7" i="498"/>
  <c r="N7" i="498"/>
  <c r="M7" i="498"/>
  <c r="L7" i="498"/>
  <c r="G3" i="498"/>
  <c r="AG79" i="497"/>
  <c r="AF79" i="497"/>
  <c r="AE79" i="497"/>
  <c r="J21" i="496" s="1"/>
  <c r="AD79" i="497"/>
  <c r="AA79" i="497"/>
  <c r="Z79" i="497"/>
  <c r="W78" i="497"/>
  <c r="W77" i="497"/>
  <c r="W76" i="497"/>
  <c r="W75" i="497"/>
  <c r="W74" i="497"/>
  <c r="W73" i="497"/>
  <c r="W72" i="497"/>
  <c r="W71" i="497"/>
  <c r="AH70" i="497"/>
  <c r="AG70" i="497"/>
  <c r="AF70" i="497"/>
  <c r="W70" i="497"/>
  <c r="S70" i="497"/>
  <c r="J15" i="496" s="1"/>
  <c r="AE69" i="497"/>
  <c r="I21" i="496" s="1"/>
  <c r="AD69" i="497"/>
  <c r="I20" i="496" s="1"/>
  <c r="AA69" i="497"/>
  <c r="I19" i="496" s="1"/>
  <c r="Z69" i="497"/>
  <c r="I18" i="496" s="1"/>
  <c r="M69" i="497"/>
  <c r="W68" i="497"/>
  <c r="H68" i="497"/>
  <c r="W67" i="497"/>
  <c r="W66" i="497"/>
  <c r="W65" i="497"/>
  <c r="W64" i="497"/>
  <c r="W63" i="497"/>
  <c r="AG62" i="497"/>
  <c r="AF62" i="497"/>
  <c r="W62" i="497"/>
  <c r="AG61" i="497"/>
  <c r="AF61" i="497"/>
  <c r="W61" i="497"/>
  <c r="AG60" i="497"/>
  <c r="AF60" i="497"/>
  <c r="W60" i="497"/>
  <c r="V60" i="497"/>
  <c r="N60" i="497"/>
  <c r="O60" i="497" s="1"/>
  <c r="R60" i="497" s="1"/>
  <c r="L60" i="497"/>
  <c r="K60" i="497"/>
  <c r="J60" i="497"/>
  <c r="P60" i="497" s="1"/>
  <c r="H60" i="497"/>
  <c r="F60" i="497"/>
  <c r="AG59" i="497"/>
  <c r="W59" i="497"/>
  <c r="N59" i="497" s="1"/>
  <c r="K59" i="497"/>
  <c r="K69" i="497" s="1"/>
  <c r="J59" i="497"/>
  <c r="H59" i="497"/>
  <c r="F59" i="497"/>
  <c r="AE58" i="497"/>
  <c r="H21" i="496" s="1"/>
  <c r="AD58" i="497"/>
  <c r="AA58" i="497"/>
  <c r="H19" i="496" s="1"/>
  <c r="Z58" i="497"/>
  <c r="M58" i="497"/>
  <c r="W57" i="497"/>
  <c r="W56" i="497"/>
  <c r="W55" i="497"/>
  <c r="W54" i="497"/>
  <c r="W53" i="497"/>
  <c r="N53" i="497" s="1"/>
  <c r="V53" i="497"/>
  <c r="K53" i="497"/>
  <c r="J53" i="497"/>
  <c r="P53" i="497" s="1"/>
  <c r="F53" i="497"/>
  <c r="H53" i="497" s="1"/>
  <c r="W52" i="497"/>
  <c r="V52" i="497"/>
  <c r="P52" i="497"/>
  <c r="N52" i="497"/>
  <c r="L52" i="497"/>
  <c r="K52" i="497"/>
  <c r="H52" i="497"/>
  <c r="F52" i="497"/>
  <c r="W51" i="497"/>
  <c r="N51" i="497" s="1"/>
  <c r="V51" i="497"/>
  <c r="P51" i="497"/>
  <c r="L51" i="497"/>
  <c r="K51" i="497"/>
  <c r="F51" i="497"/>
  <c r="H51" i="497" s="1"/>
  <c r="W50" i="497"/>
  <c r="V50" i="497"/>
  <c r="P50" i="497"/>
  <c r="N50" i="497"/>
  <c r="L50" i="497"/>
  <c r="K50" i="497"/>
  <c r="J50" i="497"/>
  <c r="F50" i="497"/>
  <c r="H50" i="497" s="1"/>
  <c r="W49" i="497"/>
  <c r="N49" i="497" s="1"/>
  <c r="O49" i="497"/>
  <c r="K49" i="497"/>
  <c r="J49" i="497"/>
  <c r="J58" i="497" s="1"/>
  <c r="P58" i="497" s="1"/>
  <c r="F49" i="497"/>
  <c r="H49" i="497" s="1"/>
  <c r="AE48" i="497"/>
  <c r="G21" i="496" s="1"/>
  <c r="AD48" i="497"/>
  <c r="G20" i="496" s="1"/>
  <c r="AA48" i="497"/>
  <c r="Z48" i="497"/>
  <c r="W48" i="497"/>
  <c r="M48" i="497"/>
  <c r="G22" i="496" s="1"/>
  <c r="J48" i="497"/>
  <c r="W47" i="497"/>
  <c r="H47" i="497"/>
  <c r="W46" i="497"/>
  <c r="W45" i="497"/>
  <c r="W44" i="497"/>
  <c r="W43" i="497"/>
  <c r="W42" i="497"/>
  <c r="N42" i="497" s="1"/>
  <c r="V42" i="497"/>
  <c r="P42" i="497"/>
  <c r="O42" i="497"/>
  <c r="K42" i="497"/>
  <c r="L42" i="497" s="1"/>
  <c r="J42" i="497"/>
  <c r="F42" i="497"/>
  <c r="H42" i="497" s="1"/>
  <c r="AF41" i="497"/>
  <c r="W41" i="497"/>
  <c r="N41" i="497" s="1"/>
  <c r="V41" i="497"/>
  <c r="P41" i="497"/>
  <c r="K41" i="497"/>
  <c r="L41" i="497" s="1"/>
  <c r="J41" i="497"/>
  <c r="H41" i="497"/>
  <c r="F41" i="497"/>
  <c r="W40" i="497"/>
  <c r="N40" i="497" s="1"/>
  <c r="V40" i="497"/>
  <c r="K40" i="497"/>
  <c r="J40" i="497"/>
  <c r="F40" i="497"/>
  <c r="H40" i="497" s="1"/>
  <c r="AF39" i="497"/>
  <c r="W39" i="497"/>
  <c r="V39" i="497"/>
  <c r="O39" i="497"/>
  <c r="Q39" i="497" s="1"/>
  <c r="N39" i="497"/>
  <c r="AG39" i="497" s="1"/>
  <c r="K39" i="497"/>
  <c r="L39" i="497" s="1"/>
  <c r="J39" i="497"/>
  <c r="P39" i="497" s="1"/>
  <c r="F39" i="497"/>
  <c r="H39" i="497" s="1"/>
  <c r="AF38" i="497"/>
  <c r="W38" i="497"/>
  <c r="N38" i="497"/>
  <c r="AG38" i="497" s="1"/>
  <c r="K38" i="497"/>
  <c r="J38" i="497"/>
  <c r="F38" i="497"/>
  <c r="H38" i="497" s="1"/>
  <c r="AE37" i="497"/>
  <c r="AD37" i="497"/>
  <c r="AD2" i="497" s="1"/>
  <c r="AA37" i="497"/>
  <c r="F19" i="496" s="1"/>
  <c r="Z37" i="497"/>
  <c r="M37" i="497"/>
  <c r="W36" i="497"/>
  <c r="H36" i="497"/>
  <c r="W35" i="497"/>
  <c r="W34" i="497"/>
  <c r="W33" i="497"/>
  <c r="W32" i="497"/>
  <c r="AG31" i="497"/>
  <c r="AF31" i="497"/>
  <c r="W31" i="497"/>
  <c r="AG30" i="497"/>
  <c r="AF30" i="497"/>
  <c r="W30" i="497"/>
  <c r="W29" i="497"/>
  <c r="V29" i="497"/>
  <c r="P29" i="497"/>
  <c r="N29" i="497"/>
  <c r="O29" i="497" s="1"/>
  <c r="K29" i="497"/>
  <c r="AG29" i="497" s="1"/>
  <c r="J29" i="497"/>
  <c r="H29" i="497"/>
  <c r="F29" i="497"/>
  <c r="W28" i="497"/>
  <c r="N28" i="497" s="1"/>
  <c r="AG28" i="497" s="1"/>
  <c r="V28" i="497"/>
  <c r="O28" i="497"/>
  <c r="K28" i="497"/>
  <c r="K37" i="497" s="1"/>
  <c r="J28" i="497"/>
  <c r="P28" i="497" s="1"/>
  <c r="F28" i="497"/>
  <c r="H28" i="497" s="1"/>
  <c r="W27" i="497"/>
  <c r="O27" i="497"/>
  <c r="N27" i="497"/>
  <c r="AG27" i="497" s="1"/>
  <c r="K27" i="497"/>
  <c r="J27" i="497"/>
  <c r="F27" i="497"/>
  <c r="H27" i="497" s="1"/>
  <c r="AE26" i="497"/>
  <c r="AD26" i="497"/>
  <c r="E20" i="496" s="1"/>
  <c r="AA26" i="497"/>
  <c r="Z26" i="497"/>
  <c r="N26" i="497"/>
  <c r="AF26" i="497" s="1"/>
  <c r="M26" i="497"/>
  <c r="K26" i="497"/>
  <c r="W25" i="497"/>
  <c r="H25" i="497"/>
  <c r="W24" i="497"/>
  <c r="H24" i="497"/>
  <c r="W23" i="497"/>
  <c r="W21" i="497"/>
  <c r="W20" i="497"/>
  <c r="AG19" i="497"/>
  <c r="AF19" i="497"/>
  <c r="W19" i="497"/>
  <c r="AG18" i="497"/>
  <c r="W18" i="497"/>
  <c r="V18" i="497"/>
  <c r="O18" i="497"/>
  <c r="N18" i="497"/>
  <c r="AF18" i="497" s="1"/>
  <c r="K18" i="497"/>
  <c r="J18" i="497"/>
  <c r="P18" i="497" s="1"/>
  <c r="H18" i="497"/>
  <c r="F18" i="497"/>
  <c r="AG17" i="497"/>
  <c r="W17" i="497"/>
  <c r="V17" i="497"/>
  <c r="N17" i="497"/>
  <c r="AF17" i="497" s="1"/>
  <c r="L17" i="497"/>
  <c r="K17" i="497"/>
  <c r="J17" i="497"/>
  <c r="P17" i="497" s="1"/>
  <c r="H17" i="497"/>
  <c r="F17" i="497"/>
  <c r="AG16" i="497"/>
  <c r="W16" i="497"/>
  <c r="O16" i="497"/>
  <c r="N16" i="497"/>
  <c r="AF16" i="497" s="1"/>
  <c r="K16" i="497"/>
  <c r="J16" i="497"/>
  <c r="J26" i="497" s="1"/>
  <c r="H16" i="497"/>
  <c r="F16" i="497"/>
  <c r="AE15" i="497"/>
  <c r="D21" i="496" s="1"/>
  <c r="AD15" i="497"/>
  <c r="AA15" i="497"/>
  <c r="Z15" i="497"/>
  <c r="D18" i="496" s="1"/>
  <c r="M15" i="497"/>
  <c r="W14" i="497"/>
  <c r="W13" i="497"/>
  <c r="W12" i="497"/>
  <c r="AG11" i="497"/>
  <c r="AF11" i="497"/>
  <c r="W11" i="497"/>
  <c r="AG10" i="497"/>
  <c r="AF10" i="497"/>
  <c r="W10" i="497"/>
  <c r="AG9" i="497"/>
  <c r="AF9" i="497"/>
  <c r="W9" i="497"/>
  <c r="W8" i="497"/>
  <c r="N8" i="497" s="1"/>
  <c r="V8" i="497"/>
  <c r="K8" i="497"/>
  <c r="L8" i="497" s="1"/>
  <c r="J8" i="497"/>
  <c r="P8" i="497" s="1"/>
  <c r="H8" i="497"/>
  <c r="F8" i="497"/>
  <c r="W7" i="497"/>
  <c r="N7" i="497" s="1"/>
  <c r="V7" i="497"/>
  <c r="K7" i="497"/>
  <c r="J7" i="497"/>
  <c r="P7" i="497" s="1"/>
  <c r="H7" i="497"/>
  <c r="F7" i="497"/>
  <c r="W6" i="497"/>
  <c r="V6" i="497"/>
  <c r="P6" i="497"/>
  <c r="N6" i="497"/>
  <c r="K6" i="497"/>
  <c r="J6" i="497"/>
  <c r="H6" i="497"/>
  <c r="F6" i="497"/>
  <c r="W5" i="497"/>
  <c r="P5" i="497"/>
  <c r="N5" i="497"/>
  <c r="L5" i="497"/>
  <c r="K5" i="497"/>
  <c r="J5" i="497"/>
  <c r="H5" i="497"/>
  <c r="F5" i="497"/>
  <c r="I2" i="497"/>
  <c r="E1" i="497"/>
  <c r="G3" i="496" s="1"/>
  <c r="J22" i="496"/>
  <c r="H22" i="496"/>
  <c r="F22" i="496"/>
  <c r="D22" i="496"/>
  <c r="F21" i="496"/>
  <c r="E21" i="496"/>
  <c r="J20" i="496"/>
  <c r="H20" i="496"/>
  <c r="F20" i="496"/>
  <c r="O6" i="496" s="1"/>
  <c r="D20" i="496"/>
  <c r="J19" i="496"/>
  <c r="G19" i="496"/>
  <c r="E19" i="496"/>
  <c r="J18" i="496"/>
  <c r="H18" i="496"/>
  <c r="G18" i="496"/>
  <c r="F18" i="496"/>
  <c r="E18" i="496"/>
  <c r="J17" i="496"/>
  <c r="J16" i="496"/>
  <c r="I16" i="496"/>
  <c r="H16" i="496"/>
  <c r="G16" i="496"/>
  <c r="F16" i="496"/>
  <c r="E16" i="496"/>
  <c r="D16" i="496"/>
  <c r="J14" i="496"/>
  <c r="J13" i="496"/>
  <c r="O8" i="496"/>
  <c r="N8" i="496"/>
  <c r="M8" i="496"/>
  <c r="L8" i="496"/>
  <c r="O7" i="496"/>
  <c r="N7" i="496"/>
  <c r="M7" i="496"/>
  <c r="L7" i="496"/>
  <c r="L6" i="496"/>
  <c r="AG79" i="495"/>
  <c r="AF79" i="495"/>
  <c r="AE79" i="495"/>
  <c r="J21" i="494" s="1"/>
  <c r="AD79" i="495"/>
  <c r="J20" i="494" s="1"/>
  <c r="AA79" i="495"/>
  <c r="J18" i="494" s="1"/>
  <c r="Z79" i="495"/>
  <c r="W78" i="495"/>
  <c r="H78" i="495"/>
  <c r="W77" i="495"/>
  <c r="H77" i="495"/>
  <c r="W76" i="495"/>
  <c r="H76" i="495"/>
  <c r="W75" i="495"/>
  <c r="H75" i="495"/>
  <c r="W74" i="495"/>
  <c r="W73" i="495"/>
  <c r="W72" i="495"/>
  <c r="W71" i="495"/>
  <c r="AH70" i="495"/>
  <c r="AG70" i="495"/>
  <c r="AF70" i="495"/>
  <c r="W70" i="495"/>
  <c r="S70" i="495"/>
  <c r="AE69" i="495"/>
  <c r="AD69" i="495"/>
  <c r="AA69" i="495"/>
  <c r="Z69" i="495"/>
  <c r="I18" i="494" s="1"/>
  <c r="M69" i="495"/>
  <c r="J69" i="495"/>
  <c r="P69" i="495" s="1"/>
  <c r="W68" i="495"/>
  <c r="H68" i="495"/>
  <c r="W67" i="495"/>
  <c r="W66" i="495"/>
  <c r="W65" i="495"/>
  <c r="W64" i="495"/>
  <c r="W63" i="495"/>
  <c r="W62" i="495"/>
  <c r="N62" i="495" s="1"/>
  <c r="V62" i="495"/>
  <c r="P62" i="495"/>
  <c r="K62" i="495"/>
  <c r="J62" i="495"/>
  <c r="L62" i="495" s="1"/>
  <c r="H62" i="495"/>
  <c r="F62" i="495"/>
  <c r="W61" i="495"/>
  <c r="N61" i="495" s="1"/>
  <c r="AF61" i="495" s="1"/>
  <c r="V61" i="495"/>
  <c r="P61" i="495"/>
  <c r="K61" i="495"/>
  <c r="L61" i="495" s="1"/>
  <c r="J61" i="495"/>
  <c r="H61" i="495"/>
  <c r="F61" i="495"/>
  <c r="W60" i="495"/>
  <c r="V60" i="495"/>
  <c r="O60" i="495"/>
  <c r="N60" i="495"/>
  <c r="K60" i="495"/>
  <c r="J60" i="495"/>
  <c r="P60" i="495" s="1"/>
  <c r="F60" i="495"/>
  <c r="H60" i="495" s="1"/>
  <c r="W59" i="495"/>
  <c r="P59" i="495"/>
  <c r="N59" i="495"/>
  <c r="K59" i="495"/>
  <c r="H59" i="495"/>
  <c r="F59" i="495"/>
  <c r="AE58" i="495"/>
  <c r="AD58" i="495"/>
  <c r="AA58" i="495"/>
  <c r="H19" i="494" s="1"/>
  <c r="Z58" i="495"/>
  <c r="M58" i="495"/>
  <c r="H22" i="494" s="1"/>
  <c r="W57" i="495"/>
  <c r="W56" i="495"/>
  <c r="W55" i="495"/>
  <c r="W54" i="495"/>
  <c r="AG53" i="495"/>
  <c r="AF53" i="495"/>
  <c r="W53" i="495"/>
  <c r="V53" i="495"/>
  <c r="R53" i="495"/>
  <c r="P53" i="495"/>
  <c r="N53" i="495"/>
  <c r="O53" i="495" s="1"/>
  <c r="L53" i="495"/>
  <c r="K53" i="495"/>
  <c r="J53" i="495"/>
  <c r="H53" i="495"/>
  <c r="F53" i="495"/>
  <c r="AG52" i="495"/>
  <c r="AF52" i="495"/>
  <c r="W52" i="495"/>
  <c r="N52" i="495" s="1"/>
  <c r="V52" i="495"/>
  <c r="P52" i="495"/>
  <c r="O52" i="495"/>
  <c r="K52" i="495"/>
  <c r="L52" i="495" s="1"/>
  <c r="J52" i="495"/>
  <c r="F52" i="495"/>
  <c r="H52" i="495" s="1"/>
  <c r="W51" i="495"/>
  <c r="V51" i="495"/>
  <c r="O51" i="495"/>
  <c r="N51" i="495"/>
  <c r="K51" i="495"/>
  <c r="L51" i="495" s="1"/>
  <c r="J51" i="495"/>
  <c r="P51" i="495" s="1"/>
  <c r="F51" i="495"/>
  <c r="H51" i="495" s="1"/>
  <c r="W50" i="495"/>
  <c r="V50" i="495"/>
  <c r="N50" i="495"/>
  <c r="K50" i="495"/>
  <c r="J50" i="495"/>
  <c r="P50" i="495" s="1"/>
  <c r="H50" i="495"/>
  <c r="F50" i="495"/>
  <c r="W49" i="495"/>
  <c r="N49" i="495"/>
  <c r="K49" i="495"/>
  <c r="J49" i="495"/>
  <c r="H49" i="495"/>
  <c r="F49" i="495"/>
  <c r="AE48" i="495"/>
  <c r="AD48" i="495"/>
  <c r="G20" i="494" s="1"/>
  <c r="AA48" i="495"/>
  <c r="Z48" i="495"/>
  <c r="W48" i="495"/>
  <c r="M48" i="495"/>
  <c r="W47" i="495"/>
  <c r="H47" i="495"/>
  <c r="W46" i="495"/>
  <c r="W45" i="495"/>
  <c r="W44" i="495"/>
  <c r="W43" i="495"/>
  <c r="W42" i="495"/>
  <c r="V42" i="495"/>
  <c r="N42" i="495"/>
  <c r="O42" i="495" s="1"/>
  <c r="K42" i="495"/>
  <c r="L42" i="495" s="1"/>
  <c r="J42" i="495"/>
  <c r="P42" i="495" s="1"/>
  <c r="F42" i="495"/>
  <c r="H42" i="495" s="1"/>
  <c r="AG41" i="495"/>
  <c r="W41" i="495"/>
  <c r="N41" i="495" s="1"/>
  <c r="V41" i="495"/>
  <c r="P41" i="495"/>
  <c r="L41" i="495"/>
  <c r="K41" i="495"/>
  <c r="J41" i="495"/>
  <c r="H41" i="495"/>
  <c r="F41" i="495"/>
  <c r="W40" i="495"/>
  <c r="N40" i="495" s="1"/>
  <c r="O40" i="495" s="1"/>
  <c r="V40" i="495"/>
  <c r="P40" i="495"/>
  <c r="K40" i="495"/>
  <c r="J40" i="495"/>
  <c r="H40" i="495"/>
  <c r="F40" i="495"/>
  <c r="W39" i="495"/>
  <c r="N39" i="495" s="1"/>
  <c r="V39" i="495"/>
  <c r="O39" i="495"/>
  <c r="K39" i="495"/>
  <c r="J39" i="495"/>
  <c r="P39" i="495" s="1"/>
  <c r="F39" i="495"/>
  <c r="H39" i="495" s="1"/>
  <c r="W38" i="495"/>
  <c r="N38" i="495" s="1"/>
  <c r="K38" i="495"/>
  <c r="J38" i="495"/>
  <c r="H38" i="495"/>
  <c r="F38" i="495"/>
  <c r="AE37" i="495"/>
  <c r="F21" i="494" s="1"/>
  <c r="AD37" i="495"/>
  <c r="F20" i="494" s="1"/>
  <c r="AA37" i="495"/>
  <c r="Z37" i="495"/>
  <c r="F18" i="494" s="1"/>
  <c r="L6" i="494" s="1"/>
  <c r="M37" i="495"/>
  <c r="W36" i="495"/>
  <c r="H36" i="495"/>
  <c r="W35" i="495"/>
  <c r="W34" i="495"/>
  <c r="W33" i="495"/>
  <c r="W32" i="495"/>
  <c r="AG31" i="495"/>
  <c r="AF31" i="495"/>
  <c r="W31" i="495"/>
  <c r="AG30" i="495"/>
  <c r="AF30" i="495"/>
  <c r="W30" i="495"/>
  <c r="W29" i="495"/>
  <c r="N29" i="495" s="1"/>
  <c r="V29" i="495"/>
  <c r="P29" i="495"/>
  <c r="L29" i="495"/>
  <c r="K29" i="495"/>
  <c r="J29" i="495"/>
  <c r="H29" i="495"/>
  <c r="F29" i="495"/>
  <c r="AG28" i="495"/>
  <c r="W28" i="495"/>
  <c r="N28" i="495" s="1"/>
  <c r="AF28" i="495" s="1"/>
  <c r="V28" i="495"/>
  <c r="P28" i="495"/>
  <c r="L28" i="495"/>
  <c r="K28" i="495"/>
  <c r="J28" i="495"/>
  <c r="F28" i="495"/>
  <c r="H28" i="495" s="1"/>
  <c r="AG27" i="495"/>
  <c r="AF27" i="495"/>
  <c r="W27" i="495"/>
  <c r="N27" i="495" s="1"/>
  <c r="O27" i="495" s="1"/>
  <c r="K27" i="495"/>
  <c r="K37" i="495" s="1"/>
  <c r="J27" i="495"/>
  <c r="H27" i="495"/>
  <c r="F27" i="495"/>
  <c r="AE26" i="495"/>
  <c r="E21" i="494" s="1"/>
  <c r="AD26" i="495"/>
  <c r="AA26" i="495"/>
  <c r="Z26" i="495"/>
  <c r="M26" i="495"/>
  <c r="W25" i="495"/>
  <c r="H25" i="495"/>
  <c r="W24" i="495"/>
  <c r="H24" i="495"/>
  <c r="W23" i="495"/>
  <c r="W21" i="495"/>
  <c r="W20" i="495"/>
  <c r="W19" i="495"/>
  <c r="N19" i="495" s="1"/>
  <c r="V19" i="495"/>
  <c r="P19" i="495"/>
  <c r="O19" i="495"/>
  <c r="K19" i="495"/>
  <c r="J19" i="495"/>
  <c r="F19" i="495"/>
  <c r="H19" i="495" s="1"/>
  <c r="AF18" i="495"/>
  <c r="W18" i="495"/>
  <c r="V18" i="495"/>
  <c r="O18" i="495"/>
  <c r="N18" i="495"/>
  <c r="AG18" i="495" s="1"/>
  <c r="L18" i="495"/>
  <c r="K18" i="495"/>
  <c r="J18" i="495"/>
  <c r="P18" i="495" s="1"/>
  <c r="F18" i="495"/>
  <c r="H18" i="495" s="1"/>
  <c r="AG17" i="495"/>
  <c r="W17" i="495"/>
  <c r="V17" i="495"/>
  <c r="P17" i="495"/>
  <c r="O17" i="495"/>
  <c r="N17" i="495"/>
  <c r="AF17" i="495" s="1"/>
  <c r="L17" i="495"/>
  <c r="K17" i="495"/>
  <c r="J17" i="495"/>
  <c r="H17" i="495"/>
  <c r="F17" i="495"/>
  <c r="W16" i="495"/>
  <c r="P16" i="495"/>
  <c r="N16" i="495"/>
  <c r="K16" i="495"/>
  <c r="J16" i="495"/>
  <c r="L16" i="495" s="1"/>
  <c r="H16" i="495"/>
  <c r="F16" i="495"/>
  <c r="AE15" i="495"/>
  <c r="AD15" i="495"/>
  <c r="AA15" i="495"/>
  <c r="Z15" i="495"/>
  <c r="D18" i="494" s="1"/>
  <c r="M15" i="495"/>
  <c r="K15" i="495"/>
  <c r="W14" i="495"/>
  <c r="W13" i="495"/>
  <c r="W12" i="495"/>
  <c r="AG11" i="495"/>
  <c r="AF11" i="495"/>
  <c r="W11" i="495"/>
  <c r="AG10" i="495"/>
  <c r="AF10" i="495"/>
  <c r="W10" i="495"/>
  <c r="W9" i="495"/>
  <c r="N9" i="495" s="1"/>
  <c r="V9" i="495"/>
  <c r="P9" i="495"/>
  <c r="L9" i="495"/>
  <c r="K9" i="495"/>
  <c r="J9" i="495"/>
  <c r="H9" i="495"/>
  <c r="F9" i="495"/>
  <c r="AG8" i="495"/>
  <c r="AF8" i="495"/>
  <c r="W8" i="495"/>
  <c r="V8" i="495"/>
  <c r="R8" i="495"/>
  <c r="Q8" i="495"/>
  <c r="O8" i="495"/>
  <c r="N8" i="495"/>
  <c r="K8" i="495"/>
  <c r="L8" i="495" s="1"/>
  <c r="J8" i="495"/>
  <c r="P8" i="495" s="1"/>
  <c r="H8" i="495"/>
  <c r="F8" i="495"/>
  <c r="AG7" i="495"/>
  <c r="AF7" i="495"/>
  <c r="W7" i="495"/>
  <c r="V7" i="495"/>
  <c r="Q7" i="495"/>
  <c r="P7" i="495"/>
  <c r="N7" i="495"/>
  <c r="O7" i="495" s="1"/>
  <c r="R7" i="495" s="1"/>
  <c r="L7" i="495"/>
  <c r="K7" i="495"/>
  <c r="J7" i="495"/>
  <c r="H7" i="495"/>
  <c r="F7" i="495"/>
  <c r="AG6" i="495"/>
  <c r="AF6" i="495"/>
  <c r="W6" i="495"/>
  <c r="V6" i="495"/>
  <c r="O6" i="495"/>
  <c r="N6" i="495"/>
  <c r="K6" i="495"/>
  <c r="J6" i="495"/>
  <c r="F6" i="495"/>
  <c r="H6" i="495" s="1"/>
  <c r="AG5" i="495"/>
  <c r="AF5" i="495"/>
  <c r="W5" i="495"/>
  <c r="R5" i="495"/>
  <c r="Q5" i="495"/>
  <c r="P5" i="495"/>
  <c r="O5" i="495"/>
  <c r="N5" i="495"/>
  <c r="L5" i="495"/>
  <c r="K5" i="495"/>
  <c r="J5" i="495"/>
  <c r="F5" i="495"/>
  <c r="H5" i="495" s="1"/>
  <c r="I2" i="495"/>
  <c r="E1" i="495"/>
  <c r="G3" i="494" s="1"/>
  <c r="J22" i="494"/>
  <c r="I22" i="494"/>
  <c r="E22" i="494"/>
  <c r="D22" i="494"/>
  <c r="I21" i="494"/>
  <c r="H21" i="494"/>
  <c r="G21" i="494"/>
  <c r="I20" i="494"/>
  <c r="H20" i="494"/>
  <c r="E20" i="494"/>
  <c r="D20" i="494"/>
  <c r="J19" i="494"/>
  <c r="I19" i="494"/>
  <c r="G19" i="494"/>
  <c r="F19" i="494"/>
  <c r="D19" i="494"/>
  <c r="H18" i="494"/>
  <c r="G18" i="494"/>
  <c r="E18" i="494"/>
  <c r="J17" i="494"/>
  <c r="J16" i="494"/>
  <c r="I16" i="494"/>
  <c r="H16" i="494"/>
  <c r="G16" i="494"/>
  <c r="F16" i="494"/>
  <c r="E16" i="494"/>
  <c r="D16" i="494"/>
  <c r="J15" i="494"/>
  <c r="J14" i="494"/>
  <c r="J13" i="494"/>
  <c r="O8" i="494"/>
  <c r="N8" i="494"/>
  <c r="M8" i="494"/>
  <c r="L8" i="494"/>
  <c r="O7" i="494"/>
  <c r="N7" i="494"/>
  <c r="M7" i="494"/>
  <c r="L7" i="494"/>
  <c r="AG79" i="493"/>
  <c r="AH70" i="493" s="1"/>
  <c r="AF79" i="493"/>
  <c r="AE79" i="493"/>
  <c r="J21" i="492" s="1"/>
  <c r="AD79" i="493"/>
  <c r="J20" i="492" s="1"/>
  <c r="AA79" i="493"/>
  <c r="Z79" i="493"/>
  <c r="W78" i="493"/>
  <c r="H78" i="493"/>
  <c r="W77" i="493"/>
  <c r="H77" i="493"/>
  <c r="W76" i="493"/>
  <c r="H76" i="493"/>
  <c r="W75" i="493"/>
  <c r="W74" i="493"/>
  <c r="W73" i="493"/>
  <c r="W72" i="493"/>
  <c r="W71" i="493"/>
  <c r="AG70" i="493"/>
  <c r="AF70" i="493"/>
  <c r="W70" i="493"/>
  <c r="S70" i="493"/>
  <c r="AE69" i="493"/>
  <c r="I21" i="492" s="1"/>
  <c r="AD69" i="493"/>
  <c r="I20" i="492" s="1"/>
  <c r="AA69" i="493"/>
  <c r="I19" i="492" s="1"/>
  <c r="Z69" i="493"/>
  <c r="M69" i="493"/>
  <c r="W68" i="493"/>
  <c r="H68" i="493"/>
  <c r="W67" i="493"/>
  <c r="W66" i="493"/>
  <c r="W65" i="493"/>
  <c r="W64" i="493"/>
  <c r="W63" i="493"/>
  <c r="N63" i="493" s="1"/>
  <c r="O63" i="493" s="1"/>
  <c r="V63" i="493"/>
  <c r="K63" i="493"/>
  <c r="J63" i="493"/>
  <c r="P63" i="493" s="1"/>
  <c r="F63" i="493"/>
  <c r="H63" i="493" s="1"/>
  <c r="W62" i="493"/>
  <c r="V62" i="493"/>
  <c r="P62" i="493"/>
  <c r="O62" i="493"/>
  <c r="N62" i="493"/>
  <c r="K62" i="493"/>
  <c r="AG62" i="493" s="1"/>
  <c r="J62" i="493"/>
  <c r="H62" i="493"/>
  <c r="F62" i="493"/>
  <c r="AG61" i="493"/>
  <c r="W61" i="493"/>
  <c r="V61" i="493"/>
  <c r="P61" i="493"/>
  <c r="N61" i="493"/>
  <c r="AF61" i="493" s="1"/>
  <c r="K61" i="493"/>
  <c r="L61" i="493" s="1"/>
  <c r="J61" i="493"/>
  <c r="F61" i="493"/>
  <c r="H61" i="493" s="1"/>
  <c r="W60" i="493"/>
  <c r="V60" i="493"/>
  <c r="O60" i="493"/>
  <c r="N60" i="493"/>
  <c r="K60" i="493"/>
  <c r="J60" i="493"/>
  <c r="F60" i="493"/>
  <c r="H60" i="493" s="1"/>
  <c r="W59" i="493"/>
  <c r="N59" i="493" s="1"/>
  <c r="P59" i="493"/>
  <c r="K59" i="493"/>
  <c r="J59" i="493"/>
  <c r="F59" i="493"/>
  <c r="H59" i="493" s="1"/>
  <c r="AE58" i="493"/>
  <c r="H21" i="492" s="1"/>
  <c r="AD58" i="493"/>
  <c r="H20" i="492" s="1"/>
  <c r="AA58" i="493"/>
  <c r="H19" i="492" s="1"/>
  <c r="Z58" i="493"/>
  <c r="M58" i="493"/>
  <c r="W57" i="493"/>
  <c r="W56" i="493"/>
  <c r="W55" i="493"/>
  <c r="W54" i="493"/>
  <c r="AF53" i="493"/>
  <c r="W53" i="493"/>
  <c r="V53" i="493"/>
  <c r="P53" i="493"/>
  <c r="N53" i="493"/>
  <c r="K53" i="493"/>
  <c r="J53" i="493"/>
  <c r="L53" i="493" s="1"/>
  <c r="F53" i="493"/>
  <c r="H53" i="493" s="1"/>
  <c r="AG52" i="493"/>
  <c r="W52" i="493"/>
  <c r="N52" i="493" s="1"/>
  <c r="V52" i="493"/>
  <c r="P52" i="493"/>
  <c r="K52" i="493"/>
  <c r="J52" i="493"/>
  <c r="L52" i="493" s="1"/>
  <c r="F52" i="493"/>
  <c r="H52" i="493" s="1"/>
  <c r="AG51" i="493"/>
  <c r="AF51" i="493"/>
  <c r="W51" i="493"/>
  <c r="N51" i="493" s="1"/>
  <c r="V51" i="493"/>
  <c r="P51" i="493"/>
  <c r="O51" i="493"/>
  <c r="K51" i="493"/>
  <c r="J51" i="493"/>
  <c r="L51" i="493" s="1"/>
  <c r="F51" i="493"/>
  <c r="H51" i="493" s="1"/>
  <c r="AG50" i="493"/>
  <c r="W50" i="493"/>
  <c r="N50" i="493" s="1"/>
  <c r="V50" i="493"/>
  <c r="L50" i="493"/>
  <c r="K50" i="493"/>
  <c r="J50" i="493"/>
  <c r="P50" i="493" s="1"/>
  <c r="H50" i="493"/>
  <c r="F50" i="493"/>
  <c r="W49" i="493"/>
  <c r="P49" i="493"/>
  <c r="N49" i="493"/>
  <c r="L49" i="493"/>
  <c r="K49" i="493"/>
  <c r="K58" i="493" s="1"/>
  <c r="J49" i="493"/>
  <c r="J58" i="493" s="1"/>
  <c r="P58" i="493" s="1"/>
  <c r="F49" i="493"/>
  <c r="H49" i="493" s="1"/>
  <c r="AE48" i="493"/>
  <c r="AD48" i="493"/>
  <c r="AA48" i="493"/>
  <c r="G19" i="492" s="1"/>
  <c r="Z48" i="493"/>
  <c r="G18" i="492" s="1"/>
  <c r="W48" i="493"/>
  <c r="M48" i="493"/>
  <c r="G22" i="492" s="1"/>
  <c r="W47" i="493"/>
  <c r="H47" i="493"/>
  <c r="W46" i="493"/>
  <c r="W45" i="493"/>
  <c r="W44" i="493"/>
  <c r="W43" i="493"/>
  <c r="W42" i="493"/>
  <c r="V42" i="493"/>
  <c r="N42" i="493"/>
  <c r="O42" i="493" s="1"/>
  <c r="K42" i="493"/>
  <c r="J42" i="493"/>
  <c r="P42" i="493" s="1"/>
  <c r="H42" i="493"/>
  <c r="F42" i="493"/>
  <c r="W41" i="493"/>
  <c r="N41" i="493" s="1"/>
  <c r="V41" i="493"/>
  <c r="P41" i="493"/>
  <c r="O41" i="493"/>
  <c r="K41" i="493"/>
  <c r="L41" i="493" s="1"/>
  <c r="J41" i="493"/>
  <c r="F41" i="493"/>
  <c r="H41" i="493" s="1"/>
  <c r="W40" i="493"/>
  <c r="V40" i="493"/>
  <c r="P40" i="493"/>
  <c r="N40" i="493"/>
  <c r="K40" i="493"/>
  <c r="L40" i="493" s="1"/>
  <c r="J40" i="493"/>
  <c r="H40" i="493"/>
  <c r="F40" i="493"/>
  <c r="W39" i="493"/>
  <c r="N39" i="493" s="1"/>
  <c r="V39" i="493"/>
  <c r="P39" i="493"/>
  <c r="L39" i="493"/>
  <c r="K39" i="493"/>
  <c r="J39" i="493"/>
  <c r="F39" i="493"/>
  <c r="H39" i="493" s="1"/>
  <c r="AG38" i="493"/>
  <c r="AF38" i="493"/>
  <c r="W38" i="493"/>
  <c r="N38" i="493" s="1"/>
  <c r="Q38" i="493"/>
  <c r="P38" i="493"/>
  <c r="O38" i="493"/>
  <c r="L38" i="493"/>
  <c r="K38" i="493"/>
  <c r="J38" i="493"/>
  <c r="F38" i="493"/>
  <c r="H38" i="493" s="1"/>
  <c r="AE37" i="493"/>
  <c r="F21" i="492" s="1"/>
  <c r="AD37" i="493"/>
  <c r="AA37" i="493"/>
  <c r="Z37" i="493"/>
  <c r="F18" i="492" s="1"/>
  <c r="N37" i="493"/>
  <c r="M37" i="493"/>
  <c r="F22" i="492" s="1"/>
  <c r="W36" i="493"/>
  <c r="H36" i="493"/>
  <c r="W35" i="493"/>
  <c r="W34" i="493"/>
  <c r="W33" i="493"/>
  <c r="W32" i="493"/>
  <c r="AG31" i="493"/>
  <c r="AF31" i="493"/>
  <c r="W31" i="493"/>
  <c r="AG30" i="493"/>
  <c r="AF30" i="493"/>
  <c r="W30" i="493"/>
  <c r="V30" i="493"/>
  <c r="O30" i="493"/>
  <c r="N30" i="493"/>
  <c r="L30" i="493"/>
  <c r="K30" i="493"/>
  <c r="J30" i="493"/>
  <c r="P30" i="493" s="1"/>
  <c r="F30" i="493"/>
  <c r="H30" i="493" s="1"/>
  <c r="W29" i="493"/>
  <c r="N29" i="493" s="1"/>
  <c r="V29" i="493"/>
  <c r="K29" i="493"/>
  <c r="J29" i="493"/>
  <c r="P29" i="493" s="1"/>
  <c r="H29" i="493"/>
  <c r="F29" i="493"/>
  <c r="AF28" i="493"/>
  <c r="W28" i="493"/>
  <c r="V28" i="493"/>
  <c r="P28" i="493"/>
  <c r="N28" i="493"/>
  <c r="L28" i="493"/>
  <c r="H28" i="493"/>
  <c r="F28" i="493"/>
  <c r="W27" i="493"/>
  <c r="P27" i="493"/>
  <c r="N27" i="493"/>
  <c r="L27" i="493"/>
  <c r="K27" i="493"/>
  <c r="J27" i="493"/>
  <c r="H27" i="493"/>
  <c r="F27" i="493"/>
  <c r="AE26" i="493"/>
  <c r="E21" i="492" s="1"/>
  <c r="AD26" i="493"/>
  <c r="E20" i="492" s="1"/>
  <c r="AA26" i="493"/>
  <c r="Z26" i="493"/>
  <c r="M26" i="493"/>
  <c r="W25" i="493"/>
  <c r="H25" i="493"/>
  <c r="W24" i="493"/>
  <c r="H24" i="493"/>
  <c r="W23" i="493"/>
  <c r="W21" i="493"/>
  <c r="V21" i="493"/>
  <c r="O21" i="493"/>
  <c r="N21" i="493"/>
  <c r="K21" i="493"/>
  <c r="J21" i="493"/>
  <c r="P21" i="493" s="1"/>
  <c r="F21" i="493"/>
  <c r="H21" i="493" s="1"/>
  <c r="W20" i="493"/>
  <c r="N20" i="493" s="1"/>
  <c r="O20" i="493" s="1"/>
  <c r="V20" i="493"/>
  <c r="K20" i="493"/>
  <c r="J20" i="493"/>
  <c r="H20" i="493"/>
  <c r="F20" i="493"/>
  <c r="W19" i="493"/>
  <c r="N19" i="493" s="1"/>
  <c r="V19" i="493"/>
  <c r="P19" i="493"/>
  <c r="K19" i="493"/>
  <c r="L19" i="493" s="1"/>
  <c r="J19" i="493"/>
  <c r="F19" i="493"/>
  <c r="H19" i="493" s="1"/>
  <c r="W18" i="493"/>
  <c r="V18" i="493"/>
  <c r="N18" i="493"/>
  <c r="L18" i="493"/>
  <c r="K18" i="493"/>
  <c r="J18" i="493"/>
  <c r="P18" i="493" s="1"/>
  <c r="H18" i="493"/>
  <c r="F18" i="493"/>
  <c r="W17" i="493"/>
  <c r="N17" i="493" s="1"/>
  <c r="V17" i="493"/>
  <c r="P17" i="493"/>
  <c r="L17" i="493"/>
  <c r="K17" i="493"/>
  <c r="J17" i="493"/>
  <c r="H17" i="493"/>
  <c r="F17" i="493"/>
  <c r="AG16" i="493"/>
  <c r="W16" i="493"/>
  <c r="N16" i="493" s="1"/>
  <c r="P16" i="493"/>
  <c r="O16" i="493"/>
  <c r="K16" i="493"/>
  <c r="L16" i="493" s="1"/>
  <c r="J16" i="493"/>
  <c r="F16" i="493"/>
  <c r="H16" i="493" s="1"/>
  <c r="AE15" i="493"/>
  <c r="AD15" i="493"/>
  <c r="AA15" i="493"/>
  <c r="Z15" i="493"/>
  <c r="D18" i="492" s="1"/>
  <c r="L6" i="492" s="1"/>
  <c r="M15" i="493"/>
  <c r="W14" i="493"/>
  <c r="W13" i="493"/>
  <c r="W12" i="493"/>
  <c r="AG11" i="493"/>
  <c r="AF11" i="493"/>
  <c r="W11" i="493"/>
  <c r="AG10" i="493"/>
  <c r="AF10" i="493"/>
  <c r="W10" i="493"/>
  <c r="AG9" i="493"/>
  <c r="AF9" i="493"/>
  <c r="W9" i="493"/>
  <c r="AG8" i="493"/>
  <c r="AF8" i="493"/>
  <c r="W8" i="493"/>
  <c r="W7" i="493"/>
  <c r="N7" i="493" s="1"/>
  <c r="V7" i="493"/>
  <c r="K7" i="493"/>
  <c r="J7" i="493"/>
  <c r="P7" i="493" s="1"/>
  <c r="F7" i="493"/>
  <c r="H7" i="493" s="1"/>
  <c r="W6" i="493"/>
  <c r="N6" i="493" s="1"/>
  <c r="V6" i="493"/>
  <c r="Q6" i="493"/>
  <c r="P6" i="493"/>
  <c r="O6" i="493"/>
  <c r="R6" i="493" s="1"/>
  <c r="L6" i="493"/>
  <c r="K6" i="493"/>
  <c r="J6" i="493"/>
  <c r="H6" i="493"/>
  <c r="F6" i="493"/>
  <c r="W5" i="493"/>
  <c r="N5" i="493" s="1"/>
  <c r="K5" i="493"/>
  <c r="J5" i="493"/>
  <c r="P5" i="493" s="1"/>
  <c r="H5" i="493"/>
  <c r="F5" i="493"/>
  <c r="AA2" i="493"/>
  <c r="I2" i="493"/>
  <c r="I1" i="493"/>
  <c r="E1" i="493"/>
  <c r="J22" i="492"/>
  <c r="I22" i="492"/>
  <c r="H22" i="492"/>
  <c r="E22" i="492"/>
  <c r="G21" i="492"/>
  <c r="D21" i="492"/>
  <c r="G20" i="492"/>
  <c r="F20" i="492"/>
  <c r="D20" i="492"/>
  <c r="J19" i="492"/>
  <c r="F19" i="492"/>
  <c r="E19" i="492"/>
  <c r="D19" i="492"/>
  <c r="M6" i="492" s="1"/>
  <c r="J18" i="492"/>
  <c r="I18" i="492"/>
  <c r="H18" i="492"/>
  <c r="E18" i="492"/>
  <c r="J16" i="492"/>
  <c r="I16" i="492"/>
  <c r="H16" i="492"/>
  <c r="G16" i="492"/>
  <c r="F16" i="492"/>
  <c r="E16" i="492"/>
  <c r="D16" i="492"/>
  <c r="J15" i="492"/>
  <c r="J14" i="492"/>
  <c r="J13" i="492"/>
  <c r="O8" i="492"/>
  <c r="N8" i="492"/>
  <c r="M8" i="492"/>
  <c r="L8" i="492"/>
  <c r="O7" i="492"/>
  <c r="N7" i="492"/>
  <c r="M7" i="492"/>
  <c r="L7" i="492"/>
  <c r="G3" i="492"/>
  <c r="AE79" i="491"/>
  <c r="J21" i="490" s="1"/>
  <c r="AD79" i="491"/>
  <c r="AA79" i="491"/>
  <c r="J18" i="490" s="1"/>
  <c r="Z79" i="491"/>
  <c r="M79" i="491"/>
  <c r="W78" i="491"/>
  <c r="H78" i="491"/>
  <c r="W77" i="491"/>
  <c r="H77" i="491"/>
  <c r="W76" i="491"/>
  <c r="H76" i="491"/>
  <c r="W75" i="491"/>
  <c r="H75" i="491"/>
  <c r="W74" i="491"/>
  <c r="W73" i="491"/>
  <c r="W72" i="491"/>
  <c r="V72" i="491"/>
  <c r="N72" i="491"/>
  <c r="O72" i="491" s="1"/>
  <c r="K72" i="491"/>
  <c r="J72" i="491"/>
  <c r="F72" i="491"/>
  <c r="H72" i="491" s="1"/>
  <c r="W71" i="491"/>
  <c r="V71" i="491"/>
  <c r="N71" i="491"/>
  <c r="O71" i="491" s="1"/>
  <c r="L71" i="491"/>
  <c r="K71" i="491"/>
  <c r="J71" i="491"/>
  <c r="P71" i="491" s="1"/>
  <c r="F71" i="491"/>
  <c r="H71" i="491" s="1"/>
  <c r="W70" i="491"/>
  <c r="N70" i="491" s="1"/>
  <c r="P70" i="491"/>
  <c r="K70" i="491"/>
  <c r="J70" i="491"/>
  <c r="F70" i="491"/>
  <c r="H70" i="491" s="1"/>
  <c r="AE69" i="491"/>
  <c r="I21" i="490" s="1"/>
  <c r="AD69" i="491"/>
  <c r="AA69" i="491"/>
  <c r="I19" i="490" s="1"/>
  <c r="Z69" i="491"/>
  <c r="M69" i="491"/>
  <c r="W68" i="491"/>
  <c r="H68" i="491"/>
  <c r="W67" i="491"/>
  <c r="W66" i="491"/>
  <c r="W65" i="491"/>
  <c r="W64" i="491"/>
  <c r="W63" i="491"/>
  <c r="V63" i="491"/>
  <c r="N63" i="491"/>
  <c r="O63" i="491" s="1"/>
  <c r="K63" i="491"/>
  <c r="J63" i="491"/>
  <c r="H63" i="491"/>
  <c r="F63" i="491"/>
  <c r="W62" i="491"/>
  <c r="N62" i="491" s="1"/>
  <c r="V62" i="491"/>
  <c r="K62" i="491"/>
  <c r="J62" i="491"/>
  <c r="P62" i="491" s="1"/>
  <c r="H62" i="491"/>
  <c r="F62" i="491"/>
  <c r="W61" i="491"/>
  <c r="V61" i="491"/>
  <c r="N61" i="491"/>
  <c r="L61" i="491"/>
  <c r="K61" i="491"/>
  <c r="AF61" i="491" s="1"/>
  <c r="J61" i="491"/>
  <c r="P61" i="491" s="1"/>
  <c r="F61" i="491"/>
  <c r="H61" i="491" s="1"/>
  <c r="AF60" i="491"/>
  <c r="W60" i="491"/>
  <c r="N60" i="491" s="1"/>
  <c r="N69" i="491" s="1"/>
  <c r="V60" i="491"/>
  <c r="K60" i="491"/>
  <c r="L60" i="491" s="1"/>
  <c r="J60" i="491"/>
  <c r="P60" i="491" s="1"/>
  <c r="F60" i="491"/>
  <c r="H60" i="491" s="1"/>
  <c r="W59" i="491"/>
  <c r="N59" i="491" s="1"/>
  <c r="K59" i="491"/>
  <c r="J59" i="491"/>
  <c r="F59" i="491"/>
  <c r="H59" i="491" s="1"/>
  <c r="AE58" i="491"/>
  <c r="H21" i="490" s="1"/>
  <c r="AD58" i="491"/>
  <c r="AA58" i="491"/>
  <c r="Z58" i="491"/>
  <c r="M58" i="491"/>
  <c r="K58" i="491"/>
  <c r="J58" i="491"/>
  <c r="W57" i="491"/>
  <c r="W56" i="491"/>
  <c r="W55" i="491"/>
  <c r="W54" i="491"/>
  <c r="AG53" i="491"/>
  <c r="AF53" i="491"/>
  <c r="W53" i="491"/>
  <c r="W52" i="491"/>
  <c r="V52" i="491"/>
  <c r="O52" i="491"/>
  <c r="N52" i="491"/>
  <c r="AG52" i="491" s="1"/>
  <c r="K52" i="491"/>
  <c r="L52" i="491" s="1"/>
  <c r="J52" i="491"/>
  <c r="P52" i="491" s="1"/>
  <c r="F52" i="491"/>
  <c r="H52" i="491" s="1"/>
  <c r="W51" i="491"/>
  <c r="N51" i="491" s="1"/>
  <c r="V51" i="491"/>
  <c r="P51" i="491"/>
  <c r="K51" i="491"/>
  <c r="L51" i="491" s="1"/>
  <c r="J51" i="491"/>
  <c r="H51" i="491"/>
  <c r="F51" i="491"/>
  <c r="AF50" i="491"/>
  <c r="W50" i="491"/>
  <c r="N50" i="491" s="1"/>
  <c r="AG50" i="491" s="1"/>
  <c r="V50" i="491"/>
  <c r="P50" i="491"/>
  <c r="O50" i="491"/>
  <c r="K50" i="491"/>
  <c r="J50" i="491"/>
  <c r="L50" i="491" s="1"/>
  <c r="H50" i="491"/>
  <c r="F50" i="491"/>
  <c r="W49" i="491"/>
  <c r="P49" i="491"/>
  <c r="N49" i="491"/>
  <c r="L49" i="491"/>
  <c r="L58" i="491" s="1"/>
  <c r="H13" i="490" s="1"/>
  <c r="K49" i="491"/>
  <c r="J49" i="491"/>
  <c r="F49" i="491"/>
  <c r="H49" i="491" s="1"/>
  <c r="AE48" i="491"/>
  <c r="G21" i="490" s="1"/>
  <c r="AD48" i="491"/>
  <c r="G20" i="490" s="1"/>
  <c r="AA48" i="491"/>
  <c r="Z48" i="491"/>
  <c r="W48" i="491"/>
  <c r="M48" i="491"/>
  <c r="W47" i="491"/>
  <c r="H47" i="491"/>
  <c r="W46" i="491"/>
  <c r="W45" i="491"/>
  <c r="W44" i="491"/>
  <c r="W43" i="491"/>
  <c r="W42" i="491"/>
  <c r="AG41" i="491"/>
  <c r="W41" i="491"/>
  <c r="N41" i="491" s="1"/>
  <c r="V41" i="491"/>
  <c r="O41" i="491"/>
  <c r="K41" i="491"/>
  <c r="J41" i="491"/>
  <c r="J48" i="491" s="1"/>
  <c r="P48" i="491" s="1"/>
  <c r="H41" i="491"/>
  <c r="F41" i="491"/>
  <c r="W40" i="491"/>
  <c r="V40" i="491"/>
  <c r="P40" i="491"/>
  <c r="O40" i="491"/>
  <c r="N40" i="491"/>
  <c r="K40" i="491"/>
  <c r="J40" i="491"/>
  <c r="H40" i="491"/>
  <c r="F40" i="491"/>
  <c r="W39" i="491"/>
  <c r="N39" i="491" s="1"/>
  <c r="V39" i="491"/>
  <c r="P39" i="491"/>
  <c r="K39" i="491"/>
  <c r="L39" i="491" s="1"/>
  <c r="J39" i="491"/>
  <c r="F39" i="491"/>
  <c r="H39" i="491" s="1"/>
  <c r="W38" i="491"/>
  <c r="O38" i="491"/>
  <c r="N38" i="491"/>
  <c r="L38" i="491"/>
  <c r="K38" i="491"/>
  <c r="J38" i="491"/>
  <c r="P38" i="491" s="1"/>
  <c r="H38" i="491"/>
  <c r="F38" i="491"/>
  <c r="AE37" i="491"/>
  <c r="F21" i="490" s="1"/>
  <c r="AD37" i="491"/>
  <c r="F20" i="490" s="1"/>
  <c r="AA37" i="491"/>
  <c r="Z37" i="491"/>
  <c r="Z2" i="491" s="1"/>
  <c r="M37" i="491"/>
  <c r="W36" i="491"/>
  <c r="H36" i="491"/>
  <c r="W35" i="491"/>
  <c r="W34" i="491"/>
  <c r="W33" i="491"/>
  <c r="W32" i="491"/>
  <c r="AG31" i="491"/>
  <c r="AF31" i="491"/>
  <c r="W31" i="491"/>
  <c r="AG30" i="491"/>
  <c r="AF30" i="491"/>
  <c r="W30" i="491"/>
  <c r="AG29" i="491"/>
  <c r="AF29" i="491"/>
  <c r="W29" i="491"/>
  <c r="AG28" i="491"/>
  <c r="AF28" i="491"/>
  <c r="W28" i="491"/>
  <c r="V28" i="491"/>
  <c r="N28" i="491"/>
  <c r="O28" i="491" s="1"/>
  <c r="O37" i="491" s="1"/>
  <c r="K28" i="491"/>
  <c r="J28" i="491"/>
  <c r="H28" i="491"/>
  <c r="F28" i="491"/>
  <c r="AG27" i="491"/>
  <c r="AF27" i="491"/>
  <c r="W27" i="491"/>
  <c r="N27" i="491"/>
  <c r="O27" i="491" s="1"/>
  <c r="K27" i="491"/>
  <c r="K37" i="491" s="1"/>
  <c r="J27" i="491"/>
  <c r="F27" i="491"/>
  <c r="H27" i="491" s="1"/>
  <c r="AE26" i="491"/>
  <c r="E21" i="490" s="1"/>
  <c r="AD26" i="491"/>
  <c r="AA26" i="491"/>
  <c r="Z26" i="491"/>
  <c r="M26" i="491"/>
  <c r="W25" i="491"/>
  <c r="H25" i="491"/>
  <c r="W24" i="491"/>
  <c r="H24" i="491"/>
  <c r="W23" i="491"/>
  <c r="W21" i="491"/>
  <c r="W20" i="491"/>
  <c r="N20" i="491" s="1"/>
  <c r="V20" i="491"/>
  <c r="P20" i="491"/>
  <c r="O20" i="491"/>
  <c r="L20" i="491"/>
  <c r="K20" i="491"/>
  <c r="J20" i="491"/>
  <c r="H20" i="491"/>
  <c r="F20" i="491"/>
  <c r="AG19" i="491"/>
  <c r="W19" i="491"/>
  <c r="N19" i="491" s="1"/>
  <c r="V19" i="491"/>
  <c r="O19" i="491"/>
  <c r="K19" i="491"/>
  <c r="J19" i="491"/>
  <c r="P19" i="491" s="1"/>
  <c r="H19" i="491"/>
  <c r="F19" i="491"/>
  <c r="W18" i="491"/>
  <c r="N18" i="491" s="1"/>
  <c r="V18" i="491"/>
  <c r="O18" i="491"/>
  <c r="K18" i="491"/>
  <c r="L18" i="491" s="1"/>
  <c r="J18" i="491"/>
  <c r="P18" i="491" s="1"/>
  <c r="H18" i="491"/>
  <c r="F18" i="491"/>
  <c r="AF17" i="491"/>
  <c r="W17" i="491"/>
  <c r="V17" i="491"/>
  <c r="O17" i="491"/>
  <c r="N17" i="491"/>
  <c r="K17" i="491"/>
  <c r="J17" i="491"/>
  <c r="P17" i="491" s="1"/>
  <c r="F17" i="491"/>
  <c r="H17" i="491" s="1"/>
  <c r="W16" i="491"/>
  <c r="N16" i="491"/>
  <c r="L16" i="491"/>
  <c r="K16" i="491"/>
  <c r="J16" i="491"/>
  <c r="P16" i="491" s="1"/>
  <c r="H16" i="491"/>
  <c r="F16" i="491"/>
  <c r="AE15" i="491"/>
  <c r="AD15" i="491"/>
  <c r="AA15" i="491"/>
  <c r="Z15" i="491"/>
  <c r="N15" i="491"/>
  <c r="M15" i="491"/>
  <c r="W14" i="491"/>
  <c r="W13" i="491"/>
  <c r="W12" i="491"/>
  <c r="AG11" i="491"/>
  <c r="AF11" i="491"/>
  <c r="W11" i="491"/>
  <c r="AG10" i="491"/>
  <c r="AF10" i="491"/>
  <c r="W10" i="491"/>
  <c r="AG9" i="491"/>
  <c r="AF9" i="491"/>
  <c r="W9" i="491"/>
  <c r="W8" i="491"/>
  <c r="N8" i="491" s="1"/>
  <c r="V8" i="491"/>
  <c r="P8" i="491"/>
  <c r="K8" i="491"/>
  <c r="L8" i="491" s="1"/>
  <c r="J8" i="491"/>
  <c r="F8" i="491"/>
  <c r="H8" i="491" s="1"/>
  <c r="W7" i="491"/>
  <c r="V7" i="491"/>
  <c r="N7" i="491"/>
  <c r="K7" i="491"/>
  <c r="J7" i="491"/>
  <c r="H7" i="491"/>
  <c r="F7" i="491"/>
  <c r="AG6" i="491"/>
  <c r="AF6" i="491"/>
  <c r="W6" i="491"/>
  <c r="V6" i="491"/>
  <c r="O6" i="491"/>
  <c r="N6" i="491"/>
  <c r="K6" i="491"/>
  <c r="J6" i="491"/>
  <c r="J15" i="491" s="1"/>
  <c r="P15" i="491" s="1"/>
  <c r="H6" i="491"/>
  <c r="F6" i="491"/>
  <c r="W5" i="491"/>
  <c r="P5" i="491"/>
  <c r="N5" i="491"/>
  <c r="K5" i="491"/>
  <c r="J5" i="491"/>
  <c r="H5" i="491"/>
  <c r="G1" i="491" s="1"/>
  <c r="F5" i="491"/>
  <c r="AD2" i="491"/>
  <c r="I2" i="491"/>
  <c r="I1" i="491"/>
  <c r="E1" i="491"/>
  <c r="H22" i="490"/>
  <c r="G22" i="490"/>
  <c r="F22" i="490"/>
  <c r="E22" i="490"/>
  <c r="D22" i="490"/>
  <c r="J20" i="490"/>
  <c r="I20" i="490"/>
  <c r="H20" i="490"/>
  <c r="E20" i="490"/>
  <c r="D20" i="490"/>
  <c r="J19" i="490"/>
  <c r="H19" i="490"/>
  <c r="F19" i="490"/>
  <c r="E19" i="490"/>
  <c r="D19" i="490"/>
  <c r="I18" i="490"/>
  <c r="H18" i="490"/>
  <c r="G18" i="490"/>
  <c r="E18" i="490"/>
  <c r="D18" i="490"/>
  <c r="J16" i="490"/>
  <c r="I16" i="490"/>
  <c r="H16" i="490"/>
  <c r="G16" i="490"/>
  <c r="F16" i="490"/>
  <c r="E16" i="490"/>
  <c r="D16" i="490"/>
  <c r="O8" i="490"/>
  <c r="N8" i="490"/>
  <c r="M8" i="490"/>
  <c r="L8" i="490"/>
  <c r="O7" i="490"/>
  <c r="N7" i="490"/>
  <c r="M7" i="490"/>
  <c r="L7" i="490"/>
  <c r="G3" i="490"/>
  <c r="AG79" i="489"/>
  <c r="AH70" i="489" s="1"/>
  <c r="AF79" i="489"/>
  <c r="AE79" i="489"/>
  <c r="AD79" i="489"/>
  <c r="AA79" i="489"/>
  <c r="J18" i="488" s="1"/>
  <c r="Z79" i="489"/>
  <c r="W78" i="489"/>
  <c r="H78" i="489"/>
  <c r="W77" i="489"/>
  <c r="H77" i="489"/>
  <c r="W76" i="489"/>
  <c r="H76" i="489"/>
  <c r="W75" i="489"/>
  <c r="H75" i="489"/>
  <c r="W74" i="489"/>
  <c r="W73" i="489"/>
  <c r="W72" i="489"/>
  <c r="W71" i="489"/>
  <c r="AG70" i="489"/>
  <c r="AF70" i="489"/>
  <c r="W70" i="489"/>
  <c r="S70" i="489"/>
  <c r="AE69" i="489"/>
  <c r="AD69" i="489"/>
  <c r="I20" i="488" s="1"/>
  <c r="AA69" i="489"/>
  <c r="Z69" i="489"/>
  <c r="I18" i="488" s="1"/>
  <c r="M69" i="489"/>
  <c r="J69" i="489"/>
  <c r="P69" i="489" s="1"/>
  <c r="W68" i="489"/>
  <c r="H68" i="489"/>
  <c r="W67" i="489"/>
  <c r="W66" i="489"/>
  <c r="W65" i="489"/>
  <c r="W64" i="489"/>
  <c r="W63" i="489"/>
  <c r="AG62" i="489"/>
  <c r="AF62" i="489"/>
  <c r="W62" i="489"/>
  <c r="AG61" i="489"/>
  <c r="AF61" i="489"/>
  <c r="W61" i="489"/>
  <c r="W60" i="489"/>
  <c r="V60" i="489"/>
  <c r="P60" i="489"/>
  <c r="N60" i="489"/>
  <c r="K60" i="489"/>
  <c r="L60" i="489" s="1"/>
  <c r="J60" i="489"/>
  <c r="F60" i="489"/>
  <c r="H60" i="489" s="1"/>
  <c r="W59" i="489"/>
  <c r="P59" i="489"/>
  <c r="N59" i="489"/>
  <c r="N69" i="489" s="1"/>
  <c r="K59" i="489"/>
  <c r="L59" i="489" s="1"/>
  <c r="L69" i="489" s="1"/>
  <c r="J59" i="489"/>
  <c r="H59" i="489"/>
  <c r="F59" i="489"/>
  <c r="AE58" i="489"/>
  <c r="AD58" i="489"/>
  <c r="AA58" i="489"/>
  <c r="H19" i="488" s="1"/>
  <c r="M6" i="488" s="1"/>
  <c r="Z58" i="489"/>
  <c r="N58" i="489"/>
  <c r="M58" i="489"/>
  <c r="H22" i="488" s="1"/>
  <c r="W57" i="489"/>
  <c r="W56" i="489"/>
  <c r="W55" i="489"/>
  <c r="W54" i="489"/>
  <c r="AG53" i="489"/>
  <c r="AF53" i="489"/>
  <c r="W53" i="489"/>
  <c r="AG52" i="489"/>
  <c r="AF52" i="489"/>
  <c r="W52" i="489"/>
  <c r="V52" i="489"/>
  <c r="AF51" i="489"/>
  <c r="W51" i="489"/>
  <c r="V51" i="489"/>
  <c r="P51" i="489"/>
  <c r="O51" i="489"/>
  <c r="N51" i="489"/>
  <c r="AG51" i="489" s="1"/>
  <c r="K51" i="489"/>
  <c r="L51" i="489" s="1"/>
  <c r="J51" i="489"/>
  <c r="H51" i="489"/>
  <c r="F51" i="489"/>
  <c r="AG50" i="489"/>
  <c r="W50" i="489"/>
  <c r="N50" i="489" s="1"/>
  <c r="AF50" i="489" s="1"/>
  <c r="V50" i="489"/>
  <c r="P50" i="489"/>
  <c r="O50" i="489"/>
  <c r="L50" i="489"/>
  <c r="K50" i="489"/>
  <c r="J50" i="489"/>
  <c r="H50" i="489"/>
  <c r="F50" i="489"/>
  <c r="AF49" i="489"/>
  <c r="W49" i="489"/>
  <c r="N49" i="489" s="1"/>
  <c r="K49" i="489"/>
  <c r="J49" i="489"/>
  <c r="J58" i="489" s="1"/>
  <c r="F49" i="489"/>
  <c r="H49" i="489" s="1"/>
  <c r="AE48" i="489"/>
  <c r="AD48" i="489"/>
  <c r="AA48" i="489"/>
  <c r="Z48" i="489"/>
  <c r="W48" i="489"/>
  <c r="M48" i="489"/>
  <c r="W47" i="489"/>
  <c r="H47" i="489"/>
  <c r="W46" i="489"/>
  <c r="W45" i="489"/>
  <c r="W44" i="489"/>
  <c r="W43" i="489"/>
  <c r="W42" i="489"/>
  <c r="W41" i="489"/>
  <c r="V41" i="489"/>
  <c r="P41" i="489"/>
  <c r="N41" i="489"/>
  <c r="L41" i="489"/>
  <c r="K41" i="489"/>
  <c r="J41" i="489"/>
  <c r="F41" i="489"/>
  <c r="H41" i="489" s="1"/>
  <c r="W40" i="489"/>
  <c r="N40" i="489" s="1"/>
  <c r="O40" i="489" s="1"/>
  <c r="V40" i="489"/>
  <c r="K40" i="489"/>
  <c r="J40" i="489"/>
  <c r="P40" i="489" s="1"/>
  <c r="H40" i="489"/>
  <c r="F40" i="489"/>
  <c r="AG39" i="489"/>
  <c r="W39" i="489"/>
  <c r="N39" i="489" s="1"/>
  <c r="O39" i="489" s="1"/>
  <c r="V39" i="489"/>
  <c r="K39" i="489"/>
  <c r="J39" i="489"/>
  <c r="F39" i="489"/>
  <c r="H39" i="489" s="1"/>
  <c r="W38" i="489"/>
  <c r="N38" i="489"/>
  <c r="L38" i="489"/>
  <c r="K38" i="489"/>
  <c r="J38" i="489"/>
  <c r="F38" i="489"/>
  <c r="H38" i="489" s="1"/>
  <c r="AE37" i="489"/>
  <c r="AD37" i="489"/>
  <c r="AA37" i="489"/>
  <c r="Z37" i="489"/>
  <c r="M37" i="489"/>
  <c r="W36" i="489"/>
  <c r="H36" i="489"/>
  <c r="W35" i="489"/>
  <c r="W34" i="489"/>
  <c r="W33" i="489"/>
  <c r="W32" i="489"/>
  <c r="AG31" i="489"/>
  <c r="AF31" i="489"/>
  <c r="W31" i="489"/>
  <c r="W30" i="489"/>
  <c r="V30" i="489"/>
  <c r="P30" i="489"/>
  <c r="N30" i="489"/>
  <c r="K30" i="489"/>
  <c r="L30" i="489" s="1"/>
  <c r="J30" i="489"/>
  <c r="F30" i="489"/>
  <c r="H30" i="489" s="1"/>
  <c r="AF29" i="489"/>
  <c r="W29" i="489"/>
  <c r="V29" i="489"/>
  <c r="N29" i="489"/>
  <c r="K29" i="489"/>
  <c r="J29" i="489"/>
  <c r="P29" i="489" s="1"/>
  <c r="F29" i="489"/>
  <c r="H29" i="489" s="1"/>
  <c r="AF28" i="489"/>
  <c r="W28" i="489"/>
  <c r="V28" i="489"/>
  <c r="O28" i="489"/>
  <c r="N28" i="489"/>
  <c r="AG28" i="489" s="1"/>
  <c r="K28" i="489"/>
  <c r="J28" i="489"/>
  <c r="P28" i="489" s="1"/>
  <c r="F28" i="489"/>
  <c r="H28" i="489" s="1"/>
  <c r="W27" i="489"/>
  <c r="N27" i="489" s="1"/>
  <c r="L27" i="489"/>
  <c r="K27" i="489"/>
  <c r="J27" i="489"/>
  <c r="H27" i="489"/>
  <c r="F27" i="489"/>
  <c r="AE26" i="489"/>
  <c r="E21" i="488" s="1"/>
  <c r="AD26" i="489"/>
  <c r="AA26" i="489"/>
  <c r="E19" i="488" s="1"/>
  <c r="Z26" i="489"/>
  <c r="M26" i="489"/>
  <c r="W25" i="489"/>
  <c r="H25" i="489"/>
  <c r="W24" i="489"/>
  <c r="H24" i="489"/>
  <c r="W23" i="489"/>
  <c r="W21" i="489"/>
  <c r="W20" i="489"/>
  <c r="V20" i="489"/>
  <c r="P20" i="489"/>
  <c r="N20" i="489"/>
  <c r="O20" i="489" s="1"/>
  <c r="R20" i="489" s="1"/>
  <c r="L20" i="489"/>
  <c r="K20" i="489"/>
  <c r="J20" i="489"/>
  <c r="H20" i="489"/>
  <c r="F20" i="489"/>
  <c r="W19" i="489"/>
  <c r="N19" i="489" s="1"/>
  <c r="V19" i="489"/>
  <c r="O19" i="489"/>
  <c r="K19" i="489"/>
  <c r="J19" i="489"/>
  <c r="P19" i="489" s="1"/>
  <c r="F19" i="489"/>
  <c r="H19" i="489" s="1"/>
  <c r="W18" i="489"/>
  <c r="N18" i="489" s="1"/>
  <c r="V18" i="489"/>
  <c r="O18" i="489"/>
  <c r="L18" i="489"/>
  <c r="K18" i="489"/>
  <c r="J18" i="489"/>
  <c r="P18" i="489" s="1"/>
  <c r="H18" i="489"/>
  <c r="F18" i="489"/>
  <c r="W17" i="489"/>
  <c r="N17" i="489" s="1"/>
  <c r="V17" i="489"/>
  <c r="K17" i="489"/>
  <c r="K26" i="489" s="1"/>
  <c r="J17" i="489"/>
  <c r="P17" i="489" s="1"/>
  <c r="H17" i="489"/>
  <c r="F17" i="489"/>
  <c r="W16" i="489"/>
  <c r="N16" i="489" s="1"/>
  <c r="P16" i="489"/>
  <c r="L16" i="489"/>
  <c r="K16" i="489"/>
  <c r="J16" i="489"/>
  <c r="H16" i="489"/>
  <c r="F16" i="489"/>
  <c r="AE15" i="489"/>
  <c r="AD15" i="489"/>
  <c r="AA15" i="489"/>
  <c r="D19" i="488" s="1"/>
  <c r="Z15" i="489"/>
  <c r="Z2" i="489" s="1"/>
  <c r="M15" i="489"/>
  <c r="W14" i="489"/>
  <c r="W13" i="489"/>
  <c r="W12" i="489"/>
  <c r="AG11" i="489"/>
  <c r="AF11" i="489"/>
  <c r="W11" i="489"/>
  <c r="AF10" i="489"/>
  <c r="W10" i="489"/>
  <c r="V10" i="489"/>
  <c r="P10" i="489"/>
  <c r="O10" i="489"/>
  <c r="N10" i="489"/>
  <c r="AG10" i="489" s="1"/>
  <c r="L10" i="489"/>
  <c r="K10" i="489"/>
  <c r="J10" i="489"/>
  <c r="F10" i="489"/>
  <c r="H10" i="489" s="1"/>
  <c r="W9" i="489"/>
  <c r="N9" i="489" s="1"/>
  <c r="AG9" i="489" s="1"/>
  <c r="V9" i="489"/>
  <c r="P9" i="489"/>
  <c r="O9" i="489"/>
  <c r="R9" i="489" s="1"/>
  <c r="L9" i="489"/>
  <c r="K9" i="489"/>
  <c r="J9" i="489"/>
  <c r="F9" i="489"/>
  <c r="H9" i="489" s="1"/>
  <c r="AG8" i="489"/>
  <c r="AF8" i="489"/>
  <c r="W8" i="489"/>
  <c r="N8" i="489" s="1"/>
  <c r="O8" i="489" s="1"/>
  <c r="V8" i="489"/>
  <c r="R8" i="489"/>
  <c r="P8" i="489"/>
  <c r="K8" i="489"/>
  <c r="J8" i="489"/>
  <c r="L8" i="489" s="1"/>
  <c r="Q8" i="489" s="1"/>
  <c r="H8" i="489"/>
  <c r="F8" i="489"/>
  <c r="AG7" i="489"/>
  <c r="AF7" i="489"/>
  <c r="W7" i="489"/>
  <c r="N7" i="489" s="1"/>
  <c r="O7" i="489" s="1"/>
  <c r="V7" i="489"/>
  <c r="K7" i="489"/>
  <c r="J7" i="489"/>
  <c r="H7" i="489"/>
  <c r="F7" i="489"/>
  <c r="W6" i="489"/>
  <c r="N6" i="489" s="1"/>
  <c r="O6" i="489" s="1"/>
  <c r="V6" i="489"/>
  <c r="K6" i="489"/>
  <c r="J6" i="489"/>
  <c r="F6" i="489"/>
  <c r="H6" i="489" s="1"/>
  <c r="W5" i="489"/>
  <c r="O5" i="489"/>
  <c r="N5" i="489"/>
  <c r="K5" i="489"/>
  <c r="AG5" i="489" s="1"/>
  <c r="J5" i="489"/>
  <c r="P5" i="489" s="1"/>
  <c r="F5" i="489"/>
  <c r="H5" i="489" s="1"/>
  <c r="I2" i="489"/>
  <c r="E1" i="489"/>
  <c r="J22" i="488"/>
  <c r="I22" i="488"/>
  <c r="F22" i="488"/>
  <c r="E22" i="488"/>
  <c r="D22" i="488"/>
  <c r="J21" i="488"/>
  <c r="I21" i="488"/>
  <c r="H21" i="488"/>
  <c r="G21" i="488"/>
  <c r="F21" i="488"/>
  <c r="D21" i="488"/>
  <c r="J20" i="488"/>
  <c r="H20" i="488"/>
  <c r="G20" i="488"/>
  <c r="F20" i="488"/>
  <c r="E20" i="488"/>
  <c r="D20" i="488"/>
  <c r="N6" i="488" s="1"/>
  <c r="J19" i="488"/>
  <c r="I19" i="488"/>
  <c r="G19" i="488"/>
  <c r="F19" i="488"/>
  <c r="H18" i="488"/>
  <c r="G18" i="488"/>
  <c r="F18" i="488"/>
  <c r="E18" i="488"/>
  <c r="D18" i="488"/>
  <c r="J16" i="488"/>
  <c r="I16" i="488"/>
  <c r="H16" i="488"/>
  <c r="G16" i="488"/>
  <c r="F16" i="488"/>
  <c r="E16" i="488"/>
  <c r="D16" i="488"/>
  <c r="J15" i="488"/>
  <c r="J14" i="488"/>
  <c r="J13" i="488"/>
  <c r="I13" i="488"/>
  <c r="J6" i="488" s="1"/>
  <c r="O8" i="488"/>
  <c r="N8" i="488"/>
  <c r="M8" i="488"/>
  <c r="L8" i="488"/>
  <c r="O7" i="488"/>
  <c r="N7" i="488"/>
  <c r="M7" i="488"/>
  <c r="L7" i="488"/>
  <c r="G3" i="488"/>
  <c r="AG79" i="487"/>
  <c r="AF79" i="487"/>
  <c r="AE79" i="487"/>
  <c r="AD79" i="487"/>
  <c r="AA79" i="487"/>
  <c r="Z79" i="487"/>
  <c r="W78" i="487"/>
  <c r="W77" i="487"/>
  <c r="W76" i="487"/>
  <c r="W75" i="487"/>
  <c r="W74" i="487"/>
  <c r="W73" i="487"/>
  <c r="W72" i="487"/>
  <c r="W71" i="487"/>
  <c r="AH70" i="487"/>
  <c r="AG70" i="487"/>
  <c r="AF70" i="487"/>
  <c r="W70" i="487"/>
  <c r="S70" i="487"/>
  <c r="AE69" i="487"/>
  <c r="I21" i="486" s="1"/>
  <c r="AD69" i="487"/>
  <c r="AA69" i="487"/>
  <c r="I19" i="486" s="1"/>
  <c r="Z69" i="487"/>
  <c r="M69" i="487"/>
  <c r="K69" i="487"/>
  <c r="W68" i="487"/>
  <c r="H68" i="487"/>
  <c r="W67" i="487"/>
  <c r="W66" i="487"/>
  <c r="W65" i="487"/>
  <c r="W64" i="487"/>
  <c r="W63" i="487"/>
  <c r="AG62" i="487"/>
  <c r="AF62" i="487"/>
  <c r="W62" i="487"/>
  <c r="AG61" i="487"/>
  <c r="AF61" i="487"/>
  <c r="W61" i="487"/>
  <c r="W60" i="487"/>
  <c r="V60" i="487"/>
  <c r="P60" i="487"/>
  <c r="O60" i="487"/>
  <c r="N60" i="487"/>
  <c r="K60" i="487"/>
  <c r="J60" i="487"/>
  <c r="J69" i="487" s="1"/>
  <c r="P69" i="487" s="1"/>
  <c r="H60" i="487"/>
  <c r="F60" i="487"/>
  <c r="W59" i="487"/>
  <c r="N59" i="487" s="1"/>
  <c r="P59" i="487"/>
  <c r="L59" i="487"/>
  <c r="K59" i="487"/>
  <c r="J59" i="487"/>
  <c r="F59" i="487"/>
  <c r="H59" i="487" s="1"/>
  <c r="AE58" i="487"/>
  <c r="H21" i="486" s="1"/>
  <c r="AD58" i="487"/>
  <c r="AA58" i="487"/>
  <c r="H19" i="486" s="1"/>
  <c r="Z58" i="487"/>
  <c r="M58" i="487"/>
  <c r="K58" i="487"/>
  <c r="W57" i="487"/>
  <c r="W56" i="487"/>
  <c r="W55" i="487"/>
  <c r="W54" i="487"/>
  <c r="W53" i="487"/>
  <c r="V53" i="487"/>
  <c r="P53" i="487"/>
  <c r="N53" i="487"/>
  <c r="L53" i="487"/>
  <c r="H53" i="487"/>
  <c r="F53" i="487"/>
  <c r="AG52" i="487"/>
  <c r="W52" i="487"/>
  <c r="V52" i="487"/>
  <c r="Q52" i="487"/>
  <c r="O52" i="487"/>
  <c r="N52" i="487"/>
  <c r="K52" i="487"/>
  <c r="J52" i="487"/>
  <c r="L52" i="487" s="1"/>
  <c r="H52" i="487"/>
  <c r="F52" i="487"/>
  <c r="W51" i="487"/>
  <c r="N51" i="487" s="1"/>
  <c r="V51" i="487"/>
  <c r="P51" i="487"/>
  <c r="L51" i="487"/>
  <c r="K51" i="487"/>
  <c r="J51" i="487"/>
  <c r="F51" i="487"/>
  <c r="H51" i="487" s="1"/>
  <c r="AF50" i="487"/>
  <c r="W50" i="487"/>
  <c r="N50" i="487" s="1"/>
  <c r="AG50" i="487" s="1"/>
  <c r="V50" i="487"/>
  <c r="P50" i="487"/>
  <c r="K50" i="487"/>
  <c r="J50" i="487"/>
  <c r="L50" i="487" s="1"/>
  <c r="H50" i="487"/>
  <c r="F50" i="487"/>
  <c r="AG49" i="487"/>
  <c r="AF49" i="487"/>
  <c r="W49" i="487"/>
  <c r="N49" i="487" s="1"/>
  <c r="O49" i="487" s="1"/>
  <c r="K49" i="487"/>
  <c r="J49" i="487"/>
  <c r="F49" i="487"/>
  <c r="H49" i="487" s="1"/>
  <c r="AE48" i="487"/>
  <c r="G21" i="486" s="1"/>
  <c r="AD48" i="487"/>
  <c r="AA48" i="487"/>
  <c r="Z48" i="487"/>
  <c r="W48" i="487"/>
  <c r="M48" i="487"/>
  <c r="W47" i="487"/>
  <c r="H47" i="487"/>
  <c r="W46" i="487"/>
  <c r="W45" i="487"/>
  <c r="W44" i="487"/>
  <c r="W43" i="487"/>
  <c r="W42" i="487"/>
  <c r="AG41" i="487"/>
  <c r="AF41" i="487"/>
  <c r="W41" i="487"/>
  <c r="W40" i="487"/>
  <c r="V40" i="487"/>
  <c r="O40" i="487"/>
  <c r="N40" i="487"/>
  <c r="L40" i="487"/>
  <c r="R40" i="487" s="1"/>
  <c r="K40" i="487"/>
  <c r="AG40" i="487" s="1"/>
  <c r="J40" i="487"/>
  <c r="P40" i="487" s="1"/>
  <c r="F40" i="487"/>
  <c r="H40" i="487" s="1"/>
  <c r="W39" i="487"/>
  <c r="N39" i="487" s="1"/>
  <c r="V39" i="487"/>
  <c r="O39" i="487"/>
  <c r="K39" i="487"/>
  <c r="L39" i="487" s="1"/>
  <c r="R39" i="487" s="1"/>
  <c r="J39" i="487"/>
  <c r="P39" i="487" s="1"/>
  <c r="H39" i="487"/>
  <c r="F39" i="487"/>
  <c r="W38" i="487"/>
  <c r="N38" i="487" s="1"/>
  <c r="K38" i="487"/>
  <c r="J38" i="487"/>
  <c r="F38" i="487"/>
  <c r="H38" i="487" s="1"/>
  <c r="AE37" i="487"/>
  <c r="F21" i="486" s="1"/>
  <c r="AD37" i="487"/>
  <c r="F20" i="486" s="1"/>
  <c r="AA37" i="487"/>
  <c r="Z37" i="487"/>
  <c r="M37" i="487"/>
  <c r="W36" i="487"/>
  <c r="H36" i="487"/>
  <c r="W35" i="487"/>
  <c r="W34" i="487"/>
  <c r="W33" i="487"/>
  <c r="W32" i="487"/>
  <c r="W31" i="487"/>
  <c r="N31" i="487" s="1"/>
  <c r="V31" i="487"/>
  <c r="P31" i="487"/>
  <c r="L31" i="487"/>
  <c r="K31" i="487"/>
  <c r="J31" i="487"/>
  <c r="H31" i="487"/>
  <c r="F31" i="487"/>
  <c r="AG30" i="487"/>
  <c r="AF30" i="487"/>
  <c r="W30" i="487"/>
  <c r="N30" i="487" s="1"/>
  <c r="O30" i="487" s="1"/>
  <c r="V30" i="487"/>
  <c r="P30" i="487"/>
  <c r="K30" i="487"/>
  <c r="J30" i="487"/>
  <c r="F30" i="487"/>
  <c r="H30" i="487" s="1"/>
  <c r="AG29" i="487"/>
  <c r="W29" i="487"/>
  <c r="V29" i="487"/>
  <c r="N29" i="487"/>
  <c r="O29" i="487" s="1"/>
  <c r="K29" i="487"/>
  <c r="L29" i="487" s="1"/>
  <c r="J29" i="487"/>
  <c r="P29" i="487" s="1"/>
  <c r="H29" i="487"/>
  <c r="F29" i="487"/>
  <c r="W28" i="487"/>
  <c r="N28" i="487" s="1"/>
  <c r="V28" i="487"/>
  <c r="K28" i="487"/>
  <c r="J28" i="487"/>
  <c r="P28" i="487" s="1"/>
  <c r="F28" i="487"/>
  <c r="H28" i="487" s="1"/>
  <c r="W27" i="487"/>
  <c r="N27" i="487"/>
  <c r="K27" i="487"/>
  <c r="L27" i="487" s="1"/>
  <c r="J27" i="487"/>
  <c r="J37" i="487" s="1"/>
  <c r="H27" i="487"/>
  <c r="F27" i="487"/>
  <c r="AE26" i="487"/>
  <c r="E21" i="486" s="1"/>
  <c r="AD26" i="487"/>
  <c r="E20" i="486" s="1"/>
  <c r="AA26" i="487"/>
  <c r="Z26" i="487"/>
  <c r="E18" i="486" s="1"/>
  <c r="P26" i="487"/>
  <c r="M26" i="487"/>
  <c r="W25" i="487"/>
  <c r="H25" i="487"/>
  <c r="W24" i="487"/>
  <c r="H24" i="487"/>
  <c r="W23" i="487"/>
  <c r="W21" i="487"/>
  <c r="W20" i="487"/>
  <c r="N20" i="487" s="1"/>
  <c r="O20" i="487" s="1"/>
  <c r="V20" i="487"/>
  <c r="P20" i="487"/>
  <c r="K20" i="487"/>
  <c r="L20" i="487" s="1"/>
  <c r="J20" i="487"/>
  <c r="F20" i="487"/>
  <c r="H20" i="487" s="1"/>
  <c r="W19" i="487"/>
  <c r="V19" i="487"/>
  <c r="O19" i="487"/>
  <c r="N19" i="487"/>
  <c r="L19" i="487"/>
  <c r="R19" i="487" s="1"/>
  <c r="K19" i="487"/>
  <c r="AF19" i="487" s="1"/>
  <c r="J19" i="487"/>
  <c r="P19" i="487" s="1"/>
  <c r="F19" i="487"/>
  <c r="H19" i="487" s="1"/>
  <c r="W18" i="487"/>
  <c r="N18" i="487" s="1"/>
  <c r="V18" i="487"/>
  <c r="P18" i="487"/>
  <c r="K18" i="487"/>
  <c r="L18" i="487" s="1"/>
  <c r="J18" i="487"/>
  <c r="H18" i="487"/>
  <c r="F18" i="487"/>
  <c r="AG17" i="487"/>
  <c r="W17" i="487"/>
  <c r="V17" i="487"/>
  <c r="P17" i="487"/>
  <c r="N17" i="487"/>
  <c r="L17" i="487"/>
  <c r="K17" i="487"/>
  <c r="J17" i="487"/>
  <c r="H17" i="487"/>
  <c r="F17" i="487"/>
  <c r="AG16" i="487"/>
  <c r="W16" i="487"/>
  <c r="N16" i="487" s="1"/>
  <c r="O16" i="487" s="1"/>
  <c r="K16" i="487"/>
  <c r="J16" i="487"/>
  <c r="J26" i="487" s="1"/>
  <c r="H16" i="487"/>
  <c r="F16" i="487"/>
  <c r="AE15" i="487"/>
  <c r="AD15" i="487"/>
  <c r="AA15" i="487"/>
  <c r="Z15" i="487"/>
  <c r="D18" i="486" s="1"/>
  <c r="M15" i="487"/>
  <c r="J15" i="487"/>
  <c r="W14" i="487"/>
  <c r="W13" i="487"/>
  <c r="W12" i="487"/>
  <c r="AG11" i="487"/>
  <c r="AF11" i="487"/>
  <c r="W11" i="487"/>
  <c r="AG10" i="487"/>
  <c r="W10" i="487"/>
  <c r="N10" i="487" s="1"/>
  <c r="AF10" i="487" s="1"/>
  <c r="V10" i="487"/>
  <c r="P10" i="487"/>
  <c r="K10" i="487"/>
  <c r="J10" i="487"/>
  <c r="F10" i="487"/>
  <c r="H10" i="487" s="1"/>
  <c r="W9" i="487"/>
  <c r="N9" i="487" s="1"/>
  <c r="V9" i="487"/>
  <c r="L9" i="487"/>
  <c r="K9" i="487"/>
  <c r="J9" i="487"/>
  <c r="P9" i="487" s="1"/>
  <c r="F9" i="487"/>
  <c r="H9" i="487" s="1"/>
  <c r="AG8" i="487"/>
  <c r="AF8" i="487"/>
  <c r="W8" i="487"/>
  <c r="V8" i="487"/>
  <c r="O8" i="487"/>
  <c r="N8" i="487"/>
  <c r="L8" i="487"/>
  <c r="K8" i="487"/>
  <c r="J8" i="487"/>
  <c r="P8" i="487" s="1"/>
  <c r="F8" i="487"/>
  <c r="H8" i="487" s="1"/>
  <c r="AG7" i="487"/>
  <c r="AF7" i="487"/>
  <c r="W7" i="487"/>
  <c r="V7" i="487"/>
  <c r="O7" i="487"/>
  <c r="R7" i="487" s="1"/>
  <c r="N7" i="487"/>
  <c r="L7" i="487"/>
  <c r="K7" i="487"/>
  <c r="J7" i="487"/>
  <c r="P7" i="487" s="1"/>
  <c r="H7" i="487"/>
  <c r="F7" i="487"/>
  <c r="W6" i="487"/>
  <c r="N6" i="487" s="1"/>
  <c r="V6" i="487"/>
  <c r="L6" i="487"/>
  <c r="K6" i="487"/>
  <c r="K15" i="487" s="1"/>
  <c r="J6" i="487"/>
  <c r="P6" i="487" s="1"/>
  <c r="H6" i="487"/>
  <c r="F6" i="487"/>
  <c r="W5" i="487"/>
  <c r="N5" i="487" s="1"/>
  <c r="K5" i="487"/>
  <c r="J5" i="487"/>
  <c r="L5" i="487" s="1"/>
  <c r="F5" i="487"/>
  <c r="H5" i="487" s="1"/>
  <c r="AA2" i="487"/>
  <c r="I2" i="487"/>
  <c r="E1" i="487"/>
  <c r="G3" i="486" s="1"/>
  <c r="J22" i="486"/>
  <c r="I22" i="486"/>
  <c r="H22" i="486"/>
  <c r="E22" i="486"/>
  <c r="D22" i="486"/>
  <c r="J21" i="486"/>
  <c r="J20" i="486"/>
  <c r="I20" i="486"/>
  <c r="H20" i="486"/>
  <c r="G20" i="486"/>
  <c r="D20" i="486"/>
  <c r="J19" i="486"/>
  <c r="G19" i="486"/>
  <c r="F19" i="486"/>
  <c r="E19" i="486"/>
  <c r="D19" i="486"/>
  <c r="J18" i="486"/>
  <c r="I18" i="486"/>
  <c r="H18" i="486"/>
  <c r="G18" i="486"/>
  <c r="F18" i="486"/>
  <c r="J16" i="486"/>
  <c r="I16" i="486"/>
  <c r="H16" i="486"/>
  <c r="G16" i="486"/>
  <c r="F16" i="486"/>
  <c r="E16" i="486"/>
  <c r="D16" i="486"/>
  <c r="J15" i="486"/>
  <c r="J14" i="486"/>
  <c r="J13" i="486"/>
  <c r="O8" i="486"/>
  <c r="N8" i="486"/>
  <c r="M8" i="486"/>
  <c r="L8" i="486"/>
  <c r="O7" i="486"/>
  <c r="N7" i="486"/>
  <c r="M7" i="486"/>
  <c r="L7" i="486"/>
  <c r="M6" i="486"/>
  <c r="AG79" i="485"/>
  <c r="AH70" i="485" s="1"/>
  <c r="AF79" i="485"/>
  <c r="AE79" i="485"/>
  <c r="AD79" i="485"/>
  <c r="J20" i="484" s="1"/>
  <c r="AA79" i="485"/>
  <c r="Z79" i="485"/>
  <c r="W78" i="485"/>
  <c r="H78" i="485"/>
  <c r="W77" i="485"/>
  <c r="H77" i="485"/>
  <c r="W76" i="485"/>
  <c r="H76" i="485"/>
  <c r="W75" i="485"/>
  <c r="H75" i="485"/>
  <c r="W74" i="485"/>
  <c r="W73" i="485"/>
  <c r="W72" i="485"/>
  <c r="W71" i="485"/>
  <c r="AG70" i="485"/>
  <c r="AF70" i="485"/>
  <c r="W70" i="485"/>
  <c r="S70" i="485"/>
  <c r="J15" i="484" s="1"/>
  <c r="AE69" i="485"/>
  <c r="I21" i="484" s="1"/>
  <c r="AD69" i="485"/>
  <c r="AA69" i="485"/>
  <c r="I19" i="484" s="1"/>
  <c r="Z69" i="485"/>
  <c r="M69" i="485"/>
  <c r="K69" i="485"/>
  <c r="J69" i="485"/>
  <c r="W68" i="485"/>
  <c r="H68" i="485"/>
  <c r="W67" i="485"/>
  <c r="W66" i="485"/>
  <c r="W65" i="485"/>
  <c r="W64" i="485"/>
  <c r="W63" i="485"/>
  <c r="AG62" i="485"/>
  <c r="AF62" i="485"/>
  <c r="W62" i="485"/>
  <c r="AG61" i="485"/>
  <c r="AF61" i="485"/>
  <c r="W61" i="485"/>
  <c r="W60" i="485"/>
  <c r="V60" i="485"/>
  <c r="N60" i="485"/>
  <c r="K60" i="485"/>
  <c r="L60" i="485" s="1"/>
  <c r="J60" i="485"/>
  <c r="P60" i="485" s="1"/>
  <c r="H60" i="485"/>
  <c r="F60" i="485"/>
  <c r="W59" i="485"/>
  <c r="N59" i="485"/>
  <c r="N69" i="485" s="1"/>
  <c r="K59" i="485"/>
  <c r="L59" i="485" s="1"/>
  <c r="L69" i="485" s="1"/>
  <c r="I13" i="484" s="1"/>
  <c r="J6" i="484" s="1"/>
  <c r="J59" i="485"/>
  <c r="P59" i="485" s="1"/>
  <c r="H59" i="485"/>
  <c r="F59" i="485"/>
  <c r="AE58" i="485"/>
  <c r="H21" i="484" s="1"/>
  <c r="AD58" i="485"/>
  <c r="H20" i="484" s="1"/>
  <c r="AA58" i="485"/>
  <c r="Z58" i="485"/>
  <c r="M58" i="485"/>
  <c r="W57" i="485"/>
  <c r="W56" i="485"/>
  <c r="W55" i="485"/>
  <c r="W54" i="485"/>
  <c r="AF53" i="485"/>
  <c r="W53" i="485"/>
  <c r="N53" i="485" s="1"/>
  <c r="V53" i="485"/>
  <c r="P53" i="485"/>
  <c r="O53" i="485"/>
  <c r="K53" i="485"/>
  <c r="L53" i="485" s="1"/>
  <c r="J53" i="485"/>
  <c r="F53" i="485"/>
  <c r="H53" i="485" s="1"/>
  <c r="W52" i="485"/>
  <c r="V52" i="485"/>
  <c r="N52" i="485"/>
  <c r="AG52" i="485" s="1"/>
  <c r="K52" i="485"/>
  <c r="J52" i="485"/>
  <c r="P52" i="485" s="1"/>
  <c r="F52" i="485"/>
  <c r="H52" i="485" s="1"/>
  <c r="W51" i="485"/>
  <c r="N51" i="485" s="1"/>
  <c r="V51" i="485"/>
  <c r="L51" i="485"/>
  <c r="K51" i="485"/>
  <c r="J51" i="485"/>
  <c r="P51" i="485" s="1"/>
  <c r="H51" i="485"/>
  <c r="F51" i="485"/>
  <c r="AG50" i="485"/>
  <c r="AF50" i="485"/>
  <c r="W50" i="485"/>
  <c r="N50" i="485" s="1"/>
  <c r="O50" i="485" s="1"/>
  <c r="V50" i="485"/>
  <c r="P50" i="485"/>
  <c r="L50" i="485"/>
  <c r="K50" i="485"/>
  <c r="J50" i="485"/>
  <c r="F50" i="485"/>
  <c r="H50" i="485" s="1"/>
  <c r="AG49" i="485"/>
  <c r="W49" i="485"/>
  <c r="N49" i="485" s="1"/>
  <c r="P49" i="485"/>
  <c r="K49" i="485"/>
  <c r="J49" i="485"/>
  <c r="H49" i="485"/>
  <c r="F49" i="485"/>
  <c r="AE48" i="485"/>
  <c r="G21" i="484" s="1"/>
  <c r="AD48" i="485"/>
  <c r="G20" i="484" s="1"/>
  <c r="AA48" i="485"/>
  <c r="Z48" i="485"/>
  <c r="W48" i="485"/>
  <c r="P48" i="485"/>
  <c r="M48" i="485"/>
  <c r="K48" i="485"/>
  <c r="J48" i="485"/>
  <c r="W47" i="485"/>
  <c r="H47" i="485"/>
  <c r="W46" i="485"/>
  <c r="W45" i="485"/>
  <c r="W44" i="485"/>
  <c r="W43" i="485"/>
  <c r="W42" i="485"/>
  <c r="AG41" i="485"/>
  <c r="AF41" i="485"/>
  <c r="W41" i="485"/>
  <c r="AG40" i="485"/>
  <c r="AF40" i="485"/>
  <c r="W40" i="485"/>
  <c r="W39" i="485"/>
  <c r="V39" i="485"/>
  <c r="Q39" i="485"/>
  <c r="P39" i="485"/>
  <c r="O39" i="485"/>
  <c r="R39" i="485" s="1"/>
  <c r="N39" i="485"/>
  <c r="L39" i="485"/>
  <c r="K39" i="485"/>
  <c r="J39" i="485"/>
  <c r="H39" i="485"/>
  <c r="F39" i="485"/>
  <c r="AG38" i="485"/>
  <c r="AF38" i="485"/>
  <c r="W38" i="485"/>
  <c r="R38" i="485"/>
  <c r="Q38" i="485"/>
  <c r="N38" i="485"/>
  <c r="O38" i="485" s="1"/>
  <c r="O48" i="485" s="1"/>
  <c r="K38" i="485"/>
  <c r="J38" i="485"/>
  <c r="L38" i="485" s="1"/>
  <c r="F38" i="485"/>
  <c r="H38" i="485" s="1"/>
  <c r="AE37" i="485"/>
  <c r="F21" i="484" s="1"/>
  <c r="AD37" i="485"/>
  <c r="AD2" i="485" s="1"/>
  <c r="AA37" i="485"/>
  <c r="F19" i="484" s="1"/>
  <c r="M6" i="484" s="1"/>
  <c r="Z37" i="485"/>
  <c r="F18" i="484" s="1"/>
  <c r="M37" i="485"/>
  <c r="P37" i="485" s="1"/>
  <c r="J37" i="485"/>
  <c r="W36" i="485"/>
  <c r="H36" i="485"/>
  <c r="W35" i="485"/>
  <c r="W34" i="485"/>
  <c r="W33" i="485"/>
  <c r="W32" i="485"/>
  <c r="AG31" i="485"/>
  <c r="AF31" i="485"/>
  <c r="W31" i="485"/>
  <c r="AG30" i="485"/>
  <c r="AF30" i="485"/>
  <c r="W30" i="485"/>
  <c r="W29" i="485"/>
  <c r="V29" i="485"/>
  <c r="P29" i="485"/>
  <c r="N29" i="485"/>
  <c r="O29" i="485" s="1"/>
  <c r="L29" i="485"/>
  <c r="K29" i="485"/>
  <c r="J29" i="485"/>
  <c r="F29" i="485"/>
  <c r="H29" i="485" s="1"/>
  <c r="W28" i="485"/>
  <c r="V28" i="485"/>
  <c r="P28" i="485"/>
  <c r="O28" i="485"/>
  <c r="Q28" i="485" s="1"/>
  <c r="N28" i="485"/>
  <c r="AG28" i="485" s="1"/>
  <c r="K28" i="485"/>
  <c r="L28" i="485" s="1"/>
  <c r="J28" i="485"/>
  <c r="F28" i="485"/>
  <c r="H28" i="485" s="1"/>
  <c r="W27" i="485"/>
  <c r="N27" i="485" s="1"/>
  <c r="O27" i="485" s="1"/>
  <c r="P27" i="485"/>
  <c r="L27" i="485"/>
  <c r="L37" i="485" s="1"/>
  <c r="F13" i="484" s="1"/>
  <c r="K27" i="485"/>
  <c r="K37" i="485" s="1"/>
  <c r="J27" i="485"/>
  <c r="F27" i="485"/>
  <c r="H27" i="485" s="1"/>
  <c r="AE26" i="485"/>
  <c r="AD26" i="485"/>
  <c r="AA26" i="485"/>
  <c r="E19" i="484" s="1"/>
  <c r="Z26" i="485"/>
  <c r="E18" i="484" s="1"/>
  <c r="M26" i="485"/>
  <c r="E22" i="484" s="1"/>
  <c r="K26" i="485"/>
  <c r="W25" i="485"/>
  <c r="H25" i="485"/>
  <c r="W24" i="485"/>
  <c r="H24" i="485"/>
  <c r="W23" i="485"/>
  <c r="W21" i="485"/>
  <c r="W20" i="485"/>
  <c r="V20" i="485"/>
  <c r="P20" i="485"/>
  <c r="N20" i="485"/>
  <c r="O20" i="485" s="1"/>
  <c r="L20" i="485"/>
  <c r="K20" i="485"/>
  <c r="J20" i="485"/>
  <c r="H20" i="485"/>
  <c r="F20" i="485"/>
  <c r="W19" i="485"/>
  <c r="V19" i="485"/>
  <c r="P19" i="485"/>
  <c r="N19" i="485"/>
  <c r="L19" i="485"/>
  <c r="K19" i="485"/>
  <c r="J19" i="485"/>
  <c r="H19" i="485"/>
  <c r="F19" i="485"/>
  <c r="AF18" i="485"/>
  <c r="W18" i="485"/>
  <c r="N18" i="485" s="1"/>
  <c r="AG18" i="485" s="1"/>
  <c r="V18" i="485"/>
  <c r="R18" i="485"/>
  <c r="Q18" i="485"/>
  <c r="P18" i="485"/>
  <c r="O18" i="485"/>
  <c r="L18" i="485"/>
  <c r="K18" i="485"/>
  <c r="J18" i="485"/>
  <c r="F18" i="485"/>
  <c r="H18" i="485" s="1"/>
  <c r="AG17" i="485"/>
  <c r="AF17" i="485"/>
  <c r="W17" i="485"/>
  <c r="N17" i="485" s="1"/>
  <c r="O17" i="485" s="1"/>
  <c r="V17" i="485"/>
  <c r="K17" i="485"/>
  <c r="J17" i="485"/>
  <c r="P17" i="485" s="1"/>
  <c r="F17" i="485"/>
  <c r="H17" i="485" s="1"/>
  <c r="W16" i="485"/>
  <c r="N16" i="485"/>
  <c r="L16" i="485"/>
  <c r="K16" i="485"/>
  <c r="J16" i="485"/>
  <c r="P16" i="485" s="1"/>
  <c r="H16" i="485"/>
  <c r="F16" i="485"/>
  <c r="AE15" i="485"/>
  <c r="AD15" i="485"/>
  <c r="AA15" i="485"/>
  <c r="Z15" i="485"/>
  <c r="M15" i="485"/>
  <c r="W14" i="485"/>
  <c r="W13" i="485"/>
  <c r="W12" i="485"/>
  <c r="AG11" i="485"/>
  <c r="AF11" i="485"/>
  <c r="W11" i="485"/>
  <c r="AG10" i="485"/>
  <c r="AF10" i="485"/>
  <c r="W10" i="485"/>
  <c r="W9" i="485"/>
  <c r="N9" i="485" s="1"/>
  <c r="AG9" i="485" s="1"/>
  <c r="K9" i="485"/>
  <c r="L9" i="485" s="1"/>
  <c r="J9" i="485"/>
  <c r="P9" i="485" s="1"/>
  <c r="F9" i="485"/>
  <c r="H9" i="485" s="1"/>
  <c r="AF8" i="485"/>
  <c r="W8" i="485"/>
  <c r="O8" i="485"/>
  <c r="N8" i="485"/>
  <c r="K8" i="485"/>
  <c r="AG8" i="485" s="1"/>
  <c r="J8" i="485"/>
  <c r="P8" i="485" s="1"/>
  <c r="F8" i="485"/>
  <c r="H8" i="485" s="1"/>
  <c r="AG7" i="485"/>
  <c r="W7" i="485"/>
  <c r="V7" i="485"/>
  <c r="P7" i="485"/>
  <c r="N7" i="485"/>
  <c r="K7" i="485"/>
  <c r="K15" i="485" s="1"/>
  <c r="J7" i="485"/>
  <c r="H7" i="485"/>
  <c r="F7" i="485"/>
  <c r="AF6" i="485"/>
  <c r="W6" i="485"/>
  <c r="V6" i="485"/>
  <c r="P6" i="485"/>
  <c r="O6" i="485"/>
  <c r="R6" i="485" s="1"/>
  <c r="N6" i="485"/>
  <c r="AG6" i="485" s="1"/>
  <c r="L6" i="485"/>
  <c r="K6" i="485"/>
  <c r="J6" i="485"/>
  <c r="F6" i="485"/>
  <c r="H6" i="485" s="1"/>
  <c r="W5" i="485"/>
  <c r="N5" i="485" s="1"/>
  <c r="AG5" i="485" s="1"/>
  <c r="P5" i="485"/>
  <c r="K5" i="485"/>
  <c r="J5" i="485"/>
  <c r="H5" i="485"/>
  <c r="G1" i="485" s="1"/>
  <c r="F5" i="485"/>
  <c r="I2" i="485"/>
  <c r="E1" i="485"/>
  <c r="G3" i="484" s="1"/>
  <c r="J22" i="484"/>
  <c r="I22" i="484"/>
  <c r="H22" i="484"/>
  <c r="G22" i="484"/>
  <c r="F22" i="484"/>
  <c r="J21" i="484"/>
  <c r="E21" i="484"/>
  <c r="D21" i="484"/>
  <c r="I20" i="484"/>
  <c r="F20" i="484"/>
  <c r="E20" i="484"/>
  <c r="N6" i="484" s="1"/>
  <c r="D20" i="484"/>
  <c r="J19" i="484"/>
  <c r="H19" i="484"/>
  <c r="G19" i="484"/>
  <c r="D19" i="484"/>
  <c r="J18" i="484"/>
  <c r="I18" i="484"/>
  <c r="H18" i="484"/>
  <c r="G18" i="484"/>
  <c r="D18" i="484"/>
  <c r="L6" i="484" s="1"/>
  <c r="J16" i="484"/>
  <c r="I16" i="484"/>
  <c r="H16" i="484"/>
  <c r="G16" i="484"/>
  <c r="F16" i="484"/>
  <c r="E16" i="484"/>
  <c r="D16" i="484"/>
  <c r="J14" i="484"/>
  <c r="J13" i="484"/>
  <c r="O8" i="484"/>
  <c r="N8" i="484"/>
  <c r="M8" i="484"/>
  <c r="L8" i="484"/>
  <c r="O7" i="484"/>
  <c r="N7" i="484"/>
  <c r="M7" i="484"/>
  <c r="L7" i="484"/>
  <c r="AG79" i="483"/>
  <c r="AH70" i="483" s="1"/>
  <c r="AF79" i="483"/>
  <c r="AE79" i="483"/>
  <c r="AD79" i="483"/>
  <c r="AA79" i="483"/>
  <c r="J18" i="482" s="1"/>
  <c r="Z79" i="483"/>
  <c r="W78" i="483"/>
  <c r="H78" i="483"/>
  <c r="W77" i="483"/>
  <c r="H77" i="483"/>
  <c r="W76" i="483"/>
  <c r="H76" i="483"/>
  <c r="W75" i="483"/>
  <c r="H75" i="483"/>
  <c r="W74" i="483"/>
  <c r="W73" i="483"/>
  <c r="W72" i="483"/>
  <c r="W71" i="483"/>
  <c r="AG70" i="483"/>
  <c r="AF70" i="483"/>
  <c r="W70" i="483"/>
  <c r="S70" i="483"/>
  <c r="AE69" i="483"/>
  <c r="AD69" i="483"/>
  <c r="I20" i="482" s="1"/>
  <c r="AA69" i="483"/>
  <c r="Z69" i="483"/>
  <c r="I18" i="482" s="1"/>
  <c r="M69" i="483"/>
  <c r="J69" i="483"/>
  <c r="W68" i="483"/>
  <c r="H68" i="483"/>
  <c r="W67" i="483"/>
  <c r="W66" i="483"/>
  <c r="W65" i="483"/>
  <c r="W64" i="483"/>
  <c r="W63" i="483"/>
  <c r="AG62" i="483"/>
  <c r="AF62" i="483"/>
  <c r="W62" i="483"/>
  <c r="AG61" i="483"/>
  <c r="AF61" i="483"/>
  <c r="W61" i="483"/>
  <c r="AG60" i="483"/>
  <c r="W60" i="483"/>
  <c r="V60" i="483"/>
  <c r="N60" i="483"/>
  <c r="AF60" i="483" s="1"/>
  <c r="L60" i="483"/>
  <c r="K60" i="483"/>
  <c r="J60" i="483"/>
  <c r="P60" i="483" s="1"/>
  <c r="F60" i="483"/>
  <c r="H60" i="483" s="1"/>
  <c r="W59" i="483"/>
  <c r="N59" i="483"/>
  <c r="N69" i="483" s="1"/>
  <c r="K59" i="483"/>
  <c r="J59" i="483"/>
  <c r="P59" i="483" s="1"/>
  <c r="H59" i="483"/>
  <c r="F59" i="483"/>
  <c r="AE58" i="483"/>
  <c r="AD58" i="483"/>
  <c r="H20" i="482" s="1"/>
  <c r="AA58" i="483"/>
  <c r="Z58" i="483"/>
  <c r="M58" i="483"/>
  <c r="K58" i="483"/>
  <c r="J58" i="483"/>
  <c r="P58" i="483" s="1"/>
  <c r="W57" i="483"/>
  <c r="W56" i="483"/>
  <c r="W55" i="483"/>
  <c r="W54" i="483"/>
  <c r="AG53" i="483"/>
  <c r="AF53" i="483"/>
  <c r="W53" i="483"/>
  <c r="W52" i="483"/>
  <c r="N52" i="483" s="1"/>
  <c r="V52" i="483"/>
  <c r="P52" i="483"/>
  <c r="O52" i="483"/>
  <c r="R52" i="483" s="1"/>
  <c r="K52" i="483"/>
  <c r="L52" i="483" s="1"/>
  <c r="Q52" i="483" s="1"/>
  <c r="J52" i="483"/>
  <c r="H52" i="483"/>
  <c r="F52" i="483"/>
  <c r="W51" i="483"/>
  <c r="N51" i="483" s="1"/>
  <c r="V51" i="483"/>
  <c r="P51" i="483"/>
  <c r="L51" i="483"/>
  <c r="K51" i="483"/>
  <c r="J51" i="483"/>
  <c r="H51" i="483"/>
  <c r="F51" i="483"/>
  <c r="W50" i="483"/>
  <c r="N50" i="483" s="1"/>
  <c r="O50" i="483" s="1"/>
  <c r="V50" i="483"/>
  <c r="K50" i="483"/>
  <c r="J50" i="483"/>
  <c r="P50" i="483" s="1"/>
  <c r="F50" i="483"/>
  <c r="H50" i="483" s="1"/>
  <c r="W49" i="483"/>
  <c r="N49" i="483" s="1"/>
  <c r="K49" i="483"/>
  <c r="J49" i="483"/>
  <c r="P49" i="483" s="1"/>
  <c r="F49" i="483"/>
  <c r="H49" i="483" s="1"/>
  <c r="AE48" i="483"/>
  <c r="AD48" i="483"/>
  <c r="AA48" i="483"/>
  <c r="Z48" i="483"/>
  <c r="W48" i="483"/>
  <c r="M48" i="483"/>
  <c r="G22" i="482" s="1"/>
  <c r="K48" i="483"/>
  <c r="W47" i="483"/>
  <c r="H47" i="483"/>
  <c r="W46" i="483"/>
  <c r="W45" i="483"/>
  <c r="W44" i="483"/>
  <c r="W43" i="483"/>
  <c r="W42" i="483"/>
  <c r="AG41" i="483"/>
  <c r="AF41" i="483"/>
  <c r="W41" i="483"/>
  <c r="AG40" i="483"/>
  <c r="AF40" i="483"/>
  <c r="W40" i="483"/>
  <c r="W39" i="483"/>
  <c r="N39" i="483" s="1"/>
  <c r="V39" i="483"/>
  <c r="P39" i="483"/>
  <c r="L39" i="483"/>
  <c r="K39" i="483"/>
  <c r="J39" i="483"/>
  <c r="F39" i="483"/>
  <c r="H39" i="483" s="1"/>
  <c r="AF38" i="483"/>
  <c r="W38" i="483"/>
  <c r="N38" i="483" s="1"/>
  <c r="L38" i="483"/>
  <c r="L48" i="483" s="1"/>
  <c r="G13" i="482" s="1"/>
  <c r="K38" i="483"/>
  <c r="J38" i="483"/>
  <c r="J48" i="483" s="1"/>
  <c r="F38" i="483"/>
  <c r="H38" i="483" s="1"/>
  <c r="AE37" i="483"/>
  <c r="AE2" i="483" s="1"/>
  <c r="AD37" i="483"/>
  <c r="AA37" i="483"/>
  <c r="Z37" i="483"/>
  <c r="M37" i="483"/>
  <c r="F22" i="482" s="1"/>
  <c r="W36" i="483"/>
  <c r="H36" i="483"/>
  <c r="W35" i="483"/>
  <c r="W34" i="483"/>
  <c r="W33" i="483"/>
  <c r="W32" i="483"/>
  <c r="W31" i="483"/>
  <c r="N31" i="483" s="1"/>
  <c r="O31" i="483" s="1"/>
  <c r="V31" i="483"/>
  <c r="K31" i="483"/>
  <c r="J31" i="483"/>
  <c r="P31" i="483" s="1"/>
  <c r="H31" i="483"/>
  <c r="F31" i="483"/>
  <c r="W30" i="483"/>
  <c r="V30" i="483"/>
  <c r="N30" i="483"/>
  <c r="K30" i="483"/>
  <c r="L30" i="483" s="1"/>
  <c r="J30" i="483"/>
  <c r="P30" i="483" s="1"/>
  <c r="F30" i="483"/>
  <c r="H30" i="483" s="1"/>
  <c r="AF29" i="483"/>
  <c r="W29" i="483"/>
  <c r="V29" i="483"/>
  <c r="O29" i="483"/>
  <c r="N29" i="483"/>
  <c r="K29" i="483"/>
  <c r="L29" i="483" s="1"/>
  <c r="J29" i="483"/>
  <c r="P29" i="483" s="1"/>
  <c r="H29" i="483"/>
  <c r="F29" i="483"/>
  <c r="AF28" i="483"/>
  <c r="W28" i="483"/>
  <c r="V28" i="483"/>
  <c r="O28" i="483"/>
  <c r="N28" i="483"/>
  <c r="K28" i="483"/>
  <c r="L28" i="483" s="1"/>
  <c r="J28" i="483"/>
  <c r="P28" i="483" s="1"/>
  <c r="F28" i="483"/>
  <c r="H28" i="483" s="1"/>
  <c r="W27" i="483"/>
  <c r="N27" i="483" s="1"/>
  <c r="P27" i="483"/>
  <c r="K27" i="483"/>
  <c r="J27" i="483"/>
  <c r="F27" i="483"/>
  <c r="H27" i="483" s="1"/>
  <c r="AE26" i="483"/>
  <c r="AD26" i="483"/>
  <c r="E20" i="482" s="1"/>
  <c r="O6" i="482" s="1"/>
  <c r="AA26" i="483"/>
  <c r="E19" i="482" s="1"/>
  <c r="Z26" i="483"/>
  <c r="E18" i="482" s="1"/>
  <c r="M26" i="483"/>
  <c r="E22" i="482" s="1"/>
  <c r="K26" i="483"/>
  <c r="W25" i="483"/>
  <c r="H25" i="483"/>
  <c r="W24" i="483"/>
  <c r="H24" i="483"/>
  <c r="W23" i="483"/>
  <c r="W21" i="483"/>
  <c r="W20" i="483"/>
  <c r="AG19" i="483"/>
  <c r="AF19" i="483"/>
  <c r="W19" i="483"/>
  <c r="W18" i="483"/>
  <c r="N18" i="483" s="1"/>
  <c r="O18" i="483" s="1"/>
  <c r="V18" i="483"/>
  <c r="P18" i="483"/>
  <c r="K18" i="483"/>
  <c r="J18" i="483"/>
  <c r="H18" i="483"/>
  <c r="F18" i="483"/>
  <c r="W17" i="483"/>
  <c r="V17" i="483"/>
  <c r="N17" i="483"/>
  <c r="O17" i="483" s="1"/>
  <c r="K17" i="483"/>
  <c r="L17" i="483" s="1"/>
  <c r="Q17" i="483" s="1"/>
  <c r="J17" i="483"/>
  <c r="P17" i="483" s="1"/>
  <c r="H17" i="483"/>
  <c r="F17" i="483"/>
  <c r="AF16" i="483"/>
  <c r="W16" i="483"/>
  <c r="P16" i="483"/>
  <c r="O16" i="483"/>
  <c r="N16" i="483"/>
  <c r="K16" i="483"/>
  <c r="L16" i="483" s="1"/>
  <c r="J16" i="483"/>
  <c r="F16" i="483"/>
  <c r="H16" i="483" s="1"/>
  <c r="AE15" i="483"/>
  <c r="AD15" i="483"/>
  <c r="AA15" i="483"/>
  <c r="Z15" i="483"/>
  <c r="D18" i="482" s="1"/>
  <c r="L6" i="482" s="1"/>
  <c r="M15" i="483"/>
  <c r="W14" i="483"/>
  <c r="W13" i="483"/>
  <c r="W12" i="483"/>
  <c r="AG11" i="483"/>
  <c r="AF11" i="483"/>
  <c r="W11" i="483"/>
  <c r="AG10" i="483"/>
  <c r="AF10" i="483"/>
  <c r="W10" i="483"/>
  <c r="AG9" i="483"/>
  <c r="AF9" i="483"/>
  <c r="W9" i="483"/>
  <c r="AG8" i="483"/>
  <c r="AF8" i="483"/>
  <c r="W8" i="483"/>
  <c r="V8" i="483"/>
  <c r="P8" i="483"/>
  <c r="N8" i="483"/>
  <c r="O8" i="483" s="1"/>
  <c r="L8" i="483"/>
  <c r="K8" i="483"/>
  <c r="J8" i="483"/>
  <c r="H8" i="483"/>
  <c r="F8" i="483"/>
  <c r="AF7" i="483"/>
  <c r="W7" i="483"/>
  <c r="N7" i="483" s="1"/>
  <c r="AG7" i="483" s="1"/>
  <c r="V7" i="483"/>
  <c r="O7" i="483"/>
  <c r="K7" i="483"/>
  <c r="J7" i="483"/>
  <c r="P7" i="483" s="1"/>
  <c r="F7" i="483"/>
  <c r="H7" i="483" s="1"/>
  <c r="W6" i="483"/>
  <c r="V6" i="483"/>
  <c r="N6" i="483"/>
  <c r="K6" i="483"/>
  <c r="J6" i="483"/>
  <c r="P6" i="483" s="1"/>
  <c r="F6" i="483"/>
  <c r="H6" i="483" s="1"/>
  <c r="W5" i="483"/>
  <c r="P5" i="483"/>
  <c r="O5" i="483"/>
  <c r="N5" i="483"/>
  <c r="N15" i="483" s="1"/>
  <c r="K5" i="483"/>
  <c r="J5" i="483"/>
  <c r="H5" i="483"/>
  <c r="F5" i="483"/>
  <c r="I2" i="483"/>
  <c r="I1" i="483"/>
  <c r="E1" i="483"/>
  <c r="G3" i="482" s="1"/>
  <c r="J22" i="482"/>
  <c r="H22" i="482"/>
  <c r="D22" i="482"/>
  <c r="J21" i="482"/>
  <c r="I21" i="482"/>
  <c r="H21" i="482"/>
  <c r="G21" i="482"/>
  <c r="E21" i="482"/>
  <c r="D21" i="482"/>
  <c r="J20" i="482"/>
  <c r="G20" i="482"/>
  <c r="F20" i="482"/>
  <c r="D20" i="482"/>
  <c r="N6" i="482" s="1"/>
  <c r="J19" i="482"/>
  <c r="I19" i="482"/>
  <c r="H19" i="482"/>
  <c r="G19" i="482"/>
  <c r="F19" i="482"/>
  <c r="H18" i="482"/>
  <c r="G18" i="482"/>
  <c r="F18" i="482"/>
  <c r="J16" i="482"/>
  <c r="I16" i="482"/>
  <c r="H16" i="482"/>
  <c r="G16" i="482"/>
  <c r="F16" i="482"/>
  <c r="E16" i="482"/>
  <c r="D16" i="482"/>
  <c r="J15" i="482"/>
  <c r="J14" i="482"/>
  <c r="J13" i="482"/>
  <c r="O8" i="482"/>
  <c r="N8" i="482"/>
  <c r="M8" i="482"/>
  <c r="L8" i="482"/>
  <c r="O7" i="482"/>
  <c r="N7" i="482"/>
  <c r="M7" i="482"/>
  <c r="L7" i="482"/>
  <c r="AE79" i="3"/>
  <c r="AD79" i="3"/>
  <c r="AA79" i="3"/>
  <c r="Z79" i="3"/>
  <c r="N79" i="3"/>
  <c r="AF79" i="3" s="1"/>
  <c r="M79" i="3"/>
  <c r="K79" i="3"/>
  <c r="W78" i="3"/>
  <c r="H78" i="3"/>
  <c r="W77" i="3"/>
  <c r="H77" i="3"/>
  <c r="W76" i="3"/>
  <c r="H76" i="3"/>
  <c r="W75" i="3"/>
  <c r="H75" i="3"/>
  <c r="W74" i="3"/>
  <c r="W73" i="3"/>
  <c r="W72" i="3"/>
  <c r="W71" i="3"/>
  <c r="AG70" i="3"/>
  <c r="AF70" i="3"/>
  <c r="W70" i="3"/>
  <c r="P70" i="3"/>
  <c r="N70" i="3"/>
  <c r="O70" i="3" s="1"/>
  <c r="K70" i="3"/>
  <c r="J70" i="3"/>
  <c r="F70" i="3"/>
  <c r="H70" i="3" s="1"/>
  <c r="B70" i="3"/>
  <c r="AE69" i="3"/>
  <c r="AE2" i="3" s="1"/>
  <c r="AD69" i="3"/>
  <c r="AA69" i="3"/>
  <c r="Z69" i="3"/>
  <c r="M69" i="3"/>
  <c r="K69" i="3"/>
  <c r="J69" i="3"/>
  <c r="P69" i="3" s="1"/>
  <c r="W68" i="3"/>
  <c r="H68" i="3"/>
  <c r="W67" i="3"/>
  <c r="W66" i="3"/>
  <c r="W65" i="3"/>
  <c r="W64" i="3"/>
  <c r="W63" i="3"/>
  <c r="AG62" i="3"/>
  <c r="AF62" i="3"/>
  <c r="W62" i="3"/>
  <c r="W61" i="3"/>
  <c r="V61" i="3"/>
  <c r="N61" i="3"/>
  <c r="N69" i="3" s="1"/>
  <c r="L61" i="3"/>
  <c r="K61" i="3"/>
  <c r="J61" i="3"/>
  <c r="P61" i="3" s="1"/>
  <c r="H61" i="3"/>
  <c r="F61" i="3"/>
  <c r="B61" i="3"/>
  <c r="AG60" i="3"/>
  <c r="AF60" i="3"/>
  <c r="W60" i="3"/>
  <c r="V60" i="3"/>
  <c r="P60" i="3"/>
  <c r="N60" i="3"/>
  <c r="O60" i="3" s="1"/>
  <c r="K60" i="3"/>
  <c r="L60" i="3" s="1"/>
  <c r="J60" i="3"/>
  <c r="F60" i="3"/>
  <c r="H60" i="3" s="1"/>
  <c r="B60" i="3"/>
  <c r="AF59" i="3"/>
  <c r="W59" i="3"/>
  <c r="P59" i="3"/>
  <c r="N59" i="3"/>
  <c r="AG59" i="3" s="1"/>
  <c r="L59" i="3"/>
  <c r="L69" i="3" s="1"/>
  <c r="K59" i="3"/>
  <c r="J59" i="3"/>
  <c r="F59" i="3"/>
  <c r="H59" i="3" s="1"/>
  <c r="B59" i="3"/>
  <c r="AE58" i="3"/>
  <c r="AD58" i="3"/>
  <c r="AA58" i="3"/>
  <c r="Z58" i="3"/>
  <c r="M58" i="3"/>
  <c r="L58" i="3"/>
  <c r="K58" i="3"/>
  <c r="J58" i="3"/>
  <c r="W57" i="3"/>
  <c r="W56" i="3"/>
  <c r="W55" i="3"/>
  <c r="W54" i="3"/>
  <c r="AG53" i="3"/>
  <c r="AF53" i="3"/>
  <c r="W53" i="3"/>
  <c r="AG52" i="3"/>
  <c r="AF52" i="3"/>
  <c r="W52" i="3"/>
  <c r="V52" i="3"/>
  <c r="W51" i="3"/>
  <c r="V51" i="3"/>
  <c r="O51" i="3"/>
  <c r="R51" i="3" s="1"/>
  <c r="N51" i="3"/>
  <c r="AF51" i="3" s="1"/>
  <c r="K51" i="3"/>
  <c r="L51" i="3" s="1"/>
  <c r="J51" i="3"/>
  <c r="P51" i="3" s="1"/>
  <c r="F51" i="3"/>
  <c r="H51" i="3" s="1"/>
  <c r="B51" i="3"/>
  <c r="AF50" i="3"/>
  <c r="W50" i="3"/>
  <c r="V50" i="3"/>
  <c r="R50" i="3"/>
  <c r="Q50" i="3"/>
  <c r="P50" i="3"/>
  <c r="O50" i="3"/>
  <c r="N50" i="3"/>
  <c r="AG50" i="3" s="1"/>
  <c r="L50" i="3"/>
  <c r="K50" i="3"/>
  <c r="J50" i="3"/>
  <c r="F50" i="3"/>
  <c r="H50" i="3" s="1"/>
  <c r="B50" i="3"/>
  <c r="W49" i="3"/>
  <c r="N49" i="3" s="1"/>
  <c r="P49" i="3"/>
  <c r="L49" i="3"/>
  <c r="K49" i="3"/>
  <c r="J49" i="3"/>
  <c r="F49" i="3"/>
  <c r="H49" i="3" s="1"/>
  <c r="B49" i="3"/>
  <c r="AE48" i="3"/>
  <c r="AD48" i="3"/>
  <c r="AA48" i="3"/>
  <c r="Z48" i="3"/>
  <c r="W48" i="3"/>
  <c r="M48" i="3"/>
  <c r="K48" i="3"/>
  <c r="J48" i="3"/>
  <c r="W47" i="3"/>
  <c r="H47" i="3"/>
  <c r="W46" i="3"/>
  <c r="W45" i="3"/>
  <c r="W44" i="3"/>
  <c r="W43" i="3"/>
  <c r="W42" i="3"/>
  <c r="AG41" i="3"/>
  <c r="AF41" i="3"/>
  <c r="W41" i="3"/>
  <c r="AF40" i="3"/>
  <c r="W40" i="3"/>
  <c r="N40" i="3" s="1"/>
  <c r="O40" i="3" s="1"/>
  <c r="V40" i="3"/>
  <c r="K40" i="3"/>
  <c r="L40" i="3" s="1"/>
  <c r="J40" i="3"/>
  <c r="P40" i="3" s="1"/>
  <c r="F40" i="3"/>
  <c r="H40" i="3" s="1"/>
  <c r="B40" i="3"/>
  <c r="AG39" i="3"/>
  <c r="W39" i="3"/>
  <c r="V39" i="3"/>
  <c r="O39" i="3"/>
  <c r="N39" i="3"/>
  <c r="K39" i="3"/>
  <c r="L39" i="3" s="1"/>
  <c r="J39" i="3"/>
  <c r="P39" i="3" s="1"/>
  <c r="H39" i="3"/>
  <c r="F39" i="3"/>
  <c r="B39" i="3"/>
  <c r="AG38" i="3"/>
  <c r="AF38" i="3"/>
  <c r="W38" i="3"/>
  <c r="P38" i="3"/>
  <c r="O38" i="3"/>
  <c r="R38" i="3" s="1"/>
  <c r="N38" i="3"/>
  <c r="N48" i="3" s="1"/>
  <c r="L38" i="3"/>
  <c r="L48" i="3" s="1"/>
  <c r="K38" i="3"/>
  <c r="J38" i="3"/>
  <c r="H38" i="3"/>
  <c r="F38" i="3"/>
  <c r="B38" i="3"/>
  <c r="AE37" i="3"/>
  <c r="AD37" i="3"/>
  <c r="AA37" i="3"/>
  <c r="Z37" i="3"/>
  <c r="Z2" i="3" s="1"/>
  <c r="M37" i="3"/>
  <c r="J37" i="3"/>
  <c r="W36" i="3"/>
  <c r="H36" i="3"/>
  <c r="W35" i="3"/>
  <c r="W34" i="3"/>
  <c r="W33" i="3"/>
  <c r="W32" i="3"/>
  <c r="AG31" i="3"/>
  <c r="AF31" i="3"/>
  <c r="W31" i="3"/>
  <c r="AG30" i="3"/>
  <c r="AF30" i="3"/>
  <c r="W30" i="3"/>
  <c r="V30" i="3"/>
  <c r="W29" i="3"/>
  <c r="V29" i="3"/>
  <c r="N29" i="3"/>
  <c r="AG29" i="3" s="1"/>
  <c r="K29" i="3"/>
  <c r="J29" i="3"/>
  <c r="P29" i="3" s="1"/>
  <c r="H29" i="3"/>
  <c r="F29" i="3"/>
  <c r="B29" i="3"/>
  <c r="W28" i="3"/>
  <c r="V28" i="3"/>
  <c r="N28" i="3"/>
  <c r="K28" i="3"/>
  <c r="J28" i="3"/>
  <c r="P28" i="3" s="1"/>
  <c r="H28" i="3"/>
  <c r="F28" i="3"/>
  <c r="B28" i="3"/>
  <c r="AG27" i="3"/>
  <c r="W27" i="3"/>
  <c r="N27" i="3" s="1"/>
  <c r="AF27" i="3" s="1"/>
  <c r="O27" i="3"/>
  <c r="K27" i="3"/>
  <c r="J27" i="3"/>
  <c r="P27" i="3" s="1"/>
  <c r="F27" i="3"/>
  <c r="H27" i="3" s="1"/>
  <c r="B27" i="3"/>
  <c r="AE26" i="3"/>
  <c r="AD26" i="3"/>
  <c r="AA26" i="3"/>
  <c r="Z26" i="3"/>
  <c r="M26" i="3"/>
  <c r="I1" i="3" s="1"/>
  <c r="W25" i="3"/>
  <c r="H25" i="3"/>
  <c r="W24" i="3"/>
  <c r="H24" i="3"/>
  <c r="W23" i="3"/>
  <c r="W21" i="3"/>
  <c r="W20" i="3"/>
  <c r="V20" i="3"/>
  <c r="AG19" i="3"/>
  <c r="AF19" i="3"/>
  <c r="W19" i="3"/>
  <c r="V19" i="3"/>
  <c r="W18" i="3"/>
  <c r="V18" i="3"/>
  <c r="P18" i="3"/>
  <c r="N18" i="3"/>
  <c r="AG18" i="3" s="1"/>
  <c r="L18" i="3"/>
  <c r="K18" i="3"/>
  <c r="J18" i="3"/>
  <c r="F18" i="3"/>
  <c r="H18" i="3" s="1"/>
  <c r="B18" i="3"/>
  <c r="W17" i="3"/>
  <c r="N17" i="3" s="1"/>
  <c r="AG17" i="3" s="1"/>
  <c r="V17" i="3"/>
  <c r="P17" i="3"/>
  <c r="O17" i="3"/>
  <c r="R17" i="3" s="1"/>
  <c r="L17" i="3"/>
  <c r="K17" i="3"/>
  <c r="J17" i="3"/>
  <c r="F17" i="3"/>
  <c r="H17" i="3" s="1"/>
  <c r="B17" i="3"/>
  <c r="W16" i="3"/>
  <c r="N16" i="3" s="1"/>
  <c r="AG16" i="3" s="1"/>
  <c r="P16" i="3"/>
  <c r="O16" i="3"/>
  <c r="K16" i="3"/>
  <c r="K26" i="3" s="1"/>
  <c r="J16" i="3"/>
  <c r="J26" i="3" s="1"/>
  <c r="F16" i="3"/>
  <c r="H16" i="3" s="1"/>
  <c r="B16" i="3"/>
  <c r="AE15" i="3"/>
  <c r="AD15" i="3"/>
  <c r="AA15" i="3"/>
  <c r="AA2" i="3" s="1"/>
  <c r="Z15" i="3"/>
  <c r="M15" i="3"/>
  <c r="W14" i="3"/>
  <c r="W13" i="3"/>
  <c r="W12" i="3"/>
  <c r="AG11" i="3"/>
  <c r="AF11" i="3"/>
  <c r="W11" i="3"/>
  <c r="AG10" i="3"/>
  <c r="AF10" i="3"/>
  <c r="W10" i="3"/>
  <c r="AG9" i="3"/>
  <c r="AF9" i="3"/>
  <c r="W9" i="3"/>
  <c r="AG8" i="3"/>
  <c r="AF8" i="3"/>
  <c r="W8" i="3"/>
  <c r="AG7" i="3"/>
  <c r="W7" i="3"/>
  <c r="V7" i="3"/>
  <c r="P7" i="3"/>
  <c r="O7" i="3"/>
  <c r="R7" i="3" s="1"/>
  <c r="N7" i="3"/>
  <c r="K7" i="3"/>
  <c r="L7" i="3" s="1"/>
  <c r="J7" i="3"/>
  <c r="H7" i="3"/>
  <c r="F7" i="3"/>
  <c r="B7" i="3"/>
  <c r="W6" i="3"/>
  <c r="N6" i="3" s="1"/>
  <c r="AG6" i="3" s="1"/>
  <c r="V6" i="3"/>
  <c r="O6" i="3"/>
  <c r="R6" i="3" s="1"/>
  <c r="L6" i="3"/>
  <c r="Q6" i="3" s="1"/>
  <c r="K6" i="3"/>
  <c r="J6" i="3"/>
  <c r="P6" i="3" s="1"/>
  <c r="F6" i="3"/>
  <c r="H6" i="3" s="1"/>
  <c r="B6" i="3"/>
  <c r="W5" i="3"/>
  <c r="N5" i="3" s="1"/>
  <c r="N15" i="3" s="1"/>
  <c r="O5" i="3"/>
  <c r="K5" i="3"/>
  <c r="AG5" i="3" s="1"/>
  <c r="J5" i="3"/>
  <c r="P5" i="3" s="1"/>
  <c r="H5" i="3"/>
  <c r="G1" i="3" s="1"/>
  <c r="F5" i="3"/>
  <c r="B5" i="3"/>
  <c r="I2" i="3"/>
  <c r="E1" i="3"/>
  <c r="J22" i="2"/>
  <c r="I22" i="2"/>
  <c r="H22" i="2"/>
  <c r="J16" i="2"/>
  <c r="I16" i="2"/>
  <c r="H16" i="2"/>
  <c r="G16" i="2"/>
  <c r="F16" i="2"/>
  <c r="E16" i="2"/>
  <c r="D16" i="2"/>
  <c r="H13" i="2"/>
  <c r="G3" i="2"/>
  <c r="E29" i="4"/>
  <c r="E28" i="4"/>
  <c r="E27" i="4"/>
  <c r="E20" i="4"/>
  <c r="N19" i="4"/>
  <c r="E19" i="4"/>
  <c r="N18" i="4"/>
  <c r="E18" i="4"/>
  <c r="N17" i="4"/>
  <c r="E17" i="4"/>
  <c r="N16" i="4"/>
  <c r="E16" i="4"/>
  <c r="N15" i="4"/>
  <c r="E15" i="4"/>
  <c r="N14" i="4"/>
  <c r="E14" i="4"/>
  <c r="N13" i="4"/>
  <c r="E13" i="4"/>
  <c r="E12" i="4"/>
  <c r="E11" i="4"/>
  <c r="E10" i="4"/>
  <c r="E9" i="4"/>
  <c r="E8" i="4"/>
  <c r="E7" i="4"/>
  <c r="E6" i="4"/>
  <c r="E5" i="4"/>
  <c r="E4" i="4"/>
  <c r="E3" i="4"/>
  <c r="J22" i="520"/>
  <c r="I22" i="520"/>
  <c r="H22" i="520"/>
  <c r="G22" i="520"/>
  <c r="F22" i="520"/>
  <c r="E22" i="520"/>
  <c r="D22" i="520"/>
  <c r="J21" i="520"/>
  <c r="I21" i="520"/>
  <c r="H21" i="520"/>
  <c r="G21" i="520"/>
  <c r="F21" i="520"/>
  <c r="E21" i="520"/>
  <c r="D21" i="520"/>
  <c r="J20" i="520"/>
  <c r="I20" i="520"/>
  <c r="H20" i="520"/>
  <c r="G20" i="520"/>
  <c r="F20" i="520"/>
  <c r="E20" i="520"/>
  <c r="N6" i="520" s="1"/>
  <c r="D20" i="520"/>
  <c r="J19" i="520"/>
  <c r="I19" i="520"/>
  <c r="H19" i="520"/>
  <c r="G19" i="520"/>
  <c r="F19" i="520"/>
  <c r="E19" i="520"/>
  <c r="D19" i="520"/>
  <c r="M6" i="520" s="1"/>
  <c r="J18" i="520"/>
  <c r="I18" i="520"/>
  <c r="H18" i="520"/>
  <c r="G18" i="520"/>
  <c r="F18" i="520"/>
  <c r="E18" i="520"/>
  <c r="D18" i="520"/>
  <c r="J17" i="520"/>
  <c r="J16" i="520"/>
  <c r="I16" i="520"/>
  <c r="H16" i="520"/>
  <c r="G16" i="520"/>
  <c r="F16" i="520"/>
  <c r="E16" i="520"/>
  <c r="D16" i="520"/>
  <c r="J15" i="520"/>
  <c r="J14" i="520"/>
  <c r="J13" i="520"/>
  <c r="G13" i="520"/>
  <c r="E13" i="520"/>
  <c r="O8" i="520"/>
  <c r="N8" i="520"/>
  <c r="M8" i="520"/>
  <c r="L8" i="520"/>
  <c r="O7" i="520"/>
  <c r="N7" i="520"/>
  <c r="M7" i="520"/>
  <c r="L7" i="520"/>
  <c r="G3" i="520"/>
  <c r="R16" i="529" l="1"/>
  <c r="Q16" i="529"/>
  <c r="O26" i="529"/>
  <c r="R51" i="529"/>
  <c r="Q51" i="529"/>
  <c r="O69" i="529"/>
  <c r="R69" i="529" s="1"/>
  <c r="S59" i="529" s="1"/>
  <c r="R59" i="529"/>
  <c r="Q59" i="529"/>
  <c r="R53" i="529"/>
  <c r="Q53" i="529"/>
  <c r="AG58" i="529"/>
  <c r="AH49" i="529" s="1"/>
  <c r="Q58" i="529"/>
  <c r="AF58" i="529"/>
  <c r="O6" i="528"/>
  <c r="O48" i="529"/>
  <c r="R48" i="529" s="1"/>
  <c r="S38" i="529" s="1"/>
  <c r="R38" i="529"/>
  <c r="Q38" i="529"/>
  <c r="R39" i="529"/>
  <c r="Q39" i="529"/>
  <c r="AG26" i="529"/>
  <c r="AH16" i="529" s="1"/>
  <c r="AF26" i="529"/>
  <c r="R50" i="529"/>
  <c r="Q50" i="529"/>
  <c r="R18" i="529"/>
  <c r="Q18" i="529"/>
  <c r="R19" i="529"/>
  <c r="Q19" i="529"/>
  <c r="Q6" i="529"/>
  <c r="R6" i="529"/>
  <c r="Q49" i="529"/>
  <c r="O58" i="529"/>
  <c r="R58" i="529" s="1"/>
  <c r="S49" i="529" s="1"/>
  <c r="R49" i="529"/>
  <c r="Q62" i="529"/>
  <c r="R62" i="529"/>
  <c r="Q48" i="529"/>
  <c r="AG48" i="529"/>
  <c r="AH38" i="529" s="1"/>
  <c r="AF48" i="529"/>
  <c r="Q40" i="529"/>
  <c r="R40" i="529"/>
  <c r="Q52" i="529"/>
  <c r="R52" i="529"/>
  <c r="R28" i="529"/>
  <c r="Q28" i="529"/>
  <c r="R7" i="529"/>
  <c r="Q7" i="529"/>
  <c r="Q9" i="529"/>
  <c r="R9" i="529"/>
  <c r="R17" i="529"/>
  <c r="Q17" i="529"/>
  <c r="R60" i="529"/>
  <c r="Q60" i="529"/>
  <c r="Q69" i="529"/>
  <c r="AF69" i="529"/>
  <c r="AG69" i="529"/>
  <c r="AH59" i="529" s="1"/>
  <c r="Q8" i="529"/>
  <c r="R8" i="529"/>
  <c r="O15" i="529"/>
  <c r="R5" i="529"/>
  <c r="Q5" i="529"/>
  <c r="R27" i="529"/>
  <c r="Q27" i="529"/>
  <c r="O37" i="529"/>
  <c r="R37" i="529" s="1"/>
  <c r="S27" i="529" s="1"/>
  <c r="Q61" i="529"/>
  <c r="R61" i="529"/>
  <c r="H6" i="528"/>
  <c r="F6" i="528"/>
  <c r="J3" i="528"/>
  <c r="O37" i="527"/>
  <c r="R37" i="527" s="1"/>
  <c r="S27" i="527" s="1"/>
  <c r="R27" i="527"/>
  <c r="Q27" i="527"/>
  <c r="R51" i="527"/>
  <c r="Q51" i="527"/>
  <c r="O26" i="527"/>
  <c r="R16" i="527"/>
  <c r="Q16" i="527"/>
  <c r="R28" i="527"/>
  <c r="Q28" i="527"/>
  <c r="R5" i="527"/>
  <c r="O15" i="527"/>
  <c r="Q5" i="527"/>
  <c r="Q50" i="527"/>
  <c r="AG26" i="527"/>
  <c r="AH16" i="527" s="1"/>
  <c r="AF26" i="527"/>
  <c r="AG15" i="527"/>
  <c r="AH5" i="527" s="1"/>
  <c r="AF15" i="527"/>
  <c r="R18" i="527"/>
  <c r="Q18" i="527"/>
  <c r="R17" i="527"/>
  <c r="Q17" i="527"/>
  <c r="Q62" i="527"/>
  <c r="R62" i="527"/>
  <c r="AG69" i="527"/>
  <c r="AH59" i="527" s="1"/>
  <c r="Q69" i="527"/>
  <c r="AF69" i="527"/>
  <c r="R6" i="527"/>
  <c r="Q6" i="527"/>
  <c r="R59" i="527"/>
  <c r="O69" i="527"/>
  <c r="R69" i="527" s="1"/>
  <c r="S59" i="527" s="1"/>
  <c r="Q59" i="527"/>
  <c r="AF58" i="527"/>
  <c r="Q58" i="527"/>
  <c r="AG58" i="527"/>
  <c r="AH49" i="527" s="1"/>
  <c r="R7" i="527"/>
  <c r="Q7" i="527"/>
  <c r="Q61" i="527"/>
  <c r="R61" i="527"/>
  <c r="R53" i="527"/>
  <c r="Q53" i="527"/>
  <c r="R60" i="527"/>
  <c r="Q60" i="527"/>
  <c r="R29" i="527"/>
  <c r="Q29" i="527"/>
  <c r="O48" i="527"/>
  <c r="R48" i="527" s="1"/>
  <c r="S38" i="527" s="1"/>
  <c r="R38" i="527"/>
  <c r="Q38" i="527"/>
  <c r="AG37" i="527"/>
  <c r="AH27" i="527" s="1"/>
  <c r="AF37" i="527"/>
  <c r="Q37" i="527"/>
  <c r="Q52" i="527"/>
  <c r="R52" i="527"/>
  <c r="R49" i="527"/>
  <c r="Q49" i="527"/>
  <c r="O58" i="527"/>
  <c r="R58" i="527" s="1"/>
  <c r="S49" i="527" s="1"/>
  <c r="E14" i="526"/>
  <c r="E13" i="526"/>
  <c r="H6" i="526" s="1"/>
  <c r="J3" i="526"/>
  <c r="F6" i="526"/>
  <c r="AG15" i="525"/>
  <c r="AH5" i="525" s="1"/>
  <c r="AF15" i="525"/>
  <c r="Q48" i="525"/>
  <c r="AF48" i="525"/>
  <c r="AG48" i="525"/>
  <c r="AH38" i="525" s="1"/>
  <c r="R51" i="525"/>
  <c r="Q51" i="525"/>
  <c r="Q30" i="525"/>
  <c r="R30" i="525"/>
  <c r="R29" i="525"/>
  <c r="Q29" i="525"/>
  <c r="Q50" i="525"/>
  <c r="R50" i="525"/>
  <c r="Q6" i="525"/>
  <c r="R6" i="525"/>
  <c r="R49" i="525"/>
  <c r="Q49" i="525"/>
  <c r="O58" i="525"/>
  <c r="R58" i="525" s="1"/>
  <c r="S49" i="525" s="1"/>
  <c r="R60" i="525"/>
  <c r="Q60" i="525"/>
  <c r="R53" i="525"/>
  <c r="Q53" i="525"/>
  <c r="AG69" i="525"/>
  <c r="AH59" i="525" s="1"/>
  <c r="Q69" i="525"/>
  <c r="AF69" i="525"/>
  <c r="Q18" i="525"/>
  <c r="R18" i="525"/>
  <c r="AF58" i="525"/>
  <c r="AG58" i="525"/>
  <c r="AH49" i="525" s="1"/>
  <c r="Q58" i="525"/>
  <c r="R16" i="525"/>
  <c r="Q16" i="525"/>
  <c r="O26" i="525"/>
  <c r="Q38" i="525"/>
  <c r="O48" i="525"/>
  <c r="R48" i="525" s="1"/>
  <c r="S38" i="525" s="1"/>
  <c r="R38" i="525"/>
  <c r="R39" i="525"/>
  <c r="Q39" i="525"/>
  <c r="AG26" i="525"/>
  <c r="AH16" i="525" s="1"/>
  <c r="AF26" i="525"/>
  <c r="R17" i="525"/>
  <c r="Q17" i="525"/>
  <c r="Q62" i="525"/>
  <c r="R62" i="525"/>
  <c r="O15" i="525"/>
  <c r="R5" i="525"/>
  <c r="Q5" i="525"/>
  <c r="O69" i="525"/>
  <c r="R69" i="525" s="1"/>
  <c r="S59" i="525" s="1"/>
  <c r="Q59" i="525"/>
  <c r="R59" i="525"/>
  <c r="Q61" i="525"/>
  <c r="R61" i="525"/>
  <c r="R27" i="525"/>
  <c r="Q27" i="525"/>
  <c r="O37" i="525"/>
  <c r="R37" i="525" s="1"/>
  <c r="S27" i="525" s="1"/>
  <c r="R28" i="525"/>
  <c r="Q28" i="525"/>
  <c r="AF37" i="525"/>
  <c r="AG37" i="525"/>
  <c r="AH27" i="525" s="1"/>
  <c r="Q37" i="525"/>
  <c r="F6" i="524"/>
  <c r="H6" i="524"/>
  <c r="J3" i="524"/>
  <c r="R5" i="523"/>
  <c r="O15" i="523"/>
  <c r="Q5" i="523"/>
  <c r="L37" i="523"/>
  <c r="F13" i="522" s="1"/>
  <c r="R7" i="523"/>
  <c r="R10" i="523"/>
  <c r="Q10" i="523"/>
  <c r="Q69" i="523"/>
  <c r="AG69" i="523"/>
  <c r="AH59" i="523" s="1"/>
  <c r="AF69" i="523"/>
  <c r="R51" i="523"/>
  <c r="Q51" i="523"/>
  <c r="R60" i="523"/>
  <c r="Q60" i="523"/>
  <c r="O58" i="523"/>
  <c r="R58" i="523" s="1"/>
  <c r="S49" i="523" s="1"/>
  <c r="R49" i="523"/>
  <c r="Q49" i="523"/>
  <c r="R39" i="523"/>
  <c r="Q39" i="523"/>
  <c r="O69" i="523"/>
  <c r="R69" i="523" s="1"/>
  <c r="S59" i="523" s="1"/>
  <c r="R59" i="523"/>
  <c r="Q59" i="523"/>
  <c r="R18" i="523"/>
  <c r="Q18" i="523"/>
  <c r="O48" i="523"/>
  <c r="R48" i="523" s="1"/>
  <c r="S38" i="523" s="1"/>
  <c r="R38" i="523"/>
  <c r="Q38" i="523"/>
  <c r="R53" i="523"/>
  <c r="Q53" i="523"/>
  <c r="R17" i="523"/>
  <c r="Q17" i="523"/>
  <c r="O26" i="523"/>
  <c r="AG15" i="523"/>
  <c r="AH5" i="523" s="1"/>
  <c r="AF15" i="523"/>
  <c r="AG26" i="523"/>
  <c r="AH16" i="523" s="1"/>
  <c r="AF26" i="523"/>
  <c r="O37" i="523"/>
  <c r="R37" i="523" s="1"/>
  <c r="S27" i="523" s="1"/>
  <c r="R27" i="523"/>
  <c r="Q27" i="523"/>
  <c r="R9" i="523"/>
  <c r="Q9" i="523"/>
  <c r="R52" i="523"/>
  <c r="Q52" i="523"/>
  <c r="R11" i="523"/>
  <c r="Q11" i="523"/>
  <c r="AG37" i="523"/>
  <c r="AH27" i="523" s="1"/>
  <c r="AF37" i="523"/>
  <c r="Q37" i="523"/>
  <c r="AF58" i="523"/>
  <c r="AG58" i="523"/>
  <c r="AH49" i="523" s="1"/>
  <c r="Q58" i="523"/>
  <c r="R28" i="523"/>
  <c r="Q28" i="523"/>
  <c r="D13" i="522"/>
  <c r="J3" i="522"/>
  <c r="O6" i="522"/>
  <c r="G13" i="479"/>
  <c r="G13" i="475"/>
  <c r="G13" i="477"/>
  <c r="G13" i="473"/>
  <c r="G13" i="467"/>
  <c r="G13" i="471"/>
  <c r="G13" i="469"/>
  <c r="G13" i="2"/>
  <c r="N48" i="483"/>
  <c r="O39" i="483"/>
  <c r="AF39" i="483"/>
  <c r="AG39" i="483"/>
  <c r="N58" i="483"/>
  <c r="AG49" i="483"/>
  <c r="AF49" i="483"/>
  <c r="O49" i="483"/>
  <c r="O6" i="479"/>
  <c r="O6" i="477"/>
  <c r="O6" i="475"/>
  <c r="O6" i="473"/>
  <c r="O6" i="471"/>
  <c r="O6" i="469"/>
  <c r="O6" i="467"/>
  <c r="O6" i="2"/>
  <c r="O28" i="487"/>
  <c r="AG28" i="487"/>
  <c r="AF28" i="487"/>
  <c r="L6" i="477"/>
  <c r="L6" i="473"/>
  <c r="L6" i="479"/>
  <c r="L6" i="467"/>
  <c r="L6" i="471"/>
  <c r="L6" i="475"/>
  <c r="L6" i="469"/>
  <c r="L6" i="2"/>
  <c r="G14" i="484"/>
  <c r="O49" i="3"/>
  <c r="N58" i="3"/>
  <c r="AG49" i="3"/>
  <c r="AF49" i="3"/>
  <c r="G2" i="485"/>
  <c r="J3" i="484"/>
  <c r="Q48" i="3"/>
  <c r="AG48" i="3"/>
  <c r="AH38" i="3" s="1"/>
  <c r="AF48" i="3"/>
  <c r="R17" i="483"/>
  <c r="O51" i="483"/>
  <c r="AG51" i="483"/>
  <c r="AF51" i="483"/>
  <c r="R27" i="485"/>
  <c r="Q27" i="485"/>
  <c r="O37" i="485"/>
  <c r="R8" i="483"/>
  <c r="Q8" i="483"/>
  <c r="AG31" i="487"/>
  <c r="AF31" i="487"/>
  <c r="O31" i="487"/>
  <c r="Q69" i="483"/>
  <c r="AG69" i="483"/>
  <c r="AH59" i="483" s="1"/>
  <c r="R20" i="485"/>
  <c r="Q20" i="485"/>
  <c r="AG51" i="485"/>
  <c r="AF51" i="485"/>
  <c r="N58" i="485"/>
  <c r="O51" i="485"/>
  <c r="O6" i="486"/>
  <c r="R60" i="3"/>
  <c r="Q60" i="3"/>
  <c r="Q5" i="483"/>
  <c r="O38" i="487"/>
  <c r="AG38" i="487"/>
  <c r="AF38" i="487"/>
  <c r="N48" i="487"/>
  <c r="Q69" i="3"/>
  <c r="AG69" i="3"/>
  <c r="AH59" i="3" s="1"/>
  <c r="AF69" i="3"/>
  <c r="O79" i="3"/>
  <c r="G1" i="487"/>
  <c r="G1" i="489"/>
  <c r="G2" i="491"/>
  <c r="J3" i="490"/>
  <c r="AG27" i="483"/>
  <c r="O27" i="483"/>
  <c r="N37" i="483"/>
  <c r="AF27" i="483"/>
  <c r="R50" i="485"/>
  <c r="Q50" i="485"/>
  <c r="O9" i="487"/>
  <c r="AG9" i="487"/>
  <c r="AF9" i="487"/>
  <c r="G1" i="483"/>
  <c r="Q69" i="485"/>
  <c r="AF69" i="485"/>
  <c r="AG69" i="485"/>
  <c r="AH59" i="485" s="1"/>
  <c r="O5" i="487"/>
  <c r="AF5" i="487"/>
  <c r="N15" i="487"/>
  <c r="AG5" i="487"/>
  <c r="I13" i="479"/>
  <c r="J6" i="479" s="1"/>
  <c r="I13" i="477"/>
  <c r="J6" i="477" s="1"/>
  <c r="I13" i="473"/>
  <c r="J6" i="473" s="1"/>
  <c r="I13" i="475"/>
  <c r="J6" i="475" s="1"/>
  <c r="I13" i="471"/>
  <c r="J6" i="471" s="1"/>
  <c r="I13" i="469"/>
  <c r="J6" i="469" s="1"/>
  <c r="I13" i="467"/>
  <c r="J6" i="467" s="1"/>
  <c r="I13" i="2"/>
  <c r="J6" i="2" s="1"/>
  <c r="Q40" i="3"/>
  <c r="R40" i="3"/>
  <c r="AF16" i="489"/>
  <c r="N26" i="489"/>
  <c r="AG16" i="489"/>
  <c r="O16" i="489"/>
  <c r="J3" i="479"/>
  <c r="J3" i="475"/>
  <c r="J3" i="473"/>
  <c r="J3" i="477"/>
  <c r="J3" i="469"/>
  <c r="J3" i="467"/>
  <c r="J3" i="471"/>
  <c r="J3" i="2"/>
  <c r="G2" i="3"/>
  <c r="O6" i="483"/>
  <c r="AG6" i="483"/>
  <c r="O26" i="483"/>
  <c r="R16" i="483"/>
  <c r="AE2" i="485"/>
  <c r="AF27" i="487"/>
  <c r="O27" i="487"/>
  <c r="L6" i="488"/>
  <c r="Q58" i="489"/>
  <c r="AF58" i="489"/>
  <c r="O6" i="490"/>
  <c r="N6" i="490"/>
  <c r="AF15" i="491"/>
  <c r="N26" i="485"/>
  <c r="O16" i="485"/>
  <c r="AE2" i="487"/>
  <c r="AG51" i="487"/>
  <c r="AF51" i="487"/>
  <c r="R18" i="489"/>
  <c r="Q18" i="489"/>
  <c r="G22" i="488"/>
  <c r="I1" i="489"/>
  <c r="AG7" i="491"/>
  <c r="AF7" i="491"/>
  <c r="O7" i="491"/>
  <c r="Q18" i="491"/>
  <c r="R18" i="491"/>
  <c r="AG9" i="495"/>
  <c r="O9" i="495"/>
  <c r="N15" i="495"/>
  <c r="AF9" i="495"/>
  <c r="E19" i="494"/>
  <c r="M6" i="494" s="1"/>
  <c r="AA2" i="495"/>
  <c r="O49" i="493"/>
  <c r="AF49" i="493"/>
  <c r="AG49" i="493"/>
  <c r="N58" i="493"/>
  <c r="L6" i="486"/>
  <c r="Q39" i="489"/>
  <c r="AG41" i="489"/>
  <c r="O41" i="489"/>
  <c r="AF41" i="489"/>
  <c r="O49" i="491"/>
  <c r="N58" i="491"/>
  <c r="AF49" i="491"/>
  <c r="Q52" i="491"/>
  <c r="R52" i="491"/>
  <c r="Q71" i="491"/>
  <c r="R71" i="491"/>
  <c r="G3" i="479"/>
  <c r="G3" i="475"/>
  <c r="G3" i="473"/>
  <c r="G3" i="469"/>
  <c r="G3" i="467"/>
  <c r="G3" i="477"/>
  <c r="G3" i="471"/>
  <c r="L5" i="3"/>
  <c r="L15" i="3" s="1"/>
  <c r="Q17" i="3"/>
  <c r="O18" i="3"/>
  <c r="L27" i="3"/>
  <c r="L37" i="3" s="1"/>
  <c r="K37" i="3"/>
  <c r="L28" i="3"/>
  <c r="L29" i="3"/>
  <c r="N37" i="3"/>
  <c r="F21" i="482"/>
  <c r="D19" i="482"/>
  <c r="M6" i="482" s="1"/>
  <c r="AA2" i="483"/>
  <c r="J37" i="483"/>
  <c r="P37" i="483" s="1"/>
  <c r="AF50" i="483"/>
  <c r="P26" i="485"/>
  <c r="O49" i="485"/>
  <c r="AF49" i="485"/>
  <c r="AF52" i="485"/>
  <c r="D21" i="486"/>
  <c r="Z2" i="487"/>
  <c r="O10" i="487"/>
  <c r="R20" i="487"/>
  <c r="Q20" i="487"/>
  <c r="AF6" i="489"/>
  <c r="AG18" i="489"/>
  <c r="AF18" i="489"/>
  <c r="J37" i="489"/>
  <c r="P37" i="489" s="1"/>
  <c r="P27" i="489"/>
  <c r="L17" i="491"/>
  <c r="K26" i="491"/>
  <c r="AG17" i="491"/>
  <c r="J26" i="491"/>
  <c r="AF40" i="493"/>
  <c r="O40" i="493"/>
  <c r="AG40" i="493"/>
  <c r="K48" i="493"/>
  <c r="Q16" i="483"/>
  <c r="J15" i="3"/>
  <c r="Q27" i="3"/>
  <c r="G22" i="479"/>
  <c r="G22" i="477"/>
  <c r="G22" i="475"/>
  <c r="G22" i="473"/>
  <c r="G22" i="471"/>
  <c r="G22" i="467"/>
  <c r="G22" i="469"/>
  <c r="G22" i="2"/>
  <c r="AG50" i="483"/>
  <c r="P69" i="483"/>
  <c r="L8" i="485"/>
  <c r="Q8" i="485" s="1"/>
  <c r="O9" i="485"/>
  <c r="R28" i="485"/>
  <c r="Q19" i="487"/>
  <c r="N58" i="487"/>
  <c r="AG6" i="489"/>
  <c r="J15" i="489"/>
  <c r="P15" i="489" s="1"/>
  <c r="AG60" i="489"/>
  <c r="AF60" i="489"/>
  <c r="O60" i="489"/>
  <c r="L5" i="493"/>
  <c r="L15" i="493" s="1"/>
  <c r="D13" i="492" s="1"/>
  <c r="K15" i="493"/>
  <c r="AG6" i="487"/>
  <c r="AF6" i="487"/>
  <c r="P26" i="3"/>
  <c r="AG28" i="3"/>
  <c r="AF28" i="3"/>
  <c r="AF7" i="3"/>
  <c r="K15" i="3"/>
  <c r="AG15" i="3" s="1"/>
  <c r="AH5" i="3" s="1"/>
  <c r="AF16" i="3"/>
  <c r="O28" i="3"/>
  <c r="O29" i="3"/>
  <c r="AG51" i="3"/>
  <c r="AF61" i="3"/>
  <c r="AG79" i="3"/>
  <c r="AH70" i="3" s="1"/>
  <c r="AF5" i="483"/>
  <c r="AF6" i="483"/>
  <c r="AG16" i="483"/>
  <c r="AF17" i="483"/>
  <c r="AF18" i="483"/>
  <c r="J26" i="483"/>
  <c r="AG52" i="483"/>
  <c r="AF52" i="483"/>
  <c r="K69" i="483"/>
  <c r="AF69" i="483" s="1"/>
  <c r="L59" i="483"/>
  <c r="L69" i="483" s="1"/>
  <c r="I13" i="482" s="1"/>
  <c r="J6" i="482" s="1"/>
  <c r="O5" i="485"/>
  <c r="L7" i="485"/>
  <c r="AF16" i="485"/>
  <c r="J58" i="485"/>
  <c r="P58" i="485" s="1"/>
  <c r="AD2" i="487"/>
  <c r="AG27" i="487"/>
  <c r="Q40" i="487"/>
  <c r="R10" i="489"/>
  <c r="Q10" i="489"/>
  <c r="L17" i="489"/>
  <c r="L26" i="489" s="1"/>
  <c r="E13" i="488" s="1"/>
  <c r="J26" i="489"/>
  <c r="P26" i="489" s="1"/>
  <c r="O30" i="489"/>
  <c r="AF30" i="489"/>
  <c r="AG30" i="489"/>
  <c r="L48" i="489"/>
  <c r="G13" i="488" s="1"/>
  <c r="AA2" i="489"/>
  <c r="D21" i="490"/>
  <c r="AE2" i="491"/>
  <c r="R38" i="491"/>
  <c r="Q38" i="491"/>
  <c r="AG49" i="491"/>
  <c r="P20" i="493"/>
  <c r="J26" i="493"/>
  <c r="P26" i="493" s="1"/>
  <c r="M6" i="473"/>
  <c r="M6" i="479"/>
  <c r="M6" i="467"/>
  <c r="M6" i="471"/>
  <c r="M6" i="475"/>
  <c r="M6" i="477"/>
  <c r="M6" i="469"/>
  <c r="O48" i="3"/>
  <c r="AG17" i="483"/>
  <c r="AG18" i="483"/>
  <c r="O30" i="483"/>
  <c r="AG30" i="483"/>
  <c r="AG59" i="483"/>
  <c r="AF59" i="483"/>
  <c r="AF7" i="485"/>
  <c r="O7" i="485"/>
  <c r="J15" i="485"/>
  <c r="P15" i="485" s="1"/>
  <c r="AG16" i="485"/>
  <c r="AF29" i="485"/>
  <c r="I1" i="487"/>
  <c r="P15" i="487"/>
  <c r="K37" i="487"/>
  <c r="L38" i="487"/>
  <c r="L48" i="487" s="1"/>
  <c r="G13" i="486" s="1"/>
  <c r="P38" i="487"/>
  <c r="Q39" i="487"/>
  <c r="N15" i="489"/>
  <c r="AF19" i="489"/>
  <c r="AG19" i="489"/>
  <c r="K37" i="489"/>
  <c r="N48" i="489"/>
  <c r="AG38" i="489"/>
  <c r="O38" i="489"/>
  <c r="Q51" i="489"/>
  <c r="R51" i="489"/>
  <c r="K15" i="491"/>
  <c r="AG15" i="491" s="1"/>
  <c r="AH5" i="491" s="1"/>
  <c r="L5" i="491"/>
  <c r="AG5" i="491"/>
  <c r="L40" i="491"/>
  <c r="L48" i="491" s="1"/>
  <c r="G13" i="490" s="1"/>
  <c r="AG40" i="491"/>
  <c r="AF62" i="491"/>
  <c r="AG62" i="491"/>
  <c r="O62" i="491"/>
  <c r="AG5" i="493"/>
  <c r="R27" i="3"/>
  <c r="AG61" i="3"/>
  <c r="Z2" i="483"/>
  <c r="AG5" i="483"/>
  <c r="D22" i="479"/>
  <c r="D22" i="477"/>
  <c r="D22" i="475"/>
  <c r="D22" i="471"/>
  <c r="D22" i="473"/>
  <c r="D22" i="467"/>
  <c r="D22" i="469"/>
  <c r="O59" i="483"/>
  <c r="AF9" i="485"/>
  <c r="AG27" i="485"/>
  <c r="AF28" i="485"/>
  <c r="AG29" i="485"/>
  <c r="O60" i="485"/>
  <c r="AF60" i="485"/>
  <c r="L16" i="487"/>
  <c r="K26" i="487"/>
  <c r="O17" i="487"/>
  <c r="AF17" i="487"/>
  <c r="R29" i="487"/>
  <c r="R52" i="487"/>
  <c r="O59" i="487"/>
  <c r="AG59" i="487"/>
  <c r="AF59" i="487"/>
  <c r="N69" i="487"/>
  <c r="P7" i="489"/>
  <c r="L7" i="489"/>
  <c r="AG17" i="489"/>
  <c r="O17" i="489"/>
  <c r="AF17" i="489"/>
  <c r="L19" i="489"/>
  <c r="O27" i="489"/>
  <c r="AG27" i="489"/>
  <c r="AF27" i="489"/>
  <c r="N37" i="489"/>
  <c r="L40" i="489"/>
  <c r="K48" i="489"/>
  <c r="AG40" i="489"/>
  <c r="AF40" i="489"/>
  <c r="L19" i="491"/>
  <c r="AA2" i="491"/>
  <c r="G19" i="490"/>
  <c r="Q30" i="493"/>
  <c r="R30" i="493"/>
  <c r="Q51" i="3"/>
  <c r="L31" i="483"/>
  <c r="R31" i="483" s="1"/>
  <c r="O6" i="520"/>
  <c r="AF17" i="3"/>
  <c r="P48" i="3"/>
  <c r="H13" i="479"/>
  <c r="H13" i="477"/>
  <c r="H13" i="475"/>
  <c r="H13" i="473"/>
  <c r="H13" i="471"/>
  <c r="H13" i="469"/>
  <c r="H13" i="467"/>
  <c r="K37" i="483"/>
  <c r="AG31" i="483"/>
  <c r="P38" i="483"/>
  <c r="O60" i="483"/>
  <c r="AF5" i="3"/>
  <c r="Q7" i="3"/>
  <c r="Q38" i="3"/>
  <c r="AF39" i="3"/>
  <c r="I22" i="473"/>
  <c r="I22" i="475"/>
  <c r="I22" i="479"/>
  <c r="I22" i="469"/>
  <c r="I22" i="471"/>
  <c r="I22" i="467"/>
  <c r="I22" i="477"/>
  <c r="L70" i="3"/>
  <c r="L79" i="3" s="1"/>
  <c r="J79" i="3"/>
  <c r="J22" i="479"/>
  <c r="J22" i="473"/>
  <c r="J22" i="477"/>
  <c r="J22" i="475"/>
  <c r="J22" i="467"/>
  <c r="J22" i="469"/>
  <c r="J22" i="471"/>
  <c r="P79" i="3"/>
  <c r="P26" i="483"/>
  <c r="L27" i="483"/>
  <c r="L37" i="483" s="1"/>
  <c r="F13" i="482" s="1"/>
  <c r="AG28" i="483"/>
  <c r="AG29" i="483"/>
  <c r="AF31" i="483"/>
  <c r="Q6" i="485"/>
  <c r="AF27" i="485"/>
  <c r="L48" i="485"/>
  <c r="G13" i="484" s="1"/>
  <c r="L52" i="485"/>
  <c r="R53" i="485"/>
  <c r="Q53" i="485"/>
  <c r="G22" i="486"/>
  <c r="P16" i="487"/>
  <c r="L28" i="487"/>
  <c r="L37" i="487" s="1"/>
  <c r="F13" i="486" s="1"/>
  <c r="Q29" i="487"/>
  <c r="P37" i="487"/>
  <c r="F22" i="486"/>
  <c r="P52" i="487"/>
  <c r="Q9" i="489"/>
  <c r="Q20" i="489"/>
  <c r="L29" i="489"/>
  <c r="AF38" i="489"/>
  <c r="R50" i="489"/>
  <c r="Q50" i="489"/>
  <c r="R40" i="491"/>
  <c r="P59" i="491"/>
  <c r="J69" i="491"/>
  <c r="AF70" i="491"/>
  <c r="AG70" i="491"/>
  <c r="O70" i="491"/>
  <c r="Q20" i="493"/>
  <c r="R20" i="493"/>
  <c r="Z2" i="485"/>
  <c r="AF59" i="485"/>
  <c r="O59" i="485"/>
  <c r="AG59" i="485"/>
  <c r="N6" i="486"/>
  <c r="R8" i="487"/>
  <c r="Q8" i="487"/>
  <c r="AG18" i="487"/>
  <c r="AF18" i="487"/>
  <c r="O18" i="487"/>
  <c r="N37" i="487"/>
  <c r="AF40" i="487"/>
  <c r="J48" i="487"/>
  <c r="P48" i="487" s="1"/>
  <c r="O51" i="487"/>
  <c r="P6" i="489"/>
  <c r="L6" i="489"/>
  <c r="Q6" i="489" s="1"/>
  <c r="AG69" i="489"/>
  <c r="AH59" i="489" s="1"/>
  <c r="AF69" i="489"/>
  <c r="O8" i="491"/>
  <c r="AF8" i="491"/>
  <c r="L28" i="491"/>
  <c r="P28" i="491"/>
  <c r="O51" i="491"/>
  <c r="AG51" i="491"/>
  <c r="AF51" i="491"/>
  <c r="J22" i="490"/>
  <c r="AG7" i="493"/>
  <c r="AF7" i="493"/>
  <c r="O7" i="493"/>
  <c r="AF27" i="493"/>
  <c r="O27" i="493"/>
  <c r="AG27" i="493"/>
  <c r="G1" i="495"/>
  <c r="L26" i="491"/>
  <c r="E13" i="490" s="1"/>
  <c r="Q50" i="491"/>
  <c r="R50" i="491"/>
  <c r="N79" i="491"/>
  <c r="AG39" i="493"/>
  <c r="AF39" i="493"/>
  <c r="O39" i="493"/>
  <c r="O48" i="493" s="1"/>
  <c r="R41" i="493"/>
  <c r="Q41" i="493"/>
  <c r="E22" i="479"/>
  <c r="E22" i="477"/>
  <c r="E22" i="473"/>
  <c r="E22" i="475"/>
  <c r="E22" i="471"/>
  <c r="E22" i="467"/>
  <c r="E22" i="469"/>
  <c r="E22" i="2"/>
  <c r="O6" i="484"/>
  <c r="N26" i="3"/>
  <c r="F22" i="479"/>
  <c r="F22" i="477"/>
  <c r="F22" i="475"/>
  <c r="F22" i="473"/>
  <c r="F22" i="471"/>
  <c r="F22" i="467"/>
  <c r="F22" i="469"/>
  <c r="P37" i="3"/>
  <c r="AG40" i="3"/>
  <c r="O61" i="3"/>
  <c r="R29" i="485"/>
  <c r="Q29" i="485"/>
  <c r="M6" i="2"/>
  <c r="L6" i="520"/>
  <c r="O15" i="3"/>
  <c r="AF18" i="3"/>
  <c r="AF29" i="3"/>
  <c r="Q39" i="3"/>
  <c r="R28" i="483"/>
  <c r="R29" i="483"/>
  <c r="Q29" i="483"/>
  <c r="I1" i="485"/>
  <c r="D22" i="2"/>
  <c r="AF6" i="3"/>
  <c r="P15" i="3"/>
  <c r="I22" i="482"/>
  <c r="J15" i="483"/>
  <c r="P15" i="483" s="1"/>
  <c r="O15" i="483"/>
  <c r="L18" i="483"/>
  <c r="R18" i="483" s="1"/>
  <c r="AF30" i="483"/>
  <c r="P48" i="483"/>
  <c r="L49" i="483"/>
  <c r="D22" i="484"/>
  <c r="AA2" i="485"/>
  <c r="AF5" i="485"/>
  <c r="N15" i="485"/>
  <c r="L17" i="485"/>
  <c r="L26" i="485" s="1"/>
  <c r="E13" i="484" s="1"/>
  <c r="AG19" i="485"/>
  <c r="AF19" i="485"/>
  <c r="N48" i="485"/>
  <c r="O52" i="485"/>
  <c r="O6" i="487"/>
  <c r="K48" i="487"/>
  <c r="P49" i="487"/>
  <c r="L49" i="487"/>
  <c r="J58" i="487"/>
  <c r="P58" i="487" s="1"/>
  <c r="O6" i="488"/>
  <c r="AF5" i="489"/>
  <c r="K15" i="489"/>
  <c r="P39" i="489"/>
  <c r="L39" i="489"/>
  <c r="R39" i="489" s="1"/>
  <c r="AG8" i="491"/>
  <c r="F22" i="2"/>
  <c r="L16" i="3"/>
  <c r="L26" i="3" s="1"/>
  <c r="R39" i="3"/>
  <c r="O59" i="3"/>
  <c r="Q79" i="3"/>
  <c r="K15" i="483"/>
  <c r="AF15" i="483" s="1"/>
  <c r="L5" i="483"/>
  <c r="L6" i="483"/>
  <c r="N26" i="483"/>
  <c r="Q28" i="483"/>
  <c r="O38" i="483"/>
  <c r="AG38" i="483"/>
  <c r="O19" i="485"/>
  <c r="J26" i="485"/>
  <c r="N37" i="485"/>
  <c r="P38" i="485"/>
  <c r="AG39" i="485"/>
  <c r="AF39" i="485"/>
  <c r="L49" i="485"/>
  <c r="L58" i="485" s="1"/>
  <c r="H13" i="484" s="1"/>
  <c r="K58" i="485"/>
  <c r="AG53" i="485"/>
  <c r="AG60" i="485"/>
  <c r="P5" i="487"/>
  <c r="Q7" i="487"/>
  <c r="AF16" i="487"/>
  <c r="N26" i="487"/>
  <c r="AF29" i="487"/>
  <c r="O50" i="487"/>
  <c r="O58" i="487" s="1"/>
  <c r="L60" i="487"/>
  <c r="R60" i="487" s="1"/>
  <c r="AG60" i="487"/>
  <c r="L5" i="489"/>
  <c r="AF9" i="489"/>
  <c r="L28" i="489"/>
  <c r="Q28" i="489" s="1"/>
  <c r="K69" i="489"/>
  <c r="Q69" i="489" s="1"/>
  <c r="AF16" i="491"/>
  <c r="N26" i="491"/>
  <c r="O16" i="491"/>
  <c r="AG16" i="491"/>
  <c r="F14" i="490"/>
  <c r="L26" i="493"/>
  <c r="E13" i="492" s="1"/>
  <c r="AF17" i="493"/>
  <c r="AG17" i="493"/>
  <c r="O17" i="493"/>
  <c r="AF50" i="493"/>
  <c r="O50" i="493"/>
  <c r="R17" i="495"/>
  <c r="Q17" i="495"/>
  <c r="R51" i="495"/>
  <c r="Q51" i="495"/>
  <c r="J37" i="497"/>
  <c r="P27" i="497"/>
  <c r="O30" i="499"/>
  <c r="AG30" i="499"/>
  <c r="AF30" i="499"/>
  <c r="L39" i="495"/>
  <c r="K48" i="495"/>
  <c r="AG39" i="495"/>
  <c r="AF39" i="495"/>
  <c r="R42" i="495"/>
  <c r="R20" i="491"/>
  <c r="AG39" i="491"/>
  <c r="AF39" i="491"/>
  <c r="P60" i="493"/>
  <c r="J69" i="493"/>
  <c r="P69" i="493" s="1"/>
  <c r="Q42" i="495"/>
  <c r="K69" i="495"/>
  <c r="L59" i="495"/>
  <c r="L6" i="497"/>
  <c r="K15" i="497"/>
  <c r="AG7" i="497"/>
  <c r="AF7" i="497"/>
  <c r="AF8" i="499"/>
  <c r="O8" i="499"/>
  <c r="AG8" i="499"/>
  <c r="AG17" i="499"/>
  <c r="O17" i="499"/>
  <c r="AF17" i="499"/>
  <c r="P49" i="505"/>
  <c r="J58" i="505"/>
  <c r="J37" i="491"/>
  <c r="P37" i="491" s="1"/>
  <c r="L27" i="491"/>
  <c r="AF29" i="493"/>
  <c r="AG29" i="493"/>
  <c r="O29" i="493"/>
  <c r="AD2" i="3"/>
  <c r="H22" i="477"/>
  <c r="H22" i="475"/>
  <c r="H22" i="479"/>
  <c r="H22" i="471"/>
  <c r="H22" i="473"/>
  <c r="H22" i="469"/>
  <c r="H22" i="467"/>
  <c r="P58" i="3"/>
  <c r="L7" i="483"/>
  <c r="P27" i="487"/>
  <c r="AG39" i="487"/>
  <c r="AF39" i="487"/>
  <c r="AF60" i="487"/>
  <c r="AF39" i="489"/>
  <c r="AG49" i="489"/>
  <c r="O49" i="489"/>
  <c r="M6" i="490"/>
  <c r="O60" i="491"/>
  <c r="P63" i="491"/>
  <c r="L63" i="491"/>
  <c r="R63" i="491" s="1"/>
  <c r="L70" i="491"/>
  <c r="K79" i="491"/>
  <c r="Z2" i="493"/>
  <c r="AF16" i="493"/>
  <c r="K26" i="493"/>
  <c r="J15" i="495"/>
  <c r="P15" i="495" s="1"/>
  <c r="P6" i="495"/>
  <c r="L6" i="495"/>
  <c r="R6" i="495" s="1"/>
  <c r="AF16" i="495"/>
  <c r="AG16" i="495"/>
  <c r="N26" i="495"/>
  <c r="O16" i="495"/>
  <c r="AG59" i="495"/>
  <c r="AF59" i="495"/>
  <c r="N69" i="495"/>
  <c r="O59" i="495"/>
  <c r="R59" i="503"/>
  <c r="Q59" i="503"/>
  <c r="P7" i="491"/>
  <c r="L7" i="491"/>
  <c r="R19" i="491"/>
  <c r="Q20" i="491"/>
  <c r="AD2" i="493"/>
  <c r="L21" i="493"/>
  <c r="Q21" i="493" s="1"/>
  <c r="AG19" i="495"/>
  <c r="AF19" i="495"/>
  <c r="K26" i="495"/>
  <c r="L19" i="495"/>
  <c r="L26" i="495" s="1"/>
  <c r="E13" i="494" s="1"/>
  <c r="Q19" i="491"/>
  <c r="P27" i="491"/>
  <c r="AF19" i="493"/>
  <c r="O19" i="493"/>
  <c r="AG19" i="493"/>
  <c r="AF50" i="495"/>
  <c r="AG50" i="495"/>
  <c r="O50" i="495"/>
  <c r="N58" i="495"/>
  <c r="AF62" i="495"/>
  <c r="O62" i="495"/>
  <c r="AG62" i="495"/>
  <c r="E22" i="496"/>
  <c r="P26" i="497"/>
  <c r="I1" i="497"/>
  <c r="AA2" i="499"/>
  <c r="F19" i="498"/>
  <c r="M6" i="498" s="1"/>
  <c r="AG41" i="499"/>
  <c r="AF41" i="499"/>
  <c r="N48" i="499"/>
  <c r="O41" i="499"/>
  <c r="P8" i="503"/>
  <c r="L8" i="503"/>
  <c r="AG29" i="489"/>
  <c r="O29" i="489"/>
  <c r="AG59" i="489"/>
  <c r="AF59" i="489"/>
  <c r="O59" i="489"/>
  <c r="AF40" i="491"/>
  <c r="L41" i="491"/>
  <c r="R41" i="491" s="1"/>
  <c r="AG60" i="491"/>
  <c r="AF18" i="493"/>
  <c r="AG18" i="493"/>
  <c r="O18" i="493"/>
  <c r="O26" i="493" s="1"/>
  <c r="J48" i="493"/>
  <c r="P48" i="493" s="1"/>
  <c r="L58" i="493"/>
  <c r="H13" i="492" s="1"/>
  <c r="AG8" i="497"/>
  <c r="O8" i="497"/>
  <c r="AF8" i="497"/>
  <c r="O40" i="497"/>
  <c r="AG40" i="497"/>
  <c r="AF40" i="497"/>
  <c r="N48" i="497"/>
  <c r="R42" i="497"/>
  <c r="Q42" i="497"/>
  <c r="AF51" i="497"/>
  <c r="O51" i="497"/>
  <c r="AG51" i="497"/>
  <c r="R50" i="501"/>
  <c r="Q50" i="501"/>
  <c r="P69" i="485"/>
  <c r="AG19" i="487"/>
  <c r="P58" i="489"/>
  <c r="P6" i="491"/>
  <c r="P41" i="491"/>
  <c r="P58" i="491"/>
  <c r="L62" i="491"/>
  <c r="L42" i="493"/>
  <c r="L48" i="493" s="1"/>
  <c r="G13" i="492" s="1"/>
  <c r="N48" i="495"/>
  <c r="AG38" i="495"/>
  <c r="AF38" i="495"/>
  <c r="O38" i="495"/>
  <c r="J58" i="495"/>
  <c r="P58" i="495" s="1"/>
  <c r="P49" i="495"/>
  <c r="L49" i="495"/>
  <c r="AG60" i="495"/>
  <c r="AF60" i="495"/>
  <c r="N6" i="496"/>
  <c r="Q28" i="497"/>
  <c r="D20" i="498"/>
  <c r="AD2" i="499"/>
  <c r="AF5" i="491"/>
  <c r="O5" i="491"/>
  <c r="R17" i="491"/>
  <c r="Q17" i="491"/>
  <c r="AG18" i="491"/>
  <c r="AF18" i="491"/>
  <c r="AF52" i="491"/>
  <c r="AF59" i="491"/>
  <c r="O59" i="491"/>
  <c r="AG59" i="491"/>
  <c r="AG6" i="493"/>
  <c r="AF6" i="493"/>
  <c r="J15" i="493"/>
  <c r="Q42" i="493"/>
  <c r="R51" i="493"/>
  <c r="Q51" i="493"/>
  <c r="R18" i="495"/>
  <c r="Q18" i="495"/>
  <c r="AF29" i="495"/>
  <c r="O29" i="495"/>
  <c r="O53" i="497"/>
  <c r="AF53" i="497"/>
  <c r="AG53" i="497"/>
  <c r="AF53" i="487"/>
  <c r="AG53" i="487"/>
  <c r="O15" i="489"/>
  <c r="AD2" i="489"/>
  <c r="P38" i="489"/>
  <c r="J48" i="489"/>
  <c r="P48" i="489" s="1"/>
  <c r="K58" i="489"/>
  <c r="AG58" i="489" s="1"/>
  <c r="AH49" i="489" s="1"/>
  <c r="L49" i="489"/>
  <c r="L58" i="489" s="1"/>
  <c r="H13" i="488" s="1"/>
  <c r="AD2" i="483"/>
  <c r="L50" i="483"/>
  <c r="R50" i="483" s="1"/>
  <c r="L5" i="485"/>
  <c r="L10" i="487"/>
  <c r="L15" i="487" s="1"/>
  <c r="D13" i="486" s="1"/>
  <c r="L30" i="487"/>
  <c r="AF52" i="487"/>
  <c r="O53" i="487"/>
  <c r="AE2" i="489"/>
  <c r="P49" i="489"/>
  <c r="F18" i="490"/>
  <c r="L6" i="490" s="1"/>
  <c r="O39" i="491"/>
  <c r="K48" i="491"/>
  <c r="O6" i="492"/>
  <c r="O5" i="493"/>
  <c r="N15" i="493"/>
  <c r="AF5" i="493"/>
  <c r="D22" i="492"/>
  <c r="P15" i="493"/>
  <c r="L29" i="493"/>
  <c r="K37" i="493"/>
  <c r="AF37" i="493" s="1"/>
  <c r="R38" i="493"/>
  <c r="O52" i="493"/>
  <c r="AF52" i="493"/>
  <c r="AG29" i="495"/>
  <c r="I1" i="495"/>
  <c r="G22" i="494"/>
  <c r="AF49" i="495"/>
  <c r="AG49" i="495"/>
  <c r="O49" i="495"/>
  <c r="AG51" i="495"/>
  <c r="AF51" i="495"/>
  <c r="O7" i="497"/>
  <c r="AA2" i="497"/>
  <c r="O19" i="501"/>
  <c r="AF19" i="501"/>
  <c r="N48" i="505"/>
  <c r="AG38" i="505"/>
  <c r="AF38" i="505"/>
  <c r="O38" i="505"/>
  <c r="L6" i="491"/>
  <c r="R6" i="491" s="1"/>
  <c r="P72" i="491"/>
  <c r="J79" i="491"/>
  <c r="P79" i="491" s="1"/>
  <c r="L72" i="491"/>
  <c r="R72" i="491" s="1"/>
  <c r="L7" i="493"/>
  <c r="Q16" i="493"/>
  <c r="R16" i="493"/>
  <c r="L20" i="493"/>
  <c r="AG41" i="493"/>
  <c r="AF41" i="493"/>
  <c r="N69" i="493"/>
  <c r="AF59" i="493"/>
  <c r="AG59" i="493"/>
  <c r="O59" i="493"/>
  <c r="AG40" i="495"/>
  <c r="AF40" i="495"/>
  <c r="L40" i="495"/>
  <c r="R40" i="495" s="1"/>
  <c r="G1" i="499"/>
  <c r="AG19" i="501"/>
  <c r="P49" i="501"/>
  <c r="L49" i="501"/>
  <c r="L58" i="501" s="1"/>
  <c r="H13" i="500" s="1"/>
  <c r="J58" i="501"/>
  <c r="P58" i="501" s="1"/>
  <c r="Q61" i="501"/>
  <c r="Q20" i="503"/>
  <c r="R20" i="503"/>
  <c r="AG17" i="505"/>
  <c r="AF17" i="505"/>
  <c r="O17" i="505"/>
  <c r="Q20" i="505"/>
  <c r="R20" i="505"/>
  <c r="L42" i="499"/>
  <c r="R42" i="499" s="1"/>
  <c r="P42" i="499"/>
  <c r="R16" i="503"/>
  <c r="Q19" i="505"/>
  <c r="R19" i="505"/>
  <c r="Q39" i="499"/>
  <c r="M6" i="500"/>
  <c r="AG7" i="501"/>
  <c r="AF7" i="501"/>
  <c r="R29" i="501"/>
  <c r="Q29" i="501"/>
  <c r="O58" i="501"/>
  <c r="R6" i="501"/>
  <c r="Q18" i="501"/>
  <c r="J37" i="501"/>
  <c r="P37" i="501" s="1"/>
  <c r="P28" i="501"/>
  <c r="L28" i="501"/>
  <c r="AF53" i="499"/>
  <c r="AG53" i="499"/>
  <c r="O53" i="499"/>
  <c r="AF60" i="499"/>
  <c r="AG60" i="499"/>
  <c r="O60" i="499"/>
  <c r="N69" i="499"/>
  <c r="D20" i="500"/>
  <c r="AD2" i="501"/>
  <c r="R40" i="503"/>
  <c r="Q40" i="503"/>
  <c r="L6" i="500"/>
  <c r="Z2" i="501"/>
  <c r="F18" i="500"/>
  <c r="P26" i="491"/>
  <c r="R27" i="491"/>
  <c r="N37" i="491"/>
  <c r="N48" i="491"/>
  <c r="L37" i="493"/>
  <c r="F13" i="492" s="1"/>
  <c r="R19" i="495"/>
  <c r="K58" i="495"/>
  <c r="L50" i="495"/>
  <c r="AF6" i="497"/>
  <c r="AG6" i="497"/>
  <c r="O6" i="497"/>
  <c r="AF59" i="497"/>
  <c r="N69" i="497"/>
  <c r="O59" i="497"/>
  <c r="AF52" i="499"/>
  <c r="AG52" i="499"/>
  <c r="O52" i="499"/>
  <c r="N6" i="494"/>
  <c r="AF5" i="497"/>
  <c r="O5" i="497"/>
  <c r="AG50" i="497"/>
  <c r="O50" i="497"/>
  <c r="P48" i="501"/>
  <c r="G22" i="500"/>
  <c r="AF49" i="501"/>
  <c r="N58" i="501"/>
  <c r="AG49" i="501"/>
  <c r="AF28" i="503"/>
  <c r="O28" i="503"/>
  <c r="AG28" i="503"/>
  <c r="L39" i="503"/>
  <c r="Q39" i="503" s="1"/>
  <c r="I22" i="502"/>
  <c r="O37" i="497"/>
  <c r="P40" i="497"/>
  <c r="L40" i="497"/>
  <c r="L49" i="497"/>
  <c r="Q49" i="497" s="1"/>
  <c r="K58" i="497"/>
  <c r="Q42" i="499"/>
  <c r="O28" i="501"/>
  <c r="AF28" i="501"/>
  <c r="O60" i="501"/>
  <c r="AF60" i="501"/>
  <c r="O6" i="502"/>
  <c r="R39" i="503"/>
  <c r="AG58" i="503"/>
  <c r="AH49" i="503" s="1"/>
  <c r="L63" i="493"/>
  <c r="R63" i="493" s="1"/>
  <c r="P38" i="495"/>
  <c r="J48" i="495"/>
  <c r="P48" i="495" s="1"/>
  <c r="R39" i="495"/>
  <c r="R49" i="497"/>
  <c r="I22" i="496"/>
  <c r="Q28" i="499"/>
  <c r="P41" i="499"/>
  <c r="L41" i="499"/>
  <c r="AG50" i="499"/>
  <c r="P5" i="501"/>
  <c r="AG8" i="501"/>
  <c r="AF40" i="501"/>
  <c r="AG40" i="501"/>
  <c r="AF50" i="501"/>
  <c r="AF7" i="503"/>
  <c r="O8" i="503"/>
  <c r="L27" i="503"/>
  <c r="AF27" i="503"/>
  <c r="K37" i="503"/>
  <c r="O58" i="503"/>
  <c r="L53" i="503"/>
  <c r="N48" i="507"/>
  <c r="AF38" i="507"/>
  <c r="AG38" i="507"/>
  <c r="O38" i="507"/>
  <c r="AG50" i="507"/>
  <c r="O50" i="507"/>
  <c r="N58" i="507"/>
  <c r="AF50" i="507"/>
  <c r="AF49" i="511"/>
  <c r="O49" i="511"/>
  <c r="N58" i="511"/>
  <c r="AG49" i="511"/>
  <c r="L60" i="493"/>
  <c r="AF60" i="493"/>
  <c r="AF38" i="491"/>
  <c r="O61" i="491"/>
  <c r="AG61" i="491"/>
  <c r="N6" i="492"/>
  <c r="J37" i="493"/>
  <c r="P37" i="493" s="1"/>
  <c r="O61" i="493"/>
  <c r="L62" i="493"/>
  <c r="Q62" i="493" s="1"/>
  <c r="O6" i="494"/>
  <c r="J26" i="495"/>
  <c r="P26" i="495" s="1"/>
  <c r="P37" i="495"/>
  <c r="F22" i="494"/>
  <c r="L38" i="495"/>
  <c r="Q39" i="495"/>
  <c r="AG61" i="495"/>
  <c r="D19" i="496"/>
  <c r="M6" i="496" s="1"/>
  <c r="Z2" i="497"/>
  <c r="AF28" i="497"/>
  <c r="AF29" i="497"/>
  <c r="P48" i="497"/>
  <c r="P49" i="497"/>
  <c r="L53" i="497"/>
  <c r="AG18" i="499"/>
  <c r="R28" i="499"/>
  <c r="L49" i="499"/>
  <c r="O50" i="499"/>
  <c r="Q51" i="499"/>
  <c r="L61" i="499"/>
  <c r="R61" i="499" s="1"/>
  <c r="J15" i="501"/>
  <c r="P15" i="501" s="1"/>
  <c r="AF18" i="501"/>
  <c r="J48" i="501"/>
  <c r="O40" i="501"/>
  <c r="AG41" i="501"/>
  <c r="O41" i="501"/>
  <c r="AF41" i="501"/>
  <c r="J69" i="501"/>
  <c r="P69" i="501" s="1"/>
  <c r="L6" i="502"/>
  <c r="AA2" i="503"/>
  <c r="O7" i="503"/>
  <c r="L18" i="503"/>
  <c r="Q18" i="503" s="1"/>
  <c r="P27" i="503"/>
  <c r="AG53" i="503"/>
  <c r="AF61" i="503"/>
  <c r="O61" i="503"/>
  <c r="AF18" i="505"/>
  <c r="O18" i="505"/>
  <c r="AG18" i="505"/>
  <c r="O69" i="505"/>
  <c r="AF19" i="491"/>
  <c r="AG38" i="491"/>
  <c r="AF41" i="491"/>
  <c r="I22" i="490"/>
  <c r="P69" i="491"/>
  <c r="O28" i="493"/>
  <c r="AG28" i="493"/>
  <c r="K69" i="493"/>
  <c r="L59" i="493"/>
  <c r="AF62" i="493"/>
  <c r="AD2" i="495"/>
  <c r="N37" i="495"/>
  <c r="AF41" i="495"/>
  <c r="O41" i="495"/>
  <c r="N15" i="497"/>
  <c r="L16" i="497"/>
  <c r="L26" i="497" s="1"/>
  <c r="E13" i="496" s="1"/>
  <c r="L18" i="497"/>
  <c r="R18" i="497" s="1"/>
  <c r="P38" i="497"/>
  <c r="L38" i="497"/>
  <c r="E22" i="498"/>
  <c r="P26" i="499"/>
  <c r="N37" i="499"/>
  <c r="AG27" i="499"/>
  <c r="J48" i="499"/>
  <c r="P48" i="499" s="1"/>
  <c r="L39" i="499"/>
  <c r="L40" i="499"/>
  <c r="Q40" i="499" s="1"/>
  <c r="AF40" i="499"/>
  <c r="AF49" i="499"/>
  <c r="I1" i="501"/>
  <c r="K37" i="501"/>
  <c r="Q52" i="501"/>
  <c r="R52" i="501"/>
  <c r="L59" i="501"/>
  <c r="K69" i="501"/>
  <c r="O19" i="503"/>
  <c r="AG19" i="503"/>
  <c r="L52" i="503"/>
  <c r="R53" i="503"/>
  <c r="L69" i="503"/>
  <c r="I13" i="502" s="1"/>
  <c r="J6" i="502" s="1"/>
  <c r="J37" i="505"/>
  <c r="P37" i="505" s="1"/>
  <c r="P28" i="505"/>
  <c r="G1" i="493"/>
  <c r="AE2" i="493"/>
  <c r="N26" i="493"/>
  <c r="N48" i="493"/>
  <c r="AG53" i="493"/>
  <c r="O53" i="493"/>
  <c r="R62" i="493"/>
  <c r="Q6" i="495"/>
  <c r="AE2" i="495"/>
  <c r="D21" i="494"/>
  <c r="AF27" i="497"/>
  <c r="O41" i="497"/>
  <c r="AG41" i="497"/>
  <c r="AF49" i="497"/>
  <c r="AF50" i="497"/>
  <c r="P59" i="497"/>
  <c r="J69" i="497"/>
  <c r="P69" i="497" s="1"/>
  <c r="O37" i="499"/>
  <c r="K37" i="499"/>
  <c r="Q49" i="499"/>
  <c r="J58" i="499"/>
  <c r="AF5" i="501"/>
  <c r="O5" i="501"/>
  <c r="N15" i="501"/>
  <c r="P19" i="501"/>
  <c r="L19" i="501"/>
  <c r="L37" i="501"/>
  <c r="F13" i="500" s="1"/>
  <c r="G1" i="503"/>
  <c r="O6" i="503"/>
  <c r="AF6" i="503"/>
  <c r="AG8" i="503"/>
  <c r="P26" i="503"/>
  <c r="E22" i="502"/>
  <c r="AF39" i="503"/>
  <c r="AF49" i="503"/>
  <c r="AG49" i="503"/>
  <c r="AF60" i="503"/>
  <c r="AG60" i="503"/>
  <c r="P9" i="505"/>
  <c r="L9" i="505"/>
  <c r="D21" i="514"/>
  <c r="AE2" i="515"/>
  <c r="Q50" i="515"/>
  <c r="R50" i="515"/>
  <c r="O58" i="515"/>
  <c r="P27" i="495"/>
  <c r="J37" i="495"/>
  <c r="AE2" i="497"/>
  <c r="AG5" i="497"/>
  <c r="O26" i="497"/>
  <c r="Q18" i="497"/>
  <c r="P37" i="497"/>
  <c r="AG49" i="497"/>
  <c r="N58" i="497"/>
  <c r="AF28" i="499"/>
  <c r="AG51" i="499"/>
  <c r="K58" i="499"/>
  <c r="P59" i="499"/>
  <c r="L59" i="499"/>
  <c r="AG5" i="501"/>
  <c r="R16" i="501"/>
  <c r="N26" i="501"/>
  <c r="AG28" i="501"/>
  <c r="N48" i="501"/>
  <c r="AF38" i="501"/>
  <c r="AG60" i="501"/>
  <c r="J15" i="503"/>
  <c r="P15" i="503" s="1"/>
  <c r="P5" i="503"/>
  <c r="O17" i="503"/>
  <c r="O26" i="503" s="1"/>
  <c r="AG17" i="503"/>
  <c r="N26" i="503"/>
  <c r="AG27" i="503"/>
  <c r="J48" i="503"/>
  <c r="P48" i="503" s="1"/>
  <c r="P38" i="503"/>
  <c r="O60" i="503"/>
  <c r="O69" i="503" s="1"/>
  <c r="H22" i="504"/>
  <c r="P58" i="505"/>
  <c r="I1" i="505"/>
  <c r="O28" i="495"/>
  <c r="O37" i="495" s="1"/>
  <c r="P16" i="497"/>
  <c r="O17" i="497"/>
  <c r="AG26" i="497"/>
  <c r="AH16" i="497" s="1"/>
  <c r="N37" i="497"/>
  <c r="O38" i="497"/>
  <c r="R39" i="497"/>
  <c r="O52" i="497"/>
  <c r="AG52" i="497"/>
  <c r="AF52" i="497"/>
  <c r="O58" i="497"/>
  <c r="L59" i="497"/>
  <c r="L69" i="497" s="1"/>
  <c r="I13" i="496" s="1"/>
  <c r="J6" i="496" s="1"/>
  <c r="Q60" i="497"/>
  <c r="AF16" i="499"/>
  <c r="N26" i="499"/>
  <c r="R27" i="499"/>
  <c r="AF50" i="499"/>
  <c r="P58" i="499"/>
  <c r="H22" i="498"/>
  <c r="N69" i="501"/>
  <c r="K15" i="503"/>
  <c r="AG7" i="503"/>
  <c r="D22" i="502"/>
  <c r="I1" i="503"/>
  <c r="AF29" i="503"/>
  <c r="O29" i="503"/>
  <c r="AF7" i="505"/>
  <c r="O7" i="505"/>
  <c r="AG7" i="505"/>
  <c r="AF9" i="505"/>
  <c r="O9" i="505"/>
  <c r="AG9" i="505"/>
  <c r="AG28" i="505"/>
  <c r="O28" i="505"/>
  <c r="N37" i="505"/>
  <c r="AF28" i="505"/>
  <c r="L38" i="513"/>
  <c r="L48" i="513" s="1"/>
  <c r="G13" i="512" s="1"/>
  <c r="K48" i="513"/>
  <c r="Z2" i="495"/>
  <c r="L27" i="495"/>
  <c r="Q53" i="495"/>
  <c r="L7" i="497"/>
  <c r="L15" i="497" s="1"/>
  <c r="D13" i="496" s="1"/>
  <c r="L29" i="497"/>
  <c r="AF5" i="499"/>
  <c r="N15" i="499"/>
  <c r="Q7" i="499"/>
  <c r="O16" i="499"/>
  <c r="Q38" i="499"/>
  <c r="N58" i="499"/>
  <c r="AF61" i="499"/>
  <c r="J69" i="499"/>
  <c r="P69" i="499" s="1"/>
  <c r="P7" i="501"/>
  <c r="L7" i="501"/>
  <c r="Q7" i="501" s="1"/>
  <c r="AF16" i="501"/>
  <c r="AG16" i="501"/>
  <c r="O27" i="501"/>
  <c r="N37" i="501"/>
  <c r="AG27" i="501"/>
  <c r="AF27" i="501"/>
  <c r="O59" i="501"/>
  <c r="AG59" i="501"/>
  <c r="L5" i="503"/>
  <c r="N15" i="503"/>
  <c r="K26" i="503"/>
  <c r="AG29" i="503"/>
  <c r="AD2" i="503"/>
  <c r="G20" i="502"/>
  <c r="N6" i="502" s="1"/>
  <c r="Q52" i="495"/>
  <c r="R52" i="495"/>
  <c r="O61" i="495"/>
  <c r="J15" i="497"/>
  <c r="P15" i="497" s="1"/>
  <c r="L28" i="497"/>
  <c r="R28" i="497" s="1"/>
  <c r="I1" i="499"/>
  <c r="O5" i="499"/>
  <c r="Z2" i="499"/>
  <c r="D18" i="498"/>
  <c r="L6" i="498" s="1"/>
  <c r="O59" i="499"/>
  <c r="K69" i="499"/>
  <c r="AE2" i="501"/>
  <c r="O8" i="501"/>
  <c r="P18" i="501"/>
  <c r="J26" i="501"/>
  <c r="P26" i="501" s="1"/>
  <c r="R38" i="501"/>
  <c r="Q51" i="501"/>
  <c r="R51" i="501"/>
  <c r="AF59" i="501"/>
  <c r="AF70" i="501"/>
  <c r="N79" i="501"/>
  <c r="O70" i="501"/>
  <c r="AG6" i="503"/>
  <c r="L16" i="503"/>
  <c r="Q16" i="503" s="1"/>
  <c r="L28" i="503"/>
  <c r="O38" i="503"/>
  <c r="AG38" i="503"/>
  <c r="AF38" i="503"/>
  <c r="N48" i="503"/>
  <c r="AG59" i="503"/>
  <c r="N69" i="503"/>
  <c r="AF59" i="503"/>
  <c r="O50" i="505"/>
  <c r="AG50" i="505"/>
  <c r="AF50" i="505"/>
  <c r="P26" i="507"/>
  <c r="E22" i="506"/>
  <c r="I1" i="507"/>
  <c r="Q37" i="513"/>
  <c r="AG37" i="513"/>
  <c r="AH27" i="513" s="1"/>
  <c r="AF37" i="513"/>
  <c r="M6" i="504"/>
  <c r="Q19" i="507"/>
  <c r="R19" i="507"/>
  <c r="N26" i="507"/>
  <c r="L29" i="507"/>
  <c r="O9" i="507"/>
  <c r="AG9" i="507"/>
  <c r="AF9" i="507"/>
  <c r="R40" i="507"/>
  <c r="Q40" i="507"/>
  <c r="O19" i="509"/>
  <c r="AG19" i="509"/>
  <c r="AF19" i="509"/>
  <c r="AG26" i="515"/>
  <c r="AH16" i="515" s="1"/>
  <c r="AF26" i="515"/>
  <c r="K69" i="519"/>
  <c r="L60" i="519"/>
  <c r="L62" i="503"/>
  <c r="G1" i="505"/>
  <c r="AG19" i="505"/>
  <c r="AF19" i="505"/>
  <c r="L6" i="504"/>
  <c r="AF52" i="505"/>
  <c r="AG52" i="505"/>
  <c r="L52" i="505"/>
  <c r="R8" i="507"/>
  <c r="Q8" i="507"/>
  <c r="AG19" i="507"/>
  <c r="J37" i="513"/>
  <c r="P37" i="513" s="1"/>
  <c r="P28" i="513"/>
  <c r="L15" i="515"/>
  <c r="D13" i="514" s="1"/>
  <c r="O31" i="503"/>
  <c r="AF31" i="503"/>
  <c r="K48" i="503"/>
  <c r="J58" i="503"/>
  <c r="P58" i="503" s="1"/>
  <c r="Q52" i="503"/>
  <c r="R6" i="505"/>
  <c r="Q6" i="505"/>
  <c r="K26" i="505"/>
  <c r="L17" i="505"/>
  <c r="L49" i="505"/>
  <c r="AG63" i="505"/>
  <c r="AF63" i="505"/>
  <c r="L7" i="507"/>
  <c r="L15" i="507" s="1"/>
  <c r="D13" i="506" s="1"/>
  <c r="K15" i="507"/>
  <c r="R63" i="507"/>
  <c r="K48" i="509"/>
  <c r="L39" i="509"/>
  <c r="AF7" i="513"/>
  <c r="AG7" i="513"/>
  <c r="O7" i="513"/>
  <c r="G21" i="512"/>
  <c r="AE2" i="513"/>
  <c r="K69" i="491"/>
  <c r="AG69" i="491" s="1"/>
  <c r="AH59" i="491" s="1"/>
  <c r="L59" i="491"/>
  <c r="L69" i="491" s="1"/>
  <c r="I13" i="490" s="1"/>
  <c r="J6" i="490" s="1"/>
  <c r="L60" i="495"/>
  <c r="Q60" i="495" s="1"/>
  <c r="G1" i="497"/>
  <c r="AE2" i="499"/>
  <c r="R40" i="499"/>
  <c r="G1" i="501"/>
  <c r="O17" i="501"/>
  <c r="AG62" i="501"/>
  <c r="AF62" i="501"/>
  <c r="Z2" i="503"/>
  <c r="O27" i="503"/>
  <c r="N37" i="503"/>
  <c r="AF51" i="503"/>
  <c r="AG51" i="503"/>
  <c r="Q53" i="503"/>
  <c r="AF6" i="505"/>
  <c r="Q8" i="505"/>
  <c r="R8" i="505"/>
  <c r="AF49" i="505"/>
  <c r="N58" i="505"/>
  <c r="O49" i="505"/>
  <c r="AG49" i="505"/>
  <c r="O63" i="505"/>
  <c r="AA2" i="507"/>
  <c r="G19" i="506"/>
  <c r="M6" i="506" s="1"/>
  <c r="AG60" i="507"/>
  <c r="O60" i="507"/>
  <c r="AF60" i="507"/>
  <c r="N69" i="507"/>
  <c r="D22" i="508"/>
  <c r="I1" i="509"/>
  <c r="P60" i="509"/>
  <c r="L60" i="509"/>
  <c r="L6" i="513"/>
  <c r="R63" i="501"/>
  <c r="P79" i="501"/>
  <c r="J22" i="500"/>
  <c r="AG39" i="503"/>
  <c r="AG50" i="503"/>
  <c r="AF50" i="503"/>
  <c r="R52" i="503"/>
  <c r="O62" i="503"/>
  <c r="AF62" i="503"/>
  <c r="AG62" i="503"/>
  <c r="O6" i="504"/>
  <c r="AG6" i="505"/>
  <c r="AG29" i="505"/>
  <c r="O29" i="505"/>
  <c r="O18" i="507"/>
  <c r="AG18" i="507"/>
  <c r="J69" i="507"/>
  <c r="P59" i="507"/>
  <c r="AF15" i="509"/>
  <c r="AG15" i="509"/>
  <c r="AH5" i="509" s="1"/>
  <c r="G1" i="511"/>
  <c r="AF26" i="511"/>
  <c r="AG26" i="511"/>
  <c r="AH16" i="511" s="1"/>
  <c r="K58" i="503"/>
  <c r="AF58" i="503" s="1"/>
  <c r="L49" i="503"/>
  <c r="L58" i="503" s="1"/>
  <c r="H13" i="502" s="1"/>
  <c r="AF5" i="505"/>
  <c r="O5" i="505"/>
  <c r="N15" i="505"/>
  <c r="Q21" i="505"/>
  <c r="R21" i="505"/>
  <c r="L59" i="505"/>
  <c r="K69" i="505"/>
  <c r="L37" i="509"/>
  <c r="F13" i="508" s="1"/>
  <c r="E18" i="510"/>
  <c r="Z2" i="511"/>
  <c r="P28" i="517"/>
  <c r="J37" i="517"/>
  <c r="P37" i="517" s="1"/>
  <c r="L28" i="517"/>
  <c r="L37" i="517" s="1"/>
  <c r="F13" i="516" s="1"/>
  <c r="Q37" i="517"/>
  <c r="AG37" i="517"/>
  <c r="AH27" i="517" s="1"/>
  <c r="AF37" i="517"/>
  <c r="K58" i="501"/>
  <c r="L60" i="501"/>
  <c r="O5" i="503"/>
  <c r="AG5" i="503"/>
  <c r="AE2" i="503"/>
  <c r="P50" i="503"/>
  <c r="AG5" i="505"/>
  <c r="AG8" i="505"/>
  <c r="L48" i="505"/>
  <c r="G13" i="504" s="1"/>
  <c r="N69" i="505"/>
  <c r="AG59" i="505"/>
  <c r="AF59" i="505"/>
  <c r="G1" i="507"/>
  <c r="O69" i="507"/>
  <c r="H21" i="508"/>
  <c r="AE2" i="509"/>
  <c r="O6" i="512"/>
  <c r="O17" i="513"/>
  <c r="AF17" i="513"/>
  <c r="AG17" i="513"/>
  <c r="O49" i="513"/>
  <c r="AG49" i="513"/>
  <c r="N58" i="513"/>
  <c r="AF49" i="513"/>
  <c r="R61" i="513"/>
  <c r="Q61" i="513"/>
  <c r="P17" i="515"/>
  <c r="J26" i="515"/>
  <c r="AG60" i="493"/>
  <c r="L15" i="495"/>
  <c r="D13" i="494" s="1"/>
  <c r="L27" i="497"/>
  <c r="L37" i="497" s="1"/>
  <c r="F13" i="496" s="1"/>
  <c r="K48" i="497"/>
  <c r="L40" i="501"/>
  <c r="L48" i="501" s="1"/>
  <c r="G13" i="500" s="1"/>
  <c r="P16" i="505"/>
  <c r="J26" i="505"/>
  <c r="P26" i="505" s="1"/>
  <c r="L16" i="505"/>
  <c r="L28" i="505"/>
  <c r="AF29" i="505"/>
  <c r="AF6" i="507"/>
  <c r="O6" i="507"/>
  <c r="L26" i="507"/>
  <c r="E13" i="506" s="1"/>
  <c r="P38" i="513"/>
  <c r="J48" i="513"/>
  <c r="AD2" i="513"/>
  <c r="J20" i="512"/>
  <c r="N6" i="512" s="1"/>
  <c r="AG50" i="509"/>
  <c r="O50" i="509"/>
  <c r="AF50" i="509"/>
  <c r="AF53" i="509"/>
  <c r="O53" i="509"/>
  <c r="AF16" i="511"/>
  <c r="O16" i="511"/>
  <c r="P48" i="511"/>
  <c r="R6" i="513"/>
  <c r="Q6" i="513"/>
  <c r="AG28" i="513"/>
  <c r="AF28" i="513"/>
  <c r="L28" i="513"/>
  <c r="R28" i="513" s="1"/>
  <c r="AG38" i="513"/>
  <c r="N48" i="513"/>
  <c r="L59" i="515"/>
  <c r="L69" i="515" s="1"/>
  <c r="I13" i="514" s="1"/>
  <c r="J6" i="514" s="1"/>
  <c r="AF59" i="515"/>
  <c r="N6" i="516"/>
  <c r="J58" i="519"/>
  <c r="P58" i="519" s="1"/>
  <c r="P49" i="519"/>
  <c r="L49" i="519"/>
  <c r="AG18" i="509"/>
  <c r="AF18" i="509"/>
  <c r="L28" i="509"/>
  <c r="K37" i="509"/>
  <c r="AG53" i="509"/>
  <c r="L5" i="511"/>
  <c r="K15" i="511"/>
  <c r="AG6" i="511"/>
  <c r="O6" i="511"/>
  <c r="AF6" i="511"/>
  <c r="N15" i="511"/>
  <c r="AG16" i="511"/>
  <c r="L28" i="511"/>
  <c r="AG38" i="511"/>
  <c r="O38" i="511"/>
  <c r="N48" i="511"/>
  <c r="AF16" i="513"/>
  <c r="AG16" i="513"/>
  <c r="N26" i="513"/>
  <c r="R28" i="517"/>
  <c r="N6" i="518"/>
  <c r="O6" i="518"/>
  <c r="O9" i="519"/>
  <c r="AG9" i="519"/>
  <c r="AG7" i="507"/>
  <c r="AF7" i="507"/>
  <c r="AF29" i="507"/>
  <c r="AG29" i="507"/>
  <c r="O29" i="507"/>
  <c r="L51" i="507"/>
  <c r="L58" i="507" s="1"/>
  <c r="H13" i="506" s="1"/>
  <c r="K58" i="507"/>
  <c r="P69" i="507"/>
  <c r="I22" i="506"/>
  <c r="D19" i="508"/>
  <c r="M6" i="508" s="1"/>
  <c r="AA2" i="509"/>
  <c r="O18" i="509"/>
  <c r="AF28" i="509"/>
  <c r="AG28" i="509"/>
  <c r="O28" i="509"/>
  <c r="P38" i="509"/>
  <c r="J48" i="509"/>
  <c r="P48" i="509" s="1"/>
  <c r="Q61" i="509"/>
  <c r="AF38" i="511"/>
  <c r="K58" i="511"/>
  <c r="R51" i="511"/>
  <c r="J58" i="511"/>
  <c r="P58" i="511" s="1"/>
  <c r="L53" i="511"/>
  <c r="O16" i="513"/>
  <c r="AF9" i="519"/>
  <c r="L6" i="499"/>
  <c r="R6" i="499" s="1"/>
  <c r="K15" i="501"/>
  <c r="L6" i="501"/>
  <c r="Q6" i="501" s="1"/>
  <c r="L18" i="501"/>
  <c r="R18" i="501" s="1"/>
  <c r="AF39" i="501"/>
  <c r="AG61" i="501"/>
  <c r="AG40" i="503"/>
  <c r="AE2" i="505"/>
  <c r="O7" i="507"/>
  <c r="R17" i="507"/>
  <c r="Q17" i="507"/>
  <c r="P58" i="507"/>
  <c r="Q63" i="507"/>
  <c r="G1" i="509"/>
  <c r="AG6" i="509"/>
  <c r="O6" i="509"/>
  <c r="O15" i="509" s="1"/>
  <c r="L17" i="509"/>
  <c r="R17" i="509" s="1"/>
  <c r="AF29" i="509"/>
  <c r="AG29" i="509"/>
  <c r="O29" i="509"/>
  <c r="AG38" i="509"/>
  <c r="L38" i="509"/>
  <c r="L48" i="509" s="1"/>
  <c r="G13" i="508" s="1"/>
  <c r="G15" i="508" s="1"/>
  <c r="J58" i="509"/>
  <c r="P49" i="509"/>
  <c r="AG28" i="511"/>
  <c r="AF28" i="511"/>
  <c r="O28" i="511"/>
  <c r="R61" i="511"/>
  <c r="Q61" i="511"/>
  <c r="G1" i="513"/>
  <c r="AF38" i="513"/>
  <c r="AF62" i="513"/>
  <c r="O62" i="513"/>
  <c r="J69" i="513"/>
  <c r="P69" i="513" s="1"/>
  <c r="P26" i="515"/>
  <c r="AF51" i="515"/>
  <c r="AG51" i="515"/>
  <c r="K26" i="517"/>
  <c r="AF61" i="517"/>
  <c r="O61" i="517"/>
  <c r="AG61" i="517"/>
  <c r="N69" i="517"/>
  <c r="O28" i="521"/>
  <c r="N37" i="521"/>
  <c r="AG28" i="521"/>
  <c r="AF28" i="521"/>
  <c r="AG29" i="501"/>
  <c r="AF16" i="503"/>
  <c r="R63" i="503"/>
  <c r="AF62" i="505"/>
  <c r="L6" i="507"/>
  <c r="P15" i="507"/>
  <c r="K37" i="507"/>
  <c r="L28" i="507"/>
  <c r="L61" i="507"/>
  <c r="J15" i="509"/>
  <c r="P15" i="509" s="1"/>
  <c r="P5" i="509"/>
  <c r="P8" i="509"/>
  <c r="L8" i="509"/>
  <c r="AG17" i="509"/>
  <c r="J37" i="509"/>
  <c r="P27" i="509"/>
  <c r="AF61" i="509"/>
  <c r="AG61" i="509"/>
  <c r="AG5" i="511"/>
  <c r="O5" i="511"/>
  <c r="O50" i="511"/>
  <c r="AG52" i="511"/>
  <c r="AF52" i="511"/>
  <c r="P53" i="511"/>
  <c r="AF61" i="511"/>
  <c r="J15" i="513"/>
  <c r="P15" i="513" s="1"/>
  <c r="P5" i="513"/>
  <c r="L6" i="514"/>
  <c r="AF30" i="515"/>
  <c r="O30" i="515"/>
  <c r="AG30" i="515"/>
  <c r="Q51" i="515"/>
  <c r="R51" i="515"/>
  <c r="L17" i="517"/>
  <c r="L26" i="517" s="1"/>
  <c r="E13" i="516" s="1"/>
  <c r="AG61" i="507"/>
  <c r="O61" i="507"/>
  <c r="Q17" i="509"/>
  <c r="F22" i="508"/>
  <c r="P37" i="509"/>
  <c r="Q49" i="509"/>
  <c r="O58" i="509"/>
  <c r="R49" i="509"/>
  <c r="AF5" i="511"/>
  <c r="D21" i="510"/>
  <c r="AE2" i="511"/>
  <c r="P39" i="511"/>
  <c r="J48" i="511"/>
  <c r="AG61" i="511"/>
  <c r="AG18" i="513"/>
  <c r="O18" i="513"/>
  <c r="AF19" i="515"/>
  <c r="AG19" i="515"/>
  <c r="AG8" i="519"/>
  <c r="AF8" i="519"/>
  <c r="L8" i="519"/>
  <c r="Q8" i="519" s="1"/>
  <c r="J15" i="505"/>
  <c r="P15" i="505" s="1"/>
  <c r="P5" i="505"/>
  <c r="L5" i="505"/>
  <c r="N26" i="505"/>
  <c r="AF16" i="505"/>
  <c r="O16" i="505"/>
  <c r="L39" i="505"/>
  <c r="AG40" i="505"/>
  <c r="O40" i="505"/>
  <c r="O51" i="505"/>
  <c r="AF51" i="505"/>
  <c r="O5" i="507"/>
  <c r="AF5" i="507"/>
  <c r="N15" i="507"/>
  <c r="AG5" i="507"/>
  <c r="Z2" i="507"/>
  <c r="L27" i="507"/>
  <c r="L37" i="507" s="1"/>
  <c r="F13" i="506" s="1"/>
  <c r="P27" i="507"/>
  <c r="AG30" i="507"/>
  <c r="L30" i="507"/>
  <c r="K26" i="509"/>
  <c r="N37" i="509"/>
  <c r="AF49" i="509"/>
  <c r="N58" i="509"/>
  <c r="AG49" i="509"/>
  <c r="AG51" i="509"/>
  <c r="AF51" i="509"/>
  <c r="O52" i="509"/>
  <c r="AF52" i="509"/>
  <c r="AG52" i="509"/>
  <c r="AG27" i="511"/>
  <c r="AF27" i="511"/>
  <c r="K37" i="511"/>
  <c r="L27" i="511"/>
  <c r="L37" i="511" s="1"/>
  <c r="F13" i="510" s="1"/>
  <c r="L29" i="511"/>
  <c r="AF29" i="511"/>
  <c r="AG53" i="511"/>
  <c r="AF53" i="511"/>
  <c r="O53" i="511"/>
  <c r="L5" i="513"/>
  <c r="L15" i="513" s="1"/>
  <c r="D13" i="512" s="1"/>
  <c r="AF18" i="513"/>
  <c r="Q27" i="513"/>
  <c r="R27" i="513"/>
  <c r="O19" i="515"/>
  <c r="R40" i="515"/>
  <c r="Q40" i="515"/>
  <c r="AG41" i="517"/>
  <c r="AF41" i="517"/>
  <c r="O41" i="517"/>
  <c r="Z2" i="519"/>
  <c r="G18" i="518"/>
  <c r="AF8" i="505"/>
  <c r="AA2" i="505"/>
  <c r="AG16" i="505"/>
  <c r="L27" i="505"/>
  <c r="AF39" i="505"/>
  <c r="AF28" i="507"/>
  <c r="AG28" i="507"/>
  <c r="O28" i="507"/>
  <c r="J37" i="507"/>
  <c r="P37" i="507" s="1"/>
  <c r="AF51" i="507"/>
  <c r="L26" i="509"/>
  <c r="E13" i="508" s="1"/>
  <c r="O51" i="509"/>
  <c r="R17" i="511"/>
  <c r="Q17" i="511"/>
  <c r="AG18" i="511"/>
  <c r="O18" i="511"/>
  <c r="Q29" i="511"/>
  <c r="R29" i="511"/>
  <c r="Q52" i="511"/>
  <c r="J69" i="511"/>
  <c r="P69" i="511" s="1"/>
  <c r="P59" i="511"/>
  <c r="L59" i="511"/>
  <c r="L69" i="511" s="1"/>
  <c r="I13" i="510" s="1"/>
  <c r="J6" i="510" s="1"/>
  <c r="O5" i="513"/>
  <c r="AF5" i="513"/>
  <c r="N15" i="513"/>
  <c r="AG5" i="513"/>
  <c r="AG8" i="513"/>
  <c r="AF8" i="513"/>
  <c r="E22" i="512"/>
  <c r="P26" i="513"/>
  <c r="AG39" i="513"/>
  <c r="AF39" i="513"/>
  <c r="P6" i="515"/>
  <c r="J15" i="515"/>
  <c r="AF7" i="515"/>
  <c r="O7" i="515"/>
  <c r="AG7" i="515"/>
  <c r="P15" i="515"/>
  <c r="I1" i="515"/>
  <c r="O8" i="517"/>
  <c r="AG8" i="517"/>
  <c r="AF8" i="517"/>
  <c r="L29" i="519"/>
  <c r="AF29" i="519"/>
  <c r="K37" i="519"/>
  <c r="AG29" i="519"/>
  <c r="K58" i="521"/>
  <c r="L50" i="521"/>
  <c r="L38" i="503"/>
  <c r="L48" i="503" s="1"/>
  <c r="G13" i="502" s="1"/>
  <c r="L50" i="503"/>
  <c r="Q50" i="503" s="1"/>
  <c r="AG52" i="503"/>
  <c r="AF27" i="505"/>
  <c r="O39" i="505"/>
  <c r="O6" i="506"/>
  <c r="P38" i="507"/>
  <c r="J48" i="507"/>
  <c r="P48" i="507" s="1"/>
  <c r="R39" i="507"/>
  <c r="Q39" i="507"/>
  <c r="AF40" i="507"/>
  <c r="K48" i="507"/>
  <c r="AG51" i="507"/>
  <c r="E22" i="508"/>
  <c r="O8" i="509"/>
  <c r="AF8" i="509"/>
  <c r="AG8" i="509"/>
  <c r="AF16" i="509"/>
  <c r="AG16" i="509"/>
  <c r="N26" i="509"/>
  <c r="R48" i="509"/>
  <c r="S38" i="509" s="1"/>
  <c r="AF59" i="509"/>
  <c r="O59" i="509"/>
  <c r="N69" i="509"/>
  <c r="AG59" i="509"/>
  <c r="N6" i="510"/>
  <c r="AF18" i="511"/>
  <c r="R39" i="511"/>
  <c r="AF50" i="511"/>
  <c r="Q63" i="511"/>
  <c r="H22" i="512"/>
  <c r="O8" i="513"/>
  <c r="AF27" i="513"/>
  <c r="AG27" i="513"/>
  <c r="L29" i="513"/>
  <c r="L37" i="513" s="1"/>
  <c r="F13" i="512" s="1"/>
  <c r="O39" i="513"/>
  <c r="O48" i="513" s="1"/>
  <c r="D22" i="514"/>
  <c r="G1" i="515"/>
  <c r="AG39" i="515"/>
  <c r="AF39" i="515"/>
  <c r="O39" i="515"/>
  <c r="Q20" i="517"/>
  <c r="R20" i="517"/>
  <c r="P69" i="517"/>
  <c r="I22" i="516"/>
  <c r="AG27" i="519"/>
  <c r="N37" i="519"/>
  <c r="O27" i="519"/>
  <c r="R29" i="519"/>
  <c r="Q29" i="519"/>
  <c r="AG9" i="521"/>
  <c r="O9" i="521"/>
  <c r="O15" i="521" s="1"/>
  <c r="N15" i="521"/>
  <c r="AF9" i="521"/>
  <c r="R27" i="505"/>
  <c r="Q27" i="505"/>
  <c r="AE2" i="507"/>
  <c r="R27" i="507"/>
  <c r="Q27" i="507"/>
  <c r="N37" i="507"/>
  <c r="AG40" i="507"/>
  <c r="O26" i="509"/>
  <c r="R16" i="509"/>
  <c r="Q16" i="509"/>
  <c r="AG8" i="511"/>
  <c r="O8" i="511"/>
  <c r="L48" i="511"/>
  <c r="G13" i="510" s="1"/>
  <c r="R60" i="513"/>
  <c r="Q60" i="513"/>
  <c r="AF61" i="513"/>
  <c r="AG61" i="513"/>
  <c r="M6" i="514"/>
  <c r="L6" i="515"/>
  <c r="Q18" i="515"/>
  <c r="R18" i="515"/>
  <c r="Q28" i="515"/>
  <c r="R28" i="515"/>
  <c r="AF27" i="519"/>
  <c r="AG29" i="521"/>
  <c r="O29" i="521"/>
  <c r="AF29" i="521"/>
  <c r="AF60" i="517"/>
  <c r="AG60" i="517"/>
  <c r="L60" i="517"/>
  <c r="L69" i="517" s="1"/>
  <c r="I13" i="516" s="1"/>
  <c r="J6" i="516" s="1"/>
  <c r="Q39" i="509"/>
  <c r="L6" i="510"/>
  <c r="K69" i="513"/>
  <c r="L59" i="513"/>
  <c r="L69" i="513" s="1"/>
  <c r="I13" i="512" s="1"/>
  <c r="J6" i="512" s="1"/>
  <c r="O6" i="514"/>
  <c r="L17" i="515"/>
  <c r="R7" i="517"/>
  <c r="L26" i="519"/>
  <c r="E13" i="518" s="1"/>
  <c r="O48" i="519"/>
  <c r="AG61" i="519"/>
  <c r="AF61" i="519"/>
  <c r="R62" i="521"/>
  <c r="Q62" i="521"/>
  <c r="AF30" i="507"/>
  <c r="O30" i="507"/>
  <c r="O37" i="507" s="1"/>
  <c r="AF39" i="507"/>
  <c r="L5" i="509"/>
  <c r="L15" i="509" s="1"/>
  <c r="D13" i="508" s="1"/>
  <c r="Z2" i="509"/>
  <c r="O27" i="509"/>
  <c r="N48" i="509"/>
  <c r="AF38" i="509"/>
  <c r="R39" i="509"/>
  <c r="N37" i="511"/>
  <c r="O27" i="511"/>
  <c r="AA2" i="513"/>
  <c r="Q28" i="513"/>
  <c r="O29" i="513"/>
  <c r="O37" i="513" s="1"/>
  <c r="Q59" i="513"/>
  <c r="O69" i="513"/>
  <c r="AG5" i="515"/>
  <c r="O5" i="515"/>
  <c r="R6" i="515"/>
  <c r="Q6" i="515"/>
  <c r="O17" i="515"/>
  <c r="J37" i="515"/>
  <c r="P5" i="517"/>
  <c r="J15" i="517"/>
  <c r="P15" i="517" s="1"/>
  <c r="AF7" i="517"/>
  <c r="F21" i="516"/>
  <c r="AE2" i="517"/>
  <c r="AG5" i="519"/>
  <c r="N15" i="519"/>
  <c r="O5" i="519"/>
  <c r="R52" i="519"/>
  <c r="Q52" i="519"/>
  <c r="O61" i="519"/>
  <c r="AF16" i="521"/>
  <c r="N26" i="521"/>
  <c r="O16" i="521"/>
  <c r="Q18" i="521"/>
  <c r="R18" i="521"/>
  <c r="L6" i="509"/>
  <c r="O7" i="509"/>
  <c r="Q38" i="509"/>
  <c r="I1" i="511"/>
  <c r="L58" i="511"/>
  <c r="H13" i="510" s="1"/>
  <c r="L63" i="511"/>
  <c r="R63" i="511" s="1"/>
  <c r="Q16" i="515"/>
  <c r="O26" i="515"/>
  <c r="AG7" i="517"/>
  <c r="R52" i="517"/>
  <c r="Q52" i="517"/>
  <c r="P59" i="521"/>
  <c r="J69" i="521"/>
  <c r="L59" i="521"/>
  <c r="L69" i="521" s="1"/>
  <c r="I13" i="520" s="1"/>
  <c r="J6" i="520" s="1"/>
  <c r="J48" i="505"/>
  <c r="P48" i="505" s="1"/>
  <c r="Q16" i="507"/>
  <c r="AD2" i="509"/>
  <c r="D20" i="508"/>
  <c r="AF39" i="509"/>
  <c r="P58" i="509"/>
  <c r="H22" i="508"/>
  <c r="L8" i="511"/>
  <c r="L39" i="511"/>
  <c r="Q39" i="511" s="1"/>
  <c r="P49" i="511"/>
  <c r="K69" i="511"/>
  <c r="D19" i="512"/>
  <c r="M6" i="512" s="1"/>
  <c r="O52" i="513"/>
  <c r="AF52" i="513"/>
  <c r="AF59" i="513"/>
  <c r="N15" i="515"/>
  <c r="R16" i="515"/>
  <c r="P48" i="515"/>
  <c r="AG27" i="517"/>
  <c r="O27" i="517"/>
  <c r="AG39" i="517"/>
  <c r="AF39" i="517"/>
  <c r="N48" i="517"/>
  <c r="O39" i="517"/>
  <c r="AG52" i="517"/>
  <c r="AF5" i="519"/>
  <c r="AF40" i="519"/>
  <c r="AG40" i="519"/>
  <c r="O40" i="519"/>
  <c r="AF49" i="519"/>
  <c r="N58" i="519"/>
  <c r="AG49" i="519"/>
  <c r="O49" i="519"/>
  <c r="R27" i="521"/>
  <c r="AF49" i="521"/>
  <c r="O49" i="521"/>
  <c r="AG49" i="521"/>
  <c r="N58" i="521"/>
  <c r="AF50" i="470"/>
  <c r="O50" i="470"/>
  <c r="AG50" i="470"/>
  <c r="N6" i="506"/>
  <c r="O58" i="507"/>
  <c r="Q49" i="507"/>
  <c r="AG39" i="509"/>
  <c r="L69" i="509"/>
  <c r="I13" i="508" s="1"/>
  <c r="J6" i="508" s="1"/>
  <c r="M6" i="510"/>
  <c r="R60" i="511"/>
  <c r="AG59" i="513"/>
  <c r="O38" i="515"/>
  <c r="AG38" i="515"/>
  <c r="N48" i="515"/>
  <c r="Q42" i="515"/>
  <c r="R42" i="515"/>
  <c r="AG50" i="515"/>
  <c r="N58" i="515"/>
  <c r="AF50" i="515"/>
  <c r="AF61" i="515"/>
  <c r="AG61" i="515"/>
  <c r="O6" i="517"/>
  <c r="AG6" i="517"/>
  <c r="AA2" i="517"/>
  <c r="AG19" i="517"/>
  <c r="AF19" i="517"/>
  <c r="O30" i="517"/>
  <c r="AG30" i="517"/>
  <c r="P48" i="517"/>
  <c r="G22" i="516"/>
  <c r="M58" i="517"/>
  <c r="O62" i="517"/>
  <c r="AG62" i="517"/>
  <c r="K26" i="521"/>
  <c r="P37" i="511"/>
  <c r="AF51" i="511"/>
  <c r="AF59" i="511"/>
  <c r="AG59" i="511"/>
  <c r="N69" i="511"/>
  <c r="I1" i="513"/>
  <c r="P48" i="513"/>
  <c r="K37" i="515"/>
  <c r="L27" i="515"/>
  <c r="L37" i="515" s="1"/>
  <c r="F13" i="514" s="1"/>
  <c r="N15" i="517"/>
  <c r="AG5" i="517"/>
  <c r="O5" i="517"/>
  <c r="R19" i="517"/>
  <c r="Q19" i="517"/>
  <c r="L6" i="518"/>
  <c r="O16" i="519"/>
  <c r="N26" i="519"/>
  <c r="P62" i="519"/>
  <c r="L62" i="519"/>
  <c r="J69" i="503"/>
  <c r="P69" i="503" s="1"/>
  <c r="L62" i="505"/>
  <c r="R49" i="507"/>
  <c r="AF7" i="509"/>
  <c r="J26" i="509"/>
  <c r="P26" i="509" s="1"/>
  <c r="AG51" i="511"/>
  <c r="O59" i="511"/>
  <c r="Q60" i="511"/>
  <c r="D22" i="512"/>
  <c r="K26" i="513"/>
  <c r="R50" i="513"/>
  <c r="O51" i="513"/>
  <c r="AG51" i="513"/>
  <c r="N6" i="514"/>
  <c r="O8" i="515"/>
  <c r="AG8" i="515"/>
  <c r="AF16" i="515"/>
  <c r="N37" i="515"/>
  <c r="O27" i="515"/>
  <c r="AF27" i="515"/>
  <c r="AG41" i="515"/>
  <c r="AF41" i="515"/>
  <c r="O41" i="515"/>
  <c r="AF5" i="517"/>
  <c r="AG18" i="517"/>
  <c r="O18" i="517"/>
  <c r="Q29" i="517"/>
  <c r="R29" i="517"/>
  <c r="L40" i="517"/>
  <c r="K15" i="519"/>
  <c r="AF16" i="519"/>
  <c r="Q18" i="519"/>
  <c r="AF48" i="519"/>
  <c r="AG48" i="519"/>
  <c r="AH38" i="519" s="1"/>
  <c r="Q48" i="519"/>
  <c r="K58" i="519"/>
  <c r="AF50" i="519"/>
  <c r="L50" i="519"/>
  <c r="R50" i="519" s="1"/>
  <c r="O19" i="521"/>
  <c r="AG19" i="521"/>
  <c r="R61" i="521"/>
  <c r="Q61" i="521"/>
  <c r="R51" i="517"/>
  <c r="Q51" i="517"/>
  <c r="AD2" i="519"/>
  <c r="AF8" i="521"/>
  <c r="O8" i="521"/>
  <c r="AA2" i="521"/>
  <c r="L28" i="521"/>
  <c r="L37" i="521" s="1"/>
  <c r="F13" i="520" s="1"/>
  <c r="K37" i="521"/>
  <c r="AF51" i="521"/>
  <c r="O51" i="521"/>
  <c r="P61" i="470"/>
  <c r="L61" i="470"/>
  <c r="O58" i="480"/>
  <c r="R58" i="480" s="1"/>
  <c r="S49" i="480" s="1"/>
  <c r="R49" i="480"/>
  <c r="Q49" i="480"/>
  <c r="AF40" i="515"/>
  <c r="AG40" i="515"/>
  <c r="P58" i="515"/>
  <c r="H22" i="514"/>
  <c r="AG17" i="517"/>
  <c r="N26" i="517"/>
  <c r="Q28" i="517"/>
  <c r="L39" i="517"/>
  <c r="K58" i="517"/>
  <c r="AF51" i="517"/>
  <c r="J69" i="517"/>
  <c r="R60" i="517"/>
  <c r="Q60" i="517"/>
  <c r="D21" i="518"/>
  <c r="AE2" i="519"/>
  <c r="J26" i="519"/>
  <c r="P26" i="519" s="1"/>
  <c r="P17" i="519"/>
  <c r="P28" i="519"/>
  <c r="L28" i="519"/>
  <c r="L37" i="519" s="1"/>
  <c r="F13" i="518" s="1"/>
  <c r="AG39" i="519"/>
  <c r="AF39" i="519"/>
  <c r="Q50" i="519"/>
  <c r="L53" i="519"/>
  <c r="AG60" i="519"/>
  <c r="AF60" i="519"/>
  <c r="O60" i="519"/>
  <c r="AG8" i="521"/>
  <c r="AG51" i="521"/>
  <c r="R17" i="517"/>
  <c r="O26" i="517"/>
  <c r="J48" i="517"/>
  <c r="J58" i="517" s="1"/>
  <c r="AG51" i="517"/>
  <c r="K69" i="517"/>
  <c r="O7" i="519"/>
  <c r="AG7" i="519"/>
  <c r="AF7" i="519"/>
  <c r="R39" i="519"/>
  <c r="Q39" i="519"/>
  <c r="G1" i="521"/>
  <c r="R6" i="521"/>
  <c r="P15" i="470"/>
  <c r="I1" i="470"/>
  <c r="L6" i="508"/>
  <c r="R62" i="511"/>
  <c r="Q62" i="511"/>
  <c r="Z2" i="513"/>
  <c r="AG6" i="515"/>
  <c r="AF6" i="515"/>
  <c r="L7" i="517"/>
  <c r="L15" i="517" s="1"/>
  <c r="D13" i="516" s="1"/>
  <c r="Q16" i="517"/>
  <c r="P38" i="517"/>
  <c r="Q50" i="517"/>
  <c r="Q59" i="517"/>
  <c r="M6" i="518"/>
  <c r="G1" i="519"/>
  <c r="L9" i="519"/>
  <c r="L15" i="519" s="1"/>
  <c r="D13" i="518" s="1"/>
  <c r="R17" i="519"/>
  <c r="Q17" i="519"/>
  <c r="L19" i="519"/>
  <c r="AG19" i="519"/>
  <c r="AF19" i="519"/>
  <c r="K26" i="519"/>
  <c r="Q28" i="519"/>
  <c r="L38" i="519"/>
  <c r="L48" i="519" s="1"/>
  <c r="G13" i="518" s="1"/>
  <c r="AG38" i="519"/>
  <c r="K48" i="519"/>
  <c r="AG50" i="519"/>
  <c r="AF53" i="519"/>
  <c r="J69" i="519"/>
  <c r="P69" i="519" s="1"/>
  <c r="P59" i="519"/>
  <c r="AG6" i="521"/>
  <c r="O17" i="521"/>
  <c r="AG17" i="521"/>
  <c r="P52" i="521"/>
  <c r="J58" i="521"/>
  <c r="P58" i="521" s="1"/>
  <c r="AG48" i="468"/>
  <c r="AH38" i="468" s="1"/>
  <c r="AF48" i="468"/>
  <c r="Q48" i="468"/>
  <c r="O70" i="468"/>
  <c r="AF70" i="468"/>
  <c r="N79" i="468"/>
  <c r="AG70" i="468"/>
  <c r="AG59" i="515"/>
  <c r="O59" i="515"/>
  <c r="N69" i="515"/>
  <c r="G1" i="517"/>
  <c r="AF6" i="519"/>
  <c r="O6" i="519"/>
  <c r="AF17" i="519"/>
  <c r="L69" i="519"/>
  <c r="I13" i="518" s="1"/>
  <c r="J6" i="518" s="1"/>
  <c r="Q5" i="521"/>
  <c r="O30" i="521"/>
  <c r="AG30" i="521"/>
  <c r="AF30" i="521"/>
  <c r="P37" i="519"/>
  <c r="AF59" i="519"/>
  <c r="N69" i="519"/>
  <c r="O59" i="519"/>
  <c r="AG62" i="519"/>
  <c r="O62" i="519"/>
  <c r="AF62" i="519"/>
  <c r="AG60" i="521"/>
  <c r="AF60" i="521"/>
  <c r="AG61" i="521"/>
  <c r="AF61" i="521"/>
  <c r="J69" i="509"/>
  <c r="P69" i="509" s="1"/>
  <c r="D18" i="512"/>
  <c r="L6" i="512" s="1"/>
  <c r="N69" i="513"/>
  <c r="O6" i="516"/>
  <c r="AF17" i="517"/>
  <c r="R38" i="517"/>
  <c r="R49" i="517"/>
  <c r="Q49" i="517"/>
  <c r="AG59" i="517"/>
  <c r="J15" i="519"/>
  <c r="P15" i="519" s="1"/>
  <c r="Q20" i="519"/>
  <c r="Q38" i="519"/>
  <c r="Z2" i="521"/>
  <c r="AF50" i="521"/>
  <c r="O50" i="521"/>
  <c r="AG50" i="521"/>
  <c r="O60" i="521"/>
  <c r="Q28" i="468"/>
  <c r="O37" i="468"/>
  <c r="R28" i="468"/>
  <c r="L26" i="515"/>
  <c r="E13" i="514" s="1"/>
  <c r="R8" i="519"/>
  <c r="O52" i="521"/>
  <c r="K69" i="521"/>
  <c r="AF18" i="521"/>
  <c r="P38" i="472"/>
  <c r="L38" i="472"/>
  <c r="L48" i="472" s="1"/>
  <c r="J48" i="472"/>
  <c r="P48" i="472" s="1"/>
  <c r="P37" i="515"/>
  <c r="L58" i="515"/>
  <c r="H13" i="514" s="1"/>
  <c r="L38" i="517"/>
  <c r="AF59" i="517"/>
  <c r="AF18" i="519"/>
  <c r="AG18" i="521"/>
  <c r="O39" i="521"/>
  <c r="AF39" i="521"/>
  <c r="N69" i="521"/>
  <c r="AG59" i="521"/>
  <c r="R28" i="472"/>
  <c r="Q28" i="472"/>
  <c r="K69" i="507"/>
  <c r="L59" i="507"/>
  <c r="L69" i="507" s="1"/>
  <c r="I13" i="506" s="1"/>
  <c r="J6" i="506" s="1"/>
  <c r="L38" i="515"/>
  <c r="L48" i="515" s="1"/>
  <c r="G13" i="514" s="1"/>
  <c r="L41" i="517"/>
  <c r="AG18" i="519"/>
  <c r="AF52" i="521"/>
  <c r="O59" i="521"/>
  <c r="AG17" i="519"/>
  <c r="R51" i="519"/>
  <c r="Q51" i="519"/>
  <c r="AG53" i="519"/>
  <c r="O53" i="519"/>
  <c r="J15" i="521"/>
  <c r="P15" i="521" s="1"/>
  <c r="O17" i="468"/>
  <c r="AG17" i="468"/>
  <c r="AF17" i="468"/>
  <c r="AG5" i="472"/>
  <c r="O5" i="472"/>
  <c r="AF5" i="472"/>
  <c r="N15" i="472"/>
  <c r="O16" i="472"/>
  <c r="N26" i="472"/>
  <c r="AG16" i="472"/>
  <c r="AF16" i="472"/>
  <c r="Q27" i="472"/>
  <c r="R27" i="472"/>
  <c r="L70" i="470"/>
  <c r="L79" i="470" s="1"/>
  <c r="K79" i="470"/>
  <c r="AF38" i="521"/>
  <c r="O38" i="521"/>
  <c r="N48" i="521"/>
  <c r="L5" i="521"/>
  <c r="L52" i="521"/>
  <c r="P27" i="468"/>
  <c r="J37" i="468"/>
  <c r="P37" i="468" s="1"/>
  <c r="AG38" i="470"/>
  <c r="AF38" i="470"/>
  <c r="N48" i="470"/>
  <c r="O38" i="470"/>
  <c r="AG28" i="472"/>
  <c r="AF28" i="472"/>
  <c r="N37" i="472"/>
  <c r="K37" i="468"/>
  <c r="AG27" i="468"/>
  <c r="L27" i="468"/>
  <c r="O38" i="468"/>
  <c r="AG38" i="468"/>
  <c r="AF38" i="468"/>
  <c r="P50" i="468"/>
  <c r="L50" i="468"/>
  <c r="AF18" i="470"/>
  <c r="AG18" i="470"/>
  <c r="O18" i="470"/>
  <c r="O27" i="470"/>
  <c r="N37" i="470"/>
  <c r="AG27" i="470"/>
  <c r="AF27" i="470"/>
  <c r="AA2" i="476"/>
  <c r="L39" i="476"/>
  <c r="P39" i="476"/>
  <c r="Q27" i="521"/>
  <c r="P69" i="521"/>
  <c r="O17" i="470"/>
  <c r="AG17" i="470"/>
  <c r="P16" i="468"/>
  <c r="J26" i="468"/>
  <c r="P26" i="468" s="1"/>
  <c r="AD2" i="521"/>
  <c r="K26" i="468"/>
  <c r="L16" i="468"/>
  <c r="L26" i="468" s="1"/>
  <c r="L5" i="470"/>
  <c r="K15" i="470"/>
  <c r="AG15" i="470" s="1"/>
  <c r="AH5" i="470" s="1"/>
  <c r="P70" i="470"/>
  <c r="J79" i="470"/>
  <c r="R17" i="478"/>
  <c r="Q17" i="478"/>
  <c r="N15" i="468"/>
  <c r="AF5" i="468"/>
  <c r="O5" i="468"/>
  <c r="AG60" i="468"/>
  <c r="O60" i="468"/>
  <c r="AF60" i="468"/>
  <c r="N26" i="470"/>
  <c r="O16" i="470"/>
  <c r="AG16" i="470"/>
  <c r="AF16" i="470"/>
  <c r="AF61" i="470"/>
  <c r="AG61" i="470"/>
  <c r="O61" i="470"/>
  <c r="AG60" i="474"/>
  <c r="AF60" i="474"/>
  <c r="O60" i="474"/>
  <c r="R18" i="478"/>
  <c r="Q18" i="478"/>
  <c r="AG5" i="468"/>
  <c r="I1" i="468"/>
  <c r="P15" i="468"/>
  <c r="AF27" i="468"/>
  <c r="AF40" i="468"/>
  <c r="O40" i="468"/>
  <c r="AG7" i="470"/>
  <c r="AF7" i="470"/>
  <c r="Z2" i="470"/>
  <c r="N69" i="470"/>
  <c r="AG70" i="470"/>
  <c r="O6" i="472"/>
  <c r="AG6" i="472"/>
  <c r="AF6" i="472"/>
  <c r="R27" i="468"/>
  <c r="R7" i="470"/>
  <c r="R60" i="470"/>
  <c r="Q60" i="470"/>
  <c r="P79" i="470"/>
  <c r="AG70" i="478"/>
  <c r="N79" i="478"/>
  <c r="AF70" i="478"/>
  <c r="O70" i="478"/>
  <c r="L6" i="521"/>
  <c r="Q6" i="521" s="1"/>
  <c r="O39" i="468"/>
  <c r="AG39" i="468"/>
  <c r="AF39" i="468"/>
  <c r="AG40" i="472"/>
  <c r="AF40" i="472"/>
  <c r="Q51" i="474"/>
  <c r="AF6" i="470"/>
  <c r="AG6" i="470"/>
  <c r="AF51" i="470"/>
  <c r="O51" i="470"/>
  <c r="AG51" i="470"/>
  <c r="O39" i="472"/>
  <c r="AG39" i="472"/>
  <c r="Q40" i="472"/>
  <c r="R40" i="472"/>
  <c r="AG51" i="474"/>
  <c r="O29" i="480"/>
  <c r="AF29" i="480"/>
  <c r="AG29" i="480"/>
  <c r="R6" i="470"/>
  <c r="Q6" i="470"/>
  <c r="P58" i="470"/>
  <c r="AG59" i="470"/>
  <c r="AF59" i="470"/>
  <c r="O59" i="470"/>
  <c r="Q69" i="472"/>
  <c r="AG69" i="472"/>
  <c r="AH59" i="472" s="1"/>
  <c r="AF69" i="472"/>
  <c r="P26" i="474"/>
  <c r="I1" i="474"/>
  <c r="L51" i="476"/>
  <c r="AG51" i="476"/>
  <c r="O49" i="472"/>
  <c r="AG49" i="472"/>
  <c r="N58" i="472"/>
  <c r="AF49" i="472"/>
  <c r="R40" i="474"/>
  <c r="Q40" i="474"/>
  <c r="J58" i="468"/>
  <c r="P58" i="468" s="1"/>
  <c r="P49" i="468"/>
  <c r="O15" i="470"/>
  <c r="R29" i="470"/>
  <c r="Q29" i="470"/>
  <c r="P58" i="474"/>
  <c r="R5" i="476"/>
  <c r="O15" i="476"/>
  <c r="Q5" i="476"/>
  <c r="AG59" i="476"/>
  <c r="N69" i="476"/>
  <c r="AF59" i="476"/>
  <c r="O59" i="476"/>
  <c r="AG7" i="478"/>
  <c r="AF7" i="478"/>
  <c r="O7" i="478"/>
  <c r="O50" i="478"/>
  <c r="AF50" i="478"/>
  <c r="AG50" i="478"/>
  <c r="P5" i="480"/>
  <c r="J15" i="480"/>
  <c r="R7" i="468"/>
  <c r="AG51" i="468"/>
  <c r="AF51" i="468"/>
  <c r="I1" i="472"/>
  <c r="P15" i="472"/>
  <c r="O38" i="472"/>
  <c r="N48" i="472"/>
  <c r="AG38" i="472"/>
  <c r="AF38" i="472"/>
  <c r="K15" i="474"/>
  <c r="L5" i="474"/>
  <c r="L15" i="474" s="1"/>
  <c r="O16" i="474"/>
  <c r="N26" i="474"/>
  <c r="AG16" i="474"/>
  <c r="P39" i="474"/>
  <c r="L39" i="474"/>
  <c r="J26" i="478"/>
  <c r="P26" i="478" s="1"/>
  <c r="P16" i="478"/>
  <c r="G2" i="468"/>
  <c r="N26" i="468"/>
  <c r="AG16" i="468"/>
  <c r="AF16" i="468"/>
  <c r="O16" i="468"/>
  <c r="AF29" i="468"/>
  <c r="R49" i="468"/>
  <c r="R51" i="468"/>
  <c r="Q51" i="468"/>
  <c r="R61" i="468"/>
  <c r="Q5" i="470"/>
  <c r="O7" i="472"/>
  <c r="AG7" i="472"/>
  <c r="Q18" i="472"/>
  <c r="AG6" i="468"/>
  <c r="AF6" i="468"/>
  <c r="O6" i="468"/>
  <c r="O18" i="468"/>
  <c r="AG18" i="468"/>
  <c r="AF18" i="468"/>
  <c r="P59" i="468"/>
  <c r="J69" i="468"/>
  <c r="P69" i="468" s="1"/>
  <c r="L59" i="468"/>
  <c r="L69" i="468" s="1"/>
  <c r="P60" i="468"/>
  <c r="Q61" i="468"/>
  <c r="AG28" i="470"/>
  <c r="AF17" i="472"/>
  <c r="O17" i="472"/>
  <c r="AG5" i="474"/>
  <c r="O39" i="478"/>
  <c r="AG39" i="478"/>
  <c r="AF39" i="478"/>
  <c r="L28" i="480"/>
  <c r="P28" i="480"/>
  <c r="J48" i="468"/>
  <c r="P48" i="468" s="1"/>
  <c r="P38" i="468"/>
  <c r="AF39" i="470"/>
  <c r="AG39" i="470"/>
  <c r="AG17" i="472"/>
  <c r="O50" i="468"/>
  <c r="AG50" i="468"/>
  <c r="AF50" i="468"/>
  <c r="N58" i="468"/>
  <c r="O69" i="468"/>
  <c r="R69" i="468" s="1"/>
  <c r="S59" i="468" s="1"/>
  <c r="R59" i="468"/>
  <c r="Q59" i="468"/>
  <c r="R39" i="470"/>
  <c r="Q39" i="470"/>
  <c r="AF40" i="470"/>
  <c r="AG40" i="470"/>
  <c r="O40" i="470"/>
  <c r="AG29" i="472"/>
  <c r="AF29" i="472"/>
  <c r="R50" i="480"/>
  <c r="Q50" i="480"/>
  <c r="AE2" i="468"/>
  <c r="N37" i="468"/>
  <c r="O58" i="468"/>
  <c r="N69" i="468"/>
  <c r="AF61" i="468"/>
  <c r="P49" i="470"/>
  <c r="J58" i="470"/>
  <c r="AF60" i="470"/>
  <c r="AG60" i="470"/>
  <c r="P5" i="472"/>
  <c r="AF7" i="472"/>
  <c r="O29" i="472"/>
  <c r="L38" i="474"/>
  <c r="L48" i="474" s="1"/>
  <c r="K48" i="474"/>
  <c r="AG7" i="476"/>
  <c r="AF7" i="476"/>
  <c r="O7" i="476"/>
  <c r="Q28" i="476"/>
  <c r="R28" i="476"/>
  <c r="AF5" i="470"/>
  <c r="O28" i="470"/>
  <c r="L49" i="470"/>
  <c r="R49" i="470" s="1"/>
  <c r="N79" i="470"/>
  <c r="J58" i="472"/>
  <c r="P58" i="472" s="1"/>
  <c r="P6" i="474"/>
  <c r="L6" i="474"/>
  <c r="L29" i="474"/>
  <c r="AF38" i="474"/>
  <c r="N48" i="474"/>
  <c r="AG38" i="474"/>
  <c r="O38" i="474"/>
  <c r="AF59" i="474"/>
  <c r="N69" i="474"/>
  <c r="O59" i="474"/>
  <c r="AF39" i="476"/>
  <c r="AG39" i="476"/>
  <c r="O39" i="476"/>
  <c r="Q69" i="478"/>
  <c r="AG69" i="478"/>
  <c r="AH59" i="478" s="1"/>
  <c r="AF69" i="478"/>
  <c r="L59" i="480"/>
  <c r="L69" i="480" s="1"/>
  <c r="K69" i="480"/>
  <c r="L49" i="468"/>
  <c r="AG5" i="470"/>
  <c r="O70" i="470"/>
  <c r="AF79" i="474"/>
  <c r="AG79" i="474"/>
  <c r="AH70" i="474" s="1"/>
  <c r="R6" i="476"/>
  <c r="Q6" i="476"/>
  <c r="AF60" i="476"/>
  <c r="AG60" i="476"/>
  <c r="O61" i="476"/>
  <c r="AF61" i="476"/>
  <c r="AG61" i="476"/>
  <c r="N79" i="476"/>
  <c r="AG70" i="476"/>
  <c r="AF70" i="476"/>
  <c r="O70" i="476"/>
  <c r="O6" i="478"/>
  <c r="AG6" i="478"/>
  <c r="AG38" i="478"/>
  <c r="AF38" i="478"/>
  <c r="O38" i="478"/>
  <c r="N48" i="478"/>
  <c r="K79" i="472"/>
  <c r="L70" i="472"/>
  <c r="L79" i="472" s="1"/>
  <c r="J15" i="474"/>
  <c r="P15" i="474" s="1"/>
  <c r="P5" i="474"/>
  <c r="AF7" i="474"/>
  <c r="AG7" i="474"/>
  <c r="O7" i="474"/>
  <c r="AE2" i="476"/>
  <c r="R29" i="476"/>
  <c r="Q29" i="476"/>
  <c r="R60" i="476"/>
  <c r="Q60" i="476"/>
  <c r="AG49" i="478"/>
  <c r="N58" i="478"/>
  <c r="AF49" i="478"/>
  <c r="O49" i="478"/>
  <c r="L17" i="470"/>
  <c r="N58" i="470"/>
  <c r="P16" i="472"/>
  <c r="L59" i="472"/>
  <c r="L69" i="472" s="1"/>
  <c r="Q79" i="474"/>
  <c r="O37" i="476"/>
  <c r="R27" i="476"/>
  <c r="AG29" i="476"/>
  <c r="Z2" i="476"/>
  <c r="AG49" i="476"/>
  <c r="N58" i="476"/>
  <c r="AF49" i="476"/>
  <c r="O49" i="476"/>
  <c r="L40" i="478"/>
  <c r="Q40" i="478" s="1"/>
  <c r="L40" i="480"/>
  <c r="AG40" i="480"/>
  <c r="J48" i="470"/>
  <c r="P48" i="470" s="1"/>
  <c r="P38" i="470"/>
  <c r="J69" i="470"/>
  <c r="P69" i="470" s="1"/>
  <c r="P59" i="470"/>
  <c r="O59" i="472"/>
  <c r="AG59" i="472"/>
  <c r="N79" i="472"/>
  <c r="O70" i="472"/>
  <c r="AG17" i="474"/>
  <c r="O17" i="474"/>
  <c r="AG18" i="474"/>
  <c r="AF18" i="474"/>
  <c r="O18" i="474"/>
  <c r="AF28" i="470"/>
  <c r="L38" i="470"/>
  <c r="L48" i="470" s="1"/>
  <c r="L59" i="470"/>
  <c r="L69" i="470" s="1"/>
  <c r="AF70" i="470"/>
  <c r="Q61" i="472"/>
  <c r="AF70" i="472"/>
  <c r="AG40" i="474"/>
  <c r="R51" i="474"/>
  <c r="AG17" i="476"/>
  <c r="AF17" i="476"/>
  <c r="O17" i="476"/>
  <c r="P26" i="476"/>
  <c r="AG5" i="478"/>
  <c r="N15" i="478"/>
  <c r="AF5" i="478"/>
  <c r="O5" i="478"/>
  <c r="AE2" i="472"/>
  <c r="R50" i="472"/>
  <c r="P51" i="472"/>
  <c r="O60" i="472"/>
  <c r="R61" i="472"/>
  <c r="AG70" i="472"/>
  <c r="AF28" i="474"/>
  <c r="AG28" i="474"/>
  <c r="O28" i="474"/>
  <c r="AF40" i="474"/>
  <c r="P48" i="474"/>
  <c r="L49" i="474"/>
  <c r="R49" i="474" s="1"/>
  <c r="K58" i="474"/>
  <c r="AG50" i="474"/>
  <c r="AF50" i="474"/>
  <c r="AF51" i="474"/>
  <c r="L70" i="474"/>
  <c r="L79" i="474" s="1"/>
  <c r="AG29" i="478"/>
  <c r="O29" i="478"/>
  <c r="L29" i="480"/>
  <c r="AF5" i="474"/>
  <c r="O27" i="474"/>
  <c r="N37" i="474"/>
  <c r="AG27" i="474"/>
  <c r="AG39" i="474"/>
  <c r="AF39" i="474"/>
  <c r="AG28" i="476"/>
  <c r="AF28" i="476"/>
  <c r="O40" i="476"/>
  <c r="AF40" i="476"/>
  <c r="AG40" i="476"/>
  <c r="N37" i="478"/>
  <c r="O27" i="478"/>
  <c r="AG27" i="478"/>
  <c r="AF27" i="478"/>
  <c r="L5" i="480"/>
  <c r="L15" i="480" s="1"/>
  <c r="AG18" i="480"/>
  <c r="AF18" i="480"/>
  <c r="O18" i="480"/>
  <c r="AG59" i="480"/>
  <c r="AF59" i="480"/>
  <c r="N69" i="480"/>
  <c r="O59" i="480"/>
  <c r="AG79" i="480"/>
  <c r="AH70" i="480" s="1"/>
  <c r="AF79" i="480"/>
  <c r="Q79" i="480"/>
  <c r="O5" i="474"/>
  <c r="O6" i="474"/>
  <c r="N15" i="474"/>
  <c r="L17" i="474"/>
  <c r="AF29" i="474"/>
  <c r="O29" i="474"/>
  <c r="O39" i="474"/>
  <c r="N58" i="474"/>
  <c r="AF49" i="474"/>
  <c r="L61" i="474"/>
  <c r="Q61" i="474" s="1"/>
  <c r="I1" i="478"/>
  <c r="O16" i="478"/>
  <c r="N26" i="478"/>
  <c r="AG16" i="478"/>
  <c r="Z2" i="478"/>
  <c r="O5" i="480"/>
  <c r="AF5" i="480"/>
  <c r="AG5" i="480"/>
  <c r="N15" i="480"/>
  <c r="K48" i="480"/>
  <c r="AF50" i="480"/>
  <c r="AG50" i="480"/>
  <c r="O70" i="474"/>
  <c r="AG70" i="474"/>
  <c r="AF70" i="474"/>
  <c r="AG5" i="476"/>
  <c r="N15" i="476"/>
  <c r="AF5" i="476"/>
  <c r="R18" i="476"/>
  <c r="Q18" i="476"/>
  <c r="N37" i="476"/>
  <c r="K15" i="480"/>
  <c r="AG39" i="480"/>
  <c r="AF39" i="480"/>
  <c r="O39" i="480"/>
  <c r="O51" i="476"/>
  <c r="AF51" i="476"/>
  <c r="AA2" i="478"/>
  <c r="AG17" i="480"/>
  <c r="AF17" i="480"/>
  <c r="O17" i="480"/>
  <c r="N26" i="480"/>
  <c r="O61" i="480"/>
  <c r="AG61" i="480"/>
  <c r="R50" i="476"/>
  <c r="Q50" i="476"/>
  <c r="O26" i="480"/>
  <c r="Q16" i="480"/>
  <c r="L51" i="480"/>
  <c r="Q51" i="480" s="1"/>
  <c r="AF51" i="480"/>
  <c r="AD2" i="474"/>
  <c r="AG38" i="476"/>
  <c r="O38" i="476"/>
  <c r="AF38" i="476"/>
  <c r="N48" i="476"/>
  <c r="AG18" i="478"/>
  <c r="AF18" i="478"/>
  <c r="P26" i="480"/>
  <c r="N37" i="480"/>
  <c r="AG27" i="480"/>
  <c r="AF27" i="480"/>
  <c r="O27" i="480"/>
  <c r="Q38" i="480"/>
  <c r="AF60" i="480"/>
  <c r="AG60" i="480"/>
  <c r="O60" i="480"/>
  <c r="AE2" i="478"/>
  <c r="P58" i="478"/>
  <c r="P15" i="480"/>
  <c r="J37" i="476"/>
  <c r="AG17" i="478"/>
  <c r="AF17" i="478"/>
  <c r="P48" i="478"/>
  <c r="AG59" i="478"/>
  <c r="AF59" i="478"/>
  <c r="O59" i="478"/>
  <c r="L61" i="478"/>
  <c r="R61" i="478" s="1"/>
  <c r="O48" i="480"/>
  <c r="R48" i="480" s="1"/>
  <c r="S38" i="480" s="1"/>
  <c r="AG49" i="480"/>
  <c r="N58" i="480"/>
  <c r="AF49" i="480"/>
  <c r="L16" i="476"/>
  <c r="Q16" i="476" s="1"/>
  <c r="K26" i="476"/>
  <c r="N26" i="476"/>
  <c r="L27" i="476"/>
  <c r="O60" i="478"/>
  <c r="Q61" i="478"/>
  <c r="I1" i="480"/>
  <c r="R6" i="480"/>
  <c r="L17" i="480"/>
  <c r="O28" i="480"/>
  <c r="AF40" i="480"/>
  <c r="P69" i="480"/>
  <c r="P37" i="476"/>
  <c r="P37" i="478"/>
  <c r="Q51" i="478"/>
  <c r="AA2" i="480"/>
  <c r="R38" i="480"/>
  <c r="P58" i="476"/>
  <c r="L6" i="478"/>
  <c r="L16" i="478"/>
  <c r="L26" i="478" s="1"/>
  <c r="L28" i="478"/>
  <c r="AF60" i="478"/>
  <c r="AF61" i="478"/>
  <c r="AG7" i="480"/>
  <c r="AF7" i="480"/>
  <c r="AG38" i="480"/>
  <c r="AF38" i="480"/>
  <c r="N48" i="480"/>
  <c r="R51" i="480"/>
  <c r="AD2" i="476"/>
  <c r="AF16" i="476"/>
  <c r="AG28" i="478"/>
  <c r="AF28" i="478"/>
  <c r="AG28" i="480"/>
  <c r="AG70" i="480"/>
  <c r="AF70" i="480"/>
  <c r="O70" i="480"/>
  <c r="J79" i="476"/>
  <c r="P79" i="476" s="1"/>
  <c r="Q15" i="529" l="1"/>
  <c r="R15" i="529"/>
  <c r="S5" i="529" s="1"/>
  <c r="E2" i="529"/>
  <c r="Q26" i="529"/>
  <c r="R26" i="529"/>
  <c r="S16" i="529" s="1"/>
  <c r="D14" i="528"/>
  <c r="E14" i="528"/>
  <c r="E15" i="528" s="1"/>
  <c r="G14" i="528"/>
  <c r="G15" i="528" s="1"/>
  <c r="I14" i="528"/>
  <c r="H14" i="528"/>
  <c r="H15" i="528" s="1"/>
  <c r="F14" i="528"/>
  <c r="F15" i="528" s="1"/>
  <c r="Q26" i="527"/>
  <c r="R26" i="527"/>
  <c r="S16" i="527" s="1"/>
  <c r="R15" i="527"/>
  <c r="S5" i="527" s="1"/>
  <c r="E2" i="527"/>
  <c r="Q15" i="527"/>
  <c r="D14" i="526"/>
  <c r="I14" i="526"/>
  <c r="G14" i="526"/>
  <c r="G15" i="526" s="1"/>
  <c r="H14" i="526"/>
  <c r="H15" i="526" s="1"/>
  <c r="E15" i="526"/>
  <c r="F14" i="526"/>
  <c r="F15" i="526" s="1"/>
  <c r="I14" i="524"/>
  <c r="R15" i="525"/>
  <c r="S5" i="525" s="1"/>
  <c r="E2" i="525"/>
  <c r="Q15" i="525"/>
  <c r="R26" i="525"/>
  <c r="S16" i="525" s="1"/>
  <c r="Q26" i="525"/>
  <c r="G14" i="524"/>
  <c r="G15" i="524" s="1"/>
  <c r="D14" i="524"/>
  <c r="F14" i="524"/>
  <c r="F15" i="524" s="1"/>
  <c r="J7" i="524"/>
  <c r="J8" i="524" s="1"/>
  <c r="I15" i="524"/>
  <c r="E14" i="524"/>
  <c r="E15" i="524" s="1"/>
  <c r="H14" i="524"/>
  <c r="H15" i="524" s="1"/>
  <c r="R26" i="523"/>
  <c r="S16" i="523" s="1"/>
  <c r="Q26" i="523"/>
  <c r="Q15" i="523"/>
  <c r="R15" i="523"/>
  <c r="S5" i="523" s="1"/>
  <c r="E2" i="523"/>
  <c r="G14" i="522"/>
  <c r="G15" i="522" s="1"/>
  <c r="H14" i="522"/>
  <c r="H15" i="522" s="1"/>
  <c r="I14" i="522"/>
  <c r="E14" i="522"/>
  <c r="E15" i="522" s="1"/>
  <c r="F14" i="522"/>
  <c r="F15" i="522" s="1"/>
  <c r="H6" i="522"/>
  <c r="F6" i="522"/>
  <c r="D14" i="522"/>
  <c r="R37" i="513"/>
  <c r="S27" i="513" s="1"/>
  <c r="F14" i="512"/>
  <c r="F15" i="512" s="1"/>
  <c r="F14" i="506"/>
  <c r="F15" i="506" s="1"/>
  <c r="R37" i="507"/>
  <c r="S27" i="507" s="1"/>
  <c r="G14" i="512"/>
  <c r="G15" i="512" s="1"/>
  <c r="R48" i="513"/>
  <c r="S38" i="513" s="1"/>
  <c r="D14" i="508"/>
  <c r="R15" i="509"/>
  <c r="S5" i="509" s="1"/>
  <c r="Q15" i="509"/>
  <c r="R69" i="503"/>
  <c r="S59" i="503" s="1"/>
  <c r="I14" i="502"/>
  <c r="H6" i="506"/>
  <c r="F6" i="506"/>
  <c r="H14" i="486"/>
  <c r="Q26" i="493"/>
  <c r="E14" i="492"/>
  <c r="E15" i="492" s="1"/>
  <c r="R26" i="493"/>
  <c r="S16" i="493" s="1"/>
  <c r="E14" i="502"/>
  <c r="R48" i="493"/>
  <c r="S38" i="493" s="1"/>
  <c r="G14" i="492"/>
  <c r="G15" i="492" s="1"/>
  <c r="F14" i="494"/>
  <c r="R5" i="480"/>
  <c r="Q5" i="480"/>
  <c r="O15" i="480"/>
  <c r="Q58" i="470"/>
  <c r="AG58" i="470"/>
  <c r="AH49" i="470" s="1"/>
  <c r="AF58" i="470"/>
  <c r="R61" i="474"/>
  <c r="O69" i="476"/>
  <c r="R69" i="476" s="1"/>
  <c r="S59" i="476" s="1"/>
  <c r="R59" i="476"/>
  <c r="Q59" i="476"/>
  <c r="R41" i="515"/>
  <c r="Q41" i="515"/>
  <c r="P58" i="517"/>
  <c r="H22" i="516"/>
  <c r="R49" i="521"/>
  <c r="Q49" i="521"/>
  <c r="O58" i="521"/>
  <c r="R52" i="513"/>
  <c r="Q52" i="513"/>
  <c r="R61" i="519"/>
  <c r="Q61" i="519"/>
  <c r="R27" i="511"/>
  <c r="O37" i="511"/>
  <c r="Q27" i="511"/>
  <c r="AF37" i="507"/>
  <c r="AG37" i="507"/>
  <c r="AH27" i="507" s="1"/>
  <c r="Q37" i="507"/>
  <c r="AG15" i="521"/>
  <c r="AH5" i="521" s="1"/>
  <c r="AF15" i="521"/>
  <c r="R39" i="515"/>
  <c r="Q39" i="515"/>
  <c r="R5" i="509"/>
  <c r="R53" i="511"/>
  <c r="Q53" i="511"/>
  <c r="AG26" i="505"/>
  <c r="AH16" i="505" s="1"/>
  <c r="AF26" i="505"/>
  <c r="O26" i="513"/>
  <c r="R16" i="513"/>
  <c r="Q16" i="513"/>
  <c r="R18" i="509"/>
  <c r="Q18" i="509"/>
  <c r="Q48" i="511"/>
  <c r="AF48" i="511"/>
  <c r="AG48" i="511"/>
  <c r="AH38" i="511" s="1"/>
  <c r="AF58" i="513"/>
  <c r="Q58" i="513"/>
  <c r="AG58" i="513"/>
  <c r="AH49" i="513" s="1"/>
  <c r="Q59" i="507"/>
  <c r="L69" i="505"/>
  <c r="I13" i="504" s="1"/>
  <c r="J6" i="504" s="1"/>
  <c r="R62" i="503"/>
  <c r="Q62" i="503"/>
  <c r="R17" i="501"/>
  <c r="Q17" i="501"/>
  <c r="O26" i="501"/>
  <c r="R52" i="505"/>
  <c r="Q52" i="505"/>
  <c r="Q69" i="503"/>
  <c r="AG69" i="503"/>
  <c r="AH59" i="503" s="1"/>
  <c r="AF69" i="503"/>
  <c r="O15" i="499"/>
  <c r="R5" i="499"/>
  <c r="Q5" i="499"/>
  <c r="AG15" i="503"/>
  <c r="AH5" i="503" s="1"/>
  <c r="AF15" i="503"/>
  <c r="L37" i="495"/>
  <c r="F13" i="494" s="1"/>
  <c r="R27" i="495"/>
  <c r="Q7" i="505"/>
  <c r="R7" i="505"/>
  <c r="AG37" i="497"/>
  <c r="AH27" i="497" s="1"/>
  <c r="AF37" i="497"/>
  <c r="Q37" i="497"/>
  <c r="AF26" i="493"/>
  <c r="AG26" i="493"/>
  <c r="AH16" i="493" s="1"/>
  <c r="Q59" i="505"/>
  <c r="R50" i="499"/>
  <c r="Q50" i="499"/>
  <c r="F14" i="496"/>
  <c r="F15" i="496" s="1"/>
  <c r="R37" i="497"/>
  <c r="S27" i="497" s="1"/>
  <c r="R6" i="497"/>
  <c r="Q6" i="497"/>
  <c r="R60" i="495"/>
  <c r="Q48" i="497"/>
  <c r="AG48" i="497"/>
  <c r="AH38" i="497" s="1"/>
  <c r="AF48" i="497"/>
  <c r="AG48" i="499"/>
  <c r="AH38" i="499" s="1"/>
  <c r="Q48" i="499"/>
  <c r="AF48" i="499"/>
  <c r="R50" i="495"/>
  <c r="Q50" i="495"/>
  <c r="L69" i="495"/>
  <c r="I13" i="494" s="1"/>
  <c r="J6" i="494" s="1"/>
  <c r="R60" i="485"/>
  <c r="Q60" i="485"/>
  <c r="L37" i="489"/>
  <c r="F13" i="488" s="1"/>
  <c r="R18" i="3"/>
  <c r="Q18" i="3"/>
  <c r="R9" i="495"/>
  <c r="Q9" i="495"/>
  <c r="O15" i="495"/>
  <c r="R28" i="489"/>
  <c r="E14" i="482"/>
  <c r="R70" i="3"/>
  <c r="R60" i="480"/>
  <c r="Q60" i="480"/>
  <c r="R50" i="468"/>
  <c r="Q50" i="468"/>
  <c r="O69" i="478"/>
  <c r="R69" i="478" s="1"/>
  <c r="S59" i="478" s="1"/>
  <c r="R59" i="478"/>
  <c r="Q59" i="478"/>
  <c r="R17" i="474"/>
  <c r="Q17" i="474"/>
  <c r="R29" i="472"/>
  <c r="Q29" i="472"/>
  <c r="R29" i="480"/>
  <c r="Q29" i="480"/>
  <c r="R18" i="470"/>
  <c r="Q18" i="470"/>
  <c r="AG15" i="476"/>
  <c r="AH5" i="476" s="1"/>
  <c r="AF15" i="476"/>
  <c r="AF15" i="474"/>
  <c r="AG15" i="474"/>
  <c r="AH5" i="474" s="1"/>
  <c r="R60" i="472"/>
  <c r="Q60" i="472"/>
  <c r="O58" i="476"/>
  <c r="R58" i="476" s="1"/>
  <c r="S49" i="476" s="1"/>
  <c r="Q49" i="476"/>
  <c r="R49" i="476"/>
  <c r="R7" i="474"/>
  <c r="Q7" i="474"/>
  <c r="R6" i="478"/>
  <c r="Q6" i="478"/>
  <c r="AG79" i="470"/>
  <c r="AH70" i="470" s="1"/>
  <c r="Q79" i="470"/>
  <c r="AF79" i="470"/>
  <c r="R39" i="478"/>
  <c r="Q39" i="478"/>
  <c r="R7" i="472"/>
  <c r="Q7" i="472"/>
  <c r="R6" i="472"/>
  <c r="Q6" i="472"/>
  <c r="R60" i="468"/>
  <c r="Q60" i="468"/>
  <c r="L15" i="470"/>
  <c r="R15" i="470" s="1"/>
  <c r="S5" i="470" s="1"/>
  <c r="R5" i="470"/>
  <c r="L15" i="521"/>
  <c r="D13" i="520" s="1"/>
  <c r="R5" i="521"/>
  <c r="Q38" i="517"/>
  <c r="L48" i="517"/>
  <c r="D14" i="520"/>
  <c r="Q17" i="517"/>
  <c r="Q58" i="515"/>
  <c r="AF58" i="515"/>
  <c r="AG58" i="515"/>
  <c r="AH49" i="515" s="1"/>
  <c r="O48" i="517"/>
  <c r="R39" i="517"/>
  <c r="Q39" i="517"/>
  <c r="Q17" i="515"/>
  <c r="R17" i="515"/>
  <c r="AG37" i="511"/>
  <c r="AH27" i="511" s="1"/>
  <c r="AF37" i="511"/>
  <c r="Q37" i="511"/>
  <c r="Q7" i="517"/>
  <c r="Q9" i="521"/>
  <c r="R9" i="521"/>
  <c r="L15" i="505"/>
  <c r="D13" i="504" s="1"/>
  <c r="R62" i="513"/>
  <c r="Q62" i="513"/>
  <c r="Q7" i="507"/>
  <c r="R7" i="507"/>
  <c r="R38" i="511"/>
  <c r="O48" i="511"/>
  <c r="Q38" i="511"/>
  <c r="G2" i="507"/>
  <c r="J3" i="506"/>
  <c r="G2" i="501"/>
  <c r="J3" i="500"/>
  <c r="L15" i="503"/>
  <c r="D13" i="502" s="1"/>
  <c r="AG26" i="499"/>
  <c r="AH16" i="499" s="1"/>
  <c r="AF26" i="499"/>
  <c r="AF26" i="503"/>
  <c r="AG26" i="503"/>
  <c r="AH16" i="503" s="1"/>
  <c r="L69" i="499"/>
  <c r="I13" i="498" s="1"/>
  <c r="J6" i="498" s="1"/>
  <c r="AF15" i="501"/>
  <c r="AG15" i="501"/>
  <c r="AH5" i="501" s="1"/>
  <c r="L69" i="493"/>
  <c r="I13" i="492" s="1"/>
  <c r="J6" i="492" s="1"/>
  <c r="L58" i="499"/>
  <c r="H13" i="498" s="1"/>
  <c r="R49" i="499"/>
  <c r="L48" i="495"/>
  <c r="G13" i="494" s="1"/>
  <c r="Q49" i="501"/>
  <c r="R50" i="497"/>
  <c r="Q50" i="497"/>
  <c r="R50" i="503"/>
  <c r="O69" i="493"/>
  <c r="R59" i="493"/>
  <c r="Q59" i="493"/>
  <c r="R17" i="493"/>
  <c r="Q17" i="493"/>
  <c r="AG26" i="483"/>
  <c r="AH16" i="483" s="1"/>
  <c r="AF26" i="483"/>
  <c r="AG79" i="491"/>
  <c r="AH70" i="491" s="1"/>
  <c r="AF79" i="491"/>
  <c r="Q79" i="491"/>
  <c r="O69" i="485"/>
  <c r="Q59" i="485"/>
  <c r="R59" i="485"/>
  <c r="Q40" i="491"/>
  <c r="R40" i="489"/>
  <c r="Q40" i="489"/>
  <c r="AF69" i="487"/>
  <c r="AG69" i="487"/>
  <c r="AH59" i="487" s="1"/>
  <c r="Q69" i="487"/>
  <c r="R8" i="485"/>
  <c r="R29" i="3"/>
  <c r="Q29" i="3"/>
  <c r="H6" i="492"/>
  <c r="AG58" i="487"/>
  <c r="AH49" i="487" s="1"/>
  <c r="AF58" i="487"/>
  <c r="Q58" i="487"/>
  <c r="Q60" i="487"/>
  <c r="L69" i="487"/>
  <c r="I13" i="486" s="1"/>
  <c r="J6" i="486" s="1"/>
  <c r="R9" i="487"/>
  <c r="Q9" i="487"/>
  <c r="J14" i="473"/>
  <c r="J14" i="477"/>
  <c r="J14" i="469"/>
  <c r="J14" i="475"/>
  <c r="J14" i="479"/>
  <c r="J14" i="471"/>
  <c r="J14" i="467"/>
  <c r="J14" i="2"/>
  <c r="R79" i="3"/>
  <c r="S70" i="3" s="1"/>
  <c r="R28" i="487"/>
  <c r="Q28" i="487"/>
  <c r="R29" i="474"/>
  <c r="Q29" i="474"/>
  <c r="Q38" i="472"/>
  <c r="O48" i="472"/>
  <c r="R48" i="472" s="1"/>
  <c r="S38" i="472" s="1"/>
  <c r="R38" i="472"/>
  <c r="Q15" i="470"/>
  <c r="R70" i="472"/>
  <c r="O79" i="472"/>
  <c r="R79" i="472" s="1"/>
  <c r="S70" i="472" s="1"/>
  <c r="Q70" i="472"/>
  <c r="O58" i="478"/>
  <c r="R58" i="478" s="1"/>
  <c r="S49" i="478" s="1"/>
  <c r="R49" i="478"/>
  <c r="Q49" i="478"/>
  <c r="Q69" i="476"/>
  <c r="AG69" i="476"/>
  <c r="AH59" i="476" s="1"/>
  <c r="AF69" i="476"/>
  <c r="Q60" i="474"/>
  <c r="R60" i="474"/>
  <c r="AG79" i="468"/>
  <c r="AH70" i="468" s="1"/>
  <c r="AF79" i="468"/>
  <c r="Q79" i="468"/>
  <c r="H14" i="506"/>
  <c r="H15" i="506" s="1"/>
  <c r="R58" i="507"/>
  <c r="S49" i="507" s="1"/>
  <c r="R39" i="505"/>
  <c r="Q39" i="505"/>
  <c r="R41" i="517"/>
  <c r="Q41" i="517"/>
  <c r="AG15" i="507"/>
  <c r="AH5" i="507" s="1"/>
  <c r="AF15" i="507"/>
  <c r="Q37" i="521"/>
  <c r="AG37" i="521"/>
  <c r="AH27" i="521" s="1"/>
  <c r="AF37" i="521"/>
  <c r="R29" i="509"/>
  <c r="Q29" i="509"/>
  <c r="R49" i="513"/>
  <c r="Q49" i="513"/>
  <c r="O58" i="513"/>
  <c r="AF69" i="507"/>
  <c r="AG69" i="507"/>
  <c r="AH59" i="507" s="1"/>
  <c r="Q69" i="507"/>
  <c r="Q19" i="509"/>
  <c r="R19" i="509"/>
  <c r="AG48" i="503"/>
  <c r="AH38" i="503" s="1"/>
  <c r="Q48" i="503"/>
  <c r="AF48" i="503"/>
  <c r="Q58" i="499"/>
  <c r="AG58" i="499"/>
  <c r="AH49" i="499" s="1"/>
  <c r="AF58" i="499"/>
  <c r="Q29" i="503"/>
  <c r="R29" i="503"/>
  <c r="O15" i="501"/>
  <c r="Q5" i="501"/>
  <c r="R5" i="501"/>
  <c r="R41" i="497"/>
  <c r="Q41" i="497"/>
  <c r="G2" i="493"/>
  <c r="J3" i="492"/>
  <c r="L48" i="497"/>
  <c r="G13" i="496" s="1"/>
  <c r="F6" i="496" s="1"/>
  <c r="R18" i="505"/>
  <c r="Q18" i="505"/>
  <c r="R49" i="501"/>
  <c r="R60" i="493"/>
  <c r="Q60" i="493"/>
  <c r="AF48" i="507"/>
  <c r="Q48" i="507"/>
  <c r="AG48" i="507"/>
  <c r="AH38" i="507" s="1"/>
  <c r="R27" i="497"/>
  <c r="R60" i="501"/>
  <c r="Q60" i="501"/>
  <c r="R18" i="503"/>
  <c r="Q53" i="499"/>
  <c r="R53" i="499"/>
  <c r="R58" i="501"/>
  <c r="S49" i="501" s="1"/>
  <c r="H14" i="500"/>
  <c r="H15" i="500" s="1"/>
  <c r="L58" i="495"/>
  <c r="H13" i="494" s="1"/>
  <c r="Q17" i="499"/>
  <c r="R17" i="499"/>
  <c r="L15" i="489"/>
  <c r="D13" i="488" s="1"/>
  <c r="R5" i="489"/>
  <c r="Q5" i="489"/>
  <c r="AG15" i="485"/>
  <c r="AH5" i="485" s="1"/>
  <c r="AF15" i="485"/>
  <c r="R51" i="487"/>
  <c r="Q51" i="487"/>
  <c r="AG37" i="489"/>
  <c r="AH27" i="489" s="1"/>
  <c r="AF37" i="489"/>
  <c r="Q37" i="489"/>
  <c r="R7" i="485"/>
  <c r="Q7" i="485"/>
  <c r="Q28" i="3"/>
  <c r="R28" i="3"/>
  <c r="Q69" i="491"/>
  <c r="R40" i="493"/>
  <c r="Q40" i="493"/>
  <c r="D13" i="477"/>
  <c r="D13" i="469"/>
  <c r="D13" i="475"/>
  <c r="D13" i="467"/>
  <c r="D13" i="479"/>
  <c r="D13" i="473"/>
  <c r="D13" i="471"/>
  <c r="D13" i="2"/>
  <c r="R21" i="493"/>
  <c r="R6" i="483"/>
  <c r="Q6" i="483"/>
  <c r="AG15" i="487"/>
  <c r="AH5" i="487" s="1"/>
  <c r="AF15" i="487"/>
  <c r="Q70" i="3"/>
  <c r="Q49" i="483"/>
  <c r="R49" i="483"/>
  <c r="O58" i="483"/>
  <c r="Q37" i="478"/>
  <c r="AG37" i="478"/>
  <c r="AH27" i="478" s="1"/>
  <c r="AF37" i="478"/>
  <c r="R28" i="478"/>
  <c r="Q28" i="478"/>
  <c r="AG26" i="480"/>
  <c r="AH16" i="480" s="1"/>
  <c r="AF26" i="480"/>
  <c r="R60" i="478"/>
  <c r="Q60" i="478"/>
  <c r="O37" i="480"/>
  <c r="R37" i="480" s="1"/>
  <c r="S27" i="480" s="1"/>
  <c r="Q27" i="480"/>
  <c r="R27" i="480"/>
  <c r="Q6" i="474"/>
  <c r="R6" i="474"/>
  <c r="O79" i="476"/>
  <c r="R79" i="476" s="1"/>
  <c r="S70" i="476" s="1"/>
  <c r="Q70" i="476"/>
  <c r="R70" i="476"/>
  <c r="O69" i="474"/>
  <c r="R69" i="474" s="1"/>
  <c r="S59" i="474" s="1"/>
  <c r="Q59" i="474"/>
  <c r="R59" i="474"/>
  <c r="L58" i="470"/>
  <c r="Q49" i="470"/>
  <c r="Q17" i="470"/>
  <c r="R17" i="470"/>
  <c r="R17" i="521"/>
  <c r="Q17" i="521"/>
  <c r="R7" i="519"/>
  <c r="Q7" i="519"/>
  <c r="AG48" i="517"/>
  <c r="AH38" i="517" s="1"/>
  <c r="AF48" i="517"/>
  <c r="N58" i="517"/>
  <c r="Q48" i="517"/>
  <c r="L37" i="476"/>
  <c r="Q27" i="476"/>
  <c r="AG26" i="478"/>
  <c r="AH16" i="478" s="1"/>
  <c r="AF26" i="478"/>
  <c r="R5" i="474"/>
  <c r="Q5" i="474"/>
  <c r="O15" i="474"/>
  <c r="AF79" i="472"/>
  <c r="AG79" i="472"/>
  <c r="AH70" i="472" s="1"/>
  <c r="Q79" i="472"/>
  <c r="Q58" i="476"/>
  <c r="AG58" i="476"/>
  <c r="AH49" i="476" s="1"/>
  <c r="AF58" i="476"/>
  <c r="O79" i="470"/>
  <c r="R79" i="470" s="1"/>
  <c r="S70" i="470" s="1"/>
  <c r="Q70" i="470"/>
  <c r="R70" i="470"/>
  <c r="Q69" i="474"/>
  <c r="AF69" i="474"/>
  <c r="AG69" i="474"/>
  <c r="AH59" i="474" s="1"/>
  <c r="Q28" i="470"/>
  <c r="R28" i="470"/>
  <c r="AF26" i="474"/>
  <c r="AG26" i="474"/>
  <c r="AH16" i="474" s="1"/>
  <c r="AG69" i="470"/>
  <c r="AH59" i="470" s="1"/>
  <c r="AF69" i="470"/>
  <c r="Q69" i="470"/>
  <c r="O15" i="468"/>
  <c r="Q5" i="468"/>
  <c r="R5" i="468"/>
  <c r="O37" i="472"/>
  <c r="R37" i="472" s="1"/>
  <c r="S27" i="472" s="1"/>
  <c r="R17" i="468"/>
  <c r="Q17" i="468"/>
  <c r="R62" i="519"/>
  <c r="Q62" i="519"/>
  <c r="R38" i="519"/>
  <c r="R38" i="509"/>
  <c r="O15" i="519"/>
  <c r="R5" i="519"/>
  <c r="Q5" i="519"/>
  <c r="G2" i="515"/>
  <c r="J3" i="514"/>
  <c r="AG58" i="509"/>
  <c r="AH49" i="509" s="1"/>
  <c r="Q58" i="509"/>
  <c r="AF58" i="509"/>
  <c r="R61" i="507"/>
  <c r="Q61" i="507"/>
  <c r="R28" i="521"/>
  <c r="Q28" i="521"/>
  <c r="O37" i="521"/>
  <c r="Q9" i="519"/>
  <c r="R9" i="519"/>
  <c r="AG15" i="505"/>
  <c r="AH5" i="505" s="1"/>
  <c r="AF15" i="505"/>
  <c r="Q51" i="507"/>
  <c r="R59" i="501"/>
  <c r="O69" i="501"/>
  <c r="Q59" i="501"/>
  <c r="L15" i="499"/>
  <c r="D13" i="498" s="1"/>
  <c r="R17" i="497"/>
  <c r="Q17" i="497"/>
  <c r="R17" i="503"/>
  <c r="Q17" i="503"/>
  <c r="O15" i="497"/>
  <c r="R5" i="497"/>
  <c r="Q5" i="497"/>
  <c r="R7" i="501"/>
  <c r="Q49" i="495"/>
  <c r="R49" i="495"/>
  <c r="O58" i="495"/>
  <c r="R53" i="487"/>
  <c r="Q53" i="487"/>
  <c r="D14" i="488"/>
  <c r="R15" i="489"/>
  <c r="S5" i="489" s="1"/>
  <c r="R40" i="497"/>
  <c r="Q40" i="497"/>
  <c r="Q27" i="495"/>
  <c r="L79" i="491"/>
  <c r="J13" i="490" s="1"/>
  <c r="R7" i="483"/>
  <c r="Q7" i="483"/>
  <c r="L15" i="483"/>
  <c r="D13" i="482" s="1"/>
  <c r="AG15" i="489"/>
  <c r="AH5" i="489" s="1"/>
  <c r="AF15" i="489"/>
  <c r="AF69" i="491"/>
  <c r="Q58" i="493"/>
  <c r="AG58" i="493"/>
  <c r="AH49" i="493" s="1"/>
  <c r="AF58" i="493"/>
  <c r="Q16" i="3"/>
  <c r="R6" i="489"/>
  <c r="AG15" i="483"/>
  <c r="AH5" i="483" s="1"/>
  <c r="R39" i="468"/>
  <c r="Q39" i="468"/>
  <c r="O26" i="470"/>
  <c r="R16" i="470"/>
  <c r="Q16" i="470"/>
  <c r="Q37" i="470"/>
  <c r="AG37" i="470"/>
  <c r="AH27" i="470" s="1"/>
  <c r="AF37" i="470"/>
  <c r="Q48" i="480"/>
  <c r="AG48" i="480"/>
  <c r="AH38" i="480" s="1"/>
  <c r="AF48" i="480"/>
  <c r="Q70" i="480"/>
  <c r="O79" i="480"/>
  <c r="R79" i="480" s="1"/>
  <c r="S70" i="480" s="1"/>
  <c r="R70" i="480"/>
  <c r="AF26" i="476"/>
  <c r="AG26" i="476"/>
  <c r="AH16" i="476" s="1"/>
  <c r="Q51" i="476"/>
  <c r="R51" i="476"/>
  <c r="R16" i="478"/>
  <c r="O26" i="478"/>
  <c r="Q16" i="478"/>
  <c r="Q58" i="478"/>
  <c r="AG58" i="478"/>
  <c r="AH49" i="478" s="1"/>
  <c r="AF58" i="478"/>
  <c r="R18" i="468"/>
  <c r="Q18" i="468"/>
  <c r="Q16" i="474"/>
  <c r="O26" i="474"/>
  <c r="R16" i="474"/>
  <c r="Q58" i="472"/>
  <c r="AG58" i="472"/>
  <c r="AH49" i="472" s="1"/>
  <c r="AF58" i="472"/>
  <c r="Q59" i="521"/>
  <c r="O69" i="521"/>
  <c r="R59" i="521"/>
  <c r="R52" i="521"/>
  <c r="Q52" i="521"/>
  <c r="R70" i="468"/>
  <c r="O79" i="468"/>
  <c r="R79" i="468" s="1"/>
  <c r="S70" i="468" s="1"/>
  <c r="Q70" i="468"/>
  <c r="R19" i="519"/>
  <c r="Q19" i="519"/>
  <c r="AG26" i="517"/>
  <c r="AH16" i="517" s="1"/>
  <c r="AF26" i="517"/>
  <c r="AF15" i="470"/>
  <c r="O37" i="515"/>
  <c r="Q27" i="515"/>
  <c r="R27" i="515"/>
  <c r="O69" i="511"/>
  <c r="R59" i="511"/>
  <c r="Q59" i="511"/>
  <c r="AG26" i="519"/>
  <c r="AH16" i="519" s="1"/>
  <c r="AF26" i="519"/>
  <c r="AF69" i="511"/>
  <c r="Q69" i="511"/>
  <c r="AG69" i="511"/>
  <c r="AH59" i="511" s="1"/>
  <c r="R30" i="517"/>
  <c r="Q30" i="517"/>
  <c r="Q49" i="519"/>
  <c r="R49" i="519"/>
  <c r="O58" i="519"/>
  <c r="Q7" i="509"/>
  <c r="R7" i="509"/>
  <c r="AF15" i="519"/>
  <c r="AG15" i="519"/>
  <c r="AH5" i="519" s="1"/>
  <c r="O15" i="515"/>
  <c r="R5" i="515"/>
  <c r="Q5" i="515"/>
  <c r="AG48" i="509"/>
  <c r="AH38" i="509" s="1"/>
  <c r="AF48" i="509"/>
  <c r="Q48" i="509"/>
  <c r="R29" i="521"/>
  <c r="Q29" i="521"/>
  <c r="R8" i="509"/>
  <c r="Q8" i="509"/>
  <c r="Q8" i="517"/>
  <c r="R8" i="517"/>
  <c r="R18" i="511"/>
  <c r="Q18" i="511"/>
  <c r="Q28" i="507"/>
  <c r="R28" i="507"/>
  <c r="R5" i="507"/>
  <c r="Q5" i="507"/>
  <c r="O15" i="507"/>
  <c r="AF69" i="517"/>
  <c r="AG69" i="517"/>
  <c r="AH59" i="517" s="1"/>
  <c r="Q69" i="517"/>
  <c r="J3" i="512"/>
  <c r="G2" i="513"/>
  <c r="L58" i="519"/>
  <c r="H13" i="518" s="1"/>
  <c r="H6" i="518" s="1"/>
  <c r="Q69" i="505"/>
  <c r="AG69" i="505"/>
  <c r="AH59" i="505" s="1"/>
  <c r="AF69" i="505"/>
  <c r="O15" i="505"/>
  <c r="Q5" i="505"/>
  <c r="R5" i="505"/>
  <c r="R60" i="507"/>
  <c r="Q60" i="507"/>
  <c r="J3" i="496"/>
  <c r="G2" i="497"/>
  <c r="R61" i="495"/>
  <c r="Q61" i="495"/>
  <c r="O26" i="499"/>
  <c r="Q16" i="499"/>
  <c r="R16" i="499"/>
  <c r="R58" i="515"/>
  <c r="S49" i="515" s="1"/>
  <c r="H14" i="514"/>
  <c r="H15" i="514" s="1"/>
  <c r="Q61" i="499"/>
  <c r="R28" i="493"/>
  <c r="Q28" i="493"/>
  <c r="R61" i="503"/>
  <c r="Q61" i="503"/>
  <c r="R41" i="501"/>
  <c r="Q41" i="501"/>
  <c r="AG58" i="511"/>
  <c r="AH49" i="511" s="1"/>
  <c r="Q58" i="511"/>
  <c r="AF58" i="511"/>
  <c r="Q49" i="503"/>
  <c r="R28" i="501"/>
  <c r="Q28" i="501"/>
  <c r="AF69" i="493"/>
  <c r="Q69" i="493"/>
  <c r="AG69" i="493"/>
  <c r="AH59" i="493" s="1"/>
  <c r="R38" i="505"/>
  <c r="O48" i="505"/>
  <c r="Q38" i="505"/>
  <c r="R42" i="493"/>
  <c r="O69" i="489"/>
  <c r="R59" i="489"/>
  <c r="Q59" i="489"/>
  <c r="R19" i="493"/>
  <c r="Q19" i="493"/>
  <c r="O26" i="495"/>
  <c r="R16" i="495"/>
  <c r="Q16" i="495"/>
  <c r="N6" i="479"/>
  <c r="N6" i="475"/>
  <c r="N6" i="473"/>
  <c r="N6" i="477"/>
  <c r="N6" i="469"/>
  <c r="N6" i="471"/>
  <c r="N6" i="467"/>
  <c r="N6" i="2"/>
  <c r="R30" i="499"/>
  <c r="Q30" i="499"/>
  <c r="Q61" i="3"/>
  <c r="R61" i="3"/>
  <c r="Q51" i="491"/>
  <c r="R51" i="491"/>
  <c r="O69" i="487"/>
  <c r="R59" i="487"/>
  <c r="Q59" i="487"/>
  <c r="Q41" i="491"/>
  <c r="R9" i="485"/>
  <c r="Q9" i="485"/>
  <c r="Q5" i="487"/>
  <c r="O15" i="487"/>
  <c r="R5" i="487"/>
  <c r="R51" i="483"/>
  <c r="Q51" i="483"/>
  <c r="Q58" i="3"/>
  <c r="AF58" i="3"/>
  <c r="AG58" i="3"/>
  <c r="AH49" i="3" s="1"/>
  <c r="Q17" i="472"/>
  <c r="R17" i="472"/>
  <c r="Q49" i="472"/>
  <c r="O58" i="472"/>
  <c r="R58" i="472" s="1"/>
  <c r="S49" i="472" s="1"/>
  <c r="R49" i="472"/>
  <c r="R17" i="476"/>
  <c r="O26" i="476"/>
  <c r="E2" i="476" s="1"/>
  <c r="Q17" i="476"/>
  <c r="AG37" i="480"/>
  <c r="AH27" i="480" s="1"/>
  <c r="Q37" i="480"/>
  <c r="AF37" i="480"/>
  <c r="R26" i="480"/>
  <c r="S16" i="480" s="1"/>
  <c r="Q26" i="480"/>
  <c r="R39" i="480"/>
  <c r="Q39" i="480"/>
  <c r="R70" i="474"/>
  <c r="Q70" i="474"/>
  <c r="O79" i="474"/>
  <c r="R79" i="474" s="1"/>
  <c r="S70" i="474" s="1"/>
  <c r="O37" i="478"/>
  <c r="R37" i="478" s="1"/>
  <c r="S27" i="478" s="1"/>
  <c r="Q27" i="478"/>
  <c r="R27" i="478"/>
  <c r="AG37" i="474"/>
  <c r="AH27" i="474" s="1"/>
  <c r="Q37" i="474"/>
  <c r="AF37" i="474"/>
  <c r="L58" i="474"/>
  <c r="R58" i="474" s="1"/>
  <c r="S49" i="474" s="1"/>
  <c r="Q49" i="474"/>
  <c r="R5" i="478"/>
  <c r="Q5" i="478"/>
  <c r="O15" i="478"/>
  <c r="O69" i="472"/>
  <c r="R69" i="472" s="1"/>
  <c r="S59" i="472" s="1"/>
  <c r="Q59" i="472"/>
  <c r="R59" i="472"/>
  <c r="AF79" i="476"/>
  <c r="AG79" i="476"/>
  <c r="AH70" i="476" s="1"/>
  <c r="Q79" i="476"/>
  <c r="L58" i="468"/>
  <c r="R58" i="468" s="1"/>
  <c r="S49" i="468" s="1"/>
  <c r="Q49" i="468"/>
  <c r="O48" i="474"/>
  <c r="R48" i="474" s="1"/>
  <c r="S38" i="474" s="1"/>
  <c r="R38" i="474"/>
  <c r="Q38" i="474"/>
  <c r="Q6" i="468"/>
  <c r="R6" i="468"/>
  <c r="R15" i="476"/>
  <c r="S5" i="476" s="1"/>
  <c r="Q15" i="476"/>
  <c r="R39" i="472"/>
  <c r="Q39" i="472"/>
  <c r="R61" i="470"/>
  <c r="Q61" i="470"/>
  <c r="AG15" i="468"/>
  <c r="AH5" i="468" s="1"/>
  <c r="AF15" i="468"/>
  <c r="Q60" i="521"/>
  <c r="R60" i="521"/>
  <c r="O69" i="519"/>
  <c r="R59" i="519"/>
  <c r="Q59" i="519"/>
  <c r="R6" i="519"/>
  <c r="Q6" i="519"/>
  <c r="AF37" i="515"/>
  <c r="Q37" i="515"/>
  <c r="AG37" i="515"/>
  <c r="AH27" i="515" s="1"/>
  <c r="R16" i="519"/>
  <c r="Q16" i="519"/>
  <c r="O26" i="519"/>
  <c r="AF48" i="515"/>
  <c r="Q48" i="515"/>
  <c r="AG48" i="515"/>
  <c r="AH38" i="515" s="1"/>
  <c r="Q50" i="470"/>
  <c r="O58" i="470"/>
  <c r="R58" i="470" s="1"/>
  <c r="S49" i="470" s="1"/>
  <c r="R50" i="470"/>
  <c r="Q27" i="517"/>
  <c r="O37" i="517"/>
  <c r="R27" i="517"/>
  <c r="Q27" i="509"/>
  <c r="R27" i="509"/>
  <c r="O37" i="509"/>
  <c r="Q27" i="519"/>
  <c r="O37" i="519"/>
  <c r="R27" i="519"/>
  <c r="Q39" i="513"/>
  <c r="R39" i="513"/>
  <c r="AF37" i="509"/>
  <c r="AG37" i="509"/>
  <c r="AH27" i="509" s="1"/>
  <c r="Q37" i="509"/>
  <c r="AF15" i="511"/>
  <c r="AG15" i="511"/>
  <c r="AH5" i="511" s="1"/>
  <c r="H6" i="494"/>
  <c r="F6" i="494"/>
  <c r="R17" i="513"/>
  <c r="Q17" i="513"/>
  <c r="R18" i="507"/>
  <c r="Q18" i="507"/>
  <c r="O26" i="507"/>
  <c r="Q31" i="503"/>
  <c r="R31" i="503"/>
  <c r="R38" i="503"/>
  <c r="Q38" i="503"/>
  <c r="O48" i="503"/>
  <c r="AG37" i="505"/>
  <c r="AH27" i="505" s="1"/>
  <c r="AF37" i="505"/>
  <c r="Q37" i="505"/>
  <c r="Q28" i="495"/>
  <c r="R28" i="495"/>
  <c r="R49" i="511"/>
  <c r="Q49" i="511"/>
  <c r="O58" i="511"/>
  <c r="H14" i="502"/>
  <c r="H15" i="502" s="1"/>
  <c r="R58" i="503"/>
  <c r="S49" i="503" s="1"/>
  <c r="R30" i="487"/>
  <c r="Q30" i="487"/>
  <c r="R38" i="495"/>
  <c r="Q38" i="495"/>
  <c r="O48" i="495"/>
  <c r="AG26" i="495"/>
  <c r="AH16" i="495" s="1"/>
  <c r="AF26" i="495"/>
  <c r="R29" i="493"/>
  <c r="Q29" i="493"/>
  <c r="Q8" i="499"/>
  <c r="R8" i="499"/>
  <c r="R50" i="487"/>
  <c r="Q50" i="487"/>
  <c r="L58" i="487"/>
  <c r="H13" i="486" s="1"/>
  <c r="R49" i="487"/>
  <c r="Q49" i="487"/>
  <c r="G2" i="495"/>
  <c r="J3" i="494"/>
  <c r="Q37" i="487"/>
  <c r="AG37" i="487"/>
  <c r="AH27" i="487" s="1"/>
  <c r="AF37" i="487"/>
  <c r="J13" i="479"/>
  <c r="J13" i="477"/>
  <c r="J13" i="475"/>
  <c r="J13" i="473"/>
  <c r="J13" i="469"/>
  <c r="J13" i="471"/>
  <c r="J13" i="467"/>
  <c r="J13" i="2"/>
  <c r="Q27" i="489"/>
  <c r="O37" i="489"/>
  <c r="R27" i="489"/>
  <c r="O69" i="483"/>
  <c r="Q59" i="483"/>
  <c r="R59" i="483"/>
  <c r="L15" i="491"/>
  <c r="D13" i="490" s="1"/>
  <c r="R16" i="489"/>
  <c r="Q16" i="489"/>
  <c r="O26" i="489"/>
  <c r="E2" i="489" s="1"/>
  <c r="AG37" i="483"/>
  <c r="AH27" i="483" s="1"/>
  <c r="AF37" i="483"/>
  <c r="Q37" i="483"/>
  <c r="Q31" i="487"/>
  <c r="R31" i="487"/>
  <c r="Q49" i="3"/>
  <c r="O58" i="3"/>
  <c r="R49" i="3"/>
  <c r="Q58" i="483"/>
  <c r="AG58" i="483"/>
  <c r="AH49" i="483" s="1"/>
  <c r="AF58" i="483"/>
  <c r="R69" i="513"/>
  <c r="S59" i="513" s="1"/>
  <c r="I14" i="512"/>
  <c r="Q51" i="505"/>
  <c r="R51" i="505"/>
  <c r="R16" i="511"/>
  <c r="Q16" i="511"/>
  <c r="O26" i="511"/>
  <c r="Q29" i="505"/>
  <c r="R29" i="505"/>
  <c r="H6" i="514"/>
  <c r="F6" i="514"/>
  <c r="J3" i="504"/>
  <c r="G2" i="505"/>
  <c r="Q8" i="501"/>
  <c r="R8" i="501"/>
  <c r="AF37" i="501"/>
  <c r="AG37" i="501"/>
  <c r="AH27" i="501" s="1"/>
  <c r="Q37" i="501"/>
  <c r="AG15" i="499"/>
  <c r="AH5" i="499" s="1"/>
  <c r="AF15" i="499"/>
  <c r="R28" i="505"/>
  <c r="Q28" i="505"/>
  <c r="R58" i="497"/>
  <c r="S49" i="497" s="1"/>
  <c r="H14" i="496"/>
  <c r="H15" i="496" s="1"/>
  <c r="AG58" i="497"/>
  <c r="AH49" i="497" s="1"/>
  <c r="Q58" i="497"/>
  <c r="AF58" i="497"/>
  <c r="O58" i="499"/>
  <c r="AF15" i="497"/>
  <c r="AG15" i="497"/>
  <c r="AH5" i="497" s="1"/>
  <c r="R40" i="501"/>
  <c r="Q40" i="501"/>
  <c r="O48" i="501"/>
  <c r="Q28" i="503"/>
  <c r="R28" i="503"/>
  <c r="R52" i="499"/>
  <c r="Q52" i="499"/>
  <c r="Q19" i="495"/>
  <c r="L26" i="501"/>
  <c r="E13" i="500" s="1"/>
  <c r="R5" i="491"/>
  <c r="Q5" i="491"/>
  <c r="O15" i="491"/>
  <c r="Q8" i="497"/>
  <c r="R8" i="497"/>
  <c r="Q63" i="491"/>
  <c r="R60" i="491"/>
  <c r="Q60" i="491"/>
  <c r="Q37" i="485"/>
  <c r="AG37" i="485"/>
  <c r="AH27" i="485" s="1"/>
  <c r="AF37" i="485"/>
  <c r="O69" i="3"/>
  <c r="R59" i="3"/>
  <c r="Q59" i="3"/>
  <c r="L58" i="483"/>
  <c r="H13" i="482" s="1"/>
  <c r="AG26" i="3"/>
  <c r="AH16" i="3" s="1"/>
  <c r="AF26" i="3"/>
  <c r="R28" i="491"/>
  <c r="Q28" i="491"/>
  <c r="R18" i="487"/>
  <c r="Q18" i="487"/>
  <c r="Q72" i="491"/>
  <c r="R19" i="489"/>
  <c r="Q19" i="489"/>
  <c r="Q6" i="491"/>
  <c r="R10" i="487"/>
  <c r="Q10" i="487"/>
  <c r="Q37" i="3"/>
  <c r="AG37" i="3"/>
  <c r="AH27" i="3" s="1"/>
  <c r="AF37" i="3"/>
  <c r="O58" i="493"/>
  <c r="Q49" i="493"/>
  <c r="R49" i="493"/>
  <c r="R7" i="491"/>
  <c r="Q7" i="491"/>
  <c r="O26" i="485"/>
  <c r="Q16" i="485"/>
  <c r="R16" i="485"/>
  <c r="O37" i="483"/>
  <c r="R27" i="483"/>
  <c r="Q27" i="483"/>
  <c r="Q48" i="487"/>
  <c r="AG48" i="487"/>
  <c r="AH38" i="487" s="1"/>
  <c r="AF48" i="487"/>
  <c r="R51" i="485"/>
  <c r="Q51" i="485"/>
  <c r="G15" i="484"/>
  <c r="R26" i="517"/>
  <c r="S16" i="517" s="1"/>
  <c r="E14" i="516"/>
  <c r="E15" i="516" s="1"/>
  <c r="Q26" i="517"/>
  <c r="R51" i="521"/>
  <c r="Q51" i="521"/>
  <c r="R19" i="515"/>
  <c r="Q19" i="515"/>
  <c r="R51" i="507"/>
  <c r="R40" i="505"/>
  <c r="Q40" i="505"/>
  <c r="R50" i="511"/>
  <c r="Q50" i="511"/>
  <c r="R28" i="511"/>
  <c r="Q28" i="511"/>
  <c r="R29" i="507"/>
  <c r="Q29" i="507"/>
  <c r="Q38" i="513"/>
  <c r="R6" i="511"/>
  <c r="Q6" i="511"/>
  <c r="R6" i="507"/>
  <c r="Q6" i="507"/>
  <c r="Q37" i="503"/>
  <c r="AG37" i="503"/>
  <c r="AH27" i="503" s="1"/>
  <c r="AF37" i="503"/>
  <c r="R9" i="507"/>
  <c r="Q9" i="507"/>
  <c r="L26" i="503"/>
  <c r="E13" i="502" s="1"/>
  <c r="R27" i="501"/>
  <c r="Q27" i="501"/>
  <c r="O37" i="501"/>
  <c r="R41" i="495"/>
  <c r="Q41" i="495"/>
  <c r="R49" i="503"/>
  <c r="R61" i="493"/>
  <c r="Q61" i="493"/>
  <c r="Q58" i="503"/>
  <c r="Q63" i="493"/>
  <c r="J3" i="498"/>
  <c r="G2" i="499"/>
  <c r="AF48" i="505"/>
  <c r="AG48" i="505"/>
  <c r="AH38" i="505" s="1"/>
  <c r="Q48" i="505"/>
  <c r="AG15" i="493"/>
  <c r="AH5" i="493" s="1"/>
  <c r="AF15" i="493"/>
  <c r="L15" i="485"/>
  <c r="D13" i="484" s="1"/>
  <c r="R29" i="489"/>
  <c r="Q29" i="489"/>
  <c r="AG26" i="487"/>
  <c r="AH16" i="487" s="1"/>
  <c r="AF26" i="487"/>
  <c r="O37" i="493"/>
  <c r="R27" i="493"/>
  <c r="Q27" i="493"/>
  <c r="R30" i="483"/>
  <c r="Q30" i="483"/>
  <c r="Q58" i="491"/>
  <c r="AF58" i="491"/>
  <c r="AG58" i="491"/>
  <c r="AH49" i="491" s="1"/>
  <c r="R16" i="3"/>
  <c r="AG26" i="485"/>
  <c r="AH16" i="485" s="1"/>
  <c r="AF26" i="485"/>
  <c r="AG26" i="489"/>
  <c r="AH16" i="489" s="1"/>
  <c r="AF26" i="489"/>
  <c r="AG58" i="485"/>
  <c r="AH49" i="485" s="1"/>
  <c r="Q58" i="485"/>
  <c r="AF58" i="485"/>
  <c r="R48" i="485"/>
  <c r="S38" i="485" s="1"/>
  <c r="L26" i="476"/>
  <c r="R16" i="476"/>
  <c r="AG69" i="519"/>
  <c r="AH59" i="519" s="1"/>
  <c r="AF69" i="519"/>
  <c r="Q69" i="519"/>
  <c r="Q58" i="519"/>
  <c r="AG58" i="519"/>
  <c r="AH49" i="519" s="1"/>
  <c r="AF58" i="519"/>
  <c r="Q37" i="519"/>
  <c r="AF37" i="519"/>
  <c r="AG37" i="519"/>
  <c r="AH27" i="519" s="1"/>
  <c r="R61" i="517"/>
  <c r="Q61" i="517"/>
  <c r="O69" i="517"/>
  <c r="O69" i="480"/>
  <c r="R69" i="480" s="1"/>
  <c r="S59" i="480" s="1"/>
  <c r="Q59" i="480"/>
  <c r="R59" i="480"/>
  <c r="R59" i="470"/>
  <c r="O69" i="470"/>
  <c r="R69" i="470" s="1"/>
  <c r="S59" i="470" s="1"/>
  <c r="Q59" i="470"/>
  <c r="R51" i="470"/>
  <c r="Q51" i="470"/>
  <c r="R40" i="468"/>
  <c r="Q40" i="468"/>
  <c r="AG26" i="472"/>
  <c r="AH16" i="472" s="1"/>
  <c r="AF26" i="472"/>
  <c r="Q69" i="521"/>
  <c r="AG69" i="521"/>
  <c r="AH59" i="521" s="1"/>
  <c r="AF69" i="521"/>
  <c r="R50" i="521"/>
  <c r="Q50" i="521"/>
  <c r="O48" i="515"/>
  <c r="R38" i="515"/>
  <c r="Q38" i="515"/>
  <c r="F6" i="508"/>
  <c r="H6" i="508"/>
  <c r="O37" i="505"/>
  <c r="AG69" i="509"/>
  <c r="AH59" i="509" s="1"/>
  <c r="Q69" i="509"/>
  <c r="AF69" i="509"/>
  <c r="L58" i="521"/>
  <c r="H13" i="520" s="1"/>
  <c r="AF15" i="513"/>
  <c r="AG15" i="513"/>
  <c r="AH5" i="513" s="1"/>
  <c r="R40" i="478"/>
  <c r="AG58" i="480"/>
  <c r="AH49" i="480" s="1"/>
  <c r="Q58" i="480"/>
  <c r="AF58" i="480"/>
  <c r="Q58" i="474"/>
  <c r="AF58" i="474"/>
  <c r="AG58" i="474"/>
  <c r="AH49" i="474" s="1"/>
  <c r="Q69" i="480"/>
  <c r="AG69" i="480"/>
  <c r="AH59" i="480" s="1"/>
  <c r="AF69" i="480"/>
  <c r="R28" i="474"/>
  <c r="Q28" i="474"/>
  <c r="R37" i="476"/>
  <c r="S27" i="476" s="1"/>
  <c r="Q48" i="478"/>
  <c r="AG48" i="478"/>
  <c r="AH38" i="478" s="1"/>
  <c r="AF48" i="478"/>
  <c r="Q61" i="476"/>
  <c r="R61" i="476"/>
  <c r="Q16" i="468"/>
  <c r="R16" i="468"/>
  <c r="O26" i="468"/>
  <c r="R50" i="478"/>
  <c r="Q50" i="478"/>
  <c r="L37" i="468"/>
  <c r="Q27" i="468"/>
  <c r="R16" i="472"/>
  <c r="O26" i="472"/>
  <c r="Q16" i="472"/>
  <c r="I1" i="517"/>
  <c r="R37" i="468"/>
  <c r="S27" i="468" s="1"/>
  <c r="G2" i="517"/>
  <c r="J3" i="516"/>
  <c r="G2" i="519"/>
  <c r="J3" i="518"/>
  <c r="R60" i="519"/>
  <c r="Q60" i="519"/>
  <c r="R19" i="521"/>
  <c r="Q19" i="521"/>
  <c r="R8" i="515"/>
  <c r="Q8" i="515"/>
  <c r="R40" i="519"/>
  <c r="Q40" i="519"/>
  <c r="R59" i="513"/>
  <c r="Q59" i="509"/>
  <c r="O69" i="509"/>
  <c r="R59" i="509"/>
  <c r="R7" i="515"/>
  <c r="Q7" i="515"/>
  <c r="Q51" i="509"/>
  <c r="R51" i="509"/>
  <c r="L37" i="505"/>
  <c r="F13" i="504" s="1"/>
  <c r="Q5" i="511"/>
  <c r="R5" i="511"/>
  <c r="O15" i="511"/>
  <c r="J3" i="508"/>
  <c r="G2" i="509"/>
  <c r="R38" i="513"/>
  <c r="R53" i="509"/>
  <c r="Q53" i="509"/>
  <c r="R63" i="505"/>
  <c r="Q63" i="505"/>
  <c r="R27" i="503"/>
  <c r="Q27" i="503"/>
  <c r="O37" i="503"/>
  <c r="L58" i="505"/>
  <c r="H13" i="504" s="1"/>
  <c r="R29" i="497"/>
  <c r="Q29" i="497"/>
  <c r="Q69" i="501"/>
  <c r="AG69" i="501"/>
  <c r="AH59" i="501" s="1"/>
  <c r="AF69" i="501"/>
  <c r="AF48" i="501"/>
  <c r="Q48" i="501"/>
  <c r="AG48" i="501"/>
  <c r="AH38" i="501" s="1"/>
  <c r="R6" i="503"/>
  <c r="Q6" i="503"/>
  <c r="F14" i="498"/>
  <c r="F15" i="498" s="1"/>
  <c r="R37" i="499"/>
  <c r="S27" i="499" s="1"/>
  <c r="L48" i="499"/>
  <c r="G13" i="498" s="1"/>
  <c r="R39" i="499"/>
  <c r="Q58" i="507"/>
  <c r="AG58" i="507"/>
  <c r="AH49" i="507" s="1"/>
  <c r="AF58" i="507"/>
  <c r="L58" i="497"/>
  <c r="H13" i="496" s="1"/>
  <c r="R17" i="505"/>
  <c r="Q17" i="505"/>
  <c r="Q6" i="499"/>
  <c r="R5" i="493"/>
  <c r="Q5" i="493"/>
  <c r="O15" i="493"/>
  <c r="R53" i="497"/>
  <c r="Q53" i="497"/>
  <c r="Q48" i="495"/>
  <c r="AF48" i="495"/>
  <c r="AG48" i="495"/>
  <c r="AH38" i="495" s="1"/>
  <c r="R51" i="497"/>
  <c r="Q51" i="497"/>
  <c r="O58" i="489"/>
  <c r="Q49" i="489"/>
  <c r="R49" i="489"/>
  <c r="L15" i="501"/>
  <c r="D13" i="500" s="1"/>
  <c r="Q16" i="491"/>
  <c r="O26" i="491"/>
  <c r="R16" i="491"/>
  <c r="R19" i="485"/>
  <c r="Q19" i="485"/>
  <c r="E13" i="479"/>
  <c r="E13" i="477"/>
  <c r="E13" i="475"/>
  <c r="E13" i="469"/>
  <c r="E13" i="473"/>
  <c r="E13" i="471"/>
  <c r="E13" i="467"/>
  <c r="E13" i="2"/>
  <c r="R6" i="487"/>
  <c r="Q6" i="487"/>
  <c r="Q8" i="491"/>
  <c r="R8" i="491"/>
  <c r="R70" i="491"/>
  <c r="Q70" i="491"/>
  <c r="O79" i="491"/>
  <c r="R17" i="489"/>
  <c r="Q17" i="489"/>
  <c r="Q17" i="487"/>
  <c r="R17" i="487"/>
  <c r="O26" i="487"/>
  <c r="Q60" i="489"/>
  <c r="R60" i="489"/>
  <c r="O37" i="3"/>
  <c r="O58" i="491"/>
  <c r="Q49" i="491"/>
  <c r="R49" i="491"/>
  <c r="Q37" i="493"/>
  <c r="O37" i="487"/>
  <c r="R27" i="487"/>
  <c r="Q27" i="487"/>
  <c r="J3" i="482"/>
  <c r="G2" i="483"/>
  <c r="L26" i="483"/>
  <c r="E13" i="482" s="1"/>
  <c r="R39" i="483"/>
  <c r="Q39" i="483"/>
  <c r="R40" i="517"/>
  <c r="Q40" i="517"/>
  <c r="R8" i="511"/>
  <c r="Q8" i="511"/>
  <c r="R6" i="509"/>
  <c r="Q6" i="509"/>
  <c r="AF15" i="478"/>
  <c r="AG15" i="478"/>
  <c r="AH5" i="478" s="1"/>
  <c r="Q48" i="474"/>
  <c r="AF48" i="474"/>
  <c r="AG48" i="474"/>
  <c r="AH38" i="474" s="1"/>
  <c r="Q7" i="476"/>
  <c r="R7" i="476"/>
  <c r="AG58" i="468"/>
  <c r="AH49" i="468" s="1"/>
  <c r="AF58" i="468"/>
  <c r="Q58" i="468"/>
  <c r="R38" i="468"/>
  <c r="O48" i="468"/>
  <c r="R48" i="468" s="1"/>
  <c r="S38" i="468" s="1"/>
  <c r="Q38" i="468"/>
  <c r="Q37" i="472"/>
  <c r="AF37" i="472"/>
  <c r="AG37" i="472"/>
  <c r="AH27" i="472" s="1"/>
  <c r="AF69" i="513"/>
  <c r="Q69" i="513"/>
  <c r="AG69" i="513"/>
  <c r="AH59" i="513" s="1"/>
  <c r="R28" i="480"/>
  <c r="Q28" i="480"/>
  <c r="Q48" i="476"/>
  <c r="AG48" i="476"/>
  <c r="AH38" i="476" s="1"/>
  <c r="AF48" i="476"/>
  <c r="R61" i="480"/>
  <c r="Q61" i="480"/>
  <c r="Q37" i="476"/>
  <c r="AG37" i="476"/>
  <c r="AH27" i="476" s="1"/>
  <c r="AF37" i="476"/>
  <c r="AF15" i="480"/>
  <c r="AG15" i="480"/>
  <c r="AH5" i="480" s="1"/>
  <c r="Q39" i="474"/>
  <c r="R39" i="474"/>
  <c r="Q18" i="474"/>
  <c r="R18" i="474"/>
  <c r="O48" i="478"/>
  <c r="R48" i="478" s="1"/>
  <c r="S38" i="478" s="1"/>
  <c r="Q38" i="478"/>
  <c r="R38" i="478"/>
  <c r="AF69" i="468"/>
  <c r="AG69" i="468"/>
  <c r="AH59" i="468" s="1"/>
  <c r="Q69" i="468"/>
  <c r="AG48" i="472"/>
  <c r="AH38" i="472" s="1"/>
  <c r="AF48" i="472"/>
  <c r="Q48" i="472"/>
  <c r="R7" i="478"/>
  <c r="Q7" i="478"/>
  <c r="R70" i="478"/>
  <c r="Q70" i="478"/>
  <c r="O79" i="478"/>
  <c r="R79" i="478" s="1"/>
  <c r="S70" i="478" s="1"/>
  <c r="AG48" i="521"/>
  <c r="AH38" i="521" s="1"/>
  <c r="AF48" i="521"/>
  <c r="Q48" i="521"/>
  <c r="AF15" i="472"/>
  <c r="AG15" i="472"/>
  <c r="AH5" i="472" s="1"/>
  <c r="R39" i="521"/>
  <c r="Q39" i="521"/>
  <c r="AG69" i="515"/>
  <c r="AH59" i="515" s="1"/>
  <c r="Q69" i="515"/>
  <c r="AF69" i="515"/>
  <c r="G2" i="521"/>
  <c r="J3" i="520"/>
  <c r="Q18" i="517"/>
  <c r="R18" i="517"/>
  <c r="R62" i="505"/>
  <c r="Q62" i="505"/>
  <c r="O15" i="517"/>
  <c r="Q5" i="517"/>
  <c r="R5" i="517"/>
  <c r="Q6" i="517"/>
  <c r="R6" i="517"/>
  <c r="AG15" i="515"/>
  <c r="AH5" i="515" s="1"/>
  <c r="AF15" i="515"/>
  <c r="O6" i="508"/>
  <c r="N6" i="508"/>
  <c r="R26" i="515"/>
  <c r="S16" i="515" s="1"/>
  <c r="Q26" i="515"/>
  <c r="E14" i="514"/>
  <c r="E15" i="514" s="1"/>
  <c r="R16" i="521"/>
  <c r="O26" i="521"/>
  <c r="E2" i="521" s="1"/>
  <c r="Q16" i="521"/>
  <c r="R29" i="513"/>
  <c r="Q29" i="513"/>
  <c r="Q30" i="507"/>
  <c r="R30" i="507"/>
  <c r="G14" i="518"/>
  <c r="G15" i="518" s="1"/>
  <c r="R48" i="519"/>
  <c r="S38" i="519" s="1"/>
  <c r="Q8" i="513"/>
  <c r="R8" i="513"/>
  <c r="Q5" i="513"/>
  <c r="R5" i="513"/>
  <c r="O15" i="513"/>
  <c r="R58" i="509"/>
  <c r="S49" i="509" s="1"/>
  <c r="H14" i="508"/>
  <c r="H15" i="508" s="1"/>
  <c r="R30" i="515"/>
  <c r="Q30" i="515"/>
  <c r="Q28" i="509"/>
  <c r="R28" i="509"/>
  <c r="AG26" i="513"/>
  <c r="AH16" i="513" s="1"/>
  <c r="AF26" i="513"/>
  <c r="R60" i="509"/>
  <c r="Q60" i="509"/>
  <c r="AF26" i="507"/>
  <c r="AG26" i="507"/>
  <c r="AH16" i="507" s="1"/>
  <c r="O79" i="501"/>
  <c r="Q70" i="501"/>
  <c r="R70" i="501"/>
  <c r="Q59" i="499"/>
  <c r="O69" i="499"/>
  <c r="R59" i="499"/>
  <c r="Q16" i="497"/>
  <c r="Q9" i="505"/>
  <c r="R9" i="505"/>
  <c r="Q52" i="497"/>
  <c r="R52" i="497"/>
  <c r="R60" i="503"/>
  <c r="Q60" i="503"/>
  <c r="J3" i="502"/>
  <c r="G2" i="503"/>
  <c r="R53" i="493"/>
  <c r="Q53" i="493"/>
  <c r="R19" i="503"/>
  <c r="Q19" i="503"/>
  <c r="Q40" i="495"/>
  <c r="Q50" i="507"/>
  <c r="R50" i="507"/>
  <c r="L37" i="503"/>
  <c r="F13" i="502" s="1"/>
  <c r="AG58" i="501"/>
  <c r="AH49" i="501" s="1"/>
  <c r="AF58" i="501"/>
  <c r="Q58" i="501"/>
  <c r="Q59" i="497"/>
  <c r="R59" i="497"/>
  <c r="O69" i="497"/>
  <c r="O6" i="500"/>
  <c r="N6" i="500"/>
  <c r="R19" i="501"/>
  <c r="Q19" i="501"/>
  <c r="O6" i="498"/>
  <c r="N6" i="498"/>
  <c r="R62" i="495"/>
  <c r="Q62" i="495"/>
  <c r="L37" i="491"/>
  <c r="Q27" i="491"/>
  <c r="AF26" i="491"/>
  <c r="AG26" i="491"/>
  <c r="AH16" i="491" s="1"/>
  <c r="Q52" i="485"/>
  <c r="R52" i="485"/>
  <c r="Q7" i="493"/>
  <c r="R7" i="493"/>
  <c r="R60" i="483"/>
  <c r="Q60" i="483"/>
  <c r="R5" i="483"/>
  <c r="O48" i="489"/>
  <c r="R38" i="489"/>
  <c r="Q38" i="489"/>
  <c r="R5" i="3"/>
  <c r="AG37" i="493"/>
  <c r="AH27" i="493" s="1"/>
  <c r="Q18" i="483"/>
  <c r="O48" i="487"/>
  <c r="Q38" i="487"/>
  <c r="R38" i="487"/>
  <c r="AF15" i="3"/>
  <c r="Q48" i="483"/>
  <c r="AG48" i="483"/>
  <c r="AH38" i="483" s="1"/>
  <c r="AF48" i="483"/>
  <c r="O69" i="515"/>
  <c r="R59" i="515"/>
  <c r="Q59" i="515"/>
  <c r="AF58" i="521"/>
  <c r="AG58" i="521"/>
  <c r="AH49" i="521" s="1"/>
  <c r="Q58" i="521"/>
  <c r="AG26" i="521"/>
  <c r="AH16" i="521" s="1"/>
  <c r="AF26" i="521"/>
  <c r="E14" i="508"/>
  <c r="E15" i="508" s="1"/>
  <c r="R26" i="509"/>
  <c r="S16" i="509" s="1"/>
  <c r="Q26" i="509"/>
  <c r="L15" i="511"/>
  <c r="D13" i="510" s="1"/>
  <c r="AG48" i="513"/>
  <c r="AH38" i="513" s="1"/>
  <c r="AF48" i="513"/>
  <c r="Q48" i="513"/>
  <c r="R69" i="507"/>
  <c r="S59" i="507" s="1"/>
  <c r="I14" i="506"/>
  <c r="J3" i="510"/>
  <c r="G2" i="511"/>
  <c r="Q49" i="505"/>
  <c r="O58" i="505"/>
  <c r="R49" i="505"/>
  <c r="R7" i="513"/>
  <c r="Q7" i="513"/>
  <c r="R50" i="505"/>
  <c r="Q50" i="505"/>
  <c r="AF79" i="501"/>
  <c r="AG79" i="501"/>
  <c r="AH70" i="501" s="1"/>
  <c r="Q79" i="501"/>
  <c r="AF26" i="501"/>
  <c r="AG26" i="501"/>
  <c r="AH16" i="501" s="1"/>
  <c r="Q26" i="497"/>
  <c r="E14" i="496"/>
  <c r="E15" i="496" s="1"/>
  <c r="R26" i="497"/>
  <c r="S16" i="497" s="1"/>
  <c r="AF37" i="495"/>
  <c r="AG37" i="495"/>
  <c r="AH27" i="495" s="1"/>
  <c r="Q37" i="495"/>
  <c r="R69" i="505"/>
  <c r="S59" i="505" s="1"/>
  <c r="I14" i="504"/>
  <c r="R7" i="503"/>
  <c r="Q7" i="503"/>
  <c r="R8" i="503"/>
  <c r="Q8" i="503"/>
  <c r="AG69" i="497"/>
  <c r="AH59" i="497" s="1"/>
  <c r="AF69" i="497"/>
  <c r="Q69" i="497"/>
  <c r="AG48" i="491"/>
  <c r="AH38" i="491" s="1"/>
  <c r="AF48" i="491"/>
  <c r="Q48" i="491"/>
  <c r="Q69" i="499"/>
  <c r="AG69" i="499"/>
  <c r="AH59" i="499" s="1"/>
  <c r="AF69" i="499"/>
  <c r="Q29" i="495"/>
  <c r="R29" i="495"/>
  <c r="Q18" i="493"/>
  <c r="R18" i="493"/>
  <c r="R59" i="495"/>
  <c r="Q59" i="495"/>
  <c r="O69" i="495"/>
  <c r="AF48" i="485"/>
  <c r="AG48" i="485"/>
  <c r="AH38" i="485" s="1"/>
  <c r="Q48" i="485"/>
  <c r="D14" i="482"/>
  <c r="R15" i="483"/>
  <c r="S5" i="483" s="1"/>
  <c r="E2" i="483"/>
  <c r="Q15" i="483"/>
  <c r="Q39" i="493"/>
  <c r="R39" i="493"/>
  <c r="L26" i="487"/>
  <c r="E13" i="486" s="1"/>
  <c r="H6" i="486" s="1"/>
  <c r="R16" i="487"/>
  <c r="Q16" i="487"/>
  <c r="G14" i="479"/>
  <c r="G15" i="479" s="1"/>
  <c r="G14" i="473"/>
  <c r="G15" i="473" s="1"/>
  <c r="G14" i="477"/>
  <c r="G15" i="477" s="1"/>
  <c r="G14" i="475"/>
  <c r="G15" i="475" s="1"/>
  <c r="G14" i="471"/>
  <c r="G15" i="471" s="1"/>
  <c r="G14" i="467"/>
  <c r="G15" i="467" s="1"/>
  <c r="G14" i="469"/>
  <c r="G15" i="469" s="1"/>
  <c r="R48" i="3"/>
  <c r="S38" i="3" s="1"/>
  <c r="G14" i="2"/>
  <c r="G15" i="2" s="1"/>
  <c r="F13" i="477"/>
  <c r="F13" i="479"/>
  <c r="F13" i="467"/>
  <c r="F13" i="473"/>
  <c r="F13" i="471"/>
  <c r="F13" i="469"/>
  <c r="F13" i="475"/>
  <c r="F13" i="2"/>
  <c r="R41" i="489"/>
  <c r="Q41" i="489"/>
  <c r="J3" i="488"/>
  <c r="G2" i="489"/>
  <c r="Q50" i="483"/>
  <c r="Q17" i="485"/>
  <c r="Q31" i="483"/>
  <c r="Q27" i="474"/>
  <c r="O37" i="474"/>
  <c r="R37" i="474" s="1"/>
  <c r="S27" i="474" s="1"/>
  <c r="R27" i="474"/>
  <c r="R29" i="478"/>
  <c r="Q29" i="478"/>
  <c r="R38" i="470"/>
  <c r="Q38" i="470"/>
  <c r="O48" i="470"/>
  <c r="R48" i="470" s="1"/>
  <c r="S38" i="470" s="1"/>
  <c r="R38" i="521"/>
  <c r="O48" i="521"/>
  <c r="Q38" i="521"/>
  <c r="O26" i="505"/>
  <c r="R16" i="505"/>
  <c r="Q16" i="505"/>
  <c r="O48" i="476"/>
  <c r="R48" i="476" s="1"/>
  <c r="S38" i="476" s="1"/>
  <c r="R38" i="476"/>
  <c r="Q38" i="476"/>
  <c r="R17" i="480"/>
  <c r="Q17" i="480"/>
  <c r="R18" i="480"/>
  <c r="Q18" i="480"/>
  <c r="Q40" i="476"/>
  <c r="R40" i="476"/>
  <c r="R40" i="480"/>
  <c r="Q40" i="480"/>
  <c r="R39" i="476"/>
  <c r="Q39" i="476"/>
  <c r="AG37" i="468"/>
  <c r="AH27" i="468" s="1"/>
  <c r="AF37" i="468"/>
  <c r="Q37" i="468"/>
  <c r="R40" i="470"/>
  <c r="Q40" i="470"/>
  <c r="AF26" i="468"/>
  <c r="AG26" i="468"/>
  <c r="AH16" i="468" s="1"/>
  <c r="AF79" i="478"/>
  <c r="Q79" i="478"/>
  <c r="AG79" i="478"/>
  <c r="AH70" i="478" s="1"/>
  <c r="AF26" i="470"/>
  <c r="AG26" i="470"/>
  <c r="AH16" i="470" s="1"/>
  <c r="R27" i="470"/>
  <c r="O37" i="470"/>
  <c r="R37" i="470" s="1"/>
  <c r="S27" i="470" s="1"/>
  <c r="Q27" i="470"/>
  <c r="AG48" i="470"/>
  <c r="AH38" i="470" s="1"/>
  <c r="AF48" i="470"/>
  <c r="Q48" i="470"/>
  <c r="O15" i="472"/>
  <c r="R5" i="472"/>
  <c r="Q5" i="472"/>
  <c r="Q53" i="519"/>
  <c r="R53" i="519"/>
  <c r="Q30" i="521"/>
  <c r="R30" i="521"/>
  <c r="R28" i="519"/>
  <c r="Q8" i="521"/>
  <c r="R8" i="521"/>
  <c r="R51" i="513"/>
  <c r="Q51" i="513"/>
  <c r="AF15" i="517"/>
  <c r="AG15" i="517"/>
  <c r="AH5" i="517" s="1"/>
  <c r="R62" i="517"/>
  <c r="Q62" i="517"/>
  <c r="AG26" i="509"/>
  <c r="AH16" i="509" s="1"/>
  <c r="AF26" i="509"/>
  <c r="Q5" i="509"/>
  <c r="F6" i="512"/>
  <c r="H6" i="512"/>
  <c r="Q52" i="509"/>
  <c r="R52" i="509"/>
  <c r="R18" i="513"/>
  <c r="Q18" i="513"/>
  <c r="R50" i="509"/>
  <c r="Q50" i="509"/>
  <c r="L26" i="505"/>
  <c r="E13" i="504" s="1"/>
  <c r="R59" i="507"/>
  <c r="R5" i="503"/>
  <c r="Q5" i="503"/>
  <c r="O15" i="503"/>
  <c r="Q58" i="505"/>
  <c r="AG58" i="505"/>
  <c r="AH49" i="505" s="1"/>
  <c r="AF58" i="505"/>
  <c r="R38" i="497"/>
  <c r="Q38" i="497"/>
  <c r="O48" i="497"/>
  <c r="R16" i="497"/>
  <c r="AF48" i="493"/>
  <c r="AG48" i="493"/>
  <c r="AH38" i="493" s="1"/>
  <c r="Q48" i="493"/>
  <c r="L69" i="501"/>
  <c r="I13" i="500" s="1"/>
  <c r="J6" i="500" s="1"/>
  <c r="Q37" i="499"/>
  <c r="AG37" i="499"/>
  <c r="AH27" i="499" s="1"/>
  <c r="AF37" i="499"/>
  <c r="R59" i="505"/>
  <c r="R61" i="491"/>
  <c r="Q61" i="491"/>
  <c r="O48" i="507"/>
  <c r="R38" i="507"/>
  <c r="Q38" i="507"/>
  <c r="Q27" i="497"/>
  <c r="AF37" i="491"/>
  <c r="Q37" i="491"/>
  <c r="AG37" i="491"/>
  <c r="AH27" i="491" s="1"/>
  <c r="R60" i="499"/>
  <c r="Q60" i="499"/>
  <c r="R7" i="497"/>
  <c r="Q7" i="497"/>
  <c r="R52" i="493"/>
  <c r="Q52" i="493"/>
  <c r="R39" i="491"/>
  <c r="Q39" i="491"/>
  <c r="O48" i="491"/>
  <c r="R59" i="491"/>
  <c r="O69" i="491"/>
  <c r="Q59" i="491"/>
  <c r="R41" i="499"/>
  <c r="Q41" i="499"/>
  <c r="O48" i="499"/>
  <c r="AG58" i="495"/>
  <c r="AH49" i="495" s="1"/>
  <c r="AF58" i="495"/>
  <c r="Q58" i="495"/>
  <c r="AG69" i="495"/>
  <c r="AH59" i="495" s="1"/>
  <c r="AF69" i="495"/>
  <c r="Q69" i="495"/>
  <c r="R50" i="493"/>
  <c r="Q50" i="493"/>
  <c r="R38" i="483"/>
  <c r="O48" i="483"/>
  <c r="Q38" i="483"/>
  <c r="D14" i="479"/>
  <c r="D14" i="477"/>
  <c r="D14" i="475"/>
  <c r="D14" i="473"/>
  <c r="D14" i="471"/>
  <c r="D14" i="469"/>
  <c r="D14" i="467"/>
  <c r="D14" i="2"/>
  <c r="Q15" i="3"/>
  <c r="E2" i="3"/>
  <c r="R15" i="3"/>
  <c r="S5" i="3" s="1"/>
  <c r="R7" i="489"/>
  <c r="Q7" i="489"/>
  <c r="R62" i="491"/>
  <c r="Q62" i="491"/>
  <c r="Q48" i="489"/>
  <c r="AG48" i="489"/>
  <c r="AH38" i="489" s="1"/>
  <c r="AF48" i="489"/>
  <c r="Q5" i="3"/>
  <c r="R30" i="489"/>
  <c r="Q30" i="489"/>
  <c r="O15" i="485"/>
  <c r="R5" i="485"/>
  <c r="Q5" i="485"/>
  <c r="Q49" i="485"/>
  <c r="O58" i="485"/>
  <c r="R49" i="485"/>
  <c r="O26" i="3"/>
  <c r="AG15" i="495"/>
  <c r="AH5" i="495" s="1"/>
  <c r="AF15" i="495"/>
  <c r="G2" i="487"/>
  <c r="J3" i="486"/>
  <c r="R37" i="485"/>
  <c r="S27" i="485" s="1"/>
  <c r="F14" i="484"/>
  <c r="F15" i="484" s="1"/>
  <c r="R17" i="485"/>
  <c r="D15" i="528" l="1"/>
  <c r="F7" i="528"/>
  <c r="F8" i="528" s="1"/>
  <c r="H7" i="528"/>
  <c r="H8" i="528" s="1"/>
  <c r="I15" i="528"/>
  <c r="J7" i="528"/>
  <c r="J8" i="528" s="1"/>
  <c r="J7" i="526"/>
  <c r="J8" i="526" s="1"/>
  <c r="I15" i="526"/>
  <c r="D15" i="526"/>
  <c r="H7" i="526"/>
  <c r="H8" i="526" s="1"/>
  <c r="F7" i="526"/>
  <c r="F8" i="526" s="1"/>
  <c r="F7" i="524"/>
  <c r="F8" i="524" s="1"/>
  <c r="D15" i="524"/>
  <c r="H7" i="524"/>
  <c r="H8" i="524" s="1"/>
  <c r="D15" i="522"/>
  <c r="H7" i="522"/>
  <c r="H8" i="522" s="1"/>
  <c r="F7" i="522"/>
  <c r="F8" i="522" s="1"/>
  <c r="J7" i="522"/>
  <c r="J8" i="522" s="1"/>
  <c r="I15" i="522"/>
  <c r="F6" i="510"/>
  <c r="H6" i="510"/>
  <c r="G14" i="494"/>
  <c r="G15" i="494" s="1"/>
  <c r="R48" i="495"/>
  <c r="S38" i="495" s="1"/>
  <c r="E14" i="498"/>
  <c r="E15" i="498" s="1"/>
  <c r="R26" i="499"/>
  <c r="S16" i="499" s="1"/>
  <c r="Q26" i="499"/>
  <c r="H6" i="469"/>
  <c r="F6" i="469"/>
  <c r="I14" i="484"/>
  <c r="R69" i="485"/>
  <c r="S59" i="485" s="1"/>
  <c r="H7" i="520"/>
  <c r="D15" i="520"/>
  <c r="E14" i="512"/>
  <c r="E15" i="512" s="1"/>
  <c r="Q26" i="513"/>
  <c r="R26" i="513"/>
  <c r="S16" i="513" s="1"/>
  <c r="F6" i="518"/>
  <c r="R26" i="487"/>
  <c r="S16" i="487" s="1"/>
  <c r="Q26" i="487"/>
  <c r="E14" i="486"/>
  <c r="E15" i="486" s="1"/>
  <c r="I14" i="508"/>
  <c r="R69" i="509"/>
  <c r="S59" i="509" s="1"/>
  <c r="R37" i="493"/>
  <c r="S27" i="493" s="1"/>
  <c r="F14" i="492"/>
  <c r="F15" i="492" s="1"/>
  <c r="R37" i="483"/>
  <c r="S27" i="483" s="1"/>
  <c r="F14" i="482"/>
  <c r="F15" i="482" s="1"/>
  <c r="R26" i="511"/>
  <c r="S16" i="511" s="1"/>
  <c r="E14" i="510"/>
  <c r="E15" i="510" s="1"/>
  <c r="Q26" i="511"/>
  <c r="F14" i="508"/>
  <c r="F15" i="508" s="1"/>
  <c r="R37" i="509"/>
  <c r="S27" i="509" s="1"/>
  <c r="R26" i="519"/>
  <c r="S16" i="519" s="1"/>
  <c r="Q26" i="519"/>
  <c r="E14" i="518"/>
  <c r="E15" i="518" s="1"/>
  <c r="R26" i="476"/>
  <c r="S16" i="476" s="1"/>
  <c r="Q26" i="476"/>
  <c r="D15" i="488"/>
  <c r="R37" i="521"/>
  <c r="S27" i="521" s="1"/>
  <c r="F14" i="520"/>
  <c r="F15" i="520" s="1"/>
  <c r="AG58" i="517"/>
  <c r="AH49" i="517" s="1"/>
  <c r="AF58" i="517"/>
  <c r="Q58" i="517"/>
  <c r="F6" i="477"/>
  <c r="H6" i="477"/>
  <c r="R15" i="521"/>
  <c r="S5" i="521" s="1"/>
  <c r="R15" i="499"/>
  <c r="S5" i="499" s="1"/>
  <c r="Q15" i="499"/>
  <c r="D14" i="498"/>
  <c r="E2" i="499"/>
  <c r="R48" i="521"/>
  <c r="S38" i="521" s="1"/>
  <c r="G14" i="520"/>
  <c r="G15" i="520" s="1"/>
  <c r="R48" i="497"/>
  <c r="S38" i="497" s="1"/>
  <c r="G14" i="496"/>
  <c r="G15" i="496" s="1"/>
  <c r="D15" i="475"/>
  <c r="R26" i="505"/>
  <c r="S16" i="505" s="1"/>
  <c r="Q26" i="505"/>
  <c r="E14" i="504"/>
  <c r="E15" i="504" s="1"/>
  <c r="I14" i="514"/>
  <c r="R69" i="515"/>
  <c r="S59" i="515" s="1"/>
  <c r="F13" i="490"/>
  <c r="F15" i="490" s="1"/>
  <c r="R37" i="491"/>
  <c r="S27" i="491" s="1"/>
  <c r="R15" i="491"/>
  <c r="S5" i="491" s="1"/>
  <c r="D14" i="490"/>
  <c r="Q15" i="491"/>
  <c r="E2" i="491"/>
  <c r="R15" i="487"/>
  <c r="S5" i="487" s="1"/>
  <c r="E2" i="487"/>
  <c r="Q15" i="487"/>
  <c r="D14" i="486"/>
  <c r="G14" i="504"/>
  <c r="G15" i="504" s="1"/>
  <c r="R48" i="505"/>
  <c r="S38" i="505" s="1"/>
  <c r="R15" i="515"/>
  <c r="S5" i="515" s="1"/>
  <c r="Q15" i="515"/>
  <c r="E2" i="515"/>
  <c r="D14" i="514"/>
  <c r="H6" i="2"/>
  <c r="F6" i="2"/>
  <c r="F6" i="502"/>
  <c r="H6" i="502"/>
  <c r="H6" i="504"/>
  <c r="F6" i="504"/>
  <c r="R48" i="517"/>
  <c r="S38" i="517" s="1"/>
  <c r="O58" i="517"/>
  <c r="G14" i="516"/>
  <c r="Q15" i="521"/>
  <c r="F15" i="494"/>
  <c r="F6" i="486"/>
  <c r="R69" i="491"/>
  <c r="S59" i="491" s="1"/>
  <c r="I14" i="490"/>
  <c r="J7" i="506"/>
  <c r="J8" i="506" s="1"/>
  <c r="I15" i="506"/>
  <c r="D15" i="473"/>
  <c r="E2" i="485"/>
  <c r="D14" i="484"/>
  <c r="R15" i="485"/>
  <c r="S5" i="485" s="1"/>
  <c r="Q15" i="485"/>
  <c r="D15" i="477"/>
  <c r="G14" i="498"/>
  <c r="G15" i="498" s="1"/>
  <c r="R48" i="499"/>
  <c r="S38" i="499" s="1"/>
  <c r="H14" i="477"/>
  <c r="H15" i="477" s="1"/>
  <c r="H14" i="475"/>
  <c r="H15" i="475" s="1"/>
  <c r="H14" i="471"/>
  <c r="H15" i="471" s="1"/>
  <c r="H14" i="479"/>
  <c r="H15" i="479" s="1"/>
  <c r="H14" i="473"/>
  <c r="H15" i="473" s="1"/>
  <c r="H14" i="469"/>
  <c r="H15" i="469" s="1"/>
  <c r="H14" i="467"/>
  <c r="H15" i="467" s="1"/>
  <c r="R58" i="3"/>
  <c r="S49" i="3" s="1"/>
  <c r="H14" i="2"/>
  <c r="H15" i="2" s="1"/>
  <c r="R48" i="503"/>
  <c r="S38" i="503" s="1"/>
  <c r="G14" i="502"/>
  <c r="G15" i="502" s="1"/>
  <c r="R15" i="478"/>
  <c r="S5" i="478" s="1"/>
  <c r="Q15" i="478"/>
  <c r="E2" i="478"/>
  <c r="R15" i="519"/>
  <c r="S5" i="519" s="1"/>
  <c r="Q15" i="519"/>
  <c r="E2" i="519"/>
  <c r="D14" i="518"/>
  <c r="J15" i="477"/>
  <c r="J15" i="479"/>
  <c r="J15" i="475"/>
  <c r="J15" i="471"/>
  <c r="J15" i="473"/>
  <c r="J15" i="469"/>
  <c r="J15" i="467"/>
  <c r="J15" i="2"/>
  <c r="R37" i="495"/>
  <c r="S27" i="495" s="1"/>
  <c r="H14" i="504"/>
  <c r="H15" i="504" s="1"/>
  <c r="R58" i="505"/>
  <c r="S49" i="505" s="1"/>
  <c r="R48" i="489"/>
  <c r="S38" i="489" s="1"/>
  <c r="G14" i="488"/>
  <c r="G15" i="488" s="1"/>
  <c r="R48" i="515"/>
  <c r="S38" i="515" s="1"/>
  <c r="G14" i="514"/>
  <c r="G15" i="514" s="1"/>
  <c r="D15" i="2"/>
  <c r="E14" i="490"/>
  <c r="E15" i="490" s="1"/>
  <c r="Q26" i="491"/>
  <c r="R26" i="491"/>
  <c r="S16" i="491" s="1"/>
  <c r="Q15" i="511"/>
  <c r="R15" i="511"/>
  <c r="S5" i="511" s="1"/>
  <c r="E2" i="511"/>
  <c r="D14" i="510"/>
  <c r="Q26" i="485"/>
  <c r="E14" i="484"/>
  <c r="E15" i="484" s="1"/>
  <c r="R26" i="485"/>
  <c r="S16" i="485" s="1"/>
  <c r="I14" i="477"/>
  <c r="I14" i="475"/>
  <c r="I14" i="479"/>
  <c r="I14" i="469"/>
  <c r="I14" i="471"/>
  <c r="I14" i="467"/>
  <c r="I14" i="473"/>
  <c r="R69" i="3"/>
  <c r="S59" i="3" s="1"/>
  <c r="I14" i="2"/>
  <c r="R58" i="499"/>
  <c r="S49" i="499" s="1"/>
  <c r="H14" i="498"/>
  <c r="H15" i="498" s="1"/>
  <c r="I14" i="482"/>
  <c r="R69" i="483"/>
  <c r="S59" i="483" s="1"/>
  <c r="R26" i="470"/>
  <c r="S16" i="470" s="1"/>
  <c r="Q26" i="470"/>
  <c r="H6" i="482"/>
  <c r="F6" i="482"/>
  <c r="F6" i="498"/>
  <c r="H6" i="498"/>
  <c r="E2" i="468"/>
  <c r="Q15" i="468"/>
  <c r="R15" i="468"/>
  <c r="S5" i="468" s="1"/>
  <c r="G13" i="516"/>
  <c r="L58" i="517"/>
  <c r="H13" i="516" s="1"/>
  <c r="R58" i="487"/>
  <c r="S49" i="487" s="1"/>
  <c r="H7" i="508"/>
  <c r="H8" i="508" s="1"/>
  <c r="F7" i="508"/>
  <c r="F8" i="508" s="1"/>
  <c r="D15" i="508"/>
  <c r="R48" i="507"/>
  <c r="S38" i="507" s="1"/>
  <c r="G14" i="506"/>
  <c r="G15" i="506" s="1"/>
  <c r="E2" i="472"/>
  <c r="Q15" i="472"/>
  <c r="R15" i="472"/>
  <c r="S5" i="472" s="1"/>
  <c r="R69" i="495"/>
  <c r="S59" i="495" s="1"/>
  <c r="I14" i="494"/>
  <c r="R37" i="487"/>
  <c r="S27" i="487" s="1"/>
  <c r="F14" i="486"/>
  <c r="F15" i="486" s="1"/>
  <c r="R15" i="493"/>
  <c r="S5" i="493" s="1"/>
  <c r="D14" i="492"/>
  <c r="E2" i="493"/>
  <c r="Q15" i="493"/>
  <c r="Q26" i="472"/>
  <c r="R26" i="472"/>
  <c r="S16" i="472" s="1"/>
  <c r="R37" i="517"/>
  <c r="S27" i="517" s="1"/>
  <c r="F14" i="516"/>
  <c r="F15" i="516" s="1"/>
  <c r="R26" i="478"/>
  <c r="S16" i="478" s="1"/>
  <c r="Q26" i="478"/>
  <c r="R58" i="495"/>
  <c r="S49" i="495" s="1"/>
  <c r="H14" i="494"/>
  <c r="H15" i="494" s="1"/>
  <c r="Q15" i="474"/>
  <c r="R15" i="474"/>
  <c r="S5" i="474" s="1"/>
  <c r="E2" i="474"/>
  <c r="H14" i="482"/>
  <c r="H15" i="482" s="1"/>
  <c r="R58" i="483"/>
  <c r="S49" i="483" s="1"/>
  <c r="F6" i="471"/>
  <c r="H6" i="471"/>
  <c r="E2" i="470"/>
  <c r="R37" i="511"/>
  <c r="S27" i="511" s="1"/>
  <c r="F14" i="510"/>
  <c r="F15" i="510" s="1"/>
  <c r="H15" i="486"/>
  <c r="E2" i="509"/>
  <c r="F7" i="479"/>
  <c r="D15" i="479"/>
  <c r="J14" i="500"/>
  <c r="R79" i="501"/>
  <c r="S70" i="501" s="1"/>
  <c r="J15" i="500" s="1"/>
  <c r="G14" i="482"/>
  <c r="G15" i="482" s="1"/>
  <c r="R48" i="483"/>
  <c r="S38" i="483" s="1"/>
  <c r="R15" i="503"/>
  <c r="S5" i="503" s="1"/>
  <c r="E2" i="503"/>
  <c r="D14" i="502"/>
  <c r="Q15" i="503"/>
  <c r="E2" i="513"/>
  <c r="D14" i="512"/>
  <c r="R15" i="513"/>
  <c r="S5" i="513" s="1"/>
  <c r="Q15" i="513"/>
  <c r="J14" i="490"/>
  <c r="R79" i="491"/>
  <c r="S70" i="491" s="1"/>
  <c r="J15" i="490" s="1"/>
  <c r="F6" i="500"/>
  <c r="H6" i="500"/>
  <c r="R37" i="503"/>
  <c r="S27" i="503" s="1"/>
  <c r="F14" i="502"/>
  <c r="F15" i="502" s="1"/>
  <c r="F6" i="484"/>
  <c r="H6" i="484"/>
  <c r="J7" i="512"/>
  <c r="J8" i="512" s="1"/>
  <c r="I15" i="512"/>
  <c r="F14" i="488"/>
  <c r="F15" i="488" s="1"/>
  <c r="R37" i="489"/>
  <c r="S27" i="489" s="1"/>
  <c r="R26" i="495"/>
  <c r="S16" i="495" s="1"/>
  <c r="E14" i="494"/>
  <c r="E15" i="494" s="1"/>
  <c r="Q26" i="495"/>
  <c r="R69" i="521"/>
  <c r="S59" i="521" s="1"/>
  <c r="I14" i="520"/>
  <c r="R69" i="501"/>
  <c r="S59" i="501" s="1"/>
  <c r="I14" i="500"/>
  <c r="H6" i="488"/>
  <c r="F6" i="488"/>
  <c r="E15" i="502"/>
  <c r="H6" i="496"/>
  <c r="E15" i="482"/>
  <c r="R26" i="501"/>
  <c r="S16" i="501" s="1"/>
  <c r="Q26" i="501"/>
  <c r="E14" i="500"/>
  <c r="E15" i="500" s="1"/>
  <c r="Q26" i="503"/>
  <c r="R58" i="511"/>
  <c r="S49" i="511" s="1"/>
  <c r="H14" i="510"/>
  <c r="H15" i="510" s="1"/>
  <c r="R26" i="474"/>
  <c r="S16" i="474" s="1"/>
  <c r="Q26" i="474"/>
  <c r="Q26" i="507"/>
  <c r="E14" i="506"/>
  <c r="E15" i="506" s="1"/>
  <c r="R26" i="507"/>
  <c r="S16" i="507" s="1"/>
  <c r="Q15" i="507"/>
  <c r="R15" i="507"/>
  <c r="S5" i="507" s="1"/>
  <c r="D14" i="506"/>
  <c r="E2" i="507"/>
  <c r="H6" i="473"/>
  <c r="F6" i="473"/>
  <c r="R48" i="511"/>
  <c r="S38" i="511" s="1"/>
  <c r="G14" i="510"/>
  <c r="G15" i="510" s="1"/>
  <c r="Q26" i="483"/>
  <c r="R26" i="503"/>
  <c r="S16" i="503" s="1"/>
  <c r="R26" i="468"/>
  <c r="S16" i="468" s="1"/>
  <c r="Q26" i="468"/>
  <c r="I14" i="516"/>
  <c r="R69" i="517"/>
  <c r="S59" i="517" s="1"/>
  <c r="R58" i="519"/>
  <c r="S49" i="519" s="1"/>
  <c r="H14" i="518"/>
  <c r="H15" i="518" s="1"/>
  <c r="I15" i="504"/>
  <c r="J7" i="504"/>
  <c r="J8" i="504" s="1"/>
  <c r="R58" i="491"/>
  <c r="S49" i="491" s="1"/>
  <c r="H14" i="490"/>
  <c r="H15" i="490" s="1"/>
  <c r="H14" i="488"/>
  <c r="H15" i="488" s="1"/>
  <c r="R58" i="489"/>
  <c r="S49" i="489" s="1"/>
  <c r="R37" i="501"/>
  <c r="S27" i="501" s="1"/>
  <c r="F14" i="500"/>
  <c r="F15" i="500" s="1"/>
  <c r="R58" i="493"/>
  <c r="S49" i="493" s="1"/>
  <c r="H14" i="492"/>
  <c r="H15" i="492" s="1"/>
  <c r="R69" i="487"/>
  <c r="S59" i="487" s="1"/>
  <c r="I14" i="486"/>
  <c r="R15" i="505"/>
  <c r="S5" i="505" s="1"/>
  <c r="E2" i="505"/>
  <c r="Q15" i="505"/>
  <c r="D14" i="504"/>
  <c r="F6" i="479"/>
  <c r="H6" i="479"/>
  <c r="E2" i="501"/>
  <c r="Q15" i="501"/>
  <c r="R15" i="501"/>
  <c r="S5" i="501" s="1"/>
  <c r="D14" i="500"/>
  <c r="H6" i="520"/>
  <c r="F6" i="520"/>
  <c r="R26" i="483"/>
  <c r="S16" i="483" s="1"/>
  <c r="R37" i="515"/>
  <c r="S27" i="515" s="1"/>
  <c r="F14" i="514"/>
  <c r="F15" i="514" s="1"/>
  <c r="H6" i="467"/>
  <c r="F6" i="467"/>
  <c r="I14" i="492"/>
  <c r="R69" i="493"/>
  <c r="S59" i="493" s="1"/>
  <c r="I15" i="502"/>
  <c r="J7" i="502"/>
  <c r="J8" i="502" s="1"/>
  <c r="D15" i="467"/>
  <c r="I14" i="518"/>
  <c r="R69" i="519"/>
  <c r="S59" i="519" s="1"/>
  <c r="R69" i="511"/>
  <c r="S59" i="511" s="1"/>
  <c r="I14" i="510"/>
  <c r="E14" i="477"/>
  <c r="E15" i="477" s="1"/>
  <c r="E14" i="479"/>
  <c r="E15" i="479" s="1"/>
  <c r="E14" i="475"/>
  <c r="E15" i="475" s="1"/>
  <c r="E14" i="473"/>
  <c r="E15" i="473" s="1"/>
  <c r="E14" i="471"/>
  <c r="E15" i="471" s="1"/>
  <c r="E14" i="469"/>
  <c r="E15" i="469" s="1"/>
  <c r="E14" i="467"/>
  <c r="E15" i="467" s="1"/>
  <c r="R26" i="3"/>
  <c r="S16" i="3" s="1"/>
  <c r="Q26" i="3"/>
  <c r="E14" i="2"/>
  <c r="E15" i="2" s="1"/>
  <c r="D15" i="469"/>
  <c r="F7" i="469"/>
  <c r="H7" i="469"/>
  <c r="R48" i="491"/>
  <c r="S38" i="491" s="1"/>
  <c r="G14" i="490"/>
  <c r="G15" i="490" s="1"/>
  <c r="H7" i="482"/>
  <c r="H8" i="482" s="1"/>
  <c r="F7" i="482"/>
  <c r="D15" i="482"/>
  <c r="R48" i="487"/>
  <c r="S38" i="487" s="1"/>
  <c r="G14" i="486"/>
  <c r="G15" i="486" s="1"/>
  <c r="R26" i="521"/>
  <c r="S16" i="521" s="1"/>
  <c r="Q26" i="521"/>
  <c r="E14" i="520"/>
  <c r="E15" i="520" s="1"/>
  <c r="R58" i="485"/>
  <c r="S49" i="485" s="1"/>
  <c r="H14" i="484"/>
  <c r="H15" i="484" s="1"/>
  <c r="E2" i="517"/>
  <c r="R15" i="517"/>
  <c r="S5" i="517" s="1"/>
  <c r="D14" i="516"/>
  <c r="Q15" i="517"/>
  <c r="F14" i="473"/>
  <c r="F15" i="473" s="1"/>
  <c r="F14" i="475"/>
  <c r="F15" i="475" s="1"/>
  <c r="F14" i="479"/>
  <c r="F15" i="479" s="1"/>
  <c r="F14" i="469"/>
  <c r="F15" i="469" s="1"/>
  <c r="F14" i="471"/>
  <c r="F15" i="471" s="1"/>
  <c r="F14" i="477"/>
  <c r="F15" i="477" s="1"/>
  <c r="F14" i="467"/>
  <c r="F15" i="467" s="1"/>
  <c r="F14" i="2"/>
  <c r="F15" i="2" s="1"/>
  <c r="R37" i="3"/>
  <c r="S27" i="3" s="1"/>
  <c r="F14" i="504"/>
  <c r="F15" i="504" s="1"/>
  <c r="R37" i="505"/>
  <c r="S27" i="505" s="1"/>
  <c r="E14" i="488"/>
  <c r="E15" i="488" s="1"/>
  <c r="R26" i="489"/>
  <c r="S16" i="489" s="1"/>
  <c r="Q26" i="489"/>
  <c r="H7" i="471"/>
  <c r="F7" i="471"/>
  <c r="D15" i="471"/>
  <c r="R69" i="497"/>
  <c r="S59" i="497" s="1"/>
  <c r="I14" i="496"/>
  <c r="R69" i="499"/>
  <c r="S59" i="499" s="1"/>
  <c r="I14" i="498"/>
  <c r="R48" i="501"/>
  <c r="S38" i="501" s="1"/>
  <c r="G14" i="500"/>
  <c r="G15" i="500" s="1"/>
  <c r="F14" i="518"/>
  <c r="F15" i="518" s="1"/>
  <c r="R37" i="519"/>
  <c r="S27" i="519" s="1"/>
  <c r="I14" i="488"/>
  <c r="R69" i="489"/>
  <c r="S59" i="489" s="1"/>
  <c r="Q15" i="489"/>
  <c r="D14" i="496"/>
  <c r="R15" i="497"/>
  <c r="S5" i="497" s="1"/>
  <c r="Q15" i="497"/>
  <c r="E2" i="497"/>
  <c r="H6" i="475"/>
  <c r="F6" i="475"/>
  <c r="R58" i="513"/>
  <c r="S49" i="513" s="1"/>
  <c r="H14" i="512"/>
  <c r="H15" i="512" s="1"/>
  <c r="F6" i="492"/>
  <c r="Q15" i="495"/>
  <c r="D14" i="494"/>
  <c r="E2" i="495"/>
  <c r="R15" i="495"/>
  <c r="S5" i="495" s="1"/>
  <c r="R58" i="521"/>
  <c r="S49" i="521" s="1"/>
  <c r="H14" i="520"/>
  <c r="H15" i="520" s="1"/>
  <c r="R15" i="480"/>
  <c r="S5" i="480" s="1"/>
  <c r="Q15" i="480"/>
  <c r="E2" i="480"/>
  <c r="J7" i="488" l="1"/>
  <c r="J8" i="488" s="1"/>
  <c r="I15" i="488"/>
  <c r="H8" i="520"/>
  <c r="F6" i="516"/>
  <c r="H6" i="516"/>
  <c r="H7" i="477"/>
  <c r="D15" i="514"/>
  <c r="H7" i="514"/>
  <c r="H8" i="514" s="1"/>
  <c r="F7" i="514"/>
  <c r="F8" i="514" s="1"/>
  <c r="D15" i="490"/>
  <c r="H7" i="490"/>
  <c r="H8" i="490" s="1"/>
  <c r="F7" i="490"/>
  <c r="F8" i="490" s="1"/>
  <c r="J7" i="508"/>
  <c r="J8" i="508" s="1"/>
  <c r="I15" i="508"/>
  <c r="J7" i="484"/>
  <c r="J8" i="484" s="1"/>
  <c r="I15" i="484"/>
  <c r="D15" i="504"/>
  <c r="H7" i="504"/>
  <c r="H8" i="504" s="1"/>
  <c r="F7" i="504"/>
  <c r="F8" i="504" s="1"/>
  <c r="F7" i="477"/>
  <c r="H7" i="475"/>
  <c r="J7" i="518"/>
  <c r="J8" i="518" s="1"/>
  <c r="I15" i="518"/>
  <c r="J7" i="494"/>
  <c r="J8" i="494" s="1"/>
  <c r="I15" i="494"/>
  <c r="I15" i="498"/>
  <c r="J7" i="498"/>
  <c r="J8" i="498" s="1"/>
  <c r="F7" i="467"/>
  <c r="F7" i="512"/>
  <c r="F8" i="512" s="1"/>
  <c r="H7" i="512"/>
  <c r="H8" i="512" s="1"/>
  <c r="D15" i="512"/>
  <c r="J7" i="469"/>
  <c r="I15" i="469"/>
  <c r="J8" i="469" s="1"/>
  <c r="I15" i="473"/>
  <c r="J8" i="473" s="1"/>
  <c r="J7" i="473"/>
  <c r="J7" i="490"/>
  <c r="J8" i="490" s="1"/>
  <c r="I15" i="490"/>
  <c r="H8" i="475"/>
  <c r="F8" i="475"/>
  <c r="J7" i="467"/>
  <c r="I15" i="467"/>
  <c r="J8" i="467" s="1"/>
  <c r="J7" i="471"/>
  <c r="I15" i="471"/>
  <c r="J8" i="471" s="1"/>
  <c r="F8" i="469"/>
  <c r="H8" i="469"/>
  <c r="I15" i="482"/>
  <c r="J7" i="482"/>
  <c r="J8" i="482" s="1"/>
  <c r="H7" i="467"/>
  <c r="I15" i="479"/>
  <c r="J8" i="479" s="1"/>
  <c r="J7" i="479"/>
  <c r="F6" i="490"/>
  <c r="J7" i="510"/>
  <c r="J8" i="510" s="1"/>
  <c r="I15" i="510"/>
  <c r="H8" i="477"/>
  <c r="F8" i="477"/>
  <c r="J7" i="496"/>
  <c r="J8" i="496" s="1"/>
  <c r="I15" i="496"/>
  <c r="H8" i="467"/>
  <c r="F8" i="467"/>
  <c r="J7" i="486"/>
  <c r="J8" i="486" s="1"/>
  <c r="I15" i="486"/>
  <c r="I15" i="475"/>
  <c r="J8" i="475" s="1"/>
  <c r="J7" i="475"/>
  <c r="F7" i="2"/>
  <c r="D15" i="484"/>
  <c r="H7" i="484"/>
  <c r="H8" i="484" s="1"/>
  <c r="F7" i="484"/>
  <c r="F8" i="484" s="1"/>
  <c r="G15" i="516"/>
  <c r="H6" i="490"/>
  <c r="R58" i="517"/>
  <c r="S49" i="517" s="1"/>
  <c r="H14" i="516"/>
  <c r="H15" i="516" s="1"/>
  <c r="F7" i="488"/>
  <c r="F8" i="488" s="1"/>
  <c r="J7" i="477"/>
  <c r="I15" i="477"/>
  <c r="J8" i="477" s="1"/>
  <c r="H8" i="2"/>
  <c r="F8" i="2"/>
  <c r="D15" i="496"/>
  <c r="H7" i="496"/>
  <c r="H8" i="496" s="1"/>
  <c r="F7" i="496"/>
  <c r="F8" i="496" s="1"/>
  <c r="F7" i="516"/>
  <c r="F8" i="516" s="1"/>
  <c r="D15" i="516"/>
  <c r="D15" i="500"/>
  <c r="F7" i="500"/>
  <c r="F8" i="500" s="1"/>
  <c r="H7" i="500"/>
  <c r="H8" i="500" s="1"/>
  <c r="H7" i="2"/>
  <c r="H8" i="473"/>
  <c r="F8" i="473"/>
  <c r="J7" i="514"/>
  <c r="J8" i="514" s="1"/>
  <c r="I15" i="514"/>
  <c r="H7" i="498"/>
  <c r="H8" i="498" s="1"/>
  <c r="D15" i="498"/>
  <c r="F7" i="498"/>
  <c r="F8" i="498" s="1"/>
  <c r="J7" i="500"/>
  <c r="J8" i="500" s="1"/>
  <c r="I15" i="500"/>
  <c r="D15" i="502"/>
  <c r="H7" i="502"/>
  <c r="H8" i="502" s="1"/>
  <c r="F7" i="502"/>
  <c r="F8" i="502" s="1"/>
  <c r="I15" i="520"/>
  <c r="J7" i="520"/>
  <c r="J8" i="520" s="1"/>
  <c r="F7" i="473"/>
  <c r="H7" i="486"/>
  <c r="H8" i="486" s="1"/>
  <c r="F7" i="486"/>
  <c r="F8" i="486" s="1"/>
  <c r="D15" i="486"/>
  <c r="H7" i="488"/>
  <c r="H8" i="488" s="1"/>
  <c r="I15" i="2"/>
  <c r="J8" i="2" s="1"/>
  <c r="J7" i="2"/>
  <c r="H7" i="494"/>
  <c r="H8" i="494" s="1"/>
  <c r="F7" i="494"/>
  <c r="F8" i="494" s="1"/>
  <c r="D15" i="494"/>
  <c r="F8" i="471"/>
  <c r="H8" i="471"/>
  <c r="F8" i="482"/>
  <c r="I15" i="492"/>
  <c r="J7" i="492"/>
  <c r="J8" i="492" s="1"/>
  <c r="D15" i="506"/>
  <c r="H7" i="506"/>
  <c r="H8" i="506" s="1"/>
  <c r="F7" i="506"/>
  <c r="F8" i="506" s="1"/>
  <c r="H8" i="479"/>
  <c r="F8" i="479"/>
  <c r="H7" i="473"/>
  <c r="D15" i="510"/>
  <c r="H7" i="510"/>
  <c r="H8" i="510" s="1"/>
  <c r="F7" i="510"/>
  <c r="F8" i="510" s="1"/>
  <c r="F7" i="492"/>
  <c r="F8" i="492" s="1"/>
  <c r="H7" i="492"/>
  <c r="H8" i="492" s="1"/>
  <c r="D15" i="492"/>
  <c r="I15" i="516"/>
  <c r="J7" i="516"/>
  <c r="J8" i="516" s="1"/>
  <c r="H7" i="479"/>
  <c r="H7" i="518"/>
  <c r="H8" i="518" s="1"/>
  <c r="D15" i="518"/>
  <c r="F7" i="518"/>
  <c r="F8" i="518" s="1"/>
  <c r="F7" i="475"/>
  <c r="F7" i="520"/>
  <c r="F8" i="520" s="1"/>
  <c r="H7" i="516" l="1"/>
  <c r="H8" i="516" s="1"/>
</calcChain>
</file>

<file path=xl/sharedStrings.xml><?xml version="1.0" encoding="utf-8"?>
<sst xmlns="http://schemas.openxmlformats.org/spreadsheetml/2006/main" count="6083" uniqueCount="267">
  <si>
    <t xml:space="preserve">長家廠4度C日報分析                              </t>
  </si>
  <si>
    <t>總生產量</t>
  </si>
  <si>
    <t>營業額</t>
  </si>
  <si>
    <t>出勤人數</t>
  </si>
  <si>
    <t>產線配置圖</t>
  </si>
  <si>
    <t>生產實績</t>
  </si>
  <si>
    <t>人時性差異分析</t>
  </si>
  <si>
    <t>日報登錄</t>
  </si>
  <si>
    <t>合計
次數</t>
  </si>
  <si>
    <t>合計
時間/分</t>
  </si>
  <si>
    <t>分析說明</t>
  </si>
  <si>
    <t>合計
設備次數</t>
  </si>
  <si>
    <t>產能差異分析</t>
  </si>
  <si>
    <t>12月24日  星期三</t>
  </si>
  <si>
    <t>人時性</t>
  </si>
  <si>
    <t>平均廠價</t>
  </si>
  <si>
    <t>多次生產數</t>
  </si>
  <si>
    <t>線別</t>
  </si>
  <si>
    <t>品類</t>
  </si>
  <si>
    <t>品名</t>
  </si>
  <si>
    <t>廠價</t>
  </si>
  <si>
    <t>生產量</t>
  </si>
  <si>
    <t>營收</t>
  </si>
  <si>
    <t>多次
生產</t>
  </si>
  <si>
    <t>人數</t>
  </si>
  <si>
    <t>產能/時</t>
  </si>
  <si>
    <t>達成率</t>
  </si>
  <si>
    <t>達成率平均</t>
  </si>
  <si>
    <t>生產時間</t>
  </si>
  <si>
    <t>前置、換線時間/分</t>
  </si>
  <si>
    <t>稼動時間/分</t>
  </si>
  <si>
    <t>休息時間</t>
  </si>
  <si>
    <t>產線異常統計
(5分鐘以上)</t>
  </si>
  <si>
    <t>短暫停線統計
(5分鐘以下)</t>
  </si>
  <si>
    <t>開始</t>
  </si>
  <si>
    <t>結束</t>
  </si>
  <si>
    <t>次數</t>
  </si>
  <si>
    <t>時間/分</t>
  </si>
  <si>
    <t>總次數</t>
  </si>
  <si>
    <t>設備因素(次數)</t>
  </si>
  <si>
    <t>自動一線
(ET-600)</t>
  </si>
  <si>
    <t>4度一組</t>
  </si>
  <si>
    <t>平均</t>
  </si>
  <si>
    <t>自動二線
(ET-600)</t>
  </si>
  <si>
    <t xml:space="preserve">4度二組A
</t>
  </si>
  <si>
    <t>手工三線
(ET-55)</t>
  </si>
  <si>
    <t xml:space="preserve"> </t>
  </si>
  <si>
    <t xml:space="preserve">
4度二組B
</t>
  </si>
  <si>
    <t>手工四線
(ET-55)</t>
  </si>
  <si>
    <t xml:space="preserve">
4度二組C1
</t>
  </si>
  <si>
    <t>手工五線
(ET-55)</t>
  </si>
  <si>
    <t xml:space="preserve">
4度二組C2
</t>
  </si>
  <si>
    <t>調理包一線
(八爪機)</t>
  </si>
  <si>
    <t xml:space="preserve">               </t>
  </si>
  <si>
    <t xml:space="preserve">
4度三組
</t>
  </si>
  <si>
    <t>調理包二線
(手工)</t>
  </si>
  <si>
    <t xml:space="preserve">
4度四組
</t>
  </si>
  <si>
    <t>1.當日出勤人數較多</t>
  </si>
  <si>
    <t>2.當日出勤人數較少</t>
  </si>
  <si>
    <t>3.當日出勤熟手較少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</si>
  <si>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</si>
  <si>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</si>
  <si>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</si>
  <si>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</si>
  <si>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</si>
  <si>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</si>
  <si>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</si>
  <si>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</si>
  <si>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</si>
  <si>
    <t>13.區域出貨，分段生產</t>
  </si>
  <si>
    <t>長家廠組合室生產人時性分析</t>
  </si>
  <si>
    <t>日期</t>
  </si>
  <si>
    <t>訂單量</t>
  </si>
  <si>
    <t>項目</t>
  </si>
  <si>
    <t>➀</t>
  </si>
  <si>
    <t>➁</t>
  </si>
  <si>
    <t>③</t>
  </si>
  <si>
    <t>異常停線</t>
  </si>
  <si>
    <t>短暫停線</t>
  </si>
  <si>
    <t>組合室</t>
  </si>
  <si>
    <t>全溫層</t>
  </si>
  <si>
    <t>義大利麵</t>
  </si>
  <si>
    <t>袋裝小吃、義麵</t>
  </si>
  <si>
    <t>合計次數</t>
  </si>
  <si>
    <t>時間</t>
  </si>
  <si>
    <t>設備次數</t>
  </si>
  <si>
    <t>排關平均</t>
  </si>
  <si>
    <t>實績平均</t>
  </si>
  <si>
    <t>※現行日本鮮食廠以達成率80%為基本(即為現行KPI)</t>
  </si>
  <si>
    <t>溫層</t>
  </si>
  <si>
    <t>4度C-各編組展開</t>
  </si>
  <si>
    <t>編組</t>
  </si>
  <si>
    <t>自動1線</t>
  </si>
  <si>
    <t>自動2線</t>
  </si>
  <si>
    <t>手工3線</t>
  </si>
  <si>
    <t>手工4線</t>
  </si>
  <si>
    <t>手工5線</t>
  </si>
  <si>
    <t>調理包1線</t>
  </si>
  <si>
    <t>調理包2線</t>
  </si>
  <si>
    <t>排關</t>
  </si>
  <si>
    <t>實績</t>
  </si>
  <si>
    <t>作業
時間</t>
  </si>
  <si>
    <t>產線異常
(5分鐘以上)</t>
  </si>
  <si>
    <t>短暫停線
(5分鐘以下)</t>
  </si>
  <si>
    <t>配置人數</t>
  </si>
  <si>
    <t>主要應用設備</t>
  </si>
  <si>
    <t>ET-600</t>
  </si>
  <si>
    <t>ET-55</t>
  </si>
  <si>
    <t>八爪機</t>
  </si>
  <si>
    <t>次要應用設備</t>
  </si>
  <si>
    <t>封口機</t>
  </si>
  <si>
    <t>備註</t>
  </si>
  <si>
    <t>05月01日  星期五</t>
  </si>
  <si>
    <t>白酒清炒鮮蛤義大利麵</t>
  </si>
  <si>
    <t>奶油培根義大利麵</t>
  </si>
  <si>
    <t>香煎魚排佐檸檬奶油義大利麵</t>
  </si>
  <si>
    <t>青醬蛤蜊義大利麵</t>
  </si>
  <si>
    <t>義式辣味嫩烤雞腿排義大利麵</t>
  </si>
  <si>
    <t>義式蕃茄起司義大利麵</t>
  </si>
  <si>
    <t>焗烤起司肉醬筆尖麵</t>
  </si>
  <si>
    <t>(07:00-07:35/07:45-07:58)製作1659盒、665盒封膜異常</t>
  </si>
  <si>
    <t>黑松露野菇義大利麵</t>
  </si>
  <si>
    <t>補封膜665盒</t>
  </si>
  <si>
    <t>熱乾麵</t>
  </si>
  <si>
    <t>府城鹽水意麵</t>
  </si>
  <si>
    <t>生產數量少</t>
  </si>
  <si>
    <t>青花椒麻雞肉拌麵</t>
  </si>
  <si>
    <t>沙茶豬肉炒麵</t>
  </si>
  <si>
    <t>蒜香奶油蝦蝦義大利麵</t>
  </si>
  <si>
    <t>焗烤起司雙饗筆尖麵</t>
  </si>
  <si>
    <t>小吃、微波</t>
  </si>
  <si>
    <t>小滷青蔬</t>
  </si>
  <si>
    <t>起司馬鈴薯</t>
  </si>
  <si>
    <t>05月02日  星期六</t>
  </si>
  <si>
    <t>7:05-7:15包裝機異常</t>
  </si>
  <si>
    <t>8:40-8:45包裝機異常，收72盒</t>
  </si>
  <si>
    <t>9:20-9:52包裝機異常，收381盒</t>
  </si>
  <si>
    <t>381盒補封膜</t>
  </si>
  <si>
    <t/>
  </si>
  <si>
    <t>05月03日  星期日</t>
  </si>
  <si>
    <t>生產數量少/協助四線補足DC出貨量(因早上煮麵機稼動量不足)</t>
  </si>
  <si>
    <t>8:25-9:20封膜異常/10:45-11:05補封膜360盒</t>
  </si>
  <si>
    <t>05月04日  星期一</t>
  </si>
  <si>
    <t>10:54-11:04單邊注醬(注醬機漏黑油)</t>
  </si>
  <si>
    <t>13:35-13:55拆膜重封78盒</t>
  </si>
  <si>
    <t>整條德式香腸義大利麵</t>
  </si>
  <si>
    <t>新品上市、10:16-10:27 休息</t>
  </si>
  <si>
    <t>15:00-15:08  休息、半成品回秤</t>
  </si>
  <si>
    <t>11:18-11:20封膜機異常,停線</t>
  </si>
  <si>
    <t>第一日製作此商品，設備不熟悉</t>
  </si>
  <si>
    <t>05月06日  星期三</t>
  </si>
  <si>
    <t>封膜機頻繁異常，無法記錄時間斷點</t>
  </si>
  <si>
    <t>手抓麵+塗抹機作業</t>
  </si>
  <si>
    <t>包裝機故障，手動放入封口機</t>
  </si>
  <si>
    <t xml:space="preserve"> 支援製作，香煎魚排手工挖醬</t>
  </si>
  <si>
    <t>產線合併(緊急狀況應變)，二線使用手工線封口</t>
  </si>
  <si>
    <t>15:45-16:15封膜異常，收500盒</t>
  </si>
  <si>
    <t>16:51-17:20補封膜</t>
  </si>
  <si>
    <t>整條德腸與香煎魚排的封口模具使用不同機台，固時間有所重疊</t>
  </si>
  <si>
    <t>09:17-09:30熱轉印異常，收146盒</t>
  </si>
  <si>
    <t>12:15-12:35封膜異常，收370盒</t>
  </si>
  <si>
    <t>08:50-08:58封膜異常，收73盒</t>
  </si>
  <si>
    <t>第二日製作此商品，設備不熟悉</t>
  </si>
  <si>
    <t>05月07日  星期四</t>
  </si>
  <si>
    <t>7:00-7:30異常無法排除、手工線</t>
  </si>
  <si>
    <t>手工線</t>
  </si>
  <si>
    <t>10:18-10:25停線上廁所</t>
  </si>
  <si>
    <t>實際製作1516(收576盒)/08:15-08:46(工務替換斷裂零件，需待耗材)封膜異常</t>
  </si>
  <si>
    <t>09:47-9:48封膜異常</t>
  </si>
  <si>
    <t>15:00-15:45封口異常(封口時間拉長，改0.7秒)</t>
  </si>
  <si>
    <t>設備不熟悉</t>
  </si>
  <si>
    <t>05月08日  星期五</t>
  </si>
  <si>
    <t>08:49-08:51熱轉印異常</t>
  </si>
  <si>
    <t>10:17-10:25停線休息</t>
  </si>
  <si>
    <t>13:04-13:11封口機收料異常</t>
  </si>
  <si>
    <t>05月09日  星期六</t>
  </si>
  <si>
    <t>9:30-10:45封膜異常，收籃130盒(重工)</t>
  </si>
  <si>
    <t>05月10日  星期日</t>
  </si>
  <si>
    <t>10:45-10:52、11:17-11:24 熱轉印異常</t>
  </si>
  <si>
    <t>16:00-17:00熱轉印頻繁異常，無紀錄時間斷點</t>
  </si>
  <si>
    <t>10:30-10:40、11:16-11:20L型封膜異常</t>
  </si>
  <si>
    <t>上午支援各線</t>
  </si>
  <si>
    <t>05月11日  星期一</t>
  </si>
  <si>
    <t>14:09-14:19玉取機停麵</t>
  </si>
  <si>
    <t>09:50-10:10半成品規格確認</t>
  </si>
  <si>
    <t>13:50-14:00熱轉印異常</t>
  </si>
  <si>
    <t>14:50-15:15試產、生產數量少</t>
  </si>
  <si>
    <t>13:20-13:40試產</t>
  </si>
  <si>
    <t>05月12日  星期二</t>
  </si>
  <si>
    <t>11:00煮麵機、玉取機無冰水，停止煮麵改手抓麵</t>
  </si>
  <si>
    <r>
      <rPr>
        <sz val="12"/>
        <rFont val="Microsoft JhengHei"/>
        <family val="2"/>
        <charset val="136"/>
      </rPr>
      <t>異常原因-</t>
    </r>
    <r>
      <rPr>
        <sz val="12"/>
        <rFont val="微軟正黑體"/>
        <family val="2"/>
        <charset val="136"/>
      </rPr>
      <t>軟水泵故障</t>
    </r>
  </si>
  <si>
    <t>13:43-13:46、13:59-14:18待麵</t>
  </si>
  <si>
    <t>上午將黑松露野菇(凌晨)煮好的1.6(麵)給自動線使用(為了趕DC出貨量)，故下午有待麵(冰水下午恢復供應)</t>
  </si>
  <si>
    <t>05月13日  星期三</t>
  </si>
  <si>
    <t>08:34-08:37、09:08-09:11、09:15-09:17、09:21-09:30熱轉印異常，實際製作2217盒(收籃439盒)</t>
  </si>
  <si>
    <t>10:00-10:07熱轉印異常，36盒重工</t>
  </si>
  <si>
    <t>補封膜(熱轉印異常)</t>
  </si>
  <si>
    <t>05月14日  星期四</t>
  </si>
  <si>
    <t>8:28-8:35熱轉印異常</t>
  </si>
  <si>
    <t>11:27-11:39下貼標異常</t>
  </si>
  <si>
    <t>支援製作</t>
  </si>
  <si>
    <t>13:30-14:02、14:33-14:40熱轉印異常</t>
  </si>
  <si>
    <t>13:46-14:25試產</t>
  </si>
  <si>
    <t>05月15日  星期五</t>
  </si>
  <si>
    <t>05月16日  星期六</t>
  </si>
  <si>
    <t>05月17日  星期日</t>
  </si>
  <si>
    <t>13:30-13:50 L型封膜異常,收籃292盒</t>
  </si>
  <si>
    <t>05月18日  星期一</t>
  </si>
  <si>
    <t>13:10-13:25熱轉印異常</t>
  </si>
  <si>
    <t>10:35-10:57封膜異常</t>
  </si>
  <si>
    <t>補封膜</t>
  </si>
  <si>
    <t>13:30-14:20試產</t>
  </si>
  <si>
    <t>05月19日  星期二</t>
  </si>
  <si>
    <t>捕魚排</t>
  </si>
  <si>
    <t>魚排重量不足、單箱數量未達100片造成補料</t>
  </si>
  <si>
    <t>封口機輸送帶異常、09:26-09:40補封膜</t>
  </si>
  <si>
    <t xml:space="preserve"> 9:46-10:13封口機設備調整(益芳)、重工660盒</t>
  </si>
  <si>
    <t>8:20-8:30印字模糊，收180盒</t>
  </si>
  <si>
    <t>14:20-14:40封膜異常，收340盒</t>
  </si>
  <si>
    <t>13:15-14:05試產</t>
  </si>
  <si>
    <t>05月20日  星期三</t>
  </si>
  <si>
    <t>9:37-9:49包裝機異常,停線清理</t>
  </si>
  <si>
    <t>冷凍調理麵</t>
  </si>
  <si>
    <t>清炒蛤蜊義大利麵</t>
  </si>
  <si>
    <t>check</t>
  </si>
  <si>
    <t>類別</t>
  </si>
  <si>
    <t>4度C</t>
  </si>
  <si>
    <t>白酒蛤蜊義大利麵</t>
  </si>
  <si>
    <t>燻火腿貓耳朵麵</t>
  </si>
  <si>
    <t>辣味香菜雞肉義大利麵</t>
  </si>
  <si>
    <t>焗烤明太子筆尖麵</t>
  </si>
  <si>
    <t>麻辣雞心</t>
  </si>
  <si>
    <t>冷凍</t>
  </si>
  <si>
    <t>經典肉醬義大利麵</t>
  </si>
  <si>
    <t>奶油蘑菇培根義大利麵</t>
  </si>
  <si>
    <t>青醬乳酪筆尖麵</t>
  </si>
  <si>
    <t>辣蕃茄義大利麵</t>
  </si>
  <si>
    <t>韓式起司義大利麵</t>
  </si>
  <si>
    <t>和風明太子細扁麵</t>
  </si>
  <si>
    <t>品項</t>
  </si>
  <si>
    <t>產能</t>
  </si>
  <si>
    <t>人時</t>
  </si>
  <si>
    <t>白酒清炒鮮蛤義大利麵-手</t>
  </si>
  <si>
    <t>青醬蛤蜊義大利麵-手</t>
  </si>
  <si>
    <r>
      <t>蒜香奶油蝦蝦義大利麵-</t>
    </r>
    <r>
      <rPr>
        <sz val="12"/>
        <color theme="1"/>
        <rFont val="Microsoft JhengHei UI"/>
        <family val="2"/>
        <charset val="136"/>
      </rPr>
      <t>自</t>
    </r>
  </si>
  <si>
    <t>目前使用手工</t>
  </si>
  <si>
    <t>焗烤起司肉醬筆尖麵-降</t>
  </si>
  <si>
    <t>目前使用雙排</t>
  </si>
  <si>
    <t>調理包</t>
  </si>
  <si>
    <t>夏季+1人補料</t>
  </si>
  <si>
    <t>更新日期05/03</t>
  </si>
  <si>
    <t>8:42-8:50玉取機停麵</t>
    <phoneticPr fontId="6" type="noConversion"/>
  </si>
  <si>
    <t>手抓麵</t>
    <phoneticPr fontId="6" type="noConversion"/>
  </si>
  <si>
    <t>捕魚排</t>
    <phoneticPr fontId="6" type="noConversion"/>
  </si>
  <si>
    <t>8:42-8:50玉取機停麵、手抓麵</t>
    <phoneticPr fontId="6" type="noConversion"/>
  </si>
  <si>
    <t>05月21日  星期四</t>
    <phoneticPr fontId="33" type="noConversion"/>
  </si>
  <si>
    <t>10:20-10:27下貼標異常</t>
    <phoneticPr fontId="6" type="noConversion"/>
  </si>
  <si>
    <t>13:20-13:35教育訓練</t>
    <phoneticPr fontId="6" type="noConversion"/>
  </si>
  <si>
    <t>9:30-9:35注醬機異常、9:40-10:00手挖醬作業</t>
    <phoneticPr fontId="6" type="noConversion"/>
  </si>
  <si>
    <t>05月22日  星期五</t>
    <phoneticPr fontId="33" type="noConversion"/>
  </si>
  <si>
    <t>8:45-8:57熱轉印異常</t>
    <phoneticPr fontId="6" type="noConversion"/>
  </si>
  <si>
    <t>10:38-10:42、11:00-11:03注醬機異常</t>
    <phoneticPr fontId="6" type="noConversion"/>
  </si>
  <si>
    <t>手工挖醬</t>
    <phoneticPr fontId="6" type="noConversion"/>
  </si>
  <si>
    <t>05月23日  星期六</t>
    <phoneticPr fontId="33" type="noConversion"/>
  </si>
  <si>
    <t>生產數量少(出貨量)</t>
    <phoneticPr fontId="6" type="noConversion"/>
  </si>
  <si>
    <t>補魚排</t>
    <phoneticPr fontId="6" type="noConversion"/>
  </si>
  <si>
    <t>05月24日  星期日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</si>
</sst>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76" formatCode="[$-F800]dddd\,\ mmmm\ dd\,\ yyyy"/>
    <numFmt numFmtId="177" formatCode="#,##0_ "/>
    <numFmt numFmtId="178" formatCode="_-* #,##0_-;\-* #,##0_-;_-* &quot;-&quot;??_-;_-@_-"/>
    <numFmt numFmtId="179" formatCode="0.0"/>
    <numFmt numFmtId="180" formatCode="0.0%"/>
    <numFmt numFmtId="181" formatCode="h:mm;@"/>
    <numFmt numFmtId="182" formatCode="0_ "/>
    <numFmt numFmtId="183" formatCode="0.0_ "/>
    <numFmt numFmtId="184" formatCode="0_);[Red]\(0\)"/>
    <numFmt numFmtId="185" formatCode="m&quot;月&quot;d&quot;日&quot;"/>
  </numFmts>
  <fonts count="34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8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b/>
      <sz val="18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6"/>
      <color theme="5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6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color theme="1"/>
      <name val="微軟正黑體"/>
      <family val="2"/>
      <charset val="136"/>
    </font>
    <font>
      <sz val="16"/>
      <color rgb="FFFF0000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2"/>
      <color theme="1"/>
      <name val="Microsoft JhengHei"/>
      <family val="2"/>
      <charset val="136"/>
    </font>
    <font>
      <sz val="12"/>
      <name val="Microsoft JhengHei"/>
      <family val="2"/>
      <charset val="136"/>
    </font>
    <font>
      <sz val="12"/>
      <color theme="1"/>
      <name val="Microsoft JhengHei UI"/>
      <family val="2"/>
      <charset val="136"/>
    </font>
    <font>
      <sz val="9"/>
      <name val="新細明體"/>
      <family val="3"/>
      <charset val="136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</borders>
  <cellStyleXfs count="21">
    <xf numFmtId="0" fontId="0" fillId="0" borderId="0"/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520">
    <xf numFmtId="0" fontId="0" fillId="0" borderId="0" xfId="0"/>
    <xf numFmtId="0" fontId="5" fillId="0" borderId="0" xfId="2" applyFont="1">
      <alignment vertical="center"/>
    </xf>
    <xf numFmtId="0" fontId="6" fillId="0" borderId="0" xfId="2" applyFont="1">
      <alignment vertical="center"/>
    </xf>
    <xf numFmtId="0" fontId="7" fillId="0" borderId="1" xfId="2" applyFont="1" applyBorder="1" applyAlignment="1">
      <alignment horizontal="center" vertical="center"/>
    </xf>
    <xf numFmtId="178" fontId="7" fillId="0" borderId="0" xfId="16" applyNumberFormat="1" applyFont="1" applyBorder="1" applyAlignment="1">
      <alignment vertical="center"/>
    </xf>
    <xf numFmtId="0" fontId="7" fillId="0" borderId="0" xfId="2" applyFont="1">
      <alignment vertical="center"/>
    </xf>
    <xf numFmtId="0" fontId="11" fillId="0" borderId="0" xfId="2" applyFont="1">
      <alignment vertical="center"/>
    </xf>
    <xf numFmtId="0" fontId="12" fillId="0" borderId="0" xfId="6" applyFont="1">
      <alignment vertical="center"/>
    </xf>
    <xf numFmtId="0" fontId="13" fillId="0" borderId="0" xfId="2" applyFont="1">
      <alignment vertical="center"/>
    </xf>
    <xf numFmtId="0" fontId="14" fillId="0" borderId="0" xfId="2" applyFont="1">
      <alignment vertical="center"/>
    </xf>
    <xf numFmtId="0" fontId="6" fillId="0" borderId="1" xfId="2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179" fontId="16" fillId="0" borderId="1" xfId="2" applyNumberFormat="1" applyFont="1" applyBorder="1" applyAlignment="1">
      <alignment horizontal="center" vertical="center"/>
    </xf>
    <xf numFmtId="180" fontId="16" fillId="0" borderId="9" xfId="17" applyNumberFormat="1" applyFont="1" applyBorder="1" applyAlignment="1">
      <alignment horizontal="center" vertical="center"/>
    </xf>
    <xf numFmtId="180" fontId="16" fillId="0" borderId="9" xfId="17" applyNumberFormat="1" applyFont="1" applyFill="1" applyBorder="1" applyAlignment="1">
      <alignment horizontal="center" vertical="center"/>
    </xf>
    <xf numFmtId="20" fontId="17" fillId="0" borderId="1" xfId="2" applyNumberFormat="1" applyFont="1" applyBorder="1" applyAlignment="1">
      <alignment horizontal="center" vertical="center"/>
    </xf>
    <xf numFmtId="181" fontId="17" fillId="0" borderId="12" xfId="12" applyNumberFormat="1" applyFont="1" applyBorder="1" applyAlignment="1">
      <alignment horizontal="center" vertical="center"/>
    </xf>
    <xf numFmtId="20" fontId="17" fillId="0" borderId="11" xfId="2" applyNumberFormat="1" applyFont="1" applyBorder="1" applyAlignment="1">
      <alignment horizontal="center" vertical="center"/>
    </xf>
    <xf numFmtId="20" fontId="17" fillId="0" borderId="1" xfId="12" applyNumberFormat="1" applyFont="1" applyBorder="1" applyAlignment="1">
      <alignment horizontal="center" vertical="center"/>
    </xf>
    <xf numFmtId="20" fontId="6" fillId="0" borderId="11" xfId="8" applyNumberFormat="1" applyFont="1" applyBorder="1" applyAlignment="1">
      <alignment horizontal="center" vertical="center"/>
    </xf>
    <xf numFmtId="20" fontId="6" fillId="6" borderId="11" xfId="8" applyNumberFormat="1" applyFont="1" applyFill="1" applyBorder="1" applyAlignment="1">
      <alignment horizontal="center" vertical="center"/>
    </xf>
    <xf numFmtId="20" fontId="17" fillId="0" borderId="13" xfId="12" applyNumberFormat="1" applyFont="1" applyBorder="1" applyAlignment="1">
      <alignment horizontal="center" vertical="center"/>
    </xf>
    <xf numFmtId="1" fontId="6" fillId="0" borderId="1" xfId="2" applyNumberFormat="1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19" fillId="0" borderId="13" xfId="12" applyFont="1" applyBorder="1">
      <alignment vertical="center"/>
    </xf>
    <xf numFmtId="0" fontId="19" fillId="0" borderId="13" xfId="12" applyFont="1" applyBorder="1" applyAlignment="1">
      <alignment horizontal="left" vertical="center"/>
    </xf>
    <xf numFmtId="178" fontId="20" fillId="7" borderId="13" xfId="14" applyNumberFormat="1" applyFont="1" applyFill="1" applyBorder="1" applyAlignment="1">
      <alignment horizontal="center" vertical="center"/>
    </xf>
    <xf numFmtId="0" fontId="17" fillId="0" borderId="13" xfId="12" applyFont="1" applyBorder="1" applyAlignment="1">
      <alignment horizontal="center" vertical="center"/>
    </xf>
    <xf numFmtId="43" fontId="19" fillId="0" borderId="13" xfId="14" applyFont="1" applyBorder="1" applyAlignment="1">
      <alignment horizontal="center" vertical="center"/>
    </xf>
    <xf numFmtId="0" fontId="19" fillId="0" borderId="13" xfId="12" applyFont="1" applyBorder="1" applyAlignment="1">
      <alignment horizontal="center" vertical="center"/>
    </xf>
    <xf numFmtId="1" fontId="19" fillId="0" borderId="13" xfId="12" applyNumberFormat="1" applyFont="1" applyBorder="1" applyAlignment="1">
      <alignment horizontal="center" vertical="center"/>
    </xf>
    <xf numFmtId="0" fontId="17" fillId="0" borderId="0" xfId="12" applyFont="1">
      <alignment vertical="center"/>
    </xf>
    <xf numFmtId="179" fontId="19" fillId="0" borderId="13" xfId="12" applyNumberFormat="1" applyFont="1" applyBorder="1" applyAlignment="1">
      <alignment horizontal="center" vertical="center"/>
    </xf>
    <xf numFmtId="179" fontId="22" fillId="0" borderId="13" xfId="12" applyNumberFormat="1" applyFont="1" applyBorder="1" applyAlignment="1">
      <alignment horizontal="center" vertical="center" wrapText="1"/>
    </xf>
    <xf numFmtId="2" fontId="19" fillId="0" borderId="13" xfId="12" applyNumberFormat="1" applyFont="1" applyBorder="1" applyAlignment="1">
      <alignment horizontal="center" vertical="center"/>
    </xf>
    <xf numFmtId="0" fontId="17" fillId="0" borderId="14" xfId="12" applyFont="1" applyBorder="1" applyAlignment="1">
      <alignment horizontal="center" vertical="center"/>
    </xf>
    <xf numFmtId="0" fontId="17" fillId="0" borderId="17" xfId="11" applyFont="1" applyBorder="1" applyAlignment="1">
      <alignment horizontal="center"/>
    </xf>
    <xf numFmtId="0" fontId="17" fillId="0" borderId="18" xfId="12" applyFont="1" applyBorder="1" applyAlignment="1">
      <alignment horizontal="center"/>
    </xf>
    <xf numFmtId="0" fontId="17" fillId="0" borderId="18" xfId="11" applyFont="1" applyBorder="1" applyAlignment="1"/>
    <xf numFmtId="1" fontId="17" fillId="0" borderId="19" xfId="12" applyNumberFormat="1" applyFont="1" applyBorder="1" applyAlignment="1">
      <alignment horizontal="center" vertical="center"/>
    </xf>
    <xf numFmtId="43" fontId="17" fillId="0" borderId="20" xfId="14" applyFont="1" applyBorder="1" applyAlignment="1">
      <alignment horizontal="center" vertical="center"/>
    </xf>
    <xf numFmtId="0" fontId="17" fillId="0" borderId="20" xfId="12" applyFont="1" applyBorder="1" applyAlignment="1">
      <alignment horizontal="center" vertical="center" wrapText="1"/>
    </xf>
    <xf numFmtId="1" fontId="17" fillId="3" borderId="20" xfId="12" applyNumberFormat="1" applyFont="1" applyFill="1" applyBorder="1" applyAlignment="1">
      <alignment horizontal="center" vertical="center"/>
    </xf>
    <xf numFmtId="1" fontId="17" fillId="0" borderId="20" xfId="12" applyNumberFormat="1" applyFont="1" applyBorder="1" applyAlignment="1">
      <alignment horizontal="center" vertical="center"/>
    </xf>
    <xf numFmtId="179" fontId="17" fillId="0" borderId="20" xfId="12" applyNumberFormat="1" applyFont="1" applyBorder="1" applyAlignment="1">
      <alignment horizontal="center" vertical="center"/>
    </xf>
    <xf numFmtId="0" fontId="17" fillId="3" borderId="20" xfId="12" applyFont="1" applyFill="1" applyBorder="1" applyAlignment="1">
      <alignment horizontal="center" vertical="center"/>
    </xf>
    <xf numFmtId="182" fontId="17" fillId="0" borderId="20" xfId="12" applyNumberFormat="1" applyFont="1" applyBorder="1" applyAlignment="1">
      <alignment horizontal="center" vertical="center"/>
    </xf>
    <xf numFmtId="183" fontId="17" fillId="0" borderId="20" xfId="12" applyNumberFormat="1" applyFont="1" applyBorder="1" applyAlignment="1">
      <alignment horizontal="center" vertical="center"/>
    </xf>
    <xf numFmtId="180" fontId="17" fillId="0" borderId="20" xfId="20" applyNumberFormat="1" applyFont="1" applyBorder="1" applyAlignment="1">
      <alignment horizontal="center" vertical="center"/>
    </xf>
    <xf numFmtId="180" fontId="17" fillId="0" borderId="21" xfId="20" applyNumberFormat="1" applyFont="1" applyBorder="1" applyAlignment="1">
      <alignment horizontal="center" vertical="center"/>
    </xf>
    <xf numFmtId="0" fontId="17" fillId="0" borderId="22" xfId="12" applyFont="1" applyBorder="1">
      <alignment vertical="center"/>
    </xf>
    <xf numFmtId="0" fontId="17" fillId="0" borderId="21" xfId="12" applyFont="1" applyBorder="1" applyAlignment="1">
      <alignment horizontal="center" vertical="center" wrapText="1"/>
    </xf>
    <xf numFmtId="0" fontId="17" fillId="0" borderId="21" xfId="12" applyFont="1" applyBorder="1" applyAlignment="1">
      <alignment horizontal="center" vertical="center"/>
    </xf>
    <xf numFmtId="182" fontId="17" fillId="0" borderId="21" xfId="12" applyNumberFormat="1" applyFont="1" applyBorder="1" applyAlignment="1">
      <alignment horizontal="center" vertical="center"/>
    </xf>
    <xf numFmtId="0" fontId="17" fillId="0" borderId="25" xfId="11" applyFont="1" applyBorder="1" applyAlignment="1">
      <alignment horizontal="center"/>
    </xf>
    <xf numFmtId="0" fontId="17" fillId="0" borderId="26" xfId="12" applyFont="1" applyBorder="1" applyAlignment="1">
      <alignment horizontal="center"/>
    </xf>
    <xf numFmtId="0" fontId="17" fillId="0" borderId="27" xfId="11" applyFont="1" applyBorder="1" applyAlignment="1"/>
    <xf numFmtId="0" fontId="17" fillId="0" borderId="28" xfId="11" applyFont="1" applyBorder="1" applyAlignment="1"/>
    <xf numFmtId="0" fontId="17" fillId="0" borderId="29" xfId="11" applyFont="1" applyBorder="1" applyAlignment="1">
      <alignment horizontal="center"/>
    </xf>
    <xf numFmtId="1" fontId="17" fillId="0" borderId="30" xfId="12" applyNumberFormat="1" applyFont="1" applyBorder="1" applyAlignment="1">
      <alignment horizontal="center" vertical="center"/>
    </xf>
    <xf numFmtId="43" fontId="17" fillId="0" borderId="31" xfId="14" applyFont="1" applyBorder="1" applyAlignment="1">
      <alignment horizontal="center" vertical="center"/>
    </xf>
    <xf numFmtId="0" fontId="17" fillId="0" borderId="31" xfId="12" applyFont="1" applyBorder="1" applyAlignment="1">
      <alignment horizontal="center" vertical="center" wrapText="1"/>
    </xf>
    <xf numFmtId="1" fontId="17" fillId="3" borderId="31" xfId="12" applyNumberFormat="1" applyFont="1" applyFill="1" applyBorder="1" applyAlignment="1">
      <alignment horizontal="center" vertical="center"/>
    </xf>
    <xf numFmtId="1" fontId="17" fillId="0" borderId="31" xfId="12" applyNumberFormat="1" applyFont="1" applyBorder="1" applyAlignment="1">
      <alignment horizontal="center" vertical="center"/>
    </xf>
    <xf numFmtId="179" fontId="17" fillId="0" borderId="31" xfId="12" applyNumberFormat="1" applyFont="1" applyBorder="1" applyAlignment="1">
      <alignment horizontal="center" vertical="center"/>
    </xf>
    <xf numFmtId="0" fontId="17" fillId="3" borderId="31" xfId="12" applyFont="1" applyFill="1" applyBorder="1" applyAlignment="1">
      <alignment horizontal="center" vertical="center"/>
    </xf>
    <xf numFmtId="182" fontId="17" fillId="0" borderId="31" xfId="12" applyNumberFormat="1" applyFont="1" applyBorder="1" applyAlignment="1">
      <alignment horizontal="center" vertical="center"/>
    </xf>
    <xf numFmtId="183" fontId="17" fillId="0" borderId="31" xfId="12" applyNumberFormat="1" applyFont="1" applyBorder="1" applyAlignment="1">
      <alignment horizontal="center" vertical="center"/>
    </xf>
    <xf numFmtId="180" fontId="17" fillId="0" borderId="31" xfId="20" applyNumberFormat="1" applyFont="1" applyBorder="1" applyAlignment="1">
      <alignment horizontal="center" vertical="center"/>
    </xf>
    <xf numFmtId="180" fontId="17" fillId="0" borderId="13" xfId="20" applyNumberFormat="1" applyFont="1" applyBorder="1" applyAlignment="1">
      <alignment horizontal="center" vertical="center"/>
    </xf>
    <xf numFmtId="0" fontId="17" fillId="0" borderId="13" xfId="12" applyFont="1" applyBorder="1" applyAlignment="1">
      <alignment horizontal="center" vertical="center" wrapText="1"/>
    </xf>
    <xf numFmtId="182" fontId="17" fillId="0" borderId="13" xfId="12" applyNumberFormat="1" applyFont="1" applyBorder="1" applyAlignment="1">
      <alignment horizontal="center" vertical="center"/>
    </xf>
    <xf numFmtId="0" fontId="17" fillId="0" borderId="1" xfId="11" applyFont="1" applyBorder="1" applyAlignment="1">
      <alignment horizontal="center"/>
    </xf>
    <xf numFmtId="0" fontId="17" fillId="0" borderId="33" xfId="12" applyFont="1" applyBorder="1" applyAlignment="1">
      <alignment horizontal="center"/>
    </xf>
    <xf numFmtId="0" fontId="17" fillId="0" borderId="33" xfId="11" applyFont="1" applyBorder="1" applyAlignment="1"/>
    <xf numFmtId="43" fontId="17" fillId="0" borderId="13" xfId="14" applyFont="1" applyBorder="1" applyAlignment="1">
      <alignment horizontal="center" vertical="center"/>
    </xf>
    <xf numFmtId="1" fontId="17" fillId="3" borderId="13" xfId="12" applyNumberFormat="1" applyFont="1" applyFill="1" applyBorder="1" applyAlignment="1">
      <alignment horizontal="center" vertical="center"/>
    </xf>
    <xf numFmtId="1" fontId="17" fillId="0" borderId="13" xfId="12" applyNumberFormat="1" applyFont="1" applyBorder="1" applyAlignment="1">
      <alignment horizontal="center" vertical="center"/>
    </xf>
    <xf numFmtId="179" fontId="17" fillId="0" borderId="13" xfId="12" applyNumberFormat="1" applyFont="1" applyBorder="1" applyAlignment="1">
      <alignment horizontal="center" vertical="center"/>
    </xf>
    <xf numFmtId="0" fontId="17" fillId="3" borderId="13" xfId="12" applyFont="1" applyFill="1" applyBorder="1" applyAlignment="1">
      <alignment horizontal="center" vertical="center"/>
    </xf>
    <xf numFmtId="183" fontId="17" fillId="0" borderId="13" xfId="12" applyNumberFormat="1" applyFont="1" applyBorder="1" applyAlignment="1">
      <alignment horizontal="center" vertical="center"/>
    </xf>
    <xf numFmtId="20" fontId="17" fillId="0" borderId="27" xfId="12" applyNumberFormat="1" applyFont="1" applyBorder="1" applyAlignment="1">
      <alignment horizontal="center" vertical="center"/>
    </xf>
    <xf numFmtId="180" fontId="17" fillId="0" borderId="14" xfId="20" applyNumberFormat="1" applyFont="1" applyBorder="1" applyAlignment="1">
      <alignment horizontal="center" vertical="center"/>
    </xf>
    <xf numFmtId="0" fontId="17" fillId="0" borderId="27" xfId="12" applyFont="1" applyBorder="1" applyAlignment="1">
      <alignment horizontal="center"/>
    </xf>
    <xf numFmtId="0" fontId="17" fillId="0" borderId="30" xfId="11" applyFont="1" applyBorder="1" applyAlignment="1"/>
    <xf numFmtId="0" fontId="17" fillId="0" borderId="37" xfId="12" applyFont="1" applyBorder="1" applyAlignment="1">
      <alignment horizontal="center"/>
    </xf>
    <xf numFmtId="0" fontId="17" fillId="0" borderId="38" xfId="11" applyFont="1" applyBorder="1" applyAlignment="1"/>
    <xf numFmtId="184" fontId="17" fillId="0" borderId="1" xfId="12" applyNumberFormat="1" applyFont="1" applyBorder="1" applyAlignment="1">
      <alignment horizontal="center" vertical="center"/>
    </xf>
    <xf numFmtId="43" fontId="17" fillId="0" borderId="1" xfId="14" applyFont="1" applyBorder="1" applyAlignment="1">
      <alignment horizontal="center" vertical="center"/>
    </xf>
    <xf numFmtId="0" fontId="17" fillId="0" borderId="1" xfId="12" applyFont="1" applyBorder="1" applyAlignment="1">
      <alignment horizontal="center" vertical="center"/>
    </xf>
    <xf numFmtId="179" fontId="17" fillId="0" borderId="30" xfId="12" applyNumberFormat="1" applyFont="1" applyBorder="1" applyAlignment="1">
      <alignment horizontal="center" vertical="center"/>
    </xf>
    <xf numFmtId="0" fontId="17" fillId="3" borderId="1" xfId="12" applyFont="1" applyFill="1" applyBorder="1" applyAlignment="1">
      <alignment horizontal="center" vertical="center"/>
    </xf>
    <xf numFmtId="1" fontId="17" fillId="0" borderId="1" xfId="12" applyNumberFormat="1" applyFont="1" applyBorder="1" applyAlignment="1">
      <alignment horizontal="center" vertical="center"/>
    </xf>
    <xf numFmtId="179" fontId="17" fillId="0" borderId="1" xfId="12" applyNumberFormat="1" applyFont="1" applyBorder="1" applyAlignment="1">
      <alignment horizontal="center" vertical="center"/>
    </xf>
    <xf numFmtId="182" fontId="17" fillId="0" borderId="1" xfId="12" applyNumberFormat="1" applyFont="1" applyBorder="1" applyAlignment="1">
      <alignment horizontal="center" vertical="center"/>
    </xf>
    <xf numFmtId="183" fontId="17" fillId="0" borderId="1" xfId="12" applyNumberFormat="1" applyFont="1" applyBorder="1" applyAlignment="1">
      <alignment horizontal="center" vertical="center"/>
    </xf>
    <xf numFmtId="180" fontId="17" fillId="0" borderId="1" xfId="20" applyNumberFormat="1" applyFont="1" applyBorder="1" applyAlignment="1">
      <alignment horizontal="center" vertical="center"/>
    </xf>
    <xf numFmtId="0" fontId="17" fillId="0" borderId="30" xfId="12" applyFont="1" applyBorder="1" applyAlignment="1">
      <alignment horizontal="center" vertical="center" wrapText="1"/>
    </xf>
    <xf numFmtId="0" fontId="17" fillId="0" borderId="39" xfId="12" applyFont="1" applyBorder="1" applyAlignment="1">
      <alignment horizontal="center" vertical="center"/>
    </xf>
    <xf numFmtId="0" fontId="17" fillId="0" borderId="40" xfId="12" applyFont="1" applyBorder="1" applyAlignment="1">
      <alignment horizontal="center" vertical="center"/>
    </xf>
    <xf numFmtId="0" fontId="17" fillId="0" borderId="41" xfId="11" applyFont="1" applyBorder="1" applyAlignment="1"/>
    <xf numFmtId="0" fontId="17" fillId="0" borderId="39" xfId="11" applyFont="1" applyBorder="1" applyAlignment="1"/>
    <xf numFmtId="0" fontId="17" fillId="0" borderId="30" xfId="11" applyFont="1" applyBorder="1" applyAlignment="1">
      <alignment horizontal="center"/>
    </xf>
    <xf numFmtId="1" fontId="17" fillId="3" borderId="14" xfId="12" applyNumberFormat="1" applyFont="1" applyFill="1" applyBorder="1" applyAlignment="1">
      <alignment horizontal="center" vertical="center"/>
    </xf>
    <xf numFmtId="1" fontId="17" fillId="0" borderId="14" xfId="12" applyNumberFormat="1" applyFont="1" applyBorder="1" applyAlignment="1">
      <alignment horizontal="center" vertical="center"/>
    </xf>
    <xf numFmtId="0" fontId="17" fillId="3" borderId="14" xfId="12" applyFont="1" applyFill="1" applyBorder="1" applyAlignment="1">
      <alignment horizontal="center" vertical="center"/>
    </xf>
    <xf numFmtId="181" fontId="17" fillId="0" borderId="14" xfId="12" applyNumberFormat="1" applyFont="1" applyBorder="1" applyAlignment="1">
      <alignment horizontal="center" vertical="center"/>
    </xf>
    <xf numFmtId="20" fontId="17" fillId="0" borderId="14" xfId="12" applyNumberFormat="1" applyFont="1" applyBorder="1" applyAlignment="1">
      <alignment horizontal="center" vertical="center"/>
    </xf>
    <xf numFmtId="182" fontId="17" fillId="0" borderId="14" xfId="12" applyNumberFormat="1" applyFont="1" applyBorder="1" applyAlignment="1">
      <alignment horizontal="center" vertical="center"/>
    </xf>
    <xf numFmtId="180" fontId="17" fillId="0" borderId="41" xfId="20" applyNumberFormat="1" applyFont="1" applyBorder="1" applyAlignment="1">
      <alignment horizontal="center" vertical="center"/>
    </xf>
    <xf numFmtId="181" fontId="6" fillId="6" borderId="1" xfId="8" applyNumberFormat="1" applyFont="1" applyFill="1" applyBorder="1" applyAlignment="1">
      <alignment horizontal="center" vertical="center"/>
    </xf>
    <xf numFmtId="181" fontId="6" fillId="6" borderId="11" xfId="8" applyNumberFormat="1" applyFont="1" applyFill="1" applyBorder="1" applyAlignment="1">
      <alignment horizontal="center" vertical="center"/>
    </xf>
    <xf numFmtId="0" fontId="17" fillId="0" borderId="43" xfId="12" applyFont="1" applyBorder="1" applyAlignment="1">
      <alignment horizontal="center"/>
    </xf>
    <xf numFmtId="0" fontId="17" fillId="11" borderId="44" xfId="12" applyFont="1" applyFill="1" applyBorder="1" applyAlignment="1">
      <alignment horizontal="center"/>
    </xf>
    <xf numFmtId="179" fontId="17" fillId="11" borderId="44" xfId="12" applyNumberFormat="1" applyFont="1" applyFill="1" applyBorder="1" applyAlignment="1">
      <alignment horizontal="center" vertical="center"/>
    </xf>
    <xf numFmtId="43" fontId="17" fillId="11" borderId="44" xfId="14" applyFont="1" applyFill="1" applyBorder="1" applyAlignment="1">
      <alignment horizontal="center" vertical="center"/>
    </xf>
    <xf numFmtId="0" fontId="17" fillId="11" borderId="44" xfId="12" applyFont="1" applyFill="1" applyBorder="1" applyAlignment="1">
      <alignment horizontal="center" vertical="center"/>
    </xf>
    <xf numFmtId="1" fontId="17" fillId="11" borderId="44" xfId="12" applyNumberFormat="1" applyFont="1" applyFill="1" applyBorder="1" applyAlignment="1">
      <alignment horizontal="center" vertical="center"/>
    </xf>
    <xf numFmtId="182" fontId="17" fillId="0" borderId="44" xfId="12" applyNumberFormat="1" applyFont="1" applyBorder="1" applyAlignment="1">
      <alignment horizontal="center" vertical="center"/>
    </xf>
    <xf numFmtId="183" fontId="17" fillId="0" borderId="44" xfId="12" applyNumberFormat="1" applyFont="1" applyBorder="1" applyAlignment="1">
      <alignment horizontal="center" vertical="center"/>
    </xf>
    <xf numFmtId="180" fontId="17" fillId="0" borderId="44" xfId="20" applyNumberFormat="1" applyFont="1" applyFill="1" applyBorder="1" applyAlignment="1">
      <alignment horizontal="center" vertical="center"/>
    </xf>
    <xf numFmtId="180" fontId="17" fillId="0" borderId="44" xfId="20" applyNumberFormat="1" applyFont="1" applyBorder="1" applyAlignment="1">
      <alignment horizontal="center" vertical="center"/>
    </xf>
    <xf numFmtId="181" fontId="17" fillId="0" borderId="44" xfId="12" applyNumberFormat="1" applyFont="1" applyBorder="1" applyAlignment="1">
      <alignment horizontal="center" vertical="center"/>
    </xf>
    <xf numFmtId="0" fontId="17" fillId="0" borderId="44" xfId="12" applyFont="1" applyBorder="1" applyAlignment="1">
      <alignment horizontal="center" vertical="center"/>
    </xf>
    <xf numFmtId="0" fontId="17" fillId="0" borderId="43" xfId="12" applyFont="1" applyBorder="1" applyAlignment="1">
      <alignment horizontal="center" vertical="center" wrapText="1"/>
    </xf>
    <xf numFmtId="179" fontId="17" fillId="0" borderId="44" xfId="12" applyNumberFormat="1" applyFont="1" applyBorder="1" applyAlignment="1">
      <alignment horizontal="center" vertical="center"/>
    </xf>
    <xf numFmtId="0" fontId="17" fillId="0" borderId="46" xfId="11" applyFont="1" applyBorder="1" applyAlignment="1">
      <alignment horizontal="center"/>
    </xf>
    <xf numFmtId="0" fontId="17" fillId="0" borderId="47" xfId="12" applyFont="1" applyBorder="1" applyAlignment="1">
      <alignment horizontal="center"/>
    </xf>
    <xf numFmtId="0" fontId="17" fillId="0" borderId="48" xfId="11" applyFont="1" applyBorder="1" applyAlignment="1"/>
    <xf numFmtId="0" fontId="17" fillId="0" borderId="49" xfId="11" applyFont="1" applyBorder="1" applyAlignment="1"/>
    <xf numFmtId="184" fontId="17" fillId="0" borderId="17" xfId="2" applyNumberFormat="1" applyFont="1" applyBorder="1" applyAlignment="1">
      <alignment horizontal="center" vertical="center"/>
    </xf>
    <xf numFmtId="43" fontId="17" fillId="0" borderId="17" xfId="14" applyFont="1" applyBorder="1" applyAlignment="1">
      <alignment horizontal="center" vertical="center"/>
    </xf>
    <xf numFmtId="0" fontId="17" fillId="0" borderId="17" xfId="12" applyFont="1" applyBorder="1" applyAlignment="1">
      <alignment horizontal="center" vertical="center"/>
    </xf>
    <xf numFmtId="1" fontId="17" fillId="3" borderId="21" xfId="12" applyNumberFormat="1" applyFont="1" applyFill="1" applyBorder="1" applyAlignment="1">
      <alignment horizontal="center" vertical="center"/>
    </xf>
    <xf numFmtId="1" fontId="17" fillId="0" borderId="21" xfId="12" applyNumberFormat="1" applyFont="1" applyBorder="1" applyAlignment="1">
      <alignment horizontal="center" vertical="center"/>
    </xf>
    <xf numFmtId="179" fontId="17" fillId="0" borderId="21" xfId="12" applyNumberFormat="1" applyFont="1" applyBorder="1" applyAlignment="1">
      <alignment horizontal="center" vertical="center"/>
    </xf>
    <xf numFmtId="1" fontId="17" fillId="3" borderId="17" xfId="12" applyNumberFormat="1" applyFont="1" applyFill="1" applyBorder="1" applyAlignment="1">
      <alignment horizontal="center" vertical="center"/>
    </xf>
    <xf numFmtId="1" fontId="17" fillId="0" borderId="17" xfId="12" applyNumberFormat="1" applyFont="1" applyBorder="1" applyAlignment="1">
      <alignment horizontal="center" vertical="center"/>
    </xf>
    <xf numFmtId="179" fontId="17" fillId="0" borderId="17" xfId="12" applyNumberFormat="1" applyFont="1" applyBorder="1" applyAlignment="1">
      <alignment horizontal="center" vertical="center"/>
    </xf>
    <xf numFmtId="182" fontId="17" fillId="0" borderId="17" xfId="12" applyNumberFormat="1" applyFont="1" applyBorder="1" applyAlignment="1">
      <alignment horizontal="center" vertical="center"/>
    </xf>
    <xf numFmtId="183" fontId="17" fillId="0" borderId="17" xfId="12" applyNumberFormat="1" applyFont="1" applyBorder="1" applyAlignment="1">
      <alignment horizontal="center" vertical="center"/>
    </xf>
    <xf numFmtId="180" fontId="17" fillId="0" borderId="17" xfId="20" applyNumberFormat="1" applyFont="1" applyBorder="1" applyAlignment="1">
      <alignment horizontal="center" vertical="center"/>
    </xf>
    <xf numFmtId="20" fontId="17" fillId="0" borderId="17" xfId="12" applyNumberFormat="1" applyFont="1" applyBorder="1" applyAlignment="1">
      <alignment horizontal="center" vertical="center"/>
    </xf>
    <xf numFmtId="0" fontId="17" fillId="0" borderId="17" xfId="12" applyFont="1" applyBorder="1" applyAlignment="1">
      <alignment horizontal="center" vertical="center" wrapText="1"/>
    </xf>
    <xf numFmtId="184" fontId="17" fillId="0" borderId="1" xfId="2" applyNumberFormat="1" applyFont="1" applyBorder="1" applyAlignment="1">
      <alignment horizontal="center" vertical="center"/>
    </xf>
    <xf numFmtId="1" fontId="17" fillId="3" borderId="1" xfId="12" applyNumberFormat="1" applyFont="1" applyFill="1" applyBorder="1" applyAlignment="1">
      <alignment horizontal="center" vertical="center"/>
    </xf>
    <xf numFmtId="0" fontId="17" fillId="0" borderId="1" xfId="12" applyFont="1" applyBorder="1" applyAlignment="1">
      <alignment horizontal="center" vertical="center" wrapText="1"/>
    </xf>
    <xf numFmtId="181" fontId="17" fillId="0" borderId="1" xfId="12" applyNumberFormat="1" applyFont="1" applyBorder="1" applyAlignment="1">
      <alignment horizontal="center" vertical="center"/>
    </xf>
    <xf numFmtId="0" fontId="17" fillId="0" borderId="27" xfId="12" applyFont="1" applyBorder="1" applyAlignment="1">
      <alignment horizontal="center" vertical="center"/>
    </xf>
    <xf numFmtId="0" fontId="17" fillId="0" borderId="50" xfId="12" applyFont="1" applyBorder="1" applyAlignment="1">
      <alignment horizontal="center"/>
    </xf>
    <xf numFmtId="0" fontId="15" fillId="0" borderId="50" xfId="2" applyFont="1" applyBorder="1" applyAlignment="1">
      <alignment horizontal="center" vertical="center"/>
    </xf>
    <xf numFmtId="0" fontId="17" fillId="11" borderId="50" xfId="12" applyFont="1" applyFill="1" applyBorder="1" applyAlignment="1">
      <alignment horizontal="center"/>
    </xf>
    <xf numFmtId="1" fontId="17" fillId="11" borderId="50" xfId="12" applyNumberFormat="1" applyFont="1" applyFill="1" applyBorder="1" applyAlignment="1">
      <alignment horizontal="center" vertical="center"/>
    </xf>
    <xf numFmtId="43" fontId="17" fillId="11" borderId="50" xfId="14" applyFont="1" applyFill="1" applyBorder="1" applyAlignment="1">
      <alignment horizontal="center" vertical="center"/>
    </xf>
    <xf numFmtId="0" fontId="17" fillId="11" borderId="50" xfId="12" applyFont="1" applyFill="1" applyBorder="1" applyAlignment="1">
      <alignment horizontal="center" vertical="center"/>
    </xf>
    <xf numFmtId="179" fontId="17" fillId="11" borderId="50" xfId="12" applyNumberFormat="1" applyFont="1" applyFill="1" applyBorder="1" applyAlignment="1">
      <alignment horizontal="center" vertical="center"/>
    </xf>
    <xf numFmtId="182" fontId="17" fillId="0" borderId="50" xfId="12" applyNumberFormat="1" applyFont="1" applyBorder="1" applyAlignment="1">
      <alignment horizontal="center" vertical="center"/>
    </xf>
    <xf numFmtId="183" fontId="17" fillId="0" borderId="50" xfId="12" applyNumberFormat="1" applyFont="1" applyBorder="1" applyAlignment="1">
      <alignment horizontal="center" vertical="center"/>
    </xf>
    <xf numFmtId="180" fontId="17" fillId="0" borderId="50" xfId="20" applyNumberFormat="1" applyFont="1" applyFill="1" applyBorder="1" applyAlignment="1">
      <alignment horizontal="center" vertical="center"/>
    </xf>
    <xf numFmtId="180" fontId="17" fillId="0" borderId="50" xfId="20" applyNumberFormat="1" applyFont="1" applyBorder="1" applyAlignment="1">
      <alignment horizontal="center" vertical="center"/>
    </xf>
    <xf numFmtId="181" fontId="17" fillId="0" borderId="50" xfId="12" applyNumberFormat="1" applyFont="1" applyBorder="1" applyAlignment="1">
      <alignment horizontal="center" vertical="center"/>
    </xf>
    <xf numFmtId="0" fontId="17" fillId="0" borderId="50" xfId="12" applyFont="1" applyBorder="1" applyAlignment="1">
      <alignment horizontal="center" vertical="center"/>
    </xf>
    <xf numFmtId="1" fontId="17" fillId="0" borderId="50" xfId="12" applyNumberFormat="1" applyFont="1" applyBorder="1" applyAlignment="1">
      <alignment horizontal="center" vertical="center"/>
    </xf>
    <xf numFmtId="179" fontId="17" fillId="0" borderId="50" xfId="12" applyNumberFormat="1" applyFont="1" applyBorder="1" applyAlignment="1">
      <alignment horizontal="center" vertical="center"/>
    </xf>
    <xf numFmtId="0" fontId="17" fillId="0" borderId="52" xfId="11" applyFont="1" applyBorder="1" applyAlignment="1">
      <alignment horizontal="center"/>
    </xf>
    <xf numFmtId="0" fontId="17" fillId="0" borderId="53" xfId="11" applyFont="1" applyBorder="1" applyAlignment="1"/>
    <xf numFmtId="184" fontId="17" fillId="0" borderId="17" xfId="12" applyNumberFormat="1" applyFont="1" applyBorder="1" applyAlignment="1">
      <alignment horizontal="center" vertical="center"/>
    </xf>
    <xf numFmtId="0" fontId="17" fillId="3" borderId="17" xfId="12" applyFont="1" applyFill="1" applyBorder="1" applyAlignment="1">
      <alignment horizontal="center" vertical="center"/>
    </xf>
    <xf numFmtId="20" fontId="17" fillId="0" borderId="17" xfId="2" applyNumberFormat="1" applyFont="1" applyBorder="1" applyAlignment="1">
      <alignment horizontal="center" vertical="center"/>
    </xf>
    <xf numFmtId="180" fontId="17" fillId="0" borderId="55" xfId="20" applyNumberFormat="1" applyFont="1" applyBorder="1" applyAlignment="1">
      <alignment horizontal="center" vertical="center"/>
    </xf>
    <xf numFmtId="0" fontId="17" fillId="0" borderId="41" xfId="12" applyFont="1" applyBorder="1" applyAlignment="1">
      <alignment horizontal="center"/>
    </xf>
    <xf numFmtId="20" fontId="17" fillId="0" borderId="1" xfId="11" applyNumberFormat="1" applyFont="1" applyBorder="1" applyAlignment="1">
      <alignment horizontal="center" vertical="center"/>
    </xf>
    <xf numFmtId="0" fontId="17" fillId="0" borderId="58" xfId="11" applyFont="1" applyBorder="1" applyAlignment="1"/>
    <xf numFmtId="0" fontId="17" fillId="0" borderId="3" xfId="11" applyFont="1" applyBorder="1" applyAlignment="1"/>
    <xf numFmtId="0" fontId="17" fillId="0" borderId="58" xfId="12" applyFont="1" applyBorder="1" applyAlignment="1">
      <alignment horizontal="center" vertical="center"/>
    </xf>
    <xf numFmtId="0" fontId="17" fillId="0" borderId="60" xfId="11" applyFont="1" applyBorder="1" applyAlignment="1"/>
    <xf numFmtId="0" fontId="17" fillId="0" borderId="61" xfId="12" applyFont="1" applyBorder="1" applyAlignment="1">
      <alignment horizontal="center" vertical="center"/>
    </xf>
    <xf numFmtId="182" fontId="17" fillId="0" borderId="9" xfId="12" applyNumberFormat="1" applyFont="1" applyBorder="1" applyAlignment="1">
      <alignment horizontal="center" vertical="center"/>
    </xf>
    <xf numFmtId="183" fontId="17" fillId="0" borderId="9" xfId="12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20" fontId="17" fillId="0" borderId="9" xfId="12" applyNumberFormat="1" applyFont="1" applyBorder="1" applyAlignment="1">
      <alignment horizontal="center" vertical="center"/>
    </xf>
    <xf numFmtId="0" fontId="17" fillId="0" borderId="55" xfId="11" applyFont="1" applyBorder="1" applyAlignment="1"/>
    <xf numFmtId="0" fontId="17" fillId="0" borderId="22" xfId="11" applyFont="1" applyBorder="1" applyAlignment="1"/>
    <xf numFmtId="184" fontId="6" fillId="0" borderId="17" xfId="2" applyNumberFormat="1" applyFont="1" applyBorder="1" applyAlignment="1">
      <alignment horizontal="center" vertical="center"/>
    </xf>
    <xf numFmtId="1" fontId="17" fillId="3" borderId="64" xfId="12" applyNumberFormat="1" applyFont="1" applyFill="1" applyBorder="1" applyAlignment="1">
      <alignment horizontal="center" vertical="center"/>
    </xf>
    <xf numFmtId="1" fontId="17" fillId="0" borderId="54" xfId="12" applyNumberFormat="1" applyFont="1" applyBorder="1" applyAlignment="1">
      <alignment horizontal="center" vertical="center"/>
    </xf>
    <xf numFmtId="179" fontId="17" fillId="0" borderId="65" xfId="12" applyNumberFormat="1" applyFont="1" applyBorder="1" applyAlignment="1">
      <alignment horizontal="center" vertical="center"/>
    </xf>
    <xf numFmtId="0" fontId="17" fillId="3" borderId="66" xfId="12" applyFont="1" applyFill="1" applyBorder="1" applyAlignment="1">
      <alignment horizontal="center" vertical="center"/>
    </xf>
    <xf numFmtId="20" fontId="6" fillId="0" borderId="17" xfId="8" applyNumberFormat="1" applyFont="1" applyBorder="1" applyAlignment="1">
      <alignment horizontal="center" vertical="center"/>
    </xf>
    <xf numFmtId="0" fontId="6" fillId="0" borderId="17" xfId="8" applyFont="1" applyBorder="1" applyAlignment="1">
      <alignment horizontal="center" vertical="center"/>
    </xf>
    <xf numFmtId="0" fontId="6" fillId="0" borderId="17" xfId="12" applyFont="1" applyBorder="1" applyAlignment="1">
      <alignment horizontal="center" vertical="center" wrapText="1"/>
    </xf>
    <xf numFmtId="179" fontId="6" fillId="0" borderId="17" xfId="8" applyNumberFormat="1" applyFont="1" applyBorder="1" applyAlignment="1">
      <alignment horizontal="center" vertical="center"/>
    </xf>
    <xf numFmtId="180" fontId="6" fillId="0" borderId="17" xfId="19" applyNumberFormat="1" applyFont="1" applyBorder="1" applyAlignment="1">
      <alignment horizontal="center" vertical="center"/>
    </xf>
    <xf numFmtId="0" fontId="6" fillId="0" borderId="0" xfId="8" applyFont="1">
      <alignment vertical="center"/>
    </xf>
    <xf numFmtId="0" fontId="17" fillId="0" borderId="2" xfId="12" applyFont="1" applyBorder="1" applyAlignment="1">
      <alignment horizontal="center"/>
    </xf>
    <xf numFmtId="0" fontId="17" fillId="0" borderId="2" xfId="11" applyFont="1" applyBorder="1" applyAlignment="1"/>
    <xf numFmtId="184" fontId="6" fillId="0" borderId="1" xfId="2" applyNumberFormat="1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1" fontId="6" fillId="3" borderId="1" xfId="8" applyNumberFormat="1" applyFont="1" applyFill="1" applyBorder="1" applyAlignment="1">
      <alignment horizontal="center" vertical="center"/>
    </xf>
    <xf numFmtId="1" fontId="6" fillId="0" borderId="1" xfId="8" applyNumberFormat="1" applyFont="1" applyBorder="1" applyAlignment="1">
      <alignment horizontal="center" vertical="center"/>
    </xf>
    <xf numFmtId="179" fontId="6" fillId="0" borderId="1" xfId="8" applyNumberFormat="1" applyFont="1" applyBorder="1" applyAlignment="1">
      <alignment horizontal="center" vertical="center"/>
    </xf>
    <xf numFmtId="180" fontId="17" fillId="0" borderId="30" xfId="20" applyNumberFormat="1" applyFont="1" applyBorder="1" applyAlignment="1">
      <alignment horizontal="center" vertical="center"/>
    </xf>
    <xf numFmtId="0" fontId="6" fillId="0" borderId="1" xfId="12" applyFont="1" applyBorder="1" applyAlignment="1">
      <alignment horizontal="center" vertical="center" wrapText="1"/>
    </xf>
    <xf numFmtId="180" fontId="6" fillId="0" borderId="1" xfId="19" applyNumberFormat="1" applyFont="1" applyBorder="1" applyAlignment="1">
      <alignment horizontal="center" vertical="center"/>
    </xf>
    <xf numFmtId="0" fontId="17" fillId="0" borderId="72" xfId="11" applyFont="1" applyBorder="1" applyAlignment="1">
      <alignment horizontal="center"/>
    </xf>
    <xf numFmtId="20" fontId="6" fillId="0" borderId="1" xfId="4" applyNumberFormat="1" applyFont="1" applyBorder="1" applyAlignment="1">
      <alignment horizontal="center" vertical="center"/>
    </xf>
    <xf numFmtId="20" fontId="6" fillId="0" borderId="2" xfId="4" applyNumberFormat="1" applyFont="1" applyBorder="1" applyAlignment="1">
      <alignment horizontal="center" vertical="center"/>
    </xf>
    <xf numFmtId="20" fontId="6" fillId="0" borderId="1" xfId="8" applyNumberFormat="1" applyFont="1" applyBorder="1" applyAlignment="1">
      <alignment horizontal="center" vertical="center"/>
    </xf>
    <xf numFmtId="179" fontId="6" fillId="0" borderId="7" xfId="8" applyNumberFormat="1" applyFont="1" applyBorder="1" applyAlignment="1">
      <alignment horizontal="center" vertical="center"/>
    </xf>
    <xf numFmtId="179" fontId="6" fillId="0" borderId="2" xfId="8" applyNumberFormat="1" applyFont="1" applyBorder="1" applyAlignment="1">
      <alignment horizontal="center" vertical="center"/>
    </xf>
    <xf numFmtId="182" fontId="6" fillId="0" borderId="4" xfId="8" applyNumberFormat="1" applyFont="1" applyBorder="1" applyAlignment="1">
      <alignment horizontal="center" vertical="center"/>
    </xf>
    <xf numFmtId="0" fontId="17" fillId="0" borderId="74" xfId="12" applyFont="1" applyBorder="1" applyAlignment="1">
      <alignment horizontal="center" vertical="center"/>
    </xf>
    <xf numFmtId="43" fontId="6" fillId="0" borderId="1" xfId="14" applyFont="1" applyBorder="1" applyAlignment="1">
      <alignment horizontal="center" vertical="center"/>
    </xf>
    <xf numFmtId="181" fontId="6" fillId="0" borderId="11" xfId="8" applyNumberFormat="1" applyFont="1" applyBorder="1" applyAlignment="1">
      <alignment horizontal="center" vertical="center"/>
    </xf>
    <xf numFmtId="0" fontId="17" fillId="0" borderId="62" xfId="12" applyFont="1" applyBorder="1" applyAlignment="1">
      <alignment horizontal="center" vertical="center"/>
    </xf>
    <xf numFmtId="181" fontId="6" fillId="0" borderId="1" xfId="8" applyNumberFormat="1" applyFont="1" applyBorder="1" applyAlignment="1">
      <alignment horizontal="center" vertical="center"/>
    </xf>
    <xf numFmtId="0" fontId="17" fillId="0" borderId="76" xfId="12" applyFont="1" applyBorder="1" applyAlignment="1">
      <alignment horizontal="center"/>
    </xf>
    <xf numFmtId="184" fontId="17" fillId="11" borderId="50" xfId="12" applyNumberFormat="1" applyFont="1" applyFill="1" applyBorder="1" applyAlignment="1">
      <alignment horizontal="center" vertical="center"/>
    </xf>
    <xf numFmtId="182" fontId="17" fillId="0" borderId="77" xfId="12" applyNumberFormat="1" applyFont="1" applyBorder="1" applyAlignment="1">
      <alignment horizontal="center" vertical="center"/>
    </xf>
    <xf numFmtId="183" fontId="17" fillId="0" borderId="78" xfId="12" applyNumberFormat="1" applyFont="1" applyBorder="1" applyAlignment="1">
      <alignment horizontal="center" vertical="center"/>
    </xf>
    <xf numFmtId="180" fontId="17" fillId="0" borderId="78" xfId="20" applyNumberFormat="1" applyFont="1" applyFill="1" applyBorder="1" applyAlignment="1">
      <alignment horizontal="center" vertical="center"/>
    </xf>
    <xf numFmtId="181" fontId="17" fillId="0" borderId="78" xfId="12" applyNumberFormat="1" applyFont="1" applyBorder="1" applyAlignment="1">
      <alignment horizontal="center" vertical="center"/>
    </xf>
    <xf numFmtId="0" fontId="17" fillId="0" borderId="78" xfId="12" applyFont="1" applyBorder="1" applyAlignment="1">
      <alignment horizontal="center" vertical="center"/>
    </xf>
    <xf numFmtId="0" fontId="6" fillId="0" borderId="50" xfId="12" applyFont="1" applyBorder="1" applyAlignment="1">
      <alignment horizontal="center" vertical="center" wrapText="1"/>
    </xf>
    <xf numFmtId="20" fontId="17" fillId="0" borderId="78" xfId="12" applyNumberFormat="1" applyFont="1" applyBorder="1" applyAlignment="1">
      <alignment horizontal="center" vertical="center"/>
    </xf>
    <xf numFmtId="1" fontId="6" fillId="0" borderId="17" xfId="8" applyNumberFormat="1" applyFont="1" applyBorder="1" applyAlignment="1">
      <alignment horizontal="center" vertical="center"/>
    </xf>
    <xf numFmtId="182" fontId="17" fillId="0" borderId="49" xfId="12" applyNumberFormat="1" applyFont="1" applyBorder="1" applyAlignment="1">
      <alignment horizontal="center" vertical="center"/>
    </xf>
    <xf numFmtId="183" fontId="17" fillId="0" borderId="21" xfId="12" applyNumberFormat="1" applyFont="1" applyBorder="1" applyAlignment="1">
      <alignment horizontal="center" vertical="center"/>
    </xf>
    <xf numFmtId="43" fontId="17" fillId="0" borderId="34" xfId="14" applyFont="1" applyBorder="1" applyAlignment="1">
      <alignment horizontal="center" vertical="center"/>
    </xf>
    <xf numFmtId="0" fontId="17" fillId="0" borderId="34" xfId="12" applyFont="1" applyBorder="1" applyAlignment="1">
      <alignment horizontal="center" vertical="center"/>
    </xf>
    <xf numFmtId="0" fontId="17" fillId="3" borderId="60" xfId="12" applyFont="1" applyFill="1" applyBorder="1" applyAlignment="1">
      <alignment horizontal="center" vertical="center"/>
    </xf>
    <xf numFmtId="1" fontId="17" fillId="0" borderId="34" xfId="12" applyNumberFormat="1" applyFont="1" applyBorder="1" applyAlignment="1">
      <alignment horizontal="center" vertical="center"/>
    </xf>
    <xf numFmtId="179" fontId="17" fillId="0" borderId="34" xfId="12" applyNumberFormat="1" applyFont="1" applyBorder="1" applyAlignment="1">
      <alignment horizontal="center" vertical="center"/>
    </xf>
    <xf numFmtId="0" fontId="17" fillId="6" borderId="13" xfId="12" applyFont="1" applyFill="1" applyBorder="1" applyAlignment="1">
      <alignment horizontal="center" vertical="center" wrapText="1"/>
    </xf>
    <xf numFmtId="0" fontId="17" fillId="6" borderId="13" xfId="12" applyFont="1" applyFill="1" applyBorder="1" applyAlignment="1">
      <alignment horizontal="center" vertical="center"/>
    </xf>
    <xf numFmtId="179" fontId="17" fillId="0" borderId="14" xfId="12" applyNumberFormat="1" applyFont="1" applyBorder="1" applyAlignment="1">
      <alignment horizontal="center" vertical="center"/>
    </xf>
    <xf numFmtId="0" fontId="17" fillId="0" borderId="44" xfId="12" applyFont="1" applyBorder="1" applyAlignment="1">
      <alignment horizontal="center"/>
    </xf>
    <xf numFmtId="1" fontId="17" fillId="11" borderId="78" xfId="12" applyNumberFormat="1" applyFont="1" applyFill="1" applyBorder="1" applyAlignment="1">
      <alignment horizontal="center" vertical="center"/>
    </xf>
    <xf numFmtId="181" fontId="6" fillId="0" borderId="83" xfId="8" applyNumberFormat="1" applyFont="1" applyBorder="1" applyAlignment="1">
      <alignment horizontal="center" vertical="center"/>
    </xf>
    <xf numFmtId="1" fontId="17" fillId="0" borderId="44" xfId="12" applyNumberFormat="1" applyFont="1" applyBorder="1" applyAlignment="1">
      <alignment horizontal="center" vertical="center"/>
    </xf>
    <xf numFmtId="43" fontId="17" fillId="0" borderId="21" xfId="14" applyFont="1" applyBorder="1" applyAlignment="1">
      <alignment horizontal="center" vertical="center"/>
    </xf>
    <xf numFmtId="0" fontId="17" fillId="3" borderId="21" xfId="12" applyFont="1" applyFill="1" applyBorder="1" applyAlignment="1">
      <alignment horizontal="center" vertical="center"/>
    </xf>
    <xf numFmtId="20" fontId="17" fillId="0" borderId="21" xfId="12" applyNumberFormat="1" applyFont="1" applyBorder="1" applyAlignment="1">
      <alignment horizontal="center" vertical="center"/>
    </xf>
    <xf numFmtId="180" fontId="17" fillId="0" borderId="54" xfId="20" applyNumberFormat="1" applyFont="1" applyBorder="1" applyAlignment="1">
      <alignment horizontal="center" vertical="center"/>
    </xf>
    <xf numFmtId="180" fontId="17" fillId="0" borderId="34" xfId="20" applyNumberFormat="1" applyFont="1" applyBorder="1" applyAlignment="1">
      <alignment horizontal="center" vertical="center"/>
    </xf>
    <xf numFmtId="0" fontId="17" fillId="0" borderId="34" xfId="12" applyFont="1" applyBorder="1" applyAlignment="1">
      <alignment horizontal="center" vertical="center" wrapText="1"/>
    </xf>
    <xf numFmtId="180" fontId="17" fillId="0" borderId="12" xfId="20" applyNumberFormat="1" applyFont="1" applyBorder="1" applyAlignment="1">
      <alignment horizontal="center" vertical="center"/>
    </xf>
    <xf numFmtId="0" fontId="17" fillId="0" borderId="9" xfId="11" applyFont="1" applyBorder="1" applyAlignment="1">
      <alignment horizontal="center"/>
    </xf>
    <xf numFmtId="0" fontId="17" fillId="0" borderId="40" xfId="12" applyFont="1" applyBorder="1" applyAlignment="1">
      <alignment horizontal="center"/>
    </xf>
    <xf numFmtId="0" fontId="17" fillId="0" borderId="37" xfId="11" applyFont="1" applyBorder="1" applyAlignment="1"/>
    <xf numFmtId="0" fontId="17" fillId="0" borderId="40" xfId="11" applyFont="1" applyBorder="1" applyAlignment="1"/>
    <xf numFmtId="43" fontId="17" fillId="0" borderId="14" xfId="14" applyFont="1" applyBorder="1" applyAlignment="1">
      <alignment horizontal="center" vertical="center"/>
    </xf>
    <xf numFmtId="183" fontId="17" fillId="0" borderId="14" xfId="12" applyNumberFormat="1" applyFont="1" applyBorder="1" applyAlignment="1">
      <alignment horizontal="center" vertical="center"/>
    </xf>
    <xf numFmtId="0" fontId="17" fillId="0" borderId="87" xfId="12" applyFont="1" applyBorder="1" applyAlignment="1">
      <alignment horizontal="center" vertical="center" wrapText="1"/>
    </xf>
    <xf numFmtId="0" fontId="17" fillId="0" borderId="88" xfId="11" applyFont="1" applyBorder="1" applyAlignment="1"/>
    <xf numFmtId="0" fontId="17" fillId="0" borderId="89" xfId="11" applyFont="1" applyBorder="1" applyAlignment="1">
      <alignment horizontal="center"/>
    </xf>
    <xf numFmtId="0" fontId="17" fillId="0" borderId="73" xfId="11" applyFont="1" applyBorder="1" applyAlignment="1"/>
    <xf numFmtId="0" fontId="17" fillId="0" borderId="31" xfId="12" applyFont="1" applyBorder="1" applyAlignment="1">
      <alignment horizontal="center" vertical="center"/>
    </xf>
    <xf numFmtId="20" fontId="17" fillId="0" borderId="13" xfId="11" applyNumberFormat="1" applyFont="1" applyBorder="1" applyAlignment="1">
      <alignment horizontal="center" vertical="center"/>
    </xf>
    <xf numFmtId="180" fontId="17" fillId="0" borderId="27" xfId="20" applyNumberFormat="1" applyFont="1" applyBorder="1" applyAlignment="1">
      <alignment horizontal="center" vertical="center"/>
    </xf>
    <xf numFmtId="181" fontId="17" fillId="0" borderId="13" xfId="12" applyNumberFormat="1" applyFont="1" applyBorder="1" applyAlignment="1">
      <alignment horizontal="center" vertical="center"/>
    </xf>
    <xf numFmtId="0" fontId="17" fillId="0" borderId="3" xfId="12" applyFont="1" applyBorder="1" applyAlignment="1">
      <alignment horizontal="center" vertical="center"/>
    </xf>
    <xf numFmtId="1" fontId="17" fillId="0" borderId="90" xfId="12" applyNumberFormat="1" applyFont="1" applyBorder="1" applyAlignment="1">
      <alignment horizontal="center" vertical="center"/>
    </xf>
    <xf numFmtId="179" fontId="17" fillId="0" borderId="91" xfId="12" applyNumberFormat="1" applyFont="1" applyBorder="1" applyAlignment="1">
      <alignment horizontal="center" vertical="center"/>
    </xf>
    <xf numFmtId="0" fontId="17" fillId="11" borderId="78" xfId="12" applyFont="1" applyFill="1" applyBorder="1" applyAlignment="1">
      <alignment horizontal="center" vertical="center"/>
    </xf>
    <xf numFmtId="179" fontId="17" fillId="11" borderId="78" xfId="12" applyNumberFormat="1" applyFont="1" applyFill="1" applyBorder="1" applyAlignment="1">
      <alignment horizontal="center" vertical="center"/>
    </xf>
    <xf numFmtId="182" fontId="17" fillId="0" borderId="78" xfId="12" applyNumberFormat="1" applyFont="1" applyBorder="1" applyAlignment="1">
      <alignment horizontal="center" vertical="center"/>
    </xf>
    <xf numFmtId="20" fontId="17" fillId="0" borderId="54" xfId="12" applyNumberFormat="1" applyFont="1" applyBorder="1" applyAlignment="1">
      <alignment horizontal="center" vertical="center"/>
    </xf>
    <xf numFmtId="20" fontId="17" fillId="0" borderId="85" xfId="12" applyNumberFormat="1" applyFont="1" applyBorder="1" applyAlignment="1">
      <alignment horizontal="center" vertical="center"/>
    </xf>
    <xf numFmtId="20" fontId="17" fillId="0" borderId="34" xfId="12" applyNumberFormat="1" applyFont="1" applyBorder="1" applyAlignment="1">
      <alignment horizontal="center" vertical="center"/>
    </xf>
    <xf numFmtId="184" fontId="17" fillId="0" borderId="9" xfId="12" applyNumberFormat="1" applyFont="1" applyBorder="1" applyAlignment="1">
      <alignment horizontal="center" vertical="center"/>
    </xf>
    <xf numFmtId="1" fontId="17" fillId="3" borderId="27" xfId="12" applyNumberFormat="1" applyFont="1" applyFill="1" applyBorder="1" applyAlignment="1">
      <alignment horizontal="center" vertical="center"/>
    </xf>
    <xf numFmtId="1" fontId="17" fillId="3" borderId="9" xfId="12" applyNumberFormat="1" applyFont="1" applyFill="1" applyBorder="1" applyAlignment="1">
      <alignment horizontal="center" vertical="center"/>
    </xf>
    <xf numFmtId="1" fontId="17" fillId="0" borderId="9" xfId="12" applyNumberFormat="1" applyFont="1" applyBorder="1" applyAlignment="1">
      <alignment horizontal="center" vertical="center"/>
    </xf>
    <xf numFmtId="179" fontId="17" fillId="0" borderId="9" xfId="12" applyNumberFormat="1" applyFont="1" applyBorder="1" applyAlignment="1">
      <alignment horizontal="center" vertical="center"/>
    </xf>
    <xf numFmtId="180" fontId="17" fillId="0" borderId="39" xfId="20" applyNumberFormat="1" applyFont="1" applyBorder="1" applyAlignment="1">
      <alignment horizontal="center" vertical="center"/>
    </xf>
    <xf numFmtId="20" fontId="17" fillId="0" borderId="87" xfId="12" applyNumberFormat="1" applyFont="1" applyBorder="1" applyAlignment="1">
      <alignment horizontal="center" vertical="center"/>
    </xf>
    <xf numFmtId="180" fontId="17" fillId="0" borderId="94" xfId="20" applyNumberFormat="1" applyFont="1" applyBorder="1" applyAlignment="1">
      <alignment horizontal="center" vertical="center"/>
    </xf>
    <xf numFmtId="20" fontId="17" fillId="0" borderId="14" xfId="11" applyNumberFormat="1" applyFont="1" applyBorder="1" applyAlignment="1">
      <alignment horizontal="center" vertical="center"/>
    </xf>
    <xf numFmtId="43" fontId="17" fillId="11" borderId="78" xfId="14" applyFont="1" applyFill="1" applyBorder="1" applyAlignment="1">
      <alignment horizontal="center" vertical="center"/>
    </xf>
    <xf numFmtId="0" fontId="17" fillId="0" borderId="0" xfId="12" applyFont="1" applyAlignment="1">
      <alignment vertical="center" wrapText="1"/>
    </xf>
    <xf numFmtId="0" fontId="17" fillId="0" borderId="1" xfId="12" applyFont="1" applyBorder="1">
      <alignment vertical="center"/>
    </xf>
    <xf numFmtId="0" fontId="17" fillId="0" borderId="0" xfId="11" applyFont="1" applyAlignment="1">
      <alignment horizontal="center"/>
    </xf>
    <xf numFmtId="0" fontId="17" fillId="0" borderId="0" xfId="2" applyFont="1" applyAlignment="1">
      <alignment horizontal="center" vertical="center"/>
    </xf>
    <xf numFmtId="0" fontId="6" fillId="0" borderId="0" xfId="8" applyFont="1" applyAlignment="1">
      <alignment horizontal="center"/>
    </xf>
    <xf numFmtId="20" fontId="17" fillId="0" borderId="58" xfId="12" applyNumberFormat="1" applyFont="1" applyBorder="1" applyAlignment="1">
      <alignment horizontal="center" vertical="center"/>
    </xf>
    <xf numFmtId="20" fontId="17" fillId="0" borderId="41" xfId="12" applyNumberFormat="1" applyFont="1" applyBorder="1" applyAlignment="1">
      <alignment horizontal="center" vertical="center"/>
    </xf>
    <xf numFmtId="0" fontId="17" fillId="0" borderId="48" xfId="12" applyFont="1" applyBorder="1" applyAlignment="1">
      <alignment horizontal="center" vertical="center"/>
    </xf>
    <xf numFmtId="20" fontId="17" fillId="0" borderId="27" xfId="11" applyNumberFormat="1" applyFont="1" applyBorder="1" applyAlignment="1">
      <alignment horizontal="center" vertical="center"/>
    </xf>
    <xf numFmtId="20" fontId="17" fillId="0" borderId="55" xfId="12" applyNumberFormat="1" applyFont="1" applyBorder="1" applyAlignment="1">
      <alignment horizontal="center" vertical="center"/>
    </xf>
    <xf numFmtId="20" fontId="17" fillId="0" borderId="70" xfId="12" applyNumberFormat="1" applyFont="1" applyBorder="1" applyAlignment="1">
      <alignment horizontal="center" vertical="center"/>
    </xf>
    <xf numFmtId="0" fontId="17" fillId="0" borderId="14" xfId="12" applyFont="1" applyBorder="1" applyAlignment="1">
      <alignment horizontal="center" vertical="center" wrapText="1"/>
    </xf>
    <xf numFmtId="179" fontId="17" fillId="0" borderId="76" xfId="12" applyNumberFormat="1" applyFont="1" applyBorder="1" applyAlignment="1">
      <alignment horizontal="center" vertical="center"/>
    </xf>
    <xf numFmtId="179" fontId="17" fillId="0" borderId="67" xfId="12" applyNumberFormat="1" applyFont="1" applyBorder="1" applyAlignment="1">
      <alignment horizontal="center" vertical="center"/>
    </xf>
    <xf numFmtId="20" fontId="17" fillId="0" borderId="2" xfId="12" applyNumberFormat="1" applyFont="1" applyBorder="1" applyAlignment="1">
      <alignment horizontal="center" vertical="center"/>
    </xf>
    <xf numFmtId="0" fontId="17" fillId="0" borderId="2" xfId="12" applyFont="1" applyBorder="1" applyAlignment="1">
      <alignment horizontal="center" vertical="center"/>
    </xf>
    <xf numFmtId="179" fontId="17" fillId="0" borderId="99" xfId="12" applyNumberFormat="1" applyFont="1" applyBorder="1" applyAlignment="1">
      <alignment horizontal="center" vertical="center"/>
    </xf>
    <xf numFmtId="0" fontId="17" fillId="0" borderId="67" xfId="12" applyFont="1" applyBorder="1" applyAlignment="1">
      <alignment horizontal="center" vertical="center"/>
    </xf>
    <xf numFmtId="20" fontId="17" fillId="0" borderId="2" xfId="11" applyNumberFormat="1" applyFont="1" applyBorder="1" applyAlignment="1">
      <alignment horizontal="center" vertical="center"/>
    </xf>
    <xf numFmtId="179" fontId="6" fillId="0" borderId="100" xfId="8" applyNumberFormat="1" applyFont="1" applyBorder="1" applyAlignment="1">
      <alignment horizontal="center" vertical="center"/>
    </xf>
    <xf numFmtId="20" fontId="17" fillId="0" borderId="101" xfId="12" applyNumberFormat="1" applyFont="1" applyBorder="1" applyAlignment="1">
      <alignment horizontal="center" vertical="center"/>
    </xf>
    <xf numFmtId="20" fontId="17" fillId="0" borderId="37" xfId="12" applyNumberFormat="1" applyFont="1" applyBorder="1" applyAlignment="1">
      <alignment horizontal="center" vertical="center"/>
    </xf>
    <xf numFmtId="179" fontId="17" fillId="0" borderId="58" xfId="12" applyNumberFormat="1" applyFont="1" applyBorder="1" applyAlignment="1">
      <alignment horizontal="center" vertical="center"/>
    </xf>
    <xf numFmtId="20" fontId="17" fillId="0" borderId="41" xfId="11" applyNumberFormat="1" applyFont="1" applyBorder="1" applyAlignment="1">
      <alignment horizontal="center" vertical="center"/>
    </xf>
    <xf numFmtId="182" fontId="17" fillId="0" borderId="30" xfId="12" applyNumberFormat="1" applyFont="1" applyBorder="1" applyAlignment="1">
      <alignment horizontal="center" vertical="center"/>
    </xf>
    <xf numFmtId="182" fontId="17" fillId="0" borderId="39" xfId="12" applyNumberFormat="1" applyFont="1" applyBorder="1" applyAlignment="1">
      <alignment horizontal="center" vertical="center"/>
    </xf>
    <xf numFmtId="182" fontId="17" fillId="0" borderId="43" xfId="12" applyNumberFormat="1" applyFont="1" applyBorder="1" applyAlignment="1">
      <alignment horizontal="center" vertical="center"/>
    </xf>
    <xf numFmtId="182" fontId="17" fillId="0" borderId="46" xfId="12" applyNumberFormat="1" applyFont="1" applyBorder="1" applyAlignment="1">
      <alignment horizontal="center" vertical="center"/>
    </xf>
    <xf numFmtId="182" fontId="17" fillId="0" borderId="3" xfId="12" applyNumberFormat="1" applyFont="1" applyBorder="1" applyAlignment="1">
      <alignment horizontal="center" vertical="center"/>
    </xf>
    <xf numFmtId="182" fontId="17" fillId="0" borderId="96" xfId="12" applyNumberFormat="1" applyFont="1" applyBorder="1" applyAlignment="1">
      <alignment horizontal="center" vertical="center"/>
    </xf>
    <xf numFmtId="182" fontId="6" fillId="0" borderId="102" xfId="8" applyNumberFormat="1" applyFont="1" applyBorder="1" applyAlignment="1">
      <alignment horizontal="center" vertical="center"/>
    </xf>
    <xf numFmtId="182" fontId="6" fillId="0" borderId="3" xfId="8" applyNumberFormat="1" applyFont="1" applyBorder="1" applyAlignment="1">
      <alignment horizontal="center" vertical="center"/>
    </xf>
    <xf numFmtId="182" fontId="17" fillId="0" borderId="103" xfId="12" applyNumberFormat="1" applyFont="1" applyBorder="1" applyAlignment="1">
      <alignment horizontal="center" vertical="center"/>
    </xf>
    <xf numFmtId="182" fontId="17" fillId="0" borderId="97" xfId="12" applyNumberFormat="1" applyFont="1" applyBorder="1" applyAlignment="1">
      <alignment horizontal="center" vertical="center"/>
    </xf>
    <xf numFmtId="182" fontId="17" fillId="0" borderId="60" xfId="12" applyNumberFormat="1" applyFont="1" applyBorder="1" applyAlignment="1">
      <alignment horizontal="center" vertical="center"/>
    </xf>
    <xf numFmtId="182" fontId="17" fillId="0" borderId="104" xfId="12" applyNumberFormat="1" applyFont="1" applyBorder="1" applyAlignment="1">
      <alignment horizontal="center" vertical="center"/>
    </xf>
    <xf numFmtId="20" fontId="6" fillId="6" borderId="105" xfId="8" applyNumberFormat="1" applyFont="1" applyFill="1" applyBorder="1" applyAlignment="1">
      <alignment horizontal="center" vertical="center"/>
    </xf>
    <xf numFmtId="20" fontId="6" fillId="6" borderId="98" xfId="8" applyNumberFormat="1" applyFont="1" applyFill="1" applyBorder="1" applyAlignment="1">
      <alignment horizontal="center" vertical="center"/>
    </xf>
    <xf numFmtId="20" fontId="17" fillId="0" borderId="50" xfId="12" applyNumberFormat="1" applyFont="1" applyBorder="1" applyAlignment="1">
      <alignment horizontal="center" vertical="center"/>
    </xf>
    <xf numFmtId="20" fontId="17" fillId="0" borderId="99" xfId="12" applyNumberFormat="1" applyFont="1" applyBorder="1" applyAlignment="1">
      <alignment horizontal="center" vertical="center"/>
    </xf>
    <xf numFmtId="0" fontId="17" fillId="8" borderId="50" xfId="12" applyFont="1" applyFill="1" applyBorder="1" applyAlignment="1">
      <alignment horizontal="center" vertical="center"/>
    </xf>
    <xf numFmtId="9" fontId="17" fillId="8" borderId="50" xfId="17" applyFont="1" applyFill="1" applyBorder="1" applyAlignment="1">
      <alignment horizontal="center" vertical="center"/>
    </xf>
    <xf numFmtId="0" fontId="20" fillId="0" borderId="72" xfId="12" applyFont="1" applyBorder="1" applyAlignment="1">
      <alignment horizontal="center" vertical="center" wrapText="1"/>
    </xf>
    <xf numFmtId="0" fontId="20" fillId="0" borderId="15" xfId="12" applyFont="1" applyBorder="1" applyAlignment="1">
      <alignment horizontal="center" vertical="center"/>
    </xf>
    <xf numFmtId="20" fontId="17" fillId="0" borderId="10" xfId="2" applyNumberFormat="1" applyFont="1" applyBorder="1" applyAlignment="1">
      <alignment horizontal="center" vertical="center"/>
    </xf>
    <xf numFmtId="20" fontId="6" fillId="0" borderId="10" xfId="8" applyNumberFormat="1" applyFont="1" applyBorder="1" applyAlignment="1">
      <alignment horizontal="center" vertical="center"/>
    </xf>
    <xf numFmtId="20" fontId="6" fillId="6" borderId="10" xfId="8" applyNumberFormat="1" applyFont="1" applyFill="1" applyBorder="1" applyAlignment="1">
      <alignment horizontal="center" vertical="center"/>
    </xf>
    <xf numFmtId="0" fontId="15" fillId="14" borderId="1" xfId="6" applyFont="1" applyFill="1" applyBorder="1" applyAlignment="1">
      <alignment horizontal="center" vertical="center"/>
    </xf>
    <xf numFmtId="20" fontId="17" fillId="14" borderId="1" xfId="2" applyNumberFormat="1" applyFont="1" applyFill="1" applyBorder="1" applyAlignment="1">
      <alignment horizontal="center" vertical="center"/>
    </xf>
    <xf numFmtId="20" fontId="17" fillId="14" borderId="1" xfId="12" applyNumberFormat="1" applyFont="1" applyFill="1" applyBorder="1" applyAlignment="1">
      <alignment horizontal="center" vertical="center"/>
    </xf>
    <xf numFmtId="20" fontId="6" fillId="14" borderId="1" xfId="8" applyNumberFormat="1" applyFont="1" applyFill="1" applyBorder="1" applyAlignment="1">
      <alignment horizontal="center" vertical="center"/>
    </xf>
    <xf numFmtId="184" fontId="17" fillId="8" borderId="50" xfId="12" applyNumberFormat="1" applyFont="1" applyFill="1" applyBorder="1" applyAlignment="1">
      <alignment horizontal="center" vertical="center"/>
    </xf>
    <xf numFmtId="184" fontId="17" fillId="0" borderId="1" xfId="11" applyNumberFormat="1" applyFont="1" applyBorder="1" applyAlignment="1">
      <alignment horizontal="center" vertical="center"/>
    </xf>
    <xf numFmtId="184" fontId="6" fillId="0" borderId="17" xfId="8" applyNumberFormat="1" applyFont="1" applyBorder="1" applyAlignment="1">
      <alignment horizontal="center" vertical="center"/>
    </xf>
    <xf numFmtId="184" fontId="6" fillId="0" borderId="1" xfId="4" applyNumberFormat="1" applyFont="1" applyBorder="1" applyAlignment="1">
      <alignment horizontal="center" vertical="center"/>
    </xf>
    <xf numFmtId="184" fontId="6" fillId="0" borderId="1" xfId="8" applyNumberFormat="1" applyFont="1" applyBorder="1" applyAlignment="1">
      <alignment horizontal="center" vertical="center"/>
    </xf>
    <xf numFmtId="184" fontId="21" fillId="0" borderId="14" xfId="12" applyNumberFormat="1" applyFont="1" applyBorder="1" applyAlignment="1">
      <alignment horizontal="center" vertical="center"/>
    </xf>
    <xf numFmtId="182" fontId="21" fillId="0" borderId="14" xfId="12" applyNumberFormat="1" applyFont="1" applyBorder="1" applyAlignment="1">
      <alignment horizontal="center" vertical="center"/>
    </xf>
    <xf numFmtId="0" fontId="6" fillId="0" borderId="14" xfId="12" applyFont="1" applyBorder="1" applyAlignment="1">
      <alignment horizontal="center" vertical="center"/>
    </xf>
    <xf numFmtId="0" fontId="6" fillId="8" borderId="14" xfId="12" applyFont="1" applyFill="1" applyBorder="1" applyAlignment="1">
      <alignment horizontal="center" vertical="center"/>
    </xf>
    <xf numFmtId="0" fontId="6" fillId="0" borderId="41" xfId="12" applyFont="1" applyBorder="1" applyAlignment="1">
      <alignment horizontal="center" vertical="center"/>
    </xf>
    <xf numFmtId="0" fontId="28" fillId="8" borderId="9" xfId="6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applyFont="1">
      <alignment vertical="center"/>
    </xf>
    <xf numFmtId="0" fontId="29" fillId="0" borderId="0" xfId="1" applyFont="1" applyAlignment="1">
      <alignment horizontal="center" vertical="center"/>
    </xf>
    <xf numFmtId="0" fontId="30" fillId="0" borderId="0" xfId="1" applyFont="1">
      <alignment vertical="center"/>
    </xf>
    <xf numFmtId="0" fontId="6" fillId="0" borderId="1" xfId="9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184" fontId="17" fillId="14" borderId="1" xfId="2" applyNumberFormat="1" applyFont="1" applyFill="1" applyBorder="1" applyAlignment="1">
      <alignment horizontal="center" vertical="center"/>
    </xf>
    <xf numFmtId="184" fontId="17" fillId="14" borderId="1" xfId="12" applyNumberFormat="1" applyFont="1" applyFill="1" applyBorder="1" applyAlignment="1">
      <alignment horizontal="center" vertical="center"/>
    </xf>
    <xf numFmtId="184" fontId="6" fillId="14" borderId="1" xfId="8" applyNumberFormat="1" applyFont="1" applyFill="1" applyBorder="1" applyAlignment="1">
      <alignment horizontal="center" vertical="center"/>
    </xf>
    <xf numFmtId="185" fontId="6" fillId="0" borderId="0" xfId="1" applyNumberFormat="1" applyFont="1">
      <alignment vertical="center"/>
    </xf>
    <xf numFmtId="0" fontId="6" fillId="0" borderId="0" xfId="1" quotePrefix="1" applyFont="1">
      <alignment vertical="center"/>
    </xf>
    <xf numFmtId="0" fontId="17" fillId="0" borderId="102" xfId="11" applyFont="1" applyBorder="1" applyAlignment="1"/>
    <xf numFmtId="20" fontId="17" fillId="0" borderId="67" xfId="12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/>
    </xf>
    <xf numFmtId="0" fontId="17" fillId="0" borderId="112" xfId="12" applyFont="1" applyBorder="1" applyAlignment="1">
      <alignment horizontal="center"/>
    </xf>
    <xf numFmtId="0" fontId="17" fillId="0" borderId="104" xfId="11" applyFont="1" applyBorder="1" applyAlignment="1"/>
    <xf numFmtId="0" fontId="17" fillId="0" borderId="113" xfId="12" applyFont="1" applyBorder="1" applyAlignment="1">
      <alignment horizontal="center"/>
    </xf>
    <xf numFmtId="0" fontId="17" fillId="0" borderId="29" xfId="11" applyFont="1" applyBorder="1" applyAlignment="1"/>
    <xf numFmtId="0" fontId="17" fillId="0" borderId="113" xfId="11" applyFont="1" applyBorder="1" applyAlignment="1"/>
    <xf numFmtId="0" fontId="17" fillId="0" borderId="85" xfId="11" applyFont="1" applyBorder="1" applyAlignment="1">
      <alignment horizontal="center"/>
    </xf>
    <xf numFmtId="0" fontId="17" fillId="0" borderId="4" xfId="12" applyFont="1" applyBorder="1" applyAlignment="1">
      <alignment horizontal="center"/>
    </xf>
    <xf numFmtId="0" fontId="17" fillId="0" borderId="70" xfId="11" applyFont="1" applyBorder="1" applyAlignment="1"/>
    <xf numFmtId="0" fontId="17" fillId="0" borderId="97" xfId="11" applyFont="1" applyBorder="1" applyAlignment="1"/>
    <xf numFmtId="0" fontId="17" fillId="0" borderId="3" xfId="11" applyFont="1" applyBorder="1" applyAlignment="1">
      <alignment horizontal="center"/>
    </xf>
    <xf numFmtId="20" fontId="6" fillId="0" borderId="83" xfId="8" applyNumberFormat="1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9" xfId="2" applyFont="1" applyBorder="1" applyAlignment="1">
      <alignment horizontal="center" vertical="center" textRotation="255"/>
    </xf>
    <xf numFmtId="0" fontId="6" fillId="0" borderId="10" xfId="2" applyFont="1" applyBorder="1" applyAlignment="1">
      <alignment horizontal="center" vertical="center" textRotation="255"/>
    </xf>
    <xf numFmtId="0" fontId="6" fillId="0" borderId="11" xfId="2" applyFont="1" applyBorder="1" applyAlignment="1">
      <alignment horizontal="center" vertical="center" textRotation="255"/>
    </xf>
    <xf numFmtId="0" fontId="6" fillId="0" borderId="9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0" fontId="15" fillId="14" borderId="1" xfId="6" applyFont="1" applyFill="1" applyBorder="1" applyAlignment="1">
      <alignment horizontal="center" vertical="center" wrapText="1"/>
    </xf>
    <xf numFmtId="0" fontId="6" fillId="14" borderId="1" xfId="6" applyFont="1" applyFill="1" applyBorder="1" applyAlignment="1">
      <alignment horizontal="center" vertical="center"/>
    </xf>
    <xf numFmtId="180" fontId="10" fillId="0" borderId="1" xfId="19" applyNumberFormat="1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179" fontId="7" fillId="0" borderId="1" xfId="16" applyNumberFormat="1" applyFont="1" applyBorder="1" applyAlignment="1">
      <alignment horizontal="center" vertical="center"/>
    </xf>
    <xf numFmtId="184" fontId="27" fillId="0" borderId="3" xfId="2" applyNumberFormat="1" applyFont="1" applyBorder="1" applyAlignment="1">
      <alignment horizontal="center" vertical="center"/>
    </xf>
    <xf numFmtId="0" fontId="27" fillId="0" borderId="3" xfId="2" applyFont="1" applyBorder="1" applyAlignment="1">
      <alignment horizontal="center" vertical="center"/>
    </xf>
    <xf numFmtId="1" fontId="27" fillId="0" borderId="1" xfId="2" applyNumberFormat="1" applyFont="1" applyBorder="1" applyAlignment="1">
      <alignment horizontal="center" vertical="center"/>
    </xf>
    <xf numFmtId="184" fontId="27" fillId="0" borderId="1" xfId="2" applyNumberFormat="1" applyFont="1" applyBorder="1" applyAlignment="1">
      <alignment horizontal="center" vertical="center"/>
    </xf>
    <xf numFmtId="0" fontId="27" fillId="0" borderId="1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179" fontId="10" fillId="5" borderId="1" xfId="2" applyNumberFormat="1" applyFont="1" applyFill="1" applyBorder="1" applyAlignment="1">
      <alignment horizontal="center" vertical="center"/>
    </xf>
    <xf numFmtId="179" fontId="10" fillId="5" borderId="1" xfId="16" applyNumberFormat="1" applyFont="1" applyFill="1" applyBorder="1" applyAlignment="1">
      <alignment horizontal="center" vertical="center"/>
    </xf>
    <xf numFmtId="0" fontId="26" fillId="8" borderId="3" xfId="12" applyFont="1" applyFill="1" applyBorder="1" applyAlignment="1">
      <alignment horizontal="center" vertical="center"/>
    </xf>
    <xf numFmtId="0" fontId="26" fillId="8" borderId="1" xfId="1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" xfId="6" applyFont="1" applyBorder="1" applyAlignment="1">
      <alignment horizontal="center" vertical="center"/>
    </xf>
    <xf numFmtId="178" fontId="7" fillId="3" borderId="1" xfId="16" applyNumberFormat="1" applyFont="1" applyFill="1" applyBorder="1" applyAlignment="1">
      <alignment horizontal="center" vertical="center"/>
    </xf>
    <xf numFmtId="178" fontId="7" fillId="4" borderId="1" xfId="16" applyNumberFormat="1" applyFont="1" applyFill="1" applyBorder="1" applyAlignment="1">
      <alignment horizontal="center" vertical="center"/>
    </xf>
    <xf numFmtId="179" fontId="7" fillId="0" borderId="1" xfId="2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76" fontId="8" fillId="2" borderId="1" xfId="6" applyNumberFormat="1" applyFont="1" applyFill="1" applyBorder="1" applyAlignment="1">
      <alignment horizontal="center" vertical="center"/>
    </xf>
    <xf numFmtId="177" fontId="7" fillId="0" borderId="1" xfId="16" applyNumberFormat="1" applyFont="1" applyBorder="1" applyAlignment="1">
      <alignment horizontal="center" vertical="center"/>
    </xf>
    <xf numFmtId="177" fontId="7" fillId="0" borderId="1" xfId="2" applyNumberFormat="1" applyFont="1" applyBorder="1" applyAlignment="1">
      <alignment horizontal="center" vertical="center"/>
    </xf>
    <xf numFmtId="0" fontId="9" fillId="0" borderId="1" xfId="6" applyFont="1" applyBorder="1" applyAlignment="1">
      <alignment horizontal="center" vertical="center"/>
    </xf>
    <xf numFmtId="180" fontId="17" fillId="0" borderId="21" xfId="20" applyNumberFormat="1" applyFont="1" applyBorder="1" applyAlignment="1">
      <alignment horizontal="center" vertical="center"/>
    </xf>
    <xf numFmtId="180" fontId="17" fillId="0" borderId="13" xfId="20" applyNumberFormat="1" applyFont="1" applyBorder="1" applyAlignment="1">
      <alignment horizontal="center" vertical="center"/>
    </xf>
    <xf numFmtId="180" fontId="17" fillId="0" borderId="14" xfId="20" applyNumberFormat="1" applyFont="1" applyBorder="1" applyAlignment="1">
      <alignment horizontal="center" vertical="center"/>
    </xf>
    <xf numFmtId="180" fontId="17" fillId="0" borderId="41" xfId="20" applyNumberFormat="1" applyFont="1" applyBorder="1" applyAlignment="1">
      <alignment horizontal="center" vertical="center"/>
    </xf>
    <xf numFmtId="180" fontId="17" fillId="0" borderId="44" xfId="20" applyNumberFormat="1" applyFont="1" applyBorder="1" applyAlignment="1">
      <alignment horizontal="center" vertical="center"/>
    </xf>
    <xf numFmtId="0" fontId="21" fillId="0" borderId="13" xfId="12" applyFont="1" applyBorder="1" applyAlignment="1">
      <alignment horizontal="center" vertical="center"/>
    </xf>
    <xf numFmtId="14" fontId="19" fillId="0" borderId="13" xfId="12" applyNumberFormat="1" applyFont="1" applyBorder="1" applyAlignment="1">
      <alignment horizontal="left" vertical="center"/>
    </xf>
    <xf numFmtId="0" fontId="17" fillId="0" borderId="13" xfId="12" applyFont="1" applyBorder="1" applyAlignment="1">
      <alignment horizontal="center" vertical="center"/>
    </xf>
    <xf numFmtId="0" fontId="17" fillId="0" borderId="14" xfId="12" applyFont="1" applyBorder="1" applyAlignment="1">
      <alignment horizontal="center" vertical="center"/>
    </xf>
    <xf numFmtId="0" fontId="6" fillId="0" borderId="14" xfId="12" applyFont="1" applyBorder="1" applyAlignment="1">
      <alignment horizontal="center" vertical="center"/>
    </xf>
    <xf numFmtId="0" fontId="6" fillId="0" borderId="15" xfId="12" applyFont="1" applyBorder="1" applyAlignment="1">
      <alignment horizontal="center" vertical="center"/>
    </xf>
    <xf numFmtId="0" fontId="17" fillId="3" borderId="16" xfId="12" applyFont="1" applyFill="1" applyBorder="1" applyAlignment="1">
      <alignment horizontal="center" vertical="center" wrapText="1"/>
    </xf>
    <xf numFmtId="0" fontId="17" fillId="3" borderId="24" xfId="12" applyFont="1" applyFill="1" applyBorder="1" applyAlignment="1">
      <alignment horizontal="center" vertical="center"/>
    </xf>
    <xf numFmtId="0" fontId="17" fillId="3" borderId="35" xfId="12" applyFont="1" applyFill="1" applyBorder="1" applyAlignment="1">
      <alignment horizontal="center" vertical="center"/>
    </xf>
    <xf numFmtId="0" fontId="17" fillId="3" borderId="42" xfId="12" applyFont="1" applyFill="1" applyBorder="1" applyAlignment="1">
      <alignment horizontal="center" vertical="center"/>
    </xf>
    <xf numFmtId="0" fontId="6" fillId="9" borderId="13" xfId="12" applyFont="1" applyFill="1" applyBorder="1" applyAlignment="1">
      <alignment horizontal="center" vertical="center"/>
    </xf>
    <xf numFmtId="0" fontId="6" fillId="9" borderId="14" xfId="12" applyFont="1" applyFill="1" applyBorder="1" applyAlignment="1">
      <alignment horizontal="center" vertical="center"/>
    </xf>
    <xf numFmtId="0" fontId="6" fillId="4" borderId="13" xfId="12" applyFont="1" applyFill="1" applyBorder="1" applyAlignment="1">
      <alignment horizontal="center" vertical="center"/>
    </xf>
    <xf numFmtId="0" fontId="6" fillId="4" borderId="14" xfId="12" applyFont="1" applyFill="1" applyBorder="1" applyAlignment="1">
      <alignment horizontal="center" vertical="center"/>
    </xf>
    <xf numFmtId="0" fontId="6" fillId="8" borderId="13" xfId="12" applyFont="1" applyFill="1" applyBorder="1" applyAlignment="1">
      <alignment horizontal="center" vertical="center"/>
    </xf>
    <xf numFmtId="0" fontId="6" fillId="8" borderId="14" xfId="12" applyFont="1" applyFill="1" applyBorder="1" applyAlignment="1">
      <alignment horizontal="center" vertical="center"/>
    </xf>
    <xf numFmtId="0" fontId="17" fillId="11" borderId="44" xfId="12" applyFont="1" applyFill="1" applyBorder="1" applyAlignment="1"/>
    <xf numFmtId="0" fontId="6" fillId="0" borderId="13" xfId="12" applyFont="1" applyBorder="1" applyAlignment="1">
      <alignment horizontal="center" vertical="center" wrapText="1"/>
    </xf>
    <xf numFmtId="0" fontId="6" fillId="0" borderId="14" xfId="12" applyFont="1" applyBorder="1" applyAlignment="1">
      <alignment horizontal="center" vertical="center" wrapText="1"/>
    </xf>
    <xf numFmtId="0" fontId="6" fillId="3" borderId="13" xfId="12" applyFont="1" applyFill="1" applyBorder="1" applyAlignment="1">
      <alignment horizontal="center" vertical="center"/>
    </xf>
    <xf numFmtId="0" fontId="6" fillId="3" borderId="14" xfId="12" applyFont="1" applyFill="1" applyBorder="1" applyAlignment="1">
      <alignment horizontal="center" vertical="center"/>
    </xf>
    <xf numFmtId="0" fontId="19" fillId="0" borderId="13" xfId="12" applyFont="1" applyBorder="1" applyAlignment="1">
      <alignment horizontal="center" vertical="center"/>
    </xf>
    <xf numFmtId="0" fontId="6" fillId="5" borderId="13" xfId="12" applyFont="1" applyFill="1" applyBorder="1" applyAlignment="1">
      <alignment horizontal="center" vertical="center"/>
    </xf>
    <xf numFmtId="0" fontId="6" fillId="5" borderId="14" xfId="12" applyFont="1" applyFill="1" applyBorder="1" applyAlignment="1">
      <alignment horizontal="center" vertical="center"/>
    </xf>
    <xf numFmtId="0" fontId="6" fillId="10" borderId="13" xfId="12" applyFont="1" applyFill="1" applyBorder="1" applyAlignment="1">
      <alignment horizontal="center" vertical="center" wrapText="1"/>
    </xf>
    <xf numFmtId="0" fontId="6" fillId="10" borderId="14" xfId="12" applyFont="1" applyFill="1" applyBorder="1" applyAlignment="1">
      <alignment horizontal="center" vertical="center" wrapText="1"/>
    </xf>
    <xf numFmtId="0" fontId="20" fillId="0" borderId="1" xfId="12" applyFont="1" applyBorder="1" applyAlignment="1">
      <alignment horizontal="center" vertical="center" wrapText="1"/>
    </xf>
    <xf numFmtId="0" fontId="20" fillId="0" borderId="1" xfId="12" applyFont="1" applyBorder="1" applyAlignment="1">
      <alignment horizontal="center" vertical="center"/>
    </xf>
    <xf numFmtId="0" fontId="20" fillId="0" borderId="9" xfId="12" applyFont="1" applyBorder="1" applyAlignment="1">
      <alignment horizontal="center" vertical="center"/>
    </xf>
    <xf numFmtId="0" fontId="17" fillId="9" borderId="30" xfId="12" applyFont="1" applyFill="1" applyBorder="1" applyAlignment="1">
      <alignment horizontal="center" vertical="center"/>
    </xf>
    <xf numFmtId="0" fontId="17" fillId="9" borderId="39" xfId="12" applyFont="1" applyFill="1" applyBorder="1" applyAlignment="1">
      <alignment horizontal="center" vertical="center"/>
    </xf>
    <xf numFmtId="0" fontId="28" fillId="8" borderId="1" xfId="6" applyFont="1" applyFill="1" applyBorder="1" applyAlignment="1">
      <alignment horizontal="center" vertical="center" wrapText="1"/>
    </xf>
    <xf numFmtId="0" fontId="23" fillId="8" borderId="1" xfId="6" applyFont="1" applyFill="1" applyBorder="1" applyAlignment="1">
      <alignment horizontal="center" vertical="center"/>
    </xf>
    <xf numFmtId="0" fontId="17" fillId="5" borderId="13" xfId="12" applyFont="1" applyFill="1" applyBorder="1" applyAlignment="1">
      <alignment horizontal="center" vertical="center"/>
    </xf>
    <xf numFmtId="0" fontId="17" fillId="5" borderId="14" xfId="12" applyFont="1" applyFill="1" applyBorder="1" applyAlignment="1">
      <alignment horizontal="center" vertical="center"/>
    </xf>
    <xf numFmtId="0" fontId="17" fillId="10" borderId="13" xfId="12" applyFont="1" applyFill="1" applyBorder="1" applyAlignment="1">
      <alignment horizontal="center" vertical="center" wrapText="1"/>
    </xf>
    <xf numFmtId="0" fontId="17" fillId="10" borderId="14" xfId="12" applyFont="1" applyFill="1" applyBorder="1" applyAlignment="1">
      <alignment horizontal="center" vertical="center" wrapText="1"/>
    </xf>
    <xf numFmtId="0" fontId="6" fillId="8" borderId="13" xfId="12" applyFont="1" applyFill="1" applyBorder="1" applyAlignment="1">
      <alignment horizontal="center" vertical="center" wrapText="1"/>
    </xf>
    <xf numFmtId="0" fontId="6" fillId="8" borderId="27" xfId="12" applyFont="1" applyFill="1" applyBorder="1" applyAlignment="1">
      <alignment horizontal="center" vertical="center"/>
    </xf>
    <xf numFmtId="0" fontId="21" fillId="0" borderId="14" xfId="12" applyFont="1" applyBorder="1" applyAlignment="1">
      <alignment horizontal="center" vertical="center"/>
    </xf>
    <xf numFmtId="180" fontId="17" fillId="0" borderId="23" xfId="20" applyNumberFormat="1" applyFont="1" applyBorder="1" applyAlignment="1">
      <alignment horizontal="center" vertical="center"/>
    </xf>
    <xf numFmtId="180" fontId="17" fillId="0" borderId="32" xfId="20" applyNumberFormat="1" applyFont="1" applyBorder="1" applyAlignment="1">
      <alignment horizontal="center" vertical="center"/>
    </xf>
    <xf numFmtId="180" fontId="17" fillId="0" borderId="36" xfId="20" applyNumberFormat="1" applyFont="1" applyBorder="1" applyAlignment="1">
      <alignment horizontal="center" vertical="center"/>
    </xf>
    <xf numFmtId="180" fontId="17" fillId="0" borderId="45" xfId="20" applyNumberFormat="1" applyFont="1" applyBorder="1" applyAlignment="1">
      <alignment horizontal="center" vertical="center"/>
    </xf>
    <xf numFmtId="0" fontId="17" fillId="0" borderId="1" xfId="12" applyFont="1" applyBorder="1" applyAlignment="1">
      <alignment horizontal="center" vertical="center" wrapText="1"/>
    </xf>
    <xf numFmtId="0" fontId="17" fillId="0" borderId="1" xfId="12" applyFont="1" applyBorder="1" applyAlignment="1">
      <alignment horizontal="center" vertical="center"/>
    </xf>
    <xf numFmtId="0" fontId="17" fillId="0" borderId="50" xfId="12" applyFont="1" applyBorder="1" applyAlignment="1">
      <alignment horizontal="center" vertical="center"/>
    </xf>
    <xf numFmtId="0" fontId="17" fillId="0" borderId="17" xfId="12" applyFont="1" applyBorder="1" applyAlignment="1">
      <alignment horizontal="center" vertical="center"/>
    </xf>
    <xf numFmtId="0" fontId="17" fillId="4" borderId="51" xfId="12" applyFont="1" applyFill="1" applyBorder="1" applyAlignment="1">
      <alignment horizontal="center" vertical="center" wrapText="1"/>
    </xf>
    <xf numFmtId="0" fontId="17" fillId="4" borderId="56" xfId="12" applyFont="1" applyFill="1" applyBorder="1" applyAlignment="1">
      <alignment horizontal="center" vertical="center"/>
    </xf>
    <xf numFmtId="0" fontId="17" fillId="4" borderId="106" xfId="12" applyFont="1" applyFill="1" applyBorder="1" applyAlignment="1">
      <alignment horizontal="center" vertical="center"/>
    </xf>
    <xf numFmtId="180" fontId="17" fillId="0" borderId="17" xfId="20" applyNumberFormat="1" applyFont="1" applyBorder="1" applyAlignment="1">
      <alignment horizontal="center" vertical="center"/>
    </xf>
    <xf numFmtId="180" fontId="17" fillId="0" borderId="1" xfId="20" applyNumberFormat="1" applyFont="1" applyBorder="1" applyAlignment="1">
      <alignment horizontal="center" vertical="center"/>
    </xf>
    <xf numFmtId="180" fontId="17" fillId="0" borderId="50" xfId="20" applyNumberFormat="1" applyFont="1" applyBorder="1" applyAlignment="1">
      <alignment horizontal="center" vertical="center"/>
    </xf>
    <xf numFmtId="0" fontId="17" fillId="11" borderId="107" xfId="12" applyFont="1" applyFill="1" applyBorder="1" applyAlignment="1"/>
    <xf numFmtId="0" fontId="17" fillId="11" borderId="108" xfId="12" applyFont="1" applyFill="1" applyBorder="1" applyAlignment="1"/>
    <xf numFmtId="9" fontId="17" fillId="0" borderId="50" xfId="17" applyFont="1" applyBorder="1" applyAlignment="1">
      <alignment horizontal="center" vertical="center"/>
    </xf>
    <xf numFmtId="0" fontId="17" fillId="10" borderId="16" xfId="12" applyFont="1" applyFill="1" applyBorder="1" applyAlignment="1">
      <alignment horizontal="center" vertical="center" wrapText="1"/>
    </xf>
    <xf numFmtId="0" fontId="17" fillId="10" borderId="24" xfId="12" applyFont="1" applyFill="1" applyBorder="1" applyAlignment="1">
      <alignment horizontal="center" vertical="center"/>
    </xf>
    <xf numFmtId="0" fontId="17" fillId="10" borderId="35" xfId="12" applyFont="1" applyFill="1" applyBorder="1" applyAlignment="1">
      <alignment horizontal="center" vertical="center"/>
    </xf>
    <xf numFmtId="0" fontId="17" fillId="10" borderId="42" xfId="12" applyFont="1" applyFill="1" applyBorder="1" applyAlignment="1">
      <alignment horizontal="center" vertical="center"/>
    </xf>
    <xf numFmtId="180" fontId="17" fillId="0" borderId="57" xfId="20" applyNumberFormat="1" applyFont="1" applyBorder="1" applyAlignment="1">
      <alignment horizontal="center" vertical="center"/>
    </xf>
    <xf numFmtId="180" fontId="17" fillId="0" borderId="59" xfId="20" applyNumberFormat="1" applyFont="1" applyBorder="1" applyAlignment="1">
      <alignment horizontal="center" vertical="center"/>
    </xf>
    <xf numFmtId="180" fontId="6" fillId="0" borderId="68" xfId="19" applyNumberFormat="1" applyFont="1" applyBorder="1" applyAlignment="1">
      <alignment horizontal="center" vertical="center"/>
    </xf>
    <xf numFmtId="180" fontId="6" fillId="0" borderId="71" xfId="19" applyNumberFormat="1" applyFont="1" applyBorder="1" applyAlignment="1">
      <alignment horizontal="center" vertical="center"/>
    </xf>
    <xf numFmtId="180" fontId="6" fillId="0" borderId="79" xfId="19" applyNumberFormat="1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0" fontId="17" fillId="4" borderId="80" xfId="12" applyFont="1" applyFill="1" applyBorder="1" applyAlignment="1">
      <alignment horizontal="center" vertical="center" wrapText="1"/>
    </xf>
    <xf numFmtId="0" fontId="17" fillId="4" borderId="81" xfId="12" applyFont="1" applyFill="1" applyBorder="1" applyAlignment="1">
      <alignment horizontal="center" vertical="center"/>
    </xf>
    <xf numFmtId="0" fontId="17" fillId="4" borderId="82" xfId="12" applyFont="1" applyFill="1" applyBorder="1" applyAlignment="1">
      <alignment horizontal="center" vertical="center"/>
    </xf>
    <xf numFmtId="0" fontId="25" fillId="12" borderId="63" xfId="8" applyFont="1" applyFill="1" applyBorder="1" applyAlignment="1">
      <alignment horizontal="center" vertical="center" wrapText="1"/>
    </xf>
    <xf numFmtId="0" fontId="25" fillId="12" borderId="69" xfId="8" applyFont="1" applyFill="1" applyBorder="1" applyAlignment="1">
      <alignment horizontal="center" vertical="center" wrapText="1"/>
    </xf>
    <xf numFmtId="0" fontId="25" fillId="12" borderId="75" xfId="8" applyFont="1" applyFill="1" applyBorder="1" applyAlignment="1">
      <alignment horizontal="center" vertical="center" wrapText="1"/>
    </xf>
    <xf numFmtId="180" fontId="17" fillId="0" borderId="49" xfId="20" applyNumberFormat="1" applyFont="1" applyBorder="1" applyAlignment="1">
      <alignment horizontal="center" vertical="center"/>
    </xf>
    <xf numFmtId="180" fontId="17" fillId="0" borderId="30" xfId="20" applyNumberFormat="1" applyFont="1" applyBorder="1" applyAlignment="1">
      <alignment horizontal="center" vertical="center"/>
    </xf>
    <xf numFmtId="0" fontId="6" fillId="0" borderId="17" xfId="8" applyFont="1" applyBorder="1" applyAlignment="1">
      <alignment horizontal="center" vertical="center"/>
    </xf>
    <xf numFmtId="180" fontId="17" fillId="0" borderId="86" xfId="20" applyNumberFormat="1" applyFont="1" applyBorder="1" applyAlignment="1">
      <alignment horizontal="center" vertical="center"/>
    </xf>
    <xf numFmtId="0" fontId="17" fillId="13" borderId="92" xfId="12" applyFont="1" applyFill="1" applyBorder="1" applyAlignment="1">
      <alignment horizontal="center" vertical="center" wrapText="1"/>
    </xf>
    <xf numFmtId="0" fontId="17" fillId="13" borderId="93" xfId="12" applyFont="1" applyFill="1" applyBorder="1" applyAlignment="1">
      <alignment horizontal="center" vertical="center" wrapText="1"/>
    </xf>
    <xf numFmtId="0" fontId="17" fillId="13" borderId="95" xfId="12" applyFont="1" applyFill="1" applyBorder="1" applyAlignment="1">
      <alignment horizontal="center" vertical="center" wrapText="1"/>
    </xf>
    <xf numFmtId="180" fontId="17" fillId="0" borderId="39" xfId="20" applyNumberFormat="1" applyFont="1" applyBorder="1" applyAlignment="1">
      <alignment horizontal="center" vertical="center"/>
    </xf>
    <xf numFmtId="0" fontId="17" fillId="10" borderId="80" xfId="12" applyFont="1" applyFill="1" applyBorder="1" applyAlignment="1">
      <alignment horizontal="center" vertical="center" wrapText="1"/>
    </xf>
    <xf numFmtId="0" fontId="17" fillId="10" borderId="84" xfId="12" applyFont="1" applyFill="1" applyBorder="1" applyAlignment="1">
      <alignment horizontal="center" vertical="center" wrapText="1"/>
    </xf>
    <xf numFmtId="0" fontId="17" fillId="10" borderId="81" xfId="12" applyFont="1" applyFill="1" applyBorder="1" applyAlignment="1">
      <alignment horizontal="center" vertical="center" wrapText="1"/>
    </xf>
    <xf numFmtId="0" fontId="17" fillId="10" borderId="82" xfId="12" applyFont="1" applyFill="1" applyBorder="1" applyAlignment="1">
      <alignment horizontal="center" vertical="center"/>
    </xf>
    <xf numFmtId="180" fontId="17" fillId="0" borderId="34" xfId="20" applyNumberFormat="1" applyFont="1" applyBorder="1" applyAlignment="1">
      <alignment horizontal="center" vertical="center"/>
    </xf>
    <xf numFmtId="0" fontId="17" fillId="0" borderId="2" xfId="12" applyFont="1" applyBorder="1" applyAlignment="1">
      <alignment horizontal="center" vertical="center"/>
    </xf>
    <xf numFmtId="0" fontId="17" fillId="0" borderId="3" xfId="12" applyFont="1" applyBorder="1" applyAlignment="1">
      <alignment horizontal="center" vertical="center"/>
    </xf>
    <xf numFmtId="0" fontId="17" fillId="9" borderId="1" xfId="12" applyFont="1" applyFill="1" applyBorder="1" applyAlignment="1">
      <alignment horizontal="center" vertical="center" wrapText="1"/>
    </xf>
    <xf numFmtId="0" fontId="17" fillId="9" borderId="5" xfId="12" applyFont="1" applyFill="1" applyBorder="1" applyAlignment="1">
      <alignment horizontal="center" vertical="center" wrapText="1"/>
    </xf>
    <xf numFmtId="0" fontId="17" fillId="9" borderId="6" xfId="12" applyFont="1" applyFill="1" applyBorder="1" applyAlignment="1">
      <alignment horizontal="center" vertical="center" wrapText="1"/>
    </xf>
    <xf numFmtId="0" fontId="17" fillId="9" borderId="109" xfId="12" applyFont="1" applyFill="1" applyBorder="1" applyAlignment="1">
      <alignment horizontal="center" vertical="center" wrapText="1"/>
    </xf>
    <xf numFmtId="0" fontId="17" fillId="9" borderId="110" xfId="12" applyFont="1" applyFill="1" applyBorder="1" applyAlignment="1">
      <alignment horizontal="center" vertical="center" wrapText="1"/>
    </xf>
    <xf numFmtId="0" fontId="17" fillId="9" borderId="7" xfId="12" applyFont="1" applyFill="1" applyBorder="1" applyAlignment="1">
      <alignment horizontal="center" vertical="center" wrapText="1"/>
    </xf>
    <xf numFmtId="0" fontId="17" fillId="9" borderId="8" xfId="12" applyFont="1" applyFill="1" applyBorder="1" applyAlignment="1">
      <alignment horizontal="center" vertical="center" wrapText="1"/>
    </xf>
    <xf numFmtId="0" fontId="17" fillId="9" borderId="1" xfId="12" applyFont="1" applyFill="1" applyBorder="1" applyAlignment="1">
      <alignment horizontal="center" vertical="center"/>
    </xf>
    <xf numFmtId="0" fontId="20" fillId="6" borderId="111" xfId="0" applyFont="1" applyFill="1" applyBorder="1" applyAlignment="1">
      <alignment horizontal="left" vertical="center" wrapText="1"/>
    </xf>
    <xf numFmtId="0" fontId="20" fillId="6" borderId="71" xfId="0" applyFont="1" applyFill="1" applyBorder="1" applyAlignment="1">
      <alignment horizontal="left" vertical="center" wrapText="1"/>
    </xf>
    <xf numFmtId="20" fontId="17" fillId="0" borderId="1" xfId="12" applyNumberFormat="1" applyFont="1" applyBorder="1" applyAlignment="1">
      <alignment horizontal="center" vertical="center"/>
    </xf>
  </cellXfs>
  <cellStyles count="21">
    <cellStyle name="一般" xfId="0" builtinId="0"/>
    <cellStyle name="一般 2" xfId="1" xr:uid="{F94DDA6A-D542-493C-90FE-7FA14B40041B}"/>
    <cellStyle name="一般 2 17 2" xfId="2" xr:uid="{00000000-0005-0000-0000-000001000000}"/>
    <cellStyle name="一般 2 17 2 2" xfId="3" xr:uid="{E01C5B43-548A-48D1-B333-4387A262A509}"/>
    <cellStyle name="一般 2 18" xfId="4" xr:uid="{00000000-0005-0000-0000-000002000000}"/>
    <cellStyle name="一般 2 18 2" xfId="5" xr:uid="{03161FD6-4425-4262-BB2E-6D1063ACF793}"/>
    <cellStyle name="一般 2 2 2 2" xfId="6" xr:uid="{00000000-0005-0000-0000-000003000000}"/>
    <cellStyle name="一般 2 2 2 2 2" xfId="7" xr:uid="{DA50E455-3E19-4382-87FF-86AEE4927DF6}"/>
    <cellStyle name="一般 2 2 4" xfId="8" xr:uid="{00000000-0005-0000-0000-000004000000}"/>
    <cellStyle name="一般 2 2 4 2" xfId="9" xr:uid="{01302544-1802-4AFB-AC12-3C2E43DC83D6}"/>
    <cellStyle name="一般 2 2 4 3" xfId="10" xr:uid="{5CF42824-9C19-40E7-B382-3C290E62F3B6}"/>
    <cellStyle name="一般 2 4 2" xfId="11" xr:uid="{00000000-0005-0000-0000-000005000000}"/>
    <cellStyle name="一般 2 8" xfId="12" xr:uid="{00000000-0005-0000-0000-000006000000}"/>
    <cellStyle name="一般 2 8 2" xfId="13" xr:uid="{334CB01B-E727-4275-8081-33B90D63854F}"/>
    <cellStyle name="千分位 2 8" xfId="14" xr:uid="{00000000-0005-0000-0000-000007000000}"/>
    <cellStyle name="千分位 2 8 2" xfId="15" xr:uid="{BB0D4EC8-904D-4466-883D-5E832DE73CA2}"/>
    <cellStyle name="千分位 9 5" xfId="16" xr:uid="{00000000-0005-0000-0000-000008000000}"/>
    <cellStyle name="百分比 2 2 2 2" xfId="17" xr:uid="{00000000-0005-0000-0000-000009000000}"/>
    <cellStyle name="百分比 2 2 2 2 2" xfId="18" xr:uid="{5BC30C65-EF5D-4641-9B4F-74412295E429}"/>
    <cellStyle name="百分比 2 5" xfId="19" xr:uid="{00000000-0005-0000-0000-00000A000000}"/>
    <cellStyle name="百分比 7" xfId="20" xr:uid="{00000000-0005-0000-0000-00000B000000}"/>
  </cellStyles>
  <dxfs count="357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Desktop\&#29983;&#29986;&#26085;&#22577;(&#24037;&#24288;&#23492;)\&#38263;&#23478;\114.12\&#20154;&#26178;&#24615;\&#38263;&#23478;&#29983;&#29986;&#26085;&#22577;1201-12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廠價表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7F599-2E13-43BF-8E2B-E361608A8619}" name="表格1" displayName="表格1" ref="A1:E55" totalsRowShown="0">
  <autoFilter ref="A1:E55" xr:uid="{A3D7F599-2E13-43BF-8E2B-E361608A8619}"/>
  <tableColumns count="5">
    <tableColumn id="1" xr3:uid="{26251F6B-0C35-451C-8612-21B2F3237164}" name="check" dataDxfId="356"/>
    <tableColumn id="2" xr3:uid="{0EF7F6B4-9C0C-43CE-A51A-B1FB93D7A59A}" name="溫層"/>
    <tableColumn id="4" xr3:uid="{DA95F27F-5DFE-4BF9-8388-9DBA4A1DA9CF}" name="品名"/>
    <tableColumn id="3" xr3:uid="{ACECD0F5-20A8-4FF2-BD6D-4A5318DD557B}" name="類別"/>
    <tableColumn id="5" xr3:uid="{4B389BDA-C253-4F22-9D33-981427ED4D0C}" name="廠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E799-46E2-4819-9E19-4AC10DA14623}">
  <sheetPr codeName="工作表1"/>
  <dimension ref="A1:G55"/>
  <sheetViews>
    <sheetView workbookViewId="0">
      <selection activeCell="E17" sqref="E17"/>
    </sheetView>
  </sheetViews>
  <sheetFormatPr defaultColWidth="10.28515625" defaultRowHeight="15.75"/>
  <cols>
    <col min="1" max="1" width="7.5703125" style="347" customWidth="1"/>
    <col min="2" max="2" width="10.28515625" style="347" customWidth="1"/>
    <col min="3" max="3" width="37.140625" style="347" customWidth="1"/>
    <col min="4" max="6" width="10.28515625" style="347" customWidth="1"/>
    <col min="7" max="7" width="26" style="347" bestFit="1" customWidth="1"/>
    <col min="8" max="97" width="10.28515625" style="347" customWidth="1"/>
    <col min="98" max="16384" width="10.28515625" style="347"/>
  </cols>
  <sheetData>
    <row r="1" spans="1:7">
      <c r="A1" s="351" t="s">
        <v>224</v>
      </c>
      <c r="B1" s="352" t="s">
        <v>89</v>
      </c>
      <c r="C1" s="352" t="s">
        <v>19</v>
      </c>
      <c r="D1" s="352" t="s">
        <v>225</v>
      </c>
      <c r="E1" s="352" t="s">
        <v>20</v>
      </c>
    </row>
    <row r="2" spans="1:7">
      <c r="A2" s="353"/>
      <c r="B2" s="354" t="s">
        <v>226</v>
      </c>
      <c r="C2" s="75" t="s">
        <v>227</v>
      </c>
      <c r="D2" s="354" t="s">
        <v>81</v>
      </c>
      <c r="E2" s="75">
        <v>57.21</v>
      </c>
    </row>
    <row r="3" spans="1:7">
      <c r="A3" s="353"/>
      <c r="B3" s="354" t="s">
        <v>226</v>
      </c>
      <c r="C3" s="75" t="s">
        <v>113</v>
      </c>
      <c r="D3" s="354" t="s">
        <v>81</v>
      </c>
      <c r="E3" s="75">
        <v>56.87</v>
      </c>
    </row>
    <row r="4" spans="1:7">
      <c r="A4" s="353"/>
      <c r="B4" s="354" t="s">
        <v>226</v>
      </c>
      <c r="C4" s="75" t="s">
        <v>118</v>
      </c>
      <c r="D4" s="354" t="s">
        <v>81</v>
      </c>
      <c r="E4" s="75">
        <v>50.39</v>
      </c>
    </row>
    <row r="5" spans="1:7">
      <c r="A5" s="353"/>
      <c r="B5" s="354" t="s">
        <v>226</v>
      </c>
      <c r="C5" s="75" t="s">
        <v>129</v>
      </c>
      <c r="D5" s="354" t="s">
        <v>81</v>
      </c>
      <c r="E5" s="75">
        <v>49.97</v>
      </c>
    </row>
    <row r="6" spans="1:7">
      <c r="A6" s="353"/>
      <c r="B6" s="354" t="s">
        <v>226</v>
      </c>
      <c r="C6" s="75" t="s">
        <v>114</v>
      </c>
      <c r="D6" s="354" t="s">
        <v>81</v>
      </c>
      <c r="E6" s="75">
        <v>49.14</v>
      </c>
    </row>
    <row r="7" spans="1:7">
      <c r="A7" s="353"/>
      <c r="B7" s="354" t="s">
        <v>226</v>
      </c>
      <c r="C7" s="355" t="s">
        <v>228</v>
      </c>
      <c r="D7" s="354" t="s">
        <v>81</v>
      </c>
      <c r="E7" s="75">
        <v>58.17</v>
      </c>
    </row>
    <row r="8" spans="1:7">
      <c r="A8" s="353"/>
      <c r="B8" s="354" t="s">
        <v>226</v>
      </c>
      <c r="C8" s="355" t="s">
        <v>117</v>
      </c>
      <c r="D8" s="354" t="s">
        <v>81</v>
      </c>
      <c r="E8" s="75">
        <v>56.61</v>
      </c>
    </row>
    <row r="9" spans="1:7">
      <c r="A9" s="353"/>
      <c r="B9" s="354" t="s">
        <v>226</v>
      </c>
      <c r="C9" s="350" t="s">
        <v>119</v>
      </c>
      <c r="D9" s="354" t="s">
        <v>81</v>
      </c>
      <c r="E9" s="75">
        <v>50.67</v>
      </c>
    </row>
    <row r="10" spans="1:7">
      <c r="A10" s="353"/>
      <c r="B10" s="354" t="s">
        <v>226</v>
      </c>
      <c r="C10" s="350" t="s">
        <v>229</v>
      </c>
      <c r="D10" s="354" t="s">
        <v>81</v>
      </c>
      <c r="E10" s="75">
        <v>56.28</v>
      </c>
    </row>
    <row r="11" spans="1:7">
      <c r="A11" s="353"/>
      <c r="B11" s="354" t="s">
        <v>226</v>
      </c>
      <c r="C11" s="75" t="s">
        <v>128</v>
      </c>
      <c r="D11" s="354" t="s">
        <v>81</v>
      </c>
      <c r="E11" s="75">
        <v>57.21</v>
      </c>
    </row>
    <row r="12" spans="1:7">
      <c r="A12" s="353"/>
      <c r="B12" s="354" t="s">
        <v>226</v>
      </c>
      <c r="C12" s="350" t="s">
        <v>117</v>
      </c>
      <c r="D12" s="354" t="s">
        <v>81</v>
      </c>
      <c r="E12" s="75">
        <v>56.61</v>
      </c>
    </row>
    <row r="13" spans="1:7">
      <c r="A13" s="353"/>
      <c r="B13" s="354" t="s">
        <v>226</v>
      </c>
      <c r="C13" s="345" t="s">
        <v>115</v>
      </c>
      <c r="D13" s="354" t="s">
        <v>81</v>
      </c>
      <c r="E13" s="75">
        <v>58.17</v>
      </c>
      <c r="G13" s="349"/>
    </row>
    <row r="14" spans="1:7">
      <c r="A14" s="353"/>
      <c r="B14" s="354" t="s">
        <v>226</v>
      </c>
      <c r="C14" s="75" t="s">
        <v>116</v>
      </c>
      <c r="D14" s="354" t="s">
        <v>81</v>
      </c>
      <c r="E14" s="75">
        <v>50.67</v>
      </c>
    </row>
    <row r="15" spans="1:7">
      <c r="A15" s="353"/>
      <c r="B15" s="354" t="s">
        <v>226</v>
      </c>
      <c r="C15" s="75" t="s">
        <v>230</v>
      </c>
      <c r="D15" s="354" t="s">
        <v>81</v>
      </c>
      <c r="E15" s="75">
        <v>57.3</v>
      </c>
    </row>
    <row r="16" spans="1:7">
      <c r="A16" s="353"/>
      <c r="B16" s="354" t="s">
        <v>226</v>
      </c>
      <c r="C16" s="75" t="s">
        <v>145</v>
      </c>
      <c r="D16" s="354" t="s">
        <v>81</v>
      </c>
      <c r="E16" s="75">
        <v>57.21</v>
      </c>
    </row>
    <row r="17" spans="1:5">
      <c r="A17" s="353"/>
      <c r="B17" s="354" t="s">
        <v>226</v>
      </c>
      <c r="C17" s="75" t="s">
        <v>115</v>
      </c>
      <c r="D17" s="354" t="s">
        <v>81</v>
      </c>
      <c r="E17" s="75">
        <v>58.17</v>
      </c>
    </row>
    <row r="18" spans="1:5">
      <c r="A18" s="353"/>
      <c r="B18" s="354" t="s">
        <v>226</v>
      </c>
      <c r="C18" s="75" t="s">
        <v>121</v>
      </c>
      <c r="D18" s="354" t="s">
        <v>81</v>
      </c>
      <c r="E18" s="75">
        <v>50.289000000000001</v>
      </c>
    </row>
    <row r="19" spans="1:5">
      <c r="A19" s="353"/>
      <c r="B19" s="354" t="s">
        <v>226</v>
      </c>
      <c r="C19" s="75" t="s">
        <v>126</v>
      </c>
      <c r="D19" s="354" t="s">
        <v>123</v>
      </c>
      <c r="E19" s="75">
        <v>49.91</v>
      </c>
    </row>
    <row r="20" spans="1:5">
      <c r="A20" s="353"/>
      <c r="B20" s="354" t="s">
        <v>226</v>
      </c>
      <c r="C20" s="75" t="s">
        <v>124</v>
      </c>
      <c r="D20" s="354" t="s">
        <v>123</v>
      </c>
      <c r="E20" s="75">
        <v>44.3</v>
      </c>
    </row>
    <row r="21" spans="1:5">
      <c r="A21" s="353"/>
      <c r="B21" s="354" t="s">
        <v>226</v>
      </c>
      <c r="C21" s="75" t="s">
        <v>127</v>
      </c>
      <c r="D21" s="354" t="s">
        <v>123</v>
      </c>
      <c r="E21" s="75">
        <v>49.52</v>
      </c>
    </row>
    <row r="22" spans="1:5">
      <c r="A22" s="353"/>
      <c r="B22" s="354"/>
      <c r="C22" s="75"/>
      <c r="D22" s="354"/>
      <c r="E22" s="75"/>
    </row>
    <row r="23" spans="1:5">
      <c r="A23" s="353"/>
      <c r="B23" s="354" t="s">
        <v>226</v>
      </c>
      <c r="C23" s="75"/>
      <c r="D23" s="354" t="s">
        <v>130</v>
      </c>
      <c r="E23" s="75"/>
    </row>
    <row r="24" spans="1:5">
      <c r="A24" s="353"/>
      <c r="B24" s="354" t="s">
        <v>226</v>
      </c>
      <c r="C24" s="75" t="s">
        <v>131</v>
      </c>
      <c r="D24" s="354" t="s">
        <v>130</v>
      </c>
      <c r="E24" s="75">
        <v>26.99</v>
      </c>
    </row>
    <row r="25" spans="1:5">
      <c r="A25" s="353"/>
      <c r="B25" s="354" t="s">
        <v>226</v>
      </c>
      <c r="C25" s="75" t="s">
        <v>132</v>
      </c>
      <c r="D25" s="354" t="s">
        <v>130</v>
      </c>
      <c r="E25" s="75">
        <v>28.26</v>
      </c>
    </row>
    <row r="26" spans="1:5">
      <c r="A26" s="353"/>
      <c r="B26" s="354" t="s">
        <v>226</v>
      </c>
      <c r="C26" s="75" t="s">
        <v>231</v>
      </c>
      <c r="D26" s="354" t="s">
        <v>130</v>
      </c>
      <c r="E26" s="75">
        <v>28.26</v>
      </c>
    </row>
    <row r="27" spans="1:5">
      <c r="A27" s="353"/>
      <c r="B27" s="354"/>
      <c r="C27" s="75"/>
      <c r="D27" s="354"/>
      <c r="E27" s="75"/>
    </row>
    <row r="28" spans="1:5">
      <c r="A28" s="353"/>
      <c r="B28" s="354"/>
      <c r="C28" s="75"/>
      <c r="D28" s="354"/>
      <c r="E28" s="75"/>
    </row>
    <row r="29" spans="1:5">
      <c r="A29" s="353"/>
      <c r="B29" s="354"/>
      <c r="C29" s="75"/>
      <c r="D29" s="354"/>
      <c r="E29" s="75"/>
    </row>
    <row r="30" spans="1:5">
      <c r="A30" s="353"/>
      <c r="B30" s="354"/>
      <c r="C30" s="75"/>
      <c r="D30" s="354"/>
      <c r="E30" s="75"/>
    </row>
    <row r="31" spans="1:5">
      <c r="A31" s="353"/>
      <c r="B31" s="354"/>
      <c r="C31" s="75"/>
      <c r="D31" s="354"/>
      <c r="E31" s="75"/>
    </row>
    <row r="32" spans="1:5">
      <c r="A32" s="353"/>
      <c r="B32" s="354"/>
      <c r="C32" s="75"/>
      <c r="D32" s="354"/>
      <c r="E32" s="75"/>
    </row>
    <row r="33" spans="1:5">
      <c r="A33" s="351"/>
      <c r="B33" s="354"/>
      <c r="C33" s="75"/>
      <c r="D33" s="354"/>
      <c r="E33" s="75"/>
    </row>
    <row r="34" spans="1:5">
      <c r="A34" s="351"/>
      <c r="B34" s="354"/>
      <c r="C34" s="354"/>
      <c r="D34" s="354"/>
      <c r="E34" s="75"/>
    </row>
    <row r="35" spans="1:5">
      <c r="A35" s="351"/>
      <c r="B35" s="354"/>
      <c r="C35" s="354"/>
      <c r="D35" s="354"/>
      <c r="E35" s="354"/>
    </row>
    <row r="36" spans="1:5">
      <c r="A36" s="351"/>
      <c r="B36" s="354"/>
      <c r="C36" s="354"/>
      <c r="D36" s="354"/>
      <c r="E36" s="354"/>
    </row>
    <row r="37" spans="1:5">
      <c r="A37" s="351"/>
      <c r="B37" s="356"/>
      <c r="C37" s="354"/>
      <c r="D37" s="356"/>
      <c r="E37" s="354"/>
    </row>
    <row r="38" spans="1:5">
      <c r="A38" s="351"/>
      <c r="B38" s="356"/>
      <c r="C38" s="354"/>
      <c r="D38" s="356"/>
      <c r="E38" s="354"/>
    </row>
    <row r="39" spans="1:5">
      <c r="A39" s="351"/>
      <c r="B39" s="356"/>
      <c r="C39" s="75"/>
      <c r="D39" s="356"/>
      <c r="E39" s="75"/>
    </row>
    <row r="40" spans="1:5">
      <c r="A40" s="351"/>
      <c r="B40" s="356"/>
      <c r="C40" s="350"/>
      <c r="D40" s="356"/>
      <c r="E40" s="75"/>
    </row>
    <row r="41" spans="1:5">
      <c r="A41" s="351"/>
      <c r="B41" s="356"/>
      <c r="C41" s="354"/>
      <c r="D41" s="356"/>
      <c r="E41" s="354"/>
    </row>
    <row r="42" spans="1:5">
      <c r="A42" s="351"/>
      <c r="B42" s="357"/>
      <c r="C42" s="357"/>
      <c r="D42" s="357"/>
      <c r="E42" s="357"/>
    </row>
    <row r="43" spans="1:5">
      <c r="A43" s="351"/>
      <c r="B43" s="357"/>
      <c r="C43" s="357"/>
      <c r="D43" s="357"/>
      <c r="E43" s="357"/>
    </row>
    <row r="44" spans="1:5">
      <c r="A44" s="351"/>
      <c r="B44" s="357"/>
      <c r="C44" s="357"/>
      <c r="D44" s="357"/>
      <c r="E44" s="357"/>
    </row>
    <row r="45" spans="1:5">
      <c r="A45" s="351"/>
      <c r="B45" s="357"/>
      <c r="C45" s="357"/>
      <c r="D45" s="357"/>
      <c r="E45" s="357"/>
    </row>
    <row r="46" spans="1:5">
      <c r="A46" s="351"/>
      <c r="B46" s="354" t="s">
        <v>232</v>
      </c>
      <c r="C46" s="75" t="s">
        <v>116</v>
      </c>
      <c r="D46" s="354" t="s">
        <v>222</v>
      </c>
      <c r="E46" s="75">
        <v>29.38</v>
      </c>
    </row>
    <row r="47" spans="1:5">
      <c r="A47" s="351"/>
      <c r="B47" s="354" t="s">
        <v>232</v>
      </c>
      <c r="C47" s="75" t="s">
        <v>233</v>
      </c>
      <c r="D47" s="354" t="s">
        <v>222</v>
      </c>
      <c r="E47" s="75">
        <v>29.38</v>
      </c>
    </row>
    <row r="48" spans="1:5">
      <c r="A48" s="351"/>
      <c r="B48" s="354" t="s">
        <v>232</v>
      </c>
      <c r="C48" s="75" t="s">
        <v>234</v>
      </c>
      <c r="D48" s="354" t="s">
        <v>222</v>
      </c>
      <c r="E48" s="75">
        <v>29.38</v>
      </c>
    </row>
    <row r="49" spans="1:5">
      <c r="A49" s="351"/>
      <c r="B49" s="354" t="s">
        <v>232</v>
      </c>
      <c r="C49" s="75" t="s">
        <v>223</v>
      </c>
      <c r="D49" s="354" t="s">
        <v>222</v>
      </c>
      <c r="E49" s="75">
        <v>29.38</v>
      </c>
    </row>
    <row r="50" spans="1:5">
      <c r="A50" s="351"/>
      <c r="B50" s="354" t="s">
        <v>232</v>
      </c>
      <c r="C50" s="75" t="s">
        <v>235</v>
      </c>
      <c r="D50" s="354" t="s">
        <v>222</v>
      </c>
      <c r="E50" s="75">
        <v>29.38</v>
      </c>
    </row>
    <row r="51" spans="1:5">
      <c r="A51" s="351"/>
      <c r="B51" s="354" t="s">
        <v>232</v>
      </c>
      <c r="C51" s="75" t="s">
        <v>236</v>
      </c>
      <c r="D51" s="354" t="s">
        <v>222</v>
      </c>
      <c r="E51" s="75">
        <v>29.38</v>
      </c>
    </row>
    <row r="52" spans="1:5">
      <c r="A52" s="351"/>
      <c r="B52" s="354" t="s">
        <v>232</v>
      </c>
      <c r="C52" s="75"/>
      <c r="D52" s="354" t="s">
        <v>222</v>
      </c>
      <c r="E52" s="75"/>
    </row>
    <row r="53" spans="1:5">
      <c r="A53" s="351"/>
      <c r="B53" s="354" t="s">
        <v>232</v>
      </c>
      <c r="C53" s="354" t="s">
        <v>237</v>
      </c>
      <c r="D53" s="354" t="s">
        <v>222</v>
      </c>
      <c r="E53" s="75">
        <v>29.38</v>
      </c>
    </row>
    <row r="54" spans="1:5">
      <c r="A54" s="351"/>
      <c r="B54" s="354" t="s">
        <v>232</v>
      </c>
      <c r="C54" s="354"/>
      <c r="D54" s="354" t="s">
        <v>222</v>
      </c>
      <c r="E54" s="354"/>
    </row>
    <row r="55" spans="1:5">
      <c r="A55" s="351"/>
      <c r="B55" s="354" t="s">
        <v>232</v>
      </c>
      <c r="C55" s="354" t="s">
        <v>238</v>
      </c>
      <c r="D55" s="354" t="s">
        <v>222</v>
      </c>
      <c r="E55" s="354">
        <v>29.38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6A3F-805F-4122-980C-9A7A13A335F6}">
  <sheetPr codeName="工作表2"/>
  <dimension ref="A1:N34"/>
  <sheetViews>
    <sheetView zoomScale="115" zoomScaleNormal="115" workbookViewId="0">
      <selection activeCell="L23" sqref="L23"/>
    </sheetView>
  </sheetViews>
  <sheetFormatPr defaultColWidth="10.28515625" defaultRowHeight="15.75"/>
  <cols>
    <col min="1" max="1" width="40.5703125" style="347" customWidth="1"/>
    <col min="2" max="6" width="10.28515625" style="347" customWidth="1"/>
    <col min="7" max="7" width="26" style="347" bestFit="1" customWidth="1"/>
    <col min="8" max="97" width="10.28515625" style="347" customWidth="1"/>
    <col min="98" max="16384" width="10.28515625" style="347"/>
  </cols>
  <sheetData>
    <row r="1" spans="1:14">
      <c r="A1" s="345" t="s">
        <v>239</v>
      </c>
      <c r="B1" s="345" t="s">
        <v>24</v>
      </c>
      <c r="C1" s="345" t="s">
        <v>240</v>
      </c>
      <c r="D1" s="346"/>
      <c r="E1" s="347" t="s">
        <v>241</v>
      </c>
      <c r="F1" s="361"/>
      <c r="G1" s="347" t="s">
        <v>111</v>
      </c>
    </row>
    <row r="2" spans="1:14">
      <c r="A2" s="345" t="s">
        <v>81</v>
      </c>
      <c r="B2" s="345"/>
      <c r="C2" s="345"/>
      <c r="D2" s="346"/>
    </row>
    <row r="3" spans="1:14">
      <c r="A3" s="345" t="s">
        <v>113</v>
      </c>
      <c r="B3" s="345">
        <v>15</v>
      </c>
      <c r="C3" s="345">
        <v>2250</v>
      </c>
      <c r="D3" s="348" t="s">
        <v>106</v>
      </c>
      <c r="E3" s="347">
        <f>C3/B3</f>
        <v>150</v>
      </c>
      <c r="F3" s="362"/>
    </row>
    <row r="4" spans="1:14">
      <c r="A4" s="345" t="s">
        <v>242</v>
      </c>
      <c r="B4" s="345">
        <v>17</v>
      </c>
      <c r="C4" s="345">
        <v>1716</v>
      </c>
      <c r="D4" s="348" t="s">
        <v>107</v>
      </c>
      <c r="E4" s="347">
        <f t="shared" ref="E4:E20" si="0">C4/B4</f>
        <v>100.94117647058823</v>
      </c>
    </row>
    <row r="5" spans="1:14">
      <c r="A5" s="345" t="s">
        <v>116</v>
      </c>
      <c r="B5" s="345">
        <v>13</v>
      </c>
      <c r="C5" s="345">
        <v>2250</v>
      </c>
      <c r="D5" s="346"/>
      <c r="E5" s="347">
        <f t="shared" si="0"/>
        <v>173.07692307692307</v>
      </c>
      <c r="F5" s="362"/>
    </row>
    <row r="6" spans="1:14">
      <c r="A6" s="345" t="s">
        <v>243</v>
      </c>
      <c r="B6" s="345">
        <v>16</v>
      </c>
      <c r="C6" s="345">
        <v>1714</v>
      </c>
      <c r="D6" s="346"/>
      <c r="E6" s="347">
        <f t="shared" si="0"/>
        <v>107.125</v>
      </c>
      <c r="F6" s="362"/>
    </row>
    <row r="7" spans="1:14">
      <c r="A7" s="345" t="s">
        <v>118</v>
      </c>
      <c r="B7" s="345">
        <v>12</v>
      </c>
      <c r="C7" s="345">
        <v>2250</v>
      </c>
      <c r="D7" s="346"/>
      <c r="E7" s="347">
        <f t="shared" si="0"/>
        <v>187.5</v>
      </c>
      <c r="F7" s="362"/>
    </row>
    <row r="8" spans="1:14">
      <c r="A8" s="345" t="s">
        <v>114</v>
      </c>
      <c r="B8" s="345">
        <v>15</v>
      </c>
      <c r="C8" s="345">
        <v>2250</v>
      </c>
      <c r="D8" s="346"/>
      <c r="E8" s="347">
        <f t="shared" si="0"/>
        <v>150</v>
      </c>
    </row>
    <row r="9" spans="1:14">
      <c r="A9" s="345" t="s">
        <v>244</v>
      </c>
      <c r="B9" s="345">
        <v>14</v>
      </c>
      <c r="C9" s="345">
        <v>2118</v>
      </c>
      <c r="D9" s="346"/>
      <c r="E9" s="347">
        <f t="shared" si="0"/>
        <v>151.28571428571428</v>
      </c>
      <c r="F9" s="362"/>
    </row>
    <row r="10" spans="1:14">
      <c r="A10" s="345" t="s">
        <v>128</v>
      </c>
      <c r="B10" s="345">
        <v>17</v>
      </c>
      <c r="C10" s="345">
        <v>1716</v>
      </c>
      <c r="D10" s="346"/>
      <c r="E10" s="347">
        <f t="shared" si="0"/>
        <v>100.94117647058823</v>
      </c>
    </row>
    <row r="11" spans="1:14">
      <c r="A11" s="350" t="s">
        <v>117</v>
      </c>
      <c r="B11" s="345">
        <v>15</v>
      </c>
      <c r="C11" s="345">
        <v>2250</v>
      </c>
      <c r="D11" s="346"/>
      <c r="E11" s="347">
        <f t="shared" si="0"/>
        <v>150</v>
      </c>
    </row>
    <row r="12" spans="1:14">
      <c r="A12" s="345" t="s">
        <v>115</v>
      </c>
      <c r="B12" s="345">
        <v>15</v>
      </c>
      <c r="C12" s="345">
        <v>2250</v>
      </c>
      <c r="D12" s="346"/>
      <c r="E12" s="347">
        <f t="shared" si="0"/>
        <v>150</v>
      </c>
    </row>
    <row r="13" spans="1:14">
      <c r="A13" s="345" t="s">
        <v>121</v>
      </c>
      <c r="B13" s="345">
        <v>19</v>
      </c>
      <c r="C13" s="345">
        <v>1565</v>
      </c>
      <c r="D13" s="346"/>
      <c r="E13" s="347">
        <f t="shared" si="0"/>
        <v>82.368421052631575</v>
      </c>
      <c r="G13" s="349"/>
      <c r="J13" s="345" t="s">
        <v>121</v>
      </c>
      <c r="K13" s="345">
        <v>17</v>
      </c>
      <c r="L13" s="345">
        <v>1565</v>
      </c>
      <c r="M13" s="346"/>
      <c r="N13" s="347">
        <f t="shared" ref="N13:N19" si="1">L13/K13</f>
        <v>92.058823529411768</v>
      </c>
    </row>
    <row r="14" spans="1:14">
      <c r="A14" s="345" t="s">
        <v>126</v>
      </c>
      <c r="B14" s="345">
        <v>15</v>
      </c>
      <c r="C14" s="345">
        <v>1714</v>
      </c>
      <c r="D14" s="346"/>
      <c r="E14" s="347">
        <f t="shared" si="0"/>
        <v>114.26666666666667</v>
      </c>
      <c r="F14" s="362"/>
      <c r="J14" s="345" t="s">
        <v>126</v>
      </c>
      <c r="K14" s="345">
        <v>14</v>
      </c>
      <c r="L14" s="345">
        <v>1714</v>
      </c>
      <c r="M14" s="346"/>
      <c r="N14" s="347">
        <f t="shared" si="1"/>
        <v>122.42857142857143</v>
      </c>
    </row>
    <row r="15" spans="1:14">
      <c r="A15" s="345" t="s">
        <v>129</v>
      </c>
      <c r="B15" s="345">
        <v>16</v>
      </c>
      <c r="C15" s="345">
        <v>1800</v>
      </c>
      <c r="D15" s="346"/>
      <c r="E15" s="347">
        <f t="shared" si="0"/>
        <v>112.5</v>
      </c>
      <c r="F15" s="362"/>
      <c r="G15" s="347" t="s">
        <v>245</v>
      </c>
      <c r="J15" s="345" t="s">
        <v>129</v>
      </c>
      <c r="K15" s="345">
        <v>15</v>
      </c>
      <c r="L15" s="345">
        <v>1800</v>
      </c>
      <c r="M15" s="346"/>
      <c r="N15" s="347">
        <f t="shared" si="1"/>
        <v>120</v>
      </c>
    </row>
    <row r="16" spans="1:14">
      <c r="A16" s="345" t="s">
        <v>127</v>
      </c>
      <c r="B16" s="345">
        <v>17</v>
      </c>
      <c r="C16" s="345">
        <v>1500</v>
      </c>
      <c r="D16" s="346"/>
      <c r="E16" s="347">
        <f t="shared" si="0"/>
        <v>88.235294117647058</v>
      </c>
      <c r="J16" s="345" t="s">
        <v>127</v>
      </c>
      <c r="K16" s="345">
        <v>16</v>
      </c>
      <c r="L16" s="345">
        <v>1500</v>
      </c>
      <c r="M16" s="346"/>
      <c r="N16" s="347">
        <f t="shared" si="1"/>
        <v>93.75</v>
      </c>
    </row>
    <row r="17" spans="1:14">
      <c r="A17" s="345" t="s">
        <v>124</v>
      </c>
      <c r="B17" s="345">
        <v>17</v>
      </c>
      <c r="C17" s="345">
        <v>1636</v>
      </c>
      <c r="D17" s="346"/>
      <c r="E17" s="347">
        <f t="shared" si="0"/>
        <v>96.235294117647058</v>
      </c>
      <c r="J17" s="345" t="s">
        <v>124</v>
      </c>
      <c r="K17" s="345">
        <v>16</v>
      </c>
      <c r="L17" s="345">
        <v>1636</v>
      </c>
      <c r="M17" s="346"/>
      <c r="N17" s="347">
        <f t="shared" si="1"/>
        <v>102.25</v>
      </c>
    </row>
    <row r="18" spans="1:14">
      <c r="A18" s="350" t="s">
        <v>246</v>
      </c>
      <c r="B18" s="345">
        <v>10</v>
      </c>
      <c r="C18" s="345">
        <v>1125</v>
      </c>
      <c r="D18" s="346"/>
      <c r="E18" s="347">
        <f t="shared" si="0"/>
        <v>112.5</v>
      </c>
      <c r="J18" s="350" t="s">
        <v>119</v>
      </c>
      <c r="K18" s="345">
        <v>12</v>
      </c>
      <c r="L18" s="345">
        <v>1440</v>
      </c>
      <c r="M18" s="346"/>
      <c r="N18" s="347">
        <f t="shared" si="1"/>
        <v>120</v>
      </c>
    </row>
    <row r="19" spans="1:14">
      <c r="A19" s="350" t="s">
        <v>119</v>
      </c>
      <c r="B19" s="345">
        <v>13</v>
      </c>
      <c r="C19" s="345">
        <v>1440</v>
      </c>
      <c r="D19" s="346"/>
      <c r="E19" s="347">
        <f t="shared" si="0"/>
        <v>110.76923076923077</v>
      </c>
      <c r="G19" s="347" t="s">
        <v>247</v>
      </c>
      <c r="J19" s="350" t="s">
        <v>145</v>
      </c>
      <c r="K19" s="345">
        <v>16</v>
      </c>
      <c r="L19" s="345">
        <v>1565</v>
      </c>
      <c r="M19" s="346"/>
      <c r="N19" s="347">
        <f t="shared" si="1"/>
        <v>97.8125</v>
      </c>
    </row>
    <row r="20" spans="1:14">
      <c r="A20" s="350" t="s">
        <v>145</v>
      </c>
      <c r="B20" s="345">
        <v>17</v>
      </c>
      <c r="C20" s="345">
        <v>1565</v>
      </c>
      <c r="D20" s="346"/>
      <c r="E20" s="347">
        <f t="shared" si="0"/>
        <v>92.058823529411768</v>
      </c>
    </row>
    <row r="21" spans="1:14">
      <c r="A21" s="345"/>
      <c r="B21" s="345"/>
      <c r="C21" s="345"/>
      <c r="D21" s="346"/>
    </row>
    <row r="22" spans="1:14">
      <c r="A22" s="345"/>
      <c r="B22" s="345"/>
      <c r="C22" s="345"/>
      <c r="D22" s="346"/>
    </row>
    <row r="23" spans="1:14">
      <c r="A23" s="350"/>
      <c r="B23" s="345"/>
      <c r="C23" s="345"/>
      <c r="D23" s="346"/>
    </row>
    <row r="24" spans="1:14">
      <c r="A24" s="345"/>
      <c r="B24" s="345"/>
      <c r="C24" s="345"/>
      <c r="D24" s="346"/>
    </row>
    <row r="25" spans="1:14">
      <c r="A25" s="350"/>
      <c r="B25" s="345"/>
      <c r="C25" s="345"/>
      <c r="D25" s="346"/>
    </row>
    <row r="26" spans="1:14">
      <c r="A26" s="345" t="s">
        <v>248</v>
      </c>
      <c r="B26" s="345"/>
      <c r="C26" s="345"/>
      <c r="D26" s="346"/>
    </row>
    <row r="27" spans="1:14">
      <c r="A27" s="345" t="s">
        <v>131</v>
      </c>
      <c r="B27" s="345">
        <v>15</v>
      </c>
      <c r="C27" s="345">
        <v>1565</v>
      </c>
      <c r="D27" s="346"/>
      <c r="E27" s="347">
        <f>C27/B27</f>
        <v>104.33333333333333</v>
      </c>
      <c r="G27" s="347" t="s">
        <v>249</v>
      </c>
    </row>
    <row r="28" spans="1:14">
      <c r="A28" s="345" t="s">
        <v>132</v>
      </c>
      <c r="B28" s="345">
        <v>12</v>
      </c>
      <c r="C28" s="345">
        <v>1565</v>
      </c>
      <c r="D28" s="346"/>
      <c r="E28" s="347">
        <f>C28/B28</f>
        <v>130.41666666666666</v>
      </c>
    </row>
    <row r="29" spans="1:14">
      <c r="A29" s="345" t="s">
        <v>231</v>
      </c>
      <c r="B29" s="345">
        <v>9</v>
      </c>
      <c r="C29" s="345">
        <v>1636</v>
      </c>
      <c r="E29" s="347">
        <f>C29/B29</f>
        <v>181.77777777777777</v>
      </c>
    </row>
    <row r="30" spans="1:14">
      <c r="A30" s="345"/>
      <c r="B30" s="345"/>
      <c r="C30" s="345"/>
    </row>
    <row r="31" spans="1:14">
      <c r="A31" s="345"/>
      <c r="B31" s="345"/>
      <c r="C31" s="345"/>
    </row>
    <row r="32" spans="1:14">
      <c r="A32" s="345"/>
      <c r="B32" s="345"/>
      <c r="C32" s="345"/>
    </row>
    <row r="33" spans="1:5">
      <c r="A33" s="345"/>
      <c r="B33" s="345"/>
      <c r="C33" s="345"/>
    </row>
    <row r="34" spans="1:5">
      <c r="E34" s="347" t="s">
        <v>250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3">
    <pageSetUpPr fitToPage="1"/>
  </sheetPr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46015</v>
      </c>
      <c r="E3" s="412"/>
      <c r="F3" s="3" t="s">
        <v>72</v>
      </c>
      <c r="G3" s="413">
        <f>範本!E1</f>
        <v>43309</v>
      </c>
      <c r="H3" s="413"/>
      <c r="I3" s="3" t="s">
        <v>2</v>
      </c>
      <c r="J3" s="414" t="e">
        <f>範本!G1</f>
        <v>#N/A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 t="e">
        <f>AVERAGE(D13:J13)</f>
        <v>#N/A</v>
      </c>
      <c r="G6" s="410"/>
      <c r="H6" s="395" t="e">
        <f>AVERAGE(D13:H13)</f>
        <v>#N/A</v>
      </c>
      <c r="I6" s="395"/>
      <c r="J6" s="395" t="e">
        <f>AVERAGE(I13:J13)</f>
        <v>#N/A</v>
      </c>
      <c r="K6" s="395"/>
      <c r="L6" s="397">
        <f>範本!Z2</f>
        <v>0</v>
      </c>
      <c r="M6" s="398">
        <f>範本!AA2</f>
        <v>0</v>
      </c>
      <c r="N6" s="400">
        <f>範本!AD2</f>
        <v>0</v>
      </c>
      <c r="O6" s="398">
        <f>範本!AE2</f>
        <v>0</v>
      </c>
    </row>
    <row r="7" spans="2:15" s="6" customFormat="1" ht="39.6" customHeight="1">
      <c r="B7" s="406"/>
      <c r="C7" s="406"/>
      <c r="D7" s="401" t="s">
        <v>87</v>
      </c>
      <c r="E7" s="401"/>
      <c r="F7" s="402">
        <f>AVERAGE(D14:J14)</f>
        <v>116.11474837607263</v>
      </c>
      <c r="G7" s="402"/>
      <c r="H7" s="403">
        <f>AVERAGE(D14:H14)</f>
        <v>117.36074805627914</v>
      </c>
      <c r="I7" s="403"/>
      <c r="J7" s="403">
        <f>AVERAGE(I14:J14)</f>
        <v>112.99974917555633</v>
      </c>
      <c r="K7" s="403"/>
      <c r="L7" s="397"/>
      <c r="M7" s="398"/>
      <c r="N7" s="400"/>
      <c r="O7" s="398"/>
    </row>
    <row r="8" spans="2:15" s="6" customFormat="1" ht="39.6" customHeight="1">
      <c r="B8" s="406"/>
      <c r="C8" s="406"/>
      <c r="D8" s="401" t="s">
        <v>27</v>
      </c>
      <c r="E8" s="401"/>
      <c r="F8" s="387" t="e">
        <f>AVERAGE(D15:J15)</f>
        <v>#N/A</v>
      </c>
      <c r="G8" s="387"/>
      <c r="H8" s="387" t="e">
        <f>AVERAGE(D15:H15)</f>
        <v>#N/A</v>
      </c>
      <c r="I8" s="387"/>
      <c r="J8" s="387" t="e">
        <f>AVERAGE(I15:J15)</f>
        <v>#N/A</v>
      </c>
      <c r="K8" s="387"/>
      <c r="L8" s="397"/>
      <c r="M8" s="398"/>
      <c r="N8" s="400"/>
      <c r="O8" s="39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381"/>
      <c r="C14" s="12" t="s">
        <v>100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382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383" t="s">
        <v>101</v>
      </c>
      <c r="C16" s="10" t="s">
        <v>34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384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85" t="s">
        <v>102</v>
      </c>
      <c r="C18" s="330" t="s">
        <v>36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386"/>
      <c r="C19" s="330" t="s">
        <v>37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385" t="s">
        <v>103</v>
      </c>
      <c r="C20" s="330" t="s">
        <v>36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386"/>
      <c r="C21" s="330" t="s">
        <v>85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377" t="s">
        <v>104</v>
      </c>
      <c r="C22" s="378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355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4">
    <tabColor theme="9" tint="0.79998168889431442"/>
    <pageSetUpPr fitToPage="1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21" width="8.7109375" style="34" customWidth="1"/>
    <col min="12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13</v>
      </c>
      <c r="B2" s="422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0</v>
      </c>
      <c r="AA2" s="339">
        <f>AA15+AA26+AA37+AA48+AA58+AA69+AA79</f>
        <v>0</v>
      </c>
      <c r="AB2" s="460"/>
      <c r="AC2" s="460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16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68"/>
      <c r="AC5" s="468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61" t="e">
        <f>AG15</f>
        <v>#N/A</v>
      </c>
    </row>
    <row r="6" spans="1:34" ht="15" customHeight="1">
      <c r="A6" s="428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17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65"/>
      <c r="AC6" s="465"/>
      <c r="AD6" s="149"/>
      <c r="AE6" s="149"/>
      <c r="AF6" s="307" t="e">
        <f t="shared" si="1"/>
        <v>#N/A</v>
      </c>
      <c r="AG6" s="72" t="e">
        <f t="shared" si="2"/>
        <v>#N/A</v>
      </c>
      <c r="AH6" s="462"/>
    </row>
    <row r="7" spans="1:34" ht="15" customHeight="1">
      <c r="A7" s="428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17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66"/>
      <c r="AC7" s="466"/>
      <c r="AD7" s="92"/>
      <c r="AE7" s="92"/>
      <c r="AF7" s="307" t="e">
        <f t="shared" si="1"/>
        <v>#N/A</v>
      </c>
      <c r="AG7" s="72" t="e">
        <f t="shared" si="2"/>
        <v>#N/A</v>
      </c>
      <c r="AH7" s="462"/>
    </row>
    <row r="8" spans="1:34" ht="15" customHeight="1">
      <c r="A8" s="428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7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65"/>
      <c r="AC8" s="465"/>
      <c r="AD8" s="149"/>
      <c r="AE8" s="149"/>
      <c r="AF8" s="307">
        <f t="shared" si="1"/>
        <v>0</v>
      </c>
      <c r="AG8" s="72" t="e">
        <f t="shared" si="2"/>
        <v>#DIV/0!</v>
      </c>
      <c r="AH8" s="462"/>
    </row>
    <row r="9" spans="1:34" ht="15" customHeight="1">
      <c r="A9" s="42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8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5"/>
      <c r="AC9" s="465"/>
      <c r="AD9" s="149"/>
      <c r="AE9" s="149"/>
      <c r="AF9" s="307">
        <f t="shared" si="1"/>
        <v>0</v>
      </c>
      <c r="AG9" s="72" t="e">
        <f t="shared" si="2"/>
        <v>#DIV/0!</v>
      </c>
      <c r="AH9" s="463"/>
    </row>
    <row r="10" spans="1:34" ht="15" customHeight="1">
      <c r="A10" s="42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8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6"/>
      <c r="AC10" s="466"/>
      <c r="AD10" s="92"/>
      <c r="AE10" s="92"/>
      <c r="AF10" s="307">
        <f t="shared" si="1"/>
        <v>0</v>
      </c>
      <c r="AG10" s="72" t="e">
        <f t="shared" si="2"/>
        <v>#DIV/0!</v>
      </c>
      <c r="AH10" s="463"/>
    </row>
    <row r="11" spans="1:34" ht="15" customHeight="1">
      <c r="A11" s="42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5"/>
      <c r="AC11" s="465"/>
      <c r="AD11" s="149"/>
      <c r="AE11" s="149"/>
      <c r="AF11" s="307">
        <f t="shared" si="1"/>
        <v>0</v>
      </c>
      <c r="AG11" s="72" t="e">
        <f t="shared" si="2"/>
        <v>#DIV/0!</v>
      </c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7"/>
      <c r="AC15" s="467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64"/>
    </row>
    <row r="16" spans="1:34" ht="15" customHeight="1">
      <c r="A16" s="478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72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68"/>
      <c r="AC16" s="468"/>
      <c r="AD16" s="135"/>
      <c r="AE16" s="135"/>
      <c r="AF16" s="229" t="e">
        <f>N16-K16</f>
        <v>#N/A</v>
      </c>
      <c r="AG16" s="52" t="e">
        <f>N16/K16</f>
        <v>#N/A</v>
      </c>
      <c r="AH16" s="461" t="e">
        <f>AG26</f>
        <v>#N/A</v>
      </c>
    </row>
    <row r="17" spans="1:34" ht="15" customHeight="1">
      <c r="A17" s="479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73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66"/>
      <c r="AC17" s="466"/>
      <c r="AD17" s="92"/>
      <c r="AE17" s="92"/>
      <c r="AF17" s="307" t="e">
        <f>N17-K17</f>
        <v>#N/A</v>
      </c>
      <c r="AG17" s="72" t="e">
        <f>N17/K17</f>
        <v>#N/A</v>
      </c>
      <c r="AH17" s="462"/>
    </row>
    <row r="18" spans="1:34" ht="15" customHeight="1">
      <c r="A18" s="479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73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66"/>
      <c r="AC18" s="466"/>
      <c r="AD18" s="92"/>
      <c r="AE18" s="92"/>
      <c r="AF18" s="307" t="e">
        <f>N18-K18</f>
        <v>#N/A</v>
      </c>
      <c r="AG18" s="72" t="e">
        <f>N18/K18</f>
        <v>#N/A</v>
      </c>
      <c r="AH18" s="462"/>
    </row>
    <row r="19" spans="1:34" ht="15" customHeight="1">
      <c r="A19" s="479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3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65"/>
      <c r="AC19" s="465"/>
      <c r="AD19" s="149"/>
      <c r="AE19" s="149"/>
      <c r="AF19" s="307">
        <f>N19-K19</f>
        <v>0</v>
      </c>
      <c r="AG19" s="72" t="e">
        <f>N19/K19</f>
        <v>#DIV/0!</v>
      </c>
      <c r="AH19" s="463"/>
    </row>
    <row r="20" spans="1:34" ht="15" customHeight="1">
      <c r="A20" s="47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3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66"/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3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6"/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50"/>
      <c r="U22" s="150"/>
      <c r="V22" s="92"/>
      <c r="W22" s="149"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4"/>
        <v>0</v>
      </c>
      <c r="X23" s="92"/>
      <c r="Y23" s="298"/>
      <c r="Z23" s="90"/>
      <c r="AA23" s="90"/>
      <c r="AB23" s="466"/>
      <c r="AC23" s="46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74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7"/>
      <c r="AC26" s="467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64"/>
    </row>
    <row r="27" spans="1:34" ht="15" customHeight="1">
      <c r="A27" s="469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72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68"/>
      <c r="AC27" s="468"/>
      <c r="AD27" s="135"/>
      <c r="AE27" s="135"/>
      <c r="AF27" s="310" t="e">
        <f t="shared" si="6"/>
        <v>#N/A</v>
      </c>
      <c r="AG27" s="172" t="e">
        <f t="shared" si="7"/>
        <v>#N/A</v>
      </c>
      <c r="AH27" s="461" t="e">
        <f>AG37</f>
        <v>#N/A</v>
      </c>
    </row>
    <row r="28" spans="1:34" ht="15" customHeight="1">
      <c r="A28" s="470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73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66"/>
      <c r="AC28" s="466"/>
      <c r="AD28" s="92"/>
      <c r="AE28" s="92"/>
      <c r="AF28" s="311" t="e">
        <f t="shared" si="6"/>
        <v>#N/A</v>
      </c>
      <c r="AG28" s="99" t="e">
        <f t="shared" si="7"/>
        <v>#N/A</v>
      </c>
      <c r="AH28" s="482"/>
    </row>
    <row r="29" spans="1:34" ht="15" customHeight="1">
      <c r="A29" s="470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73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66"/>
      <c r="AC29" s="466"/>
      <c r="AD29" s="92"/>
      <c r="AE29" s="92"/>
      <c r="AF29" s="312" t="e">
        <f t="shared" si="6"/>
        <v>#N/A</v>
      </c>
      <c r="AG29" s="99" t="e">
        <f t="shared" si="7"/>
        <v>#N/A</v>
      </c>
      <c r="AH29" s="482"/>
    </row>
    <row r="30" spans="1:34" ht="15" customHeight="1">
      <c r="A30" s="470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3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66"/>
      <c r="AC30" s="466"/>
      <c r="AD30" s="92"/>
      <c r="AE30" s="92"/>
      <c r="AF30" s="312">
        <f t="shared" si="6"/>
        <v>0</v>
      </c>
      <c r="AG30" s="99" t="e">
        <f t="shared" si="7"/>
        <v>#DIV/0!</v>
      </c>
      <c r="AH30" s="483"/>
    </row>
    <row r="31" spans="1:34" ht="15" customHeight="1">
      <c r="A31" s="47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3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6"/>
      <c r="AC31" s="466"/>
      <c r="AD31" s="92"/>
      <c r="AE31" s="92"/>
      <c r="AF31" s="312">
        <f t="shared" si="6"/>
        <v>0</v>
      </c>
      <c r="AG31" s="99" t="e">
        <f t="shared" si="7"/>
        <v>#DIV/0!</v>
      </c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6"/>
      <c r="AC32" s="466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6"/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74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7"/>
      <c r="AC37" s="477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64"/>
    </row>
    <row r="38" spans="1:34" s="196" customFormat="1" ht="15" customHeight="1">
      <c r="A38" s="491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94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96"/>
      <c r="AC38" s="496"/>
      <c r="AD38" s="192"/>
      <c r="AE38" s="192"/>
      <c r="AF38" s="313" t="e">
        <f>N38-K38</f>
        <v>#N/A</v>
      </c>
      <c r="AG38" s="195" t="e">
        <f>N38/K38</f>
        <v>#N/A</v>
      </c>
      <c r="AH38" s="484" t="e">
        <f>AG48</f>
        <v>#N/A</v>
      </c>
    </row>
    <row r="39" spans="1:34" s="196" customFormat="1" ht="15" customHeight="1">
      <c r="A39" s="492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95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87"/>
      <c r="AC39" s="487"/>
      <c r="AD39" s="200"/>
      <c r="AE39" s="200"/>
      <c r="AF39" s="314" t="e">
        <f>N39-K39</f>
        <v>#N/A</v>
      </c>
      <c r="AG39" s="206" t="e">
        <f>N39/K39</f>
        <v>#N/A</v>
      </c>
      <c r="AH39" s="485"/>
    </row>
    <row r="40" spans="1:34" s="196" customFormat="1" ht="15" customHeight="1">
      <c r="A40" s="492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17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66"/>
      <c r="AC40" s="466"/>
      <c r="AD40" s="92"/>
      <c r="AE40" s="92"/>
      <c r="AF40" s="314" t="e">
        <f>N40-K40</f>
        <v>#N/A</v>
      </c>
      <c r="AG40" s="206" t="e">
        <f>N40/K40</f>
        <v>#N/A</v>
      </c>
      <c r="AH40" s="485"/>
    </row>
    <row r="41" spans="1:34" s="196" customFormat="1" ht="15" customHeight="1">
      <c r="A41" s="49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7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6"/>
      <c r="AC41" s="466"/>
      <c r="AD41" s="92"/>
      <c r="AE41" s="92"/>
      <c r="AF41" s="314">
        <f>N41-K41</f>
        <v>0</v>
      </c>
      <c r="AG41" s="206" t="e">
        <f>N41/K41</f>
        <v>#DIV/0!</v>
      </c>
      <c r="AH41" s="485"/>
    </row>
    <row r="42" spans="1:34" s="196" customFormat="1" ht="15" customHeight="1">
      <c r="A42" s="49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7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6"/>
      <c r="AC42" s="466"/>
      <c r="AD42" s="92"/>
      <c r="AE42" s="92"/>
      <c r="AF42" s="314"/>
      <c r="AG42" s="206"/>
      <c r="AH42" s="485"/>
    </row>
    <row r="43" spans="1:34" s="196" customFormat="1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s="196" customFormat="1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s="196" customFormat="1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s="196" customFormat="1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s="196" customFormat="1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0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67"/>
      <c r="AC48" s="467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86"/>
    </row>
    <row r="49" spans="1:34" ht="15" customHeight="1">
      <c r="A49" s="488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16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68"/>
      <c r="AC49" s="468"/>
      <c r="AD49" s="135"/>
      <c r="AE49" s="135"/>
      <c r="AF49" s="229" t="e">
        <f t="shared" si="11"/>
        <v>#N/A</v>
      </c>
      <c r="AG49" s="52" t="e">
        <f t="shared" si="12"/>
        <v>#N/A</v>
      </c>
      <c r="AH49" s="461" t="e">
        <f>AG58</f>
        <v>#N/A</v>
      </c>
    </row>
    <row r="50" spans="1:34" ht="15" customHeight="1">
      <c r="A50" s="489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17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66"/>
      <c r="AC50" s="466"/>
      <c r="AD50" s="92"/>
      <c r="AE50" s="92"/>
      <c r="AF50" s="307" t="e">
        <f t="shared" si="11"/>
        <v>#N/A</v>
      </c>
      <c r="AG50" s="72" t="e">
        <f t="shared" si="12"/>
        <v>#N/A</v>
      </c>
      <c r="AH50" s="462"/>
    </row>
    <row r="51" spans="1:34" ht="15" customHeight="1">
      <c r="A51" s="489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17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66"/>
      <c r="AC51" s="466"/>
      <c r="AD51" s="92"/>
      <c r="AE51" s="92"/>
      <c r="AF51" s="307" t="e">
        <f t="shared" si="11"/>
        <v>#N/A</v>
      </c>
      <c r="AG51" s="72" t="e">
        <f t="shared" si="12"/>
        <v>#N/A</v>
      </c>
      <c r="AH51" s="462"/>
    </row>
    <row r="52" spans="1:34" ht="15" customHeight="1">
      <c r="A52" s="489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7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66"/>
      <c r="AC52" s="466"/>
      <c r="AD52" s="92"/>
      <c r="AE52" s="92"/>
      <c r="AF52" s="307">
        <f t="shared" si="11"/>
        <v>0</v>
      </c>
      <c r="AG52" s="72" t="e">
        <f t="shared" si="12"/>
        <v>#DIV/0!</v>
      </c>
      <c r="AH52" s="462"/>
    </row>
    <row r="53" spans="1:34" ht="15" customHeight="1">
      <c r="A53" s="48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7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6"/>
      <c r="AC53" s="466"/>
      <c r="AD53" s="92"/>
      <c r="AE53" s="92"/>
      <c r="AF53" s="307">
        <f t="shared" si="11"/>
        <v>0</v>
      </c>
      <c r="AG53" s="72" t="e">
        <f t="shared" si="12"/>
        <v>#DIV/0!</v>
      </c>
      <c r="AH53" s="462"/>
    </row>
    <row r="54" spans="1:34" ht="15" customHeight="1">
      <c r="A54" s="48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7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>
      <c r="A58" s="490"/>
      <c r="B58" s="239"/>
      <c r="C58" s="153" t="s">
        <v>51</v>
      </c>
      <c r="D58" s="437" t="s">
        <v>42</v>
      </c>
      <c r="E58" s="437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7"/>
      <c r="AC58" s="467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64"/>
    </row>
    <row r="59" spans="1:34" ht="15" customHeight="1">
      <c r="A59" s="502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16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68"/>
      <c r="AC59" s="468"/>
      <c r="AD59" s="135"/>
      <c r="AE59" s="135"/>
      <c r="AF59" s="310" t="e">
        <f>N59-K59</f>
        <v>#N/A</v>
      </c>
      <c r="AG59" s="246" t="e">
        <f>N59/K59</f>
        <v>#N/A</v>
      </c>
      <c r="AH59" s="461" t="e">
        <f>AG69</f>
        <v>#N/A</v>
      </c>
    </row>
    <row r="60" spans="1:34" ht="15" customHeight="1">
      <c r="A60" s="503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506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66"/>
      <c r="AC60" s="466"/>
      <c r="AD60" s="92"/>
      <c r="AE60" s="92"/>
      <c r="AF60" s="316" t="e">
        <f>N60-K60</f>
        <v>#N/A</v>
      </c>
      <c r="AG60" s="249" t="e">
        <f>N60/K60</f>
        <v>#N/A</v>
      </c>
      <c r="AH60" s="497"/>
    </row>
    <row r="61" spans="1:34" ht="15" customHeight="1">
      <c r="A61" s="504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17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66"/>
      <c r="AC61" s="466"/>
      <c r="AD61" s="92"/>
      <c r="AE61" s="92"/>
      <c r="AF61" s="317" t="e">
        <f>N61-K61</f>
        <v>#N/A</v>
      </c>
      <c r="AG61" s="247" t="e">
        <f>N61/K61</f>
        <v>#N/A</v>
      </c>
      <c r="AH61" s="462"/>
    </row>
    <row r="62" spans="1:34" ht="15" customHeight="1">
      <c r="A62" s="504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7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66"/>
      <c r="AC62" s="466"/>
      <c r="AD62" s="92"/>
      <c r="AE62" s="92"/>
      <c r="AF62" s="317">
        <f>N62-K62</f>
        <v>0</v>
      </c>
      <c r="AG62" s="247" t="e">
        <f>N62/K62</f>
        <v>#DIV/0!</v>
      </c>
      <c r="AH62" s="462"/>
    </row>
    <row r="63" spans="1:34" ht="15" customHeight="1">
      <c r="A63" s="504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7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6"/>
      <c r="AC63" s="466"/>
      <c r="AD63" s="92"/>
      <c r="AE63" s="92"/>
      <c r="AF63" s="317"/>
      <c r="AG63" s="247"/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7"/>
      <c r="AC69" s="467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64"/>
    </row>
    <row r="70" spans="1:36" ht="15" customHeight="1">
      <c r="A70" s="498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16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68"/>
      <c r="AC70" s="468"/>
      <c r="AD70" s="135"/>
      <c r="AE70" s="135"/>
      <c r="AF70" s="310" t="e">
        <f>N70-K70</f>
        <v>#N/A</v>
      </c>
      <c r="AG70" s="246" t="e">
        <f>N70/K70</f>
        <v>#N/A</v>
      </c>
      <c r="AH70" s="461" t="e">
        <f>AG79</f>
        <v>#N/A</v>
      </c>
    </row>
    <row r="71" spans="1:36" ht="15" customHeight="1">
      <c r="A71" s="499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7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7"/>
      <c r="AC71" s="487"/>
      <c r="AD71" s="200"/>
      <c r="AE71" s="200"/>
      <c r="AF71" s="311">
        <v>-300.31249999999704</v>
      </c>
      <c r="AG71" s="99">
        <v>0.80810702875399554</v>
      </c>
      <c r="AH71" s="482"/>
    </row>
    <row r="72" spans="1:36" ht="15" customHeight="1">
      <c r="A72" s="499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7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6"/>
      <c r="AC72" s="466"/>
      <c r="AD72" s="92"/>
      <c r="AE72" s="92"/>
      <c r="AF72" s="311">
        <v>-130.33333333333326</v>
      </c>
      <c r="AG72" s="99">
        <v>0.91671991480298198</v>
      </c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6"/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>
      <c r="A79" s="500"/>
      <c r="B79" s="239"/>
      <c r="C79" s="153" t="s">
        <v>56</v>
      </c>
      <c r="D79" s="437" t="s">
        <v>42</v>
      </c>
      <c r="E79" s="437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T3:U3"/>
    <mergeCell ref="P1:S2"/>
    <mergeCell ref="AB1:AC2"/>
    <mergeCell ref="P3:P4"/>
    <mergeCell ref="Q3:Q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</mergeCells>
  <phoneticPr fontId="6" type="noConversion"/>
  <conditionalFormatting sqref="P5:P79">
    <cfRule type="cellIs" dxfId="354" priority="1" operator="greaterThan">
      <formula>0</formula>
    </cfRule>
  </conditionalFormatting>
  <conditionalFormatting sqref="Q5:Q79 AF5:AF79">
    <cfRule type="cellIs" dxfId="353" priority="4" operator="lessThan">
      <formula>0</formula>
    </cfRule>
  </conditionalFormatting>
  <conditionalFormatting sqref="R5:R79 AG5:AG79">
    <cfRule type="cellIs" dxfId="352" priority="2" operator="greaterThan">
      <formula>1</formula>
    </cfRule>
    <cfRule type="cellIs" dxfId="351" priority="3" operator="lessThan">
      <formula>0.8</formula>
    </cfRule>
  </conditionalFormatting>
  <conditionalFormatting sqref="S5:S10 S37:S62 AH59:AH62 S69:S76 AH69:AH76">
    <cfRule type="cellIs" dxfId="350" priority="7" operator="lessThan">
      <formula>0.8</formula>
    </cfRule>
  </conditionalFormatting>
  <conditionalFormatting sqref="S19:S25 AH19:AH25">
    <cfRule type="cellIs" dxfId="349" priority="6" operator="lessThan">
      <formula>0.8</formula>
    </cfRule>
  </conditionalFormatting>
  <conditionalFormatting sqref="S79">
    <cfRule type="cellIs" dxfId="348" priority="5" operator="lessThan">
      <formula>0.8</formula>
    </cfRule>
  </conditionalFormatting>
  <conditionalFormatting sqref="AH5:AH8 S15:S16 AH15:AH16 AH49 AH79">
    <cfRule type="cellIs" dxfId="347" priority="9" operator="lessThan">
      <formula>0.8</formula>
    </cfRule>
  </conditionalFormatting>
  <conditionalFormatting sqref="AH27 S27:S28">
    <cfRule type="cellIs" dxfId="346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34D05-A5D3-4B12-9B20-7F1470134DDF}">
  <dimension ref="B1:O26"/>
  <sheetViews>
    <sheetView zoomScale="70" zoomScaleNormal="70" workbookViewId="0">
      <selection activeCell="D4" sqref="D4:E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46144</v>
      </c>
      <c r="E3" s="412"/>
      <c r="F3" s="3" t="s">
        <v>72</v>
      </c>
      <c r="G3" s="413">
        <f>'0501'!E1</f>
        <v>44888</v>
      </c>
      <c r="H3" s="413"/>
      <c r="I3" s="3" t="s">
        <v>2</v>
      </c>
      <c r="J3" s="414">
        <f>'0501'!G1</f>
        <v>2177171.1699999995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>
        <f>AVERAGE(D13:I13)</f>
        <v>123.81075421396629</v>
      </c>
      <c r="G6" s="410"/>
      <c r="H6" s="395">
        <f>AVERAGE(D13:H13)</f>
        <v>125.09790505675956</v>
      </c>
      <c r="I6" s="395"/>
      <c r="J6" s="395">
        <f>AVERAGE(I13)</f>
        <v>117.375</v>
      </c>
      <c r="K6" s="395"/>
      <c r="L6" s="396">
        <f>SUM(D18:J18)</f>
        <v>2</v>
      </c>
      <c r="M6" s="398">
        <f>SUM(D19:J19)</f>
        <v>48</v>
      </c>
      <c r="N6" s="399">
        <f>SUM(D20:J20)</f>
        <v>0</v>
      </c>
      <c r="O6" s="398">
        <f>SUM(D20:J20)</f>
        <v>0</v>
      </c>
    </row>
    <row r="7" spans="2:15" ht="39.6" customHeight="1">
      <c r="B7" s="406"/>
      <c r="C7" s="406"/>
      <c r="D7" s="401" t="s">
        <v>87</v>
      </c>
      <c r="E7" s="401"/>
      <c r="F7" s="402">
        <f>AVERAGE(D14:I14)</f>
        <v>115.43088904977998</v>
      </c>
      <c r="G7" s="402"/>
      <c r="H7" s="403">
        <f>AVERAGE(D14:H14)</f>
        <v>116.9539499766192</v>
      </c>
      <c r="I7" s="403"/>
      <c r="J7" s="403">
        <f>AVERAGE(I14)</f>
        <v>107.81558441558388</v>
      </c>
      <c r="K7" s="403"/>
      <c r="L7" s="397" t="e">
        <f t="shared" ref="L7:O8" si="0">AVERAGE(K14:L14)</f>
        <v>#DIV/0!</v>
      </c>
      <c r="M7" s="398" t="e">
        <f t="shared" si="0"/>
        <v>#DIV/0!</v>
      </c>
      <c r="N7" s="400" t="e">
        <f t="shared" si="0"/>
        <v>#DIV/0!</v>
      </c>
      <c r="O7" s="398" t="e">
        <f t="shared" si="0"/>
        <v>#DIV/0!</v>
      </c>
    </row>
    <row r="8" spans="2:15" ht="39.6" customHeight="1">
      <c r="B8" s="406"/>
      <c r="C8" s="406"/>
      <c r="D8" s="401" t="s">
        <v>27</v>
      </c>
      <c r="E8" s="401"/>
      <c r="F8" s="387">
        <f>F7/F6</f>
        <v>0.9323171462980957</v>
      </c>
      <c r="G8" s="387"/>
      <c r="H8" s="387">
        <f>H7/H6</f>
        <v>0.93489934882246606</v>
      </c>
      <c r="I8" s="387"/>
      <c r="J8" s="387">
        <f>J7/J6</f>
        <v>0.91855662973873387</v>
      </c>
      <c r="K8" s="387"/>
      <c r="L8" s="397" t="e">
        <f t="shared" si="0"/>
        <v>#DIV/0!</v>
      </c>
      <c r="M8" s="398" t="e">
        <f t="shared" si="0"/>
        <v>#DIV/0!</v>
      </c>
      <c r="N8" s="400" t="e">
        <f t="shared" si="0"/>
        <v>#DIV/0!</v>
      </c>
      <c r="O8" s="398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>
        <f>VALUE('0501'!L15)</f>
        <v>150</v>
      </c>
      <c r="E13" s="13">
        <f>VALUE('0501'!L26)</f>
        <v>170.19230769230771</v>
      </c>
      <c r="F13" s="13">
        <f>VALUE('0501'!L37)</f>
        <v>96.502119552274351</v>
      </c>
      <c r="G13" s="13">
        <f>VALUE('0501'!L48)</f>
        <v>105.25098039215686</v>
      </c>
      <c r="H13" s="13">
        <f>VALUE('0501'!L58)</f>
        <v>103.54411764705883</v>
      </c>
      <c r="I13" s="13">
        <f>VALUE('0501'!L69)</f>
        <v>117.375</v>
      </c>
      <c r="J13" s="13">
        <f>'0501'!L79</f>
        <v>0</v>
      </c>
    </row>
    <row r="14" spans="2:15" ht="39.950000000000003" customHeight="1">
      <c r="B14" s="381"/>
      <c r="C14" s="12" t="s">
        <v>100</v>
      </c>
      <c r="D14" s="13">
        <f>VALUE('0501'!O15)</f>
        <v>137.51321475958886</v>
      </c>
      <c r="E14" s="13">
        <f>VALUE('0501'!O26)</f>
        <v>156.72951393176231</v>
      </c>
      <c r="F14" s="13">
        <f>VALUE('0501'!O37)</f>
        <v>95.037332344021038</v>
      </c>
      <c r="G14" s="13">
        <f>VALUE('0501'!O48)</f>
        <v>101.34151785714178</v>
      </c>
      <c r="H14" s="13">
        <f>VALUE('0501'!O58)</f>
        <v>94.148170990581974</v>
      </c>
      <c r="I14" s="13">
        <f>VALUE('0501'!O69)</f>
        <v>107.81558441558388</v>
      </c>
      <c r="J14" s="13">
        <f>'0501'!O79</f>
        <v>0</v>
      </c>
    </row>
    <row r="15" spans="2:15" ht="39.950000000000003" customHeight="1">
      <c r="B15" s="382"/>
      <c r="C15" s="10" t="s">
        <v>26</v>
      </c>
      <c r="D15" s="14">
        <f t="shared" ref="D15:I15" si="1">D14/D13</f>
        <v>0.91675476506392573</v>
      </c>
      <c r="E15" s="14">
        <f t="shared" si="1"/>
        <v>0.92089657903408351</v>
      </c>
      <c r="F15" s="14">
        <f t="shared" si="1"/>
        <v>0.98482119133704782</v>
      </c>
      <c r="G15" s="14">
        <f t="shared" si="1"/>
        <v>0.96285580884426225</v>
      </c>
      <c r="H15" s="14">
        <f t="shared" si="1"/>
        <v>0.90925658675750232</v>
      </c>
      <c r="I15" s="14">
        <f t="shared" si="1"/>
        <v>0.91855662973873387</v>
      </c>
      <c r="J15" s="15">
        <f>'0501'!S70</f>
        <v>0</v>
      </c>
    </row>
    <row r="16" spans="2:15" ht="17.25" customHeight="1">
      <c r="B16" s="383" t="s">
        <v>101</v>
      </c>
      <c r="C16" s="10" t="s">
        <v>34</v>
      </c>
      <c r="D16" s="16">
        <f>'0501'!T5</f>
        <v>0.29166666666666702</v>
      </c>
      <c r="E16" s="16">
        <f>'0501'!T16</f>
        <v>0.29027777777777802</v>
      </c>
      <c r="F16" s="16">
        <f>'0501'!T27</f>
        <v>0.29166666666666702</v>
      </c>
      <c r="G16" s="16">
        <f>'0501'!T38</f>
        <v>0.33333333333333298</v>
      </c>
      <c r="H16" s="16">
        <f>'0501'!T49</f>
        <v>0.29166666666666702</v>
      </c>
      <c r="I16" s="16">
        <f>'0501'!T59</f>
        <v>0.29166666666666702</v>
      </c>
      <c r="J16" s="16">
        <f>'0501'!T70</f>
        <v>0</v>
      </c>
    </row>
    <row r="17" spans="2:10" ht="17.25" customHeight="1">
      <c r="B17" s="384"/>
      <c r="C17" s="10" t="s">
        <v>35</v>
      </c>
      <c r="D17" s="16">
        <v>0.56944444444444398</v>
      </c>
      <c r="E17" s="19">
        <v>0.47569444444444398</v>
      </c>
      <c r="F17" s="19">
        <v>0.625</v>
      </c>
      <c r="G17" s="20">
        <v>0.49305555555555602</v>
      </c>
      <c r="H17" s="21">
        <v>0.60069444444444398</v>
      </c>
      <c r="I17" s="22">
        <v>0.46180555555555602</v>
      </c>
      <c r="J17" s="22">
        <v>0</v>
      </c>
    </row>
    <row r="18" spans="2:10" ht="17.25" customHeight="1">
      <c r="B18" s="385" t="s">
        <v>102</v>
      </c>
      <c r="C18" s="330" t="s">
        <v>36</v>
      </c>
      <c r="D18" s="358">
        <f>'0501'!Z15</f>
        <v>0</v>
      </c>
      <c r="E18" s="359">
        <f>'0501'!Z26</f>
        <v>0</v>
      </c>
      <c r="F18" s="359">
        <f>'0501'!Z37</f>
        <v>2</v>
      </c>
      <c r="G18" s="360">
        <f>'0501'!Z48</f>
        <v>0</v>
      </c>
      <c r="H18" s="360">
        <f>'0501'!Z58</f>
        <v>0</v>
      </c>
      <c r="I18" s="359">
        <f>'0501'!Z69</f>
        <v>0</v>
      </c>
      <c r="J18" s="359">
        <f>'0501'!AA79</f>
        <v>0</v>
      </c>
    </row>
    <row r="19" spans="2:10" ht="17.25" customHeight="1">
      <c r="B19" s="386"/>
      <c r="C19" s="330" t="s">
        <v>37</v>
      </c>
      <c r="D19" s="358">
        <f>'0501'!AA15</f>
        <v>0</v>
      </c>
      <c r="E19" s="359">
        <f>'0501'!AA26</f>
        <v>0</v>
      </c>
      <c r="F19" s="359">
        <f>'0501'!AA37</f>
        <v>48</v>
      </c>
      <c r="G19" s="360">
        <f>'0501'!AA48</f>
        <v>0</v>
      </c>
      <c r="H19" s="360">
        <f>'0501'!AA58</f>
        <v>0</v>
      </c>
      <c r="I19" s="359">
        <f>'0501'!AA69</f>
        <v>0</v>
      </c>
      <c r="J19" s="359">
        <f>'0501'!AB79</f>
        <v>0</v>
      </c>
    </row>
    <row r="20" spans="2:10" ht="17.25" customHeight="1">
      <c r="B20" s="385" t="s">
        <v>103</v>
      </c>
      <c r="C20" s="330" t="s">
        <v>36</v>
      </c>
      <c r="D20" s="358">
        <f>'0501'!AD15</f>
        <v>0</v>
      </c>
      <c r="E20" s="359">
        <f>'0501'!AD26</f>
        <v>0</v>
      </c>
      <c r="F20" s="359">
        <f>'0501'!AD37</f>
        <v>0</v>
      </c>
      <c r="G20" s="360">
        <f>'0501'!AD48</f>
        <v>0</v>
      </c>
      <c r="H20" s="360">
        <f>'0501'!AD58</f>
        <v>0</v>
      </c>
      <c r="I20" s="359">
        <f>'0501'!AD69</f>
        <v>0</v>
      </c>
      <c r="J20" s="359">
        <f>'0501'!AD79</f>
        <v>0</v>
      </c>
    </row>
    <row r="21" spans="2:10" ht="17.25" customHeight="1">
      <c r="B21" s="386"/>
      <c r="C21" s="330" t="s">
        <v>85</v>
      </c>
      <c r="D21" s="358">
        <f>'0501'!AE15</f>
        <v>0</v>
      </c>
      <c r="E21" s="359">
        <f>'0501'!AE26</f>
        <v>0</v>
      </c>
      <c r="F21" s="359">
        <f>'0501'!AE37</f>
        <v>0</v>
      </c>
      <c r="G21" s="360">
        <f>'0501'!AE48</f>
        <v>0</v>
      </c>
      <c r="H21" s="360">
        <f>'0501'!AE58</f>
        <v>0</v>
      </c>
      <c r="I21" s="359">
        <f>'0501'!AE69</f>
        <v>0</v>
      </c>
      <c r="J21" s="359">
        <f>'0501'!AE79</f>
        <v>0</v>
      </c>
    </row>
    <row r="22" spans="2:10" ht="17.25" customHeight="1">
      <c r="B22" s="377" t="s">
        <v>104</v>
      </c>
      <c r="C22" s="378"/>
      <c r="D22" s="23">
        <f>VALUE('0501'!M15)</f>
        <v>15</v>
      </c>
      <c r="E22" s="23">
        <f>VALUE('0501'!M26)</f>
        <v>13.333333333333334</v>
      </c>
      <c r="F22" s="23">
        <f>VALUE('0501'!M37)</f>
        <v>13.4</v>
      </c>
      <c r="G22" s="23">
        <f>VALUE('0501'!M48)</f>
        <v>15</v>
      </c>
      <c r="H22" s="23">
        <f>VALUE('0501'!M58)</f>
        <v>15.5</v>
      </c>
      <c r="I22" s="23">
        <f>VALUE('0501'!M69)</f>
        <v>12.5</v>
      </c>
      <c r="J22" s="23">
        <f>'0501'!M79</f>
        <v>0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345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1EB39-83F1-40D0-95C4-6C43AE7813FA}">
  <sheetPr>
    <tabColor theme="9" tint="0.79998168889431442"/>
  </sheetPr>
  <dimension ref="A1:AJ92"/>
  <sheetViews>
    <sheetView zoomScale="69" zoomScaleNormal="69" workbookViewId="0">
      <pane xSplit="5" ySplit="4" topLeftCell="H8" activePane="bottomRight" state="frozen"/>
      <selection activeCell="U52" sqref="U52"/>
      <selection pane="topRight" activeCell="U52" sqref="U52"/>
      <selection pane="bottomLeft" activeCell="U52" sqref="U52"/>
      <selection pane="bottomRight" activeCell="AB34" sqref="AB34:AC3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8" width="8.7109375" style="34" customWidth="1"/>
    <col min="109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44888</v>
      </c>
      <c r="F1" s="30" t="s">
        <v>2</v>
      </c>
      <c r="G1" s="31">
        <f>SUM(H5:H79)</f>
        <v>2177171.1699999995</v>
      </c>
      <c r="H1" s="32" t="s">
        <v>3</v>
      </c>
      <c r="I1" s="33">
        <f>M15+M26+M48+M58+M69+M79+M37</f>
        <v>84.733333333333348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112</v>
      </c>
      <c r="B2" s="422"/>
      <c r="C2" s="28"/>
      <c r="D2" s="28" t="s">
        <v>14</v>
      </c>
      <c r="E2" s="35">
        <f>AVERAGE(O15,O26,O37,O48,O58,O69,O79)</f>
        <v>115.43088904977998</v>
      </c>
      <c r="F2" s="36" t="s">
        <v>15</v>
      </c>
      <c r="G2" s="37">
        <f>G1/E1</f>
        <v>48.502298387096765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2</v>
      </c>
      <c r="AA2" s="339">
        <f>AA15+AA26+AA37+AA48+AA58+AA69+AA79</f>
        <v>48</v>
      </c>
      <c r="AB2" s="460"/>
      <c r="AC2" s="460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2425</v>
      </c>
      <c r="H5" s="43">
        <f>F5*G5</f>
        <v>137909.75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2139.7058823529514</v>
      </c>
      <c r="O5" s="47">
        <f>N5/M5</f>
        <v>142.6470588235301</v>
      </c>
      <c r="P5" s="49">
        <f>M5-J5</f>
        <v>0</v>
      </c>
      <c r="Q5" s="50">
        <f>O5-L5</f>
        <v>-7.3529411764698978</v>
      </c>
      <c r="R5" s="51">
        <f>O5/L5</f>
        <v>0.95098039215686736</v>
      </c>
      <c r="S5" s="416">
        <f>R15</f>
        <v>0.91675476506392573</v>
      </c>
      <c r="T5" s="319">
        <v>0.29166666666666702</v>
      </c>
      <c r="U5" s="320">
        <v>0.33888888888888902</v>
      </c>
      <c r="V5" s="53"/>
      <c r="W5" s="54">
        <f t="shared" ref="W5:W14" si="0">(U5-T5)*24*60</f>
        <v>67.999999999999673</v>
      </c>
      <c r="X5" s="55"/>
      <c r="Y5" s="290"/>
      <c r="Z5" s="169"/>
      <c r="AA5" s="169"/>
      <c r="AB5" s="468"/>
      <c r="AC5" s="468"/>
      <c r="AD5" s="135"/>
      <c r="AE5" s="135"/>
      <c r="AF5" s="229">
        <f t="shared" ref="AF5:AF11" si="1">N5-K5</f>
        <v>-110.29411764704855</v>
      </c>
      <c r="AG5" s="52">
        <f t="shared" ref="AG5:AG11" si="2">N5/K5</f>
        <v>0.95098039215686736</v>
      </c>
      <c r="AH5" s="461">
        <f>AG15</f>
        <v>0.91675476506392561</v>
      </c>
    </row>
    <row r="6" spans="1:34" ht="15" customHeight="1">
      <c r="A6" s="428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4724</v>
      </c>
      <c r="H6" s="63">
        <f>F6*G6</f>
        <v>232137.36000000002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2131.1278195488744</v>
      </c>
      <c r="O6" s="67">
        <f>N6/M6</f>
        <v>142.07518796992497</v>
      </c>
      <c r="P6" s="69">
        <f>M6-J6</f>
        <v>0</v>
      </c>
      <c r="Q6" s="70">
        <f>O6-L6</f>
        <v>-7.9248120300750315</v>
      </c>
      <c r="R6" s="71">
        <f>O6/L6</f>
        <v>0.94716791979949977</v>
      </c>
      <c r="S6" s="417"/>
      <c r="T6" s="16">
        <v>0.34722222222222199</v>
      </c>
      <c r="U6" s="16">
        <v>0.43958333333333299</v>
      </c>
      <c r="V6" s="30">
        <f>(T6-U5)*24*60</f>
        <v>11.999999999999478</v>
      </c>
      <c r="W6" s="73">
        <f t="shared" si="0"/>
        <v>132.99999999999986</v>
      </c>
      <c r="X6" s="22"/>
      <c r="Y6" s="84"/>
      <c r="Z6" s="90"/>
      <c r="AA6" s="90"/>
      <c r="AB6" s="465"/>
      <c r="AC6" s="465"/>
      <c r="AD6" s="149"/>
      <c r="AE6" s="149"/>
      <c r="AF6" s="307">
        <f t="shared" si="1"/>
        <v>-118.87218045112559</v>
      </c>
      <c r="AG6" s="72">
        <f t="shared" si="2"/>
        <v>0.94716791979949977</v>
      </c>
      <c r="AH6" s="462"/>
    </row>
    <row r="7" spans="1:34" ht="15" customHeight="1">
      <c r="A7" s="428"/>
      <c r="B7" s="75" t="s">
        <v>81</v>
      </c>
      <c r="C7" s="76"/>
      <c r="D7" s="59" t="s">
        <v>115</v>
      </c>
      <c r="E7" s="77"/>
      <c r="F7" s="75">
        <f>VLOOKUP(D7,廠價表!$C$1:$E$43,3,0)</f>
        <v>58.17</v>
      </c>
      <c r="G7" s="66">
        <v>1697</v>
      </c>
      <c r="H7" s="78">
        <f>F7*G7</f>
        <v>98714.49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2077.959183673453</v>
      </c>
      <c r="O7" s="81">
        <f>N7/M7</f>
        <v>138.53061224489687</v>
      </c>
      <c r="P7" s="74">
        <f>M7-J7</f>
        <v>0</v>
      </c>
      <c r="Q7" s="83">
        <f>O7-L7</f>
        <v>-11.469387755103128</v>
      </c>
      <c r="R7" s="72">
        <f>O7/L7</f>
        <v>0.92353741496597919</v>
      </c>
      <c r="S7" s="417"/>
      <c r="T7" s="18">
        <v>0.44513888888888897</v>
      </c>
      <c r="U7" s="18">
        <v>0.47916666666666702</v>
      </c>
      <c r="V7" s="30">
        <f>(T7-U6)*24*60</f>
        <v>8.0000000000006111</v>
      </c>
      <c r="W7" s="73">
        <f t="shared" si="0"/>
        <v>49.000000000000384</v>
      </c>
      <c r="X7" s="22">
        <v>0.49305555555555602</v>
      </c>
      <c r="Y7" s="84">
        <v>0.53472222222222199</v>
      </c>
      <c r="Z7" s="90"/>
      <c r="AA7" s="90"/>
      <c r="AB7" s="466"/>
      <c r="AC7" s="466"/>
      <c r="AD7" s="92"/>
      <c r="AE7" s="92"/>
      <c r="AF7" s="307">
        <f t="shared" si="1"/>
        <v>-172.04081632654697</v>
      </c>
      <c r="AG7" s="72">
        <f t="shared" si="2"/>
        <v>0.92353741496597908</v>
      </c>
      <c r="AH7" s="462"/>
    </row>
    <row r="8" spans="1:34" ht="15" customHeight="1">
      <c r="A8" s="428"/>
      <c r="B8" s="75" t="s">
        <v>81</v>
      </c>
      <c r="C8" s="76"/>
      <c r="D8" s="59" t="s">
        <v>115</v>
      </c>
      <c r="E8" s="77"/>
      <c r="F8" s="75">
        <f>VLOOKUP(D8,廠價表!$C$1:$E$43,3,0)</f>
        <v>58.17</v>
      </c>
      <c r="G8" s="66">
        <v>1268</v>
      </c>
      <c r="H8" s="78">
        <f>F8*G8</f>
        <v>73759.56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1902.0000000000523</v>
      </c>
      <c r="O8" s="81">
        <f>N8/M8</f>
        <v>126.80000000000349</v>
      </c>
      <c r="P8" s="74">
        <f>M8-J8</f>
        <v>0</v>
      </c>
      <c r="Q8" s="83">
        <f>O8-L8</f>
        <v>-23.199999999996507</v>
      </c>
      <c r="R8" s="72">
        <f>O8/L8</f>
        <v>0.84533333333335658</v>
      </c>
      <c r="S8" s="417"/>
      <c r="T8" s="16">
        <v>0.54166666666666696</v>
      </c>
      <c r="U8" s="16">
        <v>0.56944444444444398</v>
      </c>
      <c r="V8" s="30">
        <f>(T8-U7)*24*60</f>
        <v>89.999999999999915</v>
      </c>
      <c r="W8" s="73">
        <f t="shared" si="0"/>
        <v>39.999999999998899</v>
      </c>
      <c r="X8" s="22"/>
      <c r="Y8" s="84"/>
      <c r="Z8" s="90"/>
      <c r="AA8" s="90"/>
      <c r="AB8" s="465"/>
      <c r="AC8" s="465"/>
      <c r="AD8" s="149"/>
      <c r="AE8" s="149"/>
      <c r="AF8" s="307">
        <f t="shared" si="1"/>
        <v>-347.9999999999477</v>
      </c>
      <c r="AG8" s="72">
        <f t="shared" si="2"/>
        <v>0.84533333333335658</v>
      </c>
      <c r="AH8" s="462"/>
    </row>
    <row r="9" spans="1:34" ht="15" customHeight="1">
      <c r="A9" s="42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8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5"/>
      <c r="AC9" s="465"/>
      <c r="AD9" s="149"/>
      <c r="AE9" s="149"/>
      <c r="AF9" s="307">
        <f t="shared" si="1"/>
        <v>0</v>
      </c>
      <c r="AG9" s="72" t="e">
        <f t="shared" si="2"/>
        <v>#DIV/0!</v>
      </c>
      <c r="AH9" s="463"/>
    </row>
    <row r="10" spans="1:34" ht="15" customHeight="1">
      <c r="A10" s="42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8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6"/>
      <c r="AC10" s="466"/>
      <c r="AD10" s="92"/>
      <c r="AE10" s="92"/>
      <c r="AF10" s="307">
        <f t="shared" si="1"/>
        <v>0</v>
      </c>
      <c r="AG10" s="72" t="e">
        <f t="shared" si="2"/>
        <v>#DIV/0!</v>
      </c>
      <c r="AH10" s="463"/>
    </row>
    <row r="11" spans="1:34" ht="15" customHeight="1">
      <c r="A11" s="42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5"/>
      <c r="AC11" s="465"/>
      <c r="AD11" s="149"/>
      <c r="AE11" s="149"/>
      <c r="AF11" s="307">
        <f t="shared" si="1"/>
        <v>0</v>
      </c>
      <c r="AG11" s="72" t="e">
        <f t="shared" si="2"/>
        <v>#DIV/0!</v>
      </c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2062.6982213938327</v>
      </c>
      <c r="O15" s="117">
        <f t="shared" si="3"/>
        <v>137.51321475958886</v>
      </c>
      <c r="P15" s="121">
        <f>M15-J15</f>
        <v>0</v>
      </c>
      <c r="Q15" s="122">
        <f>O15-L15</f>
        <v>-12.486785240411137</v>
      </c>
      <c r="R15" s="123">
        <f>O15/L15</f>
        <v>0.91675476506392573</v>
      </c>
      <c r="S15" s="42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7"/>
      <c r="AC15" s="467"/>
      <c r="AD15" s="323">
        <f>SUM(AD5:AD14)</f>
        <v>0</v>
      </c>
      <c r="AE15" s="323">
        <f>SUM(AE5:AE14)</f>
        <v>0</v>
      </c>
      <c r="AF15" s="309">
        <f>N15-K15</f>
        <v>-187.30177860616732</v>
      </c>
      <c r="AG15" s="124">
        <f>N15/K15</f>
        <v>0.91675476506392561</v>
      </c>
      <c r="AH15" s="464"/>
    </row>
    <row r="16" spans="1:34" ht="15" customHeight="1">
      <c r="A16" s="47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3118</v>
      </c>
      <c r="H16" s="134">
        <f>F16*G16</f>
        <v>157989.06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2102.0224719101311</v>
      </c>
      <c r="O16" s="141">
        <f>N16/M16</f>
        <v>161.69403630077932</v>
      </c>
      <c r="P16" s="142">
        <f>M16-J16</f>
        <v>0</v>
      </c>
      <c r="Q16" s="143">
        <f>O16-L16</f>
        <v>-11.382886776143749</v>
      </c>
      <c r="R16" s="144">
        <f>O16/L16</f>
        <v>0.93423220973783616</v>
      </c>
      <c r="S16" s="472">
        <f>R26</f>
        <v>0.92089657903408351</v>
      </c>
      <c r="T16" s="145">
        <v>0.29027777777777802</v>
      </c>
      <c r="U16" s="145">
        <v>0.35208333333333303</v>
      </c>
      <c r="V16" s="135"/>
      <c r="W16" s="146">
        <f t="shared" ref="W16:W78" si="4">(U16-T16)*24*60</f>
        <v>88.999999999999204</v>
      </c>
      <c r="X16" s="141"/>
      <c r="Y16" s="296"/>
      <c r="Z16" s="169"/>
      <c r="AA16" s="169"/>
      <c r="AB16" s="468"/>
      <c r="AC16" s="468"/>
      <c r="AD16" s="135"/>
      <c r="AE16" s="135"/>
      <c r="AF16" s="229">
        <f>N16-K16</f>
        <v>-147.97752808986888</v>
      </c>
      <c r="AG16" s="52">
        <f>N16/K16</f>
        <v>0.93423220973783605</v>
      </c>
      <c r="AH16" s="461">
        <f>AG26</f>
        <v>0.91936678053532661</v>
      </c>
    </row>
    <row r="17" spans="1:34" ht="15" customHeight="1">
      <c r="A17" s="479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1741</v>
      </c>
      <c r="H17" s="78">
        <f>F17*G17</f>
        <v>98558.01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2008.8461538461609</v>
      </c>
      <c r="O17" s="96">
        <f>N17/M17</f>
        <v>133.92307692307739</v>
      </c>
      <c r="P17" s="97">
        <f>M17-J17</f>
        <v>0</v>
      </c>
      <c r="Q17" s="98">
        <f>O17-L17</f>
        <v>-16.076923076922611</v>
      </c>
      <c r="R17" s="99">
        <f>O17/L17</f>
        <v>0.89282051282051589</v>
      </c>
      <c r="S17" s="473"/>
      <c r="T17" s="19">
        <v>0.358333333333333</v>
      </c>
      <c r="U17" s="19">
        <v>0.39444444444444399</v>
      </c>
      <c r="V17" s="30">
        <f>(T17-U16)*24*60</f>
        <v>8.999999999999968</v>
      </c>
      <c r="W17" s="149">
        <f t="shared" si="4"/>
        <v>51.999999999999815</v>
      </c>
      <c r="X17" s="19"/>
      <c r="Y17" s="297"/>
      <c r="Z17" s="90"/>
      <c r="AA17" s="90"/>
      <c r="AB17" s="466"/>
      <c r="AC17" s="466"/>
      <c r="AD17" s="92"/>
      <c r="AE17" s="92"/>
      <c r="AF17" s="307">
        <f>N17-K17</f>
        <v>-241.15384615383914</v>
      </c>
      <c r="AG17" s="72">
        <f>N17/K17</f>
        <v>0.89282051282051589</v>
      </c>
      <c r="AH17" s="462"/>
    </row>
    <row r="18" spans="1:34" ht="15" customHeight="1">
      <c r="A18" s="479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3666</v>
      </c>
      <c r="H18" s="78">
        <f>F18*G18</f>
        <v>184729.74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2094.8571428571631</v>
      </c>
      <c r="O18" s="96">
        <f>N18/M18</f>
        <v>174.57142857143026</v>
      </c>
      <c r="P18" s="97">
        <f>M18-J18</f>
        <v>0</v>
      </c>
      <c r="Q18" s="98">
        <f>O18-L18</f>
        <v>-12.92857142856974</v>
      </c>
      <c r="R18" s="99">
        <f>O18/L18</f>
        <v>0.93104761904762801</v>
      </c>
      <c r="S18" s="473"/>
      <c r="T18" s="19">
        <v>0.40277777777777801</v>
      </c>
      <c r="U18" s="19">
        <v>0.47569444444444398</v>
      </c>
      <c r="V18" s="30">
        <f>(T18-U17)*24*60</f>
        <v>12.000000000000997</v>
      </c>
      <c r="W18" s="149">
        <f t="shared" si="4"/>
        <v>104.99999999999899</v>
      </c>
      <c r="X18" s="22"/>
      <c r="Y18" s="84"/>
      <c r="Z18" s="90"/>
      <c r="AA18" s="90"/>
      <c r="AB18" s="466"/>
      <c r="AC18" s="466"/>
      <c r="AD18" s="92"/>
      <c r="AE18" s="92"/>
      <c r="AF18" s="307">
        <f>N18-K18</f>
        <v>-155.14285714283687</v>
      </c>
      <c r="AG18" s="72">
        <f>N18/K18</f>
        <v>0.93104761904762801</v>
      </c>
      <c r="AH18" s="462"/>
    </row>
    <row r="19" spans="1:34" ht="15" customHeight="1">
      <c r="A19" s="479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3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65"/>
      <c r="AC19" s="465"/>
      <c r="AD19" s="149"/>
      <c r="AE19" s="149"/>
      <c r="AF19" s="307">
        <f>N19-K19</f>
        <v>0</v>
      </c>
      <c r="AG19" s="72" t="e">
        <f>N19/K19</f>
        <v>#DIV/0!</v>
      </c>
      <c r="AH19" s="463"/>
    </row>
    <row r="20" spans="1:34" ht="15" customHeight="1">
      <c r="A20" s="47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3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66"/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3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6"/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50"/>
      <c r="U22" s="150"/>
      <c r="V22" s="92"/>
      <c r="W22" s="149"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4"/>
        <v>0</v>
      </c>
      <c r="X23" s="92"/>
      <c r="Y23" s="298"/>
      <c r="Z23" s="90"/>
      <c r="AA23" s="90"/>
      <c r="AB23" s="466"/>
      <c r="AC23" s="46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>
        <f t="shared" ref="J26:O26" si="5">AVERAGE(J16:J25)</f>
        <v>13.333333333333334</v>
      </c>
      <c r="K26" s="155">
        <f t="shared" si="5"/>
        <v>2250</v>
      </c>
      <c r="L26" s="158">
        <f t="shared" si="5"/>
        <v>170.19230769230771</v>
      </c>
      <c r="M26" s="155">
        <f t="shared" si="5"/>
        <v>13.333333333333334</v>
      </c>
      <c r="N26" s="155">
        <f t="shared" si="5"/>
        <v>2068.575256204485</v>
      </c>
      <c r="O26" s="158">
        <f t="shared" si="5"/>
        <v>156.72951393176231</v>
      </c>
      <c r="P26" s="159">
        <f>M26-J26</f>
        <v>0</v>
      </c>
      <c r="Q26" s="160">
        <f>O26-L26</f>
        <v>-13.462793760545395</v>
      </c>
      <c r="R26" s="161">
        <f>O26/L26</f>
        <v>0.92089657903408351</v>
      </c>
      <c r="S26" s="474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7"/>
      <c r="AC26" s="467"/>
      <c r="AD26" s="323">
        <f>SUM(AD16:AD25)</f>
        <v>0</v>
      </c>
      <c r="AE26" s="323">
        <f>SUM(AE16:AE25)</f>
        <v>0</v>
      </c>
      <c r="AF26" s="309">
        <f t="shared" ref="AF26:AF31" si="6">N26-K26</f>
        <v>-181.42474379551504</v>
      </c>
      <c r="AG26" s="124">
        <f t="shared" ref="AG26:AG31" si="7">N26/K26</f>
        <v>0.91936678053532661</v>
      </c>
      <c r="AH26" s="464"/>
    </row>
    <row r="27" spans="1:34" ht="15" customHeight="1">
      <c r="A27" s="469" t="s">
        <v>45</v>
      </c>
      <c r="B27" s="167" t="s">
        <v>81</v>
      </c>
      <c r="C27" s="130"/>
      <c r="D27" s="168" t="s">
        <v>119</v>
      </c>
      <c r="E27" s="132"/>
      <c r="F27" s="129">
        <f>VLOOKUP(D27,廠價表!$C$1:$E$43,3,0)</f>
        <v>50.67</v>
      </c>
      <c r="G27" s="169">
        <v>997</v>
      </c>
      <c r="H27" s="134">
        <f>F27*G27</f>
        <v>50517.990000000005</v>
      </c>
      <c r="I27" s="135"/>
      <c r="J27" s="136">
        <f>VLOOKUP(D27,產線配置圖!$A$3:$C$40,2,0)</f>
        <v>13</v>
      </c>
      <c r="K27" s="137">
        <f>VLOOKUP(D27,產線配置圖!$A$3:$C$40,3,0)</f>
        <v>1440</v>
      </c>
      <c r="L27" s="138">
        <f>K27/J27</f>
        <v>110.76923076923077</v>
      </c>
      <c r="M27" s="170">
        <v>13</v>
      </c>
      <c r="N27" s="140">
        <f>G27/W27*60</f>
        <v>747.75000000000784</v>
      </c>
      <c r="O27" s="141">
        <f>N27/M27</f>
        <v>57.51923076923137</v>
      </c>
      <c r="P27" s="142">
        <f>M27-J27</f>
        <v>0</v>
      </c>
      <c r="Q27" s="143">
        <f>O27-L27</f>
        <v>-53.249999999999403</v>
      </c>
      <c r="R27" s="144">
        <f>O27/L27</f>
        <v>0.51927083333333879</v>
      </c>
      <c r="S27" s="472">
        <f>R37</f>
        <v>0.98482119133704782</v>
      </c>
      <c r="T27" s="171">
        <v>0.29166666666666702</v>
      </c>
      <c r="U27" s="171">
        <v>0.34722222222222199</v>
      </c>
      <c r="V27" s="135"/>
      <c r="W27" s="146">
        <f t="shared" si="4"/>
        <v>79.999999999999162</v>
      </c>
      <c r="X27" s="135"/>
      <c r="Y27" s="300" t="s">
        <v>46</v>
      </c>
      <c r="Z27" s="169">
        <v>2</v>
      </c>
      <c r="AA27" s="169">
        <v>48</v>
      </c>
      <c r="AB27" s="468" t="s">
        <v>120</v>
      </c>
      <c r="AC27" s="468"/>
      <c r="AD27" s="135"/>
      <c r="AE27" s="135"/>
      <c r="AF27" s="310">
        <f t="shared" si="6"/>
        <v>-692.24999999999216</v>
      </c>
      <c r="AG27" s="172">
        <f t="shared" si="7"/>
        <v>0.51927083333333879</v>
      </c>
      <c r="AH27" s="461">
        <f>AG37</f>
        <v>0.64644986824478634</v>
      </c>
    </row>
    <row r="28" spans="1:34" ht="15" customHeight="1">
      <c r="A28" s="470"/>
      <c r="B28" s="75" t="s">
        <v>81</v>
      </c>
      <c r="C28" s="173"/>
      <c r="D28" s="59" t="s">
        <v>121</v>
      </c>
      <c r="E28" s="104"/>
      <c r="F28" s="75">
        <f>VLOOKUP(D28,廠價表!$C$1:$E$43,3,0)</f>
        <v>50.289000000000001</v>
      </c>
      <c r="G28" s="90">
        <v>3890</v>
      </c>
      <c r="H28" s="91">
        <f>F28*G28</f>
        <v>195624.21</v>
      </c>
      <c r="I28" s="92"/>
      <c r="J28" s="79">
        <f>VLOOKUP(D28,產線配置圖!$A$3:$C$40,2,0)</f>
        <v>19</v>
      </c>
      <c r="K28" s="80">
        <f>VLOOKUP(D28,產線配置圖!$A$3:$C$40,3,0)</f>
        <v>1565</v>
      </c>
      <c r="L28" s="93">
        <f>K28/J28</f>
        <v>82.368421052631575</v>
      </c>
      <c r="M28" s="94">
        <v>18</v>
      </c>
      <c r="N28" s="95">
        <f>G28/W28*60</f>
        <v>1372.9411764705951</v>
      </c>
      <c r="O28" s="96">
        <f>N28/M28</f>
        <v>76.274509803921944</v>
      </c>
      <c r="P28" s="97">
        <f>M28-J28</f>
        <v>-1</v>
      </c>
      <c r="Q28" s="98">
        <f>O28-L28</f>
        <v>-6.093911248709631</v>
      </c>
      <c r="R28" s="99">
        <f>O28/L28</f>
        <v>0.92601641295496295</v>
      </c>
      <c r="S28" s="473"/>
      <c r="T28" s="19">
        <v>0.35763888888888901</v>
      </c>
      <c r="U28" s="19">
        <v>0.47569444444444398</v>
      </c>
      <c r="V28" s="92">
        <f>(T28-U27)*24*60</f>
        <v>15.000000000000506</v>
      </c>
      <c r="W28" s="149">
        <f t="shared" si="4"/>
        <v>169.99999999999915</v>
      </c>
      <c r="X28" s="174">
        <v>0.47916666666666702</v>
      </c>
      <c r="Y28" s="301">
        <v>0.53125</v>
      </c>
      <c r="Z28" s="335"/>
      <c r="AA28" s="335"/>
      <c r="AB28" s="466"/>
      <c r="AC28" s="466"/>
      <c r="AD28" s="92"/>
      <c r="AE28" s="92"/>
      <c r="AF28" s="311">
        <f t="shared" si="6"/>
        <v>-192.05882352940489</v>
      </c>
      <c r="AG28" s="99">
        <f t="shared" si="7"/>
        <v>0.87727870700996491</v>
      </c>
      <c r="AH28" s="482"/>
    </row>
    <row r="29" spans="1:34" ht="15" customHeight="1">
      <c r="A29" s="470"/>
      <c r="B29" s="75" t="s">
        <v>81</v>
      </c>
      <c r="C29" s="173"/>
      <c r="D29" s="59" t="s">
        <v>119</v>
      </c>
      <c r="E29" s="104"/>
      <c r="F29" s="75">
        <f>VLOOKUP(D29,廠價表!$C$1:$E$43,3,0)</f>
        <v>50.67</v>
      </c>
      <c r="G29" s="90">
        <v>665</v>
      </c>
      <c r="H29" s="91">
        <f>F29*G29</f>
        <v>33695.550000000003</v>
      </c>
      <c r="I29" s="92"/>
      <c r="J29" s="79">
        <f>VLOOKUP(D29,產線配置圖!$A$3:$C$40,2,0)</f>
        <v>13</v>
      </c>
      <c r="K29" s="80">
        <f>VLOOKUP(D29,產線配置圖!$A$3:$C$40,3,0)</f>
        <v>1440</v>
      </c>
      <c r="L29" s="93">
        <f>K29/J29</f>
        <v>110.76923076923077</v>
      </c>
      <c r="M29" s="94">
        <v>2</v>
      </c>
      <c r="N29" s="95">
        <f>G29/W29*60</f>
        <v>398.99999999999665</v>
      </c>
      <c r="O29" s="96">
        <f>N29/M29</f>
        <v>199.49999999999832</v>
      </c>
      <c r="P29" s="97">
        <f>M29-J29</f>
        <v>-11</v>
      </c>
      <c r="Q29" s="98">
        <f>O29-L29</f>
        <v>88.73076923076755</v>
      </c>
      <c r="R29" s="99">
        <f>O29/L29</f>
        <v>1.8010416666666516</v>
      </c>
      <c r="S29" s="473"/>
      <c r="T29" s="19">
        <v>0.36111111111111099</v>
      </c>
      <c r="U29" s="19">
        <v>0.43055555555555602</v>
      </c>
      <c r="V29" s="92">
        <f>(T29-U28)*24*60</f>
        <v>-164.99999999999949</v>
      </c>
      <c r="W29" s="149">
        <f t="shared" si="4"/>
        <v>100.00000000000084</v>
      </c>
      <c r="X29" s="22"/>
      <c r="Y29" s="84"/>
      <c r="Z29" s="90"/>
      <c r="AA29" s="90"/>
      <c r="AB29" s="466" t="s">
        <v>122</v>
      </c>
      <c r="AC29" s="466"/>
      <c r="AD29" s="92"/>
      <c r="AE29" s="92"/>
      <c r="AF29" s="312">
        <f t="shared" si="6"/>
        <v>-1041.0000000000034</v>
      </c>
      <c r="AG29" s="99">
        <f t="shared" si="7"/>
        <v>0.27708333333333102</v>
      </c>
      <c r="AH29" s="482"/>
    </row>
    <row r="30" spans="1:34" ht="15" customHeight="1">
      <c r="A30" s="470"/>
      <c r="B30" s="75" t="s">
        <v>81</v>
      </c>
      <c r="C30" s="88"/>
      <c r="D30" s="59" t="s">
        <v>121</v>
      </c>
      <c r="E30" s="89"/>
      <c r="F30" s="75">
        <f>VLOOKUP(D30,廠價表!$C$1:$E$43,3,0)</f>
        <v>50.289000000000001</v>
      </c>
      <c r="G30" s="90">
        <v>1100</v>
      </c>
      <c r="H30" s="91">
        <f t="shared" ref="H30:H31" si="8">F30*G30</f>
        <v>55317.9</v>
      </c>
      <c r="I30" s="92"/>
      <c r="J30" s="79">
        <f>VLOOKUP(D30,產線配置圖!$A$3:$C$40,2,0)</f>
        <v>19</v>
      </c>
      <c r="K30" s="80">
        <f>VLOOKUP(D30,產線配置圖!$A$3:$C$40,3,0)</f>
        <v>1565</v>
      </c>
      <c r="L30" s="93">
        <f t="shared" ref="L30:L31" si="9">K30/J30</f>
        <v>82.368421052631575</v>
      </c>
      <c r="M30" s="94">
        <v>18</v>
      </c>
      <c r="N30" s="95">
        <f t="shared" ref="N30:N31" si="10">G30/W30*60</f>
        <v>1375.0000000000141</v>
      </c>
      <c r="O30" s="96">
        <f t="shared" ref="O30:O31" si="11">N30/M30</f>
        <v>76.388888888889667</v>
      </c>
      <c r="P30" s="97">
        <f t="shared" ref="P30:P31" si="12">M30-J30</f>
        <v>-1</v>
      </c>
      <c r="Q30" s="98">
        <f t="shared" ref="Q30:Q31" si="13">O30-L30</f>
        <v>-5.9795321637419079</v>
      </c>
      <c r="R30" s="99">
        <f t="shared" ref="R30:R31" si="14">O30/L30</f>
        <v>0.92740504082358066</v>
      </c>
      <c r="S30" s="473"/>
      <c r="T30" s="19">
        <v>0.53680555555555598</v>
      </c>
      <c r="U30" s="19">
        <v>0.57013888888888897</v>
      </c>
      <c r="V30" s="92">
        <f>(T30-U29)*24*60</f>
        <v>152.99999999999994</v>
      </c>
      <c r="W30" s="149">
        <f t="shared" si="4"/>
        <v>47.99999999999951</v>
      </c>
      <c r="X30" s="174"/>
      <c r="Y30" s="301"/>
      <c r="Z30" s="335"/>
      <c r="AA30" s="335"/>
      <c r="AB30" s="466"/>
      <c r="AC30" s="466"/>
      <c r="AD30" s="92"/>
      <c r="AE30" s="92"/>
      <c r="AF30" s="312">
        <f t="shared" si="6"/>
        <v>-189.9999999999859</v>
      </c>
      <c r="AG30" s="99">
        <f t="shared" si="7"/>
        <v>0.87859424920128693</v>
      </c>
      <c r="AH30" s="483"/>
    </row>
    <row r="31" spans="1:34" ht="15" customHeight="1">
      <c r="A31" s="470"/>
      <c r="B31" s="75" t="s">
        <v>123</v>
      </c>
      <c r="C31" s="88"/>
      <c r="D31" s="59" t="s">
        <v>124</v>
      </c>
      <c r="E31" s="89"/>
      <c r="F31" s="75">
        <f>VLOOKUP(D31,廠價表!$C$1:$E$43,3,0)</f>
        <v>44.3</v>
      </c>
      <c r="G31" s="90">
        <v>1083</v>
      </c>
      <c r="H31" s="91">
        <f t="shared" si="8"/>
        <v>47976.899999999994</v>
      </c>
      <c r="I31" s="92"/>
      <c r="J31" s="79">
        <f>VLOOKUP(D31,產線配置圖!$A$3:$C$40,2,0)</f>
        <v>17</v>
      </c>
      <c r="K31" s="80">
        <f>VLOOKUP(D31,產線配置圖!$A$3:$C$40,3,0)</f>
        <v>1636</v>
      </c>
      <c r="L31" s="93">
        <f t="shared" si="9"/>
        <v>96.235294117647058</v>
      </c>
      <c r="M31" s="94">
        <v>16</v>
      </c>
      <c r="N31" s="95">
        <f t="shared" si="10"/>
        <v>1048.0645161290224</v>
      </c>
      <c r="O31" s="96">
        <f t="shared" si="11"/>
        <v>65.504032258063901</v>
      </c>
      <c r="P31" s="97">
        <f t="shared" si="12"/>
        <v>-1</v>
      </c>
      <c r="Q31" s="98">
        <f t="shared" si="13"/>
        <v>-30.731261859583157</v>
      </c>
      <c r="R31" s="99">
        <f t="shared" si="14"/>
        <v>0.68066537187474718</v>
      </c>
      <c r="S31" s="473"/>
      <c r="T31" s="19">
        <v>0.58194444444444404</v>
      </c>
      <c r="U31" s="19">
        <v>0.625</v>
      </c>
      <c r="V31" s="92">
        <f>(T31-U30)*24*60</f>
        <v>16.9999999999993</v>
      </c>
      <c r="W31" s="149">
        <f t="shared" si="4"/>
        <v>62.000000000000583</v>
      </c>
      <c r="X31" s="174"/>
      <c r="Y31" s="301"/>
      <c r="Z31" s="335"/>
      <c r="AA31" s="335"/>
      <c r="AB31" s="466" t="s">
        <v>125</v>
      </c>
      <c r="AC31" s="466"/>
      <c r="AD31" s="92"/>
      <c r="AE31" s="92"/>
      <c r="AF31" s="312">
        <f t="shared" si="6"/>
        <v>-587.93548387097758</v>
      </c>
      <c r="AG31" s="99">
        <f t="shared" si="7"/>
        <v>0.64062623235270322</v>
      </c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6"/>
      <c r="AC32" s="466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6"/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>
        <f t="shared" ref="J37:O37" si="15">AVERAGE(J27:J36)</f>
        <v>16.2</v>
      </c>
      <c r="K37" s="155">
        <f t="shared" si="15"/>
        <v>1529.2</v>
      </c>
      <c r="L37" s="158">
        <f t="shared" si="15"/>
        <v>96.502119552274351</v>
      </c>
      <c r="M37" s="155">
        <f t="shared" si="15"/>
        <v>13.4</v>
      </c>
      <c r="N37" s="155">
        <f t="shared" si="15"/>
        <v>988.55113851992724</v>
      </c>
      <c r="O37" s="158">
        <f t="shared" si="15"/>
        <v>95.037332344021038</v>
      </c>
      <c r="P37" s="159">
        <f>M37-J37</f>
        <v>-2.7999999999999989</v>
      </c>
      <c r="Q37" s="160">
        <f>N37-K37</f>
        <v>-540.64886148007281</v>
      </c>
      <c r="R37" s="161">
        <f>O37/L37</f>
        <v>0.98482119133704782</v>
      </c>
      <c r="S37" s="474"/>
      <c r="T37" s="163"/>
      <c r="U37" s="163"/>
      <c r="V37" s="164"/>
      <c r="W37" s="164"/>
      <c r="X37" s="321"/>
      <c r="Y37" s="322"/>
      <c r="Z37" s="334">
        <f>SUM(Z27:Z36)</f>
        <v>2</v>
      </c>
      <c r="AA37" s="334">
        <f>SUM(AA27:AA36)</f>
        <v>48</v>
      </c>
      <c r="AB37" s="477"/>
      <c r="AC37" s="477"/>
      <c r="AD37" s="324">
        <f>SUM(AD27:AD36)</f>
        <v>0</v>
      </c>
      <c r="AE37" s="324">
        <f>SUM(AE27:AE36)</f>
        <v>0</v>
      </c>
      <c r="AF37" s="309">
        <f>N37-K37</f>
        <v>-540.64886148007281</v>
      </c>
      <c r="AG37" s="124">
        <f>N37/K37</f>
        <v>0.64644986824478634</v>
      </c>
      <c r="AH37" s="464"/>
    </row>
    <row r="38" spans="1:34" ht="15" customHeight="1">
      <c r="A38" s="491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2432</v>
      </c>
      <c r="H38" s="134">
        <f>F38*G38</f>
        <v>121381.12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14</v>
      </c>
      <c r="N38" s="140">
        <f>G38/W38*60</f>
        <v>1535.9999999999809</v>
      </c>
      <c r="O38" s="141">
        <f>N38/M38</f>
        <v>109.71428571428434</v>
      </c>
      <c r="P38" s="142">
        <f>M38-J38</f>
        <v>-1</v>
      </c>
      <c r="Q38" s="143">
        <f>O38-L38</f>
        <v>-4.5523809523823218</v>
      </c>
      <c r="R38" s="144">
        <f>O38/L38</f>
        <v>0.9601600266710999</v>
      </c>
      <c r="S38" s="494">
        <f>R48</f>
        <v>0.96285580884426225</v>
      </c>
      <c r="T38" s="191">
        <v>0.33333333333333298</v>
      </c>
      <c r="U38" s="191">
        <v>0.39930555555555602</v>
      </c>
      <c r="V38" s="192"/>
      <c r="W38" s="193">
        <f t="shared" si="4"/>
        <v>95.00000000000118</v>
      </c>
      <c r="X38" s="194"/>
      <c r="Y38" s="302"/>
      <c r="Z38" s="336"/>
      <c r="AA38" s="336"/>
      <c r="AB38" s="496"/>
      <c r="AC38" s="496"/>
      <c r="AD38" s="192"/>
      <c r="AE38" s="192"/>
      <c r="AF38" s="313">
        <f>N38-K38</f>
        <v>-178.0000000000191</v>
      </c>
      <c r="AG38" s="195">
        <f>N38/K38</f>
        <v>0.89614935822635988</v>
      </c>
      <c r="AH38" s="484">
        <f>AG48</f>
        <v>0.90253731343282628</v>
      </c>
    </row>
    <row r="39" spans="1:34" ht="15" customHeight="1">
      <c r="A39" s="492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2975</v>
      </c>
      <c r="H39" s="91">
        <f>F39*G39</f>
        <v>131792.5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16</v>
      </c>
      <c r="N39" s="202">
        <f>G39/W39*60</f>
        <v>1487.4999999999875</v>
      </c>
      <c r="O39" s="203">
        <f>N39/M39</f>
        <v>92.968749999999218</v>
      </c>
      <c r="P39" s="97">
        <f>M39-J39</f>
        <v>-1</v>
      </c>
      <c r="Q39" s="98">
        <f>O39-L39</f>
        <v>-3.2665441176478396</v>
      </c>
      <c r="R39" s="99">
        <f>O39/L39</f>
        <v>0.96605669315402609</v>
      </c>
      <c r="S39" s="495"/>
      <c r="T39" s="20">
        <v>0.40972222222222199</v>
      </c>
      <c r="U39" s="20">
        <v>0.49305555555555602</v>
      </c>
      <c r="V39" s="92">
        <f>(T39-U38)*24*60</f>
        <v>14.999999999998987</v>
      </c>
      <c r="W39" s="205">
        <f t="shared" si="4"/>
        <v>120.00000000000101</v>
      </c>
      <c r="X39" s="22"/>
      <c r="Y39" s="84"/>
      <c r="Z39" s="90"/>
      <c r="AA39" s="90"/>
      <c r="AB39" s="487"/>
      <c r="AC39" s="487"/>
      <c r="AD39" s="200"/>
      <c r="AE39" s="200"/>
      <c r="AF39" s="314">
        <f>N39-K39</f>
        <v>-148.50000000001251</v>
      </c>
      <c r="AG39" s="206">
        <f>N39/K39</f>
        <v>0.90922982885084813</v>
      </c>
      <c r="AH39" s="485"/>
    </row>
    <row r="40" spans="1:34" ht="15" customHeight="1">
      <c r="A40" s="492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7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466"/>
      <c r="AC40" s="466"/>
      <c r="AD40" s="92"/>
      <c r="AE40" s="92"/>
      <c r="AF40" s="314">
        <f>N40-K40</f>
        <v>0</v>
      </c>
      <c r="AG40" s="206" t="e">
        <f>N40/K40</f>
        <v>#DIV/0!</v>
      </c>
      <c r="AH40" s="485"/>
    </row>
    <row r="41" spans="1:34" ht="15" customHeight="1">
      <c r="A41" s="49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7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6"/>
      <c r="AC41" s="466"/>
      <c r="AD41" s="92"/>
      <c r="AE41" s="92"/>
      <c r="AF41" s="314">
        <f>N41-K41</f>
        <v>0</v>
      </c>
      <c r="AG41" s="206" t="e">
        <f>N41/K41</f>
        <v>#DIV/0!</v>
      </c>
      <c r="AH41" s="485"/>
    </row>
    <row r="42" spans="1:34" ht="15" customHeight="1">
      <c r="A42" s="49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7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6"/>
      <c r="AC42" s="466"/>
      <c r="AD42" s="92"/>
      <c r="AE42" s="92"/>
      <c r="AF42" s="314"/>
      <c r="AG42" s="206"/>
      <c r="AH42" s="485"/>
    </row>
    <row r="43" spans="1:34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>
        <f t="shared" ref="J48:O48" si="16">AVERAGE(J38:J47)</f>
        <v>16</v>
      </c>
      <c r="K48" s="155">
        <f t="shared" si="16"/>
        <v>1675</v>
      </c>
      <c r="L48" s="158">
        <f t="shared" si="16"/>
        <v>105.25098039215686</v>
      </c>
      <c r="M48" s="155">
        <f t="shared" si="16"/>
        <v>15</v>
      </c>
      <c r="N48" s="155">
        <f t="shared" si="16"/>
        <v>1511.7499999999841</v>
      </c>
      <c r="O48" s="158">
        <f t="shared" si="16"/>
        <v>101.34151785714178</v>
      </c>
      <c r="P48" s="221">
        <f>M48-J48</f>
        <v>-1</v>
      </c>
      <c r="Q48" s="222">
        <f>N48-K48</f>
        <v>-163.25000000001592</v>
      </c>
      <c r="R48" s="223">
        <f>O48/L48</f>
        <v>0.96285580884426225</v>
      </c>
      <c r="S48" s="420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7"/>
      <c r="AC48" s="467"/>
      <c r="AD48" s="323">
        <f>SUM(AD38:AD47)</f>
        <v>0</v>
      </c>
      <c r="AE48" s="323">
        <f>SUM(AE38:AE47)</f>
        <v>0</v>
      </c>
      <c r="AF48" s="315">
        <f t="shared" ref="AF48:AF53" si="17">N48-K48</f>
        <v>-163.25000000001592</v>
      </c>
      <c r="AG48" s="162">
        <f t="shared" ref="AG48:AG53" si="18">N48/K48</f>
        <v>0.90253731343282628</v>
      </c>
      <c r="AH48" s="486"/>
    </row>
    <row r="49" spans="1:34" ht="15" customHeight="1">
      <c r="A49" s="488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1879</v>
      </c>
      <c r="H49" s="134">
        <f>F49*G49</f>
        <v>93048.08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1409.2500000000148</v>
      </c>
      <c r="O49" s="141">
        <f>N49/M49</f>
        <v>82.897058823530287</v>
      </c>
      <c r="P49" s="229">
        <f>M49-J49</f>
        <v>0</v>
      </c>
      <c r="Q49" s="230">
        <f>O49-L49</f>
        <v>-5.338235294116771</v>
      </c>
      <c r="R49" s="52">
        <f>O49/L49</f>
        <v>0.93950000000000988</v>
      </c>
      <c r="S49" s="416">
        <f>R58</f>
        <v>0.90925658675750232</v>
      </c>
      <c r="T49" s="191">
        <v>0.29166666666666702</v>
      </c>
      <c r="U49" s="191">
        <v>0.34722222222222199</v>
      </c>
      <c r="V49" s="55"/>
      <c r="W49" s="193">
        <f t="shared" si="4"/>
        <v>79.999999999999162</v>
      </c>
      <c r="X49" s="55"/>
      <c r="Y49" s="290"/>
      <c r="Z49" s="169"/>
      <c r="AA49" s="169"/>
      <c r="AB49" s="468"/>
      <c r="AC49" s="468"/>
      <c r="AD49" s="135"/>
      <c r="AE49" s="135"/>
      <c r="AF49" s="229">
        <f t="shared" si="17"/>
        <v>-90.749999999985221</v>
      </c>
      <c r="AG49" s="52">
        <f t="shared" si="18"/>
        <v>0.93950000000000988</v>
      </c>
      <c r="AH49" s="461">
        <f>AG58</f>
        <v>0.85309336518221535</v>
      </c>
    </row>
    <row r="50" spans="1:34" ht="15" customHeight="1">
      <c r="A50" s="489"/>
      <c r="B50" s="75" t="s">
        <v>81</v>
      </c>
      <c r="C50" s="76"/>
      <c r="D50" s="59" t="s">
        <v>128</v>
      </c>
      <c r="E50" s="77"/>
      <c r="F50" s="75">
        <f>VLOOKUP(D50,廠價表!$C$1:$E$43,3,0)</f>
        <v>57.21</v>
      </c>
      <c r="G50" s="202">
        <v>1878</v>
      </c>
      <c r="H50" s="231">
        <f>F50*G50</f>
        <v>107440.38</v>
      </c>
      <c r="I50" s="232"/>
      <c r="J50" s="79">
        <f>VLOOKUP(D50,產線配置圖!$A$3:$C$40,2,0)</f>
        <v>17</v>
      </c>
      <c r="K50" s="80">
        <f>VLOOKUP(D50,產線配置圖!$A$3:$C$40,3,0)</f>
        <v>1716</v>
      </c>
      <c r="L50" s="81">
        <f>K50/J50</f>
        <v>100.94117647058823</v>
      </c>
      <c r="M50" s="233">
        <v>15</v>
      </c>
      <c r="N50" s="234">
        <f>G50/W50*60</f>
        <v>1426.3291139240541</v>
      </c>
      <c r="O50" s="235">
        <f>N50/M50</f>
        <v>95.088607594936946</v>
      </c>
      <c r="P50" s="74">
        <f>M50-J50</f>
        <v>-2</v>
      </c>
      <c r="Q50" s="83">
        <f>O50-L50</f>
        <v>-5.8525688756512864</v>
      </c>
      <c r="R50" s="72">
        <f>O50/L50</f>
        <v>0.94202000531114694</v>
      </c>
      <c r="S50" s="417"/>
      <c r="T50" s="21">
        <v>0.35486111111111102</v>
      </c>
      <c r="U50" s="21">
        <v>0.40972222222222199</v>
      </c>
      <c r="V50" s="30">
        <f>(T50-U49)*24*60</f>
        <v>11.000000000000201</v>
      </c>
      <c r="W50" s="236">
        <f t="shared" si="4"/>
        <v>78.999999999999801</v>
      </c>
      <c r="X50" s="22"/>
      <c r="Y50" s="84"/>
      <c r="Z50" s="90"/>
      <c r="AA50" s="90"/>
      <c r="AB50" s="466"/>
      <c r="AC50" s="466"/>
      <c r="AD50" s="92"/>
      <c r="AE50" s="92"/>
      <c r="AF50" s="307">
        <f t="shared" si="17"/>
        <v>-289.67088607594587</v>
      </c>
      <c r="AG50" s="72">
        <f t="shared" si="18"/>
        <v>0.83119412233336487</v>
      </c>
      <c r="AH50" s="462"/>
    </row>
    <row r="51" spans="1:34" ht="15" customHeight="1">
      <c r="A51" s="489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2107</v>
      </c>
      <c r="H51" s="231">
        <f>F51*G51</f>
        <v>105286.79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15</v>
      </c>
      <c r="N51" s="234">
        <f>G51/W51*60</f>
        <v>1505.0000000000098</v>
      </c>
      <c r="O51" s="235">
        <f>N51/M51</f>
        <v>100.33333333333398</v>
      </c>
      <c r="P51" s="74">
        <f>M51-J51</f>
        <v>-1</v>
      </c>
      <c r="Q51" s="83">
        <f>O51-L51</f>
        <v>-12.166666666666018</v>
      </c>
      <c r="R51" s="72">
        <f>O51/L51</f>
        <v>0.89185185185185767</v>
      </c>
      <c r="S51" s="417"/>
      <c r="T51" s="21">
        <v>0.41736111111111102</v>
      </c>
      <c r="U51" s="19">
        <v>0.47569444444444398</v>
      </c>
      <c r="V51" s="30">
        <f>(T51-U50)*24*60</f>
        <v>11.000000000000201</v>
      </c>
      <c r="W51" s="236">
        <f t="shared" si="4"/>
        <v>83.99999999999946</v>
      </c>
      <c r="X51" s="22"/>
      <c r="Y51" s="84"/>
      <c r="Z51" s="90"/>
      <c r="AA51" s="90"/>
      <c r="AB51" s="466"/>
      <c r="AC51" s="466"/>
      <c r="AD51" s="92"/>
      <c r="AE51" s="92"/>
      <c r="AF51" s="307">
        <f t="shared" si="17"/>
        <v>-294.99999999999022</v>
      </c>
      <c r="AG51" s="72">
        <f t="shared" si="18"/>
        <v>0.83611111111111658</v>
      </c>
      <c r="AH51" s="462"/>
    </row>
    <row r="52" spans="1:34" ht="15" customHeight="1">
      <c r="A52" s="489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2334</v>
      </c>
      <c r="H52" s="231">
        <f>F52*G52</f>
        <v>116629.98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15</v>
      </c>
      <c r="N52" s="234">
        <f>G52/W52*60</f>
        <v>1474.1052631579</v>
      </c>
      <c r="O52" s="235">
        <f>N52/M52</f>
        <v>98.273684210526667</v>
      </c>
      <c r="P52" s="74">
        <f>M52-J52</f>
        <v>-1</v>
      </c>
      <c r="Q52" s="83">
        <f>O52-L52</f>
        <v>-14.226315789473333</v>
      </c>
      <c r="R52" s="72">
        <f>O52/L52</f>
        <v>0.87354385964912595</v>
      </c>
      <c r="S52" s="417"/>
      <c r="T52" s="21">
        <v>0.53472222222222199</v>
      </c>
      <c r="U52" s="21">
        <v>0.60069444444444398</v>
      </c>
      <c r="V52" s="30">
        <f>(T52-U51)*24*60</f>
        <v>85.000000000000341</v>
      </c>
      <c r="W52" s="236">
        <f t="shared" si="4"/>
        <v>94.999999999999659</v>
      </c>
      <c r="X52" s="22">
        <v>0.47916666666666702</v>
      </c>
      <c r="Y52" s="84">
        <v>0.52083333333333304</v>
      </c>
      <c r="Z52" s="90"/>
      <c r="AA52" s="90"/>
      <c r="AB52" s="466"/>
      <c r="AC52" s="466"/>
      <c r="AD52" s="92"/>
      <c r="AE52" s="92"/>
      <c r="AF52" s="307">
        <f t="shared" si="17"/>
        <v>-325.89473684209997</v>
      </c>
      <c r="AG52" s="72">
        <f t="shared" si="18"/>
        <v>0.81894736842105553</v>
      </c>
      <c r="AH52" s="462"/>
    </row>
    <row r="53" spans="1:34" ht="15" customHeight="1">
      <c r="A53" s="489"/>
      <c r="B53" s="101"/>
      <c r="C53" s="102"/>
      <c r="D53" s="103"/>
      <c r="E53" s="104"/>
      <c r="F53" s="75"/>
      <c r="G53" s="202"/>
      <c r="H53" s="231"/>
      <c r="I53" s="232"/>
      <c r="J53" s="79"/>
      <c r="K53" s="80"/>
      <c r="L53" s="81"/>
      <c r="M53" s="108"/>
      <c r="N53" s="234"/>
      <c r="O53" s="235"/>
      <c r="P53" s="74"/>
      <c r="Q53" s="83"/>
      <c r="R53" s="72"/>
      <c r="S53" s="417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6"/>
      <c r="AC53" s="466"/>
      <c r="AD53" s="92"/>
      <c r="AE53" s="92"/>
      <c r="AF53" s="307">
        <f t="shared" si="17"/>
        <v>0</v>
      </c>
      <c r="AG53" s="72" t="e">
        <f t="shared" si="18"/>
        <v>#DIV/0!</v>
      </c>
      <c r="AH53" s="462"/>
    </row>
    <row r="54" spans="1:34" ht="15" customHeight="1">
      <c r="A54" s="48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7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>
      <c r="A58" s="490"/>
      <c r="B58" s="239"/>
      <c r="C58" s="153" t="s">
        <v>51</v>
      </c>
      <c r="D58" s="437" t="s">
        <v>42</v>
      </c>
      <c r="E58" s="437"/>
      <c r="F58" s="116"/>
      <c r="G58" s="240"/>
      <c r="H58" s="118"/>
      <c r="I58" s="117"/>
      <c r="J58" s="120">
        <f t="shared" ref="J58:O58" si="19">AVERAGE(J49:J57)</f>
        <v>16.5</v>
      </c>
      <c r="K58" s="120">
        <f t="shared" si="19"/>
        <v>1704</v>
      </c>
      <c r="L58" s="117">
        <f t="shared" si="19"/>
        <v>103.54411764705883</v>
      </c>
      <c r="M58" s="120">
        <f t="shared" si="19"/>
        <v>15.5</v>
      </c>
      <c r="N58" s="120">
        <f t="shared" si="19"/>
        <v>1453.6710942704949</v>
      </c>
      <c r="O58" s="117">
        <f t="shared" si="19"/>
        <v>94.148170990581974</v>
      </c>
      <c r="P58" s="121">
        <f>M58-J58</f>
        <v>-1</v>
      </c>
      <c r="Q58" s="122">
        <f>N58-K58</f>
        <v>-250.3289057295051</v>
      </c>
      <c r="R58" s="123">
        <f>O58/L58</f>
        <v>0.90925658675750232</v>
      </c>
      <c r="S58" s="42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7"/>
      <c r="AC58" s="467"/>
      <c r="AD58" s="323">
        <f>SUM(AD49:AD57)</f>
        <v>0</v>
      </c>
      <c r="AE58" s="323">
        <f>SUM(AE49:AE57)</f>
        <v>0</v>
      </c>
      <c r="AF58" s="309">
        <f>N58-K58</f>
        <v>-250.3289057295051</v>
      </c>
      <c r="AG58" s="124">
        <f>N58/K58</f>
        <v>0.85309336518221535</v>
      </c>
      <c r="AH58" s="464"/>
    </row>
    <row r="59" spans="1:34" ht="15" customHeight="1">
      <c r="A59" s="502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3202</v>
      </c>
      <c r="H59" s="243">
        <f>F59*G59</f>
        <v>86421.98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14</v>
      </c>
      <c r="N59" s="137">
        <f>G59/W59*60</f>
        <v>1280.8000000000088</v>
      </c>
      <c r="O59" s="138">
        <f>N59/M59</f>
        <v>91.48571428571492</v>
      </c>
      <c r="P59" s="56">
        <f>M59-J59</f>
        <v>-1</v>
      </c>
      <c r="Q59" s="230">
        <f>O59-L59</f>
        <v>-12.847619047618409</v>
      </c>
      <c r="R59" s="52">
        <f>O59/L59</f>
        <v>0.87685988133273085</v>
      </c>
      <c r="S59" s="416">
        <f>R69</f>
        <v>0.91855662973873387</v>
      </c>
      <c r="T59" s="245">
        <v>0.29166666666666702</v>
      </c>
      <c r="U59" s="245">
        <v>0.39583333333333298</v>
      </c>
      <c r="V59" s="55"/>
      <c r="W59" s="54">
        <f t="shared" si="4"/>
        <v>149.99999999999898</v>
      </c>
      <c r="X59" s="55"/>
      <c r="Y59" s="290"/>
      <c r="Z59" s="169"/>
      <c r="AA59" s="169"/>
      <c r="AB59" s="468"/>
      <c r="AC59" s="468"/>
      <c r="AD59" s="135"/>
      <c r="AE59" s="135"/>
      <c r="AF59" s="310">
        <f>N59-K59</f>
        <v>-284.19999999999118</v>
      </c>
      <c r="AG59" s="246">
        <f>N59/K59</f>
        <v>0.81840255591054878</v>
      </c>
      <c r="AH59" s="461">
        <f>AG69</f>
        <v>0.84549520766772857</v>
      </c>
    </row>
    <row r="60" spans="1:34" ht="15" customHeight="1">
      <c r="A60" s="503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1707</v>
      </c>
      <c r="H60" s="78">
        <f>F60*G60</f>
        <v>48239.82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11</v>
      </c>
      <c r="N60" s="80">
        <f>G60/W60*60</f>
        <v>1365.5999999999815</v>
      </c>
      <c r="O60" s="81">
        <f>N60/M60</f>
        <v>124.14545454545286</v>
      </c>
      <c r="P60" s="74">
        <f>M60-J60</f>
        <v>-1</v>
      </c>
      <c r="Q60" s="83">
        <f>O60-L60</f>
        <v>-6.271212121213793</v>
      </c>
      <c r="R60" s="72">
        <f>O60/L60</f>
        <v>0.95191402846353645</v>
      </c>
      <c r="S60" s="506"/>
      <c r="T60" s="22">
        <v>0.40972222222222199</v>
      </c>
      <c r="U60" s="22">
        <v>0.46180555555555602</v>
      </c>
      <c r="V60" s="30">
        <f>(T60-U59)*24*60</f>
        <v>20.000000000000171</v>
      </c>
      <c r="W60" s="248">
        <f t="shared" si="4"/>
        <v>75.000000000001009</v>
      </c>
      <c r="X60" s="232"/>
      <c r="Y60" s="177"/>
      <c r="Z60" s="90"/>
      <c r="AA60" s="90"/>
      <c r="AB60" s="466"/>
      <c r="AC60" s="466"/>
      <c r="AD60" s="92"/>
      <c r="AE60" s="92"/>
      <c r="AF60" s="316">
        <f>N60-K60</f>
        <v>-199.40000000001851</v>
      </c>
      <c r="AG60" s="249">
        <f>N60/K60</f>
        <v>0.87258785942490835</v>
      </c>
      <c r="AH60" s="497"/>
    </row>
    <row r="61" spans="1:34" ht="15" customHeight="1">
      <c r="A61" s="504"/>
      <c r="B61" s="250"/>
      <c r="C61" s="251"/>
      <c r="D61" s="252"/>
      <c r="E61" s="253"/>
      <c r="F61" s="250"/>
      <c r="G61" s="38"/>
      <c r="H61" s="254"/>
      <c r="I61" s="182"/>
      <c r="J61" s="106"/>
      <c r="K61" s="107"/>
      <c r="L61" s="238"/>
      <c r="M61" s="108"/>
      <c r="N61" s="107"/>
      <c r="O61" s="238"/>
      <c r="P61" s="111"/>
      <c r="Q61" s="255"/>
      <c r="R61" s="85"/>
      <c r="S61" s="417"/>
      <c r="T61" s="22"/>
      <c r="U61" s="22"/>
      <c r="V61" s="30"/>
      <c r="W61" s="256">
        <f t="shared" si="4"/>
        <v>0</v>
      </c>
      <c r="X61" s="22"/>
      <c r="Y61" s="84"/>
      <c r="Z61" s="90"/>
      <c r="AA61" s="90"/>
      <c r="AB61" s="466"/>
      <c r="AC61" s="466"/>
      <c r="AD61" s="92"/>
      <c r="AE61" s="92"/>
      <c r="AF61" s="317">
        <f>N61-K61</f>
        <v>0</v>
      </c>
      <c r="AG61" s="247" t="e">
        <f>N61/K61</f>
        <v>#DIV/0!</v>
      </c>
      <c r="AH61" s="462"/>
    </row>
    <row r="62" spans="1:34" ht="15" customHeight="1">
      <c r="A62" s="504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7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66"/>
      <c r="AC62" s="466"/>
      <c r="AD62" s="92"/>
      <c r="AE62" s="92"/>
      <c r="AF62" s="317">
        <f>N62-K62</f>
        <v>0</v>
      </c>
      <c r="AG62" s="247" t="e">
        <f>N62/K62</f>
        <v>#DIV/0!</v>
      </c>
      <c r="AH62" s="462"/>
    </row>
    <row r="63" spans="1:34" ht="15" customHeight="1">
      <c r="A63" s="504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7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6"/>
      <c r="AC63" s="466"/>
      <c r="AD63" s="92"/>
      <c r="AE63" s="92"/>
      <c r="AF63" s="317"/>
      <c r="AG63" s="247"/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>
        <f t="shared" ref="J69:O69" si="20">AVERAGE(J59:J68)</f>
        <v>13.5</v>
      </c>
      <c r="K69" s="240">
        <f t="shared" si="20"/>
        <v>1565</v>
      </c>
      <c r="L69" s="268">
        <f t="shared" si="20"/>
        <v>117.375</v>
      </c>
      <c r="M69" s="240">
        <f t="shared" si="20"/>
        <v>12.5</v>
      </c>
      <c r="N69" s="240">
        <f t="shared" si="20"/>
        <v>1323.1999999999953</v>
      </c>
      <c r="O69" s="268">
        <f t="shared" si="20"/>
        <v>107.81558441558388</v>
      </c>
      <c r="P69" s="269">
        <f>M69-J69</f>
        <v>-1</v>
      </c>
      <c r="Q69" s="222">
        <f>N69-K69</f>
        <v>-241.80000000000473</v>
      </c>
      <c r="R69" s="123">
        <f>O69/L69</f>
        <v>0.91855662973873387</v>
      </c>
      <c r="S69" s="42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7"/>
      <c r="AC69" s="467"/>
      <c r="AD69" s="323">
        <f>SUM(AD59:AD68)</f>
        <v>0</v>
      </c>
      <c r="AE69" s="323">
        <f>SUM(AE59:AE68)</f>
        <v>0</v>
      </c>
      <c r="AF69" s="309">
        <f>N69-K69</f>
        <v>-241.80000000000473</v>
      </c>
      <c r="AG69" s="124">
        <f>N69/K69</f>
        <v>0.84549520766772857</v>
      </c>
      <c r="AH69" s="464"/>
    </row>
    <row r="70" spans="1:36" ht="15" customHeight="1">
      <c r="A70" s="498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6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68"/>
      <c r="AC70" s="468"/>
      <c r="AD70" s="135"/>
      <c r="AE70" s="135"/>
      <c r="AF70" s="310">
        <f>N70-K70</f>
        <v>0</v>
      </c>
      <c r="AG70" s="246" t="e">
        <f>N70/K70</f>
        <v>#DIV/0!</v>
      </c>
      <c r="AH70" s="461" t="e">
        <f>AG79</f>
        <v>#DIV/0!</v>
      </c>
    </row>
    <row r="71" spans="1:36" ht="15" customHeight="1">
      <c r="A71" s="499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7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7"/>
      <c r="AC71" s="487"/>
      <c r="AD71" s="200"/>
      <c r="AE71" s="200"/>
      <c r="AF71" s="311">
        <v>-300.31249999999704</v>
      </c>
      <c r="AG71" s="99">
        <v>0.80810702875399554</v>
      </c>
      <c r="AH71" s="482"/>
    </row>
    <row r="72" spans="1:36" ht="15" customHeight="1">
      <c r="A72" s="499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7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6"/>
      <c r="AC72" s="466"/>
      <c r="AD72" s="92"/>
      <c r="AE72" s="92"/>
      <c r="AF72" s="311">
        <v>-130.33333333333326</v>
      </c>
      <c r="AG72" s="99">
        <v>0.91671991480298198</v>
      </c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6"/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>
      <c r="A79" s="500"/>
      <c r="B79" s="239"/>
      <c r="C79" s="153" t="s">
        <v>56</v>
      </c>
      <c r="D79" s="437" t="s">
        <v>42</v>
      </c>
      <c r="E79" s="437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16:AH26"/>
    <mergeCell ref="AB17:AC17"/>
    <mergeCell ref="AB18:AC18"/>
    <mergeCell ref="D37:E37"/>
    <mergeCell ref="AB37:AC37"/>
    <mergeCell ref="AB30:AC30"/>
    <mergeCell ref="AB31:AC31"/>
    <mergeCell ref="AB32:AC32"/>
    <mergeCell ref="AB33:AC33"/>
    <mergeCell ref="AB34:AC34"/>
    <mergeCell ref="AB35:AC35"/>
    <mergeCell ref="AB36:AC36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38:A48"/>
    <mergeCell ref="S38:S48"/>
    <mergeCell ref="AB38:AC38"/>
    <mergeCell ref="D48:E48"/>
    <mergeCell ref="AB48:AC48"/>
    <mergeCell ref="A16:A26"/>
    <mergeCell ref="S16:S26"/>
    <mergeCell ref="AB16:AC16"/>
    <mergeCell ref="D26:E26"/>
    <mergeCell ref="AB26:AC26"/>
    <mergeCell ref="AB19:AC19"/>
    <mergeCell ref="AB20:AC20"/>
    <mergeCell ref="AB21:AC21"/>
    <mergeCell ref="AB22:AC22"/>
    <mergeCell ref="AB23:AC23"/>
    <mergeCell ref="AB24:AC24"/>
    <mergeCell ref="AB25:AC25"/>
    <mergeCell ref="M3:M4"/>
    <mergeCell ref="A5:A15"/>
    <mergeCell ref="S5:S15"/>
    <mergeCell ref="AB5:AC5"/>
    <mergeCell ref="AH5:AH15"/>
    <mergeCell ref="AB6:AC6"/>
    <mergeCell ref="AB7:AC7"/>
    <mergeCell ref="AB14:AC14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AF1:AH2"/>
    <mergeCell ref="AG3:AG4"/>
    <mergeCell ref="AH3:AH4"/>
    <mergeCell ref="S3:S4"/>
    <mergeCell ref="P3:P4"/>
    <mergeCell ref="Q3:Q4"/>
    <mergeCell ref="R3:R4"/>
    <mergeCell ref="G3:G4"/>
    <mergeCell ref="J1:L2"/>
    <mergeCell ref="M1:O2"/>
    <mergeCell ref="AD3:AE3"/>
    <mergeCell ref="AF3:AF4"/>
    <mergeCell ref="T3:U3"/>
    <mergeCell ref="V3:V4"/>
    <mergeCell ref="W3:W4"/>
    <mergeCell ref="X3:Y3"/>
    <mergeCell ref="Z3:AA3"/>
    <mergeCell ref="AB3:AC4"/>
    <mergeCell ref="N3:N4"/>
    <mergeCell ref="O3:O4"/>
    <mergeCell ref="P1:S2"/>
    <mergeCell ref="T1:Y2"/>
    <mergeCell ref="AB1:AC2"/>
    <mergeCell ref="A2:B2"/>
    <mergeCell ref="A3:A4"/>
    <mergeCell ref="B3:B4"/>
    <mergeCell ref="D3:E4"/>
    <mergeCell ref="F3:F4"/>
    <mergeCell ref="H3:H4"/>
    <mergeCell ref="I3:I4"/>
    <mergeCell ref="J3:J4"/>
    <mergeCell ref="K3:K4"/>
    <mergeCell ref="L3:L4"/>
  </mergeCells>
  <phoneticPr fontId="0" type="noConversion"/>
  <conditionalFormatting sqref="P5:P79">
    <cfRule type="cellIs" dxfId="344" priority="1" operator="greaterThan">
      <formula>0</formula>
    </cfRule>
  </conditionalFormatting>
  <conditionalFormatting sqref="Q5:Q79 AF5:AF79">
    <cfRule type="cellIs" dxfId="343" priority="4" operator="lessThan">
      <formula>0</formula>
    </cfRule>
  </conditionalFormatting>
  <conditionalFormatting sqref="R5:R79 AG5:AG79">
    <cfRule type="cellIs" dxfId="342" priority="2" operator="greaterThan">
      <formula>1</formula>
    </cfRule>
    <cfRule type="cellIs" dxfId="341" priority="3" operator="lessThan">
      <formula>0.8</formula>
    </cfRule>
  </conditionalFormatting>
  <conditionalFormatting sqref="S5:S10 S37:S62 AH59:AH62 S69:S76 AH69:AH76">
    <cfRule type="cellIs" dxfId="340" priority="7" operator="lessThan">
      <formula>0.8</formula>
    </cfRule>
  </conditionalFormatting>
  <conditionalFormatting sqref="S19:S25 AH19:AH25">
    <cfRule type="cellIs" dxfId="339" priority="6" operator="lessThan">
      <formula>0.8</formula>
    </cfRule>
  </conditionalFormatting>
  <conditionalFormatting sqref="S79">
    <cfRule type="cellIs" dxfId="338" priority="5" operator="lessThan">
      <formula>0.8</formula>
    </cfRule>
  </conditionalFormatting>
  <conditionalFormatting sqref="AH5:AH8 S15:S16 AH15:AH16 AH49 AH79">
    <cfRule type="cellIs" dxfId="337" priority="9" operator="lessThan">
      <formula>0.8</formula>
    </cfRule>
  </conditionalFormatting>
  <conditionalFormatting sqref="AH27 S27:S28">
    <cfRule type="cellIs" dxfId="336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3E0CD0-D354-423A-8E68-46B495EB1C05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84790-AB2C-4484-B217-5A5AD2ED5B0F}">
  <dimension ref="B1:O26"/>
  <sheetViews>
    <sheetView zoomScale="70" zoomScaleNormal="70" workbookViewId="0">
      <selection activeCell="Q32" sqref="Q3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46144</v>
      </c>
      <c r="E3" s="412"/>
      <c r="F3" s="3" t="s">
        <v>72</v>
      </c>
      <c r="G3" s="413">
        <f>'0502'!E1</f>
        <v>45987</v>
      </c>
      <c r="H3" s="413"/>
      <c r="I3" s="3" t="s">
        <v>2</v>
      </c>
      <c r="J3" s="414">
        <f>'0502'!G1</f>
        <v>2245600.4629999995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>
        <f>AVERAGE(D13:I13)</f>
        <v>123.62042384430156</v>
      </c>
      <c r="G6" s="410"/>
      <c r="H6" s="395">
        <f>AVERAGE(D13:H13)</f>
        <v>124.86950861316186</v>
      </c>
      <c r="I6" s="395"/>
      <c r="J6" s="395">
        <f>AVERAGE(I13)</f>
        <v>117.375</v>
      </c>
      <c r="K6" s="395"/>
      <c r="L6" s="396">
        <f>SUM(D18:J18)</f>
        <v>3</v>
      </c>
      <c r="M6" s="398">
        <f>SUM(D19:J19)</f>
        <v>47</v>
      </c>
      <c r="N6" s="399">
        <f>SUM(D20:J20)</f>
        <v>0</v>
      </c>
      <c r="O6" s="398">
        <f>SUM(D20:J20)</f>
        <v>0</v>
      </c>
    </row>
    <row r="7" spans="2:15" ht="39.6" customHeight="1">
      <c r="B7" s="406"/>
      <c r="C7" s="406"/>
      <c r="D7" s="401" t="s">
        <v>87</v>
      </c>
      <c r="E7" s="401"/>
      <c r="F7" s="402">
        <f>AVERAGE(D14:I14)</f>
        <v>106.08858187875269</v>
      </c>
      <c r="G7" s="402"/>
      <c r="H7" s="403">
        <f>AVERAGE(D14:H14)</f>
        <v>105.75234947546821</v>
      </c>
      <c r="I7" s="403"/>
      <c r="J7" s="403">
        <f>AVERAGE(I14)</f>
        <v>107.76974389517517</v>
      </c>
      <c r="K7" s="403"/>
      <c r="L7" s="397" t="e">
        <f t="shared" ref="L7:O8" si="0">AVERAGE(K14:L14)</f>
        <v>#DIV/0!</v>
      </c>
      <c r="M7" s="398" t="e">
        <f t="shared" si="0"/>
        <v>#DIV/0!</v>
      </c>
      <c r="N7" s="400" t="e">
        <f t="shared" si="0"/>
        <v>#DIV/0!</v>
      </c>
      <c r="O7" s="398" t="e">
        <f t="shared" si="0"/>
        <v>#DIV/0!</v>
      </c>
    </row>
    <row r="8" spans="2:15" ht="39.6" customHeight="1">
      <c r="B8" s="406"/>
      <c r="C8" s="406"/>
      <c r="D8" s="401" t="s">
        <v>27</v>
      </c>
      <c r="E8" s="401"/>
      <c r="F8" s="387">
        <f>F7/F6</f>
        <v>0.8581800529366409</v>
      </c>
      <c r="G8" s="387"/>
      <c r="H8" s="387">
        <f>H7/H6</f>
        <v>0.84690290407951041</v>
      </c>
      <c r="I8" s="387"/>
      <c r="J8" s="387">
        <f>J7/J6</f>
        <v>0.9181660821740163</v>
      </c>
      <c r="K8" s="387"/>
      <c r="L8" s="397" t="e">
        <f t="shared" si="0"/>
        <v>#DIV/0!</v>
      </c>
      <c r="M8" s="398" t="e">
        <f t="shared" si="0"/>
        <v>#DIV/0!</v>
      </c>
      <c r="N8" s="400" t="e">
        <f t="shared" si="0"/>
        <v>#DIV/0!</v>
      </c>
      <c r="O8" s="398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>
        <f>VALUE('0502'!L15)</f>
        <v>150</v>
      </c>
      <c r="E13" s="13">
        <f>VALUE('0502'!L26)</f>
        <v>169.61538461538461</v>
      </c>
      <c r="F13" s="13">
        <f>VALUE('0502'!L37)</f>
        <v>96.457648646503131</v>
      </c>
      <c r="G13" s="13">
        <f>VALUE('0502'!L48)</f>
        <v>105.25098039215686</v>
      </c>
      <c r="H13" s="13">
        <f>VALUE('0502'!L58)</f>
        <v>103.02352941176471</v>
      </c>
      <c r="I13" s="13">
        <f>VALUE('0502'!L69)</f>
        <v>117.375</v>
      </c>
      <c r="J13" s="13">
        <f>'0502'!L79</f>
        <v>0</v>
      </c>
    </row>
    <row r="14" spans="2:15" ht="39.950000000000003" customHeight="1">
      <c r="B14" s="381"/>
      <c r="C14" s="12" t="s">
        <v>100</v>
      </c>
      <c r="D14" s="13">
        <f>VALUE('0502'!O15)</f>
        <v>137.09486748272212</v>
      </c>
      <c r="E14" s="13">
        <f>VALUE('0502'!O26)</f>
        <v>122.53058250020672</v>
      </c>
      <c r="F14" s="13">
        <f>VALUE('0502'!O37)</f>
        <v>86.502406604895512</v>
      </c>
      <c r="G14" s="13">
        <f>VALUE('0502'!O48)</f>
        <v>92.98891730605277</v>
      </c>
      <c r="H14" s="13">
        <f>VALUE('0502'!O58)</f>
        <v>89.644973483463986</v>
      </c>
      <c r="I14" s="13">
        <f>VALUE('0502'!O69)</f>
        <v>107.76974389517517</v>
      </c>
      <c r="J14" s="13">
        <f>'0502'!O79</f>
        <v>0</v>
      </c>
    </row>
    <row r="15" spans="2:15" ht="39.950000000000003" customHeight="1">
      <c r="B15" s="382"/>
      <c r="C15" s="10" t="s">
        <v>26</v>
      </c>
      <c r="D15" s="14">
        <f t="shared" ref="D15:I15" si="1">D14/D13</f>
        <v>0.91396578321814748</v>
      </c>
      <c r="E15" s="14">
        <f t="shared" si="1"/>
        <v>0.72240252721210307</v>
      </c>
      <c r="F15" s="14">
        <f t="shared" si="1"/>
        <v>0.89679157452726765</v>
      </c>
      <c r="G15" s="14">
        <f t="shared" si="1"/>
        <v>0.88349692287504966</v>
      </c>
      <c r="H15" s="14">
        <f t="shared" si="1"/>
        <v>0.87014077264981593</v>
      </c>
      <c r="I15" s="14">
        <f t="shared" si="1"/>
        <v>0.9181660821740163</v>
      </c>
      <c r="J15" s="15">
        <f>'0502'!S70</f>
        <v>0</v>
      </c>
    </row>
    <row r="16" spans="2:15" ht="17.25" customHeight="1">
      <c r="B16" s="383" t="s">
        <v>101</v>
      </c>
      <c r="C16" s="10" t="s">
        <v>34</v>
      </c>
      <c r="D16" s="16">
        <f>'0502'!T5</f>
        <v>0.29166666666666702</v>
      </c>
      <c r="E16" s="16">
        <f>'0502'!T16</f>
        <v>0.29166666666666702</v>
      </c>
      <c r="F16" s="16">
        <f>'0502'!T27</f>
        <v>0.29166666666666702</v>
      </c>
      <c r="G16" s="16">
        <f>'0502'!T38</f>
        <v>0.33333333333333298</v>
      </c>
      <c r="H16" s="16">
        <f>'0502'!T49</f>
        <v>0.29166666666666702</v>
      </c>
      <c r="I16" s="16">
        <f>'0502'!T59</f>
        <v>0.29166666666666702</v>
      </c>
      <c r="J16" s="16">
        <f>'0502'!T70</f>
        <v>0</v>
      </c>
    </row>
    <row r="17" spans="2:10" ht="17.25" customHeight="1">
      <c r="B17" s="384"/>
      <c r="C17" s="10" t="s">
        <v>35</v>
      </c>
      <c r="D17" s="16">
        <v>0.60347222222222197</v>
      </c>
      <c r="E17" s="19">
        <v>0.594444444444444</v>
      </c>
      <c r="F17" s="19">
        <v>0.58472222222222203</v>
      </c>
      <c r="G17" s="20">
        <v>0.46875</v>
      </c>
      <c r="H17" s="21">
        <v>0.61805555555555602</v>
      </c>
      <c r="I17" s="22">
        <v>0.43402777777777801</v>
      </c>
      <c r="J17" s="22">
        <v>0</v>
      </c>
    </row>
    <row r="18" spans="2:10" ht="17.25" customHeight="1">
      <c r="B18" s="385" t="s">
        <v>102</v>
      </c>
      <c r="C18" s="330" t="s">
        <v>36</v>
      </c>
      <c r="D18" s="358">
        <f>'0502'!Z15</f>
        <v>1</v>
      </c>
      <c r="E18" s="359">
        <f>'0502'!Z26</f>
        <v>2</v>
      </c>
      <c r="F18" s="359">
        <f>'0502'!Z37</f>
        <v>0</v>
      </c>
      <c r="G18" s="360">
        <f>'0502'!Z48</f>
        <v>0</v>
      </c>
      <c r="H18" s="360">
        <f>'0502'!Z58</f>
        <v>0</v>
      </c>
      <c r="I18" s="359">
        <f>'0502'!Z69</f>
        <v>0</v>
      </c>
      <c r="J18" s="359">
        <f>'0502'!AA79</f>
        <v>0</v>
      </c>
    </row>
    <row r="19" spans="2:10" ht="17.25" customHeight="1">
      <c r="B19" s="386"/>
      <c r="C19" s="330" t="s">
        <v>37</v>
      </c>
      <c r="D19" s="358">
        <f>'0502'!AA15</f>
        <v>10</v>
      </c>
      <c r="E19" s="359">
        <f>'0502'!AA26</f>
        <v>37</v>
      </c>
      <c r="F19" s="359">
        <f>'0502'!AA37</f>
        <v>0</v>
      </c>
      <c r="G19" s="360">
        <f>'0502'!AA48</f>
        <v>0</v>
      </c>
      <c r="H19" s="360">
        <f>'0502'!AA58</f>
        <v>0</v>
      </c>
      <c r="I19" s="359">
        <f>'0502'!AA69</f>
        <v>0</v>
      </c>
      <c r="J19" s="359">
        <f>'0502'!AB79</f>
        <v>0</v>
      </c>
    </row>
    <row r="20" spans="2:10" ht="17.25" customHeight="1">
      <c r="B20" s="385" t="s">
        <v>103</v>
      </c>
      <c r="C20" s="330" t="s">
        <v>36</v>
      </c>
      <c r="D20" s="358">
        <f>'0502'!AD15</f>
        <v>0</v>
      </c>
      <c r="E20" s="359">
        <f>'0502'!AD26</f>
        <v>0</v>
      </c>
      <c r="F20" s="359">
        <f>'0502'!AD37</f>
        <v>0</v>
      </c>
      <c r="G20" s="360">
        <f>'0502'!AD48</f>
        <v>0</v>
      </c>
      <c r="H20" s="360">
        <f>'0502'!AD58</f>
        <v>0</v>
      </c>
      <c r="I20" s="359">
        <f>'0502'!AD69</f>
        <v>0</v>
      </c>
      <c r="J20" s="359">
        <f>'0502'!AD79</f>
        <v>0</v>
      </c>
    </row>
    <row r="21" spans="2:10" ht="17.25" customHeight="1">
      <c r="B21" s="386"/>
      <c r="C21" s="330" t="s">
        <v>85</v>
      </c>
      <c r="D21" s="358">
        <f>'0502'!AE15</f>
        <v>0</v>
      </c>
      <c r="E21" s="359">
        <f>'0502'!AE26</f>
        <v>0</v>
      </c>
      <c r="F21" s="359">
        <f>'0502'!AE37</f>
        <v>0</v>
      </c>
      <c r="G21" s="360">
        <f>'0502'!AE48</f>
        <v>0</v>
      </c>
      <c r="H21" s="360">
        <f>'0502'!AE58</f>
        <v>0</v>
      </c>
      <c r="I21" s="359">
        <f>'0502'!AE69</f>
        <v>0</v>
      </c>
      <c r="J21" s="359">
        <f>'0502'!AE79</f>
        <v>0</v>
      </c>
    </row>
    <row r="22" spans="2:10" ht="17.25" customHeight="1">
      <c r="B22" s="377" t="s">
        <v>104</v>
      </c>
      <c r="C22" s="378"/>
      <c r="D22" s="23">
        <f>VALUE('0502'!M15)</f>
        <v>15</v>
      </c>
      <c r="E22" s="23">
        <f>VALUE('0502'!M26)</f>
        <v>13.4</v>
      </c>
      <c r="F22" s="23">
        <f>VALUE('0502'!M37)</f>
        <v>16.333333333333332</v>
      </c>
      <c r="G22" s="23">
        <f>VALUE('0502'!M48)</f>
        <v>16</v>
      </c>
      <c r="H22" s="23">
        <f>VALUE('0502'!M58)</f>
        <v>16.2</v>
      </c>
      <c r="I22" s="23">
        <f>VALUE('0502'!M69)</f>
        <v>13.5</v>
      </c>
      <c r="J22" s="23">
        <f>'0502'!M79</f>
        <v>0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335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22D1-7201-43EB-91C7-5DF3020122F1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Q32" sqref="Q32"/>
      <selection pane="topRight" activeCell="Q32" sqref="Q32"/>
      <selection pane="bottomLeft" activeCell="Q32" sqref="Q32"/>
      <selection pane="bottomRight" activeCell="Q32" sqref="Q3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8" width="8.7109375" style="34" customWidth="1"/>
    <col min="109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45987</v>
      </c>
      <c r="F1" s="30" t="s">
        <v>2</v>
      </c>
      <c r="G1" s="31">
        <f>SUM(H5:H79)</f>
        <v>2245600.4629999995</v>
      </c>
      <c r="H1" s="32" t="s">
        <v>3</v>
      </c>
      <c r="I1" s="33">
        <f>M15+M26+M48+M58+M69+M79+M37</f>
        <v>90.433333333333323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133</v>
      </c>
      <c r="B2" s="422"/>
      <c r="C2" s="28"/>
      <c r="D2" s="28" t="s">
        <v>14</v>
      </c>
      <c r="E2" s="35">
        <f>AVERAGE(O15,O26,O37,O48,O58,O69,O79)</f>
        <v>106.08858187875269</v>
      </c>
      <c r="F2" s="36" t="s">
        <v>15</v>
      </c>
      <c r="G2" s="37">
        <f>G1/E1</f>
        <v>48.831201491725913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3</v>
      </c>
      <c r="AA2" s="339">
        <f>AA15+AA26+AA37+AA48+AA58+AA69+AA79</f>
        <v>47</v>
      </c>
      <c r="AB2" s="460"/>
      <c r="AC2" s="460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2788</v>
      </c>
      <c r="H5" s="43">
        <f>F5*G5</f>
        <v>158553.56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1900.9090909090942</v>
      </c>
      <c r="O5" s="47">
        <f>N5/M5</f>
        <v>126.72727272727295</v>
      </c>
      <c r="P5" s="49">
        <f>M5-J5</f>
        <v>0</v>
      </c>
      <c r="Q5" s="50">
        <f>O5-L5</f>
        <v>-23.272727272727053</v>
      </c>
      <c r="R5" s="51">
        <f>O5/L5</f>
        <v>0.84484848484848629</v>
      </c>
      <c r="S5" s="416">
        <f>R15</f>
        <v>0.91396578321814748</v>
      </c>
      <c r="T5" s="319">
        <v>0.29166666666666702</v>
      </c>
      <c r="U5" s="320">
        <v>0.35277777777777802</v>
      </c>
      <c r="V5" s="53"/>
      <c r="W5" s="54">
        <f t="shared" ref="W5:W14" si="0">(U5-T5)*24*60</f>
        <v>87.999999999999844</v>
      </c>
      <c r="X5" s="55"/>
      <c r="Y5" s="290"/>
      <c r="Z5" s="169">
        <v>1</v>
      </c>
      <c r="AA5" s="169">
        <v>10</v>
      </c>
      <c r="AB5" s="468" t="s">
        <v>134</v>
      </c>
      <c r="AC5" s="468"/>
      <c r="AD5" s="135"/>
      <c r="AE5" s="135"/>
      <c r="AF5" s="229">
        <f t="shared" ref="AF5:AF11" si="1">N5-K5</f>
        <v>-349.09090909090582</v>
      </c>
      <c r="AG5" s="52">
        <f t="shared" ref="AG5:AG11" si="2">N5/K5</f>
        <v>0.84484848484848629</v>
      </c>
      <c r="AH5" s="461">
        <f>AG15</f>
        <v>0.91396578321814725</v>
      </c>
    </row>
    <row r="6" spans="1:34" ht="15" customHeight="1">
      <c r="A6" s="428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3915</v>
      </c>
      <c r="H6" s="63">
        <f>F6*G6</f>
        <v>192383.1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2097.3214285714225</v>
      </c>
      <c r="O6" s="67">
        <f>N6/M6</f>
        <v>139.82142857142816</v>
      </c>
      <c r="P6" s="69">
        <f>M6-J6</f>
        <v>0</v>
      </c>
      <c r="Q6" s="70">
        <f>O6-L6</f>
        <v>-10.178571428571843</v>
      </c>
      <c r="R6" s="71">
        <f>O6/L6</f>
        <v>0.93214285714285439</v>
      </c>
      <c r="S6" s="417"/>
      <c r="T6" s="16">
        <v>0.359722222222222</v>
      </c>
      <c r="U6" s="16">
        <v>0.4375</v>
      </c>
      <c r="V6" s="30">
        <f>(T6-U5)*24*60</f>
        <v>9.999999999999325</v>
      </c>
      <c r="W6" s="73">
        <f t="shared" si="0"/>
        <v>112.00000000000033</v>
      </c>
      <c r="X6" s="22"/>
      <c r="Y6" s="84"/>
      <c r="Z6" s="90"/>
      <c r="AA6" s="90"/>
      <c r="AB6" s="465"/>
      <c r="AC6" s="465"/>
      <c r="AD6" s="149"/>
      <c r="AE6" s="149"/>
      <c r="AF6" s="307">
        <f t="shared" si="1"/>
        <v>-152.67857142857747</v>
      </c>
      <c r="AG6" s="72">
        <f t="shared" si="2"/>
        <v>0.9321428571428545</v>
      </c>
      <c r="AH6" s="462"/>
    </row>
    <row r="7" spans="1:34" ht="15" customHeight="1">
      <c r="A7" s="428"/>
      <c r="B7" s="75" t="s">
        <v>81</v>
      </c>
      <c r="C7" s="76"/>
      <c r="D7" s="59" t="s">
        <v>115</v>
      </c>
      <c r="E7" s="77"/>
      <c r="F7" s="75">
        <f>VLOOKUP(D7,廠價表!$C$1:$E$43,3,0)</f>
        <v>58.17</v>
      </c>
      <c r="G7" s="66">
        <v>1793</v>
      </c>
      <c r="H7" s="78">
        <f>F7*G7</f>
        <v>104298.81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2151.5999999999494</v>
      </c>
      <c r="O7" s="81">
        <f>N7/M7</f>
        <v>143.43999999999662</v>
      </c>
      <c r="P7" s="74">
        <f>M7-J7</f>
        <v>0</v>
      </c>
      <c r="Q7" s="83">
        <f>O7-L7</f>
        <v>-6.5600000000033845</v>
      </c>
      <c r="R7" s="72">
        <f>O7/L7</f>
        <v>0.95626666666664406</v>
      </c>
      <c r="S7" s="417"/>
      <c r="T7" s="18">
        <v>0.44444444444444398</v>
      </c>
      <c r="U7" s="18">
        <v>0.47916666666666702</v>
      </c>
      <c r="V7" s="30">
        <f>(T7-U6)*24*60</f>
        <v>9.999999999999325</v>
      </c>
      <c r="W7" s="73">
        <f t="shared" si="0"/>
        <v>50.00000000000118</v>
      </c>
      <c r="X7" s="22"/>
      <c r="Y7" s="84"/>
      <c r="Z7" s="90"/>
      <c r="AA7" s="90"/>
      <c r="AB7" s="466"/>
      <c r="AC7" s="466"/>
      <c r="AD7" s="92"/>
      <c r="AE7" s="92"/>
      <c r="AF7" s="307">
        <f t="shared" si="1"/>
        <v>-98.400000000050568</v>
      </c>
      <c r="AG7" s="72">
        <f t="shared" si="2"/>
        <v>0.95626666666664417</v>
      </c>
      <c r="AH7" s="462"/>
    </row>
    <row r="8" spans="1:34" ht="15" customHeight="1">
      <c r="A8" s="428"/>
      <c r="B8" s="75" t="s">
        <v>81</v>
      </c>
      <c r="C8" s="76"/>
      <c r="D8" s="59" t="s">
        <v>115</v>
      </c>
      <c r="E8" s="77"/>
      <c r="F8" s="75">
        <f>VLOOKUP(D8,廠價表!$C$1:$E$43,3,0)</f>
        <v>58.17</v>
      </c>
      <c r="G8" s="66">
        <v>1459</v>
      </c>
      <c r="H8" s="78">
        <f t="shared" ref="H8:H9" si="3">F8*G8</f>
        <v>84870.03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9" si="4">K8/J8</f>
        <v>150</v>
      </c>
      <c r="M8" s="82">
        <v>15</v>
      </c>
      <c r="N8" s="80">
        <f t="shared" ref="N8:N9" si="5">G8/W8*60</f>
        <v>2035.8139534883794</v>
      </c>
      <c r="O8" s="81">
        <f t="shared" ref="O8:O9" si="6">N8/M8</f>
        <v>135.72093023255863</v>
      </c>
      <c r="P8" s="74">
        <f t="shared" ref="P8:P9" si="7">M8-J8</f>
        <v>0</v>
      </c>
      <c r="Q8" s="83">
        <f t="shared" ref="Q8:Q9" si="8">O8-L8</f>
        <v>-14.279069767441371</v>
      </c>
      <c r="R8" s="72">
        <f t="shared" ref="R8:R9" si="9">O8/L8</f>
        <v>0.90480620155039082</v>
      </c>
      <c r="S8" s="417"/>
      <c r="T8" s="16">
        <v>0.54166666666666696</v>
      </c>
      <c r="U8" s="16">
        <v>0.57152777777777797</v>
      </c>
      <c r="V8" s="30"/>
      <c r="W8" s="73">
        <f t="shared" si="0"/>
        <v>42.999999999999844</v>
      </c>
      <c r="X8" s="22">
        <v>0.48611111111111099</v>
      </c>
      <c r="Y8" s="84">
        <v>0.52777777777777801</v>
      </c>
      <c r="Z8" s="90"/>
      <c r="AA8" s="90"/>
      <c r="AB8" s="465"/>
      <c r="AC8" s="465"/>
      <c r="AD8" s="149"/>
      <c r="AE8" s="149"/>
      <c r="AF8" s="307">
        <f t="shared" si="1"/>
        <v>-214.18604651162059</v>
      </c>
      <c r="AG8" s="72">
        <f t="shared" si="2"/>
        <v>0.90480620155039082</v>
      </c>
      <c r="AH8" s="462"/>
    </row>
    <row r="9" spans="1:34" ht="15" customHeight="1">
      <c r="A9" s="429"/>
      <c r="B9" s="75" t="s">
        <v>81</v>
      </c>
      <c r="C9" s="76"/>
      <c r="D9" s="59" t="s">
        <v>114</v>
      </c>
      <c r="E9" s="77"/>
      <c r="F9" s="75">
        <f>VLOOKUP(D9,廠價表!$C$1:$E$43,3,0)</f>
        <v>49.14</v>
      </c>
      <c r="G9" s="66">
        <v>1188</v>
      </c>
      <c r="H9" s="78">
        <f t="shared" si="3"/>
        <v>58378.32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2096.4705882353119</v>
      </c>
      <c r="O9" s="81">
        <f t="shared" si="6"/>
        <v>139.76470588235412</v>
      </c>
      <c r="P9" s="74">
        <f t="shared" si="7"/>
        <v>0</v>
      </c>
      <c r="Q9" s="83">
        <f t="shared" si="8"/>
        <v>-10.235294117645878</v>
      </c>
      <c r="R9" s="72">
        <f t="shared" si="9"/>
        <v>0.93176470588236082</v>
      </c>
      <c r="S9" s="418"/>
      <c r="T9" s="16">
        <v>0.57986111111111105</v>
      </c>
      <c r="U9" s="16">
        <v>0.60347222222222197</v>
      </c>
      <c r="V9" s="30"/>
      <c r="W9" s="73">
        <f t="shared" si="0"/>
        <v>33.999999999999716</v>
      </c>
      <c r="X9" s="22"/>
      <c r="Y9" s="84"/>
      <c r="Z9" s="90"/>
      <c r="AA9" s="90"/>
      <c r="AB9" s="465"/>
      <c r="AC9" s="465"/>
      <c r="AD9" s="149"/>
      <c r="AE9" s="149"/>
      <c r="AF9" s="307">
        <f t="shared" si="1"/>
        <v>-153.52941176468812</v>
      </c>
      <c r="AG9" s="72">
        <f t="shared" si="2"/>
        <v>0.93176470588236082</v>
      </c>
      <c r="AH9" s="463"/>
    </row>
    <row r="10" spans="1:34" ht="15" customHeight="1">
      <c r="A10" s="42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8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6"/>
      <c r="AC10" s="466"/>
      <c r="AD10" s="92"/>
      <c r="AE10" s="92"/>
      <c r="AF10" s="307">
        <f t="shared" si="1"/>
        <v>0</v>
      </c>
      <c r="AG10" s="72" t="e">
        <f t="shared" si="2"/>
        <v>#DIV/0!</v>
      </c>
      <c r="AH10" s="463"/>
    </row>
    <row r="11" spans="1:34" ht="15" customHeight="1">
      <c r="A11" s="42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5"/>
      <c r="AC11" s="465"/>
      <c r="AD11" s="149"/>
      <c r="AE11" s="149"/>
      <c r="AF11" s="307">
        <f t="shared" si="1"/>
        <v>0</v>
      </c>
      <c r="AG11" s="72" t="e">
        <f t="shared" si="2"/>
        <v>#DIV/0!</v>
      </c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>
        <f t="shared" ref="J15:O15" si="10">AVERAGE(J5:J14)</f>
        <v>15</v>
      </c>
      <c r="K15" s="120">
        <f t="shared" si="10"/>
        <v>2250</v>
      </c>
      <c r="L15" s="117">
        <f t="shared" si="10"/>
        <v>150</v>
      </c>
      <c r="M15" s="120">
        <f t="shared" si="10"/>
        <v>15</v>
      </c>
      <c r="N15" s="120">
        <f t="shared" si="10"/>
        <v>2056.4230122408312</v>
      </c>
      <c r="O15" s="117">
        <f t="shared" si="10"/>
        <v>137.09486748272212</v>
      </c>
      <c r="P15" s="121">
        <f>M15-J15</f>
        <v>0</v>
      </c>
      <c r="Q15" s="122">
        <f>O15-L15</f>
        <v>-12.905132517277877</v>
      </c>
      <c r="R15" s="123">
        <f>O15/L15</f>
        <v>0.91396578321814748</v>
      </c>
      <c r="S15" s="420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10</v>
      </c>
      <c r="AB15" s="467"/>
      <c r="AC15" s="467"/>
      <c r="AD15" s="323">
        <f>SUM(AD5:AD14)</f>
        <v>0</v>
      </c>
      <c r="AE15" s="323">
        <f>SUM(AE5:AE14)</f>
        <v>0</v>
      </c>
      <c r="AF15" s="309">
        <f>N15-K15</f>
        <v>-193.57698775916879</v>
      </c>
      <c r="AG15" s="124">
        <f>N15/K15</f>
        <v>0.91396578321814725</v>
      </c>
      <c r="AH15" s="464"/>
    </row>
    <row r="16" spans="1:34" ht="15" customHeight="1">
      <c r="A16" s="47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3178</v>
      </c>
      <c r="H16" s="134">
        <f>F16*G16</f>
        <v>161029.26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2118.6666666666665</v>
      </c>
      <c r="O16" s="141">
        <f>N16/M16</f>
        <v>162.97435897435895</v>
      </c>
      <c r="P16" s="142">
        <f>M16-J16</f>
        <v>0</v>
      </c>
      <c r="Q16" s="143">
        <f>O16-L16</f>
        <v>-10.102564102564116</v>
      </c>
      <c r="R16" s="144">
        <f>O16/L16</f>
        <v>0.94162962962962959</v>
      </c>
      <c r="S16" s="472">
        <f>R26</f>
        <v>0.72240252721210307</v>
      </c>
      <c r="T16" s="145">
        <v>0.29166666666666702</v>
      </c>
      <c r="U16" s="145">
        <v>0.35416666666666702</v>
      </c>
      <c r="V16" s="135"/>
      <c r="W16" s="146">
        <f t="shared" ref="W16:W78" si="11">(U16-T16)*24*60</f>
        <v>90</v>
      </c>
      <c r="X16" s="141"/>
      <c r="Y16" s="296"/>
      <c r="Z16" s="169">
        <v>1</v>
      </c>
      <c r="AA16" s="169">
        <v>5</v>
      </c>
      <c r="AB16" s="468" t="s">
        <v>135</v>
      </c>
      <c r="AC16" s="468"/>
      <c r="AD16" s="135"/>
      <c r="AE16" s="135"/>
      <c r="AF16" s="229">
        <f>N16-K16</f>
        <v>-131.33333333333348</v>
      </c>
      <c r="AG16" s="52">
        <f>N16/K16</f>
        <v>0.94162962962962959</v>
      </c>
      <c r="AH16" s="461">
        <f>AG26</f>
        <v>0.70743474559414465</v>
      </c>
    </row>
    <row r="17" spans="1:34" ht="15" customHeight="1">
      <c r="A17" s="479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1390</v>
      </c>
      <c r="H17" s="78">
        <f>F17*G17</f>
        <v>78687.899999999994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1463.1578947368166</v>
      </c>
      <c r="O17" s="96">
        <f>N17/M17</f>
        <v>97.543859649121103</v>
      </c>
      <c r="P17" s="97">
        <f>M17-J17</f>
        <v>0</v>
      </c>
      <c r="Q17" s="98">
        <f>O17-L17</f>
        <v>-52.456140350878897</v>
      </c>
      <c r="R17" s="99">
        <f>O17/L17</f>
        <v>0.65029239766080738</v>
      </c>
      <c r="S17" s="473"/>
      <c r="T17" s="19">
        <v>0.36458333333333298</v>
      </c>
      <c r="U17" s="19">
        <v>0.40416666666666701</v>
      </c>
      <c r="V17" s="30">
        <f>(T17-U16)*24*60</f>
        <v>14.999999999998987</v>
      </c>
      <c r="W17" s="149">
        <f t="shared" si="11"/>
        <v>57.000000000000995</v>
      </c>
      <c r="X17" s="19"/>
      <c r="Y17" s="297"/>
      <c r="Z17" s="90">
        <v>1</v>
      </c>
      <c r="AA17" s="90">
        <v>32</v>
      </c>
      <c r="AB17" s="466" t="s">
        <v>136</v>
      </c>
      <c r="AC17" s="466"/>
      <c r="AD17" s="92"/>
      <c r="AE17" s="92"/>
      <c r="AF17" s="307">
        <f>N17-K17</f>
        <v>-786.84210526318338</v>
      </c>
      <c r="AG17" s="72">
        <f>N17/K17</f>
        <v>0.65029239766080738</v>
      </c>
      <c r="AH17" s="462"/>
    </row>
    <row r="18" spans="1:34" ht="15" customHeight="1">
      <c r="A18" s="479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3562</v>
      </c>
      <c r="H18" s="78">
        <f>F18*G18</f>
        <v>179489.18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2180.8163265305971</v>
      </c>
      <c r="O18" s="96">
        <f>N18/M18</f>
        <v>181.73469387754974</v>
      </c>
      <c r="P18" s="97">
        <f>M18-J18</f>
        <v>0</v>
      </c>
      <c r="Q18" s="98">
        <f>O18-L18</f>
        <v>-5.7653061224502551</v>
      </c>
      <c r="R18" s="99">
        <f>O18/L18</f>
        <v>0.96925170068026534</v>
      </c>
      <c r="S18" s="473"/>
      <c r="T18" s="19">
        <v>0.41111111111111098</v>
      </c>
      <c r="U18" s="19">
        <v>0.47916666666666702</v>
      </c>
      <c r="V18" s="30">
        <f>(T18-U17)*24*60</f>
        <v>9.999999999999325</v>
      </c>
      <c r="W18" s="149">
        <f t="shared" si="11"/>
        <v>98.000000000000696</v>
      </c>
      <c r="X18" s="22">
        <v>0.48611111111111099</v>
      </c>
      <c r="Y18" s="84">
        <v>0.52777777777777801</v>
      </c>
      <c r="Z18" s="90"/>
      <c r="AA18" s="90"/>
      <c r="AB18" s="466"/>
      <c r="AC18" s="466"/>
      <c r="AD18" s="92"/>
      <c r="AE18" s="92"/>
      <c r="AF18" s="307">
        <f>N18-K18</f>
        <v>-69.183673469402947</v>
      </c>
      <c r="AG18" s="72">
        <f>N18/K18</f>
        <v>0.96925170068026534</v>
      </c>
      <c r="AH18" s="462"/>
    </row>
    <row r="19" spans="1:34" ht="15" customHeight="1">
      <c r="A19" s="479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456</v>
      </c>
      <c r="H19" s="78">
        <f t="shared" ref="H19:H20" si="12">F19*G19</f>
        <v>22977.84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13">K19/J19</f>
        <v>187.5</v>
      </c>
      <c r="M19" s="148">
        <v>12</v>
      </c>
      <c r="N19" s="95">
        <f t="shared" ref="N19:N20" si="14">G19/W19*60</f>
        <v>1440.0000000000416</v>
      </c>
      <c r="O19" s="96">
        <f t="shared" ref="O19:O20" si="15">N19/M19</f>
        <v>120.00000000000347</v>
      </c>
      <c r="P19" s="97">
        <f t="shared" ref="P19:P20" si="16">M19-J19</f>
        <v>0</v>
      </c>
      <c r="Q19" s="98">
        <f t="shared" ref="Q19:Q20" si="17">O19-L19</f>
        <v>-67.499999999996533</v>
      </c>
      <c r="R19" s="99">
        <f t="shared" ref="R19:R20" si="18">O19/L19</f>
        <v>0.64000000000001844</v>
      </c>
      <c r="S19" s="473"/>
      <c r="T19" s="19">
        <v>0.54166666666666696</v>
      </c>
      <c r="U19" s="19">
        <v>0.55486111111111103</v>
      </c>
      <c r="V19" s="30">
        <f>(T19-U18)*24*60</f>
        <v>89.999999999999915</v>
      </c>
      <c r="W19" s="149">
        <f t="shared" si="11"/>
        <v>18.999999999999453</v>
      </c>
      <c r="X19" s="22"/>
      <c r="Y19" s="84"/>
      <c r="Z19" s="90"/>
      <c r="AA19" s="90"/>
      <c r="AB19" s="465" t="s">
        <v>125</v>
      </c>
      <c r="AC19" s="465"/>
      <c r="AD19" s="149"/>
      <c r="AE19" s="149"/>
      <c r="AF19" s="307">
        <f>N19-K19</f>
        <v>-809.99999999995839</v>
      </c>
      <c r="AG19" s="72">
        <f>N19/K19</f>
        <v>0.64000000000001844</v>
      </c>
      <c r="AH19" s="463"/>
    </row>
    <row r="20" spans="1:34" ht="15" customHeight="1">
      <c r="A20" s="479"/>
      <c r="B20" s="75" t="s">
        <v>81</v>
      </c>
      <c r="C20" s="76"/>
      <c r="D20" s="59" t="s">
        <v>117</v>
      </c>
      <c r="E20" s="77"/>
      <c r="F20" s="75">
        <f>VLOOKUP(D20,廠價表!$C$1:$E$43,3,0)</f>
        <v>56.61</v>
      </c>
      <c r="G20" s="147">
        <v>630</v>
      </c>
      <c r="H20" s="78">
        <f t="shared" si="12"/>
        <v>35664.300000000003</v>
      </c>
      <c r="I20" s="30"/>
      <c r="J20" s="79">
        <f>VLOOKUP(D20,產線配置圖!$A$3:$C$40,2,0)</f>
        <v>15</v>
      </c>
      <c r="K20" s="80">
        <f>VLOOKUP(D20,產線配置圖!$A$3:$C$40,3,0)</f>
        <v>2250</v>
      </c>
      <c r="L20" s="81">
        <f t="shared" si="13"/>
        <v>150</v>
      </c>
      <c r="M20" s="148">
        <v>15</v>
      </c>
      <c r="N20" s="95">
        <f t="shared" si="14"/>
        <v>756.00000000000523</v>
      </c>
      <c r="O20" s="96">
        <f t="shared" si="15"/>
        <v>50.400000000000347</v>
      </c>
      <c r="P20" s="97">
        <f t="shared" si="16"/>
        <v>0</v>
      </c>
      <c r="Q20" s="98">
        <f t="shared" si="17"/>
        <v>-99.599999999999653</v>
      </c>
      <c r="R20" s="99">
        <f t="shared" si="18"/>
        <v>0.3360000000000023</v>
      </c>
      <c r="S20" s="473"/>
      <c r="T20" s="19">
        <v>0.55972222222222201</v>
      </c>
      <c r="U20" s="19">
        <v>0.594444444444444</v>
      </c>
      <c r="V20" s="30">
        <f>(T20-U19)*24*60</f>
        <v>6.9999999999998153</v>
      </c>
      <c r="W20" s="149">
        <f t="shared" si="11"/>
        <v>49.999999999999659</v>
      </c>
      <c r="X20" s="19"/>
      <c r="Y20" s="297"/>
      <c r="Z20" s="90"/>
      <c r="AA20" s="90"/>
      <c r="AB20" s="466" t="s">
        <v>137</v>
      </c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3"/>
      <c r="T21" s="19"/>
      <c r="U21" s="19"/>
      <c r="V21" s="30"/>
      <c r="W21" s="149">
        <f t="shared" si="11"/>
        <v>0</v>
      </c>
      <c r="X21" s="92"/>
      <c r="Y21" s="298"/>
      <c r="Z21" s="90"/>
      <c r="AA21" s="90"/>
      <c r="AB21" s="466"/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50"/>
      <c r="U22" s="150"/>
      <c r="V22" s="92"/>
      <c r="W22" s="149"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11"/>
        <v>0</v>
      </c>
      <c r="X23" s="92"/>
      <c r="Y23" s="298"/>
      <c r="Z23" s="90"/>
      <c r="AA23" s="90"/>
      <c r="AB23" s="466"/>
      <c r="AC23" s="46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11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11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>
        <f t="shared" ref="J26:O26" si="19">AVERAGE(J16:J25)</f>
        <v>13.4</v>
      </c>
      <c r="K26" s="155">
        <f t="shared" si="19"/>
        <v>2250</v>
      </c>
      <c r="L26" s="158">
        <f t="shared" si="19"/>
        <v>169.61538461538461</v>
      </c>
      <c r="M26" s="155">
        <f t="shared" si="19"/>
        <v>13.4</v>
      </c>
      <c r="N26" s="155">
        <f t="shared" si="19"/>
        <v>1591.7281775868255</v>
      </c>
      <c r="O26" s="158">
        <f t="shared" si="19"/>
        <v>122.53058250020672</v>
      </c>
      <c r="P26" s="159">
        <f>M26-J26</f>
        <v>0</v>
      </c>
      <c r="Q26" s="160">
        <f>O26-L26</f>
        <v>-47.084802115177894</v>
      </c>
      <c r="R26" s="161">
        <f>O26/L26</f>
        <v>0.72240252721210307</v>
      </c>
      <c r="S26" s="474"/>
      <c r="T26" s="163"/>
      <c r="U26" s="163"/>
      <c r="V26" s="164"/>
      <c r="W26" s="165"/>
      <c r="X26" s="166"/>
      <c r="Y26" s="299"/>
      <c r="Z26" s="334">
        <f>SUM(Z16:Z25)</f>
        <v>2</v>
      </c>
      <c r="AA26" s="334">
        <f>SUM(AA16:AA25)</f>
        <v>37</v>
      </c>
      <c r="AB26" s="467"/>
      <c r="AC26" s="467"/>
      <c r="AD26" s="323">
        <f>SUM(AD16:AD25)</f>
        <v>0</v>
      </c>
      <c r="AE26" s="323">
        <f>SUM(AE16:AE25)</f>
        <v>0</v>
      </c>
      <c r="AF26" s="309">
        <f t="shared" ref="AF26:AF31" si="20">N26-K26</f>
        <v>-658.2718224131745</v>
      </c>
      <c r="AG26" s="124">
        <f t="shared" ref="AG26:AG31" si="21">N26/K26</f>
        <v>0.70743474559414465</v>
      </c>
      <c r="AH26" s="464"/>
    </row>
    <row r="27" spans="1:34" ht="15" customHeight="1">
      <c r="A27" s="469" t="s">
        <v>45</v>
      </c>
      <c r="B27" s="167" t="s">
        <v>81</v>
      </c>
      <c r="C27" s="130"/>
      <c r="D27" s="168" t="s">
        <v>119</v>
      </c>
      <c r="E27" s="132"/>
      <c r="F27" s="129">
        <f>VLOOKUP(D27,廠價表!$C$1:$E$43,3,0)</f>
        <v>50.67</v>
      </c>
      <c r="G27" s="169">
        <v>1809</v>
      </c>
      <c r="H27" s="134">
        <f>F27*G27</f>
        <v>91662.03</v>
      </c>
      <c r="I27" s="135"/>
      <c r="J27" s="136">
        <f>VLOOKUP(D27,產線配置圖!$A$3:$C$40,2,0)</f>
        <v>13</v>
      </c>
      <c r="K27" s="137">
        <f>VLOOKUP(D27,產線配置圖!$A$3:$C$40,3,0)</f>
        <v>1440</v>
      </c>
      <c r="L27" s="138">
        <f>K27/J27</f>
        <v>110.76923076923077</v>
      </c>
      <c r="M27" s="170">
        <v>13</v>
      </c>
      <c r="N27" s="140">
        <f>G27/W27*60</f>
        <v>1307.7108433734925</v>
      </c>
      <c r="O27" s="141">
        <f>N27/M27</f>
        <v>100.59314179796095</v>
      </c>
      <c r="P27" s="142">
        <f>M27-J27</f>
        <v>0</v>
      </c>
      <c r="Q27" s="143">
        <f>O27-L27</f>
        <v>-10.17608897126982</v>
      </c>
      <c r="R27" s="144">
        <f>O27/L27</f>
        <v>0.90813253012048079</v>
      </c>
      <c r="S27" s="472">
        <f>R37</f>
        <v>0.89679157452726765</v>
      </c>
      <c r="T27" s="171">
        <v>0.29166666666666702</v>
      </c>
      <c r="U27" s="171">
        <v>0.34930555555555598</v>
      </c>
      <c r="V27" s="135"/>
      <c r="W27" s="146">
        <f t="shared" si="11"/>
        <v>83.000000000000099</v>
      </c>
      <c r="X27" s="135"/>
      <c r="Y27" s="300" t="s">
        <v>46</v>
      </c>
      <c r="Z27" s="169"/>
      <c r="AA27" s="169"/>
      <c r="AB27" s="468"/>
      <c r="AC27" s="468"/>
      <c r="AD27" s="135"/>
      <c r="AE27" s="135"/>
      <c r="AF27" s="310">
        <f t="shared" si="20"/>
        <v>-132.28915662650752</v>
      </c>
      <c r="AG27" s="172">
        <f t="shared" si="21"/>
        <v>0.9081325301204809</v>
      </c>
      <c r="AH27" s="461">
        <f>AG37</f>
        <v>0.89765729316807796</v>
      </c>
    </row>
    <row r="28" spans="1:34" ht="15" customHeight="1">
      <c r="A28" s="470"/>
      <c r="B28" s="75" t="s">
        <v>81</v>
      </c>
      <c r="C28" s="173"/>
      <c r="D28" s="59" t="s">
        <v>121</v>
      </c>
      <c r="E28" s="104"/>
      <c r="F28" s="75">
        <f>VLOOKUP(D28,廠價表!$C$1:$E$43,3,0)</f>
        <v>50.289000000000001</v>
      </c>
      <c r="G28" s="90">
        <v>3227</v>
      </c>
      <c r="H28" s="91">
        <f>F28*G28</f>
        <v>162282.603</v>
      </c>
      <c r="I28" s="92"/>
      <c r="J28" s="79">
        <f>VLOOKUP(D28,產線配置圖!$A$3:$C$40,2,0)</f>
        <v>19</v>
      </c>
      <c r="K28" s="80">
        <f>VLOOKUP(D28,產線配置圖!$A$3:$C$40,3,0)</f>
        <v>1565</v>
      </c>
      <c r="L28" s="93">
        <f>K28/J28</f>
        <v>82.368421052631575</v>
      </c>
      <c r="M28" s="94">
        <v>19</v>
      </c>
      <c r="N28" s="95">
        <f>G28/W28*60</f>
        <v>1489.3846153846114</v>
      </c>
      <c r="O28" s="96">
        <f>N28/M28</f>
        <v>78.388663967611123</v>
      </c>
      <c r="P28" s="97">
        <f>M28-J28</f>
        <v>0</v>
      </c>
      <c r="Q28" s="98">
        <f>O28-L28</f>
        <v>-3.9797570850204522</v>
      </c>
      <c r="R28" s="99">
        <f>O28/L28</f>
        <v>0.95168346030965589</v>
      </c>
      <c r="S28" s="473"/>
      <c r="T28" s="19">
        <v>0.359722222222222</v>
      </c>
      <c r="U28" s="19">
        <v>0.45</v>
      </c>
      <c r="V28" s="92">
        <f>(T28-U27)*24*60</f>
        <v>14.999999999999067</v>
      </c>
      <c r="W28" s="149">
        <f t="shared" si="11"/>
        <v>130.00000000000034</v>
      </c>
      <c r="X28" s="174">
        <v>0.45486111111111099</v>
      </c>
      <c r="Y28" s="301">
        <v>0.49652777777777801</v>
      </c>
      <c r="Z28" s="335"/>
      <c r="AA28" s="335"/>
      <c r="AB28" s="466"/>
      <c r="AC28" s="466"/>
      <c r="AD28" s="92"/>
      <c r="AE28" s="92"/>
      <c r="AF28" s="311">
        <f t="shared" si="20"/>
        <v>-75.615384615388621</v>
      </c>
      <c r="AG28" s="99">
        <f t="shared" si="21"/>
        <v>0.95168346030965578</v>
      </c>
      <c r="AH28" s="482"/>
    </row>
    <row r="29" spans="1:34" ht="15" customHeight="1">
      <c r="A29" s="470"/>
      <c r="B29" s="75" t="s">
        <v>123</v>
      </c>
      <c r="C29" s="173"/>
      <c r="D29" s="59" t="s">
        <v>124</v>
      </c>
      <c r="E29" s="104"/>
      <c r="F29" s="75">
        <f>VLOOKUP(D29,廠價表!$C$1:$E$43,3,0)</f>
        <v>44.3</v>
      </c>
      <c r="G29" s="90">
        <v>2350</v>
      </c>
      <c r="H29" s="91">
        <f>F29*G29</f>
        <v>104105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1368.9320388349458</v>
      </c>
      <c r="O29" s="96">
        <f>N29/M29</f>
        <v>80.52541404911446</v>
      </c>
      <c r="P29" s="97">
        <f>M29-J29</f>
        <v>0</v>
      </c>
      <c r="Q29" s="98">
        <f>O29-L29</f>
        <v>-15.709880068532598</v>
      </c>
      <c r="R29" s="99">
        <f>O29/L29</f>
        <v>0.83675552496023586</v>
      </c>
      <c r="S29" s="473"/>
      <c r="T29" s="19">
        <v>0.51319444444444395</v>
      </c>
      <c r="U29" s="19">
        <v>0.58472222222222203</v>
      </c>
      <c r="V29" s="92">
        <f>(T29-U28)*24*60</f>
        <v>90.999999999999275</v>
      </c>
      <c r="W29" s="149">
        <f t="shared" si="11"/>
        <v>103.00000000000043</v>
      </c>
      <c r="X29" s="22"/>
      <c r="Y29" s="84"/>
      <c r="Z29" s="90"/>
      <c r="AA29" s="90"/>
      <c r="AB29" s="466"/>
      <c r="AC29" s="466"/>
      <c r="AD29" s="92"/>
      <c r="AE29" s="92"/>
      <c r="AF29" s="312">
        <f t="shared" si="20"/>
        <v>-267.06796116505416</v>
      </c>
      <c r="AG29" s="99">
        <f t="shared" si="21"/>
        <v>0.83675552496023586</v>
      </c>
      <c r="AH29" s="482"/>
    </row>
    <row r="30" spans="1:34" ht="15" customHeight="1">
      <c r="A30" s="470"/>
      <c r="B30" s="75" t="s">
        <v>138</v>
      </c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3"/>
      <c r="T30" s="19"/>
      <c r="U30" s="19"/>
      <c r="V30" s="92"/>
      <c r="W30" s="149">
        <f t="shared" si="11"/>
        <v>0</v>
      </c>
      <c r="X30" s="174"/>
      <c r="Y30" s="301"/>
      <c r="Z30" s="335"/>
      <c r="AA30" s="335"/>
      <c r="AB30" s="466"/>
      <c r="AC30" s="466"/>
      <c r="AD30" s="92"/>
      <c r="AE30" s="92"/>
      <c r="AF30" s="312">
        <f t="shared" si="20"/>
        <v>0</v>
      </c>
      <c r="AG30" s="99" t="e">
        <f t="shared" si="21"/>
        <v>#DIV/0!</v>
      </c>
      <c r="AH30" s="483"/>
    </row>
    <row r="31" spans="1:34" ht="15" customHeight="1">
      <c r="A31" s="47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3"/>
      <c r="T31" s="19"/>
      <c r="U31" s="19"/>
      <c r="V31" s="92"/>
      <c r="W31" s="149">
        <f t="shared" si="11"/>
        <v>0</v>
      </c>
      <c r="X31" s="174"/>
      <c r="Y31" s="301"/>
      <c r="Z31" s="335"/>
      <c r="AA31" s="335"/>
      <c r="AB31" s="466"/>
      <c r="AC31" s="466"/>
      <c r="AD31" s="92"/>
      <c r="AE31" s="92"/>
      <c r="AF31" s="312">
        <f t="shared" si="20"/>
        <v>0</v>
      </c>
      <c r="AG31" s="99" t="e">
        <f t="shared" si="21"/>
        <v>#DIV/0!</v>
      </c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50"/>
      <c r="U32" s="150"/>
      <c r="V32" s="92"/>
      <c r="W32" s="149">
        <f t="shared" si="11"/>
        <v>0</v>
      </c>
      <c r="X32" s="174"/>
      <c r="Y32" s="301"/>
      <c r="Z32" s="335"/>
      <c r="AA32" s="335"/>
      <c r="AB32" s="466"/>
      <c r="AC32" s="466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50"/>
      <c r="U33" s="150"/>
      <c r="V33" s="92"/>
      <c r="W33" s="149">
        <f t="shared" si="11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11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11"/>
        <v>0</v>
      </c>
      <c r="X35" s="174"/>
      <c r="Y35" s="301"/>
      <c r="Z35" s="335"/>
      <c r="AA35" s="335"/>
      <c r="AB35" s="466"/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11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>
        <f t="shared" ref="J37:O37" si="22">AVERAGE(J27:J36)</f>
        <v>16.333333333333332</v>
      </c>
      <c r="K37" s="155">
        <f t="shared" si="22"/>
        <v>1547</v>
      </c>
      <c r="L37" s="158">
        <f t="shared" si="22"/>
        <v>96.457648646503131</v>
      </c>
      <c r="M37" s="155">
        <f t="shared" si="22"/>
        <v>16.333333333333332</v>
      </c>
      <c r="N37" s="155">
        <f t="shared" si="22"/>
        <v>1388.6758325310166</v>
      </c>
      <c r="O37" s="158">
        <f t="shared" si="22"/>
        <v>86.502406604895512</v>
      </c>
      <c r="P37" s="159">
        <f>M37-J37</f>
        <v>0</v>
      </c>
      <c r="Q37" s="160">
        <f>N37-K37</f>
        <v>-158.32416746898343</v>
      </c>
      <c r="R37" s="161">
        <f>O37/L37</f>
        <v>0.89679157452726765</v>
      </c>
      <c r="S37" s="474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7"/>
      <c r="AC37" s="477"/>
      <c r="AD37" s="324">
        <f>SUM(AD27:AD36)</f>
        <v>0</v>
      </c>
      <c r="AE37" s="324">
        <f>SUM(AE27:AE36)</f>
        <v>0</v>
      </c>
      <c r="AF37" s="309">
        <f>N37-K37</f>
        <v>-158.32416746898343</v>
      </c>
      <c r="AG37" s="124">
        <f>N37/K37</f>
        <v>0.89765729316807796</v>
      </c>
      <c r="AH37" s="464"/>
    </row>
    <row r="38" spans="1:34" ht="15" customHeight="1">
      <c r="A38" s="491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2488</v>
      </c>
      <c r="H38" s="134">
        <f>F38*G38</f>
        <v>124176.07999999999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1622.6086956521713</v>
      </c>
      <c r="O38" s="141">
        <f>N38/M38</f>
        <v>108.17391304347808</v>
      </c>
      <c r="P38" s="142">
        <f>M38-J38</f>
        <v>0</v>
      </c>
      <c r="Q38" s="143">
        <f>O38-L38</f>
        <v>-6.0927536231885853</v>
      </c>
      <c r="R38" s="144">
        <f>O38/L38</f>
        <v>0.94667951905027492</v>
      </c>
      <c r="S38" s="494">
        <f>R48</f>
        <v>0.88349692287504966</v>
      </c>
      <c r="T38" s="191">
        <v>0.33333333333333298</v>
      </c>
      <c r="U38" s="191">
        <v>0.39722222222222198</v>
      </c>
      <c r="V38" s="192"/>
      <c r="W38" s="193">
        <f t="shared" si="11"/>
        <v>92.000000000000156</v>
      </c>
      <c r="X38" s="194"/>
      <c r="Y38" s="302"/>
      <c r="Z38" s="336"/>
      <c r="AA38" s="336"/>
      <c r="AB38" s="496"/>
      <c r="AC38" s="496"/>
      <c r="AD38" s="192"/>
      <c r="AE38" s="192"/>
      <c r="AF38" s="313">
        <f>N38-K38</f>
        <v>-91.391304347828736</v>
      </c>
      <c r="AG38" s="195">
        <f>N38/K38</f>
        <v>0.94667951905027492</v>
      </c>
      <c r="AH38" s="484">
        <f>AG48</f>
        <v>0.87918667531905614</v>
      </c>
    </row>
    <row r="39" spans="1:34" ht="15" customHeight="1">
      <c r="A39" s="492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1984</v>
      </c>
      <c r="H39" s="91">
        <f>F39*G39</f>
        <v>87891.199999999997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1322.6666666666667</v>
      </c>
      <c r="O39" s="203">
        <f>N39/M39</f>
        <v>77.803921568627459</v>
      </c>
      <c r="P39" s="97">
        <f>M39-J39</f>
        <v>0</v>
      </c>
      <c r="Q39" s="98">
        <f>O39-L39</f>
        <v>-18.431372549019599</v>
      </c>
      <c r="R39" s="99">
        <f>O39/L39</f>
        <v>0.80847595762021196</v>
      </c>
      <c r="S39" s="495"/>
      <c r="T39" s="20">
        <v>0.40625</v>
      </c>
      <c r="U39" s="20">
        <v>0.46875</v>
      </c>
      <c r="V39" s="92">
        <f>(T39-U38)*24*60</f>
        <v>13.000000000000353</v>
      </c>
      <c r="W39" s="205">
        <f t="shared" si="11"/>
        <v>90</v>
      </c>
      <c r="X39" s="22"/>
      <c r="Y39" s="84"/>
      <c r="Z39" s="90"/>
      <c r="AA39" s="90"/>
      <c r="AB39" s="487"/>
      <c r="AC39" s="487"/>
      <c r="AD39" s="200"/>
      <c r="AE39" s="200"/>
      <c r="AF39" s="314">
        <f>N39-K39</f>
        <v>-313.33333333333326</v>
      </c>
      <c r="AG39" s="206">
        <f>N39/K39</f>
        <v>0.80847595762021196</v>
      </c>
      <c r="AH39" s="485"/>
    </row>
    <row r="40" spans="1:34" ht="15" customHeight="1">
      <c r="A40" s="492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7"/>
      <c r="T40" s="20"/>
      <c r="U40" s="20"/>
      <c r="V40" s="92"/>
      <c r="W40" s="205">
        <f t="shared" si="11"/>
        <v>0</v>
      </c>
      <c r="X40" s="208"/>
      <c r="Y40" s="209"/>
      <c r="Z40" s="337"/>
      <c r="AA40" s="337"/>
      <c r="AB40" s="466"/>
      <c r="AC40" s="466"/>
      <c r="AD40" s="92"/>
      <c r="AE40" s="92"/>
      <c r="AF40" s="314">
        <f>N40-K40</f>
        <v>0</v>
      </c>
      <c r="AG40" s="206" t="e">
        <f>N40/K40</f>
        <v>#DIV/0!</v>
      </c>
      <c r="AH40" s="485"/>
    </row>
    <row r="41" spans="1:34" ht="15" customHeight="1">
      <c r="A41" s="49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7"/>
      <c r="T41" s="20"/>
      <c r="U41" s="210"/>
      <c r="V41" s="92"/>
      <c r="W41" s="205">
        <f t="shared" si="11"/>
        <v>0</v>
      </c>
      <c r="X41" s="208"/>
      <c r="Y41" s="209"/>
      <c r="Z41" s="337"/>
      <c r="AA41" s="337"/>
      <c r="AB41" s="466"/>
      <c r="AC41" s="466"/>
      <c r="AD41" s="92"/>
      <c r="AE41" s="92"/>
      <c r="AF41" s="314">
        <f>N41-K41</f>
        <v>0</v>
      </c>
      <c r="AG41" s="206" t="e">
        <f>N41/K41</f>
        <v>#DIV/0!</v>
      </c>
      <c r="AH41" s="485"/>
    </row>
    <row r="42" spans="1:34" ht="15" customHeight="1">
      <c r="A42" s="49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7"/>
      <c r="T42" s="210"/>
      <c r="U42" s="210"/>
      <c r="V42" s="92"/>
      <c r="W42" s="205">
        <f t="shared" si="11"/>
        <v>0</v>
      </c>
      <c r="X42" s="208"/>
      <c r="Y42" s="211"/>
      <c r="Z42" s="338"/>
      <c r="AA42" s="338"/>
      <c r="AB42" s="466"/>
      <c r="AC42" s="466"/>
      <c r="AD42" s="92"/>
      <c r="AE42" s="92"/>
      <c r="AF42" s="314"/>
      <c r="AG42" s="206"/>
      <c r="AH42" s="485"/>
    </row>
    <row r="43" spans="1:34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si="11"/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11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11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16"/>
      <c r="U46" s="216"/>
      <c r="V46" s="200"/>
      <c r="W46" s="205">
        <f t="shared" si="11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11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>
        <f t="shared" ref="J48:O48" si="23">AVERAGE(J38:J47)</f>
        <v>16</v>
      </c>
      <c r="K48" s="155">
        <f t="shared" si="23"/>
        <v>1675</v>
      </c>
      <c r="L48" s="158">
        <f t="shared" si="23"/>
        <v>105.25098039215686</v>
      </c>
      <c r="M48" s="155">
        <f t="shared" si="23"/>
        <v>16</v>
      </c>
      <c r="N48" s="155">
        <f t="shared" si="23"/>
        <v>1472.6376811594191</v>
      </c>
      <c r="O48" s="158">
        <f t="shared" si="23"/>
        <v>92.98891730605277</v>
      </c>
      <c r="P48" s="221">
        <f>M48-J48</f>
        <v>0</v>
      </c>
      <c r="Q48" s="222">
        <f>N48-K48</f>
        <v>-202.36231884058088</v>
      </c>
      <c r="R48" s="223">
        <f>O48/L48</f>
        <v>0.88349692287504966</v>
      </c>
      <c r="S48" s="420"/>
      <c r="T48" s="224"/>
      <c r="U48" s="224"/>
      <c r="V48" s="225"/>
      <c r="W48" s="226">
        <f t="shared" si="11"/>
        <v>0</v>
      </c>
      <c r="X48" s="227"/>
      <c r="Y48" s="303"/>
      <c r="Z48" s="334">
        <f>SUM(Z38:Z47)</f>
        <v>0</v>
      </c>
      <c r="AA48" s="334">
        <f>SUM(AA38:AA47)</f>
        <v>0</v>
      </c>
      <c r="AB48" s="467"/>
      <c r="AC48" s="467"/>
      <c r="AD48" s="323">
        <f>SUM(AD38:AD47)</f>
        <v>0</v>
      </c>
      <c r="AE48" s="323">
        <f>SUM(AE38:AE47)</f>
        <v>0</v>
      </c>
      <c r="AF48" s="315">
        <f t="shared" ref="AF48:AF53" si="24">N48-K48</f>
        <v>-202.36231884058088</v>
      </c>
      <c r="AG48" s="162">
        <f t="shared" ref="AG48:AG53" si="25">N48/K48</f>
        <v>0.87918667531905614</v>
      </c>
      <c r="AH48" s="486"/>
    </row>
    <row r="49" spans="1:34" ht="15" customHeight="1">
      <c r="A49" s="488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2081</v>
      </c>
      <c r="H49" s="134">
        <f>F49*G49</f>
        <v>103051.12000000001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1387.3333333333335</v>
      </c>
      <c r="O49" s="141">
        <f>N49/M49</f>
        <v>81.607843137254918</v>
      </c>
      <c r="P49" s="229">
        <f>M49-J49</f>
        <v>0</v>
      </c>
      <c r="Q49" s="230">
        <f>O49-L49</f>
        <v>-6.6274509803921404</v>
      </c>
      <c r="R49" s="52">
        <f>O49/L49</f>
        <v>0.92488888888888909</v>
      </c>
      <c r="S49" s="416">
        <f>R58</f>
        <v>0.87014077264981593</v>
      </c>
      <c r="T49" s="191">
        <v>0.29166666666666702</v>
      </c>
      <c r="U49" s="191">
        <v>0.35416666666666702</v>
      </c>
      <c r="V49" s="55"/>
      <c r="W49" s="193">
        <f t="shared" si="11"/>
        <v>90</v>
      </c>
      <c r="X49" s="55"/>
      <c r="Y49" s="290"/>
      <c r="Z49" s="169"/>
      <c r="AA49" s="169"/>
      <c r="AB49" s="468"/>
      <c r="AC49" s="468"/>
      <c r="AD49" s="135"/>
      <c r="AE49" s="135"/>
      <c r="AF49" s="229">
        <f t="shared" si="24"/>
        <v>-112.66666666666652</v>
      </c>
      <c r="AG49" s="52">
        <f t="shared" si="25"/>
        <v>0.92488888888888898</v>
      </c>
      <c r="AH49" s="461">
        <f>AG58</f>
        <v>0.85011787644331627</v>
      </c>
    </row>
    <row r="50" spans="1:34" ht="15" customHeight="1">
      <c r="A50" s="489"/>
      <c r="B50" s="75" t="s">
        <v>81</v>
      </c>
      <c r="C50" s="76"/>
      <c r="D50" s="59" t="s">
        <v>128</v>
      </c>
      <c r="E50" s="77"/>
      <c r="F50" s="75">
        <f>VLOOKUP(D50,廠價表!$C$1:$E$43,3,0)</f>
        <v>57.21</v>
      </c>
      <c r="G50" s="202">
        <v>1740</v>
      </c>
      <c r="H50" s="231">
        <f>F50*G50</f>
        <v>99545.400000000009</v>
      </c>
      <c r="I50" s="232"/>
      <c r="J50" s="79">
        <f>VLOOKUP(D50,產線配置圖!$A$3:$C$40,2,0)</f>
        <v>17</v>
      </c>
      <c r="K50" s="80">
        <f>VLOOKUP(D50,產線配置圖!$A$3:$C$40,3,0)</f>
        <v>1716</v>
      </c>
      <c r="L50" s="81">
        <f>K50/J50</f>
        <v>100.94117647058823</v>
      </c>
      <c r="M50" s="233">
        <v>16</v>
      </c>
      <c r="N50" s="234">
        <f>G50/W50*60</f>
        <v>1491.4285714285752</v>
      </c>
      <c r="O50" s="235">
        <f>N50/M50</f>
        <v>93.21428571428595</v>
      </c>
      <c r="P50" s="74">
        <f>M50-J50</f>
        <v>-1</v>
      </c>
      <c r="Q50" s="83">
        <f>O50-L50</f>
        <v>-7.7268907563022822</v>
      </c>
      <c r="R50" s="72">
        <f>O50/L50</f>
        <v>0.92345154845155086</v>
      </c>
      <c r="S50" s="417"/>
      <c r="T50" s="21">
        <v>0.359722222222222</v>
      </c>
      <c r="U50" s="21">
        <v>0.40833333333333299</v>
      </c>
      <c r="V50" s="30">
        <f>(T50-U49)*24*60</f>
        <v>7.9999999999991722</v>
      </c>
      <c r="W50" s="236">
        <f t="shared" si="11"/>
        <v>69.999999999999829</v>
      </c>
      <c r="X50" s="22"/>
      <c r="Y50" s="84"/>
      <c r="Z50" s="90"/>
      <c r="AA50" s="90"/>
      <c r="AB50" s="466"/>
      <c r="AC50" s="466"/>
      <c r="AD50" s="92"/>
      <c r="AE50" s="92"/>
      <c r="AF50" s="307">
        <f t="shared" si="24"/>
        <v>-224.5714285714248</v>
      </c>
      <c r="AG50" s="72">
        <f t="shared" si="25"/>
        <v>0.86913086913087134</v>
      </c>
      <c r="AH50" s="462"/>
    </row>
    <row r="51" spans="1:34" ht="15" customHeight="1">
      <c r="A51" s="489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2352</v>
      </c>
      <c r="H51" s="231">
        <f>F51*G51</f>
        <v>117529.44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1603.6363636363678</v>
      </c>
      <c r="O51" s="235">
        <f>N51/M51</f>
        <v>100.22727272727299</v>
      </c>
      <c r="P51" s="74">
        <f>M51-J51</f>
        <v>0</v>
      </c>
      <c r="Q51" s="83">
        <f>O51-L51</f>
        <v>-12.27272727272701</v>
      </c>
      <c r="R51" s="72">
        <f>O51/L51</f>
        <v>0.8909090909090932</v>
      </c>
      <c r="S51" s="417"/>
      <c r="T51" s="21">
        <v>0.41458333333333303</v>
      </c>
      <c r="U51" s="19">
        <v>0.47569444444444398</v>
      </c>
      <c r="V51" s="30">
        <f>(T51-U50)*24*60</f>
        <v>9.000000000000048</v>
      </c>
      <c r="W51" s="236">
        <f t="shared" si="11"/>
        <v>87.999999999999773</v>
      </c>
      <c r="X51" s="22">
        <v>0.48263888888888901</v>
      </c>
      <c r="Y51" s="84">
        <v>0.52083333333333304</v>
      </c>
      <c r="Z51" s="90"/>
      <c r="AA51" s="90"/>
      <c r="AB51" s="466"/>
      <c r="AC51" s="466"/>
      <c r="AD51" s="92"/>
      <c r="AE51" s="92"/>
      <c r="AF51" s="307">
        <f t="shared" si="24"/>
        <v>-196.36363636363217</v>
      </c>
      <c r="AG51" s="72">
        <f t="shared" si="25"/>
        <v>0.8909090909090932</v>
      </c>
      <c r="AH51" s="462"/>
    </row>
    <row r="52" spans="1:34" ht="15" customHeight="1">
      <c r="A52" s="489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2506</v>
      </c>
      <c r="H52" s="231">
        <f t="shared" ref="H52:H53" si="26">F52*G52</f>
        <v>125224.81999999999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3" si="27">K52/J52</f>
        <v>112.5</v>
      </c>
      <c r="M52" s="233">
        <v>16</v>
      </c>
      <c r="N52" s="234">
        <f t="shared" ref="N52:N53" si="28">G52/W52*60</f>
        <v>1534.2857142857272</v>
      </c>
      <c r="O52" s="235">
        <f t="shared" ref="O52:O53" si="29">N52/M52</f>
        <v>95.892857142857949</v>
      </c>
      <c r="P52" s="74">
        <f t="shared" ref="P52:P53" si="30">M52-J52</f>
        <v>0</v>
      </c>
      <c r="Q52" s="83">
        <f t="shared" ref="Q52:Q53" si="31">O52-L52</f>
        <v>-16.607142857142051</v>
      </c>
      <c r="R52" s="72">
        <f t="shared" ref="R52:R53" si="32">O52/L52</f>
        <v>0.85238095238095957</v>
      </c>
      <c r="S52" s="417"/>
      <c r="T52" s="21">
        <v>0.52777777777777801</v>
      </c>
      <c r="U52" s="21">
        <v>0.59583333333333299</v>
      </c>
      <c r="V52" s="30">
        <f>(T52-U51)*24*60</f>
        <v>75.000000000001009</v>
      </c>
      <c r="W52" s="236">
        <f t="shared" si="11"/>
        <v>97.999999999999176</v>
      </c>
      <c r="X52" s="22"/>
      <c r="Y52" s="84"/>
      <c r="Z52" s="90"/>
      <c r="AA52" s="90"/>
      <c r="AB52" s="466"/>
      <c r="AC52" s="466"/>
      <c r="AD52" s="92"/>
      <c r="AE52" s="92"/>
      <c r="AF52" s="307">
        <f t="shared" si="24"/>
        <v>-265.71428571427282</v>
      </c>
      <c r="AG52" s="72">
        <f t="shared" si="25"/>
        <v>0.85238095238095957</v>
      </c>
      <c r="AH52" s="462"/>
    </row>
    <row r="53" spans="1:34" ht="15" customHeight="1">
      <c r="A53" s="489"/>
      <c r="B53" s="101" t="s">
        <v>81</v>
      </c>
      <c r="C53" s="102"/>
      <c r="D53" s="103" t="s">
        <v>128</v>
      </c>
      <c r="E53" s="104"/>
      <c r="F53" s="75">
        <f>VLOOKUP(D53,廠價表!$C$1:$E$43,3,0)</f>
        <v>57.21</v>
      </c>
      <c r="G53" s="202">
        <v>474</v>
      </c>
      <c r="H53" s="231">
        <f t="shared" si="26"/>
        <v>27117.54</v>
      </c>
      <c r="I53" s="232"/>
      <c r="J53" s="79">
        <f>VLOOKUP(D53,產線配置圖!$A$3:$C$40,2,0)</f>
        <v>17</v>
      </c>
      <c r="K53" s="80">
        <f>VLOOKUP(D53,產線配置圖!$A$3:$C$40,3,0)</f>
        <v>1716</v>
      </c>
      <c r="L53" s="81">
        <f t="shared" si="27"/>
        <v>100.94117647058823</v>
      </c>
      <c r="M53" s="108">
        <v>16</v>
      </c>
      <c r="N53" s="234">
        <f t="shared" si="28"/>
        <v>1236.5217391303704</v>
      </c>
      <c r="O53" s="235">
        <f t="shared" si="29"/>
        <v>77.28260869564815</v>
      </c>
      <c r="P53" s="74">
        <f t="shared" si="30"/>
        <v>-1</v>
      </c>
      <c r="Q53" s="83">
        <f t="shared" si="31"/>
        <v>-23.658567774940082</v>
      </c>
      <c r="R53" s="72">
        <f t="shared" si="32"/>
        <v>0.7656202493158617</v>
      </c>
      <c r="S53" s="417"/>
      <c r="T53" s="21">
        <v>0.60208333333333297</v>
      </c>
      <c r="U53" s="21">
        <v>0.61805555555555602</v>
      </c>
      <c r="V53" s="30">
        <f>(T53-U52)*24*60</f>
        <v>8.999999999999968</v>
      </c>
      <c r="W53" s="236">
        <f t="shared" si="11"/>
        <v>23.000000000001197</v>
      </c>
      <c r="X53" s="30"/>
      <c r="Y53" s="151"/>
      <c r="Z53" s="90"/>
      <c r="AA53" s="90"/>
      <c r="AB53" s="466" t="s">
        <v>125</v>
      </c>
      <c r="AC53" s="466"/>
      <c r="AD53" s="92"/>
      <c r="AE53" s="92"/>
      <c r="AF53" s="307">
        <f t="shared" si="24"/>
        <v>-479.47826086962959</v>
      </c>
      <c r="AG53" s="72">
        <f t="shared" si="25"/>
        <v>0.72058376406198743</v>
      </c>
      <c r="AH53" s="462"/>
    </row>
    <row r="54" spans="1:34" ht="15" customHeight="1">
      <c r="A54" s="48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7"/>
      <c r="T54" s="21"/>
      <c r="U54" s="21"/>
      <c r="V54" s="30"/>
      <c r="W54" s="236">
        <f t="shared" si="11"/>
        <v>0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11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11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114"/>
      <c r="U57" s="114"/>
      <c r="V57" s="237"/>
      <c r="W57" s="236">
        <f t="shared" si="11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>
      <c r="A58" s="490"/>
      <c r="B58" s="239"/>
      <c r="C58" s="153" t="s">
        <v>51</v>
      </c>
      <c r="D58" s="437" t="s">
        <v>42</v>
      </c>
      <c r="E58" s="437"/>
      <c r="F58" s="116"/>
      <c r="G58" s="240"/>
      <c r="H58" s="118"/>
      <c r="I58" s="117"/>
      <c r="J58" s="120">
        <f t="shared" ref="J58:O58" si="33">AVERAGE(J49:J57)</f>
        <v>16.600000000000001</v>
      </c>
      <c r="K58" s="120">
        <f t="shared" si="33"/>
        <v>1706.4</v>
      </c>
      <c r="L58" s="117">
        <f t="shared" si="33"/>
        <v>103.02352941176471</v>
      </c>
      <c r="M58" s="120">
        <f t="shared" si="33"/>
        <v>16.2</v>
      </c>
      <c r="N58" s="120">
        <f t="shared" si="33"/>
        <v>1450.6411443628749</v>
      </c>
      <c r="O58" s="117">
        <f t="shared" si="33"/>
        <v>89.644973483463986</v>
      </c>
      <c r="P58" s="121">
        <f>M58-J58</f>
        <v>-0.40000000000000213</v>
      </c>
      <c r="Q58" s="122">
        <f>N58-K58</f>
        <v>-255.75885563712518</v>
      </c>
      <c r="R58" s="123">
        <f>O58/L58</f>
        <v>0.87014077264981593</v>
      </c>
      <c r="S58" s="42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7"/>
      <c r="AC58" s="467"/>
      <c r="AD58" s="323">
        <f>SUM(AD49:AD57)</f>
        <v>0</v>
      </c>
      <c r="AE58" s="323">
        <f>SUM(AE49:AE57)</f>
        <v>0</v>
      </c>
      <c r="AF58" s="309">
        <f>N58-K58</f>
        <v>-255.75885563712518</v>
      </c>
      <c r="AG58" s="124">
        <f>N58/K58</f>
        <v>0.85011787644331627</v>
      </c>
      <c r="AH58" s="464"/>
    </row>
    <row r="59" spans="1:34" ht="15" customHeight="1">
      <c r="A59" s="502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2987</v>
      </c>
      <c r="H59" s="243">
        <f>F59*G59</f>
        <v>80619.12999999999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1558.4347826086978</v>
      </c>
      <c r="O59" s="138">
        <f>N59/M59</f>
        <v>103.89565217391319</v>
      </c>
      <c r="P59" s="56">
        <f>M59-J59</f>
        <v>0</v>
      </c>
      <c r="Q59" s="230">
        <f>O59-L59</f>
        <v>-0.43768115942013708</v>
      </c>
      <c r="R59" s="52">
        <f>O59/L59</f>
        <v>0.99580497291290604</v>
      </c>
      <c r="S59" s="416">
        <f>R69</f>
        <v>0.9181660821740163</v>
      </c>
      <c r="T59" s="245">
        <v>0.29166666666666702</v>
      </c>
      <c r="U59" s="245">
        <v>0.37152777777777801</v>
      </c>
      <c r="V59" s="55"/>
      <c r="W59" s="54">
        <f t="shared" si="11"/>
        <v>114.99999999999983</v>
      </c>
      <c r="X59" s="55"/>
      <c r="Y59" s="290"/>
      <c r="Z59" s="169"/>
      <c r="AA59" s="169"/>
      <c r="AB59" s="468"/>
      <c r="AC59" s="468"/>
      <c r="AD59" s="135"/>
      <c r="AE59" s="135"/>
      <c r="AF59" s="310">
        <f>N59-K59</f>
        <v>-6.5652173913022125</v>
      </c>
      <c r="AG59" s="246">
        <f>N59/K59</f>
        <v>0.99580497291290593</v>
      </c>
      <c r="AH59" s="461">
        <f>AG69</f>
        <v>0.92592997124790544</v>
      </c>
    </row>
    <row r="60" spans="1:34" ht="15" customHeight="1">
      <c r="A60" s="503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1630</v>
      </c>
      <c r="H60" s="78">
        <f>F60*G60</f>
        <v>46063.8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1339.7260273972458</v>
      </c>
      <c r="O60" s="81">
        <f>N60/M60</f>
        <v>111.64383561643716</v>
      </c>
      <c r="P60" s="74">
        <f>M60-J60</f>
        <v>0</v>
      </c>
      <c r="Q60" s="83">
        <f>O60-L60</f>
        <v>-18.772831050229499</v>
      </c>
      <c r="R60" s="72">
        <f>O60/L60</f>
        <v>0.85605496958290483</v>
      </c>
      <c r="S60" s="506"/>
      <c r="T60" s="22">
        <v>0.38333333333333303</v>
      </c>
      <c r="U60" s="22">
        <v>0.43402777777777801</v>
      </c>
      <c r="V60" s="30">
        <f>(T60-U59)*24*60</f>
        <v>16.999999999999218</v>
      </c>
      <c r="W60" s="248">
        <f t="shared" si="11"/>
        <v>73.000000000000782</v>
      </c>
      <c r="X60" s="232"/>
      <c r="Y60" s="177"/>
      <c r="Z60" s="90"/>
      <c r="AA60" s="90"/>
      <c r="AB60" s="466"/>
      <c r="AC60" s="466"/>
      <c r="AD60" s="92"/>
      <c r="AE60" s="92"/>
      <c r="AF60" s="316">
        <f>N60-K60</f>
        <v>-225.27397260275416</v>
      </c>
      <c r="AG60" s="249">
        <f>N60/K60</f>
        <v>0.85605496958290472</v>
      </c>
      <c r="AH60" s="497"/>
    </row>
    <row r="61" spans="1:34" ht="15" customHeight="1">
      <c r="A61" s="504"/>
      <c r="B61" s="250" t="s">
        <v>138</v>
      </c>
      <c r="C61" s="251"/>
      <c r="D61" s="252"/>
      <c r="E61" s="253"/>
      <c r="F61" s="250"/>
      <c r="G61" s="38"/>
      <c r="H61" s="254"/>
      <c r="I61" s="182"/>
      <c r="J61" s="106"/>
      <c r="K61" s="107"/>
      <c r="L61" s="238"/>
      <c r="M61" s="108"/>
      <c r="N61" s="107"/>
      <c r="O61" s="238"/>
      <c r="P61" s="111"/>
      <c r="Q61" s="255"/>
      <c r="R61" s="85"/>
      <c r="S61" s="417"/>
      <c r="T61" s="22"/>
      <c r="U61" s="22"/>
      <c r="V61" s="30"/>
      <c r="W61" s="256">
        <f t="shared" si="11"/>
        <v>0</v>
      </c>
      <c r="X61" s="22"/>
      <c r="Y61" s="84"/>
      <c r="Z61" s="90"/>
      <c r="AA61" s="90"/>
      <c r="AB61" s="466"/>
      <c r="AC61" s="466"/>
      <c r="AD61" s="92"/>
      <c r="AE61" s="92"/>
      <c r="AF61" s="317">
        <f>N61-K61</f>
        <v>0</v>
      </c>
      <c r="AG61" s="247" t="e">
        <f>N61/K61</f>
        <v>#DIV/0!</v>
      </c>
      <c r="AH61" s="462"/>
    </row>
    <row r="62" spans="1:34" ht="15" customHeight="1">
      <c r="A62" s="504"/>
      <c r="B62" s="250" t="s">
        <v>138</v>
      </c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7"/>
      <c r="T62" s="22"/>
      <c r="U62" s="22"/>
      <c r="V62" s="30"/>
      <c r="W62" s="248">
        <f t="shared" si="11"/>
        <v>0</v>
      </c>
      <c r="X62" s="22">
        <v>0.50347222222222199</v>
      </c>
      <c r="Y62" s="84">
        <v>0.54513888888888895</v>
      </c>
      <c r="Z62" s="90"/>
      <c r="AA62" s="90"/>
      <c r="AB62" s="466"/>
      <c r="AC62" s="466"/>
      <c r="AD62" s="92"/>
      <c r="AE62" s="92"/>
      <c r="AF62" s="317">
        <f>N62-K62</f>
        <v>0</v>
      </c>
      <c r="AG62" s="247" t="e">
        <f>N62/K62</f>
        <v>#DIV/0!</v>
      </c>
      <c r="AH62" s="462"/>
    </row>
    <row r="63" spans="1:34" ht="15" customHeight="1">
      <c r="A63" s="504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7"/>
      <c r="T63" s="22"/>
      <c r="U63" s="22"/>
      <c r="V63" s="30"/>
      <c r="W63" s="248">
        <f t="shared" si="11"/>
        <v>0</v>
      </c>
      <c r="X63" s="261"/>
      <c r="Y63" s="291"/>
      <c r="Z63" s="335"/>
      <c r="AA63" s="335"/>
      <c r="AB63" s="466"/>
      <c r="AC63" s="466"/>
      <c r="AD63" s="92"/>
      <c r="AE63" s="92"/>
      <c r="AF63" s="317"/>
      <c r="AG63" s="247"/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11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63"/>
      <c r="U65" s="263"/>
      <c r="V65" s="30"/>
      <c r="W65" s="73">
        <f t="shared" si="11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11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11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11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>
        <f t="shared" ref="J69:O69" si="34">AVERAGE(J59:J68)</f>
        <v>13.5</v>
      </c>
      <c r="K69" s="240">
        <f t="shared" si="34"/>
        <v>1565</v>
      </c>
      <c r="L69" s="268">
        <f t="shared" si="34"/>
        <v>117.375</v>
      </c>
      <c r="M69" s="240">
        <f t="shared" si="34"/>
        <v>13.5</v>
      </c>
      <c r="N69" s="240">
        <f t="shared" si="34"/>
        <v>1449.0804050029719</v>
      </c>
      <c r="O69" s="268">
        <f t="shared" si="34"/>
        <v>107.76974389517517</v>
      </c>
      <c r="P69" s="269">
        <f>M69-J69</f>
        <v>0</v>
      </c>
      <c r="Q69" s="222">
        <f>N69-K69</f>
        <v>-115.91959499702807</v>
      </c>
      <c r="R69" s="123">
        <f>O69/L69</f>
        <v>0.9181660821740163</v>
      </c>
      <c r="S69" s="42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7"/>
      <c r="AC69" s="467"/>
      <c r="AD69" s="323">
        <f>SUM(AD59:AD68)</f>
        <v>0</v>
      </c>
      <c r="AE69" s="323">
        <f>SUM(AE59:AE68)</f>
        <v>0</v>
      </c>
      <c r="AF69" s="309">
        <f>N69-K69</f>
        <v>-115.91959499702807</v>
      </c>
      <c r="AG69" s="124">
        <f>N69/K69</f>
        <v>0.92592997124790544</v>
      </c>
      <c r="AH69" s="464"/>
    </row>
    <row r="70" spans="1:36" ht="15" customHeight="1">
      <c r="A70" s="498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6">
        <f>R79</f>
        <v>0</v>
      </c>
      <c r="T70" s="245"/>
      <c r="U70" s="245"/>
      <c r="V70" s="55"/>
      <c r="W70" s="54">
        <f t="shared" si="11"/>
        <v>0</v>
      </c>
      <c r="X70" s="270"/>
      <c r="Y70" s="292"/>
      <c r="Z70" s="169"/>
      <c r="AA70" s="169"/>
      <c r="AB70" s="468"/>
      <c r="AC70" s="468"/>
      <c r="AD70" s="135"/>
      <c r="AE70" s="135"/>
      <c r="AF70" s="310">
        <f>N70-K70</f>
        <v>0</v>
      </c>
      <c r="AG70" s="246" t="e">
        <f>N70/K70</f>
        <v>#DIV/0!</v>
      </c>
      <c r="AH70" s="461" t="e">
        <f>AG79</f>
        <v>#DIV/0!</v>
      </c>
    </row>
    <row r="71" spans="1:36" ht="15" customHeight="1">
      <c r="A71" s="499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7"/>
      <c r="T71" s="22"/>
      <c r="U71" s="22"/>
      <c r="V71" s="30"/>
      <c r="W71" s="73">
        <f t="shared" si="11"/>
        <v>0</v>
      </c>
      <c r="X71" s="271"/>
      <c r="Y71" s="293"/>
      <c r="Z71" s="90"/>
      <c r="AA71" s="90"/>
      <c r="AB71" s="487"/>
      <c r="AC71" s="487"/>
      <c r="AD71" s="200"/>
      <c r="AE71" s="200"/>
      <c r="AF71" s="311">
        <v>-300.31249999999704</v>
      </c>
      <c r="AG71" s="99">
        <v>0.80810702875399554</v>
      </c>
      <c r="AH71" s="482"/>
    </row>
    <row r="72" spans="1:36" ht="15" customHeight="1">
      <c r="A72" s="499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7"/>
      <c r="T72" s="22"/>
      <c r="U72" s="22"/>
      <c r="V72" s="30"/>
      <c r="W72" s="73">
        <f t="shared" si="11"/>
        <v>0</v>
      </c>
      <c r="X72" s="272"/>
      <c r="Y72" s="288"/>
      <c r="Z72" s="90"/>
      <c r="AA72" s="90"/>
      <c r="AB72" s="466"/>
      <c r="AC72" s="466"/>
      <c r="AD72" s="92"/>
      <c r="AE72" s="92"/>
      <c r="AF72" s="311">
        <v>-130.33333333333326</v>
      </c>
      <c r="AG72" s="99">
        <v>0.91671991480298198</v>
      </c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11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11"/>
        <v>0</v>
      </c>
      <c r="X74" s="22"/>
      <c r="Y74" s="84"/>
      <c r="Z74" s="90"/>
      <c r="AA74" s="90"/>
      <c r="AB74" s="466"/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11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11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11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11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>
      <c r="A79" s="500"/>
      <c r="B79" s="239"/>
      <c r="C79" s="153" t="s">
        <v>56</v>
      </c>
      <c r="D79" s="437" t="s">
        <v>42</v>
      </c>
      <c r="E79" s="437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AF3:AF4"/>
    <mergeCell ref="A2:B2"/>
    <mergeCell ref="A3:A4"/>
    <mergeCell ref="B3:B4"/>
    <mergeCell ref="D3:E4"/>
    <mergeCell ref="F3:F4"/>
    <mergeCell ref="AH3:AH4"/>
    <mergeCell ref="P3:P4"/>
    <mergeCell ref="Q3:Q4"/>
    <mergeCell ref="R3:R4"/>
    <mergeCell ref="AH5:AH15"/>
    <mergeCell ref="AB6:AC6"/>
    <mergeCell ref="AB7:AC7"/>
    <mergeCell ref="AB3:AC4"/>
    <mergeCell ref="AB8:AC8"/>
    <mergeCell ref="AB9:AC9"/>
    <mergeCell ref="AB10:AC10"/>
    <mergeCell ref="AB11:AC11"/>
    <mergeCell ref="AD3:AE3"/>
    <mergeCell ref="AG3:AG4"/>
    <mergeCell ref="A5:A15"/>
    <mergeCell ref="S5:S15"/>
    <mergeCell ref="AB5:AC5"/>
    <mergeCell ref="T3:U3"/>
    <mergeCell ref="V3:V4"/>
    <mergeCell ref="W3:W4"/>
    <mergeCell ref="X3:Y3"/>
    <mergeCell ref="Z3:AA3"/>
    <mergeCell ref="AB12:AC12"/>
    <mergeCell ref="AB14:AC14"/>
    <mergeCell ref="AB13:AC13"/>
    <mergeCell ref="O3:O4"/>
    <mergeCell ref="D15:E15"/>
    <mergeCell ref="AB15:AC15"/>
    <mergeCell ref="A16:A26"/>
    <mergeCell ref="S16:S26"/>
    <mergeCell ref="AB16:AC16"/>
    <mergeCell ref="D26:E26"/>
    <mergeCell ref="AB26:AC2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42:AC42"/>
    <mergeCell ref="AB43:AC43"/>
    <mergeCell ref="AB44:AC44"/>
    <mergeCell ref="AB45:AC45"/>
    <mergeCell ref="AB46:AC46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334" priority="1" operator="greaterThan">
      <formula>0</formula>
    </cfRule>
  </conditionalFormatting>
  <conditionalFormatting sqref="Q5:Q79 AF5:AF79">
    <cfRule type="cellIs" dxfId="333" priority="4" operator="lessThan">
      <formula>0</formula>
    </cfRule>
  </conditionalFormatting>
  <conditionalFormatting sqref="R5:R79 AG5:AG79">
    <cfRule type="cellIs" dxfId="332" priority="2" operator="greaterThan">
      <formula>1</formula>
    </cfRule>
    <cfRule type="cellIs" dxfId="331" priority="3" operator="lessThan">
      <formula>0.8</formula>
    </cfRule>
  </conditionalFormatting>
  <conditionalFormatting sqref="S5:S10 S37:S62 AH59:AH62 S69:S76 AH69:AH76">
    <cfRule type="cellIs" dxfId="330" priority="7" operator="lessThan">
      <formula>0.8</formula>
    </cfRule>
  </conditionalFormatting>
  <conditionalFormatting sqref="S19:S25 AH19:AH25">
    <cfRule type="cellIs" dxfId="329" priority="6" operator="lessThan">
      <formula>0.8</formula>
    </cfRule>
  </conditionalFormatting>
  <conditionalFormatting sqref="S79">
    <cfRule type="cellIs" dxfId="328" priority="5" operator="lessThan">
      <formula>0.8</formula>
    </cfRule>
  </conditionalFormatting>
  <conditionalFormatting sqref="AH5:AH8 S15:S16 AH15:AH16 AH49 AH79">
    <cfRule type="cellIs" dxfId="327" priority="9" operator="lessThan">
      <formula>0.8</formula>
    </cfRule>
  </conditionalFormatting>
  <conditionalFormatting sqref="AH27 S27:S28">
    <cfRule type="cellIs" dxfId="326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29BC14B-5B74-4021-9644-A698F57D965E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56EC-A41D-4ABE-B288-A593546D97EF}">
  <dimension ref="B1:O26"/>
  <sheetViews>
    <sheetView zoomScale="70" zoomScaleNormal="70" workbookViewId="0">
      <selection activeCell="Z49" sqref="Z49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46145</v>
      </c>
      <c r="E3" s="412"/>
      <c r="F3" s="3" t="s">
        <v>72</v>
      </c>
      <c r="G3" s="413">
        <f>'0503'!E1</f>
        <v>64004</v>
      </c>
      <c r="H3" s="413"/>
      <c r="I3" s="3" t="s">
        <v>2</v>
      </c>
      <c r="J3" s="414">
        <f>'0503'!G1</f>
        <v>3124634.122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>
        <f>AVERAGE(D13:I13)</f>
        <v>124.5152868187311</v>
      </c>
      <c r="G6" s="410"/>
      <c r="H6" s="395">
        <f>AVERAGE(D13:H13)</f>
        <v>125.94334418247732</v>
      </c>
      <c r="I6" s="395"/>
      <c r="J6" s="395">
        <f>AVERAGE(I13)</f>
        <v>117.375</v>
      </c>
      <c r="K6" s="395"/>
      <c r="L6" s="396">
        <f>SUM(D18:J18)</f>
        <v>1</v>
      </c>
      <c r="M6" s="398">
        <f>SUM(D19:J19)</f>
        <v>55</v>
      </c>
      <c r="N6" s="399">
        <f>SUM(D20:J20)</f>
        <v>0</v>
      </c>
      <c r="O6" s="398">
        <f>SUM(D20:J20)</f>
        <v>0</v>
      </c>
    </row>
    <row r="7" spans="2:15" ht="39.6" customHeight="1">
      <c r="B7" s="406"/>
      <c r="C7" s="406"/>
      <c r="D7" s="401" t="s">
        <v>87</v>
      </c>
      <c r="E7" s="401"/>
      <c r="F7" s="402">
        <f>AVERAGE(D14:I14)</f>
        <v>108.37875990995764</v>
      </c>
      <c r="G7" s="402"/>
      <c r="H7" s="403">
        <f>AVERAGE(D14:H14)</f>
        <v>110.06857174513945</v>
      </c>
      <c r="I7" s="403"/>
      <c r="J7" s="403">
        <f>AVERAGE(I14)</f>
        <v>99.929700734048552</v>
      </c>
      <c r="K7" s="403"/>
      <c r="L7" s="397" t="e">
        <f t="shared" ref="L7:O8" si="0">AVERAGE(K14:L14)</f>
        <v>#DIV/0!</v>
      </c>
      <c r="M7" s="398" t="e">
        <f t="shared" si="0"/>
        <v>#DIV/0!</v>
      </c>
      <c r="N7" s="400" t="e">
        <f t="shared" si="0"/>
        <v>#DIV/0!</v>
      </c>
      <c r="O7" s="398" t="e">
        <f t="shared" si="0"/>
        <v>#DIV/0!</v>
      </c>
    </row>
    <row r="8" spans="2:15" ht="39.6" customHeight="1">
      <c r="B8" s="406"/>
      <c r="C8" s="406"/>
      <c r="D8" s="401" t="s">
        <v>27</v>
      </c>
      <c r="E8" s="401"/>
      <c r="F8" s="387">
        <f>F7/F6</f>
        <v>0.8704052544787938</v>
      </c>
      <c r="G8" s="387"/>
      <c r="H8" s="387">
        <f>H7/H6</f>
        <v>0.87395306563928332</v>
      </c>
      <c r="I8" s="387"/>
      <c r="J8" s="387">
        <f>J7/J6</f>
        <v>0.85137125226026455</v>
      </c>
      <c r="K8" s="387"/>
      <c r="L8" s="397" t="e">
        <f t="shared" si="0"/>
        <v>#DIV/0!</v>
      </c>
      <c r="M8" s="398" t="e">
        <f t="shared" si="0"/>
        <v>#DIV/0!</v>
      </c>
      <c r="N8" s="400" t="e">
        <f t="shared" si="0"/>
        <v>#DIV/0!</v>
      </c>
      <c r="O8" s="398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>
        <f>VALUE('0503'!L15)</f>
        <v>150</v>
      </c>
      <c r="E13" s="13">
        <f>VALUE('0503'!L26)</f>
        <v>174.23076923076923</v>
      </c>
      <c r="F13" s="13">
        <f>VALUE('0503'!L37)</f>
        <v>100.21667063586568</v>
      </c>
      <c r="G13" s="13">
        <f>VALUE('0503'!L48)</f>
        <v>102.24575163398693</v>
      </c>
      <c r="H13" s="13">
        <f>VALUE('0503'!L58)</f>
        <v>103.02352941176471</v>
      </c>
      <c r="I13" s="13">
        <f>VALUE('0503'!L69)</f>
        <v>117.375</v>
      </c>
      <c r="J13" s="13">
        <f>'0503'!L79</f>
        <v>0</v>
      </c>
    </row>
    <row r="14" spans="2:15" ht="39.950000000000003" customHeight="1">
      <c r="B14" s="381"/>
      <c r="C14" s="12" t="s">
        <v>100</v>
      </c>
      <c r="D14" s="13">
        <f>VALUE('0503'!O15)</f>
        <v>133.49132318456861</v>
      </c>
      <c r="E14" s="13">
        <f>VALUE('0503'!O26)</f>
        <v>164.69593786093813</v>
      </c>
      <c r="F14" s="13">
        <f>VALUE('0503'!O37)</f>
        <v>78.987765425821891</v>
      </c>
      <c r="G14" s="13">
        <f>VALUE('0503'!O48)</f>
        <v>77.26961289749427</v>
      </c>
      <c r="H14" s="13">
        <f>VALUE('0503'!O58)</f>
        <v>95.898219356874463</v>
      </c>
      <c r="I14" s="13">
        <f>VALUE('0503'!O69)</f>
        <v>99.929700734048552</v>
      </c>
      <c r="J14" s="13">
        <f>'0503'!O79</f>
        <v>0</v>
      </c>
    </row>
    <row r="15" spans="2:15" ht="39.950000000000003" customHeight="1">
      <c r="B15" s="382"/>
      <c r="C15" s="10" t="s">
        <v>26</v>
      </c>
      <c r="D15" s="14">
        <f t="shared" ref="D15:I15" si="1">D14/D13</f>
        <v>0.88994215456379078</v>
      </c>
      <c r="E15" s="14">
        <f t="shared" si="1"/>
        <v>0.94527469853960078</v>
      </c>
      <c r="F15" s="14">
        <f t="shared" si="1"/>
        <v>0.78816992147765119</v>
      </c>
      <c r="G15" s="14">
        <f t="shared" si="1"/>
        <v>0.75572443512469145</v>
      </c>
      <c r="H15" s="14">
        <f t="shared" si="1"/>
        <v>0.93083803189840453</v>
      </c>
      <c r="I15" s="14">
        <f t="shared" si="1"/>
        <v>0.85137125226026455</v>
      </c>
      <c r="J15" s="15">
        <f>'0503'!S70</f>
        <v>0</v>
      </c>
    </row>
    <row r="16" spans="2:15" ht="17.25" customHeight="1">
      <c r="B16" s="383" t="s">
        <v>101</v>
      </c>
      <c r="C16" s="10" t="s">
        <v>34</v>
      </c>
      <c r="D16" s="16">
        <f>'0503'!T5</f>
        <v>0.29166666666666702</v>
      </c>
      <c r="E16" s="16">
        <f>'0503'!T16</f>
        <v>0.29166666666666702</v>
      </c>
      <c r="F16" s="16">
        <f>'0503'!T27</f>
        <v>0.29166666666666702</v>
      </c>
      <c r="G16" s="16">
        <f>'0503'!T38</f>
        <v>0.33333333333333298</v>
      </c>
      <c r="H16" s="16">
        <f>'0503'!T49</f>
        <v>0.29166666666666702</v>
      </c>
      <c r="I16" s="16">
        <f>'0503'!T59</f>
        <v>0.29166666666666702</v>
      </c>
      <c r="J16" s="16">
        <f>'0503'!T70</f>
        <v>0</v>
      </c>
    </row>
    <row r="17" spans="2:10" ht="17.25" customHeight="1">
      <c r="B17" s="384"/>
      <c r="C17" s="10" t="s">
        <v>35</v>
      </c>
      <c r="D17" s="22">
        <v>0.68055555555555602</v>
      </c>
      <c r="E17" s="19">
        <v>0.62986111111111098</v>
      </c>
      <c r="F17" s="19">
        <v>0.66458333333333297</v>
      </c>
      <c r="G17" s="20">
        <v>0.69791666666666696</v>
      </c>
      <c r="H17" s="21">
        <v>0.67013888888888895</v>
      </c>
      <c r="I17" s="22">
        <v>0.52083333333333304</v>
      </c>
      <c r="J17" s="22">
        <v>0</v>
      </c>
    </row>
    <row r="18" spans="2:10" ht="17.25" customHeight="1">
      <c r="B18" s="385" t="s">
        <v>102</v>
      </c>
      <c r="C18" s="330" t="s">
        <v>36</v>
      </c>
      <c r="D18" s="358">
        <f>'0503'!Z15</f>
        <v>0</v>
      </c>
      <c r="E18" s="359">
        <f>'0503'!Z26</f>
        <v>0</v>
      </c>
      <c r="F18" s="359">
        <f>'0503'!Z37</f>
        <v>0</v>
      </c>
      <c r="G18" s="360">
        <f>'0503'!Z48</f>
        <v>1</v>
      </c>
      <c r="H18" s="360">
        <f>'0503'!Z58</f>
        <v>0</v>
      </c>
      <c r="I18" s="359">
        <f>'0503'!Z69</f>
        <v>0</v>
      </c>
      <c r="J18" s="359">
        <f>'0503'!AA79</f>
        <v>0</v>
      </c>
    </row>
    <row r="19" spans="2:10" ht="17.25" customHeight="1">
      <c r="B19" s="386"/>
      <c r="C19" s="330" t="s">
        <v>37</v>
      </c>
      <c r="D19" s="358">
        <f>'0503'!AA15</f>
        <v>0</v>
      </c>
      <c r="E19" s="359">
        <f>'0503'!AA26</f>
        <v>0</v>
      </c>
      <c r="F19" s="359">
        <f>'0503'!AA37</f>
        <v>0</v>
      </c>
      <c r="G19" s="360">
        <f>'0503'!AA48</f>
        <v>55</v>
      </c>
      <c r="H19" s="360">
        <f>'0503'!AA58</f>
        <v>0</v>
      </c>
      <c r="I19" s="359">
        <f>'0503'!AA69</f>
        <v>0</v>
      </c>
      <c r="J19" s="359">
        <f>'0503'!AB79</f>
        <v>0</v>
      </c>
    </row>
    <row r="20" spans="2:10" ht="17.25" customHeight="1">
      <c r="B20" s="385" t="s">
        <v>103</v>
      </c>
      <c r="C20" s="330" t="s">
        <v>36</v>
      </c>
      <c r="D20" s="358">
        <f>'0503'!AD15</f>
        <v>0</v>
      </c>
      <c r="E20" s="359">
        <f>'0503'!AD26</f>
        <v>0</v>
      </c>
      <c r="F20" s="359">
        <f>'0503'!AD37</f>
        <v>0</v>
      </c>
      <c r="G20" s="360">
        <f>'0503'!AD48</f>
        <v>0</v>
      </c>
      <c r="H20" s="360">
        <f>'0503'!AD58</f>
        <v>0</v>
      </c>
      <c r="I20" s="359">
        <f>'0503'!AD69</f>
        <v>0</v>
      </c>
      <c r="J20" s="359">
        <f>'0503'!AD79</f>
        <v>0</v>
      </c>
    </row>
    <row r="21" spans="2:10" ht="17.25" customHeight="1">
      <c r="B21" s="386"/>
      <c r="C21" s="330" t="s">
        <v>85</v>
      </c>
      <c r="D21" s="358">
        <f>'0503'!AE15</f>
        <v>0</v>
      </c>
      <c r="E21" s="359">
        <f>'0503'!AE26</f>
        <v>0</v>
      </c>
      <c r="F21" s="359">
        <f>'0503'!AE37</f>
        <v>0</v>
      </c>
      <c r="G21" s="360">
        <f>'0503'!AE48</f>
        <v>0</v>
      </c>
      <c r="H21" s="360">
        <f>'0503'!AE58</f>
        <v>0</v>
      </c>
      <c r="I21" s="359">
        <f>'0503'!AE69</f>
        <v>0</v>
      </c>
      <c r="J21" s="359">
        <f>'0503'!AE79</f>
        <v>0</v>
      </c>
    </row>
    <row r="22" spans="2:10" ht="17.25" customHeight="1">
      <c r="B22" s="377" t="s">
        <v>104</v>
      </c>
      <c r="C22" s="378"/>
      <c r="D22" s="23">
        <f>VALUE('0503'!M15)</f>
        <v>15</v>
      </c>
      <c r="E22" s="23">
        <f>VALUE('0503'!M26)</f>
        <v>12.8</v>
      </c>
      <c r="F22" s="23">
        <f>VALUE('0503'!M37)</f>
        <v>15.8</v>
      </c>
      <c r="G22" s="23">
        <f>VALUE('0503'!M48)</f>
        <v>16.333333333333332</v>
      </c>
      <c r="H22" s="23">
        <f>VALUE('0503'!M58)</f>
        <v>16.600000000000001</v>
      </c>
      <c r="I22" s="23">
        <f>VALUE('0503'!M69)</f>
        <v>12.5</v>
      </c>
      <c r="J22" s="23">
        <f>'0503'!M79</f>
        <v>0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325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BF431-59B3-409A-BD27-1439FF9A28C0}">
  <sheetPr>
    <tabColor theme="9" tint="0.79998168889431442"/>
  </sheetPr>
  <dimension ref="A1:AJ92"/>
  <sheetViews>
    <sheetView zoomScale="69" zoomScaleNormal="69" workbookViewId="0">
      <pane xSplit="5" ySplit="4" topLeftCell="F11" activePane="bottomRight" state="frozen"/>
      <selection activeCell="Z49" sqref="Z49"/>
      <selection pane="topRight" activeCell="Z49" sqref="Z49"/>
      <selection pane="bottomLeft" activeCell="Z49" sqref="Z49"/>
      <selection pane="bottomRight" activeCell="Z49" sqref="Z4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8" width="8.7109375" style="34" customWidth="1"/>
    <col min="109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64004</v>
      </c>
      <c r="F1" s="30" t="s">
        <v>2</v>
      </c>
      <c r="G1" s="31">
        <f>SUM(H5:H79)</f>
        <v>3124634.122</v>
      </c>
      <c r="H1" s="32" t="s">
        <v>3</v>
      </c>
      <c r="I1" s="33">
        <f>M15+M26+M48+M58+M69+M79+M37</f>
        <v>89.033333333333331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139</v>
      </c>
      <c r="B2" s="422"/>
      <c r="C2" s="28"/>
      <c r="D2" s="28" t="s">
        <v>14</v>
      </c>
      <c r="E2" s="35">
        <f>AVERAGE(O15,O26,O37,O48,O58,O69,O79)</f>
        <v>108.37875990995764</v>
      </c>
      <c r="F2" s="36" t="s">
        <v>15</v>
      </c>
      <c r="G2" s="37">
        <f>G1/E1</f>
        <v>48.819356946440848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1</v>
      </c>
      <c r="AA2" s="339">
        <f>AA15+AA26+AA37+AA48+AA58+AA69+AA79</f>
        <v>55</v>
      </c>
      <c r="AB2" s="460"/>
      <c r="AC2" s="460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2843</v>
      </c>
      <c r="H5" s="43">
        <f>F5*G5</f>
        <v>161681.41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2055.1807228915636</v>
      </c>
      <c r="O5" s="47">
        <f>N5/M5</f>
        <v>137.01204819277092</v>
      </c>
      <c r="P5" s="49">
        <f>M5-J5</f>
        <v>0</v>
      </c>
      <c r="Q5" s="50">
        <f>O5-L5</f>
        <v>-12.987951807229081</v>
      </c>
      <c r="R5" s="51">
        <f>O5/L5</f>
        <v>0.91341365461847279</v>
      </c>
      <c r="S5" s="416">
        <f>R15</f>
        <v>0.88994215456379078</v>
      </c>
      <c r="T5" s="319">
        <v>0.29166666666666702</v>
      </c>
      <c r="U5" s="320">
        <v>0.34930555555555598</v>
      </c>
      <c r="V5" s="53"/>
      <c r="W5" s="54">
        <f t="shared" ref="W5:W14" si="0">(U5-T5)*24*60</f>
        <v>83.000000000000099</v>
      </c>
      <c r="X5" s="55"/>
      <c r="Y5" s="290"/>
      <c r="Z5" s="169"/>
      <c r="AA5" s="169"/>
      <c r="AB5" s="468"/>
      <c r="AC5" s="468"/>
      <c r="AD5" s="135"/>
      <c r="AE5" s="135"/>
      <c r="AF5" s="229">
        <f t="shared" ref="AF5:AF11" si="1">N5-K5</f>
        <v>-194.81927710843638</v>
      </c>
      <c r="AG5" s="52">
        <f t="shared" ref="AG5:AG11" si="2">N5/K5</f>
        <v>0.91341365461847268</v>
      </c>
      <c r="AH5" s="461">
        <f>AG15</f>
        <v>0.88994215456379089</v>
      </c>
    </row>
    <row r="6" spans="1:34" ht="15" customHeight="1">
      <c r="A6" s="428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4473</v>
      </c>
      <c r="H6" s="63">
        <f>F6*G6</f>
        <v>219803.22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2096.7187499999982</v>
      </c>
      <c r="O6" s="67">
        <f>N6/M6</f>
        <v>139.78124999999989</v>
      </c>
      <c r="P6" s="69">
        <f>M6-J6</f>
        <v>0</v>
      </c>
      <c r="Q6" s="70">
        <f>O6-L6</f>
        <v>-10.218750000000114</v>
      </c>
      <c r="R6" s="71">
        <f>O6/L6</f>
        <v>0.93187499999999923</v>
      </c>
      <c r="S6" s="417"/>
      <c r="T6" s="16">
        <v>0.35625000000000001</v>
      </c>
      <c r="U6" s="16">
        <v>0.44513888888888897</v>
      </c>
      <c r="V6" s="30">
        <f>(T6-U5)*24*60</f>
        <v>9.9999999999994049</v>
      </c>
      <c r="W6" s="73">
        <f t="shared" si="0"/>
        <v>128.00000000000011</v>
      </c>
      <c r="X6" s="22"/>
      <c r="Y6" s="84"/>
      <c r="Z6" s="90"/>
      <c r="AA6" s="90"/>
      <c r="AB6" s="465"/>
      <c r="AC6" s="465"/>
      <c r="AD6" s="149"/>
      <c r="AE6" s="149"/>
      <c r="AF6" s="307">
        <f t="shared" si="1"/>
        <v>-153.28125000000182</v>
      </c>
      <c r="AG6" s="72">
        <f t="shared" si="2"/>
        <v>0.93187499999999923</v>
      </c>
      <c r="AH6" s="462"/>
    </row>
    <row r="7" spans="1:34" ht="15" customHeight="1">
      <c r="A7" s="428"/>
      <c r="B7" s="75" t="s">
        <v>81</v>
      </c>
      <c r="C7" s="76"/>
      <c r="D7" s="59" t="s">
        <v>115</v>
      </c>
      <c r="E7" s="77"/>
      <c r="F7" s="75">
        <f>VLOOKUP(D7,廠價表!$C$1:$E$43,3,0)</f>
        <v>58.17</v>
      </c>
      <c r="G7" s="66">
        <v>1350</v>
      </c>
      <c r="H7" s="78">
        <f>F7*G7</f>
        <v>78529.5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2076.9230769231012</v>
      </c>
      <c r="O7" s="81">
        <f>N7/M7</f>
        <v>138.46153846154007</v>
      </c>
      <c r="P7" s="74">
        <f>M7-J7</f>
        <v>0</v>
      </c>
      <c r="Q7" s="83">
        <f>O7-L7</f>
        <v>-11.538461538459927</v>
      </c>
      <c r="R7" s="72">
        <f>O7/L7</f>
        <v>0.92307692307693379</v>
      </c>
      <c r="S7" s="417"/>
      <c r="T7" s="18">
        <v>0.45138888888888901</v>
      </c>
      <c r="U7" s="18">
        <v>0.47847222222222202</v>
      </c>
      <c r="V7" s="30">
        <f>(T7-U6)*24*60</f>
        <v>9.000000000000048</v>
      </c>
      <c r="W7" s="73">
        <f t="shared" si="0"/>
        <v>38.999999999999545</v>
      </c>
      <c r="X7" s="22">
        <v>0.49305555555555602</v>
      </c>
      <c r="Y7" s="84">
        <v>0.53472222222222199</v>
      </c>
      <c r="Z7" s="90"/>
      <c r="AA7" s="90"/>
      <c r="AB7" s="466"/>
      <c r="AC7" s="466"/>
      <c r="AD7" s="92"/>
      <c r="AE7" s="92"/>
      <c r="AF7" s="307">
        <f t="shared" si="1"/>
        <v>-173.07692307689877</v>
      </c>
      <c r="AG7" s="72">
        <f t="shared" si="2"/>
        <v>0.9230769230769339</v>
      </c>
      <c r="AH7" s="462"/>
    </row>
    <row r="8" spans="1:34" ht="15" customHeight="1">
      <c r="A8" s="428"/>
      <c r="B8" s="75" t="s">
        <v>81</v>
      </c>
      <c r="C8" s="76"/>
      <c r="D8" s="59" t="s">
        <v>115</v>
      </c>
      <c r="E8" s="77"/>
      <c r="F8" s="75">
        <f>VLOOKUP(D8,廠價表!$C$1:$E$43,3,0)</f>
        <v>58.17</v>
      </c>
      <c r="G8" s="66">
        <v>2554</v>
      </c>
      <c r="H8" s="78">
        <f t="shared" ref="H8:H10" si="3">F8*G8</f>
        <v>148566.18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10" si="4">K8/J8</f>
        <v>150</v>
      </c>
      <c r="M8" s="82">
        <v>15</v>
      </c>
      <c r="N8" s="80">
        <f t="shared" ref="N8:N10" si="5">G8/W8*60</f>
        <v>1990.129870129877</v>
      </c>
      <c r="O8" s="81">
        <f t="shared" ref="O8:O10" si="6">N8/M8</f>
        <v>132.67532467532513</v>
      </c>
      <c r="P8" s="74">
        <f t="shared" ref="P8:P10" si="7">M8-J8</f>
        <v>0</v>
      </c>
      <c r="Q8" s="83">
        <f t="shared" ref="Q8:Q10" si="8">O8-L8</f>
        <v>-17.324675324674871</v>
      </c>
      <c r="R8" s="72">
        <f t="shared" ref="R8:R10" si="9">O8/L8</f>
        <v>0.88450216450216756</v>
      </c>
      <c r="S8" s="417"/>
      <c r="T8" s="16">
        <v>0.54166666666666696</v>
      </c>
      <c r="U8" s="16">
        <v>0.59513888888888899</v>
      </c>
      <c r="V8" s="30">
        <f t="shared" ref="V8:V10" si="10">(T8-U7)*24*60</f>
        <v>91.000000000000711</v>
      </c>
      <c r="W8" s="73">
        <f t="shared" si="0"/>
        <v>76.99999999999973</v>
      </c>
      <c r="X8" s="22"/>
      <c r="Y8" s="84"/>
      <c r="Z8" s="90"/>
      <c r="AA8" s="90"/>
      <c r="AB8" s="465"/>
      <c r="AC8" s="465"/>
      <c r="AD8" s="149"/>
      <c r="AE8" s="149"/>
      <c r="AF8" s="307">
        <f t="shared" si="1"/>
        <v>-259.87012987012304</v>
      </c>
      <c r="AG8" s="72">
        <f t="shared" si="2"/>
        <v>0.88450216450216756</v>
      </c>
      <c r="AH8" s="462"/>
    </row>
    <row r="9" spans="1:34" ht="15" customHeight="1">
      <c r="A9" s="429"/>
      <c r="B9" s="75" t="s">
        <v>81</v>
      </c>
      <c r="C9" s="76"/>
      <c r="D9" s="59" t="s">
        <v>114</v>
      </c>
      <c r="E9" s="77"/>
      <c r="F9" s="75">
        <f>VLOOKUP(D9,廠價表!$C$1:$E$43,3,0)</f>
        <v>49.14</v>
      </c>
      <c r="G9" s="66">
        <v>2692</v>
      </c>
      <c r="H9" s="78">
        <f t="shared" si="3"/>
        <v>132284.88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2153.5999999999708</v>
      </c>
      <c r="O9" s="81">
        <f t="shared" si="6"/>
        <v>143.57333333333139</v>
      </c>
      <c r="P9" s="74">
        <f t="shared" si="7"/>
        <v>0</v>
      </c>
      <c r="Q9" s="83">
        <f t="shared" si="8"/>
        <v>-6.4266666666686092</v>
      </c>
      <c r="R9" s="72">
        <f t="shared" si="9"/>
        <v>0.95715555555554266</v>
      </c>
      <c r="S9" s="418"/>
      <c r="T9" s="16">
        <v>0.60069444444444398</v>
      </c>
      <c r="U9" s="16">
        <v>0.65277777777777801</v>
      </c>
      <c r="V9" s="30">
        <f t="shared" si="10"/>
        <v>7.9999999999991722</v>
      </c>
      <c r="W9" s="73">
        <f t="shared" si="0"/>
        <v>75.000000000001009</v>
      </c>
      <c r="X9" s="22"/>
      <c r="Y9" s="84"/>
      <c r="Z9" s="90"/>
      <c r="AA9" s="90"/>
      <c r="AB9" s="465"/>
      <c r="AC9" s="465"/>
      <c r="AD9" s="149"/>
      <c r="AE9" s="149"/>
      <c r="AF9" s="307">
        <f t="shared" si="1"/>
        <v>-96.400000000029195</v>
      </c>
      <c r="AG9" s="72">
        <f t="shared" si="2"/>
        <v>0.95715555555554255</v>
      </c>
      <c r="AH9" s="463"/>
    </row>
    <row r="10" spans="1:34" ht="15" customHeight="1">
      <c r="A10" s="429"/>
      <c r="B10" s="75" t="s">
        <v>81</v>
      </c>
      <c r="C10" s="86"/>
      <c r="D10" s="59" t="s">
        <v>115</v>
      </c>
      <c r="E10" s="87"/>
      <c r="F10" s="75">
        <f>VLOOKUP(D10,廠價表!$C$1:$E$43,3,0)</f>
        <v>58.17</v>
      </c>
      <c r="G10" s="62">
        <v>985</v>
      </c>
      <c r="H10" s="78">
        <f t="shared" si="3"/>
        <v>57297.450000000004</v>
      </c>
      <c r="I10" s="73"/>
      <c r="J10" s="79">
        <f>VLOOKUP(D10,產線配置圖!$A$3:$C$40,2,0)</f>
        <v>15</v>
      </c>
      <c r="K10" s="80">
        <f>VLOOKUP(D10,產線配置圖!$A$3:$C$40,3,0)</f>
        <v>2250</v>
      </c>
      <c r="L10" s="81">
        <f t="shared" si="4"/>
        <v>150</v>
      </c>
      <c r="M10" s="82">
        <v>15</v>
      </c>
      <c r="N10" s="80">
        <f t="shared" si="5"/>
        <v>1641.6666666666654</v>
      </c>
      <c r="O10" s="81">
        <f t="shared" si="6"/>
        <v>109.44444444444436</v>
      </c>
      <c r="P10" s="74">
        <f t="shared" si="7"/>
        <v>0</v>
      </c>
      <c r="Q10" s="83">
        <f t="shared" si="8"/>
        <v>-40.555555555555642</v>
      </c>
      <c r="R10" s="72">
        <f t="shared" si="9"/>
        <v>0.72962962962962907</v>
      </c>
      <c r="S10" s="418"/>
      <c r="T10" s="22">
        <v>0.655555555555556</v>
      </c>
      <c r="U10" s="22">
        <v>0.68055555555555602</v>
      </c>
      <c r="V10" s="30">
        <f t="shared" si="10"/>
        <v>4.0000000000003055</v>
      </c>
      <c r="W10" s="73">
        <f t="shared" si="0"/>
        <v>36.000000000000028</v>
      </c>
      <c r="X10" s="22"/>
      <c r="Y10" s="84"/>
      <c r="Z10" s="90"/>
      <c r="AA10" s="90"/>
      <c r="AB10" s="466" t="s">
        <v>125</v>
      </c>
      <c r="AC10" s="466"/>
      <c r="AD10" s="92"/>
      <c r="AE10" s="92"/>
      <c r="AF10" s="307">
        <f t="shared" si="1"/>
        <v>-608.33333333333462</v>
      </c>
      <c r="AG10" s="72">
        <f t="shared" si="2"/>
        <v>0.72962962962962907</v>
      </c>
      <c r="AH10" s="463"/>
    </row>
    <row r="11" spans="1:34" ht="15" customHeight="1">
      <c r="A11" s="42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5"/>
      <c r="AC11" s="465"/>
      <c r="AD11" s="149"/>
      <c r="AE11" s="149"/>
      <c r="AF11" s="307">
        <f t="shared" si="1"/>
        <v>0</v>
      </c>
      <c r="AG11" s="72" t="e">
        <f t="shared" si="2"/>
        <v>#DIV/0!</v>
      </c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150</v>
      </c>
      <c r="M15" s="120">
        <f t="shared" si="11"/>
        <v>15</v>
      </c>
      <c r="N15" s="120">
        <f t="shared" si="11"/>
        <v>2002.3698477685296</v>
      </c>
      <c r="O15" s="117">
        <f t="shared" si="11"/>
        <v>133.49132318456861</v>
      </c>
      <c r="P15" s="121">
        <f>M15-J15</f>
        <v>0</v>
      </c>
      <c r="Q15" s="122">
        <f>O15-L15</f>
        <v>-16.508676815431386</v>
      </c>
      <c r="R15" s="123">
        <f>O15/L15</f>
        <v>0.88994215456379078</v>
      </c>
      <c r="S15" s="42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7"/>
      <c r="AC15" s="467"/>
      <c r="AD15" s="323">
        <f>SUM(AD5:AD14)</f>
        <v>0</v>
      </c>
      <c r="AE15" s="323">
        <f>SUM(AE5:AE14)</f>
        <v>0</v>
      </c>
      <c r="AF15" s="309">
        <f>N15-K15</f>
        <v>-247.63015223147045</v>
      </c>
      <c r="AG15" s="124">
        <f>N15/K15</f>
        <v>0.88994215456379089</v>
      </c>
      <c r="AH15" s="464"/>
    </row>
    <row r="16" spans="1:34" ht="15" customHeight="1">
      <c r="A16" s="47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2835</v>
      </c>
      <c r="H16" s="134">
        <f>F16*G16</f>
        <v>143649.45000000001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2126.2500000000223</v>
      </c>
      <c r="O16" s="141">
        <f>N16/M16</f>
        <v>163.55769230769403</v>
      </c>
      <c r="P16" s="142">
        <f>M16-J16</f>
        <v>0</v>
      </c>
      <c r="Q16" s="143">
        <f>O16-L16</f>
        <v>-9.5192307692290399</v>
      </c>
      <c r="R16" s="144">
        <f>O16/L16</f>
        <v>0.94500000000000994</v>
      </c>
      <c r="S16" s="472">
        <f>R26</f>
        <v>0.94527469853960078</v>
      </c>
      <c r="T16" s="145">
        <v>0.29166666666666702</v>
      </c>
      <c r="U16" s="145">
        <v>0.34722222222222199</v>
      </c>
      <c r="V16" s="135"/>
      <c r="W16" s="146">
        <f t="shared" ref="W16:W78" si="12">(U16-T16)*24*60</f>
        <v>79.999999999999162</v>
      </c>
      <c r="X16" s="141"/>
      <c r="Y16" s="296"/>
      <c r="Z16" s="169"/>
      <c r="AA16" s="169"/>
      <c r="AB16" s="468"/>
      <c r="AC16" s="468"/>
      <c r="AD16" s="135"/>
      <c r="AE16" s="135"/>
      <c r="AF16" s="229">
        <f>N16-K16</f>
        <v>-123.74999999997772</v>
      </c>
      <c r="AG16" s="52">
        <f>N16/K16</f>
        <v>0.94500000000000994</v>
      </c>
      <c r="AH16" s="461">
        <f>AG26</f>
        <v>0.93079679679679872</v>
      </c>
    </row>
    <row r="17" spans="1:34" ht="15" customHeight="1">
      <c r="A17" s="479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2841</v>
      </c>
      <c r="H17" s="78">
        <f>F17*G17</f>
        <v>160829.01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2130.7500000000223</v>
      </c>
      <c r="O17" s="96">
        <f>N17/M17</f>
        <v>142.05000000000149</v>
      </c>
      <c r="P17" s="97">
        <f>M17-J17</f>
        <v>0</v>
      </c>
      <c r="Q17" s="98">
        <f>O17-L17</f>
        <v>-7.9499999999985107</v>
      </c>
      <c r="R17" s="99">
        <f>O17/L17</f>
        <v>0.94700000000000994</v>
      </c>
      <c r="S17" s="473"/>
      <c r="T17" s="19">
        <v>0.35416666666666702</v>
      </c>
      <c r="U17" s="19">
        <v>0.40972222222222199</v>
      </c>
      <c r="V17" s="30">
        <f>(T17-U16)*24*60</f>
        <v>10.000000000000844</v>
      </c>
      <c r="W17" s="149">
        <f t="shared" si="12"/>
        <v>79.999999999999162</v>
      </c>
      <c r="X17" s="19"/>
      <c r="Y17" s="297"/>
      <c r="Z17" s="90"/>
      <c r="AA17" s="90"/>
      <c r="AB17" s="466"/>
      <c r="AC17" s="466"/>
      <c r="AD17" s="92"/>
      <c r="AE17" s="92"/>
      <c r="AF17" s="307">
        <f>N17-K17</f>
        <v>-119.24999999997772</v>
      </c>
      <c r="AG17" s="72">
        <f>N17/K17</f>
        <v>0.94700000000000994</v>
      </c>
      <c r="AH17" s="462"/>
    </row>
    <row r="18" spans="1:34" ht="15" customHeight="1">
      <c r="A18" s="479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3211</v>
      </c>
      <c r="H18" s="78">
        <f>F18*G18</f>
        <v>161802.29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2140.6666666666665</v>
      </c>
      <c r="O18" s="96">
        <f>N18/M18</f>
        <v>178.38888888888889</v>
      </c>
      <c r="P18" s="97">
        <f>M18-J18</f>
        <v>0</v>
      </c>
      <c r="Q18" s="98">
        <f>O18-L18</f>
        <v>-9.1111111111111143</v>
      </c>
      <c r="R18" s="99">
        <f>O18/L18</f>
        <v>0.95140740740740737</v>
      </c>
      <c r="S18" s="473"/>
      <c r="T18" s="19">
        <v>0.41666666666666702</v>
      </c>
      <c r="U18" s="19">
        <v>0.47916666666666702</v>
      </c>
      <c r="V18" s="30">
        <f>(T18-U17)*24*60</f>
        <v>10.000000000000844</v>
      </c>
      <c r="W18" s="149">
        <f t="shared" si="12"/>
        <v>90</v>
      </c>
      <c r="X18" s="22">
        <v>0.49305555555555602</v>
      </c>
      <c r="Y18" s="84">
        <v>0.53472222222222199</v>
      </c>
      <c r="Z18" s="90"/>
      <c r="AA18" s="90"/>
      <c r="AB18" s="466"/>
      <c r="AC18" s="466"/>
      <c r="AD18" s="92"/>
      <c r="AE18" s="92"/>
      <c r="AF18" s="307">
        <f>N18-K18</f>
        <v>-109.33333333333348</v>
      </c>
      <c r="AG18" s="72">
        <f>N18/K18</f>
        <v>0.95140740740740737</v>
      </c>
      <c r="AH18" s="462"/>
    </row>
    <row r="19" spans="1:34" ht="15" customHeight="1">
      <c r="A19" s="479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2636</v>
      </c>
      <c r="H19" s="78">
        <f t="shared" ref="H19:H20" si="13">F19*G19</f>
        <v>132828.04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14">K19/J19</f>
        <v>187.5</v>
      </c>
      <c r="M19" s="148">
        <v>12</v>
      </c>
      <c r="N19" s="95">
        <f t="shared" ref="N19:N20" si="15">G19/W19*60</f>
        <v>2137.2972972972912</v>
      </c>
      <c r="O19" s="96">
        <f t="shared" ref="O19:O20" si="16">N19/M19</f>
        <v>178.10810810810759</v>
      </c>
      <c r="P19" s="97">
        <f t="shared" ref="P19:P20" si="17">M19-J19</f>
        <v>0</v>
      </c>
      <c r="Q19" s="98">
        <f t="shared" ref="Q19:Q20" si="18">O19-L19</f>
        <v>-9.3918918918924135</v>
      </c>
      <c r="R19" s="99">
        <f t="shared" ref="R19:R20" si="19">O19/L19</f>
        <v>0.94990990990990709</v>
      </c>
      <c r="S19" s="473"/>
      <c r="T19" s="19">
        <v>0.54374999999999996</v>
      </c>
      <c r="U19" s="19">
        <v>0.59513888888888899</v>
      </c>
      <c r="V19" s="30">
        <f>(T19-U18)*24*60</f>
        <v>92.999999999999432</v>
      </c>
      <c r="W19" s="149">
        <f t="shared" si="12"/>
        <v>74.000000000000213</v>
      </c>
      <c r="X19" s="22"/>
      <c r="Y19" s="84"/>
      <c r="Z19" s="90"/>
      <c r="AA19" s="90"/>
      <c r="AB19" s="465"/>
      <c r="AC19" s="465"/>
      <c r="AD19" s="149"/>
      <c r="AE19" s="149"/>
      <c r="AF19" s="307">
        <f>N19-K19</f>
        <v>-112.70270270270885</v>
      </c>
      <c r="AG19" s="72">
        <f>N19/K19</f>
        <v>0.9499099099099072</v>
      </c>
      <c r="AH19" s="463"/>
    </row>
    <row r="20" spans="1:34" ht="15" customHeight="1">
      <c r="A20" s="479"/>
      <c r="B20" s="75" t="s">
        <v>81</v>
      </c>
      <c r="C20" s="76"/>
      <c r="D20" s="59" t="s">
        <v>116</v>
      </c>
      <c r="E20" s="77"/>
      <c r="F20" s="75">
        <f>VLOOKUP(D20,廠價表!$C$1:$E$43,3,0)</f>
        <v>50.67</v>
      </c>
      <c r="G20" s="147">
        <v>1291</v>
      </c>
      <c r="H20" s="78">
        <f t="shared" si="13"/>
        <v>65414.97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14"/>
        <v>173.07692307692307</v>
      </c>
      <c r="M20" s="148">
        <v>12</v>
      </c>
      <c r="N20" s="95">
        <f t="shared" si="15"/>
        <v>1936.4999999999832</v>
      </c>
      <c r="O20" s="96">
        <f t="shared" si="16"/>
        <v>161.37499999999861</v>
      </c>
      <c r="P20" s="97">
        <f t="shared" si="17"/>
        <v>-1</v>
      </c>
      <c r="Q20" s="98">
        <f t="shared" si="18"/>
        <v>-11.701923076924459</v>
      </c>
      <c r="R20" s="99">
        <f t="shared" si="19"/>
        <v>0.93238888888888094</v>
      </c>
      <c r="S20" s="473"/>
      <c r="T20" s="19">
        <v>0.60208333333333297</v>
      </c>
      <c r="U20" s="19">
        <v>0.62986111111111098</v>
      </c>
      <c r="V20" s="30">
        <f>(T20-U19)*24*60</f>
        <v>9.999999999999325</v>
      </c>
      <c r="W20" s="149">
        <f t="shared" si="12"/>
        <v>40.000000000000341</v>
      </c>
      <c r="X20" s="19"/>
      <c r="Y20" s="297"/>
      <c r="Z20" s="90"/>
      <c r="AA20" s="90"/>
      <c r="AB20" s="466"/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3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466"/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50"/>
      <c r="U22" s="150"/>
      <c r="V22" s="92"/>
      <c r="W22" s="149"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12"/>
        <v>0</v>
      </c>
      <c r="X23" s="92"/>
      <c r="Y23" s="298"/>
      <c r="Z23" s="90"/>
      <c r="AA23" s="90"/>
      <c r="AB23" s="466"/>
      <c r="AC23" s="46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>
        <f t="shared" ref="J26:O26" si="20">AVERAGE(J16:J25)</f>
        <v>13</v>
      </c>
      <c r="K26" s="155">
        <f t="shared" si="20"/>
        <v>2250</v>
      </c>
      <c r="L26" s="158">
        <f t="shared" si="20"/>
        <v>174.23076923076923</v>
      </c>
      <c r="M26" s="155">
        <f t="shared" si="20"/>
        <v>12.8</v>
      </c>
      <c r="N26" s="155">
        <f t="shared" si="20"/>
        <v>2094.2927927927972</v>
      </c>
      <c r="O26" s="158">
        <f t="shared" si="20"/>
        <v>164.69593786093813</v>
      </c>
      <c r="P26" s="159">
        <f>M26-J26</f>
        <v>-0.19999999999999929</v>
      </c>
      <c r="Q26" s="160">
        <f>O26-L26</f>
        <v>-9.534831369831096</v>
      </c>
      <c r="R26" s="161">
        <f>O26/L26</f>
        <v>0.94527469853960078</v>
      </c>
      <c r="S26" s="474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7"/>
      <c r="AC26" s="467"/>
      <c r="AD26" s="323">
        <f>SUM(AD16:AD25)</f>
        <v>0</v>
      </c>
      <c r="AE26" s="323">
        <f>SUM(AE16:AE25)</f>
        <v>0</v>
      </c>
      <c r="AF26" s="309">
        <f t="shared" ref="AF26:AF31" si="21">N26-K26</f>
        <v>-155.70720720720283</v>
      </c>
      <c r="AG26" s="124">
        <f t="shared" ref="AG26:AG31" si="22">N26/K26</f>
        <v>0.93079679679679872</v>
      </c>
      <c r="AH26" s="464"/>
    </row>
    <row r="27" spans="1:34" ht="15" customHeight="1">
      <c r="A27" s="469" t="s">
        <v>45</v>
      </c>
      <c r="B27" s="167" t="s">
        <v>81</v>
      </c>
      <c r="C27" s="130"/>
      <c r="D27" s="168" t="s">
        <v>119</v>
      </c>
      <c r="E27" s="132"/>
      <c r="F27" s="129">
        <f>VLOOKUP(D27,廠價表!$C$1:$E$43,3,0)</f>
        <v>50.67</v>
      </c>
      <c r="G27" s="169">
        <v>1206</v>
      </c>
      <c r="H27" s="134">
        <f>F27*G27</f>
        <v>61108.020000000004</v>
      </c>
      <c r="I27" s="135"/>
      <c r="J27" s="136">
        <f>VLOOKUP(D27,產線配置圖!$A$3:$C$40,2,0)</f>
        <v>13</v>
      </c>
      <c r="K27" s="137">
        <f>VLOOKUP(D27,產線配置圖!$A$3:$C$40,3,0)</f>
        <v>1440</v>
      </c>
      <c r="L27" s="138">
        <f>K27/J27</f>
        <v>110.76923076923077</v>
      </c>
      <c r="M27" s="170">
        <v>13</v>
      </c>
      <c r="N27" s="140">
        <f>G27/W27*60</f>
        <v>1247.5862068965769</v>
      </c>
      <c r="O27" s="141">
        <f>N27/M27</f>
        <v>95.968169761275149</v>
      </c>
      <c r="P27" s="142">
        <f>M27-J27</f>
        <v>0</v>
      </c>
      <c r="Q27" s="143">
        <f>O27-L27</f>
        <v>-14.801061007955624</v>
      </c>
      <c r="R27" s="144">
        <f>O27/L27</f>
        <v>0.86637931034484505</v>
      </c>
      <c r="S27" s="472">
        <f>R37</f>
        <v>0.78816992147765119</v>
      </c>
      <c r="T27" s="171">
        <v>0.29166666666666702</v>
      </c>
      <c r="U27" s="171">
        <v>0.33194444444444399</v>
      </c>
      <c r="V27" s="135"/>
      <c r="W27" s="146">
        <f t="shared" si="12"/>
        <v>57.999999999998835</v>
      </c>
      <c r="X27" s="135"/>
      <c r="Y27" s="300" t="s">
        <v>46</v>
      </c>
      <c r="Z27" s="169"/>
      <c r="AA27" s="169"/>
      <c r="AB27" s="468"/>
      <c r="AC27" s="468"/>
      <c r="AD27" s="135"/>
      <c r="AE27" s="135"/>
      <c r="AF27" s="310">
        <f t="shared" si="21"/>
        <v>-192.41379310342313</v>
      </c>
      <c r="AG27" s="172">
        <f t="shared" si="22"/>
        <v>0.86637931034484505</v>
      </c>
      <c r="AH27" s="461">
        <f>AG37</f>
        <v>0.7905139787055061</v>
      </c>
    </row>
    <row r="28" spans="1:34" ht="15" customHeight="1">
      <c r="A28" s="470"/>
      <c r="B28" s="75" t="s">
        <v>81</v>
      </c>
      <c r="C28" s="173"/>
      <c r="D28" s="59" t="s">
        <v>121</v>
      </c>
      <c r="E28" s="104"/>
      <c r="F28" s="75">
        <f>VLOOKUP(D28,廠價表!$C$1:$E$43,3,0)</f>
        <v>50.289000000000001</v>
      </c>
      <c r="G28" s="90">
        <v>4928</v>
      </c>
      <c r="H28" s="91">
        <f>F28*G28</f>
        <v>247824.19200000001</v>
      </c>
      <c r="I28" s="92"/>
      <c r="J28" s="79">
        <f>VLOOKUP(D28,產線配置圖!$A$3:$C$40,2,0)</f>
        <v>19</v>
      </c>
      <c r="K28" s="80">
        <f>VLOOKUP(D28,產線配置圖!$A$3:$C$40,3,0)</f>
        <v>1565</v>
      </c>
      <c r="L28" s="93">
        <f>K28/J28</f>
        <v>82.368421052631575</v>
      </c>
      <c r="M28" s="94">
        <v>19</v>
      </c>
      <c r="N28" s="95">
        <f>G28/W28*60</f>
        <v>1388.1690140845039</v>
      </c>
      <c r="O28" s="96">
        <f>N28/M28</f>
        <v>73.061527057079161</v>
      </c>
      <c r="P28" s="97">
        <f>M28-J28</f>
        <v>0</v>
      </c>
      <c r="Q28" s="98">
        <f>O28-L28</f>
        <v>-9.3068939955524144</v>
      </c>
      <c r="R28" s="99">
        <f>O28/L28</f>
        <v>0.88700895468658414</v>
      </c>
      <c r="S28" s="473"/>
      <c r="T28" s="19">
        <v>0.33819444444444402</v>
      </c>
      <c r="U28" s="19">
        <v>0.48611111111111099</v>
      </c>
      <c r="V28" s="92">
        <f>(T28-U27)*24*60</f>
        <v>9.000000000000048</v>
      </c>
      <c r="W28" s="149">
        <f t="shared" si="12"/>
        <v>213.00000000000045</v>
      </c>
      <c r="X28" s="174">
        <v>0.48958333333333298</v>
      </c>
      <c r="Y28" s="301">
        <v>0.54166666666666696</v>
      </c>
      <c r="Z28" s="335"/>
      <c r="AA28" s="335"/>
      <c r="AB28" s="466"/>
      <c r="AC28" s="466"/>
      <c r="AD28" s="92"/>
      <c r="AE28" s="92"/>
      <c r="AF28" s="311">
        <f t="shared" si="21"/>
        <v>-176.83098591549606</v>
      </c>
      <c r="AG28" s="99">
        <f t="shared" si="22"/>
        <v>0.88700895468658403</v>
      </c>
      <c r="AH28" s="482"/>
    </row>
    <row r="29" spans="1:34" ht="15" customHeight="1">
      <c r="A29" s="470"/>
      <c r="B29" s="75" t="s">
        <v>81</v>
      </c>
      <c r="C29" s="173"/>
      <c r="D29" s="59" t="s">
        <v>128</v>
      </c>
      <c r="E29" s="104"/>
      <c r="F29" s="75">
        <f>VLOOKUP(D29,廠價表!$C$1:$E$43,3,0)</f>
        <v>57.21</v>
      </c>
      <c r="G29" s="90">
        <v>1541</v>
      </c>
      <c r="H29" s="91">
        <f>F29*G29</f>
        <v>88160.61</v>
      </c>
      <c r="I29" s="92"/>
      <c r="J29" s="79">
        <f>VLOOKUP(D29,產線配置圖!$A$3:$C$40,2,0)</f>
        <v>17</v>
      </c>
      <c r="K29" s="80">
        <f>VLOOKUP(D29,產線配置圖!$A$3:$C$40,3,0)</f>
        <v>1716</v>
      </c>
      <c r="L29" s="93">
        <f>K29/J29</f>
        <v>100.94117647058823</v>
      </c>
      <c r="M29" s="94">
        <v>17</v>
      </c>
      <c r="N29" s="95">
        <f>G29/W29*60</f>
        <v>1400.9090909091026</v>
      </c>
      <c r="O29" s="96">
        <f>N29/M29</f>
        <v>82.406417112300147</v>
      </c>
      <c r="P29" s="97">
        <f>M29-J29</f>
        <v>0</v>
      </c>
      <c r="Q29" s="98">
        <f>O29-L29</f>
        <v>-18.534759358288085</v>
      </c>
      <c r="R29" s="99">
        <f>O29/L29</f>
        <v>0.81638058910786859</v>
      </c>
      <c r="S29" s="473"/>
      <c r="T29" s="19">
        <v>0.54791666666666705</v>
      </c>
      <c r="U29" s="19">
        <v>0.59375</v>
      </c>
      <c r="V29" s="92">
        <f>(T29-U28)*24*60</f>
        <v>89.000000000000725</v>
      </c>
      <c r="W29" s="149">
        <f t="shared" si="12"/>
        <v>65.999999999999446</v>
      </c>
      <c r="X29" s="22"/>
      <c r="Y29" s="84"/>
      <c r="Z29" s="90"/>
      <c r="AA29" s="90"/>
      <c r="AB29" s="466"/>
      <c r="AC29" s="466"/>
      <c r="AD29" s="92"/>
      <c r="AE29" s="92"/>
      <c r="AF29" s="312">
        <f t="shared" si="21"/>
        <v>-315.09090909089741</v>
      </c>
      <c r="AG29" s="99">
        <f t="shared" si="22"/>
        <v>0.81638058910786859</v>
      </c>
      <c r="AH29" s="482"/>
    </row>
    <row r="30" spans="1:34" ht="15" customHeight="1">
      <c r="A30" s="470"/>
      <c r="B30" s="75" t="s">
        <v>123</v>
      </c>
      <c r="C30" s="88"/>
      <c r="D30" s="59" t="s">
        <v>124</v>
      </c>
      <c r="E30" s="89"/>
      <c r="F30" s="75">
        <f>VLOOKUP(D30,廠價表!$C$1:$E$43,3,0)</f>
        <v>44.3</v>
      </c>
      <c r="G30" s="90">
        <v>500</v>
      </c>
      <c r="H30" s="91">
        <f t="shared" ref="H30:H31" si="23">F30*G30</f>
        <v>22150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ref="L30:L31" si="24">K30/J30</f>
        <v>96.235294117647058</v>
      </c>
      <c r="M30" s="94">
        <v>17</v>
      </c>
      <c r="N30" s="95">
        <f t="shared" ref="N30:N31" si="25">G30/W30*60</f>
        <v>1111.1111111111086</v>
      </c>
      <c r="O30" s="96">
        <f t="shared" ref="O30:O31" si="26">N30/M30</f>
        <v>65.35947712418286</v>
      </c>
      <c r="P30" s="97">
        <f t="shared" ref="P30:P31" si="27">M30-J30</f>
        <v>0</v>
      </c>
      <c r="Q30" s="98">
        <f t="shared" ref="Q30:Q31" si="28">O30-L30</f>
        <v>-30.875816993464198</v>
      </c>
      <c r="R30" s="99">
        <f t="shared" ref="R30:R31" si="29">O30/L30</f>
        <v>0.67916327085031092</v>
      </c>
      <c r="S30" s="473"/>
      <c r="T30" s="19">
        <v>0.59930555555555598</v>
      </c>
      <c r="U30" s="19">
        <v>0.61805555555555602</v>
      </c>
      <c r="V30" s="92">
        <f>(T30-U29)*24*60</f>
        <v>8.0000000000006111</v>
      </c>
      <c r="W30" s="149">
        <f t="shared" si="12"/>
        <v>27.000000000000064</v>
      </c>
      <c r="X30" s="174"/>
      <c r="Y30" s="301"/>
      <c r="Z30" s="335"/>
      <c r="AA30" s="335"/>
      <c r="AB30" s="466" t="s">
        <v>140</v>
      </c>
      <c r="AC30" s="466"/>
      <c r="AD30" s="92"/>
      <c r="AE30" s="92"/>
      <c r="AF30" s="312">
        <f t="shared" si="21"/>
        <v>-524.88888888889142</v>
      </c>
      <c r="AG30" s="99">
        <f t="shared" si="22"/>
        <v>0.67916327085031092</v>
      </c>
      <c r="AH30" s="483"/>
    </row>
    <row r="31" spans="1:34" ht="15" customHeight="1">
      <c r="A31" s="470"/>
      <c r="B31" s="75" t="s">
        <v>81</v>
      </c>
      <c r="C31" s="88"/>
      <c r="D31" s="59" t="s">
        <v>119</v>
      </c>
      <c r="E31" s="89"/>
      <c r="F31" s="75">
        <f>VLOOKUP(D31,廠價表!$C$1:$E$43,3,0)</f>
        <v>50.67</v>
      </c>
      <c r="G31" s="90">
        <v>982</v>
      </c>
      <c r="H31" s="91">
        <f t="shared" si="23"/>
        <v>49757.94</v>
      </c>
      <c r="I31" s="92"/>
      <c r="J31" s="79">
        <f>VLOOKUP(D31,產線配置圖!$A$3:$C$40,2,0)</f>
        <v>13</v>
      </c>
      <c r="K31" s="80">
        <f>VLOOKUP(D31,產線配置圖!$A$3:$C$40,3,0)</f>
        <v>1440</v>
      </c>
      <c r="L31" s="93">
        <f t="shared" si="24"/>
        <v>110.76923076923077</v>
      </c>
      <c r="M31" s="94">
        <v>13</v>
      </c>
      <c r="N31" s="95">
        <f t="shared" si="25"/>
        <v>1015.8620689655377</v>
      </c>
      <c r="O31" s="96">
        <f t="shared" si="26"/>
        <v>78.143236074272124</v>
      </c>
      <c r="P31" s="97">
        <f t="shared" si="27"/>
        <v>0</v>
      </c>
      <c r="Q31" s="98">
        <f t="shared" si="28"/>
        <v>-32.625994694958649</v>
      </c>
      <c r="R31" s="99">
        <f t="shared" si="29"/>
        <v>0.70545977011495664</v>
      </c>
      <c r="S31" s="473"/>
      <c r="T31" s="19">
        <v>0.624305555555556</v>
      </c>
      <c r="U31" s="19">
        <v>0.66458333333333297</v>
      </c>
      <c r="V31" s="92">
        <f>(T31-U30)*24*60</f>
        <v>8.999999999999968</v>
      </c>
      <c r="W31" s="149">
        <f t="shared" si="12"/>
        <v>57.999999999998835</v>
      </c>
      <c r="X31" s="174"/>
      <c r="Y31" s="301"/>
      <c r="Z31" s="335"/>
      <c r="AA31" s="335"/>
      <c r="AB31" s="466" t="s">
        <v>125</v>
      </c>
      <c r="AC31" s="466"/>
      <c r="AD31" s="92"/>
      <c r="AE31" s="92"/>
      <c r="AF31" s="312">
        <f t="shared" si="21"/>
        <v>-424.13793103446233</v>
      </c>
      <c r="AG31" s="99">
        <f t="shared" si="22"/>
        <v>0.70545977011495675</v>
      </c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9"/>
      <c r="U32" s="19"/>
      <c r="V32" s="92"/>
      <c r="W32" s="149">
        <f t="shared" si="12"/>
        <v>0</v>
      </c>
      <c r="X32" s="174"/>
      <c r="Y32" s="301"/>
      <c r="Z32" s="335"/>
      <c r="AA32" s="335"/>
      <c r="AB32" s="466"/>
      <c r="AC32" s="466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9"/>
      <c r="U33" s="19"/>
      <c r="V33" s="92"/>
      <c r="W33" s="149">
        <f t="shared" si="12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466"/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>
        <f t="shared" ref="J37:O37" si="30">AVERAGE(J27:J36)</f>
        <v>15.8</v>
      </c>
      <c r="K37" s="155">
        <f t="shared" si="30"/>
        <v>1559.4</v>
      </c>
      <c r="L37" s="158">
        <f t="shared" si="30"/>
        <v>100.21667063586568</v>
      </c>
      <c r="M37" s="155">
        <f t="shared" si="30"/>
        <v>15.8</v>
      </c>
      <c r="N37" s="155">
        <f t="shared" si="30"/>
        <v>1232.7274983933662</v>
      </c>
      <c r="O37" s="158">
        <f t="shared" si="30"/>
        <v>78.987765425821891</v>
      </c>
      <c r="P37" s="159">
        <f>M37-J37</f>
        <v>0</v>
      </c>
      <c r="Q37" s="160">
        <f>N37-K37</f>
        <v>-326.67250160663389</v>
      </c>
      <c r="R37" s="161">
        <f>O37/L37</f>
        <v>0.78816992147765119</v>
      </c>
      <c r="S37" s="474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7"/>
      <c r="AC37" s="477"/>
      <c r="AD37" s="324">
        <f>SUM(AD27:AD36)</f>
        <v>0</v>
      </c>
      <c r="AE37" s="324">
        <f>SUM(AE27:AE36)</f>
        <v>0</v>
      </c>
      <c r="AF37" s="309">
        <f>N37-K37</f>
        <v>-326.67250160663389</v>
      </c>
      <c r="AG37" s="124">
        <f>N37/K37</f>
        <v>0.7905139787055061</v>
      </c>
      <c r="AH37" s="464"/>
    </row>
    <row r="38" spans="1:34" ht="15" customHeight="1">
      <c r="A38" s="491" t="s">
        <v>48</v>
      </c>
      <c r="B38" s="167" t="s">
        <v>123</v>
      </c>
      <c r="C38" s="129"/>
      <c r="D38" s="184" t="s">
        <v>126</v>
      </c>
      <c r="E38" s="363"/>
      <c r="F38" s="39">
        <f>VLOOKUP(D38,廠價表!$C$1:$E$43,3,0)</f>
        <v>49.91</v>
      </c>
      <c r="G38" s="186">
        <v>3238</v>
      </c>
      <c r="H38" s="134">
        <f>F38*G38</f>
        <v>161608.57999999999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1050.1621621621553</v>
      </c>
      <c r="O38" s="141">
        <f>N38/M38</f>
        <v>70.010810810810355</v>
      </c>
      <c r="P38" s="142">
        <f>M38-J38</f>
        <v>0</v>
      </c>
      <c r="Q38" s="143">
        <f>O38-L38</f>
        <v>-44.255855855856311</v>
      </c>
      <c r="R38" s="144">
        <f>O38/L38</f>
        <v>0.61269671071304277</v>
      </c>
      <c r="S38" s="494">
        <f>R48</f>
        <v>0.75572443512469145</v>
      </c>
      <c r="T38" s="191">
        <v>0.33333333333333298</v>
      </c>
      <c r="U38" s="191">
        <v>0.46180555555555602</v>
      </c>
      <c r="V38" s="192"/>
      <c r="W38" s="193">
        <f t="shared" si="12"/>
        <v>185.00000000000119</v>
      </c>
      <c r="X38" s="194"/>
      <c r="Y38" s="302"/>
      <c r="Z38" s="336">
        <v>1</v>
      </c>
      <c r="AA38" s="336">
        <v>55</v>
      </c>
      <c r="AB38" s="496" t="s">
        <v>141</v>
      </c>
      <c r="AC38" s="496"/>
      <c r="AD38" s="192"/>
      <c r="AE38" s="192"/>
      <c r="AF38" s="313">
        <f>N38-K38</f>
        <v>-663.83783783784475</v>
      </c>
      <c r="AG38" s="195">
        <f>N38/K38</f>
        <v>0.61269671071304277</v>
      </c>
      <c r="AH38" s="484">
        <f>AG48</f>
        <v>0.76228011154243625</v>
      </c>
    </row>
    <row r="39" spans="1:34" ht="15" customHeight="1">
      <c r="A39" s="492"/>
      <c r="B39" s="75" t="s">
        <v>123</v>
      </c>
      <c r="C39" s="207"/>
      <c r="D39" s="198" t="s">
        <v>124</v>
      </c>
      <c r="E39" s="178"/>
      <c r="F39" s="75">
        <f>VLOOKUP(D39,廠價表!$C$1:$E$43,3,0)</f>
        <v>44.3</v>
      </c>
      <c r="G39" s="199">
        <v>1921</v>
      </c>
      <c r="H39" s="91">
        <f>F39*G39</f>
        <v>85100.299999999988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1355.9999999999945</v>
      </c>
      <c r="O39" s="203">
        <f>N39/M39</f>
        <v>79.764705882352615</v>
      </c>
      <c r="P39" s="97">
        <f>M39-J39</f>
        <v>0</v>
      </c>
      <c r="Q39" s="98">
        <f>O39-L39</f>
        <v>-16.470588235294443</v>
      </c>
      <c r="R39" s="99">
        <f>O39/L39</f>
        <v>0.82885085574571793</v>
      </c>
      <c r="S39" s="495"/>
      <c r="T39" s="20">
        <v>0.46875</v>
      </c>
      <c r="U39" s="20">
        <v>0.52777777777777801</v>
      </c>
      <c r="V39" s="92">
        <f>(T39-U38)*24*60</f>
        <v>9.999999999999325</v>
      </c>
      <c r="W39" s="205">
        <f t="shared" si="12"/>
        <v>85.000000000000341</v>
      </c>
      <c r="X39" s="22">
        <v>0.53125</v>
      </c>
      <c r="Y39" s="84">
        <v>0.53819444444444398</v>
      </c>
      <c r="Z39" s="90"/>
      <c r="AA39" s="90"/>
      <c r="AB39" s="487"/>
      <c r="AC39" s="487"/>
      <c r="AD39" s="200"/>
      <c r="AE39" s="200"/>
      <c r="AF39" s="314">
        <f>N39-K39</f>
        <v>-280.00000000000546</v>
      </c>
      <c r="AG39" s="206">
        <f>N39/K39</f>
        <v>0.82885085574571793</v>
      </c>
      <c r="AH39" s="485"/>
    </row>
    <row r="40" spans="1:34" ht="15" customHeight="1">
      <c r="A40" s="492"/>
      <c r="B40" s="75" t="s">
        <v>123</v>
      </c>
      <c r="C40" s="207"/>
      <c r="D40" s="198" t="s">
        <v>124</v>
      </c>
      <c r="E40" s="178"/>
      <c r="F40" s="75">
        <f>VLOOKUP(D40,廠價表!$C$1:$E$43,3,0)</f>
        <v>44.3</v>
      </c>
      <c r="G40" s="199">
        <v>4021</v>
      </c>
      <c r="H40" s="91">
        <f>F40*G40</f>
        <v>178130.3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1394.566473988438</v>
      </c>
      <c r="O40" s="203">
        <f>N40/M40</f>
        <v>82.033321999319881</v>
      </c>
      <c r="P40" s="97">
        <f>M40-J40</f>
        <v>0</v>
      </c>
      <c r="Q40" s="98">
        <f>O40-L40</f>
        <v>-14.201972118327177</v>
      </c>
      <c r="R40" s="99">
        <f>O40/L40</f>
        <v>0.85242449510295726</v>
      </c>
      <c r="S40" s="417"/>
      <c r="T40" s="20">
        <v>0.57777777777777795</v>
      </c>
      <c r="U40" s="210">
        <v>0.69791666666666696</v>
      </c>
      <c r="V40" s="92">
        <f>(T40-U39)*24*60</f>
        <v>71.999999999999901</v>
      </c>
      <c r="W40" s="205">
        <f t="shared" si="12"/>
        <v>173.00000000000017</v>
      </c>
      <c r="X40" s="208"/>
      <c r="Y40" s="209"/>
      <c r="Z40" s="337"/>
      <c r="AA40" s="337"/>
      <c r="AB40" s="466"/>
      <c r="AC40" s="466"/>
      <c r="AD40" s="92"/>
      <c r="AE40" s="92"/>
      <c r="AF40" s="314">
        <f>N40-K40</f>
        <v>-241.43352601156198</v>
      </c>
      <c r="AG40" s="206">
        <f>N40/K40</f>
        <v>0.85242449510295726</v>
      </c>
      <c r="AH40" s="485"/>
    </row>
    <row r="41" spans="1:34" ht="15" customHeight="1">
      <c r="A41" s="492"/>
      <c r="B41" s="75"/>
      <c r="C41" s="86"/>
      <c r="D41" s="198"/>
      <c r="E41" s="87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7"/>
      <c r="T41" s="210"/>
      <c r="U41" s="210"/>
      <c r="V41" s="92"/>
      <c r="W41" s="205">
        <f t="shared" si="12"/>
        <v>0</v>
      </c>
      <c r="X41" s="208"/>
      <c r="Y41" s="209"/>
      <c r="Z41" s="337"/>
      <c r="AA41" s="337"/>
      <c r="AB41" s="466"/>
      <c r="AC41" s="466"/>
      <c r="AD41" s="92"/>
      <c r="AE41" s="92"/>
      <c r="AF41" s="314">
        <f>N41-K41</f>
        <v>0</v>
      </c>
      <c r="AG41" s="206" t="e">
        <f>N41/K41</f>
        <v>#DIV/0!</v>
      </c>
      <c r="AH41" s="485"/>
    </row>
    <row r="42" spans="1:34" ht="15" customHeight="1">
      <c r="A42" s="49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7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466"/>
      <c r="AC42" s="466"/>
      <c r="AD42" s="92"/>
      <c r="AE42" s="92"/>
      <c r="AF42" s="314"/>
      <c r="AG42" s="206"/>
      <c r="AH42" s="485"/>
    </row>
    <row r="43" spans="1:34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>
        <f t="shared" ref="J48:O48" si="31">AVERAGE(J38:J47)</f>
        <v>16.333333333333332</v>
      </c>
      <c r="K48" s="155">
        <f t="shared" si="31"/>
        <v>1662</v>
      </c>
      <c r="L48" s="158">
        <f t="shared" si="31"/>
        <v>102.24575163398693</v>
      </c>
      <c r="M48" s="155">
        <f t="shared" si="31"/>
        <v>16.333333333333332</v>
      </c>
      <c r="N48" s="155">
        <f t="shared" si="31"/>
        <v>1266.9095453835291</v>
      </c>
      <c r="O48" s="158">
        <f t="shared" si="31"/>
        <v>77.26961289749427</v>
      </c>
      <c r="P48" s="221">
        <f>M48-J48</f>
        <v>0</v>
      </c>
      <c r="Q48" s="222">
        <f>N48-K48</f>
        <v>-395.09045461647088</v>
      </c>
      <c r="R48" s="223">
        <f t="shared" ref="R48:R53" si="32">O48/L48</f>
        <v>0.75572443512469145</v>
      </c>
      <c r="S48" s="420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1</v>
      </c>
      <c r="AA48" s="334">
        <f>SUM(AA38:AA47)</f>
        <v>55</v>
      </c>
      <c r="AB48" s="467"/>
      <c r="AC48" s="467"/>
      <c r="AD48" s="323">
        <f>SUM(AD38:AD47)</f>
        <v>0</v>
      </c>
      <c r="AE48" s="323">
        <f>SUM(AE38:AE47)</f>
        <v>0</v>
      </c>
      <c r="AF48" s="315">
        <f t="shared" ref="AF48:AF53" si="33">N48-K48</f>
        <v>-395.09045461647088</v>
      </c>
      <c r="AG48" s="162">
        <f t="shared" ref="AG48:AG53" si="34">N48/K48</f>
        <v>0.76228011154243625</v>
      </c>
      <c r="AH48" s="486"/>
    </row>
    <row r="49" spans="1:34" ht="15" customHeight="1">
      <c r="A49" s="488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2238</v>
      </c>
      <c r="H49" s="134">
        <f>F49*G49</f>
        <v>110825.76000000001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1413.4736842105315</v>
      </c>
      <c r="O49" s="141">
        <f>N49/M49</f>
        <v>83.145510835913612</v>
      </c>
      <c r="P49" s="229">
        <f>M49-J49</f>
        <v>0</v>
      </c>
      <c r="Q49" s="230">
        <f>O49-L49</f>
        <v>-5.0897832817334461</v>
      </c>
      <c r="R49" s="52">
        <f t="shared" si="32"/>
        <v>0.94231578947368766</v>
      </c>
      <c r="S49" s="416">
        <f>R58</f>
        <v>0.93083803189840453</v>
      </c>
      <c r="T49" s="191">
        <v>0.29166666666666702</v>
      </c>
      <c r="U49" s="191">
        <v>0.35763888888888901</v>
      </c>
      <c r="V49" s="55"/>
      <c r="W49" s="193">
        <f t="shared" si="12"/>
        <v>94.999999999999659</v>
      </c>
      <c r="X49" s="55"/>
      <c r="Y49" s="290"/>
      <c r="Z49" s="169"/>
      <c r="AA49" s="169"/>
      <c r="AB49" s="468"/>
      <c r="AC49" s="468"/>
      <c r="AD49" s="135"/>
      <c r="AE49" s="135"/>
      <c r="AF49" s="229">
        <f t="shared" si="33"/>
        <v>-86.526315789468526</v>
      </c>
      <c r="AG49" s="52">
        <f t="shared" si="34"/>
        <v>0.94231578947368766</v>
      </c>
      <c r="AH49" s="461">
        <f>AG58</f>
        <v>0.93076941008823133</v>
      </c>
    </row>
    <row r="50" spans="1:34" ht="15" customHeight="1">
      <c r="A50" s="489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2204</v>
      </c>
      <c r="H50" s="231">
        <f>F50*G50</f>
        <v>110133.88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1695.3846153846041</v>
      </c>
      <c r="O50" s="235">
        <f>N50/M50</f>
        <v>105.96153846153776</v>
      </c>
      <c r="P50" s="74">
        <f>M50-J50</f>
        <v>0</v>
      </c>
      <c r="Q50" s="83">
        <f>O50-L50</f>
        <v>-6.5384615384622435</v>
      </c>
      <c r="R50" s="72">
        <f t="shared" si="32"/>
        <v>0.94188034188033565</v>
      </c>
      <c r="S50" s="417"/>
      <c r="T50" s="21">
        <v>0.36249999999999999</v>
      </c>
      <c r="U50" s="21">
        <v>0.41666666666666702</v>
      </c>
      <c r="V50" s="30">
        <f>(T50-U49)*24*60</f>
        <v>6.9999999999998153</v>
      </c>
      <c r="W50" s="236">
        <f t="shared" si="12"/>
        <v>78.000000000000526</v>
      </c>
      <c r="X50" s="22"/>
      <c r="Y50" s="84"/>
      <c r="Z50" s="90"/>
      <c r="AA50" s="90"/>
      <c r="AB50" s="466"/>
      <c r="AC50" s="466"/>
      <c r="AD50" s="92"/>
      <c r="AE50" s="92"/>
      <c r="AF50" s="307">
        <f t="shared" si="33"/>
        <v>-104.6153846153959</v>
      </c>
      <c r="AG50" s="72">
        <f t="shared" si="34"/>
        <v>0.94188034188033565</v>
      </c>
      <c r="AH50" s="462"/>
    </row>
    <row r="51" spans="1:34" ht="15" customHeight="1">
      <c r="A51" s="489"/>
      <c r="B51" s="75" t="s">
        <v>81</v>
      </c>
      <c r="C51" s="76"/>
      <c r="D51" s="59" t="s">
        <v>128</v>
      </c>
      <c r="E51" s="77"/>
      <c r="F51" s="75">
        <f>VLOOKUP(D51,廠價表!$C$1:$E$43,3,0)</f>
        <v>57.21</v>
      </c>
      <c r="G51" s="202">
        <v>1401</v>
      </c>
      <c r="H51" s="231">
        <f>F51*G51</f>
        <v>80151.210000000006</v>
      </c>
      <c r="I51" s="232"/>
      <c r="J51" s="79">
        <f>VLOOKUP(D51,產線配置圖!$A$3:$C$40,2,0)</f>
        <v>17</v>
      </c>
      <c r="K51" s="80">
        <f>VLOOKUP(D51,產線配置圖!$A$3:$C$40,3,0)</f>
        <v>1716</v>
      </c>
      <c r="L51" s="81">
        <f>K51/J51</f>
        <v>100.94117647058823</v>
      </c>
      <c r="M51" s="233">
        <v>17</v>
      </c>
      <c r="N51" s="234">
        <f>G51/W51*60</f>
        <v>1586.0377358490812</v>
      </c>
      <c r="O51" s="235">
        <f>N51/M51</f>
        <v>93.296337402887133</v>
      </c>
      <c r="P51" s="74">
        <f>M51-J51</f>
        <v>0</v>
      </c>
      <c r="Q51" s="83">
        <f>O51-L51</f>
        <v>-7.6448390677010991</v>
      </c>
      <c r="R51" s="72">
        <f t="shared" si="32"/>
        <v>0.92426441483046695</v>
      </c>
      <c r="S51" s="417"/>
      <c r="T51" s="21">
        <v>0.421527777777778</v>
      </c>
      <c r="U51" s="19">
        <v>0.45833333333333298</v>
      </c>
      <c r="V51" s="30">
        <f>(T51-U50)*24*60</f>
        <v>6.9999999999998153</v>
      </c>
      <c r="W51" s="236">
        <f t="shared" si="12"/>
        <v>52.999999999999176</v>
      </c>
      <c r="X51" s="22">
        <v>0.46527777777777801</v>
      </c>
      <c r="Y51" s="84">
        <v>0.51736111111111105</v>
      </c>
      <c r="Z51" s="90"/>
      <c r="AA51" s="90"/>
      <c r="AB51" s="466"/>
      <c r="AC51" s="466"/>
      <c r="AD51" s="92"/>
      <c r="AE51" s="92"/>
      <c r="AF51" s="307">
        <f t="shared" si="33"/>
        <v>-129.96226415091883</v>
      </c>
      <c r="AG51" s="72">
        <f t="shared" si="34"/>
        <v>0.92426441483046684</v>
      </c>
      <c r="AH51" s="462"/>
    </row>
    <row r="52" spans="1:34" ht="15" customHeight="1">
      <c r="A52" s="489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4551</v>
      </c>
      <c r="H52" s="231">
        <f>F52*G52</f>
        <v>227413.47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1665.0000000000141</v>
      </c>
      <c r="O52" s="235">
        <f>N52/M52</f>
        <v>104.06250000000088</v>
      </c>
      <c r="P52" s="74">
        <f>M52-J52</f>
        <v>0</v>
      </c>
      <c r="Q52" s="83">
        <f>O52-L52</f>
        <v>-8.4374999999991189</v>
      </c>
      <c r="R52" s="72">
        <f t="shared" si="32"/>
        <v>0.92500000000000782</v>
      </c>
      <c r="S52" s="417"/>
      <c r="T52" s="21">
        <v>0.51805555555555605</v>
      </c>
      <c r="U52" s="21">
        <v>0.63194444444444398</v>
      </c>
      <c r="V52" s="30">
        <f>(T52-U51)*24*60</f>
        <v>86.000000000001208</v>
      </c>
      <c r="W52" s="236">
        <f t="shared" si="12"/>
        <v>163.99999999999861</v>
      </c>
      <c r="X52" s="22"/>
      <c r="Y52" s="84"/>
      <c r="Z52" s="90"/>
      <c r="AA52" s="90"/>
      <c r="AB52" s="466"/>
      <c r="AC52" s="466"/>
      <c r="AD52" s="92"/>
      <c r="AE52" s="92"/>
      <c r="AF52" s="307">
        <f t="shared" si="33"/>
        <v>-134.9999999999859</v>
      </c>
      <c r="AG52" s="72">
        <f t="shared" si="34"/>
        <v>0.92500000000000782</v>
      </c>
      <c r="AH52" s="462"/>
    </row>
    <row r="53" spans="1:34" ht="15" customHeight="1">
      <c r="A53" s="489"/>
      <c r="B53" s="101" t="s">
        <v>81</v>
      </c>
      <c r="C53" s="102"/>
      <c r="D53" s="103" t="s">
        <v>113</v>
      </c>
      <c r="E53" s="104"/>
      <c r="F53" s="75">
        <f>VLOOKUP(D53,廠價表!$C$1:$E$43,3,0)</f>
        <v>56.87</v>
      </c>
      <c r="G53" s="202">
        <v>1107</v>
      </c>
      <c r="H53" s="231">
        <f>F53*G53</f>
        <v>62955.09</v>
      </c>
      <c r="I53" s="232"/>
      <c r="J53" s="79">
        <v>17</v>
      </c>
      <c r="K53" s="80">
        <v>1716</v>
      </c>
      <c r="L53" s="81">
        <f>K53/J53</f>
        <v>100.94117647058823</v>
      </c>
      <c r="M53" s="108">
        <v>17</v>
      </c>
      <c r="N53" s="234">
        <f>G53/W53*60</f>
        <v>1581.4285714285591</v>
      </c>
      <c r="O53" s="235">
        <f>N53/M53</f>
        <v>93.025210084032892</v>
      </c>
      <c r="P53" s="74">
        <f>M53-J53</f>
        <v>0</v>
      </c>
      <c r="Q53" s="83">
        <f>O53-L53</f>
        <v>-7.9159663865553398</v>
      </c>
      <c r="R53" s="72">
        <f t="shared" si="32"/>
        <v>0.92157842157841441</v>
      </c>
      <c r="S53" s="417"/>
      <c r="T53" s="21">
        <v>0.64097222222222205</v>
      </c>
      <c r="U53" s="21">
        <v>0.67013888888888895</v>
      </c>
      <c r="V53" s="30">
        <f>(T53-U52)*24*60</f>
        <v>13.000000000000433</v>
      </c>
      <c r="W53" s="236">
        <f t="shared" si="12"/>
        <v>42.000000000000327</v>
      </c>
      <c r="X53" s="30"/>
      <c r="Y53" s="151"/>
      <c r="Z53" s="90"/>
      <c r="AA53" s="90"/>
      <c r="AB53" s="466"/>
      <c r="AC53" s="466"/>
      <c r="AD53" s="92"/>
      <c r="AE53" s="92"/>
      <c r="AF53" s="307">
        <f t="shared" si="33"/>
        <v>-134.57142857144095</v>
      </c>
      <c r="AG53" s="72">
        <f t="shared" si="34"/>
        <v>0.92157842157841441</v>
      </c>
      <c r="AH53" s="462"/>
    </row>
    <row r="54" spans="1:34" ht="15" customHeight="1">
      <c r="A54" s="48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7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>
      <c r="A58" s="490"/>
      <c r="B58" s="239"/>
      <c r="C58" s="153" t="s">
        <v>51</v>
      </c>
      <c r="D58" s="437" t="s">
        <v>42</v>
      </c>
      <c r="E58" s="437"/>
      <c r="F58" s="116"/>
      <c r="G58" s="240"/>
      <c r="H58" s="118"/>
      <c r="I58" s="117"/>
      <c r="J58" s="120">
        <f t="shared" ref="J58:O58" si="35">AVERAGE(J49:J57)</f>
        <v>16.600000000000001</v>
      </c>
      <c r="K58" s="120">
        <f t="shared" si="35"/>
        <v>1706.4</v>
      </c>
      <c r="L58" s="117">
        <f t="shared" si="35"/>
        <v>103.02352941176471</v>
      </c>
      <c r="M58" s="120">
        <f t="shared" si="35"/>
        <v>16.600000000000001</v>
      </c>
      <c r="N58" s="120">
        <f t="shared" si="35"/>
        <v>1588.2649213745581</v>
      </c>
      <c r="O58" s="117">
        <f t="shared" si="35"/>
        <v>95.898219356874463</v>
      </c>
      <c r="P58" s="121">
        <f>M58-J58</f>
        <v>0</v>
      </c>
      <c r="Q58" s="122">
        <f>N58-K58</f>
        <v>-118.13507862544202</v>
      </c>
      <c r="R58" s="123">
        <f>O58/L58</f>
        <v>0.93083803189840453</v>
      </c>
      <c r="S58" s="42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7"/>
      <c r="AC58" s="467"/>
      <c r="AD58" s="323">
        <f>SUM(AD49:AD57)</f>
        <v>0</v>
      </c>
      <c r="AE58" s="323">
        <f>SUM(AE49:AE57)</f>
        <v>0</v>
      </c>
      <c r="AF58" s="309">
        <f>N58-K58</f>
        <v>-118.13507862544202</v>
      </c>
      <c r="AG58" s="124">
        <f>N58/K58</f>
        <v>0.93076941008823133</v>
      </c>
      <c r="AH58" s="464"/>
    </row>
    <row r="59" spans="1:34" ht="15" customHeight="1">
      <c r="A59" s="502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4559</v>
      </c>
      <c r="H59" s="243">
        <f>F59*G59</f>
        <v>123047.40999999999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14</v>
      </c>
      <c r="N59" s="137">
        <f>G59/W59*60</f>
        <v>1189.3043478260886</v>
      </c>
      <c r="O59" s="138">
        <f>N59/M59</f>
        <v>84.950310559006326</v>
      </c>
      <c r="P59" s="56">
        <f>M59-J59</f>
        <v>-1</v>
      </c>
      <c r="Q59" s="230">
        <f>O59-L59</f>
        <v>-19.383022774327003</v>
      </c>
      <c r="R59" s="52">
        <f>O59/L59</f>
        <v>0.81422022900006064</v>
      </c>
      <c r="S59" s="416">
        <f>R69</f>
        <v>0.85137125226026455</v>
      </c>
      <c r="T59" s="245">
        <v>0.29166666666666702</v>
      </c>
      <c r="U59" s="245">
        <v>0.45138888888888901</v>
      </c>
      <c r="V59" s="55"/>
      <c r="W59" s="54">
        <f t="shared" si="12"/>
        <v>229.99999999999966</v>
      </c>
      <c r="X59" s="55"/>
      <c r="Y59" s="290"/>
      <c r="Z59" s="169"/>
      <c r="AA59" s="169"/>
      <c r="AB59" s="468"/>
      <c r="AC59" s="468"/>
      <c r="AD59" s="135"/>
      <c r="AE59" s="135"/>
      <c r="AF59" s="310">
        <f>N59-K59</f>
        <v>-375.69565217391141</v>
      </c>
      <c r="AG59" s="246">
        <f>N59/K59</f>
        <v>0.75993888040005664</v>
      </c>
      <c r="AH59" s="461">
        <f>AG69</f>
        <v>0.78380330601472425</v>
      </c>
    </row>
    <row r="60" spans="1:34" ht="15" customHeight="1">
      <c r="A60" s="503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1896</v>
      </c>
      <c r="H60" s="78">
        <f>F60*G60</f>
        <v>53580.960000000006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11</v>
      </c>
      <c r="N60" s="80">
        <f>G60/W60*60</f>
        <v>1263.9999999999986</v>
      </c>
      <c r="O60" s="81">
        <f>N60/M60</f>
        <v>114.90909090909078</v>
      </c>
      <c r="P60" s="74">
        <f>M60-J60</f>
        <v>-1</v>
      </c>
      <c r="Q60" s="83">
        <f>O60-L60</f>
        <v>-15.507575757575879</v>
      </c>
      <c r="R60" s="72">
        <f>O60/L60</f>
        <v>0.88109207086842778</v>
      </c>
      <c r="S60" s="506"/>
      <c r="T60" s="22">
        <v>0.45833333333333298</v>
      </c>
      <c r="U60" s="22">
        <v>0.52083333333333304</v>
      </c>
      <c r="V60" s="30">
        <f>(T60-U59)*24*60</f>
        <v>9.999999999999325</v>
      </c>
      <c r="W60" s="248">
        <f t="shared" si="12"/>
        <v>90.000000000000085</v>
      </c>
      <c r="X60" s="232"/>
      <c r="Y60" s="177"/>
      <c r="Z60" s="90"/>
      <c r="AA60" s="90"/>
      <c r="AB60" s="466"/>
      <c r="AC60" s="466"/>
      <c r="AD60" s="92"/>
      <c r="AE60" s="92"/>
      <c r="AF60" s="316">
        <f>N60-K60</f>
        <v>-301.00000000000136</v>
      </c>
      <c r="AG60" s="249">
        <f>N60/K60</f>
        <v>0.80766773162939209</v>
      </c>
      <c r="AH60" s="497"/>
    </row>
    <row r="61" spans="1:34" ht="15" customHeight="1">
      <c r="A61" s="504"/>
      <c r="B61" s="250"/>
      <c r="C61" s="251"/>
      <c r="D61" s="252"/>
      <c r="E61" s="253"/>
      <c r="F61" s="250"/>
      <c r="G61" s="38"/>
      <c r="H61" s="254"/>
      <c r="I61" s="182"/>
      <c r="J61" s="106"/>
      <c r="K61" s="107"/>
      <c r="L61" s="238"/>
      <c r="M61" s="108"/>
      <c r="N61" s="107"/>
      <c r="O61" s="238"/>
      <c r="P61" s="111"/>
      <c r="Q61" s="255"/>
      <c r="R61" s="85"/>
      <c r="S61" s="417"/>
      <c r="T61" s="22"/>
      <c r="U61" s="22"/>
      <c r="V61" s="30"/>
      <c r="W61" s="256">
        <f t="shared" si="12"/>
        <v>0</v>
      </c>
      <c r="X61" s="22"/>
      <c r="Y61" s="84"/>
      <c r="Z61" s="90"/>
      <c r="AA61" s="90"/>
      <c r="AB61" s="466"/>
      <c r="AC61" s="466"/>
      <c r="AD61" s="92"/>
      <c r="AE61" s="92"/>
      <c r="AF61" s="317">
        <f>N61-K61</f>
        <v>0</v>
      </c>
      <c r="AG61" s="247" t="e">
        <f>N61/K61</f>
        <v>#DIV/0!</v>
      </c>
      <c r="AH61" s="462"/>
    </row>
    <row r="62" spans="1:34" ht="15" customHeight="1">
      <c r="A62" s="504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7"/>
      <c r="T62" s="22"/>
      <c r="U62" s="22"/>
      <c r="V62" s="30"/>
      <c r="W62" s="248">
        <f t="shared" si="12"/>
        <v>0</v>
      </c>
      <c r="X62" s="22"/>
      <c r="Y62" s="84"/>
      <c r="Z62" s="90"/>
      <c r="AA62" s="90"/>
      <c r="AB62" s="466"/>
      <c r="AC62" s="466"/>
      <c r="AD62" s="92"/>
      <c r="AE62" s="92"/>
      <c r="AF62" s="317">
        <f>N62-K62</f>
        <v>0</v>
      </c>
      <c r="AG62" s="247" t="e">
        <f>N62/K62</f>
        <v>#DIV/0!</v>
      </c>
      <c r="AH62" s="462"/>
    </row>
    <row r="63" spans="1:34" ht="15" customHeight="1">
      <c r="A63" s="504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7"/>
      <c r="T63" s="22"/>
      <c r="U63" s="22"/>
      <c r="V63" s="30"/>
      <c r="W63" s="248">
        <f t="shared" si="12"/>
        <v>0</v>
      </c>
      <c r="X63" s="261"/>
      <c r="Y63" s="291"/>
      <c r="Z63" s="335"/>
      <c r="AA63" s="335"/>
      <c r="AB63" s="466"/>
      <c r="AC63" s="466"/>
      <c r="AD63" s="92"/>
      <c r="AE63" s="92"/>
      <c r="AF63" s="317"/>
      <c r="AG63" s="247"/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>
        <f t="shared" ref="J69:O69" si="36">AVERAGE(J59:J68)</f>
        <v>13.5</v>
      </c>
      <c r="K69" s="240">
        <f t="shared" si="36"/>
        <v>1565</v>
      </c>
      <c r="L69" s="268">
        <f t="shared" si="36"/>
        <v>117.375</v>
      </c>
      <c r="M69" s="240">
        <f t="shared" si="36"/>
        <v>12.5</v>
      </c>
      <c r="N69" s="240">
        <f t="shared" si="36"/>
        <v>1226.6521739130435</v>
      </c>
      <c r="O69" s="268">
        <f t="shared" si="36"/>
        <v>99.929700734048552</v>
      </c>
      <c r="P69" s="269">
        <f>M69-J69</f>
        <v>-1</v>
      </c>
      <c r="Q69" s="222">
        <f>N69-K69</f>
        <v>-338.3478260869565</v>
      </c>
      <c r="R69" s="123">
        <f>O69/L69</f>
        <v>0.85137125226026455</v>
      </c>
      <c r="S69" s="42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7"/>
      <c r="AC69" s="467"/>
      <c r="AD69" s="323">
        <f>SUM(AD59:AD68)</f>
        <v>0</v>
      </c>
      <c r="AE69" s="323">
        <f>SUM(AE59:AE68)</f>
        <v>0</v>
      </c>
      <c r="AF69" s="309">
        <f>N69-K69</f>
        <v>-338.3478260869565</v>
      </c>
      <c r="AG69" s="124">
        <f>N69/K69</f>
        <v>0.78380330601472425</v>
      </c>
      <c r="AH69" s="464"/>
    </row>
    <row r="70" spans="1:36" ht="15" customHeight="1">
      <c r="A70" s="498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6">
        <f>R79</f>
        <v>0</v>
      </c>
      <c r="T70" s="245"/>
      <c r="U70" s="245"/>
      <c r="V70" s="55"/>
      <c r="W70" s="54">
        <f t="shared" si="12"/>
        <v>0</v>
      </c>
      <c r="X70" s="270"/>
      <c r="Y70" s="292"/>
      <c r="Z70" s="169"/>
      <c r="AA70" s="169"/>
      <c r="AB70" s="468"/>
      <c r="AC70" s="468"/>
      <c r="AD70" s="135"/>
      <c r="AE70" s="135"/>
      <c r="AF70" s="310">
        <f>N70-K70</f>
        <v>0</v>
      </c>
      <c r="AG70" s="246" t="e">
        <f>N70/K70</f>
        <v>#DIV/0!</v>
      </c>
      <c r="AH70" s="461" t="e">
        <f>AG79</f>
        <v>#DIV/0!</v>
      </c>
    </row>
    <row r="71" spans="1:36" ht="15" customHeight="1">
      <c r="A71" s="499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7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487"/>
      <c r="AC71" s="487"/>
      <c r="AD71" s="200"/>
      <c r="AE71" s="200"/>
      <c r="AF71" s="311">
        <v>-300.31249999999704</v>
      </c>
      <c r="AG71" s="99">
        <v>0.80810702875399554</v>
      </c>
      <c r="AH71" s="482"/>
    </row>
    <row r="72" spans="1:36" ht="15" customHeight="1">
      <c r="A72" s="499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7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466"/>
      <c r="AC72" s="466"/>
      <c r="AD72" s="92"/>
      <c r="AE72" s="92"/>
      <c r="AF72" s="311">
        <v>-130.33333333333326</v>
      </c>
      <c r="AG72" s="99">
        <v>0.91671991480298198</v>
      </c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466"/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>
      <c r="A79" s="500"/>
      <c r="B79" s="239"/>
      <c r="C79" s="153"/>
      <c r="D79" s="437"/>
      <c r="E79" s="437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P3:P4"/>
    <mergeCell ref="Q3:Q4"/>
    <mergeCell ref="AB11:AC11"/>
    <mergeCell ref="AB12:AC12"/>
    <mergeCell ref="AB13:AC13"/>
    <mergeCell ref="L3:L4"/>
    <mergeCell ref="M3:M4"/>
    <mergeCell ref="A16:A26"/>
    <mergeCell ref="S16:S26"/>
    <mergeCell ref="AB16:AC16"/>
    <mergeCell ref="D26:E26"/>
    <mergeCell ref="AB26:AC26"/>
    <mergeCell ref="H3:H4"/>
    <mergeCell ref="I3:I4"/>
    <mergeCell ref="AB14:AC14"/>
    <mergeCell ref="W3:W4"/>
    <mergeCell ref="X3:Y3"/>
    <mergeCell ref="Z3:AA3"/>
    <mergeCell ref="AB3:AC4"/>
    <mergeCell ref="N3:N4"/>
    <mergeCell ref="O3:O4"/>
    <mergeCell ref="G3:G4"/>
    <mergeCell ref="A2:B2"/>
    <mergeCell ref="A3:A4"/>
    <mergeCell ref="B3:B4"/>
    <mergeCell ref="D3:E4"/>
    <mergeCell ref="F3:F4"/>
    <mergeCell ref="AH5:AH15"/>
    <mergeCell ref="AB6:AC6"/>
    <mergeCell ref="AB7:AC7"/>
    <mergeCell ref="A5:A15"/>
    <mergeCell ref="S5:S15"/>
    <mergeCell ref="AB5:AC5"/>
    <mergeCell ref="D15:E15"/>
    <mergeCell ref="AB15:AC15"/>
    <mergeCell ref="AB8:AC8"/>
    <mergeCell ref="AB9:AC9"/>
    <mergeCell ref="AB10:AC10"/>
    <mergeCell ref="AG3:AG4"/>
    <mergeCell ref="AH3:AH4"/>
    <mergeCell ref="S3:S4"/>
    <mergeCell ref="J1:L2"/>
    <mergeCell ref="M1:O2"/>
    <mergeCell ref="AD3:AE3"/>
    <mergeCell ref="AF3:AF4"/>
    <mergeCell ref="T3:U3"/>
    <mergeCell ref="V3:V4"/>
    <mergeCell ref="R3:R4"/>
    <mergeCell ref="P1:S2"/>
    <mergeCell ref="T1:Y2"/>
    <mergeCell ref="AB1:AC2"/>
    <mergeCell ref="AF1:AH2"/>
    <mergeCell ref="J3:J4"/>
    <mergeCell ref="K3:K4"/>
  </mergeCells>
  <phoneticPr fontId="0" type="noConversion"/>
  <conditionalFormatting sqref="P5:P79">
    <cfRule type="cellIs" dxfId="324" priority="1" operator="greaterThan">
      <formula>0</formula>
    </cfRule>
  </conditionalFormatting>
  <conditionalFormatting sqref="Q5:Q79 AF5:AF79">
    <cfRule type="cellIs" dxfId="323" priority="4" operator="lessThan">
      <formula>0</formula>
    </cfRule>
  </conditionalFormatting>
  <conditionalFormatting sqref="R5:R79 AG5:AG79">
    <cfRule type="cellIs" dxfId="322" priority="2" operator="greaterThan">
      <formula>1</formula>
    </cfRule>
    <cfRule type="cellIs" dxfId="321" priority="3" operator="lessThan">
      <formula>0.8</formula>
    </cfRule>
  </conditionalFormatting>
  <conditionalFormatting sqref="S5:S10 S37:S62 AH59:AH62 S69:S76 AH69:AH76">
    <cfRule type="cellIs" dxfId="320" priority="7" operator="lessThan">
      <formula>0.8</formula>
    </cfRule>
  </conditionalFormatting>
  <conditionalFormatting sqref="S19:S25 AH19:AH25">
    <cfRule type="cellIs" dxfId="319" priority="6" operator="lessThan">
      <formula>0.8</formula>
    </cfRule>
  </conditionalFormatting>
  <conditionalFormatting sqref="S79">
    <cfRule type="cellIs" dxfId="318" priority="5" operator="lessThan">
      <formula>0.8</formula>
    </cfRule>
  </conditionalFormatting>
  <conditionalFormatting sqref="AH5:AH8 S15:S16 AH15:AH16 AH49 AH79">
    <cfRule type="cellIs" dxfId="317" priority="9" operator="lessThan">
      <formula>0.8</formula>
    </cfRule>
  </conditionalFormatting>
  <conditionalFormatting sqref="AH27 S27:S28">
    <cfRule type="cellIs" dxfId="316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597C9D1-7EE0-4881-866E-DA06C4DB4A33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134D5-CB22-46BD-9350-92035191909B}">
  <dimension ref="B1:O26"/>
  <sheetViews>
    <sheetView zoomScale="70" zoomScaleNormal="70" workbookViewId="0">
      <selection activeCell="J19" sqref="J19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46146</v>
      </c>
      <c r="E3" s="412"/>
      <c r="F3" s="3" t="s">
        <v>72</v>
      </c>
      <c r="G3" s="413">
        <f>'0504'!E1</f>
        <v>60075</v>
      </c>
      <c r="H3" s="413"/>
      <c r="I3" s="3" t="s">
        <v>2</v>
      </c>
      <c r="J3" s="414">
        <f>'0504'!G1</f>
        <v>2760895.8909999998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>
        <f>AVERAGE(D13:I13)</f>
        <v>124.77126465295969</v>
      </c>
      <c r="G6" s="410"/>
      <c r="H6" s="395">
        <f>AVERAGE(D13:H13)</f>
        <v>126.25051758355161</v>
      </c>
      <c r="I6" s="395"/>
      <c r="J6" s="395">
        <f>AVERAGE(I13)</f>
        <v>117.375</v>
      </c>
      <c r="K6" s="395"/>
      <c r="L6" s="396">
        <f>SUM(D18:J18)</f>
        <v>1</v>
      </c>
      <c r="M6" s="398">
        <f>SUM(D19:J19)</f>
        <v>10</v>
      </c>
      <c r="N6" s="399">
        <f>SUM(D20:J20)</f>
        <v>0</v>
      </c>
      <c r="O6" s="398">
        <f>SUM(D20:J20)</f>
        <v>0</v>
      </c>
    </row>
    <row r="7" spans="2:15" ht="39.6" customHeight="1">
      <c r="B7" s="406"/>
      <c r="C7" s="406"/>
      <c r="D7" s="401" t="s">
        <v>87</v>
      </c>
      <c r="E7" s="401"/>
      <c r="F7" s="402">
        <f>AVERAGE(D14:I14)</f>
        <v>109.39692489053455</v>
      </c>
      <c r="G7" s="402"/>
      <c r="H7" s="403">
        <f>AVERAGE(D14:H14)</f>
        <v>110.855764414096</v>
      </c>
      <c r="I7" s="403"/>
      <c r="J7" s="403">
        <f>AVERAGE(I14)</f>
        <v>102.10272727272724</v>
      </c>
      <c r="K7" s="403"/>
      <c r="L7" s="397" t="e">
        <f t="shared" ref="L7:O8" si="0">AVERAGE(K14:L14)</f>
        <v>#DIV/0!</v>
      </c>
      <c r="M7" s="398" t="e">
        <f t="shared" si="0"/>
        <v>#DIV/0!</v>
      </c>
      <c r="N7" s="400" t="e">
        <f t="shared" si="0"/>
        <v>#DIV/0!</v>
      </c>
      <c r="O7" s="398" t="e">
        <f t="shared" si="0"/>
        <v>#DIV/0!</v>
      </c>
    </row>
    <row r="8" spans="2:15" ht="39.6" customHeight="1">
      <c r="B8" s="406"/>
      <c r="C8" s="406"/>
      <c r="D8" s="401" t="s">
        <v>27</v>
      </c>
      <c r="E8" s="401"/>
      <c r="F8" s="387">
        <f>F7/F6</f>
        <v>0.87677980338511829</v>
      </c>
      <c r="G8" s="387"/>
      <c r="H8" s="387">
        <f>H7/H6</f>
        <v>0.87806186094035232</v>
      </c>
      <c r="I8" s="387"/>
      <c r="J8" s="387">
        <f>J7/J6</f>
        <v>0.86988479039597222</v>
      </c>
      <c r="K8" s="387"/>
      <c r="L8" s="397" t="e">
        <f t="shared" si="0"/>
        <v>#DIV/0!</v>
      </c>
      <c r="M8" s="398" t="e">
        <f t="shared" si="0"/>
        <v>#DIV/0!</v>
      </c>
      <c r="N8" s="400" t="e">
        <f t="shared" si="0"/>
        <v>#DIV/0!</v>
      </c>
      <c r="O8" s="398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>
        <f>VALUE('0504'!L15)</f>
        <v>150</v>
      </c>
      <c r="E13" s="13">
        <f>VALUE('0504'!L26)</f>
        <v>174.23076923076923</v>
      </c>
      <c r="F13" s="13">
        <f>VALUE('0504'!L37)</f>
        <v>101.21201476542034</v>
      </c>
      <c r="G13" s="13">
        <f>VALUE('0504'!L48)</f>
        <v>105.25098039215686</v>
      </c>
      <c r="H13" s="13">
        <f>VALUE('0504'!L58)</f>
        <v>100.55882352941177</v>
      </c>
      <c r="I13" s="13">
        <f>VALUE('0504'!L69)</f>
        <v>117.375</v>
      </c>
      <c r="J13" s="13">
        <f>'0504'!L79</f>
        <v>0</v>
      </c>
    </row>
    <row r="14" spans="2:15" ht="39.950000000000003" customHeight="1">
      <c r="B14" s="381"/>
      <c r="C14" s="12" t="s">
        <v>100</v>
      </c>
      <c r="D14" s="13">
        <f>VALUE('0504'!O15)</f>
        <v>140.99755609225181</v>
      </c>
      <c r="E14" s="13">
        <f>VALUE('0504'!O26)</f>
        <v>157.3932705650725</v>
      </c>
      <c r="F14" s="13">
        <f>VALUE('0504'!O37)</f>
        <v>80.691633372533232</v>
      </c>
      <c r="G14" s="13">
        <f>VALUE('0504'!O48)</f>
        <v>86.879217596129038</v>
      </c>
      <c r="H14" s="13">
        <f>VALUE('0504'!O58)</f>
        <v>88.317144444493451</v>
      </c>
      <c r="I14" s="13">
        <f>VALUE('0504'!O69)</f>
        <v>102.10272727272724</v>
      </c>
      <c r="J14" s="13">
        <f>'0504'!O79</f>
        <v>0</v>
      </c>
    </row>
    <row r="15" spans="2:15" ht="39.950000000000003" customHeight="1">
      <c r="B15" s="382"/>
      <c r="C15" s="10" t="s">
        <v>26</v>
      </c>
      <c r="D15" s="14">
        <f t="shared" ref="D15:I15" si="1">D14/D13</f>
        <v>0.93998370728167879</v>
      </c>
      <c r="E15" s="14">
        <f t="shared" si="1"/>
        <v>0.90336093481057067</v>
      </c>
      <c r="F15" s="14">
        <f t="shared" si="1"/>
        <v>0.7972535035445415</v>
      </c>
      <c r="G15" s="14">
        <f t="shared" si="1"/>
        <v>0.82544806017410877</v>
      </c>
      <c r="H15" s="14">
        <f t="shared" si="1"/>
        <v>0.87826350134915976</v>
      </c>
      <c r="I15" s="14">
        <f t="shared" si="1"/>
        <v>0.86988479039597222</v>
      </c>
      <c r="J15" s="15">
        <f>'0504'!S70</f>
        <v>0</v>
      </c>
    </row>
    <row r="16" spans="2:15" ht="17.25" customHeight="1">
      <c r="B16" s="383" t="s">
        <v>101</v>
      </c>
      <c r="C16" s="10" t="s">
        <v>34</v>
      </c>
      <c r="D16" s="16">
        <f>'0504'!T5</f>
        <v>0.29027777777777802</v>
      </c>
      <c r="E16" s="16">
        <f>'0504'!T16</f>
        <v>0.29305555555555601</v>
      </c>
      <c r="F16" s="16">
        <f>'0504'!T27</f>
        <v>0.29166666666666702</v>
      </c>
      <c r="G16" s="16">
        <f>'0504'!T38</f>
        <v>0.33333333333333298</v>
      </c>
      <c r="H16" s="16">
        <f>'0504'!T49</f>
        <v>0.29166666666666702</v>
      </c>
      <c r="I16" s="16">
        <f>'0504'!T59</f>
        <v>0.29166666666666702</v>
      </c>
      <c r="J16" s="16">
        <f>'0504'!T70</f>
        <v>0</v>
      </c>
    </row>
    <row r="17" spans="2:10" ht="17.25" customHeight="1">
      <c r="B17" s="384"/>
      <c r="C17" s="10" t="s">
        <v>35</v>
      </c>
      <c r="D17" s="22">
        <v>0.67222222222222205</v>
      </c>
      <c r="E17" s="19">
        <v>0.63194444444444398</v>
      </c>
      <c r="F17" s="19">
        <v>0.62152777777777801</v>
      </c>
      <c r="G17" s="20">
        <v>0.68055555555555602</v>
      </c>
      <c r="H17" s="21">
        <v>0.66319444444444398</v>
      </c>
      <c r="I17" s="22">
        <v>0.50694444444444398</v>
      </c>
      <c r="J17" s="22">
        <v>0</v>
      </c>
    </row>
    <row r="18" spans="2:10" ht="17.25" customHeight="1">
      <c r="B18" s="385" t="s">
        <v>102</v>
      </c>
      <c r="C18" s="330" t="s">
        <v>36</v>
      </c>
      <c r="D18" s="358">
        <f>'0504'!Z15</f>
        <v>0</v>
      </c>
      <c r="E18" s="359">
        <f>'0504'!Z26</f>
        <v>1</v>
      </c>
      <c r="F18" s="359">
        <f>'0504'!Z37</f>
        <v>0</v>
      </c>
      <c r="G18" s="360">
        <f>'0504'!Z48</f>
        <v>0</v>
      </c>
      <c r="H18" s="360">
        <f>'0504'!Z58</f>
        <v>0</v>
      </c>
      <c r="I18" s="359">
        <f>'0504'!Z69</f>
        <v>0</v>
      </c>
      <c r="J18" s="359">
        <f>'0504'!AA79</f>
        <v>0</v>
      </c>
    </row>
    <row r="19" spans="2:10" ht="17.25" customHeight="1">
      <c r="B19" s="386"/>
      <c r="C19" s="330" t="s">
        <v>37</v>
      </c>
      <c r="D19" s="358">
        <f>'0504'!AA15</f>
        <v>0</v>
      </c>
      <c r="E19" s="359">
        <f>'0504'!AA26</f>
        <v>10</v>
      </c>
      <c r="F19" s="359">
        <f>'0504'!AA37</f>
        <v>0</v>
      </c>
      <c r="G19" s="360">
        <f>'0504'!AA48</f>
        <v>0</v>
      </c>
      <c r="H19" s="360">
        <f>'0504'!AA58</f>
        <v>0</v>
      </c>
      <c r="I19" s="359">
        <f>'0504'!AA69</f>
        <v>0</v>
      </c>
      <c r="J19" s="359">
        <f>'0504'!AB79</f>
        <v>0</v>
      </c>
    </row>
    <row r="20" spans="2:10" ht="17.25" customHeight="1">
      <c r="B20" s="385" t="s">
        <v>103</v>
      </c>
      <c r="C20" s="330" t="s">
        <v>36</v>
      </c>
      <c r="D20" s="358">
        <f>'0504'!AD15</f>
        <v>0</v>
      </c>
      <c r="E20" s="359">
        <f>'0504'!AD26</f>
        <v>0</v>
      </c>
      <c r="F20" s="359">
        <f>'0504'!AD37</f>
        <v>0</v>
      </c>
      <c r="G20" s="360">
        <f>'0504'!AD48</f>
        <v>0</v>
      </c>
      <c r="H20" s="360">
        <f>'0504'!AD58</f>
        <v>0</v>
      </c>
      <c r="I20" s="359">
        <f>'0504'!AD69</f>
        <v>0</v>
      </c>
      <c r="J20" s="359">
        <f>'0504'!AD79</f>
        <v>0</v>
      </c>
    </row>
    <row r="21" spans="2:10" ht="17.25" customHeight="1">
      <c r="B21" s="386"/>
      <c r="C21" s="330" t="s">
        <v>85</v>
      </c>
      <c r="D21" s="358">
        <f>'0504'!AE15</f>
        <v>0</v>
      </c>
      <c r="E21" s="359">
        <f>'0504'!AE26</f>
        <v>0</v>
      </c>
      <c r="F21" s="359">
        <f>'0504'!AE37</f>
        <v>0</v>
      </c>
      <c r="G21" s="360">
        <f>'0504'!AE48</f>
        <v>0</v>
      </c>
      <c r="H21" s="360">
        <f>'0504'!AE58</f>
        <v>0</v>
      </c>
      <c r="I21" s="359">
        <f>'0504'!AE69</f>
        <v>0</v>
      </c>
      <c r="J21" s="359">
        <f>'0504'!AE79</f>
        <v>0</v>
      </c>
    </row>
    <row r="22" spans="2:10" ht="17.25" customHeight="1">
      <c r="B22" s="377" t="s">
        <v>104</v>
      </c>
      <c r="C22" s="378"/>
      <c r="D22" s="23">
        <f>VALUE('0504'!M15)</f>
        <v>15</v>
      </c>
      <c r="E22" s="23">
        <f>VALUE('0504'!M26)</f>
        <v>13</v>
      </c>
      <c r="F22" s="23">
        <f>VALUE('0504'!M37)</f>
        <v>15.25</v>
      </c>
      <c r="G22" s="23">
        <f>VALUE('0504'!M48)</f>
        <v>16</v>
      </c>
      <c r="H22" s="23">
        <f>VALUE('0504'!M58)</f>
        <v>16.5</v>
      </c>
      <c r="I22" s="23">
        <f>VALUE('0504'!M69)</f>
        <v>13</v>
      </c>
      <c r="J22" s="23">
        <f>'0504'!M79</f>
        <v>0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315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8B40E-9EF4-4B8B-9956-D3D1544A4F10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8" width="8.7109375" style="34" customWidth="1"/>
    <col min="109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60075</v>
      </c>
      <c r="F1" s="30" t="s">
        <v>2</v>
      </c>
      <c r="G1" s="31">
        <f>SUM(H5:H79)</f>
        <v>2760895.8909999998</v>
      </c>
      <c r="H1" s="32" t="s">
        <v>3</v>
      </c>
      <c r="I1" s="33">
        <f>M15+M26+M48+M58+M69+M79+M37</f>
        <v>88.75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142</v>
      </c>
      <c r="B2" s="422"/>
      <c r="C2" s="28"/>
      <c r="D2" s="28" t="s">
        <v>14</v>
      </c>
      <c r="E2" s="35">
        <f>AVERAGE(O15,O26,O37,O48,O58,O69,O79)</f>
        <v>109.39692489053455</v>
      </c>
      <c r="F2" s="36" t="s">
        <v>15</v>
      </c>
      <c r="G2" s="37">
        <f>G1/E1</f>
        <v>45.957484660840613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1</v>
      </c>
      <c r="AA2" s="339">
        <f>AA15+AA26+AA37+AA48+AA58+AA69+AA79</f>
        <v>10</v>
      </c>
      <c r="AB2" s="460"/>
      <c r="AC2" s="460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2853</v>
      </c>
      <c r="H5" s="43">
        <f>F5*G5</f>
        <v>162250.10999999999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2139.7500000000223</v>
      </c>
      <c r="O5" s="47">
        <f>N5/M5</f>
        <v>142.65000000000148</v>
      </c>
      <c r="P5" s="49">
        <f>M5-J5</f>
        <v>0</v>
      </c>
      <c r="Q5" s="50">
        <f>O5-L5</f>
        <v>-7.3499999999985164</v>
      </c>
      <c r="R5" s="51">
        <f>O5/L5</f>
        <v>0.95100000000000984</v>
      </c>
      <c r="S5" s="416">
        <f>R15</f>
        <v>0.93998370728167879</v>
      </c>
      <c r="T5" s="319">
        <v>0.29027777777777802</v>
      </c>
      <c r="U5" s="320">
        <v>0.34583333333333299</v>
      </c>
      <c r="V5" s="53"/>
      <c r="W5" s="54">
        <f t="shared" ref="W5:W14" si="0">(U5-T5)*24*60</f>
        <v>79.999999999999162</v>
      </c>
      <c r="X5" s="55"/>
      <c r="Y5" s="290"/>
      <c r="Z5" s="169"/>
      <c r="AA5" s="169"/>
      <c r="AB5" s="468"/>
      <c r="AC5" s="468"/>
      <c r="AD5" s="135"/>
      <c r="AE5" s="135"/>
      <c r="AF5" s="229">
        <f t="shared" ref="AF5:AF11" si="1">N5-K5</f>
        <v>-110.24999999997772</v>
      </c>
      <c r="AG5" s="52">
        <f t="shared" ref="AG5:AG11" si="2">N5/K5</f>
        <v>0.95100000000000995</v>
      </c>
      <c r="AH5" s="461">
        <f>AG15</f>
        <v>0.93998370728167879</v>
      </c>
    </row>
    <row r="6" spans="1:34" ht="15" customHeight="1">
      <c r="A6" s="428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4111</v>
      </c>
      <c r="H6" s="63">
        <f>F6*G6</f>
        <v>202014.54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2163.6842105263054</v>
      </c>
      <c r="O6" s="67">
        <f>N6/M6</f>
        <v>144.24561403508702</v>
      </c>
      <c r="P6" s="69">
        <f>M6-J6</f>
        <v>0</v>
      </c>
      <c r="Q6" s="70">
        <f>O6-L6</f>
        <v>-5.7543859649129843</v>
      </c>
      <c r="R6" s="71">
        <f>O6/L6</f>
        <v>0.96163742690058007</v>
      </c>
      <c r="S6" s="417"/>
      <c r="T6" s="16">
        <v>0.35138888888888897</v>
      </c>
      <c r="U6" s="16">
        <v>0.43055555555555602</v>
      </c>
      <c r="V6" s="30">
        <f>(T6-U5)*24*60</f>
        <v>8.0000000000006111</v>
      </c>
      <c r="W6" s="73">
        <f t="shared" si="0"/>
        <v>114.00000000000055</v>
      </c>
      <c r="X6" s="22"/>
      <c r="Y6" s="84"/>
      <c r="Z6" s="90"/>
      <c r="AA6" s="90"/>
      <c r="AB6" s="465"/>
      <c r="AC6" s="465"/>
      <c r="AD6" s="149"/>
      <c r="AE6" s="149"/>
      <c r="AF6" s="307">
        <f t="shared" si="1"/>
        <v>-86.315789473694622</v>
      </c>
      <c r="AG6" s="72">
        <f t="shared" si="2"/>
        <v>0.96163742690058018</v>
      </c>
      <c r="AH6" s="462"/>
    </row>
    <row r="7" spans="1:34" ht="15" customHeight="1">
      <c r="A7" s="428"/>
      <c r="B7" s="75" t="s">
        <v>81</v>
      </c>
      <c r="C7" s="76"/>
      <c r="D7" s="59" t="s">
        <v>115</v>
      </c>
      <c r="E7" s="77"/>
      <c r="F7" s="75">
        <f>VLOOKUP(D7,廠價表!$C$1:$E$43,3,0)</f>
        <v>58.17</v>
      </c>
      <c r="G7" s="66">
        <v>1996</v>
      </c>
      <c r="H7" s="78">
        <f>F7*G7</f>
        <v>116107.32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2064.8275862068867</v>
      </c>
      <c r="O7" s="81">
        <f>N7/M7</f>
        <v>137.65517241379246</v>
      </c>
      <c r="P7" s="74">
        <f>M7-J7</f>
        <v>0</v>
      </c>
      <c r="Q7" s="83">
        <f>O7-L7</f>
        <v>-12.344827586207543</v>
      </c>
      <c r="R7" s="72">
        <f>O7/L7</f>
        <v>0.91770114942528302</v>
      </c>
      <c r="S7" s="417"/>
      <c r="T7" s="18">
        <v>0.43611111111111101</v>
      </c>
      <c r="U7" s="18">
        <v>0.47638888888888897</v>
      </c>
      <c r="V7" s="30">
        <f>(T7-U6)*24*60</f>
        <v>7.9999999999991722</v>
      </c>
      <c r="W7" s="73">
        <f t="shared" si="0"/>
        <v>58.00000000000027</v>
      </c>
      <c r="X7" s="22">
        <v>0.49305555555555602</v>
      </c>
      <c r="Y7" s="84">
        <v>0.53472222222222199</v>
      </c>
      <c r="Z7" s="90"/>
      <c r="AA7" s="90"/>
      <c r="AB7" s="466"/>
      <c r="AC7" s="466"/>
      <c r="AD7" s="92"/>
      <c r="AE7" s="92"/>
      <c r="AF7" s="307">
        <f t="shared" si="1"/>
        <v>-185.17241379311326</v>
      </c>
      <c r="AG7" s="72">
        <f t="shared" si="2"/>
        <v>0.91770114942528302</v>
      </c>
      <c r="AH7" s="462"/>
    </row>
    <row r="8" spans="1:34" ht="15" customHeight="1">
      <c r="A8" s="428"/>
      <c r="B8" s="75" t="s">
        <v>81</v>
      </c>
      <c r="C8" s="76"/>
      <c r="D8" s="59" t="s">
        <v>115</v>
      </c>
      <c r="E8" s="77"/>
      <c r="F8" s="75">
        <f>VLOOKUP(D8,廠價表!$C$1:$E$43,3,0)</f>
        <v>58.17</v>
      </c>
      <c r="G8" s="66">
        <v>2520</v>
      </c>
      <c r="H8" s="78">
        <f t="shared" ref="H8:H10" si="3">F8*G8</f>
        <v>146588.4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10" si="4">K8/J8</f>
        <v>150</v>
      </c>
      <c r="M8" s="82">
        <v>15</v>
      </c>
      <c r="N8" s="80">
        <f t="shared" ref="N8:N10" si="5">G8/W8*60</f>
        <v>2191.3043478261152</v>
      </c>
      <c r="O8" s="81">
        <f t="shared" ref="O8:O10" si="6">N8/M8</f>
        <v>146.086956521741</v>
      </c>
      <c r="P8" s="74">
        <f t="shared" ref="P8:P10" si="7">M8-J8</f>
        <v>0</v>
      </c>
      <c r="Q8" s="83">
        <f t="shared" ref="Q8:Q10" si="8">O8-L8</f>
        <v>-3.9130434782589987</v>
      </c>
      <c r="R8" s="72">
        <f t="shared" ref="R8:R10" si="9">O8/L8</f>
        <v>0.97391304347827334</v>
      </c>
      <c r="S8" s="417"/>
      <c r="T8" s="16">
        <v>0.54166666666666696</v>
      </c>
      <c r="U8" s="16">
        <v>0.58958333333333302</v>
      </c>
      <c r="V8" s="30">
        <f t="shared" ref="V8:V10" si="10">(T8-U7)*24*60</f>
        <v>94.000000000000313</v>
      </c>
      <c r="W8" s="73">
        <f t="shared" si="0"/>
        <v>68.999999999999119</v>
      </c>
      <c r="X8" s="22"/>
      <c r="Y8" s="84"/>
      <c r="Z8" s="90"/>
      <c r="AA8" s="90"/>
      <c r="AB8" s="465"/>
      <c r="AC8" s="465"/>
      <c r="AD8" s="149"/>
      <c r="AE8" s="149"/>
      <c r="AF8" s="307">
        <f t="shared" si="1"/>
        <v>-58.69565217388481</v>
      </c>
      <c r="AG8" s="72">
        <f t="shared" si="2"/>
        <v>0.97391304347827345</v>
      </c>
      <c r="AH8" s="462"/>
    </row>
    <row r="9" spans="1:34" ht="15" customHeight="1">
      <c r="A9" s="429"/>
      <c r="B9" s="75" t="s">
        <v>81</v>
      </c>
      <c r="C9" s="76"/>
      <c r="D9" s="59" t="s">
        <v>114</v>
      </c>
      <c r="E9" s="77"/>
      <c r="F9" s="75">
        <f>VLOOKUP(D9,廠價表!$C$1:$E$43,3,0)</f>
        <v>49.14</v>
      </c>
      <c r="G9" s="66">
        <v>2406</v>
      </c>
      <c r="H9" s="78">
        <f t="shared" si="3"/>
        <v>118230.84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2187.2727272727402</v>
      </c>
      <c r="O9" s="81">
        <f t="shared" si="6"/>
        <v>145.81818181818269</v>
      </c>
      <c r="P9" s="74">
        <f t="shared" si="7"/>
        <v>0</v>
      </c>
      <c r="Q9" s="83">
        <f t="shared" si="8"/>
        <v>-4.1818181818173059</v>
      </c>
      <c r="R9" s="72">
        <f t="shared" si="9"/>
        <v>0.97212121212121794</v>
      </c>
      <c r="S9" s="418"/>
      <c r="T9" s="16">
        <v>0.59652777777777799</v>
      </c>
      <c r="U9" s="16">
        <v>0.64236111111111105</v>
      </c>
      <c r="V9" s="30">
        <f t="shared" si="10"/>
        <v>10.000000000000764</v>
      </c>
      <c r="W9" s="73">
        <f t="shared" si="0"/>
        <v>65.999999999999602</v>
      </c>
      <c r="X9" s="22"/>
      <c r="Y9" s="84"/>
      <c r="Z9" s="90"/>
      <c r="AA9" s="90"/>
      <c r="AB9" s="465"/>
      <c r="AC9" s="465"/>
      <c r="AD9" s="149"/>
      <c r="AE9" s="149"/>
      <c r="AF9" s="307">
        <f t="shared" si="1"/>
        <v>-62.727272727259788</v>
      </c>
      <c r="AG9" s="72">
        <f t="shared" si="2"/>
        <v>0.97212121212121783</v>
      </c>
      <c r="AH9" s="463"/>
    </row>
    <row r="10" spans="1:34" ht="15" customHeight="1">
      <c r="A10" s="429"/>
      <c r="B10" s="75" t="s">
        <v>81</v>
      </c>
      <c r="C10" s="86"/>
      <c r="D10" s="59" t="s">
        <v>113</v>
      </c>
      <c r="E10" s="87"/>
      <c r="F10" s="75">
        <f>VLOOKUP(D10,廠價表!$C$1:$E$43,3,0)</f>
        <v>56.87</v>
      </c>
      <c r="G10" s="62">
        <v>1101</v>
      </c>
      <c r="H10" s="78">
        <f t="shared" si="3"/>
        <v>62613.869999999995</v>
      </c>
      <c r="I10" s="73"/>
      <c r="J10" s="79">
        <f>VLOOKUP(D10,產線配置圖!$A$3:$C$40,2,0)</f>
        <v>15</v>
      </c>
      <c r="K10" s="80">
        <f>VLOOKUP(D10,產線配置圖!$A$3:$C$40,3,0)</f>
        <v>2250</v>
      </c>
      <c r="L10" s="81">
        <f t="shared" si="4"/>
        <v>150</v>
      </c>
      <c r="M10" s="82">
        <v>15</v>
      </c>
      <c r="N10" s="80">
        <f t="shared" si="5"/>
        <v>1942.9411764705951</v>
      </c>
      <c r="O10" s="81">
        <f t="shared" si="6"/>
        <v>129.52941176470634</v>
      </c>
      <c r="P10" s="74">
        <f t="shared" si="7"/>
        <v>0</v>
      </c>
      <c r="Q10" s="83">
        <f t="shared" si="8"/>
        <v>-20.470588235293661</v>
      </c>
      <c r="R10" s="72">
        <f t="shared" si="9"/>
        <v>0.86352941176470888</v>
      </c>
      <c r="S10" s="418"/>
      <c r="T10" s="22">
        <v>0.64861111111111103</v>
      </c>
      <c r="U10" s="22">
        <v>0.67222222222222205</v>
      </c>
      <c r="V10" s="30">
        <f t="shared" si="10"/>
        <v>8.999999999999968</v>
      </c>
      <c r="W10" s="73">
        <f t="shared" si="0"/>
        <v>33.999999999999879</v>
      </c>
      <c r="X10" s="22"/>
      <c r="Y10" s="84"/>
      <c r="Z10" s="90"/>
      <c r="AA10" s="90"/>
      <c r="AB10" s="466"/>
      <c r="AC10" s="466"/>
      <c r="AD10" s="92"/>
      <c r="AE10" s="92"/>
      <c r="AF10" s="307">
        <f t="shared" si="1"/>
        <v>-307.05882352940489</v>
      </c>
      <c r="AG10" s="72">
        <f t="shared" si="2"/>
        <v>0.86352941176470899</v>
      </c>
      <c r="AH10" s="463"/>
    </row>
    <row r="11" spans="1:34" ht="15" customHeight="1">
      <c r="A11" s="42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5"/>
      <c r="AC11" s="465"/>
      <c r="AD11" s="149"/>
      <c r="AE11" s="149"/>
      <c r="AF11" s="307">
        <f t="shared" si="1"/>
        <v>0</v>
      </c>
      <c r="AG11" s="72" t="e">
        <f t="shared" si="2"/>
        <v>#DIV/0!</v>
      </c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150</v>
      </c>
      <c r="M15" s="120">
        <f t="shared" si="11"/>
        <v>15</v>
      </c>
      <c r="N15" s="120">
        <f t="shared" si="11"/>
        <v>2114.9633413837773</v>
      </c>
      <c r="O15" s="117">
        <f t="shared" si="11"/>
        <v>140.99755609225181</v>
      </c>
      <c r="P15" s="121">
        <f>M15-J15</f>
        <v>0</v>
      </c>
      <c r="Q15" s="122">
        <f>O15-L15</f>
        <v>-9.0024439077481873</v>
      </c>
      <c r="R15" s="123">
        <f>O15/L15</f>
        <v>0.93998370728167879</v>
      </c>
      <c r="S15" s="42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7"/>
      <c r="AC15" s="467"/>
      <c r="AD15" s="323">
        <f>SUM(AD5:AD14)</f>
        <v>0</v>
      </c>
      <c r="AE15" s="323">
        <f>SUM(AE5:AE14)</f>
        <v>0</v>
      </c>
      <c r="AF15" s="309">
        <f>N15-K15</f>
        <v>-135.03665861622267</v>
      </c>
      <c r="AG15" s="124">
        <f>N15/K15</f>
        <v>0.93998370728167879</v>
      </c>
      <c r="AH15" s="464"/>
    </row>
    <row r="16" spans="1:34" ht="15" customHeight="1">
      <c r="A16" s="47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2037</v>
      </c>
      <c r="H16" s="134">
        <f>F16*G16</f>
        <v>103214.79000000001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1939.9999999999998</v>
      </c>
      <c r="O16" s="141">
        <f>N16/M16</f>
        <v>149.23076923076923</v>
      </c>
      <c r="P16" s="142">
        <f>M16-J16</f>
        <v>0</v>
      </c>
      <c r="Q16" s="143">
        <f>O16-L16</f>
        <v>-23.84615384615384</v>
      </c>
      <c r="R16" s="144">
        <f>O16/L16</f>
        <v>0.86222222222222222</v>
      </c>
      <c r="S16" s="472">
        <f>R26</f>
        <v>0.90336093481057067</v>
      </c>
      <c r="T16" s="145">
        <v>0.29305555555555601</v>
      </c>
      <c r="U16" s="145">
        <v>0.33680555555555602</v>
      </c>
      <c r="V16" s="135"/>
      <c r="W16" s="146">
        <f t="shared" ref="W16:W78" si="12">(U16-T16)*24*60</f>
        <v>63.000000000000014</v>
      </c>
      <c r="X16" s="141"/>
      <c r="Y16" s="296"/>
      <c r="Z16" s="169"/>
      <c r="AA16" s="169"/>
      <c r="AB16" s="468"/>
      <c r="AC16" s="468"/>
      <c r="AD16" s="135"/>
      <c r="AE16" s="135"/>
      <c r="AF16" s="229">
        <f>N16-K16</f>
        <v>-310.00000000000023</v>
      </c>
      <c r="AG16" s="52">
        <f>N16/K16</f>
        <v>0.86222222222222211</v>
      </c>
      <c r="AH16" s="461">
        <f>AG26</f>
        <v>0.90494632266259978</v>
      </c>
    </row>
    <row r="17" spans="1:34" ht="15" customHeight="1">
      <c r="A17" s="479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2670</v>
      </c>
      <c r="H17" s="78">
        <f>F17*G17</f>
        <v>151148.70000000001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2164.8648648648605</v>
      </c>
      <c r="O17" s="96">
        <f>N17/M17</f>
        <v>144.32432432432404</v>
      </c>
      <c r="P17" s="97">
        <f>M17-J17</f>
        <v>0</v>
      </c>
      <c r="Q17" s="98">
        <f>O17-L17</f>
        <v>-5.6756756756759614</v>
      </c>
      <c r="R17" s="99">
        <f>O17/L17</f>
        <v>0.96216216216216022</v>
      </c>
      <c r="S17" s="473"/>
      <c r="T17" s="19">
        <v>0.344444444444444</v>
      </c>
      <c r="U17" s="19">
        <v>0.39583333333333298</v>
      </c>
      <c r="V17" s="30">
        <f>(T17-U16)*24*60</f>
        <v>10.999999999998682</v>
      </c>
      <c r="W17" s="149">
        <f t="shared" si="12"/>
        <v>74.000000000000142</v>
      </c>
      <c r="X17" s="19"/>
      <c r="Y17" s="297"/>
      <c r="Z17" s="90"/>
      <c r="AA17" s="90"/>
      <c r="AB17" s="466"/>
      <c r="AC17" s="466"/>
      <c r="AD17" s="92"/>
      <c r="AE17" s="92"/>
      <c r="AF17" s="307">
        <f>N17-K17</f>
        <v>-85.135135135139535</v>
      </c>
      <c r="AG17" s="72">
        <f>N17/K17</f>
        <v>0.96216216216216022</v>
      </c>
      <c r="AH17" s="462"/>
    </row>
    <row r="18" spans="1:34" ht="15" customHeight="1">
      <c r="A18" s="479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3516</v>
      </c>
      <c r="H18" s="78">
        <f>F18*G18</f>
        <v>177171.24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1935.4128440367083</v>
      </c>
      <c r="O18" s="96">
        <f>N18/M18</f>
        <v>161.28440366972569</v>
      </c>
      <c r="P18" s="97">
        <f>M18-J18</f>
        <v>0</v>
      </c>
      <c r="Q18" s="98">
        <f>O18-L18</f>
        <v>-26.215596330274309</v>
      </c>
      <c r="R18" s="99">
        <f>O18/L18</f>
        <v>0.86018348623853702</v>
      </c>
      <c r="S18" s="473"/>
      <c r="T18" s="19">
        <v>0.40416666666666701</v>
      </c>
      <c r="U18" s="19">
        <v>0.47986111111111102</v>
      </c>
      <c r="V18" s="30">
        <f>(T18-U17)*24*60</f>
        <v>12.000000000000997</v>
      </c>
      <c r="W18" s="149">
        <f t="shared" si="12"/>
        <v>108.99999999999937</v>
      </c>
      <c r="X18" s="22">
        <v>0.48680555555555599</v>
      </c>
      <c r="Y18" s="84">
        <v>0.52847222222222201</v>
      </c>
      <c r="Z18" s="90">
        <v>1</v>
      </c>
      <c r="AA18" s="90">
        <v>10</v>
      </c>
      <c r="AB18" s="466" t="s">
        <v>143</v>
      </c>
      <c r="AC18" s="466"/>
      <c r="AD18" s="92"/>
      <c r="AE18" s="92"/>
      <c r="AF18" s="307">
        <f>N18-K18</f>
        <v>-314.58715596329171</v>
      </c>
      <c r="AG18" s="72">
        <f>N18/K18</f>
        <v>0.86018348623853702</v>
      </c>
      <c r="AH18" s="462"/>
    </row>
    <row r="19" spans="1:34" ht="15" customHeight="1">
      <c r="A19" s="479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2021</v>
      </c>
      <c r="H19" s="78">
        <f t="shared" ref="H19:H20" si="13">F19*G19</f>
        <v>101838.19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14">K19/J19</f>
        <v>187.5</v>
      </c>
      <c r="M19" s="148">
        <v>12</v>
      </c>
      <c r="N19" s="95">
        <f t="shared" ref="N19:N20" si="15">G19/W19*60</f>
        <v>2127.3684210526453</v>
      </c>
      <c r="O19" s="96">
        <f t="shared" ref="O19:O20" si="16">N19/M19</f>
        <v>177.28070175438711</v>
      </c>
      <c r="P19" s="97">
        <f t="shared" ref="P19:P20" si="17">M19-J19</f>
        <v>0</v>
      </c>
      <c r="Q19" s="98">
        <f t="shared" ref="Q19:Q20" si="18">O19-L19</f>
        <v>-10.21929824561289</v>
      </c>
      <c r="R19" s="99">
        <f t="shared" ref="R19:R20" si="19">O19/L19</f>
        <v>0.94549707602339794</v>
      </c>
      <c r="S19" s="473"/>
      <c r="T19" s="19">
        <v>0.54166666666666696</v>
      </c>
      <c r="U19" s="19">
        <v>0.58125000000000004</v>
      </c>
      <c r="V19" s="30">
        <f>(T19-U18)*24*60</f>
        <v>89.000000000000568</v>
      </c>
      <c r="W19" s="149">
        <f t="shared" si="12"/>
        <v>56.999999999999638</v>
      </c>
      <c r="X19" s="22"/>
      <c r="Y19" s="84"/>
      <c r="Z19" s="90"/>
      <c r="AA19" s="90"/>
      <c r="AB19" s="465"/>
      <c r="AC19" s="465"/>
      <c r="AD19" s="149"/>
      <c r="AE19" s="149"/>
      <c r="AF19" s="307">
        <f>N19-K19</f>
        <v>-122.63157894735468</v>
      </c>
      <c r="AG19" s="72">
        <f>N19/K19</f>
        <v>0.94549707602339794</v>
      </c>
      <c r="AH19" s="463"/>
    </row>
    <row r="20" spans="1:34" ht="15" customHeight="1">
      <c r="A20" s="479"/>
      <c r="B20" s="75" t="s">
        <v>81</v>
      </c>
      <c r="C20" s="76"/>
      <c r="D20" s="59" t="s">
        <v>116</v>
      </c>
      <c r="E20" s="77"/>
      <c r="F20" s="75">
        <f>VLOOKUP(D20,廠價表!$C$1:$E$43,3,0)</f>
        <v>50.67</v>
      </c>
      <c r="G20" s="147">
        <v>2013</v>
      </c>
      <c r="H20" s="78">
        <f t="shared" si="13"/>
        <v>101998.71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14"/>
        <v>173.07692307692307</v>
      </c>
      <c r="M20" s="148">
        <v>13</v>
      </c>
      <c r="N20" s="95">
        <f t="shared" si="15"/>
        <v>2013.0000000000339</v>
      </c>
      <c r="O20" s="96">
        <f t="shared" si="16"/>
        <v>154.84615384615645</v>
      </c>
      <c r="P20" s="97">
        <f t="shared" si="17"/>
        <v>0</v>
      </c>
      <c r="Q20" s="98">
        <f t="shared" si="18"/>
        <v>-18.230769230766612</v>
      </c>
      <c r="R20" s="99">
        <f t="shared" si="19"/>
        <v>0.89466666666668182</v>
      </c>
      <c r="S20" s="473"/>
      <c r="T20" s="19">
        <v>0.59027777777777801</v>
      </c>
      <c r="U20" s="19">
        <v>0.63194444444444398</v>
      </c>
      <c r="V20" s="30">
        <f>(T20-U19)*24*60</f>
        <v>13.000000000000274</v>
      </c>
      <c r="W20" s="149">
        <f t="shared" si="12"/>
        <v>59.999999999998991</v>
      </c>
      <c r="X20" s="19"/>
      <c r="Y20" s="297"/>
      <c r="Z20" s="90"/>
      <c r="AA20" s="90"/>
      <c r="AB20" s="466"/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3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466"/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50"/>
      <c r="U22" s="150"/>
      <c r="V22" s="92"/>
      <c r="W22" s="149"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12"/>
        <v>0</v>
      </c>
      <c r="X23" s="92"/>
      <c r="Y23" s="298"/>
      <c r="Z23" s="90"/>
      <c r="AA23" s="90"/>
      <c r="AB23" s="466"/>
      <c r="AC23" s="46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>
        <f t="shared" ref="J26:O26" si="20">AVERAGE(J16:J25)</f>
        <v>13</v>
      </c>
      <c r="K26" s="155">
        <f t="shared" si="20"/>
        <v>2250</v>
      </c>
      <c r="L26" s="158">
        <f t="shared" si="20"/>
        <v>174.23076923076923</v>
      </c>
      <c r="M26" s="155">
        <f t="shared" si="20"/>
        <v>13</v>
      </c>
      <c r="N26" s="155">
        <f t="shared" si="20"/>
        <v>2036.1292259908496</v>
      </c>
      <c r="O26" s="158">
        <f t="shared" si="20"/>
        <v>157.3932705650725</v>
      </c>
      <c r="P26" s="159">
        <f>M26-J26</f>
        <v>0</v>
      </c>
      <c r="Q26" s="160">
        <f>O26-L26</f>
        <v>-16.837498665696728</v>
      </c>
      <c r="R26" s="161">
        <f>O26/L26</f>
        <v>0.90336093481057067</v>
      </c>
      <c r="S26" s="474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10</v>
      </c>
      <c r="AB26" s="467"/>
      <c r="AC26" s="467"/>
      <c r="AD26" s="323">
        <f>SUM(AD16:AD25)</f>
        <v>0</v>
      </c>
      <c r="AE26" s="323">
        <f>SUM(AE16:AE25)</f>
        <v>0</v>
      </c>
      <c r="AF26" s="309">
        <f t="shared" ref="AF26:AF31" si="21">N26-K26</f>
        <v>-213.87077400915041</v>
      </c>
      <c r="AG26" s="124">
        <f t="shared" ref="AG26:AG31" si="22">N26/K26</f>
        <v>0.90494632266259978</v>
      </c>
      <c r="AH26" s="464"/>
    </row>
    <row r="27" spans="1:34" ht="15" customHeight="1">
      <c r="A27" s="469" t="s">
        <v>45</v>
      </c>
      <c r="B27" s="167" t="s">
        <v>81</v>
      </c>
      <c r="C27" s="130"/>
      <c r="D27" s="168" t="s">
        <v>119</v>
      </c>
      <c r="E27" s="132"/>
      <c r="F27" s="129">
        <f>VLOOKUP(D27,廠價表!$C$1:$E$43,3,0)</f>
        <v>50.67</v>
      </c>
      <c r="G27" s="169">
        <v>1245</v>
      </c>
      <c r="H27" s="134">
        <f>F27*G27</f>
        <v>63084.15</v>
      </c>
      <c r="I27" s="135"/>
      <c r="J27" s="136">
        <f>VLOOKUP(D27,產線配置圖!$A$3:$C$40,2,0)</f>
        <v>13</v>
      </c>
      <c r="K27" s="137">
        <f>VLOOKUP(D27,產線配置圖!$A$3:$C$40,3,0)</f>
        <v>1440</v>
      </c>
      <c r="L27" s="138">
        <f>K27/J27</f>
        <v>110.76923076923077</v>
      </c>
      <c r="M27" s="170">
        <v>13</v>
      </c>
      <c r="N27" s="140">
        <f>G27/W27*60</f>
        <v>1185.7142857142869</v>
      </c>
      <c r="O27" s="141">
        <f>N27/M27</f>
        <v>91.208791208791297</v>
      </c>
      <c r="P27" s="142">
        <f>M27-J27</f>
        <v>0</v>
      </c>
      <c r="Q27" s="143">
        <f>O27-L27</f>
        <v>-19.560439560439477</v>
      </c>
      <c r="R27" s="144">
        <f>O27/L27</f>
        <v>0.82341269841269915</v>
      </c>
      <c r="S27" s="472">
        <f>R37</f>
        <v>0.7972535035445415</v>
      </c>
      <c r="T27" s="171">
        <v>0.29166666666666702</v>
      </c>
      <c r="U27" s="171">
        <v>0.33541666666666697</v>
      </c>
      <c r="V27" s="135"/>
      <c r="W27" s="146">
        <f t="shared" si="12"/>
        <v>62.999999999999936</v>
      </c>
      <c r="X27" s="135"/>
      <c r="Y27" s="300" t="s">
        <v>46</v>
      </c>
      <c r="Z27" s="169"/>
      <c r="AA27" s="169"/>
      <c r="AB27" s="468"/>
      <c r="AC27" s="468"/>
      <c r="AD27" s="135"/>
      <c r="AE27" s="135"/>
      <c r="AF27" s="310">
        <f t="shared" si="21"/>
        <v>-254.28571428571308</v>
      </c>
      <c r="AG27" s="172">
        <f t="shared" si="22"/>
        <v>0.82341269841269926</v>
      </c>
      <c r="AH27" s="461">
        <f>AG37</f>
        <v>0.78724332664603536</v>
      </c>
    </row>
    <row r="28" spans="1:34" ht="15" customHeight="1">
      <c r="A28" s="470"/>
      <c r="B28" s="75" t="s">
        <v>81</v>
      </c>
      <c r="C28" s="173"/>
      <c r="D28" s="59" t="s">
        <v>121</v>
      </c>
      <c r="E28" s="104"/>
      <c r="F28" s="75">
        <f>VLOOKUP(D28,廠價表!$C$1:$E$43,3,0)</f>
        <v>50.289000000000001</v>
      </c>
      <c r="G28" s="90">
        <v>3779</v>
      </c>
      <c r="H28" s="91">
        <f>F28*G28</f>
        <v>190042.13099999999</v>
      </c>
      <c r="I28" s="92"/>
      <c r="J28" s="79">
        <f>VLOOKUP(D28,產線配置圖!$A$3:$C$40,2,0)</f>
        <v>19</v>
      </c>
      <c r="K28" s="80">
        <f>VLOOKUP(D28,產線配置圖!$A$3:$C$40,3,0)</f>
        <v>1565</v>
      </c>
      <c r="L28" s="93">
        <f>K28/J28</f>
        <v>82.368421052631575</v>
      </c>
      <c r="M28" s="94">
        <v>18</v>
      </c>
      <c r="N28" s="95">
        <f>G28/W28*60</f>
        <v>1365.903614457829</v>
      </c>
      <c r="O28" s="96">
        <f>N28/M28</f>
        <v>75.883534136546061</v>
      </c>
      <c r="P28" s="97">
        <f>M28-J28</f>
        <v>-1</v>
      </c>
      <c r="Q28" s="98">
        <f>O28-L28</f>
        <v>-6.4848869160855145</v>
      </c>
      <c r="R28" s="99">
        <f>O28/L28</f>
        <v>0.92126974351078283</v>
      </c>
      <c r="S28" s="473"/>
      <c r="T28" s="19">
        <v>0.34027777777777801</v>
      </c>
      <c r="U28" s="19">
        <v>0.45555555555555599</v>
      </c>
      <c r="V28" s="92">
        <f>(T28-U27)*24*60</f>
        <v>6.9999999999998952</v>
      </c>
      <c r="W28" s="149">
        <f t="shared" si="12"/>
        <v>166.00000000000028</v>
      </c>
      <c r="X28" s="174">
        <v>0.45833333333333298</v>
      </c>
      <c r="Y28" s="301">
        <v>0.51041666666666696</v>
      </c>
      <c r="Z28" s="335"/>
      <c r="AA28" s="335"/>
      <c r="AB28" s="466"/>
      <c r="AC28" s="466"/>
      <c r="AD28" s="92"/>
      <c r="AE28" s="92"/>
      <c r="AF28" s="311">
        <f t="shared" si="21"/>
        <v>-199.09638554217099</v>
      </c>
      <c r="AG28" s="99">
        <f t="shared" si="22"/>
        <v>0.87278186227337318</v>
      </c>
      <c r="AH28" s="482"/>
    </row>
    <row r="29" spans="1:34" ht="15" customHeight="1">
      <c r="A29" s="470"/>
      <c r="B29" s="75" t="s">
        <v>81</v>
      </c>
      <c r="C29" s="173"/>
      <c r="D29" s="59" t="s">
        <v>128</v>
      </c>
      <c r="E29" s="104"/>
      <c r="F29" s="75">
        <f>VLOOKUP(D29,廠價表!$C$1:$E$43,3,0)</f>
        <v>57.21</v>
      </c>
      <c r="G29" s="90">
        <v>1752</v>
      </c>
      <c r="H29" s="91">
        <f>F29*G29</f>
        <v>100231.92</v>
      </c>
      <c r="I29" s="92"/>
      <c r="J29" s="79">
        <f>VLOOKUP(D29,產線配置圖!$A$3:$C$40,2,0)</f>
        <v>17</v>
      </c>
      <c r="K29" s="80">
        <f>VLOOKUP(D29,產線配置圖!$A$3:$C$40,3,0)</f>
        <v>1716</v>
      </c>
      <c r="L29" s="93">
        <f>K29/J29</f>
        <v>100.94117647058823</v>
      </c>
      <c r="M29" s="94">
        <v>17</v>
      </c>
      <c r="N29" s="95">
        <f>G29/W29*60</f>
        <v>1168</v>
      </c>
      <c r="O29" s="96">
        <f>N29/M29</f>
        <v>68.705882352941174</v>
      </c>
      <c r="P29" s="97">
        <f>M29-J29</f>
        <v>0</v>
      </c>
      <c r="Q29" s="98">
        <f>O29-L29</f>
        <v>-32.235294117647058</v>
      </c>
      <c r="R29" s="99">
        <f>O29/L29</f>
        <v>0.6806526806526807</v>
      </c>
      <c r="S29" s="473"/>
      <c r="T29" s="19">
        <v>0.51736111111111105</v>
      </c>
      <c r="U29" s="19">
        <v>0.57986111111111105</v>
      </c>
      <c r="V29" s="92">
        <f>(T29-U28)*24*60</f>
        <v>88.999999999999289</v>
      </c>
      <c r="W29" s="149">
        <f t="shared" si="12"/>
        <v>90</v>
      </c>
      <c r="X29" s="22"/>
      <c r="Y29" s="84"/>
      <c r="Z29" s="90"/>
      <c r="AA29" s="90"/>
      <c r="AB29" s="466" t="s">
        <v>144</v>
      </c>
      <c r="AC29" s="466"/>
      <c r="AD29" s="92"/>
      <c r="AE29" s="92"/>
      <c r="AF29" s="312">
        <f t="shared" si="21"/>
        <v>-548</v>
      </c>
      <c r="AG29" s="99">
        <f t="shared" si="22"/>
        <v>0.6806526806526807</v>
      </c>
      <c r="AH29" s="482"/>
    </row>
    <row r="30" spans="1:34" ht="15" customHeight="1">
      <c r="A30" s="470"/>
      <c r="B30" s="75" t="s">
        <v>81</v>
      </c>
      <c r="C30" s="88"/>
      <c r="D30" s="59" t="s">
        <v>119</v>
      </c>
      <c r="E30" s="89"/>
      <c r="F30" s="75">
        <f>VLOOKUP(D30,廠價表!$C$1:$E$43,3,0)</f>
        <v>50.67</v>
      </c>
      <c r="G30" s="90">
        <v>961</v>
      </c>
      <c r="H30" s="91">
        <f>F30*G30</f>
        <v>48693.87</v>
      </c>
      <c r="I30" s="92"/>
      <c r="J30" s="79">
        <f>VLOOKUP(D30,產線配置圖!$A$3:$C$40,2,0)</f>
        <v>13</v>
      </c>
      <c r="K30" s="80">
        <f>VLOOKUP(D30,產線配置圖!$A$3:$C$40,3,0)</f>
        <v>1440</v>
      </c>
      <c r="L30" s="93">
        <f>K30/J30</f>
        <v>110.76923076923077</v>
      </c>
      <c r="M30" s="94">
        <v>13</v>
      </c>
      <c r="N30" s="95">
        <f>G30/W30*60</f>
        <v>1130.5882352941076</v>
      </c>
      <c r="O30" s="96">
        <f>N30/M30</f>
        <v>86.968325791854426</v>
      </c>
      <c r="P30" s="97">
        <f>M30-J30</f>
        <v>0</v>
      </c>
      <c r="Q30" s="98">
        <f>O30-L30</f>
        <v>-23.800904977376348</v>
      </c>
      <c r="R30" s="99">
        <f>O30/L30</f>
        <v>0.78513071895424136</v>
      </c>
      <c r="S30" s="473"/>
      <c r="T30" s="19">
        <v>0.58611111111111103</v>
      </c>
      <c r="U30" s="19">
        <v>0.62152777777777801</v>
      </c>
      <c r="V30" s="92">
        <f>(T30-U29)*24*60</f>
        <v>8.999999999999968</v>
      </c>
      <c r="W30" s="149">
        <f t="shared" si="12"/>
        <v>51.000000000000455</v>
      </c>
      <c r="X30" s="174"/>
      <c r="Y30" s="301"/>
      <c r="Z30" s="335"/>
      <c r="AA30" s="335"/>
      <c r="AB30" s="466" t="s">
        <v>125</v>
      </c>
      <c r="AC30" s="466"/>
      <c r="AD30" s="92"/>
      <c r="AE30" s="92"/>
      <c r="AF30" s="312">
        <f t="shared" si="21"/>
        <v>-309.41176470589244</v>
      </c>
      <c r="AG30" s="99">
        <f t="shared" si="22"/>
        <v>0.78513071895424136</v>
      </c>
      <c r="AH30" s="483"/>
    </row>
    <row r="31" spans="1:34" ht="15" customHeight="1">
      <c r="A31" s="47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3"/>
      <c r="T31" s="19"/>
      <c r="U31" s="19"/>
      <c r="V31" s="92"/>
      <c r="W31" s="149">
        <f t="shared" si="12"/>
        <v>0</v>
      </c>
      <c r="X31" s="174"/>
      <c r="Y31" s="301"/>
      <c r="Z31" s="335"/>
      <c r="AA31" s="335"/>
      <c r="AB31" s="466"/>
      <c r="AC31" s="466"/>
      <c r="AD31" s="92"/>
      <c r="AE31" s="92"/>
      <c r="AF31" s="312">
        <f t="shared" si="21"/>
        <v>0</v>
      </c>
      <c r="AG31" s="99" t="e">
        <f t="shared" si="22"/>
        <v>#DIV/0!</v>
      </c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50"/>
      <c r="U32" s="150"/>
      <c r="V32" s="92"/>
      <c r="W32" s="149">
        <f t="shared" si="12"/>
        <v>0</v>
      </c>
      <c r="X32" s="174"/>
      <c r="Y32" s="301"/>
      <c r="Z32" s="335"/>
      <c r="AA32" s="335"/>
      <c r="AB32" s="466"/>
      <c r="AC32" s="466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466"/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>
        <f t="shared" ref="J37:O37" si="23">AVERAGE(J27:J36)</f>
        <v>15.5</v>
      </c>
      <c r="K37" s="155">
        <f t="shared" si="23"/>
        <v>1540.25</v>
      </c>
      <c r="L37" s="158">
        <f t="shared" si="23"/>
        <v>101.21201476542034</v>
      </c>
      <c r="M37" s="155">
        <f t="shared" si="23"/>
        <v>15.25</v>
      </c>
      <c r="N37" s="155">
        <f t="shared" si="23"/>
        <v>1212.5515338665559</v>
      </c>
      <c r="O37" s="158">
        <f t="shared" si="23"/>
        <v>80.691633372533232</v>
      </c>
      <c r="P37" s="159">
        <f>M37-J37</f>
        <v>-0.25</v>
      </c>
      <c r="Q37" s="160">
        <f>N37-K37</f>
        <v>-327.69846613344407</v>
      </c>
      <c r="R37" s="161">
        <f>O37/L37</f>
        <v>0.7972535035445415</v>
      </c>
      <c r="S37" s="474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7"/>
      <c r="AC37" s="477"/>
      <c r="AD37" s="324">
        <f>SUM(AD27:AD36)</f>
        <v>0</v>
      </c>
      <c r="AE37" s="324">
        <f>SUM(AE27:AE36)</f>
        <v>0</v>
      </c>
      <c r="AF37" s="309">
        <f>N37-K37</f>
        <v>-327.69846613344407</v>
      </c>
      <c r="AG37" s="124">
        <f>N37/K37</f>
        <v>0.78724332664603536</v>
      </c>
      <c r="AH37" s="464"/>
    </row>
    <row r="38" spans="1:34" ht="15" customHeight="1">
      <c r="A38" s="491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2100</v>
      </c>
      <c r="H38" s="134">
        <f>F38*G38</f>
        <v>104811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1431.8181818181843</v>
      </c>
      <c r="O38" s="141">
        <f>N38/M38</f>
        <v>95.454545454545624</v>
      </c>
      <c r="P38" s="142">
        <f>M38-J38</f>
        <v>0</v>
      </c>
      <c r="Q38" s="143">
        <f>O38-L38</f>
        <v>-18.812121212121042</v>
      </c>
      <c r="R38" s="144">
        <f>O38/L38</f>
        <v>0.83536650047735372</v>
      </c>
      <c r="S38" s="494">
        <f>R48</f>
        <v>0.82544806017410877</v>
      </c>
      <c r="T38" s="191">
        <v>0.33333333333333298</v>
      </c>
      <c r="U38" s="191">
        <v>0.39444444444444399</v>
      </c>
      <c r="V38" s="192"/>
      <c r="W38" s="193">
        <f t="shared" si="12"/>
        <v>87.999999999999844</v>
      </c>
      <c r="X38" s="194"/>
      <c r="Y38" s="302"/>
      <c r="Z38" s="336"/>
      <c r="AA38" s="336"/>
      <c r="AB38" s="496"/>
      <c r="AC38" s="496"/>
      <c r="AD38" s="192"/>
      <c r="AE38" s="192"/>
      <c r="AF38" s="313">
        <f>N38-K38</f>
        <v>-282.18181818181574</v>
      </c>
      <c r="AG38" s="195">
        <f>N38/K38</f>
        <v>0.83536650047735372</v>
      </c>
      <c r="AH38" s="484">
        <f>AG48</f>
        <v>0.827121050591197</v>
      </c>
    </row>
    <row r="39" spans="1:34" ht="15" customHeight="1">
      <c r="A39" s="492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3293</v>
      </c>
      <c r="H39" s="91">
        <f>F39*G39</f>
        <v>145879.9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1335.0000000000105</v>
      </c>
      <c r="O39" s="203">
        <f>N39/M39</f>
        <v>78.529411764706495</v>
      </c>
      <c r="P39" s="97">
        <f>M39-J39</f>
        <v>0</v>
      </c>
      <c r="Q39" s="98">
        <f>O39-L39</f>
        <v>-17.705882352940563</v>
      </c>
      <c r="R39" s="99">
        <f>O39/L39</f>
        <v>0.81601466992665672</v>
      </c>
      <c r="S39" s="495"/>
      <c r="T39" s="20">
        <v>0.39930555555555602</v>
      </c>
      <c r="U39" s="20">
        <v>0.50208333333333299</v>
      </c>
      <c r="V39" s="92">
        <f>(T39-U38)*24*60</f>
        <v>7.000000000001334</v>
      </c>
      <c r="W39" s="205">
        <f t="shared" si="12"/>
        <v>147.99999999999883</v>
      </c>
      <c r="X39" s="22">
        <v>0.50694444444444398</v>
      </c>
      <c r="Y39" s="84">
        <v>0.54861111111111105</v>
      </c>
      <c r="Z39" s="90"/>
      <c r="AA39" s="90"/>
      <c r="AB39" s="487"/>
      <c r="AC39" s="487"/>
      <c r="AD39" s="200"/>
      <c r="AE39" s="200"/>
      <c r="AF39" s="314">
        <f>N39-K39</f>
        <v>-300.99999999998954</v>
      </c>
      <c r="AG39" s="206">
        <f>N39/K39</f>
        <v>0.81601466992665672</v>
      </c>
      <c r="AH39" s="485"/>
    </row>
    <row r="40" spans="1:34" ht="15" customHeight="1">
      <c r="A40" s="492"/>
      <c r="B40" s="75" t="s">
        <v>123</v>
      </c>
      <c r="C40" s="207"/>
      <c r="D40" s="198" t="s">
        <v>124</v>
      </c>
      <c r="E40" s="178"/>
      <c r="F40" s="75">
        <f>VLOOKUP(D40,廠價表!$C$1:$E$43,3,0)</f>
        <v>44.3</v>
      </c>
      <c r="G40" s="199">
        <v>2557</v>
      </c>
      <c r="H40" s="91">
        <f>F40*G40</f>
        <v>113275.09999999999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1461.1428571428514</v>
      </c>
      <c r="O40" s="203">
        <f>N40/M40</f>
        <v>85.949579831932439</v>
      </c>
      <c r="P40" s="97">
        <f>M40-J40</f>
        <v>0</v>
      </c>
      <c r="Q40" s="98">
        <f>O40-L40</f>
        <v>-10.285714285714619</v>
      </c>
      <c r="R40" s="99">
        <f>O40/L40</f>
        <v>0.89311910583303877</v>
      </c>
      <c r="S40" s="417"/>
      <c r="T40" s="20">
        <v>0.56458333333333299</v>
      </c>
      <c r="U40" s="20">
        <v>0.63749999999999996</v>
      </c>
      <c r="V40" s="92">
        <f>(T40-U39)*24*60</f>
        <v>90</v>
      </c>
      <c r="W40" s="205">
        <f t="shared" si="12"/>
        <v>105.00000000000043</v>
      </c>
      <c r="X40" s="208"/>
      <c r="Y40" s="209"/>
      <c r="Z40" s="337"/>
      <c r="AA40" s="337"/>
      <c r="AB40" s="466"/>
      <c r="AC40" s="466"/>
      <c r="AD40" s="92"/>
      <c r="AE40" s="92"/>
      <c r="AF40" s="314">
        <f>N40-K40</f>
        <v>-174.85714285714857</v>
      </c>
      <c r="AG40" s="206">
        <f>N40/K40</f>
        <v>0.89311910583303877</v>
      </c>
      <c r="AH40" s="485"/>
    </row>
    <row r="41" spans="1:34" ht="15" customHeight="1">
      <c r="A41" s="492"/>
      <c r="B41" s="75" t="s">
        <v>123</v>
      </c>
      <c r="C41" s="207"/>
      <c r="D41" s="198" t="s">
        <v>126</v>
      </c>
      <c r="E41" s="178"/>
      <c r="F41" s="75">
        <f>VLOOKUP(D41,廠價表!$C$1:$E$43,3,0)</f>
        <v>49.91</v>
      </c>
      <c r="G41" s="199">
        <v>1051</v>
      </c>
      <c r="H41" s="91">
        <f>F41*G41</f>
        <v>52455.409999999996</v>
      </c>
      <c r="I41" s="200"/>
      <c r="J41" s="148">
        <f>VLOOKUP(D41,產線配置圖!$A$3:$C$40,2,0)</f>
        <v>15</v>
      </c>
      <c r="K41" s="95">
        <f>VLOOKUP(D41,產線配置圖!$A$3:$C$40,3,0)</f>
        <v>1714</v>
      </c>
      <c r="L41" s="96">
        <f>K41/J41</f>
        <v>114.26666666666667</v>
      </c>
      <c r="M41" s="201">
        <v>15</v>
      </c>
      <c r="N41" s="202">
        <f>G41/W41*60</f>
        <v>1313.7499999999739</v>
      </c>
      <c r="O41" s="203">
        <f>N41/M41</f>
        <v>87.583333333331595</v>
      </c>
      <c r="P41" s="97">
        <f>M41-J41</f>
        <v>0</v>
      </c>
      <c r="Q41" s="98">
        <f>O41-L41</f>
        <v>-26.683333333335071</v>
      </c>
      <c r="R41" s="99">
        <f>O41/L41</f>
        <v>0.76648191365226015</v>
      </c>
      <c r="S41" s="417"/>
      <c r="T41" s="20">
        <v>0.64722222222222203</v>
      </c>
      <c r="U41" s="210">
        <v>0.68055555555555602</v>
      </c>
      <c r="V41" s="92">
        <f>(T41-U40)*24*60</f>
        <v>13.99999999999979</v>
      </c>
      <c r="W41" s="205">
        <f t="shared" si="12"/>
        <v>48.000000000000952</v>
      </c>
      <c r="X41" s="208"/>
      <c r="Y41" s="209"/>
      <c r="Z41" s="337"/>
      <c r="AA41" s="337"/>
      <c r="AB41" s="466" t="s">
        <v>125</v>
      </c>
      <c r="AC41" s="466"/>
      <c r="AD41" s="92"/>
      <c r="AE41" s="92"/>
      <c r="AF41" s="314">
        <f>N41-K41</f>
        <v>-400.25000000002615</v>
      </c>
      <c r="AG41" s="206">
        <f>N41/K41</f>
        <v>0.76648191365226015</v>
      </c>
      <c r="AH41" s="485"/>
    </row>
    <row r="42" spans="1:34" ht="15" customHeight="1">
      <c r="A42" s="49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7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466"/>
      <c r="AC42" s="466"/>
      <c r="AD42" s="92"/>
      <c r="AE42" s="92"/>
      <c r="AF42" s="314"/>
      <c r="AG42" s="206"/>
      <c r="AH42" s="485"/>
    </row>
    <row r="43" spans="1:34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>
        <f t="shared" ref="J48:O48" si="24">AVERAGE(J38:J47)</f>
        <v>16</v>
      </c>
      <c r="K48" s="155">
        <f t="shared" si="24"/>
        <v>1675</v>
      </c>
      <c r="L48" s="158">
        <f t="shared" si="24"/>
        <v>105.25098039215686</v>
      </c>
      <c r="M48" s="155">
        <f t="shared" si="24"/>
        <v>16</v>
      </c>
      <c r="N48" s="155">
        <f t="shared" si="24"/>
        <v>1385.4277597402549</v>
      </c>
      <c r="O48" s="158">
        <f t="shared" si="24"/>
        <v>86.879217596129038</v>
      </c>
      <c r="P48" s="221">
        <f>M48-J48</f>
        <v>0</v>
      </c>
      <c r="Q48" s="222">
        <f>N48-K48</f>
        <v>-289.57224025974506</v>
      </c>
      <c r="R48" s="223">
        <f>O48/L48</f>
        <v>0.82544806017410877</v>
      </c>
      <c r="S48" s="420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67"/>
      <c r="AC48" s="467"/>
      <c r="AD48" s="323">
        <f>SUM(AD38:AD47)</f>
        <v>0</v>
      </c>
      <c r="AE48" s="323">
        <f>SUM(AE38:AE47)</f>
        <v>0</v>
      </c>
      <c r="AF48" s="315">
        <f t="shared" ref="AF48:AF53" si="25">N48-K48</f>
        <v>-289.57224025974506</v>
      </c>
      <c r="AG48" s="162">
        <f t="shared" ref="AG48:AG53" si="26">N48/K48</f>
        <v>0.827121050591197</v>
      </c>
      <c r="AH48" s="486"/>
    </row>
    <row r="49" spans="1:34" ht="15" customHeight="1">
      <c r="A49" s="488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2465</v>
      </c>
      <c r="H49" s="134">
        <f>F49*G49</f>
        <v>122066.8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1395.2830188679275</v>
      </c>
      <c r="O49" s="141">
        <f>N49/M49</f>
        <v>82.075471698113375</v>
      </c>
      <c r="P49" s="229">
        <f>M49-J49</f>
        <v>0</v>
      </c>
      <c r="Q49" s="230">
        <f>O49-L49</f>
        <v>-6.1598224195336826</v>
      </c>
      <c r="R49" s="52">
        <f>O49/L49</f>
        <v>0.93018867924528492</v>
      </c>
      <c r="S49" s="416">
        <f>R58</f>
        <v>0.87826350134915976</v>
      </c>
      <c r="T49" s="191">
        <v>0.29166666666666702</v>
      </c>
      <c r="U49" s="191">
        <v>0.36527777777777798</v>
      </c>
      <c r="V49" s="55"/>
      <c r="W49" s="193">
        <f t="shared" si="12"/>
        <v>105.99999999999979</v>
      </c>
      <c r="X49" s="55"/>
      <c r="Y49" s="290"/>
      <c r="Z49" s="169"/>
      <c r="AA49" s="169"/>
      <c r="AB49" s="468"/>
      <c r="AC49" s="468"/>
      <c r="AD49" s="135"/>
      <c r="AE49" s="135"/>
      <c r="AF49" s="229">
        <f t="shared" si="25"/>
        <v>-104.71698113207253</v>
      </c>
      <c r="AG49" s="52">
        <f t="shared" si="26"/>
        <v>0.93018867924528503</v>
      </c>
      <c r="AH49" s="461">
        <f>AG58</f>
        <v>0.87847278953353947</v>
      </c>
    </row>
    <row r="50" spans="1:34" ht="15" customHeight="1">
      <c r="A50" s="489"/>
      <c r="B50" s="75" t="s">
        <v>81</v>
      </c>
      <c r="C50" s="76"/>
      <c r="D50" s="59" t="s">
        <v>128</v>
      </c>
      <c r="E50" s="77"/>
      <c r="F50" s="75">
        <f>VLOOKUP(D50,廠價表!$C$1:$E$43,3,0)</f>
        <v>57.21</v>
      </c>
      <c r="G50" s="202">
        <v>1230</v>
      </c>
      <c r="H50" s="231">
        <f>F50*G50</f>
        <v>70368.3</v>
      </c>
      <c r="I50" s="232"/>
      <c r="J50" s="79">
        <f>VLOOKUP(D50,產線配置圖!$A$3:$C$40,2,0)</f>
        <v>17</v>
      </c>
      <c r="K50" s="80">
        <f>VLOOKUP(D50,產線配置圖!$A$3:$C$40,3,0)</f>
        <v>1716</v>
      </c>
      <c r="L50" s="81">
        <f>K50/J50</f>
        <v>100.94117647058823</v>
      </c>
      <c r="M50" s="233">
        <v>17</v>
      </c>
      <c r="N50" s="234">
        <f>G50/W50*60</f>
        <v>1447.058823529399</v>
      </c>
      <c r="O50" s="235">
        <f>N50/M50</f>
        <v>85.121107266435232</v>
      </c>
      <c r="P50" s="74">
        <f>M50-J50</f>
        <v>0</v>
      </c>
      <c r="Q50" s="83">
        <f>O50-L50</f>
        <v>-15.820069204153</v>
      </c>
      <c r="R50" s="72">
        <f>O50/L50</f>
        <v>0.84327437268612992</v>
      </c>
      <c r="S50" s="417"/>
      <c r="T50" s="21">
        <v>0.37361111111111101</v>
      </c>
      <c r="U50" s="21">
        <v>0.40902777777777799</v>
      </c>
      <c r="V50" s="30">
        <f>(T50-U49)*24*60</f>
        <v>11.999999999999558</v>
      </c>
      <c r="W50" s="236">
        <f t="shared" si="12"/>
        <v>51.000000000000455</v>
      </c>
      <c r="X50" s="22"/>
      <c r="Y50" s="84"/>
      <c r="Z50" s="90"/>
      <c r="AA50" s="90"/>
      <c r="AB50" s="466"/>
      <c r="AC50" s="466"/>
      <c r="AD50" s="92"/>
      <c r="AE50" s="92"/>
      <c r="AF50" s="307">
        <f t="shared" si="25"/>
        <v>-268.94117647060102</v>
      </c>
      <c r="AG50" s="72">
        <f t="shared" si="26"/>
        <v>0.84327437268612992</v>
      </c>
      <c r="AH50" s="462"/>
    </row>
    <row r="51" spans="1:34" ht="15" customHeight="1">
      <c r="A51" s="489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2685</v>
      </c>
      <c r="H51" s="231">
        <f>F51*G51</f>
        <v>134169.44999999998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1564.0776699029072</v>
      </c>
      <c r="O51" s="235">
        <f>N51/M51</f>
        <v>97.754854368931703</v>
      </c>
      <c r="P51" s="74">
        <f>M51-J51</f>
        <v>0</v>
      </c>
      <c r="Q51" s="83">
        <f>O51-L51</f>
        <v>-14.745145631068297</v>
      </c>
      <c r="R51" s="72">
        <f>O51/L51</f>
        <v>0.86893203883494852</v>
      </c>
      <c r="S51" s="417"/>
      <c r="T51" s="21">
        <v>0.41388888888888897</v>
      </c>
      <c r="U51" s="19">
        <v>0.485416666666667</v>
      </c>
      <c r="V51" s="30">
        <f>(T51-U50)*24*60</f>
        <v>6.9999999999998153</v>
      </c>
      <c r="W51" s="236">
        <f t="shared" si="12"/>
        <v>103.00000000000036</v>
      </c>
      <c r="X51" s="22"/>
      <c r="Y51" s="84"/>
      <c r="Z51" s="90"/>
      <c r="AA51" s="90"/>
      <c r="AB51" s="466"/>
      <c r="AC51" s="466"/>
      <c r="AD51" s="92"/>
      <c r="AE51" s="92"/>
      <c r="AF51" s="307">
        <f t="shared" si="25"/>
        <v>-235.92233009709275</v>
      </c>
      <c r="AG51" s="72">
        <f t="shared" si="26"/>
        <v>0.86893203883494852</v>
      </c>
      <c r="AH51" s="462"/>
    </row>
    <row r="52" spans="1:34" ht="15" customHeight="1">
      <c r="A52" s="489"/>
      <c r="B52" s="75" t="s">
        <v>81</v>
      </c>
      <c r="C52" s="86"/>
      <c r="D52" s="59" t="s">
        <v>129</v>
      </c>
      <c r="E52" s="87"/>
      <c r="F52" s="75"/>
      <c r="G52" s="202">
        <v>3407</v>
      </c>
      <c r="H52" s="231"/>
      <c r="I52" s="232"/>
      <c r="J52" s="79"/>
      <c r="K52" s="80"/>
      <c r="L52" s="81"/>
      <c r="M52" s="233">
        <v>16</v>
      </c>
      <c r="N52" s="234"/>
      <c r="O52" s="235"/>
      <c r="P52" s="74"/>
      <c r="Q52" s="83"/>
      <c r="R52" s="72"/>
      <c r="S52" s="417"/>
      <c r="T52" s="21">
        <v>0.57986111111111105</v>
      </c>
      <c r="U52" s="21">
        <v>0.66319444444444398</v>
      </c>
      <c r="V52" s="30">
        <f>(T52-U51)*24*60</f>
        <v>135.99999999999943</v>
      </c>
      <c r="W52" s="236">
        <f t="shared" si="12"/>
        <v>119.99999999999942</v>
      </c>
      <c r="X52" s="22">
        <v>0.47916666666666702</v>
      </c>
      <c r="Y52" s="84">
        <v>0.52083333333333304</v>
      </c>
      <c r="Z52" s="90"/>
      <c r="AA52" s="90"/>
      <c r="AB52" s="466"/>
      <c r="AC52" s="466"/>
      <c r="AD52" s="92"/>
      <c r="AE52" s="92"/>
      <c r="AF52" s="307">
        <f t="shared" si="25"/>
        <v>0</v>
      </c>
      <c r="AG52" s="72" t="e">
        <f t="shared" si="26"/>
        <v>#DIV/0!</v>
      </c>
      <c r="AH52" s="462"/>
    </row>
    <row r="53" spans="1:34" ht="15" customHeight="1">
      <c r="A53" s="48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7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466"/>
      <c r="AC53" s="466"/>
      <c r="AD53" s="92"/>
      <c r="AE53" s="92"/>
      <c r="AF53" s="307">
        <f t="shared" si="25"/>
        <v>0</v>
      </c>
      <c r="AG53" s="72" t="e">
        <f t="shared" si="26"/>
        <v>#DIV/0!</v>
      </c>
      <c r="AH53" s="462"/>
    </row>
    <row r="54" spans="1:34" ht="15" customHeight="1">
      <c r="A54" s="48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7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>
      <c r="A58" s="490"/>
      <c r="B58" s="239"/>
      <c r="C58" s="153" t="s">
        <v>51</v>
      </c>
      <c r="D58" s="437" t="s">
        <v>42</v>
      </c>
      <c r="E58" s="437"/>
      <c r="F58" s="116"/>
      <c r="G58" s="240"/>
      <c r="H58" s="118"/>
      <c r="I58" s="117"/>
      <c r="J58" s="120">
        <f t="shared" ref="J58:O58" si="27">AVERAGE(J49:J57)</f>
        <v>16.666666666666668</v>
      </c>
      <c r="K58" s="120">
        <f t="shared" si="27"/>
        <v>1672</v>
      </c>
      <c r="L58" s="117">
        <f t="shared" si="27"/>
        <v>100.55882352941177</v>
      </c>
      <c r="M58" s="120">
        <f t="shared" si="27"/>
        <v>16.5</v>
      </c>
      <c r="N58" s="120">
        <f t="shared" si="27"/>
        <v>1468.806504100078</v>
      </c>
      <c r="O58" s="117">
        <f t="shared" si="27"/>
        <v>88.317144444493451</v>
      </c>
      <c r="P58" s="121">
        <f>M58-J58</f>
        <v>-0.16666666666666785</v>
      </c>
      <c r="Q58" s="122">
        <f>N58-K58</f>
        <v>-203.19349589992203</v>
      </c>
      <c r="R58" s="123">
        <f>O58/L58</f>
        <v>0.87826350134915976</v>
      </c>
      <c r="S58" s="42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7"/>
      <c r="AC58" s="467"/>
      <c r="AD58" s="323">
        <f>SUM(AD49:AD57)</f>
        <v>0</v>
      </c>
      <c r="AE58" s="323">
        <f>SUM(AE49:AE57)</f>
        <v>0</v>
      </c>
      <c r="AF58" s="309">
        <f>N58-K58</f>
        <v>-203.19349589992203</v>
      </c>
      <c r="AG58" s="124">
        <f>N58/K58</f>
        <v>0.87847278953353947</v>
      </c>
      <c r="AH58" s="464"/>
    </row>
    <row r="59" spans="1:34" ht="15" customHeight="1">
      <c r="A59" s="502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4383</v>
      </c>
      <c r="H59" s="243">
        <f>F59*G59</f>
        <v>118297.17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1314.899999999999</v>
      </c>
      <c r="O59" s="138">
        <f>N59/M59</f>
        <v>87.659999999999926</v>
      </c>
      <c r="P59" s="56">
        <f>M59-J59</f>
        <v>0</v>
      </c>
      <c r="Q59" s="230">
        <f>O59-L59</f>
        <v>-16.673333333333403</v>
      </c>
      <c r="R59" s="52">
        <f>O59/L59</f>
        <v>0.84019169329073418</v>
      </c>
      <c r="S59" s="416">
        <f>R69</f>
        <v>0.86988479039597222</v>
      </c>
      <c r="T59" s="245">
        <v>0.29166666666666702</v>
      </c>
      <c r="U59" s="245">
        <v>0.43055555555555602</v>
      </c>
      <c r="V59" s="55"/>
      <c r="W59" s="54">
        <f t="shared" si="12"/>
        <v>200.00000000000017</v>
      </c>
      <c r="X59" s="55"/>
      <c r="Y59" s="290"/>
      <c r="Z59" s="169"/>
      <c r="AA59" s="169"/>
      <c r="AB59" s="468"/>
      <c r="AC59" s="468"/>
      <c r="AD59" s="135"/>
      <c r="AE59" s="135"/>
      <c r="AF59" s="310">
        <f>N59-K59</f>
        <v>-250.10000000000105</v>
      </c>
      <c r="AG59" s="246">
        <f>N59/K59</f>
        <v>0.84019169329073418</v>
      </c>
      <c r="AH59" s="461">
        <f>AG69</f>
        <v>0.82968051118210817</v>
      </c>
    </row>
    <row r="60" spans="1:34" ht="15" customHeight="1">
      <c r="A60" s="503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1923</v>
      </c>
      <c r="H60" s="78">
        <f>F60*G60</f>
        <v>54343.98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11</v>
      </c>
      <c r="N60" s="80">
        <f>G60/W60*60</f>
        <v>1282</v>
      </c>
      <c r="O60" s="81">
        <f>N60/M60</f>
        <v>116.54545454545455</v>
      </c>
      <c r="P60" s="74">
        <f>M60-J60</f>
        <v>-1</v>
      </c>
      <c r="Q60" s="83">
        <f>O60-L60</f>
        <v>-13.87121212121211</v>
      </c>
      <c r="R60" s="72">
        <f>O60/L60</f>
        <v>0.8936392680801627</v>
      </c>
      <c r="S60" s="506"/>
      <c r="T60" s="22">
        <v>0.44444444444444398</v>
      </c>
      <c r="U60" s="22">
        <v>0.50694444444444398</v>
      </c>
      <c r="V60" s="30">
        <f>(T60-U59)*24*60</f>
        <v>19.99999999999865</v>
      </c>
      <c r="W60" s="248">
        <f t="shared" si="12"/>
        <v>90</v>
      </c>
      <c r="X60" s="232"/>
      <c r="Y60" s="177"/>
      <c r="Z60" s="90"/>
      <c r="AA60" s="90"/>
      <c r="AB60" s="466"/>
      <c r="AC60" s="466"/>
      <c r="AD60" s="92"/>
      <c r="AE60" s="92"/>
      <c r="AF60" s="316">
        <f>N60-K60</f>
        <v>-283</v>
      </c>
      <c r="AG60" s="249">
        <f>N60/K60</f>
        <v>0.81916932907348239</v>
      </c>
      <c r="AH60" s="497"/>
    </row>
    <row r="61" spans="1:34" ht="15" customHeight="1">
      <c r="A61" s="504"/>
      <c r="B61" s="250"/>
      <c r="C61" s="251"/>
      <c r="D61" s="252"/>
      <c r="E61" s="253"/>
      <c r="F61" s="250"/>
      <c r="G61" s="38"/>
      <c r="H61" s="254"/>
      <c r="I61" s="182"/>
      <c r="J61" s="106"/>
      <c r="K61" s="107"/>
      <c r="L61" s="238"/>
      <c r="M61" s="108"/>
      <c r="N61" s="107"/>
      <c r="O61" s="238"/>
      <c r="P61" s="111"/>
      <c r="Q61" s="255"/>
      <c r="R61" s="85"/>
      <c r="S61" s="417"/>
      <c r="T61" s="22"/>
      <c r="U61" s="22"/>
      <c r="V61" s="30"/>
      <c r="W61" s="256">
        <f t="shared" si="12"/>
        <v>0</v>
      </c>
      <c r="X61" s="22"/>
      <c r="Y61" s="84"/>
      <c r="Z61" s="90"/>
      <c r="AA61" s="90"/>
      <c r="AB61" s="466"/>
      <c r="AC61" s="466"/>
      <c r="AD61" s="92"/>
      <c r="AE61" s="92"/>
      <c r="AF61" s="317">
        <f>N61-K61</f>
        <v>0</v>
      </c>
      <c r="AG61" s="247" t="e">
        <f>N61/K61</f>
        <v>#DIV/0!</v>
      </c>
      <c r="AH61" s="462"/>
    </row>
    <row r="62" spans="1:34" ht="15" customHeight="1">
      <c r="A62" s="504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7"/>
      <c r="T62" s="22"/>
      <c r="U62" s="22"/>
      <c r="V62" s="30"/>
      <c r="W62" s="248">
        <f t="shared" si="12"/>
        <v>0</v>
      </c>
      <c r="X62" s="22">
        <v>0.50347222222222199</v>
      </c>
      <c r="Y62" s="84">
        <v>0.54513888888888895</v>
      </c>
      <c r="Z62" s="90"/>
      <c r="AA62" s="90"/>
      <c r="AB62" s="466"/>
      <c r="AC62" s="466"/>
      <c r="AD62" s="92"/>
      <c r="AE62" s="92"/>
      <c r="AF62" s="317">
        <f>N62-K62</f>
        <v>0</v>
      </c>
      <c r="AG62" s="247" t="e">
        <f>N62/K62</f>
        <v>#DIV/0!</v>
      </c>
      <c r="AH62" s="462"/>
    </row>
    <row r="63" spans="1:34" ht="15" customHeight="1">
      <c r="A63" s="504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7"/>
      <c r="T63" s="22"/>
      <c r="U63" s="22"/>
      <c r="V63" s="30"/>
      <c r="W63" s="248">
        <f t="shared" si="12"/>
        <v>0</v>
      </c>
      <c r="X63" s="261"/>
      <c r="Y63" s="291"/>
      <c r="Z63" s="335"/>
      <c r="AA63" s="335"/>
      <c r="AB63" s="466"/>
      <c r="AC63" s="466"/>
      <c r="AD63" s="92"/>
      <c r="AE63" s="92"/>
      <c r="AF63" s="317"/>
      <c r="AG63" s="247"/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>
        <f t="shared" ref="J69:O69" si="28">AVERAGE(J59:J68)</f>
        <v>13.5</v>
      </c>
      <c r="K69" s="240">
        <f t="shared" si="28"/>
        <v>1565</v>
      </c>
      <c r="L69" s="268">
        <f t="shared" si="28"/>
        <v>117.375</v>
      </c>
      <c r="M69" s="240">
        <f t="shared" si="28"/>
        <v>13</v>
      </c>
      <c r="N69" s="240">
        <f t="shared" si="28"/>
        <v>1298.4499999999994</v>
      </c>
      <c r="O69" s="268">
        <f t="shared" si="28"/>
        <v>102.10272727272724</v>
      </c>
      <c r="P69" s="269">
        <f>M69-J69</f>
        <v>-0.5</v>
      </c>
      <c r="Q69" s="222">
        <f>N69-K69</f>
        <v>-266.55000000000064</v>
      </c>
      <c r="R69" s="123">
        <f>O69/L69</f>
        <v>0.86988479039597222</v>
      </c>
      <c r="S69" s="42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7"/>
      <c r="AC69" s="467"/>
      <c r="AD69" s="323">
        <f>SUM(AD59:AD68)</f>
        <v>0</v>
      </c>
      <c r="AE69" s="323">
        <f>SUM(AE59:AE68)</f>
        <v>0</v>
      </c>
      <c r="AF69" s="309">
        <f>N69-K69</f>
        <v>-266.55000000000064</v>
      </c>
      <c r="AG69" s="124">
        <f>N69/K69</f>
        <v>0.82968051118210817</v>
      </c>
      <c r="AH69" s="464"/>
    </row>
    <row r="70" spans="1:36" ht="15" customHeight="1">
      <c r="A70" s="498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6">
        <f>R79</f>
        <v>0</v>
      </c>
      <c r="T70" s="245"/>
      <c r="U70" s="245"/>
      <c r="V70" s="55"/>
      <c r="W70" s="54">
        <f t="shared" si="12"/>
        <v>0</v>
      </c>
      <c r="X70" s="270"/>
      <c r="Y70" s="292"/>
      <c r="Z70" s="169"/>
      <c r="AA70" s="169"/>
      <c r="AB70" s="468"/>
      <c r="AC70" s="468"/>
      <c r="AD70" s="135"/>
      <c r="AE70" s="135"/>
      <c r="AF70" s="310">
        <f>N70-K70</f>
        <v>0</v>
      </c>
      <c r="AG70" s="246" t="e">
        <f>N70/K70</f>
        <v>#DIV/0!</v>
      </c>
      <c r="AH70" s="461" t="e">
        <f>AG79</f>
        <v>#DIV/0!</v>
      </c>
    </row>
    <row r="71" spans="1:36" ht="15" customHeight="1">
      <c r="A71" s="499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7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487"/>
      <c r="AC71" s="487"/>
      <c r="AD71" s="200"/>
      <c r="AE71" s="200"/>
      <c r="AF71" s="311">
        <v>-300.31249999999704</v>
      </c>
      <c r="AG71" s="99">
        <v>0.80810702875399554</v>
      </c>
      <c r="AH71" s="482"/>
    </row>
    <row r="72" spans="1:36" ht="15" customHeight="1">
      <c r="A72" s="499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7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466"/>
      <c r="AC72" s="466"/>
      <c r="AD72" s="92"/>
      <c r="AE72" s="92"/>
      <c r="AF72" s="311">
        <v>-130.33333333333326</v>
      </c>
      <c r="AG72" s="99">
        <v>0.91671991480298198</v>
      </c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466"/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>
      <c r="A79" s="500"/>
      <c r="B79" s="239"/>
      <c r="C79" s="153" t="s">
        <v>56</v>
      </c>
      <c r="D79" s="437" t="s">
        <v>42</v>
      </c>
      <c r="E79" s="437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W3:W4"/>
    <mergeCell ref="X3:Y3"/>
    <mergeCell ref="Z3:AA3"/>
    <mergeCell ref="AB1:AC2"/>
    <mergeCell ref="AF1:AH2"/>
    <mergeCell ref="AD3:AE3"/>
    <mergeCell ref="AF3:AF4"/>
    <mergeCell ref="AG3:AG4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A2:B2"/>
    <mergeCell ref="A3:A4"/>
    <mergeCell ref="B3:B4"/>
    <mergeCell ref="D3:E4"/>
    <mergeCell ref="F3:F4"/>
    <mergeCell ref="R3:R4"/>
    <mergeCell ref="T3:U3"/>
    <mergeCell ref="V3:V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38:A48"/>
    <mergeCell ref="S38:S48"/>
    <mergeCell ref="AB38:AC38"/>
    <mergeCell ref="D48:E48"/>
    <mergeCell ref="AB48:AC48"/>
    <mergeCell ref="D37:E37"/>
    <mergeCell ref="AB37:AC37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314" priority="1" operator="greaterThan">
      <formula>0</formula>
    </cfRule>
  </conditionalFormatting>
  <conditionalFormatting sqref="Q5:Q79 AF5:AF79">
    <cfRule type="cellIs" dxfId="313" priority="4" operator="lessThan">
      <formula>0</formula>
    </cfRule>
  </conditionalFormatting>
  <conditionalFormatting sqref="R5:R79 AG5:AG79">
    <cfRule type="cellIs" dxfId="312" priority="2" operator="greaterThan">
      <formula>1</formula>
    </cfRule>
    <cfRule type="cellIs" dxfId="311" priority="3" operator="lessThan">
      <formula>0.8</formula>
    </cfRule>
  </conditionalFormatting>
  <conditionalFormatting sqref="S5:S10 S37:S62 AH59:AH62 S69:S76 AH69:AH76">
    <cfRule type="cellIs" dxfId="310" priority="7" operator="lessThan">
      <formula>0.8</formula>
    </cfRule>
  </conditionalFormatting>
  <conditionalFormatting sqref="S19:S25 AH19:AH25">
    <cfRule type="cellIs" dxfId="309" priority="6" operator="lessThan">
      <formula>0.8</formula>
    </cfRule>
  </conditionalFormatting>
  <conditionalFormatting sqref="S79">
    <cfRule type="cellIs" dxfId="308" priority="5" operator="lessThan">
      <formula>0.8</formula>
    </cfRule>
  </conditionalFormatting>
  <conditionalFormatting sqref="AH5:AH8 S15:S16 AH15:AH16 AH49 AH79">
    <cfRule type="cellIs" dxfId="307" priority="9" operator="lessThan">
      <formula>0.8</formula>
    </cfRule>
  </conditionalFormatting>
  <conditionalFormatting sqref="AH27 S27:S28">
    <cfRule type="cellIs" dxfId="306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A3BE4B7-6BDC-43EF-A0F1-C990B63F9764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508C6-29E0-4847-9894-A1E763D5448C}">
  <dimension ref="B1:O26"/>
  <sheetViews>
    <sheetView zoomScale="70" zoomScaleNormal="70" workbookViewId="0">
      <selection activeCell="AB64" sqref="AB64:AC6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46147</v>
      </c>
      <c r="E3" s="412"/>
      <c r="F3" s="3" t="s">
        <v>72</v>
      </c>
      <c r="G3" s="413">
        <f>'0505'!E1</f>
        <v>69179</v>
      </c>
      <c r="H3" s="413"/>
      <c r="I3" s="3" t="s">
        <v>2</v>
      </c>
      <c r="J3" s="414">
        <f>'0505'!G1</f>
        <v>3441087.1420000005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>
        <f>AVERAGE(D13:I13)</f>
        <v>122.09894419306185</v>
      </c>
      <c r="G6" s="410"/>
      <c r="H6" s="395">
        <f>AVERAGE(D13:H13)</f>
        <v>124.09386123680243</v>
      </c>
      <c r="I6" s="395"/>
      <c r="J6" s="395">
        <f>AVERAGE(I13)</f>
        <v>112.12435897435898</v>
      </c>
      <c r="K6" s="395"/>
      <c r="L6" s="396">
        <f>SUM(D18:J18)</f>
        <v>0</v>
      </c>
      <c r="M6" s="398">
        <f>SUM(D19:J19)</f>
        <v>0</v>
      </c>
      <c r="N6" s="399">
        <f>SUM(D20:J20)</f>
        <v>1</v>
      </c>
      <c r="O6" s="398">
        <f>SUM(D20:J20)</f>
        <v>1</v>
      </c>
    </row>
    <row r="7" spans="2:15" ht="39.6" customHeight="1">
      <c r="B7" s="406"/>
      <c r="C7" s="406"/>
      <c r="D7" s="401" t="s">
        <v>87</v>
      </c>
      <c r="E7" s="401"/>
      <c r="F7" s="402">
        <f>AVERAGE(D14:I14)</f>
        <v>108.5582085724688</v>
      </c>
      <c r="G7" s="402"/>
      <c r="H7" s="403">
        <f>AVERAGE(D14:H14)</f>
        <v>110.46792310236125</v>
      </c>
      <c r="I7" s="403"/>
      <c r="J7" s="403">
        <f>AVERAGE(I14)</f>
        <v>99.009635923006499</v>
      </c>
      <c r="K7" s="403"/>
      <c r="L7" s="397" t="e">
        <f t="shared" ref="L7:O8" si="0">AVERAGE(K14:L14)</f>
        <v>#DIV/0!</v>
      </c>
      <c r="M7" s="398" t="e">
        <f t="shared" si="0"/>
        <v>#DIV/0!</v>
      </c>
      <c r="N7" s="400" t="e">
        <f t="shared" si="0"/>
        <v>#DIV/0!</v>
      </c>
      <c r="O7" s="398" t="e">
        <f t="shared" si="0"/>
        <v>#DIV/0!</v>
      </c>
    </row>
    <row r="8" spans="2:15" ht="39.6" customHeight="1">
      <c r="B8" s="406"/>
      <c r="C8" s="406"/>
      <c r="D8" s="401" t="s">
        <v>27</v>
      </c>
      <c r="E8" s="401"/>
      <c r="F8" s="387">
        <f>F7/F6</f>
        <v>0.88910030541146567</v>
      </c>
      <c r="G8" s="387"/>
      <c r="H8" s="387">
        <f>H7/H6</f>
        <v>0.89019651738904759</v>
      </c>
      <c r="I8" s="387"/>
      <c r="J8" s="387">
        <f>J7/J6</f>
        <v>0.88303413128674735</v>
      </c>
      <c r="K8" s="387"/>
      <c r="L8" s="397" t="e">
        <f t="shared" si="0"/>
        <v>#DIV/0!</v>
      </c>
      <c r="M8" s="398" t="e">
        <f t="shared" si="0"/>
        <v>#DIV/0!</v>
      </c>
      <c r="N8" s="400" t="e">
        <f t="shared" si="0"/>
        <v>#DIV/0!</v>
      </c>
      <c r="O8" s="398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>
        <f>VALUE('0505'!L15)</f>
        <v>150</v>
      </c>
      <c r="E13" s="13">
        <f>VALUE('0505'!L26)</f>
        <v>169.61538461538461</v>
      </c>
      <c r="F13" s="13">
        <f>VALUE('0505'!L37)</f>
        <v>92.058823529411768</v>
      </c>
      <c r="G13" s="13">
        <f>VALUE('0505'!L48)</f>
        <v>105.25098039215686</v>
      </c>
      <c r="H13" s="13">
        <f>VALUE('0505'!L58)</f>
        <v>103.54411764705883</v>
      </c>
      <c r="I13" s="13">
        <f>VALUE('0505'!L69)</f>
        <v>112.12435897435898</v>
      </c>
      <c r="J13" s="13">
        <f>'0505'!L79</f>
        <v>88.559339525283789</v>
      </c>
    </row>
    <row r="14" spans="2:15" ht="39.950000000000003" customHeight="1">
      <c r="B14" s="381"/>
      <c r="C14" s="12" t="s">
        <v>100</v>
      </c>
      <c r="D14" s="13">
        <f>VALUE('0505'!O15)</f>
        <v>136.55592185592195</v>
      </c>
      <c r="E14" s="13">
        <f>VALUE('0505'!O26)</f>
        <v>152.27218726521053</v>
      </c>
      <c r="F14" s="13">
        <f>VALUE('0505'!O37)</f>
        <v>76.266175803654789</v>
      </c>
      <c r="G14" s="13">
        <f>VALUE('0505'!O48)</f>
        <v>91.832679367733888</v>
      </c>
      <c r="H14" s="13">
        <f>VALUE('0505'!O58)</f>
        <v>95.412651219285166</v>
      </c>
      <c r="I14" s="13">
        <f>VALUE('0505'!O69)</f>
        <v>99.009635923006499</v>
      </c>
      <c r="J14" s="13">
        <f>'0505'!O79</f>
        <v>83.505178066603392</v>
      </c>
    </row>
    <row r="15" spans="2:15" ht="39.950000000000003" customHeight="1">
      <c r="B15" s="382"/>
      <c r="C15" s="10" t="s">
        <v>26</v>
      </c>
      <c r="D15" s="14">
        <f t="shared" ref="D15:I15" si="1">D14/D13</f>
        <v>0.91037281237281298</v>
      </c>
      <c r="E15" s="14">
        <f t="shared" si="1"/>
        <v>0.89774985689239772</v>
      </c>
      <c r="F15" s="14">
        <f t="shared" si="1"/>
        <v>0.82845047198858235</v>
      </c>
      <c r="G15" s="14">
        <f t="shared" si="1"/>
        <v>0.87251139158583191</v>
      </c>
      <c r="H15" s="14">
        <f t="shared" si="1"/>
        <v>0.92146858158093892</v>
      </c>
      <c r="I15" s="14">
        <f t="shared" si="1"/>
        <v>0.88303413128674735</v>
      </c>
      <c r="J15" s="15">
        <f>'0505'!S70</f>
        <v>0.94292909719321671</v>
      </c>
    </row>
    <row r="16" spans="2:15" ht="17.25" customHeight="1">
      <c r="B16" s="383" t="s">
        <v>101</v>
      </c>
      <c r="C16" s="10" t="s">
        <v>34</v>
      </c>
      <c r="D16" s="16">
        <f>'0505'!T5</f>
        <v>0.29166666666666702</v>
      </c>
      <c r="E16" s="16">
        <f>'0505'!T16</f>
        <v>0.29236111111111102</v>
      </c>
      <c r="F16" s="16">
        <f>'0505'!T27</f>
        <v>0.33680555555555602</v>
      </c>
      <c r="G16" s="16">
        <f>'0505'!T38</f>
        <v>0.33333333333333298</v>
      </c>
      <c r="H16" s="16">
        <f>'0505'!T49</f>
        <v>0.29097222222222202</v>
      </c>
      <c r="I16" s="16">
        <f>'0505'!T59</f>
        <v>0.29166666666666702</v>
      </c>
      <c r="J16" s="16">
        <f>'0505'!T70</f>
        <v>0.33680555555555602</v>
      </c>
    </row>
    <row r="17" spans="2:10" ht="17.25" customHeight="1">
      <c r="B17" s="384"/>
      <c r="C17" s="10" t="s">
        <v>35</v>
      </c>
      <c r="D17" s="16">
        <v>0.63194444444444398</v>
      </c>
      <c r="E17" s="19">
        <v>0.64861111111111103</v>
      </c>
      <c r="F17" s="19">
        <v>0.72222222222222199</v>
      </c>
      <c r="G17" s="20">
        <v>0.67361111111111105</v>
      </c>
      <c r="H17" s="21">
        <v>0.61805555555555602</v>
      </c>
      <c r="I17" s="22">
        <v>0.65972222222222199</v>
      </c>
      <c r="J17" s="22">
        <v>0.64027777777777795</v>
      </c>
    </row>
    <row r="18" spans="2:10" ht="17.25" customHeight="1">
      <c r="B18" s="385" t="s">
        <v>102</v>
      </c>
      <c r="C18" s="330" t="s">
        <v>36</v>
      </c>
      <c r="D18" s="358">
        <f>'0505'!Z15</f>
        <v>0</v>
      </c>
      <c r="E18" s="359">
        <f>'0505'!Z26</f>
        <v>0</v>
      </c>
      <c r="F18" s="359">
        <f>'0505'!Z37</f>
        <v>0</v>
      </c>
      <c r="G18" s="360">
        <f>'0505'!Z48</f>
        <v>0</v>
      </c>
      <c r="H18" s="360">
        <f>'0505'!Z58</f>
        <v>0</v>
      </c>
      <c r="I18" s="359">
        <f>'0505'!Z69</f>
        <v>0</v>
      </c>
      <c r="J18" s="359">
        <f>'0505'!AA79</f>
        <v>0</v>
      </c>
    </row>
    <row r="19" spans="2:10" ht="17.25" customHeight="1">
      <c r="B19" s="386"/>
      <c r="C19" s="330" t="s">
        <v>37</v>
      </c>
      <c r="D19" s="358">
        <f>'0505'!AA15</f>
        <v>0</v>
      </c>
      <c r="E19" s="359">
        <f>'0505'!AA26</f>
        <v>0</v>
      </c>
      <c r="F19" s="359">
        <f>'0505'!AA37</f>
        <v>0</v>
      </c>
      <c r="G19" s="360">
        <f>'0505'!AA48</f>
        <v>0</v>
      </c>
      <c r="H19" s="360">
        <f>'0505'!AA58</f>
        <v>0</v>
      </c>
      <c r="I19" s="359">
        <f>'0505'!AA69</f>
        <v>0</v>
      </c>
      <c r="J19" s="359">
        <f>'0505'!AB79</f>
        <v>0</v>
      </c>
    </row>
    <row r="20" spans="2:10" ht="17.25" customHeight="1">
      <c r="B20" s="385" t="s">
        <v>103</v>
      </c>
      <c r="C20" s="330" t="s">
        <v>36</v>
      </c>
      <c r="D20" s="358">
        <f>'0505'!AD15</f>
        <v>0</v>
      </c>
      <c r="E20" s="359">
        <f>'0505'!AD26</f>
        <v>0</v>
      </c>
      <c r="F20" s="359">
        <f>'0505'!AD37</f>
        <v>0</v>
      </c>
      <c r="G20" s="360">
        <f>'0505'!AD48</f>
        <v>1</v>
      </c>
      <c r="H20" s="360">
        <f>'0505'!AD58</f>
        <v>0</v>
      </c>
      <c r="I20" s="359">
        <f>'0505'!AD69</f>
        <v>0</v>
      </c>
      <c r="J20" s="359">
        <f>'0505'!AD79</f>
        <v>0</v>
      </c>
    </row>
    <row r="21" spans="2:10" ht="17.25" customHeight="1">
      <c r="B21" s="386"/>
      <c r="C21" s="330" t="s">
        <v>85</v>
      </c>
      <c r="D21" s="358">
        <f>'0505'!AE15</f>
        <v>0</v>
      </c>
      <c r="E21" s="359">
        <f>'0505'!AE26</f>
        <v>0</v>
      </c>
      <c r="F21" s="359">
        <f>'0505'!AE37</f>
        <v>0</v>
      </c>
      <c r="G21" s="360">
        <f>'0505'!AE48</f>
        <v>1</v>
      </c>
      <c r="H21" s="360">
        <f>'0505'!AE58</f>
        <v>0</v>
      </c>
      <c r="I21" s="359">
        <f>'0505'!AE69</f>
        <v>0</v>
      </c>
      <c r="J21" s="359">
        <f>'0505'!AE79</f>
        <v>0</v>
      </c>
    </row>
    <row r="22" spans="2:10" ht="17.25" customHeight="1">
      <c r="B22" s="377" t="s">
        <v>104</v>
      </c>
      <c r="C22" s="378"/>
      <c r="D22" s="23">
        <f>VALUE('0505'!M15)</f>
        <v>15</v>
      </c>
      <c r="E22" s="23">
        <f>VALUE('0505'!M26)</f>
        <v>13.4</v>
      </c>
      <c r="F22" s="23">
        <f>VALUE('0505'!M37)</f>
        <v>16</v>
      </c>
      <c r="G22" s="23">
        <f>VALUE('0505'!M48)</f>
        <v>14.75</v>
      </c>
      <c r="H22" s="23">
        <f>VALUE('0505'!M58)</f>
        <v>15.75</v>
      </c>
      <c r="I22" s="23">
        <f>VALUE('0505'!M69)</f>
        <v>12.6</v>
      </c>
      <c r="J22" s="23">
        <f>'0505'!M79</f>
        <v>12.333333333333334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305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40F9B-1DDA-4AC8-8053-B2BAA45A1785}">
  <sheetPr>
    <tabColor theme="9" tint="0.79998168889431442"/>
  </sheetPr>
  <dimension ref="A1:AJ92"/>
  <sheetViews>
    <sheetView zoomScale="69" zoomScaleNormal="69" workbookViewId="0">
      <pane xSplit="5" ySplit="4" topLeftCell="P54" activePane="bottomRight" state="frozen"/>
      <selection activeCell="AB64" sqref="AB64:AC64"/>
      <selection pane="topRight" activeCell="AB64" sqref="AB64:AC64"/>
      <selection pane="bottomLeft" activeCell="AB64" sqref="AB64:AC64"/>
      <selection pane="bottomRight" activeCell="AB64" sqref="AB64:AC6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8" width="8.7109375" style="34" customWidth="1"/>
    <col min="109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69179</v>
      </c>
      <c r="F1" s="30" t="s">
        <v>2</v>
      </c>
      <c r="G1" s="31">
        <f>SUM(H5:H79)</f>
        <v>3441087.1420000005</v>
      </c>
      <c r="H1" s="32" t="s">
        <v>3</v>
      </c>
      <c r="I1" s="33">
        <f>M15+M26+M48+M58+M69+M79+M37</f>
        <v>99.833333333333329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13</v>
      </c>
      <c r="B2" s="422"/>
      <c r="C2" s="28"/>
      <c r="D2" s="28" t="s">
        <v>14</v>
      </c>
      <c r="E2" s="35">
        <f>AVERAGE(O15,O26,O37,O48,O58,O69,O79)</f>
        <v>104.97920421448804</v>
      </c>
      <c r="F2" s="36" t="s">
        <v>15</v>
      </c>
      <c r="G2" s="37">
        <f>G1/E1</f>
        <v>49.741787854695794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0</v>
      </c>
      <c r="AA2" s="339">
        <f>AA15+AA26+AA37+AA48+AA58+AA69+AA79</f>
        <v>0</v>
      </c>
      <c r="AB2" s="460"/>
      <c r="AC2" s="460"/>
      <c r="AD2" s="340">
        <f>AD15+AD26+AD37+AD48+AD58+AD69+AD79</f>
        <v>1</v>
      </c>
      <c r="AE2" s="340">
        <f>AE15+AE26+AE37+AE48+AE58+AE69+AE79</f>
        <v>1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2188</v>
      </c>
      <c r="H5" s="43">
        <f>F5*G5</f>
        <v>124431.56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2083.8095238095257</v>
      </c>
      <c r="O5" s="47">
        <f>N5/M5</f>
        <v>138.92063492063505</v>
      </c>
      <c r="P5" s="49">
        <f>M5-J5</f>
        <v>0</v>
      </c>
      <c r="Q5" s="50">
        <f>O5-L5</f>
        <v>-11.079365079364948</v>
      </c>
      <c r="R5" s="51">
        <f>O5/L5</f>
        <v>0.92613756613756704</v>
      </c>
      <c r="S5" s="416">
        <f>R15</f>
        <v>0.91037281237281298</v>
      </c>
      <c r="T5" s="319">
        <v>0.29166666666666702</v>
      </c>
      <c r="U5" s="320">
        <v>0.33541666666666697</v>
      </c>
      <c r="V5" s="53"/>
      <c r="W5" s="54">
        <f t="shared" ref="W5:W14" si="0">(U5-T5)*24*60</f>
        <v>62.999999999999936</v>
      </c>
      <c r="X5" s="55"/>
      <c r="Y5" s="290"/>
      <c r="Z5" s="169"/>
      <c r="AA5" s="169"/>
      <c r="AB5" s="468"/>
      <c r="AC5" s="468"/>
      <c r="AD5" s="135"/>
      <c r="AE5" s="135"/>
      <c r="AF5" s="229">
        <f t="shared" ref="AF5:AF11" si="1">N5-K5</f>
        <v>-166.19047619047433</v>
      </c>
      <c r="AG5" s="52">
        <f t="shared" ref="AG5:AG11" si="2">N5/K5</f>
        <v>0.92613756613756693</v>
      </c>
      <c r="AH5" s="461">
        <f>AG15</f>
        <v>0.91037281237281298</v>
      </c>
    </row>
    <row r="6" spans="1:34" ht="15" customHeight="1">
      <c r="A6" s="428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4197</v>
      </c>
      <c r="H6" s="63">
        <f>F6*G6</f>
        <v>244139.49000000002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2152.3076923076924</v>
      </c>
      <c r="O6" s="67">
        <f>N6/M6</f>
        <v>143.4871794871795</v>
      </c>
      <c r="P6" s="69">
        <f>M6-J6</f>
        <v>0</v>
      </c>
      <c r="Q6" s="70">
        <f>O6-L6</f>
        <v>-6.5128205128204968</v>
      </c>
      <c r="R6" s="71">
        <f>O6/L6</f>
        <v>0.95658119658119667</v>
      </c>
      <c r="S6" s="417"/>
      <c r="T6" s="16">
        <v>0.343055555555556</v>
      </c>
      <c r="U6" s="16">
        <v>0.42430555555555599</v>
      </c>
      <c r="V6" s="30">
        <f>(T6-U5)*24*60</f>
        <v>11.000000000000201</v>
      </c>
      <c r="W6" s="73">
        <f t="shared" si="0"/>
        <v>116.99999999999999</v>
      </c>
      <c r="X6" s="22"/>
      <c r="Y6" s="84"/>
      <c r="Z6" s="90"/>
      <c r="AA6" s="90"/>
      <c r="AB6" s="465"/>
      <c r="AC6" s="465"/>
      <c r="AD6" s="149"/>
      <c r="AE6" s="149"/>
      <c r="AF6" s="307">
        <f t="shared" si="1"/>
        <v>-97.692307692307622</v>
      </c>
      <c r="AG6" s="72">
        <f t="shared" si="2"/>
        <v>0.95658119658119656</v>
      </c>
      <c r="AH6" s="462"/>
    </row>
    <row r="7" spans="1:34" ht="15" customHeight="1">
      <c r="A7" s="428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2129</v>
      </c>
      <c r="H7" s="78">
        <f>F7*G7</f>
        <v>104619.06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1824.8571428571474</v>
      </c>
      <c r="O7" s="81">
        <f>N7/M7</f>
        <v>121.65714285714316</v>
      </c>
      <c r="P7" s="74">
        <f>M7-J7</f>
        <v>0</v>
      </c>
      <c r="Q7" s="83">
        <f>O7-L7</f>
        <v>-28.342857142856843</v>
      </c>
      <c r="R7" s="72">
        <f>O7/L7</f>
        <v>0.81104761904762102</v>
      </c>
      <c r="S7" s="417"/>
      <c r="T7" s="18">
        <v>0.43055555555555602</v>
      </c>
      <c r="U7" s="18">
        <v>0.47916666666666702</v>
      </c>
      <c r="V7" s="30">
        <f>(T7-U6)*24*60</f>
        <v>9.000000000000048</v>
      </c>
      <c r="W7" s="73">
        <f t="shared" si="0"/>
        <v>69.999999999999829</v>
      </c>
      <c r="X7" s="22">
        <v>0.49305555555555602</v>
      </c>
      <c r="Y7" s="84">
        <v>0.53472222222222199</v>
      </c>
      <c r="Z7" s="90"/>
      <c r="AA7" s="90"/>
      <c r="AB7" s="466"/>
      <c r="AC7" s="466"/>
      <c r="AD7" s="92"/>
      <c r="AE7" s="92"/>
      <c r="AF7" s="307">
        <f t="shared" si="1"/>
        <v>-425.14285714285256</v>
      </c>
      <c r="AG7" s="72">
        <f t="shared" si="2"/>
        <v>0.81104761904762113</v>
      </c>
      <c r="AH7" s="462"/>
    </row>
    <row r="8" spans="1:34" ht="15" customHeight="1">
      <c r="A8" s="428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4478</v>
      </c>
      <c r="H8" s="78">
        <f>F8*G8</f>
        <v>220048.92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2132.3809523809518</v>
      </c>
      <c r="O8" s="81">
        <f>N8/M8</f>
        <v>142.15873015873012</v>
      </c>
      <c r="P8" s="74">
        <f>M8-J8</f>
        <v>0</v>
      </c>
      <c r="Q8" s="83">
        <f>O8-L8</f>
        <v>-7.8412698412698774</v>
      </c>
      <c r="R8" s="72">
        <f>O8/L8</f>
        <v>0.94772486772486753</v>
      </c>
      <c r="S8" s="417"/>
      <c r="T8" s="16">
        <v>0.54444444444444395</v>
      </c>
      <c r="U8" s="16">
        <v>0.63194444444444398</v>
      </c>
      <c r="V8" s="30">
        <f>(T8-U7)*24*60</f>
        <v>93.999999999998792</v>
      </c>
      <c r="W8" s="73">
        <f t="shared" si="0"/>
        <v>126.00000000000003</v>
      </c>
      <c r="X8" s="22"/>
      <c r="Y8" s="84"/>
      <c r="Z8" s="90"/>
      <c r="AA8" s="90"/>
      <c r="AB8" s="465"/>
      <c r="AC8" s="465"/>
      <c r="AD8" s="149"/>
      <c r="AE8" s="149"/>
      <c r="AF8" s="307">
        <f t="shared" si="1"/>
        <v>-117.61904761904816</v>
      </c>
      <c r="AG8" s="72">
        <f t="shared" si="2"/>
        <v>0.94772486772486753</v>
      </c>
      <c r="AH8" s="462"/>
    </row>
    <row r="9" spans="1:34" ht="15" customHeight="1">
      <c r="A9" s="42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8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5"/>
      <c r="AC9" s="465"/>
      <c r="AD9" s="149"/>
      <c r="AE9" s="149"/>
      <c r="AF9" s="307">
        <f t="shared" si="1"/>
        <v>0</v>
      </c>
      <c r="AG9" s="72" t="e">
        <f t="shared" si="2"/>
        <v>#DIV/0!</v>
      </c>
      <c r="AH9" s="463"/>
    </row>
    <row r="10" spans="1:34" ht="15" customHeight="1">
      <c r="A10" s="42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8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6"/>
      <c r="AC10" s="466"/>
      <c r="AD10" s="92"/>
      <c r="AE10" s="92"/>
      <c r="AF10" s="307">
        <f t="shared" si="1"/>
        <v>0</v>
      </c>
      <c r="AG10" s="72" t="e">
        <f t="shared" si="2"/>
        <v>#DIV/0!</v>
      </c>
      <c r="AH10" s="463"/>
    </row>
    <row r="11" spans="1:34" ht="15" customHeight="1">
      <c r="A11" s="42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5"/>
      <c r="AC11" s="465"/>
      <c r="AD11" s="149"/>
      <c r="AE11" s="149"/>
      <c r="AF11" s="307">
        <f t="shared" si="1"/>
        <v>0</v>
      </c>
      <c r="AG11" s="72" t="e">
        <f t="shared" si="2"/>
        <v>#DIV/0!</v>
      </c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2048.3388278388293</v>
      </c>
      <c r="O15" s="117">
        <f t="shared" si="3"/>
        <v>136.55592185592195</v>
      </c>
      <c r="P15" s="121">
        <f>M15-J15</f>
        <v>0</v>
      </c>
      <c r="Q15" s="122">
        <f>O15-L15</f>
        <v>-13.444078144078048</v>
      </c>
      <c r="R15" s="123">
        <f>O15/L15</f>
        <v>0.91037281237281298</v>
      </c>
      <c r="S15" s="42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7"/>
      <c r="AC15" s="467"/>
      <c r="AD15" s="323">
        <f>SUM(AD5:AD14)</f>
        <v>0</v>
      </c>
      <c r="AE15" s="323">
        <f>SUM(AE5:AE14)</f>
        <v>0</v>
      </c>
      <c r="AF15" s="309">
        <f>N15-K15</f>
        <v>-201.66117216117073</v>
      </c>
      <c r="AG15" s="124">
        <f>N15/K15</f>
        <v>0.91037281237281298</v>
      </c>
      <c r="AH15" s="464"/>
    </row>
    <row r="16" spans="1:34" ht="15" customHeight="1">
      <c r="A16" s="47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3946</v>
      </c>
      <c r="H16" s="134">
        <f>F16*G16</f>
        <v>199943.82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2113.9285714285652</v>
      </c>
      <c r="O16" s="141">
        <f>N16/M16</f>
        <v>162.60989010988962</v>
      </c>
      <c r="P16" s="142">
        <f>M16-J16</f>
        <v>0</v>
      </c>
      <c r="Q16" s="143">
        <f>O16-L16</f>
        <v>-10.467032967033447</v>
      </c>
      <c r="R16" s="144">
        <f>O16/L16</f>
        <v>0.93952380952380676</v>
      </c>
      <c r="S16" s="472">
        <f>R26</f>
        <v>0.89774985689239772</v>
      </c>
      <c r="T16" s="145">
        <v>0.29236111111111102</v>
      </c>
      <c r="U16" s="145">
        <v>0.37013888888888902</v>
      </c>
      <c r="V16" s="135"/>
      <c r="W16" s="146">
        <f t="shared" ref="W16:W78" si="4">(U16-T16)*24*60</f>
        <v>112.00000000000033</v>
      </c>
      <c r="X16" s="141"/>
      <c r="Y16" s="296"/>
      <c r="Z16" s="169"/>
      <c r="AA16" s="169"/>
      <c r="AB16" s="468"/>
      <c r="AC16" s="468"/>
      <c r="AD16" s="135"/>
      <c r="AE16" s="135"/>
      <c r="AF16" s="229">
        <f>N16-K16</f>
        <v>-136.07142857143481</v>
      </c>
      <c r="AG16" s="52">
        <f>N16/K16</f>
        <v>0.93952380952380676</v>
      </c>
      <c r="AH16" s="461">
        <f>AG26</f>
        <v>0.89681983798262865</v>
      </c>
    </row>
    <row r="17" spans="1:34" ht="15" customHeight="1">
      <c r="A17" s="479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2219</v>
      </c>
      <c r="H17" s="78">
        <f>F17*G17</f>
        <v>125617.59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2113.333333333333</v>
      </c>
      <c r="O17" s="96">
        <f>N17/M17</f>
        <v>140.88888888888886</v>
      </c>
      <c r="P17" s="97">
        <f>M17-J17</f>
        <v>0</v>
      </c>
      <c r="Q17" s="98">
        <f>O17-L17</f>
        <v>-9.1111111111111427</v>
      </c>
      <c r="R17" s="99">
        <f>O17/L17</f>
        <v>0.93925925925925902</v>
      </c>
      <c r="S17" s="473"/>
      <c r="T17" s="19">
        <v>0.37708333333333299</v>
      </c>
      <c r="U17" s="19">
        <v>0.420833333333333</v>
      </c>
      <c r="V17" s="30">
        <f>(T17-U16)*24*60</f>
        <v>9.999999999999325</v>
      </c>
      <c r="W17" s="149">
        <f t="shared" si="4"/>
        <v>63.000000000000014</v>
      </c>
      <c r="X17" s="19"/>
      <c r="Y17" s="297"/>
      <c r="Z17" s="90"/>
      <c r="AA17" s="90"/>
      <c r="AB17" s="466"/>
      <c r="AC17" s="466"/>
      <c r="AD17" s="92"/>
      <c r="AE17" s="92"/>
      <c r="AF17" s="307">
        <f>N17-K17</f>
        <v>-136.66666666666697</v>
      </c>
      <c r="AG17" s="72">
        <f>N17/K17</f>
        <v>0.93925925925925913</v>
      </c>
      <c r="AH17" s="462"/>
    </row>
    <row r="18" spans="1:34" ht="15" customHeight="1">
      <c r="A18" s="479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2390</v>
      </c>
      <c r="H18" s="78">
        <f>F18*G18</f>
        <v>120432.1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1937.8378378378325</v>
      </c>
      <c r="O18" s="96">
        <f>N18/M18</f>
        <v>161.48648648648603</v>
      </c>
      <c r="P18" s="97">
        <f>M18-J18</f>
        <v>0</v>
      </c>
      <c r="Q18" s="98">
        <f>O18-L18</f>
        <v>-26.013513513513971</v>
      </c>
      <c r="R18" s="99">
        <f>O18/L18</f>
        <v>0.86126126126125879</v>
      </c>
      <c r="S18" s="473"/>
      <c r="T18" s="19">
        <v>0.42777777777777798</v>
      </c>
      <c r="U18" s="19">
        <v>0.47916666666666702</v>
      </c>
      <c r="V18" s="30">
        <f>(T18-U17)*24*60</f>
        <v>10.000000000000764</v>
      </c>
      <c r="W18" s="149">
        <f t="shared" si="4"/>
        <v>74.000000000000213</v>
      </c>
      <c r="X18" s="22">
        <v>0.49305555555555602</v>
      </c>
      <c r="Y18" s="84">
        <v>0.53472222222222199</v>
      </c>
      <c r="Z18" s="90"/>
      <c r="AA18" s="90"/>
      <c r="AB18" s="466"/>
      <c r="AC18" s="466"/>
      <c r="AD18" s="92"/>
      <c r="AE18" s="92"/>
      <c r="AF18" s="307">
        <f>N18-K18</f>
        <v>-312.16216216216753</v>
      </c>
      <c r="AG18" s="72">
        <f>N18/K18</f>
        <v>0.8612612612612589</v>
      </c>
      <c r="AH18" s="462"/>
    </row>
    <row r="19" spans="1:34" ht="15" customHeight="1">
      <c r="A19" s="479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2990</v>
      </c>
      <c r="H19" s="78">
        <f t="shared" ref="H19:H20" si="5">F19*G19</f>
        <v>150666.1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6">K19/J19</f>
        <v>187.5</v>
      </c>
      <c r="M19" s="148">
        <v>12</v>
      </c>
      <c r="N19" s="95">
        <f t="shared" ref="N19:N20" si="7">G19/W19*60</f>
        <v>2086.0465116279142</v>
      </c>
      <c r="O19" s="96">
        <f t="shared" ref="O19:O20" si="8">N19/M19</f>
        <v>173.83720930232619</v>
      </c>
      <c r="P19" s="97">
        <f t="shared" ref="P19:P20" si="9">M19-J19</f>
        <v>0</v>
      </c>
      <c r="Q19" s="98">
        <f t="shared" ref="Q19:Q20" si="10">O19-L19</f>
        <v>-13.662790697673813</v>
      </c>
      <c r="R19" s="99">
        <f t="shared" ref="R19:R20" si="11">O19/L19</f>
        <v>0.92713178294573961</v>
      </c>
      <c r="S19" s="473"/>
      <c r="T19" s="19">
        <v>0.54166666666666696</v>
      </c>
      <c r="U19" s="19">
        <v>0.60138888888888897</v>
      </c>
      <c r="V19" s="30">
        <f>(T19-U18)*24*60</f>
        <v>89.999999999999915</v>
      </c>
      <c r="W19" s="149">
        <f t="shared" si="4"/>
        <v>85.999999999999687</v>
      </c>
      <c r="X19" s="22"/>
      <c r="Y19" s="84"/>
      <c r="Z19" s="90"/>
      <c r="AA19" s="90"/>
      <c r="AB19" s="465"/>
      <c r="AC19" s="465"/>
      <c r="AD19" s="149"/>
      <c r="AE19" s="149"/>
      <c r="AF19" s="307">
        <f>N19-K19</f>
        <v>-163.95348837208576</v>
      </c>
      <c r="AG19" s="72">
        <f>N19/K19</f>
        <v>0.92713178294573961</v>
      </c>
      <c r="AH19" s="463"/>
    </row>
    <row r="20" spans="1:34" ht="15" customHeight="1">
      <c r="A20" s="479"/>
      <c r="B20" s="75" t="s">
        <v>81</v>
      </c>
      <c r="C20" s="76"/>
      <c r="D20" s="59" t="s">
        <v>113</v>
      </c>
      <c r="E20" s="77"/>
      <c r="F20" s="75">
        <f>VLOOKUP(D20,廠價表!$C$1:$E$43,3,0)</f>
        <v>56.87</v>
      </c>
      <c r="G20" s="147">
        <v>1593</v>
      </c>
      <c r="H20" s="78">
        <f t="shared" si="5"/>
        <v>90593.909999999989</v>
      </c>
      <c r="I20" s="30"/>
      <c r="J20" s="79">
        <f>VLOOKUP(D20,產線配置圖!$A$3:$C$40,2,0)</f>
        <v>15</v>
      </c>
      <c r="K20" s="80">
        <f>VLOOKUP(D20,產線配置圖!$A$3:$C$40,3,0)</f>
        <v>2250</v>
      </c>
      <c r="L20" s="81">
        <f t="shared" si="6"/>
        <v>150</v>
      </c>
      <c r="M20" s="148">
        <v>15</v>
      </c>
      <c r="N20" s="95">
        <f t="shared" si="7"/>
        <v>1838.0769230769297</v>
      </c>
      <c r="O20" s="96">
        <f t="shared" si="8"/>
        <v>122.53846153846197</v>
      </c>
      <c r="P20" s="97">
        <f t="shared" si="9"/>
        <v>0</v>
      </c>
      <c r="Q20" s="98">
        <f t="shared" si="10"/>
        <v>-27.461538461538026</v>
      </c>
      <c r="R20" s="99">
        <f t="shared" si="11"/>
        <v>0.81692307692307986</v>
      </c>
      <c r="S20" s="473"/>
      <c r="T20" s="19">
        <v>0.61250000000000004</v>
      </c>
      <c r="U20" s="19">
        <v>0.64861111111111103</v>
      </c>
      <c r="V20" s="30">
        <f>(T20-U19)*24*60</f>
        <v>15.999999999999943</v>
      </c>
      <c r="W20" s="149">
        <f t="shared" si="4"/>
        <v>51.999999999999815</v>
      </c>
      <c r="X20" s="19"/>
      <c r="Y20" s="297"/>
      <c r="Z20" s="90"/>
      <c r="AA20" s="90"/>
      <c r="AB20" s="466"/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3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6"/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50"/>
      <c r="U22" s="150"/>
      <c r="V22" s="92"/>
      <c r="W22" s="149"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4"/>
        <v>0</v>
      </c>
      <c r="X23" s="92"/>
      <c r="Y23" s="298"/>
      <c r="Z23" s="90"/>
      <c r="AA23" s="90"/>
      <c r="AB23" s="466"/>
      <c r="AC23" s="46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>
        <f t="shared" ref="J26:O26" si="12">AVERAGE(J16:J25)</f>
        <v>13.4</v>
      </c>
      <c r="K26" s="155">
        <f t="shared" si="12"/>
        <v>2250</v>
      </c>
      <c r="L26" s="158">
        <f t="shared" si="12"/>
        <v>169.61538461538461</v>
      </c>
      <c r="M26" s="155">
        <f t="shared" si="12"/>
        <v>13.4</v>
      </c>
      <c r="N26" s="155">
        <f t="shared" si="12"/>
        <v>2017.8446354609146</v>
      </c>
      <c r="O26" s="158">
        <f t="shared" si="12"/>
        <v>152.27218726521053</v>
      </c>
      <c r="P26" s="159">
        <f>M26-J26</f>
        <v>0</v>
      </c>
      <c r="Q26" s="160">
        <f>O26-L26</f>
        <v>-17.34319735017408</v>
      </c>
      <c r="R26" s="161">
        <f>O26/L26</f>
        <v>0.89774985689239772</v>
      </c>
      <c r="S26" s="474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7"/>
      <c r="AC26" s="467"/>
      <c r="AD26" s="323">
        <f>SUM(AD16:AD25)</f>
        <v>0</v>
      </c>
      <c r="AE26" s="323">
        <f>SUM(AE16:AE25)</f>
        <v>0</v>
      </c>
      <c r="AF26" s="309">
        <f t="shared" ref="AF26:AF31" si="13">N26-K26</f>
        <v>-232.15536453908544</v>
      </c>
      <c r="AG26" s="124">
        <f t="shared" ref="AG26:AG31" si="14">N26/K26</f>
        <v>0.89681983798262865</v>
      </c>
      <c r="AH26" s="464"/>
    </row>
    <row r="27" spans="1:34" ht="15" customHeight="1">
      <c r="A27" s="469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3718</v>
      </c>
      <c r="H27" s="134">
        <f>F27*G27</f>
        <v>212706.78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15</v>
      </c>
      <c r="N27" s="140">
        <f>G27/W27*60</f>
        <v>991.4666666666667</v>
      </c>
      <c r="O27" s="141">
        <f>N27/M27</f>
        <v>66.097777777777779</v>
      </c>
      <c r="P27" s="142">
        <f>M27-J27</f>
        <v>-2</v>
      </c>
      <c r="Q27" s="143">
        <f>O27-L27</f>
        <v>-25.961045751633989</v>
      </c>
      <c r="R27" s="144">
        <f>O27/L27</f>
        <v>0.71799503017394395</v>
      </c>
      <c r="S27" s="472">
        <f>R37</f>
        <v>0.82845047198858235</v>
      </c>
      <c r="T27" s="171">
        <v>0.33680555555555602</v>
      </c>
      <c r="U27" s="171">
        <v>0.49305555555555602</v>
      </c>
      <c r="V27" s="135"/>
      <c r="W27" s="146">
        <f t="shared" si="4"/>
        <v>225</v>
      </c>
      <c r="X27" s="145">
        <v>0.49652777777777801</v>
      </c>
      <c r="Y27" s="364">
        <v>0.54513888888888895</v>
      </c>
      <c r="Z27" s="169"/>
      <c r="AA27" s="169"/>
      <c r="AB27" s="465" t="s">
        <v>146</v>
      </c>
      <c r="AC27" s="466"/>
      <c r="AD27" s="135"/>
      <c r="AE27" s="135"/>
      <c r="AF27" s="310">
        <f t="shared" si="13"/>
        <v>-573.5333333333333</v>
      </c>
      <c r="AG27" s="172">
        <f t="shared" si="14"/>
        <v>0.63352502662406818</v>
      </c>
      <c r="AH27" s="461">
        <f>AG37</f>
        <v>0.78621547021364435</v>
      </c>
    </row>
    <row r="28" spans="1:34" ht="15" customHeight="1">
      <c r="A28" s="470"/>
      <c r="B28" s="75" t="s">
        <v>81</v>
      </c>
      <c r="C28" s="173"/>
      <c r="D28" s="59" t="s">
        <v>145</v>
      </c>
      <c r="E28" s="104"/>
      <c r="F28" s="75">
        <f>VLOOKUP(D28,廠價表!$C$1:$E$43,3,0)</f>
        <v>57.21</v>
      </c>
      <c r="G28" s="90">
        <v>6000</v>
      </c>
      <c r="H28" s="91">
        <f>F28*G28</f>
        <v>343260</v>
      </c>
      <c r="I28" s="92"/>
      <c r="J28" s="79">
        <f>VLOOKUP(D28,產線配置圖!$A$3:$C$40,2,0)</f>
        <v>17</v>
      </c>
      <c r="K28" s="80">
        <f>VLOOKUP(D28,產線配置圖!$A$3:$C$40,3,0)</f>
        <v>1565</v>
      </c>
      <c r="L28" s="93">
        <f>K28/J28</f>
        <v>92.058823529411768</v>
      </c>
      <c r="M28" s="94">
        <v>17</v>
      </c>
      <c r="N28" s="95">
        <f>G28/W28*60</f>
        <v>1469.3877551020403</v>
      </c>
      <c r="O28" s="96">
        <f>N28/M28</f>
        <v>86.434573829531786</v>
      </c>
      <c r="P28" s="97">
        <f>M28-J28</f>
        <v>0</v>
      </c>
      <c r="Q28" s="98">
        <f>O28-L28</f>
        <v>-5.6242496998799822</v>
      </c>
      <c r="R28" s="99">
        <f>O28/L28</f>
        <v>0.93890591380322064</v>
      </c>
      <c r="S28" s="473"/>
      <c r="T28" s="19">
        <v>0.55208333333333304</v>
      </c>
      <c r="U28" s="19">
        <v>0.72222222222222199</v>
      </c>
      <c r="V28" s="92">
        <f>(T28-U27)*24*60</f>
        <v>84.999999999998892</v>
      </c>
      <c r="W28" s="149">
        <f t="shared" si="4"/>
        <v>245.00000000000009</v>
      </c>
      <c r="X28" s="174"/>
      <c r="Y28" s="301"/>
      <c r="Z28" s="335"/>
      <c r="AA28" s="335"/>
      <c r="AB28" s="507" t="s">
        <v>147</v>
      </c>
      <c r="AC28" s="508"/>
      <c r="AD28" s="92"/>
      <c r="AE28" s="92"/>
      <c r="AF28" s="311">
        <f t="shared" si="13"/>
        <v>-95.612244897959727</v>
      </c>
      <c r="AG28" s="99">
        <f t="shared" si="14"/>
        <v>0.93890591380322064</v>
      </c>
      <c r="AH28" s="482"/>
    </row>
    <row r="29" spans="1:34" ht="15" customHeight="1">
      <c r="A29" s="470"/>
      <c r="B29" s="75"/>
      <c r="C29" s="173"/>
      <c r="D29" s="59"/>
      <c r="E29" s="104"/>
      <c r="F29" s="75"/>
      <c r="G29" s="90"/>
      <c r="H29" s="91"/>
      <c r="I29" s="92"/>
      <c r="J29" s="79"/>
      <c r="K29" s="80"/>
      <c r="L29" s="93"/>
      <c r="M29" s="94"/>
      <c r="N29" s="95"/>
      <c r="O29" s="96"/>
      <c r="P29" s="97"/>
      <c r="Q29" s="98"/>
      <c r="R29" s="99"/>
      <c r="S29" s="473"/>
      <c r="T29" s="19"/>
      <c r="U29" s="19"/>
      <c r="V29" s="92"/>
      <c r="W29" s="149">
        <f t="shared" si="4"/>
        <v>0</v>
      </c>
      <c r="X29" s="22"/>
      <c r="Y29" s="84"/>
      <c r="Z29" s="90"/>
      <c r="AA29" s="90"/>
      <c r="AB29" s="466"/>
      <c r="AC29" s="466"/>
      <c r="AD29" s="92"/>
      <c r="AE29" s="92"/>
      <c r="AF29" s="312">
        <f t="shared" si="13"/>
        <v>0</v>
      </c>
      <c r="AG29" s="99" t="e">
        <f t="shared" si="14"/>
        <v>#DIV/0!</v>
      </c>
      <c r="AH29" s="482"/>
    </row>
    <row r="30" spans="1:34" ht="15" customHeight="1">
      <c r="A30" s="470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3"/>
      <c r="T30" s="19"/>
      <c r="U30" s="19"/>
      <c r="V30" s="92"/>
      <c r="W30" s="149">
        <f t="shared" si="4"/>
        <v>0</v>
      </c>
      <c r="X30" s="174"/>
      <c r="Y30" s="301"/>
      <c r="Z30" s="335"/>
      <c r="AA30" s="335"/>
      <c r="AB30" s="466"/>
      <c r="AC30" s="466"/>
      <c r="AD30" s="92"/>
      <c r="AE30" s="92"/>
      <c r="AF30" s="312">
        <f t="shared" si="13"/>
        <v>0</v>
      </c>
      <c r="AG30" s="99" t="e">
        <f t="shared" si="14"/>
        <v>#DIV/0!</v>
      </c>
      <c r="AH30" s="483"/>
    </row>
    <row r="31" spans="1:34" ht="15" customHeight="1">
      <c r="A31" s="47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3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6"/>
      <c r="AC31" s="466"/>
      <c r="AD31" s="92"/>
      <c r="AE31" s="92"/>
      <c r="AF31" s="312">
        <f t="shared" si="13"/>
        <v>0</v>
      </c>
      <c r="AG31" s="99" t="e">
        <f t="shared" si="14"/>
        <v>#DIV/0!</v>
      </c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6"/>
      <c r="AC32" s="466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6"/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>
        <f t="shared" ref="J37:O37" si="15">AVERAGE(J27:J36)</f>
        <v>17</v>
      </c>
      <c r="K37" s="155">
        <f t="shared" si="15"/>
        <v>1565</v>
      </c>
      <c r="L37" s="158">
        <f t="shared" si="15"/>
        <v>92.058823529411768</v>
      </c>
      <c r="M37" s="155">
        <f t="shared" si="15"/>
        <v>16</v>
      </c>
      <c r="N37" s="155">
        <f t="shared" si="15"/>
        <v>1230.4272108843534</v>
      </c>
      <c r="O37" s="158">
        <f t="shared" si="15"/>
        <v>76.266175803654789</v>
      </c>
      <c r="P37" s="159">
        <f>M37-J37</f>
        <v>-1</v>
      </c>
      <c r="Q37" s="160">
        <f>N37-K37</f>
        <v>-334.57278911564663</v>
      </c>
      <c r="R37" s="161">
        <f>O37/L37</f>
        <v>0.82845047198858235</v>
      </c>
      <c r="S37" s="474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7"/>
      <c r="AC37" s="477"/>
      <c r="AD37" s="324">
        <f>SUM(AD27:AD36)</f>
        <v>0</v>
      </c>
      <c r="AE37" s="324">
        <f>SUM(AE27:AE36)</f>
        <v>0</v>
      </c>
      <c r="AF37" s="309">
        <f>N37-K37</f>
        <v>-334.57278911564663</v>
      </c>
      <c r="AG37" s="124">
        <f>N37/K37</f>
        <v>0.78621547021364435</v>
      </c>
      <c r="AH37" s="464"/>
    </row>
    <row r="38" spans="1:34" ht="15" customHeight="1">
      <c r="A38" s="491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2251</v>
      </c>
      <c r="H38" s="134">
        <f>F38*G38</f>
        <v>112347.40999999999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14</v>
      </c>
      <c r="N38" s="140">
        <f>G38/W38*60</f>
        <v>1500.6666666666667</v>
      </c>
      <c r="O38" s="141">
        <f>N38/M38</f>
        <v>107.19047619047619</v>
      </c>
      <c r="P38" s="142">
        <f>M38-J38</f>
        <v>-1</v>
      </c>
      <c r="Q38" s="143">
        <f>O38-L38</f>
        <v>-7.0761904761904759</v>
      </c>
      <c r="R38" s="144">
        <f>O38/L38</f>
        <v>0.93807301216869476</v>
      </c>
      <c r="S38" s="494">
        <f>R48</f>
        <v>0.87251139158583191</v>
      </c>
      <c r="T38" s="191">
        <v>0.33333333333333298</v>
      </c>
      <c r="U38" s="191">
        <v>0.39583333333333298</v>
      </c>
      <c r="V38" s="192"/>
      <c r="W38" s="193">
        <f t="shared" si="4"/>
        <v>90</v>
      </c>
      <c r="X38" s="194"/>
      <c r="Y38" s="302"/>
      <c r="Z38" s="336"/>
      <c r="AA38" s="336"/>
      <c r="AB38" s="496"/>
      <c r="AC38" s="496"/>
      <c r="AD38" s="192"/>
      <c r="AE38" s="192"/>
      <c r="AF38" s="313">
        <f>N38-K38</f>
        <v>-213.33333333333326</v>
      </c>
      <c r="AG38" s="195">
        <f>N38/K38</f>
        <v>0.87553481135744848</v>
      </c>
      <c r="AH38" s="484">
        <f>AG48</f>
        <v>0.80937585365100106</v>
      </c>
    </row>
    <row r="39" spans="1:34" ht="15" customHeight="1">
      <c r="A39" s="492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3302</v>
      </c>
      <c r="H39" s="91">
        <f>F39*G39</f>
        <v>146278.59999999998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16</v>
      </c>
      <c r="N39" s="202">
        <f>G39/W39*60</f>
        <v>1415.1428571428605</v>
      </c>
      <c r="O39" s="203">
        <f>N39/M39</f>
        <v>88.446428571428783</v>
      </c>
      <c r="P39" s="97">
        <f>M39-J39</f>
        <v>-1</v>
      </c>
      <c r="Q39" s="98">
        <f>O39-L39</f>
        <v>-7.7888655462182754</v>
      </c>
      <c r="R39" s="99">
        <f>O39/L39</f>
        <v>0.91906435557108146</v>
      </c>
      <c r="S39" s="495"/>
      <c r="T39" s="20">
        <v>0.40277777777777801</v>
      </c>
      <c r="U39" s="20">
        <v>0.5</v>
      </c>
      <c r="V39" s="92">
        <f>(T39-U38)*24*60</f>
        <v>10.000000000000844</v>
      </c>
      <c r="W39" s="205">
        <f t="shared" si="4"/>
        <v>139.99999999999966</v>
      </c>
      <c r="X39" s="22">
        <v>0.5</v>
      </c>
      <c r="Y39" s="84">
        <v>0.55208333333333304</v>
      </c>
      <c r="Z39" s="90"/>
      <c r="AA39" s="90"/>
      <c r="AB39" s="487" t="s">
        <v>148</v>
      </c>
      <c r="AC39" s="487"/>
      <c r="AD39" s="200">
        <v>1</v>
      </c>
      <c r="AE39" s="200">
        <v>1</v>
      </c>
      <c r="AF39" s="314">
        <f>N39-K39</f>
        <v>-220.85714285713948</v>
      </c>
      <c r="AG39" s="206">
        <f>N39/K39</f>
        <v>0.8650017464198414</v>
      </c>
      <c r="AH39" s="485"/>
    </row>
    <row r="40" spans="1:34" ht="15" customHeight="1">
      <c r="A40" s="492"/>
      <c r="B40" s="75" t="s">
        <v>123</v>
      </c>
      <c r="C40" s="207"/>
      <c r="D40" s="198" t="s">
        <v>124</v>
      </c>
      <c r="E40" s="178"/>
      <c r="F40" s="75">
        <f>VLOOKUP(D40,廠價表!$C$1:$E$43,3,0)</f>
        <v>44.3</v>
      </c>
      <c r="G40" s="199">
        <v>2811</v>
      </c>
      <c r="H40" s="91">
        <f>F40*G40</f>
        <v>124527.29999999999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16</v>
      </c>
      <c r="N40" s="202">
        <f>G40/W40*60</f>
        <v>1466.6086956521772</v>
      </c>
      <c r="O40" s="203">
        <f>N40/M40</f>
        <v>91.663043478261073</v>
      </c>
      <c r="P40" s="97">
        <f>M40-J40</f>
        <v>-1</v>
      </c>
      <c r="Q40" s="98">
        <f>O40-L40</f>
        <v>-4.5722506393859845</v>
      </c>
      <c r="R40" s="99">
        <f>O40/L40</f>
        <v>0.95248883809928986</v>
      </c>
      <c r="S40" s="417"/>
      <c r="T40" s="20">
        <v>0.55208333333333304</v>
      </c>
      <c r="U40" s="20">
        <v>0.63194444444444398</v>
      </c>
      <c r="V40" s="92">
        <f>(T40-U39)*24*60</f>
        <v>74.999999999999574</v>
      </c>
      <c r="W40" s="205">
        <f t="shared" si="4"/>
        <v>114.99999999999974</v>
      </c>
      <c r="X40" s="208"/>
      <c r="Y40" s="209"/>
      <c r="Z40" s="337"/>
      <c r="AA40" s="337"/>
      <c r="AB40" s="466"/>
      <c r="AC40" s="466"/>
      <c r="AD40" s="92"/>
      <c r="AE40" s="92"/>
      <c r="AF40" s="314">
        <f>N40-K40</f>
        <v>-169.39130434782282</v>
      </c>
      <c r="AG40" s="206">
        <f>N40/K40</f>
        <v>0.89646008291697876</v>
      </c>
      <c r="AH40" s="485"/>
    </row>
    <row r="41" spans="1:34" ht="15" customHeight="1">
      <c r="A41" s="492"/>
      <c r="B41" s="75" t="s">
        <v>123</v>
      </c>
      <c r="C41" s="207"/>
      <c r="D41" s="198" t="s">
        <v>126</v>
      </c>
      <c r="E41" s="178"/>
      <c r="F41" s="75">
        <f>VLOOKUP(D41,廠價表!$C$1:$E$43,3,0)</f>
        <v>49.91</v>
      </c>
      <c r="G41" s="199">
        <v>867</v>
      </c>
      <c r="H41" s="91">
        <f>F41*G41</f>
        <v>43271.969999999994</v>
      </c>
      <c r="I41" s="200"/>
      <c r="J41" s="148">
        <f>VLOOKUP(D41,產線配置圖!$A$3:$C$40,2,0)</f>
        <v>15</v>
      </c>
      <c r="K41" s="95">
        <f>VLOOKUP(D41,產線配置圖!$A$3:$C$40,3,0)</f>
        <v>1714</v>
      </c>
      <c r="L41" s="96">
        <f>K41/J41</f>
        <v>114.26666666666667</v>
      </c>
      <c r="M41" s="201">
        <v>13</v>
      </c>
      <c r="N41" s="202">
        <f>G41/W41*60</f>
        <v>1040.4000000000037</v>
      </c>
      <c r="O41" s="203">
        <f>N41/M41</f>
        <v>80.030769230769522</v>
      </c>
      <c r="P41" s="97">
        <f>M41-J41</f>
        <v>-2</v>
      </c>
      <c r="Q41" s="98">
        <f>O41-L41</f>
        <v>-34.235897435897144</v>
      </c>
      <c r="R41" s="99">
        <f>O41/L41</f>
        <v>0.7003859617628605</v>
      </c>
      <c r="S41" s="417"/>
      <c r="T41" s="20">
        <v>0.63888888888888895</v>
      </c>
      <c r="U41" s="210">
        <v>0.67361111111111105</v>
      </c>
      <c r="V41" s="92">
        <f>(T41-U40)*24*60</f>
        <v>10.000000000000764</v>
      </c>
      <c r="W41" s="205">
        <f t="shared" si="4"/>
        <v>49.999999999999822</v>
      </c>
      <c r="X41" s="208"/>
      <c r="Y41" s="209"/>
      <c r="Z41" s="337"/>
      <c r="AA41" s="337"/>
      <c r="AB41" s="466" t="s">
        <v>125</v>
      </c>
      <c r="AC41" s="466"/>
      <c r="AD41" s="92"/>
      <c r="AE41" s="92"/>
      <c r="AF41" s="314">
        <f>N41-K41</f>
        <v>-673.59999999999627</v>
      </c>
      <c r="AG41" s="206">
        <f>N41/K41</f>
        <v>0.60700116686114569</v>
      </c>
      <c r="AH41" s="485"/>
    </row>
    <row r="42" spans="1:34" ht="15" customHeight="1">
      <c r="A42" s="49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7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6"/>
      <c r="AC42" s="466"/>
      <c r="AD42" s="92"/>
      <c r="AE42" s="92"/>
      <c r="AF42" s="314"/>
      <c r="AG42" s="206"/>
      <c r="AH42" s="485"/>
    </row>
    <row r="43" spans="1:34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>
        <f t="shared" ref="J48:O48" si="16">AVERAGE(J38:J47)</f>
        <v>16</v>
      </c>
      <c r="K48" s="155">
        <f t="shared" si="16"/>
        <v>1675</v>
      </c>
      <c r="L48" s="158">
        <f t="shared" si="16"/>
        <v>105.25098039215686</v>
      </c>
      <c r="M48" s="155">
        <f t="shared" si="16"/>
        <v>14.75</v>
      </c>
      <c r="N48" s="155">
        <f t="shared" si="16"/>
        <v>1355.7045548654269</v>
      </c>
      <c r="O48" s="158">
        <f t="shared" si="16"/>
        <v>91.832679367733888</v>
      </c>
      <c r="P48" s="221">
        <f>M48-J48</f>
        <v>-1.25</v>
      </c>
      <c r="Q48" s="222">
        <f>N48-K48</f>
        <v>-319.29544513457313</v>
      </c>
      <c r="R48" s="223">
        <f>O48/L48</f>
        <v>0.87251139158583191</v>
      </c>
      <c r="S48" s="420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7"/>
      <c r="AC48" s="467"/>
      <c r="AD48" s="323">
        <f>SUM(AD38:AD47)</f>
        <v>1</v>
      </c>
      <c r="AE48" s="323">
        <f>SUM(AE38:AE47)</f>
        <v>1</v>
      </c>
      <c r="AF48" s="315">
        <f t="shared" ref="AF48:AF53" si="17">N48-K48</f>
        <v>-319.29544513457313</v>
      </c>
      <c r="AG48" s="162">
        <f t="shared" ref="AG48:AG53" si="18">N48/K48</f>
        <v>0.80937585365100106</v>
      </c>
      <c r="AH48" s="486"/>
    </row>
    <row r="49" spans="1:34" ht="15" customHeight="1">
      <c r="A49" s="488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2336</v>
      </c>
      <c r="H49" s="134">
        <f>F49*G49</f>
        <v>115678.72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1387.7227722772261</v>
      </c>
      <c r="O49" s="141">
        <f>N49/M49</f>
        <v>81.630751310425069</v>
      </c>
      <c r="P49" s="229">
        <f>M49-J49</f>
        <v>0</v>
      </c>
      <c r="Q49" s="230">
        <f>O49-L49</f>
        <v>-6.6045428072219892</v>
      </c>
      <c r="R49" s="52">
        <f>O49/L49</f>
        <v>0.92514851485148408</v>
      </c>
      <c r="S49" s="416">
        <f>R58</f>
        <v>0.92146858158093892</v>
      </c>
      <c r="T49" s="191">
        <v>0.29097222222222202</v>
      </c>
      <c r="U49" s="191">
        <v>0.36111111111111099</v>
      </c>
      <c r="V49" s="55"/>
      <c r="W49" s="193">
        <f t="shared" si="4"/>
        <v>101.00000000000011</v>
      </c>
      <c r="X49" s="55"/>
      <c r="Y49" s="290"/>
      <c r="Z49" s="169"/>
      <c r="AA49" s="169"/>
      <c r="AB49" s="468"/>
      <c r="AC49" s="468"/>
      <c r="AD49" s="135"/>
      <c r="AE49" s="135"/>
      <c r="AF49" s="229">
        <f t="shared" si="17"/>
        <v>-112.27722772277389</v>
      </c>
      <c r="AG49" s="52">
        <f t="shared" si="18"/>
        <v>0.92514851485148408</v>
      </c>
      <c r="AH49" s="461">
        <f>AG58</f>
        <v>0.87934007526752778</v>
      </c>
    </row>
    <row r="50" spans="1:34" ht="15" customHeight="1">
      <c r="A50" s="489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4701</v>
      </c>
      <c r="H50" s="231">
        <f>F50*G50</f>
        <v>234908.97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1688.9820359281466</v>
      </c>
      <c r="O50" s="235">
        <f>N50/M50</f>
        <v>105.56137724550916</v>
      </c>
      <c r="P50" s="74">
        <f>M50-J50</f>
        <v>0</v>
      </c>
      <c r="Q50" s="83">
        <f>O50-L50</f>
        <v>-6.9386227544908365</v>
      </c>
      <c r="R50" s="72">
        <f>O50/L50</f>
        <v>0.93832335329341476</v>
      </c>
      <c r="S50" s="417"/>
      <c r="T50" s="21">
        <v>0.36666666666666697</v>
      </c>
      <c r="U50" s="21">
        <v>0.48263888888888901</v>
      </c>
      <c r="V50" s="30">
        <f>(T50-U49)*24*60</f>
        <v>8.0000000000006111</v>
      </c>
      <c r="W50" s="236">
        <f t="shared" si="4"/>
        <v>166.99999999999972</v>
      </c>
      <c r="X50" s="22">
        <v>0.48611111111111099</v>
      </c>
      <c r="Y50" s="84">
        <v>0.53472222222222199</v>
      </c>
      <c r="Z50" s="90"/>
      <c r="AA50" s="90"/>
      <c r="AB50" s="466"/>
      <c r="AC50" s="466"/>
      <c r="AD50" s="92"/>
      <c r="AE50" s="92"/>
      <c r="AF50" s="307">
        <f t="shared" si="17"/>
        <v>-111.01796407185338</v>
      </c>
      <c r="AG50" s="72">
        <f t="shared" si="18"/>
        <v>0.93832335329341476</v>
      </c>
      <c r="AH50" s="462"/>
    </row>
    <row r="51" spans="1:34" ht="15" customHeight="1">
      <c r="A51" s="489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1567</v>
      </c>
      <c r="H51" s="231">
        <f>F51*G51</f>
        <v>78302.990000000005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15</v>
      </c>
      <c r="N51" s="234">
        <f>G51/W51*60</f>
        <v>1516.4516129032077</v>
      </c>
      <c r="O51" s="235">
        <f>N51/M51</f>
        <v>101.09677419354718</v>
      </c>
      <c r="P51" s="74">
        <f>M51-J51</f>
        <v>-1</v>
      </c>
      <c r="Q51" s="83">
        <f>O51-L51</f>
        <v>-11.403225806452824</v>
      </c>
      <c r="R51" s="72">
        <f>O51/L51</f>
        <v>0.89863799283153045</v>
      </c>
      <c r="S51" s="417"/>
      <c r="T51" s="21">
        <v>0.53819444444444398</v>
      </c>
      <c r="U51" s="19">
        <v>0.58125000000000004</v>
      </c>
      <c r="V51" s="30">
        <f>(T51-U50)*24*60</f>
        <v>79.999999999999162</v>
      </c>
      <c r="W51" s="236">
        <f t="shared" si="4"/>
        <v>62.000000000000739</v>
      </c>
      <c r="X51" s="22"/>
      <c r="Y51" s="84"/>
      <c r="Z51" s="90"/>
      <c r="AA51" s="90"/>
      <c r="AB51" s="466"/>
      <c r="AC51" s="466"/>
      <c r="AD51" s="92"/>
      <c r="AE51" s="92"/>
      <c r="AF51" s="307">
        <f t="shared" si="17"/>
        <v>-283.54838709679234</v>
      </c>
      <c r="AG51" s="72">
        <f t="shared" si="18"/>
        <v>0.84247311827955984</v>
      </c>
      <c r="AH51" s="462"/>
    </row>
    <row r="52" spans="1:34" ht="15" customHeight="1">
      <c r="A52" s="489"/>
      <c r="B52" s="75" t="s">
        <v>81</v>
      </c>
      <c r="C52" s="86"/>
      <c r="D52" s="59" t="s">
        <v>128</v>
      </c>
      <c r="E52" s="87"/>
      <c r="F52" s="75">
        <f>VLOOKUP(D52,廠價表!$C$1:$E$43,3,0)</f>
        <v>57.21</v>
      </c>
      <c r="G52" s="202">
        <v>1097</v>
      </c>
      <c r="H52" s="231">
        <f>F52*G52</f>
        <v>62759.37</v>
      </c>
      <c r="I52" s="232"/>
      <c r="J52" s="79">
        <f>VLOOKUP(D52,產線配置圖!$A$3:$C$40,2,0)</f>
        <v>17</v>
      </c>
      <c r="K52" s="80">
        <f>VLOOKUP(D52,產線配置圖!$A$3:$C$40,3,0)</f>
        <v>1716</v>
      </c>
      <c r="L52" s="81">
        <f>K52/J52</f>
        <v>100.94117647058823</v>
      </c>
      <c r="M52" s="233">
        <v>15</v>
      </c>
      <c r="N52" s="234">
        <f>G52/W52*60</f>
        <v>1400.425531914889</v>
      </c>
      <c r="O52" s="235">
        <f>N52/M52</f>
        <v>93.361702127659271</v>
      </c>
      <c r="P52" s="74">
        <f>M52-J52</f>
        <v>-2</v>
      </c>
      <c r="Q52" s="83">
        <f>O52-L52</f>
        <v>-7.5794743429289611</v>
      </c>
      <c r="R52" s="72">
        <f>O52/L52</f>
        <v>0.92491196746515603</v>
      </c>
      <c r="S52" s="417"/>
      <c r="T52" s="21">
        <v>0.58541666666666703</v>
      </c>
      <c r="U52" s="21">
        <v>0.61805555555555602</v>
      </c>
      <c r="V52" s="30">
        <f>(T52-U51)*24*60</f>
        <v>6.0000000000004583</v>
      </c>
      <c r="W52" s="236">
        <f t="shared" si="4"/>
        <v>47.000000000000156</v>
      </c>
      <c r="X52" s="22"/>
      <c r="Y52" s="84"/>
      <c r="Z52" s="90"/>
      <c r="AA52" s="90"/>
      <c r="AB52" s="466"/>
      <c r="AC52" s="466"/>
      <c r="AD52" s="92"/>
      <c r="AE52" s="92"/>
      <c r="AF52" s="307">
        <f t="shared" si="17"/>
        <v>-315.57446808511099</v>
      </c>
      <c r="AG52" s="72">
        <f t="shared" si="18"/>
        <v>0.81609879482219638</v>
      </c>
      <c r="AH52" s="462"/>
    </row>
    <row r="53" spans="1:34" ht="15" customHeight="1">
      <c r="A53" s="48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7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6"/>
      <c r="AC53" s="466"/>
      <c r="AD53" s="92"/>
      <c r="AE53" s="92"/>
      <c r="AF53" s="307">
        <f t="shared" si="17"/>
        <v>0</v>
      </c>
      <c r="AG53" s="72" t="e">
        <f t="shared" si="18"/>
        <v>#DIV/0!</v>
      </c>
      <c r="AH53" s="462"/>
    </row>
    <row r="54" spans="1:34" ht="15" customHeight="1">
      <c r="A54" s="48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7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>
      <c r="A58" s="490"/>
      <c r="B58" s="239"/>
      <c r="C58" s="153" t="s">
        <v>51</v>
      </c>
      <c r="D58" s="437" t="s">
        <v>42</v>
      </c>
      <c r="E58" s="437"/>
      <c r="F58" s="116"/>
      <c r="G58" s="240"/>
      <c r="H58" s="118"/>
      <c r="I58" s="117"/>
      <c r="J58" s="120">
        <f t="shared" ref="J58:O58" si="19">AVERAGE(J49:J57)</f>
        <v>16.5</v>
      </c>
      <c r="K58" s="120">
        <f t="shared" si="19"/>
        <v>1704</v>
      </c>
      <c r="L58" s="117">
        <f t="shared" si="19"/>
        <v>103.54411764705883</v>
      </c>
      <c r="M58" s="120">
        <f t="shared" si="19"/>
        <v>15.75</v>
      </c>
      <c r="N58" s="120">
        <f t="shared" si="19"/>
        <v>1498.3954882558673</v>
      </c>
      <c r="O58" s="117">
        <f t="shared" si="19"/>
        <v>95.412651219285166</v>
      </c>
      <c r="P58" s="121">
        <f>M58-J58</f>
        <v>-0.75</v>
      </c>
      <c r="Q58" s="122">
        <f>N58-K58</f>
        <v>-205.60451174413265</v>
      </c>
      <c r="R58" s="123">
        <f>O58/L58</f>
        <v>0.92146858158093892</v>
      </c>
      <c r="S58" s="42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7"/>
      <c r="AC58" s="467"/>
      <c r="AD58" s="323">
        <f>SUM(AD49:AD57)</f>
        <v>0</v>
      </c>
      <c r="AE58" s="323">
        <f>SUM(AE49:AE57)</f>
        <v>0</v>
      </c>
      <c r="AF58" s="309">
        <f>N58-K58</f>
        <v>-205.60451174413265</v>
      </c>
      <c r="AG58" s="124">
        <f>N58/K58</f>
        <v>0.87934007526752778</v>
      </c>
      <c r="AH58" s="464"/>
    </row>
    <row r="59" spans="1:34" ht="15" customHeight="1">
      <c r="A59" s="502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2657</v>
      </c>
      <c r="H59" s="243">
        <f>F59*G59</f>
        <v>71712.429999999993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1476.111111111112</v>
      </c>
      <c r="O59" s="138">
        <f>N59/M59</f>
        <v>98.407407407407462</v>
      </c>
      <c r="P59" s="56">
        <f>M59-J59</f>
        <v>0</v>
      </c>
      <c r="Q59" s="230">
        <f>O59-L59</f>
        <v>-5.925925925925867</v>
      </c>
      <c r="R59" s="52">
        <f>O59/L59</f>
        <v>0.94320198793042298</v>
      </c>
      <c r="S59" s="416">
        <f>R69</f>
        <v>0.88303413128674735</v>
      </c>
      <c r="T59" s="245">
        <v>0.29166666666666702</v>
      </c>
      <c r="U59" s="245">
        <v>0.36666666666666697</v>
      </c>
      <c r="V59" s="55"/>
      <c r="W59" s="54">
        <f t="shared" si="4"/>
        <v>107.99999999999994</v>
      </c>
      <c r="X59" s="55"/>
      <c r="Y59" s="290"/>
      <c r="Z59" s="169"/>
      <c r="AA59" s="169"/>
      <c r="AB59" s="468"/>
      <c r="AC59" s="468"/>
      <c r="AD59" s="135"/>
      <c r="AE59" s="135"/>
      <c r="AF59" s="310">
        <f>N59-K59</f>
        <v>-88.888888888888005</v>
      </c>
      <c r="AG59" s="246">
        <f>N59/K59</f>
        <v>0.94320198793042298</v>
      </c>
      <c r="AH59" s="461">
        <f>AG69</f>
        <v>0.82140720863300221</v>
      </c>
    </row>
    <row r="60" spans="1:34" ht="15" customHeight="1">
      <c r="A60" s="503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1934</v>
      </c>
      <c r="H60" s="78">
        <f>F60*G60</f>
        <v>54654.840000000004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11</v>
      </c>
      <c r="N60" s="80">
        <f>G60/W60*60</f>
        <v>1333.7931034482683</v>
      </c>
      <c r="O60" s="81">
        <f>N60/M60</f>
        <v>121.25391849529711</v>
      </c>
      <c r="P60" s="74">
        <f>M60-J60</f>
        <v>-1</v>
      </c>
      <c r="Q60" s="83">
        <f>O60-L60</f>
        <v>-9.1627481713695431</v>
      </c>
      <c r="R60" s="72">
        <f>O60/L60</f>
        <v>0.92974250603422715</v>
      </c>
      <c r="S60" s="506"/>
      <c r="T60" s="22">
        <v>0.37361111111111101</v>
      </c>
      <c r="U60" s="22">
        <v>0.43402777777777801</v>
      </c>
      <c r="V60" s="30">
        <f>(T60-U59)*24*60</f>
        <v>9.9999999999994049</v>
      </c>
      <c r="W60" s="248">
        <f t="shared" si="4"/>
        <v>87.000000000000483</v>
      </c>
      <c r="X60" s="232"/>
      <c r="Y60" s="177"/>
      <c r="Z60" s="90"/>
      <c r="AA60" s="90"/>
      <c r="AB60" s="466"/>
      <c r="AC60" s="466"/>
      <c r="AD60" s="92"/>
      <c r="AE60" s="92"/>
      <c r="AF60" s="316">
        <f>N60-K60</f>
        <v>-231.20689655173169</v>
      </c>
      <c r="AG60" s="249">
        <f>N60/K60</f>
        <v>0.85226396386470815</v>
      </c>
      <c r="AH60" s="497"/>
    </row>
    <row r="61" spans="1:34" ht="15" customHeight="1">
      <c r="A61" s="504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1151</v>
      </c>
      <c r="H61" s="254">
        <f>F61*G61</f>
        <v>58321.170000000006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11</v>
      </c>
      <c r="N61" s="107">
        <f>G61/W61*60</f>
        <v>986.57142857143094</v>
      </c>
      <c r="O61" s="238">
        <f>N61/M61</f>
        <v>89.688311688311899</v>
      </c>
      <c r="P61" s="111">
        <f>M61-J61</f>
        <v>-2</v>
      </c>
      <c r="Q61" s="255">
        <f>O61-L61</f>
        <v>-21.080919080918875</v>
      </c>
      <c r="R61" s="85">
        <f>O61/L61</f>
        <v>0.80968614718614906</v>
      </c>
      <c r="S61" s="417"/>
      <c r="T61" s="22">
        <v>0.44097222222222199</v>
      </c>
      <c r="U61" s="22">
        <v>0.48958333333333298</v>
      </c>
      <c r="V61" s="30">
        <f>(T61-U60)*24*60</f>
        <v>9.999999999999325</v>
      </c>
      <c r="W61" s="256">
        <f t="shared" si="4"/>
        <v>69.999999999999829</v>
      </c>
      <c r="X61" s="22">
        <v>0.51041666666666696</v>
      </c>
      <c r="Y61" s="84">
        <v>0.55208333333333304</v>
      </c>
      <c r="Z61" s="90"/>
      <c r="AA61" s="90"/>
      <c r="AB61" s="466" t="s">
        <v>149</v>
      </c>
      <c r="AC61" s="466"/>
      <c r="AD61" s="92"/>
      <c r="AE61" s="92"/>
      <c r="AF61" s="317">
        <f>N61-K61</f>
        <v>-453.42857142856906</v>
      </c>
      <c r="AG61" s="247">
        <f>N61/K61</f>
        <v>0.68511904761904929</v>
      </c>
      <c r="AH61" s="462"/>
    </row>
    <row r="62" spans="1:34" ht="15" customHeight="1">
      <c r="A62" s="504"/>
      <c r="B62" s="250" t="s">
        <v>81</v>
      </c>
      <c r="C62" s="251"/>
      <c r="D62" s="257" t="s">
        <v>119</v>
      </c>
      <c r="E62" s="253"/>
      <c r="F62" s="250">
        <f>VLOOKUP(D62,廠價表!$C$1:$E$43,3,0)</f>
        <v>50.67</v>
      </c>
      <c r="G62" s="38">
        <v>874</v>
      </c>
      <c r="H62" s="254">
        <f t="shared" ref="H62:H63" si="20">F62*G62</f>
        <v>44285.58</v>
      </c>
      <c r="I62" s="182"/>
      <c r="J62" s="106">
        <f>VLOOKUP(D62,產線配置圖!$A$3:$C$40,2,0)</f>
        <v>13</v>
      </c>
      <c r="K62" s="107">
        <f>VLOOKUP(D62,產線配置圖!$A$3:$C$40,3,0)</f>
        <v>1440</v>
      </c>
      <c r="L62" s="238">
        <f t="shared" ref="L62:L63" si="21">K62/J62</f>
        <v>110.76923076923077</v>
      </c>
      <c r="M62" s="108">
        <v>11</v>
      </c>
      <c r="N62" s="107">
        <f t="shared" ref="N62:N63" si="22">G62/W62*60</f>
        <v>989.43396226416633</v>
      </c>
      <c r="O62" s="238">
        <f t="shared" ref="O62:O63" si="23">N62/M62</f>
        <v>89.948542024015126</v>
      </c>
      <c r="P62" s="111">
        <f t="shared" ref="P62:P63" si="24">M62-J62</f>
        <v>-2</v>
      </c>
      <c r="Q62" s="255">
        <f t="shared" ref="Q62:Q63" si="25">O62-L62</f>
        <v>-20.820688745215648</v>
      </c>
      <c r="R62" s="85">
        <f t="shared" ref="R62:R63" si="26">O62/L62</f>
        <v>0.81203544882791434</v>
      </c>
      <c r="S62" s="417"/>
      <c r="T62" s="22">
        <v>0.56041666666666701</v>
      </c>
      <c r="U62" s="22">
        <v>0.59722222222222199</v>
      </c>
      <c r="V62" s="30">
        <f t="shared" ref="V62:V63" si="27">(T62-U61)*24*60</f>
        <v>102.00000000000099</v>
      </c>
      <c r="W62" s="248">
        <f t="shared" si="4"/>
        <v>52.999999999999176</v>
      </c>
      <c r="X62" s="22"/>
      <c r="Y62" s="84"/>
      <c r="Z62" s="90"/>
      <c r="AA62" s="90"/>
      <c r="AB62" s="466" t="s">
        <v>149</v>
      </c>
      <c r="AC62" s="466"/>
      <c r="AD62" s="92"/>
      <c r="AE62" s="92"/>
      <c r="AF62" s="317">
        <f>N62-K62</f>
        <v>-450.56603773583367</v>
      </c>
      <c r="AG62" s="247">
        <f>N62/K62</f>
        <v>0.68710691823900438</v>
      </c>
      <c r="AH62" s="462"/>
    </row>
    <row r="63" spans="1:34" ht="15" customHeight="1">
      <c r="A63" s="504"/>
      <c r="B63" s="258" t="s">
        <v>130</v>
      </c>
      <c r="C63" s="58"/>
      <c r="D63" s="259" t="s">
        <v>131</v>
      </c>
      <c r="E63" s="60"/>
      <c r="F63" s="250">
        <f>VLOOKUP(D63,廠價表!$C$1:$E$43,3,0)</f>
        <v>26.99</v>
      </c>
      <c r="G63" s="260">
        <v>1915</v>
      </c>
      <c r="H63" s="254">
        <f t="shared" si="20"/>
        <v>51685.85</v>
      </c>
      <c r="I63" s="182"/>
      <c r="J63" s="106">
        <f>VLOOKUP(D63,產線配置圖!$A$3:$C$40,2,0)</f>
        <v>15</v>
      </c>
      <c r="K63" s="107">
        <f>VLOOKUP(D63,產線配置圖!$A$3:$C$40,3,0)</f>
        <v>1565</v>
      </c>
      <c r="L63" s="238">
        <f t="shared" si="21"/>
        <v>104.33333333333333</v>
      </c>
      <c r="M63" s="68">
        <v>15</v>
      </c>
      <c r="N63" s="107">
        <f t="shared" si="22"/>
        <v>1436.2500000000139</v>
      </c>
      <c r="O63" s="238">
        <f t="shared" si="23"/>
        <v>95.750000000000924</v>
      </c>
      <c r="P63" s="111">
        <f t="shared" si="24"/>
        <v>0</v>
      </c>
      <c r="Q63" s="255">
        <f t="shared" si="25"/>
        <v>-8.5833333333324049</v>
      </c>
      <c r="R63" s="85">
        <f t="shared" si="26"/>
        <v>0.91773162939298014</v>
      </c>
      <c r="S63" s="417"/>
      <c r="T63" s="22">
        <v>0.60416666666666696</v>
      </c>
      <c r="U63" s="22">
        <v>0.65972222222222199</v>
      </c>
      <c r="V63" s="30">
        <f t="shared" si="27"/>
        <v>10.000000000000764</v>
      </c>
      <c r="W63" s="248">
        <f t="shared" si="4"/>
        <v>79.999999999999233</v>
      </c>
      <c r="X63" s="261"/>
      <c r="Y63" s="291"/>
      <c r="Z63" s="335"/>
      <c r="AA63" s="335"/>
      <c r="AB63" s="466"/>
      <c r="AC63" s="466"/>
      <c r="AD63" s="92"/>
      <c r="AE63" s="92"/>
      <c r="AF63" s="317"/>
      <c r="AG63" s="247"/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>
        <f t="shared" ref="J69:O69" si="28">AVERAGE(J59:J68)</f>
        <v>13.6</v>
      </c>
      <c r="K69" s="240">
        <f t="shared" si="28"/>
        <v>1515</v>
      </c>
      <c r="L69" s="268">
        <f t="shared" si="28"/>
        <v>112.12435897435898</v>
      </c>
      <c r="M69" s="240">
        <f t="shared" si="28"/>
        <v>12.6</v>
      </c>
      <c r="N69" s="240">
        <f t="shared" si="28"/>
        <v>1244.4319210789984</v>
      </c>
      <c r="O69" s="268">
        <f t="shared" si="28"/>
        <v>99.009635923006499</v>
      </c>
      <c r="P69" s="269">
        <f>M69-J69</f>
        <v>-1</v>
      </c>
      <c r="Q69" s="222">
        <f>N69-K69</f>
        <v>-270.56807892100164</v>
      </c>
      <c r="R69" s="123">
        <f>O69/L69</f>
        <v>0.88303413128674735</v>
      </c>
      <c r="S69" s="42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7"/>
      <c r="AC69" s="467"/>
      <c r="AD69" s="323">
        <f>SUM(AD59:AD68)</f>
        <v>0</v>
      </c>
      <c r="AE69" s="323">
        <f>SUM(AE59:AE68)</f>
        <v>0</v>
      </c>
      <c r="AF69" s="309">
        <f>N69-K69</f>
        <v>-270.56807892100164</v>
      </c>
      <c r="AG69" s="124">
        <f>N69/K69</f>
        <v>0.82140720863300221</v>
      </c>
      <c r="AH69" s="464"/>
    </row>
    <row r="70" spans="1:36" ht="15" customHeight="1">
      <c r="A70" s="498" t="s">
        <v>55</v>
      </c>
      <c r="B70" s="129" t="s">
        <v>81</v>
      </c>
      <c r="C70" s="129"/>
      <c r="D70" s="131" t="s">
        <v>128</v>
      </c>
      <c r="E70" s="132"/>
      <c r="F70" s="129">
        <f>VLOOKUP(D70,廠價表!$C$1:$E$43,3,0)</f>
        <v>57.21</v>
      </c>
      <c r="G70" s="55">
        <v>1560</v>
      </c>
      <c r="H70" s="243">
        <f>F70*G70</f>
        <v>89247.6</v>
      </c>
      <c r="I70" s="55"/>
      <c r="J70" s="136">
        <f>VLOOKUP(D70,產線配置圖!$A$3:$C$40,2,0)</f>
        <v>17</v>
      </c>
      <c r="K70" s="137">
        <f>VLOOKUP(D70,產線配置圖!$A$3:$C$40,3,0)</f>
        <v>1716</v>
      </c>
      <c r="L70" s="138">
        <f>K70/J70</f>
        <v>100.94117647058823</v>
      </c>
      <c r="M70" s="244">
        <v>11</v>
      </c>
      <c r="N70" s="137">
        <f>G70/W70*60</f>
        <v>1040</v>
      </c>
      <c r="O70" s="138">
        <f>N70/M70</f>
        <v>94.545454545454547</v>
      </c>
      <c r="P70" s="56">
        <f>M70-J70</f>
        <v>-6</v>
      </c>
      <c r="Q70" s="230">
        <f>O70-L70</f>
        <v>-6.3957219251336852</v>
      </c>
      <c r="R70" s="52">
        <f>O70/L70</f>
        <v>0.9366391184573003</v>
      </c>
      <c r="S70" s="416">
        <f>R79</f>
        <v>0.94292909719321671</v>
      </c>
      <c r="T70" s="245">
        <v>0.33680555555555602</v>
      </c>
      <c r="U70" s="245">
        <v>0.39930555555555602</v>
      </c>
      <c r="V70" s="55"/>
      <c r="W70" s="54">
        <f t="shared" si="4"/>
        <v>90</v>
      </c>
      <c r="X70" s="270"/>
      <c r="Y70" s="292"/>
      <c r="Z70" s="169"/>
      <c r="AA70" s="169"/>
      <c r="AB70" s="468"/>
      <c r="AC70" s="468"/>
      <c r="AD70" s="135"/>
      <c r="AE70" s="135"/>
      <c r="AF70" s="310">
        <f>N70-K70</f>
        <v>-676</v>
      </c>
      <c r="AG70" s="246">
        <f>N70/K70</f>
        <v>0.60606060606060608</v>
      </c>
      <c r="AH70" s="461">
        <f>AG79</f>
        <v>0.63301919841242749</v>
      </c>
    </row>
    <row r="71" spans="1:36" ht="15" customHeight="1">
      <c r="A71" s="499"/>
      <c r="B71" s="75" t="s">
        <v>81</v>
      </c>
      <c r="C71" s="76"/>
      <c r="D71" s="59" t="s">
        <v>121</v>
      </c>
      <c r="E71" s="77"/>
      <c r="F71" s="250">
        <f>VLOOKUP(D71,廠價表!$C$1:$E$43,3,0)</f>
        <v>50.289000000000001</v>
      </c>
      <c r="G71" s="30">
        <v>1998</v>
      </c>
      <c r="H71" s="254">
        <f t="shared" ref="H71:H72" si="29">F71*G71</f>
        <v>100477.42200000001</v>
      </c>
      <c r="I71" s="182"/>
      <c r="J71" s="106">
        <f>VLOOKUP(D71,產線配置圖!$A$3:$C$40,2,0)</f>
        <v>19</v>
      </c>
      <c r="K71" s="107">
        <f>VLOOKUP(D71,產線配置圖!$A$3:$C$40,3,0)</f>
        <v>1565</v>
      </c>
      <c r="L71" s="238">
        <f t="shared" ref="L71:L72" si="30">K71/J71</f>
        <v>82.368421052631575</v>
      </c>
      <c r="M71" s="82">
        <v>13</v>
      </c>
      <c r="N71" s="107">
        <f t="shared" ref="N71:N72" si="31">G71/W71*60</f>
        <v>1015.9322033898361</v>
      </c>
      <c r="O71" s="238">
        <f t="shared" ref="O71:O72" si="32">N71/M71</f>
        <v>78.148631029987399</v>
      </c>
      <c r="P71" s="111">
        <f t="shared" ref="P71:P72" si="33">M71-J71</f>
        <v>-6</v>
      </c>
      <c r="Q71" s="255">
        <f t="shared" ref="Q71:Q72" si="34">O71-L71</f>
        <v>-4.219790022644176</v>
      </c>
      <c r="R71" s="85">
        <f t="shared" ref="R71:R72" si="35">O71/L71</f>
        <v>0.94876932240879275</v>
      </c>
      <c r="S71" s="417"/>
      <c r="T71" s="22">
        <v>0.40763888888888899</v>
      </c>
      <c r="U71" s="22">
        <v>0.48958333333333298</v>
      </c>
      <c r="V71" s="30">
        <f>(T71-U70)*24*60</f>
        <v>11.999999999999478</v>
      </c>
      <c r="W71" s="73">
        <f t="shared" si="4"/>
        <v>117.99999999999935</v>
      </c>
      <c r="X71" s="271">
        <v>0.49305555555555602</v>
      </c>
      <c r="Y71" s="293">
        <v>0.53472222222222199</v>
      </c>
      <c r="Z71" s="90"/>
      <c r="AA71" s="90"/>
      <c r="AB71" s="487"/>
      <c r="AC71" s="487"/>
      <c r="AD71" s="200"/>
      <c r="AE71" s="200"/>
      <c r="AF71" s="311">
        <v>-300.31249999999704</v>
      </c>
      <c r="AG71" s="99">
        <v>0.80810702875399554</v>
      </c>
      <c r="AH71" s="482"/>
    </row>
    <row r="72" spans="1:36" ht="15" customHeight="1">
      <c r="A72" s="499"/>
      <c r="B72" s="75" t="s">
        <v>81</v>
      </c>
      <c r="C72" s="76"/>
      <c r="D72" s="59" t="s">
        <v>121</v>
      </c>
      <c r="E72" s="77"/>
      <c r="F72" s="250">
        <f>VLOOKUP(D72,廠價表!$C$1:$E$43,3,0)</f>
        <v>50.289000000000001</v>
      </c>
      <c r="G72" s="202">
        <v>2310</v>
      </c>
      <c r="H72" s="254">
        <f t="shared" si="29"/>
        <v>116167.59</v>
      </c>
      <c r="I72" s="182"/>
      <c r="J72" s="106">
        <f>VLOOKUP(D72,產線配置圖!$A$3:$C$40,2,0)</f>
        <v>19</v>
      </c>
      <c r="K72" s="107">
        <f>VLOOKUP(D72,產線配置圖!$A$3:$C$40,3,0)</f>
        <v>1565</v>
      </c>
      <c r="L72" s="238">
        <f t="shared" si="30"/>
        <v>82.368421052631575</v>
      </c>
      <c r="M72" s="82">
        <v>13</v>
      </c>
      <c r="N72" s="107">
        <f t="shared" si="31"/>
        <v>1011.6788321167872</v>
      </c>
      <c r="O72" s="238">
        <f t="shared" si="32"/>
        <v>77.821448624368244</v>
      </c>
      <c r="P72" s="111">
        <f t="shared" si="33"/>
        <v>-6</v>
      </c>
      <c r="Q72" s="255">
        <f t="shared" si="34"/>
        <v>-4.5469724282633308</v>
      </c>
      <c r="R72" s="85">
        <f t="shared" si="35"/>
        <v>0.94479713984856017</v>
      </c>
      <c r="S72" s="417"/>
      <c r="T72" s="22">
        <v>0.54513888888888895</v>
      </c>
      <c r="U72" s="22">
        <v>0.64027777777777795</v>
      </c>
      <c r="V72" s="30">
        <f>(T72-U71)*24*60</f>
        <v>80.000000000000597</v>
      </c>
      <c r="W72" s="73">
        <f t="shared" si="4"/>
        <v>137.00000000000014</v>
      </c>
      <c r="X72" s="272"/>
      <c r="Y72" s="288"/>
      <c r="Z72" s="90"/>
      <c r="AA72" s="90"/>
      <c r="AB72" s="466"/>
      <c r="AC72" s="466"/>
      <c r="AD72" s="92"/>
      <c r="AE72" s="92"/>
      <c r="AF72" s="311">
        <v>-130.33333333333326</v>
      </c>
      <c r="AG72" s="99">
        <v>0.91671991480298198</v>
      </c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6"/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>
      <c r="A79" s="500"/>
      <c r="B79" s="239"/>
      <c r="C79" s="153" t="s">
        <v>56</v>
      </c>
      <c r="D79" s="437" t="s">
        <v>42</v>
      </c>
      <c r="E79" s="437"/>
      <c r="F79" s="116"/>
      <c r="G79" s="117"/>
      <c r="H79" s="282"/>
      <c r="I79" s="268"/>
      <c r="J79" s="240">
        <f t="shared" ref="J79:O79" si="36">AVERAGE(J70:J78)</f>
        <v>18.333333333333332</v>
      </c>
      <c r="K79" s="240">
        <f t="shared" si="36"/>
        <v>1615.3333333333333</v>
      </c>
      <c r="L79" s="268">
        <f t="shared" si="36"/>
        <v>88.559339525283789</v>
      </c>
      <c r="M79" s="240">
        <f t="shared" si="36"/>
        <v>12.333333333333334</v>
      </c>
      <c r="N79" s="240">
        <f t="shared" si="36"/>
        <v>1022.5370118355412</v>
      </c>
      <c r="O79" s="268">
        <f t="shared" si="36"/>
        <v>83.505178066603392</v>
      </c>
      <c r="P79" s="269">
        <f>M79-J79</f>
        <v>-5.9999999999999982</v>
      </c>
      <c r="Q79" s="222">
        <f>N79-K79</f>
        <v>-592.79632149779206</v>
      </c>
      <c r="R79" s="223">
        <f>O79/L79</f>
        <v>0.94292909719321671</v>
      </c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>
        <f>N79-K79</f>
        <v>-592.79632149779206</v>
      </c>
      <c r="AG79" s="124">
        <f>N79/K79</f>
        <v>0.63301919841242749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16:A26"/>
    <mergeCell ref="S16:S26"/>
    <mergeCell ref="AB16:AC16"/>
    <mergeCell ref="D26:E26"/>
    <mergeCell ref="AB26:AC26"/>
    <mergeCell ref="A5:A15"/>
    <mergeCell ref="S5:S15"/>
    <mergeCell ref="AB5:AC5"/>
    <mergeCell ref="AH5:AH15"/>
    <mergeCell ref="AB6:AC6"/>
    <mergeCell ref="AB7:AC7"/>
    <mergeCell ref="AB8:AC8"/>
    <mergeCell ref="AB9:AC9"/>
    <mergeCell ref="AB10:AC10"/>
    <mergeCell ref="AB11:AC11"/>
    <mergeCell ref="AB12:AC12"/>
    <mergeCell ref="AB14:AC14"/>
    <mergeCell ref="D15:E15"/>
    <mergeCell ref="AB15:AC15"/>
    <mergeCell ref="AB13:AC13"/>
    <mergeCell ref="G3:G4"/>
    <mergeCell ref="AB3:AC4"/>
    <mergeCell ref="N3:N4"/>
    <mergeCell ref="O3:O4"/>
    <mergeCell ref="P3:P4"/>
    <mergeCell ref="Q3:Q4"/>
    <mergeCell ref="R3:R4"/>
    <mergeCell ref="S3:S4"/>
    <mergeCell ref="T3:U3"/>
    <mergeCell ref="V3:V4"/>
    <mergeCell ref="W3:W4"/>
    <mergeCell ref="H3:H4"/>
    <mergeCell ref="I3:I4"/>
    <mergeCell ref="P1:S2"/>
    <mergeCell ref="T1:Y2"/>
    <mergeCell ref="AB1:AC2"/>
    <mergeCell ref="AF1:AH2"/>
    <mergeCell ref="J3:J4"/>
    <mergeCell ref="K3:K4"/>
    <mergeCell ref="L3:L4"/>
    <mergeCell ref="M3:M4"/>
    <mergeCell ref="J1:L2"/>
    <mergeCell ref="M1:O2"/>
    <mergeCell ref="AD3:AE3"/>
    <mergeCell ref="AF3:AF4"/>
    <mergeCell ref="AG3:AG4"/>
    <mergeCell ref="AH3:AH4"/>
    <mergeCell ref="X3:Y3"/>
    <mergeCell ref="Z3:AA3"/>
    <mergeCell ref="A2:B2"/>
    <mergeCell ref="A3:A4"/>
    <mergeCell ref="B3:B4"/>
    <mergeCell ref="D3:E4"/>
    <mergeCell ref="F3:F4"/>
  </mergeCells>
  <phoneticPr fontId="0" type="noConversion"/>
  <conditionalFormatting sqref="P5:P79">
    <cfRule type="cellIs" dxfId="304" priority="1" operator="greaterThan">
      <formula>0</formula>
    </cfRule>
  </conditionalFormatting>
  <conditionalFormatting sqref="Q5:Q79 AF5:AF79">
    <cfRule type="cellIs" dxfId="303" priority="4" operator="lessThan">
      <formula>0</formula>
    </cfRule>
  </conditionalFormatting>
  <conditionalFormatting sqref="R5:R79 AG5:AG79">
    <cfRule type="cellIs" dxfId="302" priority="2" operator="greaterThan">
      <formula>1</formula>
    </cfRule>
    <cfRule type="cellIs" dxfId="301" priority="3" operator="lessThan">
      <formula>0.8</formula>
    </cfRule>
  </conditionalFormatting>
  <conditionalFormatting sqref="S5:S10 S37:S62 AH59:AH62 S69:S76 AH69:AH76">
    <cfRule type="cellIs" dxfId="300" priority="7" operator="lessThan">
      <formula>0.8</formula>
    </cfRule>
  </conditionalFormatting>
  <conditionalFormatting sqref="S19:S25 AH19:AH25">
    <cfRule type="cellIs" dxfId="299" priority="6" operator="lessThan">
      <formula>0.8</formula>
    </cfRule>
  </conditionalFormatting>
  <conditionalFormatting sqref="S79">
    <cfRule type="cellIs" dxfId="298" priority="5" operator="lessThan">
      <formula>0.8</formula>
    </cfRule>
  </conditionalFormatting>
  <conditionalFormatting sqref="AH5:AH8 S15:S16 AH15:AH16 AH49 AH79">
    <cfRule type="cellIs" dxfId="297" priority="9" operator="lessThan">
      <formula>0.8</formula>
    </cfRule>
  </conditionalFormatting>
  <conditionalFormatting sqref="AH27 S27:S28">
    <cfRule type="cellIs" dxfId="296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D92CD8-D371-47AF-822C-4021258B64E6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62662-16AA-44E1-890F-4705ACBB5114}">
  <dimension ref="B1:O26"/>
  <sheetViews>
    <sheetView topLeftCell="A3" zoomScale="70" zoomScaleNormal="70" workbookViewId="0">
      <selection activeCell="AB61" sqref="AB61:AC6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46148</v>
      </c>
      <c r="E3" s="412"/>
      <c r="F3" s="3" t="s">
        <v>72</v>
      </c>
      <c r="G3" s="413">
        <f>'0506'!E1</f>
        <v>59191</v>
      </c>
      <c r="H3" s="413"/>
      <c r="I3" s="3" t="s">
        <v>2</v>
      </c>
      <c r="J3" s="414">
        <f>'0506'!G1</f>
        <v>2918279.2499999995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>
        <f>AVERAGE(D13:I13)</f>
        <v>120.89749001084914</v>
      </c>
      <c r="G6" s="410"/>
      <c r="H6" s="395">
        <f>AVERAGE(D13:H13)</f>
        <v>122.65211621814717</v>
      </c>
      <c r="I6" s="395"/>
      <c r="J6" s="395">
        <f>AVERAGE(I13)</f>
        <v>112.12435897435898</v>
      </c>
      <c r="K6" s="395"/>
      <c r="L6" s="396">
        <f>SUM(D18:J18)</f>
        <v>4</v>
      </c>
      <c r="M6" s="398">
        <f>SUM(D19:J19)</f>
        <v>71</v>
      </c>
      <c r="N6" s="399">
        <f>SUM(D20:J20)</f>
        <v>0</v>
      </c>
      <c r="O6" s="398">
        <f>SUM(D20:J20)</f>
        <v>0</v>
      </c>
    </row>
    <row r="7" spans="2:15" ht="39.6" customHeight="1">
      <c r="B7" s="406"/>
      <c r="C7" s="406"/>
      <c r="D7" s="401" t="s">
        <v>87</v>
      </c>
      <c r="E7" s="401"/>
      <c r="F7" s="402">
        <f>AVERAGE(D14:I14)</f>
        <v>91.374912856136987</v>
      </c>
      <c r="G7" s="402"/>
      <c r="H7" s="403">
        <f>AVERAGE(D14:H14)</f>
        <v>91.624876678690981</v>
      </c>
      <c r="I7" s="403"/>
      <c r="J7" s="403">
        <f>AVERAGE(I14)</f>
        <v>90.125093743367046</v>
      </c>
      <c r="K7" s="403"/>
      <c r="L7" s="397" t="e">
        <f t="shared" ref="L7:O8" si="0">AVERAGE(K14:L14)</f>
        <v>#DIV/0!</v>
      </c>
      <c r="M7" s="398" t="e">
        <f t="shared" si="0"/>
        <v>#DIV/0!</v>
      </c>
      <c r="N7" s="400" t="e">
        <f t="shared" si="0"/>
        <v>#DIV/0!</v>
      </c>
      <c r="O7" s="398" t="e">
        <f t="shared" si="0"/>
        <v>#DIV/0!</v>
      </c>
    </row>
    <row r="8" spans="2:15" ht="39.6" customHeight="1">
      <c r="B8" s="406"/>
      <c r="C8" s="406"/>
      <c r="D8" s="401" t="s">
        <v>27</v>
      </c>
      <c r="E8" s="401"/>
      <c r="F8" s="387">
        <f>F7/F6</f>
        <v>0.75580487938944929</v>
      </c>
      <c r="G8" s="387"/>
      <c r="H8" s="387">
        <f>H7/H6</f>
        <v>0.74703054055527573</v>
      </c>
      <c r="I8" s="387"/>
      <c r="J8" s="387">
        <f>J7/J6</f>
        <v>0.80379584389844483</v>
      </c>
      <c r="K8" s="387"/>
      <c r="L8" s="397" t="e">
        <f t="shared" si="0"/>
        <v>#DIV/0!</v>
      </c>
      <c r="M8" s="398" t="e">
        <f t="shared" si="0"/>
        <v>#DIV/0!</v>
      </c>
      <c r="N8" s="400" t="e">
        <f t="shared" si="0"/>
        <v>#DIV/0!</v>
      </c>
      <c r="O8" s="398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>
        <f>VALUE('0506'!L15)</f>
        <v>150</v>
      </c>
      <c r="E13" s="13">
        <f>VALUE('0506'!L26)</f>
        <v>166.34615384615384</v>
      </c>
      <c r="F13" s="13">
        <f>VALUE('0506'!L37)</f>
        <v>99.596078431372547</v>
      </c>
      <c r="G13" s="13">
        <f>VALUE('0506'!L48)</f>
        <v>101.72392156862745</v>
      </c>
      <c r="H13" s="13">
        <f>VALUE('0506'!L58)</f>
        <v>95.594427244582036</v>
      </c>
      <c r="I13" s="13">
        <f>VALUE('0506'!L69)</f>
        <v>112.12435897435898</v>
      </c>
      <c r="J13" s="13">
        <f>'0506'!L79</f>
        <v>0</v>
      </c>
    </row>
    <row r="14" spans="2:15" ht="39.950000000000003" customHeight="1">
      <c r="B14" s="381"/>
      <c r="C14" s="12" t="s">
        <v>100</v>
      </c>
      <c r="D14" s="13">
        <f>VALUE('0506'!O15)</f>
        <v>71.1222782885187</v>
      </c>
      <c r="E14" s="13">
        <f>VALUE('0506'!O26)</f>
        <v>145.50176383034238</v>
      </c>
      <c r="F14" s="13">
        <f>VALUE('0506'!O37)</f>
        <v>65.696329251189297</v>
      </c>
      <c r="G14" s="13">
        <f>VALUE('0506'!O48)</f>
        <v>88.029464890645457</v>
      </c>
      <c r="H14" s="13">
        <f>VALUE('0506'!O58)</f>
        <v>87.774547132759025</v>
      </c>
      <c r="I14" s="13">
        <f>VALUE('0506'!O69)</f>
        <v>90.125093743367046</v>
      </c>
      <c r="J14" s="13">
        <f>'0506'!O79</f>
        <v>0</v>
      </c>
    </row>
    <row r="15" spans="2:15" ht="39.950000000000003" customHeight="1">
      <c r="B15" s="382"/>
      <c r="C15" s="10" t="s">
        <v>26</v>
      </c>
      <c r="D15" s="14">
        <f t="shared" ref="D15:I15" si="1">D14/D13</f>
        <v>0.47414852192345802</v>
      </c>
      <c r="E15" s="14">
        <f t="shared" si="1"/>
        <v>0.87469268429801206</v>
      </c>
      <c r="F15" s="14">
        <f t="shared" si="1"/>
        <v>0.65962767094748476</v>
      </c>
      <c r="G15" s="14">
        <f t="shared" si="1"/>
        <v>0.86537624123404344</v>
      </c>
      <c r="H15" s="14">
        <f t="shared" si="1"/>
        <v>0.91819732240441643</v>
      </c>
      <c r="I15" s="14">
        <f t="shared" si="1"/>
        <v>0.80379584389844483</v>
      </c>
      <c r="J15" s="15">
        <f>'0506'!S70</f>
        <v>0</v>
      </c>
    </row>
    <row r="16" spans="2:15" ht="17.25" customHeight="1">
      <c r="B16" s="383" t="s">
        <v>101</v>
      </c>
      <c r="C16" s="10" t="s">
        <v>34</v>
      </c>
      <c r="D16" s="16">
        <f>'0506'!T5</f>
        <v>0.29166666666666702</v>
      </c>
      <c r="E16" s="16">
        <f>'0506'!T16</f>
        <v>0.29097222222222202</v>
      </c>
      <c r="F16" s="16">
        <f>'0506'!T27</f>
        <v>0.33333333333333298</v>
      </c>
      <c r="G16" s="16">
        <f>'0506'!T38</f>
        <v>0.33333333333333298</v>
      </c>
      <c r="H16" s="16">
        <f>'0506'!T49</f>
        <v>0.29166666666666702</v>
      </c>
      <c r="I16" s="16">
        <f>'0506'!T59</f>
        <v>0.29166666666666702</v>
      </c>
      <c r="J16" s="16">
        <f>'0506'!T70</f>
        <v>0</v>
      </c>
    </row>
    <row r="17" spans="2:10" ht="17.25" customHeight="1">
      <c r="B17" s="384"/>
      <c r="C17" s="10" t="s">
        <v>35</v>
      </c>
      <c r="D17" s="18">
        <v>0.64930555555555602</v>
      </c>
      <c r="E17" s="19">
        <v>0.65208333333333302</v>
      </c>
      <c r="F17" s="19">
        <v>0.72222222222222199</v>
      </c>
      <c r="G17" s="20">
        <v>0.68055555555555602</v>
      </c>
      <c r="H17" s="21">
        <v>0.69652777777777797</v>
      </c>
      <c r="I17" s="22">
        <v>0.63194444444444398</v>
      </c>
      <c r="J17" s="22">
        <v>0.64027777777777795</v>
      </c>
    </row>
    <row r="18" spans="2:10" ht="17.25" customHeight="1">
      <c r="B18" s="385" t="s">
        <v>102</v>
      </c>
      <c r="C18" s="330" t="s">
        <v>36</v>
      </c>
      <c r="D18" s="358">
        <f>'0506'!Z15</f>
        <v>0</v>
      </c>
      <c r="E18" s="359">
        <f>'0506'!Z26</f>
        <v>0</v>
      </c>
      <c r="F18" s="359">
        <f>'0506'!Z37</f>
        <v>1</v>
      </c>
      <c r="G18" s="360">
        <f>'0506'!Z48</f>
        <v>2</v>
      </c>
      <c r="H18" s="360">
        <f>'0506'!Z58</f>
        <v>1</v>
      </c>
      <c r="I18" s="359">
        <f>'0506'!Z69</f>
        <v>0</v>
      </c>
      <c r="J18" s="359">
        <f>'0506'!AA79</f>
        <v>0</v>
      </c>
    </row>
    <row r="19" spans="2:10" ht="17.25" customHeight="1">
      <c r="B19" s="386"/>
      <c r="C19" s="330" t="s">
        <v>37</v>
      </c>
      <c r="D19" s="358">
        <f>'0506'!AA15</f>
        <v>0</v>
      </c>
      <c r="E19" s="359">
        <f>'0506'!AA26</f>
        <v>0</v>
      </c>
      <c r="F19" s="359">
        <f>'0506'!AA37</f>
        <v>30</v>
      </c>
      <c r="G19" s="360">
        <f>'0506'!AA48</f>
        <v>33</v>
      </c>
      <c r="H19" s="360">
        <f>'0506'!AA58</f>
        <v>8</v>
      </c>
      <c r="I19" s="359">
        <f>'0506'!AA69</f>
        <v>0</v>
      </c>
      <c r="J19" s="359">
        <f>'0506'!AB79</f>
        <v>0</v>
      </c>
    </row>
    <row r="20" spans="2:10" ht="17.25" customHeight="1">
      <c r="B20" s="385" t="s">
        <v>103</v>
      </c>
      <c r="C20" s="330" t="s">
        <v>36</v>
      </c>
      <c r="D20" s="358">
        <f>'0506'!AD15</f>
        <v>0</v>
      </c>
      <c r="E20" s="359">
        <f>'0506'!AD26</f>
        <v>0</v>
      </c>
      <c r="F20" s="359">
        <f>'0506'!AD37</f>
        <v>0</v>
      </c>
      <c r="G20" s="360">
        <f>'0506'!AD48</f>
        <v>0</v>
      </c>
      <c r="H20" s="360">
        <f>'0506'!AD58</f>
        <v>0</v>
      </c>
      <c r="I20" s="359">
        <f>'0506'!AD69</f>
        <v>0</v>
      </c>
      <c r="J20" s="359">
        <f>'0506'!AD79</f>
        <v>0</v>
      </c>
    </row>
    <row r="21" spans="2:10" ht="17.25" customHeight="1">
      <c r="B21" s="386"/>
      <c r="C21" s="330" t="s">
        <v>85</v>
      </c>
      <c r="D21" s="358">
        <f>'0506'!AE15</f>
        <v>0</v>
      </c>
      <c r="E21" s="359">
        <f>'0506'!AE26</f>
        <v>0</v>
      </c>
      <c r="F21" s="359">
        <f>'0506'!AE37</f>
        <v>0</v>
      </c>
      <c r="G21" s="360">
        <f>'0506'!AE48</f>
        <v>0</v>
      </c>
      <c r="H21" s="360">
        <f>'0506'!AE58</f>
        <v>0</v>
      </c>
      <c r="I21" s="359">
        <f>'0506'!AE69</f>
        <v>0</v>
      </c>
      <c r="J21" s="359">
        <f>'0506'!AE79</f>
        <v>0</v>
      </c>
    </row>
    <row r="22" spans="2:10" ht="17.25" customHeight="1">
      <c r="B22" s="377" t="s">
        <v>104</v>
      </c>
      <c r="C22" s="378"/>
      <c r="D22" s="23">
        <f>VALUE('0506'!M15)</f>
        <v>16.333333333333332</v>
      </c>
      <c r="E22" s="23">
        <f>VALUE('0506'!M26)</f>
        <v>13.833333333333334</v>
      </c>
      <c r="F22" s="23">
        <f>VALUE('0506'!M37)</f>
        <v>16.5</v>
      </c>
      <c r="G22" s="23">
        <f>VALUE('0506'!M48)</f>
        <v>16.399999999999999</v>
      </c>
      <c r="H22" s="23">
        <f>VALUE('0506'!M58)</f>
        <v>16.8</v>
      </c>
      <c r="I22" s="23">
        <f>VALUE('0506'!M69)</f>
        <v>13.2</v>
      </c>
      <c r="J22" s="23">
        <f>'0506'!M79</f>
        <v>0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95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3F115-752B-4C65-B02A-CA8EFC2109EF}">
  <sheetPr>
    <tabColor theme="9" tint="0.79998168889431442"/>
  </sheetPr>
  <dimension ref="A1:AJ92"/>
  <sheetViews>
    <sheetView zoomScale="69" zoomScaleNormal="69" workbookViewId="0">
      <pane xSplit="5" ySplit="4" topLeftCell="P35" activePane="bottomRight" state="frozen"/>
      <selection activeCell="AB61" sqref="AB61:AC61"/>
      <selection pane="topRight" activeCell="AB61" sqref="AB61:AC61"/>
      <selection pane="bottomLeft" activeCell="AB61" sqref="AB61:AC61"/>
      <selection pane="bottomRight" activeCell="AB61" sqref="AB61:AC6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8" width="8.7109375" style="34" customWidth="1"/>
    <col min="109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59191</v>
      </c>
      <c r="F1" s="30" t="s">
        <v>2</v>
      </c>
      <c r="G1" s="31">
        <f>SUM(H5:H79)</f>
        <v>2918279.2499999995</v>
      </c>
      <c r="H1" s="32" t="s">
        <v>3</v>
      </c>
      <c r="I1" s="33">
        <f>M15+M26+M48+M58+M69+M79+M37</f>
        <v>93.066666666666663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150</v>
      </c>
      <c r="B2" s="422"/>
      <c r="C2" s="28"/>
      <c r="D2" s="28" t="s">
        <v>14</v>
      </c>
      <c r="E2" s="35">
        <f>AVERAGE(O15,O26,O37,O48,O58,O69,O79)</f>
        <v>91.374912856136987</v>
      </c>
      <c r="F2" s="36" t="s">
        <v>15</v>
      </c>
      <c r="G2" s="37">
        <f>G1/E1</f>
        <v>49.302752952306932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4</v>
      </c>
      <c r="AA2" s="339">
        <f>AA15+AA26+AA37+AA48+AA58+AA69+AA79</f>
        <v>71</v>
      </c>
      <c r="AB2" s="460"/>
      <c r="AC2" s="460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2043</v>
      </c>
      <c r="H5" s="43">
        <f>F5*G5</f>
        <v>116185.40999999999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888.26086956522056</v>
      </c>
      <c r="O5" s="47">
        <f>N5/M5</f>
        <v>59.217391304348034</v>
      </c>
      <c r="P5" s="49">
        <f>M5-J5</f>
        <v>0</v>
      </c>
      <c r="Q5" s="50">
        <f>O5-L5</f>
        <v>-90.782608695651959</v>
      </c>
      <c r="R5" s="51">
        <f>O5/L5</f>
        <v>0.39478260869565357</v>
      </c>
      <c r="S5" s="416">
        <f>R15</f>
        <v>0.47414852192345802</v>
      </c>
      <c r="T5" s="319">
        <v>0.29166666666666702</v>
      </c>
      <c r="U5" s="320">
        <v>0.38750000000000001</v>
      </c>
      <c r="V5" s="53"/>
      <c r="W5" s="54">
        <f t="shared" ref="W5:W14" si="0">(U5-T5)*24*60</f>
        <v>137.99999999999952</v>
      </c>
      <c r="X5" s="55"/>
      <c r="Y5" s="290"/>
      <c r="Z5" s="169"/>
      <c r="AA5" s="169"/>
      <c r="AB5" s="468" t="s">
        <v>151</v>
      </c>
      <c r="AC5" s="468"/>
      <c r="AD5" s="135"/>
      <c r="AE5" s="135"/>
      <c r="AF5" s="229">
        <f t="shared" ref="AF5:AF11" si="1">N5-K5</f>
        <v>-1361.7391304347793</v>
      </c>
      <c r="AG5" s="52">
        <f t="shared" ref="AG5:AG11" si="2">N5/K5</f>
        <v>0.39478260869565357</v>
      </c>
      <c r="AH5" s="461">
        <f>AG15</f>
        <v>0.51982243112677895</v>
      </c>
    </row>
    <row r="6" spans="1:34" ht="15" customHeight="1">
      <c r="A6" s="428"/>
      <c r="B6" s="57" t="s">
        <v>81</v>
      </c>
      <c r="C6" s="58"/>
      <c r="D6" s="59" t="s">
        <v>114</v>
      </c>
      <c r="E6" s="60"/>
      <c r="F6" s="61">
        <f>VLOOKUP(D6,廠價表!$C$1:$E$43,3,0)</f>
        <v>49.14</v>
      </c>
      <c r="G6" s="62">
        <v>1962</v>
      </c>
      <c r="H6" s="63">
        <f>F6*G6</f>
        <v>96412.680000000008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17</v>
      </c>
      <c r="N6" s="66">
        <f>G6/W6*60</f>
        <v>1060.5405405405459</v>
      </c>
      <c r="O6" s="67">
        <f>N6/M6</f>
        <v>62.384737678855636</v>
      </c>
      <c r="P6" s="69">
        <f>M6-J6</f>
        <v>2</v>
      </c>
      <c r="Q6" s="70">
        <f>O6-L6</f>
        <v>-87.615262321144371</v>
      </c>
      <c r="R6" s="71">
        <f>O6/L6</f>
        <v>0.41589825119237089</v>
      </c>
      <c r="S6" s="417"/>
      <c r="T6" s="16">
        <v>0.39861111111111103</v>
      </c>
      <c r="U6" s="16">
        <v>0.47569444444444398</v>
      </c>
      <c r="V6" s="30">
        <f>(T6-U5)*24*60</f>
        <v>15.999999999999863</v>
      </c>
      <c r="W6" s="73">
        <f t="shared" si="0"/>
        <v>110.99999999999945</v>
      </c>
      <c r="X6" s="22">
        <v>0.49305555555555602</v>
      </c>
      <c r="Y6" s="84">
        <v>0.53472222222222199</v>
      </c>
      <c r="Z6" s="90"/>
      <c r="AA6" s="90"/>
      <c r="AB6" s="465" t="s">
        <v>152</v>
      </c>
      <c r="AC6" s="465"/>
      <c r="AD6" s="149"/>
      <c r="AE6" s="149"/>
      <c r="AF6" s="307">
        <f t="shared" si="1"/>
        <v>-1189.4594594594541</v>
      </c>
      <c r="AG6" s="72">
        <f t="shared" si="2"/>
        <v>0.4713513513513537</v>
      </c>
      <c r="AH6" s="462"/>
    </row>
    <row r="7" spans="1:34" ht="15" customHeight="1">
      <c r="A7" s="428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3770</v>
      </c>
      <c r="H7" s="78">
        <f>F7*G7</f>
        <v>185257.8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17</v>
      </c>
      <c r="N7" s="80">
        <f>G7/W7*60</f>
        <v>1559.9999999999916</v>
      </c>
      <c r="O7" s="81">
        <f>N7/M7</f>
        <v>91.764705882352445</v>
      </c>
      <c r="P7" s="74">
        <f>M7-J7</f>
        <v>2</v>
      </c>
      <c r="Q7" s="83">
        <f>O7-L7</f>
        <v>-58.235294117647555</v>
      </c>
      <c r="R7" s="72">
        <f>O7/L7</f>
        <v>0.61176470588234966</v>
      </c>
      <c r="S7" s="417"/>
      <c r="T7" s="18">
        <v>0.54861111111111105</v>
      </c>
      <c r="U7" s="18">
        <v>0.64930555555555602</v>
      </c>
      <c r="V7" s="30">
        <f>(T7-U6)*24*60</f>
        <v>105.00000000000058</v>
      </c>
      <c r="W7" s="73">
        <f t="shared" si="0"/>
        <v>145.00000000000077</v>
      </c>
      <c r="X7" s="22"/>
      <c r="Y7" s="84"/>
      <c r="Z7" s="90"/>
      <c r="AA7" s="90"/>
      <c r="AB7" s="465" t="s">
        <v>152</v>
      </c>
      <c r="AC7" s="465"/>
      <c r="AD7" s="92"/>
      <c r="AE7" s="92"/>
      <c r="AF7" s="307">
        <f t="shared" si="1"/>
        <v>-690.00000000000841</v>
      </c>
      <c r="AG7" s="72">
        <f t="shared" si="2"/>
        <v>0.69333333333332958</v>
      </c>
      <c r="AH7" s="462"/>
    </row>
    <row r="8" spans="1:34" ht="15" customHeight="1">
      <c r="A8" s="428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7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65"/>
      <c r="AC8" s="465"/>
      <c r="AD8" s="149"/>
      <c r="AE8" s="149"/>
      <c r="AF8" s="307">
        <f t="shared" si="1"/>
        <v>0</v>
      </c>
      <c r="AG8" s="72" t="e">
        <f t="shared" si="2"/>
        <v>#DIV/0!</v>
      </c>
      <c r="AH8" s="462"/>
    </row>
    <row r="9" spans="1:34" ht="15" customHeight="1">
      <c r="A9" s="42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8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509" t="s">
        <v>153</v>
      </c>
      <c r="AC9" s="509"/>
      <c r="AD9" s="149"/>
      <c r="AE9" s="149"/>
      <c r="AF9" s="307">
        <f t="shared" si="1"/>
        <v>0</v>
      </c>
      <c r="AG9" s="72" t="e">
        <f t="shared" si="2"/>
        <v>#DIV/0!</v>
      </c>
      <c r="AH9" s="463"/>
    </row>
    <row r="10" spans="1:34" ht="15" customHeight="1">
      <c r="A10" s="42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8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6"/>
      <c r="AC10" s="466"/>
      <c r="AD10" s="92"/>
      <c r="AE10" s="92"/>
      <c r="AF10" s="307">
        <f t="shared" si="1"/>
        <v>0</v>
      </c>
      <c r="AG10" s="72" t="e">
        <f t="shared" si="2"/>
        <v>#DIV/0!</v>
      </c>
      <c r="AH10" s="463"/>
    </row>
    <row r="11" spans="1:34" ht="15" customHeight="1">
      <c r="A11" s="42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5"/>
      <c r="AC11" s="465"/>
      <c r="AD11" s="149"/>
      <c r="AE11" s="149"/>
      <c r="AF11" s="307">
        <f t="shared" si="1"/>
        <v>0</v>
      </c>
      <c r="AG11" s="72" t="e">
        <f t="shared" si="2"/>
        <v>#DIV/0!</v>
      </c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16.333333333333332</v>
      </c>
      <c r="N15" s="120">
        <f t="shared" si="3"/>
        <v>1169.6004700352526</v>
      </c>
      <c r="O15" s="117">
        <f t="shared" si="3"/>
        <v>71.1222782885187</v>
      </c>
      <c r="P15" s="121">
        <f>M15-J15</f>
        <v>1.3333333333333321</v>
      </c>
      <c r="Q15" s="122">
        <f>O15-L15</f>
        <v>-78.8777217114813</v>
      </c>
      <c r="R15" s="123">
        <f>O15/L15</f>
        <v>0.47414852192345802</v>
      </c>
      <c r="S15" s="42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7"/>
      <c r="AC15" s="467"/>
      <c r="AD15" s="323">
        <f>SUM(AD5:AD14)</f>
        <v>0</v>
      </c>
      <c r="AE15" s="323">
        <f>SUM(AE5:AE14)</f>
        <v>0</v>
      </c>
      <c r="AF15" s="309">
        <f>N15-K15</f>
        <v>-1080.3995299647474</v>
      </c>
      <c r="AG15" s="124">
        <f>N15/K15</f>
        <v>0.51982243112677895</v>
      </c>
      <c r="AH15" s="464"/>
    </row>
    <row r="16" spans="1:34" ht="15" customHeight="1">
      <c r="A16" s="47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3301</v>
      </c>
      <c r="H16" s="134">
        <f>F16*G16</f>
        <v>167261.67000000001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1904.4230769230835</v>
      </c>
      <c r="O16" s="141">
        <f>N16/M16</f>
        <v>146.49408284023718</v>
      </c>
      <c r="P16" s="142">
        <f>M16-J16</f>
        <v>0</v>
      </c>
      <c r="Q16" s="143">
        <f>O16-L16</f>
        <v>-26.582840236685882</v>
      </c>
      <c r="R16" s="144">
        <f>O16/L16</f>
        <v>0.84641025641025935</v>
      </c>
      <c r="S16" s="472">
        <f>R26</f>
        <v>0.87469268429801206</v>
      </c>
      <c r="T16" s="145">
        <v>0.29097222222222202</v>
      </c>
      <c r="U16" s="145">
        <v>0.36319444444444399</v>
      </c>
      <c r="V16" s="135"/>
      <c r="W16" s="146">
        <f t="shared" ref="W16:W78" si="4">(U16-T16)*24*60</f>
        <v>103.99999999999963</v>
      </c>
      <c r="X16" s="141"/>
      <c r="Y16" s="296"/>
      <c r="Z16" s="169"/>
      <c r="AA16" s="169"/>
      <c r="AB16" s="468"/>
      <c r="AC16" s="468"/>
      <c r="AD16" s="135"/>
      <c r="AE16" s="135"/>
      <c r="AF16" s="229">
        <f>N16-K16</f>
        <v>-345.5769230769165</v>
      </c>
      <c r="AG16" s="52">
        <f>N16/K16</f>
        <v>0.84641025641025935</v>
      </c>
      <c r="AH16" s="461">
        <f>AG26</f>
        <v>0.88159172387413176</v>
      </c>
    </row>
    <row r="17" spans="1:34" ht="15" customHeight="1">
      <c r="A17" s="479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2203</v>
      </c>
      <c r="H17" s="78">
        <f>F17*G17</f>
        <v>124711.83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2002.7272727272896</v>
      </c>
      <c r="O17" s="96">
        <f>N17/M17</f>
        <v>133.51515151515264</v>
      </c>
      <c r="P17" s="97">
        <f>M17-J17</f>
        <v>0</v>
      </c>
      <c r="Q17" s="98">
        <f>O17-L17</f>
        <v>-16.484848484847362</v>
      </c>
      <c r="R17" s="99">
        <f>O17/L17</f>
        <v>0.89010101010101761</v>
      </c>
      <c r="S17" s="473"/>
      <c r="T17" s="19">
        <v>0.36805555555555602</v>
      </c>
      <c r="U17" s="19">
        <v>0.41388888888888897</v>
      </c>
      <c r="V17" s="30">
        <f>(T17-U16)*24*60</f>
        <v>7.000000000001334</v>
      </c>
      <c r="W17" s="149">
        <f t="shared" si="4"/>
        <v>65.999999999999446</v>
      </c>
      <c r="X17" s="19"/>
      <c r="Y17" s="297"/>
      <c r="Z17" s="90"/>
      <c r="AA17" s="90"/>
      <c r="AB17" s="466"/>
      <c r="AC17" s="466"/>
      <c r="AD17" s="92"/>
      <c r="AE17" s="92"/>
      <c r="AF17" s="307">
        <f>N17-K17</f>
        <v>-247.27272727271043</v>
      </c>
      <c r="AG17" s="72">
        <f>N17/K17</f>
        <v>0.89010101010101761</v>
      </c>
      <c r="AH17" s="462"/>
    </row>
    <row r="18" spans="1:34" ht="15" customHeight="1">
      <c r="A18" s="479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2973</v>
      </c>
      <c r="H18" s="78">
        <f>F18*G18</f>
        <v>149809.47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2149.1566265060192</v>
      </c>
      <c r="O18" s="96">
        <f>N18/M18</f>
        <v>179.09638554216826</v>
      </c>
      <c r="P18" s="97">
        <f>M18-J18</f>
        <v>0</v>
      </c>
      <c r="Q18" s="98">
        <f>O18-L18</f>
        <v>-8.4036144578317362</v>
      </c>
      <c r="R18" s="99">
        <f>O18/L18</f>
        <v>0.95518072289156408</v>
      </c>
      <c r="S18" s="473"/>
      <c r="T18" s="19">
        <v>0.421527777777778</v>
      </c>
      <c r="U18" s="19">
        <v>0.47916666666666702</v>
      </c>
      <c r="V18" s="30">
        <f>(T18-U17)*24*60</f>
        <v>11.000000000000201</v>
      </c>
      <c r="W18" s="149">
        <f t="shared" si="4"/>
        <v>83.000000000000185</v>
      </c>
      <c r="X18" s="22">
        <v>0.49305555555555602</v>
      </c>
      <c r="Y18" s="84">
        <v>0.53472222222222199</v>
      </c>
      <c r="Z18" s="90"/>
      <c r="AA18" s="90"/>
      <c r="AB18" s="466"/>
      <c r="AC18" s="466"/>
      <c r="AD18" s="92"/>
      <c r="AE18" s="92"/>
      <c r="AF18" s="307">
        <f>N18-K18</f>
        <v>-100.84337349398083</v>
      </c>
      <c r="AG18" s="72">
        <f>N18/K18</f>
        <v>0.95518072289156408</v>
      </c>
      <c r="AH18" s="462"/>
    </row>
    <row r="19" spans="1:34" ht="15" customHeight="1">
      <c r="A19" s="479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1674</v>
      </c>
      <c r="H19" s="78">
        <f t="shared" ref="H19:H21" si="5">F19*G19</f>
        <v>84352.86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1" si="6">K19/J19</f>
        <v>187.5</v>
      </c>
      <c r="M19" s="148">
        <v>12</v>
      </c>
      <c r="N19" s="95">
        <f t="shared" ref="N19:N21" si="7">G19/W19*60</f>
        <v>1895.0943396226653</v>
      </c>
      <c r="O19" s="96">
        <f t="shared" ref="O19:O21" si="8">N19/M19</f>
        <v>157.92452830188878</v>
      </c>
      <c r="P19" s="97">
        <f t="shared" ref="P19:P21" si="9">M19-J19</f>
        <v>0</v>
      </c>
      <c r="Q19" s="98">
        <f t="shared" ref="Q19:Q21" si="10">O19-L19</f>
        <v>-29.575471698111215</v>
      </c>
      <c r="R19" s="99">
        <f t="shared" ref="R19:R21" si="11">O19/L19</f>
        <v>0.8422641509434069</v>
      </c>
      <c r="S19" s="473"/>
      <c r="T19" s="19">
        <v>0.54166666666666696</v>
      </c>
      <c r="U19" s="19">
        <v>0.57847222222222205</v>
      </c>
      <c r="V19" s="30">
        <f>(T19-U18)*24*60</f>
        <v>89.999999999999915</v>
      </c>
      <c r="W19" s="149">
        <f t="shared" si="4"/>
        <v>52.999999999999332</v>
      </c>
      <c r="X19" s="22"/>
      <c r="Y19" s="84"/>
      <c r="Z19" s="90"/>
      <c r="AA19" s="90"/>
      <c r="AB19" s="465"/>
      <c r="AC19" s="465"/>
      <c r="AD19" s="149"/>
      <c r="AE19" s="149"/>
      <c r="AF19" s="307">
        <f>N19-K19</f>
        <v>-354.9056603773347</v>
      </c>
      <c r="AG19" s="72">
        <f>N19/K19</f>
        <v>0.84226415094340679</v>
      </c>
      <c r="AH19" s="463"/>
    </row>
    <row r="20" spans="1:34" ht="15" customHeight="1">
      <c r="A20" s="479"/>
      <c r="B20" s="75" t="s">
        <v>81</v>
      </c>
      <c r="C20" s="76"/>
      <c r="D20" s="59" t="s">
        <v>113</v>
      </c>
      <c r="E20" s="77"/>
      <c r="F20" s="75">
        <f>VLOOKUP(D20,廠價表!$C$1:$E$43,3,0)</f>
        <v>56.87</v>
      </c>
      <c r="G20" s="147">
        <v>1274</v>
      </c>
      <c r="H20" s="78">
        <f t="shared" si="5"/>
        <v>72452.37999999999</v>
      </c>
      <c r="I20" s="30"/>
      <c r="J20" s="79">
        <f>VLOOKUP(D20,產線配置圖!$A$3:$C$40,2,0)</f>
        <v>15</v>
      </c>
      <c r="K20" s="80">
        <f>VLOOKUP(D20,產線配置圖!$A$3:$C$40,3,0)</f>
        <v>2250</v>
      </c>
      <c r="L20" s="81">
        <f t="shared" si="6"/>
        <v>150</v>
      </c>
      <c r="M20" s="148">
        <v>15</v>
      </c>
      <c r="N20" s="95">
        <f t="shared" si="7"/>
        <v>2183.9999999999577</v>
      </c>
      <c r="O20" s="96">
        <f t="shared" si="8"/>
        <v>145.59999999999718</v>
      </c>
      <c r="P20" s="97">
        <f t="shared" si="9"/>
        <v>0</v>
      </c>
      <c r="Q20" s="98">
        <f t="shared" si="10"/>
        <v>-4.4000000000028194</v>
      </c>
      <c r="R20" s="99">
        <f t="shared" si="11"/>
        <v>0.97066666666664791</v>
      </c>
      <c r="S20" s="473"/>
      <c r="T20" s="19">
        <v>0.58750000000000002</v>
      </c>
      <c r="U20" s="19">
        <v>0.61180555555555605</v>
      </c>
      <c r="V20" s="30">
        <f>(T20-U19)*24*60</f>
        <v>13.000000000000274</v>
      </c>
      <c r="W20" s="149">
        <f t="shared" si="4"/>
        <v>35.000000000000675</v>
      </c>
      <c r="X20" s="19"/>
      <c r="Y20" s="297"/>
      <c r="Z20" s="90"/>
      <c r="AA20" s="90"/>
      <c r="AB20" s="466"/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 t="s">
        <v>81</v>
      </c>
      <c r="C21" s="76"/>
      <c r="D21" s="59" t="s">
        <v>115</v>
      </c>
      <c r="E21" s="77"/>
      <c r="F21" s="75">
        <f>VLOOKUP(D21,廠價表!$C$1:$E$43,3,0)</f>
        <v>58.17</v>
      </c>
      <c r="G21" s="147">
        <v>1354</v>
      </c>
      <c r="H21" s="78">
        <f t="shared" si="5"/>
        <v>78762.180000000008</v>
      </c>
      <c r="I21" s="30"/>
      <c r="J21" s="79">
        <f>VLOOKUP(D21,產線配置圖!$A$3:$C$40,2,0)</f>
        <v>15</v>
      </c>
      <c r="K21" s="80">
        <f>VLOOKUP(D21,產線配置圖!$A$3:$C$40,3,0)</f>
        <v>2250</v>
      </c>
      <c r="L21" s="81">
        <f t="shared" si="6"/>
        <v>150</v>
      </c>
      <c r="M21" s="148">
        <v>16</v>
      </c>
      <c r="N21" s="95">
        <f t="shared" si="7"/>
        <v>1766.0869565217636</v>
      </c>
      <c r="O21" s="96">
        <f t="shared" si="8"/>
        <v>110.38043478261022</v>
      </c>
      <c r="P21" s="97">
        <f t="shared" si="9"/>
        <v>1</v>
      </c>
      <c r="Q21" s="98">
        <f t="shared" si="10"/>
        <v>-39.619565217389777</v>
      </c>
      <c r="R21" s="99">
        <f t="shared" si="11"/>
        <v>0.73586956521740143</v>
      </c>
      <c r="S21" s="473"/>
      <c r="T21" s="19">
        <v>0.62013888888888902</v>
      </c>
      <c r="U21" s="19">
        <v>0.65208333333333302</v>
      </c>
      <c r="V21" s="30">
        <f>(T21-U20)*24*60</f>
        <v>11.999999999999478</v>
      </c>
      <c r="W21" s="149">
        <f t="shared" si="4"/>
        <v>45.999999999999361</v>
      </c>
      <c r="X21" s="92"/>
      <c r="Y21" s="298"/>
      <c r="Z21" s="90"/>
      <c r="AA21" s="90"/>
      <c r="AB21" s="466" t="s">
        <v>154</v>
      </c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50"/>
      <c r="U22" s="150"/>
      <c r="V22" s="92"/>
      <c r="W22" s="149"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4"/>
        <v>0</v>
      </c>
      <c r="X23" s="92"/>
      <c r="Y23" s="298"/>
      <c r="Z23" s="90"/>
      <c r="AA23" s="90"/>
      <c r="AB23" s="466"/>
      <c r="AC23" s="46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>
        <f t="shared" ref="J26:O26" si="12">AVERAGE(J16:J25)</f>
        <v>13.666666666666666</v>
      </c>
      <c r="K26" s="155">
        <f t="shared" si="12"/>
        <v>2250</v>
      </c>
      <c r="L26" s="158">
        <f t="shared" si="12"/>
        <v>166.34615384615384</v>
      </c>
      <c r="M26" s="155">
        <f t="shared" si="12"/>
        <v>13.833333333333334</v>
      </c>
      <c r="N26" s="155">
        <f t="shared" si="12"/>
        <v>1983.5813787167965</v>
      </c>
      <c r="O26" s="158">
        <f t="shared" si="12"/>
        <v>145.50176383034238</v>
      </c>
      <c r="P26" s="159">
        <f>M26-J26</f>
        <v>0.16666666666666785</v>
      </c>
      <c r="Q26" s="160">
        <f>O26-L26</f>
        <v>-20.844390015811456</v>
      </c>
      <c r="R26" s="161">
        <f>O26/L26</f>
        <v>0.87469268429801206</v>
      </c>
      <c r="S26" s="474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7"/>
      <c r="AC26" s="467"/>
      <c r="AD26" s="323">
        <f>SUM(AD16:AD25)</f>
        <v>0</v>
      </c>
      <c r="AE26" s="323">
        <f>SUM(AE16:AE25)</f>
        <v>0</v>
      </c>
      <c r="AF26" s="309">
        <f t="shared" ref="AF26:AF31" si="13">N26-K26</f>
        <v>-266.41862128320349</v>
      </c>
      <c r="AG26" s="124">
        <f t="shared" ref="AG26:AG31" si="14">N26/K26</f>
        <v>0.88159172387413176</v>
      </c>
      <c r="AH26" s="464"/>
    </row>
    <row r="27" spans="1:34" ht="15" customHeight="1">
      <c r="A27" s="469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2631</v>
      </c>
      <c r="H27" s="134">
        <f>F27*G27</f>
        <v>150519.51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1360.8620689655099</v>
      </c>
      <c r="O27" s="141">
        <f>N27/M27</f>
        <v>80.050709939147637</v>
      </c>
      <c r="P27" s="142">
        <f>M27-J27</f>
        <v>0</v>
      </c>
      <c r="Q27" s="143">
        <f>O27-L27</f>
        <v>-12.008113590264131</v>
      </c>
      <c r="R27" s="144">
        <f>O27/L27</f>
        <v>0.86956042745399986</v>
      </c>
      <c r="S27" s="472">
        <f>R37</f>
        <v>0.65962767094748476</v>
      </c>
      <c r="T27" s="171">
        <v>0.33333333333333298</v>
      </c>
      <c r="U27" s="171">
        <v>0.41388888888888897</v>
      </c>
      <c r="V27" s="135"/>
      <c r="W27" s="146">
        <f t="shared" si="4"/>
        <v>116.00000000000063</v>
      </c>
      <c r="X27" s="135"/>
      <c r="Y27" s="300" t="s">
        <v>46</v>
      </c>
      <c r="Z27" s="169"/>
      <c r="AA27" s="169"/>
      <c r="AB27" s="468"/>
      <c r="AC27" s="468"/>
      <c r="AD27" s="135"/>
      <c r="AE27" s="135"/>
      <c r="AF27" s="310">
        <f t="shared" si="13"/>
        <v>-204.13793103449007</v>
      </c>
      <c r="AG27" s="172">
        <f t="shared" si="14"/>
        <v>0.86956042745399997</v>
      </c>
      <c r="AH27" s="461">
        <f>AG37</f>
        <v>0.65710302443468249</v>
      </c>
    </row>
    <row r="28" spans="1:34" ht="15" customHeight="1">
      <c r="A28" s="470"/>
      <c r="B28" s="75" t="s">
        <v>81</v>
      </c>
      <c r="C28" s="173"/>
      <c r="D28" s="59" t="s">
        <v>115</v>
      </c>
      <c r="E28" s="104"/>
      <c r="F28" s="75">
        <f>VLOOKUP(D28,廠價表!$C$1:$E$43,3,0)</f>
        <v>58.17</v>
      </c>
      <c r="G28" s="90">
        <v>2291</v>
      </c>
      <c r="H28" s="91">
        <f>F28*G28</f>
        <v>133267.47</v>
      </c>
      <c r="I28" s="92"/>
      <c r="J28" s="79">
        <v>18</v>
      </c>
      <c r="K28" s="80">
        <v>1800</v>
      </c>
      <c r="L28" s="93">
        <f>K28/J28</f>
        <v>100</v>
      </c>
      <c r="M28" s="94">
        <v>17</v>
      </c>
      <c r="N28" s="95">
        <f>G28/W28*60</f>
        <v>904.34210526316292</v>
      </c>
      <c r="O28" s="96">
        <f>N28/M28</f>
        <v>53.196594427244875</v>
      </c>
      <c r="P28" s="97">
        <f>M28-J28</f>
        <v>-1</v>
      </c>
      <c r="Q28" s="98">
        <f>O28-L28</f>
        <v>-46.803405572755125</v>
      </c>
      <c r="R28" s="99">
        <f>O28/L28</f>
        <v>0.5319659442724487</v>
      </c>
      <c r="S28" s="473"/>
      <c r="T28" s="19">
        <v>0.38402777777777802</v>
      </c>
      <c r="U28" s="19">
        <v>0.48958333333333298</v>
      </c>
      <c r="V28" s="92">
        <f>(T28-U27)*24*60</f>
        <v>-42.999999999999766</v>
      </c>
      <c r="W28" s="149">
        <f t="shared" si="4"/>
        <v>151.99999999999915</v>
      </c>
      <c r="X28" s="174">
        <v>0.49444444444444402</v>
      </c>
      <c r="Y28" s="301">
        <v>0.53611111111111098</v>
      </c>
      <c r="Z28" s="335"/>
      <c r="AA28" s="335"/>
      <c r="AB28" s="466" t="s">
        <v>155</v>
      </c>
      <c r="AC28" s="466"/>
      <c r="AD28" s="92"/>
      <c r="AE28" s="92"/>
      <c r="AF28" s="311">
        <f t="shared" si="13"/>
        <v>-895.65789473683708</v>
      </c>
      <c r="AG28" s="99">
        <f t="shared" si="14"/>
        <v>0.50241228070175714</v>
      </c>
      <c r="AH28" s="482"/>
    </row>
    <row r="29" spans="1:34" ht="15" customHeight="1">
      <c r="A29" s="470"/>
      <c r="B29" s="75" t="s">
        <v>81</v>
      </c>
      <c r="C29" s="173"/>
      <c r="D29" s="59" t="s">
        <v>145</v>
      </c>
      <c r="E29" s="104"/>
      <c r="F29" s="75">
        <f>VLOOKUP(D29,廠價表!$C$1:$E$43,3,0)</f>
        <v>57.21</v>
      </c>
      <c r="G29" s="90">
        <v>3258</v>
      </c>
      <c r="H29" s="91">
        <f>F29*G29</f>
        <v>186390.18</v>
      </c>
      <c r="I29" s="92"/>
      <c r="J29" s="79">
        <f>VLOOKUP(D29,產線配置圖!$A$3:$C$40,2,0)</f>
        <v>17</v>
      </c>
      <c r="K29" s="80">
        <f>VLOOKUP(D29,產線配置圖!$A$3:$C$40,3,0)</f>
        <v>1565</v>
      </c>
      <c r="L29" s="93">
        <f>K29/J29</f>
        <v>92.058823529411768</v>
      </c>
      <c r="M29" s="94">
        <v>17</v>
      </c>
      <c r="N29" s="95">
        <f>G29/W29*60</f>
        <v>1338.9041095890384</v>
      </c>
      <c r="O29" s="96">
        <f>N29/M29</f>
        <v>78.759065269943434</v>
      </c>
      <c r="P29" s="97">
        <f>M29-J29</f>
        <v>0</v>
      </c>
      <c r="Q29" s="98">
        <f>O29-L29</f>
        <v>-13.299758259468334</v>
      </c>
      <c r="R29" s="99">
        <f>O29/L29</f>
        <v>0.85552978248500855</v>
      </c>
      <c r="S29" s="473"/>
      <c r="T29" s="19">
        <v>0.54652777777777795</v>
      </c>
      <c r="U29" s="19">
        <v>0.64791666666666703</v>
      </c>
      <c r="V29" s="92">
        <f>(T29-U28)*24*60</f>
        <v>82.000000000000753</v>
      </c>
      <c r="W29" s="149">
        <f t="shared" si="4"/>
        <v>146.00000000000028</v>
      </c>
      <c r="X29" s="22"/>
      <c r="Y29" s="84"/>
      <c r="Z29" s="90"/>
      <c r="AA29" s="90"/>
      <c r="AB29" s="466"/>
      <c r="AC29" s="466"/>
      <c r="AD29" s="92"/>
      <c r="AE29" s="92"/>
      <c r="AF29" s="312">
        <f t="shared" si="13"/>
        <v>-226.0958904109616</v>
      </c>
      <c r="AG29" s="99">
        <f t="shared" si="14"/>
        <v>0.85552978248500855</v>
      </c>
      <c r="AH29" s="482"/>
    </row>
    <row r="30" spans="1:34" ht="15" customHeight="1">
      <c r="A30" s="470"/>
      <c r="B30" s="75" t="s">
        <v>123</v>
      </c>
      <c r="C30" s="88"/>
      <c r="D30" s="59" t="s">
        <v>126</v>
      </c>
      <c r="E30" s="89"/>
      <c r="F30" s="75">
        <f>VLOOKUP(D30,廠價表!$C$1:$E$43,3,0)</f>
        <v>49.91</v>
      </c>
      <c r="G30" s="90">
        <v>1206</v>
      </c>
      <c r="H30" s="91">
        <f>F30*G30</f>
        <v>60191.46</v>
      </c>
      <c r="I30" s="92"/>
      <c r="J30" s="79">
        <f>VLOOKUP(D30,產線配置圖!$A$3:$C$40,2,0)</f>
        <v>15</v>
      </c>
      <c r="K30" s="80">
        <f>VLOOKUP(D30,產線配置圖!$A$3:$C$40,3,0)</f>
        <v>1714</v>
      </c>
      <c r="L30" s="93">
        <f>K30/J30</f>
        <v>114.26666666666667</v>
      </c>
      <c r="M30" s="94">
        <v>15</v>
      </c>
      <c r="N30" s="95">
        <f>G30/W30*60</f>
        <v>761.68421052631857</v>
      </c>
      <c r="O30" s="96">
        <f>N30/M30</f>
        <v>50.778947368421235</v>
      </c>
      <c r="P30" s="97">
        <f>M30-J30</f>
        <v>0</v>
      </c>
      <c r="Q30" s="98">
        <f>O30-L30</f>
        <v>-63.48771929824543</v>
      </c>
      <c r="R30" s="99">
        <f>O30/L30</f>
        <v>0.44438985444942736</v>
      </c>
      <c r="S30" s="473"/>
      <c r="T30" s="19">
        <v>0.65625</v>
      </c>
      <c r="U30" s="19">
        <v>0.72222222222222199</v>
      </c>
      <c r="V30" s="92">
        <f>(T30-U29)*24*60</f>
        <v>11.999999999999478</v>
      </c>
      <c r="W30" s="149">
        <f t="shared" si="4"/>
        <v>94.999999999999659</v>
      </c>
      <c r="X30" s="174"/>
      <c r="Y30" s="301"/>
      <c r="Z30" s="90">
        <v>1</v>
      </c>
      <c r="AA30" s="90">
        <v>30</v>
      </c>
      <c r="AB30" s="466" t="s">
        <v>156</v>
      </c>
      <c r="AC30" s="466"/>
      <c r="AD30" s="92"/>
      <c r="AE30" s="92"/>
      <c r="AF30" s="312">
        <f t="shared" si="13"/>
        <v>-952.31578947368143</v>
      </c>
      <c r="AG30" s="99">
        <f t="shared" si="14"/>
        <v>0.44438985444942741</v>
      </c>
      <c r="AH30" s="483"/>
    </row>
    <row r="31" spans="1:34" ht="15" customHeight="1">
      <c r="A31" s="470"/>
      <c r="B31" s="75"/>
      <c r="C31" s="102"/>
      <c r="D31" s="175"/>
      <c r="E31" s="176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3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6" t="s">
        <v>157</v>
      </c>
      <c r="AC31" s="466"/>
      <c r="AD31" s="92"/>
      <c r="AE31" s="92"/>
      <c r="AF31" s="312">
        <f t="shared" si="13"/>
        <v>0</v>
      </c>
      <c r="AG31" s="99" t="e">
        <f t="shared" si="14"/>
        <v>#DIV/0!</v>
      </c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66"/>
      <c r="AC32" s="466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6" t="s">
        <v>158</v>
      </c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>
        <f t="shared" ref="J37:O37" si="15">AVERAGE(J27:J36)</f>
        <v>16.75</v>
      </c>
      <c r="K37" s="155">
        <f t="shared" si="15"/>
        <v>1661</v>
      </c>
      <c r="L37" s="158">
        <f t="shared" si="15"/>
        <v>99.596078431372547</v>
      </c>
      <c r="M37" s="155">
        <f t="shared" si="15"/>
        <v>16.5</v>
      </c>
      <c r="N37" s="155">
        <f t="shared" si="15"/>
        <v>1091.4481235860076</v>
      </c>
      <c r="O37" s="158">
        <f t="shared" si="15"/>
        <v>65.696329251189297</v>
      </c>
      <c r="P37" s="159">
        <f>M37-J37</f>
        <v>-0.25</v>
      </c>
      <c r="Q37" s="160">
        <f>N37-K37</f>
        <v>-569.55187641399243</v>
      </c>
      <c r="R37" s="161">
        <f>O37/L37</f>
        <v>0.65962767094748476</v>
      </c>
      <c r="S37" s="474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30</v>
      </c>
      <c r="AB37" s="477"/>
      <c r="AC37" s="477"/>
      <c r="AD37" s="324">
        <f>SUM(AD27:AD36)</f>
        <v>0</v>
      </c>
      <c r="AE37" s="324">
        <f>SUM(AE27:AE36)</f>
        <v>0</v>
      </c>
      <c r="AF37" s="309">
        <f>N37-K37</f>
        <v>-569.55187641399243</v>
      </c>
      <c r="AG37" s="124">
        <f>N37/K37</f>
        <v>0.65710302443468249</v>
      </c>
      <c r="AH37" s="464"/>
    </row>
    <row r="38" spans="1:34" ht="15" customHeight="1">
      <c r="A38" s="491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1643</v>
      </c>
      <c r="H38" s="134">
        <f>F38*G38</f>
        <v>82002.12999999999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14</v>
      </c>
      <c r="N38" s="140">
        <f>G38/W38*60</f>
        <v>1540.3124999999807</v>
      </c>
      <c r="O38" s="141">
        <f>N38/M38</f>
        <v>110.02232142857005</v>
      </c>
      <c r="P38" s="142">
        <f>M38-J38</f>
        <v>-1</v>
      </c>
      <c r="Q38" s="143">
        <f>O38-L38</f>
        <v>-4.2443452380966136</v>
      </c>
      <c r="R38" s="144">
        <f>O38/L38</f>
        <v>0.96285578846473208</v>
      </c>
      <c r="S38" s="494">
        <f>R48</f>
        <v>0.86537624123404344</v>
      </c>
      <c r="T38" s="191">
        <v>0.33333333333333298</v>
      </c>
      <c r="U38" s="191">
        <v>0.37777777777777799</v>
      </c>
      <c r="V38" s="192"/>
      <c r="W38" s="193">
        <f t="shared" si="4"/>
        <v>64.00000000000081</v>
      </c>
      <c r="X38" s="194"/>
      <c r="Y38" s="302"/>
      <c r="Z38" s="336"/>
      <c r="AA38" s="336"/>
      <c r="AB38" s="496"/>
      <c r="AC38" s="496"/>
      <c r="AD38" s="192"/>
      <c r="AE38" s="192"/>
      <c r="AF38" s="313">
        <f>N38-K38</f>
        <v>-173.68750000001933</v>
      </c>
      <c r="AG38" s="195">
        <f>N38/K38</f>
        <v>0.89866540256708327</v>
      </c>
      <c r="AH38" s="484">
        <f>AG48</f>
        <v>0.84965996096687513</v>
      </c>
    </row>
    <row r="39" spans="1:34" ht="15" customHeight="1">
      <c r="A39" s="492"/>
      <c r="B39" s="75" t="s">
        <v>81</v>
      </c>
      <c r="C39" s="197"/>
      <c r="D39" s="198" t="s">
        <v>128</v>
      </c>
      <c r="E39" s="176"/>
      <c r="F39" s="75">
        <f>VLOOKUP(D39,廠價表!$C$1:$E$43,3,0)</f>
        <v>57.21</v>
      </c>
      <c r="G39" s="199">
        <v>1368</v>
      </c>
      <c r="H39" s="91">
        <f>F39*G39</f>
        <v>78263.28</v>
      </c>
      <c r="I39" s="200"/>
      <c r="J39" s="148">
        <f>VLOOKUP(D39,產線配置圖!$A$3:$C$40,2,0)</f>
        <v>17</v>
      </c>
      <c r="K39" s="95">
        <f>VLOOKUP(D39,產線配置圖!$A$3:$C$40,3,0)</f>
        <v>1716</v>
      </c>
      <c r="L39" s="96">
        <f>K39/J39</f>
        <v>100.94117647058823</v>
      </c>
      <c r="M39" s="201">
        <v>17</v>
      </c>
      <c r="N39" s="202">
        <f>G39/W39*60</f>
        <v>1243.6363636363726</v>
      </c>
      <c r="O39" s="203">
        <f>N39/M39</f>
        <v>73.15508021390427</v>
      </c>
      <c r="P39" s="97">
        <f>M39-J39</f>
        <v>0</v>
      </c>
      <c r="Q39" s="98">
        <f>O39-L39</f>
        <v>-27.786096256683962</v>
      </c>
      <c r="R39" s="99">
        <f>O39/L39</f>
        <v>0.72472981563891181</v>
      </c>
      <c r="S39" s="495"/>
      <c r="T39" s="20">
        <v>0.38680555555555601</v>
      </c>
      <c r="U39" s="20">
        <v>0.43263888888888902</v>
      </c>
      <c r="V39" s="92">
        <f>(T39-U38)*24*60</f>
        <v>13.000000000000353</v>
      </c>
      <c r="W39" s="205">
        <f t="shared" si="4"/>
        <v>65.999999999999531</v>
      </c>
      <c r="X39" s="22"/>
      <c r="Y39" s="84"/>
      <c r="Z39" s="90">
        <v>1</v>
      </c>
      <c r="AA39" s="90">
        <v>13</v>
      </c>
      <c r="AB39" s="487" t="s">
        <v>159</v>
      </c>
      <c r="AC39" s="487"/>
      <c r="AD39" s="200"/>
      <c r="AE39" s="200"/>
      <c r="AF39" s="314">
        <f>N39-K39</f>
        <v>-472.36363636362739</v>
      </c>
      <c r="AG39" s="206">
        <f>N39/K39</f>
        <v>0.72472981563891181</v>
      </c>
      <c r="AH39" s="485"/>
    </row>
    <row r="40" spans="1:34" ht="15" customHeight="1">
      <c r="A40" s="492"/>
      <c r="B40" s="75" t="s">
        <v>123</v>
      </c>
      <c r="C40" s="207"/>
      <c r="D40" s="198" t="s">
        <v>124</v>
      </c>
      <c r="E40" s="178"/>
      <c r="F40" s="75">
        <f>VLOOKUP(D40,廠價表!$C$1:$E$43,3,0)</f>
        <v>44.3</v>
      </c>
      <c r="G40" s="199">
        <v>2144</v>
      </c>
      <c r="H40" s="91">
        <f t="shared" ref="H40:H42" si="16">F40*G40</f>
        <v>94979.199999999997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 t="shared" ref="L40:L42" si="17">K40/J40</f>
        <v>96.235294117647058</v>
      </c>
      <c r="M40" s="201">
        <v>17</v>
      </c>
      <c r="N40" s="202">
        <f t="shared" ref="N40:N42" si="18">G40/W40*60</f>
        <v>1513.4117647058763</v>
      </c>
      <c r="O40" s="203">
        <f t="shared" ref="O40:O42" si="19">N40/M40</f>
        <v>89.024221453286842</v>
      </c>
      <c r="P40" s="97">
        <f t="shared" ref="P40:P42" si="20">M40-J40</f>
        <v>0</v>
      </c>
      <c r="Q40" s="98">
        <f t="shared" ref="Q40:Q42" si="21">O40-L40</f>
        <v>-7.2110726643602163</v>
      </c>
      <c r="R40" s="99">
        <f t="shared" ref="R40:R42" si="22">O40/L40</f>
        <v>0.92506831583488769</v>
      </c>
      <c r="S40" s="417"/>
      <c r="T40" s="20">
        <v>0.44444444444444398</v>
      </c>
      <c r="U40" s="210">
        <v>0.50347222222222199</v>
      </c>
      <c r="V40" s="92">
        <f>(T40-U39)*24*60</f>
        <v>16.99999999999914</v>
      </c>
      <c r="W40" s="205">
        <f t="shared" si="4"/>
        <v>85.000000000000341</v>
      </c>
      <c r="X40" s="208">
        <v>0.51041666666666696</v>
      </c>
      <c r="Y40" s="209">
        <v>0.55208333333333304</v>
      </c>
      <c r="Z40" s="337">
        <v>1</v>
      </c>
      <c r="AA40" s="337">
        <v>20</v>
      </c>
      <c r="AB40" s="466" t="s">
        <v>160</v>
      </c>
      <c r="AC40" s="466"/>
      <c r="AD40" s="92"/>
      <c r="AE40" s="92"/>
      <c r="AF40" s="314">
        <f>N40-K40</f>
        <v>-122.58823529412371</v>
      </c>
      <c r="AG40" s="206">
        <f>N40/K40</f>
        <v>0.92506831583488769</v>
      </c>
      <c r="AH40" s="485"/>
    </row>
    <row r="41" spans="1:34" ht="15" customHeight="1">
      <c r="A41" s="492"/>
      <c r="B41" s="75" t="s">
        <v>81</v>
      </c>
      <c r="C41" s="86"/>
      <c r="D41" s="198" t="s">
        <v>128</v>
      </c>
      <c r="E41" s="87"/>
      <c r="F41" s="75">
        <f>VLOOKUP(D41,廠價表!$C$1:$E$43,3,0)</f>
        <v>57.21</v>
      </c>
      <c r="G41" s="199">
        <v>1206</v>
      </c>
      <c r="H41" s="91">
        <f t="shared" si="16"/>
        <v>68995.259999999995</v>
      </c>
      <c r="I41" s="200"/>
      <c r="J41" s="148">
        <f>VLOOKUP(D41,產線配置圖!$A$3:$C$40,2,0)</f>
        <v>17</v>
      </c>
      <c r="K41" s="95">
        <f>VLOOKUP(D41,產線配置圖!$A$3:$C$40,3,0)</f>
        <v>1716</v>
      </c>
      <c r="L41" s="96">
        <f t="shared" si="17"/>
        <v>100.94117647058823</v>
      </c>
      <c r="M41" s="201">
        <v>17</v>
      </c>
      <c r="N41" s="202">
        <f t="shared" si="18"/>
        <v>1391.5384615384664</v>
      </c>
      <c r="O41" s="203">
        <f t="shared" si="19"/>
        <v>81.855203619909787</v>
      </c>
      <c r="P41" s="97">
        <f t="shared" si="20"/>
        <v>0</v>
      </c>
      <c r="Q41" s="98">
        <f t="shared" si="21"/>
        <v>-19.085972850678445</v>
      </c>
      <c r="R41" s="99">
        <f t="shared" si="22"/>
        <v>0.81091984938139072</v>
      </c>
      <c r="S41" s="417"/>
      <c r="T41" s="210">
        <v>0.54861111111111105</v>
      </c>
      <c r="U41" s="210">
        <v>0.58472222222222203</v>
      </c>
      <c r="V41" s="92">
        <f t="shared" ref="V41:V42" si="23">(T41-U40)*24*60</f>
        <v>65.000000000000256</v>
      </c>
      <c r="W41" s="205">
        <f t="shared" si="4"/>
        <v>51.999999999999815</v>
      </c>
      <c r="X41" s="208"/>
      <c r="Y41" s="209"/>
      <c r="Z41" s="337"/>
      <c r="AA41" s="337"/>
      <c r="AB41" s="466"/>
      <c r="AC41" s="466"/>
      <c r="AD41" s="92"/>
      <c r="AE41" s="92"/>
      <c r="AF41" s="314">
        <f>N41-K41</f>
        <v>-324.46153846153356</v>
      </c>
      <c r="AG41" s="206">
        <f>N41/K41</f>
        <v>0.81091984938139072</v>
      </c>
      <c r="AH41" s="485"/>
    </row>
    <row r="42" spans="1:34" ht="15" customHeight="1">
      <c r="A42" s="492"/>
      <c r="B42" s="75" t="s">
        <v>123</v>
      </c>
      <c r="C42" s="102"/>
      <c r="D42" s="198" t="s">
        <v>124</v>
      </c>
      <c r="E42" s="104"/>
      <c r="F42" s="75">
        <f>VLOOKUP(D42,廠價表!$C$1:$E$43,3,0)</f>
        <v>44.3</v>
      </c>
      <c r="G42" s="202">
        <v>3171</v>
      </c>
      <c r="H42" s="91">
        <f t="shared" si="16"/>
        <v>140475.29999999999</v>
      </c>
      <c r="I42" s="200"/>
      <c r="J42" s="148">
        <f>VLOOKUP(D42,產線配置圖!$A$3:$C$40,2,0)</f>
        <v>17</v>
      </c>
      <c r="K42" s="95">
        <f>VLOOKUP(D42,產線配置圖!$A$3:$C$40,3,0)</f>
        <v>1636</v>
      </c>
      <c r="L42" s="96">
        <f t="shared" si="17"/>
        <v>96.235294117647058</v>
      </c>
      <c r="M42" s="201">
        <v>17</v>
      </c>
      <c r="N42" s="202">
        <f t="shared" si="18"/>
        <v>1463.5384615384578</v>
      </c>
      <c r="O42" s="203">
        <f t="shared" si="19"/>
        <v>86.090497737556348</v>
      </c>
      <c r="P42" s="97">
        <f t="shared" si="20"/>
        <v>0</v>
      </c>
      <c r="Q42" s="98">
        <f t="shared" si="21"/>
        <v>-10.14479638009071</v>
      </c>
      <c r="R42" s="99">
        <f t="shared" si="22"/>
        <v>0.89458341169832389</v>
      </c>
      <c r="S42" s="417"/>
      <c r="T42" s="210">
        <v>0.59027777777777801</v>
      </c>
      <c r="U42" s="210">
        <v>0.68055555555555602</v>
      </c>
      <c r="V42" s="92">
        <f t="shared" si="23"/>
        <v>8.0000000000006111</v>
      </c>
      <c r="W42" s="205">
        <f t="shared" si="4"/>
        <v>130.00000000000034</v>
      </c>
      <c r="X42" s="208"/>
      <c r="Y42" s="211"/>
      <c r="Z42" s="338"/>
      <c r="AA42" s="338"/>
      <c r="AB42" s="466"/>
      <c r="AC42" s="466"/>
      <c r="AD42" s="92"/>
      <c r="AE42" s="92"/>
      <c r="AF42" s="314"/>
      <c r="AG42" s="206"/>
      <c r="AH42" s="485"/>
    </row>
    <row r="43" spans="1:34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0"/>
      <c r="U46" s="20"/>
      <c r="V46" s="200"/>
      <c r="W46" s="205">
        <f t="shared" si="4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>
        <f t="shared" ref="J48:O48" si="24">AVERAGE(J38:J47)</f>
        <v>16.600000000000001</v>
      </c>
      <c r="K48" s="155">
        <f t="shared" si="24"/>
        <v>1683.6</v>
      </c>
      <c r="L48" s="158">
        <f t="shared" si="24"/>
        <v>101.72392156862745</v>
      </c>
      <c r="M48" s="155">
        <f t="shared" si="24"/>
        <v>16.399999999999999</v>
      </c>
      <c r="N48" s="155">
        <f t="shared" si="24"/>
        <v>1430.4875102838309</v>
      </c>
      <c r="O48" s="158">
        <f t="shared" si="24"/>
        <v>88.029464890645457</v>
      </c>
      <c r="P48" s="221">
        <f>M48-J48</f>
        <v>-0.20000000000000284</v>
      </c>
      <c r="Q48" s="222">
        <f>N48-K48</f>
        <v>-253.11248971616897</v>
      </c>
      <c r="R48" s="223">
        <f>O48/L48</f>
        <v>0.86537624123404344</v>
      </c>
      <c r="S48" s="420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2</v>
      </c>
      <c r="AA48" s="334">
        <f>SUM(AA38:AA47)</f>
        <v>33</v>
      </c>
      <c r="AB48" s="467"/>
      <c r="AC48" s="467"/>
      <c r="AD48" s="323">
        <f>SUM(AD38:AD47)</f>
        <v>0</v>
      </c>
      <c r="AE48" s="323">
        <f>SUM(AE38:AE47)</f>
        <v>0</v>
      </c>
      <c r="AF48" s="315">
        <f t="shared" ref="AF48:AF53" si="25">N48-K48</f>
        <v>-253.11248971616897</v>
      </c>
      <c r="AG48" s="162">
        <f t="shared" ref="AG48:AG53" si="26">N48/K48</f>
        <v>0.84965996096687513</v>
      </c>
      <c r="AH48" s="486"/>
    </row>
    <row r="49" spans="1:34" ht="15" customHeight="1">
      <c r="A49" s="488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2167</v>
      </c>
      <c r="H49" s="134">
        <f>F49*G49</f>
        <v>107309.84000000001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1413.260869565215</v>
      </c>
      <c r="O49" s="141">
        <f>N49/M49</f>
        <v>83.132992327365585</v>
      </c>
      <c r="P49" s="229">
        <f>M49-J49</f>
        <v>0</v>
      </c>
      <c r="Q49" s="230">
        <f>O49-L49</f>
        <v>-5.1023017902814729</v>
      </c>
      <c r="R49" s="52">
        <f>O49/L49</f>
        <v>0.94217391304347664</v>
      </c>
      <c r="S49" s="416">
        <f>R58</f>
        <v>0.91819732240441643</v>
      </c>
      <c r="T49" s="191">
        <v>0.29166666666666702</v>
      </c>
      <c r="U49" s="191">
        <v>0.35555555555555601</v>
      </c>
      <c r="V49" s="55"/>
      <c r="W49" s="193">
        <f t="shared" si="4"/>
        <v>92.000000000000156</v>
      </c>
      <c r="X49" s="55"/>
      <c r="Y49" s="290"/>
      <c r="Z49" s="169"/>
      <c r="AA49" s="169"/>
      <c r="AB49" s="468"/>
      <c r="AC49" s="468"/>
      <c r="AD49" s="135"/>
      <c r="AE49" s="135"/>
      <c r="AF49" s="229">
        <f t="shared" si="25"/>
        <v>-86.739130434785011</v>
      </c>
      <c r="AG49" s="52">
        <f t="shared" si="26"/>
        <v>0.94217391304347664</v>
      </c>
      <c r="AH49" s="461">
        <f>AG58</f>
        <v>0.88610374548949244</v>
      </c>
    </row>
    <row r="50" spans="1:34" ht="15" customHeight="1">
      <c r="A50" s="489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2398</v>
      </c>
      <c r="H50" s="231">
        <f>F50*G50</f>
        <v>119828.06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1598.6666666666667</v>
      </c>
      <c r="O50" s="235">
        <f>N50/M50</f>
        <v>99.916666666666671</v>
      </c>
      <c r="P50" s="74">
        <f>M50-J50</f>
        <v>0</v>
      </c>
      <c r="Q50" s="83">
        <f>O50-L50</f>
        <v>-12.583333333333329</v>
      </c>
      <c r="R50" s="72">
        <f>O50/L50</f>
        <v>0.88814814814814824</v>
      </c>
      <c r="S50" s="417"/>
      <c r="T50" s="21">
        <v>0.36111111111111099</v>
      </c>
      <c r="U50" s="21">
        <v>0.42361111111111099</v>
      </c>
      <c r="V50" s="30">
        <f>(T50-U49)*24*60</f>
        <v>7.9999999999991722</v>
      </c>
      <c r="W50" s="236">
        <f t="shared" si="4"/>
        <v>90</v>
      </c>
      <c r="X50" s="22"/>
      <c r="Y50" s="84"/>
      <c r="Z50" s="90">
        <v>1</v>
      </c>
      <c r="AA50" s="90">
        <v>8</v>
      </c>
      <c r="AB50" s="466" t="s">
        <v>161</v>
      </c>
      <c r="AC50" s="466"/>
      <c r="AD50" s="92"/>
      <c r="AE50" s="92"/>
      <c r="AF50" s="307">
        <f t="shared" si="25"/>
        <v>-201.33333333333326</v>
      </c>
      <c r="AG50" s="72">
        <f t="shared" si="26"/>
        <v>0.88814814814814824</v>
      </c>
      <c r="AH50" s="462"/>
    </row>
    <row r="51" spans="1:34" ht="15" customHeight="1">
      <c r="A51" s="489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1900</v>
      </c>
      <c r="H51" s="231">
        <f>F51*G51</f>
        <v>95549.1</v>
      </c>
      <c r="I51" s="232"/>
      <c r="J51" s="79">
        <f>VLOOKUP(D51,產線配置圖!$A$3:$C$40,2,0)</f>
        <v>19</v>
      </c>
      <c r="K51" s="80">
        <f>VLOOKUP(D51,產線配置圖!$A$3:$C$40,3,0)</f>
        <v>1565</v>
      </c>
      <c r="L51" s="81">
        <f>K51/J51</f>
        <v>82.368421052631575</v>
      </c>
      <c r="M51" s="233">
        <v>18</v>
      </c>
      <c r="N51" s="234">
        <f>G51/W51*60</f>
        <v>1325.5813953488432</v>
      </c>
      <c r="O51" s="235">
        <f>N51/M51</f>
        <v>73.643410852713515</v>
      </c>
      <c r="P51" s="74">
        <f>M51-J51</f>
        <v>-1</v>
      </c>
      <c r="Q51" s="83">
        <f>O51-L51</f>
        <v>-8.72501019991806</v>
      </c>
      <c r="R51" s="72">
        <f>O51/L51</f>
        <v>0.89407335859524395</v>
      </c>
      <c r="S51" s="417"/>
      <c r="T51" s="21">
        <v>0.42986111111111103</v>
      </c>
      <c r="U51" s="19">
        <v>0.48958333333333298</v>
      </c>
      <c r="V51" s="30">
        <f>(T51-U50)*24*60</f>
        <v>9.000000000000048</v>
      </c>
      <c r="W51" s="236">
        <f t="shared" si="4"/>
        <v>85.999999999999616</v>
      </c>
      <c r="X51" s="22">
        <v>0.49305555555555602</v>
      </c>
      <c r="Y51" s="84">
        <v>0.54513888888888895</v>
      </c>
      <c r="Z51" s="90"/>
      <c r="AA51" s="90"/>
      <c r="AB51" s="466"/>
      <c r="AC51" s="466"/>
      <c r="AD51" s="92"/>
      <c r="AE51" s="92"/>
      <c r="AF51" s="307">
        <f t="shared" si="25"/>
        <v>-239.41860465115678</v>
      </c>
      <c r="AG51" s="72">
        <f t="shared" si="26"/>
        <v>0.84701686603759951</v>
      </c>
      <c r="AH51" s="462"/>
    </row>
    <row r="52" spans="1:34" ht="15" customHeight="1">
      <c r="A52" s="489"/>
      <c r="B52" s="75" t="s">
        <v>81</v>
      </c>
      <c r="C52" s="86"/>
      <c r="D52" s="59" t="s">
        <v>121</v>
      </c>
      <c r="E52" s="87"/>
      <c r="F52" s="75">
        <f>VLOOKUP(D52,廠價表!$C$1:$E$43,3,0)</f>
        <v>50.289000000000001</v>
      </c>
      <c r="G52" s="202">
        <v>2380</v>
      </c>
      <c r="H52" s="231">
        <f t="shared" ref="H52:H53" si="27">F52*G52</f>
        <v>119687.82</v>
      </c>
      <c r="I52" s="232"/>
      <c r="J52" s="79">
        <f>VLOOKUP(D52,產線配置圖!$A$3:$C$40,2,0)</f>
        <v>19</v>
      </c>
      <c r="K52" s="80">
        <f>VLOOKUP(D52,產線配置圖!$A$3:$C$40,3,0)</f>
        <v>1565</v>
      </c>
      <c r="L52" s="81">
        <f t="shared" ref="L52:L53" si="28">K52/J52</f>
        <v>82.368421052631575</v>
      </c>
      <c r="M52" s="233">
        <v>18</v>
      </c>
      <c r="N52" s="234">
        <f t="shared" ref="N52:N53" si="29">G52/W52*60</f>
        <v>1334.5794392523451</v>
      </c>
      <c r="O52" s="235">
        <f t="shared" ref="O52:O53" si="30">N52/M52</f>
        <v>74.143302180685836</v>
      </c>
      <c r="P52" s="74">
        <f t="shared" ref="P52:P53" si="31">M52-J52</f>
        <v>-1</v>
      </c>
      <c r="Q52" s="83">
        <f t="shared" ref="Q52:Q53" si="32">O52-L52</f>
        <v>-8.2251188719457389</v>
      </c>
      <c r="R52" s="72">
        <f t="shared" ref="R52:R53" si="33">O52/L52</f>
        <v>0.90014232679426898</v>
      </c>
      <c r="S52" s="417"/>
      <c r="T52" s="21">
        <v>0.54166666666666696</v>
      </c>
      <c r="U52" s="21">
        <v>0.61597222222222203</v>
      </c>
      <c r="V52" s="30">
        <f>(T52-U51)*24*60</f>
        <v>75.000000000000938</v>
      </c>
      <c r="W52" s="236">
        <f t="shared" si="4"/>
        <v>106.9999999999993</v>
      </c>
      <c r="X52" s="22"/>
      <c r="Y52" s="84"/>
      <c r="Z52" s="90"/>
      <c r="AA52" s="90"/>
      <c r="AB52" s="466"/>
      <c r="AC52" s="466"/>
      <c r="AD52" s="92"/>
      <c r="AE52" s="92"/>
      <c r="AF52" s="307">
        <f t="shared" si="25"/>
        <v>-230.42056074765492</v>
      </c>
      <c r="AG52" s="72">
        <f t="shared" si="26"/>
        <v>0.85276641485772853</v>
      </c>
      <c r="AH52" s="462"/>
    </row>
    <row r="53" spans="1:34" ht="15" customHeight="1">
      <c r="A53" s="489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2971</v>
      </c>
      <c r="H53" s="231">
        <f t="shared" si="27"/>
        <v>148460.87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28"/>
        <v>112.5</v>
      </c>
      <c r="M53" s="108">
        <v>15</v>
      </c>
      <c r="N53" s="234">
        <f t="shared" si="29"/>
        <v>1620.5454545454531</v>
      </c>
      <c r="O53" s="235">
        <f t="shared" si="30"/>
        <v>108.03636363636355</v>
      </c>
      <c r="P53" s="74">
        <f t="shared" si="31"/>
        <v>-1</v>
      </c>
      <c r="Q53" s="83">
        <f t="shared" si="32"/>
        <v>-4.4636363636364536</v>
      </c>
      <c r="R53" s="72">
        <f t="shared" si="33"/>
        <v>0.96032323232323158</v>
      </c>
      <c r="S53" s="417"/>
      <c r="T53" s="21">
        <v>0.62013888888888902</v>
      </c>
      <c r="U53" s="21">
        <v>0.69652777777777797</v>
      </c>
      <c r="V53" s="30">
        <f>(T53-U52)*24*60</f>
        <v>6.0000000000004583</v>
      </c>
      <c r="W53" s="236">
        <f t="shared" si="4"/>
        <v>110.00000000000009</v>
      </c>
      <c r="X53" s="30"/>
      <c r="Y53" s="151"/>
      <c r="Z53" s="90"/>
      <c r="AA53" s="90"/>
      <c r="AB53" s="466"/>
      <c r="AC53" s="466"/>
      <c r="AD53" s="92"/>
      <c r="AE53" s="92"/>
      <c r="AF53" s="307">
        <f t="shared" si="25"/>
        <v>-179.45454545454686</v>
      </c>
      <c r="AG53" s="72">
        <f t="shared" si="26"/>
        <v>0.90030303030302949</v>
      </c>
      <c r="AH53" s="462"/>
    </row>
    <row r="54" spans="1:34" ht="15" customHeight="1">
      <c r="A54" s="48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7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>
      <c r="A58" s="490"/>
      <c r="B58" s="239"/>
      <c r="C58" s="153" t="s">
        <v>51</v>
      </c>
      <c r="D58" s="437" t="s">
        <v>42</v>
      </c>
      <c r="E58" s="437"/>
      <c r="F58" s="116"/>
      <c r="G58" s="240"/>
      <c r="H58" s="118"/>
      <c r="I58" s="117"/>
      <c r="J58" s="120">
        <f t="shared" ref="J58:O58" si="34">AVERAGE(J49:J57)</f>
        <v>17.399999999999999</v>
      </c>
      <c r="K58" s="120">
        <f t="shared" si="34"/>
        <v>1646</v>
      </c>
      <c r="L58" s="117">
        <f t="shared" si="34"/>
        <v>95.594427244582036</v>
      </c>
      <c r="M58" s="120">
        <f t="shared" si="34"/>
        <v>16.8</v>
      </c>
      <c r="N58" s="120">
        <f t="shared" si="34"/>
        <v>1458.5267650757046</v>
      </c>
      <c r="O58" s="117">
        <f t="shared" si="34"/>
        <v>87.774547132759025</v>
      </c>
      <c r="P58" s="121">
        <f>M58-J58</f>
        <v>-0.59999999999999787</v>
      </c>
      <c r="Q58" s="122">
        <f>N58-K58</f>
        <v>-187.47323492429541</v>
      </c>
      <c r="R58" s="123">
        <f>O58/L58</f>
        <v>0.91819732240441643</v>
      </c>
      <c r="S58" s="420"/>
      <c r="T58" s="241"/>
      <c r="U58" s="241"/>
      <c r="V58" s="126"/>
      <c r="W58" s="242"/>
      <c r="X58" s="128"/>
      <c r="Y58" s="295"/>
      <c r="Z58" s="334">
        <f>SUM(Z49:Z57)</f>
        <v>1</v>
      </c>
      <c r="AA58" s="334">
        <f>SUM(AA49:AA57)</f>
        <v>8</v>
      </c>
      <c r="AB58" s="467"/>
      <c r="AC58" s="467"/>
      <c r="AD58" s="323">
        <f>SUM(AD49:AD57)</f>
        <v>0</v>
      </c>
      <c r="AE58" s="323">
        <f>SUM(AE49:AE57)</f>
        <v>0</v>
      </c>
      <c r="AF58" s="309">
        <f>N58-K58</f>
        <v>-187.47323492429541</v>
      </c>
      <c r="AG58" s="124">
        <f>N58/K58</f>
        <v>0.88610374548949244</v>
      </c>
      <c r="AH58" s="464"/>
    </row>
    <row r="59" spans="1:34" ht="15" customHeight="1">
      <c r="A59" s="502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2463</v>
      </c>
      <c r="H59" s="243">
        <f>F59*G59</f>
        <v>66476.37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1477.8000000000102</v>
      </c>
      <c r="O59" s="138">
        <f>N59/M59</f>
        <v>98.520000000000678</v>
      </c>
      <c r="P59" s="56">
        <f>M59-J59</f>
        <v>0</v>
      </c>
      <c r="Q59" s="230">
        <f>O59-L59</f>
        <v>-5.8133333333326505</v>
      </c>
      <c r="R59" s="52">
        <f>O59/L59</f>
        <v>0.944281150159751</v>
      </c>
      <c r="S59" s="416">
        <f>R69</f>
        <v>0.80379584389844483</v>
      </c>
      <c r="T59" s="245">
        <v>0.29166666666666702</v>
      </c>
      <c r="U59" s="245">
        <v>0.36111111111111099</v>
      </c>
      <c r="V59" s="55"/>
      <c r="W59" s="54">
        <f t="shared" si="4"/>
        <v>99.999999999999318</v>
      </c>
      <c r="X59" s="55"/>
      <c r="Y59" s="290"/>
      <c r="Z59" s="169"/>
      <c r="AA59" s="169"/>
      <c r="AB59" s="468"/>
      <c r="AC59" s="468"/>
      <c r="AD59" s="135"/>
      <c r="AE59" s="135"/>
      <c r="AF59" s="310">
        <f>N59-K59</f>
        <v>-87.199999999989814</v>
      </c>
      <c r="AG59" s="246">
        <f>N59/K59</f>
        <v>0.94428115015975089</v>
      </c>
      <c r="AH59" s="461">
        <f>AG69</f>
        <v>0.79189280695204389</v>
      </c>
    </row>
    <row r="60" spans="1:34" ht="15" customHeight="1">
      <c r="A60" s="503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2048</v>
      </c>
      <c r="H60" s="78">
        <f>F60*G60</f>
        <v>57876.480000000003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1445.6470588235495</v>
      </c>
      <c r="O60" s="81">
        <f>N60/M60</f>
        <v>120.47058823529579</v>
      </c>
      <c r="P60" s="74">
        <f>M60-J60</f>
        <v>0</v>
      </c>
      <c r="Q60" s="83">
        <f>O60-L60</f>
        <v>-9.9460784313708643</v>
      </c>
      <c r="R60" s="72">
        <f>O60/L60</f>
        <v>0.92373613982335434</v>
      </c>
      <c r="S60" s="506"/>
      <c r="T60" s="22">
        <v>0.36805555555555602</v>
      </c>
      <c r="U60" s="22">
        <v>0.42708333333333298</v>
      </c>
      <c r="V60" s="30">
        <f>(T60-U59)*24*60</f>
        <v>10.000000000000844</v>
      </c>
      <c r="W60" s="248">
        <f t="shared" si="4"/>
        <v>84.99999999999882</v>
      </c>
      <c r="X60" s="232"/>
      <c r="Y60" s="177"/>
      <c r="Z60" s="90"/>
      <c r="AA60" s="90"/>
      <c r="AB60" s="466"/>
      <c r="AC60" s="466"/>
      <c r="AD60" s="92"/>
      <c r="AE60" s="92"/>
      <c r="AF60" s="316">
        <f>N60-K60</f>
        <v>-119.35294117645049</v>
      </c>
      <c r="AG60" s="249">
        <f>N60/K60</f>
        <v>0.92373613982335434</v>
      </c>
      <c r="AH60" s="497"/>
    </row>
    <row r="61" spans="1:34" ht="15" customHeight="1">
      <c r="A61" s="504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1053</v>
      </c>
      <c r="H61" s="254">
        <f>F61*G61</f>
        <v>53355.51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12</v>
      </c>
      <c r="N61" s="107">
        <f>G61/W61*60</f>
        <v>717.95454545453504</v>
      </c>
      <c r="O61" s="238">
        <f>N61/M61</f>
        <v>59.829545454544586</v>
      </c>
      <c r="P61" s="111">
        <f>M61-J61</f>
        <v>-1</v>
      </c>
      <c r="Q61" s="255">
        <f>O61-L61</f>
        <v>-50.939685314686187</v>
      </c>
      <c r="R61" s="85">
        <f>O61/L61</f>
        <v>0.54012784090908306</v>
      </c>
      <c r="S61" s="417"/>
      <c r="T61" s="22">
        <v>0.43194444444444402</v>
      </c>
      <c r="U61" s="22">
        <v>0.49305555555555602</v>
      </c>
      <c r="V61" s="30">
        <f>(T61-U60)*24*60</f>
        <v>6.9999999999998952</v>
      </c>
      <c r="W61" s="256">
        <f t="shared" si="4"/>
        <v>88.000000000001279</v>
      </c>
      <c r="X61" s="22">
        <v>0.50347222222222199</v>
      </c>
      <c r="Y61" s="84">
        <v>0.54513888888888895</v>
      </c>
      <c r="Z61" s="90"/>
      <c r="AA61" s="90"/>
      <c r="AB61" s="466" t="s">
        <v>162</v>
      </c>
      <c r="AC61" s="466"/>
      <c r="AD61" s="92"/>
      <c r="AE61" s="92"/>
      <c r="AF61" s="317">
        <f>N61-K61</f>
        <v>-722.04545454546496</v>
      </c>
      <c r="AG61" s="247">
        <f>N61/K61</f>
        <v>0.4985795454545382</v>
      </c>
      <c r="AH61" s="462"/>
    </row>
    <row r="62" spans="1:34" ht="15" customHeight="1">
      <c r="A62" s="504"/>
      <c r="B62" s="250" t="s">
        <v>81</v>
      </c>
      <c r="C62" s="251"/>
      <c r="D62" s="257" t="s">
        <v>119</v>
      </c>
      <c r="E62" s="253"/>
      <c r="F62" s="250">
        <f>VLOOKUP(D62,廠價表!$C$1:$E$43,3,0)</f>
        <v>50.67</v>
      </c>
      <c r="G62" s="38">
        <v>689</v>
      </c>
      <c r="H62" s="254">
        <f t="shared" ref="H62:H63" si="35">F62*G62</f>
        <v>34911.630000000005</v>
      </c>
      <c r="I62" s="182"/>
      <c r="J62" s="106">
        <f>VLOOKUP(D62,產線配置圖!$A$3:$C$40,2,0)</f>
        <v>13</v>
      </c>
      <c r="K62" s="107">
        <f>VLOOKUP(D62,產線配置圖!$A$3:$C$40,3,0)</f>
        <v>1440</v>
      </c>
      <c r="L62" s="238">
        <f t="shared" ref="L62:L63" si="36">K62/J62</f>
        <v>110.76923076923077</v>
      </c>
      <c r="M62" s="108">
        <v>12</v>
      </c>
      <c r="N62" s="107">
        <f t="shared" ref="N62:N63" si="37">G62/W62*60</f>
        <v>879.57446808510349</v>
      </c>
      <c r="O62" s="238">
        <f t="shared" ref="O62:O63" si="38">N62/M62</f>
        <v>73.297872340425286</v>
      </c>
      <c r="P62" s="111">
        <f t="shared" ref="P62:P63" si="39">M62-J62</f>
        <v>-1</v>
      </c>
      <c r="Q62" s="255">
        <f t="shared" ref="Q62:Q63" si="40">O62-L62</f>
        <v>-37.471358428805488</v>
      </c>
      <c r="R62" s="85">
        <f t="shared" ref="R62:R63" si="41">O62/L62</f>
        <v>0.66171690307328379</v>
      </c>
      <c r="S62" s="417"/>
      <c r="T62" s="22">
        <v>0.54513888888888895</v>
      </c>
      <c r="U62" s="22">
        <v>0.57777777777777795</v>
      </c>
      <c r="V62" s="30">
        <f>(T62-U61)*24*60</f>
        <v>74.999999999999417</v>
      </c>
      <c r="W62" s="248">
        <f t="shared" si="4"/>
        <v>47.000000000000156</v>
      </c>
      <c r="X62" s="22"/>
      <c r="Y62" s="84"/>
      <c r="Z62" s="90"/>
      <c r="AA62" s="90"/>
      <c r="AB62" s="466" t="s">
        <v>162</v>
      </c>
      <c r="AC62" s="466"/>
      <c r="AD62" s="92"/>
      <c r="AE62" s="92"/>
      <c r="AF62" s="317">
        <f>N62-K62</f>
        <v>-560.42553191489651</v>
      </c>
      <c r="AG62" s="247">
        <f>N62/K62</f>
        <v>0.61081560283687741</v>
      </c>
      <c r="AH62" s="462"/>
    </row>
    <row r="63" spans="1:34" ht="15" customHeight="1">
      <c r="A63" s="504"/>
      <c r="B63" s="258" t="s">
        <v>130</v>
      </c>
      <c r="C63" s="58"/>
      <c r="D63" s="259" t="s">
        <v>131</v>
      </c>
      <c r="E63" s="60"/>
      <c r="F63" s="250">
        <f>VLOOKUP(D63,廠價表!$C$1:$E$43,3,0)</f>
        <v>26.99</v>
      </c>
      <c r="G63" s="260">
        <v>1650</v>
      </c>
      <c r="H63" s="254">
        <f t="shared" si="35"/>
        <v>44533.5</v>
      </c>
      <c r="I63" s="182"/>
      <c r="J63" s="106">
        <f>VLOOKUP(D63,產線配置圖!$A$3:$C$40,2,0)</f>
        <v>15</v>
      </c>
      <c r="K63" s="107">
        <f>VLOOKUP(D63,產線配置圖!$A$3:$C$40,3,0)</f>
        <v>1565</v>
      </c>
      <c r="L63" s="238">
        <f t="shared" si="36"/>
        <v>104.33333333333333</v>
      </c>
      <c r="M63" s="68">
        <v>15</v>
      </c>
      <c r="N63" s="107">
        <f t="shared" si="37"/>
        <v>1477.6119402985337</v>
      </c>
      <c r="O63" s="238">
        <f t="shared" si="38"/>
        <v>98.507462686568914</v>
      </c>
      <c r="P63" s="111">
        <f t="shared" si="39"/>
        <v>0</v>
      </c>
      <c r="Q63" s="255">
        <f t="shared" si="40"/>
        <v>-5.8258706467644146</v>
      </c>
      <c r="R63" s="85">
        <f t="shared" si="41"/>
        <v>0.94416098421631556</v>
      </c>
      <c r="S63" s="417"/>
      <c r="T63" s="22">
        <v>0.58541666666666703</v>
      </c>
      <c r="U63" s="22">
        <v>0.63194444444444398</v>
      </c>
      <c r="V63" s="30">
        <f>(T63-U62)*24*60</f>
        <v>11.000000000000281</v>
      </c>
      <c r="W63" s="248">
        <f t="shared" si="4"/>
        <v>66.999999999998806</v>
      </c>
      <c r="X63" s="261"/>
      <c r="Y63" s="291"/>
      <c r="Z63" s="335"/>
      <c r="AA63" s="335"/>
      <c r="AB63" s="466"/>
      <c r="AC63" s="466"/>
      <c r="AD63" s="92"/>
      <c r="AE63" s="92"/>
      <c r="AF63" s="317"/>
      <c r="AG63" s="247"/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>
        <f t="shared" ref="J69:O69" si="42">AVERAGE(J59:J68)</f>
        <v>13.6</v>
      </c>
      <c r="K69" s="240">
        <f t="shared" si="42"/>
        <v>1515</v>
      </c>
      <c r="L69" s="268">
        <f t="shared" si="42"/>
        <v>112.12435897435898</v>
      </c>
      <c r="M69" s="240">
        <f t="shared" si="42"/>
        <v>13.2</v>
      </c>
      <c r="N69" s="240">
        <f t="shared" si="42"/>
        <v>1199.7176025323465</v>
      </c>
      <c r="O69" s="268">
        <f t="shared" si="42"/>
        <v>90.125093743367046</v>
      </c>
      <c r="P69" s="269">
        <f>M69-J69</f>
        <v>-0.40000000000000036</v>
      </c>
      <c r="Q69" s="222">
        <f>N69-K69</f>
        <v>-315.28239746765348</v>
      </c>
      <c r="R69" s="123">
        <f>O69/L69</f>
        <v>0.80379584389844483</v>
      </c>
      <c r="S69" s="42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7"/>
      <c r="AC69" s="467"/>
      <c r="AD69" s="323">
        <f>SUM(AD59:AD68)</f>
        <v>0</v>
      </c>
      <c r="AE69" s="323">
        <f>SUM(AE59:AE68)</f>
        <v>0</v>
      </c>
      <c r="AF69" s="309">
        <f>N69-K69</f>
        <v>-315.28239746765348</v>
      </c>
      <c r="AG69" s="124">
        <f>N69/K69</f>
        <v>0.79189280695204389</v>
      </c>
      <c r="AH69" s="464"/>
    </row>
    <row r="70" spans="1:36" ht="15" customHeight="1">
      <c r="A70" s="498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6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68"/>
      <c r="AC70" s="468"/>
      <c r="AD70" s="135"/>
      <c r="AE70" s="135"/>
      <c r="AF70" s="310">
        <f>N70-K70</f>
        <v>0</v>
      </c>
      <c r="AG70" s="246" t="e">
        <f>N70/K70</f>
        <v>#DIV/0!</v>
      </c>
      <c r="AH70" s="461" t="e">
        <f>AG79</f>
        <v>#DIV/0!</v>
      </c>
    </row>
    <row r="71" spans="1:36" ht="15" customHeight="1">
      <c r="A71" s="499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7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7"/>
      <c r="AC71" s="487"/>
      <c r="AD71" s="200"/>
      <c r="AE71" s="200"/>
      <c r="AF71" s="311">
        <v>-300.31249999999704</v>
      </c>
      <c r="AG71" s="99">
        <v>0.80810702875399554</v>
      </c>
      <c r="AH71" s="482"/>
    </row>
    <row r="72" spans="1:36" ht="15" customHeight="1">
      <c r="A72" s="499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7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6"/>
      <c r="AC72" s="466"/>
      <c r="AD72" s="92"/>
      <c r="AE72" s="92"/>
      <c r="AF72" s="311">
        <v>-130.33333333333326</v>
      </c>
      <c r="AG72" s="99">
        <v>0.91671991480298198</v>
      </c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6"/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>
      <c r="A79" s="500"/>
      <c r="B79" s="239"/>
      <c r="C79" s="153" t="s">
        <v>56</v>
      </c>
      <c r="D79" s="437" t="s">
        <v>42</v>
      </c>
      <c r="E79" s="437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13:AC13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Q3:Q4"/>
    <mergeCell ref="R3:R4"/>
    <mergeCell ref="T3:U3"/>
    <mergeCell ref="AD3:AE3"/>
    <mergeCell ref="AF3:AF4"/>
    <mergeCell ref="A2:B2"/>
    <mergeCell ref="A3:A4"/>
    <mergeCell ref="B3:B4"/>
    <mergeCell ref="D3:E4"/>
    <mergeCell ref="F3:F4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V3:V4"/>
    <mergeCell ref="P3:P4"/>
    <mergeCell ref="AB1:AC2"/>
    <mergeCell ref="W3:W4"/>
    <mergeCell ref="X3:Y3"/>
    <mergeCell ref="Z3:AA3"/>
    <mergeCell ref="AF1:AH2"/>
    <mergeCell ref="AG3:AG4"/>
    <mergeCell ref="AH3:AH4"/>
  </mergeCells>
  <phoneticPr fontId="0" type="noConversion"/>
  <conditionalFormatting sqref="P5:P79">
    <cfRule type="cellIs" dxfId="294" priority="1" operator="greaterThan">
      <formula>0</formula>
    </cfRule>
  </conditionalFormatting>
  <conditionalFormatting sqref="Q5:Q79 AF5:AF79">
    <cfRule type="cellIs" dxfId="293" priority="4" operator="lessThan">
      <formula>0</formula>
    </cfRule>
  </conditionalFormatting>
  <conditionalFormatting sqref="R5:R79 AG5:AG79">
    <cfRule type="cellIs" dxfId="292" priority="2" operator="greaterThan">
      <formula>1</formula>
    </cfRule>
    <cfRule type="cellIs" dxfId="291" priority="3" operator="lessThan">
      <formula>0.8</formula>
    </cfRule>
  </conditionalFormatting>
  <conditionalFormatting sqref="S5:S10 S37:S62 AH59:AH62 S69:S76 AH69:AH76">
    <cfRule type="cellIs" dxfId="290" priority="7" operator="lessThan">
      <formula>0.8</formula>
    </cfRule>
  </conditionalFormatting>
  <conditionalFormatting sqref="S19:S25 AH19:AH25">
    <cfRule type="cellIs" dxfId="289" priority="6" operator="lessThan">
      <formula>0.8</formula>
    </cfRule>
  </conditionalFormatting>
  <conditionalFormatting sqref="S79">
    <cfRule type="cellIs" dxfId="288" priority="5" operator="lessThan">
      <formula>0.8</formula>
    </cfRule>
  </conditionalFormatting>
  <conditionalFormatting sqref="AH5:AH8 S15:S16 AH15:AH16 AH49 AH79">
    <cfRule type="cellIs" dxfId="287" priority="9" operator="lessThan">
      <formula>0.8</formula>
    </cfRule>
  </conditionalFormatting>
  <conditionalFormatting sqref="AH27 S27:S28">
    <cfRule type="cellIs" dxfId="286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66EFAB-8CAC-41DC-9145-FB612E83B577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468B3-BE14-4E65-BEE3-72EBF851B940}">
  <dimension ref="B1:O26"/>
  <sheetViews>
    <sheetView topLeftCell="A3" zoomScale="70" zoomScaleNormal="70" workbookViewId="0">
      <selection activeCell="U53" sqref="U5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46149</v>
      </c>
      <c r="E3" s="412"/>
      <c r="F3" s="3" t="s">
        <v>72</v>
      </c>
      <c r="G3" s="413">
        <f>'0507'!E1</f>
        <v>53355</v>
      </c>
      <c r="H3" s="413"/>
      <c r="I3" s="3" t="s">
        <v>2</v>
      </c>
      <c r="J3" s="414">
        <f>'0507'!G1</f>
        <v>2643521.0459999992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>
        <f>AVERAGE(D13:I13)</f>
        <v>120.99935547925872</v>
      </c>
      <c r="G6" s="410"/>
      <c r="H6" s="395">
        <f>AVERAGE(D13:H13)</f>
        <v>122.3848034981874</v>
      </c>
      <c r="I6" s="395"/>
      <c r="J6" s="395">
        <f>AVERAGE(I13)</f>
        <v>114.07211538461539</v>
      </c>
      <c r="K6" s="395"/>
      <c r="L6" s="396">
        <f>SUM(D18:J18)</f>
        <v>2</v>
      </c>
      <c r="M6" s="398">
        <f>SUM(D19:J19)</f>
        <v>76</v>
      </c>
      <c r="N6" s="399">
        <f>SUM(D20:J20)</f>
        <v>2</v>
      </c>
      <c r="O6" s="398">
        <f>SUM(D20:J20)</f>
        <v>2</v>
      </c>
    </row>
    <row r="7" spans="2:15" ht="39.6" customHeight="1">
      <c r="B7" s="406"/>
      <c r="C7" s="406"/>
      <c r="D7" s="401" t="s">
        <v>87</v>
      </c>
      <c r="E7" s="401"/>
      <c r="F7" s="402">
        <f>AVERAGE(D14:I14)</f>
        <v>102.44405501422237</v>
      </c>
      <c r="G7" s="402"/>
      <c r="H7" s="403">
        <f>AVERAGE(D14:H14)</f>
        <v>103.57300161676127</v>
      </c>
      <c r="I7" s="403"/>
      <c r="J7" s="403">
        <f>AVERAGE(I14)</f>
        <v>96.799322001527827</v>
      </c>
      <c r="K7" s="403"/>
      <c r="L7" s="397" t="e">
        <f t="shared" ref="L7:O8" si="0">AVERAGE(K14:L14)</f>
        <v>#DIV/0!</v>
      </c>
      <c r="M7" s="398" t="e">
        <f t="shared" si="0"/>
        <v>#DIV/0!</v>
      </c>
      <c r="N7" s="400" t="e">
        <f t="shared" si="0"/>
        <v>#DIV/0!</v>
      </c>
      <c r="O7" s="398" t="e">
        <f t="shared" si="0"/>
        <v>#DIV/0!</v>
      </c>
    </row>
    <row r="8" spans="2:15" ht="39.6" customHeight="1">
      <c r="B8" s="406"/>
      <c r="C8" s="406"/>
      <c r="D8" s="401" t="s">
        <v>27</v>
      </c>
      <c r="E8" s="401"/>
      <c r="F8" s="387">
        <f>F7/F6</f>
        <v>0.84664959254087069</v>
      </c>
      <c r="G8" s="387"/>
      <c r="H8" s="387">
        <f>H7/H6</f>
        <v>0.84628972434715122</v>
      </c>
      <c r="I8" s="387"/>
      <c r="J8" s="387">
        <f>J7/J6</f>
        <v>0.8485800554776326</v>
      </c>
      <c r="K8" s="387"/>
      <c r="L8" s="397" t="e">
        <f t="shared" si="0"/>
        <v>#DIV/0!</v>
      </c>
      <c r="M8" s="398" t="e">
        <f t="shared" si="0"/>
        <v>#DIV/0!</v>
      </c>
      <c r="N8" s="400" t="e">
        <f t="shared" si="0"/>
        <v>#DIV/0!</v>
      </c>
      <c r="O8" s="398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>
        <f>VALUE('0507'!L15)</f>
        <v>150</v>
      </c>
      <c r="E13" s="13">
        <f>VALUE('0507'!L26)</f>
        <v>165.14423076923077</v>
      </c>
      <c r="F13" s="13">
        <f>VALUE('0507'!L37)</f>
        <v>99.461437908496734</v>
      </c>
      <c r="G13" s="13">
        <f>VALUE('0507'!L48)</f>
        <v>101.72392156862745</v>
      </c>
      <c r="H13" s="13">
        <f>VALUE('0507'!L58)</f>
        <v>95.594427244582036</v>
      </c>
      <c r="I13" s="13">
        <f>VALUE('0507'!L69)</f>
        <v>114.07211538461539</v>
      </c>
      <c r="J13" s="13">
        <f>'0507'!L79</f>
        <v>0</v>
      </c>
    </row>
    <row r="14" spans="2:15" ht="39.950000000000003" customHeight="1">
      <c r="B14" s="381"/>
      <c r="C14" s="12" t="s">
        <v>100</v>
      </c>
      <c r="D14" s="13">
        <f>VALUE('0507'!O15)</f>
        <v>109.81144933842522</v>
      </c>
      <c r="E14" s="13">
        <f>VALUE('0507'!O26)</f>
        <v>153.26061387440879</v>
      </c>
      <c r="F14" s="13">
        <f>VALUE('0507'!O37)</f>
        <v>78.41225774642588</v>
      </c>
      <c r="G14" s="13">
        <f>VALUE('0507'!O48)</f>
        <v>87.609781523096231</v>
      </c>
      <c r="H14" s="13">
        <f>VALUE('0507'!O58)</f>
        <v>88.770905601450323</v>
      </c>
      <c r="I14" s="13">
        <f>VALUE('0507'!O69)</f>
        <v>96.799322001527827</v>
      </c>
      <c r="J14" s="13">
        <f>'0507'!O79</f>
        <v>0</v>
      </c>
    </row>
    <row r="15" spans="2:15" ht="39.950000000000003" customHeight="1">
      <c r="B15" s="382"/>
      <c r="C15" s="10" t="s">
        <v>26</v>
      </c>
      <c r="D15" s="14">
        <f t="shared" ref="D15:I15" si="1">D14/D13</f>
        <v>0.73207632892283481</v>
      </c>
      <c r="E15" s="14">
        <f t="shared" si="1"/>
        <v>0.92804098066599794</v>
      </c>
      <c r="F15" s="14">
        <f t="shared" si="1"/>
        <v>0.78836843097486853</v>
      </c>
      <c r="G15" s="14">
        <f t="shared" si="1"/>
        <v>0.86125053155752362</v>
      </c>
      <c r="H15" s="14">
        <f t="shared" si="1"/>
        <v>0.92862008968709575</v>
      </c>
      <c r="I15" s="14">
        <f t="shared" si="1"/>
        <v>0.8485800554776326</v>
      </c>
      <c r="J15" s="15">
        <f>'0507'!S70</f>
        <v>0</v>
      </c>
    </row>
    <row r="16" spans="2:15" ht="17.25" customHeight="1">
      <c r="B16" s="383" t="s">
        <v>101</v>
      </c>
      <c r="C16" s="10" t="s">
        <v>34</v>
      </c>
      <c r="D16" s="16">
        <f>'0507'!T5</f>
        <v>0.3125</v>
      </c>
      <c r="E16" s="16">
        <f>'0507'!T16</f>
        <v>0.29097222222222202</v>
      </c>
      <c r="F16" s="16">
        <f>'0507'!T27</f>
        <v>0.33333333333333298</v>
      </c>
      <c r="G16" s="16">
        <f>'0507'!T38</f>
        <v>0.33333333333333298</v>
      </c>
      <c r="H16" s="16">
        <f>'0507'!T49</f>
        <v>0.29166666666666702</v>
      </c>
      <c r="I16" s="16">
        <f>'0507'!T59</f>
        <v>0.28819444444444398</v>
      </c>
      <c r="J16" s="16">
        <f>'0507'!T70</f>
        <v>0</v>
      </c>
    </row>
    <row r="17" spans="2:10" ht="17.25" customHeight="1">
      <c r="B17" s="384"/>
      <c r="C17" s="10" t="s">
        <v>35</v>
      </c>
      <c r="D17" s="16">
        <v>0.62638888888888899</v>
      </c>
      <c r="E17" s="19">
        <v>0.60902777777777795</v>
      </c>
      <c r="F17" s="19">
        <v>0.61111111111111105</v>
      </c>
      <c r="G17" s="20">
        <v>0.65625</v>
      </c>
      <c r="H17" s="21">
        <v>0.64513888888888904</v>
      </c>
      <c r="I17" s="22">
        <v>0.58680555555555602</v>
      </c>
      <c r="J17" s="16">
        <f>'0507'!T71</f>
        <v>0</v>
      </c>
    </row>
    <row r="18" spans="2:10" ht="17.25" customHeight="1">
      <c r="B18" s="385" t="s">
        <v>102</v>
      </c>
      <c r="C18" s="330" t="s">
        <v>36</v>
      </c>
      <c r="D18" s="358">
        <f>'0507'!Z15</f>
        <v>0</v>
      </c>
      <c r="E18" s="359">
        <f>'0507'!Z26</f>
        <v>0</v>
      </c>
      <c r="F18" s="359">
        <f>'0507'!Z37</f>
        <v>0</v>
      </c>
      <c r="G18" s="360">
        <f>'0507'!Z48</f>
        <v>2</v>
      </c>
      <c r="H18" s="360">
        <f>'0507'!Z58</f>
        <v>0</v>
      </c>
      <c r="I18" s="359">
        <f>'0507'!Z69</f>
        <v>0</v>
      </c>
      <c r="J18" s="359">
        <f>'0507'!AA79</f>
        <v>0</v>
      </c>
    </row>
    <row r="19" spans="2:10" ht="17.25" customHeight="1">
      <c r="B19" s="386"/>
      <c r="C19" s="330" t="s">
        <v>37</v>
      </c>
      <c r="D19" s="358">
        <f>'0507'!AA15</f>
        <v>0</v>
      </c>
      <c r="E19" s="359">
        <f>'0507'!AA26</f>
        <v>0</v>
      </c>
      <c r="F19" s="359">
        <f>'0507'!AA37</f>
        <v>0</v>
      </c>
      <c r="G19" s="360">
        <f>'0507'!AA48</f>
        <v>76</v>
      </c>
      <c r="H19" s="360">
        <f>'0507'!AA58</f>
        <v>0</v>
      </c>
      <c r="I19" s="359">
        <f>'0507'!AA69</f>
        <v>0</v>
      </c>
      <c r="J19" s="359">
        <f>'0507'!AB79</f>
        <v>0</v>
      </c>
    </row>
    <row r="20" spans="2:10" ht="17.25" customHeight="1">
      <c r="B20" s="385" t="s">
        <v>103</v>
      </c>
      <c r="C20" s="330" t="s">
        <v>36</v>
      </c>
      <c r="D20" s="358">
        <f>'0507'!AD15</f>
        <v>0</v>
      </c>
      <c r="E20" s="359">
        <f>'0507'!AD26</f>
        <v>0</v>
      </c>
      <c r="F20" s="359">
        <f>'0507'!AD37</f>
        <v>1</v>
      </c>
      <c r="G20" s="360">
        <f>'0507'!AD48</f>
        <v>1</v>
      </c>
      <c r="H20" s="360">
        <f>'0507'!AD58</f>
        <v>0</v>
      </c>
      <c r="I20" s="359">
        <f>'0507'!AD69</f>
        <v>0</v>
      </c>
      <c r="J20" s="359">
        <f>'0507'!AD79</f>
        <v>0</v>
      </c>
    </row>
    <row r="21" spans="2:10" ht="17.25" customHeight="1">
      <c r="B21" s="386"/>
      <c r="C21" s="330" t="s">
        <v>85</v>
      </c>
      <c r="D21" s="358">
        <f>'0507'!AE15</f>
        <v>0</v>
      </c>
      <c r="E21" s="359">
        <f>'0507'!AE26</f>
        <v>0</v>
      </c>
      <c r="F21" s="359">
        <f>'0507'!AE37</f>
        <v>0</v>
      </c>
      <c r="G21" s="360">
        <f>'0507'!AE48</f>
        <v>1</v>
      </c>
      <c r="H21" s="360">
        <f>'0507'!AE58</f>
        <v>0</v>
      </c>
      <c r="I21" s="359">
        <f>'0507'!AE69</f>
        <v>0</v>
      </c>
      <c r="J21" s="359">
        <f>'0507'!AE79</f>
        <v>0</v>
      </c>
    </row>
    <row r="22" spans="2:10" ht="17.25" customHeight="1">
      <c r="B22" s="377" t="s">
        <v>104</v>
      </c>
      <c r="C22" s="378"/>
      <c r="D22" s="23">
        <f>VALUE('0507'!M15)</f>
        <v>15</v>
      </c>
      <c r="E22" s="23">
        <f>VALUE('0507'!M26)</f>
        <v>13.75</v>
      </c>
      <c r="F22" s="23">
        <f>VALUE('0507'!M37)</f>
        <v>16.333333333333332</v>
      </c>
      <c r="G22" s="23">
        <f>VALUE('0507'!M48)</f>
        <v>15.6</v>
      </c>
      <c r="H22" s="23">
        <f>VALUE('0507'!M58)</f>
        <v>17</v>
      </c>
      <c r="I22" s="23">
        <f>VALUE('0507'!M69)</f>
        <v>12.75</v>
      </c>
      <c r="J22" s="23">
        <f>'0507'!M79</f>
        <v>0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85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2120A-EFEC-4CD1-B0E0-A48261AD9F1B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U53" sqref="U53"/>
      <selection pane="topRight" activeCell="U53" sqref="U53"/>
      <selection pane="bottomLeft" activeCell="U53" sqref="U53"/>
      <selection pane="bottomRight" activeCell="U53" sqref="U5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8" width="8.7109375" style="34" customWidth="1"/>
    <col min="109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53355</v>
      </c>
      <c r="F1" s="30" t="s">
        <v>2</v>
      </c>
      <c r="G1" s="31">
        <f>SUM(H5:H79)</f>
        <v>2643521.0459999992</v>
      </c>
      <c r="H1" s="32" t="s">
        <v>3</v>
      </c>
      <c r="I1" s="33">
        <f>M15+M26+M48+M58+M69+M79+M37</f>
        <v>90.433333333333323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163</v>
      </c>
      <c r="B2" s="422"/>
      <c r="C2" s="28"/>
      <c r="D2" s="28" t="s">
        <v>14</v>
      </c>
      <c r="E2" s="35">
        <f>AVERAGE(O15,O26,O37,O48,O58,O69,O79)</f>
        <v>102.44405501422237</v>
      </c>
      <c r="F2" s="36" t="s">
        <v>15</v>
      </c>
      <c r="G2" s="37">
        <f>G1/E1</f>
        <v>49.545891594039908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2</v>
      </c>
      <c r="AA2" s="339">
        <f>AA15+AA26+AA37+AA48+AA58+AA69+AA79</f>
        <v>76</v>
      </c>
      <c r="AB2" s="460"/>
      <c r="AC2" s="460"/>
      <c r="AD2" s="340">
        <f>AD15+AD26+AD37+AD48+AD58+AD69+AD79</f>
        <v>2</v>
      </c>
      <c r="AE2" s="340">
        <f>AE15+AE26+AE37+AE48+AE58+AE69+AE79</f>
        <v>1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1885</v>
      </c>
      <c r="H5" s="43">
        <f>F5*G5</f>
        <v>107199.95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1449.9999999999918</v>
      </c>
      <c r="O5" s="47">
        <f>N5/M5</f>
        <v>96.666666666666117</v>
      </c>
      <c r="P5" s="49">
        <f>M5-J5</f>
        <v>0</v>
      </c>
      <c r="Q5" s="50">
        <f>O5-L5</f>
        <v>-53.333333333333883</v>
      </c>
      <c r="R5" s="51">
        <f>O5/L5</f>
        <v>0.64444444444444082</v>
      </c>
      <c r="S5" s="416">
        <f>R15</f>
        <v>0.73207632892283481</v>
      </c>
      <c r="T5" s="319">
        <v>0.3125</v>
      </c>
      <c r="U5" s="320">
        <v>0.36666666666666697</v>
      </c>
      <c r="V5" s="53"/>
      <c r="W5" s="54">
        <f t="shared" ref="W5:W14" si="0">(U5-T5)*24*60</f>
        <v>78.000000000000441</v>
      </c>
      <c r="X5" s="55"/>
      <c r="Y5" s="290"/>
      <c r="Z5" s="169"/>
      <c r="AA5" s="169"/>
      <c r="AB5" s="468" t="s">
        <v>164</v>
      </c>
      <c r="AC5" s="468"/>
      <c r="AD5" s="135"/>
      <c r="AE5" s="135"/>
      <c r="AF5" s="229">
        <f t="shared" ref="AF5:AF11" si="1">N5-K5</f>
        <v>-800.00000000000819</v>
      </c>
      <c r="AG5" s="52">
        <f t="shared" ref="AG5:AG11" si="2">N5/K5</f>
        <v>0.64444444444444082</v>
      </c>
      <c r="AH5" s="461">
        <f>AG15</f>
        <v>0.73207632892283492</v>
      </c>
    </row>
    <row r="6" spans="1:34" ht="15" customHeight="1">
      <c r="A6" s="428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980</v>
      </c>
      <c r="H6" s="63">
        <f>F6*G6</f>
        <v>57006.6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1367.4418604651212</v>
      </c>
      <c r="O6" s="67">
        <f>N6/M6</f>
        <v>91.162790697674751</v>
      </c>
      <c r="P6" s="69">
        <f>M6-J6</f>
        <v>0</v>
      </c>
      <c r="Q6" s="70">
        <f>O6-L6</f>
        <v>-58.837209302325249</v>
      </c>
      <c r="R6" s="71">
        <f>O6/L6</f>
        <v>0.60775193798449834</v>
      </c>
      <c r="S6" s="417"/>
      <c r="T6" s="16">
        <v>0.37361111111111101</v>
      </c>
      <c r="U6" s="16">
        <v>0.40347222222222201</v>
      </c>
      <c r="V6" s="30">
        <f>(T6-U5)*24*60</f>
        <v>9.9999999999994049</v>
      </c>
      <c r="W6" s="73">
        <f t="shared" si="0"/>
        <v>42.999999999999844</v>
      </c>
      <c r="X6" s="22"/>
      <c r="Y6" s="84"/>
      <c r="Z6" s="90"/>
      <c r="AA6" s="90"/>
      <c r="AB6" s="465" t="s">
        <v>165</v>
      </c>
      <c r="AC6" s="465"/>
      <c r="AD6" s="149"/>
      <c r="AE6" s="149"/>
      <c r="AF6" s="307">
        <f t="shared" si="1"/>
        <v>-882.55813953487882</v>
      </c>
      <c r="AG6" s="72">
        <f t="shared" si="2"/>
        <v>0.60775193798449834</v>
      </c>
      <c r="AH6" s="462"/>
    </row>
    <row r="7" spans="1:34" ht="15" customHeight="1">
      <c r="A7" s="428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1931</v>
      </c>
      <c r="H7" s="78">
        <f>F7*G7</f>
        <v>94889.34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1114.0384615384646</v>
      </c>
      <c r="O7" s="81">
        <f>N7/M7</f>
        <v>74.269230769230973</v>
      </c>
      <c r="P7" s="74">
        <f>M7-J7</f>
        <v>0</v>
      </c>
      <c r="Q7" s="83">
        <f>O7-L7</f>
        <v>-75.730769230769027</v>
      </c>
      <c r="R7" s="72">
        <f>O7/L7</f>
        <v>0.49512820512820649</v>
      </c>
      <c r="S7" s="417"/>
      <c r="T7" s="18">
        <v>0.40902777777777799</v>
      </c>
      <c r="U7" s="18">
        <v>0.48125000000000001</v>
      </c>
      <c r="V7" s="30">
        <f>(T7-U6)*24*60</f>
        <v>8.0000000000006111</v>
      </c>
      <c r="W7" s="73">
        <f t="shared" si="0"/>
        <v>103.99999999999972</v>
      </c>
      <c r="X7" s="22">
        <v>0.5</v>
      </c>
      <c r="Y7" s="84">
        <v>0.54166666666666696</v>
      </c>
      <c r="Z7" s="90"/>
      <c r="AA7" s="90"/>
      <c r="AB7" s="466" t="s">
        <v>165</v>
      </c>
      <c r="AC7" s="466"/>
      <c r="AD7" s="92"/>
      <c r="AE7" s="92"/>
      <c r="AF7" s="307">
        <f t="shared" si="1"/>
        <v>-1135.9615384615354</v>
      </c>
      <c r="AG7" s="72">
        <f t="shared" si="2"/>
        <v>0.49512820512820649</v>
      </c>
      <c r="AH7" s="462"/>
    </row>
    <row r="8" spans="1:34" ht="15" customHeight="1">
      <c r="A8" s="428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2086</v>
      </c>
      <c r="H8" s="78">
        <f t="shared" ref="H8:H9" si="3">F8*G8</f>
        <v>102506.04000000001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9" si="4">K8/J8</f>
        <v>150</v>
      </c>
      <c r="M8" s="82">
        <v>15</v>
      </c>
      <c r="N8" s="80">
        <f t="shared" ref="N8:N9" si="5">G8/W8*60</f>
        <v>2085.999999999985</v>
      </c>
      <c r="O8" s="81">
        <f t="shared" ref="O8:O9" si="6">N8/M8</f>
        <v>139.06666666666567</v>
      </c>
      <c r="P8" s="74">
        <f t="shared" ref="P8:P9" si="7">M8-J8</f>
        <v>0</v>
      </c>
      <c r="Q8" s="83">
        <f t="shared" ref="Q8:Q9" si="8">O8-L8</f>
        <v>-10.933333333334332</v>
      </c>
      <c r="R8" s="72">
        <f t="shared" ref="R8:R9" si="9">O8/L8</f>
        <v>0.92711111111110445</v>
      </c>
      <c r="S8" s="417"/>
      <c r="T8" s="16">
        <v>0.55208333333333304</v>
      </c>
      <c r="U8" s="16">
        <v>0.59375</v>
      </c>
      <c r="V8" s="30">
        <f t="shared" ref="V8:V9" si="10">(T8-U7)*24*60</f>
        <v>101.99999999999956</v>
      </c>
      <c r="W8" s="73">
        <f t="shared" si="0"/>
        <v>60.000000000000426</v>
      </c>
      <c r="X8" s="22"/>
      <c r="Y8" s="84"/>
      <c r="Z8" s="90"/>
      <c r="AA8" s="90"/>
      <c r="AB8" s="465"/>
      <c r="AC8" s="465"/>
      <c r="AD8" s="149"/>
      <c r="AE8" s="149"/>
      <c r="AF8" s="307">
        <f t="shared" si="1"/>
        <v>-164.00000000001501</v>
      </c>
      <c r="AG8" s="72">
        <f t="shared" si="2"/>
        <v>0.92711111111110445</v>
      </c>
      <c r="AH8" s="462"/>
    </row>
    <row r="9" spans="1:34" ht="15" customHeight="1">
      <c r="A9" s="429"/>
      <c r="B9" s="75" t="s">
        <v>81</v>
      </c>
      <c r="C9" s="76"/>
      <c r="D9" s="59" t="s">
        <v>113</v>
      </c>
      <c r="E9" s="77"/>
      <c r="F9" s="75">
        <f>VLOOKUP(D9,廠價表!$C$1:$E$43,3,0)</f>
        <v>56.87</v>
      </c>
      <c r="G9" s="66">
        <v>1368</v>
      </c>
      <c r="H9" s="78">
        <f t="shared" si="3"/>
        <v>77798.16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2218.3783783783292</v>
      </c>
      <c r="O9" s="81">
        <f t="shared" si="6"/>
        <v>147.8918918918886</v>
      </c>
      <c r="P9" s="74">
        <f t="shared" si="7"/>
        <v>0</v>
      </c>
      <c r="Q9" s="83">
        <f t="shared" si="8"/>
        <v>-2.108108108111395</v>
      </c>
      <c r="R9" s="72">
        <f t="shared" si="9"/>
        <v>0.985945945945924</v>
      </c>
      <c r="S9" s="418"/>
      <c r="T9" s="16">
        <v>0.60069444444444398</v>
      </c>
      <c r="U9" s="16">
        <v>0.62638888888888899</v>
      </c>
      <c r="V9" s="30">
        <f t="shared" si="10"/>
        <v>9.999999999999325</v>
      </c>
      <c r="W9" s="73">
        <f t="shared" si="0"/>
        <v>37.000000000000824</v>
      </c>
      <c r="X9" s="22"/>
      <c r="Y9" s="84"/>
      <c r="Z9" s="90"/>
      <c r="AA9" s="90"/>
      <c r="AB9" s="465"/>
      <c r="AC9" s="465"/>
      <c r="AD9" s="149"/>
      <c r="AE9" s="149"/>
      <c r="AF9" s="307">
        <f t="shared" si="1"/>
        <v>-31.621621621670783</v>
      </c>
      <c r="AG9" s="72">
        <f t="shared" si="2"/>
        <v>0.98594594594592411</v>
      </c>
      <c r="AH9" s="463"/>
    </row>
    <row r="10" spans="1:34" ht="15" customHeight="1">
      <c r="A10" s="42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8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6"/>
      <c r="AC10" s="466"/>
      <c r="AD10" s="92"/>
      <c r="AE10" s="92"/>
      <c r="AF10" s="307">
        <f t="shared" si="1"/>
        <v>0</v>
      </c>
      <c r="AG10" s="72" t="e">
        <f t="shared" si="2"/>
        <v>#DIV/0!</v>
      </c>
      <c r="AH10" s="463"/>
    </row>
    <row r="11" spans="1:34" ht="15" customHeight="1">
      <c r="A11" s="42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5"/>
      <c r="AC11" s="465"/>
      <c r="AD11" s="149"/>
      <c r="AE11" s="149"/>
      <c r="AF11" s="307">
        <f t="shared" si="1"/>
        <v>0</v>
      </c>
      <c r="AG11" s="72" t="e">
        <f t="shared" si="2"/>
        <v>#DIV/0!</v>
      </c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150</v>
      </c>
      <c r="M15" s="120">
        <f t="shared" si="11"/>
        <v>15</v>
      </c>
      <c r="N15" s="120">
        <f t="shared" si="11"/>
        <v>1647.1717400763785</v>
      </c>
      <c r="O15" s="117">
        <f t="shared" si="11"/>
        <v>109.81144933842522</v>
      </c>
      <c r="P15" s="121">
        <f>M15-J15</f>
        <v>0</v>
      </c>
      <c r="Q15" s="122">
        <f>O15-L15</f>
        <v>-40.18855066157478</v>
      </c>
      <c r="R15" s="123">
        <f>O15/L15</f>
        <v>0.73207632892283481</v>
      </c>
      <c r="S15" s="42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7"/>
      <c r="AC15" s="467"/>
      <c r="AD15" s="323">
        <f>SUM(AD5:AD14)</f>
        <v>0</v>
      </c>
      <c r="AE15" s="323">
        <f>SUM(AE5:AE14)</f>
        <v>0</v>
      </c>
      <c r="AF15" s="309">
        <f>N15-K15</f>
        <v>-602.82825992362154</v>
      </c>
      <c r="AG15" s="124">
        <f>N15/K15</f>
        <v>0.73207632892283492</v>
      </c>
      <c r="AH15" s="464"/>
    </row>
    <row r="16" spans="1:34" ht="15" customHeight="1">
      <c r="A16" s="47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3276</v>
      </c>
      <c r="H16" s="134">
        <f>F16*G16</f>
        <v>165994.92000000001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2113.5483870967523</v>
      </c>
      <c r="O16" s="141">
        <f>N16/M16</f>
        <v>162.58064516128863</v>
      </c>
      <c r="P16" s="142">
        <f>M16-J16</f>
        <v>0</v>
      </c>
      <c r="Q16" s="143">
        <f>O16-L16</f>
        <v>-10.496277915634437</v>
      </c>
      <c r="R16" s="144">
        <f>O16/L16</f>
        <v>0.93935483870966774</v>
      </c>
      <c r="S16" s="472">
        <f>R26</f>
        <v>0.92804098066599794</v>
      </c>
      <c r="T16" s="145">
        <v>0.29097222222222202</v>
      </c>
      <c r="U16" s="145">
        <v>0.35555555555555601</v>
      </c>
      <c r="V16" s="135"/>
      <c r="W16" s="146">
        <f t="shared" ref="W16:W78" si="12">(U16-T16)*24*60</f>
        <v>93.000000000000952</v>
      </c>
      <c r="X16" s="141"/>
      <c r="Y16" s="296"/>
      <c r="Z16" s="169"/>
      <c r="AA16" s="169"/>
      <c r="AB16" s="468"/>
      <c r="AC16" s="468"/>
      <c r="AD16" s="135"/>
      <c r="AE16" s="135"/>
      <c r="AF16" s="229">
        <f>N16-K16</f>
        <v>-136.45161290324768</v>
      </c>
      <c r="AG16" s="52">
        <f>N16/K16</f>
        <v>0.93935483870966774</v>
      </c>
      <c r="AH16" s="461">
        <f>AG26</f>
        <v>0.92653287273799445</v>
      </c>
    </row>
    <row r="17" spans="1:34" ht="15" customHeight="1">
      <c r="A17" s="479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2202</v>
      </c>
      <c r="H17" s="78">
        <f>F17*G17</f>
        <v>124655.22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2130.9677419354612</v>
      </c>
      <c r="O17" s="96">
        <f>N17/M17</f>
        <v>142.06451612903075</v>
      </c>
      <c r="P17" s="97">
        <f>M17-J17</f>
        <v>0</v>
      </c>
      <c r="Q17" s="98">
        <f>O17-L17</f>
        <v>-7.9354838709692501</v>
      </c>
      <c r="R17" s="99">
        <f>O17/L17</f>
        <v>0.94709677419353833</v>
      </c>
      <c r="S17" s="473"/>
      <c r="T17" s="19">
        <v>0.36111111111111099</v>
      </c>
      <c r="U17" s="19">
        <v>0.40416666666666701</v>
      </c>
      <c r="V17" s="30">
        <f>(T17-U16)*24*60</f>
        <v>7.9999999999991722</v>
      </c>
      <c r="W17" s="149">
        <f t="shared" si="12"/>
        <v>62.000000000000661</v>
      </c>
      <c r="X17" s="19"/>
      <c r="Y17" s="297"/>
      <c r="Z17" s="90"/>
      <c r="AA17" s="90"/>
      <c r="AB17" s="466"/>
      <c r="AC17" s="466"/>
      <c r="AD17" s="92"/>
      <c r="AE17" s="92"/>
      <c r="AF17" s="307">
        <f>N17-K17</f>
        <v>-119.03225806453884</v>
      </c>
      <c r="AG17" s="72">
        <f>N17/K17</f>
        <v>0.94709677419353833</v>
      </c>
      <c r="AH17" s="462"/>
    </row>
    <row r="18" spans="1:34" ht="15" customHeight="1">
      <c r="A18" s="479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4537</v>
      </c>
      <c r="H18" s="78">
        <f>F18*G18</f>
        <v>228619.43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2126.7187499999968</v>
      </c>
      <c r="O18" s="96">
        <f>N18/M18</f>
        <v>177.22656249999974</v>
      </c>
      <c r="P18" s="97">
        <f>M18-J18</f>
        <v>0</v>
      </c>
      <c r="Q18" s="98">
        <f>O18-L18</f>
        <v>-10.273437500000256</v>
      </c>
      <c r="R18" s="99">
        <f>O18/L18</f>
        <v>0.94520833333333198</v>
      </c>
      <c r="S18" s="473"/>
      <c r="T18" s="19">
        <v>0.40972222222222199</v>
      </c>
      <c r="U18" s="19">
        <v>0.49861111111111101</v>
      </c>
      <c r="V18" s="30">
        <f>(T18-U17)*24*60</f>
        <v>7.9999999999991722</v>
      </c>
      <c r="W18" s="149">
        <f t="shared" si="12"/>
        <v>128.00000000000017</v>
      </c>
      <c r="X18" s="22">
        <v>0.50347222222222199</v>
      </c>
      <c r="Y18" s="84">
        <v>0.54513888888888895</v>
      </c>
      <c r="Z18" s="90"/>
      <c r="AA18" s="90"/>
      <c r="AB18" s="466"/>
      <c r="AC18" s="466"/>
      <c r="AD18" s="92"/>
      <c r="AE18" s="92"/>
      <c r="AF18" s="307">
        <f>N18-K18</f>
        <v>-123.28125000000318</v>
      </c>
      <c r="AG18" s="72">
        <f>N18/K18</f>
        <v>0.94520833333333187</v>
      </c>
      <c r="AH18" s="462"/>
    </row>
    <row r="19" spans="1:34" ht="15" customHeight="1">
      <c r="A19" s="479"/>
      <c r="B19" s="75" t="s">
        <v>81</v>
      </c>
      <c r="C19" s="76"/>
      <c r="D19" s="59" t="s">
        <v>115</v>
      </c>
      <c r="E19" s="77"/>
      <c r="F19" s="75">
        <f>VLOOKUP(D19,廠價表!$C$1:$E$43,3,0)</f>
        <v>58.17</v>
      </c>
      <c r="G19" s="147">
        <v>2689</v>
      </c>
      <c r="H19" s="78">
        <f>F19*G19</f>
        <v>156419.13</v>
      </c>
      <c r="I19" s="30"/>
      <c r="J19" s="79">
        <f>VLOOKUP(D19,產線配置圖!$A$3:$C$40,2,0)</f>
        <v>15</v>
      </c>
      <c r="K19" s="80">
        <f>VLOOKUP(D19,產線配置圖!$A$3:$C$40,3,0)</f>
        <v>2250</v>
      </c>
      <c r="L19" s="81">
        <f>K19/J19</f>
        <v>150</v>
      </c>
      <c r="M19" s="148">
        <v>15</v>
      </c>
      <c r="N19" s="95">
        <f>G19/W19*60</f>
        <v>1967.5609756097401</v>
      </c>
      <c r="O19" s="96">
        <f>N19/M19</f>
        <v>131.17073170731601</v>
      </c>
      <c r="P19" s="97">
        <f>M19-J19</f>
        <v>0</v>
      </c>
      <c r="Q19" s="98">
        <f>O19-L19</f>
        <v>-18.829268292683992</v>
      </c>
      <c r="R19" s="99">
        <f>O19/L19</f>
        <v>0.87447154471544009</v>
      </c>
      <c r="S19" s="473"/>
      <c r="T19" s="19">
        <v>0.55208333333333304</v>
      </c>
      <c r="U19" s="19">
        <v>0.60902777777777795</v>
      </c>
      <c r="V19" s="30">
        <f>(T19-U18)*24*60</f>
        <v>76.99999999999973</v>
      </c>
      <c r="W19" s="149">
        <f t="shared" si="12"/>
        <v>82.000000000000668</v>
      </c>
      <c r="X19" s="22"/>
      <c r="Y19" s="84"/>
      <c r="Z19" s="90"/>
      <c r="AA19" s="90"/>
      <c r="AB19" s="465"/>
      <c r="AC19" s="465"/>
      <c r="AD19" s="149"/>
      <c r="AE19" s="149"/>
      <c r="AF19" s="307">
        <f>N19-K19</f>
        <v>-282.43902439025987</v>
      </c>
      <c r="AG19" s="72">
        <f>N19/K19</f>
        <v>0.87447154471544009</v>
      </c>
      <c r="AH19" s="463"/>
    </row>
    <row r="20" spans="1:34" ht="15" customHeight="1">
      <c r="A20" s="47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3"/>
      <c r="T20" s="19"/>
      <c r="U20" s="19"/>
      <c r="V20" s="30"/>
      <c r="W20" s="149">
        <f t="shared" si="12"/>
        <v>0</v>
      </c>
      <c r="X20" s="19"/>
      <c r="Y20" s="297"/>
      <c r="Z20" s="90"/>
      <c r="AA20" s="90"/>
      <c r="AB20" s="466"/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3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466"/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50"/>
      <c r="U22" s="150"/>
      <c r="V22" s="92"/>
      <c r="W22" s="149"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12"/>
        <v>0</v>
      </c>
      <c r="X23" s="92"/>
      <c r="Y23" s="298"/>
      <c r="Z23" s="90"/>
      <c r="AA23" s="90"/>
      <c r="AB23" s="466"/>
      <c r="AC23" s="46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>
        <f t="shared" ref="J26:O26" si="13">AVERAGE(J16:J25)</f>
        <v>13.75</v>
      </c>
      <c r="K26" s="155">
        <f t="shared" si="13"/>
        <v>2250</v>
      </c>
      <c r="L26" s="158">
        <f t="shared" si="13"/>
        <v>165.14423076923077</v>
      </c>
      <c r="M26" s="155">
        <f t="shared" si="13"/>
        <v>13.75</v>
      </c>
      <c r="N26" s="155">
        <f t="shared" si="13"/>
        <v>2084.6989636604876</v>
      </c>
      <c r="O26" s="158">
        <f t="shared" si="13"/>
        <v>153.26061387440879</v>
      </c>
      <c r="P26" s="159">
        <f>M26-J26</f>
        <v>0</v>
      </c>
      <c r="Q26" s="160">
        <f>O26-L26</f>
        <v>-11.883616894821984</v>
      </c>
      <c r="R26" s="161">
        <f>O26/L26</f>
        <v>0.92804098066599794</v>
      </c>
      <c r="S26" s="474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7"/>
      <c r="AC26" s="467"/>
      <c r="AD26" s="323">
        <f>SUM(AD16:AD25)</f>
        <v>0</v>
      </c>
      <c r="AE26" s="323">
        <f>SUM(AE16:AE25)</f>
        <v>0</v>
      </c>
      <c r="AF26" s="309">
        <f t="shared" ref="AF26:AF31" si="14">N26-K26</f>
        <v>-165.30103633951239</v>
      </c>
      <c r="AG26" s="124">
        <f t="shared" ref="AG26:AG31" si="15">N26/K26</f>
        <v>0.92653287273799445</v>
      </c>
      <c r="AH26" s="464"/>
    </row>
    <row r="27" spans="1:34" ht="15" customHeight="1">
      <c r="A27" s="469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4444</v>
      </c>
      <c r="H27" s="134">
        <f>F27*G27</f>
        <v>254241.24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1418.2978723404203</v>
      </c>
      <c r="O27" s="141">
        <f>N27/M27</f>
        <v>83.429286608260014</v>
      </c>
      <c r="P27" s="142">
        <f>M27-J27</f>
        <v>0</v>
      </c>
      <c r="Q27" s="143">
        <f>O27-L27</f>
        <v>-8.6295369211517539</v>
      </c>
      <c r="R27" s="144">
        <f>O27/L27</f>
        <v>0.90626062130378282</v>
      </c>
      <c r="S27" s="472">
        <f>R37</f>
        <v>0.78836843097486853</v>
      </c>
      <c r="T27" s="171">
        <v>0.33333333333333298</v>
      </c>
      <c r="U27" s="171">
        <v>0.46388888888888902</v>
      </c>
      <c r="V27" s="135"/>
      <c r="W27" s="146">
        <f t="shared" si="12"/>
        <v>188.00000000000068</v>
      </c>
      <c r="X27" s="145">
        <v>0.46875</v>
      </c>
      <c r="Y27" s="364">
        <v>0.52083333333333304</v>
      </c>
      <c r="Z27" s="169"/>
      <c r="AA27" s="169"/>
      <c r="AB27" s="468" t="s">
        <v>166</v>
      </c>
      <c r="AC27" s="468"/>
      <c r="AD27" s="135">
        <v>1</v>
      </c>
      <c r="AE27" s="135"/>
      <c r="AF27" s="310">
        <f t="shared" si="14"/>
        <v>-146.70212765957967</v>
      </c>
      <c r="AG27" s="172">
        <f t="shared" si="15"/>
        <v>0.90626062130378293</v>
      </c>
      <c r="AH27" s="461">
        <f>AG37</f>
        <v>0.78937911184867693</v>
      </c>
    </row>
    <row r="28" spans="1:34" ht="15" customHeight="1">
      <c r="A28" s="470"/>
      <c r="B28" s="75" t="s">
        <v>81</v>
      </c>
      <c r="C28" s="173"/>
      <c r="D28" s="59" t="s">
        <v>145</v>
      </c>
      <c r="E28" s="104"/>
      <c r="F28" s="75">
        <f>VLOOKUP(D28,廠價表!$C$1:$E$43,3,0)</f>
        <v>57.21</v>
      </c>
      <c r="G28" s="90">
        <v>1000</v>
      </c>
      <c r="H28" s="91">
        <f>F28*G28</f>
        <v>57210</v>
      </c>
      <c r="I28" s="92"/>
      <c r="J28" s="79">
        <f>VLOOKUP(D28,產線配置圖!$A$3:$C$40,2,0)</f>
        <v>17</v>
      </c>
      <c r="K28" s="80">
        <f>VLOOKUP(D28,產線配置圖!$A$3:$C$40,3,0)</f>
        <v>1565</v>
      </c>
      <c r="L28" s="93">
        <f>K28/J28</f>
        <v>92.058823529411768</v>
      </c>
      <c r="M28" s="94">
        <v>17</v>
      </c>
      <c r="N28" s="95">
        <f>G28/W28*60</f>
        <v>1090.9090909091042</v>
      </c>
      <c r="O28" s="96">
        <f>N28/M28</f>
        <v>64.171122994653189</v>
      </c>
      <c r="P28" s="97">
        <f>M28-J28</f>
        <v>0</v>
      </c>
      <c r="Q28" s="98">
        <f>O28-L28</f>
        <v>-27.887700534758579</v>
      </c>
      <c r="R28" s="99">
        <f>O28/L28</f>
        <v>0.69706651176300582</v>
      </c>
      <c r="S28" s="473"/>
      <c r="T28" s="19">
        <v>0.52777777777777801</v>
      </c>
      <c r="U28" s="19">
        <v>0.56597222222222199</v>
      </c>
      <c r="V28" s="92">
        <f>(T28-U27)*24*60</f>
        <v>92.000000000000156</v>
      </c>
      <c r="W28" s="149">
        <f t="shared" si="12"/>
        <v>54.999999999999325</v>
      </c>
      <c r="X28" s="174"/>
      <c r="Y28" s="301"/>
      <c r="Z28" s="335"/>
      <c r="AA28" s="335"/>
      <c r="AB28" s="466" t="s">
        <v>125</v>
      </c>
      <c r="AC28" s="466"/>
      <c r="AD28" s="92"/>
      <c r="AE28" s="92"/>
      <c r="AF28" s="311">
        <f t="shared" si="14"/>
        <v>-474.09090909089582</v>
      </c>
      <c r="AG28" s="99">
        <f t="shared" si="15"/>
        <v>0.69706651176300582</v>
      </c>
      <c r="AH28" s="482"/>
    </row>
    <row r="29" spans="1:34" ht="15" customHeight="1">
      <c r="A29" s="470"/>
      <c r="B29" s="75" t="s">
        <v>123</v>
      </c>
      <c r="C29" s="173"/>
      <c r="D29" s="59" t="s">
        <v>126</v>
      </c>
      <c r="E29" s="104"/>
      <c r="F29" s="75">
        <f>VLOOKUP(D29,廠價表!$C$1:$E$43,3,0)</f>
        <v>49.91</v>
      </c>
      <c r="G29" s="90">
        <v>1205</v>
      </c>
      <c r="H29" s="91">
        <f>F29*G29</f>
        <v>60141.549999999996</v>
      </c>
      <c r="I29" s="92"/>
      <c r="J29" s="79">
        <f>VLOOKUP(D29,產線配置圖!$A$3:$C$40,2,0)</f>
        <v>15</v>
      </c>
      <c r="K29" s="80">
        <f>VLOOKUP(D29,產線配置圖!$A$3:$C$40,3,0)</f>
        <v>1714</v>
      </c>
      <c r="L29" s="93">
        <f>K29/J29</f>
        <v>114.26666666666667</v>
      </c>
      <c r="M29" s="94">
        <v>15</v>
      </c>
      <c r="N29" s="95">
        <f>G29/W29*60</f>
        <v>1314.5454545454668</v>
      </c>
      <c r="O29" s="96">
        <f>N29/M29</f>
        <v>87.63636363636445</v>
      </c>
      <c r="P29" s="97">
        <f>M29-J29</f>
        <v>0</v>
      </c>
      <c r="Q29" s="98">
        <f>O29-L29</f>
        <v>-26.630303030302215</v>
      </c>
      <c r="R29" s="99">
        <f>O29/L29</f>
        <v>0.76694600615254771</v>
      </c>
      <c r="S29" s="473"/>
      <c r="T29" s="19">
        <v>0.57291666666666696</v>
      </c>
      <c r="U29" s="19">
        <v>0.61111111111111105</v>
      </c>
      <c r="V29" s="92">
        <f>(T29-U28)*24*60</f>
        <v>10.000000000000764</v>
      </c>
      <c r="W29" s="149">
        <f t="shared" si="12"/>
        <v>54.999999999999488</v>
      </c>
      <c r="X29" s="22"/>
      <c r="Y29" s="84"/>
      <c r="Z29" s="90"/>
      <c r="AA29" s="90"/>
      <c r="AB29" s="466" t="s">
        <v>125</v>
      </c>
      <c r="AC29" s="466"/>
      <c r="AD29" s="92"/>
      <c r="AE29" s="92"/>
      <c r="AF29" s="312">
        <f t="shared" si="14"/>
        <v>-399.45454545453322</v>
      </c>
      <c r="AG29" s="99">
        <f t="shared" si="15"/>
        <v>0.76694600615254771</v>
      </c>
      <c r="AH29" s="482"/>
    </row>
    <row r="30" spans="1:34" ht="15" customHeight="1">
      <c r="A30" s="470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3"/>
      <c r="T30" s="19"/>
      <c r="U30" s="19"/>
      <c r="V30" s="92"/>
      <c r="W30" s="149">
        <f t="shared" si="12"/>
        <v>0</v>
      </c>
      <c r="X30" s="174"/>
      <c r="Y30" s="301"/>
      <c r="Z30" s="335"/>
      <c r="AA30" s="335"/>
      <c r="AB30" s="466"/>
      <c r="AC30" s="466"/>
      <c r="AD30" s="92"/>
      <c r="AE30" s="92"/>
      <c r="AF30" s="312">
        <f t="shared" si="14"/>
        <v>0</v>
      </c>
      <c r="AG30" s="99" t="e">
        <f t="shared" si="15"/>
        <v>#DIV/0!</v>
      </c>
      <c r="AH30" s="483"/>
    </row>
    <row r="31" spans="1:34" ht="15" customHeight="1">
      <c r="A31" s="47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3"/>
      <c r="T31" s="19"/>
      <c r="U31" s="19"/>
      <c r="V31" s="92"/>
      <c r="W31" s="149">
        <f t="shared" si="12"/>
        <v>0</v>
      </c>
      <c r="X31" s="174"/>
      <c r="Y31" s="301"/>
      <c r="Z31" s="335"/>
      <c r="AA31" s="335"/>
      <c r="AB31" s="466"/>
      <c r="AC31" s="466"/>
      <c r="AD31" s="92"/>
      <c r="AE31" s="92"/>
      <c r="AF31" s="312">
        <f t="shared" si="14"/>
        <v>0</v>
      </c>
      <c r="AG31" s="99" t="e">
        <f t="shared" si="15"/>
        <v>#DIV/0!</v>
      </c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50"/>
      <c r="U32" s="150"/>
      <c r="V32" s="92"/>
      <c r="W32" s="149">
        <f t="shared" si="12"/>
        <v>0</v>
      </c>
      <c r="X32" s="174"/>
      <c r="Y32" s="301"/>
      <c r="Z32" s="335"/>
      <c r="AA32" s="335"/>
      <c r="AB32" s="466"/>
      <c r="AC32" s="466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466"/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>
        <f t="shared" ref="J37:O37" si="16">AVERAGE(J27:J36)</f>
        <v>16.333333333333332</v>
      </c>
      <c r="K37" s="155">
        <f t="shared" si="16"/>
        <v>1614.6666666666667</v>
      </c>
      <c r="L37" s="158">
        <f t="shared" si="16"/>
        <v>99.461437908496734</v>
      </c>
      <c r="M37" s="155">
        <f t="shared" si="16"/>
        <v>16.333333333333332</v>
      </c>
      <c r="N37" s="155">
        <f t="shared" si="16"/>
        <v>1274.584139264997</v>
      </c>
      <c r="O37" s="158">
        <f t="shared" si="16"/>
        <v>78.41225774642588</v>
      </c>
      <c r="P37" s="159">
        <f>M37-J37</f>
        <v>0</v>
      </c>
      <c r="Q37" s="160">
        <f>N37-K37</f>
        <v>-340.08252740166972</v>
      </c>
      <c r="R37" s="161">
        <f>O37/L37</f>
        <v>0.78836843097486853</v>
      </c>
      <c r="S37" s="474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7"/>
      <c r="AC37" s="477"/>
      <c r="AD37" s="323">
        <f>SUM(AD27:AD36)</f>
        <v>1</v>
      </c>
      <c r="AE37" s="323">
        <f>SUM(AE27:AE36)</f>
        <v>0</v>
      </c>
      <c r="AF37" s="309">
        <f>N37-K37</f>
        <v>-340.08252740166972</v>
      </c>
      <c r="AG37" s="124">
        <f>N37/K37</f>
        <v>0.78937911184867693</v>
      </c>
      <c r="AH37" s="464"/>
    </row>
    <row r="38" spans="1:34" ht="15" customHeight="1">
      <c r="A38" s="491" t="s">
        <v>48</v>
      </c>
      <c r="B38" s="167" t="s">
        <v>123</v>
      </c>
      <c r="C38" s="129"/>
      <c r="D38" s="184" t="s">
        <v>126</v>
      </c>
      <c r="E38" s="363"/>
      <c r="F38" s="39">
        <f>VLOOKUP(D38,廠價表!$C$1:$E$43,3,0)</f>
        <v>49.91</v>
      </c>
      <c r="G38" s="186">
        <v>1516</v>
      </c>
      <c r="H38" s="134">
        <f>F38*G38</f>
        <v>75663.56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1263.3333333333323</v>
      </c>
      <c r="O38" s="141">
        <f>N38/M38</f>
        <v>84.222222222222157</v>
      </c>
      <c r="P38" s="142">
        <f>M38-J38</f>
        <v>0</v>
      </c>
      <c r="Q38" s="143">
        <f>O38-L38</f>
        <v>-30.044444444444508</v>
      </c>
      <c r="R38" s="144">
        <f>O38/L38</f>
        <v>0.73706728899260932</v>
      </c>
      <c r="S38" s="494">
        <f>R48</f>
        <v>0.86125053155752362</v>
      </c>
      <c r="T38" s="191">
        <v>0.33333333333333298</v>
      </c>
      <c r="U38" s="191">
        <v>0.38333333333333303</v>
      </c>
      <c r="V38" s="192"/>
      <c r="W38" s="193">
        <f t="shared" si="12"/>
        <v>72.000000000000057</v>
      </c>
      <c r="X38" s="194"/>
      <c r="Y38" s="302"/>
      <c r="Z38" s="336">
        <v>1</v>
      </c>
      <c r="AA38" s="336">
        <v>31</v>
      </c>
      <c r="AB38" s="496" t="s">
        <v>167</v>
      </c>
      <c r="AC38" s="496"/>
      <c r="AD38" s="192"/>
      <c r="AE38" s="192"/>
      <c r="AF38" s="313">
        <f>N38-K38</f>
        <v>-450.66666666666765</v>
      </c>
      <c r="AG38" s="195">
        <f>N38/K38</f>
        <v>0.73706728899260932</v>
      </c>
      <c r="AH38" s="484">
        <f>AG48</f>
        <v>0.81130438341951483</v>
      </c>
    </row>
    <row r="39" spans="1:34" ht="15" customHeight="1">
      <c r="A39" s="492"/>
      <c r="B39" s="75" t="s">
        <v>123</v>
      </c>
      <c r="C39" s="207"/>
      <c r="D39" s="198" t="s">
        <v>124</v>
      </c>
      <c r="E39" s="178"/>
      <c r="F39" s="75">
        <f>VLOOKUP(D39,廠價表!$C$1:$E$43,3,0)</f>
        <v>44.3</v>
      </c>
      <c r="G39" s="199">
        <v>2193</v>
      </c>
      <c r="H39" s="91">
        <f>F39*G39</f>
        <v>97149.9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16</v>
      </c>
      <c r="N39" s="202">
        <f>G39/W39*60</f>
        <v>1478.4269662921242</v>
      </c>
      <c r="O39" s="203">
        <f>N39/M39</f>
        <v>92.401685393257765</v>
      </c>
      <c r="P39" s="97">
        <f>M39-J39</f>
        <v>-1</v>
      </c>
      <c r="Q39" s="98">
        <f>O39-L39</f>
        <v>-3.8336087243892933</v>
      </c>
      <c r="R39" s="99">
        <f>O39/L39</f>
        <v>0.96016421252162709</v>
      </c>
      <c r="S39" s="495"/>
      <c r="T39" s="20">
        <v>0.38611111111111102</v>
      </c>
      <c r="U39" s="20">
        <v>0.44791666666666702</v>
      </c>
      <c r="V39" s="92">
        <f t="shared" ref="V39:V42" si="17">(T39-U38)*24*60</f>
        <v>4.0000000000003055</v>
      </c>
      <c r="W39" s="205">
        <f t="shared" si="12"/>
        <v>89.000000000000639</v>
      </c>
      <c r="X39" s="22"/>
      <c r="Y39" s="84"/>
      <c r="Z39" s="90"/>
      <c r="AA39" s="90"/>
      <c r="AB39" s="487" t="s">
        <v>168</v>
      </c>
      <c r="AC39" s="487"/>
      <c r="AD39" s="200">
        <v>1</v>
      </c>
      <c r="AE39" s="200">
        <v>1</v>
      </c>
      <c r="AF39" s="314">
        <f>N39-K39</f>
        <v>-157.57303370787577</v>
      </c>
      <c r="AG39" s="206">
        <f>N39/K39</f>
        <v>0.90368396472623735</v>
      </c>
      <c r="AH39" s="485"/>
    </row>
    <row r="40" spans="1:34" ht="15" customHeight="1">
      <c r="A40" s="492"/>
      <c r="B40" s="75" t="s">
        <v>81</v>
      </c>
      <c r="C40" s="86"/>
      <c r="D40" s="198" t="s">
        <v>128</v>
      </c>
      <c r="E40" s="178"/>
      <c r="F40" s="75">
        <f>VLOOKUP(D40,廠價表!$C$1:$E$43,3,0)</f>
        <v>57.21</v>
      </c>
      <c r="G40" s="199">
        <v>1301</v>
      </c>
      <c r="H40" s="91">
        <f t="shared" ref="H40:H42" si="18">F40*G40</f>
        <v>74430.210000000006</v>
      </c>
      <c r="I40" s="200"/>
      <c r="J40" s="148">
        <f>VLOOKUP(D40,產線配置圖!$A$3:$C$40,2,0)</f>
        <v>17</v>
      </c>
      <c r="K40" s="95">
        <f>VLOOKUP(D40,產線配置圖!$A$3:$C$40,3,0)</f>
        <v>1716</v>
      </c>
      <c r="L40" s="96">
        <f t="shared" ref="L40:L42" si="19">K40/J40</f>
        <v>100.94117647058823</v>
      </c>
      <c r="M40" s="201">
        <v>16</v>
      </c>
      <c r="N40" s="202">
        <f t="shared" ref="N40:N42" si="20">G40/W40*60</f>
        <v>1561.2000000000107</v>
      </c>
      <c r="O40" s="203">
        <f t="shared" ref="O40:O42" si="21">N40/M40</f>
        <v>97.575000000000671</v>
      </c>
      <c r="P40" s="97">
        <f t="shared" ref="P40:P42" si="22">M40-J40</f>
        <v>-1</v>
      </c>
      <c r="Q40" s="98">
        <f t="shared" ref="Q40:Q42" si="23">O40-L40</f>
        <v>-3.3661764705875612</v>
      </c>
      <c r="R40" s="99">
        <f t="shared" ref="R40:R42" si="24">O40/L40</f>
        <v>0.9666520979021046</v>
      </c>
      <c r="S40" s="417"/>
      <c r="T40" s="20">
        <v>0.45138888888888901</v>
      </c>
      <c r="U40" s="210">
        <v>0.48611111111111099</v>
      </c>
      <c r="V40" s="92">
        <f>(T40-U39)*24*60</f>
        <v>4.9999999999996625</v>
      </c>
      <c r="W40" s="205">
        <f t="shared" si="12"/>
        <v>49.999999999999659</v>
      </c>
      <c r="X40" s="208">
        <v>0.5</v>
      </c>
      <c r="Y40" s="209">
        <v>0.54166666666666696</v>
      </c>
      <c r="Z40" s="337"/>
      <c r="AA40" s="337"/>
      <c r="AB40" s="466"/>
      <c r="AC40" s="466"/>
      <c r="AD40" s="92"/>
      <c r="AE40" s="92"/>
      <c r="AF40" s="314">
        <f>N40-K40</f>
        <v>-154.79999999998927</v>
      </c>
      <c r="AG40" s="206">
        <f>N40/K40</f>
        <v>0.90979020979021608</v>
      </c>
      <c r="AH40" s="485"/>
    </row>
    <row r="41" spans="1:34" ht="15" customHeight="1">
      <c r="A41" s="492"/>
      <c r="B41" s="75" t="s">
        <v>81</v>
      </c>
      <c r="C41" s="207"/>
      <c r="D41" s="198" t="s">
        <v>128</v>
      </c>
      <c r="E41" s="178"/>
      <c r="F41" s="75">
        <f>VLOOKUP(D41,廠價表!$C$1:$E$43,3,0)</f>
        <v>57.21</v>
      </c>
      <c r="G41" s="199">
        <v>1235</v>
      </c>
      <c r="H41" s="91">
        <f t="shared" si="18"/>
        <v>70654.350000000006</v>
      </c>
      <c r="I41" s="200"/>
      <c r="J41" s="148">
        <f>VLOOKUP(D41,產線配置圖!$A$3:$C$40,2,0)</f>
        <v>17</v>
      </c>
      <c r="K41" s="95">
        <f>VLOOKUP(D41,產線配置圖!$A$3:$C$40,3,0)</f>
        <v>1716</v>
      </c>
      <c r="L41" s="96">
        <f t="shared" si="19"/>
        <v>100.94117647058823</v>
      </c>
      <c r="M41" s="201">
        <v>15</v>
      </c>
      <c r="N41" s="202">
        <f t="shared" si="20"/>
        <v>1425.0000000000009</v>
      </c>
      <c r="O41" s="203">
        <f t="shared" si="21"/>
        <v>95.000000000000057</v>
      </c>
      <c r="P41" s="97">
        <f t="shared" si="22"/>
        <v>-2</v>
      </c>
      <c r="Q41" s="98">
        <f t="shared" si="23"/>
        <v>-5.9411764705881751</v>
      </c>
      <c r="R41" s="99">
        <f t="shared" si="24"/>
        <v>0.94114219114219178</v>
      </c>
      <c r="S41" s="417"/>
      <c r="T41" s="210">
        <v>0.54374999999999996</v>
      </c>
      <c r="U41" s="210">
        <v>0.57986111111111105</v>
      </c>
      <c r="V41" s="92">
        <f t="shared" si="17"/>
        <v>83.000000000000099</v>
      </c>
      <c r="W41" s="205">
        <f t="shared" si="12"/>
        <v>51.999999999999972</v>
      </c>
      <c r="X41" s="208"/>
      <c r="Y41" s="209"/>
      <c r="Z41" s="337"/>
      <c r="AA41" s="337"/>
      <c r="AB41" s="466"/>
      <c r="AC41" s="466"/>
      <c r="AD41" s="92"/>
      <c r="AE41" s="92"/>
      <c r="AF41" s="314">
        <f>N41-K41</f>
        <v>-290.99999999999909</v>
      </c>
      <c r="AG41" s="206">
        <f>N41/K41</f>
        <v>0.83041958041958097</v>
      </c>
      <c r="AH41" s="485"/>
    </row>
    <row r="42" spans="1:34" ht="15" customHeight="1">
      <c r="A42" s="492"/>
      <c r="B42" s="75" t="s">
        <v>123</v>
      </c>
      <c r="C42" s="102"/>
      <c r="D42" s="198" t="s">
        <v>124</v>
      </c>
      <c r="E42" s="104"/>
      <c r="F42" s="75">
        <f>VLOOKUP(D42,廠價表!$C$1:$E$43,3,0)</f>
        <v>44.3</v>
      </c>
      <c r="G42" s="202">
        <v>1836</v>
      </c>
      <c r="H42" s="91">
        <f t="shared" si="18"/>
        <v>81334.799999999988</v>
      </c>
      <c r="I42" s="200"/>
      <c r="J42" s="148">
        <f>VLOOKUP(D42,產線配置圖!$A$3:$C$40,2,0)</f>
        <v>17</v>
      </c>
      <c r="K42" s="95">
        <f>VLOOKUP(D42,產線配置圖!$A$3:$C$40,3,0)</f>
        <v>1636</v>
      </c>
      <c r="L42" s="96">
        <f t="shared" si="19"/>
        <v>96.235294117647058</v>
      </c>
      <c r="M42" s="201">
        <v>16</v>
      </c>
      <c r="N42" s="202">
        <f t="shared" si="20"/>
        <v>1101.6000000000074</v>
      </c>
      <c r="O42" s="203">
        <f t="shared" si="21"/>
        <v>68.850000000000463</v>
      </c>
      <c r="P42" s="97">
        <f t="shared" si="22"/>
        <v>-1</v>
      </c>
      <c r="Q42" s="98">
        <f t="shared" si="23"/>
        <v>-27.385294117646595</v>
      </c>
      <c r="R42" s="99">
        <f t="shared" si="24"/>
        <v>0.71543398533007818</v>
      </c>
      <c r="S42" s="417"/>
      <c r="T42" s="210">
        <v>0.58680555555555602</v>
      </c>
      <c r="U42" s="210">
        <v>0.65625</v>
      </c>
      <c r="V42" s="92">
        <f t="shared" si="17"/>
        <v>10.000000000000764</v>
      </c>
      <c r="W42" s="205">
        <f t="shared" si="12"/>
        <v>99.999999999999318</v>
      </c>
      <c r="X42" s="208"/>
      <c r="Y42" s="211"/>
      <c r="Z42" s="338">
        <v>1</v>
      </c>
      <c r="AA42" s="338">
        <v>45</v>
      </c>
      <c r="AB42" s="466" t="s">
        <v>169</v>
      </c>
      <c r="AC42" s="466"/>
      <c r="AD42" s="92"/>
      <c r="AE42" s="92"/>
      <c r="AF42" s="314"/>
      <c r="AG42" s="206"/>
      <c r="AH42" s="485"/>
    </row>
    <row r="43" spans="1:34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>
        <f t="shared" ref="J48:O48" si="25">AVERAGE(J38:J47)</f>
        <v>16.600000000000001</v>
      </c>
      <c r="K48" s="155">
        <f t="shared" si="25"/>
        <v>1683.6</v>
      </c>
      <c r="L48" s="158">
        <f t="shared" si="25"/>
        <v>101.72392156862745</v>
      </c>
      <c r="M48" s="155">
        <f t="shared" si="25"/>
        <v>15.6</v>
      </c>
      <c r="N48" s="155">
        <f t="shared" si="25"/>
        <v>1365.912059925095</v>
      </c>
      <c r="O48" s="158">
        <f t="shared" si="25"/>
        <v>87.609781523096231</v>
      </c>
      <c r="P48" s="221">
        <f>M48-J48</f>
        <v>-1.0000000000000018</v>
      </c>
      <c r="Q48" s="222">
        <f>N48-K48</f>
        <v>-317.68794007490487</v>
      </c>
      <c r="R48" s="223">
        <f>O48/L48</f>
        <v>0.86125053155752362</v>
      </c>
      <c r="S48" s="420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2</v>
      </c>
      <c r="AA48" s="334">
        <f>SUM(AA38:AA47)</f>
        <v>76</v>
      </c>
      <c r="AB48" s="467"/>
      <c r="AC48" s="467"/>
      <c r="AD48" s="323">
        <f>SUM(AD38:AD47)</f>
        <v>1</v>
      </c>
      <c r="AE48" s="323">
        <f>SUM(AE38:AE47)</f>
        <v>1</v>
      </c>
      <c r="AF48" s="315">
        <f t="shared" ref="AF48:AF53" si="26">N48-K48</f>
        <v>-317.68794007490487</v>
      </c>
      <c r="AG48" s="162">
        <f t="shared" ref="AG48:AG53" si="27">N48/K48</f>
        <v>0.81130438341951483</v>
      </c>
      <c r="AH48" s="486"/>
    </row>
    <row r="49" spans="1:34" ht="15" customHeight="1">
      <c r="A49" s="488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2120</v>
      </c>
      <c r="H49" s="134">
        <f>F49*G49</f>
        <v>104982.40000000001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1429.2134831460801</v>
      </c>
      <c r="O49" s="141">
        <f>N49/M49</f>
        <v>84.071381361534122</v>
      </c>
      <c r="P49" s="229">
        <f>M49-J49</f>
        <v>0</v>
      </c>
      <c r="Q49" s="230">
        <f>O49-L49</f>
        <v>-4.1639127561129357</v>
      </c>
      <c r="R49" s="52">
        <f>O49/L49</f>
        <v>0.9528089887640534</v>
      </c>
      <c r="S49" s="416">
        <f>R58</f>
        <v>0.92862008968709575</v>
      </c>
      <c r="T49" s="191">
        <v>0.29166666666666702</v>
      </c>
      <c r="U49" s="191">
        <v>0.35347222222222202</v>
      </c>
      <c r="V49" s="55"/>
      <c r="W49" s="193">
        <f t="shared" si="12"/>
        <v>88.999999999999204</v>
      </c>
      <c r="X49" s="55"/>
      <c r="Y49" s="290"/>
      <c r="Z49" s="169"/>
      <c r="AA49" s="169"/>
      <c r="AB49" s="468"/>
      <c r="AC49" s="468"/>
      <c r="AD49" s="135"/>
      <c r="AE49" s="135"/>
      <c r="AF49" s="229">
        <f t="shared" si="26"/>
        <v>-70.78651685391992</v>
      </c>
      <c r="AG49" s="52">
        <f t="shared" si="27"/>
        <v>0.9528089887640534</v>
      </c>
      <c r="AH49" s="461">
        <f>AG58</f>
        <v>0.91070882772548734</v>
      </c>
    </row>
    <row r="50" spans="1:34" ht="15" customHeight="1">
      <c r="A50" s="489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2382</v>
      </c>
      <c r="H50" s="231">
        <f>F50*G50</f>
        <v>119028.54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1681.4117647058756</v>
      </c>
      <c r="O50" s="235">
        <f>N50/M50</f>
        <v>105.08823529411723</v>
      </c>
      <c r="P50" s="74">
        <f>M50-J50</f>
        <v>0</v>
      </c>
      <c r="Q50" s="83">
        <f>O50-L50</f>
        <v>-7.4117647058827743</v>
      </c>
      <c r="R50" s="72">
        <f>O50/L50</f>
        <v>0.93411764705881983</v>
      </c>
      <c r="S50" s="417"/>
      <c r="T50" s="21">
        <v>0.35763888888888901</v>
      </c>
      <c r="U50" s="21">
        <v>0.41666666666666702</v>
      </c>
      <c r="V50" s="30">
        <f>(T50-U49)*24*60</f>
        <v>6.0000000000004583</v>
      </c>
      <c r="W50" s="236">
        <f t="shared" si="12"/>
        <v>85.000000000000341</v>
      </c>
      <c r="X50" s="22"/>
      <c r="Y50" s="84"/>
      <c r="Z50" s="90"/>
      <c r="AA50" s="90"/>
      <c r="AB50" s="466"/>
      <c r="AC50" s="466"/>
      <c r="AD50" s="92"/>
      <c r="AE50" s="92"/>
      <c r="AF50" s="307">
        <f t="shared" si="26"/>
        <v>-118.58823529412439</v>
      </c>
      <c r="AG50" s="72">
        <f t="shared" si="27"/>
        <v>0.93411764705881983</v>
      </c>
      <c r="AH50" s="462"/>
    </row>
    <row r="51" spans="1:34" ht="15" customHeight="1">
      <c r="A51" s="489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1968</v>
      </c>
      <c r="H51" s="231">
        <f>F51*G51</f>
        <v>98968.752000000008</v>
      </c>
      <c r="I51" s="232"/>
      <c r="J51" s="79">
        <f>VLOOKUP(D51,產線配置圖!$A$3:$C$40,2,0)</f>
        <v>19</v>
      </c>
      <c r="K51" s="80">
        <f>VLOOKUP(D51,產線配置圖!$A$3:$C$40,3,0)</f>
        <v>1565</v>
      </c>
      <c r="L51" s="81">
        <f>K51/J51</f>
        <v>82.368421052631575</v>
      </c>
      <c r="M51" s="233">
        <v>18</v>
      </c>
      <c r="N51" s="234">
        <f>G51/W51*60</f>
        <v>1373.0232558139585</v>
      </c>
      <c r="O51" s="235">
        <f>N51/M51</f>
        <v>76.279069767442138</v>
      </c>
      <c r="P51" s="74">
        <f>M51-J51</f>
        <v>-1</v>
      </c>
      <c r="Q51" s="83">
        <f>O51-L51</f>
        <v>-6.0893512851894371</v>
      </c>
      <c r="R51" s="72">
        <f>O51/L51</f>
        <v>0.92607177353444137</v>
      </c>
      <c r="S51" s="417"/>
      <c r="T51" s="21">
        <v>0.422916666666667</v>
      </c>
      <c r="U51" s="19">
        <v>0.48263888888888901</v>
      </c>
      <c r="V51" s="30">
        <f>(T51-U50)*24*60</f>
        <v>8.999999999999968</v>
      </c>
      <c r="W51" s="236">
        <f t="shared" si="12"/>
        <v>85.999999999999687</v>
      </c>
      <c r="X51" s="22">
        <v>0.48611111111111099</v>
      </c>
      <c r="Y51" s="84">
        <v>0.52777777777777801</v>
      </c>
      <c r="Z51" s="90"/>
      <c r="AA51" s="90"/>
      <c r="AB51" s="466"/>
      <c r="AC51" s="466"/>
      <c r="AD51" s="92"/>
      <c r="AE51" s="92"/>
      <c r="AF51" s="307">
        <f t="shared" si="26"/>
        <v>-191.97674418604151</v>
      </c>
      <c r="AG51" s="72">
        <f t="shared" si="27"/>
        <v>0.87733115387473382</v>
      </c>
      <c r="AH51" s="462"/>
    </row>
    <row r="52" spans="1:34" ht="15" customHeight="1">
      <c r="A52" s="489"/>
      <c r="B52" s="75" t="s">
        <v>81</v>
      </c>
      <c r="C52" s="86"/>
      <c r="D52" s="59" t="s">
        <v>121</v>
      </c>
      <c r="E52" s="87"/>
      <c r="F52" s="75">
        <f>VLOOKUP(D52,廠價表!$C$1:$E$43,3,0)</f>
        <v>50.289000000000001</v>
      </c>
      <c r="G52" s="202">
        <v>2376</v>
      </c>
      <c r="H52" s="231">
        <f t="shared" ref="H52:H53" si="28">F52*G52</f>
        <v>119486.664</v>
      </c>
      <c r="I52" s="232"/>
      <c r="J52" s="79">
        <f>VLOOKUP(D52,產線配置圖!$A$3:$C$40,2,0)</f>
        <v>19</v>
      </c>
      <c r="K52" s="80">
        <f>VLOOKUP(D52,產線配置圖!$A$3:$C$40,3,0)</f>
        <v>1565</v>
      </c>
      <c r="L52" s="81">
        <f t="shared" ref="L52:L53" si="29">K52/J52</f>
        <v>82.368421052631575</v>
      </c>
      <c r="M52" s="233">
        <v>18</v>
      </c>
      <c r="N52" s="234">
        <f t="shared" ref="N52:N53" si="30">G52/W52*60</f>
        <v>1411.4851485148499</v>
      </c>
      <c r="O52" s="235">
        <f t="shared" ref="O52:O53" si="31">N52/M52</f>
        <v>78.415841584158329</v>
      </c>
      <c r="P52" s="74">
        <f t="shared" ref="P52:P53" si="32">M52-J52</f>
        <v>-1</v>
      </c>
      <c r="Q52" s="83">
        <f t="shared" ref="Q52:Q53" si="33">O52-L52</f>
        <v>-3.952579468473246</v>
      </c>
      <c r="R52" s="72">
        <f t="shared" ref="R52:R53" si="34">O52/L52</f>
        <v>0.95201341220383917</v>
      </c>
      <c r="S52" s="417"/>
      <c r="T52" s="21">
        <v>0.53263888888888899</v>
      </c>
      <c r="U52" s="21">
        <v>0.60277777777777797</v>
      </c>
      <c r="V52" s="30">
        <f>(T52-U51)*24*60</f>
        <v>71.999999999999986</v>
      </c>
      <c r="W52" s="236">
        <f t="shared" si="12"/>
        <v>101.00000000000011</v>
      </c>
      <c r="X52" s="22"/>
      <c r="Y52" s="84"/>
      <c r="Z52" s="90"/>
      <c r="AA52" s="90"/>
      <c r="AB52" s="466"/>
      <c r="AC52" s="466"/>
      <c r="AD52" s="92"/>
      <c r="AE52" s="92"/>
      <c r="AF52" s="307">
        <f t="shared" si="26"/>
        <v>-153.51485148515007</v>
      </c>
      <c r="AG52" s="72">
        <f t="shared" si="27"/>
        <v>0.90190744314047921</v>
      </c>
      <c r="AH52" s="462"/>
    </row>
    <row r="53" spans="1:34" ht="15" customHeight="1">
      <c r="A53" s="489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1440</v>
      </c>
      <c r="H53" s="231">
        <f t="shared" si="28"/>
        <v>71956.800000000003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29"/>
        <v>112.5</v>
      </c>
      <c r="M53" s="108">
        <v>16</v>
      </c>
      <c r="N53" s="234">
        <f t="shared" si="30"/>
        <v>1599.9999999999961</v>
      </c>
      <c r="O53" s="235">
        <f t="shared" si="31"/>
        <v>99.999999999999758</v>
      </c>
      <c r="P53" s="74">
        <f t="shared" si="32"/>
        <v>0</v>
      </c>
      <c r="Q53" s="83">
        <f t="shared" si="33"/>
        <v>-12.500000000000242</v>
      </c>
      <c r="R53" s="72">
        <f t="shared" si="34"/>
        <v>0.88888888888888673</v>
      </c>
      <c r="S53" s="417"/>
      <c r="T53" s="21">
        <v>0.60763888888888895</v>
      </c>
      <c r="U53" s="21">
        <v>0.64513888888888904</v>
      </c>
      <c r="V53" s="30">
        <f>(T53-U52)*24*60</f>
        <v>6.9999999999998153</v>
      </c>
      <c r="W53" s="236">
        <f t="shared" si="12"/>
        <v>54.000000000000128</v>
      </c>
      <c r="X53" s="30"/>
      <c r="Y53" s="151"/>
      <c r="Z53" s="90"/>
      <c r="AA53" s="90"/>
      <c r="AB53" s="466"/>
      <c r="AC53" s="466"/>
      <c r="AD53" s="92"/>
      <c r="AE53" s="92"/>
      <c r="AF53" s="307">
        <f t="shared" si="26"/>
        <v>-200.00000000000387</v>
      </c>
      <c r="AG53" s="72">
        <f t="shared" si="27"/>
        <v>0.88888888888888673</v>
      </c>
      <c r="AH53" s="462"/>
    </row>
    <row r="54" spans="1:34" ht="15" customHeight="1">
      <c r="A54" s="48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7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>
      <c r="A58" s="490"/>
      <c r="B58" s="239"/>
      <c r="C58" s="153" t="s">
        <v>51</v>
      </c>
      <c r="D58" s="437" t="s">
        <v>42</v>
      </c>
      <c r="E58" s="437"/>
      <c r="F58" s="116"/>
      <c r="G58" s="240"/>
      <c r="H58" s="118"/>
      <c r="I58" s="117"/>
      <c r="J58" s="120">
        <f t="shared" ref="J58:O58" si="35">AVERAGE(J49:J57)</f>
        <v>17.399999999999999</v>
      </c>
      <c r="K58" s="120">
        <f t="shared" si="35"/>
        <v>1646</v>
      </c>
      <c r="L58" s="117">
        <f t="shared" si="35"/>
        <v>95.594427244582036</v>
      </c>
      <c r="M58" s="120">
        <f t="shared" si="35"/>
        <v>17</v>
      </c>
      <c r="N58" s="120">
        <f t="shared" si="35"/>
        <v>1499.0267304361521</v>
      </c>
      <c r="O58" s="117">
        <f t="shared" si="35"/>
        <v>88.770905601450323</v>
      </c>
      <c r="P58" s="121">
        <f>M58-J58</f>
        <v>-0.39999999999999858</v>
      </c>
      <c r="Q58" s="122">
        <f>N58-K58</f>
        <v>-146.97326956384791</v>
      </c>
      <c r="R58" s="123">
        <f>O58/L58</f>
        <v>0.92862008968709575</v>
      </c>
      <c r="S58" s="42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7"/>
      <c r="AC58" s="467"/>
      <c r="AD58" s="323">
        <f>SUM(AD49:AD57)</f>
        <v>0</v>
      </c>
      <c r="AE58" s="323">
        <f>SUM(AE49:AE57)</f>
        <v>0</v>
      </c>
      <c r="AF58" s="309">
        <f>N58-K58</f>
        <v>-146.97326956384791</v>
      </c>
      <c r="AG58" s="124">
        <f>N58/K58</f>
        <v>0.91070882772548734</v>
      </c>
      <c r="AH58" s="464"/>
    </row>
    <row r="59" spans="1:34" ht="15" customHeight="1">
      <c r="A59" s="502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3710</v>
      </c>
      <c r="H59" s="243">
        <f>F59*G59</f>
        <v>100132.9</v>
      </c>
      <c r="I59" s="55"/>
      <c r="J59" s="136"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1454.9019607843134</v>
      </c>
      <c r="O59" s="138">
        <f>N59/M59</f>
        <v>96.993464052287564</v>
      </c>
      <c r="P59" s="56">
        <f>M59-J59</f>
        <v>0</v>
      </c>
      <c r="Q59" s="230">
        <f>O59-L59</f>
        <v>-7.3398692810457646</v>
      </c>
      <c r="R59" s="52">
        <f>O59/L59</f>
        <v>0.92964981519764445</v>
      </c>
      <c r="S59" s="416">
        <f>R69</f>
        <v>0.8485800554776326</v>
      </c>
      <c r="T59" s="245">
        <v>0.28819444444444398</v>
      </c>
      <c r="U59" s="245">
        <v>0.39444444444444399</v>
      </c>
      <c r="V59" s="55"/>
      <c r="W59" s="54">
        <f t="shared" si="12"/>
        <v>153.00000000000003</v>
      </c>
      <c r="X59" s="55"/>
      <c r="Y59" s="290"/>
      <c r="Z59" s="169"/>
      <c r="AA59" s="169"/>
      <c r="AB59" s="468"/>
      <c r="AC59" s="468"/>
      <c r="AD59" s="135"/>
      <c r="AE59" s="135"/>
      <c r="AF59" s="310">
        <f>N59-K59</f>
        <v>-110.09803921568664</v>
      </c>
      <c r="AG59" s="246">
        <f>N59/K59</f>
        <v>0.92964981519764434</v>
      </c>
      <c r="AH59" s="461">
        <f>AG69</f>
        <v>0.82152210453081509</v>
      </c>
    </row>
    <row r="60" spans="1:34" ht="15" customHeight="1">
      <c r="A60" s="503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1926</v>
      </c>
      <c r="H60" s="78">
        <f>F60*G60</f>
        <v>54428.76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1500.7792207792277</v>
      </c>
      <c r="O60" s="81">
        <f>N60/M60</f>
        <v>125.06493506493564</v>
      </c>
      <c r="P60" s="74">
        <f>M60-J60</f>
        <v>0</v>
      </c>
      <c r="Q60" s="83">
        <f>O60-L60</f>
        <v>-5.3517316017310179</v>
      </c>
      <c r="R60" s="72">
        <f>O60/L60</f>
        <v>0.95896435832538518</v>
      </c>
      <c r="S60" s="506"/>
      <c r="T60" s="22">
        <v>0.40138888888888902</v>
      </c>
      <c r="U60" s="22">
        <v>0.45486111111111099</v>
      </c>
      <c r="V60" s="30">
        <f>(T60-U59)*24*60</f>
        <v>10.000000000000844</v>
      </c>
      <c r="W60" s="248">
        <f t="shared" si="12"/>
        <v>76.999999999999645</v>
      </c>
      <c r="X60" s="232"/>
      <c r="Y60" s="177"/>
      <c r="Z60" s="90"/>
      <c r="AA60" s="90"/>
      <c r="AB60" s="466"/>
      <c r="AC60" s="466"/>
      <c r="AD60" s="92"/>
      <c r="AE60" s="92"/>
      <c r="AF60" s="316">
        <f>N60-K60</f>
        <v>-64.220779220772329</v>
      </c>
      <c r="AG60" s="249">
        <f>N60/K60</f>
        <v>0.95896435832538507</v>
      </c>
      <c r="AH60" s="497"/>
    </row>
    <row r="61" spans="1:34" ht="15" customHeight="1">
      <c r="A61" s="504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1051</v>
      </c>
      <c r="H61" s="254">
        <f>F61*G61</f>
        <v>53254.17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12</v>
      </c>
      <c r="N61" s="107">
        <f>G61/W61*60</f>
        <v>1050.9999999999911</v>
      </c>
      <c r="O61" s="238">
        <f>N61/M61</f>
        <v>87.58333333333259</v>
      </c>
      <c r="P61" s="111">
        <f>M61-J61</f>
        <v>-1</v>
      </c>
      <c r="Q61" s="255">
        <f>O61-L61</f>
        <v>-23.185897435898184</v>
      </c>
      <c r="R61" s="85">
        <f>O61/L61</f>
        <v>0.79068287037036367</v>
      </c>
      <c r="S61" s="417"/>
      <c r="T61" s="22">
        <v>0.45833333333333298</v>
      </c>
      <c r="U61" s="22">
        <v>0.5</v>
      </c>
      <c r="V61" s="30">
        <f>(T61-U60)*24*60</f>
        <v>4.9999999999996625</v>
      </c>
      <c r="W61" s="256">
        <f t="shared" si="12"/>
        <v>60.000000000000504</v>
      </c>
      <c r="X61" s="22">
        <v>0.50694444444444398</v>
      </c>
      <c r="Y61" s="84">
        <v>0.54861111111111105</v>
      </c>
      <c r="Z61" s="90"/>
      <c r="AA61" s="90"/>
      <c r="AB61" s="466" t="s">
        <v>170</v>
      </c>
      <c r="AC61" s="466"/>
      <c r="AD61" s="92"/>
      <c r="AE61" s="92"/>
      <c r="AF61" s="317">
        <f>N61-K61</f>
        <v>-389.00000000000887</v>
      </c>
      <c r="AG61" s="247">
        <f>N61/K61</f>
        <v>0.72986111111110497</v>
      </c>
      <c r="AH61" s="462"/>
    </row>
    <row r="62" spans="1:34" ht="15" customHeight="1">
      <c r="A62" s="504"/>
      <c r="B62" s="250" t="s">
        <v>81</v>
      </c>
      <c r="C62" s="251"/>
      <c r="D62" s="257" t="s">
        <v>119</v>
      </c>
      <c r="E62" s="253"/>
      <c r="F62" s="250">
        <f>VLOOKUP(D62,廠價表!$C$1:$E$43,3,0)</f>
        <v>50.67</v>
      </c>
      <c r="G62" s="38">
        <v>698</v>
      </c>
      <c r="H62" s="254">
        <f>F62*G62</f>
        <v>35367.660000000003</v>
      </c>
      <c r="I62" s="182"/>
      <c r="J62" s="106">
        <f>VLOOKUP(D62,產線配置圖!$A$3:$C$40,2,0)</f>
        <v>13</v>
      </c>
      <c r="K62" s="107">
        <f>VLOOKUP(D62,產線配置圖!$A$3:$C$40,3,0)</f>
        <v>1440</v>
      </c>
      <c r="L62" s="238">
        <f>K62/J62</f>
        <v>110.76923076923077</v>
      </c>
      <c r="M62" s="108">
        <v>12</v>
      </c>
      <c r="N62" s="107">
        <f>G62/W62*60</f>
        <v>930.66666666666663</v>
      </c>
      <c r="O62" s="238">
        <f>N62/M62</f>
        <v>77.555555555555557</v>
      </c>
      <c r="P62" s="111">
        <f>M62-J62</f>
        <v>-1</v>
      </c>
      <c r="Q62" s="255">
        <f>O62-L62</f>
        <v>-33.213675213675216</v>
      </c>
      <c r="R62" s="85">
        <f>O62/L62</f>
        <v>0.70015432098765429</v>
      </c>
      <c r="S62" s="417"/>
      <c r="T62" s="22">
        <v>0.55555555555555602</v>
      </c>
      <c r="U62" s="22">
        <v>0.58680555555555602</v>
      </c>
      <c r="V62" s="30">
        <f>(T62-U61)*24*60</f>
        <v>80.000000000000682</v>
      </c>
      <c r="W62" s="248">
        <f t="shared" si="12"/>
        <v>45</v>
      </c>
      <c r="X62" s="22"/>
      <c r="Y62" s="84"/>
      <c r="Z62" s="90"/>
      <c r="AA62" s="90"/>
      <c r="AB62" s="466" t="s">
        <v>170</v>
      </c>
      <c r="AC62" s="466"/>
      <c r="AD62" s="92"/>
      <c r="AE62" s="92"/>
      <c r="AF62" s="317">
        <f>N62-K62</f>
        <v>-509.33333333333337</v>
      </c>
      <c r="AG62" s="247">
        <f>N62/K62</f>
        <v>0.64629629629629626</v>
      </c>
      <c r="AH62" s="462"/>
    </row>
    <row r="63" spans="1:34" ht="15" customHeight="1">
      <c r="A63" s="504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7"/>
      <c r="T63" s="22"/>
      <c r="U63" s="22"/>
      <c r="V63" s="30"/>
      <c r="W63" s="248">
        <f t="shared" si="12"/>
        <v>0</v>
      </c>
      <c r="X63" s="261"/>
      <c r="Y63" s="291"/>
      <c r="Z63" s="335"/>
      <c r="AA63" s="335"/>
      <c r="AB63" s="466"/>
      <c r="AC63" s="466"/>
      <c r="AD63" s="92"/>
      <c r="AE63" s="92"/>
      <c r="AF63" s="317"/>
      <c r="AG63" s="247"/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>
        <f t="shared" ref="J69:O69" si="36">AVERAGE(J59:J68)</f>
        <v>13.25</v>
      </c>
      <c r="K69" s="240">
        <f t="shared" si="36"/>
        <v>1502.5</v>
      </c>
      <c r="L69" s="268">
        <f t="shared" si="36"/>
        <v>114.07211538461539</v>
      </c>
      <c r="M69" s="240">
        <f t="shared" si="36"/>
        <v>12.75</v>
      </c>
      <c r="N69" s="240">
        <f t="shared" si="36"/>
        <v>1234.3369620575497</v>
      </c>
      <c r="O69" s="268">
        <f t="shared" si="36"/>
        <v>96.799322001527827</v>
      </c>
      <c r="P69" s="269">
        <f>M69-J69</f>
        <v>-0.5</v>
      </c>
      <c r="Q69" s="222">
        <f>N69-K69</f>
        <v>-268.16303794245027</v>
      </c>
      <c r="R69" s="123">
        <f>O69/L69</f>
        <v>0.8485800554776326</v>
      </c>
      <c r="S69" s="42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7"/>
      <c r="AC69" s="467"/>
      <c r="AD69" s="323">
        <f>SUM(AD59:AD68)</f>
        <v>0</v>
      </c>
      <c r="AE69" s="323">
        <f>SUM(AE59:AE68)</f>
        <v>0</v>
      </c>
      <c r="AF69" s="309">
        <f>N69-K69</f>
        <v>-268.16303794245027</v>
      </c>
      <c r="AG69" s="124">
        <f>N69/K69</f>
        <v>0.82152210453081509</v>
      </c>
      <c r="AH69" s="464"/>
    </row>
    <row r="70" spans="1:36" ht="15" customHeight="1">
      <c r="A70" s="498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6">
        <f>R79</f>
        <v>0</v>
      </c>
      <c r="T70" s="245"/>
      <c r="U70" s="245"/>
      <c r="V70" s="55"/>
      <c r="W70" s="54">
        <f t="shared" si="12"/>
        <v>0</v>
      </c>
      <c r="X70" s="270"/>
      <c r="Y70" s="292"/>
      <c r="Z70" s="169"/>
      <c r="AA70" s="169"/>
      <c r="AB70" s="468"/>
      <c r="AC70" s="468"/>
      <c r="AD70" s="135"/>
      <c r="AE70" s="135"/>
      <c r="AF70" s="310">
        <f>N70-K70</f>
        <v>0</v>
      </c>
      <c r="AG70" s="246" t="e">
        <f>N70/K70</f>
        <v>#DIV/0!</v>
      </c>
      <c r="AH70" s="461" t="e">
        <f>AG79</f>
        <v>#DIV/0!</v>
      </c>
    </row>
    <row r="71" spans="1:36" ht="15" customHeight="1">
      <c r="A71" s="499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7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487"/>
      <c r="AC71" s="487"/>
      <c r="AD71" s="200"/>
      <c r="AE71" s="200"/>
      <c r="AF71" s="311">
        <v>-300.31249999999704</v>
      </c>
      <c r="AG71" s="99">
        <v>0.80810702875399554</v>
      </c>
      <c r="AH71" s="482"/>
    </row>
    <row r="72" spans="1:36" ht="15" customHeight="1">
      <c r="A72" s="499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7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466"/>
      <c r="AC72" s="466"/>
      <c r="AD72" s="92"/>
      <c r="AE72" s="92"/>
      <c r="AF72" s="311">
        <v>-130.33333333333326</v>
      </c>
      <c r="AG72" s="99">
        <v>0.91671991480298198</v>
      </c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466"/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>
      <c r="A79" s="500"/>
      <c r="B79" s="239"/>
      <c r="C79" s="153" t="s">
        <v>56</v>
      </c>
      <c r="D79" s="437" t="s">
        <v>42</v>
      </c>
      <c r="E79" s="437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W3:W4"/>
    <mergeCell ref="X3:Y3"/>
    <mergeCell ref="Z3:AA3"/>
    <mergeCell ref="AB1:AC2"/>
    <mergeCell ref="AF1:AH2"/>
    <mergeCell ref="AD3:AE3"/>
    <mergeCell ref="AF3:AF4"/>
    <mergeCell ref="AG3:AG4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A2:B2"/>
    <mergeCell ref="A3:A4"/>
    <mergeCell ref="B3:B4"/>
    <mergeCell ref="D3:E4"/>
    <mergeCell ref="F3:F4"/>
    <mergeCell ref="R3:R4"/>
    <mergeCell ref="T3:U3"/>
    <mergeCell ref="V3:V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42:AC42"/>
    <mergeCell ref="AB43:AC43"/>
    <mergeCell ref="AB44:AC44"/>
    <mergeCell ref="AB45:AC45"/>
    <mergeCell ref="AB46:AC46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284" priority="1" operator="greaterThan">
      <formula>0</formula>
    </cfRule>
  </conditionalFormatting>
  <conditionalFormatting sqref="Q5:Q79 AF5:AF79">
    <cfRule type="cellIs" dxfId="283" priority="4" operator="lessThan">
      <formula>0</formula>
    </cfRule>
  </conditionalFormatting>
  <conditionalFormatting sqref="R5:R79 AG5:AG79">
    <cfRule type="cellIs" dxfId="282" priority="2" operator="greaterThan">
      <formula>1</formula>
    </cfRule>
    <cfRule type="cellIs" dxfId="281" priority="3" operator="lessThan">
      <formula>0.8</formula>
    </cfRule>
  </conditionalFormatting>
  <conditionalFormatting sqref="S5:S10 S37:S62 AH59:AH62 S69:S76 AH69:AH76">
    <cfRule type="cellIs" dxfId="280" priority="7" operator="lessThan">
      <formula>0.8</formula>
    </cfRule>
  </conditionalFormatting>
  <conditionalFormatting sqref="S19:S25 AH19:AH25">
    <cfRule type="cellIs" dxfId="279" priority="6" operator="lessThan">
      <formula>0.8</formula>
    </cfRule>
  </conditionalFormatting>
  <conditionalFormatting sqref="S79">
    <cfRule type="cellIs" dxfId="278" priority="5" operator="lessThan">
      <formula>0.8</formula>
    </cfRule>
  </conditionalFormatting>
  <conditionalFormatting sqref="AH5:AH8 S15:S16 AH15:AH16 AH49 AH79">
    <cfRule type="cellIs" dxfId="277" priority="9" operator="lessThan">
      <formula>0.8</formula>
    </cfRule>
  </conditionalFormatting>
  <conditionalFormatting sqref="AH27 S27:S28">
    <cfRule type="cellIs" dxfId="276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B499F9-DA04-4A94-AF45-4A7F05A30BF6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8167F-B667-4957-AE8C-4CA3D13BEA3C}">
  <dimension ref="B1:O26"/>
  <sheetViews>
    <sheetView topLeftCell="A3" zoomScale="70" zoomScaleNormal="70" workbookViewId="0">
      <selection activeCell="U53" sqref="U5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46150</v>
      </c>
      <c r="E3" s="412"/>
      <c r="F3" s="3" t="s">
        <v>72</v>
      </c>
      <c r="G3" s="413">
        <f>'0508'!E1</f>
        <v>46639</v>
      </c>
      <c r="H3" s="413"/>
      <c r="I3" s="3" t="s">
        <v>2</v>
      </c>
      <c r="J3" s="414">
        <f>'0508'!G1</f>
        <v>2286219.2999999998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>
        <f>AVERAGE(D13:I13)</f>
        <v>124.3265573152338</v>
      </c>
      <c r="G6" s="410"/>
      <c r="H6" s="395">
        <f>AVERAGE(D13:H13)</f>
        <v>125.71686877828056</v>
      </c>
      <c r="I6" s="395"/>
      <c r="J6" s="395">
        <f>AVERAGE(I13)</f>
        <v>117.375</v>
      </c>
      <c r="K6" s="395"/>
      <c r="L6" s="396">
        <f>SUM(D18:J18)</f>
        <v>1</v>
      </c>
      <c r="M6" s="398">
        <f>SUM(D19:J19)</f>
        <v>7</v>
      </c>
      <c r="N6" s="399">
        <f>SUM(D20:J20)</f>
        <v>2</v>
      </c>
      <c r="O6" s="398">
        <f>SUM(D20:J20)</f>
        <v>2</v>
      </c>
    </row>
    <row r="7" spans="2:15" ht="39.6" customHeight="1">
      <c r="B7" s="406"/>
      <c r="C7" s="406"/>
      <c r="D7" s="401" t="s">
        <v>87</v>
      </c>
      <c r="E7" s="401"/>
      <c r="F7" s="402">
        <f>AVERAGE(D14:I14)</f>
        <v>110.8640736027909</v>
      </c>
      <c r="G7" s="402"/>
      <c r="H7" s="403">
        <f>AVERAGE(D14:H14)</f>
        <v>111.1117031381638</v>
      </c>
      <c r="I7" s="403"/>
      <c r="J7" s="403">
        <f>AVERAGE(I14)</f>
        <v>109.62592592592634</v>
      </c>
      <c r="K7" s="403"/>
      <c r="L7" s="397" t="e">
        <f t="shared" ref="L7:O8" si="0">AVERAGE(K14:L14)</f>
        <v>#DIV/0!</v>
      </c>
      <c r="M7" s="398" t="e">
        <f t="shared" si="0"/>
        <v>#DIV/0!</v>
      </c>
      <c r="N7" s="400" t="e">
        <f t="shared" si="0"/>
        <v>#DIV/0!</v>
      </c>
      <c r="O7" s="398" t="e">
        <f t="shared" si="0"/>
        <v>#DIV/0!</v>
      </c>
    </row>
    <row r="8" spans="2:15" ht="39.6" customHeight="1">
      <c r="B8" s="406"/>
      <c r="C8" s="406"/>
      <c r="D8" s="401" t="s">
        <v>27</v>
      </c>
      <c r="E8" s="401"/>
      <c r="F8" s="387">
        <f>F7/F6</f>
        <v>0.89171674979861004</v>
      </c>
      <c r="G8" s="387"/>
      <c r="H8" s="387">
        <f>H7/H6</f>
        <v>0.88382493310523802</v>
      </c>
      <c r="I8" s="387"/>
      <c r="J8" s="387">
        <f>J7/J6</f>
        <v>0.93398019958190703</v>
      </c>
      <c r="K8" s="387"/>
      <c r="L8" s="397" t="e">
        <f t="shared" si="0"/>
        <v>#DIV/0!</v>
      </c>
      <c r="M8" s="398" t="e">
        <f t="shared" si="0"/>
        <v>#DIV/0!</v>
      </c>
      <c r="N8" s="400" t="e">
        <f t="shared" si="0"/>
        <v>#DIV/0!</v>
      </c>
      <c r="O8" s="398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>
        <f>VALUE('0508'!L15)</f>
        <v>150</v>
      </c>
      <c r="E13" s="13">
        <f>VALUE('0508'!L26)</f>
        <v>170.19230769230771</v>
      </c>
      <c r="F13" s="13">
        <f>VALUE('0508'!L37)</f>
        <v>104.53242835595778</v>
      </c>
      <c r="G13" s="13">
        <f>VALUE('0508'!L48)</f>
        <v>104.38901960784312</v>
      </c>
      <c r="H13" s="13">
        <f>VALUE('0508'!L58)</f>
        <v>99.470588235294116</v>
      </c>
      <c r="I13" s="13">
        <f>VALUE('0508'!L69)</f>
        <v>117.375</v>
      </c>
      <c r="J13" s="13">
        <f>'0508'!L79</f>
        <v>0</v>
      </c>
    </row>
    <row r="14" spans="2:15" ht="39.950000000000003" customHeight="1">
      <c r="B14" s="381"/>
      <c r="C14" s="12" t="s">
        <v>100</v>
      </c>
      <c r="D14" s="13">
        <f>VALUE('0508'!O15)</f>
        <v>136.7900053163217</v>
      </c>
      <c r="E14" s="13">
        <f>VALUE('0508'!O26)</f>
        <v>150.42753682487731</v>
      </c>
      <c r="F14" s="13">
        <f>VALUE('0508'!O37)</f>
        <v>86.170739064856335</v>
      </c>
      <c r="G14" s="13">
        <f>VALUE('0508'!O48)</f>
        <v>90.207394096099989</v>
      </c>
      <c r="H14" s="13">
        <f>VALUE('0508'!O58)</f>
        <v>91.962840388663722</v>
      </c>
      <c r="I14" s="13">
        <f>VALUE('0508'!O69)</f>
        <v>109.62592592592634</v>
      </c>
      <c r="J14" s="13">
        <f>'0508'!O79</f>
        <v>0</v>
      </c>
    </row>
    <row r="15" spans="2:15" ht="39.950000000000003" customHeight="1">
      <c r="B15" s="382"/>
      <c r="C15" s="10" t="s">
        <v>26</v>
      </c>
      <c r="D15" s="14">
        <f t="shared" ref="D15:I15" si="1">D14/D13</f>
        <v>0.91193336877547793</v>
      </c>
      <c r="E15" s="14">
        <f t="shared" si="1"/>
        <v>0.88386801298232986</v>
      </c>
      <c r="F15" s="14">
        <f t="shared" si="1"/>
        <v>0.8243445638842759</v>
      </c>
      <c r="G15" s="14">
        <f t="shared" si="1"/>
        <v>0.86414638661212584</v>
      </c>
      <c r="H15" s="14">
        <f t="shared" si="1"/>
        <v>0.92452293708295874</v>
      </c>
      <c r="I15" s="14">
        <f t="shared" si="1"/>
        <v>0.93398019958190703</v>
      </c>
      <c r="J15" s="15">
        <f>'0508'!S70</f>
        <v>0</v>
      </c>
    </row>
    <row r="16" spans="2:15" ht="17.25" customHeight="1">
      <c r="B16" s="383" t="s">
        <v>101</v>
      </c>
      <c r="C16" s="10" t="s">
        <v>34</v>
      </c>
      <c r="D16" s="16">
        <f>'0508'!T5</f>
        <v>0.29166666666666702</v>
      </c>
      <c r="E16" s="16">
        <f>'0508'!T16</f>
        <v>0.29097222222222202</v>
      </c>
      <c r="F16" s="16">
        <f>'0508'!T27</f>
        <v>0.33333333333333298</v>
      </c>
      <c r="G16" s="16">
        <f>'0508'!T38</f>
        <v>0.33333333333333298</v>
      </c>
      <c r="H16" s="16">
        <f>'0508'!T49</f>
        <v>0.28819444444444398</v>
      </c>
      <c r="I16" s="16">
        <f>'0508'!T59</f>
        <v>0.29166666666666702</v>
      </c>
      <c r="J16" s="16">
        <f>'0508'!T70</f>
        <v>0</v>
      </c>
    </row>
    <row r="17" spans="2:10" ht="17.25" customHeight="1">
      <c r="B17" s="384"/>
      <c r="C17" s="10" t="s">
        <v>35</v>
      </c>
      <c r="D17" s="16">
        <v>0.58472222222222203</v>
      </c>
      <c r="E17" s="19">
        <v>0.48958333333333298</v>
      </c>
      <c r="F17" s="19">
        <v>0.5625</v>
      </c>
      <c r="G17" s="20">
        <v>0.64236111111111105</v>
      </c>
      <c r="H17" s="21">
        <v>0.625</v>
      </c>
      <c r="I17" s="22">
        <v>0.44444444444444398</v>
      </c>
      <c r="J17" s="16">
        <f>'0508'!T71</f>
        <v>0</v>
      </c>
    </row>
    <row r="18" spans="2:10" ht="17.25" customHeight="1">
      <c r="B18" s="385" t="s">
        <v>102</v>
      </c>
      <c r="C18" s="330" t="s">
        <v>36</v>
      </c>
      <c r="D18" s="358">
        <f>'0508'!Z15</f>
        <v>0</v>
      </c>
      <c r="E18" s="359">
        <f>'0508'!Z26</f>
        <v>0</v>
      </c>
      <c r="F18" s="359">
        <f>'0508'!Z37</f>
        <v>0</v>
      </c>
      <c r="G18" s="360">
        <f>'0508'!Z48</f>
        <v>0</v>
      </c>
      <c r="H18" s="360">
        <f>'0508'!Z58</f>
        <v>1</v>
      </c>
      <c r="I18" s="359">
        <f>'0508'!Z69</f>
        <v>0</v>
      </c>
      <c r="J18" s="359">
        <f>'0508'!AA79</f>
        <v>0</v>
      </c>
    </row>
    <row r="19" spans="2:10" ht="17.25" customHeight="1">
      <c r="B19" s="386"/>
      <c r="C19" s="330" t="s">
        <v>37</v>
      </c>
      <c r="D19" s="358">
        <f>'0508'!AA15</f>
        <v>0</v>
      </c>
      <c r="E19" s="359">
        <f>'0508'!AA26</f>
        <v>0</v>
      </c>
      <c r="F19" s="359">
        <f>'0508'!AA37</f>
        <v>0</v>
      </c>
      <c r="G19" s="360">
        <f>'0508'!AA48</f>
        <v>0</v>
      </c>
      <c r="H19" s="360">
        <f>'0508'!AA58</f>
        <v>7</v>
      </c>
      <c r="I19" s="359">
        <f>'0508'!AA69</f>
        <v>0</v>
      </c>
      <c r="J19" s="359">
        <f>'0508'!AB79</f>
        <v>0</v>
      </c>
    </row>
    <row r="20" spans="2:10" ht="17.25" customHeight="1">
      <c r="B20" s="385" t="s">
        <v>103</v>
      </c>
      <c r="C20" s="330" t="s">
        <v>36</v>
      </c>
      <c r="D20" s="358">
        <f>'0508'!AD15</f>
        <v>0</v>
      </c>
      <c r="E20" s="359">
        <f>'0508'!AD26</f>
        <v>0</v>
      </c>
      <c r="F20" s="359">
        <f>'0508'!AD37</f>
        <v>0</v>
      </c>
      <c r="G20" s="360">
        <f>'0508'!AD48</f>
        <v>2</v>
      </c>
      <c r="H20" s="360">
        <f>'0508'!AD58</f>
        <v>0</v>
      </c>
      <c r="I20" s="359">
        <f>'0508'!AD69</f>
        <v>0</v>
      </c>
      <c r="J20" s="359">
        <f>'0508'!AD79</f>
        <v>0</v>
      </c>
    </row>
    <row r="21" spans="2:10" ht="17.25" customHeight="1">
      <c r="B21" s="386"/>
      <c r="C21" s="330" t="s">
        <v>85</v>
      </c>
      <c r="D21" s="358">
        <f>'0508'!AE15</f>
        <v>0</v>
      </c>
      <c r="E21" s="359">
        <f>'0508'!AE26</f>
        <v>0</v>
      </c>
      <c r="F21" s="359">
        <f>'0508'!AE37</f>
        <v>0</v>
      </c>
      <c r="G21" s="360">
        <f>'0508'!AE48</f>
        <v>1</v>
      </c>
      <c r="H21" s="360">
        <f>'0508'!AE58</f>
        <v>0</v>
      </c>
      <c r="I21" s="359">
        <f>'0508'!AE69</f>
        <v>0</v>
      </c>
      <c r="J21" s="359">
        <f>'0508'!AE79</f>
        <v>0</v>
      </c>
    </row>
    <row r="22" spans="2:10" ht="17.25" customHeight="1">
      <c r="B22" s="377" t="s">
        <v>104</v>
      </c>
      <c r="C22" s="378"/>
      <c r="D22" s="23">
        <f>VALUE('0508'!M15)</f>
        <v>15</v>
      </c>
      <c r="E22" s="23">
        <f>VALUE('0508'!M26)</f>
        <v>13.333333333333334</v>
      </c>
      <c r="F22" s="23">
        <f>VALUE('0508'!M37)</f>
        <v>14.333333333333334</v>
      </c>
      <c r="G22" s="23">
        <f>VALUE('0508'!M48)</f>
        <v>16.2</v>
      </c>
      <c r="H22" s="23">
        <f>VALUE('0508'!M58)</f>
        <v>16.600000000000001</v>
      </c>
      <c r="I22" s="23">
        <f>VALUE('0508'!M69)</f>
        <v>13.5</v>
      </c>
      <c r="J22" s="23">
        <f>'0508'!M79</f>
        <v>0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75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2FD0-B0E6-46EF-9F98-E84E34207138}">
  <sheetPr>
    <tabColor theme="9" tint="0.79998168889431442"/>
  </sheetPr>
  <dimension ref="A1:AJ92"/>
  <sheetViews>
    <sheetView zoomScale="69" zoomScaleNormal="69" workbookViewId="0">
      <pane xSplit="5" ySplit="4" topLeftCell="R27" activePane="bottomRight" state="frozen"/>
      <selection activeCell="U53" sqref="U53"/>
      <selection pane="topRight" activeCell="U53" sqref="U53"/>
      <selection pane="bottomLeft" activeCell="U53" sqref="U53"/>
      <selection pane="bottomRight" activeCell="U53" sqref="U5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8" width="8.7109375" style="34" customWidth="1"/>
    <col min="109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46639</v>
      </c>
      <c r="F1" s="30" t="s">
        <v>2</v>
      </c>
      <c r="G1" s="31">
        <f>SUM(H5:H79)</f>
        <v>2286219.2999999998</v>
      </c>
      <c r="H1" s="32" t="s">
        <v>3</v>
      </c>
      <c r="I1" s="33">
        <f>M15+M26+M48+M58+M69+M79+M37</f>
        <v>88.966666666666654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171</v>
      </c>
      <c r="B2" s="422"/>
      <c r="C2" s="28"/>
      <c r="D2" s="28" t="s">
        <v>14</v>
      </c>
      <c r="E2" s="35">
        <f>AVERAGE(O15,O26,O37,O48,O58,O69,O79)</f>
        <v>110.8640736027909</v>
      </c>
      <c r="F2" s="36" t="s">
        <v>15</v>
      </c>
      <c r="G2" s="37">
        <f>G1/E1</f>
        <v>49.019475117391018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1</v>
      </c>
      <c r="AA2" s="339">
        <f>AA15+AA26+AA37+AA48+AA58+AA69+AA79</f>
        <v>7</v>
      </c>
      <c r="AB2" s="460"/>
      <c r="AC2" s="460"/>
      <c r="AD2" s="340">
        <f>AD15+AD26+AD37+AD48+AD58+AD69+AD79</f>
        <v>2</v>
      </c>
      <c r="AE2" s="340">
        <f>AE15+AE26+AE37+AE48+AE58+AE69+AE79</f>
        <v>1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2750</v>
      </c>
      <c r="H5" s="43">
        <f>F5*G5</f>
        <v>156392.5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2062.5000000000218</v>
      </c>
      <c r="O5" s="47">
        <f>N5/M5</f>
        <v>137.50000000000145</v>
      </c>
      <c r="P5" s="49">
        <f>M5-J5</f>
        <v>0</v>
      </c>
      <c r="Q5" s="50">
        <f>O5-L5</f>
        <v>-12.49999999999855</v>
      </c>
      <c r="R5" s="51">
        <f>O5/L5</f>
        <v>0.91666666666667629</v>
      </c>
      <c r="S5" s="416">
        <f>R15</f>
        <v>0.91193336877547793</v>
      </c>
      <c r="T5" s="319">
        <v>0.29166666666666702</v>
      </c>
      <c r="U5" s="320">
        <v>0.34722222222222199</v>
      </c>
      <c r="V5" s="53"/>
      <c r="W5" s="54">
        <f t="shared" ref="W5:W14" si="0">(U5-T5)*24*60</f>
        <v>79.999999999999162</v>
      </c>
      <c r="X5" s="55"/>
      <c r="Y5" s="290"/>
      <c r="Z5" s="169"/>
      <c r="AA5" s="169"/>
      <c r="AB5" s="468"/>
      <c r="AC5" s="468"/>
      <c r="AD5" s="135"/>
      <c r="AE5" s="135"/>
      <c r="AF5" s="229">
        <f t="shared" ref="AF5:AF11" si="1">N5-K5</f>
        <v>-187.49999999997817</v>
      </c>
      <c r="AG5" s="52">
        <f t="shared" ref="AG5:AG11" si="2">N5/K5</f>
        <v>0.9166666666666764</v>
      </c>
      <c r="AH5" s="461">
        <f>AG15</f>
        <v>0.91193336877547804</v>
      </c>
    </row>
    <row r="6" spans="1:34" ht="15" customHeight="1">
      <c r="A6" s="428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3263</v>
      </c>
      <c r="H6" s="63">
        <f>F6*G6</f>
        <v>189808.71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1977.575757575758</v>
      </c>
      <c r="O6" s="67">
        <f>N6/M6</f>
        <v>131.83838383838386</v>
      </c>
      <c r="P6" s="69">
        <f>M6-J6</f>
        <v>0</v>
      </c>
      <c r="Q6" s="70">
        <f>O6-L6</f>
        <v>-18.161616161616138</v>
      </c>
      <c r="R6" s="71">
        <f>O6/L6</f>
        <v>0.87892255892255911</v>
      </c>
      <c r="S6" s="417"/>
      <c r="T6" s="16">
        <v>0.35416666666666702</v>
      </c>
      <c r="U6" s="16">
        <v>0.422916666666667</v>
      </c>
      <c r="V6" s="30">
        <f>(T6-U5)*24*60</f>
        <v>10.000000000000844</v>
      </c>
      <c r="W6" s="73">
        <f t="shared" si="0"/>
        <v>98.999999999999972</v>
      </c>
      <c r="X6" s="22"/>
      <c r="Y6" s="84"/>
      <c r="Z6" s="90"/>
      <c r="AA6" s="90"/>
      <c r="AB6" s="465"/>
      <c r="AC6" s="465"/>
      <c r="AD6" s="149"/>
      <c r="AE6" s="149"/>
      <c r="AF6" s="307">
        <f t="shared" si="1"/>
        <v>-272.42424242424204</v>
      </c>
      <c r="AG6" s="72">
        <f t="shared" si="2"/>
        <v>0.87892255892255911</v>
      </c>
      <c r="AH6" s="462"/>
    </row>
    <row r="7" spans="1:34" ht="15" customHeight="1">
      <c r="A7" s="428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2645</v>
      </c>
      <c r="H7" s="78">
        <f>F7*G7</f>
        <v>129975.3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2204.1666666666674</v>
      </c>
      <c r="O7" s="81">
        <f>N7/M7</f>
        <v>146.94444444444449</v>
      </c>
      <c r="P7" s="74">
        <f>M7-J7</f>
        <v>0</v>
      </c>
      <c r="Q7" s="83">
        <f>O7-L7</f>
        <v>-3.0555555555555145</v>
      </c>
      <c r="R7" s="72">
        <f>O7/L7</f>
        <v>0.97962962962962985</v>
      </c>
      <c r="S7" s="417"/>
      <c r="T7" s="18">
        <v>0.42986111111111103</v>
      </c>
      <c r="U7" s="18">
        <v>0.47986111111111102</v>
      </c>
      <c r="V7" s="30">
        <f>(T7-U6)*24*60</f>
        <v>9.9999999999994049</v>
      </c>
      <c r="W7" s="73">
        <f t="shared" si="0"/>
        <v>71.999999999999986</v>
      </c>
      <c r="X7" s="22">
        <v>0.49652777777777801</v>
      </c>
      <c r="Y7" s="84">
        <v>0.53819444444444398</v>
      </c>
      <c r="Z7" s="90"/>
      <c r="AA7" s="90"/>
      <c r="AB7" s="466"/>
      <c r="AC7" s="466"/>
      <c r="AD7" s="92"/>
      <c r="AE7" s="92"/>
      <c r="AF7" s="307">
        <f t="shared" si="1"/>
        <v>-45.833333333332575</v>
      </c>
      <c r="AG7" s="72">
        <f t="shared" si="2"/>
        <v>0.97962962962962996</v>
      </c>
      <c r="AH7" s="462"/>
    </row>
    <row r="8" spans="1:34" ht="15" customHeight="1">
      <c r="A8" s="428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1865</v>
      </c>
      <c r="H8" s="78">
        <f>F8*G8</f>
        <v>91646.1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1963.1578947368544</v>
      </c>
      <c r="O8" s="81">
        <f>N8/M8</f>
        <v>130.87719298245696</v>
      </c>
      <c r="P8" s="74">
        <f>M8-J8</f>
        <v>0</v>
      </c>
      <c r="Q8" s="83">
        <f>O8-L8</f>
        <v>-19.122807017543039</v>
      </c>
      <c r="R8" s="72">
        <f>O8/L8</f>
        <v>0.87251461988304646</v>
      </c>
      <c r="S8" s="417"/>
      <c r="T8" s="16">
        <v>0.54513888888888895</v>
      </c>
      <c r="U8" s="16">
        <v>0.58472222222222203</v>
      </c>
      <c r="V8" s="30">
        <f>(T8-U7)*24*60</f>
        <v>94.000000000000227</v>
      </c>
      <c r="W8" s="73">
        <f t="shared" si="0"/>
        <v>56.999999999999638</v>
      </c>
      <c r="X8" s="22"/>
      <c r="Y8" s="84"/>
      <c r="Z8" s="90"/>
      <c r="AA8" s="90"/>
      <c r="AB8" s="465"/>
      <c r="AC8" s="465"/>
      <c r="AD8" s="149"/>
      <c r="AE8" s="149"/>
      <c r="AF8" s="307">
        <f t="shared" si="1"/>
        <v>-286.84210526314564</v>
      </c>
      <c r="AG8" s="72">
        <f t="shared" si="2"/>
        <v>0.87251461988304635</v>
      </c>
      <c r="AH8" s="462"/>
    </row>
    <row r="9" spans="1:34" ht="15" customHeight="1">
      <c r="A9" s="42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8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5"/>
      <c r="AC9" s="465"/>
      <c r="AD9" s="149"/>
      <c r="AE9" s="149"/>
      <c r="AF9" s="307">
        <f t="shared" si="1"/>
        <v>0</v>
      </c>
      <c r="AG9" s="72" t="e">
        <f t="shared" si="2"/>
        <v>#DIV/0!</v>
      </c>
      <c r="AH9" s="463"/>
    </row>
    <row r="10" spans="1:34" ht="15" customHeight="1">
      <c r="A10" s="42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8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6"/>
      <c r="AC10" s="466"/>
      <c r="AD10" s="92"/>
      <c r="AE10" s="92"/>
      <c r="AF10" s="307">
        <f t="shared" si="1"/>
        <v>0</v>
      </c>
      <c r="AG10" s="72" t="e">
        <f t="shared" si="2"/>
        <v>#DIV/0!</v>
      </c>
      <c r="AH10" s="463"/>
    </row>
    <row r="11" spans="1:34" ht="15" customHeight="1">
      <c r="A11" s="42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5"/>
      <c r="AC11" s="465"/>
      <c r="AD11" s="149"/>
      <c r="AE11" s="149"/>
      <c r="AF11" s="307">
        <f t="shared" si="1"/>
        <v>0</v>
      </c>
      <c r="AG11" s="72" t="e">
        <f t="shared" si="2"/>
        <v>#DIV/0!</v>
      </c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2051.8500797448255</v>
      </c>
      <c r="O15" s="117">
        <f t="shared" si="3"/>
        <v>136.7900053163217</v>
      </c>
      <c r="P15" s="121">
        <f>M15-J15</f>
        <v>0</v>
      </c>
      <c r="Q15" s="122">
        <f>O15-L15</f>
        <v>-13.209994683678303</v>
      </c>
      <c r="R15" s="123">
        <f>O15/L15</f>
        <v>0.91193336877547793</v>
      </c>
      <c r="S15" s="42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7"/>
      <c r="AC15" s="467"/>
      <c r="AD15" s="323">
        <f>SUM(AD5:AD14)</f>
        <v>0</v>
      </c>
      <c r="AE15" s="323">
        <f>SUM(AE5:AE14)</f>
        <v>0</v>
      </c>
      <c r="AF15" s="309">
        <f>N15-K15</f>
        <v>-198.14992025517449</v>
      </c>
      <c r="AG15" s="124">
        <f>N15/K15</f>
        <v>0.91193336877547804</v>
      </c>
      <c r="AH15" s="464"/>
    </row>
    <row r="16" spans="1:34" ht="15" customHeight="1">
      <c r="A16" s="47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2991</v>
      </c>
      <c r="H16" s="134">
        <f>F16*G16</f>
        <v>151553.97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1909.1489361702063</v>
      </c>
      <c r="O16" s="141">
        <f>N16/M16</f>
        <v>146.85761047463126</v>
      </c>
      <c r="P16" s="142">
        <f>M16-J16</f>
        <v>0</v>
      </c>
      <c r="Q16" s="143">
        <f>O16-L16</f>
        <v>-26.219312602291808</v>
      </c>
      <c r="R16" s="144">
        <f>O16/L16</f>
        <v>0.84851063829786955</v>
      </c>
      <c r="S16" s="472">
        <f>R26</f>
        <v>0.88386801298232986</v>
      </c>
      <c r="T16" s="145">
        <v>0.29097222222222202</v>
      </c>
      <c r="U16" s="145">
        <v>0.35625000000000001</v>
      </c>
      <c r="V16" s="135"/>
      <c r="W16" s="146">
        <f t="shared" ref="W16:W78" si="4">(U16-T16)*24*60</f>
        <v>94.000000000000313</v>
      </c>
      <c r="X16" s="141"/>
      <c r="Y16" s="296"/>
      <c r="Z16" s="169"/>
      <c r="AA16" s="169"/>
      <c r="AB16" s="468"/>
      <c r="AC16" s="468"/>
      <c r="AD16" s="135"/>
      <c r="AE16" s="135"/>
      <c r="AF16" s="229">
        <f>N16-K16</f>
        <v>-340.8510638297937</v>
      </c>
      <c r="AG16" s="52">
        <f>N16/K16</f>
        <v>0.84851063829786944</v>
      </c>
      <c r="AH16" s="461">
        <f>AG26</f>
        <v>0.88661465721040211</v>
      </c>
    </row>
    <row r="17" spans="1:34" ht="15" customHeight="1">
      <c r="A17" s="479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1584</v>
      </c>
      <c r="H17" s="78">
        <f>F17*G17</f>
        <v>89670.24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2112</v>
      </c>
      <c r="O17" s="96">
        <f>N17/M17</f>
        <v>140.80000000000001</v>
      </c>
      <c r="P17" s="97">
        <f>M17-J17</f>
        <v>0</v>
      </c>
      <c r="Q17" s="98">
        <f>O17-L17</f>
        <v>-9.1999999999999886</v>
      </c>
      <c r="R17" s="99">
        <f>O17/L17</f>
        <v>0.93866666666666676</v>
      </c>
      <c r="S17" s="473"/>
      <c r="T17" s="19">
        <v>0.36249999999999999</v>
      </c>
      <c r="U17" s="19">
        <v>0.39374999999999999</v>
      </c>
      <c r="V17" s="30">
        <f>(T17-U16)*24*60</f>
        <v>8.999999999999968</v>
      </c>
      <c r="W17" s="149">
        <f t="shared" si="4"/>
        <v>45</v>
      </c>
      <c r="X17" s="19"/>
      <c r="Y17" s="297"/>
      <c r="Z17" s="90"/>
      <c r="AA17" s="90"/>
      <c r="AB17" s="466"/>
      <c r="AC17" s="466"/>
      <c r="AD17" s="92"/>
      <c r="AE17" s="92"/>
      <c r="AF17" s="307">
        <f>N17-K17</f>
        <v>-138</v>
      </c>
      <c r="AG17" s="72">
        <f>N17/K17</f>
        <v>0.93866666666666665</v>
      </c>
      <c r="AH17" s="462"/>
    </row>
    <row r="18" spans="1:34" ht="15" customHeight="1">
      <c r="A18" s="479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3927</v>
      </c>
      <c r="H18" s="78">
        <f>F18*G18</f>
        <v>197881.53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1963.5000000000082</v>
      </c>
      <c r="O18" s="96">
        <f>N18/M18</f>
        <v>163.62500000000068</v>
      </c>
      <c r="P18" s="97">
        <f>M18-J18</f>
        <v>0</v>
      </c>
      <c r="Q18" s="98">
        <f>O18-L18</f>
        <v>-23.874999999999318</v>
      </c>
      <c r="R18" s="99">
        <f>O18/L18</f>
        <v>0.87266666666667025</v>
      </c>
      <c r="S18" s="473"/>
      <c r="T18" s="19">
        <v>0.40625</v>
      </c>
      <c r="U18" s="19">
        <v>0.48958333333333298</v>
      </c>
      <c r="V18" s="30">
        <f>(T18-U17)*24*60</f>
        <v>18.000000000000014</v>
      </c>
      <c r="W18" s="149">
        <f t="shared" si="4"/>
        <v>119.99999999999949</v>
      </c>
      <c r="X18" s="19">
        <v>0.50347222222222199</v>
      </c>
      <c r="Y18" s="297">
        <v>0.54513888888888895</v>
      </c>
      <c r="Z18" s="90"/>
      <c r="AA18" s="90"/>
      <c r="AB18" s="466"/>
      <c r="AC18" s="466"/>
      <c r="AD18" s="92"/>
      <c r="AE18" s="92"/>
      <c r="AF18" s="307">
        <f>N18-K18</f>
        <v>-286.49999999999181</v>
      </c>
      <c r="AG18" s="72">
        <f>N18/K18</f>
        <v>0.87266666666667025</v>
      </c>
      <c r="AH18" s="462"/>
    </row>
    <row r="19" spans="1:34" ht="15" customHeight="1">
      <c r="A19" s="479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3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65"/>
      <c r="AC19" s="465"/>
      <c r="AD19" s="149"/>
      <c r="AE19" s="149"/>
      <c r="AF19" s="307">
        <f>N19-K19</f>
        <v>0</v>
      </c>
      <c r="AG19" s="72" t="e">
        <f>N19/K19</f>
        <v>#DIV/0!</v>
      </c>
      <c r="AH19" s="463"/>
    </row>
    <row r="20" spans="1:34" ht="15" customHeight="1">
      <c r="A20" s="47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3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66"/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3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6"/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50"/>
      <c r="U22" s="150"/>
      <c r="V22" s="92"/>
      <c r="W22" s="149"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4"/>
        <v>0</v>
      </c>
      <c r="X23" s="92"/>
      <c r="Y23" s="298"/>
      <c r="Z23" s="90"/>
      <c r="AA23" s="90"/>
      <c r="AB23" s="466"/>
      <c r="AC23" s="46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>
        <f t="shared" ref="J26:O26" si="5">AVERAGE(J16:J25)</f>
        <v>13.333333333333334</v>
      </c>
      <c r="K26" s="155">
        <f t="shared" si="5"/>
        <v>2250</v>
      </c>
      <c r="L26" s="158">
        <f t="shared" si="5"/>
        <v>170.19230769230771</v>
      </c>
      <c r="M26" s="155">
        <f t="shared" si="5"/>
        <v>13.333333333333334</v>
      </c>
      <c r="N26" s="155">
        <f t="shared" si="5"/>
        <v>1994.8829787234047</v>
      </c>
      <c r="O26" s="158">
        <f t="shared" si="5"/>
        <v>150.42753682487731</v>
      </c>
      <c r="P26" s="159">
        <f>M26-J26</f>
        <v>0</v>
      </c>
      <c r="Q26" s="160">
        <f>O26-L26</f>
        <v>-19.7647708674304</v>
      </c>
      <c r="R26" s="161">
        <f>O26/L26</f>
        <v>0.88386801298232986</v>
      </c>
      <c r="S26" s="474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7"/>
      <c r="AC26" s="467"/>
      <c r="AD26" s="323">
        <f>SUM(AD16:AD25)</f>
        <v>0</v>
      </c>
      <c r="AE26" s="323">
        <f>SUM(AE16:AE25)</f>
        <v>0</v>
      </c>
      <c r="AF26" s="309">
        <f t="shared" ref="AF26:AF31" si="6">N26-K26</f>
        <v>-255.11702127659532</v>
      </c>
      <c r="AG26" s="124">
        <f t="shared" ref="AG26:AG31" si="7">N26/K26</f>
        <v>0.88661465721040211</v>
      </c>
      <c r="AH26" s="464"/>
    </row>
    <row r="27" spans="1:34" ht="15" customHeight="1">
      <c r="A27" s="469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3172</v>
      </c>
      <c r="H27" s="134">
        <f>F27*G27</f>
        <v>181470.12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1268.7999999999956</v>
      </c>
      <c r="O27" s="141">
        <f>N27/M27</f>
        <v>74.635294117646808</v>
      </c>
      <c r="P27" s="142">
        <f>M27-J27</f>
        <v>0</v>
      </c>
      <c r="Q27" s="143">
        <f>O27-L27</f>
        <v>-17.42352941176496</v>
      </c>
      <c r="R27" s="144">
        <f>O27/L27</f>
        <v>0.8107348242811474</v>
      </c>
      <c r="S27" s="472">
        <f>R37</f>
        <v>0.8243445638842759</v>
      </c>
      <c r="T27" s="171">
        <v>0.33333333333333298</v>
      </c>
      <c r="U27" s="171">
        <v>0.4375</v>
      </c>
      <c r="V27" s="135"/>
      <c r="W27" s="146">
        <f t="shared" si="4"/>
        <v>150.00000000000051</v>
      </c>
      <c r="X27" s="135"/>
      <c r="Y27" s="300" t="s">
        <v>46</v>
      </c>
      <c r="Z27" s="169"/>
      <c r="AA27" s="169"/>
      <c r="AB27" s="468"/>
      <c r="AC27" s="468"/>
      <c r="AD27" s="135"/>
      <c r="AE27" s="135"/>
      <c r="AF27" s="310">
        <f t="shared" si="6"/>
        <v>-296.20000000000437</v>
      </c>
      <c r="AG27" s="172">
        <f t="shared" si="7"/>
        <v>0.8107348242811474</v>
      </c>
      <c r="AH27" s="461">
        <f>AG37</f>
        <v>0.82321709786276365</v>
      </c>
    </row>
    <row r="28" spans="1:34" ht="15" customHeight="1">
      <c r="A28" s="470"/>
      <c r="B28" s="75" t="s">
        <v>81</v>
      </c>
      <c r="C28" s="173"/>
      <c r="D28" s="59" t="s">
        <v>119</v>
      </c>
      <c r="E28" s="104"/>
      <c r="F28" s="75">
        <f>VLOOKUP(D28,廠價表!$C$1:$E$43,3,0)</f>
        <v>50.67</v>
      </c>
      <c r="G28" s="90">
        <v>992</v>
      </c>
      <c r="H28" s="91">
        <f>F28*G28</f>
        <v>50264.639999999999</v>
      </c>
      <c r="I28" s="92"/>
      <c r="J28" s="79">
        <f>VLOOKUP(D28,產線配置圖!$A$3:$C$40,2,0)</f>
        <v>13</v>
      </c>
      <c r="K28" s="80">
        <f>VLOOKUP(D28,產線配置圖!$A$3:$C$40,3,0)</f>
        <v>1440</v>
      </c>
      <c r="L28" s="93">
        <f>K28/J28</f>
        <v>110.76923076923077</v>
      </c>
      <c r="M28" s="94">
        <v>13</v>
      </c>
      <c r="N28" s="95">
        <f>G28/W28*60</f>
        <v>1190.3999999999719</v>
      </c>
      <c r="O28" s="96">
        <f>N28/M28</f>
        <v>91.569230769228611</v>
      </c>
      <c r="P28" s="97">
        <f>M28-J28</f>
        <v>0</v>
      </c>
      <c r="Q28" s="98">
        <f>O28-L28</f>
        <v>-19.200000000002163</v>
      </c>
      <c r="R28" s="99">
        <f>O28/L28</f>
        <v>0.82666666666664712</v>
      </c>
      <c r="S28" s="473"/>
      <c r="T28" s="19">
        <v>0.44444444444444398</v>
      </c>
      <c r="U28" s="19">
        <v>0.47916666666666702</v>
      </c>
      <c r="V28" s="92">
        <f>(T28-U27)*24*60</f>
        <v>9.999999999999325</v>
      </c>
      <c r="W28" s="149">
        <f t="shared" si="4"/>
        <v>50.00000000000118</v>
      </c>
      <c r="X28" s="174">
        <v>0.48263888888888901</v>
      </c>
      <c r="Y28" s="301">
        <v>0.53472222222222199</v>
      </c>
      <c r="Z28" s="335"/>
      <c r="AA28" s="335"/>
      <c r="AB28" s="466"/>
      <c r="AC28" s="466"/>
      <c r="AD28" s="92"/>
      <c r="AE28" s="92"/>
      <c r="AF28" s="311">
        <f t="shared" si="6"/>
        <v>-249.6000000000281</v>
      </c>
      <c r="AG28" s="99">
        <f t="shared" si="7"/>
        <v>0.82666666666664712</v>
      </c>
      <c r="AH28" s="482"/>
    </row>
    <row r="29" spans="1:34" ht="15" customHeight="1">
      <c r="A29" s="470"/>
      <c r="B29" s="75" t="s">
        <v>81</v>
      </c>
      <c r="C29" s="173"/>
      <c r="D29" s="59" t="s">
        <v>119</v>
      </c>
      <c r="E29" s="104"/>
      <c r="F29" s="75">
        <f>VLOOKUP(D29,廠價表!$C$1:$E$43,3,0)</f>
        <v>50.67</v>
      </c>
      <c r="G29" s="90">
        <v>600</v>
      </c>
      <c r="H29" s="91">
        <f>F29*G29</f>
        <v>30402</v>
      </c>
      <c r="I29" s="92"/>
      <c r="J29" s="79">
        <f>VLOOKUP(D29,產線配置圖!$A$3:$C$40,2,0)</f>
        <v>13</v>
      </c>
      <c r="K29" s="80">
        <f>VLOOKUP(D29,產線配置圖!$A$3:$C$40,3,0)</f>
        <v>1440</v>
      </c>
      <c r="L29" s="93">
        <f>K29/J29</f>
        <v>110.76923076923077</v>
      </c>
      <c r="M29" s="94">
        <v>13</v>
      </c>
      <c r="N29" s="95">
        <f>G29/W29*60</f>
        <v>1200.0000000000171</v>
      </c>
      <c r="O29" s="96">
        <f>N29/M29</f>
        <v>92.307692307693614</v>
      </c>
      <c r="P29" s="97">
        <f>M29-J29</f>
        <v>0</v>
      </c>
      <c r="Q29" s="98">
        <f>O29-L29</f>
        <v>-18.46153846153716</v>
      </c>
      <c r="R29" s="99">
        <f>O29/L29</f>
        <v>0.83333333333334514</v>
      </c>
      <c r="S29" s="473"/>
      <c r="T29" s="19">
        <v>0.54166666666666696</v>
      </c>
      <c r="U29" s="19">
        <v>0.5625</v>
      </c>
      <c r="V29" s="92">
        <f>(T29-U28)*24*60</f>
        <v>89.999999999999915</v>
      </c>
      <c r="W29" s="149">
        <f t="shared" si="4"/>
        <v>29.999999999999574</v>
      </c>
      <c r="X29" s="22"/>
      <c r="Y29" s="84"/>
      <c r="Z29" s="90"/>
      <c r="AA29" s="90"/>
      <c r="AB29" s="466"/>
      <c r="AC29" s="466"/>
      <c r="AD29" s="92"/>
      <c r="AE29" s="92"/>
      <c r="AF29" s="312">
        <f t="shared" si="6"/>
        <v>-239.99999999998295</v>
      </c>
      <c r="AG29" s="99">
        <f t="shared" si="7"/>
        <v>0.83333333333334514</v>
      </c>
      <c r="AH29" s="482"/>
    </row>
    <row r="30" spans="1:34" ht="15" customHeight="1">
      <c r="A30" s="470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3"/>
      <c r="T30" s="19"/>
      <c r="U30" s="19"/>
      <c r="V30" s="92"/>
      <c r="W30" s="149">
        <f t="shared" si="4"/>
        <v>0</v>
      </c>
      <c r="X30" s="174"/>
      <c r="Y30" s="301"/>
      <c r="Z30" s="335"/>
      <c r="AA30" s="335"/>
      <c r="AB30" s="466"/>
      <c r="AC30" s="466"/>
      <c r="AD30" s="92"/>
      <c r="AE30" s="92"/>
      <c r="AF30" s="312">
        <f t="shared" si="6"/>
        <v>0</v>
      </c>
      <c r="AG30" s="99" t="e">
        <f t="shared" si="7"/>
        <v>#DIV/0!</v>
      </c>
      <c r="AH30" s="483"/>
    </row>
    <row r="31" spans="1:34" ht="15" customHeight="1">
      <c r="A31" s="47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3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6"/>
      <c r="AC31" s="466"/>
      <c r="AD31" s="92"/>
      <c r="AE31" s="92"/>
      <c r="AF31" s="312">
        <f t="shared" si="6"/>
        <v>0</v>
      </c>
      <c r="AG31" s="99" t="e">
        <f t="shared" si="7"/>
        <v>#DIV/0!</v>
      </c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6"/>
      <c r="AC32" s="466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6"/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>
        <f t="shared" ref="J37:O37" si="8">AVERAGE(J27:J36)</f>
        <v>14.333333333333334</v>
      </c>
      <c r="K37" s="155">
        <f t="shared" si="8"/>
        <v>1481.6666666666667</v>
      </c>
      <c r="L37" s="158">
        <f t="shared" si="8"/>
        <v>104.53242835595778</v>
      </c>
      <c r="M37" s="155">
        <f t="shared" si="8"/>
        <v>14.333333333333334</v>
      </c>
      <c r="N37" s="155">
        <f t="shared" si="8"/>
        <v>1219.7333333333281</v>
      </c>
      <c r="O37" s="158">
        <f t="shared" si="8"/>
        <v>86.170739064856335</v>
      </c>
      <c r="P37" s="159">
        <f>M37-J37</f>
        <v>0</v>
      </c>
      <c r="Q37" s="160">
        <f>N37-K37</f>
        <v>-261.93333333333862</v>
      </c>
      <c r="R37" s="161">
        <f>O37/L37</f>
        <v>0.8243445638842759</v>
      </c>
      <c r="S37" s="474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7"/>
      <c r="AC37" s="477"/>
      <c r="AD37" s="324">
        <f>SUM(AD27:AD36)</f>
        <v>0</v>
      </c>
      <c r="AE37" s="324">
        <f>SUM(AE27:AE36)</f>
        <v>0</v>
      </c>
      <c r="AF37" s="309">
        <f>N37-K37</f>
        <v>-261.93333333333862</v>
      </c>
      <c r="AG37" s="124">
        <f>N37/K37</f>
        <v>0.82321709786276365</v>
      </c>
      <c r="AH37" s="464"/>
    </row>
    <row r="38" spans="1:34" ht="15" customHeight="1">
      <c r="A38" s="491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1696</v>
      </c>
      <c r="H38" s="134">
        <f>F38*G38</f>
        <v>84647.360000000001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1453.7142857142892</v>
      </c>
      <c r="O38" s="141">
        <f>N38/M38</f>
        <v>96.914285714285953</v>
      </c>
      <c r="P38" s="142">
        <f>M38-J38</f>
        <v>0</v>
      </c>
      <c r="Q38" s="143">
        <f>O38-L38</f>
        <v>-17.352380952380713</v>
      </c>
      <c r="R38" s="144">
        <f>O38/L38</f>
        <v>0.84814135689281756</v>
      </c>
      <c r="S38" s="494">
        <f>R48</f>
        <v>0.86414638661212584</v>
      </c>
      <c r="T38" s="191">
        <v>0.33333333333333298</v>
      </c>
      <c r="U38" s="191">
        <v>0.38194444444444398</v>
      </c>
      <c r="V38" s="192"/>
      <c r="W38" s="193">
        <f t="shared" si="4"/>
        <v>69.999999999999829</v>
      </c>
      <c r="X38" s="194"/>
      <c r="Y38" s="302"/>
      <c r="Z38" s="336"/>
      <c r="AA38" s="336"/>
      <c r="AB38" s="496" t="s">
        <v>172</v>
      </c>
      <c r="AC38" s="496"/>
      <c r="AD38" s="192">
        <v>1</v>
      </c>
      <c r="AE38" s="192">
        <v>1</v>
      </c>
      <c r="AF38" s="313">
        <f>N38-K38</f>
        <v>-260.28571428571081</v>
      </c>
      <c r="AG38" s="195">
        <f>N38/K38</f>
        <v>0.84814135689281744</v>
      </c>
      <c r="AH38" s="484">
        <f>AG48</f>
        <v>0.8643583563141547</v>
      </c>
    </row>
    <row r="39" spans="1:34" ht="15" customHeight="1">
      <c r="A39" s="492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2048</v>
      </c>
      <c r="H39" s="91">
        <f>F39*G39</f>
        <v>90726.399999999994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1365.3333333333335</v>
      </c>
      <c r="O39" s="203">
        <f>N39/M39</f>
        <v>80.313725490196092</v>
      </c>
      <c r="P39" s="97">
        <f>M39-J39</f>
        <v>0</v>
      </c>
      <c r="Q39" s="98">
        <f>O39-L39</f>
        <v>-15.921568627450966</v>
      </c>
      <c r="R39" s="99">
        <f>O39/L39</f>
        <v>0.83455582722086408</v>
      </c>
      <c r="S39" s="495"/>
      <c r="T39" s="20">
        <v>0.38888888888888901</v>
      </c>
      <c r="U39" s="20">
        <v>0.45138888888888901</v>
      </c>
      <c r="V39" s="92">
        <f>(T39-U38)*24*60</f>
        <v>10.000000000000844</v>
      </c>
      <c r="W39" s="205">
        <f t="shared" si="4"/>
        <v>90</v>
      </c>
      <c r="X39" s="22"/>
      <c r="Y39" s="84"/>
      <c r="Z39" s="90"/>
      <c r="AA39" s="90"/>
      <c r="AB39" s="487" t="s">
        <v>173</v>
      </c>
      <c r="AC39" s="487"/>
      <c r="AD39" s="200">
        <v>1</v>
      </c>
      <c r="AE39" s="200"/>
      <c r="AF39" s="314">
        <f>N39-K39</f>
        <v>-270.66666666666652</v>
      </c>
      <c r="AG39" s="206">
        <f>N39/K39</f>
        <v>0.83455582722086397</v>
      </c>
      <c r="AH39" s="485"/>
    </row>
    <row r="40" spans="1:34" ht="15" customHeight="1">
      <c r="A40" s="492"/>
      <c r="B40" s="75" t="s">
        <v>81</v>
      </c>
      <c r="C40" s="207"/>
      <c r="D40" s="198" t="s">
        <v>128</v>
      </c>
      <c r="E40" s="178"/>
      <c r="F40" s="75">
        <f>VLOOKUP(D40,廠價表!$C$1:$E$43,3,0)</f>
        <v>57.21</v>
      </c>
      <c r="G40" s="199">
        <v>1839</v>
      </c>
      <c r="H40" s="91">
        <f>F40*G40</f>
        <v>105209.19</v>
      </c>
      <c r="I40" s="200"/>
      <c r="J40" s="148">
        <f>VLOOKUP(D40,產線配置圖!$A$3:$C$40,2,0)</f>
        <v>17</v>
      </c>
      <c r="K40" s="95">
        <f>VLOOKUP(D40,產線配置圖!$A$3:$C$40,3,0)</f>
        <v>1716</v>
      </c>
      <c r="L40" s="96">
        <f>K40/J40</f>
        <v>100.94117647058823</v>
      </c>
      <c r="M40" s="201">
        <v>17</v>
      </c>
      <c r="N40" s="202">
        <f>G40/W40*60</f>
        <v>1532.5000000000002</v>
      </c>
      <c r="O40" s="203">
        <f>N40/M40</f>
        <v>90.14705882352942</v>
      </c>
      <c r="P40" s="97">
        <f>M40-J40</f>
        <v>0</v>
      </c>
      <c r="Q40" s="98">
        <f>O40-L40</f>
        <v>-10.794117647058812</v>
      </c>
      <c r="R40" s="99">
        <f>O40/L40</f>
        <v>0.8930652680652682</v>
      </c>
      <c r="S40" s="417"/>
      <c r="T40" s="20">
        <v>0.45624999999999999</v>
      </c>
      <c r="U40" s="20">
        <v>0.50624999999999998</v>
      </c>
      <c r="V40" s="92">
        <f>(T40-U39)*24*60</f>
        <v>6.9999999999998153</v>
      </c>
      <c r="W40" s="205">
        <f t="shared" si="4"/>
        <v>71.999999999999986</v>
      </c>
      <c r="X40" s="208">
        <v>0.52083333333333304</v>
      </c>
      <c r="Y40" s="209">
        <v>0.5625</v>
      </c>
      <c r="Z40" s="337"/>
      <c r="AA40" s="337"/>
      <c r="AB40" s="466"/>
      <c r="AC40" s="466"/>
      <c r="AD40" s="92"/>
      <c r="AE40" s="92"/>
      <c r="AF40" s="314">
        <f>N40-K40</f>
        <v>-183.49999999999977</v>
      </c>
      <c r="AG40" s="206">
        <f>N40/K40</f>
        <v>0.8930652680652682</v>
      </c>
      <c r="AH40" s="485"/>
    </row>
    <row r="41" spans="1:34" ht="15" customHeight="1">
      <c r="A41" s="492"/>
      <c r="B41" s="75" t="s">
        <v>123</v>
      </c>
      <c r="C41" s="207"/>
      <c r="D41" s="198" t="s">
        <v>126</v>
      </c>
      <c r="E41" s="178"/>
      <c r="F41" s="75">
        <f>VLOOKUP(D41,廠價表!$C$1:$E$43,3,0)</f>
        <v>49.91</v>
      </c>
      <c r="G41" s="199">
        <v>623</v>
      </c>
      <c r="H41" s="91">
        <f t="shared" ref="H41:H42" si="9">F41*G41</f>
        <v>31093.929999999997</v>
      </c>
      <c r="I41" s="200"/>
      <c r="J41" s="148">
        <f>VLOOKUP(D41,產線配置圖!$A$3:$C$40,2,0)</f>
        <v>15</v>
      </c>
      <c r="K41" s="95">
        <f>VLOOKUP(D41,產線配置圖!$A$3:$C$40,3,0)</f>
        <v>1714</v>
      </c>
      <c r="L41" s="96">
        <f t="shared" ref="L41:L42" si="10">K41/J41</f>
        <v>114.26666666666667</v>
      </c>
      <c r="M41" s="201">
        <v>15</v>
      </c>
      <c r="N41" s="202">
        <f t="shared" ref="N41:N42" si="11">G41/W41*60</f>
        <v>1495.2000000000053</v>
      </c>
      <c r="O41" s="203">
        <f t="shared" ref="O41:O42" si="12">N41/M41</f>
        <v>99.680000000000348</v>
      </c>
      <c r="P41" s="97">
        <f t="shared" ref="P41:P42" si="13">M41-J41</f>
        <v>0</v>
      </c>
      <c r="Q41" s="98">
        <f t="shared" ref="Q41:Q42" si="14">O41-L41</f>
        <v>-14.586666666666318</v>
      </c>
      <c r="R41" s="99">
        <f t="shared" ref="R41:R42" si="15">O41/L41</f>
        <v>0.87234539089848617</v>
      </c>
      <c r="S41" s="417"/>
      <c r="T41" s="20">
        <v>0.56597222222222199</v>
      </c>
      <c r="U41" s="210">
        <v>0.58333333333333304</v>
      </c>
      <c r="V41" s="92">
        <f t="shared" ref="V41:V42" si="16">(T41-U40)*24*60</f>
        <v>85.999999999999687</v>
      </c>
      <c r="W41" s="205">
        <f t="shared" si="4"/>
        <v>24.999999999999911</v>
      </c>
      <c r="X41" s="208"/>
      <c r="Y41" s="209"/>
      <c r="Z41" s="337"/>
      <c r="AA41" s="337"/>
      <c r="AB41" s="466"/>
      <c r="AC41" s="466"/>
      <c r="AD41" s="92"/>
      <c r="AE41" s="92"/>
      <c r="AF41" s="314">
        <f>N41-K41</f>
        <v>-218.79999999999472</v>
      </c>
      <c r="AG41" s="206">
        <f>N41/K41</f>
        <v>0.87234539089848617</v>
      </c>
      <c r="AH41" s="485"/>
    </row>
    <row r="42" spans="1:34" ht="15" customHeight="1">
      <c r="A42" s="492"/>
      <c r="B42" s="75" t="s">
        <v>123</v>
      </c>
      <c r="C42" s="86"/>
      <c r="D42" s="198" t="s">
        <v>124</v>
      </c>
      <c r="E42" s="87"/>
      <c r="F42" s="75">
        <f>VLOOKUP(D42,廠價表!$C$1:$E$43,3,0)</f>
        <v>44.3</v>
      </c>
      <c r="G42" s="199">
        <v>1856</v>
      </c>
      <c r="H42" s="91">
        <f t="shared" si="9"/>
        <v>82220.799999999988</v>
      </c>
      <c r="I42" s="200"/>
      <c r="J42" s="148">
        <f>VLOOKUP(D42,產線配置圖!$A$3:$C$40,2,0)</f>
        <v>17</v>
      </c>
      <c r="K42" s="95">
        <f>VLOOKUP(D42,產線配置圖!$A$3:$C$40,3,0)</f>
        <v>1636</v>
      </c>
      <c r="L42" s="96">
        <f t="shared" si="10"/>
        <v>96.235294117647058</v>
      </c>
      <c r="M42" s="201">
        <v>17</v>
      </c>
      <c r="N42" s="202">
        <f t="shared" si="11"/>
        <v>1427.6923076922981</v>
      </c>
      <c r="O42" s="203">
        <f t="shared" si="12"/>
        <v>83.981900452488119</v>
      </c>
      <c r="P42" s="97">
        <f t="shared" si="13"/>
        <v>0</v>
      </c>
      <c r="Q42" s="98">
        <f t="shared" si="14"/>
        <v>-12.253393665158939</v>
      </c>
      <c r="R42" s="99">
        <f t="shared" si="15"/>
        <v>0.87267255971411861</v>
      </c>
      <c r="S42" s="417"/>
      <c r="T42" s="210">
        <v>0.58819444444444402</v>
      </c>
      <c r="U42" s="210">
        <v>0.64236111111111105</v>
      </c>
      <c r="V42" s="92">
        <f t="shared" si="16"/>
        <v>6.9999999999998153</v>
      </c>
      <c r="W42" s="205">
        <f t="shared" si="4"/>
        <v>78.000000000000526</v>
      </c>
      <c r="X42" s="208"/>
      <c r="Y42" s="211"/>
      <c r="Z42" s="338"/>
      <c r="AA42" s="338"/>
      <c r="AB42" s="466"/>
      <c r="AC42" s="466"/>
      <c r="AD42" s="92"/>
      <c r="AE42" s="92"/>
      <c r="AF42" s="314"/>
      <c r="AG42" s="206"/>
      <c r="AH42" s="485"/>
    </row>
    <row r="43" spans="1:34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>
        <f t="shared" ref="J48:O48" si="17">AVERAGE(J38:J47)</f>
        <v>16.2</v>
      </c>
      <c r="K48" s="155">
        <f t="shared" si="17"/>
        <v>1683.2</v>
      </c>
      <c r="L48" s="158">
        <f t="shared" si="17"/>
        <v>104.38901960784312</v>
      </c>
      <c r="M48" s="155">
        <f t="shared" si="17"/>
        <v>16.2</v>
      </c>
      <c r="N48" s="155">
        <f t="shared" si="17"/>
        <v>1454.8879853479852</v>
      </c>
      <c r="O48" s="158">
        <f t="shared" si="17"/>
        <v>90.207394096099989</v>
      </c>
      <c r="P48" s="221">
        <f>M48-J48</f>
        <v>0</v>
      </c>
      <c r="Q48" s="222">
        <f>N48-K48</f>
        <v>-228.3120146520148</v>
      </c>
      <c r="R48" s="223">
        <f>O48/L48</f>
        <v>0.86414638661212584</v>
      </c>
      <c r="S48" s="420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7"/>
      <c r="AC48" s="467"/>
      <c r="AD48" s="323">
        <f>SUM(AD38:AD47)</f>
        <v>2</v>
      </c>
      <c r="AE48" s="323">
        <f>SUM(AE38:AE47)</f>
        <v>1</v>
      </c>
      <c r="AF48" s="315">
        <f t="shared" ref="AF48:AF53" si="18">N48-K48</f>
        <v>-228.3120146520148</v>
      </c>
      <c r="AG48" s="162">
        <f t="shared" ref="AG48:AG53" si="19">N48/K48</f>
        <v>0.8643583563141547</v>
      </c>
      <c r="AH48" s="486"/>
    </row>
    <row r="49" spans="1:34" ht="15" customHeight="1">
      <c r="A49" s="488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1731</v>
      </c>
      <c r="H49" s="134">
        <f>F49*G49</f>
        <v>85719.12000000001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1384.7999999999813</v>
      </c>
      <c r="O49" s="141">
        <f>N49/M49</f>
        <v>81.458823529410665</v>
      </c>
      <c r="P49" s="229">
        <f>M49-J49</f>
        <v>0</v>
      </c>
      <c r="Q49" s="230">
        <f>O49-L49</f>
        <v>-6.7764705882363927</v>
      </c>
      <c r="R49" s="52">
        <f>O49/L49</f>
        <v>0.92319999999998759</v>
      </c>
      <c r="S49" s="416">
        <f>R58</f>
        <v>0.92452293708295874</v>
      </c>
      <c r="T49" s="191">
        <v>0.28819444444444398</v>
      </c>
      <c r="U49" s="191">
        <v>0.34027777777777801</v>
      </c>
      <c r="V49" s="55"/>
      <c r="W49" s="193">
        <f t="shared" si="4"/>
        <v>75.000000000001009</v>
      </c>
      <c r="X49" s="55"/>
      <c r="Y49" s="290"/>
      <c r="Z49" s="169"/>
      <c r="AA49" s="169"/>
      <c r="AB49" s="468"/>
      <c r="AC49" s="468"/>
      <c r="AD49" s="135"/>
      <c r="AE49" s="135"/>
      <c r="AF49" s="229">
        <f t="shared" si="18"/>
        <v>-115.20000000001869</v>
      </c>
      <c r="AG49" s="52">
        <f t="shared" si="19"/>
        <v>0.92319999999998759</v>
      </c>
      <c r="AH49" s="461">
        <f>AG58</f>
        <v>0.924683575704077</v>
      </c>
    </row>
    <row r="50" spans="1:34" ht="15" customHeight="1">
      <c r="A50" s="489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2702</v>
      </c>
      <c r="H50" s="231">
        <f>F50*G50</f>
        <v>135018.94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1671.3402061855702</v>
      </c>
      <c r="O50" s="235">
        <f>N50/M50</f>
        <v>104.45876288659814</v>
      </c>
      <c r="P50" s="74">
        <f>M50-J50</f>
        <v>0</v>
      </c>
      <c r="Q50" s="83">
        <f>O50-L50</f>
        <v>-8.0412371134018628</v>
      </c>
      <c r="R50" s="72">
        <f>O50/L50</f>
        <v>0.92852233676976126</v>
      </c>
      <c r="S50" s="417"/>
      <c r="T50" s="21">
        <v>0.34583333333333299</v>
      </c>
      <c r="U50" s="21">
        <v>0.41319444444444398</v>
      </c>
      <c r="V50" s="30">
        <f>(T50-U49)*24*60</f>
        <v>7.9999999999991722</v>
      </c>
      <c r="W50" s="236">
        <f t="shared" si="4"/>
        <v>96.999999999999815</v>
      </c>
      <c r="X50" s="22"/>
      <c r="Y50" s="84"/>
      <c r="Z50" s="90"/>
      <c r="AA50" s="90"/>
      <c r="AB50" s="466"/>
      <c r="AC50" s="466"/>
      <c r="AD50" s="92"/>
      <c r="AE50" s="92"/>
      <c r="AF50" s="307">
        <f t="shared" si="18"/>
        <v>-128.6597938144298</v>
      </c>
      <c r="AG50" s="72">
        <f t="shared" si="19"/>
        <v>0.92852233676976126</v>
      </c>
      <c r="AH50" s="462"/>
    </row>
    <row r="51" spans="1:34" ht="15" customHeight="1">
      <c r="A51" s="489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2030</v>
      </c>
      <c r="H51" s="231">
        <f>F51*G51</f>
        <v>102086.67</v>
      </c>
      <c r="I51" s="232"/>
      <c r="J51" s="79">
        <v>17</v>
      </c>
      <c r="K51" s="80">
        <f>VLOOKUP(D51,產線配置圖!$A$3:$C$40,3,0)</f>
        <v>1565</v>
      </c>
      <c r="L51" s="81">
        <f>K51/J51</f>
        <v>92.058823529411768</v>
      </c>
      <c r="M51" s="233">
        <v>17</v>
      </c>
      <c r="N51" s="234">
        <f>G51/W51*60</f>
        <v>1467.4698795180691</v>
      </c>
      <c r="O51" s="235">
        <f>N51/M51</f>
        <v>86.321757618709952</v>
      </c>
      <c r="P51" s="74">
        <f>M51-J51</f>
        <v>0</v>
      </c>
      <c r="Q51" s="83">
        <f>O51-L51</f>
        <v>-5.7370659107018156</v>
      </c>
      <c r="R51" s="72">
        <f>O51/L51</f>
        <v>0.93768043419684932</v>
      </c>
      <c r="S51" s="417"/>
      <c r="T51" s="21">
        <v>0.41944444444444401</v>
      </c>
      <c r="U51" s="19">
        <v>0.47708333333333303</v>
      </c>
      <c r="V51" s="30">
        <f>(T51-U50)*24*60</f>
        <v>9.000000000000048</v>
      </c>
      <c r="W51" s="236">
        <f t="shared" si="4"/>
        <v>83.000000000000185</v>
      </c>
      <c r="X51" s="22">
        <v>0.483333333333333</v>
      </c>
      <c r="Y51" s="84">
        <v>0.53472222222222199</v>
      </c>
      <c r="Z51" s="90"/>
      <c r="AA51" s="90"/>
      <c r="AB51" s="466"/>
      <c r="AC51" s="466"/>
      <c r="AD51" s="92"/>
      <c r="AE51" s="92"/>
      <c r="AF51" s="307">
        <f t="shared" si="18"/>
        <v>-97.530120481930908</v>
      </c>
      <c r="AG51" s="72">
        <f t="shared" si="19"/>
        <v>0.93768043419684921</v>
      </c>
      <c r="AH51" s="462"/>
    </row>
    <row r="52" spans="1:34" ht="15" customHeight="1">
      <c r="A52" s="489"/>
      <c r="B52" s="75" t="s">
        <v>81</v>
      </c>
      <c r="C52" s="86"/>
      <c r="D52" s="59" t="s">
        <v>121</v>
      </c>
      <c r="E52" s="87"/>
      <c r="F52" s="75">
        <f>VLOOKUP(D52,廠價表!$C$1:$E$43,3,0)</f>
        <v>50.289000000000001</v>
      </c>
      <c r="G52" s="202">
        <v>1620</v>
      </c>
      <c r="H52" s="231">
        <f t="shared" ref="H52:H53" si="20">F52*G52</f>
        <v>81468.180000000008</v>
      </c>
      <c r="I52" s="232"/>
      <c r="J52" s="79">
        <v>17</v>
      </c>
      <c r="K52" s="80">
        <f>VLOOKUP(D52,產線配置圖!$A$3:$C$40,3,0)</f>
        <v>1565</v>
      </c>
      <c r="L52" s="81">
        <f t="shared" ref="L52:L53" si="21">K52/J52</f>
        <v>92.058823529411768</v>
      </c>
      <c r="M52" s="233">
        <v>17</v>
      </c>
      <c r="N52" s="234">
        <f t="shared" ref="N52:N53" si="22">G52/W52*60</f>
        <v>1450.7462686567078</v>
      </c>
      <c r="O52" s="235">
        <f t="shared" ref="O52:O53" si="23">N52/M52</f>
        <v>85.33801580333575</v>
      </c>
      <c r="P52" s="74">
        <f t="shared" ref="P52:P53" si="24">M52-J52</f>
        <v>0</v>
      </c>
      <c r="Q52" s="83">
        <f t="shared" ref="Q52:Q53" si="25">O52-L52</f>
        <v>-6.7208077260760177</v>
      </c>
      <c r="R52" s="72">
        <f t="shared" ref="R52:R53" si="26">O52/L52</f>
        <v>0.92699442086690587</v>
      </c>
      <c r="S52" s="417"/>
      <c r="T52" s="21">
        <v>0.53333333333333299</v>
      </c>
      <c r="U52" s="21">
        <v>0.57986111111111105</v>
      </c>
      <c r="V52" s="30">
        <f>(T52-U51)*24*60</f>
        <v>80.999999999999957</v>
      </c>
      <c r="W52" s="236">
        <f t="shared" si="4"/>
        <v>67.000000000000398</v>
      </c>
      <c r="X52" s="22"/>
      <c r="Y52" s="84"/>
      <c r="Z52" s="90">
        <v>1</v>
      </c>
      <c r="AA52" s="90">
        <v>7</v>
      </c>
      <c r="AB52" s="466" t="s">
        <v>174</v>
      </c>
      <c r="AC52" s="466"/>
      <c r="AD52" s="92"/>
      <c r="AE52" s="92"/>
      <c r="AF52" s="307">
        <f t="shared" si="18"/>
        <v>-114.2537313432922</v>
      </c>
      <c r="AG52" s="72">
        <f t="shared" si="19"/>
        <v>0.92699442086690598</v>
      </c>
      <c r="AH52" s="462"/>
    </row>
    <row r="53" spans="1:34" ht="15" customHeight="1">
      <c r="A53" s="489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1554</v>
      </c>
      <c r="H53" s="231">
        <f t="shared" si="20"/>
        <v>77653.38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21"/>
        <v>112.5</v>
      </c>
      <c r="M53" s="108">
        <v>16</v>
      </c>
      <c r="N53" s="234">
        <f t="shared" si="22"/>
        <v>1635.7894736842256</v>
      </c>
      <c r="O53" s="235">
        <f t="shared" si="23"/>
        <v>102.2368421052641</v>
      </c>
      <c r="P53" s="74">
        <f t="shared" si="24"/>
        <v>0</v>
      </c>
      <c r="Q53" s="83">
        <f t="shared" si="25"/>
        <v>-10.263157894735897</v>
      </c>
      <c r="R53" s="72">
        <f t="shared" si="26"/>
        <v>0.90877192982456978</v>
      </c>
      <c r="S53" s="417"/>
      <c r="T53" s="21">
        <v>0.58541666666666703</v>
      </c>
      <c r="U53" s="21">
        <v>0.625</v>
      </c>
      <c r="V53" s="30">
        <f>(T53-U52)*24*60</f>
        <v>8.0000000000006111</v>
      </c>
      <c r="W53" s="236">
        <f t="shared" si="4"/>
        <v>56.999999999999474</v>
      </c>
      <c r="X53" s="30"/>
      <c r="Y53" s="151"/>
      <c r="Z53" s="90"/>
      <c r="AA53" s="90"/>
      <c r="AB53" s="466"/>
      <c r="AC53" s="466"/>
      <c r="AD53" s="92"/>
      <c r="AE53" s="92"/>
      <c r="AF53" s="307">
        <f t="shared" si="18"/>
        <v>-164.21052631577436</v>
      </c>
      <c r="AG53" s="72">
        <f t="shared" si="19"/>
        <v>0.90877192982456978</v>
      </c>
      <c r="AH53" s="462"/>
    </row>
    <row r="54" spans="1:34" ht="15" customHeight="1">
      <c r="A54" s="48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7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>
      <c r="A58" s="490"/>
      <c r="B58" s="239"/>
      <c r="C58" s="153" t="s">
        <v>51</v>
      </c>
      <c r="D58" s="437" t="s">
        <v>42</v>
      </c>
      <c r="E58" s="437"/>
      <c r="F58" s="116"/>
      <c r="G58" s="240"/>
      <c r="H58" s="118"/>
      <c r="I58" s="117"/>
      <c r="J58" s="120">
        <f t="shared" ref="J58:O58" si="27">AVERAGE(J49:J57)</f>
        <v>16.600000000000001</v>
      </c>
      <c r="K58" s="120">
        <f t="shared" si="27"/>
        <v>1646</v>
      </c>
      <c r="L58" s="117">
        <f t="shared" si="27"/>
        <v>99.470588235294116</v>
      </c>
      <c r="M58" s="120">
        <f t="shared" si="27"/>
        <v>16.600000000000001</v>
      </c>
      <c r="N58" s="120">
        <f t="shared" si="27"/>
        <v>1522.0291656089107</v>
      </c>
      <c r="O58" s="117">
        <f t="shared" si="27"/>
        <v>91.962840388663722</v>
      </c>
      <c r="P58" s="121">
        <f>M58-J58</f>
        <v>0</v>
      </c>
      <c r="Q58" s="122">
        <f>N58-K58</f>
        <v>-123.97083439108928</v>
      </c>
      <c r="R58" s="123">
        <f>O58/L58</f>
        <v>0.92452293708295874</v>
      </c>
      <c r="S58" s="420"/>
      <c r="T58" s="241"/>
      <c r="U58" s="241"/>
      <c r="V58" s="126"/>
      <c r="W58" s="242"/>
      <c r="X58" s="128"/>
      <c r="Y58" s="295"/>
      <c r="Z58" s="334">
        <f>SUM(Z49:Z57)</f>
        <v>1</v>
      </c>
      <c r="AA58" s="334">
        <f>SUM(AA49:AA57)</f>
        <v>7</v>
      </c>
      <c r="AB58" s="467"/>
      <c r="AC58" s="467"/>
      <c r="AD58" s="323">
        <f>SUM(AD49:AD57)</f>
        <v>0</v>
      </c>
      <c r="AE58" s="323">
        <f>SUM(AE49:AE57)</f>
        <v>0</v>
      </c>
      <c r="AF58" s="309">
        <f>N58-K58</f>
        <v>-123.97083439108928</v>
      </c>
      <c r="AG58" s="124">
        <f>N58/K58</f>
        <v>0.924683575704077</v>
      </c>
      <c r="AH58" s="464"/>
    </row>
    <row r="59" spans="1:34" ht="15" customHeight="1">
      <c r="A59" s="502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3352</v>
      </c>
      <c r="H59" s="243">
        <f>F59*G59</f>
        <v>90470.48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1489.7777777777778</v>
      </c>
      <c r="O59" s="138">
        <f>N59/M59</f>
        <v>99.318518518518516</v>
      </c>
      <c r="P59" s="56">
        <f>M59-J59</f>
        <v>0</v>
      </c>
      <c r="Q59" s="230">
        <f>O59-L59</f>
        <v>-5.0148148148148124</v>
      </c>
      <c r="R59" s="52">
        <f>O59/L59</f>
        <v>0.95193468228611999</v>
      </c>
      <c r="S59" s="416">
        <f>R69</f>
        <v>0.93398019958190703</v>
      </c>
      <c r="T59" s="245">
        <v>0.29166666666666702</v>
      </c>
      <c r="U59" s="245">
        <v>0.38541666666666702</v>
      </c>
      <c r="V59" s="55"/>
      <c r="W59" s="54">
        <f t="shared" si="4"/>
        <v>135</v>
      </c>
      <c r="X59" s="55"/>
      <c r="Y59" s="290"/>
      <c r="Z59" s="169"/>
      <c r="AA59" s="169"/>
      <c r="AB59" s="468"/>
      <c r="AC59" s="468"/>
      <c r="AD59" s="135"/>
      <c r="AE59" s="135"/>
      <c r="AF59" s="310">
        <f>N59-K59</f>
        <v>-75.222222222222172</v>
      </c>
      <c r="AG59" s="246">
        <f>N59/K59</f>
        <v>0.95193468228611999</v>
      </c>
      <c r="AH59" s="461">
        <f>AG69</f>
        <v>0.93577564785232836</v>
      </c>
    </row>
    <row r="60" spans="1:34" ht="15" customHeight="1">
      <c r="A60" s="503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1799</v>
      </c>
      <c r="H60" s="78">
        <f>F60*G60</f>
        <v>50839.740000000005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1439.2000000000098</v>
      </c>
      <c r="O60" s="81">
        <f>N60/M60</f>
        <v>119.93333333333415</v>
      </c>
      <c r="P60" s="74">
        <f>M60-J60</f>
        <v>0</v>
      </c>
      <c r="Q60" s="83">
        <f>O60-L60</f>
        <v>-10.48333333333251</v>
      </c>
      <c r="R60" s="72">
        <f>O60/L60</f>
        <v>0.91961661341853662</v>
      </c>
      <c r="S60" s="506"/>
      <c r="T60" s="22">
        <v>0.39236111111111099</v>
      </c>
      <c r="U60" s="22">
        <v>0.44444444444444398</v>
      </c>
      <c r="V60" s="30">
        <f>(T60-U59)*24*60</f>
        <v>9.999999999999325</v>
      </c>
      <c r="W60" s="248">
        <f t="shared" si="4"/>
        <v>74.999999999999488</v>
      </c>
      <c r="X60" s="232"/>
      <c r="Y60" s="177"/>
      <c r="Z60" s="90"/>
      <c r="AA60" s="90"/>
      <c r="AB60" s="466"/>
      <c r="AC60" s="466"/>
      <c r="AD60" s="92"/>
      <c r="AE60" s="92"/>
      <c r="AF60" s="316">
        <f>N60-K60</f>
        <v>-125.79999999999018</v>
      </c>
      <c r="AG60" s="249">
        <f>N60/K60</f>
        <v>0.91961661341853662</v>
      </c>
      <c r="AH60" s="497"/>
    </row>
    <row r="61" spans="1:34" ht="15" customHeight="1">
      <c r="A61" s="504"/>
      <c r="B61" s="250"/>
      <c r="C61" s="251"/>
      <c r="D61" s="252"/>
      <c r="E61" s="253"/>
      <c r="F61" s="250"/>
      <c r="G61" s="38"/>
      <c r="H61" s="254"/>
      <c r="I61" s="182"/>
      <c r="J61" s="106"/>
      <c r="K61" s="107"/>
      <c r="L61" s="238"/>
      <c r="M61" s="108"/>
      <c r="N61" s="107"/>
      <c r="O61" s="238"/>
      <c r="P61" s="111"/>
      <c r="Q61" s="255"/>
      <c r="R61" s="85"/>
      <c r="S61" s="417"/>
      <c r="T61" s="22"/>
      <c r="U61" s="22"/>
      <c r="V61" s="30"/>
      <c r="W61" s="256">
        <f t="shared" si="4"/>
        <v>0</v>
      </c>
      <c r="X61" s="22"/>
      <c r="Y61" s="84"/>
      <c r="Z61" s="90"/>
      <c r="AA61" s="90"/>
      <c r="AB61" s="466"/>
      <c r="AC61" s="466"/>
      <c r="AD61" s="92"/>
      <c r="AE61" s="92"/>
      <c r="AF61" s="317">
        <f>N61-K61</f>
        <v>0</v>
      </c>
      <c r="AG61" s="247" t="e">
        <f>N61/K61</f>
        <v>#DIV/0!</v>
      </c>
      <c r="AH61" s="462"/>
    </row>
    <row r="62" spans="1:34" ht="15" customHeight="1">
      <c r="A62" s="504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7"/>
      <c r="T62" s="22"/>
      <c r="U62" s="22"/>
      <c r="V62" s="30"/>
      <c r="W62" s="248">
        <f t="shared" si="4"/>
        <v>0</v>
      </c>
      <c r="X62" s="22"/>
      <c r="Y62" s="84"/>
      <c r="Z62" s="90"/>
      <c r="AA62" s="90"/>
      <c r="AB62" s="466"/>
      <c r="AC62" s="466"/>
      <c r="AD62" s="92"/>
      <c r="AE62" s="92"/>
      <c r="AF62" s="317">
        <f>N62-K62</f>
        <v>0</v>
      </c>
      <c r="AG62" s="247" t="e">
        <f>N62/K62</f>
        <v>#DIV/0!</v>
      </c>
      <c r="AH62" s="462"/>
    </row>
    <row r="63" spans="1:34" ht="15" customHeight="1">
      <c r="A63" s="504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7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6"/>
      <c r="AC63" s="466"/>
      <c r="AD63" s="92"/>
      <c r="AE63" s="92"/>
      <c r="AF63" s="317"/>
      <c r="AG63" s="247"/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>
        <f t="shared" ref="J69:O69" si="28">AVERAGE(J59:J68)</f>
        <v>13.5</v>
      </c>
      <c r="K69" s="240">
        <f t="shared" si="28"/>
        <v>1565</v>
      </c>
      <c r="L69" s="268">
        <f t="shared" si="28"/>
        <v>117.375</v>
      </c>
      <c r="M69" s="240">
        <f t="shared" si="28"/>
        <v>13.5</v>
      </c>
      <c r="N69" s="240">
        <f t="shared" si="28"/>
        <v>1464.4888888888938</v>
      </c>
      <c r="O69" s="268">
        <f t="shared" si="28"/>
        <v>109.62592592592634</v>
      </c>
      <c r="P69" s="269">
        <f>M69-J69</f>
        <v>0</v>
      </c>
      <c r="Q69" s="222">
        <f>N69-K69</f>
        <v>-100.51111111110617</v>
      </c>
      <c r="R69" s="123">
        <f>O69/L69</f>
        <v>0.93398019958190703</v>
      </c>
      <c r="S69" s="42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7"/>
      <c r="AC69" s="467"/>
      <c r="AD69" s="323">
        <f>SUM(AD59:AD68)</f>
        <v>0</v>
      </c>
      <c r="AE69" s="323">
        <f>SUM(AE59:AE68)</f>
        <v>0</v>
      </c>
      <c r="AF69" s="309">
        <f>N69-K69</f>
        <v>-100.51111111110617</v>
      </c>
      <c r="AG69" s="124">
        <f>N69/K69</f>
        <v>0.93577564785232836</v>
      </c>
      <c r="AH69" s="464"/>
    </row>
    <row r="70" spans="1:36" ht="15" customHeight="1">
      <c r="A70" s="498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6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68"/>
      <c r="AC70" s="468"/>
      <c r="AD70" s="135"/>
      <c r="AE70" s="135"/>
      <c r="AF70" s="310">
        <f>N70-K70</f>
        <v>0</v>
      </c>
      <c r="AG70" s="246" t="e">
        <f>N70/K70</f>
        <v>#DIV/0!</v>
      </c>
      <c r="AH70" s="461" t="e">
        <f>AG79</f>
        <v>#DIV/0!</v>
      </c>
    </row>
    <row r="71" spans="1:36" ht="15" customHeight="1">
      <c r="A71" s="499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7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7"/>
      <c r="AC71" s="487"/>
      <c r="AD71" s="200"/>
      <c r="AE71" s="200"/>
      <c r="AF71" s="311">
        <v>-300.31249999999704</v>
      </c>
      <c r="AG71" s="99">
        <v>0.80810702875399554</v>
      </c>
      <c r="AH71" s="482"/>
    </row>
    <row r="72" spans="1:36" ht="15" customHeight="1">
      <c r="A72" s="499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7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6"/>
      <c r="AC72" s="466"/>
      <c r="AD72" s="92"/>
      <c r="AE72" s="92"/>
      <c r="AF72" s="311">
        <v>-130.33333333333326</v>
      </c>
      <c r="AG72" s="99">
        <v>0.91671991480298198</v>
      </c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6"/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>
      <c r="A79" s="500"/>
      <c r="B79" s="239"/>
      <c r="C79" s="153"/>
      <c r="D79" s="437"/>
      <c r="E79" s="437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W3:W4"/>
    <mergeCell ref="X3:Y3"/>
    <mergeCell ref="Z3:AA3"/>
    <mergeCell ref="AB1:AC2"/>
    <mergeCell ref="AF1:AH2"/>
    <mergeCell ref="AD3:AE3"/>
    <mergeCell ref="AF3:AF4"/>
    <mergeCell ref="AG3:AG4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A2:B2"/>
    <mergeCell ref="A3:A4"/>
    <mergeCell ref="B3:B4"/>
    <mergeCell ref="D3:E4"/>
    <mergeCell ref="F3:F4"/>
    <mergeCell ref="R3:R4"/>
    <mergeCell ref="T3:U3"/>
    <mergeCell ref="V3:V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42:AC42"/>
    <mergeCell ref="AB43:AC43"/>
    <mergeCell ref="AB44:AC44"/>
    <mergeCell ref="AB45:AC45"/>
    <mergeCell ref="AB46:AC46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274" priority="1" operator="greaterThan">
      <formula>0</formula>
    </cfRule>
  </conditionalFormatting>
  <conditionalFormatting sqref="Q5:Q79 AF5:AF79">
    <cfRule type="cellIs" dxfId="273" priority="4" operator="lessThan">
      <formula>0</formula>
    </cfRule>
  </conditionalFormatting>
  <conditionalFormatting sqref="R5:R79 AG5:AG79">
    <cfRule type="cellIs" dxfId="272" priority="2" operator="greaterThan">
      <formula>1</formula>
    </cfRule>
    <cfRule type="cellIs" dxfId="271" priority="3" operator="lessThan">
      <formula>0.8</formula>
    </cfRule>
  </conditionalFormatting>
  <conditionalFormatting sqref="S5:S10 S37:S62 AH59:AH62 S69:S76 AH69:AH76">
    <cfRule type="cellIs" dxfId="270" priority="7" operator="lessThan">
      <formula>0.8</formula>
    </cfRule>
  </conditionalFormatting>
  <conditionalFormatting sqref="S19:S25 AH19:AH25">
    <cfRule type="cellIs" dxfId="269" priority="6" operator="lessThan">
      <formula>0.8</formula>
    </cfRule>
  </conditionalFormatting>
  <conditionalFormatting sqref="S79">
    <cfRule type="cellIs" dxfId="268" priority="5" operator="lessThan">
      <formula>0.8</formula>
    </cfRule>
  </conditionalFormatting>
  <conditionalFormatting sqref="AH5:AH8 S15:S16 AH15:AH16 AH49 AH79">
    <cfRule type="cellIs" dxfId="267" priority="9" operator="lessThan">
      <formula>0.8</formula>
    </cfRule>
  </conditionalFormatting>
  <conditionalFormatting sqref="AH27 S27:S28">
    <cfRule type="cellIs" dxfId="266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21BEC44-052C-45E7-A7A1-5F18C7B5D0A3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3451-AD41-4964-8B20-0259DFCECDF8}">
  <dimension ref="B1:O26"/>
  <sheetViews>
    <sheetView topLeftCell="A3" zoomScale="70" zoomScaleNormal="70" workbookViewId="0">
      <selection activeCell="U53" sqref="U5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46151</v>
      </c>
      <c r="E3" s="412"/>
      <c r="F3" s="3" t="s">
        <v>72</v>
      </c>
      <c r="G3" s="413">
        <f>'0509'!E1</f>
        <v>50574</v>
      </c>
      <c r="H3" s="413"/>
      <c r="I3" s="3" t="s">
        <v>2</v>
      </c>
      <c r="J3" s="414">
        <f>'0509'!G1</f>
        <v>2485940.7610000004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>
        <f>AVERAGE(D13:I13)</f>
        <v>123.03033433886377</v>
      </c>
      <c r="G6" s="410"/>
      <c r="H6" s="395">
        <f>AVERAGE(D13:H13)</f>
        <v>124.60178582202113</v>
      </c>
      <c r="I6" s="395"/>
      <c r="J6" s="395">
        <f>AVERAGE(I13)</f>
        <v>115.17307692307692</v>
      </c>
      <c r="K6" s="395"/>
      <c r="L6" s="396">
        <f>SUM(D18:J18)</f>
        <v>0</v>
      </c>
      <c r="M6" s="398">
        <f>SUM(D19:J19)</f>
        <v>0</v>
      </c>
      <c r="N6" s="399">
        <f>SUM(D20:J20)</f>
        <v>0</v>
      </c>
      <c r="O6" s="398">
        <f>SUM(D20:J20)</f>
        <v>0</v>
      </c>
    </row>
    <row r="7" spans="2:15" ht="39.6" customHeight="1">
      <c r="B7" s="406"/>
      <c r="C7" s="406"/>
      <c r="D7" s="401" t="s">
        <v>87</v>
      </c>
      <c r="E7" s="401"/>
      <c r="F7" s="402">
        <f>AVERAGE(D14:I14)</f>
        <v>110.22948659678053</v>
      </c>
      <c r="G7" s="402"/>
      <c r="H7" s="403">
        <f>AVERAGE(D14:H14)</f>
        <v>111.5058334665863</v>
      </c>
      <c r="I7" s="403"/>
      <c r="J7" s="403">
        <f>AVERAGE(I14)</f>
        <v>103.84775224775171</v>
      </c>
      <c r="K7" s="403"/>
      <c r="L7" s="397" t="e">
        <f t="shared" ref="L7:O8" si="0">AVERAGE(K14:L14)</f>
        <v>#DIV/0!</v>
      </c>
      <c r="M7" s="398" t="e">
        <f t="shared" si="0"/>
        <v>#DIV/0!</v>
      </c>
      <c r="N7" s="400" t="e">
        <f t="shared" si="0"/>
        <v>#DIV/0!</v>
      </c>
      <c r="O7" s="398" t="e">
        <f t="shared" si="0"/>
        <v>#DIV/0!</v>
      </c>
    </row>
    <row r="8" spans="2:15" ht="39.6" customHeight="1">
      <c r="B8" s="406"/>
      <c r="C8" s="406"/>
      <c r="D8" s="401" t="s">
        <v>27</v>
      </c>
      <c r="E8" s="401"/>
      <c r="F8" s="387">
        <f>F7/F6</f>
        <v>0.89595372709606946</v>
      </c>
      <c r="G8" s="387"/>
      <c r="H8" s="387">
        <f>H7/H6</f>
        <v>0.89489755488624501</v>
      </c>
      <c r="I8" s="387"/>
      <c r="J8" s="387">
        <f>J7/J6</f>
        <v>0.90166690881333933</v>
      </c>
      <c r="K8" s="387"/>
      <c r="L8" s="397" t="e">
        <f t="shared" si="0"/>
        <v>#DIV/0!</v>
      </c>
      <c r="M8" s="398" t="e">
        <f t="shared" si="0"/>
        <v>#DIV/0!</v>
      </c>
      <c r="N8" s="400" t="e">
        <f t="shared" si="0"/>
        <v>#DIV/0!</v>
      </c>
      <c r="O8" s="398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>
        <f>VALUE('0509'!L15)</f>
        <v>150</v>
      </c>
      <c r="E13" s="13">
        <f>VALUE('0509'!L26)</f>
        <v>170.19230769230771</v>
      </c>
      <c r="F13" s="13">
        <f>VALUE('0509'!L37)</f>
        <v>98.957013574660635</v>
      </c>
      <c r="G13" s="13">
        <f>VALUE('0509'!L48)</f>
        <v>104.38901960784315</v>
      </c>
      <c r="H13" s="13">
        <f>VALUE('0509'!L58)</f>
        <v>99.470588235294116</v>
      </c>
      <c r="I13" s="13">
        <f>VALUE('0509'!L69)</f>
        <v>115.17307692307692</v>
      </c>
      <c r="J13" s="13">
        <f>'0509'!L79</f>
        <v>0</v>
      </c>
    </row>
    <row r="14" spans="2:15" ht="39.950000000000003" customHeight="1">
      <c r="B14" s="381"/>
      <c r="C14" s="12" t="s">
        <v>100</v>
      </c>
      <c r="D14" s="13">
        <f>VALUE('0509'!O15)</f>
        <v>142.11566343969295</v>
      </c>
      <c r="E14" s="13">
        <f>VALUE('0509'!O26)</f>
        <v>159.57309310605163</v>
      </c>
      <c r="F14" s="13">
        <f>VALUE('0509'!O37)</f>
        <v>86.273866944174927</v>
      </c>
      <c r="G14" s="13">
        <f>VALUE('0509'!O48)</f>
        <v>77.369282333623758</v>
      </c>
      <c r="H14" s="13">
        <f>VALUE('0509'!O58)</f>
        <v>92.197261509388184</v>
      </c>
      <c r="I14" s="13">
        <f>VALUE('0509'!O69)</f>
        <v>103.84775224775171</v>
      </c>
      <c r="J14" s="13">
        <f>'0509'!O79</f>
        <v>0</v>
      </c>
    </row>
    <row r="15" spans="2:15" ht="39.950000000000003" customHeight="1">
      <c r="B15" s="382"/>
      <c r="C15" s="10" t="s">
        <v>26</v>
      </c>
      <c r="D15" s="14">
        <f t="shared" ref="D15:I15" si="1">D14/D13</f>
        <v>0.94743775626461968</v>
      </c>
      <c r="E15" s="14">
        <f t="shared" si="1"/>
        <v>0.93760461486041624</v>
      </c>
      <c r="F15" s="14">
        <f t="shared" si="1"/>
        <v>0.87183175631187992</v>
      </c>
      <c r="G15" s="14">
        <f t="shared" si="1"/>
        <v>0.74116303251315052</v>
      </c>
      <c r="H15" s="14">
        <f t="shared" si="1"/>
        <v>0.92687962487261921</v>
      </c>
      <c r="I15" s="14">
        <f t="shared" si="1"/>
        <v>0.90166690881333933</v>
      </c>
      <c r="J15" s="15">
        <f>'0509'!S70</f>
        <v>0</v>
      </c>
    </row>
    <row r="16" spans="2:15" ht="17.25" customHeight="1">
      <c r="B16" s="383" t="s">
        <v>101</v>
      </c>
      <c r="C16" s="10" t="s">
        <v>34</v>
      </c>
      <c r="D16" s="16">
        <f>'0509'!T5</f>
        <v>0.29166666666666702</v>
      </c>
      <c r="E16" s="16">
        <f>'0509'!T16</f>
        <v>0.29027777777777802</v>
      </c>
      <c r="F16" s="16">
        <f>'0509'!T27</f>
        <v>0.33333333333333298</v>
      </c>
      <c r="G16" s="16">
        <f>'0509'!T38</f>
        <v>0.33333333333333298</v>
      </c>
      <c r="H16" s="16">
        <f>'0509'!T49</f>
        <v>0.28819444444444398</v>
      </c>
      <c r="I16" s="16">
        <f>'0509'!T59</f>
        <v>0.29166666666666702</v>
      </c>
      <c r="J16" s="16">
        <f>'0509'!T70</f>
        <v>0</v>
      </c>
    </row>
    <row r="17" spans="2:10" ht="17.25" customHeight="1">
      <c r="B17" s="384"/>
      <c r="C17" s="10" t="s">
        <v>35</v>
      </c>
      <c r="D17" s="16">
        <v>0.60277777777777797</v>
      </c>
      <c r="E17" s="19">
        <v>0.48611111111111099</v>
      </c>
      <c r="F17" s="19">
        <v>0.61111111111111105</v>
      </c>
      <c r="G17" s="20">
        <v>0.64375000000000004</v>
      </c>
      <c r="H17" s="21">
        <v>0.63402777777777797</v>
      </c>
      <c r="I17" s="22">
        <v>0.50347222222222199</v>
      </c>
      <c r="J17" s="16">
        <f>'0509'!T71</f>
        <v>0</v>
      </c>
    </row>
    <row r="18" spans="2:10" ht="17.25" customHeight="1">
      <c r="B18" s="385" t="s">
        <v>102</v>
      </c>
      <c r="C18" s="330" t="s">
        <v>36</v>
      </c>
      <c r="D18" s="358">
        <f>'0509'!Z15</f>
        <v>0</v>
      </c>
      <c r="E18" s="359">
        <f>'0509'!Z26</f>
        <v>0</v>
      </c>
      <c r="F18" s="359">
        <f>'0509'!Z37</f>
        <v>0</v>
      </c>
      <c r="G18" s="360">
        <f>'0509'!Z48</f>
        <v>0</v>
      </c>
      <c r="H18" s="360">
        <f>'0509'!Z58</f>
        <v>0</v>
      </c>
      <c r="I18" s="359">
        <f>'0509'!Z69</f>
        <v>0</v>
      </c>
      <c r="J18" s="359">
        <f>'0509'!AA79</f>
        <v>0</v>
      </c>
    </row>
    <row r="19" spans="2:10" ht="17.25" customHeight="1">
      <c r="B19" s="386"/>
      <c r="C19" s="330" t="s">
        <v>37</v>
      </c>
      <c r="D19" s="358">
        <f>'0509'!AA15</f>
        <v>0</v>
      </c>
      <c r="E19" s="359">
        <f>'0509'!AA26</f>
        <v>0</v>
      </c>
      <c r="F19" s="359">
        <f>'0509'!AA37</f>
        <v>0</v>
      </c>
      <c r="G19" s="360">
        <f>'0509'!AA48</f>
        <v>0</v>
      </c>
      <c r="H19" s="360">
        <f>'0509'!AA58</f>
        <v>0</v>
      </c>
      <c r="I19" s="359">
        <f>'0509'!AA69</f>
        <v>0</v>
      </c>
      <c r="J19" s="359">
        <f>'0509'!AB79</f>
        <v>0</v>
      </c>
    </row>
    <row r="20" spans="2:10" ht="17.25" customHeight="1">
      <c r="B20" s="385" t="s">
        <v>103</v>
      </c>
      <c r="C20" s="330" t="s">
        <v>36</v>
      </c>
      <c r="D20" s="358">
        <f>'0509'!AD15</f>
        <v>0</v>
      </c>
      <c r="E20" s="359">
        <f>'0509'!AD26</f>
        <v>0</v>
      </c>
      <c r="F20" s="359">
        <f>'0509'!AD37</f>
        <v>0</v>
      </c>
      <c r="G20" s="360">
        <f>'0509'!AD48</f>
        <v>0</v>
      </c>
      <c r="H20" s="360">
        <f>'0509'!AD58</f>
        <v>0</v>
      </c>
      <c r="I20" s="359">
        <f>'0509'!AD69</f>
        <v>0</v>
      </c>
      <c r="J20" s="359">
        <f>'0509'!AD79</f>
        <v>0</v>
      </c>
    </row>
    <row r="21" spans="2:10" ht="17.25" customHeight="1">
      <c r="B21" s="386"/>
      <c r="C21" s="330" t="s">
        <v>85</v>
      </c>
      <c r="D21" s="358">
        <f>'0509'!AE15</f>
        <v>0</v>
      </c>
      <c r="E21" s="359">
        <f>'0509'!AE26</f>
        <v>0</v>
      </c>
      <c r="F21" s="359">
        <f>'0509'!AE37</f>
        <v>0</v>
      </c>
      <c r="G21" s="360">
        <f>'0509'!AE48</f>
        <v>0</v>
      </c>
      <c r="H21" s="360">
        <f>'0509'!AE58</f>
        <v>0</v>
      </c>
      <c r="I21" s="359">
        <f>'0509'!AE69</f>
        <v>0</v>
      </c>
      <c r="J21" s="359">
        <f>'0509'!AE79</f>
        <v>0</v>
      </c>
    </row>
    <row r="22" spans="2:10" ht="17.25" customHeight="1">
      <c r="B22" s="377" t="s">
        <v>104</v>
      </c>
      <c r="C22" s="378"/>
      <c r="D22" s="23">
        <f>VALUE('0509'!M15)</f>
        <v>14.75</v>
      </c>
      <c r="E22" s="23">
        <f>VALUE('0509'!M26)</f>
        <v>13.333333333333334</v>
      </c>
      <c r="F22" s="23">
        <f>VALUE('0509'!M37)</f>
        <v>15.75</v>
      </c>
      <c r="G22" s="23">
        <f>VALUE('0509'!M48)</f>
        <v>16.2</v>
      </c>
      <c r="H22" s="23">
        <f>VALUE('0509'!M58)</f>
        <v>16.600000000000001</v>
      </c>
      <c r="I22" s="23">
        <f>VALUE('0509'!M69)</f>
        <v>12.666666666666666</v>
      </c>
      <c r="J22" s="23">
        <f>'0509'!M79</f>
        <v>0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65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9198D-B2D5-4D19-AF4E-450FCA0FD0CB}">
  <sheetPr>
    <tabColor theme="9" tint="0.79998168889431442"/>
  </sheetPr>
  <dimension ref="A1:AJ92"/>
  <sheetViews>
    <sheetView zoomScale="69" zoomScaleNormal="69" workbookViewId="0">
      <pane xSplit="5" ySplit="4" topLeftCell="F30" activePane="bottomRight" state="frozen"/>
      <selection activeCell="U53" sqref="U53"/>
      <selection pane="topRight" activeCell="U53" sqref="U53"/>
      <selection pane="bottomLeft" activeCell="U53" sqref="U53"/>
      <selection pane="bottomRight" activeCell="U53" sqref="U5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8" width="8.7109375" style="34" customWidth="1"/>
    <col min="109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50574</v>
      </c>
      <c r="F1" s="30" t="s">
        <v>2</v>
      </c>
      <c r="G1" s="31">
        <f>SUM(H5:H79)</f>
        <v>2485940.7610000004</v>
      </c>
      <c r="H1" s="32" t="s">
        <v>3</v>
      </c>
      <c r="I1" s="33">
        <f>M15+M26+M48+M58+M69+M79+M37</f>
        <v>89.3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175</v>
      </c>
      <c r="B2" s="422"/>
      <c r="C2" s="28"/>
      <c r="D2" s="28" t="s">
        <v>14</v>
      </c>
      <c r="E2" s="35">
        <f>AVERAGE(O15,O26,O37,O48,O58,O69,O79)</f>
        <v>110.22948659678053</v>
      </c>
      <c r="F2" s="36" t="s">
        <v>15</v>
      </c>
      <c r="G2" s="37">
        <f>G1/E1</f>
        <v>49.154521315300357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0</v>
      </c>
      <c r="AA2" s="339">
        <f>AA15+AA26+AA37+AA48+AA58+AA69+AA79</f>
        <v>0</v>
      </c>
      <c r="AB2" s="460"/>
      <c r="AC2" s="460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2888</v>
      </c>
      <c r="H5" s="43">
        <f>F5*G5</f>
        <v>164240.56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2139.25925925926</v>
      </c>
      <c r="O5" s="47">
        <f>N5/M5</f>
        <v>142.61728395061735</v>
      </c>
      <c r="P5" s="49">
        <f>M5-J5</f>
        <v>0</v>
      </c>
      <c r="Q5" s="50">
        <f>O5-L5</f>
        <v>-7.3827160493826511</v>
      </c>
      <c r="R5" s="51">
        <f>O5/L5</f>
        <v>0.95078189300411564</v>
      </c>
      <c r="S5" s="416">
        <f>R15</f>
        <v>0.94743775626461968</v>
      </c>
      <c r="T5" s="319">
        <v>0.29166666666666702</v>
      </c>
      <c r="U5" s="320">
        <v>0.34791666666666698</v>
      </c>
      <c r="V5" s="53"/>
      <c r="W5" s="54">
        <f t="shared" ref="W5:W14" si="0">(U5-T5)*24*60</f>
        <v>80.999999999999957</v>
      </c>
      <c r="X5" s="55"/>
      <c r="Y5" s="290"/>
      <c r="Z5" s="169"/>
      <c r="AA5" s="169"/>
      <c r="AB5" s="468"/>
      <c r="AC5" s="468"/>
      <c r="AD5" s="135"/>
      <c r="AE5" s="135"/>
      <c r="AF5" s="229">
        <f t="shared" ref="AF5:AF11" si="1">N5-K5</f>
        <v>-110.74074074073997</v>
      </c>
      <c r="AG5" s="52">
        <f t="shared" ref="AG5:AG11" si="2">N5/K5</f>
        <v>0.95078189300411553</v>
      </c>
      <c r="AH5" s="461">
        <f>AG15</f>
        <v>0.93094601671165578</v>
      </c>
    </row>
    <row r="6" spans="1:34" ht="15" customHeight="1">
      <c r="A6" s="428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3394</v>
      </c>
      <c r="H6" s="63">
        <f>F6*G6</f>
        <v>197428.98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14</v>
      </c>
      <c r="N6" s="66">
        <f>G6/W6*60</f>
        <v>2077.9591836734567</v>
      </c>
      <c r="O6" s="67">
        <f>N6/M6</f>
        <v>148.42565597667547</v>
      </c>
      <c r="P6" s="69">
        <f>M6-J6</f>
        <v>-1</v>
      </c>
      <c r="Q6" s="70">
        <f>O6-L6</f>
        <v>-1.5743440233245281</v>
      </c>
      <c r="R6" s="71">
        <f>O6/L6</f>
        <v>0.98950437317783646</v>
      </c>
      <c r="S6" s="417"/>
      <c r="T6" s="16">
        <v>0.35347222222222202</v>
      </c>
      <c r="U6" s="16">
        <v>0.421527777777778</v>
      </c>
      <c r="V6" s="30">
        <f>(T6-U5)*24*60</f>
        <v>7.9999999999992522</v>
      </c>
      <c r="W6" s="73">
        <f t="shared" si="0"/>
        <v>98.000000000000611</v>
      </c>
      <c r="X6" s="22"/>
      <c r="Y6" s="84"/>
      <c r="Z6" s="90"/>
      <c r="AA6" s="90"/>
      <c r="AB6" s="465"/>
      <c r="AC6" s="465"/>
      <c r="AD6" s="149"/>
      <c r="AE6" s="149"/>
      <c r="AF6" s="307">
        <f t="shared" si="1"/>
        <v>-172.04081632654334</v>
      </c>
      <c r="AG6" s="72">
        <f t="shared" si="2"/>
        <v>0.92353741496598074</v>
      </c>
      <c r="AH6" s="462"/>
    </row>
    <row r="7" spans="1:34" ht="15" customHeight="1">
      <c r="A7" s="428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2428</v>
      </c>
      <c r="H7" s="78">
        <f>F7*G7</f>
        <v>119311.92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1968.6486486486428</v>
      </c>
      <c r="O7" s="81">
        <f>N7/M7</f>
        <v>131.24324324324286</v>
      </c>
      <c r="P7" s="74">
        <f>M7-J7</f>
        <v>0</v>
      </c>
      <c r="Q7" s="83">
        <f>O7-L7</f>
        <v>-18.756756756757142</v>
      </c>
      <c r="R7" s="72">
        <f>O7/L7</f>
        <v>0.87495495495495235</v>
      </c>
      <c r="S7" s="417"/>
      <c r="T7" s="18">
        <v>0.42708333333333298</v>
      </c>
      <c r="U7" s="18">
        <v>0.47847222222222202</v>
      </c>
      <c r="V7" s="30">
        <f>(T7-U6)*24*60</f>
        <v>7.9999999999991722</v>
      </c>
      <c r="W7" s="73">
        <f t="shared" si="0"/>
        <v>74.000000000000213</v>
      </c>
      <c r="X7" s="22">
        <v>0.49305555555555602</v>
      </c>
      <c r="Y7" s="84">
        <v>0.53472222222222199</v>
      </c>
      <c r="Z7" s="90"/>
      <c r="AA7" s="90"/>
      <c r="AB7" s="466"/>
      <c r="AC7" s="466"/>
      <c r="AD7" s="92"/>
      <c r="AE7" s="92"/>
      <c r="AF7" s="307">
        <f t="shared" si="1"/>
        <v>-281.35135135135715</v>
      </c>
      <c r="AG7" s="72">
        <f t="shared" si="2"/>
        <v>0.87495495495495235</v>
      </c>
      <c r="AH7" s="462"/>
    </row>
    <row r="8" spans="1:34" ht="15" customHeight="1">
      <c r="A8" s="428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2485</v>
      </c>
      <c r="H8" s="78">
        <f>F8*G8</f>
        <v>122112.9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2192.6470588235425</v>
      </c>
      <c r="O8" s="81">
        <f>N8/M8</f>
        <v>146.17647058823616</v>
      </c>
      <c r="P8" s="74">
        <f>M8-J8</f>
        <v>0</v>
      </c>
      <c r="Q8" s="83">
        <f>O8-L8</f>
        <v>-3.8235294117638432</v>
      </c>
      <c r="R8" s="72">
        <f>O8/L8</f>
        <v>0.97450980392157438</v>
      </c>
      <c r="S8" s="417"/>
      <c r="T8" s="16">
        <v>0.55555555555555602</v>
      </c>
      <c r="U8" s="16">
        <v>0.60277777777777797</v>
      </c>
      <c r="V8" s="30">
        <f>(T8-U7)*24*60</f>
        <v>111.00000000000097</v>
      </c>
      <c r="W8" s="73">
        <f t="shared" si="0"/>
        <v>67.999999999999602</v>
      </c>
      <c r="X8" s="22"/>
      <c r="Y8" s="84"/>
      <c r="Z8" s="90"/>
      <c r="AA8" s="90"/>
      <c r="AB8" s="465"/>
      <c r="AC8" s="465"/>
      <c r="AD8" s="149"/>
      <c r="AE8" s="149"/>
      <c r="AF8" s="307">
        <f t="shared" si="1"/>
        <v>-57.352941176457534</v>
      </c>
      <c r="AG8" s="72">
        <f t="shared" si="2"/>
        <v>0.97450980392157438</v>
      </c>
      <c r="AH8" s="462"/>
    </row>
    <row r="9" spans="1:34" ht="15" customHeight="1">
      <c r="A9" s="42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8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5"/>
      <c r="AC9" s="465"/>
      <c r="AD9" s="149"/>
      <c r="AE9" s="149"/>
      <c r="AF9" s="307">
        <f t="shared" si="1"/>
        <v>0</v>
      </c>
      <c r="AG9" s="72" t="e">
        <f t="shared" si="2"/>
        <v>#DIV/0!</v>
      </c>
      <c r="AH9" s="463"/>
    </row>
    <row r="10" spans="1:34" ht="15" customHeight="1">
      <c r="A10" s="42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8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6"/>
      <c r="AC10" s="466"/>
      <c r="AD10" s="92"/>
      <c r="AE10" s="92"/>
      <c r="AF10" s="307">
        <f t="shared" si="1"/>
        <v>0</v>
      </c>
      <c r="AG10" s="72" t="e">
        <f t="shared" si="2"/>
        <v>#DIV/0!</v>
      </c>
      <c r="AH10" s="463"/>
    </row>
    <row r="11" spans="1:34" ht="15" customHeight="1">
      <c r="A11" s="42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5"/>
      <c r="AC11" s="465"/>
      <c r="AD11" s="149"/>
      <c r="AE11" s="149"/>
      <c r="AF11" s="307">
        <f t="shared" si="1"/>
        <v>0</v>
      </c>
      <c r="AG11" s="72" t="e">
        <f t="shared" si="2"/>
        <v>#DIV/0!</v>
      </c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14.75</v>
      </c>
      <c r="N15" s="120">
        <f t="shared" si="3"/>
        <v>2094.6285376012256</v>
      </c>
      <c r="O15" s="117">
        <f t="shared" si="3"/>
        <v>142.11566343969295</v>
      </c>
      <c r="P15" s="121">
        <f>M15-J15</f>
        <v>-0.25</v>
      </c>
      <c r="Q15" s="122">
        <f>O15-L15</f>
        <v>-7.8843365603070481</v>
      </c>
      <c r="R15" s="123">
        <f>O15/L15</f>
        <v>0.94743775626461968</v>
      </c>
      <c r="S15" s="42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7"/>
      <c r="AC15" s="467"/>
      <c r="AD15" s="323">
        <f>SUM(AD5:AD14)</f>
        <v>0</v>
      </c>
      <c r="AE15" s="323">
        <f>SUM(AE5:AE14)</f>
        <v>0</v>
      </c>
      <c r="AF15" s="309">
        <f>N15-K15</f>
        <v>-155.37146239877438</v>
      </c>
      <c r="AG15" s="124">
        <f>N15/K15</f>
        <v>0.93094601671165578</v>
      </c>
      <c r="AH15" s="464"/>
    </row>
    <row r="16" spans="1:34" ht="15" customHeight="1">
      <c r="A16" s="47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3281</v>
      </c>
      <c r="H16" s="134">
        <f>F16*G16</f>
        <v>166248.27000000002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2139.7826086956488</v>
      </c>
      <c r="O16" s="141">
        <f>N16/M16</f>
        <v>164.59866220735759</v>
      </c>
      <c r="P16" s="142">
        <f>M16-J16</f>
        <v>0</v>
      </c>
      <c r="Q16" s="143">
        <f>O16-L16</f>
        <v>-8.4782608695654744</v>
      </c>
      <c r="R16" s="144">
        <f>O16/L16</f>
        <v>0.95101449275362171</v>
      </c>
      <c r="S16" s="472">
        <f>R26</f>
        <v>0.93760461486041624</v>
      </c>
      <c r="T16" s="145">
        <v>0.29027777777777802</v>
      </c>
      <c r="U16" s="145">
        <v>0.35416666666666702</v>
      </c>
      <c r="V16" s="135"/>
      <c r="W16" s="146">
        <f t="shared" ref="W16:W78" si="4">(U16-T16)*24*60</f>
        <v>92.000000000000156</v>
      </c>
      <c r="X16" s="141"/>
      <c r="Y16" s="296"/>
      <c r="Z16" s="169"/>
      <c r="AA16" s="169"/>
      <c r="AB16" s="468"/>
      <c r="AC16" s="468"/>
      <c r="AD16" s="135"/>
      <c r="AE16" s="135"/>
      <c r="AF16" s="229">
        <f>N16-K16</f>
        <v>-110.21739130435117</v>
      </c>
      <c r="AG16" s="52">
        <f>N16/K16</f>
        <v>0.95101449275362171</v>
      </c>
      <c r="AH16" s="461">
        <f>AG26</f>
        <v>0.9382047685834447</v>
      </c>
    </row>
    <row r="17" spans="1:34" ht="15" customHeight="1">
      <c r="A17" s="479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1624</v>
      </c>
      <c r="H17" s="78">
        <f>F17*G17</f>
        <v>91934.64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2118.2608695651807</v>
      </c>
      <c r="O17" s="96">
        <f>N17/M17</f>
        <v>141.21739130434537</v>
      </c>
      <c r="P17" s="97">
        <f>M17-J17</f>
        <v>0</v>
      </c>
      <c r="Q17" s="98">
        <f>O17-L17</f>
        <v>-8.7826086956546305</v>
      </c>
      <c r="R17" s="99">
        <f>O17/L17</f>
        <v>0.9414492753623025</v>
      </c>
      <c r="S17" s="473"/>
      <c r="T17" s="19">
        <v>0.36111111111111099</v>
      </c>
      <c r="U17" s="19">
        <v>0.39305555555555599</v>
      </c>
      <c r="V17" s="30">
        <f>(T17-U16)*24*60</f>
        <v>9.999999999999325</v>
      </c>
      <c r="W17" s="149">
        <f t="shared" si="4"/>
        <v>46.000000000000796</v>
      </c>
      <c r="X17" s="19"/>
      <c r="Y17" s="297"/>
      <c r="Z17" s="90"/>
      <c r="AA17" s="90"/>
      <c r="AB17" s="466"/>
      <c r="AC17" s="466"/>
      <c r="AD17" s="92"/>
      <c r="AE17" s="92"/>
      <c r="AF17" s="307">
        <f>N17-K17</f>
        <v>-131.73913043481934</v>
      </c>
      <c r="AG17" s="72">
        <f>N17/K17</f>
        <v>0.9414492753623025</v>
      </c>
      <c r="AH17" s="462"/>
    </row>
    <row r="18" spans="1:34" ht="15" customHeight="1">
      <c r="A18" s="479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4288</v>
      </c>
      <c r="H18" s="78">
        <f>F18*G18</f>
        <v>216072.32000000001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2074.8387096774227</v>
      </c>
      <c r="O18" s="96">
        <f>N18/M18</f>
        <v>172.9032258064519</v>
      </c>
      <c r="P18" s="97">
        <f>M18-J18</f>
        <v>0</v>
      </c>
      <c r="Q18" s="98">
        <f>O18-L18</f>
        <v>-14.5967741935481</v>
      </c>
      <c r="R18" s="99">
        <f>O18/L18</f>
        <v>0.92215053763441013</v>
      </c>
      <c r="S18" s="473"/>
      <c r="T18" s="19">
        <v>0.4</v>
      </c>
      <c r="U18" s="19">
        <v>0.48611111111111099</v>
      </c>
      <c r="V18" s="30">
        <f>(T18-U17)*24*60</f>
        <v>9.9999999999994049</v>
      </c>
      <c r="W18" s="149">
        <f t="shared" si="4"/>
        <v>123.9999999999998</v>
      </c>
      <c r="X18" s="22"/>
      <c r="Y18" s="84"/>
      <c r="Z18" s="90"/>
      <c r="AA18" s="90"/>
      <c r="AB18" s="466"/>
      <c r="AC18" s="466"/>
      <c r="AD18" s="92"/>
      <c r="AE18" s="92"/>
      <c r="AF18" s="307">
        <f>N18-K18</f>
        <v>-175.16129032257732</v>
      </c>
      <c r="AG18" s="72">
        <f>N18/K18</f>
        <v>0.92215053763441013</v>
      </c>
      <c r="AH18" s="462"/>
    </row>
    <row r="19" spans="1:34" ht="15" customHeight="1">
      <c r="A19" s="479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3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65"/>
      <c r="AC19" s="465"/>
      <c r="AD19" s="149"/>
      <c r="AE19" s="149"/>
      <c r="AF19" s="307">
        <f>N19-K19</f>
        <v>0</v>
      </c>
      <c r="AG19" s="72" t="e">
        <f>N19/K19</f>
        <v>#DIV/0!</v>
      </c>
      <c r="AH19" s="463"/>
    </row>
    <row r="20" spans="1:34" ht="15" customHeight="1">
      <c r="A20" s="47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3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66"/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3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6"/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50"/>
      <c r="U22" s="150"/>
      <c r="V22" s="92"/>
      <c r="W22" s="149"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4"/>
        <v>0</v>
      </c>
      <c r="X23" s="92"/>
      <c r="Y23" s="298"/>
      <c r="Z23" s="90"/>
      <c r="AA23" s="90"/>
      <c r="AB23" s="466"/>
      <c r="AC23" s="46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>
        <f t="shared" ref="J26:O26" si="5">AVERAGE(J16:J25)</f>
        <v>13.333333333333334</v>
      </c>
      <c r="K26" s="155">
        <f t="shared" si="5"/>
        <v>2250</v>
      </c>
      <c r="L26" s="158">
        <f t="shared" si="5"/>
        <v>170.19230769230771</v>
      </c>
      <c r="M26" s="155">
        <f t="shared" si="5"/>
        <v>13.333333333333334</v>
      </c>
      <c r="N26" s="155">
        <f t="shared" si="5"/>
        <v>2110.9607293127506</v>
      </c>
      <c r="O26" s="158">
        <f t="shared" si="5"/>
        <v>159.57309310605163</v>
      </c>
      <c r="P26" s="159">
        <f>M26-J26</f>
        <v>0</v>
      </c>
      <c r="Q26" s="160">
        <f>O26-L26</f>
        <v>-10.619214586256078</v>
      </c>
      <c r="R26" s="161">
        <f>O26/L26</f>
        <v>0.93760461486041624</v>
      </c>
      <c r="S26" s="474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7"/>
      <c r="AC26" s="467"/>
      <c r="AD26" s="323">
        <f>SUM(AD16:AD25)</f>
        <v>0</v>
      </c>
      <c r="AE26" s="323">
        <f>SUM(AE16:AE25)</f>
        <v>0</v>
      </c>
      <c r="AF26" s="309">
        <f t="shared" ref="AF26:AF31" si="6">N26-K26</f>
        <v>-139.03927068724943</v>
      </c>
      <c r="AG26" s="124">
        <f t="shared" ref="AG26:AG31" si="7">N26/K26</f>
        <v>0.9382047685834447</v>
      </c>
      <c r="AH26" s="464"/>
    </row>
    <row r="27" spans="1:34" ht="15" customHeight="1">
      <c r="A27" s="469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2892</v>
      </c>
      <c r="H27" s="134">
        <f>F27*G27</f>
        <v>165451.32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1470.5084745762606</v>
      </c>
      <c r="O27" s="141">
        <f>N27/M27</f>
        <v>86.500498504485918</v>
      </c>
      <c r="P27" s="142">
        <f>M27-J27</f>
        <v>0</v>
      </c>
      <c r="Q27" s="143">
        <f>O27-L27</f>
        <v>-5.5583250249258498</v>
      </c>
      <c r="R27" s="144">
        <f>O27/L27</f>
        <v>0.93962202848323362</v>
      </c>
      <c r="S27" s="472">
        <f>R37</f>
        <v>0.87183175631187992</v>
      </c>
      <c r="T27" s="171">
        <v>0.33333333333333298</v>
      </c>
      <c r="U27" s="171">
        <v>0.41527777777777802</v>
      </c>
      <c r="V27" s="135"/>
      <c r="W27" s="146">
        <f t="shared" si="4"/>
        <v>118.00000000000085</v>
      </c>
      <c r="X27" s="135"/>
      <c r="Y27" s="300" t="s">
        <v>46</v>
      </c>
      <c r="Z27" s="169"/>
      <c r="AA27" s="169"/>
      <c r="AB27" s="468"/>
      <c r="AC27" s="468"/>
      <c r="AD27" s="135"/>
      <c r="AE27" s="135"/>
      <c r="AF27" s="310">
        <f t="shared" si="6"/>
        <v>-94.491525423739404</v>
      </c>
      <c r="AG27" s="172">
        <f t="shared" si="7"/>
        <v>0.93962202848323362</v>
      </c>
      <c r="AH27" s="461">
        <f>AG37</f>
        <v>0.8593817612797805</v>
      </c>
    </row>
    <row r="28" spans="1:34" ht="15" customHeight="1">
      <c r="A28" s="470"/>
      <c r="B28" s="75" t="s">
        <v>81</v>
      </c>
      <c r="C28" s="173"/>
      <c r="D28" s="59" t="s">
        <v>128</v>
      </c>
      <c r="E28" s="104"/>
      <c r="F28" s="75">
        <f>VLOOKUP(D28,廠價表!$C$1:$E$43,3,0)</f>
        <v>57.21</v>
      </c>
      <c r="G28" s="90">
        <v>1693</v>
      </c>
      <c r="H28" s="91">
        <f>F28*G28</f>
        <v>96856.53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16</v>
      </c>
      <c r="N28" s="95">
        <f>G28/W28*60</f>
        <v>1319.2207792207594</v>
      </c>
      <c r="O28" s="96">
        <f>N28/M28</f>
        <v>82.451298701297461</v>
      </c>
      <c r="P28" s="97">
        <f>M28-J28</f>
        <v>-1</v>
      </c>
      <c r="Q28" s="98">
        <f>O28-L28</f>
        <v>-18.489877769290771</v>
      </c>
      <c r="R28" s="99">
        <f>O28/L28</f>
        <v>0.81682522023429893</v>
      </c>
      <c r="S28" s="473"/>
      <c r="T28" s="19">
        <v>0.42708333333333298</v>
      </c>
      <c r="U28" s="19">
        <v>0.48055555555555601</v>
      </c>
      <c r="V28" s="92">
        <f>(T28-U27)*24*60</f>
        <v>16.99999999999914</v>
      </c>
      <c r="W28" s="149">
        <f t="shared" si="4"/>
        <v>77.000000000001165</v>
      </c>
      <c r="X28" s="174">
        <v>0.48958333333333298</v>
      </c>
      <c r="Y28" s="301">
        <v>0.53125</v>
      </c>
      <c r="Z28" s="335"/>
      <c r="AA28" s="335"/>
      <c r="AB28" s="466"/>
      <c r="AC28" s="466"/>
      <c r="AD28" s="92"/>
      <c r="AE28" s="92"/>
      <c r="AF28" s="311">
        <f t="shared" si="6"/>
        <v>-396.77922077924063</v>
      </c>
      <c r="AG28" s="99">
        <f t="shared" si="7"/>
        <v>0.76877667786757542</v>
      </c>
      <c r="AH28" s="482"/>
    </row>
    <row r="29" spans="1:34" ht="15" customHeight="1">
      <c r="A29" s="470"/>
      <c r="B29" s="75" t="s">
        <v>81</v>
      </c>
      <c r="C29" s="173"/>
      <c r="D29" s="59" t="s">
        <v>145</v>
      </c>
      <c r="E29" s="104"/>
      <c r="F29" s="75">
        <f>VLOOKUP(D29,廠價表!$C$1:$E$43,3,0)</f>
        <v>57.21</v>
      </c>
      <c r="G29" s="90">
        <v>868</v>
      </c>
      <c r="H29" s="91">
        <f>F29*G29</f>
        <v>49658.28</v>
      </c>
      <c r="I29" s="92"/>
      <c r="J29" s="79">
        <f>VLOOKUP(D29,產線配置圖!$A$3:$C$40,2,0)</f>
        <v>17</v>
      </c>
      <c r="K29" s="80">
        <f>VLOOKUP(D29,產線配置圖!$A$3:$C$40,3,0)</f>
        <v>1565</v>
      </c>
      <c r="L29" s="93">
        <f>K29/J29</f>
        <v>92.058823529411768</v>
      </c>
      <c r="M29" s="94">
        <v>17</v>
      </c>
      <c r="N29" s="95">
        <f>G29/W29*60</f>
        <v>1370.5263157895188</v>
      </c>
      <c r="O29" s="96">
        <f>N29/M29</f>
        <v>80.619195046442286</v>
      </c>
      <c r="P29" s="97">
        <f>M29-J29</f>
        <v>0</v>
      </c>
      <c r="Q29" s="98">
        <f>O29-L29</f>
        <v>-11.439628482969482</v>
      </c>
      <c r="R29" s="99">
        <f>O29/L29</f>
        <v>0.87573566504122613</v>
      </c>
      <c r="S29" s="473"/>
      <c r="T29" s="19">
        <v>0.55555555555555602</v>
      </c>
      <c r="U29" s="19">
        <v>0.58194444444444404</v>
      </c>
      <c r="V29" s="92">
        <f>(T29-U28)*24*60</f>
        <v>108.00000000000001</v>
      </c>
      <c r="W29" s="149">
        <f t="shared" si="4"/>
        <v>37.999999999998749</v>
      </c>
      <c r="X29" s="22"/>
      <c r="Y29" s="84"/>
      <c r="Z29" s="90"/>
      <c r="AA29" s="90"/>
      <c r="AB29" s="466"/>
      <c r="AC29" s="466"/>
      <c r="AD29" s="92"/>
      <c r="AE29" s="92"/>
      <c r="AF29" s="312">
        <f t="shared" si="6"/>
        <v>-194.47368421048122</v>
      </c>
      <c r="AG29" s="99">
        <f t="shared" si="7"/>
        <v>0.87573566504122602</v>
      </c>
      <c r="AH29" s="482"/>
    </row>
    <row r="30" spans="1:34" ht="15" customHeight="1">
      <c r="A30" s="470"/>
      <c r="B30" s="75" t="s">
        <v>81</v>
      </c>
      <c r="C30" s="88"/>
      <c r="D30" s="59" t="s">
        <v>119</v>
      </c>
      <c r="E30" s="89"/>
      <c r="F30" s="75">
        <f>VLOOKUP(D30,廠價表!$C$1:$E$43,3,0)</f>
        <v>50.67</v>
      </c>
      <c r="G30" s="90">
        <v>683</v>
      </c>
      <c r="H30" s="91">
        <f>F30*G30</f>
        <v>34607.61</v>
      </c>
      <c r="I30" s="92"/>
      <c r="J30" s="79">
        <f>VLOOKUP(D30,產線配置圖!$A$3:$C$40,2,0)</f>
        <v>13</v>
      </c>
      <c r="K30" s="80">
        <f>VLOOKUP(D30,產線配置圖!$A$3:$C$40,3,0)</f>
        <v>1440</v>
      </c>
      <c r="L30" s="93">
        <f>K30/J30</f>
        <v>110.76923076923077</v>
      </c>
      <c r="M30" s="94">
        <v>13</v>
      </c>
      <c r="N30" s="95">
        <f>G30/W30*60</f>
        <v>1241.8181818181622</v>
      </c>
      <c r="O30" s="96">
        <f>N30/M30</f>
        <v>95.524475524474013</v>
      </c>
      <c r="P30" s="97">
        <f>M30-J30</f>
        <v>0</v>
      </c>
      <c r="Q30" s="98">
        <f>O30-L30</f>
        <v>-15.24475524475676</v>
      </c>
      <c r="R30" s="99">
        <f>O30/L30</f>
        <v>0.86237373737372369</v>
      </c>
      <c r="S30" s="473"/>
      <c r="T30" s="19">
        <v>0.58819444444444402</v>
      </c>
      <c r="U30" s="19">
        <v>0.61111111111111105</v>
      </c>
      <c r="V30" s="92">
        <f>(T30-U29)*24*60</f>
        <v>8.999999999999968</v>
      </c>
      <c r="W30" s="149">
        <f t="shared" si="4"/>
        <v>33.000000000000526</v>
      </c>
      <c r="X30" s="174"/>
      <c r="Y30" s="301"/>
      <c r="Z30" s="335"/>
      <c r="AA30" s="335"/>
      <c r="AB30" s="466"/>
      <c r="AC30" s="466"/>
      <c r="AD30" s="92"/>
      <c r="AE30" s="92"/>
      <c r="AF30" s="312">
        <f t="shared" si="6"/>
        <v>-198.1818181818378</v>
      </c>
      <c r="AG30" s="99">
        <f t="shared" si="7"/>
        <v>0.8623737373737238</v>
      </c>
      <c r="AH30" s="483"/>
    </row>
    <row r="31" spans="1:34" ht="15" customHeight="1">
      <c r="A31" s="47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3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6"/>
      <c r="AC31" s="466"/>
      <c r="AD31" s="92"/>
      <c r="AE31" s="92"/>
      <c r="AF31" s="312">
        <f t="shared" si="6"/>
        <v>0</v>
      </c>
      <c r="AG31" s="99" t="e">
        <f t="shared" si="7"/>
        <v>#DIV/0!</v>
      </c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6"/>
      <c r="AC32" s="466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6"/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>
        <f t="shared" ref="J37:O37" si="8">AVERAGE(J27:J36)</f>
        <v>16</v>
      </c>
      <c r="K37" s="155">
        <f t="shared" si="8"/>
        <v>1571.5</v>
      </c>
      <c r="L37" s="158">
        <f t="shared" si="8"/>
        <v>98.957013574660635</v>
      </c>
      <c r="M37" s="155">
        <f t="shared" si="8"/>
        <v>15.75</v>
      </c>
      <c r="N37" s="155">
        <f t="shared" si="8"/>
        <v>1350.5184378511751</v>
      </c>
      <c r="O37" s="158">
        <f t="shared" si="8"/>
        <v>86.273866944174927</v>
      </c>
      <c r="P37" s="159">
        <f>M37-J37</f>
        <v>-0.25</v>
      </c>
      <c r="Q37" s="160">
        <f>N37-K37</f>
        <v>-220.98156214882488</v>
      </c>
      <c r="R37" s="161">
        <f>O37/L37</f>
        <v>0.87183175631187992</v>
      </c>
      <c r="S37" s="474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7"/>
      <c r="AC37" s="477"/>
      <c r="AD37" s="324">
        <f>SUM(AD27:AD36)</f>
        <v>0</v>
      </c>
      <c r="AE37" s="324">
        <f>SUM(AE27:AE36)</f>
        <v>0</v>
      </c>
      <c r="AF37" s="309">
        <f>N37-K37</f>
        <v>-220.98156214882488</v>
      </c>
      <c r="AG37" s="124">
        <f>N37/K37</f>
        <v>0.8593817612797805</v>
      </c>
      <c r="AH37" s="464"/>
    </row>
    <row r="38" spans="1:34" ht="15" customHeight="1">
      <c r="A38" s="491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1816</v>
      </c>
      <c r="H38" s="134">
        <f>F38*G38</f>
        <v>90636.56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1556.5714285714325</v>
      </c>
      <c r="O38" s="141">
        <f>N38/M38</f>
        <v>103.77142857142884</v>
      </c>
      <c r="P38" s="142">
        <f>M38-J38</f>
        <v>0</v>
      </c>
      <c r="Q38" s="143">
        <f>O38-L38</f>
        <v>-10.495238095237823</v>
      </c>
      <c r="R38" s="144">
        <f>O38/L38</f>
        <v>0.90815135855976237</v>
      </c>
      <c r="S38" s="494">
        <f>R48</f>
        <v>0.74116303251315052</v>
      </c>
      <c r="T38" s="191">
        <v>0.33333333333333298</v>
      </c>
      <c r="U38" s="191">
        <v>0.38194444444444398</v>
      </c>
      <c r="V38" s="192"/>
      <c r="W38" s="193">
        <f t="shared" si="4"/>
        <v>69.999999999999829</v>
      </c>
      <c r="X38" s="194"/>
      <c r="Y38" s="302"/>
      <c r="Z38" s="336"/>
      <c r="AA38" s="336"/>
      <c r="AB38" s="496"/>
      <c r="AC38" s="496"/>
      <c r="AD38" s="192"/>
      <c r="AE38" s="192"/>
      <c r="AF38" s="313">
        <f>N38-K38</f>
        <v>-157.42857142856747</v>
      </c>
      <c r="AG38" s="195">
        <f>N38/K38</f>
        <v>0.90815135855976226</v>
      </c>
      <c r="AH38" s="484">
        <f>AG48</f>
        <v>0.74091169295173809</v>
      </c>
    </row>
    <row r="39" spans="1:34" ht="15" customHeight="1">
      <c r="A39" s="492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3686</v>
      </c>
      <c r="H39" s="91">
        <f>F39*G39</f>
        <v>163289.79999999999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1525.2413793103522</v>
      </c>
      <c r="O39" s="203">
        <f>N39/M39</f>
        <v>89.720081135903072</v>
      </c>
      <c r="P39" s="97">
        <f>M39-J39</f>
        <v>0</v>
      </c>
      <c r="Q39" s="98">
        <f>O39-L39</f>
        <v>-6.5152129817439857</v>
      </c>
      <c r="R39" s="99">
        <f>O39/L39</f>
        <v>0.93229913160779476</v>
      </c>
      <c r="S39" s="495"/>
      <c r="T39" s="20">
        <v>0.38888888888888901</v>
      </c>
      <c r="U39" s="20">
        <v>0.48958333333333298</v>
      </c>
      <c r="V39" s="92">
        <f>(T39-U38)*24*60</f>
        <v>10.000000000000844</v>
      </c>
      <c r="W39" s="205">
        <f t="shared" si="4"/>
        <v>144.99999999999932</v>
      </c>
      <c r="X39" s="22">
        <v>0.51041666666666696</v>
      </c>
      <c r="Y39" s="84">
        <v>0.55208333333333304</v>
      </c>
      <c r="Z39" s="90"/>
      <c r="AA39" s="90"/>
      <c r="AB39" s="487" t="s">
        <v>176</v>
      </c>
      <c r="AC39" s="487"/>
      <c r="AD39" s="200"/>
      <c r="AE39" s="200"/>
      <c r="AF39" s="314">
        <f>N39-K39</f>
        <v>-110.75862068964784</v>
      </c>
      <c r="AG39" s="206">
        <f>N39/K39</f>
        <v>0.93229913160779476</v>
      </c>
      <c r="AH39" s="485"/>
    </row>
    <row r="40" spans="1:34" ht="15" customHeight="1">
      <c r="A40" s="492"/>
      <c r="B40" s="75" t="s">
        <v>81</v>
      </c>
      <c r="C40" s="207"/>
      <c r="D40" s="198" t="s">
        <v>128</v>
      </c>
      <c r="E40" s="178"/>
      <c r="F40" s="75">
        <f>VLOOKUP(D40,廠價表!$C$1:$E$43,3,0)</f>
        <v>57.21</v>
      </c>
      <c r="G40" s="199">
        <v>483</v>
      </c>
      <c r="H40" s="91">
        <f t="shared" ref="H40:H42" si="9">F40*G40</f>
        <v>27632.43</v>
      </c>
      <c r="I40" s="200"/>
      <c r="J40" s="148">
        <f>VLOOKUP(D40,產線配置圖!$A$3:$C$40,2,0)</f>
        <v>17</v>
      </c>
      <c r="K40" s="95">
        <f>VLOOKUP(D40,產線配置圖!$A$3:$C$40,3,0)</f>
        <v>1716</v>
      </c>
      <c r="L40" s="96">
        <f t="shared" ref="L40:L42" si="10">K40/J40</f>
        <v>100.94117647058823</v>
      </c>
      <c r="M40" s="201">
        <v>17</v>
      </c>
      <c r="N40" s="202">
        <f t="shared" ref="N40:N42" si="11">G40/W40*60</f>
        <v>1159.2000000000116</v>
      </c>
      <c r="O40" s="203">
        <f t="shared" ref="O40:O42" si="12">N40/M40</f>
        <v>68.188235294118329</v>
      </c>
      <c r="P40" s="97">
        <f t="shared" ref="P40:P42" si="13">M40-J40</f>
        <v>0</v>
      </c>
      <c r="Q40" s="98">
        <f t="shared" ref="Q40:Q42" si="14">O40-L40</f>
        <v>-32.752941176469903</v>
      </c>
      <c r="R40" s="99">
        <f t="shared" ref="R40:R42" si="15">O40/L40</f>
        <v>0.67552447552448225</v>
      </c>
      <c r="S40" s="417"/>
      <c r="T40" s="20">
        <v>0.55555555555555602</v>
      </c>
      <c r="U40" s="210">
        <v>0.57291666666666696</v>
      </c>
      <c r="V40" s="92">
        <f t="shared" ref="V40:V42" si="16">(T40-U39)*24*60</f>
        <v>95.00000000000118</v>
      </c>
      <c r="W40" s="205">
        <f t="shared" si="4"/>
        <v>24.999999999999751</v>
      </c>
      <c r="X40" s="208"/>
      <c r="Y40" s="209"/>
      <c r="Z40" s="337"/>
      <c r="AA40" s="337"/>
      <c r="AB40" s="466" t="s">
        <v>125</v>
      </c>
      <c r="AC40" s="466"/>
      <c r="AD40" s="92"/>
      <c r="AE40" s="92"/>
      <c r="AF40" s="314">
        <f>N40-K40</f>
        <v>-556.79999999998836</v>
      </c>
      <c r="AG40" s="206">
        <f>N40/K40</f>
        <v>0.67552447552448236</v>
      </c>
      <c r="AH40" s="485"/>
    </row>
    <row r="41" spans="1:34" ht="15" customHeight="1">
      <c r="A41" s="492"/>
      <c r="B41" s="75" t="s">
        <v>123</v>
      </c>
      <c r="C41" s="86"/>
      <c r="D41" s="198" t="s">
        <v>124</v>
      </c>
      <c r="E41" s="87"/>
      <c r="F41" s="75">
        <f>VLOOKUP(D41,廠價表!$C$1:$E$43,3,0)</f>
        <v>44.3</v>
      </c>
      <c r="G41" s="199">
        <v>663</v>
      </c>
      <c r="H41" s="91">
        <f t="shared" si="9"/>
        <v>29370.899999999998</v>
      </c>
      <c r="I41" s="200"/>
      <c r="J41" s="148">
        <f>VLOOKUP(D41,產線配置圖!$A$3:$C$40,2,0)</f>
        <v>17</v>
      </c>
      <c r="K41" s="95">
        <f>VLOOKUP(D41,產線配置圖!$A$3:$C$40,3,0)</f>
        <v>1636</v>
      </c>
      <c r="L41" s="96">
        <f t="shared" si="10"/>
        <v>96.235294117647058</v>
      </c>
      <c r="M41" s="201">
        <v>17</v>
      </c>
      <c r="N41" s="202">
        <f t="shared" si="11"/>
        <v>994.50000000003149</v>
      </c>
      <c r="O41" s="203">
        <f t="shared" si="12"/>
        <v>58.500000000001855</v>
      </c>
      <c r="P41" s="97">
        <f t="shared" si="13"/>
        <v>0</v>
      </c>
      <c r="Q41" s="98">
        <f t="shared" si="14"/>
        <v>-37.735294117645203</v>
      </c>
      <c r="R41" s="99">
        <f t="shared" si="15"/>
        <v>0.60788508557459142</v>
      </c>
      <c r="S41" s="417"/>
      <c r="T41" s="210">
        <v>0.57916666666666705</v>
      </c>
      <c r="U41" s="210">
        <v>0.60694444444444395</v>
      </c>
      <c r="V41" s="92">
        <f t="shared" si="16"/>
        <v>9.0000000000001279</v>
      </c>
      <c r="W41" s="205">
        <f t="shared" si="4"/>
        <v>39.999999999998735</v>
      </c>
      <c r="X41" s="208"/>
      <c r="Y41" s="209"/>
      <c r="Z41" s="337"/>
      <c r="AA41" s="337"/>
      <c r="AB41" s="466" t="s">
        <v>125</v>
      </c>
      <c r="AC41" s="466"/>
      <c r="AD41" s="92"/>
      <c r="AE41" s="92"/>
      <c r="AF41" s="314">
        <f>N41-K41</f>
        <v>-641.49999999996851</v>
      </c>
      <c r="AG41" s="206">
        <f>N41/K41</f>
        <v>0.60788508557459142</v>
      </c>
      <c r="AH41" s="485"/>
    </row>
    <row r="42" spans="1:34" ht="15" customHeight="1">
      <c r="A42" s="492"/>
      <c r="B42" s="75" t="s">
        <v>123</v>
      </c>
      <c r="C42" s="102"/>
      <c r="D42" s="198" t="s">
        <v>126</v>
      </c>
      <c r="E42" s="104"/>
      <c r="F42" s="75">
        <f>VLOOKUP(D42,廠價表!$C$1:$E$43,3,0)</f>
        <v>49.91</v>
      </c>
      <c r="G42" s="202">
        <v>750</v>
      </c>
      <c r="H42" s="91">
        <f t="shared" si="9"/>
        <v>37432.5</v>
      </c>
      <c r="I42" s="200"/>
      <c r="J42" s="148">
        <f>VLOOKUP(D42,產線配置圖!$A$3:$C$40,2,0)</f>
        <v>15</v>
      </c>
      <c r="K42" s="95">
        <f>VLOOKUP(D42,產線配置圖!$A$3:$C$40,3,0)</f>
        <v>1714</v>
      </c>
      <c r="L42" s="96">
        <f t="shared" si="10"/>
        <v>114.26666666666667</v>
      </c>
      <c r="M42" s="201">
        <v>15</v>
      </c>
      <c r="N42" s="202">
        <f t="shared" si="11"/>
        <v>1000.0000000000001</v>
      </c>
      <c r="O42" s="203">
        <f t="shared" si="12"/>
        <v>66.666666666666671</v>
      </c>
      <c r="P42" s="97">
        <f t="shared" si="13"/>
        <v>0</v>
      </c>
      <c r="Q42" s="98">
        <f t="shared" si="14"/>
        <v>-47.599999999999994</v>
      </c>
      <c r="R42" s="99">
        <f t="shared" si="15"/>
        <v>0.58343057176196034</v>
      </c>
      <c r="S42" s="417"/>
      <c r="T42" s="210">
        <v>0.61250000000000004</v>
      </c>
      <c r="U42" s="210">
        <v>0.64375000000000004</v>
      </c>
      <c r="V42" s="92">
        <f t="shared" si="16"/>
        <v>8.0000000000007709</v>
      </c>
      <c r="W42" s="205">
        <f t="shared" si="4"/>
        <v>45</v>
      </c>
      <c r="X42" s="208"/>
      <c r="Y42" s="211"/>
      <c r="Z42" s="338"/>
      <c r="AA42" s="338"/>
      <c r="AB42" s="466" t="s">
        <v>125</v>
      </c>
      <c r="AC42" s="466"/>
      <c r="AD42" s="92"/>
      <c r="AE42" s="92"/>
      <c r="AF42" s="314"/>
      <c r="AG42" s="206"/>
      <c r="AH42" s="485"/>
    </row>
    <row r="43" spans="1:34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>
        <f t="shared" ref="J48:O48" si="17">AVERAGE(J38:J47)</f>
        <v>16.2</v>
      </c>
      <c r="K48" s="155">
        <f t="shared" si="17"/>
        <v>1683.2</v>
      </c>
      <c r="L48" s="158">
        <f t="shared" si="17"/>
        <v>104.38901960784315</v>
      </c>
      <c r="M48" s="155">
        <f t="shared" si="17"/>
        <v>16.2</v>
      </c>
      <c r="N48" s="155">
        <f t="shared" si="17"/>
        <v>1247.1025615763656</v>
      </c>
      <c r="O48" s="158">
        <f t="shared" si="17"/>
        <v>77.369282333623758</v>
      </c>
      <c r="P48" s="221">
        <f>M48-J48</f>
        <v>0</v>
      </c>
      <c r="Q48" s="222">
        <f>N48-K48</f>
        <v>-436.09743842363446</v>
      </c>
      <c r="R48" s="223">
        <f>O48/L48</f>
        <v>0.74116303251315052</v>
      </c>
      <c r="S48" s="420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7"/>
      <c r="AC48" s="467"/>
      <c r="AD48" s="323">
        <f>SUM(AD38:AD47)</f>
        <v>0</v>
      </c>
      <c r="AE48" s="323">
        <f>SUM(AE38:AE47)</f>
        <v>0</v>
      </c>
      <c r="AF48" s="315">
        <f t="shared" ref="AF48:AF53" si="18">N48-K48</f>
        <v>-436.09743842363446</v>
      </c>
      <c r="AG48" s="162">
        <f t="shared" ref="AG48:AG53" si="19">N48/K48</f>
        <v>0.74091169295173809</v>
      </c>
      <c r="AH48" s="486"/>
    </row>
    <row r="49" spans="1:34" ht="15" customHeight="1">
      <c r="A49" s="488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2015</v>
      </c>
      <c r="H49" s="134">
        <f>F49*G49</f>
        <v>99782.8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1422.3529411764648</v>
      </c>
      <c r="O49" s="141">
        <f>N49/M49</f>
        <v>83.667820069203813</v>
      </c>
      <c r="P49" s="229">
        <f>M49-J49</f>
        <v>0</v>
      </c>
      <c r="Q49" s="230">
        <f>O49-L49</f>
        <v>-4.5674740484432448</v>
      </c>
      <c r="R49" s="52">
        <f>O49/L49</f>
        <v>0.94823529411764318</v>
      </c>
      <c r="S49" s="416">
        <f>R58</f>
        <v>0.92687962487261921</v>
      </c>
      <c r="T49" s="191">
        <v>0.28819444444444398</v>
      </c>
      <c r="U49" s="191">
        <v>0.34722222222222199</v>
      </c>
      <c r="V49" s="55"/>
      <c r="W49" s="193">
        <f t="shared" si="4"/>
        <v>85.000000000000341</v>
      </c>
      <c r="X49" s="55"/>
      <c r="Y49" s="290"/>
      <c r="Z49" s="169"/>
      <c r="AA49" s="169"/>
      <c r="AB49" s="468"/>
      <c r="AC49" s="468"/>
      <c r="AD49" s="135"/>
      <c r="AE49" s="135"/>
      <c r="AF49" s="229">
        <f t="shared" si="18"/>
        <v>-77.64705882353519</v>
      </c>
      <c r="AG49" s="52">
        <f t="shared" si="19"/>
        <v>0.94823529411764318</v>
      </c>
      <c r="AH49" s="461">
        <f>AG58</f>
        <v>0.92679876460016586</v>
      </c>
    </row>
    <row r="50" spans="1:34" ht="15" customHeight="1">
      <c r="A50" s="489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3033</v>
      </c>
      <c r="H50" s="231">
        <f>F50*G50</f>
        <v>151559.01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1700.7476635514154</v>
      </c>
      <c r="O50" s="235">
        <f>N50/M50</f>
        <v>106.29672897196346</v>
      </c>
      <c r="P50" s="74">
        <f>M50-J50</f>
        <v>0</v>
      </c>
      <c r="Q50" s="83">
        <f>O50-L50</f>
        <v>-6.2032710280365393</v>
      </c>
      <c r="R50" s="72">
        <f>O50/L50</f>
        <v>0.9448598130841197</v>
      </c>
      <c r="S50" s="417"/>
      <c r="T50" s="21">
        <v>0.35277777777777802</v>
      </c>
      <c r="U50" s="21">
        <v>0.42708333333333298</v>
      </c>
      <c r="V50" s="30">
        <f>(T50-U49)*24*60</f>
        <v>8.000000000000691</v>
      </c>
      <c r="W50" s="236">
        <f t="shared" si="4"/>
        <v>106.99999999999915</v>
      </c>
      <c r="X50" s="22"/>
      <c r="Y50" s="84"/>
      <c r="Z50" s="90"/>
      <c r="AA50" s="90"/>
      <c r="AB50" s="466"/>
      <c r="AC50" s="466"/>
      <c r="AD50" s="92"/>
      <c r="AE50" s="92"/>
      <c r="AF50" s="307">
        <f t="shared" si="18"/>
        <v>-99.252336448584629</v>
      </c>
      <c r="AG50" s="72">
        <f t="shared" si="19"/>
        <v>0.9448598130841197</v>
      </c>
      <c r="AH50" s="462"/>
    </row>
    <row r="51" spans="1:34" ht="15" customHeight="1">
      <c r="A51" s="489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1757</v>
      </c>
      <c r="H51" s="231">
        <f>F51*G51</f>
        <v>88357.773000000001</v>
      </c>
      <c r="I51" s="232"/>
      <c r="J51" s="79">
        <v>17</v>
      </c>
      <c r="K51" s="80">
        <f>VLOOKUP(D51,產線配置圖!$A$3:$C$40,3,0)</f>
        <v>1565</v>
      </c>
      <c r="L51" s="81">
        <f>K51/J51</f>
        <v>92.058823529411768</v>
      </c>
      <c r="M51" s="233">
        <v>17</v>
      </c>
      <c r="N51" s="234">
        <f>G51/W51*60</f>
        <v>1369.0909090909154</v>
      </c>
      <c r="O51" s="235">
        <f>N51/M51</f>
        <v>80.534759358289136</v>
      </c>
      <c r="P51" s="74">
        <f>M51-J51</f>
        <v>0</v>
      </c>
      <c r="Q51" s="83">
        <f>O51-L51</f>
        <v>-11.524064171122632</v>
      </c>
      <c r="R51" s="72">
        <f>O51/L51</f>
        <v>0.87481847226256571</v>
      </c>
      <c r="S51" s="417"/>
      <c r="T51" s="21">
        <v>0.43263888888888902</v>
      </c>
      <c r="U51" s="19">
        <v>0.48611111111111099</v>
      </c>
      <c r="V51" s="30">
        <f>(T51-U50)*24*60</f>
        <v>8.000000000000691</v>
      </c>
      <c r="W51" s="236">
        <f t="shared" si="4"/>
        <v>76.999999999999645</v>
      </c>
      <c r="X51" s="22">
        <v>0.47916666666666702</v>
      </c>
      <c r="Y51" s="84">
        <v>0.53125</v>
      </c>
      <c r="Z51" s="90"/>
      <c r="AA51" s="90"/>
      <c r="AB51" s="466"/>
      <c r="AC51" s="466"/>
      <c r="AD51" s="92"/>
      <c r="AE51" s="92"/>
      <c r="AF51" s="307">
        <f t="shared" si="18"/>
        <v>-195.90909090908463</v>
      </c>
      <c r="AG51" s="72">
        <f t="shared" si="19"/>
        <v>0.87481847226256571</v>
      </c>
      <c r="AH51" s="462"/>
    </row>
    <row r="52" spans="1:34" ht="15" customHeight="1">
      <c r="A52" s="489"/>
      <c r="B52" s="75" t="s">
        <v>81</v>
      </c>
      <c r="C52" s="86"/>
      <c r="D52" s="59" t="s">
        <v>121</v>
      </c>
      <c r="E52" s="87"/>
      <c r="F52" s="75">
        <f>VLOOKUP(D52,廠價表!$C$1:$E$43,3,0)</f>
        <v>50.289000000000001</v>
      </c>
      <c r="G52" s="202">
        <v>1712</v>
      </c>
      <c r="H52" s="231">
        <f t="shared" ref="H52:H53" si="20">F52*G52</f>
        <v>86094.767999999996</v>
      </c>
      <c r="I52" s="232"/>
      <c r="J52" s="79">
        <v>17</v>
      </c>
      <c r="K52" s="80">
        <f>VLOOKUP(D52,產線配置圖!$A$3:$C$40,3,0)</f>
        <v>1565</v>
      </c>
      <c r="L52" s="81">
        <f t="shared" ref="L52:L53" si="21">K52/J52</f>
        <v>92.058823529411768</v>
      </c>
      <c r="M52" s="233">
        <v>17</v>
      </c>
      <c r="N52" s="234">
        <f t="shared" ref="N52:N53" si="22">G52/W52*60</f>
        <v>1488.6956521739012</v>
      </c>
      <c r="O52" s="235">
        <f t="shared" ref="O52:O53" si="23">N52/M52</f>
        <v>87.570332480817711</v>
      </c>
      <c r="P52" s="74">
        <f t="shared" ref="P52:P53" si="24">M52-J52</f>
        <v>0</v>
      </c>
      <c r="Q52" s="83">
        <f t="shared" ref="Q52:Q53" si="25">O52-L52</f>
        <v>-4.4884910485940566</v>
      </c>
      <c r="R52" s="72">
        <f t="shared" ref="R52:R53" si="26">O52/L52</f>
        <v>0.95124322822613483</v>
      </c>
      <c r="S52" s="417"/>
      <c r="T52" s="21">
        <v>0.53472222222222199</v>
      </c>
      <c r="U52" s="21">
        <v>0.58263888888888904</v>
      </c>
      <c r="V52" s="30">
        <f>(T52-U51)*24*60</f>
        <v>69.999999999999829</v>
      </c>
      <c r="W52" s="236">
        <f t="shared" si="4"/>
        <v>69.000000000000554</v>
      </c>
      <c r="X52" s="22"/>
      <c r="Y52" s="84"/>
      <c r="Z52" s="90"/>
      <c r="AA52" s="90"/>
      <c r="AB52" s="466"/>
      <c r="AC52" s="466"/>
      <c r="AD52" s="92"/>
      <c r="AE52" s="92"/>
      <c r="AF52" s="307">
        <f t="shared" si="18"/>
        <v>-76.304347826098819</v>
      </c>
      <c r="AG52" s="72">
        <f t="shared" si="19"/>
        <v>0.95124322822613494</v>
      </c>
      <c r="AH52" s="462"/>
    </row>
    <row r="53" spans="1:34" ht="15" customHeight="1">
      <c r="A53" s="489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1729</v>
      </c>
      <c r="H53" s="231">
        <f t="shared" si="20"/>
        <v>86398.13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21"/>
        <v>112.5</v>
      </c>
      <c r="M53" s="108">
        <v>16</v>
      </c>
      <c r="N53" s="234">
        <f t="shared" si="22"/>
        <v>1646.6666666666683</v>
      </c>
      <c r="O53" s="235">
        <f t="shared" si="23"/>
        <v>102.91666666666677</v>
      </c>
      <c r="P53" s="74">
        <f t="shared" si="24"/>
        <v>0</v>
      </c>
      <c r="Q53" s="83">
        <f t="shared" si="25"/>
        <v>-9.5833333333332291</v>
      </c>
      <c r="R53" s="72">
        <f t="shared" si="26"/>
        <v>0.91481481481481575</v>
      </c>
      <c r="S53" s="417"/>
      <c r="T53" s="21">
        <v>0.59027777777777801</v>
      </c>
      <c r="U53" s="21">
        <v>0.63402777777777797</v>
      </c>
      <c r="V53" s="30">
        <f>(T53-U52)*24*60</f>
        <v>11.000000000000121</v>
      </c>
      <c r="W53" s="236">
        <f t="shared" si="4"/>
        <v>62.999999999999936</v>
      </c>
      <c r="X53" s="30"/>
      <c r="Y53" s="151"/>
      <c r="Z53" s="90"/>
      <c r="AA53" s="90"/>
      <c r="AB53" s="466"/>
      <c r="AC53" s="466"/>
      <c r="AD53" s="92"/>
      <c r="AE53" s="92"/>
      <c r="AF53" s="307">
        <f t="shared" si="18"/>
        <v>-153.33333333333167</v>
      </c>
      <c r="AG53" s="72">
        <f t="shared" si="19"/>
        <v>0.91481481481481575</v>
      </c>
      <c r="AH53" s="462"/>
    </row>
    <row r="54" spans="1:34" ht="15" customHeight="1">
      <c r="A54" s="48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7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>
      <c r="A58" s="490"/>
      <c r="B58" s="239"/>
      <c r="C58" s="153" t="s">
        <v>51</v>
      </c>
      <c r="D58" s="437" t="s">
        <v>42</v>
      </c>
      <c r="E58" s="437"/>
      <c r="F58" s="116"/>
      <c r="G58" s="240"/>
      <c r="H58" s="118"/>
      <c r="I58" s="117"/>
      <c r="J58" s="120">
        <f t="shared" ref="J58:O58" si="27">AVERAGE(J49:J57)</f>
        <v>16.600000000000001</v>
      </c>
      <c r="K58" s="120">
        <f t="shared" si="27"/>
        <v>1646</v>
      </c>
      <c r="L58" s="117">
        <f t="shared" si="27"/>
        <v>99.470588235294116</v>
      </c>
      <c r="M58" s="120">
        <f t="shared" si="27"/>
        <v>16.600000000000001</v>
      </c>
      <c r="N58" s="120">
        <f t="shared" si="27"/>
        <v>1525.5107665318731</v>
      </c>
      <c r="O58" s="117">
        <f t="shared" si="27"/>
        <v>92.197261509388184</v>
      </c>
      <c r="P58" s="121">
        <f>M58-J58</f>
        <v>0</v>
      </c>
      <c r="Q58" s="122">
        <f>N58-K58</f>
        <v>-120.48923346812694</v>
      </c>
      <c r="R58" s="123">
        <f>O58/L58</f>
        <v>0.92687962487261921</v>
      </c>
      <c r="S58" s="42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7"/>
      <c r="AC58" s="467"/>
      <c r="AD58" s="323">
        <f>SUM(AD49:AD57)</f>
        <v>0</v>
      </c>
      <c r="AE58" s="323">
        <f>SUM(AE49:AE57)</f>
        <v>0</v>
      </c>
      <c r="AF58" s="309">
        <f>N58-K58</f>
        <v>-120.48923346812694</v>
      </c>
      <c r="AG58" s="124">
        <f>N58/K58</f>
        <v>0.92679876460016586</v>
      </c>
      <c r="AH58" s="464"/>
    </row>
    <row r="59" spans="1:34" ht="15" customHeight="1">
      <c r="A59" s="502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3536</v>
      </c>
      <c r="H59" s="243">
        <f>F59*G59</f>
        <v>95436.64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1515.4285714285752</v>
      </c>
      <c r="O59" s="138">
        <f>N59/M59</f>
        <v>101.02857142857168</v>
      </c>
      <c r="P59" s="56">
        <f>M59-J59</f>
        <v>0</v>
      </c>
      <c r="Q59" s="230">
        <f>O59-L59</f>
        <v>-3.3047619047616479</v>
      </c>
      <c r="R59" s="52">
        <f>O59/L59</f>
        <v>0.96832496576905769</v>
      </c>
      <c r="S59" s="416">
        <f>R69</f>
        <v>0.90166690881333933</v>
      </c>
      <c r="T59" s="245">
        <v>0.29166666666666702</v>
      </c>
      <c r="U59" s="245">
        <v>0.38888888888888901</v>
      </c>
      <c r="V59" s="55"/>
      <c r="W59" s="54">
        <f t="shared" si="4"/>
        <v>139.99999999999966</v>
      </c>
      <c r="X59" s="55"/>
      <c r="Y59" s="290"/>
      <c r="Z59" s="169"/>
      <c r="AA59" s="169"/>
      <c r="AB59" s="468"/>
      <c r="AC59" s="468"/>
      <c r="AD59" s="135"/>
      <c r="AE59" s="135"/>
      <c r="AF59" s="310">
        <f>N59-K59</f>
        <v>-49.571428571424804</v>
      </c>
      <c r="AG59" s="246">
        <f>N59/K59</f>
        <v>0.96832496576905769</v>
      </c>
      <c r="AH59" s="461">
        <f>AG69</f>
        <v>0.86395844855363069</v>
      </c>
    </row>
    <row r="60" spans="1:34" ht="15" customHeight="1">
      <c r="A60" s="503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1758</v>
      </c>
      <c r="H60" s="78">
        <f>F60*G60</f>
        <v>49681.08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1406.399999999981</v>
      </c>
      <c r="O60" s="81">
        <f>N60/M60</f>
        <v>117.19999999999841</v>
      </c>
      <c r="P60" s="74">
        <f>M60-J60</f>
        <v>0</v>
      </c>
      <c r="Q60" s="83">
        <f>O60-L60</f>
        <v>-13.216666666668246</v>
      </c>
      <c r="R60" s="72">
        <f>O60/L60</f>
        <v>0.89865814696484414</v>
      </c>
      <c r="S60" s="506"/>
      <c r="T60" s="22">
        <v>0.39583333333333298</v>
      </c>
      <c r="U60" s="22">
        <v>0.44791666666666702</v>
      </c>
      <c r="V60" s="30">
        <f>(T60-U59)*24*60</f>
        <v>9.999999999999325</v>
      </c>
      <c r="W60" s="248">
        <f t="shared" si="4"/>
        <v>75.000000000001009</v>
      </c>
      <c r="X60" s="232"/>
      <c r="Y60" s="177"/>
      <c r="Z60" s="90"/>
      <c r="AA60" s="90"/>
      <c r="AB60" s="466"/>
      <c r="AC60" s="466"/>
      <c r="AD60" s="92"/>
      <c r="AE60" s="92"/>
      <c r="AF60" s="316">
        <f>N60-K60</f>
        <v>-158.60000000001901</v>
      </c>
      <c r="AG60" s="249">
        <f>N60/K60</f>
        <v>0.89865814696484403</v>
      </c>
      <c r="AH60" s="497"/>
    </row>
    <row r="61" spans="1:34" ht="15" customHeight="1">
      <c r="A61" s="504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1112</v>
      </c>
      <c r="H61" s="254">
        <f>F61*G61</f>
        <v>56345.04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11</v>
      </c>
      <c r="N61" s="107">
        <f>G61/W61*60</f>
        <v>1026.4615384615356</v>
      </c>
      <c r="O61" s="238">
        <f>N61/M61</f>
        <v>93.31468531468505</v>
      </c>
      <c r="P61" s="111">
        <f>M61-J61</f>
        <v>-2</v>
      </c>
      <c r="Q61" s="255">
        <f>O61-L61</f>
        <v>-17.454545454545723</v>
      </c>
      <c r="R61" s="85">
        <f>O61/L61</f>
        <v>0.84242424242423997</v>
      </c>
      <c r="S61" s="417"/>
      <c r="T61" s="22">
        <v>0.45833333333333298</v>
      </c>
      <c r="U61" s="22">
        <v>0.50347222222222199</v>
      </c>
      <c r="V61" s="30">
        <f>(T61-U60)*24*60</f>
        <v>14.999999999998987</v>
      </c>
      <c r="W61" s="256">
        <f t="shared" si="4"/>
        <v>65.000000000000171</v>
      </c>
      <c r="X61" s="22"/>
      <c r="Y61" s="84"/>
      <c r="Z61" s="90"/>
      <c r="AA61" s="90"/>
      <c r="AB61" s="466"/>
      <c r="AC61" s="466"/>
      <c r="AD61" s="92"/>
      <c r="AE61" s="92"/>
      <c r="AF61" s="317">
        <f>N61-K61</f>
        <v>-413.53846153846439</v>
      </c>
      <c r="AG61" s="247">
        <f>N61/K61</f>
        <v>0.71282051282051084</v>
      </c>
      <c r="AH61" s="462"/>
    </row>
    <row r="62" spans="1:34" ht="15" customHeight="1">
      <c r="A62" s="504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7"/>
      <c r="T62" s="22"/>
      <c r="U62" s="22"/>
      <c r="V62" s="30"/>
      <c r="W62" s="248">
        <f t="shared" si="4"/>
        <v>0</v>
      </c>
      <c r="X62" s="22"/>
      <c r="Y62" s="84"/>
      <c r="Z62" s="90"/>
      <c r="AA62" s="90"/>
      <c r="AB62" s="466"/>
      <c r="AC62" s="466"/>
      <c r="AD62" s="92"/>
      <c r="AE62" s="92"/>
      <c r="AF62" s="317">
        <f>N62-K62</f>
        <v>0</v>
      </c>
      <c r="AG62" s="247" t="e">
        <f>N62/K62</f>
        <v>#DIV/0!</v>
      </c>
      <c r="AH62" s="462"/>
    </row>
    <row r="63" spans="1:34" ht="15" customHeight="1">
      <c r="A63" s="504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7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6"/>
      <c r="AC63" s="466"/>
      <c r="AD63" s="92"/>
      <c r="AE63" s="92"/>
      <c r="AF63" s="317"/>
      <c r="AG63" s="247"/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>
        <f t="shared" ref="J69:O69" si="28">AVERAGE(J59:J68)</f>
        <v>13.333333333333334</v>
      </c>
      <c r="K69" s="240">
        <f t="shared" si="28"/>
        <v>1523.3333333333333</v>
      </c>
      <c r="L69" s="268">
        <f t="shared" si="28"/>
        <v>115.17307692307692</v>
      </c>
      <c r="M69" s="240">
        <f t="shared" si="28"/>
        <v>12.666666666666666</v>
      </c>
      <c r="N69" s="240">
        <f t="shared" si="28"/>
        <v>1316.0967032966973</v>
      </c>
      <c r="O69" s="268">
        <f t="shared" si="28"/>
        <v>103.84775224775171</v>
      </c>
      <c r="P69" s="269">
        <f>M69-J69</f>
        <v>-0.66666666666666785</v>
      </c>
      <c r="Q69" s="222">
        <f>N69-K69</f>
        <v>-207.23663003663592</v>
      </c>
      <c r="R69" s="123">
        <f>O69/L69</f>
        <v>0.90166690881333933</v>
      </c>
      <c r="S69" s="42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7"/>
      <c r="AC69" s="467"/>
      <c r="AD69" s="323">
        <f>SUM(AD59:AD68)</f>
        <v>0</v>
      </c>
      <c r="AE69" s="323">
        <f>SUM(AE59:AE68)</f>
        <v>0</v>
      </c>
      <c r="AF69" s="309">
        <f>N69-K69</f>
        <v>-207.23663003663592</v>
      </c>
      <c r="AG69" s="124">
        <f>N69/K69</f>
        <v>0.86395844855363069</v>
      </c>
      <c r="AH69" s="464"/>
    </row>
    <row r="70" spans="1:36" ht="15" customHeight="1">
      <c r="A70" s="498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6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68"/>
      <c r="AC70" s="468"/>
      <c r="AD70" s="135"/>
      <c r="AE70" s="135"/>
      <c r="AF70" s="310">
        <f>N70-K70</f>
        <v>0</v>
      </c>
      <c r="AG70" s="246" t="e">
        <f>N70/K70</f>
        <v>#DIV/0!</v>
      </c>
      <c r="AH70" s="461" t="e">
        <f>AG79</f>
        <v>#DIV/0!</v>
      </c>
    </row>
    <row r="71" spans="1:36" ht="15" customHeight="1">
      <c r="A71" s="499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7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7"/>
      <c r="AC71" s="487"/>
      <c r="AD71" s="200"/>
      <c r="AE71" s="200"/>
      <c r="AF71" s="311">
        <v>-300.31249999999704</v>
      </c>
      <c r="AG71" s="99">
        <v>0.80810702875399554</v>
      </c>
      <c r="AH71" s="482"/>
    </row>
    <row r="72" spans="1:36" ht="15" customHeight="1">
      <c r="A72" s="499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7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6"/>
      <c r="AC72" s="466"/>
      <c r="AD72" s="92"/>
      <c r="AE72" s="92"/>
      <c r="AF72" s="311">
        <v>-130.33333333333326</v>
      </c>
      <c r="AG72" s="99">
        <v>0.91671991480298198</v>
      </c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6"/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>
      <c r="A79" s="500"/>
      <c r="B79" s="239"/>
      <c r="C79" s="153"/>
      <c r="D79" s="437"/>
      <c r="E79" s="437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W3:W4"/>
    <mergeCell ref="X3:Y3"/>
    <mergeCell ref="Z3:AA3"/>
    <mergeCell ref="AB1:AC2"/>
    <mergeCell ref="AF1:AH2"/>
    <mergeCell ref="AD3:AE3"/>
    <mergeCell ref="AF3:AF4"/>
    <mergeCell ref="AG3:AG4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A2:B2"/>
    <mergeCell ref="A3:A4"/>
    <mergeCell ref="B3:B4"/>
    <mergeCell ref="D3:E4"/>
    <mergeCell ref="F3:F4"/>
    <mergeCell ref="R3:R4"/>
    <mergeCell ref="T3:U3"/>
    <mergeCell ref="V3:V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42:AC42"/>
    <mergeCell ref="AB43:AC43"/>
    <mergeCell ref="AB44:AC44"/>
    <mergeCell ref="AB45:AC45"/>
    <mergeCell ref="AB46:AC46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264" priority="1" operator="greaterThan">
      <formula>0</formula>
    </cfRule>
  </conditionalFormatting>
  <conditionalFormatting sqref="Q5:Q79 AF5:AF79">
    <cfRule type="cellIs" dxfId="263" priority="4" operator="lessThan">
      <formula>0</formula>
    </cfRule>
  </conditionalFormatting>
  <conditionalFormatting sqref="R5:R79 AG5:AG79">
    <cfRule type="cellIs" dxfId="262" priority="2" operator="greaterThan">
      <formula>1</formula>
    </cfRule>
    <cfRule type="cellIs" dxfId="261" priority="3" operator="lessThan">
      <formula>0.8</formula>
    </cfRule>
  </conditionalFormatting>
  <conditionalFormatting sqref="S5:S10 S37:S62 AH59:AH62 S69:S76 AH69:AH76">
    <cfRule type="cellIs" dxfId="260" priority="7" operator="lessThan">
      <formula>0.8</formula>
    </cfRule>
  </conditionalFormatting>
  <conditionalFormatting sqref="S19:S25 AH19:AH25">
    <cfRule type="cellIs" dxfId="259" priority="6" operator="lessThan">
      <formula>0.8</formula>
    </cfRule>
  </conditionalFormatting>
  <conditionalFormatting sqref="S79">
    <cfRule type="cellIs" dxfId="258" priority="5" operator="lessThan">
      <formula>0.8</formula>
    </cfRule>
  </conditionalFormatting>
  <conditionalFormatting sqref="AH5:AH8 S15:S16 AH15:AH16 AH49 AH79">
    <cfRule type="cellIs" dxfId="257" priority="9" operator="lessThan">
      <formula>0.8</formula>
    </cfRule>
  </conditionalFormatting>
  <conditionalFormatting sqref="AH27 S27:S28">
    <cfRule type="cellIs" dxfId="256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4E0FC12-81AB-41C2-9F22-23424FC7F949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7FA3F-61FE-431A-8561-9C677DBA2135}">
  <dimension ref="B1:O26"/>
  <sheetViews>
    <sheetView zoomScale="70" zoomScaleNormal="70" workbookViewId="0">
      <selection activeCell="U52" sqref="U5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46152</v>
      </c>
      <c r="E3" s="412"/>
      <c r="F3" s="3" t="s">
        <v>72</v>
      </c>
      <c r="G3" s="413">
        <f>'0510'!E1</f>
        <v>64920</v>
      </c>
      <c r="H3" s="413"/>
      <c r="I3" s="3" t="s">
        <v>2</v>
      </c>
      <c r="J3" s="414">
        <f>'0510'!G1</f>
        <v>3197643.5580000002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>
        <f>AVERAGE(D13:I13)</f>
        <v>122.22231020613374</v>
      </c>
      <c r="G6" s="410"/>
      <c r="H6" s="395">
        <f>AVERAGE(D13:H13)</f>
        <v>124.24190045248869</v>
      </c>
      <c r="I6" s="395"/>
      <c r="J6" s="395">
        <f>AVERAGE(I13)</f>
        <v>112.12435897435898</v>
      </c>
      <c r="K6" s="395"/>
      <c r="L6" s="396">
        <f>SUM(D18:J18)</f>
        <v>4</v>
      </c>
      <c r="M6" s="398">
        <f>SUM(D19:J19)</f>
        <v>28</v>
      </c>
      <c r="N6" s="399">
        <f>SUM(D20:J20)</f>
        <v>0</v>
      </c>
      <c r="O6" s="398">
        <f>SUM(D20:J20)</f>
        <v>0</v>
      </c>
    </row>
    <row r="7" spans="2:15" ht="39.6" customHeight="1">
      <c r="B7" s="406"/>
      <c r="C7" s="406"/>
      <c r="D7" s="401" t="s">
        <v>87</v>
      </c>
      <c r="E7" s="401"/>
      <c r="F7" s="402">
        <f>AVERAGE(D14:I14)</f>
        <v>107.71461467105473</v>
      </c>
      <c r="G7" s="402"/>
      <c r="H7" s="403">
        <f>AVERAGE(D14:H14)</f>
        <v>110.88403910376697</v>
      </c>
      <c r="I7" s="403"/>
      <c r="J7" s="403">
        <f>AVERAGE(I14)</f>
        <v>91.86749250749358</v>
      </c>
      <c r="K7" s="403"/>
      <c r="L7" s="397" t="e">
        <f t="shared" ref="L7:O8" si="0">AVERAGE(K14:L14)</f>
        <v>#DIV/0!</v>
      </c>
      <c r="M7" s="398" t="e">
        <f t="shared" si="0"/>
        <v>#DIV/0!</v>
      </c>
      <c r="N7" s="400" t="e">
        <f t="shared" si="0"/>
        <v>#DIV/0!</v>
      </c>
      <c r="O7" s="398" t="e">
        <f t="shared" si="0"/>
        <v>#DIV/0!</v>
      </c>
    </row>
    <row r="8" spans="2:15" ht="39.6" customHeight="1">
      <c r="B8" s="406"/>
      <c r="C8" s="406"/>
      <c r="D8" s="401" t="s">
        <v>27</v>
      </c>
      <c r="E8" s="401"/>
      <c r="F8" s="387">
        <f>F7/F6</f>
        <v>0.88130075834263732</v>
      </c>
      <c r="G8" s="387"/>
      <c r="H8" s="387">
        <f>H7/H6</f>
        <v>0.89248505294854286</v>
      </c>
      <c r="I8" s="387"/>
      <c r="J8" s="387">
        <f>J7/J6</f>
        <v>0.81933572104971575</v>
      </c>
      <c r="K8" s="387"/>
      <c r="L8" s="397" t="e">
        <f t="shared" si="0"/>
        <v>#DIV/0!</v>
      </c>
      <c r="M8" s="398" t="e">
        <f t="shared" si="0"/>
        <v>#DIV/0!</v>
      </c>
      <c r="N8" s="400" t="e">
        <f t="shared" si="0"/>
        <v>#DIV/0!</v>
      </c>
      <c r="O8" s="398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>
        <f>VALUE('0510'!L15)</f>
        <v>150</v>
      </c>
      <c r="E13" s="13">
        <f>VALUE('0510'!L26)</f>
        <v>169.61538461538461</v>
      </c>
      <c r="F13" s="13">
        <f>VALUE('0510'!L37)</f>
        <v>95.019607843137251</v>
      </c>
      <c r="G13" s="13">
        <f>VALUE('0510'!L48)</f>
        <v>105.25098039215686</v>
      </c>
      <c r="H13" s="13">
        <f>VALUE('0510'!L58)</f>
        <v>101.32352941176471</v>
      </c>
      <c r="I13" s="13">
        <f>VALUE('0510'!L69)</f>
        <v>112.12435897435898</v>
      </c>
      <c r="J13" s="13">
        <f>'0510'!L79</f>
        <v>82.368421052631575</v>
      </c>
    </row>
    <row r="14" spans="2:15" ht="39.950000000000003" customHeight="1">
      <c r="B14" s="381"/>
      <c r="C14" s="12" t="s">
        <v>100</v>
      </c>
      <c r="D14" s="13">
        <f>VALUE('0510'!O15)</f>
        <v>141.64434997487865</v>
      </c>
      <c r="E14" s="13">
        <f>VALUE('0510'!O26)</f>
        <v>154.15378885392252</v>
      </c>
      <c r="F14" s="13">
        <f>VALUE('0510'!O37)</f>
        <v>87.383514990154325</v>
      </c>
      <c r="G14" s="13">
        <f>VALUE('0510'!O48)</f>
        <v>77.646879093082845</v>
      </c>
      <c r="H14" s="13">
        <f>VALUE('0510'!O58)</f>
        <v>93.591662606796433</v>
      </c>
      <c r="I14" s="13">
        <f>VALUE('0510'!O69)</f>
        <v>91.86749250749358</v>
      </c>
      <c r="J14" s="13">
        <f>'0510'!O79</f>
        <v>69.179723502304029</v>
      </c>
    </row>
    <row r="15" spans="2:15" ht="39.950000000000003" customHeight="1">
      <c r="B15" s="382"/>
      <c r="C15" s="10" t="s">
        <v>26</v>
      </c>
      <c r="D15" s="14">
        <f t="shared" ref="D15:I15" si="1">D14/D13</f>
        <v>0.94429566649919106</v>
      </c>
      <c r="E15" s="14">
        <f t="shared" si="1"/>
        <v>0.90884319959228699</v>
      </c>
      <c r="F15" s="14">
        <f t="shared" si="1"/>
        <v>0.91963666209200801</v>
      </c>
      <c r="G15" s="14">
        <f t="shared" si="1"/>
        <v>0.73773069670017977</v>
      </c>
      <c r="H15" s="14">
        <f t="shared" si="1"/>
        <v>0.92369130003804889</v>
      </c>
      <c r="I15" s="14">
        <f t="shared" si="1"/>
        <v>0.81933572104971575</v>
      </c>
      <c r="J15" s="15">
        <f>'0510'!S70</f>
        <v>0.83988162718452175</v>
      </c>
    </row>
    <row r="16" spans="2:15" ht="17.25" customHeight="1">
      <c r="B16" s="383" t="s">
        <v>101</v>
      </c>
      <c r="C16" s="10" t="s">
        <v>34</v>
      </c>
      <c r="D16" s="16">
        <f>'0510'!T5</f>
        <v>0.29166666666666702</v>
      </c>
      <c r="E16" s="16">
        <f>'0510'!T16</f>
        <v>0.28819444444444398</v>
      </c>
      <c r="F16" s="16">
        <f>'0510'!T27</f>
        <v>0.33333333333333298</v>
      </c>
      <c r="G16" s="16">
        <f>'0510'!T38</f>
        <v>0.33333333333333298</v>
      </c>
      <c r="H16" s="16">
        <f>'0510'!T49</f>
        <v>0.28819444444444398</v>
      </c>
      <c r="I16" s="16">
        <f>'0510'!T59</f>
        <v>0.29166666666666702</v>
      </c>
      <c r="J16" s="16">
        <f>'0510'!T70</f>
        <v>0.57638888888888895</v>
      </c>
    </row>
    <row r="17" spans="2:10" ht="17.25" customHeight="1">
      <c r="B17" s="384"/>
      <c r="C17" s="10" t="s">
        <v>35</v>
      </c>
      <c r="D17" s="16">
        <v>0.62222222222222201</v>
      </c>
      <c r="E17" s="19">
        <v>0.64027777777777795</v>
      </c>
      <c r="F17" s="19">
        <v>0.64583333333333304</v>
      </c>
      <c r="G17" s="20">
        <v>0.70833333333333304</v>
      </c>
      <c r="H17" s="21">
        <v>0.64236111111111105</v>
      </c>
      <c r="I17" s="22">
        <v>0.65972222222222199</v>
      </c>
      <c r="J17" s="16">
        <v>0.68402777777777801</v>
      </c>
    </row>
    <row r="18" spans="2:10" ht="17.25" customHeight="1">
      <c r="B18" s="385" t="s">
        <v>102</v>
      </c>
      <c r="C18" s="330" t="s">
        <v>36</v>
      </c>
      <c r="D18" s="358">
        <f>'0510'!Z15</f>
        <v>0</v>
      </c>
      <c r="E18" s="359">
        <f>'0510'!Z26</f>
        <v>0</v>
      </c>
      <c r="F18" s="359">
        <f>'0510'!Z37</f>
        <v>0</v>
      </c>
      <c r="G18" s="360">
        <f>'0510'!Z48</f>
        <v>2</v>
      </c>
      <c r="H18" s="360">
        <f>'0510'!Z58</f>
        <v>0</v>
      </c>
      <c r="I18" s="359">
        <f>'0510'!Z69</f>
        <v>2</v>
      </c>
      <c r="J18" s="359">
        <f>'0510'!AA79</f>
        <v>0</v>
      </c>
    </row>
    <row r="19" spans="2:10" ht="17.25" customHeight="1">
      <c r="B19" s="386"/>
      <c r="C19" s="330" t="s">
        <v>37</v>
      </c>
      <c r="D19" s="358">
        <f>'0510'!AA15</f>
        <v>0</v>
      </c>
      <c r="E19" s="359">
        <f>'0510'!AA26</f>
        <v>0</v>
      </c>
      <c r="F19" s="359">
        <f>'0510'!AA37</f>
        <v>0</v>
      </c>
      <c r="G19" s="360">
        <f>'0510'!AA48</f>
        <v>14</v>
      </c>
      <c r="H19" s="360">
        <f>'0510'!AA58</f>
        <v>0</v>
      </c>
      <c r="I19" s="359">
        <f>'0510'!AA69</f>
        <v>14</v>
      </c>
      <c r="J19" s="359">
        <f>'0510'!AB79</f>
        <v>0</v>
      </c>
    </row>
    <row r="20" spans="2:10" ht="17.25" customHeight="1">
      <c r="B20" s="385" t="s">
        <v>103</v>
      </c>
      <c r="C20" s="330" t="s">
        <v>36</v>
      </c>
      <c r="D20" s="358">
        <f>'0510'!AD15</f>
        <v>0</v>
      </c>
      <c r="E20" s="359">
        <f>'0510'!AD26</f>
        <v>0</v>
      </c>
      <c r="F20" s="359">
        <f>'0510'!AD37</f>
        <v>0</v>
      </c>
      <c r="G20" s="360">
        <f>'0510'!AD48</f>
        <v>0</v>
      </c>
      <c r="H20" s="360">
        <f>'0510'!AD58</f>
        <v>0</v>
      </c>
      <c r="I20" s="359">
        <f>'0510'!AD69</f>
        <v>0</v>
      </c>
      <c r="J20" s="359">
        <f>'0510'!AD79</f>
        <v>0</v>
      </c>
    </row>
    <row r="21" spans="2:10" ht="17.25" customHeight="1">
      <c r="B21" s="386"/>
      <c r="C21" s="330" t="s">
        <v>85</v>
      </c>
      <c r="D21" s="358">
        <f>'0510'!AE15</f>
        <v>0</v>
      </c>
      <c r="E21" s="359">
        <f>'0510'!AE26</f>
        <v>0</v>
      </c>
      <c r="F21" s="359">
        <f>'0510'!AE37</f>
        <v>0</v>
      </c>
      <c r="G21" s="360">
        <f>'0510'!AE48</f>
        <v>0</v>
      </c>
      <c r="H21" s="360">
        <f>'0510'!AE58</f>
        <v>0</v>
      </c>
      <c r="I21" s="359">
        <f>'0510'!AE69</f>
        <v>0</v>
      </c>
      <c r="J21" s="359">
        <f>'0510'!AE79</f>
        <v>0</v>
      </c>
    </row>
    <row r="22" spans="2:10" ht="17.25" customHeight="1">
      <c r="B22" s="377" t="s">
        <v>104</v>
      </c>
      <c r="C22" s="378"/>
      <c r="D22" s="23">
        <f>VALUE('0510'!M15)</f>
        <v>15</v>
      </c>
      <c r="E22" s="23">
        <f>VALUE('0510'!M26)</f>
        <v>13.4</v>
      </c>
      <c r="F22" s="23">
        <f>VALUE('0510'!M37)</f>
        <v>16</v>
      </c>
      <c r="G22" s="23">
        <f>VALUE('0510'!M48)</f>
        <v>16</v>
      </c>
      <c r="H22" s="23">
        <f>VALUE('0510'!M58)</f>
        <v>16.25</v>
      </c>
      <c r="I22" s="23">
        <f>VALUE('0510'!M69)</f>
        <v>12.8</v>
      </c>
      <c r="J22" s="23">
        <f>'0510'!M79</f>
        <v>14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55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D9EDB-9E91-4935-A648-12572AA92D44}">
  <sheetPr>
    <tabColor theme="9" tint="0.79998168889431442"/>
  </sheetPr>
  <dimension ref="A1:AJ92"/>
  <sheetViews>
    <sheetView zoomScale="69" zoomScaleNormal="69" workbookViewId="0">
      <pane xSplit="5" ySplit="4" topLeftCell="F23" activePane="bottomRight" state="frozen"/>
      <selection activeCell="U52" sqref="U52"/>
      <selection pane="topRight" activeCell="U52" sqref="U52"/>
      <selection pane="bottomLeft" activeCell="U52" sqref="U52"/>
      <selection pane="bottomRight" activeCell="U52" sqref="U5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8" width="8.7109375" style="34" customWidth="1"/>
    <col min="109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64920</v>
      </c>
      <c r="F1" s="30" t="s">
        <v>2</v>
      </c>
      <c r="G1" s="31">
        <f>SUM(H5:H79)</f>
        <v>3197643.5580000002</v>
      </c>
      <c r="H1" s="32" t="s">
        <v>3</v>
      </c>
      <c r="I1" s="33">
        <f>M15+M26+M48+M58+M69+M79+M37</f>
        <v>103.45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177</v>
      </c>
      <c r="B2" s="422"/>
      <c r="C2" s="28"/>
      <c r="D2" s="28" t="s">
        <v>14</v>
      </c>
      <c r="E2" s="35">
        <f>AVERAGE(O15,O26,O37,O48,O58,O69,O79)</f>
        <v>102.20963021837606</v>
      </c>
      <c r="F2" s="36" t="s">
        <v>15</v>
      </c>
      <c r="G2" s="37">
        <f>G1/E1</f>
        <v>49.255137985212571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4</v>
      </c>
      <c r="AA2" s="339">
        <f>AA15+AA26+AA37+AA48+AA58+AA69+AA79</f>
        <v>28</v>
      </c>
      <c r="AB2" s="460"/>
      <c r="AC2" s="460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2040</v>
      </c>
      <c r="H5" s="43">
        <f>F5*G5</f>
        <v>116014.79999999999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2147.3684210526512</v>
      </c>
      <c r="O5" s="47">
        <f>N5/M5</f>
        <v>143.15789473684342</v>
      </c>
      <c r="P5" s="49">
        <f>M5-J5</f>
        <v>0</v>
      </c>
      <c r="Q5" s="50">
        <f>O5-L5</f>
        <v>-6.8421052631565829</v>
      </c>
      <c r="R5" s="51">
        <f>O5/L5</f>
        <v>0.95438596491228944</v>
      </c>
      <c r="S5" s="416">
        <f>R15</f>
        <v>0.94429566649919106</v>
      </c>
      <c r="T5" s="319">
        <v>0.29166666666666702</v>
      </c>
      <c r="U5" s="320">
        <v>0.33124999999999999</v>
      </c>
      <c r="V5" s="53"/>
      <c r="W5" s="54">
        <f t="shared" ref="W5:W14" si="0">(U5-T5)*24*60</f>
        <v>56.999999999999474</v>
      </c>
      <c r="X5" s="55"/>
      <c r="Y5" s="290"/>
      <c r="Z5" s="169"/>
      <c r="AA5" s="169"/>
      <c r="AB5" s="468"/>
      <c r="AC5" s="468"/>
      <c r="AD5" s="135"/>
      <c r="AE5" s="135"/>
      <c r="AF5" s="229">
        <f t="shared" ref="AF5:AF11" si="1">N5-K5</f>
        <v>-102.63157894734877</v>
      </c>
      <c r="AG5" s="52">
        <f t="shared" ref="AG5:AG11" si="2">N5/K5</f>
        <v>0.95438596491228944</v>
      </c>
      <c r="AH5" s="461">
        <f>AG15</f>
        <v>0.94429566649919094</v>
      </c>
    </row>
    <row r="6" spans="1:34" ht="15" customHeight="1">
      <c r="A6" s="428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4405</v>
      </c>
      <c r="H6" s="63">
        <f>F6*G6</f>
        <v>256238.85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2239.8305084745612</v>
      </c>
      <c r="O6" s="67">
        <f>N6/M6</f>
        <v>149.32203389830408</v>
      </c>
      <c r="P6" s="69">
        <f>M6-J6</f>
        <v>0</v>
      </c>
      <c r="Q6" s="70">
        <f>O6-L6</f>
        <v>-0.67796610169591531</v>
      </c>
      <c r="R6" s="71">
        <f>O6/L6</f>
        <v>0.9954802259886939</v>
      </c>
      <c r="S6" s="417"/>
      <c r="T6" s="16">
        <v>0.33819444444444402</v>
      </c>
      <c r="U6" s="16">
        <v>0.42013888888888901</v>
      </c>
      <c r="V6" s="30">
        <f>(T6-U5)*24*60</f>
        <v>9.9999999999994049</v>
      </c>
      <c r="W6" s="73">
        <f t="shared" si="0"/>
        <v>118.00000000000078</v>
      </c>
      <c r="X6" s="22"/>
      <c r="Y6" s="84"/>
      <c r="Z6" s="90"/>
      <c r="AA6" s="90"/>
      <c r="AB6" s="465"/>
      <c r="AC6" s="465"/>
      <c r="AD6" s="149"/>
      <c r="AE6" s="149"/>
      <c r="AF6" s="307">
        <f t="shared" si="1"/>
        <v>-10.169491525438843</v>
      </c>
      <c r="AG6" s="72">
        <f t="shared" si="2"/>
        <v>0.9954802259886939</v>
      </c>
      <c r="AH6" s="462"/>
    </row>
    <row r="7" spans="1:34" ht="15" customHeight="1">
      <c r="A7" s="428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2407</v>
      </c>
      <c r="H7" s="78">
        <f>F7*G7</f>
        <v>118279.98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1925.599999999974</v>
      </c>
      <c r="O7" s="81">
        <f>N7/M7</f>
        <v>128.3733333333316</v>
      </c>
      <c r="P7" s="74">
        <f>M7-J7</f>
        <v>0</v>
      </c>
      <c r="Q7" s="83">
        <f>O7-L7</f>
        <v>-21.626666666668399</v>
      </c>
      <c r="R7" s="72">
        <f>O7/L7</f>
        <v>0.85582222222221072</v>
      </c>
      <c r="S7" s="417"/>
      <c r="T7" s="18">
        <v>0.42708333333333298</v>
      </c>
      <c r="U7" s="18">
        <v>0.47916666666666702</v>
      </c>
      <c r="V7" s="30">
        <f>(T7-U6)*24*60</f>
        <v>9.999999999999325</v>
      </c>
      <c r="W7" s="73">
        <f t="shared" si="0"/>
        <v>75.000000000001009</v>
      </c>
      <c r="X7" s="22">
        <v>0.49305555555555602</v>
      </c>
      <c r="Y7" s="84">
        <v>0.53472222222222199</v>
      </c>
      <c r="Z7" s="90"/>
      <c r="AA7" s="90"/>
      <c r="AB7" s="466"/>
      <c r="AC7" s="466"/>
      <c r="AD7" s="92"/>
      <c r="AE7" s="92"/>
      <c r="AF7" s="307">
        <f t="shared" si="1"/>
        <v>-324.40000000002601</v>
      </c>
      <c r="AG7" s="72">
        <f t="shared" si="2"/>
        <v>0.85582222222221072</v>
      </c>
      <c r="AH7" s="462"/>
    </row>
    <row r="8" spans="1:34" ht="15" customHeight="1">
      <c r="A8" s="428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4226</v>
      </c>
      <c r="H8" s="78">
        <f>F8*G8</f>
        <v>207665.64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2185.8620689655313</v>
      </c>
      <c r="O8" s="81">
        <f>N8/M8</f>
        <v>145.72413793103541</v>
      </c>
      <c r="P8" s="74">
        <f>M8-J8</f>
        <v>0</v>
      </c>
      <c r="Q8" s="83">
        <f>O8-L8</f>
        <v>-4.2758620689645852</v>
      </c>
      <c r="R8" s="72">
        <f>O8/L8</f>
        <v>0.97149425287356939</v>
      </c>
      <c r="S8" s="417"/>
      <c r="T8" s="16">
        <v>0.54166666666666696</v>
      </c>
      <c r="U8" s="16">
        <v>0.62222222222222201</v>
      </c>
      <c r="V8" s="30">
        <f>(T8-U7)*24*60</f>
        <v>89.999999999999915</v>
      </c>
      <c r="W8" s="73">
        <f t="shared" si="0"/>
        <v>115.99999999999926</v>
      </c>
      <c r="X8" s="22"/>
      <c r="Y8" s="84"/>
      <c r="Z8" s="90"/>
      <c r="AA8" s="90"/>
      <c r="AB8" s="465"/>
      <c r="AC8" s="465"/>
      <c r="AD8" s="149"/>
      <c r="AE8" s="149"/>
      <c r="AF8" s="307">
        <f t="shared" si="1"/>
        <v>-64.137931034468693</v>
      </c>
      <c r="AG8" s="72">
        <f t="shared" si="2"/>
        <v>0.9714942528735695</v>
      </c>
      <c r="AH8" s="462"/>
    </row>
    <row r="9" spans="1:34" ht="15" customHeight="1">
      <c r="A9" s="42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8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5"/>
      <c r="AC9" s="465"/>
      <c r="AD9" s="149"/>
      <c r="AE9" s="149"/>
      <c r="AF9" s="307">
        <f t="shared" si="1"/>
        <v>0</v>
      </c>
      <c r="AG9" s="72" t="e">
        <f t="shared" si="2"/>
        <v>#DIV/0!</v>
      </c>
      <c r="AH9" s="463"/>
    </row>
    <row r="10" spans="1:34" ht="15" customHeight="1">
      <c r="A10" s="42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8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6"/>
      <c r="AC10" s="466"/>
      <c r="AD10" s="92"/>
      <c r="AE10" s="92"/>
      <c r="AF10" s="307">
        <f t="shared" si="1"/>
        <v>0</v>
      </c>
      <c r="AG10" s="72" t="e">
        <f t="shared" si="2"/>
        <v>#DIV/0!</v>
      </c>
      <c r="AH10" s="463"/>
    </row>
    <row r="11" spans="1:34" ht="15" customHeight="1">
      <c r="A11" s="42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5"/>
      <c r="AC11" s="465"/>
      <c r="AD11" s="149"/>
      <c r="AE11" s="149"/>
      <c r="AF11" s="307">
        <f t="shared" si="1"/>
        <v>0</v>
      </c>
      <c r="AG11" s="72" t="e">
        <f t="shared" si="2"/>
        <v>#DIV/0!</v>
      </c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2124.6652496231795</v>
      </c>
      <c r="O15" s="117">
        <f t="shared" si="3"/>
        <v>141.64434997487865</v>
      </c>
      <c r="P15" s="121">
        <f>M15-J15</f>
        <v>0</v>
      </c>
      <c r="Q15" s="122">
        <f>O15-L15</f>
        <v>-8.3556500251213492</v>
      </c>
      <c r="R15" s="123">
        <f>O15/L15</f>
        <v>0.94429566649919106</v>
      </c>
      <c r="S15" s="42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7"/>
      <c r="AC15" s="467"/>
      <c r="AD15" s="323">
        <f>SUM(AD5:AD14)</f>
        <v>0</v>
      </c>
      <c r="AE15" s="323">
        <f>SUM(AE5:AE14)</f>
        <v>0</v>
      </c>
      <c r="AF15" s="309">
        <f>N15-K15</f>
        <v>-125.33475037682047</v>
      </c>
      <c r="AG15" s="124">
        <f>N15/K15</f>
        <v>0.94429566649919094</v>
      </c>
      <c r="AH15" s="464"/>
    </row>
    <row r="16" spans="1:34" ht="15" customHeight="1">
      <c r="A16" s="47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4063</v>
      </c>
      <c r="H16" s="134">
        <f>F16*G16</f>
        <v>205872.21000000002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2138.4210526315687</v>
      </c>
      <c r="O16" s="141">
        <f>N16/M16</f>
        <v>164.49392712550528</v>
      </c>
      <c r="P16" s="142">
        <f>M16-J16</f>
        <v>0</v>
      </c>
      <c r="Q16" s="143">
        <f>O16-L16</f>
        <v>-8.5829959514177858</v>
      </c>
      <c r="R16" s="144">
        <f>O16/L16</f>
        <v>0.95040935672514171</v>
      </c>
      <c r="S16" s="472">
        <f>R26</f>
        <v>0.90884319959228699</v>
      </c>
      <c r="T16" s="145">
        <v>0.28819444444444398</v>
      </c>
      <c r="U16" s="145">
        <v>0.36736111111111103</v>
      </c>
      <c r="V16" s="135"/>
      <c r="W16" s="146">
        <f t="shared" ref="W16:W78" si="4">(U16-T16)*24*60</f>
        <v>114.00000000000055</v>
      </c>
      <c r="X16" s="141"/>
      <c r="Y16" s="296"/>
      <c r="Z16" s="169"/>
      <c r="AA16" s="169"/>
      <c r="AB16" s="468"/>
      <c r="AC16" s="468"/>
      <c r="AD16" s="135"/>
      <c r="AE16" s="135"/>
      <c r="AF16" s="229">
        <f>N16-K16</f>
        <v>-111.57894736843127</v>
      </c>
      <c r="AG16" s="52">
        <f>N16/K16</f>
        <v>0.95040935672514171</v>
      </c>
      <c r="AH16" s="461">
        <f>AG26</f>
        <v>0.90501255374037992</v>
      </c>
    </row>
    <row r="17" spans="1:34" ht="15" customHeight="1">
      <c r="A17" s="479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1981</v>
      </c>
      <c r="H17" s="78">
        <f>F17*G17</f>
        <v>112144.41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2014.5762711864536</v>
      </c>
      <c r="O17" s="96">
        <f>N17/M17</f>
        <v>134.30508474576357</v>
      </c>
      <c r="P17" s="97">
        <f>M17-J17</f>
        <v>0</v>
      </c>
      <c r="Q17" s="98">
        <f>O17-L17</f>
        <v>-15.694915254236435</v>
      </c>
      <c r="R17" s="99">
        <f>O17/L17</f>
        <v>0.8953672316384238</v>
      </c>
      <c r="S17" s="473"/>
      <c r="T17" s="19">
        <v>0.37291666666666701</v>
      </c>
      <c r="U17" s="19">
        <v>0.41388888888888897</v>
      </c>
      <c r="V17" s="30">
        <f>(T17-U16)*24*60</f>
        <v>8.0000000000006111</v>
      </c>
      <c r="W17" s="149">
        <f t="shared" si="4"/>
        <v>58.999999999999631</v>
      </c>
      <c r="X17" s="19"/>
      <c r="Y17" s="297"/>
      <c r="Z17" s="90"/>
      <c r="AA17" s="90"/>
      <c r="AB17" s="466"/>
      <c r="AC17" s="466"/>
      <c r="AD17" s="92"/>
      <c r="AE17" s="92"/>
      <c r="AF17" s="307">
        <f>N17-K17</f>
        <v>-235.4237288135464</v>
      </c>
      <c r="AG17" s="72">
        <f>N17/K17</f>
        <v>0.8953672316384238</v>
      </c>
      <c r="AH17" s="462"/>
    </row>
    <row r="18" spans="1:34" ht="15" customHeight="1">
      <c r="A18" s="479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2912</v>
      </c>
      <c r="H18" s="78">
        <f>F18*G18</f>
        <v>146735.67999999999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2055.5294117646977</v>
      </c>
      <c r="O18" s="96">
        <f>N18/M18</f>
        <v>171.29411764705813</v>
      </c>
      <c r="P18" s="97">
        <f>M18-J18</f>
        <v>0</v>
      </c>
      <c r="Q18" s="98">
        <f>O18-L18</f>
        <v>-16.20588235294187</v>
      </c>
      <c r="R18" s="99">
        <f>O18/L18</f>
        <v>0.91356862745097667</v>
      </c>
      <c r="S18" s="473"/>
      <c r="T18" s="19">
        <v>0.42013888888888901</v>
      </c>
      <c r="U18" s="19">
        <v>0.47916666666666702</v>
      </c>
      <c r="V18" s="30">
        <f>(T18-U17)*24*60</f>
        <v>9.000000000000048</v>
      </c>
      <c r="W18" s="149">
        <f t="shared" si="4"/>
        <v>85.000000000000341</v>
      </c>
      <c r="X18" s="22">
        <v>0.49305555555555602</v>
      </c>
      <c r="Y18" s="84">
        <v>0.53472222222222199</v>
      </c>
      <c r="Z18" s="90"/>
      <c r="AA18" s="90"/>
      <c r="AB18" s="466"/>
      <c r="AC18" s="466"/>
      <c r="AD18" s="92"/>
      <c r="AE18" s="92"/>
      <c r="AF18" s="307">
        <f>N18-K18</f>
        <v>-194.47058823530233</v>
      </c>
      <c r="AG18" s="72">
        <f>N18/K18</f>
        <v>0.91356862745097678</v>
      </c>
      <c r="AH18" s="462"/>
    </row>
    <row r="19" spans="1:34" ht="15" customHeight="1">
      <c r="A19" s="479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2758</v>
      </c>
      <c r="H19" s="78">
        <f t="shared" ref="H19:H20" si="5">F19*G19</f>
        <v>138975.62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6">K19/J19</f>
        <v>187.5</v>
      </c>
      <c r="M19" s="148">
        <v>12</v>
      </c>
      <c r="N19" s="95">
        <f t="shared" ref="N19:N20" si="7">G19/W19*60</f>
        <v>2149.0909090909163</v>
      </c>
      <c r="O19" s="96">
        <f t="shared" ref="O19:O20" si="8">N19/M19</f>
        <v>179.09090909090969</v>
      </c>
      <c r="P19" s="97">
        <f t="shared" ref="P19:P20" si="9">M19-J19</f>
        <v>0</v>
      </c>
      <c r="Q19" s="98">
        <f t="shared" ref="Q19:Q20" si="10">O19-L19</f>
        <v>-8.4090909090903097</v>
      </c>
      <c r="R19" s="99">
        <f t="shared" ref="R19:R20" si="11">O19/L19</f>
        <v>0.9551515151515183</v>
      </c>
      <c r="S19" s="473"/>
      <c r="T19" s="19">
        <v>0.54166666666666696</v>
      </c>
      <c r="U19" s="19">
        <v>0.59513888888888899</v>
      </c>
      <c r="V19" s="30">
        <f>(T19-U18)*24*60</f>
        <v>89.999999999999915</v>
      </c>
      <c r="W19" s="149">
        <f t="shared" si="4"/>
        <v>76.99999999999973</v>
      </c>
      <c r="X19" s="22"/>
      <c r="Y19" s="84"/>
      <c r="Z19" s="90"/>
      <c r="AA19" s="90"/>
      <c r="AB19" s="465"/>
      <c r="AC19" s="465"/>
      <c r="AD19" s="149"/>
      <c r="AE19" s="149"/>
      <c r="AF19" s="307">
        <f>N19-K19</f>
        <v>-100.90909090908372</v>
      </c>
      <c r="AG19" s="72">
        <f>N19/K19</f>
        <v>0.9551515151515183</v>
      </c>
      <c r="AH19" s="463"/>
    </row>
    <row r="20" spans="1:34" ht="15" customHeight="1">
      <c r="A20" s="479"/>
      <c r="B20" s="75" t="s">
        <v>81</v>
      </c>
      <c r="C20" s="76"/>
      <c r="D20" s="59" t="s">
        <v>113</v>
      </c>
      <c r="E20" s="77"/>
      <c r="F20" s="75">
        <f>VLOOKUP(D20,廠價表!$C$1:$E$43,3,0)</f>
        <v>56.87</v>
      </c>
      <c r="G20" s="147">
        <v>1611</v>
      </c>
      <c r="H20" s="78">
        <f t="shared" si="5"/>
        <v>91617.569999999992</v>
      </c>
      <c r="I20" s="30"/>
      <c r="J20" s="79">
        <f>VLOOKUP(D20,產線配置圖!$A$3:$C$40,2,0)</f>
        <v>15</v>
      </c>
      <c r="K20" s="80">
        <f>VLOOKUP(D20,產線配置圖!$A$3:$C$40,3,0)</f>
        <v>2250</v>
      </c>
      <c r="L20" s="81">
        <f t="shared" si="6"/>
        <v>150</v>
      </c>
      <c r="M20" s="148">
        <v>15</v>
      </c>
      <c r="N20" s="95">
        <f t="shared" si="7"/>
        <v>1823.7735849056394</v>
      </c>
      <c r="O20" s="96">
        <f t="shared" si="8"/>
        <v>121.58490566037595</v>
      </c>
      <c r="P20" s="97">
        <f t="shared" si="9"/>
        <v>0</v>
      </c>
      <c r="Q20" s="98">
        <f t="shared" si="10"/>
        <v>-28.415094339624048</v>
      </c>
      <c r="R20" s="99">
        <f t="shared" si="11"/>
        <v>0.81056603773583968</v>
      </c>
      <c r="S20" s="473"/>
      <c r="T20" s="19">
        <v>0.60347222222222197</v>
      </c>
      <c r="U20" s="19">
        <v>0.64027777777777795</v>
      </c>
      <c r="V20" s="30">
        <f>(T20-U19)*24*60</f>
        <v>11.999999999999478</v>
      </c>
      <c r="W20" s="149">
        <f t="shared" si="4"/>
        <v>53.000000000000611</v>
      </c>
      <c r="X20" s="19"/>
      <c r="Y20" s="297"/>
      <c r="Z20" s="90"/>
      <c r="AA20" s="90"/>
      <c r="AB20" s="466" t="s">
        <v>125</v>
      </c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3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6"/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50"/>
      <c r="U22" s="150"/>
      <c r="V22" s="92"/>
      <c r="W22" s="149"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4"/>
        <v>0</v>
      </c>
      <c r="X23" s="92"/>
      <c r="Y23" s="298"/>
      <c r="Z23" s="90"/>
      <c r="AA23" s="90"/>
      <c r="AB23" s="466"/>
      <c r="AC23" s="46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>
        <f t="shared" ref="J26:O26" si="12">AVERAGE(J16:J25)</f>
        <v>13.4</v>
      </c>
      <c r="K26" s="155">
        <f t="shared" si="12"/>
        <v>2250</v>
      </c>
      <c r="L26" s="158">
        <f t="shared" si="12"/>
        <v>169.61538461538461</v>
      </c>
      <c r="M26" s="155">
        <f t="shared" si="12"/>
        <v>13.4</v>
      </c>
      <c r="N26" s="155">
        <f t="shared" si="12"/>
        <v>2036.2782459158548</v>
      </c>
      <c r="O26" s="158">
        <f t="shared" si="12"/>
        <v>154.15378885392252</v>
      </c>
      <c r="P26" s="159">
        <f>M26-J26</f>
        <v>0</v>
      </c>
      <c r="Q26" s="160">
        <f>O26-L26</f>
        <v>-15.461595761462092</v>
      </c>
      <c r="R26" s="161">
        <f>O26/L26</f>
        <v>0.90884319959228699</v>
      </c>
      <c r="S26" s="474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7"/>
      <c r="AC26" s="467"/>
      <c r="AD26" s="323">
        <f>SUM(AD16:AD25)</f>
        <v>0</v>
      </c>
      <c r="AE26" s="323">
        <f>SUM(AE16:AE25)</f>
        <v>0</v>
      </c>
      <c r="AF26" s="309">
        <f t="shared" ref="AF26:AF31" si="13">N26-K26</f>
        <v>-213.72175408414523</v>
      </c>
      <c r="AG26" s="124">
        <f t="shared" ref="AG26:AG31" si="14">N26/K26</f>
        <v>0.90501255374037992</v>
      </c>
      <c r="AH26" s="464"/>
    </row>
    <row r="27" spans="1:34" ht="15" customHeight="1">
      <c r="A27" s="469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2402</v>
      </c>
      <c r="H27" s="134">
        <f>F27*G27</f>
        <v>137418.42000000001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1426.930693069304</v>
      </c>
      <c r="O27" s="141">
        <f>N27/M27</f>
        <v>83.937099592311995</v>
      </c>
      <c r="P27" s="142">
        <f>M27-J27</f>
        <v>0</v>
      </c>
      <c r="Q27" s="143">
        <f>O27-L27</f>
        <v>-8.1217239370997731</v>
      </c>
      <c r="R27" s="144">
        <f>O27/L27</f>
        <v>0.91177680068326128</v>
      </c>
      <c r="S27" s="472">
        <f>R37</f>
        <v>0.91963666209200801</v>
      </c>
      <c r="T27" s="171">
        <v>0.33333333333333298</v>
      </c>
      <c r="U27" s="171">
        <v>0.40347222222222201</v>
      </c>
      <c r="V27" s="135"/>
      <c r="W27" s="146">
        <f t="shared" si="4"/>
        <v>101.0000000000002</v>
      </c>
      <c r="X27" s="135"/>
      <c r="Y27" s="300" t="s">
        <v>46</v>
      </c>
      <c r="Z27" s="169"/>
      <c r="AA27" s="169"/>
      <c r="AB27" s="468"/>
      <c r="AC27" s="468"/>
      <c r="AD27" s="135"/>
      <c r="AE27" s="135"/>
      <c r="AF27" s="310">
        <f t="shared" si="13"/>
        <v>-138.06930693069603</v>
      </c>
      <c r="AG27" s="172">
        <f t="shared" si="14"/>
        <v>0.91177680068326128</v>
      </c>
      <c r="AH27" s="461">
        <f>AG37</f>
        <v>0.86544174433951682</v>
      </c>
    </row>
    <row r="28" spans="1:34" ht="15" customHeight="1">
      <c r="A28" s="470"/>
      <c r="B28" s="75" t="s">
        <v>81</v>
      </c>
      <c r="C28" s="173"/>
      <c r="D28" s="59" t="s">
        <v>128</v>
      </c>
      <c r="E28" s="104"/>
      <c r="F28" s="75">
        <f>VLOOKUP(D28,廠價表!$C$1:$E$43,3,0)</f>
        <v>57.21</v>
      </c>
      <c r="G28" s="90">
        <v>2569</v>
      </c>
      <c r="H28" s="91">
        <f>F28*G28</f>
        <v>146972.49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17</v>
      </c>
      <c r="N28" s="95">
        <f>G28/W28*60</f>
        <v>1541.3999999999871</v>
      </c>
      <c r="O28" s="96">
        <f>N28/M28</f>
        <v>90.670588235293366</v>
      </c>
      <c r="P28" s="97">
        <f>M28-J28</f>
        <v>0</v>
      </c>
      <c r="Q28" s="98">
        <f>O28-L28</f>
        <v>-10.270588235294866</v>
      </c>
      <c r="R28" s="99">
        <f>O28/L28</f>
        <v>0.89825174825174081</v>
      </c>
      <c r="S28" s="473"/>
      <c r="T28" s="19">
        <v>0.41319444444444398</v>
      </c>
      <c r="U28" s="19">
        <v>0.48263888888888901</v>
      </c>
      <c r="V28" s="92">
        <f>(T28-U27)*24*60</f>
        <v>13.999999999999631</v>
      </c>
      <c r="W28" s="149">
        <f t="shared" si="4"/>
        <v>100.00000000000084</v>
      </c>
      <c r="X28" s="174">
        <v>0.49097222222222198</v>
      </c>
      <c r="Y28" s="301">
        <v>0.53263888888888899</v>
      </c>
      <c r="Z28" s="335"/>
      <c r="AA28" s="335"/>
      <c r="AB28" s="466"/>
      <c r="AC28" s="466"/>
      <c r="AD28" s="92"/>
      <c r="AE28" s="92"/>
      <c r="AF28" s="311">
        <f t="shared" si="13"/>
        <v>-174.60000000001287</v>
      </c>
      <c r="AG28" s="99">
        <f t="shared" si="14"/>
        <v>0.8982517482517407</v>
      </c>
      <c r="AH28" s="482"/>
    </row>
    <row r="29" spans="1:34" ht="15" customHeight="1">
      <c r="A29" s="470"/>
      <c r="B29" s="75" t="s">
        <v>81</v>
      </c>
      <c r="C29" s="173"/>
      <c r="D29" s="59" t="s">
        <v>145</v>
      </c>
      <c r="E29" s="104"/>
      <c r="F29" s="75">
        <f>VLOOKUP(D29,廠價表!$C$1:$E$43,3,0)</f>
        <v>57.21</v>
      </c>
      <c r="G29" s="90">
        <v>3064</v>
      </c>
      <c r="H29" s="91">
        <f>F29*G29</f>
        <v>175291.44</v>
      </c>
      <c r="I29" s="92"/>
      <c r="J29" s="79">
        <f>VLOOKUP(D29,產線配置圖!$A$3:$C$40,2,0)</f>
        <v>17</v>
      </c>
      <c r="K29" s="80">
        <f>VLOOKUP(D29,產線配置圖!$A$3:$C$40,3,0)</f>
        <v>1565</v>
      </c>
      <c r="L29" s="93">
        <f>K29/J29</f>
        <v>92.058823529411768</v>
      </c>
      <c r="M29" s="94">
        <v>14</v>
      </c>
      <c r="N29" s="95">
        <f>G29/W29*60</f>
        <v>1225.600000000007</v>
      </c>
      <c r="O29" s="96">
        <f>N29/M29</f>
        <v>87.542857142857642</v>
      </c>
      <c r="P29" s="97">
        <f>M29-J29</f>
        <v>-3</v>
      </c>
      <c r="Q29" s="98">
        <f>O29-L29</f>
        <v>-4.5159663865541262</v>
      </c>
      <c r="R29" s="99">
        <f>O29/L29</f>
        <v>0.95094477407576983</v>
      </c>
      <c r="S29" s="473"/>
      <c r="T29" s="19">
        <v>0.54166666666666696</v>
      </c>
      <c r="U29" s="19">
        <v>0.64583333333333304</v>
      </c>
      <c r="V29" s="92">
        <f>(T29-U28)*24*60</f>
        <v>85.000000000000256</v>
      </c>
      <c r="W29" s="149">
        <f t="shared" si="4"/>
        <v>149.99999999999915</v>
      </c>
      <c r="X29" s="22"/>
      <c r="Y29" s="84"/>
      <c r="Z29" s="90"/>
      <c r="AA29" s="90"/>
      <c r="AB29" s="466"/>
      <c r="AC29" s="466"/>
      <c r="AD29" s="92"/>
      <c r="AE29" s="92"/>
      <c r="AF29" s="312">
        <f t="shared" si="13"/>
        <v>-339.39999999999304</v>
      </c>
      <c r="AG29" s="99">
        <f t="shared" si="14"/>
        <v>0.78313099041533996</v>
      </c>
      <c r="AH29" s="482"/>
    </row>
    <row r="30" spans="1:34" ht="15" customHeight="1">
      <c r="A30" s="470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3"/>
      <c r="T30" s="19"/>
      <c r="U30" s="19"/>
      <c r="V30" s="92"/>
      <c r="W30" s="149">
        <f t="shared" si="4"/>
        <v>0</v>
      </c>
      <c r="X30" s="174"/>
      <c r="Y30" s="301"/>
      <c r="Z30" s="335"/>
      <c r="AA30" s="335"/>
      <c r="AB30" s="466"/>
      <c r="AC30" s="466"/>
      <c r="AD30" s="92"/>
      <c r="AE30" s="92"/>
      <c r="AF30" s="312">
        <f t="shared" si="13"/>
        <v>0</v>
      </c>
      <c r="AG30" s="99" t="e">
        <f t="shared" si="14"/>
        <v>#DIV/0!</v>
      </c>
      <c r="AH30" s="483"/>
    </row>
    <row r="31" spans="1:34" ht="15" customHeight="1">
      <c r="A31" s="47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3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6"/>
      <c r="AC31" s="466"/>
      <c r="AD31" s="92"/>
      <c r="AE31" s="92"/>
      <c r="AF31" s="312">
        <f t="shared" si="13"/>
        <v>0</v>
      </c>
      <c r="AG31" s="99" t="e">
        <f t="shared" si="14"/>
        <v>#DIV/0!</v>
      </c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6"/>
      <c r="AC32" s="466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6"/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>
        <f t="shared" ref="J37:O37" si="15">AVERAGE(J27:J36)</f>
        <v>17</v>
      </c>
      <c r="K37" s="155">
        <f t="shared" si="15"/>
        <v>1615.3333333333333</v>
      </c>
      <c r="L37" s="158">
        <f t="shared" si="15"/>
        <v>95.019607843137251</v>
      </c>
      <c r="M37" s="155">
        <f t="shared" si="15"/>
        <v>16</v>
      </c>
      <c r="N37" s="155">
        <f t="shared" si="15"/>
        <v>1397.976897689766</v>
      </c>
      <c r="O37" s="158">
        <f t="shared" si="15"/>
        <v>87.383514990154325</v>
      </c>
      <c r="P37" s="159">
        <f>M37-J37</f>
        <v>-1</v>
      </c>
      <c r="Q37" s="160">
        <f>N37-K37</f>
        <v>-217.35643564356724</v>
      </c>
      <c r="R37" s="161">
        <f>O37/L37</f>
        <v>0.91963666209200801</v>
      </c>
      <c r="S37" s="474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7"/>
      <c r="AC37" s="477"/>
      <c r="AD37" s="324">
        <f>SUM(AD27:AD36)</f>
        <v>0</v>
      </c>
      <c r="AE37" s="324">
        <f>SUM(AE27:AE36)</f>
        <v>0</v>
      </c>
      <c r="AF37" s="309">
        <f>N37-K37</f>
        <v>-217.35643564356724</v>
      </c>
      <c r="AG37" s="124">
        <f>N37/K37</f>
        <v>0.86544174433951682</v>
      </c>
      <c r="AH37" s="464"/>
    </row>
    <row r="38" spans="1:34" ht="15" customHeight="1">
      <c r="A38" s="491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2339</v>
      </c>
      <c r="H38" s="134">
        <f>F38*G38</f>
        <v>116739.48999999999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1631.8604651162575</v>
      </c>
      <c r="O38" s="141">
        <f>N38/M38</f>
        <v>108.79069767441716</v>
      </c>
      <c r="P38" s="142">
        <f>M38-J38</f>
        <v>0</v>
      </c>
      <c r="Q38" s="143">
        <f>O38-L38</f>
        <v>-5.4759689922495056</v>
      </c>
      <c r="R38" s="144">
        <f>O38/L38</f>
        <v>0.95207728419851656</v>
      </c>
      <c r="S38" s="494">
        <f>R48</f>
        <v>0.73773069670017977</v>
      </c>
      <c r="T38" s="191">
        <v>0.33333333333333298</v>
      </c>
      <c r="U38" s="191">
        <v>0.39305555555555599</v>
      </c>
      <c r="V38" s="192"/>
      <c r="W38" s="193">
        <f t="shared" si="4"/>
        <v>86.000000000001137</v>
      </c>
      <c r="X38" s="194"/>
      <c r="Y38" s="302"/>
      <c r="Z38" s="336"/>
      <c r="AA38" s="336"/>
      <c r="AB38" s="496"/>
      <c r="AC38" s="496"/>
      <c r="AD38" s="192"/>
      <c r="AE38" s="192"/>
      <c r="AF38" s="313">
        <f>N38-K38</f>
        <v>-82.139534883742499</v>
      </c>
      <c r="AG38" s="195">
        <f>N38/K38</f>
        <v>0.95207728419851667</v>
      </c>
      <c r="AH38" s="484">
        <f>AG48</f>
        <v>0.74064949081496267</v>
      </c>
    </row>
    <row r="39" spans="1:34" ht="15" customHeight="1">
      <c r="A39" s="492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2806</v>
      </c>
      <c r="H39" s="91">
        <f>F39*G39</f>
        <v>124305.79999999999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1211.223021582731</v>
      </c>
      <c r="O39" s="203">
        <f>N39/M39</f>
        <v>71.2484130342783</v>
      </c>
      <c r="P39" s="97">
        <f>M39-J39</f>
        <v>0</v>
      </c>
      <c r="Q39" s="98">
        <f>O39-L39</f>
        <v>-24.986881083368758</v>
      </c>
      <c r="R39" s="99">
        <f>O39/L39</f>
        <v>0.74035637016059364</v>
      </c>
      <c r="S39" s="495"/>
      <c r="T39" s="20">
        <v>0.4</v>
      </c>
      <c r="U39" s="20">
        <v>0.49652777777777801</v>
      </c>
      <c r="V39" s="92">
        <f>(T39-U38)*24*60</f>
        <v>9.9999999999994049</v>
      </c>
      <c r="W39" s="205">
        <f t="shared" si="4"/>
        <v>139.00000000000031</v>
      </c>
      <c r="X39" s="22">
        <v>0.51041666666666696</v>
      </c>
      <c r="Y39" s="84">
        <v>0.55208333333333304</v>
      </c>
      <c r="Z39" s="90">
        <v>2</v>
      </c>
      <c r="AA39" s="90">
        <v>14</v>
      </c>
      <c r="AB39" s="487" t="s">
        <v>178</v>
      </c>
      <c r="AC39" s="487"/>
      <c r="AD39" s="200"/>
      <c r="AE39" s="200"/>
      <c r="AF39" s="314">
        <f>N39-K39</f>
        <v>-424.77697841726899</v>
      </c>
      <c r="AG39" s="206">
        <f>N39/K39</f>
        <v>0.74035637016059352</v>
      </c>
      <c r="AH39" s="485"/>
    </row>
    <row r="40" spans="1:34" ht="15" customHeight="1">
      <c r="A40" s="492"/>
      <c r="B40" s="75" t="s">
        <v>123</v>
      </c>
      <c r="C40" s="86"/>
      <c r="D40" s="198" t="s">
        <v>124</v>
      </c>
      <c r="E40" s="87"/>
      <c r="F40" s="75">
        <f>VLOOKUP(D40,廠價表!$C$1:$E$43,3,0)</f>
        <v>44.3</v>
      </c>
      <c r="G40" s="199">
        <v>3194</v>
      </c>
      <c r="H40" s="91">
        <f>F40*G40</f>
        <v>141494.19999999998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1368.8571428571463</v>
      </c>
      <c r="O40" s="203">
        <f>N40/M40</f>
        <v>80.521008403361549</v>
      </c>
      <c r="P40" s="97">
        <f>M40-J40</f>
        <v>0</v>
      </c>
      <c r="Q40" s="98">
        <f>O40-L40</f>
        <v>-15.714285714285509</v>
      </c>
      <c r="R40" s="99">
        <f>O40/L40</f>
        <v>0.83670974502270556</v>
      </c>
      <c r="S40" s="417"/>
      <c r="T40" s="210">
        <v>0.55555555555555602</v>
      </c>
      <c r="U40" s="210">
        <v>0.65277777777777801</v>
      </c>
      <c r="V40" s="92">
        <f>(T40-U39)*24*60</f>
        <v>85.000000000000341</v>
      </c>
      <c r="W40" s="205">
        <f t="shared" si="4"/>
        <v>139.99999999999966</v>
      </c>
      <c r="X40" s="208"/>
      <c r="Y40" s="209"/>
      <c r="Z40" s="337"/>
      <c r="AA40" s="337"/>
      <c r="AB40" s="466"/>
      <c r="AC40" s="466"/>
      <c r="AD40" s="92"/>
      <c r="AE40" s="92"/>
      <c r="AF40" s="314">
        <f>N40-K40</f>
        <v>-267.1428571428537</v>
      </c>
      <c r="AG40" s="206">
        <f>N40/K40</f>
        <v>0.83670974502270556</v>
      </c>
      <c r="AH40" s="485"/>
    </row>
    <row r="41" spans="1:34" ht="15" customHeight="1">
      <c r="A41" s="492"/>
      <c r="B41" s="75" t="s">
        <v>123</v>
      </c>
      <c r="C41" s="102"/>
      <c r="D41" s="198" t="s">
        <v>126</v>
      </c>
      <c r="E41" s="104"/>
      <c r="F41" s="75">
        <f>VLOOKUP(D41,廠價表!$C$1:$E$43,3,0)</f>
        <v>49.91</v>
      </c>
      <c r="G41" s="202">
        <v>913</v>
      </c>
      <c r="H41" s="91">
        <f>F41*G41</f>
        <v>45567.829999999994</v>
      </c>
      <c r="I41" s="200"/>
      <c r="J41" s="148">
        <f>VLOOKUP(D41,產線配置圖!$A$3:$C$40,2,0)</f>
        <v>15</v>
      </c>
      <c r="K41" s="95">
        <f>VLOOKUP(D41,產線配置圖!$A$3:$C$40,3,0)</f>
        <v>1714</v>
      </c>
      <c r="L41" s="96">
        <f>K41/J41</f>
        <v>114.26666666666667</v>
      </c>
      <c r="M41" s="201">
        <v>15</v>
      </c>
      <c r="N41" s="202">
        <f>G41/W41*60</f>
        <v>750.41095890411555</v>
      </c>
      <c r="O41" s="203">
        <f>N41/M41</f>
        <v>50.02739726027437</v>
      </c>
      <c r="P41" s="97">
        <f>M41-J41</f>
        <v>0</v>
      </c>
      <c r="Q41" s="98">
        <f>O41-L41</f>
        <v>-64.239269406392296</v>
      </c>
      <c r="R41" s="99">
        <f>O41/L41</f>
        <v>0.43781269480986906</v>
      </c>
      <c r="S41" s="417"/>
      <c r="T41" s="210">
        <v>0.65763888888888899</v>
      </c>
      <c r="U41" s="210">
        <v>0.70833333333333304</v>
      </c>
      <c r="V41" s="92">
        <f>(T41-U40)*24*60</f>
        <v>6.9999999999998153</v>
      </c>
      <c r="W41" s="205">
        <f t="shared" si="4"/>
        <v>72.999999999999417</v>
      </c>
      <c r="X41" s="208"/>
      <c r="Y41" s="209"/>
      <c r="Z41" s="337"/>
      <c r="AA41" s="337"/>
      <c r="AB41" s="466" t="s">
        <v>179</v>
      </c>
      <c r="AC41" s="466"/>
      <c r="AD41" s="92"/>
      <c r="AE41" s="92"/>
      <c r="AF41" s="314">
        <f>N41-K41</f>
        <v>-963.58904109588445</v>
      </c>
      <c r="AG41" s="206">
        <f>N41/K41</f>
        <v>0.43781269480986906</v>
      </c>
      <c r="AH41" s="485"/>
    </row>
    <row r="42" spans="1:34" ht="15" customHeight="1">
      <c r="A42" s="49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7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6"/>
      <c r="AC42" s="466"/>
      <c r="AD42" s="92"/>
      <c r="AE42" s="92"/>
      <c r="AF42" s="314"/>
      <c r="AG42" s="206"/>
      <c r="AH42" s="485"/>
    </row>
    <row r="43" spans="1:34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>
        <f t="shared" ref="J48:O48" si="16">AVERAGE(J38:J47)</f>
        <v>16</v>
      </c>
      <c r="K48" s="155">
        <f t="shared" si="16"/>
        <v>1675</v>
      </c>
      <c r="L48" s="158">
        <f t="shared" si="16"/>
        <v>105.25098039215686</v>
      </c>
      <c r="M48" s="155">
        <f t="shared" si="16"/>
        <v>16</v>
      </c>
      <c r="N48" s="155">
        <f t="shared" si="16"/>
        <v>1240.5878971150626</v>
      </c>
      <c r="O48" s="158">
        <f t="shared" si="16"/>
        <v>77.646879093082845</v>
      </c>
      <c r="P48" s="221">
        <f>M48-J48</f>
        <v>0</v>
      </c>
      <c r="Q48" s="222">
        <f>N48-K48</f>
        <v>-434.41210288493744</v>
      </c>
      <c r="R48" s="223">
        <f>O48/L48</f>
        <v>0.73773069670017977</v>
      </c>
      <c r="S48" s="420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2</v>
      </c>
      <c r="AA48" s="334">
        <f>SUM(AA38:AA47)</f>
        <v>14</v>
      </c>
      <c r="AB48" s="467"/>
      <c r="AC48" s="467"/>
      <c r="AD48" s="323">
        <f>SUM(AD38:AD47)</f>
        <v>0</v>
      </c>
      <c r="AE48" s="323">
        <f>SUM(AE38:AE47)</f>
        <v>0</v>
      </c>
      <c r="AF48" s="315">
        <f t="shared" ref="AF48:AF53" si="17">N48-K48</f>
        <v>-434.41210288493744</v>
      </c>
      <c r="AG48" s="162">
        <f t="shared" ref="AG48:AG53" si="18">N48/K48</f>
        <v>0.74064949081496267</v>
      </c>
      <c r="AH48" s="486"/>
    </row>
    <row r="49" spans="1:34" ht="15" customHeight="1">
      <c r="A49" s="488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2309</v>
      </c>
      <c r="H49" s="134">
        <f>F49*G49</f>
        <v>114341.68000000001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16</v>
      </c>
      <c r="N49" s="140">
        <f>G49/W49*60</f>
        <v>1319.428571428565</v>
      </c>
      <c r="O49" s="141">
        <f>N49/M49</f>
        <v>82.46428571428531</v>
      </c>
      <c r="P49" s="229">
        <f>M49-J49</f>
        <v>-1</v>
      </c>
      <c r="Q49" s="230">
        <f>O49-L49</f>
        <v>-5.7710084033617477</v>
      </c>
      <c r="R49" s="52">
        <f>O49/L49</f>
        <v>0.93459523809523348</v>
      </c>
      <c r="S49" s="416">
        <f>R58</f>
        <v>0.92369130003804889</v>
      </c>
      <c r="T49" s="191">
        <v>0.28819444444444398</v>
      </c>
      <c r="U49" s="191">
        <v>0.36111111111111099</v>
      </c>
      <c r="V49" s="55"/>
      <c r="W49" s="193">
        <f t="shared" si="4"/>
        <v>105.00000000000051</v>
      </c>
      <c r="X49" s="55"/>
      <c r="Y49" s="290"/>
      <c r="Z49" s="169"/>
      <c r="AA49" s="169"/>
      <c r="AB49" s="468"/>
      <c r="AC49" s="468"/>
      <c r="AD49" s="135"/>
      <c r="AE49" s="135"/>
      <c r="AF49" s="229">
        <f t="shared" si="17"/>
        <v>-180.57142857143504</v>
      </c>
      <c r="AG49" s="52">
        <f t="shared" si="18"/>
        <v>0.8796190476190433</v>
      </c>
      <c r="AH49" s="461">
        <f>AG58</f>
        <v>0.91209453928191486</v>
      </c>
    </row>
    <row r="50" spans="1:34" ht="15" customHeight="1">
      <c r="A50" s="489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2751</v>
      </c>
      <c r="H50" s="231">
        <f>F50*G50</f>
        <v>137467.47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1634.2574257425711</v>
      </c>
      <c r="O50" s="235">
        <f>N50/M50</f>
        <v>102.14108910891069</v>
      </c>
      <c r="P50" s="74">
        <f>M50-J50</f>
        <v>0</v>
      </c>
      <c r="Q50" s="83">
        <f>O50-L50</f>
        <v>-10.358910891089309</v>
      </c>
      <c r="R50" s="72">
        <f>O50/L50</f>
        <v>0.90792079207920617</v>
      </c>
      <c r="S50" s="417"/>
      <c r="T50" s="21">
        <v>0.36597222222222198</v>
      </c>
      <c r="U50" s="21">
        <v>0.43611111111111101</v>
      </c>
      <c r="V50" s="30">
        <f>(T50-U49)*24*60</f>
        <v>6.9999999999998153</v>
      </c>
      <c r="W50" s="236">
        <f t="shared" si="4"/>
        <v>101.0000000000002</v>
      </c>
      <c r="X50" s="22"/>
      <c r="Y50" s="84"/>
      <c r="Z50" s="90"/>
      <c r="AA50" s="90"/>
      <c r="AB50" s="466"/>
      <c r="AC50" s="466"/>
      <c r="AD50" s="92"/>
      <c r="AE50" s="92"/>
      <c r="AF50" s="307">
        <f t="shared" si="17"/>
        <v>-165.74257425742894</v>
      </c>
      <c r="AG50" s="72">
        <f t="shared" si="18"/>
        <v>0.90792079207920617</v>
      </c>
      <c r="AH50" s="462"/>
    </row>
    <row r="51" spans="1:34" ht="15" customHeight="1">
      <c r="A51" s="489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1770</v>
      </c>
      <c r="H51" s="231">
        <f>F51*G51</f>
        <v>89011.53</v>
      </c>
      <c r="I51" s="232"/>
      <c r="J51" s="79">
        <v>17</v>
      </c>
      <c r="K51" s="80">
        <f>VLOOKUP(D51,產線配置圖!$A$3:$C$40,3,0)</f>
        <v>1565</v>
      </c>
      <c r="L51" s="81">
        <f>K51/J51</f>
        <v>92.058823529411768</v>
      </c>
      <c r="M51" s="233">
        <v>17</v>
      </c>
      <c r="N51" s="234">
        <f>G51/W51*60</f>
        <v>1517.1428571428278</v>
      </c>
      <c r="O51" s="235">
        <f>N51/M51</f>
        <v>89.243697478989873</v>
      </c>
      <c r="P51" s="74">
        <f>M51-J51</f>
        <v>0</v>
      </c>
      <c r="Q51" s="83">
        <f>O51-L51</f>
        <v>-2.8151260504218953</v>
      </c>
      <c r="R51" s="72">
        <f>O51/L51</f>
        <v>0.96942035600180687</v>
      </c>
      <c r="S51" s="417"/>
      <c r="T51" s="21">
        <v>0.44444444444444398</v>
      </c>
      <c r="U51" s="19">
        <v>0.49305555555555602</v>
      </c>
      <c r="V51" s="30">
        <f>(T51-U50)*24*60</f>
        <v>11.999999999999478</v>
      </c>
      <c r="W51" s="236">
        <f t="shared" si="4"/>
        <v>70.00000000000135</v>
      </c>
      <c r="X51" s="22">
        <v>0.5</v>
      </c>
      <c r="Y51" s="84">
        <v>0.55208333333333304</v>
      </c>
      <c r="Z51" s="90"/>
      <c r="AA51" s="90"/>
      <c r="AB51" s="466"/>
      <c r="AC51" s="466"/>
      <c r="AD51" s="92"/>
      <c r="AE51" s="92"/>
      <c r="AF51" s="307">
        <f t="shared" si="17"/>
        <v>-47.857142857172221</v>
      </c>
      <c r="AG51" s="72">
        <f t="shared" si="18"/>
        <v>0.96942035600180687</v>
      </c>
      <c r="AH51" s="462"/>
    </row>
    <row r="52" spans="1:34" ht="15" customHeight="1">
      <c r="A52" s="489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3431</v>
      </c>
      <c r="H52" s="231">
        <f>F52*G52</f>
        <v>171447.07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1608.281249999998</v>
      </c>
      <c r="O52" s="235">
        <f>N52/M52</f>
        <v>100.51757812499987</v>
      </c>
      <c r="P52" s="74">
        <f>M52-J52</f>
        <v>0</v>
      </c>
      <c r="Q52" s="83">
        <f>O52-L52</f>
        <v>-11.982421875000128</v>
      </c>
      <c r="R52" s="72">
        <f>O52/L52</f>
        <v>0.89348958333333217</v>
      </c>
      <c r="S52" s="417"/>
      <c r="T52" s="21">
        <v>0.55347222222222203</v>
      </c>
      <c r="U52" s="21">
        <v>0.64236111111111105</v>
      </c>
      <c r="V52" s="30">
        <f>(T52-U51)*24*60</f>
        <v>86.999999999999048</v>
      </c>
      <c r="W52" s="236">
        <f t="shared" si="4"/>
        <v>128.00000000000017</v>
      </c>
      <c r="X52" s="22"/>
      <c r="Y52" s="84"/>
      <c r="Z52" s="90"/>
      <c r="AA52" s="90"/>
      <c r="AB52" s="466"/>
      <c r="AC52" s="466"/>
      <c r="AD52" s="92"/>
      <c r="AE52" s="92"/>
      <c r="AF52" s="307">
        <f t="shared" si="17"/>
        <v>-191.71875000000205</v>
      </c>
      <c r="AG52" s="72">
        <f t="shared" si="18"/>
        <v>0.89348958333333217</v>
      </c>
      <c r="AH52" s="462"/>
    </row>
    <row r="53" spans="1:34" ht="15" customHeight="1">
      <c r="A53" s="48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7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6"/>
      <c r="AC53" s="466"/>
      <c r="AD53" s="92"/>
      <c r="AE53" s="92"/>
      <c r="AF53" s="307">
        <f t="shared" si="17"/>
        <v>0</v>
      </c>
      <c r="AG53" s="72" t="e">
        <f t="shared" si="18"/>
        <v>#DIV/0!</v>
      </c>
      <c r="AH53" s="462"/>
    </row>
    <row r="54" spans="1:34" ht="15" customHeight="1">
      <c r="A54" s="48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7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>
      <c r="A58" s="490"/>
      <c r="B58" s="239"/>
      <c r="C58" s="153" t="s">
        <v>51</v>
      </c>
      <c r="D58" s="437" t="s">
        <v>42</v>
      </c>
      <c r="E58" s="437"/>
      <c r="F58" s="116"/>
      <c r="G58" s="240"/>
      <c r="H58" s="118"/>
      <c r="I58" s="117"/>
      <c r="J58" s="120">
        <f t="shared" ref="J58:O58" si="19">AVERAGE(J49:J57)</f>
        <v>16.5</v>
      </c>
      <c r="K58" s="120">
        <f t="shared" si="19"/>
        <v>1666.25</v>
      </c>
      <c r="L58" s="117">
        <f t="shared" si="19"/>
        <v>101.32352941176471</v>
      </c>
      <c r="M58" s="120">
        <f t="shared" si="19"/>
        <v>16.25</v>
      </c>
      <c r="N58" s="120">
        <f t="shared" si="19"/>
        <v>1519.7775260784906</v>
      </c>
      <c r="O58" s="117">
        <f t="shared" si="19"/>
        <v>93.591662606796433</v>
      </c>
      <c r="P58" s="121">
        <f>M58-J58</f>
        <v>-0.25</v>
      </c>
      <c r="Q58" s="122">
        <f>N58-K58</f>
        <v>-146.47247392150939</v>
      </c>
      <c r="R58" s="123">
        <f>O58/L58</f>
        <v>0.92369130003804889</v>
      </c>
      <c r="S58" s="42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7"/>
      <c r="AC58" s="467"/>
      <c r="AD58" s="323">
        <f>SUM(AD49:AD57)</f>
        <v>0</v>
      </c>
      <c r="AE58" s="323">
        <f>SUM(AE49:AE57)</f>
        <v>0</v>
      </c>
      <c r="AF58" s="309">
        <f>N58-K58</f>
        <v>-146.47247392150939</v>
      </c>
      <c r="AG58" s="124">
        <f>N58/K58</f>
        <v>0.91209453928191486</v>
      </c>
      <c r="AH58" s="464"/>
    </row>
    <row r="59" spans="1:34" ht="15" customHeight="1">
      <c r="A59" s="502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2543</v>
      </c>
      <c r="H59" s="243">
        <f>F59*G59</f>
        <v>68635.569999999992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1453.1428571428712</v>
      </c>
      <c r="O59" s="138">
        <f>N59/M59</f>
        <v>96.876190476191411</v>
      </c>
      <c r="P59" s="56">
        <f>M59-J59</f>
        <v>0</v>
      </c>
      <c r="Q59" s="230">
        <f>O59-L59</f>
        <v>-7.4571428571419176</v>
      </c>
      <c r="R59" s="52">
        <f>O59/L59</f>
        <v>0.92852578731173885</v>
      </c>
      <c r="S59" s="416">
        <f>R69</f>
        <v>0.81933572104971575</v>
      </c>
      <c r="T59" s="245">
        <v>0.29166666666666702</v>
      </c>
      <c r="U59" s="245">
        <v>0.36458333333333298</v>
      </c>
      <c r="V59" s="55"/>
      <c r="W59" s="54">
        <f t="shared" si="4"/>
        <v>104.99999999999899</v>
      </c>
      <c r="X59" s="55"/>
      <c r="Y59" s="290"/>
      <c r="Z59" s="169"/>
      <c r="AA59" s="169"/>
      <c r="AB59" s="468"/>
      <c r="AC59" s="468"/>
      <c r="AD59" s="135"/>
      <c r="AE59" s="135"/>
      <c r="AF59" s="310">
        <f>N59-K59</f>
        <v>-111.85714285712879</v>
      </c>
      <c r="AG59" s="246">
        <f>N59/K59</f>
        <v>0.92852578731173874</v>
      </c>
      <c r="AH59" s="461">
        <f>AG69</f>
        <v>0.78727378232329637</v>
      </c>
    </row>
    <row r="60" spans="1:34" ht="15" customHeight="1">
      <c r="A60" s="503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1931</v>
      </c>
      <c r="H60" s="78">
        <f>F60*G60</f>
        <v>54570.060000000005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1485.3846153846343</v>
      </c>
      <c r="O60" s="81">
        <f>N60/M60</f>
        <v>123.78205128205286</v>
      </c>
      <c r="P60" s="74">
        <f>M60-J60</f>
        <v>0</v>
      </c>
      <c r="Q60" s="83">
        <f>O60-L60</f>
        <v>-6.6346153846137952</v>
      </c>
      <c r="R60" s="72">
        <f>O60/L60</f>
        <v>0.94912754976653957</v>
      </c>
      <c r="S60" s="506"/>
      <c r="T60" s="22">
        <v>0.37152777777777801</v>
      </c>
      <c r="U60" s="22">
        <v>0.42569444444444399</v>
      </c>
      <c r="V60" s="30">
        <f>(T60-U59)*24*60</f>
        <v>10.000000000000844</v>
      </c>
      <c r="W60" s="248">
        <f t="shared" si="4"/>
        <v>77.999999999999005</v>
      </c>
      <c r="X60" s="232"/>
      <c r="Y60" s="177"/>
      <c r="Z60" s="90"/>
      <c r="AA60" s="90"/>
      <c r="AB60" s="466"/>
      <c r="AC60" s="466"/>
      <c r="AD60" s="92"/>
      <c r="AE60" s="92"/>
      <c r="AF60" s="316">
        <f>N60-K60</f>
        <v>-79.615384615365656</v>
      </c>
      <c r="AG60" s="249">
        <f>N60/K60</f>
        <v>0.94912754976653957</v>
      </c>
      <c r="AH60" s="497"/>
    </row>
    <row r="61" spans="1:34" ht="15" customHeight="1">
      <c r="A61" s="504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1093</v>
      </c>
      <c r="H61" s="254">
        <f>F61*G61</f>
        <v>55382.310000000005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11</v>
      </c>
      <c r="N61" s="107">
        <f>G61/W61*60</f>
        <v>624.57142857143458</v>
      </c>
      <c r="O61" s="238">
        <f>N61/M61</f>
        <v>56.779220779221326</v>
      </c>
      <c r="P61" s="111">
        <f>M61-J61</f>
        <v>-2</v>
      </c>
      <c r="Q61" s="255">
        <f>O61-L61</f>
        <v>-53.990009990009447</v>
      </c>
      <c r="R61" s="85">
        <f>O61/L61</f>
        <v>0.51259018759019248</v>
      </c>
      <c r="S61" s="417"/>
      <c r="T61" s="22">
        <v>0.43055555555555602</v>
      </c>
      <c r="U61" s="22">
        <v>0.50347222222222199</v>
      </c>
      <c r="V61" s="30">
        <f>(T61-U60)*24*60</f>
        <v>7.000000000001334</v>
      </c>
      <c r="W61" s="256">
        <f t="shared" si="4"/>
        <v>104.99999999999899</v>
      </c>
      <c r="X61" s="22">
        <v>0.51388888888888895</v>
      </c>
      <c r="Y61" s="84">
        <v>0.55555555555555602</v>
      </c>
      <c r="Z61" s="90">
        <v>2</v>
      </c>
      <c r="AA61" s="90">
        <v>14</v>
      </c>
      <c r="AB61" s="466" t="s">
        <v>180</v>
      </c>
      <c r="AC61" s="466"/>
      <c r="AD61" s="92"/>
      <c r="AE61" s="92"/>
      <c r="AF61" s="317">
        <f>N61-K61</f>
        <v>-815.42857142856542</v>
      </c>
      <c r="AG61" s="247">
        <f>N61/K61</f>
        <v>0.43373015873016291</v>
      </c>
      <c r="AH61" s="462"/>
    </row>
    <row r="62" spans="1:34" ht="15" customHeight="1">
      <c r="A62" s="504"/>
      <c r="B62" s="258" t="s">
        <v>81</v>
      </c>
      <c r="C62" s="58"/>
      <c r="D62" s="259" t="s">
        <v>119</v>
      </c>
      <c r="E62" s="60"/>
      <c r="F62" s="250">
        <f>VLOOKUP(D62,廠價表!$C$1:$E$43,3,0)</f>
        <v>50.67</v>
      </c>
      <c r="G62" s="260">
        <v>902</v>
      </c>
      <c r="H62" s="254">
        <f t="shared" ref="H62:H63" si="20">F62*G62</f>
        <v>45704.340000000004</v>
      </c>
      <c r="I62" s="182"/>
      <c r="J62" s="106">
        <f>VLOOKUP(D62,產線配置圖!$A$3:$C$40,2,0)</f>
        <v>13</v>
      </c>
      <c r="K62" s="107">
        <f>VLOOKUP(D62,產線配置圖!$A$3:$C$40,3,0)</f>
        <v>1440</v>
      </c>
      <c r="L62" s="238">
        <f t="shared" ref="L62:L63" si="21">K62/J62</f>
        <v>110.76923076923077</v>
      </c>
      <c r="M62" s="68">
        <v>11</v>
      </c>
      <c r="N62" s="107">
        <f t="shared" ref="N62:N63" si="22">G62/W62*60</f>
        <v>902.00000000001512</v>
      </c>
      <c r="O62" s="238">
        <f t="shared" ref="O62:O63" si="23">N62/M62</f>
        <v>82.000000000001378</v>
      </c>
      <c r="P62" s="111">
        <f t="shared" ref="P62:P63" si="24">M62-J62</f>
        <v>-2</v>
      </c>
      <c r="Q62" s="255">
        <f t="shared" ref="Q62:Q63" si="25">O62-L62</f>
        <v>-28.769230769229395</v>
      </c>
      <c r="R62" s="85">
        <f t="shared" ref="R62:R63" si="26">O62/L62</f>
        <v>0.74027777777779025</v>
      </c>
      <c r="S62" s="417"/>
      <c r="T62" s="22">
        <v>0.55555555555555602</v>
      </c>
      <c r="U62" s="22">
        <v>0.59722222222222199</v>
      </c>
      <c r="V62" s="30">
        <f t="shared" ref="V62:V63" si="27">(T62-U61)*24*60</f>
        <v>75.000000000001009</v>
      </c>
      <c r="W62" s="248">
        <f t="shared" si="4"/>
        <v>59.999999999998991</v>
      </c>
      <c r="X62" s="22"/>
      <c r="Y62" s="84"/>
      <c r="Z62" s="90"/>
      <c r="AA62" s="90"/>
      <c r="AB62" s="466" t="s">
        <v>125</v>
      </c>
      <c r="AC62" s="466"/>
      <c r="AD62" s="92"/>
      <c r="AE62" s="92"/>
      <c r="AF62" s="317">
        <f>N62-K62</f>
        <v>-537.99999999998488</v>
      </c>
      <c r="AG62" s="247">
        <f>N62/K62</f>
        <v>0.62638888888889943</v>
      </c>
      <c r="AH62" s="462"/>
    </row>
    <row r="63" spans="1:34" ht="15" customHeight="1">
      <c r="A63" s="504"/>
      <c r="B63" s="75" t="s">
        <v>130</v>
      </c>
      <c r="C63" s="76"/>
      <c r="D63" s="175" t="s">
        <v>131</v>
      </c>
      <c r="E63" s="77"/>
      <c r="F63" s="250">
        <f>VLOOKUP(D63,廠價表!$C$1:$E$43,3,0)</f>
        <v>26.99</v>
      </c>
      <c r="G63" s="30">
        <v>1998</v>
      </c>
      <c r="H63" s="254">
        <f t="shared" si="20"/>
        <v>53926.02</v>
      </c>
      <c r="I63" s="182"/>
      <c r="J63" s="106">
        <f>VLOOKUP(D63,產線配置圖!$A$3:$C$40,2,0)</f>
        <v>15</v>
      </c>
      <c r="K63" s="107">
        <f>VLOOKUP(D63,產線配置圖!$A$3:$C$40,3,0)</f>
        <v>1565</v>
      </c>
      <c r="L63" s="238">
        <f t="shared" si="21"/>
        <v>104.33333333333333</v>
      </c>
      <c r="M63" s="82">
        <v>15</v>
      </c>
      <c r="N63" s="107">
        <f t="shared" si="22"/>
        <v>1498.5000000000143</v>
      </c>
      <c r="O63" s="238">
        <f t="shared" si="23"/>
        <v>99.900000000000958</v>
      </c>
      <c r="P63" s="111">
        <f t="shared" si="24"/>
        <v>0</v>
      </c>
      <c r="Q63" s="255">
        <f t="shared" si="25"/>
        <v>-4.4333333333323708</v>
      </c>
      <c r="R63" s="85">
        <f t="shared" si="26"/>
        <v>0.95750798722045649</v>
      </c>
      <c r="S63" s="417"/>
      <c r="T63" s="22">
        <v>0.60416666666666696</v>
      </c>
      <c r="U63" s="22">
        <v>0.65972222222222199</v>
      </c>
      <c r="V63" s="30">
        <f t="shared" si="27"/>
        <v>10.000000000000764</v>
      </c>
      <c r="W63" s="248">
        <f t="shared" si="4"/>
        <v>79.999999999999233</v>
      </c>
      <c r="X63" s="261"/>
      <c r="Y63" s="291"/>
      <c r="Z63" s="335"/>
      <c r="AA63" s="335"/>
      <c r="AB63" s="466"/>
      <c r="AC63" s="466"/>
      <c r="AD63" s="92"/>
      <c r="AE63" s="92"/>
      <c r="AF63" s="317"/>
      <c r="AG63" s="247"/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>
        <f t="shared" ref="J69:O69" si="28">AVERAGE(J59:J68)</f>
        <v>13.6</v>
      </c>
      <c r="K69" s="240">
        <f t="shared" si="28"/>
        <v>1515</v>
      </c>
      <c r="L69" s="268">
        <f t="shared" si="28"/>
        <v>112.12435897435898</v>
      </c>
      <c r="M69" s="240">
        <f t="shared" si="28"/>
        <v>12.8</v>
      </c>
      <c r="N69" s="240">
        <f t="shared" si="28"/>
        <v>1192.7197802197941</v>
      </c>
      <c r="O69" s="268">
        <f t="shared" si="28"/>
        <v>91.86749250749358</v>
      </c>
      <c r="P69" s="269">
        <f>M69-J69</f>
        <v>-0.79999999999999893</v>
      </c>
      <c r="Q69" s="222">
        <f>N69-K69</f>
        <v>-322.28021978020593</v>
      </c>
      <c r="R69" s="123">
        <f>O69/L69</f>
        <v>0.81933572104971575</v>
      </c>
      <c r="S69" s="420"/>
      <c r="T69" s="125"/>
      <c r="U69" s="125"/>
      <c r="V69" s="126"/>
      <c r="W69" s="242"/>
      <c r="X69" s="128"/>
      <c r="Y69" s="295"/>
      <c r="Z69" s="334">
        <f>SUM(Z59:Z68)</f>
        <v>2</v>
      </c>
      <c r="AA69" s="334">
        <f>SUM(AA59:AA68)</f>
        <v>14</v>
      </c>
      <c r="AB69" s="467"/>
      <c r="AC69" s="467"/>
      <c r="AD69" s="323">
        <f>SUM(AD59:AD68)</f>
        <v>0</v>
      </c>
      <c r="AE69" s="323">
        <f>SUM(AE59:AE68)</f>
        <v>0</v>
      </c>
      <c r="AF69" s="309">
        <f>N69-K69</f>
        <v>-322.28021978020593</v>
      </c>
      <c r="AG69" s="124">
        <f>N69/K69</f>
        <v>0.78727378232329637</v>
      </c>
      <c r="AH69" s="464"/>
    </row>
    <row r="70" spans="1:36" ht="15" customHeight="1">
      <c r="A70" s="498" t="s">
        <v>55</v>
      </c>
      <c r="B70" s="129" t="s">
        <v>81</v>
      </c>
      <c r="C70" s="129"/>
      <c r="D70" s="131" t="s">
        <v>121</v>
      </c>
      <c r="E70" s="132"/>
      <c r="F70" s="129">
        <f>VLOOKUP(D70,廠價表!$C$1:$E$43,3,0)</f>
        <v>50.289000000000001</v>
      </c>
      <c r="G70" s="55">
        <v>2502</v>
      </c>
      <c r="H70" s="243">
        <f>F70*G70</f>
        <v>125823.07800000001</v>
      </c>
      <c r="I70" s="55"/>
      <c r="J70" s="136">
        <f>VLOOKUP(D70,產線配置圖!$A$3:$C$40,2,0)</f>
        <v>19</v>
      </c>
      <c r="K70" s="137">
        <f>VLOOKUP(D70,產線配置圖!$A$3:$C$40,3,0)</f>
        <v>1565</v>
      </c>
      <c r="L70" s="138">
        <f>K70/J70</f>
        <v>82.368421052631575</v>
      </c>
      <c r="M70" s="244">
        <v>14</v>
      </c>
      <c r="N70" s="137">
        <f>G70/W70*60</f>
        <v>968.51612903225646</v>
      </c>
      <c r="O70" s="138">
        <f>N70/M70</f>
        <v>69.179723502304029</v>
      </c>
      <c r="P70" s="56">
        <f>M70-J70</f>
        <v>-5</v>
      </c>
      <c r="Q70" s="230">
        <f>O70-L70</f>
        <v>-13.188697550327547</v>
      </c>
      <c r="R70" s="52">
        <f>O70/L70</f>
        <v>0.83988162718452175</v>
      </c>
      <c r="S70" s="416">
        <f>R79</f>
        <v>0.83988162718452175</v>
      </c>
      <c r="T70" s="245">
        <v>0.57638888888888895</v>
      </c>
      <c r="U70" s="245">
        <v>0.68402777777777801</v>
      </c>
      <c r="V70" s="55"/>
      <c r="W70" s="54">
        <f t="shared" si="4"/>
        <v>155.00000000000026</v>
      </c>
      <c r="X70" s="270"/>
      <c r="Y70" s="292"/>
      <c r="Z70" s="169"/>
      <c r="AA70" s="169"/>
      <c r="AB70" s="468"/>
      <c r="AC70" s="468"/>
      <c r="AD70" s="135"/>
      <c r="AE70" s="135"/>
      <c r="AF70" s="310">
        <f>N70-K70</f>
        <v>-596.48387096774354</v>
      </c>
      <c r="AG70" s="246">
        <f>N70/K70</f>
        <v>0.61886014634648978</v>
      </c>
      <c r="AH70" s="461">
        <f>AG79</f>
        <v>0.61886014634648978</v>
      </c>
    </row>
    <row r="71" spans="1:36" ht="15" customHeight="1">
      <c r="A71" s="499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7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7"/>
      <c r="AC71" s="487"/>
      <c r="AD71" s="200"/>
      <c r="AE71" s="200"/>
      <c r="AF71" s="311">
        <v>-300.31249999999704</v>
      </c>
      <c r="AG71" s="99">
        <v>0.80810702875399554</v>
      </c>
      <c r="AH71" s="482"/>
    </row>
    <row r="72" spans="1:36" ht="15" customHeight="1">
      <c r="A72" s="499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7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6"/>
      <c r="AC72" s="466"/>
      <c r="AD72" s="92"/>
      <c r="AE72" s="92"/>
      <c r="AF72" s="311">
        <v>-130.33333333333326</v>
      </c>
      <c r="AG72" s="99">
        <v>0.91671991480298198</v>
      </c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6" t="s">
        <v>181</v>
      </c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>
      <c r="A79" s="500"/>
      <c r="B79" s="239"/>
      <c r="C79" s="153" t="s">
        <v>56</v>
      </c>
      <c r="D79" s="437" t="s">
        <v>42</v>
      </c>
      <c r="E79" s="437"/>
      <c r="F79" s="116"/>
      <c r="G79" s="117"/>
      <c r="H79" s="282"/>
      <c r="I79" s="268"/>
      <c r="J79" s="240">
        <f t="shared" ref="J79:O79" si="29">AVERAGE(J70:J78)</f>
        <v>19</v>
      </c>
      <c r="K79" s="240">
        <f t="shared" si="29"/>
        <v>1565</v>
      </c>
      <c r="L79" s="268">
        <f t="shared" si="29"/>
        <v>82.368421052631575</v>
      </c>
      <c r="M79" s="240">
        <f t="shared" si="29"/>
        <v>14</v>
      </c>
      <c r="N79" s="240">
        <f t="shared" si="29"/>
        <v>968.51612903225646</v>
      </c>
      <c r="O79" s="268">
        <f t="shared" si="29"/>
        <v>69.179723502304029</v>
      </c>
      <c r="P79" s="269">
        <f>M79-J79</f>
        <v>-5</v>
      </c>
      <c r="Q79" s="222">
        <f>N79-K79</f>
        <v>-596.48387096774354</v>
      </c>
      <c r="R79" s="223">
        <f>O79/L79</f>
        <v>0.83988162718452175</v>
      </c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>
        <f>N79-K79</f>
        <v>-596.48387096774354</v>
      </c>
      <c r="AG79" s="124">
        <f>N79/K79</f>
        <v>0.61886014634648978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16:A26"/>
    <mergeCell ref="S16:S26"/>
    <mergeCell ref="AB16:AC16"/>
    <mergeCell ref="D26:E26"/>
    <mergeCell ref="AB26:AC26"/>
    <mergeCell ref="AD3:AE3"/>
    <mergeCell ref="AF3:AF4"/>
    <mergeCell ref="AG3:AG4"/>
    <mergeCell ref="D15:E15"/>
    <mergeCell ref="AB15:AC15"/>
    <mergeCell ref="P3:P4"/>
    <mergeCell ref="Q3:Q4"/>
    <mergeCell ref="R3:R4"/>
    <mergeCell ref="T3:U3"/>
    <mergeCell ref="V3:V4"/>
    <mergeCell ref="W3:W4"/>
    <mergeCell ref="X3:Y3"/>
    <mergeCell ref="Z3:AA3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2:B2"/>
    <mergeCell ref="A3:A4"/>
    <mergeCell ref="B3:B4"/>
    <mergeCell ref="D3:E4"/>
    <mergeCell ref="F3:F4"/>
  </mergeCells>
  <phoneticPr fontId="0" type="noConversion"/>
  <conditionalFormatting sqref="P5:P79">
    <cfRule type="cellIs" dxfId="254" priority="1" operator="greaterThan">
      <formula>0</formula>
    </cfRule>
  </conditionalFormatting>
  <conditionalFormatting sqref="Q5:Q79 AF5:AF79">
    <cfRule type="cellIs" dxfId="253" priority="4" operator="lessThan">
      <formula>0</formula>
    </cfRule>
  </conditionalFormatting>
  <conditionalFormatting sqref="R5:R79 AG5:AG79">
    <cfRule type="cellIs" dxfId="252" priority="2" operator="greaterThan">
      <formula>1</formula>
    </cfRule>
    <cfRule type="cellIs" dxfId="251" priority="3" operator="lessThan">
      <formula>0.8</formula>
    </cfRule>
  </conditionalFormatting>
  <conditionalFormatting sqref="S5:S10 S37:S62 AH59:AH62 S69:S76 AH69:AH76">
    <cfRule type="cellIs" dxfId="250" priority="7" operator="lessThan">
      <formula>0.8</formula>
    </cfRule>
  </conditionalFormatting>
  <conditionalFormatting sqref="S19:S25 AH19:AH25">
    <cfRule type="cellIs" dxfId="249" priority="6" operator="lessThan">
      <formula>0.8</formula>
    </cfRule>
  </conditionalFormatting>
  <conditionalFormatting sqref="S79">
    <cfRule type="cellIs" dxfId="248" priority="5" operator="lessThan">
      <formula>0.8</formula>
    </cfRule>
  </conditionalFormatting>
  <conditionalFormatting sqref="AH5:AH8 S15:S16 AH15:AH16 AH49 AH79">
    <cfRule type="cellIs" dxfId="247" priority="9" operator="lessThan">
      <formula>0.8</formula>
    </cfRule>
  </conditionalFormatting>
  <conditionalFormatting sqref="AH27 S27:S28">
    <cfRule type="cellIs" dxfId="246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BAD893-A192-4236-B9E3-AF3EED4F24FA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D91B0-F12C-43DD-982E-7F2AF6B1CD12}">
  <dimension ref="B1:O26"/>
  <sheetViews>
    <sheetView topLeftCell="A2" zoomScale="70" zoomScaleNormal="70" workbookViewId="0">
      <selection activeCell="M32" sqref="M3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46153</v>
      </c>
      <c r="E3" s="412"/>
      <c r="F3" s="3" t="s">
        <v>72</v>
      </c>
      <c r="G3" s="413">
        <f>'0511'!E1</f>
        <v>60828</v>
      </c>
      <c r="H3" s="413"/>
      <c r="I3" s="3" t="s">
        <v>2</v>
      </c>
      <c r="J3" s="414">
        <f>'0511'!G1</f>
        <v>2977430.4299999997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>
        <f>AVERAGE(D13:I13)</f>
        <v>121.38385704709236</v>
      </c>
      <c r="G6" s="410"/>
      <c r="H6" s="395">
        <f>AVERAGE(D13:H13)</f>
        <v>123.23575666163904</v>
      </c>
      <c r="I6" s="395"/>
      <c r="J6" s="395">
        <f>AVERAGE(I13)</f>
        <v>112.12435897435898</v>
      </c>
      <c r="K6" s="395"/>
      <c r="L6" s="396">
        <f>SUM(D18:J18)</f>
        <v>3</v>
      </c>
      <c r="M6" s="398">
        <f>SUM(D19:J19)</f>
        <v>30</v>
      </c>
      <c r="N6" s="399">
        <f>SUM(D20:J20)</f>
        <v>0</v>
      </c>
      <c r="O6" s="398">
        <f>SUM(D20:J20)</f>
        <v>0</v>
      </c>
    </row>
    <row r="7" spans="2:15" ht="39.6" customHeight="1">
      <c r="B7" s="406"/>
      <c r="C7" s="406"/>
      <c r="D7" s="401" t="s">
        <v>87</v>
      </c>
      <c r="E7" s="401"/>
      <c r="F7" s="402">
        <f>AVERAGE(D14:I14)</f>
        <v>107.11145306037706</v>
      </c>
      <c r="G7" s="402"/>
      <c r="H7" s="403">
        <f>AVERAGE(D14:H14)</f>
        <v>109.67485431671014</v>
      </c>
      <c r="I7" s="403"/>
      <c r="J7" s="403">
        <f>AVERAGE(I14)</f>
        <v>94.294446778711674</v>
      </c>
      <c r="K7" s="403"/>
      <c r="L7" s="397" t="e">
        <f t="shared" ref="L7:O8" si="0">AVERAGE(K14:L14)</f>
        <v>#DIV/0!</v>
      </c>
      <c r="M7" s="398" t="e">
        <f t="shared" si="0"/>
        <v>#DIV/0!</v>
      </c>
      <c r="N7" s="400" t="e">
        <f t="shared" si="0"/>
        <v>#DIV/0!</v>
      </c>
      <c r="O7" s="398" t="e">
        <f t="shared" si="0"/>
        <v>#DIV/0!</v>
      </c>
    </row>
    <row r="8" spans="2:15" ht="39.6" customHeight="1">
      <c r="B8" s="406"/>
      <c r="C8" s="406"/>
      <c r="D8" s="401" t="s">
        <v>27</v>
      </c>
      <c r="E8" s="401"/>
      <c r="F8" s="387">
        <f>F7/F6</f>
        <v>0.88241925793165277</v>
      </c>
      <c r="G8" s="387"/>
      <c r="H8" s="387">
        <f>H7/H6</f>
        <v>0.88995967800025566</v>
      </c>
      <c r="I8" s="387"/>
      <c r="J8" s="387">
        <f>J7/J6</f>
        <v>0.84098092190899643</v>
      </c>
      <c r="K8" s="387"/>
      <c r="L8" s="397" t="e">
        <f t="shared" si="0"/>
        <v>#DIV/0!</v>
      </c>
      <c r="M8" s="398" t="e">
        <f t="shared" si="0"/>
        <v>#DIV/0!</v>
      </c>
      <c r="N8" s="400" t="e">
        <f t="shared" si="0"/>
        <v>#DIV/0!</v>
      </c>
      <c r="O8" s="398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>
        <f>VALUE('0511'!L15)</f>
        <v>150</v>
      </c>
      <c r="E13" s="13">
        <f>VALUE('0511'!L26)</f>
        <v>169.61538461538461</v>
      </c>
      <c r="F13" s="13">
        <f>VALUE('0511'!L37)</f>
        <v>95.611764705882351</v>
      </c>
      <c r="G13" s="13">
        <f>VALUE('0511'!L48)</f>
        <v>102.24575163398693</v>
      </c>
      <c r="H13" s="13">
        <f>VALUE('0511'!L58)</f>
        <v>98.705882352941188</v>
      </c>
      <c r="I13" s="13">
        <f>VALUE('0511'!L69)</f>
        <v>112.12435897435898</v>
      </c>
      <c r="J13" s="13">
        <f>'0511'!L79</f>
        <v>0</v>
      </c>
    </row>
    <row r="14" spans="2:15" ht="39.950000000000003" customHeight="1">
      <c r="B14" s="381"/>
      <c r="C14" s="12" t="s">
        <v>100</v>
      </c>
      <c r="D14" s="13">
        <f>VALUE('0511'!O15)</f>
        <v>137.59659382810062</v>
      </c>
      <c r="E14" s="13">
        <f>VALUE('0511'!O26)</f>
        <v>150.59808306903193</v>
      </c>
      <c r="F14" s="13">
        <f>VALUE('0511'!O37)</f>
        <v>81.138467357137046</v>
      </c>
      <c r="G14" s="13">
        <f>VALUE('0511'!O48)</f>
        <v>92.508316227053797</v>
      </c>
      <c r="H14" s="13">
        <f>VALUE('0511'!O58)</f>
        <v>86.5328111022272</v>
      </c>
      <c r="I14" s="13">
        <f>VALUE('0511'!O69)</f>
        <v>94.294446778711674</v>
      </c>
      <c r="J14" s="13">
        <f>'0511'!O79</f>
        <v>0</v>
      </c>
    </row>
    <row r="15" spans="2:15" ht="39.950000000000003" customHeight="1">
      <c r="B15" s="382"/>
      <c r="C15" s="10" t="s">
        <v>26</v>
      </c>
      <c r="D15" s="14">
        <f t="shared" ref="D15:I15" si="1">D14/D13</f>
        <v>0.91731062552067077</v>
      </c>
      <c r="E15" s="14">
        <f t="shared" si="1"/>
        <v>0.88787985482875964</v>
      </c>
      <c r="F15" s="14">
        <f t="shared" si="1"/>
        <v>0.84862430483039852</v>
      </c>
      <c r="G15" s="14">
        <f t="shared" si="1"/>
        <v>0.90476440095241706</v>
      </c>
      <c r="H15" s="14">
        <f t="shared" si="1"/>
        <v>0.87667329483782019</v>
      </c>
      <c r="I15" s="14">
        <f t="shared" si="1"/>
        <v>0.84098092190899643</v>
      </c>
      <c r="J15" s="15">
        <f>'0511'!S70</f>
        <v>0</v>
      </c>
    </row>
    <row r="16" spans="2:15" ht="17.25" customHeight="1">
      <c r="B16" s="383" t="s">
        <v>101</v>
      </c>
      <c r="C16" s="10" t="s">
        <v>34</v>
      </c>
      <c r="D16" s="16">
        <f>'0511'!T5</f>
        <v>0.29166666666666702</v>
      </c>
      <c r="E16" s="16">
        <f>'0511'!T16</f>
        <v>0.29027777777777802</v>
      </c>
      <c r="F16" s="16">
        <f>'0511'!T27</f>
        <v>0.33333333333333298</v>
      </c>
      <c r="G16" s="16">
        <f>'0511'!T38</f>
        <v>0.33333333333333298</v>
      </c>
      <c r="H16" s="16">
        <f>'0511'!T49</f>
        <v>0.29513888888888901</v>
      </c>
      <c r="I16" s="16">
        <f>'0511'!T59</f>
        <v>0.28819444444444398</v>
      </c>
      <c r="J16" s="16">
        <f>'0511'!T70</f>
        <v>0</v>
      </c>
    </row>
    <row r="17" spans="2:10" ht="17.25" customHeight="1">
      <c r="B17" s="384"/>
      <c r="C17" s="10" t="s">
        <v>35</v>
      </c>
      <c r="D17" s="16">
        <v>0.62708333333333299</v>
      </c>
      <c r="E17" s="19">
        <v>0.65486111111111101</v>
      </c>
      <c r="F17" s="19">
        <v>0.67708333333333304</v>
      </c>
      <c r="G17" s="20">
        <v>0.65972222222222199</v>
      </c>
      <c r="H17" s="21">
        <v>0.65</v>
      </c>
      <c r="I17" s="22">
        <v>0.63541666666666696</v>
      </c>
      <c r="J17" s="16">
        <f>'0511'!T71</f>
        <v>0</v>
      </c>
    </row>
    <row r="18" spans="2:10" ht="17.25" customHeight="1">
      <c r="B18" s="385" t="s">
        <v>102</v>
      </c>
      <c r="C18" s="330" t="s">
        <v>36</v>
      </c>
      <c r="D18" s="358">
        <f>'0511'!Z15</f>
        <v>1</v>
      </c>
      <c r="E18" s="359">
        <f>'0511'!Z26</f>
        <v>1</v>
      </c>
      <c r="F18" s="359">
        <f>'0511'!Z37</f>
        <v>1</v>
      </c>
      <c r="G18" s="360">
        <f>'0511'!Z48</f>
        <v>0</v>
      </c>
      <c r="H18" s="360">
        <f>'0511'!Z58</f>
        <v>0</v>
      </c>
      <c r="I18" s="359">
        <f>'0511'!Z69</f>
        <v>0</v>
      </c>
      <c r="J18" s="359">
        <f>'0511'!AA79</f>
        <v>0</v>
      </c>
    </row>
    <row r="19" spans="2:10" ht="17.25" customHeight="1">
      <c r="B19" s="386"/>
      <c r="C19" s="330" t="s">
        <v>37</v>
      </c>
      <c r="D19" s="358">
        <f>'0511'!AA15</f>
        <v>10</v>
      </c>
      <c r="E19" s="359">
        <f>'0511'!AA26</f>
        <v>10</v>
      </c>
      <c r="F19" s="359">
        <f>'0511'!AA37</f>
        <v>10</v>
      </c>
      <c r="G19" s="360">
        <f>'0511'!AA48</f>
        <v>0</v>
      </c>
      <c r="H19" s="360">
        <f>'0511'!AA58</f>
        <v>0</v>
      </c>
      <c r="I19" s="359">
        <f>'0511'!AA69</f>
        <v>0</v>
      </c>
      <c r="J19" s="359">
        <f>'0511'!AB79</f>
        <v>0</v>
      </c>
    </row>
    <row r="20" spans="2:10" ht="17.25" customHeight="1">
      <c r="B20" s="385" t="s">
        <v>103</v>
      </c>
      <c r="C20" s="330" t="s">
        <v>36</v>
      </c>
      <c r="D20" s="358">
        <f>'0511'!AD15</f>
        <v>0</v>
      </c>
      <c r="E20" s="359">
        <f>'0511'!AD26</f>
        <v>0</v>
      </c>
      <c r="F20" s="359">
        <f>'0511'!AD37</f>
        <v>0</v>
      </c>
      <c r="G20" s="360">
        <f>'0511'!AD48</f>
        <v>0</v>
      </c>
      <c r="H20" s="360">
        <f>'0511'!AD58</f>
        <v>0</v>
      </c>
      <c r="I20" s="359">
        <f>'0511'!AD69</f>
        <v>0</v>
      </c>
      <c r="J20" s="359">
        <f>'0511'!AD79</f>
        <v>0</v>
      </c>
    </row>
    <row r="21" spans="2:10" ht="17.25" customHeight="1">
      <c r="B21" s="386"/>
      <c r="C21" s="330" t="s">
        <v>85</v>
      </c>
      <c r="D21" s="358">
        <f>'0511'!AE15</f>
        <v>0</v>
      </c>
      <c r="E21" s="359">
        <f>'0511'!AE26</f>
        <v>0</v>
      </c>
      <c r="F21" s="359">
        <f>'0511'!AE37</f>
        <v>0</v>
      </c>
      <c r="G21" s="360">
        <f>'0511'!AE48</f>
        <v>0</v>
      </c>
      <c r="H21" s="360">
        <f>'0511'!AE58</f>
        <v>0</v>
      </c>
      <c r="I21" s="359">
        <f>'0511'!AE69</f>
        <v>0</v>
      </c>
      <c r="J21" s="359">
        <f>'0511'!AE79</f>
        <v>0</v>
      </c>
    </row>
    <row r="22" spans="2:10" ht="17.25" customHeight="1">
      <c r="B22" s="377" t="s">
        <v>104</v>
      </c>
      <c r="C22" s="378"/>
      <c r="D22" s="23">
        <f>VALUE('0511'!M15)</f>
        <v>15</v>
      </c>
      <c r="E22" s="23">
        <f>VALUE('0511'!M26)</f>
        <v>13.4</v>
      </c>
      <c r="F22" s="23">
        <f>VALUE('0511'!M37)</f>
        <v>17</v>
      </c>
      <c r="G22" s="23">
        <f>VALUE('0511'!M48)</f>
        <v>16.333333333333332</v>
      </c>
      <c r="H22" s="23">
        <f>VALUE('0511'!M58)</f>
        <v>16.600000000000001</v>
      </c>
      <c r="I22" s="23">
        <f>VALUE('0511'!M69)</f>
        <v>13.6</v>
      </c>
      <c r="J22" s="23">
        <f>'0511'!M79</f>
        <v>0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45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C0DC9-6528-492F-BC46-63975921FEC9}">
  <sheetPr>
    <tabColor theme="9" tint="0.79998168889431442"/>
  </sheetPr>
  <dimension ref="A1:AJ92"/>
  <sheetViews>
    <sheetView zoomScale="69" zoomScaleNormal="69" workbookViewId="0">
      <pane xSplit="5" ySplit="4" topLeftCell="G17" activePane="bottomRight" state="frozen"/>
      <selection activeCell="M32" sqref="M32"/>
      <selection pane="topRight" activeCell="M32" sqref="M32"/>
      <selection pane="bottomLeft" activeCell="M32" sqref="M32"/>
      <selection pane="bottomRight" activeCell="M32" sqref="M3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8" width="8.7109375" style="34" customWidth="1"/>
    <col min="109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60828</v>
      </c>
      <c r="F1" s="30" t="s">
        <v>2</v>
      </c>
      <c r="G1" s="31">
        <f>SUM(H5:H79)</f>
        <v>2977430.4299999997</v>
      </c>
      <c r="H1" s="32" t="s">
        <v>3</v>
      </c>
      <c r="I1" s="33">
        <f>M15+M26+M48+M58+M69+M79+M37</f>
        <v>91.933333333333337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182</v>
      </c>
      <c r="B2" s="422"/>
      <c r="C2" s="28"/>
      <c r="D2" s="28" t="s">
        <v>14</v>
      </c>
      <c r="E2" s="35">
        <f>AVERAGE(O15,O26,O37,O48,O58,O69,O79)</f>
        <v>107.11145306037706</v>
      </c>
      <c r="F2" s="36" t="s">
        <v>15</v>
      </c>
      <c r="G2" s="37">
        <f>G1/E1</f>
        <v>48.948353225488255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3</v>
      </c>
      <c r="AA2" s="339">
        <f>AA15+AA26+AA37+AA48+AA58+AA69+AA79</f>
        <v>30</v>
      </c>
      <c r="AB2" s="460"/>
      <c r="AC2" s="460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1998</v>
      </c>
      <c r="H5" s="43">
        <f>F5*G5</f>
        <v>113626.26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2066.8965517241795</v>
      </c>
      <c r="O5" s="47">
        <f>N5/M5</f>
        <v>137.79310344827863</v>
      </c>
      <c r="P5" s="49">
        <f>M5-J5</f>
        <v>0</v>
      </c>
      <c r="Q5" s="50">
        <f>O5-L5</f>
        <v>-12.206896551721371</v>
      </c>
      <c r="R5" s="51">
        <f>O5/L5</f>
        <v>0.91862068965519084</v>
      </c>
      <c r="S5" s="416">
        <f>R15</f>
        <v>0.91731062552067077</v>
      </c>
      <c r="T5" s="319">
        <v>0.29166666666666702</v>
      </c>
      <c r="U5" s="320">
        <v>0.33194444444444399</v>
      </c>
      <c r="V5" s="53"/>
      <c r="W5" s="54">
        <f t="shared" ref="W5:W14" si="0">(U5-T5)*24*60</f>
        <v>57.999999999998835</v>
      </c>
      <c r="X5" s="55"/>
      <c r="Y5" s="290"/>
      <c r="Z5" s="169"/>
      <c r="AA5" s="169"/>
      <c r="AB5" s="468"/>
      <c r="AC5" s="468"/>
      <c r="AD5" s="135"/>
      <c r="AE5" s="135"/>
      <c r="AF5" s="229">
        <f t="shared" ref="AF5:AF11" si="1">N5-K5</f>
        <v>-183.10344827582048</v>
      </c>
      <c r="AG5" s="52">
        <f t="shared" ref="AG5:AG11" si="2">N5/K5</f>
        <v>0.91862068965519095</v>
      </c>
      <c r="AH5" s="461">
        <f>AG15</f>
        <v>0.91731062552067066</v>
      </c>
    </row>
    <row r="6" spans="1:34" ht="15" customHeight="1">
      <c r="A6" s="428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4152</v>
      </c>
      <c r="H6" s="63">
        <f>F6*G6</f>
        <v>241521.84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2147.5862068965398</v>
      </c>
      <c r="O6" s="67">
        <f>N6/M6</f>
        <v>143.17241379310266</v>
      </c>
      <c r="P6" s="69">
        <f>M6-J6</f>
        <v>0</v>
      </c>
      <c r="Q6" s="70">
        <f>O6-L6</f>
        <v>-6.8275862068973368</v>
      </c>
      <c r="R6" s="71">
        <f>O6/L6</f>
        <v>0.95448275862068443</v>
      </c>
      <c r="S6" s="417"/>
      <c r="T6" s="16">
        <v>0.33750000000000002</v>
      </c>
      <c r="U6" s="16">
        <v>0.41805555555555601</v>
      </c>
      <c r="V6" s="30">
        <f>(T6-U5)*24*60</f>
        <v>8.000000000000691</v>
      </c>
      <c r="W6" s="73">
        <f t="shared" si="0"/>
        <v>116.00000000000063</v>
      </c>
      <c r="X6" s="22"/>
      <c r="Y6" s="84"/>
      <c r="Z6" s="90"/>
      <c r="AA6" s="90"/>
      <c r="AB6" s="465"/>
      <c r="AC6" s="465"/>
      <c r="AD6" s="149"/>
      <c r="AE6" s="149"/>
      <c r="AF6" s="307">
        <f t="shared" si="1"/>
        <v>-102.41379310346019</v>
      </c>
      <c r="AG6" s="72">
        <f t="shared" si="2"/>
        <v>0.95448275862068432</v>
      </c>
      <c r="AH6" s="462"/>
    </row>
    <row r="7" spans="1:34" ht="15" customHeight="1">
      <c r="A7" s="428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2763</v>
      </c>
      <c r="H7" s="78">
        <f>F7*G7</f>
        <v>135773.82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2098.4810126582311</v>
      </c>
      <c r="O7" s="81">
        <f>N7/M7</f>
        <v>139.8987341772154</v>
      </c>
      <c r="P7" s="74">
        <f>M7-J7</f>
        <v>0</v>
      </c>
      <c r="Q7" s="83">
        <f>O7-L7</f>
        <v>-10.101265822784598</v>
      </c>
      <c r="R7" s="72">
        <f>O7/L7</f>
        <v>0.93265822784810271</v>
      </c>
      <c r="S7" s="417"/>
      <c r="T7" s="18">
        <v>0.42361111111111099</v>
      </c>
      <c r="U7" s="18">
        <v>0.47847222222222202</v>
      </c>
      <c r="V7" s="30">
        <f>(T7-U6)*24*60</f>
        <v>7.9999999999991722</v>
      </c>
      <c r="W7" s="73">
        <f t="shared" si="0"/>
        <v>78.999999999999886</v>
      </c>
      <c r="X7" s="22">
        <v>0.49305555555555602</v>
      </c>
      <c r="Y7" s="84">
        <v>0.53472222222222199</v>
      </c>
      <c r="Z7" s="90"/>
      <c r="AA7" s="90"/>
      <c r="AB7" s="466"/>
      <c r="AC7" s="466"/>
      <c r="AD7" s="92"/>
      <c r="AE7" s="92"/>
      <c r="AF7" s="307">
        <f t="shared" si="1"/>
        <v>-151.51898734176893</v>
      </c>
      <c r="AG7" s="72">
        <f t="shared" si="2"/>
        <v>0.93265822784810271</v>
      </c>
      <c r="AH7" s="462"/>
    </row>
    <row r="8" spans="1:34" ht="15" customHeight="1">
      <c r="A8" s="428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3659</v>
      </c>
      <c r="H8" s="78">
        <f>F8*G8</f>
        <v>179803.26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1942.8318584070867</v>
      </c>
      <c r="O8" s="81">
        <f>N8/M8</f>
        <v>129.52212389380577</v>
      </c>
      <c r="P8" s="74">
        <f>M8-J8</f>
        <v>0</v>
      </c>
      <c r="Q8" s="83">
        <f>O8-L8</f>
        <v>-20.47787610619423</v>
      </c>
      <c r="R8" s="72">
        <f>O8/L8</f>
        <v>0.86348082595870512</v>
      </c>
      <c r="S8" s="417"/>
      <c r="T8" s="16">
        <v>0.54861111111111105</v>
      </c>
      <c r="U8" s="16">
        <v>0.62708333333333299</v>
      </c>
      <c r="V8" s="30">
        <f>(T8-U7)*24*60</f>
        <v>101.0000000000002</v>
      </c>
      <c r="W8" s="73">
        <f t="shared" si="0"/>
        <v>112.9999999999996</v>
      </c>
      <c r="X8" s="22"/>
      <c r="Y8" s="84"/>
      <c r="Z8" s="335">
        <v>1</v>
      </c>
      <c r="AA8" s="335">
        <v>10</v>
      </c>
      <c r="AB8" s="465" t="s">
        <v>183</v>
      </c>
      <c r="AC8" s="465"/>
      <c r="AD8" s="149"/>
      <c r="AE8" s="149"/>
      <c r="AF8" s="307">
        <f t="shared" si="1"/>
        <v>-307.16814159291334</v>
      </c>
      <c r="AG8" s="72">
        <f t="shared" si="2"/>
        <v>0.86348082595870523</v>
      </c>
      <c r="AH8" s="462"/>
    </row>
    <row r="9" spans="1:34" ht="15" customHeight="1">
      <c r="A9" s="42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8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5"/>
      <c r="AC9" s="465"/>
      <c r="AD9" s="149"/>
      <c r="AE9" s="149"/>
      <c r="AF9" s="307">
        <f t="shared" si="1"/>
        <v>0</v>
      </c>
      <c r="AG9" s="72" t="e">
        <f t="shared" si="2"/>
        <v>#DIV/0!</v>
      </c>
      <c r="AH9" s="463"/>
    </row>
    <row r="10" spans="1:34" ht="15" customHeight="1">
      <c r="A10" s="42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8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6"/>
      <c r="AC10" s="466"/>
      <c r="AD10" s="92"/>
      <c r="AE10" s="92"/>
      <c r="AF10" s="307">
        <f t="shared" si="1"/>
        <v>0</v>
      </c>
      <c r="AG10" s="72" t="e">
        <f t="shared" si="2"/>
        <v>#DIV/0!</v>
      </c>
      <c r="AH10" s="463"/>
    </row>
    <row r="11" spans="1:34" ht="15" customHeight="1">
      <c r="A11" s="42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5"/>
      <c r="AC11" s="465"/>
      <c r="AD11" s="149"/>
      <c r="AE11" s="149"/>
      <c r="AF11" s="307">
        <f t="shared" si="1"/>
        <v>0</v>
      </c>
      <c r="AG11" s="72" t="e">
        <f t="shared" si="2"/>
        <v>#DIV/0!</v>
      </c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2063.9489074215089</v>
      </c>
      <c r="O15" s="117">
        <f t="shared" si="3"/>
        <v>137.59659382810062</v>
      </c>
      <c r="P15" s="121">
        <f>M15-J15</f>
        <v>0</v>
      </c>
      <c r="Q15" s="122">
        <f>O15-L15</f>
        <v>-12.403406171899377</v>
      </c>
      <c r="R15" s="123">
        <f>O15/L15</f>
        <v>0.91731062552067077</v>
      </c>
      <c r="S15" s="420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10</v>
      </c>
      <c r="AB15" s="467"/>
      <c r="AC15" s="467"/>
      <c r="AD15" s="323">
        <f>SUM(AD5:AD14)</f>
        <v>0</v>
      </c>
      <c r="AE15" s="323">
        <f>SUM(AE5:AE14)</f>
        <v>0</v>
      </c>
      <c r="AF15" s="309">
        <f>N15-K15</f>
        <v>-186.05109257849108</v>
      </c>
      <c r="AG15" s="124">
        <f>N15/K15</f>
        <v>0.91731062552067066</v>
      </c>
      <c r="AH15" s="464"/>
    </row>
    <row r="16" spans="1:34" ht="15" customHeight="1">
      <c r="A16" s="47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4103</v>
      </c>
      <c r="H16" s="134">
        <f>F16*G16</f>
        <v>207899.01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2034.5454545454497</v>
      </c>
      <c r="O16" s="141">
        <f>N16/M16</f>
        <v>156.50349650349614</v>
      </c>
      <c r="P16" s="142">
        <f>M16-J16</f>
        <v>0</v>
      </c>
      <c r="Q16" s="143">
        <f>O16-L16</f>
        <v>-16.573426573426929</v>
      </c>
      <c r="R16" s="144">
        <f>O16/L16</f>
        <v>0.90424242424242218</v>
      </c>
      <c r="S16" s="472">
        <f>R26</f>
        <v>0.88787985482875964</v>
      </c>
      <c r="T16" s="145">
        <v>0.29027777777777802</v>
      </c>
      <c r="U16" s="145">
        <v>0.374305555555556</v>
      </c>
      <c r="V16" s="135"/>
      <c r="W16" s="146">
        <f t="shared" ref="W16:W78" si="4">(U16-T16)*24*60</f>
        <v>121.00000000000028</v>
      </c>
      <c r="X16" s="141"/>
      <c r="Y16" s="296"/>
      <c r="Z16" s="169"/>
      <c r="AA16" s="169"/>
      <c r="AB16" s="468"/>
      <c r="AC16" s="468"/>
      <c r="AD16" s="135"/>
      <c r="AE16" s="135"/>
      <c r="AF16" s="229">
        <f>N16-K16</f>
        <v>-215.45454545455027</v>
      </c>
      <c r="AG16" s="52">
        <f>N16/K16</f>
        <v>0.90424242424242207</v>
      </c>
      <c r="AH16" s="461">
        <f>AG26</f>
        <v>0.88855581221556212</v>
      </c>
    </row>
    <row r="17" spans="1:34" ht="15" customHeight="1">
      <c r="A17" s="479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2143</v>
      </c>
      <c r="H17" s="78">
        <f>F17*G17</f>
        <v>121315.23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2179.322033898316</v>
      </c>
      <c r="O17" s="96">
        <f>N17/M17</f>
        <v>145.28813559322106</v>
      </c>
      <c r="P17" s="97">
        <f>M17-J17</f>
        <v>0</v>
      </c>
      <c r="Q17" s="98">
        <f>O17-L17</f>
        <v>-4.7118644067789432</v>
      </c>
      <c r="R17" s="99">
        <f>O17/L17</f>
        <v>0.96858757062147371</v>
      </c>
      <c r="S17" s="473"/>
      <c r="T17" s="19">
        <v>0.38124999999999998</v>
      </c>
      <c r="U17" s="19">
        <v>0.422222222222222</v>
      </c>
      <c r="V17" s="30">
        <f>(T17-U16)*24*60</f>
        <v>9.999999999999325</v>
      </c>
      <c r="W17" s="149">
        <f t="shared" si="4"/>
        <v>58.999999999999709</v>
      </c>
      <c r="X17" s="19"/>
      <c r="Y17" s="297"/>
      <c r="Z17" s="90"/>
      <c r="AA17" s="90"/>
      <c r="AB17" s="466"/>
      <c r="AC17" s="466"/>
      <c r="AD17" s="92"/>
      <c r="AE17" s="92"/>
      <c r="AF17" s="307">
        <f>N17-K17</f>
        <v>-70.677966101683978</v>
      </c>
      <c r="AG17" s="72">
        <f>N17/K17</f>
        <v>0.96858757062147383</v>
      </c>
      <c r="AH17" s="462"/>
    </row>
    <row r="18" spans="1:34" ht="15" customHeight="1">
      <c r="A18" s="479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2681</v>
      </c>
      <c r="H18" s="78">
        <f>F18*G18</f>
        <v>135095.59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2116.5789473684108</v>
      </c>
      <c r="O18" s="96">
        <f>N18/M18</f>
        <v>176.38157894736756</v>
      </c>
      <c r="P18" s="97">
        <f>M18-J18</f>
        <v>0</v>
      </c>
      <c r="Q18" s="98">
        <f>O18-L18</f>
        <v>-11.118421052632442</v>
      </c>
      <c r="R18" s="99">
        <f>O18/L18</f>
        <v>0.94070175438596026</v>
      </c>
      <c r="S18" s="473"/>
      <c r="T18" s="19">
        <v>0.42777777777777798</v>
      </c>
      <c r="U18" s="19">
        <v>0.48055555555555601</v>
      </c>
      <c r="V18" s="30">
        <f>(T18-U17)*24*60</f>
        <v>8.0000000000006111</v>
      </c>
      <c r="W18" s="149">
        <f t="shared" si="4"/>
        <v>76.000000000000369</v>
      </c>
      <c r="X18" s="22">
        <v>0.49305555555555602</v>
      </c>
      <c r="Y18" s="84">
        <v>0.53472222222222199</v>
      </c>
      <c r="Z18" s="90"/>
      <c r="AA18" s="90"/>
      <c r="AB18" s="466"/>
      <c r="AC18" s="466"/>
      <c r="AD18" s="92"/>
      <c r="AE18" s="92"/>
      <c r="AF18" s="307">
        <f>N18-K18</f>
        <v>-133.42105263158919</v>
      </c>
      <c r="AG18" s="72">
        <f>N18/K18</f>
        <v>0.94070175438596038</v>
      </c>
      <c r="AH18" s="462"/>
    </row>
    <row r="19" spans="1:34" ht="15" customHeight="1">
      <c r="A19" s="479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2830</v>
      </c>
      <c r="H19" s="78">
        <f t="shared" ref="H19:H20" si="5">F19*G19</f>
        <v>142603.70000000001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6">K19/J19</f>
        <v>187.5</v>
      </c>
      <c r="M19" s="148">
        <v>12</v>
      </c>
      <c r="N19" s="95">
        <f t="shared" ref="N19:N20" si="7">G19/W19*60</f>
        <v>1825.8064516129127</v>
      </c>
      <c r="O19" s="96">
        <f t="shared" ref="O19:O20" si="8">N19/M19</f>
        <v>152.1505376344094</v>
      </c>
      <c r="P19" s="97">
        <f t="shared" ref="P19:P20" si="9">M19-J19</f>
        <v>0</v>
      </c>
      <c r="Q19" s="98">
        <f t="shared" ref="Q19:Q20" si="10">O19-L19</f>
        <v>-35.349462365590597</v>
      </c>
      <c r="R19" s="99">
        <f t="shared" ref="R19:R20" si="11">O19/L19</f>
        <v>0.81146953405018352</v>
      </c>
      <c r="S19" s="473"/>
      <c r="T19" s="19">
        <v>0.54861111111111105</v>
      </c>
      <c r="U19" s="19">
        <v>0.61319444444444404</v>
      </c>
      <c r="V19" s="30">
        <f>(T19-U18)*24*60</f>
        <v>97.999999999999247</v>
      </c>
      <c r="W19" s="149">
        <f t="shared" si="4"/>
        <v>92.999999999999517</v>
      </c>
      <c r="X19" s="22"/>
      <c r="Y19" s="84"/>
      <c r="Z19" s="90">
        <v>1</v>
      </c>
      <c r="AA19" s="90">
        <v>10</v>
      </c>
      <c r="AB19" s="465" t="s">
        <v>183</v>
      </c>
      <c r="AC19" s="465"/>
      <c r="AD19" s="149"/>
      <c r="AE19" s="149"/>
      <c r="AF19" s="307">
        <f>N19-K19</f>
        <v>-424.19354838708728</v>
      </c>
      <c r="AG19" s="72">
        <f>N19/K19</f>
        <v>0.81146953405018341</v>
      </c>
      <c r="AH19" s="463"/>
    </row>
    <row r="20" spans="1:34" ht="15" customHeight="1">
      <c r="A20" s="479"/>
      <c r="B20" s="75" t="s">
        <v>81</v>
      </c>
      <c r="C20" s="76"/>
      <c r="D20" s="59" t="s">
        <v>113</v>
      </c>
      <c r="E20" s="77"/>
      <c r="F20" s="75">
        <f>VLOOKUP(D20,廠價表!$C$1:$E$43,3,0)</f>
        <v>56.87</v>
      </c>
      <c r="G20" s="147">
        <v>1564</v>
      </c>
      <c r="H20" s="78">
        <f t="shared" si="5"/>
        <v>88944.68</v>
      </c>
      <c r="I20" s="30"/>
      <c r="J20" s="79">
        <f>VLOOKUP(D20,產線配置圖!$A$3:$C$40,2,0)</f>
        <v>15</v>
      </c>
      <c r="K20" s="80">
        <f>VLOOKUP(D20,產線配置圖!$A$3:$C$40,3,0)</f>
        <v>2250</v>
      </c>
      <c r="L20" s="81">
        <f t="shared" si="6"/>
        <v>150</v>
      </c>
      <c r="M20" s="148">
        <v>15</v>
      </c>
      <c r="N20" s="95">
        <f t="shared" si="7"/>
        <v>1839.9999999999836</v>
      </c>
      <c r="O20" s="96">
        <f t="shared" si="8"/>
        <v>122.66666666666558</v>
      </c>
      <c r="P20" s="97">
        <f t="shared" si="9"/>
        <v>0</v>
      </c>
      <c r="Q20" s="98">
        <f t="shared" si="10"/>
        <v>-27.333333333334423</v>
      </c>
      <c r="R20" s="99">
        <f t="shared" si="11"/>
        <v>0.8177777777777705</v>
      </c>
      <c r="S20" s="473"/>
      <c r="T20" s="19">
        <v>0.61944444444444402</v>
      </c>
      <c r="U20" s="19">
        <v>0.65486111111111101</v>
      </c>
      <c r="V20" s="30">
        <f>(T20-U19)*24*60</f>
        <v>8.999999999999968</v>
      </c>
      <c r="W20" s="149">
        <f t="shared" si="4"/>
        <v>51.000000000000455</v>
      </c>
      <c r="X20" s="19"/>
      <c r="Y20" s="297"/>
      <c r="Z20" s="90"/>
      <c r="AA20" s="90"/>
      <c r="AB20" s="466"/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3"/>
      <c r="T21" s="19"/>
      <c r="U21" s="19"/>
      <c r="V21" s="30"/>
      <c r="W21" s="149">
        <f t="shared" si="4"/>
        <v>0</v>
      </c>
      <c r="X21" s="92"/>
      <c r="Y21" s="298"/>
      <c r="Z21" s="90"/>
      <c r="AA21" s="90"/>
      <c r="AB21" s="466"/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9"/>
      <c r="U22" s="19"/>
      <c r="V22" s="92"/>
      <c r="W22" s="149">
        <f t="shared" si="4"/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4"/>
        <v>0</v>
      </c>
      <c r="X23" s="92"/>
      <c r="Y23" s="298"/>
      <c r="Z23" s="90"/>
      <c r="AA23" s="90"/>
      <c r="AB23" s="466"/>
      <c r="AC23" s="46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>
        <f t="shared" ref="J26:O26" si="12">AVERAGE(J16:J25)</f>
        <v>13.4</v>
      </c>
      <c r="K26" s="155">
        <f t="shared" si="12"/>
        <v>2250</v>
      </c>
      <c r="L26" s="158">
        <f t="shared" si="12"/>
        <v>169.61538461538461</v>
      </c>
      <c r="M26" s="155">
        <f t="shared" si="12"/>
        <v>13.4</v>
      </c>
      <c r="N26" s="155">
        <f t="shared" si="12"/>
        <v>1999.2505774850147</v>
      </c>
      <c r="O26" s="158">
        <f t="shared" si="12"/>
        <v>150.59808306903193</v>
      </c>
      <c r="P26" s="159">
        <f>M26-J26</f>
        <v>0</v>
      </c>
      <c r="Q26" s="160">
        <f>O26-L26</f>
        <v>-19.017301546352684</v>
      </c>
      <c r="R26" s="161">
        <f>O26/L26</f>
        <v>0.88787985482875964</v>
      </c>
      <c r="S26" s="474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10</v>
      </c>
      <c r="AB26" s="467"/>
      <c r="AC26" s="467"/>
      <c r="AD26" s="323">
        <f>SUM(AD16:AD25)</f>
        <v>0</v>
      </c>
      <c r="AE26" s="323">
        <f>SUM(AE16:AE25)</f>
        <v>0</v>
      </c>
      <c r="AF26" s="309">
        <f t="shared" ref="AF26:AF31" si="13">N26-K26</f>
        <v>-250.74942251498533</v>
      </c>
      <c r="AG26" s="124">
        <f t="shared" ref="AG26:AG31" si="14">N26/K26</f>
        <v>0.88855581221556212</v>
      </c>
      <c r="AH26" s="464"/>
    </row>
    <row r="27" spans="1:34" ht="15" customHeight="1">
      <c r="A27" s="469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2527</v>
      </c>
      <c r="H27" s="134">
        <f>F27*G27</f>
        <v>144569.67000000001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1516.1999999999871</v>
      </c>
      <c r="O27" s="141">
        <f>N27/M27</f>
        <v>89.188235294116893</v>
      </c>
      <c r="P27" s="142">
        <f>M27-J27</f>
        <v>0</v>
      </c>
      <c r="Q27" s="143">
        <f>O27-L27</f>
        <v>-2.8705882352948748</v>
      </c>
      <c r="R27" s="144">
        <f>O27/L27</f>
        <v>0.9688178913737937</v>
      </c>
      <c r="S27" s="472">
        <f>R37</f>
        <v>0.84862430483039852</v>
      </c>
      <c r="T27" s="171">
        <v>0.33333333333333298</v>
      </c>
      <c r="U27" s="171">
        <v>0.40277777777777801</v>
      </c>
      <c r="V27" s="135"/>
      <c r="W27" s="146">
        <f t="shared" si="4"/>
        <v>100.00000000000084</v>
      </c>
      <c r="X27" s="135"/>
      <c r="Y27" s="300" t="s">
        <v>46</v>
      </c>
      <c r="Z27" s="169"/>
      <c r="AA27" s="169"/>
      <c r="AB27" s="468"/>
      <c r="AC27" s="468"/>
      <c r="AD27" s="135"/>
      <c r="AE27" s="135"/>
      <c r="AF27" s="310">
        <f t="shared" si="13"/>
        <v>-48.800000000012915</v>
      </c>
      <c r="AG27" s="172">
        <f t="shared" si="14"/>
        <v>0.9688178913737937</v>
      </c>
      <c r="AH27" s="461">
        <f>AG37</f>
        <v>0.84862430483039852</v>
      </c>
    </row>
    <row r="28" spans="1:34" ht="15" customHeight="1">
      <c r="A28" s="470"/>
      <c r="B28" s="75" t="s">
        <v>81</v>
      </c>
      <c r="C28" s="173"/>
      <c r="D28" s="59" t="s">
        <v>128</v>
      </c>
      <c r="E28" s="104"/>
      <c r="F28" s="75">
        <f>VLOOKUP(D28,廠價表!$C$1:$E$43,3,0)</f>
        <v>57.21</v>
      </c>
      <c r="G28" s="90">
        <v>1556</v>
      </c>
      <c r="H28" s="91">
        <f>F28*G28</f>
        <v>89018.76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17</v>
      </c>
      <c r="N28" s="95">
        <f>G28/W28*60</f>
        <v>1530.4918032786918</v>
      </c>
      <c r="O28" s="96">
        <f>N28/M28</f>
        <v>90.028929604628928</v>
      </c>
      <c r="P28" s="97">
        <f>M28-J28</f>
        <v>0</v>
      </c>
      <c r="Q28" s="98">
        <f>O28-L28</f>
        <v>-10.912246865959304</v>
      </c>
      <c r="R28" s="99">
        <f>O28/L28</f>
        <v>0.89189499025564789</v>
      </c>
      <c r="S28" s="473"/>
      <c r="T28" s="19">
        <v>0.42361111111111099</v>
      </c>
      <c r="U28" s="19">
        <v>0.46597222222222201</v>
      </c>
      <c r="V28" s="92">
        <f>(T28-U27)*24*60</f>
        <v>29.999999999999496</v>
      </c>
      <c r="W28" s="149">
        <f t="shared" si="4"/>
        <v>60.999999999999865</v>
      </c>
      <c r="X28" s="174">
        <v>0.46875</v>
      </c>
      <c r="Y28" s="301">
        <v>0.52083333333333304</v>
      </c>
      <c r="Z28" s="335"/>
      <c r="AA28" s="335"/>
      <c r="AB28" s="466" t="s">
        <v>184</v>
      </c>
      <c r="AC28" s="466"/>
      <c r="AD28" s="92"/>
      <c r="AE28" s="92"/>
      <c r="AF28" s="311">
        <f t="shared" si="13"/>
        <v>-185.5081967213082</v>
      </c>
      <c r="AG28" s="99">
        <f t="shared" si="14"/>
        <v>0.89189499025564789</v>
      </c>
      <c r="AH28" s="482"/>
    </row>
    <row r="29" spans="1:34" ht="15" customHeight="1">
      <c r="A29" s="470"/>
      <c r="B29" s="75" t="s">
        <v>81</v>
      </c>
      <c r="C29" s="173"/>
      <c r="D29" s="59" t="s">
        <v>128</v>
      </c>
      <c r="E29" s="104"/>
      <c r="F29" s="75">
        <f>VLOOKUP(D29,廠價表!$C$1:$E$43,3,0)</f>
        <v>57.21</v>
      </c>
      <c r="G29" s="90">
        <v>1174</v>
      </c>
      <c r="H29" s="91">
        <f>F29*G29</f>
        <v>67164.540000000008</v>
      </c>
      <c r="I29" s="92"/>
      <c r="J29" s="79">
        <f>VLOOKUP(D29,產線配置圖!$A$3:$C$40,2,0)</f>
        <v>17</v>
      </c>
      <c r="K29" s="80">
        <f>VLOOKUP(D29,產線配置圖!$A$3:$C$40,3,0)</f>
        <v>1716</v>
      </c>
      <c r="L29" s="93">
        <f>K29/J29</f>
        <v>100.94117647058823</v>
      </c>
      <c r="M29" s="94">
        <v>17</v>
      </c>
      <c r="N29" s="95">
        <f>G29/W29*60</f>
        <v>1677.1428571428951</v>
      </c>
      <c r="O29" s="96">
        <f>N29/M29</f>
        <v>98.655462184876185</v>
      </c>
      <c r="P29" s="97">
        <f>M29-J29</f>
        <v>0</v>
      </c>
      <c r="Q29" s="98">
        <f>O29-L29</f>
        <v>-2.2857142857120465</v>
      </c>
      <c r="R29" s="99">
        <f>O29/L29</f>
        <v>0.97735597735599955</v>
      </c>
      <c r="S29" s="473"/>
      <c r="T29" s="19">
        <v>0.52291666666666703</v>
      </c>
      <c r="U29" s="19">
        <v>0.55208333333333304</v>
      </c>
      <c r="V29" s="92">
        <f>(T29-U28)*24*60</f>
        <v>82.000000000000824</v>
      </c>
      <c r="W29" s="149">
        <f t="shared" si="4"/>
        <v>41.999999999999048</v>
      </c>
      <c r="X29" s="22"/>
      <c r="Y29" s="84"/>
      <c r="Z29" s="90"/>
      <c r="AA29" s="90"/>
      <c r="AB29" s="466"/>
      <c r="AC29" s="466"/>
      <c r="AD29" s="92"/>
      <c r="AE29" s="92"/>
      <c r="AF29" s="312">
        <f t="shared" si="13"/>
        <v>-38.857142857104918</v>
      </c>
      <c r="AG29" s="99">
        <f t="shared" si="14"/>
        <v>0.97735597735599944</v>
      </c>
      <c r="AH29" s="482"/>
    </row>
    <row r="30" spans="1:34" ht="15" customHeight="1">
      <c r="A30" s="470"/>
      <c r="B30" s="75" t="s">
        <v>81</v>
      </c>
      <c r="C30" s="88"/>
      <c r="D30" s="59" t="s">
        <v>121</v>
      </c>
      <c r="E30" s="89"/>
      <c r="F30" s="75">
        <f>VLOOKUP(D30,廠價表!$C$1:$E$43,3,0)</f>
        <v>50.289000000000001</v>
      </c>
      <c r="G30" s="90">
        <v>1466</v>
      </c>
      <c r="H30" s="91">
        <f t="shared" ref="H30:H31" si="15">F30*G30</f>
        <v>73723.673999999999</v>
      </c>
      <c r="I30" s="92"/>
      <c r="J30" s="79">
        <v>17</v>
      </c>
      <c r="K30" s="80">
        <f>VLOOKUP(D30,產線配置圖!$A$3:$C$40,3,0)</f>
        <v>1565</v>
      </c>
      <c r="L30" s="93">
        <f t="shared" ref="L30:L31" si="16">K30/J30</f>
        <v>92.058823529411768</v>
      </c>
      <c r="M30" s="94">
        <v>17</v>
      </c>
      <c r="N30" s="95">
        <f t="shared" ref="N30:N31" si="17">G30/W30*60</f>
        <v>1256.57142857143</v>
      </c>
      <c r="O30" s="96">
        <f t="shared" ref="O30:O31" si="18">N30/M30</f>
        <v>73.915966386554715</v>
      </c>
      <c r="P30" s="97">
        <f t="shared" ref="P30:P31" si="19">M30-J30</f>
        <v>0</v>
      </c>
      <c r="Q30" s="98">
        <f t="shared" ref="Q30:Q31" si="20">O30-L30</f>
        <v>-18.142857142857054</v>
      </c>
      <c r="R30" s="99">
        <f t="shared" ref="R30:R31" si="21">O30/L30</f>
        <v>0.80292104062072212</v>
      </c>
      <c r="S30" s="473"/>
      <c r="T30" s="19">
        <v>0.5625</v>
      </c>
      <c r="U30" s="19">
        <v>0.61111111111111105</v>
      </c>
      <c r="V30" s="92">
        <f>(T30-U29)*24*60</f>
        <v>15.000000000000426</v>
      </c>
      <c r="W30" s="149">
        <f t="shared" si="4"/>
        <v>69.999999999999915</v>
      </c>
      <c r="X30" s="174"/>
      <c r="Y30" s="301"/>
      <c r="Z30" s="335">
        <v>1</v>
      </c>
      <c r="AA30" s="335">
        <v>10</v>
      </c>
      <c r="AB30" s="465" t="s">
        <v>185</v>
      </c>
      <c r="AC30" s="465"/>
      <c r="AD30" s="92"/>
      <c r="AE30" s="92"/>
      <c r="AF30" s="312">
        <f t="shared" si="13"/>
        <v>-308.42857142856997</v>
      </c>
      <c r="AG30" s="99">
        <f t="shared" si="14"/>
        <v>0.80292104062072212</v>
      </c>
      <c r="AH30" s="483"/>
    </row>
    <row r="31" spans="1:34" ht="15" customHeight="1">
      <c r="A31" s="470"/>
      <c r="B31" s="75" t="s">
        <v>81</v>
      </c>
      <c r="C31" s="88"/>
      <c r="D31" s="59" t="s">
        <v>121</v>
      </c>
      <c r="E31" s="89"/>
      <c r="F31" s="75">
        <f>VLOOKUP(D31,廠價表!$C$1:$E$43,3,0)</f>
        <v>50.289000000000001</v>
      </c>
      <c r="G31" s="90">
        <v>840</v>
      </c>
      <c r="H31" s="91">
        <f t="shared" si="15"/>
        <v>42242.76</v>
      </c>
      <c r="I31" s="92"/>
      <c r="J31" s="79">
        <v>17</v>
      </c>
      <c r="K31" s="80">
        <f>VLOOKUP(D31,產線配置圖!$A$3:$C$40,3,0)</f>
        <v>1565</v>
      </c>
      <c r="L31" s="93">
        <f t="shared" si="16"/>
        <v>92.058823529411768</v>
      </c>
      <c r="M31" s="94">
        <v>17</v>
      </c>
      <c r="N31" s="95">
        <f t="shared" si="17"/>
        <v>916.3636363636449</v>
      </c>
      <c r="O31" s="96">
        <f t="shared" si="18"/>
        <v>53.903743315508521</v>
      </c>
      <c r="P31" s="97">
        <f t="shared" si="19"/>
        <v>0</v>
      </c>
      <c r="Q31" s="98">
        <f t="shared" si="20"/>
        <v>-38.155080213903247</v>
      </c>
      <c r="R31" s="99">
        <f t="shared" si="21"/>
        <v>0.58553586988092321</v>
      </c>
      <c r="S31" s="473"/>
      <c r="T31" s="19">
        <v>0.63888888888888895</v>
      </c>
      <c r="U31" s="19">
        <v>0.67708333333333304</v>
      </c>
      <c r="V31" s="92">
        <f>(T31-U30)*24*60</f>
        <v>40.000000000000178</v>
      </c>
      <c r="W31" s="149">
        <f t="shared" si="4"/>
        <v>54.999999999999488</v>
      </c>
      <c r="X31" s="174"/>
      <c r="Y31" s="301"/>
      <c r="Z31" s="335"/>
      <c r="AA31" s="335"/>
      <c r="AB31" s="466" t="s">
        <v>186</v>
      </c>
      <c r="AC31" s="466"/>
      <c r="AD31" s="92"/>
      <c r="AE31" s="92"/>
      <c r="AF31" s="312">
        <f t="shared" si="13"/>
        <v>-648.6363636363551</v>
      </c>
      <c r="AG31" s="99">
        <f t="shared" si="14"/>
        <v>0.58553586988092321</v>
      </c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66"/>
      <c r="AC32" s="466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6"/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>
        <f t="shared" ref="J37:O37" si="22">AVERAGE(J27:J36)</f>
        <v>17</v>
      </c>
      <c r="K37" s="155">
        <f t="shared" si="22"/>
        <v>1625.4</v>
      </c>
      <c r="L37" s="158">
        <f t="shared" si="22"/>
        <v>95.611764705882351</v>
      </c>
      <c r="M37" s="155">
        <f t="shared" si="22"/>
        <v>17</v>
      </c>
      <c r="N37" s="155">
        <f t="shared" si="22"/>
        <v>1379.3539450713299</v>
      </c>
      <c r="O37" s="158">
        <f t="shared" si="22"/>
        <v>81.138467357137046</v>
      </c>
      <c r="P37" s="159">
        <f>M37-J37</f>
        <v>0</v>
      </c>
      <c r="Q37" s="160">
        <f>N37-K37</f>
        <v>-246.04605492867017</v>
      </c>
      <c r="R37" s="161">
        <f>O37/L37</f>
        <v>0.84862430483039852</v>
      </c>
      <c r="S37" s="474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10</v>
      </c>
      <c r="AB37" s="477"/>
      <c r="AC37" s="477"/>
      <c r="AD37" s="324">
        <f>SUM(AD27:AD36)</f>
        <v>0</v>
      </c>
      <c r="AE37" s="324">
        <f>SUM(AE27:AE36)</f>
        <v>0</v>
      </c>
      <c r="AF37" s="309">
        <f>N37-K37</f>
        <v>-246.04605492867017</v>
      </c>
      <c r="AG37" s="124">
        <f>N37/K37</f>
        <v>0.84862430483039852</v>
      </c>
      <c r="AH37" s="464"/>
    </row>
    <row r="38" spans="1:34" ht="15" customHeight="1">
      <c r="A38" s="491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3155</v>
      </c>
      <c r="H38" s="134">
        <f>F38*G38</f>
        <v>157466.04999999999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1514.3999999999919</v>
      </c>
      <c r="O38" s="141">
        <f>N38/M38</f>
        <v>100.95999999999945</v>
      </c>
      <c r="P38" s="142">
        <f>M38-J38</f>
        <v>0</v>
      </c>
      <c r="Q38" s="143">
        <f>O38-L38</f>
        <v>-13.306666666667212</v>
      </c>
      <c r="R38" s="144">
        <f>O38/L38</f>
        <v>0.88354725787630795</v>
      </c>
      <c r="S38" s="494">
        <f>R48</f>
        <v>0.90476440095241706</v>
      </c>
      <c r="T38" s="191">
        <v>0.33333333333333298</v>
      </c>
      <c r="U38" s="191">
        <v>0.42013888888888901</v>
      </c>
      <c r="V38" s="192"/>
      <c r="W38" s="193">
        <f t="shared" si="4"/>
        <v>125.00000000000068</v>
      </c>
      <c r="X38" s="194"/>
      <c r="Y38" s="302"/>
      <c r="Z38" s="336"/>
      <c r="AA38" s="336"/>
      <c r="AB38" s="496"/>
      <c r="AC38" s="496"/>
      <c r="AD38" s="192"/>
      <c r="AE38" s="192"/>
      <c r="AF38" s="313">
        <f>N38-K38</f>
        <v>-199.60000000000809</v>
      </c>
      <c r="AG38" s="195">
        <f>N38/K38</f>
        <v>0.88354725787630795</v>
      </c>
      <c r="AH38" s="484">
        <f>AG48</f>
        <v>0.9057368888046019</v>
      </c>
    </row>
    <row r="39" spans="1:34" ht="15" customHeight="1">
      <c r="A39" s="492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2514</v>
      </c>
      <c r="H39" s="91">
        <f>F39*G39</f>
        <v>111370.2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1450.3846153846193</v>
      </c>
      <c r="O39" s="203">
        <f>N39/M39</f>
        <v>85.316742081448197</v>
      </c>
      <c r="P39" s="97">
        <f>M39-J39</f>
        <v>0</v>
      </c>
      <c r="Q39" s="98">
        <f>O39-L39</f>
        <v>-10.918552036198861</v>
      </c>
      <c r="R39" s="99">
        <f>O39/L39</f>
        <v>0.88654316343803141</v>
      </c>
      <c r="S39" s="495"/>
      <c r="T39" s="20">
        <v>0.42638888888888898</v>
      </c>
      <c r="U39" s="20">
        <v>0.49861111111111101</v>
      </c>
      <c r="V39" s="92">
        <f>(T39-U38)*24*60</f>
        <v>8.999999999999968</v>
      </c>
      <c r="W39" s="205">
        <f t="shared" si="4"/>
        <v>103.99999999999972</v>
      </c>
      <c r="X39" s="22">
        <v>0.50694444444444398</v>
      </c>
      <c r="Y39" s="84">
        <v>0.54861111111111105</v>
      </c>
      <c r="Z39" s="90"/>
      <c r="AA39" s="90"/>
      <c r="AB39" s="487"/>
      <c r="AC39" s="487"/>
      <c r="AD39" s="200"/>
      <c r="AE39" s="200"/>
      <c r="AF39" s="314">
        <f>N39-K39</f>
        <v>-185.61538461538066</v>
      </c>
      <c r="AG39" s="206">
        <f>N39/K39</f>
        <v>0.88654316343803141</v>
      </c>
      <c r="AH39" s="485"/>
    </row>
    <row r="40" spans="1:34" ht="15" customHeight="1">
      <c r="A40" s="492"/>
      <c r="B40" s="75" t="s">
        <v>123</v>
      </c>
      <c r="C40" s="207"/>
      <c r="D40" s="198" t="s">
        <v>124</v>
      </c>
      <c r="E40" s="178"/>
      <c r="F40" s="75">
        <f>VLOOKUP(D40,廠價表!$C$1:$E$43,3,0)</f>
        <v>44.3</v>
      </c>
      <c r="G40" s="199">
        <v>3180</v>
      </c>
      <c r="H40" s="91">
        <f>F40*G40</f>
        <v>140874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1551.2195121951333</v>
      </c>
      <c r="O40" s="203">
        <f>N40/M40</f>
        <v>91.248206599713725</v>
      </c>
      <c r="P40" s="97">
        <f>M40-J40</f>
        <v>0</v>
      </c>
      <c r="Q40" s="98">
        <f>O40-L40</f>
        <v>-4.9870875179333325</v>
      </c>
      <c r="R40" s="99">
        <f>O40/L40</f>
        <v>0.94817818593834557</v>
      </c>
      <c r="S40" s="417"/>
      <c r="T40" s="20">
        <v>0.57430555555555596</v>
      </c>
      <c r="U40" s="20">
        <v>0.65972222222222199</v>
      </c>
      <c r="V40" s="92">
        <f>(T40-U39)*24*60</f>
        <v>109.00000000000074</v>
      </c>
      <c r="W40" s="205">
        <f t="shared" si="4"/>
        <v>122.99999999999909</v>
      </c>
      <c r="X40" s="208"/>
      <c r="Y40" s="209"/>
      <c r="Z40" s="337"/>
      <c r="AA40" s="337"/>
      <c r="AB40" s="466" t="s">
        <v>187</v>
      </c>
      <c r="AC40" s="466"/>
      <c r="AD40" s="92"/>
      <c r="AE40" s="92"/>
      <c r="AF40" s="314">
        <f>N40-K40</f>
        <v>-84.780487804866652</v>
      </c>
      <c r="AG40" s="206">
        <f>N40/K40</f>
        <v>0.94817818593834557</v>
      </c>
      <c r="AH40" s="485"/>
    </row>
    <row r="41" spans="1:34" ht="15" customHeight="1">
      <c r="A41" s="49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7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6"/>
      <c r="AC41" s="466"/>
      <c r="AD41" s="92"/>
      <c r="AE41" s="92"/>
      <c r="AF41" s="314">
        <f>N41-K41</f>
        <v>0</v>
      </c>
      <c r="AG41" s="206" t="e">
        <f>N41/K41</f>
        <v>#DIV/0!</v>
      </c>
      <c r="AH41" s="485"/>
    </row>
    <row r="42" spans="1:34" ht="15" customHeight="1">
      <c r="A42" s="49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7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6"/>
      <c r="AC42" s="466"/>
      <c r="AD42" s="92"/>
      <c r="AE42" s="92"/>
      <c r="AF42" s="314"/>
      <c r="AG42" s="206"/>
      <c r="AH42" s="485"/>
    </row>
    <row r="43" spans="1:34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>
        <f t="shared" ref="J48:O48" si="23">AVERAGE(J38:J47)</f>
        <v>16.333333333333332</v>
      </c>
      <c r="K48" s="155">
        <f t="shared" si="23"/>
        <v>1662</v>
      </c>
      <c r="L48" s="158">
        <f t="shared" si="23"/>
        <v>102.24575163398693</v>
      </c>
      <c r="M48" s="155">
        <f t="shared" si="23"/>
        <v>16.333333333333332</v>
      </c>
      <c r="N48" s="155">
        <f t="shared" si="23"/>
        <v>1505.3347091932483</v>
      </c>
      <c r="O48" s="158">
        <f t="shared" si="23"/>
        <v>92.508316227053797</v>
      </c>
      <c r="P48" s="221">
        <f>M48-J48</f>
        <v>0</v>
      </c>
      <c r="Q48" s="222">
        <f>N48-K48</f>
        <v>-156.66529080675173</v>
      </c>
      <c r="R48" s="223">
        <f t="shared" ref="R48:R53" si="24">O48/L48</f>
        <v>0.90476440095241706</v>
      </c>
      <c r="S48" s="420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7"/>
      <c r="AC48" s="467"/>
      <c r="AD48" s="323">
        <f>SUM(AD38:AD47)</f>
        <v>0</v>
      </c>
      <c r="AE48" s="323">
        <f>SUM(AE38:AE47)</f>
        <v>0</v>
      </c>
      <c r="AF48" s="315">
        <f t="shared" ref="AF48:AF53" si="25">N48-K48</f>
        <v>-156.66529080675173</v>
      </c>
      <c r="AG48" s="162">
        <f t="shared" ref="AG48:AG53" si="26">N48/K48</f>
        <v>0.9057368888046019</v>
      </c>
      <c r="AH48" s="486"/>
    </row>
    <row r="49" spans="1:34" ht="15" customHeight="1">
      <c r="A49" s="488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1841</v>
      </c>
      <c r="H49" s="134">
        <f>F49*G49</f>
        <v>91166.32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1380.7500000000146</v>
      </c>
      <c r="O49" s="141">
        <f>N49/M49</f>
        <v>81.220588235294969</v>
      </c>
      <c r="P49" s="229">
        <f>M49-J49</f>
        <v>0</v>
      </c>
      <c r="Q49" s="230">
        <f>O49-L49</f>
        <v>-7.0147058823520894</v>
      </c>
      <c r="R49" s="52">
        <f t="shared" si="24"/>
        <v>0.92050000000000964</v>
      </c>
      <c r="S49" s="416">
        <f>R58</f>
        <v>0.87667329483782019</v>
      </c>
      <c r="T49" s="191">
        <v>0.29513888888888901</v>
      </c>
      <c r="U49" s="191">
        <v>0.35069444444444398</v>
      </c>
      <c r="V49" s="55"/>
      <c r="W49" s="193">
        <f t="shared" si="4"/>
        <v>79.999999999999162</v>
      </c>
      <c r="X49" s="55"/>
      <c r="Y49" s="290"/>
      <c r="Z49" s="169"/>
      <c r="AA49" s="169"/>
      <c r="AB49" s="468"/>
      <c r="AC49" s="468"/>
      <c r="AD49" s="135"/>
      <c r="AE49" s="135"/>
      <c r="AF49" s="229">
        <f t="shared" si="25"/>
        <v>-119.24999999998545</v>
      </c>
      <c r="AG49" s="52">
        <f t="shared" si="26"/>
        <v>0.92050000000000975</v>
      </c>
      <c r="AH49" s="461">
        <f>AG58</f>
        <v>0.8755548550734007</v>
      </c>
    </row>
    <row r="50" spans="1:34" ht="15" customHeight="1">
      <c r="A50" s="489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2693</v>
      </c>
      <c r="H50" s="231">
        <f>F50*G50</f>
        <v>134569.21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1665.773195876292</v>
      </c>
      <c r="O50" s="235">
        <f>N50/M50</f>
        <v>104.11082474226825</v>
      </c>
      <c r="P50" s="74">
        <f>M50-J50</f>
        <v>0</v>
      </c>
      <c r="Q50" s="83">
        <f>O50-L50</f>
        <v>-8.3891752577317504</v>
      </c>
      <c r="R50" s="72">
        <f t="shared" si="24"/>
        <v>0.92542955326460663</v>
      </c>
      <c r="S50" s="417"/>
      <c r="T50" s="21">
        <v>0.358333333333333</v>
      </c>
      <c r="U50" s="21">
        <v>0.42569444444444399</v>
      </c>
      <c r="V50" s="30">
        <f>(T50-U49)*24*60</f>
        <v>11.000000000000201</v>
      </c>
      <c r="W50" s="236">
        <f t="shared" si="4"/>
        <v>96.999999999999815</v>
      </c>
      <c r="X50" s="22"/>
      <c r="Y50" s="84"/>
      <c r="Z50" s="90"/>
      <c r="AA50" s="90"/>
      <c r="AB50" s="466"/>
      <c r="AC50" s="466"/>
      <c r="AD50" s="92"/>
      <c r="AE50" s="92"/>
      <c r="AF50" s="307">
        <f t="shared" si="25"/>
        <v>-134.22680412370801</v>
      </c>
      <c r="AG50" s="72">
        <f t="shared" si="26"/>
        <v>0.92542955326460663</v>
      </c>
      <c r="AH50" s="462"/>
    </row>
    <row r="51" spans="1:34" ht="15" customHeight="1">
      <c r="A51" s="489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1724</v>
      </c>
      <c r="H51" s="231">
        <f>F51*G51</f>
        <v>86698.236000000004</v>
      </c>
      <c r="I51" s="232"/>
      <c r="J51" s="79">
        <v>17</v>
      </c>
      <c r="K51" s="80">
        <f>VLOOKUP(D51,產線配置圖!$A$3:$C$40,3,0)</f>
        <v>1565</v>
      </c>
      <c r="L51" s="81">
        <f>K51/J51</f>
        <v>92.058823529411768</v>
      </c>
      <c r="M51" s="233">
        <v>17</v>
      </c>
      <c r="N51" s="234">
        <f>G51/W51*60</f>
        <v>1416.9863013698755</v>
      </c>
      <c r="O51" s="235">
        <f>N51/M51</f>
        <v>83.352135374698562</v>
      </c>
      <c r="P51" s="74">
        <f>M51-J51</f>
        <v>0</v>
      </c>
      <c r="Q51" s="83">
        <f>O51-L51</f>
        <v>-8.7066881547132056</v>
      </c>
      <c r="R51" s="72">
        <f t="shared" si="24"/>
        <v>0.90542255678586292</v>
      </c>
      <c r="S51" s="417"/>
      <c r="T51" s="21">
        <v>0.43541666666666701</v>
      </c>
      <c r="U51" s="19">
        <v>0.48611111111111099</v>
      </c>
      <c r="V51" s="30">
        <f>(T51-U50)*24*60</f>
        <v>14.000000000001149</v>
      </c>
      <c r="W51" s="236">
        <f t="shared" si="4"/>
        <v>72.999999999999346</v>
      </c>
      <c r="X51" s="22">
        <v>0.48611111111111099</v>
      </c>
      <c r="Y51" s="84">
        <v>0.53819444444444398</v>
      </c>
      <c r="Z51" s="90"/>
      <c r="AA51" s="90"/>
      <c r="AB51" s="466"/>
      <c r="AC51" s="466"/>
      <c r="AD51" s="92"/>
      <c r="AE51" s="92"/>
      <c r="AF51" s="307">
        <f t="shared" si="25"/>
        <v>-148.01369863012451</v>
      </c>
      <c r="AG51" s="72">
        <f t="shared" si="26"/>
        <v>0.90542255678586292</v>
      </c>
      <c r="AH51" s="462"/>
    </row>
    <row r="52" spans="1:34" ht="15" customHeight="1">
      <c r="A52" s="489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3300</v>
      </c>
      <c r="H52" s="231">
        <f>F52*G52</f>
        <v>164901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1636.3636363636313</v>
      </c>
      <c r="O52" s="235">
        <f>N52/M52</f>
        <v>102.27272727272695</v>
      </c>
      <c r="P52" s="74">
        <f>M52-J52</f>
        <v>0</v>
      </c>
      <c r="Q52" s="83">
        <f>O52-L52</f>
        <v>-10.227272727273046</v>
      </c>
      <c r="R52" s="72">
        <f t="shared" si="24"/>
        <v>0.90909090909090629</v>
      </c>
      <c r="S52" s="417"/>
      <c r="T52" s="21">
        <v>0.54097222222222197</v>
      </c>
      <c r="U52" s="21">
        <v>0.625</v>
      </c>
      <c r="V52" s="30">
        <f>(T52-U51)*24*60</f>
        <v>78.999999999999801</v>
      </c>
      <c r="W52" s="236">
        <f t="shared" si="4"/>
        <v>121.00000000000037</v>
      </c>
      <c r="X52" s="22"/>
      <c r="Y52" s="84"/>
      <c r="Z52" s="90"/>
      <c r="AA52" s="90"/>
      <c r="AB52" s="466"/>
      <c r="AC52" s="466"/>
      <c r="AD52" s="92"/>
      <c r="AE52" s="92"/>
      <c r="AF52" s="307">
        <f t="shared" si="25"/>
        <v>-163.63636363636874</v>
      </c>
      <c r="AG52" s="72">
        <f t="shared" si="26"/>
        <v>0.90909090909090629</v>
      </c>
      <c r="AH52" s="462"/>
    </row>
    <row r="53" spans="1:34" ht="15" customHeight="1">
      <c r="A53" s="489"/>
      <c r="B53" s="101" t="s">
        <v>123</v>
      </c>
      <c r="C53" s="102"/>
      <c r="D53" s="103" t="s">
        <v>127</v>
      </c>
      <c r="E53" s="104"/>
      <c r="F53" s="75">
        <f>VLOOKUP(D53,廠價表!$C$1:$E$43,3,0)</f>
        <v>49.52</v>
      </c>
      <c r="G53" s="202">
        <v>542</v>
      </c>
      <c r="H53" s="231">
        <f>F53*G53</f>
        <v>26839.84</v>
      </c>
      <c r="I53" s="232"/>
      <c r="J53" s="79">
        <f>VLOOKUP(D53,產線配置圖!$A$3:$C$40,2,0)</f>
        <v>17</v>
      </c>
      <c r="K53" s="80">
        <f>VLOOKUP(D53,產線配置圖!$A$3:$C$40,3,0)</f>
        <v>1500</v>
      </c>
      <c r="L53" s="81">
        <f>K53/J53</f>
        <v>88.235294117647058</v>
      </c>
      <c r="M53" s="108">
        <v>17</v>
      </c>
      <c r="N53" s="234">
        <f>G53/W53*60</f>
        <v>1049.0322580645036</v>
      </c>
      <c r="O53" s="235">
        <f>N53/M53</f>
        <v>61.707779886147271</v>
      </c>
      <c r="P53" s="74">
        <f>M53-J53</f>
        <v>0</v>
      </c>
      <c r="Q53" s="83">
        <f>O53-L53</f>
        <v>-26.527514231499786</v>
      </c>
      <c r="R53" s="72">
        <f t="shared" si="24"/>
        <v>0.69935483870966908</v>
      </c>
      <c r="S53" s="417"/>
      <c r="T53" s="21">
        <v>0.62847222222222199</v>
      </c>
      <c r="U53" s="21">
        <v>0.65</v>
      </c>
      <c r="V53" s="30">
        <f>(T53-U52)*24*60</f>
        <v>4.9999999999996625</v>
      </c>
      <c r="W53" s="236">
        <f t="shared" si="4"/>
        <v>31.000000000000369</v>
      </c>
      <c r="X53" s="30"/>
      <c r="Y53" s="151"/>
      <c r="Z53" s="90"/>
      <c r="AA53" s="90"/>
      <c r="AB53" s="466" t="s">
        <v>125</v>
      </c>
      <c r="AC53" s="466"/>
      <c r="AD53" s="92"/>
      <c r="AE53" s="92"/>
      <c r="AF53" s="307">
        <f t="shared" si="25"/>
        <v>-450.96774193549641</v>
      </c>
      <c r="AG53" s="72">
        <f t="shared" si="26"/>
        <v>0.69935483870966908</v>
      </c>
      <c r="AH53" s="462"/>
    </row>
    <row r="54" spans="1:34" ht="15" customHeight="1">
      <c r="A54" s="48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7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>
      <c r="A58" s="490"/>
      <c r="B58" s="239"/>
      <c r="C58" s="153" t="s">
        <v>51</v>
      </c>
      <c r="D58" s="437" t="s">
        <v>42</v>
      </c>
      <c r="E58" s="437"/>
      <c r="F58" s="116"/>
      <c r="G58" s="240"/>
      <c r="H58" s="118"/>
      <c r="I58" s="117"/>
      <c r="J58" s="120">
        <f t="shared" ref="J58:O58" si="27">AVERAGE(J49:J57)</f>
        <v>16.600000000000001</v>
      </c>
      <c r="K58" s="120">
        <f t="shared" si="27"/>
        <v>1633</v>
      </c>
      <c r="L58" s="117">
        <f t="shared" si="27"/>
        <v>98.705882352941188</v>
      </c>
      <c r="M58" s="120">
        <f t="shared" si="27"/>
        <v>16.600000000000001</v>
      </c>
      <c r="N58" s="120">
        <f t="shared" si="27"/>
        <v>1429.7810783348634</v>
      </c>
      <c r="O58" s="117">
        <f t="shared" si="27"/>
        <v>86.5328111022272</v>
      </c>
      <c r="P58" s="121">
        <f>M58-J58</f>
        <v>0</v>
      </c>
      <c r="Q58" s="122">
        <f>N58-K58</f>
        <v>-203.21892166513658</v>
      </c>
      <c r="R58" s="123">
        <f>O58/L58</f>
        <v>0.87667329483782019</v>
      </c>
      <c r="S58" s="42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7"/>
      <c r="AC58" s="467"/>
      <c r="AD58" s="323">
        <f>SUM(AD49:AD57)</f>
        <v>0</v>
      </c>
      <c r="AE58" s="323">
        <f>SUM(AE49:AE57)</f>
        <v>0</v>
      </c>
      <c r="AF58" s="309">
        <f>N58-K58</f>
        <v>-203.21892166513658</v>
      </c>
      <c r="AG58" s="124">
        <f>N58/K58</f>
        <v>0.8755548550734007</v>
      </c>
      <c r="AH58" s="464"/>
    </row>
    <row r="59" spans="1:34" ht="15" customHeight="1">
      <c r="A59" s="502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2584</v>
      </c>
      <c r="H59" s="243">
        <f>F59*G59</f>
        <v>69742.159999999989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1476.5714285714214</v>
      </c>
      <c r="O59" s="138">
        <f>N59/M59</f>
        <v>98.43809523809476</v>
      </c>
      <c r="P59" s="56">
        <f>M59-J59</f>
        <v>0</v>
      </c>
      <c r="Q59" s="230">
        <f>O59-L59</f>
        <v>-5.8952380952385681</v>
      </c>
      <c r="R59" s="52">
        <f>O59/L59</f>
        <v>0.94349612049292109</v>
      </c>
      <c r="S59" s="416">
        <f>R69</f>
        <v>0.84098092190899643</v>
      </c>
      <c r="T59" s="245">
        <v>0.28819444444444398</v>
      </c>
      <c r="U59" s="245">
        <v>0.36111111111111099</v>
      </c>
      <c r="V59" s="55"/>
      <c r="W59" s="54">
        <f t="shared" si="4"/>
        <v>105.00000000000051</v>
      </c>
      <c r="X59" s="55"/>
      <c r="Y59" s="290"/>
      <c r="Z59" s="169"/>
      <c r="AA59" s="169"/>
      <c r="AB59" s="468"/>
      <c r="AC59" s="468"/>
      <c r="AD59" s="135"/>
      <c r="AE59" s="135"/>
      <c r="AF59" s="310">
        <f>N59-K59</f>
        <v>-88.428571428578607</v>
      </c>
      <c r="AG59" s="246">
        <f>N59/K59</f>
        <v>0.94349612049292098</v>
      </c>
      <c r="AH59" s="461">
        <f>AG69</f>
        <v>0.84573020495327</v>
      </c>
    </row>
    <row r="60" spans="1:34" ht="15" customHeight="1">
      <c r="A60" s="503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1943</v>
      </c>
      <c r="H60" s="78">
        <f>F60*G60</f>
        <v>54909.18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1457.2500000000152</v>
      </c>
      <c r="O60" s="81">
        <f>N60/M60</f>
        <v>121.43750000000126</v>
      </c>
      <c r="P60" s="74">
        <f>M60-J60</f>
        <v>0</v>
      </c>
      <c r="Q60" s="83">
        <f>O60-L60</f>
        <v>-8.9791666666653924</v>
      </c>
      <c r="R60" s="72">
        <f>O60/L60</f>
        <v>0.93115015974441873</v>
      </c>
      <c r="S60" s="506"/>
      <c r="T60" s="22">
        <v>0.36805555555555602</v>
      </c>
      <c r="U60" s="22">
        <v>0.42361111111111099</v>
      </c>
      <c r="V60" s="30">
        <f>(T60-U59)*24*60</f>
        <v>10.000000000000844</v>
      </c>
      <c r="W60" s="248">
        <f t="shared" si="4"/>
        <v>79.999999999999162</v>
      </c>
      <c r="X60" s="232"/>
      <c r="Y60" s="177"/>
      <c r="Z60" s="90"/>
      <c r="AA60" s="90"/>
      <c r="AB60" s="466"/>
      <c r="AC60" s="466"/>
      <c r="AD60" s="92"/>
      <c r="AE60" s="92"/>
      <c r="AF60" s="316">
        <f>N60-K60</f>
        <v>-107.74999999998477</v>
      </c>
      <c r="AG60" s="249">
        <f>N60/K60</f>
        <v>0.93115015974441873</v>
      </c>
      <c r="AH60" s="497"/>
    </row>
    <row r="61" spans="1:34" ht="15" customHeight="1">
      <c r="A61" s="504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1453</v>
      </c>
      <c r="H61" s="254">
        <f>F61*G61</f>
        <v>73623.510000000009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13</v>
      </c>
      <c r="N61" s="107">
        <f>G61/W61*60</f>
        <v>1162.400000000008</v>
      </c>
      <c r="O61" s="238">
        <f>N61/M61</f>
        <v>89.415384615385236</v>
      </c>
      <c r="P61" s="111">
        <f>M61-J61</f>
        <v>0</v>
      </c>
      <c r="Q61" s="255">
        <f>O61-L61</f>
        <v>-21.353846153845538</v>
      </c>
      <c r="R61" s="85">
        <f>O61/L61</f>
        <v>0.80722222222222784</v>
      </c>
      <c r="S61" s="417"/>
      <c r="T61" s="22">
        <v>0.43402777777777801</v>
      </c>
      <c r="U61" s="22">
        <v>0.48611111111111099</v>
      </c>
      <c r="V61" s="30">
        <f>(T61-U60)*24*60</f>
        <v>15.000000000000506</v>
      </c>
      <c r="W61" s="256">
        <f t="shared" si="4"/>
        <v>74.999999999999488</v>
      </c>
      <c r="X61" s="22">
        <v>0.49652777777777801</v>
      </c>
      <c r="Y61" s="84">
        <v>0.53819444444444398</v>
      </c>
      <c r="Z61" s="90"/>
      <c r="AA61" s="90"/>
      <c r="AB61" s="466"/>
      <c r="AC61" s="466"/>
      <c r="AD61" s="92"/>
      <c r="AE61" s="92"/>
      <c r="AF61" s="317">
        <f>N61-K61</f>
        <v>-277.59999999999195</v>
      </c>
      <c r="AG61" s="247">
        <f>N61/K61</f>
        <v>0.80722222222222784</v>
      </c>
      <c r="AH61" s="462"/>
    </row>
    <row r="62" spans="1:34" ht="15" customHeight="1">
      <c r="A62" s="504"/>
      <c r="B62" s="250" t="s">
        <v>81</v>
      </c>
      <c r="C62" s="251"/>
      <c r="D62" s="257" t="s">
        <v>119</v>
      </c>
      <c r="E62" s="253"/>
      <c r="F62" s="250">
        <f>VLOOKUP(D62,廠價表!$C$1:$E$43,3,0)</f>
        <v>50.67</v>
      </c>
      <c r="G62" s="38">
        <v>677</v>
      </c>
      <c r="H62" s="254">
        <f t="shared" ref="H62:H63" si="28">F62*G62</f>
        <v>34303.590000000004</v>
      </c>
      <c r="I62" s="182"/>
      <c r="J62" s="106">
        <f>VLOOKUP(D62,產線配置圖!$A$3:$C$40,2,0)</f>
        <v>13</v>
      </c>
      <c r="K62" s="107">
        <f>VLOOKUP(D62,產線配置圖!$A$3:$C$40,3,0)</f>
        <v>1440</v>
      </c>
      <c r="L62" s="238">
        <f t="shared" ref="L62:L63" si="29">K62/J62</f>
        <v>110.76923076923077</v>
      </c>
      <c r="M62" s="108">
        <v>13</v>
      </c>
      <c r="N62" s="107">
        <f t="shared" ref="N62:N63" si="30">G62/W62*60</f>
        <v>796.47058823528448</v>
      </c>
      <c r="O62" s="238">
        <f t="shared" ref="O62:O63" si="31">N62/M62</f>
        <v>61.266968325791112</v>
      </c>
      <c r="P62" s="111">
        <f t="shared" ref="P62:P63" si="32">M62-J62</f>
        <v>0</v>
      </c>
      <c r="Q62" s="255">
        <f t="shared" ref="Q62:Q63" si="33">O62-L62</f>
        <v>-49.502262443439662</v>
      </c>
      <c r="R62" s="85">
        <f t="shared" ref="R62:R63" si="34">O62/L62</f>
        <v>0.55310457516339195</v>
      </c>
      <c r="S62" s="417"/>
      <c r="T62" s="22">
        <v>0.54513888888888895</v>
      </c>
      <c r="U62" s="22">
        <v>0.58055555555555605</v>
      </c>
      <c r="V62" s="30">
        <f t="shared" ref="V62:V63" si="35">(T62-U61)*24*60</f>
        <v>85.000000000000256</v>
      </c>
      <c r="W62" s="248">
        <f t="shared" si="4"/>
        <v>51.000000000000618</v>
      </c>
      <c r="X62" s="22"/>
      <c r="Y62" s="84"/>
      <c r="Z62" s="90"/>
      <c r="AA62" s="90"/>
      <c r="AB62" s="466" t="s">
        <v>125</v>
      </c>
      <c r="AC62" s="466"/>
      <c r="AD62" s="92"/>
      <c r="AE62" s="92"/>
      <c r="AF62" s="317">
        <f>N62-K62</f>
        <v>-643.52941176471552</v>
      </c>
      <c r="AG62" s="247">
        <f>N62/K62</f>
        <v>0.55310457516339195</v>
      </c>
      <c r="AH62" s="462"/>
    </row>
    <row r="63" spans="1:34" ht="15" customHeight="1">
      <c r="A63" s="504"/>
      <c r="B63" s="258" t="s">
        <v>130</v>
      </c>
      <c r="C63" s="58"/>
      <c r="D63" s="259" t="s">
        <v>131</v>
      </c>
      <c r="E63" s="60"/>
      <c r="F63" s="250">
        <f>VLOOKUP(D63,廠價表!$C$1:$E$43,3,0)</f>
        <v>26.99</v>
      </c>
      <c r="G63" s="260">
        <v>1766</v>
      </c>
      <c r="H63" s="254">
        <f t="shared" si="28"/>
        <v>47664.34</v>
      </c>
      <c r="I63" s="182"/>
      <c r="J63" s="106">
        <f>VLOOKUP(D63,產線配置圖!$A$3:$C$40,2,0)</f>
        <v>15</v>
      </c>
      <c r="K63" s="107">
        <f>VLOOKUP(D63,產線配置圖!$A$3:$C$40,3,0)</f>
        <v>1565</v>
      </c>
      <c r="L63" s="238">
        <f t="shared" si="29"/>
        <v>104.33333333333333</v>
      </c>
      <c r="M63" s="68">
        <v>15</v>
      </c>
      <c r="N63" s="107">
        <f t="shared" si="30"/>
        <v>1513.7142857142912</v>
      </c>
      <c r="O63" s="238">
        <f t="shared" si="31"/>
        <v>100.91428571428608</v>
      </c>
      <c r="P63" s="111">
        <f t="shared" si="32"/>
        <v>0</v>
      </c>
      <c r="Q63" s="255">
        <f t="shared" si="33"/>
        <v>-3.4190476190472481</v>
      </c>
      <c r="R63" s="85">
        <f t="shared" si="34"/>
        <v>0.96722957553628841</v>
      </c>
      <c r="S63" s="417"/>
      <c r="T63" s="22">
        <v>0.58680555555555602</v>
      </c>
      <c r="U63" s="22">
        <v>0.63541666666666696</v>
      </c>
      <c r="V63" s="30">
        <f t="shared" si="35"/>
        <v>8.999999999999968</v>
      </c>
      <c r="W63" s="248">
        <f t="shared" si="4"/>
        <v>69.999999999999744</v>
      </c>
      <c r="X63" s="261"/>
      <c r="Y63" s="291"/>
      <c r="Z63" s="335"/>
      <c r="AA63" s="335"/>
      <c r="AB63" s="466"/>
      <c r="AC63" s="466"/>
      <c r="AD63" s="92"/>
      <c r="AE63" s="92"/>
      <c r="AF63" s="317"/>
      <c r="AG63" s="247"/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>
        <f t="shared" ref="J69:O69" si="36">AVERAGE(J59:J68)</f>
        <v>13.6</v>
      </c>
      <c r="K69" s="240">
        <f t="shared" si="36"/>
        <v>1515</v>
      </c>
      <c r="L69" s="268">
        <f t="shared" si="36"/>
        <v>112.12435897435898</v>
      </c>
      <c r="M69" s="240">
        <f t="shared" si="36"/>
        <v>13.6</v>
      </c>
      <c r="N69" s="240">
        <f t="shared" si="36"/>
        <v>1281.2812605042041</v>
      </c>
      <c r="O69" s="268">
        <f t="shared" si="36"/>
        <v>94.294446778711674</v>
      </c>
      <c r="P69" s="269">
        <f>M69-J69</f>
        <v>0</v>
      </c>
      <c r="Q69" s="222">
        <f>N69-K69</f>
        <v>-233.71873949579594</v>
      </c>
      <c r="R69" s="123">
        <f>O69/L69</f>
        <v>0.84098092190899643</v>
      </c>
      <c r="S69" s="42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7"/>
      <c r="AC69" s="467"/>
      <c r="AD69" s="323">
        <f>SUM(AD59:AD68)</f>
        <v>0</v>
      </c>
      <c r="AE69" s="323">
        <f>SUM(AE59:AE68)</f>
        <v>0</v>
      </c>
      <c r="AF69" s="309">
        <f>N69-K69</f>
        <v>-233.71873949579594</v>
      </c>
      <c r="AG69" s="124">
        <f>N69/K69</f>
        <v>0.84573020495327</v>
      </c>
      <c r="AH69" s="464"/>
    </row>
    <row r="70" spans="1:36" ht="15" customHeight="1">
      <c r="A70" s="498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6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68"/>
      <c r="AC70" s="468"/>
      <c r="AD70" s="135"/>
      <c r="AE70" s="135"/>
      <c r="AF70" s="310">
        <f>N70-K70</f>
        <v>0</v>
      </c>
      <c r="AG70" s="246" t="e">
        <f>N70/K70</f>
        <v>#DIV/0!</v>
      </c>
      <c r="AH70" s="461" t="e">
        <f>AG79</f>
        <v>#DIV/0!</v>
      </c>
    </row>
    <row r="71" spans="1:36" ht="15" customHeight="1">
      <c r="A71" s="499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7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7"/>
      <c r="AC71" s="487"/>
      <c r="AD71" s="200"/>
      <c r="AE71" s="200"/>
      <c r="AF71" s="311">
        <v>-300.31249999999704</v>
      </c>
      <c r="AG71" s="99">
        <v>0.80810702875399554</v>
      </c>
      <c r="AH71" s="482"/>
    </row>
    <row r="72" spans="1:36" ht="15" customHeight="1">
      <c r="A72" s="499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7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6"/>
      <c r="AC72" s="466"/>
      <c r="AD72" s="92"/>
      <c r="AE72" s="92"/>
      <c r="AF72" s="311">
        <v>-130.33333333333326</v>
      </c>
      <c r="AG72" s="99">
        <v>0.91671991480298198</v>
      </c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6"/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>
      <c r="A79" s="500"/>
      <c r="B79" s="239"/>
      <c r="C79" s="153"/>
      <c r="D79" s="437"/>
      <c r="E79" s="437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16:A26"/>
    <mergeCell ref="S16:S26"/>
    <mergeCell ref="AB16:AC16"/>
    <mergeCell ref="D26:E26"/>
    <mergeCell ref="AB26:AC26"/>
    <mergeCell ref="AD3:AE3"/>
    <mergeCell ref="AF3:AF4"/>
    <mergeCell ref="AG3:AG4"/>
    <mergeCell ref="D15:E15"/>
    <mergeCell ref="AB15:AC15"/>
    <mergeCell ref="P3:P4"/>
    <mergeCell ref="Q3:Q4"/>
    <mergeCell ref="R3:R4"/>
    <mergeCell ref="T3:U3"/>
    <mergeCell ref="V3:V4"/>
    <mergeCell ref="W3:W4"/>
    <mergeCell ref="X3:Y3"/>
    <mergeCell ref="Z3:AA3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2:B2"/>
    <mergeCell ref="A3:A4"/>
    <mergeCell ref="B3:B4"/>
    <mergeCell ref="D3:E4"/>
    <mergeCell ref="F3:F4"/>
  </mergeCells>
  <phoneticPr fontId="0" type="noConversion"/>
  <conditionalFormatting sqref="P5:P79">
    <cfRule type="cellIs" dxfId="244" priority="1" operator="greaterThan">
      <formula>0</formula>
    </cfRule>
  </conditionalFormatting>
  <conditionalFormatting sqref="Q5:Q79 AF5:AF79">
    <cfRule type="cellIs" dxfId="243" priority="4" operator="lessThan">
      <formula>0</formula>
    </cfRule>
  </conditionalFormatting>
  <conditionalFormatting sqref="R5:R79 AG5:AG79">
    <cfRule type="cellIs" dxfId="242" priority="2" operator="greaterThan">
      <formula>1</formula>
    </cfRule>
    <cfRule type="cellIs" dxfId="241" priority="3" operator="lessThan">
      <formula>0.8</formula>
    </cfRule>
  </conditionalFormatting>
  <conditionalFormatting sqref="S5:S10 S37:S62 AH59:AH62 S69:S76 AH69:AH76">
    <cfRule type="cellIs" dxfId="240" priority="7" operator="lessThan">
      <formula>0.8</formula>
    </cfRule>
  </conditionalFormatting>
  <conditionalFormatting sqref="S19:S25 AH19:AH25">
    <cfRule type="cellIs" dxfId="239" priority="6" operator="lessThan">
      <formula>0.8</formula>
    </cfRule>
  </conditionalFormatting>
  <conditionalFormatting sqref="S79">
    <cfRule type="cellIs" dxfId="238" priority="5" operator="lessThan">
      <formula>0.8</formula>
    </cfRule>
  </conditionalFormatting>
  <conditionalFormatting sqref="AH5:AH8 S15:S16 AH15:AH16 AH49 AH79">
    <cfRule type="cellIs" dxfId="237" priority="9" operator="lessThan">
      <formula>0.8</formula>
    </cfRule>
  </conditionalFormatting>
  <conditionalFormatting sqref="AH27 S27:S28">
    <cfRule type="cellIs" dxfId="236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FA4CF92-B2DF-46CB-8928-4FE3587655D8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56F5B-FAC6-4764-94EC-53F103FCEA79}">
  <dimension ref="B1:O26"/>
  <sheetViews>
    <sheetView topLeftCell="A3" zoomScale="70" zoomScaleNormal="70" workbookViewId="0">
      <selection activeCell="AB33" sqref="AB33:AC3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46154</v>
      </c>
      <c r="E3" s="412"/>
      <c r="F3" s="3" t="s">
        <v>72</v>
      </c>
      <c r="G3" s="413">
        <f>'0512'!E1</f>
        <v>57384</v>
      </c>
      <c r="H3" s="413"/>
      <c r="I3" s="3" t="s">
        <v>2</v>
      </c>
      <c r="J3" s="414">
        <f>'0512'!G1</f>
        <v>2795501.3420000002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>
        <f>AVERAGE(D13:I13)</f>
        <v>122.21823361823363</v>
      </c>
      <c r="G6" s="410"/>
      <c r="H6" s="395">
        <f>AVERAGE(D13:H13)</f>
        <v>124.23700854700856</v>
      </c>
      <c r="I6" s="395"/>
      <c r="J6" s="395">
        <f>AVERAGE(I13)</f>
        <v>112.12435897435898</v>
      </c>
      <c r="K6" s="395"/>
      <c r="L6" s="396">
        <f>SUM(D18:J18)</f>
        <v>2</v>
      </c>
      <c r="M6" s="398">
        <f>SUM(D19:J19)</f>
        <v>22</v>
      </c>
      <c r="N6" s="399">
        <f>SUM(D20:J20)</f>
        <v>0</v>
      </c>
      <c r="O6" s="398">
        <f>SUM(D20:J20)</f>
        <v>0</v>
      </c>
    </row>
    <row r="7" spans="2:15" ht="39.6" customHeight="1">
      <c r="B7" s="406"/>
      <c r="C7" s="406"/>
      <c r="D7" s="401" t="s">
        <v>87</v>
      </c>
      <c r="E7" s="401"/>
      <c r="F7" s="402">
        <f>AVERAGE(D14:I14)</f>
        <v>102.33396428939511</v>
      </c>
      <c r="G7" s="402"/>
      <c r="H7" s="403">
        <f>AVERAGE(D14:H14)</f>
        <v>103.82613244588865</v>
      </c>
      <c r="I7" s="403"/>
      <c r="J7" s="403">
        <f>AVERAGE(I14)</f>
        <v>94.873123506927385</v>
      </c>
      <c r="K7" s="403"/>
      <c r="L7" s="397" t="e">
        <f t="shared" ref="L7:O8" si="0">AVERAGE(K14:L14)</f>
        <v>#DIV/0!</v>
      </c>
      <c r="M7" s="398" t="e">
        <f t="shared" si="0"/>
        <v>#DIV/0!</v>
      </c>
      <c r="N7" s="400" t="e">
        <f t="shared" si="0"/>
        <v>#DIV/0!</v>
      </c>
      <c r="O7" s="398" t="e">
        <f t="shared" si="0"/>
        <v>#DIV/0!</v>
      </c>
    </row>
    <row r="8" spans="2:15" ht="39.6" customHeight="1">
      <c r="B8" s="406"/>
      <c r="C8" s="406"/>
      <c r="D8" s="401" t="s">
        <v>27</v>
      </c>
      <c r="E8" s="401"/>
      <c r="F8" s="387">
        <f>F7/F6</f>
        <v>0.83730521428619309</v>
      </c>
      <c r="G8" s="387"/>
      <c r="H8" s="387">
        <f>H7/H6</f>
        <v>0.83571017734705932</v>
      </c>
      <c r="I8" s="387"/>
      <c r="J8" s="387">
        <f>J7/J6</f>
        <v>0.8461419478761375</v>
      </c>
      <c r="K8" s="387"/>
      <c r="L8" s="397" t="e">
        <f t="shared" si="0"/>
        <v>#DIV/0!</v>
      </c>
      <c r="M8" s="398" t="e">
        <f t="shared" si="0"/>
        <v>#DIV/0!</v>
      </c>
      <c r="N8" s="400" t="e">
        <f t="shared" si="0"/>
        <v>#DIV/0!</v>
      </c>
      <c r="O8" s="398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>
        <f>VALUE('0512'!L15)</f>
        <v>150</v>
      </c>
      <c r="E13" s="13">
        <f>VALUE('0512'!L26)</f>
        <v>172.59615384615384</v>
      </c>
      <c r="F13" s="13">
        <f>VALUE('0512'!L37)</f>
        <v>95.019607843137251</v>
      </c>
      <c r="G13" s="13">
        <f>VALUE('0512'!L48)</f>
        <v>102.24575163398693</v>
      </c>
      <c r="H13" s="13">
        <f>VALUE('0512'!L58)</f>
        <v>101.32352941176471</v>
      </c>
      <c r="I13" s="13">
        <f>VALUE('0512'!L69)</f>
        <v>112.12435897435898</v>
      </c>
      <c r="J13" s="13">
        <f>'0512'!L79</f>
        <v>0</v>
      </c>
    </row>
    <row r="14" spans="2:15" ht="39.950000000000003" customHeight="1">
      <c r="B14" s="381"/>
      <c r="C14" s="12" t="s">
        <v>100</v>
      </c>
      <c r="D14" s="13">
        <f>VALUE('0512'!O15)</f>
        <v>123.92868318324604</v>
      </c>
      <c r="E14" s="13">
        <f>VALUE('0512'!O26)</f>
        <v>133.51305450435618</v>
      </c>
      <c r="F14" s="13">
        <f>VALUE('0512'!O37)</f>
        <v>75.90316383952738</v>
      </c>
      <c r="G14" s="13">
        <f>VALUE('0512'!O48)</f>
        <v>90.164591786371034</v>
      </c>
      <c r="H14" s="13">
        <f>VALUE('0512'!O58)</f>
        <v>95.62116891594269</v>
      </c>
      <c r="I14" s="13">
        <f>VALUE('0512'!O69)</f>
        <v>94.873123506927385</v>
      </c>
      <c r="J14" s="13">
        <f>'0512'!O79</f>
        <v>0</v>
      </c>
    </row>
    <row r="15" spans="2:15" ht="39.950000000000003" customHeight="1">
      <c r="B15" s="382"/>
      <c r="C15" s="10" t="s">
        <v>26</v>
      </c>
      <c r="D15" s="14">
        <f t="shared" ref="D15:I15" si="1">D14/D13</f>
        <v>0.82619122122164024</v>
      </c>
      <c r="E15" s="14">
        <f t="shared" si="1"/>
        <v>0.77355753027593555</v>
      </c>
      <c r="F15" s="14">
        <f t="shared" si="1"/>
        <v>0.79881579773336697</v>
      </c>
      <c r="G15" s="14">
        <f t="shared" si="1"/>
        <v>0.88184193812899636</v>
      </c>
      <c r="H15" s="14">
        <f t="shared" si="1"/>
        <v>0.9437212607088683</v>
      </c>
      <c r="I15" s="14">
        <f t="shared" si="1"/>
        <v>0.8461419478761375</v>
      </c>
      <c r="J15" s="15">
        <f>'0512'!S70</f>
        <v>0</v>
      </c>
    </row>
    <row r="16" spans="2:15" ht="17.25" customHeight="1">
      <c r="B16" s="383" t="s">
        <v>101</v>
      </c>
      <c r="C16" s="10" t="s">
        <v>34</v>
      </c>
      <c r="D16" s="16">
        <f>'0512'!T5</f>
        <v>0.29166666666666702</v>
      </c>
      <c r="E16" s="16">
        <f>'0512'!T16</f>
        <v>0.29027777777777802</v>
      </c>
      <c r="F16" s="16">
        <f>'0512'!T27</f>
        <v>0.33333333333333298</v>
      </c>
      <c r="G16" s="16">
        <f>'0512'!T38</f>
        <v>0.33333333333333298</v>
      </c>
      <c r="H16" s="16">
        <f>'0512'!T49</f>
        <v>0.28819444444444398</v>
      </c>
      <c r="I16" s="16">
        <f>'0512'!T59</f>
        <v>0.28819444444444398</v>
      </c>
      <c r="J16" s="16">
        <f>'0512'!T70</f>
        <v>0</v>
      </c>
    </row>
    <row r="17" spans="2:10" ht="17.25" customHeight="1">
      <c r="B17" s="384"/>
      <c r="C17" s="10" t="s">
        <v>35</v>
      </c>
      <c r="D17" s="16">
        <v>0.63958333333333295</v>
      </c>
      <c r="E17" s="19">
        <v>0.65208333333333302</v>
      </c>
      <c r="F17" s="19">
        <v>0.62222222222222201</v>
      </c>
      <c r="G17" s="20">
        <v>0.66736111111111096</v>
      </c>
      <c r="H17" s="21">
        <v>0.62152777777777801</v>
      </c>
      <c r="I17" s="22">
        <v>0.625</v>
      </c>
      <c r="J17" s="16">
        <f>'0512'!T71</f>
        <v>0</v>
      </c>
    </row>
    <row r="18" spans="2:10" ht="17.25" customHeight="1">
      <c r="B18" s="385" t="s">
        <v>102</v>
      </c>
      <c r="C18" s="330" t="s">
        <v>36</v>
      </c>
      <c r="D18" s="358">
        <f>'0512'!Z15</f>
        <v>0</v>
      </c>
      <c r="E18" s="359">
        <f>'0512'!Z26</f>
        <v>0</v>
      </c>
      <c r="F18" s="359">
        <f>'0512'!Z37</f>
        <v>2</v>
      </c>
      <c r="G18" s="360">
        <f>'0512'!Z48</f>
        <v>0</v>
      </c>
      <c r="H18" s="360">
        <f>'0512'!Z58</f>
        <v>0</v>
      </c>
      <c r="I18" s="359">
        <f>'0512'!Z69</f>
        <v>0</v>
      </c>
      <c r="J18" s="359">
        <f>'0512'!AA79</f>
        <v>0</v>
      </c>
    </row>
    <row r="19" spans="2:10" ht="17.25" customHeight="1">
      <c r="B19" s="386"/>
      <c r="C19" s="330" t="s">
        <v>37</v>
      </c>
      <c r="D19" s="358">
        <f>'0512'!AA15</f>
        <v>0</v>
      </c>
      <c r="E19" s="359">
        <f>'0512'!AA26</f>
        <v>0</v>
      </c>
      <c r="F19" s="359">
        <f>'0512'!AA37</f>
        <v>22</v>
      </c>
      <c r="G19" s="360">
        <f>'0512'!AA48</f>
        <v>0</v>
      </c>
      <c r="H19" s="360">
        <f>'0512'!AA58</f>
        <v>0</v>
      </c>
      <c r="I19" s="359">
        <f>'0512'!AA69</f>
        <v>0</v>
      </c>
      <c r="J19" s="359">
        <f>'0512'!AB79</f>
        <v>0</v>
      </c>
    </row>
    <row r="20" spans="2:10" ht="17.25" customHeight="1">
      <c r="B20" s="385" t="s">
        <v>103</v>
      </c>
      <c r="C20" s="330" t="s">
        <v>36</v>
      </c>
      <c r="D20" s="358">
        <f>'0512'!AD15</f>
        <v>0</v>
      </c>
      <c r="E20" s="359">
        <f>'0512'!AD26</f>
        <v>0</v>
      </c>
      <c r="F20" s="359">
        <f>'0512'!AD37</f>
        <v>0</v>
      </c>
      <c r="G20" s="360">
        <f>'0512'!AD48</f>
        <v>0</v>
      </c>
      <c r="H20" s="360">
        <f>'0512'!AD58</f>
        <v>0</v>
      </c>
      <c r="I20" s="359">
        <f>'0512'!AD69</f>
        <v>0</v>
      </c>
      <c r="J20" s="359">
        <f>'0512'!AD79</f>
        <v>0</v>
      </c>
    </row>
    <row r="21" spans="2:10" ht="17.25" customHeight="1">
      <c r="B21" s="386"/>
      <c r="C21" s="330" t="s">
        <v>85</v>
      </c>
      <c r="D21" s="358">
        <f>'0512'!AE15</f>
        <v>0</v>
      </c>
      <c r="E21" s="359">
        <f>'0512'!AE26</f>
        <v>0</v>
      </c>
      <c r="F21" s="359">
        <f>'0512'!AE37</f>
        <v>0</v>
      </c>
      <c r="G21" s="360">
        <f>'0512'!AE48</f>
        <v>0</v>
      </c>
      <c r="H21" s="360">
        <f>'0512'!AE58</f>
        <v>0</v>
      </c>
      <c r="I21" s="359">
        <f>'0512'!AE69</f>
        <v>0</v>
      </c>
      <c r="J21" s="359">
        <f>'0512'!AE79</f>
        <v>0</v>
      </c>
    </row>
    <row r="22" spans="2:10" ht="17.25" customHeight="1">
      <c r="B22" s="377" t="s">
        <v>104</v>
      </c>
      <c r="C22" s="378"/>
      <c r="D22" s="23">
        <f>VALUE('0512'!M15)</f>
        <v>15.2</v>
      </c>
      <c r="E22" s="23">
        <f>VALUE('0512'!M26)</f>
        <v>13.666666666666666</v>
      </c>
      <c r="F22" s="23">
        <f>VALUE('0512'!M37)</f>
        <v>17</v>
      </c>
      <c r="G22" s="23">
        <f>VALUE('0512'!M48)</f>
        <v>16.333333333333332</v>
      </c>
      <c r="H22" s="23">
        <f>VALUE('0512'!M58)</f>
        <v>16.5</v>
      </c>
      <c r="I22" s="23">
        <f>VALUE('0512'!M69)</f>
        <v>13.6</v>
      </c>
      <c r="J22" s="23">
        <f>'0512'!M79</f>
        <v>0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35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2C151-08F5-4E23-B9B2-D834B79394EC}">
  <sheetPr>
    <tabColor theme="9" tint="0.79998168889431442"/>
  </sheetPr>
  <dimension ref="A1:AJ92"/>
  <sheetViews>
    <sheetView zoomScale="69" zoomScaleNormal="69" workbookViewId="0">
      <pane xSplit="5" ySplit="4" topLeftCell="F17" activePane="bottomRight" state="frozen"/>
      <selection activeCell="AB33" sqref="AB33:AC33"/>
      <selection pane="topRight" activeCell="AB33" sqref="AB33:AC33"/>
      <selection pane="bottomLeft" activeCell="AB33" sqref="AB33:AC33"/>
      <selection pane="bottomRight" activeCell="AB30" sqref="AB30:AC3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8" width="8.7109375" style="34" customWidth="1"/>
    <col min="109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57384</v>
      </c>
      <c r="F1" s="30" t="s">
        <v>2</v>
      </c>
      <c r="G1" s="31">
        <f>SUM(H5:H79)</f>
        <v>2795501.3420000002</v>
      </c>
      <c r="H1" s="32" t="s">
        <v>3</v>
      </c>
      <c r="I1" s="33">
        <f>M15+M26+M48+M58+M69+M79+M37</f>
        <v>92.3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188</v>
      </c>
      <c r="B2" s="422"/>
      <c r="C2" s="28"/>
      <c r="D2" s="28" t="s">
        <v>14</v>
      </c>
      <c r="E2" s="35">
        <f>AVERAGE(O15,O26,O37,O48,O58,O69,O79)</f>
        <v>102.33396428939511</v>
      </c>
      <c r="F2" s="36" t="s">
        <v>15</v>
      </c>
      <c r="G2" s="37">
        <f>G1/E1</f>
        <v>48.715693259445146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2</v>
      </c>
      <c r="AA2" s="339">
        <f>AA15+AA26+AA37+AA48+AA58+AA69+AA79</f>
        <v>22</v>
      </c>
      <c r="AB2" s="460"/>
      <c r="AC2" s="460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2407</v>
      </c>
      <c r="H5" s="43">
        <f>F5*G5</f>
        <v>136886.09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2034.084507042277</v>
      </c>
      <c r="O5" s="47">
        <f>N5/M5</f>
        <v>135.60563380281846</v>
      </c>
      <c r="P5" s="49">
        <f>M5-J5</f>
        <v>0</v>
      </c>
      <c r="Q5" s="50">
        <f>O5-L5</f>
        <v>-14.39436619718154</v>
      </c>
      <c r="R5" s="51">
        <f>O5/L5</f>
        <v>0.90403755868545643</v>
      </c>
      <c r="S5" s="416">
        <f>R15</f>
        <v>0.82619122122164024</v>
      </c>
      <c r="T5" s="319">
        <v>0.29166666666666702</v>
      </c>
      <c r="U5" s="320">
        <v>0.34097222222222201</v>
      </c>
      <c r="V5" s="53"/>
      <c r="W5" s="54">
        <f t="shared" ref="W5:W14" si="0">(U5-T5)*24*60</f>
        <v>70.99999999999919</v>
      </c>
      <c r="X5" s="55"/>
      <c r="Y5" s="290"/>
      <c r="Z5" s="169"/>
      <c r="AA5" s="169"/>
      <c r="AB5" s="468"/>
      <c r="AC5" s="468"/>
      <c r="AD5" s="135"/>
      <c r="AE5" s="135"/>
      <c r="AF5" s="229">
        <f t="shared" ref="AF5:AF9" si="1">N5-K5</f>
        <v>-215.91549295772302</v>
      </c>
      <c r="AG5" s="52">
        <f t="shared" ref="AG5:AG9" si="2">N5/K5</f>
        <v>0.90403755868545643</v>
      </c>
      <c r="AH5" s="461">
        <f>AG15</f>
        <v>0.83345248248290127</v>
      </c>
    </row>
    <row r="6" spans="1:34" ht="15" customHeight="1">
      <c r="A6" s="428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3866</v>
      </c>
      <c r="H6" s="63">
        <f>F6*G6</f>
        <v>224885.22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2128.073394495425</v>
      </c>
      <c r="O6" s="67">
        <f>N6/M6</f>
        <v>141.87155963302834</v>
      </c>
      <c r="P6" s="69">
        <f>M6-J6</f>
        <v>0</v>
      </c>
      <c r="Q6" s="70">
        <f>O6-L6</f>
        <v>-8.1284403669716596</v>
      </c>
      <c r="R6" s="71">
        <f>O6/L6</f>
        <v>0.94581039755352225</v>
      </c>
      <c r="S6" s="417"/>
      <c r="T6" s="16">
        <v>0.34652777777777799</v>
      </c>
      <c r="U6" s="16">
        <v>0.422222222222222</v>
      </c>
      <c r="V6" s="30">
        <f>(T6-U5)*24*60</f>
        <v>8.0000000000006111</v>
      </c>
      <c r="W6" s="73">
        <f t="shared" si="0"/>
        <v>108.99999999999937</v>
      </c>
      <c r="X6" s="22"/>
      <c r="Y6" s="84"/>
      <c r="Z6" s="90"/>
      <c r="AA6" s="90"/>
      <c r="AB6" s="465"/>
      <c r="AC6" s="465"/>
      <c r="AD6" s="149"/>
      <c r="AE6" s="149"/>
      <c r="AF6" s="307">
        <f t="shared" si="1"/>
        <v>-121.92660550457504</v>
      </c>
      <c r="AG6" s="72">
        <f t="shared" si="2"/>
        <v>0.94581039755352225</v>
      </c>
      <c r="AH6" s="462"/>
    </row>
    <row r="7" spans="1:34" ht="15" customHeight="1">
      <c r="A7" s="428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1336</v>
      </c>
      <c r="H7" s="78">
        <f>F7*G7</f>
        <v>65651.039999999994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1908.5714285714719</v>
      </c>
      <c r="O7" s="81">
        <f>N7/M7</f>
        <v>127.23809523809813</v>
      </c>
      <c r="P7" s="74">
        <f>M7-J7</f>
        <v>0</v>
      </c>
      <c r="Q7" s="83">
        <f>O7-L7</f>
        <v>-22.761904761901874</v>
      </c>
      <c r="R7" s="72">
        <f>O7/L7</f>
        <v>0.84825396825398747</v>
      </c>
      <c r="S7" s="417"/>
      <c r="T7" s="18">
        <v>0.42916666666666697</v>
      </c>
      <c r="U7" s="18">
        <v>0.45833333333333298</v>
      </c>
      <c r="V7" s="30">
        <f>(T7-U6)*24*60</f>
        <v>10.000000000000764</v>
      </c>
      <c r="W7" s="73">
        <f t="shared" si="0"/>
        <v>41.999999999999048</v>
      </c>
      <c r="X7" s="22"/>
      <c r="Y7" s="84"/>
      <c r="Z7" s="90"/>
      <c r="AA7" s="90"/>
      <c r="AB7" s="466"/>
      <c r="AC7" s="466"/>
      <c r="AD7" s="92"/>
      <c r="AE7" s="92"/>
      <c r="AF7" s="307">
        <f t="shared" si="1"/>
        <v>-341.42857142852813</v>
      </c>
      <c r="AG7" s="72">
        <f t="shared" si="2"/>
        <v>0.84825396825398747</v>
      </c>
      <c r="AH7" s="462"/>
    </row>
    <row r="8" spans="1:34" ht="15" customHeight="1">
      <c r="A8" s="428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806</v>
      </c>
      <c r="H8" s="78">
        <f t="shared" ref="H8:H9" si="3">F8*G8</f>
        <v>39606.840000000004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9" si="4">K8/J8</f>
        <v>150</v>
      </c>
      <c r="M8" s="82">
        <v>16</v>
      </c>
      <c r="N8" s="80">
        <f t="shared" ref="N8:N9" si="5">G8/W8*60</f>
        <v>1307.027027026998</v>
      </c>
      <c r="O8" s="81">
        <f t="shared" ref="O8:O9" si="6">N8/M8</f>
        <v>81.689189189187374</v>
      </c>
      <c r="P8" s="74">
        <f t="shared" ref="P8:P9" si="7">M8-J8</f>
        <v>1</v>
      </c>
      <c r="Q8" s="83">
        <f t="shared" ref="Q8:Q9" si="8">O8-L8</f>
        <v>-68.310810810812626</v>
      </c>
      <c r="R8" s="72">
        <f t="shared" ref="R8:R9" si="9">O8/L8</f>
        <v>0.54459459459458248</v>
      </c>
      <c r="S8" s="417"/>
      <c r="T8" s="16">
        <v>0.45833333333333298</v>
      </c>
      <c r="U8" s="16">
        <v>0.484027777777778</v>
      </c>
      <c r="V8" s="30">
        <f t="shared" ref="V8:V9" si="10">(T8-U7)*24*60</f>
        <v>0</v>
      </c>
      <c r="W8" s="73">
        <f t="shared" si="0"/>
        <v>37.000000000000824</v>
      </c>
      <c r="X8" s="22">
        <v>0.5</v>
      </c>
      <c r="Y8" s="84">
        <v>0.54166666666666696</v>
      </c>
      <c r="Z8" s="90"/>
      <c r="AA8" s="90"/>
      <c r="AB8" s="465" t="s">
        <v>189</v>
      </c>
      <c r="AC8" s="465"/>
      <c r="AD8" s="149"/>
      <c r="AE8" s="149"/>
      <c r="AF8" s="307">
        <f t="shared" si="1"/>
        <v>-942.97297297300202</v>
      </c>
      <c r="AG8" s="72">
        <f t="shared" si="2"/>
        <v>0.58090090090088797</v>
      </c>
      <c r="AH8" s="462"/>
    </row>
    <row r="9" spans="1:34" ht="15" customHeight="1">
      <c r="A9" s="429"/>
      <c r="B9" s="75" t="s">
        <v>81</v>
      </c>
      <c r="C9" s="76"/>
      <c r="D9" s="59" t="s">
        <v>114</v>
      </c>
      <c r="E9" s="77"/>
      <c r="F9" s="75">
        <f>VLOOKUP(D9,廠價表!$C$1:$E$43,3,0)</f>
        <v>49.14</v>
      </c>
      <c r="G9" s="66">
        <v>3764</v>
      </c>
      <c r="H9" s="78">
        <f t="shared" si="3"/>
        <v>184962.96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1998.5840707964674</v>
      </c>
      <c r="O9" s="81">
        <f t="shared" si="6"/>
        <v>133.23893805309783</v>
      </c>
      <c r="P9" s="74">
        <f t="shared" si="7"/>
        <v>0</v>
      </c>
      <c r="Q9" s="83">
        <f t="shared" si="8"/>
        <v>-16.761061946902174</v>
      </c>
      <c r="R9" s="72">
        <f t="shared" si="9"/>
        <v>0.88825958702065222</v>
      </c>
      <c r="S9" s="418"/>
      <c r="T9" s="16">
        <v>0.56111111111111101</v>
      </c>
      <c r="U9" s="16">
        <v>0.63958333333333295</v>
      </c>
      <c r="V9" s="30">
        <f t="shared" si="10"/>
        <v>110.99999999999953</v>
      </c>
      <c r="W9" s="73">
        <f t="shared" si="0"/>
        <v>112.9999999999996</v>
      </c>
      <c r="X9" s="22"/>
      <c r="Y9" s="84"/>
      <c r="Z9" s="90"/>
      <c r="AA9" s="90"/>
      <c r="AB9" s="465"/>
      <c r="AC9" s="465"/>
      <c r="AD9" s="149"/>
      <c r="AE9" s="149"/>
      <c r="AF9" s="307">
        <f t="shared" si="1"/>
        <v>-251.41592920353264</v>
      </c>
      <c r="AG9" s="72">
        <f t="shared" si="2"/>
        <v>0.88825958702065211</v>
      </c>
      <c r="AH9" s="463"/>
    </row>
    <row r="10" spans="1:34" ht="15" customHeight="1">
      <c r="A10" s="42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8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516" t="s">
        <v>190</v>
      </c>
      <c r="AC10" s="516"/>
      <c r="AD10" s="92"/>
      <c r="AE10" s="92"/>
      <c r="AF10" s="307"/>
      <c r="AG10" s="72"/>
      <c r="AH10" s="463"/>
    </row>
    <row r="11" spans="1:34" ht="15" customHeight="1">
      <c r="A11" s="42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5"/>
      <c r="AC11" s="465"/>
      <c r="AD11" s="149"/>
      <c r="AE11" s="149"/>
      <c r="AF11" s="307"/>
      <c r="AG11" s="72"/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150</v>
      </c>
      <c r="M15" s="120">
        <f t="shared" si="11"/>
        <v>15.2</v>
      </c>
      <c r="N15" s="120">
        <f t="shared" si="11"/>
        <v>1875.2680855865278</v>
      </c>
      <c r="O15" s="117">
        <f t="shared" si="11"/>
        <v>123.92868318324604</v>
      </c>
      <c r="P15" s="121">
        <f>M15-J15</f>
        <v>0.19999999999999929</v>
      </c>
      <c r="Q15" s="122">
        <f>O15-L15</f>
        <v>-26.071316816753964</v>
      </c>
      <c r="R15" s="123">
        <f>O15/L15</f>
        <v>0.82619122122164024</v>
      </c>
      <c r="S15" s="42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7"/>
      <c r="AC15" s="467"/>
      <c r="AD15" s="323">
        <f>SUM(AD5:AD14)</f>
        <v>0</v>
      </c>
      <c r="AE15" s="323">
        <f>SUM(AE5:AE14)</f>
        <v>0</v>
      </c>
      <c r="AF15" s="309">
        <f>N15-K15</f>
        <v>-374.73191441347217</v>
      </c>
      <c r="AG15" s="124">
        <f>N15/K15</f>
        <v>0.83345248248290127</v>
      </c>
      <c r="AH15" s="464"/>
    </row>
    <row r="16" spans="1:34" ht="15" customHeight="1">
      <c r="A16" s="47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3705</v>
      </c>
      <c r="H16" s="134">
        <f>F16*G16</f>
        <v>187732.35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2097.169811320759</v>
      </c>
      <c r="O16" s="141">
        <f>N16/M16</f>
        <v>161.32075471698147</v>
      </c>
      <c r="P16" s="142">
        <f>M16-J16</f>
        <v>0</v>
      </c>
      <c r="Q16" s="143">
        <f>O16-L16</f>
        <v>-11.756168359941597</v>
      </c>
      <c r="R16" s="144">
        <f>O16/L16</f>
        <v>0.93207547169811522</v>
      </c>
      <c r="S16" s="472">
        <f>R26</f>
        <v>0.77355753027593555</v>
      </c>
      <c r="T16" s="145">
        <v>0.29027777777777802</v>
      </c>
      <c r="U16" s="145">
        <v>0.36388888888888898</v>
      </c>
      <c r="V16" s="135"/>
      <c r="W16" s="146">
        <f t="shared" ref="W16:W78" si="12">(U16-T16)*24*60</f>
        <v>105.99999999999979</v>
      </c>
      <c r="X16" s="141"/>
      <c r="Y16" s="296"/>
      <c r="Z16" s="169"/>
      <c r="AA16" s="169"/>
      <c r="AB16" s="468"/>
      <c r="AC16" s="468"/>
      <c r="AD16" s="135"/>
      <c r="AE16" s="135"/>
      <c r="AF16" s="229">
        <f>N16-K16</f>
        <v>-152.83018867924102</v>
      </c>
      <c r="AG16" s="52">
        <f>N16/K16</f>
        <v>0.93207547169811511</v>
      </c>
      <c r="AH16" s="461">
        <f>AG26</f>
        <v>0.79166914044133996</v>
      </c>
    </row>
    <row r="17" spans="1:34" ht="15" customHeight="1">
      <c r="A17" s="479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1956</v>
      </c>
      <c r="H17" s="78">
        <f>F17*G17</f>
        <v>110729.16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2058.9473684210716</v>
      </c>
      <c r="O17" s="96">
        <f>N17/M17</f>
        <v>137.2631578947381</v>
      </c>
      <c r="P17" s="97">
        <f>M17-J17</f>
        <v>0</v>
      </c>
      <c r="Q17" s="98">
        <f>O17-L17</f>
        <v>-12.7368421052619</v>
      </c>
      <c r="R17" s="99">
        <f>O17/L17</f>
        <v>0.91508771929825405</v>
      </c>
      <c r="S17" s="473"/>
      <c r="T17" s="19">
        <v>0.37291666666666701</v>
      </c>
      <c r="U17" s="19">
        <v>0.41249999999999998</v>
      </c>
      <c r="V17" s="30">
        <f>(T17-U16)*24*60</f>
        <v>13.000000000000353</v>
      </c>
      <c r="W17" s="149">
        <f t="shared" si="12"/>
        <v>56.999999999999474</v>
      </c>
      <c r="X17" s="19"/>
      <c r="Y17" s="297"/>
      <c r="Z17" s="90"/>
      <c r="AA17" s="90"/>
      <c r="AB17" s="466"/>
      <c r="AC17" s="466"/>
      <c r="AD17" s="92"/>
      <c r="AE17" s="92"/>
      <c r="AF17" s="307">
        <f>N17-K17</f>
        <v>-191.05263157892841</v>
      </c>
      <c r="AG17" s="72">
        <f>N17/K17</f>
        <v>0.91508771929825405</v>
      </c>
      <c r="AH17" s="462"/>
    </row>
    <row r="18" spans="1:34" ht="15" customHeight="1">
      <c r="A18" s="479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1976</v>
      </c>
      <c r="H18" s="78">
        <f>F18*G18</f>
        <v>99570.64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2080.0000000000191</v>
      </c>
      <c r="O18" s="96">
        <f>N18/M18</f>
        <v>173.33333333333493</v>
      </c>
      <c r="P18" s="97">
        <f>M18-J18</f>
        <v>0</v>
      </c>
      <c r="Q18" s="98">
        <f>O18-L18</f>
        <v>-14.166666666665066</v>
      </c>
      <c r="R18" s="99">
        <f>O18/L18</f>
        <v>0.92444444444445295</v>
      </c>
      <c r="S18" s="473"/>
      <c r="T18" s="19">
        <v>0.41875000000000001</v>
      </c>
      <c r="U18" s="19">
        <v>0.45833333333333298</v>
      </c>
      <c r="V18" s="30">
        <f>(T18-U17)*24*60</f>
        <v>9.000000000000048</v>
      </c>
      <c r="W18" s="149">
        <f t="shared" si="12"/>
        <v>56.999999999999474</v>
      </c>
      <c r="X18" s="22"/>
      <c r="Y18" s="84"/>
      <c r="Z18" s="90"/>
      <c r="AA18" s="90"/>
      <c r="AB18" s="466"/>
      <c r="AC18" s="466"/>
      <c r="AD18" s="92"/>
      <c r="AE18" s="92"/>
      <c r="AF18" s="307">
        <f>N18-K18</f>
        <v>-169.9999999999809</v>
      </c>
      <c r="AG18" s="72">
        <f>N18/K18</f>
        <v>0.92444444444445295</v>
      </c>
      <c r="AH18" s="462"/>
    </row>
    <row r="19" spans="1:34" ht="15" customHeight="1">
      <c r="A19" s="479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413</v>
      </c>
      <c r="H19" s="78">
        <f t="shared" ref="H19:H21" si="13">F19*G19</f>
        <v>20811.07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1" si="14">K19/J19</f>
        <v>187.5</v>
      </c>
      <c r="M19" s="148">
        <v>15</v>
      </c>
      <c r="N19" s="95">
        <f t="shared" ref="N19:N21" si="15">G19/W19*60</f>
        <v>991.20000000000675</v>
      </c>
      <c r="O19" s="96">
        <f t="shared" ref="O19:O21" si="16">N19/M19</f>
        <v>66.080000000000453</v>
      </c>
      <c r="P19" s="97">
        <f t="shared" ref="P19:P21" si="17">M19-J19</f>
        <v>3</v>
      </c>
      <c r="Q19" s="98">
        <f t="shared" ref="Q19:Q21" si="18">O19-L19</f>
        <v>-121.41999999999955</v>
      </c>
      <c r="R19" s="99">
        <f t="shared" ref="R19:R21" si="19">O19/L19</f>
        <v>0.35242666666666911</v>
      </c>
      <c r="S19" s="473"/>
      <c r="T19" s="19">
        <v>0.45833333333333298</v>
      </c>
      <c r="U19" s="19">
        <v>0.47569444444444398</v>
      </c>
      <c r="V19" s="30">
        <f>(T19-U18)*24*60</f>
        <v>0</v>
      </c>
      <c r="W19" s="149">
        <f t="shared" si="12"/>
        <v>24.999999999999829</v>
      </c>
      <c r="X19" s="22">
        <v>0.48958333333333298</v>
      </c>
      <c r="Y19" s="84">
        <v>0.53125</v>
      </c>
      <c r="Z19" s="90"/>
      <c r="AA19" s="90"/>
      <c r="AB19" s="465" t="s">
        <v>189</v>
      </c>
      <c r="AC19" s="465"/>
      <c r="AD19" s="149"/>
      <c r="AE19" s="149"/>
      <c r="AF19" s="307">
        <f>N19-K19</f>
        <v>-1258.7999999999934</v>
      </c>
      <c r="AG19" s="72">
        <f>N19/K19</f>
        <v>0.44053333333333633</v>
      </c>
      <c r="AH19" s="463"/>
    </row>
    <row r="20" spans="1:34" ht="15" customHeight="1">
      <c r="A20" s="479"/>
      <c r="B20" s="75" t="s">
        <v>81</v>
      </c>
      <c r="C20" s="76"/>
      <c r="D20" s="59" t="s">
        <v>118</v>
      </c>
      <c r="E20" s="77"/>
      <c r="F20" s="75">
        <f>VLOOKUP(D20,廠價表!$C$1:$E$43,3,0)</f>
        <v>50.39</v>
      </c>
      <c r="G20" s="147">
        <v>2754</v>
      </c>
      <c r="H20" s="78">
        <f t="shared" si="13"/>
        <v>138774.06</v>
      </c>
      <c r="I20" s="30"/>
      <c r="J20" s="79">
        <f>VLOOKUP(D20,產線配置圖!$A$3:$C$40,2,0)</f>
        <v>12</v>
      </c>
      <c r="K20" s="80">
        <f>VLOOKUP(D20,產線配置圖!$A$3:$C$40,3,0)</f>
        <v>2250</v>
      </c>
      <c r="L20" s="81">
        <f t="shared" si="14"/>
        <v>187.5</v>
      </c>
      <c r="M20" s="148">
        <v>12</v>
      </c>
      <c r="N20" s="95">
        <f t="shared" si="15"/>
        <v>1943.9999999999923</v>
      </c>
      <c r="O20" s="96">
        <f t="shared" si="16"/>
        <v>161.99999999999935</v>
      </c>
      <c r="P20" s="97">
        <f t="shared" si="17"/>
        <v>0</v>
      </c>
      <c r="Q20" s="98">
        <f t="shared" si="18"/>
        <v>-25.500000000000654</v>
      </c>
      <c r="R20" s="99">
        <f t="shared" si="19"/>
        <v>0.86399999999999655</v>
      </c>
      <c r="S20" s="473"/>
      <c r="T20" s="19">
        <v>0.5625</v>
      </c>
      <c r="U20" s="19">
        <v>0.62152777777777801</v>
      </c>
      <c r="V20" s="30">
        <f>(T20-U19)*24*60</f>
        <v>125.00000000000068</v>
      </c>
      <c r="W20" s="149">
        <f t="shared" si="12"/>
        <v>85.000000000000341</v>
      </c>
      <c r="X20" s="19"/>
      <c r="Y20" s="297"/>
      <c r="Z20" s="90"/>
      <c r="AA20" s="90"/>
      <c r="AB20" s="466"/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 t="s">
        <v>81</v>
      </c>
      <c r="C21" s="76"/>
      <c r="D21" s="59" t="s">
        <v>113</v>
      </c>
      <c r="E21" s="77"/>
      <c r="F21" s="75">
        <f>VLOOKUP(D21,廠價表!$C$1:$E$43,3,0)</f>
        <v>56.87</v>
      </c>
      <c r="G21" s="147">
        <v>935</v>
      </c>
      <c r="H21" s="78">
        <f t="shared" si="13"/>
        <v>53173.45</v>
      </c>
      <c r="I21" s="30"/>
      <c r="J21" s="79">
        <f>VLOOKUP(D21,產線配置圖!$A$3:$C$40,2,0)</f>
        <v>15</v>
      </c>
      <c r="K21" s="80">
        <f>VLOOKUP(D21,產線配置圖!$A$3:$C$40,3,0)</f>
        <v>2250</v>
      </c>
      <c r="L21" s="81">
        <f t="shared" si="14"/>
        <v>150</v>
      </c>
      <c r="M21" s="148">
        <v>15</v>
      </c>
      <c r="N21" s="95">
        <f t="shared" si="15"/>
        <v>1516.2162162162413</v>
      </c>
      <c r="O21" s="96">
        <f t="shared" si="16"/>
        <v>101.08108108108276</v>
      </c>
      <c r="P21" s="97">
        <f t="shared" si="17"/>
        <v>0</v>
      </c>
      <c r="Q21" s="98">
        <f t="shared" si="18"/>
        <v>-48.918918918917242</v>
      </c>
      <c r="R21" s="99">
        <f t="shared" si="19"/>
        <v>0.67387387387388509</v>
      </c>
      <c r="S21" s="473"/>
      <c r="T21" s="19">
        <v>0.62638888888888899</v>
      </c>
      <c r="U21" s="19">
        <v>0.65208333333333302</v>
      </c>
      <c r="V21" s="30">
        <f>(T21-U20)*24*60</f>
        <v>6.9999999999998153</v>
      </c>
      <c r="W21" s="149">
        <f t="shared" si="12"/>
        <v>36.999999999999389</v>
      </c>
      <c r="X21" s="92"/>
      <c r="Y21" s="298"/>
      <c r="Z21" s="90"/>
      <c r="AA21" s="90"/>
      <c r="AB21" s="466" t="s">
        <v>125</v>
      </c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50"/>
      <c r="U22" s="150"/>
      <c r="V22" s="92"/>
      <c r="W22" s="149"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12"/>
        <v>0</v>
      </c>
      <c r="X23" s="92"/>
      <c r="Y23" s="298"/>
      <c r="Z23" s="90"/>
      <c r="AA23" s="90"/>
      <c r="AB23" s="516" t="s">
        <v>190</v>
      </c>
      <c r="AC23" s="51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>
        <f t="shared" ref="J26:O26" si="20">AVERAGE(J16:J25)</f>
        <v>13.166666666666666</v>
      </c>
      <c r="K26" s="155">
        <f t="shared" si="20"/>
        <v>2250</v>
      </c>
      <c r="L26" s="158">
        <f t="shared" si="20"/>
        <v>172.59615384615384</v>
      </c>
      <c r="M26" s="155">
        <f t="shared" si="20"/>
        <v>13.666666666666666</v>
      </c>
      <c r="N26" s="155">
        <f t="shared" si="20"/>
        <v>1781.2555659930149</v>
      </c>
      <c r="O26" s="158">
        <f t="shared" si="20"/>
        <v>133.51305450435618</v>
      </c>
      <c r="P26" s="159">
        <f>M26-J26</f>
        <v>0.5</v>
      </c>
      <c r="Q26" s="160">
        <f>O26-L26</f>
        <v>-39.083099341797663</v>
      </c>
      <c r="R26" s="161">
        <f>O26/L26</f>
        <v>0.77355753027593555</v>
      </c>
      <c r="S26" s="474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7"/>
      <c r="AC26" s="467"/>
      <c r="AD26" s="323">
        <f>SUM(AD16:AD25)</f>
        <v>0</v>
      </c>
      <c r="AE26" s="323">
        <f>SUM(AE16:AE25)</f>
        <v>0</v>
      </c>
      <c r="AF26" s="309">
        <f t="shared" ref="AF26:AF29" si="21">N26-K26</f>
        <v>-468.7444340069851</v>
      </c>
      <c r="AG26" s="124">
        <f t="shared" ref="AG26:AG29" si="22">N26/K26</f>
        <v>0.79166914044133996</v>
      </c>
      <c r="AH26" s="464"/>
    </row>
    <row r="27" spans="1:34" ht="15" customHeight="1">
      <c r="A27" s="469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2071</v>
      </c>
      <c r="H27" s="134">
        <f>F27*G27</f>
        <v>118481.91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1336.129032258051</v>
      </c>
      <c r="O27" s="141">
        <f>N27/M27</f>
        <v>78.595825426944174</v>
      </c>
      <c r="P27" s="142">
        <f>M27-J27</f>
        <v>0</v>
      </c>
      <c r="Q27" s="143">
        <f>O27-L27</f>
        <v>-13.462998102467594</v>
      </c>
      <c r="R27" s="144">
        <f>O27/L27</f>
        <v>0.85375657013293993</v>
      </c>
      <c r="S27" s="472">
        <f>R37</f>
        <v>0.79881579773336697</v>
      </c>
      <c r="T27" s="171">
        <v>0.33333333333333298</v>
      </c>
      <c r="U27" s="171">
        <v>0.39791666666666697</v>
      </c>
      <c r="V27" s="135"/>
      <c r="W27" s="146">
        <f t="shared" si="12"/>
        <v>93.000000000000952</v>
      </c>
      <c r="X27" s="135"/>
      <c r="Y27" s="300" t="s">
        <v>46</v>
      </c>
      <c r="Z27" s="169"/>
      <c r="AA27" s="169"/>
      <c r="AB27" s="468"/>
      <c r="AC27" s="468"/>
      <c r="AD27" s="135"/>
      <c r="AE27" s="135"/>
      <c r="AF27" s="310">
        <f t="shared" si="21"/>
        <v>-228.87096774194902</v>
      </c>
      <c r="AG27" s="172">
        <f t="shared" si="22"/>
        <v>0.85375657013293993</v>
      </c>
      <c r="AH27" s="461">
        <f>AG37</f>
        <v>0.79881579773336708</v>
      </c>
    </row>
    <row r="28" spans="1:34" ht="15" customHeight="1">
      <c r="A28" s="470"/>
      <c r="B28" s="75" t="s">
        <v>81</v>
      </c>
      <c r="C28" s="173"/>
      <c r="D28" s="59" t="s">
        <v>128</v>
      </c>
      <c r="E28" s="104"/>
      <c r="F28" s="75">
        <f>VLOOKUP(D28,廠價表!$C$1:$E$43,3,0)</f>
        <v>57.21</v>
      </c>
      <c r="G28" s="90">
        <v>2507</v>
      </c>
      <c r="H28" s="91">
        <f>F28*G28</f>
        <v>143425.47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17</v>
      </c>
      <c r="N28" s="95">
        <f>G28/W28*60</f>
        <v>1405.7943925233558</v>
      </c>
      <c r="O28" s="96">
        <f>N28/M28</f>
        <v>82.693787795491517</v>
      </c>
      <c r="P28" s="97">
        <f>M28-J28</f>
        <v>0</v>
      </c>
      <c r="Q28" s="98">
        <f>O28-L28</f>
        <v>-18.247388675096715</v>
      </c>
      <c r="R28" s="99">
        <f>O28/L28</f>
        <v>0.81922750147048706</v>
      </c>
      <c r="S28" s="473"/>
      <c r="T28" s="19">
        <v>0.40486111111111101</v>
      </c>
      <c r="U28" s="19">
        <v>0.47916666666666702</v>
      </c>
      <c r="V28" s="92">
        <f>(T28-U27)*24*60</f>
        <v>9.9999999999994049</v>
      </c>
      <c r="W28" s="149">
        <f t="shared" si="12"/>
        <v>107.00000000000065</v>
      </c>
      <c r="X28" s="174">
        <v>0.48263888888888901</v>
      </c>
      <c r="Y28" s="301">
        <v>0.53472222222222199</v>
      </c>
      <c r="Z28" s="335"/>
      <c r="AA28" s="335"/>
      <c r="AB28" s="466"/>
      <c r="AC28" s="466"/>
      <c r="AD28" s="92"/>
      <c r="AE28" s="92"/>
      <c r="AF28" s="311">
        <f t="shared" si="21"/>
        <v>-310.20560747664422</v>
      </c>
      <c r="AG28" s="99">
        <f t="shared" si="22"/>
        <v>0.81922750147048706</v>
      </c>
      <c r="AH28" s="482"/>
    </row>
    <row r="29" spans="1:34" ht="15" customHeight="1">
      <c r="A29" s="470"/>
      <c r="B29" s="75" t="s">
        <v>81</v>
      </c>
      <c r="C29" s="173"/>
      <c r="D29" s="59" t="s">
        <v>121</v>
      </c>
      <c r="E29" s="104"/>
      <c r="F29" s="75">
        <f>VLOOKUP(D29,廠價表!$C$1:$E$43,3,0)</f>
        <v>50.289000000000001</v>
      </c>
      <c r="G29" s="90">
        <v>2183</v>
      </c>
      <c r="H29" s="91">
        <f>F29*G29</f>
        <v>109780.887</v>
      </c>
      <c r="I29" s="92"/>
      <c r="J29" s="79">
        <v>17</v>
      </c>
      <c r="K29" s="80">
        <f>VLOOKUP(D29,產線配置圖!$A$3:$C$40,3,0)</f>
        <v>1565</v>
      </c>
      <c r="L29" s="93">
        <f>K29/J29</f>
        <v>92.058823529411768</v>
      </c>
      <c r="M29" s="94">
        <v>17</v>
      </c>
      <c r="N29" s="95">
        <f>G29/W29*60</f>
        <v>1129.1379310344898</v>
      </c>
      <c r="O29" s="96">
        <f>N29/M29</f>
        <v>66.419878296146464</v>
      </c>
      <c r="P29" s="97">
        <f>M29-J29</f>
        <v>0</v>
      </c>
      <c r="Q29" s="98">
        <f>O29-L29</f>
        <v>-25.638945233265304</v>
      </c>
      <c r="R29" s="99">
        <f>O29/L29</f>
        <v>0.72149388564504147</v>
      </c>
      <c r="S29" s="473"/>
      <c r="T29" s="19">
        <v>0.54166666666666696</v>
      </c>
      <c r="U29" s="19">
        <v>0.62222222222222201</v>
      </c>
      <c r="V29" s="92">
        <f>(T29-U28)*24*60</f>
        <v>89.999999999999915</v>
      </c>
      <c r="W29" s="149">
        <f t="shared" si="12"/>
        <v>115.99999999999926</v>
      </c>
      <c r="X29" s="22"/>
      <c r="Y29" s="84"/>
      <c r="Z29" s="90">
        <v>2</v>
      </c>
      <c r="AA29" s="90">
        <v>22</v>
      </c>
      <c r="AB29" s="466" t="s">
        <v>191</v>
      </c>
      <c r="AC29" s="466"/>
      <c r="AD29" s="92"/>
      <c r="AE29" s="92"/>
      <c r="AF29" s="312">
        <f t="shared" si="21"/>
        <v>-435.86206896551016</v>
      </c>
      <c r="AG29" s="99">
        <f t="shared" si="22"/>
        <v>0.72149388564504147</v>
      </c>
      <c r="AH29" s="482"/>
    </row>
    <row r="30" spans="1:34" ht="15" customHeight="1">
      <c r="A30" s="470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3"/>
      <c r="T30" s="19"/>
      <c r="U30" s="19"/>
      <c r="V30" s="92"/>
      <c r="W30" s="149">
        <f t="shared" si="12"/>
        <v>0</v>
      </c>
      <c r="X30" s="174"/>
      <c r="Y30" s="301"/>
      <c r="Z30" s="335"/>
      <c r="AA30" s="335"/>
      <c r="AB30" s="510" t="s">
        <v>192</v>
      </c>
      <c r="AC30" s="511"/>
      <c r="AD30" s="92"/>
      <c r="AE30" s="92"/>
      <c r="AF30" s="312"/>
      <c r="AG30" s="99"/>
      <c r="AH30" s="483"/>
    </row>
    <row r="31" spans="1:34" ht="15" customHeight="1">
      <c r="A31" s="47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3"/>
      <c r="T31" s="19"/>
      <c r="U31" s="19"/>
      <c r="V31" s="92"/>
      <c r="W31" s="149">
        <f t="shared" si="12"/>
        <v>0</v>
      </c>
      <c r="X31" s="174"/>
      <c r="Y31" s="301"/>
      <c r="Z31" s="335"/>
      <c r="AA31" s="335"/>
      <c r="AB31" s="512"/>
      <c r="AC31" s="513"/>
      <c r="AD31" s="92"/>
      <c r="AE31" s="92"/>
      <c r="AF31" s="312"/>
      <c r="AG31" s="99"/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50"/>
      <c r="U32" s="150"/>
      <c r="V32" s="92"/>
      <c r="W32" s="149">
        <f t="shared" si="12"/>
        <v>0</v>
      </c>
      <c r="X32" s="174"/>
      <c r="Y32" s="301"/>
      <c r="Z32" s="335"/>
      <c r="AA32" s="335"/>
      <c r="AB32" s="514"/>
      <c r="AC32" s="515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466"/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>
        <f t="shared" ref="J37:O37" si="23">AVERAGE(J27:J36)</f>
        <v>17</v>
      </c>
      <c r="K37" s="155">
        <f t="shared" si="23"/>
        <v>1615.3333333333333</v>
      </c>
      <c r="L37" s="158">
        <f t="shared" si="23"/>
        <v>95.019607843137251</v>
      </c>
      <c r="M37" s="155">
        <f t="shared" si="23"/>
        <v>17</v>
      </c>
      <c r="N37" s="155">
        <f t="shared" si="23"/>
        <v>1290.3537852719655</v>
      </c>
      <c r="O37" s="158">
        <f t="shared" si="23"/>
        <v>75.90316383952738</v>
      </c>
      <c r="P37" s="159">
        <f>M37-J37</f>
        <v>0</v>
      </c>
      <c r="Q37" s="160">
        <f>N37-K37</f>
        <v>-324.97954806136772</v>
      </c>
      <c r="R37" s="161">
        <f>O37/L37</f>
        <v>0.79881579773336697</v>
      </c>
      <c r="S37" s="474"/>
      <c r="T37" s="163"/>
      <c r="U37" s="163"/>
      <c r="V37" s="164"/>
      <c r="W37" s="164"/>
      <c r="X37" s="321"/>
      <c r="Y37" s="322"/>
      <c r="Z37" s="334">
        <f>SUM(Z27:Z36)</f>
        <v>2</v>
      </c>
      <c r="AA37" s="334">
        <f>SUM(AA27:AA36)</f>
        <v>22</v>
      </c>
      <c r="AB37" s="477"/>
      <c r="AC37" s="477"/>
      <c r="AD37" s="324">
        <f>SUM(AD27:AD36)</f>
        <v>0</v>
      </c>
      <c r="AE37" s="324">
        <f>SUM(AE27:AE36)</f>
        <v>0</v>
      </c>
      <c r="AF37" s="309">
        <f>N37-K37</f>
        <v>-324.97954806136772</v>
      </c>
      <c r="AG37" s="124">
        <f>N37/K37</f>
        <v>0.79881579773336708</v>
      </c>
      <c r="AH37" s="464"/>
    </row>
    <row r="38" spans="1:34" ht="15" customHeight="1">
      <c r="A38" s="491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3228</v>
      </c>
      <c r="H38" s="134">
        <f>F38*G38</f>
        <v>161109.47999999998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1613.9999999999866</v>
      </c>
      <c r="O38" s="141">
        <f>N38/M38</f>
        <v>107.5999999999991</v>
      </c>
      <c r="P38" s="142">
        <f>M38-J38</f>
        <v>0</v>
      </c>
      <c r="Q38" s="143">
        <f>O38-L38</f>
        <v>-6.6666666666675667</v>
      </c>
      <c r="R38" s="144">
        <f>O38/L38</f>
        <v>0.94165694282379608</v>
      </c>
      <c r="S38" s="494">
        <f>R48</f>
        <v>0.88184193812899636</v>
      </c>
      <c r="T38" s="191">
        <v>0.33333333333333298</v>
      </c>
      <c r="U38" s="191">
        <v>0.41666666666666702</v>
      </c>
      <c r="V38" s="192"/>
      <c r="W38" s="193">
        <f t="shared" si="12"/>
        <v>120.00000000000101</v>
      </c>
      <c r="X38" s="194"/>
      <c r="Y38" s="302"/>
      <c r="Z38" s="336"/>
      <c r="AA38" s="336"/>
      <c r="AB38" s="496"/>
      <c r="AC38" s="496"/>
      <c r="AD38" s="192"/>
      <c r="AE38" s="192"/>
      <c r="AF38" s="313">
        <f>N38-K38</f>
        <v>-100.00000000001342</v>
      </c>
      <c r="AG38" s="195">
        <f>N38/K38</f>
        <v>0.94165694282379619</v>
      </c>
      <c r="AH38" s="484">
        <f>AG48</f>
        <v>0.87910031710888981</v>
      </c>
    </row>
    <row r="39" spans="1:34" ht="15" customHeight="1">
      <c r="A39" s="492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1779</v>
      </c>
      <c r="H39" s="91">
        <f>F39*G39</f>
        <v>78809.7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1404.473684210521</v>
      </c>
      <c r="O39" s="203">
        <f>N39/M39</f>
        <v>82.616099071207117</v>
      </c>
      <c r="P39" s="97">
        <f>M39-J39</f>
        <v>0</v>
      </c>
      <c r="Q39" s="98">
        <f>O39-L39</f>
        <v>-13.619195046439941</v>
      </c>
      <c r="R39" s="99">
        <f>O39/L39</f>
        <v>0.85848024707244563</v>
      </c>
      <c r="S39" s="495"/>
      <c r="T39" s="20">
        <v>0.420833333333333</v>
      </c>
      <c r="U39" s="20">
        <v>0.47361111111111098</v>
      </c>
      <c r="V39" s="92">
        <f>(T39-U38)*24*60</f>
        <v>5.9999999999990195</v>
      </c>
      <c r="W39" s="205">
        <f t="shared" si="12"/>
        <v>76.000000000000284</v>
      </c>
      <c r="X39" s="22">
        <v>0.48611111111111099</v>
      </c>
      <c r="Y39" s="84">
        <v>0.52777777777777801</v>
      </c>
      <c r="Z39" s="90"/>
      <c r="AA39" s="90"/>
      <c r="AB39" s="487"/>
      <c r="AC39" s="487"/>
      <c r="AD39" s="200"/>
      <c r="AE39" s="200"/>
      <c r="AF39" s="314">
        <f>N39-K39</f>
        <v>-231.52631578947899</v>
      </c>
      <c r="AG39" s="206">
        <f>N39/K39</f>
        <v>0.85848024707244563</v>
      </c>
      <c r="AH39" s="485"/>
    </row>
    <row r="40" spans="1:34" ht="15" customHeight="1">
      <c r="A40" s="492"/>
      <c r="B40" s="75" t="s">
        <v>123</v>
      </c>
      <c r="C40" s="207"/>
      <c r="D40" s="198" t="s">
        <v>124</v>
      </c>
      <c r="E40" s="178"/>
      <c r="F40" s="75">
        <f>VLOOKUP(D40,廠價表!$C$1:$E$43,3,0)</f>
        <v>44.3</v>
      </c>
      <c r="G40" s="199">
        <v>3662</v>
      </c>
      <c r="H40" s="91">
        <f>F40*G40</f>
        <v>162226.59999999998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1364.7204968944172</v>
      </c>
      <c r="O40" s="203">
        <f>N40/M40</f>
        <v>80.2776762879069</v>
      </c>
      <c r="P40" s="97">
        <f>M40-J40</f>
        <v>0</v>
      </c>
      <c r="Q40" s="98">
        <f>O40-L40</f>
        <v>-15.957617829740158</v>
      </c>
      <c r="R40" s="99">
        <f>O40/L40</f>
        <v>0.83418123282054846</v>
      </c>
      <c r="S40" s="417"/>
      <c r="T40" s="20">
        <v>0.55555555555555602</v>
      </c>
      <c r="U40" s="20">
        <v>0.66736111111111096</v>
      </c>
      <c r="V40" s="92">
        <f>(T40-U39)*24*60</f>
        <v>118.00000000000085</v>
      </c>
      <c r="W40" s="205">
        <f t="shared" si="12"/>
        <v>160.99999999999912</v>
      </c>
      <c r="X40" s="208"/>
      <c r="Y40" s="209"/>
      <c r="Z40" s="337"/>
      <c r="AA40" s="337"/>
      <c r="AB40" s="466"/>
      <c r="AC40" s="466"/>
      <c r="AD40" s="92"/>
      <c r="AE40" s="92"/>
      <c r="AF40" s="314">
        <f>N40-K40</f>
        <v>-271.27950310558276</v>
      </c>
      <c r="AG40" s="206">
        <f>N40/K40</f>
        <v>0.83418123282054846</v>
      </c>
      <c r="AH40" s="485"/>
    </row>
    <row r="41" spans="1:34" ht="15" customHeight="1">
      <c r="A41" s="49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7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466"/>
      <c r="AC41" s="466"/>
      <c r="AD41" s="92"/>
      <c r="AE41" s="92"/>
      <c r="AF41" s="314"/>
      <c r="AG41" s="206"/>
      <c r="AH41" s="485"/>
    </row>
    <row r="42" spans="1:34" ht="15" customHeight="1">
      <c r="A42" s="49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7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466"/>
      <c r="AC42" s="466"/>
      <c r="AD42" s="92"/>
      <c r="AE42" s="92"/>
      <c r="AF42" s="314"/>
      <c r="AG42" s="206"/>
      <c r="AH42" s="485"/>
    </row>
    <row r="43" spans="1:34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>
        <f t="shared" ref="J48:O48" si="24">AVERAGE(J38:J47)</f>
        <v>16.333333333333332</v>
      </c>
      <c r="K48" s="155">
        <f t="shared" si="24"/>
        <v>1662</v>
      </c>
      <c r="L48" s="158">
        <f t="shared" si="24"/>
        <v>102.24575163398693</v>
      </c>
      <c r="M48" s="155">
        <f t="shared" si="24"/>
        <v>16.333333333333332</v>
      </c>
      <c r="N48" s="155">
        <f t="shared" si="24"/>
        <v>1461.0647270349748</v>
      </c>
      <c r="O48" s="158">
        <f t="shared" si="24"/>
        <v>90.164591786371034</v>
      </c>
      <c r="P48" s="221">
        <f>M48-J48</f>
        <v>0</v>
      </c>
      <c r="Q48" s="222">
        <f>N48-K48</f>
        <v>-200.93527296502521</v>
      </c>
      <c r="R48" s="223">
        <f>O48/L48</f>
        <v>0.88184193812899636</v>
      </c>
      <c r="S48" s="420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67"/>
      <c r="AC48" s="467"/>
      <c r="AD48" s="323">
        <f>SUM(AD38:AD47)</f>
        <v>0</v>
      </c>
      <c r="AE48" s="323">
        <f>SUM(AE38:AE47)</f>
        <v>0</v>
      </c>
      <c r="AF48" s="315">
        <f t="shared" ref="AF48:AF52" si="25">N48-K48</f>
        <v>-200.93527296502521</v>
      </c>
      <c r="AG48" s="162">
        <f t="shared" ref="AG48:AG52" si="26">N48/K48</f>
        <v>0.87910031710888981</v>
      </c>
      <c r="AH48" s="486"/>
    </row>
    <row r="49" spans="1:34" ht="15" customHeight="1">
      <c r="A49" s="488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2404</v>
      </c>
      <c r="H49" s="134">
        <f>F49*G49</f>
        <v>119046.08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1442.399999999988</v>
      </c>
      <c r="O49" s="141">
        <f>N49/M49</f>
        <v>84.847058823528712</v>
      </c>
      <c r="P49" s="229">
        <f>M49-J49</f>
        <v>0</v>
      </c>
      <c r="Q49" s="230">
        <f>O49-L49</f>
        <v>-3.3882352941183456</v>
      </c>
      <c r="R49" s="52">
        <f>O49/L49</f>
        <v>0.96159999999999213</v>
      </c>
      <c r="S49" s="416">
        <f>R58</f>
        <v>0.9437212607088683</v>
      </c>
      <c r="T49" s="191">
        <v>0.28819444444444398</v>
      </c>
      <c r="U49" s="191">
        <v>0.35763888888888901</v>
      </c>
      <c r="V49" s="55"/>
      <c r="W49" s="193">
        <f t="shared" si="12"/>
        <v>100.00000000000084</v>
      </c>
      <c r="X49" s="55"/>
      <c r="Y49" s="290"/>
      <c r="Z49" s="169"/>
      <c r="AA49" s="169"/>
      <c r="AB49" s="468"/>
      <c r="AC49" s="468"/>
      <c r="AD49" s="135"/>
      <c r="AE49" s="135"/>
      <c r="AF49" s="229">
        <f t="shared" si="25"/>
        <v>-57.60000000001196</v>
      </c>
      <c r="AG49" s="52">
        <f t="shared" si="26"/>
        <v>0.96159999999999202</v>
      </c>
      <c r="AH49" s="461">
        <f>AG58</f>
        <v>0.94427842614768354</v>
      </c>
    </row>
    <row r="50" spans="1:34" ht="15" customHeight="1">
      <c r="A50" s="489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2473</v>
      </c>
      <c r="H50" s="231">
        <f>F50*G50</f>
        <v>123575.81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1725.3488372093086</v>
      </c>
      <c r="O50" s="235">
        <f>N50/M50</f>
        <v>107.83430232558179</v>
      </c>
      <c r="P50" s="74">
        <f>M50-J50</f>
        <v>0</v>
      </c>
      <c r="Q50" s="83">
        <f>O50-L50</f>
        <v>-4.6656976744182117</v>
      </c>
      <c r="R50" s="72">
        <f>O50/L50</f>
        <v>0.95852713178294924</v>
      </c>
      <c r="S50" s="417"/>
      <c r="T50" s="21">
        <v>0.36249999999999999</v>
      </c>
      <c r="U50" s="21">
        <v>0.422222222222222</v>
      </c>
      <c r="V50" s="30">
        <f>(T50-U49)*24*60</f>
        <v>6.9999999999998153</v>
      </c>
      <c r="W50" s="236">
        <f t="shared" si="12"/>
        <v>85.999999999999687</v>
      </c>
      <c r="X50" s="22"/>
      <c r="Y50" s="84"/>
      <c r="Z50" s="90"/>
      <c r="AA50" s="90"/>
      <c r="AB50" s="466"/>
      <c r="AC50" s="466"/>
      <c r="AD50" s="92"/>
      <c r="AE50" s="92"/>
      <c r="AF50" s="307">
        <f t="shared" si="25"/>
        <v>-74.651162790691387</v>
      </c>
      <c r="AG50" s="72">
        <f t="shared" si="26"/>
        <v>0.95852713178294924</v>
      </c>
      <c r="AH50" s="462"/>
    </row>
    <row r="51" spans="1:34" ht="15" customHeight="1">
      <c r="A51" s="489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1715</v>
      </c>
      <c r="H51" s="231">
        <f>F51*G51</f>
        <v>86245.635000000009</v>
      </c>
      <c r="I51" s="232"/>
      <c r="J51" s="79">
        <v>17</v>
      </c>
      <c r="K51" s="80">
        <f>VLOOKUP(D51,產線配置圖!$A$3:$C$40,3,0)</f>
        <v>1565</v>
      </c>
      <c r="L51" s="81">
        <f>K51/J51</f>
        <v>92.058823529411768</v>
      </c>
      <c r="M51" s="233">
        <v>17</v>
      </c>
      <c r="N51" s="234">
        <f>G51/W51*60</f>
        <v>1513.2352941176543</v>
      </c>
      <c r="O51" s="235">
        <f>N51/M51</f>
        <v>89.013840830450249</v>
      </c>
      <c r="P51" s="74">
        <f>M51-J51</f>
        <v>0</v>
      </c>
      <c r="Q51" s="83">
        <f>O51-L51</f>
        <v>-3.044982698961519</v>
      </c>
      <c r="R51" s="72">
        <f>O51/L51</f>
        <v>0.96692351061830939</v>
      </c>
      <c r="S51" s="417"/>
      <c r="T51" s="21">
        <v>0.42777777777777798</v>
      </c>
      <c r="U51" s="19">
        <v>0.47499999999999998</v>
      </c>
      <c r="V51" s="30">
        <f>(T51-U50)*24*60</f>
        <v>8.0000000000006111</v>
      </c>
      <c r="W51" s="236">
        <f t="shared" si="12"/>
        <v>67.999999999999673</v>
      </c>
      <c r="X51" s="22">
        <v>0.47916666666666702</v>
      </c>
      <c r="Y51" s="84">
        <v>0.53125</v>
      </c>
      <c r="Z51" s="90"/>
      <c r="AA51" s="90"/>
      <c r="AB51" s="466"/>
      <c r="AC51" s="466"/>
      <c r="AD51" s="92"/>
      <c r="AE51" s="92"/>
      <c r="AF51" s="307">
        <f t="shared" si="25"/>
        <v>-51.764705882345652</v>
      </c>
      <c r="AG51" s="72">
        <f t="shared" si="26"/>
        <v>0.9669235106183095</v>
      </c>
      <c r="AH51" s="462"/>
    </row>
    <row r="52" spans="1:34" ht="15" customHeight="1">
      <c r="A52" s="489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3064</v>
      </c>
      <c r="H52" s="231">
        <f>F52*G52</f>
        <v>153108.07999999999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1612.6315789473606</v>
      </c>
      <c r="O52" s="235">
        <f>N52/M52</f>
        <v>100.78947368421004</v>
      </c>
      <c r="P52" s="74">
        <f>M52-J52</f>
        <v>0</v>
      </c>
      <c r="Q52" s="83">
        <f>O52-L52</f>
        <v>-11.710526315789963</v>
      </c>
      <c r="R52" s="72">
        <f>O52/L52</f>
        <v>0.89590643274853365</v>
      </c>
      <c r="S52" s="417"/>
      <c r="T52" s="21">
        <v>0.54236111111111096</v>
      </c>
      <c r="U52" s="21">
        <v>0.62152777777777801</v>
      </c>
      <c r="V52" s="30">
        <f>(T52-U51)*24*60</f>
        <v>96.999999999999815</v>
      </c>
      <c r="W52" s="236">
        <f t="shared" si="12"/>
        <v>114.00000000000055</v>
      </c>
      <c r="X52" s="22"/>
      <c r="Y52" s="84"/>
      <c r="Z52" s="90"/>
      <c r="AA52" s="90"/>
      <c r="AB52" s="466"/>
      <c r="AC52" s="466"/>
      <c r="AD52" s="92"/>
      <c r="AE52" s="92"/>
      <c r="AF52" s="307">
        <f t="shared" si="25"/>
        <v>-187.36842105263941</v>
      </c>
      <c r="AG52" s="72">
        <f t="shared" si="26"/>
        <v>0.89590643274853365</v>
      </c>
      <c r="AH52" s="462"/>
    </row>
    <row r="53" spans="1:34" ht="15" customHeight="1">
      <c r="A53" s="48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7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466"/>
      <c r="AC53" s="466"/>
      <c r="AD53" s="92"/>
      <c r="AE53" s="92"/>
      <c r="AF53" s="307"/>
      <c r="AG53" s="72"/>
      <c r="AH53" s="462"/>
    </row>
    <row r="54" spans="1:34" ht="15" customHeight="1">
      <c r="A54" s="48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7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>
      <c r="A58" s="490"/>
      <c r="B58" s="239"/>
      <c r="C58" s="153" t="s">
        <v>51</v>
      </c>
      <c r="D58" s="437" t="s">
        <v>42</v>
      </c>
      <c r="E58" s="437"/>
      <c r="F58" s="116"/>
      <c r="G58" s="240"/>
      <c r="H58" s="118"/>
      <c r="I58" s="117"/>
      <c r="J58" s="120">
        <f t="shared" ref="J58:O58" si="27">AVERAGE(J49:J57)</f>
        <v>16.5</v>
      </c>
      <c r="K58" s="120">
        <f t="shared" si="27"/>
        <v>1666.25</v>
      </c>
      <c r="L58" s="117">
        <f t="shared" si="27"/>
        <v>101.32352941176471</v>
      </c>
      <c r="M58" s="120">
        <f t="shared" si="27"/>
        <v>16.5</v>
      </c>
      <c r="N58" s="120">
        <f t="shared" si="27"/>
        <v>1573.4039275685777</v>
      </c>
      <c r="O58" s="117">
        <f t="shared" si="27"/>
        <v>95.62116891594269</v>
      </c>
      <c r="P58" s="121">
        <f>M58-J58</f>
        <v>0</v>
      </c>
      <c r="Q58" s="122">
        <f>N58-K58</f>
        <v>-92.846072431422272</v>
      </c>
      <c r="R58" s="123">
        <f>O58/L58</f>
        <v>0.9437212607088683</v>
      </c>
      <c r="S58" s="42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7"/>
      <c r="AC58" s="467"/>
      <c r="AD58" s="323">
        <f>SUM(AD49:AD57)</f>
        <v>0</v>
      </c>
      <c r="AE58" s="323">
        <f>SUM(AE49:AE57)</f>
        <v>0</v>
      </c>
      <c r="AF58" s="309">
        <f t="shared" ref="AF58:AF63" si="28">N58-K58</f>
        <v>-92.846072431422272</v>
      </c>
      <c r="AG58" s="124">
        <f t="shared" ref="AG58:AG63" si="29">N58/K58</f>
        <v>0.94427842614768354</v>
      </c>
      <c r="AH58" s="464"/>
    </row>
    <row r="59" spans="1:34" ht="15" customHeight="1">
      <c r="A59" s="502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2869</v>
      </c>
      <c r="H59" s="243">
        <f>F59*G59</f>
        <v>77434.31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1496.8695652173737</v>
      </c>
      <c r="O59" s="138">
        <f>N59/M59</f>
        <v>99.791304347824919</v>
      </c>
      <c r="P59" s="56">
        <f>M59-J59</f>
        <v>0</v>
      </c>
      <c r="Q59" s="230">
        <f>O59-L59</f>
        <v>-4.5420289855084093</v>
      </c>
      <c r="R59" s="52">
        <f>O59/L59</f>
        <v>0.95646617585774685</v>
      </c>
      <c r="S59" s="416">
        <f>R69</f>
        <v>0.8461419478761375</v>
      </c>
      <c r="T59" s="245">
        <v>0.28819444444444398</v>
      </c>
      <c r="U59" s="245">
        <v>0.36805555555555602</v>
      </c>
      <c r="V59" s="55"/>
      <c r="W59" s="54">
        <f t="shared" si="12"/>
        <v>115.00000000000135</v>
      </c>
      <c r="X59" s="55"/>
      <c r="Y59" s="290"/>
      <c r="Z59" s="169"/>
      <c r="AA59" s="169"/>
      <c r="AB59" s="468"/>
      <c r="AC59" s="468"/>
      <c r="AD59" s="135"/>
      <c r="AE59" s="135"/>
      <c r="AF59" s="310">
        <f t="shared" si="28"/>
        <v>-68.130434782626253</v>
      </c>
      <c r="AG59" s="246">
        <f t="shared" si="29"/>
        <v>0.95646617585774685</v>
      </c>
      <c r="AH59" s="461">
        <f>AG69</f>
        <v>0.84984133817107987</v>
      </c>
    </row>
    <row r="60" spans="1:34" ht="15" customHeight="1">
      <c r="A60" s="503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2003</v>
      </c>
      <c r="H60" s="78">
        <f>F60*G60</f>
        <v>56604.780000000006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1502.2499999999873</v>
      </c>
      <c r="O60" s="81">
        <f>N60/M60</f>
        <v>125.18749999999893</v>
      </c>
      <c r="P60" s="74">
        <f>M60-J60</f>
        <v>0</v>
      </c>
      <c r="Q60" s="83">
        <f>O60-L60</f>
        <v>-5.229166666667723</v>
      </c>
      <c r="R60" s="72">
        <f>O60/L60</f>
        <v>0.95990415335462453</v>
      </c>
      <c r="S60" s="506"/>
      <c r="T60" s="22">
        <v>0.375</v>
      </c>
      <c r="U60" s="22">
        <v>0.43055555555555602</v>
      </c>
      <c r="V60" s="30">
        <f>(T60-U59)*24*60</f>
        <v>9.999999999999325</v>
      </c>
      <c r="W60" s="248">
        <f t="shared" si="12"/>
        <v>80.000000000000682</v>
      </c>
      <c r="X60" s="232"/>
      <c r="Y60" s="177"/>
      <c r="Z60" s="90"/>
      <c r="AA60" s="90"/>
      <c r="AB60" s="466"/>
      <c r="AC60" s="466"/>
      <c r="AD60" s="92"/>
      <c r="AE60" s="92"/>
      <c r="AF60" s="316">
        <f t="shared" si="28"/>
        <v>-62.750000000012733</v>
      </c>
      <c r="AG60" s="249">
        <f t="shared" si="29"/>
        <v>0.95990415335462442</v>
      </c>
      <c r="AH60" s="497"/>
    </row>
    <row r="61" spans="1:34" ht="15" customHeight="1">
      <c r="A61" s="504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1390</v>
      </c>
      <c r="H61" s="254">
        <f>F61*G61</f>
        <v>70431.3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13</v>
      </c>
      <c r="N61" s="107">
        <f>G61/W61*60</f>
        <v>1191.4285714285743</v>
      </c>
      <c r="O61" s="238">
        <f>N61/M61</f>
        <v>91.648351648351863</v>
      </c>
      <c r="P61" s="111">
        <f>M61-J61</f>
        <v>0</v>
      </c>
      <c r="Q61" s="255">
        <f>O61-L61</f>
        <v>-19.120879120878911</v>
      </c>
      <c r="R61" s="85">
        <f>O61/L61</f>
        <v>0.82738095238095433</v>
      </c>
      <c r="S61" s="417"/>
      <c r="T61" s="22">
        <v>0.4375</v>
      </c>
      <c r="U61" s="22">
        <v>0.48611111111111099</v>
      </c>
      <c r="V61" s="30">
        <f>(T61-U60)*24*60</f>
        <v>9.999999999999325</v>
      </c>
      <c r="W61" s="256">
        <f t="shared" si="12"/>
        <v>69.999999999999829</v>
      </c>
      <c r="X61" s="22">
        <v>0.49652777777777801</v>
      </c>
      <c r="Y61" s="84">
        <v>0.53819444444444398</v>
      </c>
      <c r="Z61" s="90"/>
      <c r="AA61" s="90"/>
      <c r="AB61" s="466"/>
      <c r="AC61" s="466"/>
      <c r="AD61" s="92"/>
      <c r="AE61" s="92"/>
      <c r="AF61" s="317">
        <f t="shared" si="28"/>
        <v>-248.57142857142571</v>
      </c>
      <c r="AG61" s="247">
        <f t="shared" si="29"/>
        <v>0.82738095238095433</v>
      </c>
      <c r="AH61" s="462"/>
    </row>
    <row r="62" spans="1:34" ht="15" customHeight="1">
      <c r="A62" s="504"/>
      <c r="B62" s="250" t="s">
        <v>81</v>
      </c>
      <c r="C62" s="251"/>
      <c r="D62" s="257" t="s">
        <v>119</v>
      </c>
      <c r="E62" s="253"/>
      <c r="F62" s="250">
        <f>VLOOKUP(D62,廠價表!$C$1:$E$43,3,0)</f>
        <v>50.67</v>
      </c>
      <c r="G62" s="38">
        <v>645</v>
      </c>
      <c r="H62" s="254">
        <f t="shared" ref="H62:H63" si="30">F62*G62</f>
        <v>32682.15</v>
      </c>
      <c r="I62" s="182"/>
      <c r="J62" s="106">
        <f>VLOOKUP(D62,產線配置圖!$A$3:$C$40,2,0)</f>
        <v>13</v>
      </c>
      <c r="K62" s="107">
        <f>VLOOKUP(D62,產線配置圖!$A$3:$C$40,3,0)</f>
        <v>1440</v>
      </c>
      <c r="L62" s="238">
        <f t="shared" ref="L62:L63" si="31">K62/J62</f>
        <v>110.76923076923077</v>
      </c>
      <c r="M62" s="108">
        <v>13</v>
      </c>
      <c r="N62" s="107">
        <f t="shared" ref="N62:N63" si="32">G62/W62*60</f>
        <v>774.00000000000523</v>
      </c>
      <c r="O62" s="238">
        <f t="shared" ref="O62:O63" si="33">N62/M62</f>
        <v>59.538461538461938</v>
      </c>
      <c r="P62" s="111">
        <f t="shared" ref="P62:P63" si="34">M62-J62</f>
        <v>0</v>
      </c>
      <c r="Q62" s="255">
        <f t="shared" ref="Q62:Q63" si="35">O62-L62</f>
        <v>-51.230769230768836</v>
      </c>
      <c r="R62" s="85">
        <f t="shared" ref="R62:R63" si="36">O62/L62</f>
        <v>0.53750000000000353</v>
      </c>
      <c r="S62" s="417"/>
      <c r="T62" s="22">
        <v>0.54166666666666696</v>
      </c>
      <c r="U62" s="22">
        <v>0.57638888888888895</v>
      </c>
      <c r="V62" s="30">
        <f t="shared" ref="V62:V63" si="37">(T62-U61)*24*60</f>
        <v>80.000000000000597</v>
      </c>
      <c r="W62" s="248">
        <f t="shared" si="12"/>
        <v>49.999999999999659</v>
      </c>
      <c r="X62" s="22"/>
      <c r="Y62" s="84"/>
      <c r="Z62" s="90"/>
      <c r="AA62" s="90"/>
      <c r="AB62" s="466" t="s">
        <v>125</v>
      </c>
      <c r="AC62" s="466"/>
      <c r="AD62" s="92"/>
      <c r="AE62" s="92"/>
      <c r="AF62" s="317">
        <f t="shared" si="28"/>
        <v>-665.99999999999477</v>
      </c>
      <c r="AG62" s="247">
        <f t="shared" si="29"/>
        <v>0.53750000000000364</v>
      </c>
      <c r="AH62" s="462"/>
    </row>
    <row r="63" spans="1:34" ht="15" customHeight="1">
      <c r="A63" s="504"/>
      <c r="B63" s="258" t="s">
        <v>130</v>
      </c>
      <c r="C63" s="58"/>
      <c r="D63" s="259" t="s">
        <v>131</v>
      </c>
      <c r="E63" s="60"/>
      <c r="F63" s="250">
        <f>VLOOKUP(D63,廠價表!$C$1:$E$43,3,0)</f>
        <v>26.99</v>
      </c>
      <c r="G63" s="260">
        <v>1473</v>
      </c>
      <c r="H63" s="254">
        <f t="shared" si="30"/>
        <v>39756.269999999997</v>
      </c>
      <c r="I63" s="182"/>
      <c r="J63" s="106">
        <f>VLOOKUP(D63,產線配置圖!$A$3:$C$40,2,0)</f>
        <v>15</v>
      </c>
      <c r="K63" s="107">
        <f>VLOOKUP(D63,產線配置圖!$A$3:$C$40,3,0)</f>
        <v>1565</v>
      </c>
      <c r="L63" s="238">
        <f t="shared" si="31"/>
        <v>104.33333333333333</v>
      </c>
      <c r="M63" s="68">
        <v>15</v>
      </c>
      <c r="N63" s="107">
        <f t="shared" si="32"/>
        <v>1472.9999999999895</v>
      </c>
      <c r="O63" s="238">
        <f t="shared" si="33"/>
        <v>98.199999999999307</v>
      </c>
      <c r="P63" s="111">
        <f t="shared" si="34"/>
        <v>0</v>
      </c>
      <c r="Q63" s="255">
        <f t="shared" si="35"/>
        <v>-6.1333333333340221</v>
      </c>
      <c r="R63" s="85">
        <f t="shared" si="36"/>
        <v>0.94121405750798059</v>
      </c>
      <c r="S63" s="417"/>
      <c r="T63" s="22">
        <v>0.58333333333333304</v>
      </c>
      <c r="U63" s="22">
        <v>0.625</v>
      </c>
      <c r="V63" s="30">
        <f t="shared" si="37"/>
        <v>9.9999999999994849</v>
      </c>
      <c r="W63" s="248">
        <f t="shared" si="12"/>
        <v>60.000000000000426</v>
      </c>
      <c r="X63" s="261"/>
      <c r="Y63" s="291"/>
      <c r="Z63" s="335"/>
      <c r="AA63" s="335"/>
      <c r="AB63" s="466"/>
      <c r="AC63" s="466"/>
      <c r="AD63" s="92"/>
      <c r="AE63" s="92"/>
      <c r="AF63" s="317">
        <f t="shared" si="28"/>
        <v>-92.000000000010459</v>
      </c>
      <c r="AG63" s="247">
        <f t="shared" si="29"/>
        <v>0.94121405750798048</v>
      </c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>
        <f t="shared" ref="J69:O69" si="38">AVERAGE(J59:J68)</f>
        <v>13.6</v>
      </c>
      <c r="K69" s="240">
        <f t="shared" si="38"/>
        <v>1515</v>
      </c>
      <c r="L69" s="268">
        <f t="shared" si="38"/>
        <v>112.12435897435898</v>
      </c>
      <c r="M69" s="240">
        <f t="shared" si="38"/>
        <v>13.6</v>
      </c>
      <c r="N69" s="240">
        <f t="shared" si="38"/>
        <v>1287.5096273291861</v>
      </c>
      <c r="O69" s="268">
        <f t="shared" si="38"/>
        <v>94.873123506927385</v>
      </c>
      <c r="P69" s="269">
        <f>M69-J69</f>
        <v>0</v>
      </c>
      <c r="Q69" s="222">
        <f>N69-K69</f>
        <v>-227.49037267081394</v>
      </c>
      <c r="R69" s="123">
        <f>O69/L69</f>
        <v>0.8461419478761375</v>
      </c>
      <c r="S69" s="42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7"/>
      <c r="AC69" s="467"/>
      <c r="AD69" s="323">
        <f>SUM(AD59:AD68)</f>
        <v>0</v>
      </c>
      <c r="AE69" s="323">
        <f>SUM(AE59:AE68)</f>
        <v>0</v>
      </c>
      <c r="AF69" s="309">
        <f>N69-K69</f>
        <v>-227.49037267081394</v>
      </c>
      <c r="AG69" s="124">
        <f>N69/K69</f>
        <v>0.84984133817107987</v>
      </c>
      <c r="AH69" s="464"/>
    </row>
    <row r="70" spans="1:36" ht="15" customHeight="1">
      <c r="A70" s="498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6">
        <f>R79</f>
        <v>0</v>
      </c>
      <c r="T70" s="245"/>
      <c r="U70" s="245"/>
      <c r="V70" s="55"/>
      <c r="W70" s="54">
        <f t="shared" si="12"/>
        <v>0</v>
      </c>
      <c r="X70" s="270"/>
      <c r="Y70" s="292"/>
      <c r="Z70" s="169"/>
      <c r="AA70" s="169"/>
      <c r="AB70" s="468"/>
      <c r="AC70" s="468"/>
      <c r="AD70" s="135"/>
      <c r="AE70" s="135"/>
      <c r="AF70" s="310"/>
      <c r="AG70" s="246"/>
      <c r="AH70" s="461" t="e">
        <f>AG79</f>
        <v>#DIV/0!</v>
      </c>
    </row>
    <row r="71" spans="1:36" ht="15" customHeight="1">
      <c r="A71" s="499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7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487"/>
      <c r="AC71" s="487"/>
      <c r="AD71" s="200"/>
      <c r="AE71" s="200"/>
      <c r="AF71" s="311"/>
      <c r="AG71" s="99"/>
      <c r="AH71" s="482"/>
    </row>
    <row r="72" spans="1:36" ht="15" customHeight="1">
      <c r="A72" s="499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7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466"/>
      <c r="AC72" s="466"/>
      <c r="AD72" s="92"/>
      <c r="AE72" s="92"/>
      <c r="AF72" s="311"/>
      <c r="AG72" s="99"/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466"/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>
      <c r="A79" s="500"/>
      <c r="B79" s="239"/>
      <c r="C79" s="153"/>
      <c r="D79" s="437"/>
      <c r="E79" s="437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5">
    <mergeCell ref="T1:Y2"/>
    <mergeCell ref="AB1:AC2"/>
    <mergeCell ref="AF1:AH2"/>
    <mergeCell ref="J3:J4"/>
    <mergeCell ref="K3:K4"/>
    <mergeCell ref="L3:L4"/>
    <mergeCell ref="M3:M4"/>
    <mergeCell ref="AG3:AG4"/>
    <mergeCell ref="AH3:AH4"/>
    <mergeCell ref="S3:S4"/>
    <mergeCell ref="J1:L2"/>
    <mergeCell ref="M1:O2"/>
    <mergeCell ref="AD3:AE3"/>
    <mergeCell ref="AF3:AF4"/>
    <mergeCell ref="T3:U3"/>
    <mergeCell ref="V3:V4"/>
    <mergeCell ref="W3:W4"/>
    <mergeCell ref="X3:Y3"/>
    <mergeCell ref="Z3:AA3"/>
    <mergeCell ref="AB3:AC4"/>
    <mergeCell ref="N3:N4"/>
    <mergeCell ref="O3:O4"/>
    <mergeCell ref="P3:P4"/>
    <mergeCell ref="Q3:Q4"/>
    <mergeCell ref="R3:R4"/>
    <mergeCell ref="P1:S2"/>
    <mergeCell ref="A2:B2"/>
    <mergeCell ref="A3:A4"/>
    <mergeCell ref="B3:B4"/>
    <mergeCell ref="D3:E4"/>
    <mergeCell ref="F3:F4"/>
    <mergeCell ref="H3:H4"/>
    <mergeCell ref="I3:I4"/>
    <mergeCell ref="G3:G4"/>
    <mergeCell ref="A5:A15"/>
    <mergeCell ref="S5:S15"/>
    <mergeCell ref="AB5:AC5"/>
    <mergeCell ref="AH5:AH15"/>
    <mergeCell ref="AB6:AC6"/>
    <mergeCell ref="AB7:AC7"/>
    <mergeCell ref="AB14:AC14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AH27:AH37"/>
    <mergeCell ref="AB28:AC28"/>
    <mergeCell ref="AB29:AC29"/>
    <mergeCell ref="AB33:AC3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34:AC34"/>
    <mergeCell ref="AB35:AC35"/>
    <mergeCell ref="A27:A37"/>
    <mergeCell ref="S27:S37"/>
    <mergeCell ref="AB27:AC27"/>
    <mergeCell ref="AB51:AC51"/>
    <mergeCell ref="A16:A26"/>
    <mergeCell ref="S16:S26"/>
    <mergeCell ref="AB16:AC16"/>
    <mergeCell ref="D26:E26"/>
    <mergeCell ref="AB26:AC26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B57:AC57"/>
    <mergeCell ref="D58:E58"/>
    <mergeCell ref="AB58:AC5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2:AC52"/>
    <mergeCell ref="AB53:AC53"/>
    <mergeCell ref="AB54:AC54"/>
    <mergeCell ref="AB55:AC55"/>
    <mergeCell ref="AB56:AC56"/>
    <mergeCell ref="D79:E79"/>
    <mergeCell ref="AB79:AC79"/>
    <mergeCell ref="AB30:AC32"/>
    <mergeCell ref="A70:A79"/>
    <mergeCell ref="S70:S79"/>
    <mergeCell ref="AB70:AC70"/>
    <mergeCell ref="A49:A58"/>
    <mergeCell ref="S49:S58"/>
    <mergeCell ref="AB49:AC49"/>
    <mergeCell ref="AB77:AC77"/>
    <mergeCell ref="AB78:AC78"/>
    <mergeCell ref="A59:A69"/>
    <mergeCell ref="S59:S69"/>
    <mergeCell ref="AB59:AC59"/>
    <mergeCell ref="D69:E69"/>
    <mergeCell ref="AB69:AC6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</mergeCells>
  <phoneticPr fontId="0" type="noConversion"/>
  <conditionalFormatting sqref="P5:P79">
    <cfRule type="cellIs" dxfId="234" priority="1" operator="greaterThan">
      <formula>0</formula>
    </cfRule>
  </conditionalFormatting>
  <conditionalFormatting sqref="Q5:Q79 AF5:AF79">
    <cfRule type="cellIs" dxfId="233" priority="4" operator="lessThan">
      <formula>0</formula>
    </cfRule>
  </conditionalFormatting>
  <conditionalFormatting sqref="R5:R79 AG5:AG79">
    <cfRule type="cellIs" dxfId="232" priority="2" operator="greaterThan">
      <formula>1</formula>
    </cfRule>
    <cfRule type="cellIs" dxfId="231" priority="3" operator="lessThan">
      <formula>0.8</formula>
    </cfRule>
  </conditionalFormatting>
  <conditionalFormatting sqref="S5:S10 S37:S62 AH59:AH62 S69:S76 AH69:AH76">
    <cfRule type="cellIs" dxfId="230" priority="7" operator="lessThan">
      <formula>0.8</formula>
    </cfRule>
  </conditionalFormatting>
  <conditionalFormatting sqref="S19:S25 AH19:AH25">
    <cfRule type="cellIs" dxfId="229" priority="6" operator="lessThan">
      <formula>0.8</formula>
    </cfRule>
  </conditionalFormatting>
  <conditionalFormatting sqref="S79">
    <cfRule type="cellIs" dxfId="228" priority="5" operator="lessThan">
      <formula>0.8</formula>
    </cfRule>
  </conditionalFormatting>
  <conditionalFormatting sqref="AH5:AH8 S15:S16 AH15:AH16 AH49 AH79">
    <cfRule type="cellIs" dxfId="227" priority="9" operator="lessThan">
      <formula>0.8</formula>
    </cfRule>
  </conditionalFormatting>
  <conditionalFormatting sqref="AH27 S27:S28">
    <cfRule type="cellIs" dxfId="226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80A3E3-3295-4510-A09C-B4E2048E2FD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BAD36-0997-4954-A5C7-C67C4858B0D7}">
  <dimension ref="B1:O26"/>
  <sheetViews>
    <sheetView topLeftCell="A9" zoomScale="70" zoomScaleNormal="70" workbookViewId="0">
      <selection activeCell="K28" sqref="K2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46155</v>
      </c>
      <c r="E3" s="412"/>
      <c r="F3" s="3" t="s">
        <v>72</v>
      </c>
      <c r="G3" s="413">
        <f>'0513'!E1</f>
        <v>56679</v>
      </c>
      <c r="H3" s="413"/>
      <c r="I3" s="3" t="s">
        <v>2</v>
      </c>
      <c r="J3" s="414">
        <f>'0513'!G1</f>
        <v>2768130.0049999994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>
        <f>AVERAGE(D13:I13)</f>
        <v>120.62610803655696</v>
      </c>
      <c r="G6" s="410"/>
      <c r="H6" s="395">
        <f>AVERAGE(D13:H13)</f>
        <v>122.32645784899655</v>
      </c>
      <c r="I6" s="395"/>
      <c r="J6" s="395">
        <f>AVERAGE(I13)</f>
        <v>112.12435897435898</v>
      </c>
      <c r="K6" s="395"/>
      <c r="L6" s="396">
        <f>SUM(D18:J18)</f>
        <v>5</v>
      </c>
      <c r="M6" s="398">
        <f>SUM(D19:J19)</f>
        <v>24</v>
      </c>
      <c r="N6" s="399">
        <f>SUM(D20:J20)</f>
        <v>0</v>
      </c>
      <c r="O6" s="398">
        <f>SUM(D20:J20)</f>
        <v>0</v>
      </c>
    </row>
    <row r="7" spans="2:15" ht="39.6" customHeight="1">
      <c r="B7" s="406"/>
      <c r="C7" s="406"/>
      <c r="D7" s="401" t="s">
        <v>87</v>
      </c>
      <c r="E7" s="401"/>
      <c r="F7" s="402">
        <f>AVERAGE(D14:I14)</f>
        <v>111.94104681222863</v>
      </c>
      <c r="G7" s="402"/>
      <c r="H7" s="403">
        <f>AVERAGE(D14:H14)</f>
        <v>115.13236995501168</v>
      </c>
      <c r="I7" s="403"/>
      <c r="J7" s="403">
        <f>AVERAGE(I14)</f>
        <v>95.984431098313379</v>
      </c>
      <c r="K7" s="403"/>
      <c r="L7" s="397" t="e">
        <f t="shared" ref="L7:O8" si="0">AVERAGE(K14:L14)</f>
        <v>#DIV/0!</v>
      </c>
      <c r="M7" s="398" t="e">
        <f t="shared" si="0"/>
        <v>#DIV/0!</v>
      </c>
      <c r="N7" s="400" t="e">
        <f t="shared" si="0"/>
        <v>#DIV/0!</v>
      </c>
      <c r="O7" s="398" t="e">
        <f t="shared" si="0"/>
        <v>#DIV/0!</v>
      </c>
    </row>
    <row r="8" spans="2:15" ht="39.6" customHeight="1">
      <c r="B8" s="406"/>
      <c r="C8" s="406"/>
      <c r="D8" s="401" t="s">
        <v>27</v>
      </c>
      <c r="E8" s="401"/>
      <c r="F8" s="387">
        <f>F7/F6</f>
        <v>0.92800015381664946</v>
      </c>
      <c r="G8" s="387"/>
      <c r="H8" s="387">
        <f>H7/H6</f>
        <v>0.9411894366886232</v>
      </c>
      <c r="I8" s="387"/>
      <c r="J8" s="387">
        <f>J7/J6</f>
        <v>0.85605333199954758</v>
      </c>
      <c r="K8" s="387"/>
      <c r="L8" s="397" t="e">
        <f t="shared" si="0"/>
        <v>#DIV/0!</v>
      </c>
      <c r="M8" s="398" t="e">
        <f t="shared" si="0"/>
        <v>#DIV/0!</v>
      </c>
      <c r="N8" s="400" t="e">
        <f t="shared" si="0"/>
        <v>#DIV/0!</v>
      </c>
      <c r="O8" s="398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>
        <f>VALUE('0513'!L15)</f>
        <v>150</v>
      </c>
      <c r="E13" s="13">
        <f>VALUE('0513'!L26)</f>
        <v>164.21703296703296</v>
      </c>
      <c r="F13" s="13">
        <f>VALUE('0513'!L37)</f>
        <v>91.856811145510832</v>
      </c>
      <c r="G13" s="13">
        <f>VALUE('0513'!L48)</f>
        <v>102.24575163398693</v>
      </c>
      <c r="H13" s="13">
        <f>VALUE('0513'!L58)</f>
        <v>103.31269349845201</v>
      </c>
      <c r="I13" s="13">
        <f>VALUE('0513'!L69)</f>
        <v>112.12435897435898</v>
      </c>
      <c r="J13" s="13">
        <f>'0513'!L79</f>
        <v>0</v>
      </c>
    </row>
    <row r="14" spans="2:15" ht="39.950000000000003" customHeight="1">
      <c r="B14" s="381"/>
      <c r="C14" s="12" t="s">
        <v>100</v>
      </c>
      <c r="D14" s="13">
        <f>VALUE('0513'!O15)</f>
        <v>131.32181678801379</v>
      </c>
      <c r="E14" s="13">
        <f>VALUE('0513'!O26)</f>
        <v>156.52932558446147</v>
      </c>
      <c r="F14" s="13">
        <f>VALUE('0513'!O37)</f>
        <v>108.95141653152484</v>
      </c>
      <c r="G14" s="13">
        <f>VALUE('0513'!O48)</f>
        <v>83.737157793428324</v>
      </c>
      <c r="H14" s="13">
        <f>VALUE('0513'!O58)</f>
        <v>95.122133077630025</v>
      </c>
      <c r="I14" s="13">
        <f>VALUE('0513'!O69)</f>
        <v>95.984431098313379</v>
      </c>
      <c r="J14" s="13">
        <f>'0513'!O79</f>
        <v>0</v>
      </c>
    </row>
    <row r="15" spans="2:15" ht="39.950000000000003" customHeight="1">
      <c r="B15" s="382"/>
      <c r="C15" s="10" t="s">
        <v>26</v>
      </c>
      <c r="D15" s="14">
        <f t="shared" ref="D15:I15" si="1">D14/D13</f>
        <v>0.8754787785867586</v>
      </c>
      <c r="E15" s="14">
        <f t="shared" si="1"/>
        <v>0.95318568820985328</v>
      </c>
      <c r="F15" s="14">
        <f t="shared" si="1"/>
        <v>1.1861005751542404</v>
      </c>
      <c r="G15" s="14">
        <f t="shared" si="1"/>
        <v>0.81897933611154294</v>
      </c>
      <c r="H15" s="14">
        <f t="shared" si="1"/>
        <v>0.92072067677777947</v>
      </c>
      <c r="I15" s="14">
        <f t="shared" si="1"/>
        <v>0.85605333199954758</v>
      </c>
      <c r="J15" s="15">
        <f>'0513'!S70</f>
        <v>0</v>
      </c>
    </row>
    <row r="16" spans="2:15" ht="17.25" customHeight="1">
      <c r="B16" s="383" t="s">
        <v>101</v>
      </c>
      <c r="C16" s="10" t="s">
        <v>34</v>
      </c>
      <c r="D16" s="16">
        <f>'0513'!T5</f>
        <v>0.29166666666666702</v>
      </c>
      <c r="E16" s="16">
        <f>'0513'!T16</f>
        <v>0.29097222222222202</v>
      </c>
      <c r="F16" s="16">
        <f>'0513'!T27</f>
        <v>0.33333333333333298</v>
      </c>
      <c r="G16" s="16">
        <f>'0513'!T38</f>
        <v>0.33333333333333298</v>
      </c>
      <c r="H16" s="16">
        <f>'0513'!T49</f>
        <v>0.29166666666666702</v>
      </c>
      <c r="I16" s="16">
        <f>'0513'!T59</f>
        <v>0.28819444444444398</v>
      </c>
      <c r="J16" s="16">
        <f>'0513'!T70</f>
        <v>0</v>
      </c>
    </row>
    <row r="17" spans="2:10" ht="17.25" customHeight="1">
      <c r="B17" s="384"/>
      <c r="C17" s="10" t="s">
        <v>35</v>
      </c>
      <c r="D17" s="16">
        <v>0.64930555555555602</v>
      </c>
      <c r="E17" s="19">
        <v>0.58750000000000002</v>
      </c>
      <c r="F17" s="19">
        <v>0.63472222222222197</v>
      </c>
      <c r="G17" s="20">
        <v>0.64375000000000004</v>
      </c>
      <c r="H17" s="21">
        <v>0.61805555555555602</v>
      </c>
      <c r="I17" s="22">
        <v>0.60763888888888895</v>
      </c>
      <c r="J17" s="16">
        <f>'0513'!T71</f>
        <v>0</v>
      </c>
    </row>
    <row r="18" spans="2:10" ht="17.25" customHeight="1">
      <c r="B18" s="385" t="s">
        <v>102</v>
      </c>
      <c r="C18" s="330" t="s">
        <v>36</v>
      </c>
      <c r="D18" s="358">
        <f>'0513'!Z15</f>
        <v>0</v>
      </c>
      <c r="E18" s="359">
        <f>'0513'!Z26</f>
        <v>0</v>
      </c>
      <c r="F18" s="359">
        <f>'0513'!Z37</f>
        <v>5</v>
      </c>
      <c r="G18" s="360">
        <f>'0513'!Z48</f>
        <v>0</v>
      </c>
      <c r="H18" s="360">
        <f>'0513'!Z58</f>
        <v>0</v>
      </c>
      <c r="I18" s="359">
        <f>'0513'!Z69</f>
        <v>0</v>
      </c>
      <c r="J18" s="359">
        <f>'0513'!AA79</f>
        <v>0</v>
      </c>
    </row>
    <row r="19" spans="2:10" ht="17.25" customHeight="1">
      <c r="B19" s="386"/>
      <c r="C19" s="330" t="s">
        <v>37</v>
      </c>
      <c r="D19" s="358">
        <f>'0513'!AA15</f>
        <v>0</v>
      </c>
      <c r="E19" s="359">
        <f>'0513'!AA26</f>
        <v>0</v>
      </c>
      <c r="F19" s="359">
        <f>'0513'!AA37</f>
        <v>24</v>
      </c>
      <c r="G19" s="360">
        <f>'0513'!AA48</f>
        <v>0</v>
      </c>
      <c r="H19" s="360">
        <f>'0513'!AA58</f>
        <v>0</v>
      </c>
      <c r="I19" s="359">
        <f>'0513'!AA69</f>
        <v>0</v>
      </c>
      <c r="J19" s="359">
        <f>'0513'!AB79</f>
        <v>0</v>
      </c>
    </row>
    <row r="20" spans="2:10" ht="17.25" customHeight="1">
      <c r="B20" s="385" t="s">
        <v>103</v>
      </c>
      <c r="C20" s="330" t="s">
        <v>36</v>
      </c>
      <c r="D20" s="358">
        <f>'0513'!AD15</f>
        <v>0</v>
      </c>
      <c r="E20" s="359">
        <f>'0513'!AD26</f>
        <v>0</v>
      </c>
      <c r="F20" s="359">
        <f>'0513'!AD37</f>
        <v>0</v>
      </c>
      <c r="G20" s="360">
        <f>'0513'!AD48</f>
        <v>0</v>
      </c>
      <c r="H20" s="360">
        <f>'0513'!AD58</f>
        <v>0</v>
      </c>
      <c r="I20" s="359">
        <f>'0513'!AD69</f>
        <v>0</v>
      </c>
      <c r="J20" s="359">
        <f>'0513'!AD79</f>
        <v>0</v>
      </c>
    </row>
    <row r="21" spans="2:10" ht="17.25" customHeight="1">
      <c r="B21" s="386"/>
      <c r="C21" s="330" t="s">
        <v>85</v>
      </c>
      <c r="D21" s="358">
        <f>'0513'!AE15</f>
        <v>0</v>
      </c>
      <c r="E21" s="359">
        <f>'0513'!AE26</f>
        <v>0</v>
      </c>
      <c r="F21" s="359">
        <f>'0513'!AE37</f>
        <v>0</v>
      </c>
      <c r="G21" s="360">
        <f>'0513'!AE48</f>
        <v>0</v>
      </c>
      <c r="H21" s="360">
        <f>'0513'!AE58</f>
        <v>0</v>
      </c>
      <c r="I21" s="359">
        <f>'0513'!AE69</f>
        <v>0</v>
      </c>
      <c r="J21" s="359">
        <f>'0513'!AE79</f>
        <v>0</v>
      </c>
    </row>
    <row r="22" spans="2:10" ht="17.25" customHeight="1">
      <c r="B22" s="377" t="s">
        <v>104</v>
      </c>
      <c r="C22" s="378"/>
      <c r="D22" s="23">
        <f>VALUE('0513'!M15)</f>
        <v>13.6</v>
      </c>
      <c r="E22" s="23">
        <f>VALUE('0513'!M26)</f>
        <v>13.75</v>
      </c>
      <c r="F22" s="23">
        <f>VALUE('0513'!M37)</f>
        <v>14.75</v>
      </c>
      <c r="G22" s="23">
        <f>VALUE('0513'!M48)</f>
        <v>16.333333333333332</v>
      </c>
      <c r="H22" s="23">
        <f>VALUE('0513'!M58)</f>
        <v>17</v>
      </c>
      <c r="I22" s="23">
        <f>VALUE('0513'!M69)</f>
        <v>13.6</v>
      </c>
      <c r="J22" s="23">
        <f>'0513'!M79</f>
        <v>0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25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C5DAD-1272-4CF2-ACDC-F6A30259E80B}">
  <sheetPr>
    <tabColor theme="9" tint="0.79998168889431442"/>
  </sheetPr>
  <dimension ref="A1:AJ131"/>
  <sheetViews>
    <sheetView zoomScale="69" zoomScaleNormal="69" workbookViewId="0">
      <pane xSplit="5" ySplit="4" topLeftCell="F17" activePane="bottomRight" state="frozen"/>
      <selection activeCell="K28" sqref="K28"/>
      <selection pane="topRight" activeCell="K28" sqref="K28"/>
      <selection pane="bottomLeft" activeCell="K28" sqref="K28"/>
      <selection pane="bottomRight" activeCell="K28" sqref="K2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8" width="8.7109375" style="34" customWidth="1"/>
    <col min="109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56679</v>
      </c>
      <c r="F1" s="30" t="s">
        <v>2</v>
      </c>
      <c r="G1" s="31">
        <f>SUM(H5:H79)</f>
        <v>2768130.0049999994</v>
      </c>
      <c r="H1" s="32" t="s">
        <v>3</v>
      </c>
      <c r="I1" s="33">
        <f>M15+M26+M48+M58+M69+M79+M37</f>
        <v>89.033333333333331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193</v>
      </c>
      <c r="B2" s="422"/>
      <c r="C2" s="28"/>
      <c r="D2" s="28" t="s">
        <v>14</v>
      </c>
      <c r="E2" s="35">
        <f>AVERAGE(O15,O26,O37,O48,O58,O69,O79)</f>
        <v>111.94104681222863</v>
      </c>
      <c r="F2" s="36" t="s">
        <v>15</v>
      </c>
      <c r="G2" s="37">
        <f>G1/E1</f>
        <v>48.83872342490163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5</v>
      </c>
      <c r="AA2" s="339">
        <f>AA15+AA26+AA37+AA48+AA58+AA69+AA79</f>
        <v>24</v>
      </c>
      <c r="AB2" s="460"/>
      <c r="AC2" s="460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3309</v>
      </c>
      <c r="H5" s="43">
        <f>F5*G5</f>
        <v>188182.83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2181.7582417582571</v>
      </c>
      <c r="O5" s="47">
        <f>N5/M5</f>
        <v>145.45054945055048</v>
      </c>
      <c r="P5" s="49">
        <f>M5-J5</f>
        <v>0</v>
      </c>
      <c r="Q5" s="50">
        <f>O5-L5</f>
        <v>-4.5494505494495172</v>
      </c>
      <c r="R5" s="51">
        <f>O5/L5</f>
        <v>0.96967032967033651</v>
      </c>
      <c r="S5" s="416">
        <f>R15</f>
        <v>0.8754787785867586</v>
      </c>
      <c r="T5" s="319">
        <v>0.29166666666666702</v>
      </c>
      <c r="U5" s="320">
        <v>0.35486111111111102</v>
      </c>
      <c r="V5" s="53"/>
      <c r="W5" s="54">
        <f t="shared" ref="W5:W14" si="0">(U5-T5)*24*60</f>
        <v>90.999999999999361</v>
      </c>
      <c r="X5" s="55"/>
      <c r="Y5" s="290"/>
      <c r="Z5" s="169"/>
      <c r="AA5" s="169"/>
      <c r="AB5" s="468"/>
      <c r="AC5" s="468"/>
      <c r="AD5" s="135"/>
      <c r="AE5" s="135"/>
      <c r="AF5" s="229">
        <f t="shared" ref="AF5:AF11" si="1">N5-K5</f>
        <v>-68.2417582417429</v>
      </c>
      <c r="AG5" s="52">
        <f t="shared" ref="AG5:AG11" si="2">N5/K5</f>
        <v>0.96967032967033651</v>
      </c>
      <c r="AH5" s="461">
        <f>AG15</f>
        <v>0.81086339397137608</v>
      </c>
    </row>
    <row r="6" spans="1:34" ht="15" customHeight="1">
      <c r="A6" s="428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3577</v>
      </c>
      <c r="H6" s="63">
        <f>F6*G6</f>
        <v>208074.09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1866.2608695652202</v>
      </c>
      <c r="O6" s="67">
        <f>N6/M6</f>
        <v>124.41739130434802</v>
      </c>
      <c r="P6" s="69">
        <f>M6-J6</f>
        <v>0</v>
      </c>
      <c r="Q6" s="70">
        <f>O6-L6</f>
        <v>-25.582608695651984</v>
      </c>
      <c r="R6" s="71">
        <f>O6/L6</f>
        <v>0.82944927536232005</v>
      </c>
      <c r="S6" s="417"/>
      <c r="T6" s="16">
        <v>0.36180555555555599</v>
      </c>
      <c r="U6" s="16">
        <v>0.44166666666666698</v>
      </c>
      <c r="V6" s="30">
        <f>(T6-U5)*24*60</f>
        <v>10.000000000000764</v>
      </c>
      <c r="W6" s="73">
        <f t="shared" si="0"/>
        <v>114.99999999999983</v>
      </c>
      <c r="X6" s="22"/>
      <c r="Y6" s="84"/>
      <c r="Z6" s="90"/>
      <c r="AA6" s="90"/>
      <c r="AB6" s="465"/>
      <c r="AC6" s="465"/>
      <c r="AD6" s="149"/>
      <c r="AE6" s="149"/>
      <c r="AF6" s="307">
        <f t="shared" si="1"/>
        <v>-383.73913043477978</v>
      </c>
      <c r="AG6" s="72">
        <f t="shared" si="2"/>
        <v>0.82944927536232005</v>
      </c>
      <c r="AH6" s="462"/>
    </row>
    <row r="7" spans="1:34" ht="15" customHeight="1">
      <c r="A7" s="428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2357</v>
      </c>
      <c r="H7" s="78">
        <f>F7*G7</f>
        <v>115822.98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2110.746268656706</v>
      </c>
      <c r="O7" s="81">
        <f>N7/M7</f>
        <v>140.71641791044706</v>
      </c>
      <c r="P7" s="74">
        <f>M7-J7</f>
        <v>0</v>
      </c>
      <c r="Q7" s="83">
        <f>O7-L7</f>
        <v>-9.2835820895529366</v>
      </c>
      <c r="R7" s="72">
        <f>O7/L7</f>
        <v>0.93810945273631374</v>
      </c>
      <c r="S7" s="417"/>
      <c r="T7" s="18">
        <v>0.44652777777777802</v>
      </c>
      <c r="U7" s="18">
        <v>0.49305555555555602</v>
      </c>
      <c r="V7" s="30">
        <f>(T7-U6)*24*60</f>
        <v>6.9999999999998952</v>
      </c>
      <c r="W7" s="73">
        <f t="shared" si="0"/>
        <v>67.000000000000327</v>
      </c>
      <c r="X7" s="22"/>
      <c r="Y7" s="84"/>
      <c r="Z7" s="90"/>
      <c r="AA7" s="90"/>
      <c r="AB7" s="466"/>
      <c r="AC7" s="466"/>
      <c r="AD7" s="92"/>
      <c r="AE7" s="92"/>
      <c r="AF7" s="307">
        <f t="shared" si="1"/>
        <v>-139.25373134329402</v>
      </c>
      <c r="AG7" s="72">
        <f t="shared" si="2"/>
        <v>0.93810945273631374</v>
      </c>
      <c r="AH7" s="462"/>
    </row>
    <row r="8" spans="1:34" ht="15" customHeight="1">
      <c r="A8" s="428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3981</v>
      </c>
      <c r="H8" s="78">
        <f>F8*G8</f>
        <v>195626.34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2132.6785714285943</v>
      </c>
      <c r="O8" s="81">
        <f>N8/M8</f>
        <v>142.17857142857295</v>
      </c>
      <c r="P8" s="74">
        <f>M8-J8</f>
        <v>0</v>
      </c>
      <c r="Q8" s="83">
        <f>O8-L8</f>
        <v>-7.8214285714270488</v>
      </c>
      <c r="R8" s="72">
        <f>O8/L8</f>
        <v>0.94785714285715306</v>
      </c>
      <c r="S8" s="417"/>
      <c r="T8" s="16">
        <v>0.55555555555555602</v>
      </c>
      <c r="U8" s="16">
        <v>0.63333333333333297</v>
      </c>
      <c r="V8" s="30">
        <f t="shared" ref="V8:V9" si="3">(T8-U7)*24*60</f>
        <v>90</v>
      </c>
      <c r="W8" s="73">
        <f t="shared" si="0"/>
        <v>111.99999999999881</v>
      </c>
      <c r="X8" s="22"/>
      <c r="Y8" s="84"/>
      <c r="Z8" s="90"/>
      <c r="AA8" s="90"/>
      <c r="AB8" s="465"/>
      <c r="AC8" s="465"/>
      <c r="AD8" s="149"/>
      <c r="AE8" s="149"/>
      <c r="AF8" s="307">
        <f t="shared" si="1"/>
        <v>-117.3214285714057</v>
      </c>
      <c r="AG8" s="72">
        <f t="shared" si="2"/>
        <v>0.94785714285715306</v>
      </c>
      <c r="AH8" s="462"/>
    </row>
    <row r="9" spans="1:34" ht="15" customHeight="1">
      <c r="A9" s="429"/>
      <c r="B9" s="75" t="s">
        <v>81</v>
      </c>
      <c r="C9" s="76"/>
      <c r="D9" s="59" t="s">
        <v>115</v>
      </c>
      <c r="E9" s="77"/>
      <c r="F9" s="75">
        <f>VLOOKUP(D9,廠價表!$C$1:$E$43,3,0)</f>
        <v>58.17</v>
      </c>
      <c r="G9" s="66">
        <v>180</v>
      </c>
      <c r="H9" s="78">
        <f>F9*G9</f>
        <v>10470.6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>K9/J9</f>
        <v>150</v>
      </c>
      <c r="M9" s="82">
        <v>8</v>
      </c>
      <c r="N9" s="80">
        <f>G9/W9*60</f>
        <v>830.76923076920309</v>
      </c>
      <c r="O9" s="81">
        <f>N9/M9</f>
        <v>103.84615384615039</v>
      </c>
      <c r="P9" s="74">
        <f>M9-J9</f>
        <v>-7</v>
      </c>
      <c r="Q9" s="83">
        <f>O9-L9</f>
        <v>-46.153846153849614</v>
      </c>
      <c r="R9" s="72">
        <f>O9/L9</f>
        <v>0.6923076923076692</v>
      </c>
      <c r="S9" s="418"/>
      <c r="T9" s="16">
        <v>0.64027777777777795</v>
      </c>
      <c r="U9" s="16">
        <v>0.64930555555555602</v>
      </c>
      <c r="V9" s="30">
        <f t="shared" si="3"/>
        <v>10.000000000000764</v>
      </c>
      <c r="W9" s="73">
        <f t="shared" si="0"/>
        <v>13.000000000000433</v>
      </c>
      <c r="X9" s="22"/>
      <c r="Y9" s="84"/>
      <c r="Z9" s="90"/>
      <c r="AA9" s="90"/>
      <c r="AB9" s="465" t="s">
        <v>125</v>
      </c>
      <c r="AC9" s="465"/>
      <c r="AD9" s="149"/>
      <c r="AE9" s="149"/>
      <c r="AF9" s="307">
        <f t="shared" si="1"/>
        <v>-1419.2307692307968</v>
      </c>
      <c r="AG9" s="72">
        <f t="shared" si="2"/>
        <v>0.36923076923075693</v>
      </c>
      <c r="AH9" s="463"/>
    </row>
    <row r="10" spans="1:34" ht="15" customHeight="1">
      <c r="A10" s="42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8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6"/>
      <c r="AC10" s="466"/>
      <c r="AD10" s="92"/>
      <c r="AE10" s="92"/>
      <c r="AF10" s="307">
        <f t="shared" si="1"/>
        <v>0</v>
      </c>
      <c r="AG10" s="72" t="e">
        <f t="shared" si="2"/>
        <v>#DIV/0!</v>
      </c>
      <c r="AH10" s="463"/>
    </row>
    <row r="11" spans="1:34" ht="15" customHeight="1">
      <c r="A11" s="42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5"/>
      <c r="AC11" s="465"/>
      <c r="AD11" s="149"/>
      <c r="AE11" s="149"/>
      <c r="AF11" s="307">
        <f t="shared" si="1"/>
        <v>0</v>
      </c>
      <c r="AG11" s="72" t="e">
        <f t="shared" si="2"/>
        <v>#DIV/0!</v>
      </c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>
        <f t="shared" ref="J15:O15" si="4">AVERAGE(J5:J14)</f>
        <v>15</v>
      </c>
      <c r="K15" s="120">
        <f t="shared" si="4"/>
        <v>2250</v>
      </c>
      <c r="L15" s="117">
        <f t="shared" si="4"/>
        <v>150</v>
      </c>
      <c r="M15" s="120">
        <f t="shared" si="4"/>
        <v>13.6</v>
      </c>
      <c r="N15" s="120">
        <f t="shared" si="4"/>
        <v>1824.4426364355961</v>
      </c>
      <c r="O15" s="117">
        <f t="shared" si="4"/>
        <v>131.32181678801379</v>
      </c>
      <c r="P15" s="121">
        <f>M15-J15</f>
        <v>-1.4000000000000004</v>
      </c>
      <c r="Q15" s="122">
        <f>O15-L15</f>
        <v>-18.678183211986209</v>
      </c>
      <c r="R15" s="123">
        <f>O15/L15</f>
        <v>0.8754787785867586</v>
      </c>
      <c r="S15" s="42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7"/>
      <c r="AC15" s="467"/>
      <c r="AD15" s="323">
        <f>SUM(AD5:AD14)</f>
        <v>0</v>
      </c>
      <c r="AE15" s="323">
        <f>SUM(AE5:AE14)</f>
        <v>0</v>
      </c>
      <c r="AF15" s="309">
        <f>N15-K15</f>
        <v>-425.55736356440389</v>
      </c>
      <c r="AG15" s="124">
        <f>N15/K15</f>
        <v>0.81086339397137608</v>
      </c>
      <c r="AH15" s="464"/>
    </row>
    <row r="16" spans="1:34" ht="15" customHeight="1">
      <c r="A16" s="47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3593</v>
      </c>
      <c r="H16" s="134">
        <f>F16*G16</f>
        <v>182057.31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2155.7999999999834</v>
      </c>
      <c r="O16" s="141">
        <f>N16/M16</f>
        <v>153.9857142857131</v>
      </c>
      <c r="P16" s="142">
        <f>M16-J16</f>
        <v>0</v>
      </c>
      <c r="Q16" s="143">
        <f>O16-L16</f>
        <v>-6.7285714285726215</v>
      </c>
      <c r="R16" s="144">
        <f>O16/L16</f>
        <v>0.95813333333332595</v>
      </c>
      <c r="S16" s="472">
        <f>R26</f>
        <v>0.95318568820985328</v>
      </c>
      <c r="T16" s="145">
        <v>0.29097222222222202</v>
      </c>
      <c r="U16" s="145">
        <v>0.360416666666667</v>
      </c>
      <c r="V16" s="135"/>
      <c r="W16" s="146">
        <f t="shared" ref="W16:W78" si="5">(U16-T16)*24*60</f>
        <v>100.00000000000077</v>
      </c>
      <c r="X16" s="141"/>
      <c r="Y16" s="296"/>
      <c r="Z16" s="169"/>
      <c r="AA16" s="169"/>
      <c r="AB16" s="468"/>
      <c r="AC16" s="468"/>
      <c r="AD16" s="135"/>
      <c r="AE16" s="135"/>
      <c r="AF16" s="229">
        <f>N16-K16</f>
        <v>-94.200000000016644</v>
      </c>
      <c r="AG16" s="52">
        <f>N16/K16</f>
        <v>0.95813333333332595</v>
      </c>
      <c r="AH16" s="461">
        <f>AG26</f>
        <v>0.95316401799101047</v>
      </c>
    </row>
    <row r="17" spans="1:34" ht="15" customHeight="1">
      <c r="A17" s="479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2066</v>
      </c>
      <c r="H17" s="78">
        <f>F17*G17</f>
        <v>116956.26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2137.2413793103879</v>
      </c>
      <c r="O17" s="96">
        <f>N17/M17</f>
        <v>142.48275862069252</v>
      </c>
      <c r="P17" s="97">
        <f>M17-J17</f>
        <v>0</v>
      </c>
      <c r="Q17" s="98">
        <f>O17-L17</f>
        <v>-7.5172413793074782</v>
      </c>
      <c r="R17" s="99">
        <f>O17/L17</f>
        <v>0.94988505747128349</v>
      </c>
      <c r="S17" s="473"/>
      <c r="T17" s="19">
        <v>0.36805555555555602</v>
      </c>
      <c r="U17" s="19">
        <v>0.40833333333333299</v>
      </c>
      <c r="V17" s="30">
        <f>(T17-U16)*24*60</f>
        <v>11.000000000000201</v>
      </c>
      <c r="W17" s="149">
        <f t="shared" si="5"/>
        <v>57.999999999998835</v>
      </c>
      <c r="X17" s="19"/>
      <c r="Y17" s="297"/>
      <c r="Z17" s="90"/>
      <c r="AA17" s="90"/>
      <c r="AB17" s="466"/>
      <c r="AC17" s="466"/>
      <c r="AD17" s="92"/>
      <c r="AE17" s="92"/>
      <c r="AF17" s="307">
        <f>N17-K17</f>
        <v>-112.75862068961214</v>
      </c>
      <c r="AG17" s="72">
        <f>N17/K17</f>
        <v>0.94988505747128349</v>
      </c>
      <c r="AH17" s="462"/>
    </row>
    <row r="18" spans="1:34" ht="15" customHeight="1">
      <c r="A18" s="479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3191</v>
      </c>
      <c r="H18" s="78">
        <f>F18*G18</f>
        <v>160794.49</v>
      </c>
      <c r="I18" s="30"/>
      <c r="J18" s="79">
        <v>13</v>
      </c>
      <c r="K18" s="80">
        <f>VLOOKUP(D18,產線配置圖!$A$3:$C$40,3,0)</f>
        <v>2250</v>
      </c>
      <c r="L18" s="81">
        <f>K18/J18</f>
        <v>173.07692307692307</v>
      </c>
      <c r="M18" s="148">
        <v>13</v>
      </c>
      <c r="N18" s="95">
        <f>G18/W18*60</f>
        <v>2081.0869565217354</v>
      </c>
      <c r="O18" s="96">
        <f>N18/M18</f>
        <v>160.08361204013349</v>
      </c>
      <c r="P18" s="97">
        <f>M18-J18</f>
        <v>0</v>
      </c>
      <c r="Q18" s="98">
        <f>O18-L18</f>
        <v>-12.993311036789578</v>
      </c>
      <c r="R18" s="99">
        <f>O18/L18</f>
        <v>0.9249275362318824</v>
      </c>
      <c r="S18" s="473"/>
      <c r="T18" s="19">
        <v>0.41527777777777802</v>
      </c>
      <c r="U18" s="19">
        <v>0.47916666666666702</v>
      </c>
      <c r="V18" s="30">
        <f>(T18-U17)*24*60</f>
        <v>10.000000000000844</v>
      </c>
      <c r="W18" s="149">
        <f t="shared" si="5"/>
        <v>92.000000000000156</v>
      </c>
      <c r="X18" s="22"/>
      <c r="Y18" s="84"/>
      <c r="Z18" s="90"/>
      <c r="AA18" s="90"/>
      <c r="AB18" s="466"/>
      <c r="AC18" s="466"/>
      <c r="AD18" s="92"/>
      <c r="AE18" s="92"/>
      <c r="AF18" s="307">
        <f>N18-K18</f>
        <v>-168.91304347826463</v>
      </c>
      <c r="AG18" s="72">
        <f>N18/K18</f>
        <v>0.9249275362318824</v>
      </c>
      <c r="AH18" s="462"/>
    </row>
    <row r="19" spans="1:34" ht="15" customHeight="1">
      <c r="A19" s="479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1690</v>
      </c>
      <c r="H19" s="78">
        <f>F19*G19</f>
        <v>85159.1</v>
      </c>
      <c r="I19" s="30"/>
      <c r="J19" s="79">
        <v>13</v>
      </c>
      <c r="K19" s="80">
        <f>VLOOKUP(D19,產線配置圖!$A$3:$C$40,3,0)</f>
        <v>2250</v>
      </c>
      <c r="L19" s="81">
        <f>K19/J19</f>
        <v>173.07692307692307</v>
      </c>
      <c r="M19" s="148">
        <v>13</v>
      </c>
      <c r="N19" s="95">
        <f>G19/W19*60</f>
        <v>2204.3478260869874</v>
      </c>
      <c r="O19" s="96">
        <f>N19/M19</f>
        <v>169.56521739130673</v>
      </c>
      <c r="P19" s="97">
        <f>M19-J19</f>
        <v>0</v>
      </c>
      <c r="Q19" s="98">
        <f>O19-L19</f>
        <v>-3.5117056856163344</v>
      </c>
      <c r="R19" s="99">
        <f>O19/L19</f>
        <v>0.97971014492755004</v>
      </c>
      <c r="S19" s="473"/>
      <c r="T19" s="19">
        <v>0.55555555555555602</v>
      </c>
      <c r="U19" s="19">
        <v>0.58750000000000002</v>
      </c>
      <c r="V19" s="30">
        <f>(T19-U18)*24*60</f>
        <v>110.00000000000017</v>
      </c>
      <c r="W19" s="149">
        <f t="shared" si="5"/>
        <v>45.999999999999361</v>
      </c>
      <c r="X19" s="22"/>
      <c r="Y19" s="84"/>
      <c r="Z19" s="90"/>
      <c r="AA19" s="90"/>
      <c r="AB19" s="465"/>
      <c r="AC19" s="465"/>
      <c r="AD19" s="149"/>
      <c r="AE19" s="149"/>
      <c r="AF19" s="307">
        <f>N19-K19</f>
        <v>-45.652173913012575</v>
      </c>
      <c r="AG19" s="72">
        <f>N19/K19</f>
        <v>0.97971014492754993</v>
      </c>
      <c r="AH19" s="463"/>
    </row>
    <row r="20" spans="1:34" ht="15" customHeight="1">
      <c r="A20" s="47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3"/>
      <c r="T20" s="19"/>
      <c r="U20" s="19"/>
      <c r="V20" s="30"/>
      <c r="W20" s="149">
        <f t="shared" si="5"/>
        <v>0</v>
      </c>
      <c r="X20" s="19"/>
      <c r="Y20" s="297"/>
      <c r="Z20" s="90"/>
      <c r="AA20" s="90"/>
      <c r="AB20" s="466"/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3"/>
      <c r="T21" s="150"/>
      <c r="U21" s="150"/>
      <c r="V21" s="30"/>
      <c r="W21" s="149">
        <f t="shared" si="5"/>
        <v>0</v>
      </c>
      <c r="X21" s="92"/>
      <c r="Y21" s="298"/>
      <c r="Z21" s="90"/>
      <c r="AA21" s="90"/>
      <c r="AB21" s="466"/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50"/>
      <c r="U22" s="150"/>
      <c r="V22" s="92"/>
      <c r="W22" s="149"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5"/>
        <v>0</v>
      </c>
      <c r="X23" s="92"/>
      <c r="Y23" s="298"/>
      <c r="Z23" s="90"/>
      <c r="AA23" s="90"/>
      <c r="AB23" s="466"/>
      <c r="AC23" s="46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5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5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>
        <f t="shared" ref="J26:O26" si="6">AVERAGE(J16:J25)</f>
        <v>13.75</v>
      </c>
      <c r="K26" s="155">
        <f t="shared" si="6"/>
        <v>2250</v>
      </c>
      <c r="L26" s="158">
        <f t="shared" si="6"/>
        <v>164.21703296703296</v>
      </c>
      <c r="M26" s="155">
        <f t="shared" si="6"/>
        <v>13.75</v>
      </c>
      <c r="N26" s="155">
        <f t="shared" si="6"/>
        <v>2144.6190404797735</v>
      </c>
      <c r="O26" s="158">
        <f t="shared" si="6"/>
        <v>156.52932558446147</v>
      </c>
      <c r="P26" s="159">
        <f>M26-J26</f>
        <v>0</v>
      </c>
      <c r="Q26" s="160">
        <f>O26-L26</f>
        <v>-7.6877073825714888</v>
      </c>
      <c r="R26" s="161">
        <f>O26/L26</f>
        <v>0.95318568820985328</v>
      </c>
      <c r="S26" s="474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7"/>
      <c r="AC26" s="467"/>
      <c r="AD26" s="323">
        <f>SUM(AD16:AD25)</f>
        <v>0</v>
      </c>
      <c r="AE26" s="323">
        <f>SUM(AE16:AE25)</f>
        <v>0</v>
      </c>
      <c r="AF26" s="309">
        <f t="shared" ref="AF26:AF31" si="7">N26-K26</f>
        <v>-105.3809595202265</v>
      </c>
      <c r="AG26" s="124">
        <f t="shared" ref="AG26:AG31" si="8">N26/K26</f>
        <v>0.95316401799101047</v>
      </c>
      <c r="AH26" s="464"/>
    </row>
    <row r="27" spans="1:34" ht="15" customHeight="1">
      <c r="A27" s="469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1778</v>
      </c>
      <c r="H27" s="134">
        <f>F27*G27</f>
        <v>101719.38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987.77777777777771</v>
      </c>
      <c r="O27" s="141">
        <f>N27/M27</f>
        <v>58.104575163398692</v>
      </c>
      <c r="P27" s="142">
        <f>M27-J27</f>
        <v>0</v>
      </c>
      <c r="Q27" s="143">
        <f>O27-L27</f>
        <v>-33.954248366013076</v>
      </c>
      <c r="R27" s="144">
        <f>O27/L27</f>
        <v>0.63116790912318066</v>
      </c>
      <c r="S27" s="472">
        <f>R37</f>
        <v>1.1861005751542404</v>
      </c>
      <c r="T27" s="171">
        <v>0.33333333333333298</v>
      </c>
      <c r="U27" s="171">
        <v>0.40833333333333299</v>
      </c>
      <c r="V27" s="135"/>
      <c r="W27" s="146">
        <f t="shared" si="5"/>
        <v>108.00000000000001</v>
      </c>
      <c r="X27" s="135"/>
      <c r="Y27" s="300" t="s">
        <v>46</v>
      </c>
      <c r="Z27" s="169">
        <v>4</v>
      </c>
      <c r="AA27" s="169">
        <v>17</v>
      </c>
      <c r="AB27" s="468" t="s">
        <v>194</v>
      </c>
      <c r="AC27" s="468"/>
      <c r="AD27" s="135"/>
      <c r="AE27" s="135"/>
      <c r="AF27" s="310">
        <f t="shared" si="7"/>
        <v>-577.22222222222229</v>
      </c>
      <c r="AG27" s="172">
        <f t="shared" si="8"/>
        <v>0.63116790912318066</v>
      </c>
      <c r="AH27" s="461">
        <f>AG37</f>
        <v>0.80158606363566709</v>
      </c>
    </row>
    <row r="28" spans="1:34" ht="15" customHeight="1">
      <c r="A28" s="470"/>
      <c r="B28" s="250" t="s">
        <v>81</v>
      </c>
      <c r="C28" s="173"/>
      <c r="D28" s="103" t="s">
        <v>128</v>
      </c>
      <c r="E28" s="104"/>
      <c r="F28" s="250">
        <f>VLOOKUP(D28,廠價表!$C$1:$E$43,3,0)</f>
        <v>57.21</v>
      </c>
      <c r="G28" s="90">
        <v>2553</v>
      </c>
      <c r="H28" s="91">
        <f>F28*G28</f>
        <v>146057.13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17</v>
      </c>
      <c r="N28" s="95">
        <f>G28/W28*60</f>
        <v>1458.8571428571568</v>
      </c>
      <c r="O28" s="96">
        <f>N28/M28</f>
        <v>85.815126050420986</v>
      </c>
      <c r="P28" s="97">
        <f>M28-J28</f>
        <v>0</v>
      </c>
      <c r="Q28" s="98">
        <f>O28-L28</f>
        <v>-15.126050420167246</v>
      </c>
      <c r="R28" s="99">
        <f>O28/L28</f>
        <v>0.85014985014985833</v>
      </c>
      <c r="S28" s="473"/>
      <c r="T28" s="19">
        <v>0.41666666666666702</v>
      </c>
      <c r="U28" s="19">
        <v>0.48958333333333298</v>
      </c>
      <c r="V28" s="92">
        <f>(T28-U27)*24*60</f>
        <v>12.000000000000997</v>
      </c>
      <c r="W28" s="149">
        <f t="shared" si="5"/>
        <v>104.99999999999899</v>
      </c>
      <c r="X28" s="174"/>
      <c r="Y28" s="301"/>
      <c r="Z28" s="335">
        <v>1</v>
      </c>
      <c r="AA28" s="335">
        <v>7</v>
      </c>
      <c r="AB28" s="466" t="s">
        <v>195</v>
      </c>
      <c r="AC28" s="466"/>
      <c r="AD28" s="92"/>
      <c r="AE28" s="92"/>
      <c r="AF28" s="311">
        <f t="shared" si="7"/>
        <v>-257.14285714284324</v>
      </c>
      <c r="AG28" s="99">
        <f t="shared" si="8"/>
        <v>0.85014985014985822</v>
      </c>
      <c r="AH28" s="482"/>
    </row>
    <row r="29" spans="1:34" ht="15" customHeight="1">
      <c r="A29" s="470"/>
      <c r="B29" s="250" t="s">
        <v>81</v>
      </c>
      <c r="C29" s="368"/>
      <c r="D29" s="370" t="s">
        <v>121</v>
      </c>
      <c r="E29" s="369"/>
      <c r="F29" s="250">
        <f>VLOOKUP(D29,廠價表!$C$1:$E$43,3,0)</f>
        <v>50.289000000000001</v>
      </c>
      <c r="G29" s="90">
        <v>2063</v>
      </c>
      <c r="H29" s="91">
        <f>F29*G29</f>
        <v>103746.20700000001</v>
      </c>
      <c r="I29" s="92"/>
      <c r="J29" s="79">
        <f>VLOOKUP(D29,產線配置圖!$A$3:$C$40,2,0)</f>
        <v>19</v>
      </c>
      <c r="K29" s="80">
        <f>VLOOKUP(D29,產線配置圖!$A$3:$C$40,3,0)</f>
        <v>1565</v>
      </c>
      <c r="L29" s="93">
        <f>K29/J29</f>
        <v>82.368421052631575</v>
      </c>
      <c r="M29" s="94">
        <v>19</v>
      </c>
      <c r="N29" s="95">
        <f>G29/W29*60</f>
        <v>1375.3333333333333</v>
      </c>
      <c r="O29" s="96">
        <f>N29/M29</f>
        <v>72.385964912280699</v>
      </c>
      <c r="P29" s="97">
        <f>M29-J29</f>
        <v>0</v>
      </c>
      <c r="Q29" s="98">
        <f>O29-L29</f>
        <v>-9.9824561403508767</v>
      </c>
      <c r="R29" s="99">
        <f>O29/L29</f>
        <v>0.8788072417465389</v>
      </c>
      <c r="S29" s="473"/>
      <c r="T29" s="19">
        <v>0.55208333333333304</v>
      </c>
      <c r="U29" s="19">
        <v>0.61458333333333304</v>
      </c>
      <c r="V29" s="92">
        <f>(T29-U28)*24*60</f>
        <v>90.000000000000085</v>
      </c>
      <c r="W29" s="149">
        <f t="shared" si="5"/>
        <v>90</v>
      </c>
      <c r="X29" s="22"/>
      <c r="Y29" s="84"/>
      <c r="Z29" s="90"/>
      <c r="AA29" s="90"/>
      <c r="AB29" s="466"/>
      <c r="AC29" s="466"/>
      <c r="AD29" s="92"/>
      <c r="AE29" s="92"/>
      <c r="AF29" s="312">
        <f t="shared" si="7"/>
        <v>-189.66666666666674</v>
      </c>
      <c r="AG29" s="99">
        <f t="shared" si="8"/>
        <v>0.87880724174653879</v>
      </c>
      <c r="AH29" s="482"/>
    </row>
    <row r="30" spans="1:34" ht="15" customHeight="1">
      <c r="A30" s="470"/>
      <c r="B30" s="371" t="s">
        <v>81</v>
      </c>
      <c r="C30" s="372"/>
      <c r="D30" s="373" t="s">
        <v>145</v>
      </c>
      <c r="E30" s="374"/>
      <c r="F30" s="375">
        <f>VLOOKUP(D30,廠價表!$C$1:$E$43,3,0)</f>
        <v>57.21</v>
      </c>
      <c r="G30" s="90">
        <v>439</v>
      </c>
      <c r="H30" s="91">
        <f>F30*G30</f>
        <v>25115.19</v>
      </c>
      <c r="I30" s="92"/>
      <c r="J30" s="79">
        <f>VLOOKUP(D30,產線配置圖!$A$3:$C$40,2,0)</f>
        <v>17</v>
      </c>
      <c r="K30" s="80">
        <f>VLOOKUP(D30,產線配置圖!$A$3:$C$40,3,0)</f>
        <v>1565</v>
      </c>
      <c r="L30" s="93">
        <f>K30/J30</f>
        <v>92.058823529411768</v>
      </c>
      <c r="M30" s="94">
        <v>6</v>
      </c>
      <c r="N30" s="95">
        <f>G30/W30*60</f>
        <v>1316.9999999999941</v>
      </c>
      <c r="O30" s="96">
        <f>N30/M30</f>
        <v>219.49999999999901</v>
      </c>
      <c r="P30" s="97">
        <f>M30-J30</f>
        <v>-11</v>
      </c>
      <c r="Q30" s="98">
        <f>O30-L30</f>
        <v>127.44117647058724</v>
      </c>
      <c r="R30" s="99">
        <f>O30/L30</f>
        <v>2.3843450479233117</v>
      </c>
      <c r="S30" s="473"/>
      <c r="T30" s="19">
        <v>0.62083333333333302</v>
      </c>
      <c r="U30" s="19">
        <v>0.63472222222222197</v>
      </c>
      <c r="V30" s="92"/>
      <c r="W30" s="149">
        <f t="shared" si="5"/>
        <v>20.000000000000089</v>
      </c>
      <c r="X30" s="174"/>
      <c r="Y30" s="301"/>
      <c r="Z30" s="335"/>
      <c r="AA30" s="335"/>
      <c r="AB30" s="466" t="s">
        <v>196</v>
      </c>
      <c r="AC30" s="466"/>
      <c r="AD30" s="92"/>
      <c r="AE30" s="92"/>
      <c r="AF30" s="312">
        <f t="shared" si="7"/>
        <v>-248.00000000000591</v>
      </c>
      <c r="AG30" s="99">
        <f t="shared" si="8"/>
        <v>0.84153354632587485</v>
      </c>
      <c r="AH30" s="483"/>
    </row>
    <row r="31" spans="1:34" ht="15" customHeight="1">
      <c r="A31" s="470"/>
      <c r="B31" s="365"/>
      <c r="C31" s="366"/>
      <c r="D31" s="175"/>
      <c r="E31" s="367"/>
      <c r="F31" s="36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3"/>
      <c r="T31" s="19"/>
      <c r="U31" s="19"/>
      <c r="V31" s="92"/>
      <c r="W31" s="149">
        <f t="shared" si="5"/>
        <v>0</v>
      </c>
      <c r="X31" s="174"/>
      <c r="Y31" s="301"/>
      <c r="Z31" s="335"/>
      <c r="AA31" s="335"/>
      <c r="AB31" s="466"/>
      <c r="AC31" s="466"/>
      <c r="AD31" s="92"/>
      <c r="AE31" s="92"/>
      <c r="AF31" s="312">
        <f t="shared" si="7"/>
        <v>0</v>
      </c>
      <c r="AG31" s="99" t="e">
        <f t="shared" si="8"/>
        <v>#DIV/0!</v>
      </c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50"/>
      <c r="U32" s="150"/>
      <c r="V32" s="92"/>
      <c r="W32" s="149">
        <f t="shared" si="5"/>
        <v>0</v>
      </c>
      <c r="X32" s="174"/>
      <c r="Y32" s="301"/>
      <c r="Z32" s="335"/>
      <c r="AA32" s="335"/>
      <c r="AB32" s="466"/>
      <c r="AC32" s="466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50"/>
      <c r="U33" s="150"/>
      <c r="V33" s="92"/>
      <c r="W33" s="149">
        <f t="shared" si="5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5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5"/>
        <v>0</v>
      </c>
      <c r="X35" s="174"/>
      <c r="Y35" s="301"/>
      <c r="Z35" s="335"/>
      <c r="AA35" s="335"/>
      <c r="AB35" s="466"/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5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>
        <f t="shared" ref="J37:O37" si="9">AVERAGE(J27:J36)</f>
        <v>17.5</v>
      </c>
      <c r="K37" s="155">
        <f t="shared" si="9"/>
        <v>1602.75</v>
      </c>
      <c r="L37" s="158">
        <f t="shared" si="9"/>
        <v>91.856811145510832</v>
      </c>
      <c r="M37" s="155">
        <f t="shared" si="9"/>
        <v>14.75</v>
      </c>
      <c r="N37" s="155">
        <f t="shared" si="9"/>
        <v>1284.7420634920654</v>
      </c>
      <c r="O37" s="158">
        <f t="shared" si="9"/>
        <v>108.95141653152484</v>
      </c>
      <c r="P37" s="159">
        <f>M37-J37</f>
        <v>-2.75</v>
      </c>
      <c r="Q37" s="160">
        <f>N37-K37</f>
        <v>-318.00793650793457</v>
      </c>
      <c r="R37" s="161">
        <f>O37/L37</f>
        <v>1.1861005751542404</v>
      </c>
      <c r="S37" s="474"/>
      <c r="T37" s="163"/>
      <c r="U37" s="163"/>
      <c r="V37" s="164"/>
      <c r="W37" s="164"/>
      <c r="X37" s="321"/>
      <c r="Y37" s="322"/>
      <c r="Z37" s="334">
        <f>SUM(Z27:Z36)</f>
        <v>5</v>
      </c>
      <c r="AA37" s="334">
        <f>SUM(AA27:AA36)</f>
        <v>24</v>
      </c>
      <c r="AB37" s="477"/>
      <c r="AC37" s="477"/>
      <c r="AD37" s="324">
        <f>SUM(AD27:AD36)</f>
        <v>0</v>
      </c>
      <c r="AE37" s="324">
        <f>SUM(AE27:AE36)</f>
        <v>0</v>
      </c>
      <c r="AF37" s="309">
        <f>N37-K37</f>
        <v>-318.00793650793457</v>
      </c>
      <c r="AG37" s="124">
        <f>N37/K37</f>
        <v>0.80158606363566709</v>
      </c>
      <c r="AH37" s="464"/>
    </row>
    <row r="38" spans="1:34" ht="15" customHeight="1">
      <c r="A38" s="491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2991</v>
      </c>
      <c r="H38" s="134">
        <f>F38*G38</f>
        <v>149280.81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1495.4999999999875</v>
      </c>
      <c r="O38" s="141">
        <f>N38/M38</f>
        <v>99.699999999999164</v>
      </c>
      <c r="P38" s="142">
        <f>M38-J38</f>
        <v>0</v>
      </c>
      <c r="Q38" s="143">
        <f>O38-L38</f>
        <v>-14.566666666667501</v>
      </c>
      <c r="R38" s="144">
        <f>O38/L38</f>
        <v>0.87252042007000441</v>
      </c>
      <c r="S38" s="494">
        <f>R48</f>
        <v>0.81897933611154294</v>
      </c>
      <c r="T38" s="191">
        <v>0.33333333333333298</v>
      </c>
      <c r="U38" s="191">
        <v>0.41666666666666702</v>
      </c>
      <c r="V38" s="192"/>
      <c r="W38" s="193">
        <f t="shared" si="5"/>
        <v>120.00000000000101</v>
      </c>
      <c r="X38" s="194"/>
      <c r="Y38" s="302"/>
      <c r="Z38" s="336"/>
      <c r="AA38" s="336"/>
      <c r="AB38" s="496"/>
      <c r="AC38" s="496"/>
      <c r="AD38" s="192"/>
      <c r="AE38" s="192"/>
      <c r="AF38" s="313">
        <f>N38-K38</f>
        <v>-218.50000000001251</v>
      </c>
      <c r="AG38" s="195">
        <f>N38/K38</f>
        <v>0.87252042007000441</v>
      </c>
      <c r="AH38" s="484">
        <f>AG48</f>
        <v>0.81652528027774707</v>
      </c>
    </row>
    <row r="39" spans="1:34" ht="15" customHeight="1">
      <c r="A39" s="492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2332</v>
      </c>
      <c r="H39" s="91">
        <f>F39*G39</f>
        <v>103307.59999999999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1307.663551401861</v>
      </c>
      <c r="O39" s="203">
        <f>N39/M39</f>
        <v>76.921385376580062</v>
      </c>
      <c r="P39" s="97">
        <f>M39-J39</f>
        <v>0</v>
      </c>
      <c r="Q39" s="98">
        <f>O39-L39</f>
        <v>-19.313908741066996</v>
      </c>
      <c r="R39" s="99">
        <f>O39/L39</f>
        <v>0.79930534926764119</v>
      </c>
      <c r="S39" s="495"/>
      <c r="T39" s="20">
        <v>0.42569444444444399</v>
      </c>
      <c r="U39" s="20">
        <v>0.5</v>
      </c>
      <c r="V39" s="92">
        <f>(T39-U38)*24*60</f>
        <v>12.999999999998835</v>
      </c>
      <c r="W39" s="205">
        <f t="shared" si="5"/>
        <v>107.00000000000065</v>
      </c>
      <c r="X39" s="22"/>
      <c r="Y39" s="84"/>
      <c r="Z39" s="90"/>
      <c r="AA39" s="90"/>
      <c r="AB39" s="487"/>
      <c r="AC39" s="487"/>
      <c r="AD39" s="200"/>
      <c r="AE39" s="200"/>
      <c r="AF39" s="314">
        <f>N39-K39</f>
        <v>-328.33644859813899</v>
      </c>
      <c r="AG39" s="206">
        <f>N39/K39</f>
        <v>0.79930534926764119</v>
      </c>
      <c r="AH39" s="485"/>
    </row>
    <row r="40" spans="1:34" ht="15" customHeight="1">
      <c r="A40" s="492"/>
      <c r="B40" s="75" t="s">
        <v>123</v>
      </c>
      <c r="C40" s="207"/>
      <c r="D40" s="198" t="s">
        <v>124</v>
      </c>
      <c r="E40" s="178"/>
      <c r="F40" s="75">
        <f>VLOOKUP(D40,廠價表!$C$1:$E$43,3,0)</f>
        <v>44.3</v>
      </c>
      <c r="G40" s="199">
        <v>2684</v>
      </c>
      <c r="H40" s="91">
        <f>F40*G40</f>
        <v>118901.2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1268.0314960629983</v>
      </c>
      <c r="O40" s="203">
        <f>N40/M40</f>
        <v>74.590088003705773</v>
      </c>
      <c r="P40" s="97">
        <f>M40-J40</f>
        <v>0</v>
      </c>
      <c r="Q40" s="98">
        <f>O40-L40</f>
        <v>-21.645206113941285</v>
      </c>
      <c r="R40" s="99">
        <f>O40/L40</f>
        <v>0.77508037656662476</v>
      </c>
      <c r="S40" s="417"/>
      <c r="T40" s="20">
        <v>0.55555555555555602</v>
      </c>
      <c r="U40" s="20">
        <v>0.64375000000000004</v>
      </c>
      <c r="V40" s="92">
        <f>(T40-U39)*24*60</f>
        <v>80.000000000000682</v>
      </c>
      <c r="W40" s="205">
        <f t="shared" si="5"/>
        <v>126.99999999999939</v>
      </c>
      <c r="X40" s="208"/>
      <c r="Y40" s="209"/>
      <c r="Z40" s="337"/>
      <c r="AA40" s="337"/>
      <c r="AB40" s="466"/>
      <c r="AC40" s="466"/>
      <c r="AD40" s="92"/>
      <c r="AE40" s="92"/>
      <c r="AF40" s="314">
        <f>N40-K40</f>
        <v>-367.96850393700174</v>
      </c>
      <c r="AG40" s="206">
        <f>N40/K40</f>
        <v>0.77508037656662487</v>
      </c>
      <c r="AH40" s="485"/>
    </row>
    <row r="41" spans="1:34" ht="15" customHeight="1">
      <c r="A41" s="49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7"/>
      <c r="T41" s="20"/>
      <c r="U41" s="210"/>
      <c r="V41" s="92"/>
      <c r="W41" s="205">
        <f t="shared" si="5"/>
        <v>0</v>
      </c>
      <c r="X41" s="208"/>
      <c r="Y41" s="209"/>
      <c r="Z41" s="337"/>
      <c r="AA41" s="337"/>
      <c r="AB41" s="466"/>
      <c r="AC41" s="466"/>
      <c r="AD41" s="92"/>
      <c r="AE41" s="92"/>
      <c r="AF41" s="314">
        <f>N41-K41</f>
        <v>0</v>
      </c>
      <c r="AG41" s="206" t="e">
        <f>N41/K41</f>
        <v>#DIV/0!</v>
      </c>
      <c r="AH41" s="485"/>
    </row>
    <row r="42" spans="1:34" ht="15" customHeight="1">
      <c r="A42" s="49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7"/>
      <c r="T42" s="210"/>
      <c r="U42" s="210"/>
      <c r="V42" s="92"/>
      <c r="W42" s="205">
        <f t="shared" si="5"/>
        <v>0</v>
      </c>
      <c r="X42" s="208"/>
      <c r="Y42" s="211"/>
      <c r="Z42" s="338"/>
      <c r="AA42" s="338"/>
      <c r="AB42" s="466"/>
      <c r="AC42" s="466"/>
      <c r="AD42" s="92"/>
      <c r="AE42" s="92"/>
      <c r="AF42" s="314"/>
      <c r="AG42" s="206"/>
      <c r="AH42" s="485"/>
    </row>
    <row r="43" spans="1:34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si="5"/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5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5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16"/>
      <c r="U46" s="216"/>
      <c r="V46" s="200"/>
      <c r="W46" s="205">
        <f t="shared" si="5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5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>
        <f t="shared" ref="J48:O48" si="10">AVERAGE(J38:J47)</f>
        <v>16.333333333333332</v>
      </c>
      <c r="K48" s="155">
        <f t="shared" si="10"/>
        <v>1662</v>
      </c>
      <c r="L48" s="158">
        <f t="shared" si="10"/>
        <v>102.24575163398693</v>
      </c>
      <c r="M48" s="155">
        <f t="shared" si="10"/>
        <v>16.333333333333332</v>
      </c>
      <c r="N48" s="155">
        <f t="shared" si="10"/>
        <v>1357.0650158216156</v>
      </c>
      <c r="O48" s="158">
        <f t="shared" si="10"/>
        <v>83.737157793428324</v>
      </c>
      <c r="P48" s="221">
        <f>M48-J48</f>
        <v>0</v>
      </c>
      <c r="Q48" s="222">
        <f>N48-K48</f>
        <v>-304.93498417838441</v>
      </c>
      <c r="R48" s="223">
        <f>O48/L48</f>
        <v>0.81897933611154294</v>
      </c>
      <c r="S48" s="420"/>
      <c r="T48" s="224"/>
      <c r="U48" s="224"/>
      <c r="V48" s="225"/>
      <c r="W48" s="226">
        <f t="shared" si="5"/>
        <v>0</v>
      </c>
      <c r="X48" s="227"/>
      <c r="Y48" s="303"/>
      <c r="Z48" s="334">
        <f>SUM(Z38:Z47)</f>
        <v>0</v>
      </c>
      <c r="AA48" s="334">
        <f>SUM(AA38:AA47)</f>
        <v>0</v>
      </c>
      <c r="AB48" s="467"/>
      <c r="AC48" s="467"/>
      <c r="AD48" s="323">
        <f>SUM(AD38:AD47)</f>
        <v>0</v>
      </c>
      <c r="AE48" s="323">
        <f>SUM(AE38:AE47)</f>
        <v>0</v>
      </c>
      <c r="AF48" s="315">
        <f t="shared" ref="AF48:AF53" si="11">N48-K48</f>
        <v>-304.93498417838441</v>
      </c>
      <c r="AG48" s="162">
        <f t="shared" ref="AG48:AG53" si="12">N48/K48</f>
        <v>0.81652528027774707</v>
      </c>
      <c r="AH48" s="486"/>
    </row>
    <row r="49" spans="1:34" ht="15" customHeight="1">
      <c r="A49" s="488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2268</v>
      </c>
      <c r="H49" s="134">
        <f>F49*G49</f>
        <v>112311.36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1701.0000000000177</v>
      </c>
      <c r="O49" s="141">
        <f>N49/M49</f>
        <v>100.05882352941281</v>
      </c>
      <c r="P49" s="229">
        <f>M49-J49</f>
        <v>0</v>
      </c>
      <c r="Q49" s="230">
        <f>O49-L49</f>
        <v>-5.8235294117636585</v>
      </c>
      <c r="R49" s="52">
        <f>O49/L49</f>
        <v>0.94500000000000994</v>
      </c>
      <c r="S49" s="416">
        <f>R58</f>
        <v>0.92072067677777947</v>
      </c>
      <c r="T49" s="191">
        <v>0.29166666666666702</v>
      </c>
      <c r="U49" s="191">
        <v>0.34722222222222199</v>
      </c>
      <c r="V49" s="55"/>
      <c r="W49" s="193">
        <f t="shared" si="5"/>
        <v>79.999999999999162</v>
      </c>
      <c r="X49" s="55"/>
      <c r="Y49" s="290"/>
      <c r="Z49" s="169"/>
      <c r="AA49" s="169"/>
      <c r="AB49" s="468"/>
      <c r="AC49" s="468"/>
      <c r="AD49" s="135"/>
      <c r="AE49" s="135"/>
      <c r="AF49" s="229">
        <f t="shared" si="11"/>
        <v>-98.999999999982265</v>
      </c>
      <c r="AG49" s="52">
        <f t="shared" si="12"/>
        <v>0.94500000000000983</v>
      </c>
      <c r="AH49" s="461">
        <f>AG58</f>
        <v>0.9235860943651728</v>
      </c>
    </row>
    <row r="50" spans="1:34" ht="15" customHeight="1">
      <c r="A50" s="489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2652</v>
      </c>
      <c r="H50" s="231">
        <f>F50*G50</f>
        <v>132520.44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1640.4123711340237</v>
      </c>
      <c r="O50" s="235">
        <f>N50/M50</f>
        <v>102.52577319587648</v>
      </c>
      <c r="P50" s="74">
        <f>M50-J50</f>
        <v>0</v>
      </c>
      <c r="Q50" s="83">
        <f>O50-L50</f>
        <v>-9.9742268041235178</v>
      </c>
      <c r="R50" s="72">
        <f>O50/L50</f>
        <v>0.91134020618556877</v>
      </c>
      <c r="S50" s="417"/>
      <c r="T50" s="21">
        <v>0.35277777777777802</v>
      </c>
      <c r="U50" s="21">
        <v>0.42013888888888901</v>
      </c>
      <c r="V50" s="30">
        <f>(T50-U49)*24*60</f>
        <v>8.000000000000691</v>
      </c>
      <c r="W50" s="236">
        <f t="shared" si="5"/>
        <v>96.999999999999815</v>
      </c>
      <c r="X50" s="22"/>
      <c r="Y50" s="84"/>
      <c r="Z50" s="90"/>
      <c r="AA50" s="90"/>
      <c r="AB50" s="466"/>
      <c r="AC50" s="466"/>
      <c r="AD50" s="92"/>
      <c r="AE50" s="92"/>
      <c r="AF50" s="307">
        <f t="shared" si="11"/>
        <v>-159.58762886597628</v>
      </c>
      <c r="AG50" s="72">
        <f t="shared" si="12"/>
        <v>0.91134020618556877</v>
      </c>
      <c r="AH50" s="462"/>
    </row>
    <row r="51" spans="1:34" ht="15" customHeight="1">
      <c r="A51" s="489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1732</v>
      </c>
      <c r="H51" s="231">
        <f>F51*G51</f>
        <v>87100.54800000001</v>
      </c>
      <c r="I51" s="232"/>
      <c r="J51" s="79">
        <f>VLOOKUP(D51,產線配置圖!$A$3:$C$40,2,0)</f>
        <v>19</v>
      </c>
      <c r="K51" s="80">
        <f>VLOOKUP(D51,產線配置圖!$A$3:$C$40,3,0)</f>
        <v>1565</v>
      </c>
      <c r="L51" s="81">
        <f>K51/J51</f>
        <v>82.368421052631575</v>
      </c>
      <c r="M51" s="233">
        <v>19</v>
      </c>
      <c r="N51" s="234">
        <f>G51/W51*60</f>
        <v>1551.0447761193955</v>
      </c>
      <c r="O51" s="235">
        <f>N51/M51</f>
        <v>81.633935585231342</v>
      </c>
      <c r="P51" s="74">
        <f>M51-J51</f>
        <v>0</v>
      </c>
      <c r="Q51" s="83">
        <f>O51-L51</f>
        <v>-0.73448546740023346</v>
      </c>
      <c r="R51" s="72">
        <f>O51/L51</f>
        <v>0.9910829240379524</v>
      </c>
      <c r="S51" s="417"/>
      <c r="T51" s="21">
        <v>0.42569444444444399</v>
      </c>
      <c r="U51" s="19">
        <v>0.47222222222222199</v>
      </c>
      <c r="V51" s="30">
        <f>(T51-U50)*24*60</f>
        <v>7.9999999999991722</v>
      </c>
      <c r="W51" s="236">
        <f t="shared" si="5"/>
        <v>67.000000000000327</v>
      </c>
      <c r="X51" s="22"/>
      <c r="Y51" s="84"/>
      <c r="Z51" s="90"/>
      <c r="AA51" s="90"/>
      <c r="AB51" s="466"/>
      <c r="AC51" s="466"/>
      <c r="AD51" s="92"/>
      <c r="AE51" s="92"/>
      <c r="AF51" s="307">
        <f t="shared" si="11"/>
        <v>-13.955223880604535</v>
      </c>
      <c r="AG51" s="72">
        <f t="shared" si="12"/>
        <v>0.9910829240379524</v>
      </c>
      <c r="AH51" s="462"/>
    </row>
    <row r="52" spans="1:34" ht="15" customHeight="1">
      <c r="A52" s="489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3209</v>
      </c>
      <c r="H52" s="231">
        <f>F52*G52</f>
        <v>160353.73000000001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1540.3199999999915</v>
      </c>
      <c r="O52" s="235">
        <f>N52/M52</f>
        <v>96.26999999999947</v>
      </c>
      <c r="P52" s="74">
        <f>M52-J52</f>
        <v>0</v>
      </c>
      <c r="Q52" s="83">
        <f>O52-L52</f>
        <v>-16.23000000000053</v>
      </c>
      <c r="R52" s="72">
        <f>O52/L52</f>
        <v>0.85573333333332857</v>
      </c>
      <c r="S52" s="417"/>
      <c r="T52" s="21">
        <v>0.53125</v>
      </c>
      <c r="U52" s="21">
        <v>0.61805555555555602</v>
      </c>
      <c r="V52" s="30">
        <f>(T52-U51)*24*60</f>
        <v>85.000000000000341</v>
      </c>
      <c r="W52" s="236">
        <f t="shared" si="5"/>
        <v>125.00000000000068</v>
      </c>
      <c r="X52" s="22"/>
      <c r="Y52" s="84"/>
      <c r="Z52" s="90"/>
      <c r="AA52" s="90"/>
      <c r="AB52" s="466"/>
      <c r="AC52" s="466"/>
      <c r="AD52" s="92"/>
      <c r="AE52" s="92"/>
      <c r="AF52" s="307">
        <f t="shared" si="11"/>
        <v>-259.68000000000848</v>
      </c>
      <c r="AG52" s="72">
        <f t="shared" si="12"/>
        <v>0.85573333333332857</v>
      </c>
      <c r="AH52" s="462"/>
    </row>
    <row r="53" spans="1:34" ht="15" customHeight="1">
      <c r="A53" s="48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7"/>
      <c r="T53" s="21"/>
      <c r="U53" s="21"/>
      <c r="V53" s="30"/>
      <c r="W53" s="236">
        <f t="shared" si="5"/>
        <v>0</v>
      </c>
      <c r="X53" s="30"/>
      <c r="Y53" s="151"/>
      <c r="Z53" s="90"/>
      <c r="AA53" s="90"/>
      <c r="AB53" s="466"/>
      <c r="AC53" s="466"/>
      <c r="AD53" s="92"/>
      <c r="AE53" s="92"/>
      <c r="AF53" s="307">
        <f t="shared" si="11"/>
        <v>0</v>
      </c>
      <c r="AG53" s="72" t="e">
        <f t="shared" si="12"/>
        <v>#DIV/0!</v>
      </c>
      <c r="AH53" s="462"/>
    </row>
    <row r="54" spans="1:34" ht="15" customHeight="1">
      <c r="A54" s="48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7"/>
      <c r="T54" s="21"/>
      <c r="U54" s="21"/>
      <c r="V54" s="30"/>
      <c r="W54" s="236">
        <f t="shared" si="5"/>
        <v>0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5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5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114"/>
      <c r="U57" s="114"/>
      <c r="V57" s="237"/>
      <c r="W57" s="236">
        <f t="shared" si="5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>
      <c r="A58" s="490"/>
      <c r="B58" s="239"/>
      <c r="C58" s="153" t="s">
        <v>51</v>
      </c>
      <c r="D58" s="437" t="s">
        <v>42</v>
      </c>
      <c r="E58" s="437"/>
      <c r="F58" s="116"/>
      <c r="G58" s="240"/>
      <c r="H58" s="118"/>
      <c r="I58" s="117"/>
      <c r="J58" s="120">
        <f t="shared" ref="J58:O58" si="13">AVERAGE(J49:J57)</f>
        <v>17</v>
      </c>
      <c r="K58" s="120">
        <f t="shared" si="13"/>
        <v>1741.25</v>
      </c>
      <c r="L58" s="117">
        <f t="shared" si="13"/>
        <v>103.31269349845201</v>
      </c>
      <c r="M58" s="120">
        <f t="shared" si="13"/>
        <v>17</v>
      </c>
      <c r="N58" s="120">
        <f t="shared" si="13"/>
        <v>1608.1942868133572</v>
      </c>
      <c r="O58" s="117">
        <f t="shared" si="13"/>
        <v>95.122133077630025</v>
      </c>
      <c r="P58" s="121">
        <f>M58-J58</f>
        <v>0</v>
      </c>
      <c r="Q58" s="122">
        <f>N58-K58</f>
        <v>-133.05571318664283</v>
      </c>
      <c r="R58" s="123">
        <f>O58/L58</f>
        <v>0.92072067677777947</v>
      </c>
      <c r="S58" s="42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7"/>
      <c r="AC58" s="467"/>
      <c r="AD58" s="323">
        <f>SUM(AD49:AD57)</f>
        <v>0</v>
      </c>
      <c r="AE58" s="323">
        <f>SUM(AE49:AE57)</f>
        <v>0</v>
      </c>
      <c r="AF58" s="309">
        <f>N58-K58</f>
        <v>-133.05571318664283</v>
      </c>
      <c r="AG58" s="124">
        <f>N58/K58</f>
        <v>0.9235860943651728</v>
      </c>
      <c r="AH58" s="464"/>
    </row>
    <row r="59" spans="1:34" ht="15" customHeight="1">
      <c r="A59" s="502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2795</v>
      </c>
      <c r="H59" s="243">
        <f>F59*G59</f>
        <v>75437.049999999988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1524.5454545454522</v>
      </c>
      <c r="O59" s="138">
        <f>N59/M59</f>
        <v>101.63636363636348</v>
      </c>
      <c r="P59" s="56">
        <f>M59-J59</f>
        <v>0</v>
      </c>
      <c r="Q59" s="230">
        <f>O59-L59</f>
        <v>-2.6969696969698447</v>
      </c>
      <c r="R59" s="52">
        <f>O59/L59</f>
        <v>0.97415045018878743</v>
      </c>
      <c r="S59" s="416">
        <f>R69</f>
        <v>0.85605333199954758</v>
      </c>
      <c r="T59" s="245">
        <v>0.28819444444444398</v>
      </c>
      <c r="U59" s="245">
        <v>0.36458333333333298</v>
      </c>
      <c r="V59" s="55"/>
      <c r="W59" s="54">
        <f t="shared" si="5"/>
        <v>110.00000000000017</v>
      </c>
      <c r="X59" s="55"/>
      <c r="Y59" s="290"/>
      <c r="Z59" s="169"/>
      <c r="AA59" s="169"/>
      <c r="AB59" s="468"/>
      <c r="AC59" s="468"/>
      <c r="AD59" s="135"/>
      <c r="AE59" s="135"/>
      <c r="AF59" s="310">
        <f>N59-K59</f>
        <v>-40.45454545454777</v>
      </c>
      <c r="AG59" s="246">
        <f>N59/K59</f>
        <v>0.97415045018878732</v>
      </c>
      <c r="AH59" s="461">
        <f>AG69</f>
        <v>0.85912073560297175</v>
      </c>
    </row>
    <row r="60" spans="1:34" ht="15" customHeight="1">
      <c r="A60" s="503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2141</v>
      </c>
      <c r="H60" s="78">
        <f>F60*G60</f>
        <v>60504.66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1511.2941176470529</v>
      </c>
      <c r="O60" s="81">
        <f>N60/M60</f>
        <v>125.94117647058773</v>
      </c>
      <c r="P60" s="74">
        <f>M60-J60</f>
        <v>0</v>
      </c>
      <c r="Q60" s="83">
        <f>O60-L60</f>
        <v>-4.4754901960789226</v>
      </c>
      <c r="R60" s="72">
        <f>O60/L60</f>
        <v>0.96568314226648744</v>
      </c>
      <c r="S60" s="506"/>
      <c r="T60" s="22">
        <v>0.37152777777777801</v>
      </c>
      <c r="U60" s="22">
        <v>0.43055555555555602</v>
      </c>
      <c r="V60" s="30">
        <f>(T60-U59)*24*60</f>
        <v>10.000000000000844</v>
      </c>
      <c r="W60" s="248">
        <f t="shared" si="5"/>
        <v>85.000000000000341</v>
      </c>
      <c r="X60" s="232"/>
      <c r="Y60" s="177"/>
      <c r="Z60" s="90"/>
      <c r="AA60" s="90"/>
      <c r="AB60" s="466"/>
      <c r="AC60" s="466"/>
      <c r="AD60" s="92"/>
      <c r="AE60" s="92"/>
      <c r="AF60" s="316">
        <f>N60-K60</f>
        <v>-53.705882352947128</v>
      </c>
      <c r="AG60" s="249">
        <f>N60/K60</f>
        <v>0.96568314226648744</v>
      </c>
      <c r="AH60" s="497"/>
    </row>
    <row r="61" spans="1:34" ht="15" customHeight="1">
      <c r="A61" s="504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1228</v>
      </c>
      <c r="H61" s="254">
        <f>F61*G61</f>
        <v>62222.76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13</v>
      </c>
      <c r="N61" s="107">
        <f>G61/W61*60</f>
        <v>1227.9999999999898</v>
      </c>
      <c r="O61" s="238">
        <f>N61/M61</f>
        <v>94.461538461537671</v>
      </c>
      <c r="P61" s="111">
        <f>M61-J61</f>
        <v>0</v>
      </c>
      <c r="Q61" s="255">
        <f>O61-L61</f>
        <v>-16.307692307693102</v>
      </c>
      <c r="R61" s="85">
        <f>O61/L61</f>
        <v>0.85277777777777064</v>
      </c>
      <c r="S61" s="417"/>
      <c r="T61" s="22">
        <v>0.4375</v>
      </c>
      <c r="U61" s="22">
        <v>0.47916666666666702</v>
      </c>
      <c r="V61" s="30">
        <f>(T61-U60)*24*60</f>
        <v>9.999999999999325</v>
      </c>
      <c r="W61" s="256">
        <f t="shared" si="5"/>
        <v>60.000000000000504</v>
      </c>
      <c r="X61" s="22"/>
      <c r="Y61" s="84"/>
      <c r="Z61" s="90"/>
      <c r="AA61" s="90"/>
      <c r="AB61" s="466"/>
      <c r="AC61" s="466"/>
      <c r="AD61" s="92"/>
      <c r="AE61" s="92"/>
      <c r="AF61" s="317">
        <f>N61-K61</f>
        <v>-212.00000000001023</v>
      </c>
      <c r="AG61" s="247">
        <f>N61/K61</f>
        <v>0.85277777777777064</v>
      </c>
      <c r="AH61" s="462"/>
    </row>
    <row r="62" spans="1:34" ht="15" customHeight="1">
      <c r="A62" s="504"/>
      <c r="B62" s="250" t="s">
        <v>81</v>
      </c>
      <c r="C62" s="251"/>
      <c r="D62" s="257" t="s">
        <v>119</v>
      </c>
      <c r="E62" s="253"/>
      <c r="F62" s="250">
        <f>VLOOKUP(D62,廠價表!$C$1:$E$43,3,0)</f>
        <v>50.67</v>
      </c>
      <c r="G62" s="38">
        <v>673</v>
      </c>
      <c r="H62" s="254">
        <f t="shared" ref="H62:H63" si="14">F62*G62</f>
        <v>34100.910000000003</v>
      </c>
      <c r="I62" s="182"/>
      <c r="J62" s="106">
        <f>VLOOKUP(D62,產線配置圖!$A$3:$C$40,2,0)</f>
        <v>13</v>
      </c>
      <c r="K62" s="107">
        <f>VLOOKUP(D62,產線配置圖!$A$3:$C$40,3,0)</f>
        <v>1440</v>
      </c>
      <c r="L62" s="238">
        <f t="shared" ref="L62:L63" si="15">K62/J62</f>
        <v>110.76923076923077</v>
      </c>
      <c r="M62" s="108">
        <v>13</v>
      </c>
      <c r="N62" s="107">
        <f t="shared" ref="N62:N63" si="16">G62/W62*60</f>
        <v>807.60000000000548</v>
      </c>
      <c r="O62" s="238">
        <f t="shared" ref="O62:O63" si="17">N62/M62</f>
        <v>62.123076923077342</v>
      </c>
      <c r="P62" s="111">
        <f t="shared" ref="P62:P63" si="18">M62-J62</f>
        <v>0</v>
      </c>
      <c r="Q62" s="255">
        <f t="shared" ref="Q62:Q63" si="19">O62-L62</f>
        <v>-48.646153846153432</v>
      </c>
      <c r="R62" s="85">
        <f t="shared" ref="R62:R63" si="20">O62/L62</f>
        <v>0.56083333333333707</v>
      </c>
      <c r="S62" s="417"/>
      <c r="T62" s="22">
        <v>0.53125</v>
      </c>
      <c r="U62" s="22">
        <v>0.56597222222222199</v>
      </c>
      <c r="V62" s="30">
        <f>(T62-U61)*24*60</f>
        <v>74.999999999999488</v>
      </c>
      <c r="W62" s="248">
        <f t="shared" si="5"/>
        <v>49.999999999999659</v>
      </c>
      <c r="X62" s="22"/>
      <c r="Y62" s="84"/>
      <c r="Z62" s="90"/>
      <c r="AA62" s="90"/>
      <c r="AB62" s="466" t="s">
        <v>125</v>
      </c>
      <c r="AC62" s="466"/>
      <c r="AD62" s="92"/>
      <c r="AE62" s="92"/>
      <c r="AF62" s="317">
        <f>N62-K62</f>
        <v>-632.39999999999452</v>
      </c>
      <c r="AG62" s="247">
        <f>N62/K62</f>
        <v>0.56083333333333718</v>
      </c>
      <c r="AH62" s="462"/>
    </row>
    <row r="63" spans="1:34" ht="15" customHeight="1">
      <c r="A63" s="504"/>
      <c r="B63" s="258" t="s">
        <v>130</v>
      </c>
      <c r="C63" s="58"/>
      <c r="D63" s="259" t="s">
        <v>131</v>
      </c>
      <c r="E63" s="60"/>
      <c r="F63" s="250">
        <f>VLOOKUP(D63,廠價表!$C$1:$E$43,3,0)</f>
        <v>26.99</v>
      </c>
      <c r="G63" s="260">
        <v>1197</v>
      </c>
      <c r="H63" s="254">
        <f t="shared" si="14"/>
        <v>32307.03</v>
      </c>
      <c r="I63" s="182"/>
      <c r="J63" s="106">
        <f>VLOOKUP(D63,產線配置圖!$A$3:$C$40,2,0)</f>
        <v>15</v>
      </c>
      <c r="K63" s="107">
        <f>VLOOKUP(D63,產線配置圖!$A$3:$C$40,3,0)</f>
        <v>1565</v>
      </c>
      <c r="L63" s="238">
        <f t="shared" si="15"/>
        <v>104.33333333333333</v>
      </c>
      <c r="M63" s="68">
        <v>15</v>
      </c>
      <c r="N63" s="107">
        <f t="shared" si="16"/>
        <v>1436.4000000000099</v>
      </c>
      <c r="O63" s="238">
        <f t="shared" si="17"/>
        <v>95.760000000000659</v>
      </c>
      <c r="P63" s="111">
        <f t="shared" si="18"/>
        <v>0</v>
      </c>
      <c r="Q63" s="255">
        <f t="shared" si="19"/>
        <v>-8.5733333333326698</v>
      </c>
      <c r="R63" s="85">
        <f t="shared" si="20"/>
        <v>0.91782747603834502</v>
      </c>
      <c r="S63" s="417"/>
      <c r="T63" s="22">
        <v>0.57291666666666696</v>
      </c>
      <c r="U63" s="22">
        <v>0.60763888888888895</v>
      </c>
      <c r="V63" s="30">
        <f>(T63-U62)*24*60</f>
        <v>10.000000000000764</v>
      </c>
      <c r="W63" s="248">
        <f t="shared" si="5"/>
        <v>49.999999999999659</v>
      </c>
      <c r="X63" s="261"/>
      <c r="Y63" s="291"/>
      <c r="Z63" s="335"/>
      <c r="AA63" s="335"/>
      <c r="AB63" s="466"/>
      <c r="AC63" s="466"/>
      <c r="AD63" s="92"/>
      <c r="AE63" s="92"/>
      <c r="AF63" s="317"/>
      <c r="AG63" s="247"/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5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63"/>
      <c r="U65" s="263"/>
      <c r="V65" s="30"/>
      <c r="W65" s="73">
        <f t="shared" si="5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5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5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5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>
        <f t="shared" ref="J69:O69" si="21">AVERAGE(J59:J68)</f>
        <v>13.6</v>
      </c>
      <c r="K69" s="240">
        <f t="shared" si="21"/>
        <v>1515</v>
      </c>
      <c r="L69" s="268">
        <f t="shared" si="21"/>
        <v>112.12435897435898</v>
      </c>
      <c r="M69" s="240">
        <f t="shared" si="21"/>
        <v>13.6</v>
      </c>
      <c r="N69" s="240">
        <f t="shared" si="21"/>
        <v>1301.5679144385022</v>
      </c>
      <c r="O69" s="268">
        <f t="shared" si="21"/>
        <v>95.984431098313379</v>
      </c>
      <c r="P69" s="269">
        <f>M69-J69</f>
        <v>0</v>
      </c>
      <c r="Q69" s="222">
        <f>N69-K69</f>
        <v>-213.43208556149784</v>
      </c>
      <c r="R69" s="123">
        <f>O69/L69</f>
        <v>0.85605333199954758</v>
      </c>
      <c r="S69" s="42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7"/>
      <c r="AC69" s="467"/>
      <c r="AD69" s="323">
        <f>SUM(AD59:AD68)</f>
        <v>0</v>
      </c>
      <c r="AE69" s="323">
        <f>SUM(AE59:AE68)</f>
        <v>0</v>
      </c>
      <c r="AF69" s="309">
        <f>N69-K69</f>
        <v>-213.43208556149784</v>
      </c>
      <c r="AG69" s="124">
        <f>N69/K69</f>
        <v>0.85912073560297175</v>
      </c>
      <c r="AH69" s="464"/>
    </row>
    <row r="70" spans="1:36" ht="15" customHeight="1">
      <c r="A70" s="498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6">
        <f>R79</f>
        <v>0</v>
      </c>
      <c r="T70" s="245"/>
      <c r="U70" s="245"/>
      <c r="V70" s="55"/>
      <c r="W70" s="54">
        <f t="shared" si="5"/>
        <v>0</v>
      </c>
      <c r="X70" s="270"/>
      <c r="Y70" s="292"/>
      <c r="Z70" s="169"/>
      <c r="AA70" s="169"/>
      <c r="AB70" s="468"/>
      <c r="AC70" s="468"/>
      <c r="AD70" s="135"/>
      <c r="AE70" s="135"/>
      <c r="AF70" s="310">
        <f>N70-K70</f>
        <v>0</v>
      </c>
      <c r="AG70" s="246" t="e">
        <f>N70/K70</f>
        <v>#DIV/0!</v>
      </c>
      <c r="AH70" s="461" t="e">
        <f>AG79</f>
        <v>#DIV/0!</v>
      </c>
    </row>
    <row r="71" spans="1:36" ht="15" customHeight="1">
      <c r="A71" s="499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7"/>
      <c r="T71" s="22"/>
      <c r="U71" s="22"/>
      <c r="V71" s="30"/>
      <c r="W71" s="73">
        <f t="shared" si="5"/>
        <v>0</v>
      </c>
      <c r="X71" s="271"/>
      <c r="Y71" s="293"/>
      <c r="Z71" s="90"/>
      <c r="AA71" s="90"/>
      <c r="AB71" s="487"/>
      <c r="AC71" s="487"/>
      <c r="AD71" s="200"/>
      <c r="AE71" s="200"/>
      <c r="AF71" s="311">
        <v>-300.31249999999704</v>
      </c>
      <c r="AG71" s="99">
        <v>0.80810702875399554</v>
      </c>
      <c r="AH71" s="482"/>
    </row>
    <row r="72" spans="1:36" ht="15" customHeight="1">
      <c r="A72" s="499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7"/>
      <c r="T72" s="22"/>
      <c r="U72" s="22"/>
      <c r="V72" s="30"/>
      <c r="W72" s="73">
        <f t="shared" si="5"/>
        <v>0</v>
      </c>
      <c r="X72" s="272"/>
      <c r="Y72" s="288"/>
      <c r="Z72" s="90"/>
      <c r="AA72" s="90"/>
      <c r="AB72" s="466"/>
      <c r="AC72" s="466"/>
      <c r="AD72" s="92"/>
      <c r="AE72" s="92"/>
      <c r="AF72" s="311">
        <v>-130.33333333333326</v>
      </c>
      <c r="AG72" s="99">
        <v>0.91671991480298198</v>
      </c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5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5"/>
        <v>0</v>
      </c>
      <c r="X74" s="22"/>
      <c r="Y74" s="84"/>
      <c r="Z74" s="90"/>
      <c r="AA74" s="90"/>
      <c r="AB74" s="466"/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5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5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5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5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>
      <c r="A79" s="500"/>
      <c r="B79" s="239"/>
      <c r="C79" s="153" t="s">
        <v>56</v>
      </c>
      <c r="D79" s="437" t="s">
        <v>42</v>
      </c>
      <c r="E79" s="437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  <row r="129" spans="20:20">
      <c r="T129" s="517"/>
    </row>
    <row r="130" spans="20:20">
      <c r="T130" s="518"/>
    </row>
    <row r="131" spans="20:20">
      <c r="T131" s="518"/>
    </row>
  </sheetData>
  <mergeCells count="138">
    <mergeCell ref="P3:P4"/>
    <mergeCell ref="Q3:Q4"/>
    <mergeCell ref="R3:R4"/>
    <mergeCell ref="A2:B2"/>
    <mergeCell ref="A3:A4"/>
    <mergeCell ref="B3:B4"/>
    <mergeCell ref="D3:E4"/>
    <mergeCell ref="F3:F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T3:U3"/>
    <mergeCell ref="V3:V4"/>
    <mergeCell ref="W3:W4"/>
    <mergeCell ref="X3:Y3"/>
    <mergeCell ref="Z3:AA3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D37:E37"/>
    <mergeCell ref="AB37:AC3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30:AC30"/>
    <mergeCell ref="AB31:AC31"/>
    <mergeCell ref="AB32:AC32"/>
    <mergeCell ref="AB33:AC33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38:A48"/>
    <mergeCell ref="S38:S48"/>
    <mergeCell ref="AB38:AC38"/>
    <mergeCell ref="D48:E48"/>
    <mergeCell ref="AB48:AC4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59:AC59"/>
    <mergeCell ref="AB69:AC69"/>
    <mergeCell ref="AB34:AC34"/>
    <mergeCell ref="AB35:AC35"/>
    <mergeCell ref="AB36:AC36"/>
    <mergeCell ref="AH70:AH79"/>
    <mergeCell ref="AB71:AC71"/>
    <mergeCell ref="AB72:AC72"/>
    <mergeCell ref="AB73:AC73"/>
    <mergeCell ref="AB74:AC74"/>
    <mergeCell ref="AB75:AC75"/>
    <mergeCell ref="AB76:AC76"/>
    <mergeCell ref="AH49:AH58"/>
    <mergeCell ref="AB50:AC50"/>
    <mergeCell ref="AB51:AC51"/>
    <mergeCell ref="AB52:AC52"/>
    <mergeCell ref="AB53:AC53"/>
    <mergeCell ref="AB54:AC54"/>
    <mergeCell ref="A70:A79"/>
    <mergeCell ref="S70:S79"/>
    <mergeCell ref="AB70:AC70"/>
    <mergeCell ref="AB56:AC56"/>
    <mergeCell ref="AB57:AC57"/>
    <mergeCell ref="D58:E58"/>
    <mergeCell ref="AB58:AC58"/>
    <mergeCell ref="A59:A69"/>
    <mergeCell ref="S59:S69"/>
    <mergeCell ref="D69:E69"/>
    <mergeCell ref="A49:A58"/>
    <mergeCell ref="S49:S58"/>
    <mergeCell ref="AB49:AC49"/>
    <mergeCell ref="AB55:AC55"/>
    <mergeCell ref="T129:T131"/>
    <mergeCell ref="AB77:AC77"/>
    <mergeCell ref="AB78:AC78"/>
    <mergeCell ref="D79:E79"/>
    <mergeCell ref="AB79:AC79"/>
  </mergeCells>
  <phoneticPr fontId="0" type="noConversion"/>
  <conditionalFormatting sqref="P5:P79">
    <cfRule type="cellIs" dxfId="224" priority="1" operator="greaterThan">
      <formula>0</formula>
    </cfRule>
  </conditionalFormatting>
  <conditionalFormatting sqref="Q5:Q79 AF5:AF79">
    <cfRule type="cellIs" dxfId="223" priority="4" operator="lessThan">
      <formula>0</formula>
    </cfRule>
  </conditionalFormatting>
  <conditionalFormatting sqref="R5:R79 AG5:AG79">
    <cfRule type="cellIs" dxfId="222" priority="2" operator="greaterThan">
      <formula>1</formula>
    </cfRule>
    <cfRule type="cellIs" dxfId="221" priority="3" operator="lessThan">
      <formula>0.8</formula>
    </cfRule>
  </conditionalFormatting>
  <conditionalFormatting sqref="S5:S10 S37:S62 AH59:AH62 S69:S76 AH69:AH76">
    <cfRule type="cellIs" dxfId="220" priority="7" operator="lessThan">
      <formula>0.8</formula>
    </cfRule>
  </conditionalFormatting>
  <conditionalFormatting sqref="S19:S25 AH19:AH25">
    <cfRule type="cellIs" dxfId="219" priority="6" operator="lessThan">
      <formula>0.8</formula>
    </cfRule>
  </conditionalFormatting>
  <conditionalFormatting sqref="S79">
    <cfRule type="cellIs" dxfId="218" priority="5" operator="lessThan">
      <formula>0.8</formula>
    </cfRule>
  </conditionalFormatting>
  <conditionalFormatting sqref="AH5:AH8 S15:S16 AH15:AH16 AH49 AH79">
    <cfRule type="cellIs" dxfId="217" priority="9" operator="lessThan">
      <formula>0.8</formula>
    </cfRule>
  </conditionalFormatting>
  <conditionalFormatting sqref="AH27 S27:S28">
    <cfRule type="cellIs" dxfId="216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CB110A-E1DD-4830-B0BF-9616466B5A27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EE40-5AF9-4B3C-A8C0-E7A09F9BD214}">
  <dimension ref="B1:O26"/>
  <sheetViews>
    <sheetView zoomScale="70" zoomScaleNormal="70" workbookViewId="0">
      <selection activeCell="U53" sqref="U5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46156</v>
      </c>
      <c r="E3" s="412"/>
      <c r="F3" s="3" t="s">
        <v>72</v>
      </c>
      <c r="G3" s="413">
        <f>'0514'!E1</f>
        <v>52400</v>
      </c>
      <c r="H3" s="413"/>
      <c r="I3" s="3" t="s">
        <v>2</v>
      </c>
      <c r="J3" s="414">
        <f>'0514'!G1</f>
        <v>2558118.4920000006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>
        <f>AVERAGE(D13:I13)</f>
        <v>120.56054909143144</v>
      </c>
      <c r="G6" s="410"/>
      <c r="H6" s="395">
        <f>AVERAGE(D13:H13)</f>
        <v>121.63804352510235</v>
      </c>
      <c r="I6" s="395"/>
      <c r="J6" s="395">
        <f>AVERAGE(I13)</f>
        <v>115.17307692307692</v>
      </c>
      <c r="K6" s="395"/>
      <c r="L6" s="396">
        <f>SUM(D18:J18)</f>
        <v>4</v>
      </c>
      <c r="M6" s="398">
        <f>SUM(D19:J19)</f>
        <v>57</v>
      </c>
      <c r="N6" s="399">
        <f>SUM(D20:J20)</f>
        <v>0</v>
      </c>
      <c r="O6" s="398">
        <f>SUM(D20:J20)</f>
        <v>0</v>
      </c>
    </row>
    <row r="7" spans="2:15" ht="39.6" customHeight="1">
      <c r="B7" s="406"/>
      <c r="C7" s="406"/>
      <c r="D7" s="401" t="s">
        <v>87</v>
      </c>
      <c r="E7" s="401"/>
      <c r="F7" s="402">
        <f>AVERAGE(D14:I14)</f>
        <v>103.69572975356336</v>
      </c>
      <c r="G7" s="402"/>
      <c r="H7" s="403">
        <f>AVERAGE(D14:H14)</f>
        <v>103.55348392043261</v>
      </c>
      <c r="I7" s="403"/>
      <c r="J7" s="403">
        <f>AVERAGE(I14)</f>
        <v>104.40695891921712</v>
      </c>
      <c r="K7" s="403"/>
      <c r="L7" s="397" t="e">
        <f t="shared" ref="L7:O8" si="0">AVERAGE(K14:L14)</f>
        <v>#DIV/0!</v>
      </c>
      <c r="M7" s="398" t="e">
        <f t="shared" si="0"/>
        <v>#DIV/0!</v>
      </c>
      <c r="N7" s="400" t="e">
        <f t="shared" si="0"/>
        <v>#DIV/0!</v>
      </c>
      <c r="O7" s="398" t="e">
        <f t="shared" si="0"/>
        <v>#DIV/0!</v>
      </c>
    </row>
    <row r="8" spans="2:15" ht="39.6" customHeight="1">
      <c r="B8" s="406"/>
      <c r="C8" s="406"/>
      <c r="D8" s="401" t="s">
        <v>27</v>
      </c>
      <c r="E8" s="401"/>
      <c r="F8" s="387">
        <f>F7/F6</f>
        <v>0.86011328361586969</v>
      </c>
      <c r="G8" s="387"/>
      <c r="H8" s="387">
        <f>H7/H6</f>
        <v>0.85132480693889456</v>
      </c>
      <c r="I8" s="387"/>
      <c r="J8" s="387">
        <f>J7/J6</f>
        <v>0.9065222681247771</v>
      </c>
      <c r="K8" s="387"/>
      <c r="L8" s="397" t="e">
        <f t="shared" si="0"/>
        <v>#DIV/0!</v>
      </c>
      <c r="M8" s="398" t="e">
        <f t="shared" si="0"/>
        <v>#DIV/0!</v>
      </c>
      <c r="N8" s="400" t="e">
        <f t="shared" si="0"/>
        <v>#DIV/0!</v>
      </c>
      <c r="O8" s="398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>
        <f>VALUE('0514'!L15)</f>
        <v>150</v>
      </c>
      <c r="E13" s="13">
        <f>VALUE('0514'!L26)</f>
        <v>153.52747252747253</v>
      </c>
      <c r="F13" s="13">
        <f>VALUE('0514'!L37)</f>
        <v>96.411764705882362</v>
      </c>
      <c r="G13" s="13">
        <f>VALUE('0514'!L48)</f>
        <v>105.25098039215686</v>
      </c>
      <c r="H13" s="13">
        <f>VALUE('0514'!L58)</f>
        <v>103</v>
      </c>
      <c r="I13" s="13">
        <f>VALUE('0514'!L69)</f>
        <v>115.17307692307692</v>
      </c>
      <c r="J13" s="13">
        <f>'0514'!L79</f>
        <v>0</v>
      </c>
    </row>
    <row r="14" spans="2:15" ht="39.950000000000003" customHeight="1">
      <c r="B14" s="381"/>
      <c r="C14" s="12" t="s">
        <v>100</v>
      </c>
      <c r="D14" s="13">
        <f>VALUE('0514'!O15)</f>
        <v>139.35006927621203</v>
      </c>
      <c r="E14" s="13">
        <f>VALUE('0514'!O26)</f>
        <v>124.0872502664226</v>
      </c>
      <c r="F14" s="13">
        <f>VALUE('0514'!O37)</f>
        <v>72.729943897951841</v>
      </c>
      <c r="G14" s="13">
        <f>VALUE('0514'!O48)</f>
        <v>89.166031155545369</v>
      </c>
      <c r="H14" s="13">
        <f>VALUE('0514'!O58)</f>
        <v>92.434125006031167</v>
      </c>
      <c r="I14" s="13">
        <f>VALUE('0514'!O69)</f>
        <v>104.40695891921712</v>
      </c>
      <c r="J14" s="13">
        <f>'0514'!O79</f>
        <v>0</v>
      </c>
    </row>
    <row r="15" spans="2:15" ht="39.950000000000003" customHeight="1">
      <c r="B15" s="382"/>
      <c r="C15" s="10" t="s">
        <v>26</v>
      </c>
      <c r="D15" s="14">
        <f t="shared" ref="D15:I15" si="1">D14/D13</f>
        <v>0.92900046184141349</v>
      </c>
      <c r="E15" s="14">
        <f t="shared" si="1"/>
        <v>0.80824134093797562</v>
      </c>
      <c r="F15" s="14">
        <f t="shared" si="1"/>
        <v>0.75436793548821302</v>
      </c>
      <c r="G15" s="14">
        <f t="shared" si="1"/>
        <v>0.84717530253228768</v>
      </c>
      <c r="H15" s="14">
        <f t="shared" si="1"/>
        <v>0.89741868937894331</v>
      </c>
      <c r="I15" s="14">
        <f t="shared" si="1"/>
        <v>0.9065222681247771</v>
      </c>
      <c r="J15" s="15">
        <f>'0514'!S70</f>
        <v>0</v>
      </c>
    </row>
    <row r="16" spans="2:15" ht="17.25" customHeight="1">
      <c r="B16" s="383" t="s">
        <v>101</v>
      </c>
      <c r="C16" s="10" t="s">
        <v>34</v>
      </c>
      <c r="D16" s="16">
        <f>'0514'!T5</f>
        <v>0.29166666666666702</v>
      </c>
      <c r="E16" s="16">
        <f>'0514'!T16</f>
        <v>0.29166666666666702</v>
      </c>
      <c r="F16" s="16">
        <f>'0514'!T27</f>
        <v>0.33333333333333298</v>
      </c>
      <c r="G16" s="16">
        <f>'0514'!T38</f>
        <v>0.33333333333333298</v>
      </c>
      <c r="H16" s="16">
        <f>'0514'!T49</f>
        <v>0.29166666666666702</v>
      </c>
      <c r="I16" s="16">
        <f>'0514'!T59</f>
        <v>0.28819444444444398</v>
      </c>
      <c r="J16" s="16">
        <f>'0514'!T70</f>
        <v>0</v>
      </c>
    </row>
    <row r="17" spans="2:10" ht="17.25" customHeight="1">
      <c r="B17" s="384"/>
      <c r="C17" s="10" t="s">
        <v>35</v>
      </c>
      <c r="D17" s="16">
        <v>0.60624999999999996</v>
      </c>
      <c r="E17" s="19">
        <v>0.62847222222222199</v>
      </c>
      <c r="F17" s="19">
        <v>0.65347222222222201</v>
      </c>
      <c r="G17" s="20">
        <v>0.47916666666666702</v>
      </c>
      <c r="H17" s="21">
        <v>0.65972222222222199</v>
      </c>
      <c r="I17" s="22">
        <v>0.50833333333333297</v>
      </c>
      <c r="J17" s="16">
        <f>'0514'!T71</f>
        <v>0</v>
      </c>
    </row>
    <row r="18" spans="2:10" ht="17.25" customHeight="1">
      <c r="B18" s="385" t="s">
        <v>102</v>
      </c>
      <c r="C18" s="330" t="s">
        <v>36</v>
      </c>
      <c r="D18" s="358">
        <f>'0514'!Z15</f>
        <v>0</v>
      </c>
      <c r="E18" s="359">
        <f>'0514'!Z26</f>
        <v>2</v>
      </c>
      <c r="F18" s="359">
        <f>'0514'!Z37</f>
        <v>2</v>
      </c>
      <c r="G18" s="360">
        <f>'0514'!Z48</f>
        <v>0</v>
      </c>
      <c r="H18" s="360">
        <f>'0514'!Z58</f>
        <v>0</v>
      </c>
      <c r="I18" s="359">
        <f>'0514'!Z69</f>
        <v>0</v>
      </c>
      <c r="J18" s="359">
        <f>'0514'!AA79</f>
        <v>0</v>
      </c>
    </row>
    <row r="19" spans="2:10" ht="17.25" customHeight="1">
      <c r="B19" s="386"/>
      <c r="C19" s="330" t="s">
        <v>37</v>
      </c>
      <c r="D19" s="358">
        <f>'0514'!AA15</f>
        <v>0</v>
      </c>
      <c r="E19" s="359">
        <f>'0514'!AA26</f>
        <v>18</v>
      </c>
      <c r="F19" s="359">
        <f>'0514'!AA37</f>
        <v>39</v>
      </c>
      <c r="G19" s="360">
        <f>'0514'!AA48</f>
        <v>0</v>
      </c>
      <c r="H19" s="360">
        <f>'0514'!AA58</f>
        <v>0</v>
      </c>
      <c r="I19" s="359">
        <f>'0514'!AA69</f>
        <v>0</v>
      </c>
      <c r="J19" s="359">
        <f>'0514'!AB79</f>
        <v>0</v>
      </c>
    </row>
    <row r="20" spans="2:10" ht="17.25" customHeight="1">
      <c r="B20" s="385" t="s">
        <v>103</v>
      </c>
      <c r="C20" s="330" t="s">
        <v>36</v>
      </c>
      <c r="D20" s="358">
        <f>'0514'!AD15</f>
        <v>0</v>
      </c>
      <c r="E20" s="359">
        <f>'0514'!AD26</f>
        <v>0</v>
      </c>
      <c r="F20" s="359">
        <f>'0514'!AD37</f>
        <v>0</v>
      </c>
      <c r="G20" s="360">
        <f>'0514'!AD48</f>
        <v>0</v>
      </c>
      <c r="H20" s="360">
        <f>'0514'!AD58</f>
        <v>0</v>
      </c>
      <c r="I20" s="359">
        <f>'0514'!AD69</f>
        <v>0</v>
      </c>
      <c r="J20" s="359">
        <f>'0514'!AD79</f>
        <v>0</v>
      </c>
    </row>
    <row r="21" spans="2:10" ht="17.25" customHeight="1">
      <c r="B21" s="386"/>
      <c r="C21" s="330" t="s">
        <v>85</v>
      </c>
      <c r="D21" s="358">
        <f>'0514'!AE15</f>
        <v>0</v>
      </c>
      <c r="E21" s="359">
        <f>'0514'!AE26</f>
        <v>0</v>
      </c>
      <c r="F21" s="359">
        <f>'0514'!AE37</f>
        <v>0</v>
      </c>
      <c r="G21" s="360">
        <f>'0514'!AE48</f>
        <v>0</v>
      </c>
      <c r="H21" s="360">
        <f>'0514'!AE58</f>
        <v>0</v>
      </c>
      <c r="I21" s="359">
        <f>'0514'!AE69</f>
        <v>0</v>
      </c>
      <c r="J21" s="359">
        <f>'0514'!AE79</f>
        <v>0</v>
      </c>
    </row>
    <row r="22" spans="2:10" ht="17.25" customHeight="1">
      <c r="B22" s="377" t="s">
        <v>104</v>
      </c>
      <c r="C22" s="378"/>
      <c r="D22" s="23">
        <f>VALUE('0514'!M15)</f>
        <v>15</v>
      </c>
      <c r="E22" s="23">
        <f>VALUE('0514'!M26)</f>
        <v>13.6</v>
      </c>
      <c r="F22" s="23">
        <f>VALUE('0514'!M37)</f>
        <v>17</v>
      </c>
      <c r="G22" s="23">
        <f>VALUE('0514'!M48)</f>
        <v>16</v>
      </c>
      <c r="H22" s="23">
        <f>VALUE('0514'!M58)</f>
        <v>16.600000000000001</v>
      </c>
      <c r="I22" s="23">
        <f>VALUE('0514'!M69)</f>
        <v>13.333333333333334</v>
      </c>
      <c r="J22" s="23">
        <f>'0514'!M79</f>
        <v>0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15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017A7-A9BE-438C-A7C7-8CC514622B75}">
  <sheetPr>
    <tabColor theme="9" tint="0.79998168889431442"/>
  </sheetPr>
  <dimension ref="A1:AJ92"/>
  <sheetViews>
    <sheetView zoomScale="69" zoomScaleNormal="69" workbookViewId="0">
      <pane xSplit="5" ySplit="4" topLeftCell="F35" activePane="bottomRight" state="frozen"/>
      <selection activeCell="U53" sqref="U53"/>
      <selection pane="topRight" activeCell="U53" sqref="U53"/>
      <selection pane="bottomLeft" activeCell="U53" sqref="U53"/>
      <selection pane="bottomRight" activeCell="U53" sqref="U5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8" width="8.7109375" style="34" customWidth="1"/>
    <col min="109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52400</v>
      </c>
      <c r="F1" s="30" t="s">
        <v>2</v>
      </c>
      <c r="G1" s="31">
        <f>SUM(H5:H79)</f>
        <v>2558118.4920000006</v>
      </c>
      <c r="H1" s="32" t="s">
        <v>3</v>
      </c>
      <c r="I1" s="33">
        <f>M15+M26+M48+M58+M69+M79+M37</f>
        <v>91.533333333333331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197</v>
      </c>
      <c r="B2" s="422"/>
      <c r="C2" s="28"/>
      <c r="D2" s="28" t="s">
        <v>14</v>
      </c>
      <c r="E2" s="35">
        <f>AVERAGE(O15,O26,O37,O48,O58,O69,O79)</f>
        <v>103.69572975356336</v>
      </c>
      <c r="F2" s="36" t="s">
        <v>15</v>
      </c>
      <c r="G2" s="37">
        <f>G1/E1</f>
        <v>48.819055190839705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4</v>
      </c>
      <c r="AA2" s="339">
        <f>AA15+AA26+AA37+AA48+AA58+AA69+AA79</f>
        <v>57</v>
      </c>
      <c r="AB2" s="460"/>
      <c r="AC2" s="460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3112</v>
      </c>
      <c r="H5" s="43">
        <f>F5*G5</f>
        <v>176979.44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2121.8181818181856</v>
      </c>
      <c r="O5" s="47">
        <f>N5/M5</f>
        <v>141.45454545454569</v>
      </c>
      <c r="P5" s="49">
        <f>M5-J5</f>
        <v>0</v>
      </c>
      <c r="Q5" s="50">
        <f>O5-L5</f>
        <v>-8.5454545454543052</v>
      </c>
      <c r="R5" s="51">
        <f>O5/L5</f>
        <v>0.94303030303030466</v>
      </c>
      <c r="S5" s="416">
        <f>R15</f>
        <v>0.92900046184141349</v>
      </c>
      <c r="T5" s="319">
        <v>0.29166666666666702</v>
      </c>
      <c r="U5" s="320">
        <v>0.35277777777777802</v>
      </c>
      <c r="V5" s="53"/>
      <c r="W5" s="54">
        <f t="shared" ref="W5:W14" si="0">(U5-T5)*24*60</f>
        <v>87.999999999999844</v>
      </c>
      <c r="X5" s="55"/>
      <c r="Y5" s="290"/>
      <c r="Z5" s="169"/>
      <c r="AA5" s="169"/>
      <c r="AB5" s="468"/>
      <c r="AC5" s="468"/>
      <c r="AD5" s="135"/>
      <c r="AE5" s="135"/>
      <c r="AF5" s="229">
        <f t="shared" ref="AF5:AF11" si="1">N5-K5</f>
        <v>-128.18181818181438</v>
      </c>
      <c r="AG5" s="52">
        <f t="shared" ref="AG5:AG11" si="2">N5/K5</f>
        <v>0.94303030303030477</v>
      </c>
      <c r="AH5" s="461">
        <f>AG15</f>
        <v>0.92900046184141361</v>
      </c>
    </row>
    <row r="6" spans="1:34" ht="15" customHeight="1">
      <c r="A6" s="428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3582</v>
      </c>
      <c r="H6" s="63">
        <f>F6*G6</f>
        <v>208364.94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2149.1999999999834</v>
      </c>
      <c r="O6" s="67">
        <f>N6/M6</f>
        <v>143.27999999999889</v>
      </c>
      <c r="P6" s="69">
        <f>M6-J6</f>
        <v>0</v>
      </c>
      <c r="Q6" s="70">
        <f>O6-L6</f>
        <v>-6.7200000000011073</v>
      </c>
      <c r="R6" s="71">
        <f>O6/L6</f>
        <v>0.95519999999999261</v>
      </c>
      <c r="S6" s="417"/>
      <c r="T6" s="16">
        <v>0.359722222222222</v>
      </c>
      <c r="U6" s="16">
        <v>0.42916666666666697</v>
      </c>
      <c r="V6" s="30">
        <f>(T6-U5)*24*60</f>
        <v>9.999999999999325</v>
      </c>
      <c r="W6" s="73">
        <f t="shared" si="0"/>
        <v>100.00000000000077</v>
      </c>
      <c r="X6" s="22"/>
      <c r="Y6" s="84"/>
      <c r="Z6" s="90"/>
      <c r="AA6" s="90"/>
      <c r="AB6" s="465"/>
      <c r="AC6" s="465"/>
      <c r="AD6" s="149"/>
      <c r="AE6" s="149"/>
      <c r="AF6" s="307">
        <f t="shared" si="1"/>
        <v>-100.80000000001655</v>
      </c>
      <c r="AG6" s="72">
        <f t="shared" si="2"/>
        <v>0.95519999999999261</v>
      </c>
      <c r="AH6" s="462"/>
    </row>
    <row r="7" spans="1:34" ht="15" customHeight="1">
      <c r="A7" s="428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2471</v>
      </c>
      <c r="H7" s="78">
        <f>F7*G7</f>
        <v>121424.94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2148.6956521738985</v>
      </c>
      <c r="O7" s="81">
        <f>N7/M7</f>
        <v>143.24637681159322</v>
      </c>
      <c r="P7" s="74">
        <f>M7-J7</f>
        <v>0</v>
      </c>
      <c r="Q7" s="83">
        <f>O7-L7</f>
        <v>-6.7536231884067774</v>
      </c>
      <c r="R7" s="72">
        <f>O7/L7</f>
        <v>0.95497584541062153</v>
      </c>
      <c r="S7" s="417"/>
      <c r="T7" s="18">
        <v>0.43472222222222201</v>
      </c>
      <c r="U7" s="18">
        <v>0.48263888888888901</v>
      </c>
      <c r="V7" s="30">
        <f t="shared" ref="V7:V8" si="3">(T7-U6)*24*60</f>
        <v>7.9999999999992522</v>
      </c>
      <c r="W7" s="73">
        <f t="shared" si="0"/>
        <v>69.000000000000469</v>
      </c>
      <c r="X7" s="22">
        <v>0.49305555555555602</v>
      </c>
      <c r="Y7" s="84">
        <v>0.53472222222222199</v>
      </c>
      <c r="Z7" s="90"/>
      <c r="AA7" s="90"/>
      <c r="AB7" s="466"/>
      <c r="AC7" s="466"/>
      <c r="AD7" s="92"/>
      <c r="AE7" s="92"/>
      <c r="AF7" s="307">
        <f t="shared" si="1"/>
        <v>-101.30434782610155</v>
      </c>
      <c r="AG7" s="72">
        <f t="shared" si="2"/>
        <v>0.95497584541062153</v>
      </c>
      <c r="AH7" s="462"/>
    </row>
    <row r="8" spans="1:34" ht="15" customHeight="1">
      <c r="A8" s="428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3009</v>
      </c>
      <c r="H8" s="78">
        <f>F8*G8</f>
        <v>147862.26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1941.2903225806551</v>
      </c>
      <c r="O8" s="81">
        <f>N8/M8</f>
        <v>129.41935483871035</v>
      </c>
      <c r="P8" s="74">
        <f>M8-J8</f>
        <v>0</v>
      </c>
      <c r="Q8" s="83">
        <f>O8-L8</f>
        <v>-20.580645161289652</v>
      </c>
      <c r="R8" s="72">
        <f>O8/L8</f>
        <v>0.86279569892473562</v>
      </c>
      <c r="S8" s="417"/>
      <c r="T8" s="16">
        <v>0.54166666666666696</v>
      </c>
      <c r="U8" s="16">
        <v>0.60624999999999996</v>
      </c>
      <c r="V8" s="30">
        <f t="shared" si="3"/>
        <v>85.000000000000256</v>
      </c>
      <c r="W8" s="73">
        <f t="shared" si="0"/>
        <v>92.999999999999517</v>
      </c>
      <c r="X8" s="22"/>
      <c r="Y8" s="84"/>
      <c r="Z8" s="90"/>
      <c r="AA8" s="90"/>
      <c r="AB8" s="465"/>
      <c r="AC8" s="465"/>
      <c r="AD8" s="149"/>
      <c r="AE8" s="149"/>
      <c r="AF8" s="307">
        <f t="shared" si="1"/>
        <v>-308.70967741934487</v>
      </c>
      <c r="AG8" s="72">
        <f t="shared" si="2"/>
        <v>0.86279569892473562</v>
      </c>
      <c r="AH8" s="462"/>
    </row>
    <row r="9" spans="1:34" ht="15" customHeight="1">
      <c r="A9" s="42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8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5"/>
      <c r="AC9" s="465"/>
      <c r="AD9" s="149"/>
      <c r="AE9" s="149"/>
      <c r="AF9" s="307">
        <f t="shared" si="1"/>
        <v>0</v>
      </c>
      <c r="AG9" s="72" t="e">
        <f t="shared" si="2"/>
        <v>#DIV/0!</v>
      </c>
      <c r="AH9" s="463"/>
    </row>
    <row r="10" spans="1:34" ht="15" customHeight="1">
      <c r="A10" s="42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8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6"/>
      <c r="AC10" s="466"/>
      <c r="AD10" s="92"/>
      <c r="AE10" s="92"/>
      <c r="AF10" s="307">
        <f t="shared" si="1"/>
        <v>0</v>
      </c>
      <c r="AG10" s="72" t="e">
        <f t="shared" si="2"/>
        <v>#DIV/0!</v>
      </c>
      <c r="AH10" s="463"/>
    </row>
    <row r="11" spans="1:34" ht="15" customHeight="1">
      <c r="A11" s="42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5"/>
      <c r="AC11" s="465"/>
      <c r="AD11" s="149"/>
      <c r="AE11" s="149"/>
      <c r="AF11" s="307">
        <f t="shared" si="1"/>
        <v>0</v>
      </c>
      <c r="AG11" s="72" t="e">
        <f t="shared" si="2"/>
        <v>#DIV/0!</v>
      </c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>
        <f t="shared" ref="J15:O15" si="4">AVERAGE(J5:J14)</f>
        <v>15</v>
      </c>
      <c r="K15" s="120">
        <f t="shared" si="4"/>
        <v>2250</v>
      </c>
      <c r="L15" s="117">
        <f t="shared" si="4"/>
        <v>150</v>
      </c>
      <c r="M15" s="120">
        <f t="shared" si="4"/>
        <v>15</v>
      </c>
      <c r="N15" s="120">
        <f t="shared" si="4"/>
        <v>2090.2510391431806</v>
      </c>
      <c r="O15" s="117">
        <f t="shared" si="4"/>
        <v>139.35006927621203</v>
      </c>
      <c r="P15" s="121">
        <f>M15-J15</f>
        <v>0</v>
      </c>
      <c r="Q15" s="122">
        <f>O15-L15</f>
        <v>-10.649930723787975</v>
      </c>
      <c r="R15" s="123">
        <f>O15/L15</f>
        <v>0.92900046184141349</v>
      </c>
      <c r="S15" s="42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7"/>
      <c r="AC15" s="467"/>
      <c r="AD15" s="323">
        <f>SUM(AD5:AD14)</f>
        <v>0</v>
      </c>
      <c r="AE15" s="323">
        <f>SUM(AE5:AE14)</f>
        <v>0</v>
      </c>
      <c r="AF15" s="309">
        <f>N15-K15</f>
        <v>-159.74896085681939</v>
      </c>
      <c r="AG15" s="124">
        <f>N15/K15</f>
        <v>0.92900046184141361</v>
      </c>
      <c r="AH15" s="464"/>
    </row>
    <row r="16" spans="1:34" ht="15" customHeight="1">
      <c r="A16" s="47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3353</v>
      </c>
      <c r="H16" s="134">
        <f>F16*G16</f>
        <v>169896.51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2052.8571428571599</v>
      </c>
      <c r="O16" s="141">
        <f>N16/M16</f>
        <v>146.63265306122571</v>
      </c>
      <c r="P16" s="142">
        <f>M16-J16</f>
        <v>0</v>
      </c>
      <c r="Q16" s="143">
        <f>O16-L16</f>
        <v>-14.081632653060012</v>
      </c>
      <c r="R16" s="144">
        <f>O16/L16</f>
        <v>0.91238095238095995</v>
      </c>
      <c r="S16" s="472">
        <f>R26</f>
        <v>0.80824134093797562</v>
      </c>
      <c r="T16" s="145">
        <v>0.29166666666666702</v>
      </c>
      <c r="U16" s="145">
        <v>0.359722222222222</v>
      </c>
      <c r="V16" s="135"/>
      <c r="W16" s="146">
        <f t="shared" ref="W16:W78" si="5">(U16-T16)*24*60</f>
        <v>97.999999999999176</v>
      </c>
      <c r="X16" s="141"/>
      <c r="Y16" s="296"/>
      <c r="Z16" s="169">
        <v>1</v>
      </c>
      <c r="AA16" s="169">
        <v>7</v>
      </c>
      <c r="AB16" s="468" t="s">
        <v>198</v>
      </c>
      <c r="AC16" s="468"/>
      <c r="AD16" s="135"/>
      <c r="AE16" s="135"/>
      <c r="AF16" s="229">
        <f>N16-K16</f>
        <v>-197.14285714284006</v>
      </c>
      <c r="AG16" s="52">
        <f>N16/K16</f>
        <v>0.91238095238095995</v>
      </c>
      <c r="AH16" s="461">
        <f>AG26</f>
        <v>0.81357839711046398</v>
      </c>
    </row>
    <row r="17" spans="1:34" ht="15" customHeight="1">
      <c r="A17" s="479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1935</v>
      </c>
      <c r="H17" s="78">
        <f>F17*G17</f>
        <v>109540.35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2110.9090909091137</v>
      </c>
      <c r="O17" s="96">
        <f>N17/M17</f>
        <v>140.72727272727425</v>
      </c>
      <c r="P17" s="97">
        <f>M17-J17</f>
        <v>0</v>
      </c>
      <c r="Q17" s="98">
        <f>O17-L17</f>
        <v>-9.2727272727257457</v>
      </c>
      <c r="R17" s="99">
        <f>O17/L17</f>
        <v>0.93818181818182833</v>
      </c>
      <c r="S17" s="473"/>
      <c r="T17" s="19">
        <v>0.36666666666666697</v>
      </c>
      <c r="U17" s="19">
        <v>0.40486111111111101</v>
      </c>
      <c r="V17" s="30">
        <f>(T17-U16)*24*60</f>
        <v>10.000000000000764</v>
      </c>
      <c r="W17" s="149">
        <f t="shared" si="5"/>
        <v>54.999999999999403</v>
      </c>
      <c r="X17" s="19"/>
      <c r="Y17" s="297"/>
      <c r="Z17" s="90"/>
      <c r="AA17" s="90"/>
      <c r="AB17" s="466"/>
      <c r="AC17" s="466"/>
      <c r="AD17" s="92"/>
      <c r="AE17" s="92"/>
      <c r="AF17" s="307">
        <f>N17-K17</f>
        <v>-139.09090909088627</v>
      </c>
      <c r="AG17" s="72">
        <f>N17/K17</f>
        <v>0.93818181818182833</v>
      </c>
      <c r="AH17" s="462"/>
    </row>
    <row r="18" spans="1:34" ht="15" customHeight="1">
      <c r="A18" s="479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3415</v>
      </c>
      <c r="H18" s="78">
        <f>F18*G18</f>
        <v>172081.85</v>
      </c>
      <c r="I18" s="30"/>
      <c r="J18" s="79">
        <v>13</v>
      </c>
      <c r="K18" s="80">
        <f>VLOOKUP(D18,產線配置圖!$A$3:$C$40,3,0)</f>
        <v>2250</v>
      </c>
      <c r="L18" s="81">
        <f>K18/J18</f>
        <v>173.07692307692307</v>
      </c>
      <c r="M18" s="148">
        <v>13</v>
      </c>
      <c r="N18" s="95">
        <f>G18/W18*60</f>
        <v>1914.9532710280257</v>
      </c>
      <c r="O18" s="96">
        <f>N18/M18</f>
        <v>147.30409777138658</v>
      </c>
      <c r="P18" s="97">
        <f>M18-J18</f>
        <v>0</v>
      </c>
      <c r="Q18" s="98">
        <f>O18-L18</f>
        <v>-25.772825305536486</v>
      </c>
      <c r="R18" s="99">
        <f>O18/L18</f>
        <v>0.85109034267912254</v>
      </c>
      <c r="S18" s="473"/>
      <c r="T18" s="19">
        <v>0.41111111111111098</v>
      </c>
      <c r="U18" s="19">
        <v>0.485416666666667</v>
      </c>
      <c r="V18" s="30">
        <f>(T18-U17)*24*60</f>
        <v>8.999999999999968</v>
      </c>
      <c r="W18" s="149">
        <f t="shared" si="5"/>
        <v>107.00000000000065</v>
      </c>
      <c r="X18" s="22">
        <v>0.499305555555556</v>
      </c>
      <c r="Y18" s="84">
        <v>0.54097222222222197</v>
      </c>
      <c r="Z18" s="90">
        <v>1</v>
      </c>
      <c r="AA18" s="90">
        <v>11</v>
      </c>
      <c r="AB18" s="466" t="s">
        <v>199</v>
      </c>
      <c r="AC18" s="466"/>
      <c r="AD18" s="92"/>
      <c r="AE18" s="92"/>
      <c r="AF18" s="307">
        <f>N18-K18</f>
        <v>-335.04672897197429</v>
      </c>
      <c r="AG18" s="72">
        <f>N18/K18</f>
        <v>0.85109034267912254</v>
      </c>
      <c r="AH18" s="462"/>
    </row>
    <row r="19" spans="1:34" ht="15" customHeight="1">
      <c r="A19" s="479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945</v>
      </c>
      <c r="H19" s="78">
        <f t="shared" ref="H19:H20" si="6">F19*G19</f>
        <v>47618.55</v>
      </c>
      <c r="I19" s="30"/>
      <c r="J19" s="79">
        <v>13</v>
      </c>
      <c r="K19" s="80">
        <f>VLOOKUP(D19,產線配置圖!$A$3:$C$40,3,0)</f>
        <v>2250</v>
      </c>
      <c r="L19" s="81">
        <f t="shared" ref="L19:L20" si="7">K19/J19</f>
        <v>173.07692307692307</v>
      </c>
      <c r="M19" s="148">
        <v>13</v>
      </c>
      <c r="N19" s="95">
        <f t="shared" ref="N19:N20" si="8">G19/W19*60</f>
        <v>1718.1818181817991</v>
      </c>
      <c r="O19" s="96">
        <f t="shared" ref="O19:O20" si="9">N19/M19</f>
        <v>132.16783216783071</v>
      </c>
      <c r="P19" s="97">
        <f t="shared" ref="P19:P20" si="10">M19-J19</f>
        <v>0</v>
      </c>
      <c r="Q19" s="98">
        <f t="shared" ref="Q19:Q20" si="11">O19-L19</f>
        <v>-40.909090909092356</v>
      </c>
      <c r="R19" s="99">
        <f t="shared" ref="R19:R20" si="12">O19/L19</f>
        <v>0.76363636363635523</v>
      </c>
      <c r="S19" s="473"/>
      <c r="T19" s="19">
        <v>0.54861111111111105</v>
      </c>
      <c r="U19" s="19">
        <v>0.57152777777777797</v>
      </c>
      <c r="V19" s="30">
        <f>(T19-U18)*24*60</f>
        <v>90.999999999999432</v>
      </c>
      <c r="W19" s="149">
        <f t="shared" si="5"/>
        <v>33.000000000000362</v>
      </c>
      <c r="X19" s="22"/>
      <c r="Y19" s="84"/>
      <c r="Z19" s="90"/>
      <c r="AA19" s="90"/>
      <c r="AB19" s="465" t="s">
        <v>125</v>
      </c>
      <c r="AC19" s="465"/>
      <c r="AD19" s="149"/>
      <c r="AE19" s="149"/>
      <c r="AF19" s="307">
        <f>N19-K19</f>
        <v>-531.81818181820086</v>
      </c>
      <c r="AG19" s="72">
        <f>N19/K19</f>
        <v>0.76363636363635512</v>
      </c>
      <c r="AH19" s="463"/>
    </row>
    <row r="20" spans="1:34" ht="15" customHeight="1">
      <c r="A20" s="479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813</v>
      </c>
      <c r="H20" s="78">
        <f t="shared" si="6"/>
        <v>41194.71</v>
      </c>
      <c r="I20" s="30"/>
      <c r="J20" s="79">
        <f>VLOOKUP(D20,產線配置圖!$A$3:$C$40,2,0)</f>
        <v>13</v>
      </c>
      <c r="K20" s="80">
        <f>VLOOKUP(D20,產線配置圖!$A$3:$C$40,3,0)</f>
        <v>1440</v>
      </c>
      <c r="L20" s="81">
        <f t="shared" si="7"/>
        <v>110.76923076923077</v>
      </c>
      <c r="M20" s="148">
        <v>13</v>
      </c>
      <c r="N20" s="95">
        <f t="shared" si="8"/>
        <v>696.85714285714539</v>
      </c>
      <c r="O20" s="96">
        <f t="shared" si="9"/>
        <v>53.604395604395798</v>
      </c>
      <c r="P20" s="97">
        <f t="shared" si="10"/>
        <v>0</v>
      </c>
      <c r="Q20" s="98">
        <f t="shared" si="11"/>
        <v>-57.164835164834976</v>
      </c>
      <c r="R20" s="99">
        <f t="shared" si="12"/>
        <v>0.48392857142857315</v>
      </c>
      <c r="S20" s="473"/>
      <c r="T20" s="19">
        <v>0.57986111111111105</v>
      </c>
      <c r="U20" s="19">
        <v>0.62847222222222199</v>
      </c>
      <c r="V20" s="30">
        <f>(T20-U19)*24*60</f>
        <v>11.999999999999638</v>
      </c>
      <c r="W20" s="149">
        <f t="shared" si="5"/>
        <v>69.999999999999744</v>
      </c>
      <c r="X20" s="19"/>
      <c r="Y20" s="297"/>
      <c r="Z20" s="90"/>
      <c r="AA20" s="90"/>
      <c r="AB20" s="466" t="s">
        <v>200</v>
      </c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3"/>
      <c r="T21" s="150"/>
      <c r="U21" s="150"/>
      <c r="V21" s="30"/>
      <c r="W21" s="149">
        <f t="shared" si="5"/>
        <v>0</v>
      </c>
      <c r="X21" s="92"/>
      <c r="Y21" s="298"/>
      <c r="Z21" s="90"/>
      <c r="AA21" s="90"/>
      <c r="AB21" s="466"/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50"/>
      <c r="U22" s="150"/>
      <c r="V22" s="92"/>
      <c r="W22" s="149"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5"/>
        <v>0</v>
      </c>
      <c r="X23" s="92"/>
      <c r="Y23" s="298"/>
      <c r="Z23" s="90"/>
      <c r="AA23" s="90"/>
      <c r="AB23" s="466"/>
      <c r="AC23" s="46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5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5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>
        <f t="shared" ref="J26:O26" si="13">AVERAGE(J16:J25)</f>
        <v>13.6</v>
      </c>
      <c r="K26" s="155">
        <f t="shared" si="13"/>
        <v>2088</v>
      </c>
      <c r="L26" s="158">
        <f t="shared" si="13"/>
        <v>153.52747252747253</v>
      </c>
      <c r="M26" s="155">
        <f t="shared" si="13"/>
        <v>13.6</v>
      </c>
      <c r="N26" s="155">
        <f t="shared" si="13"/>
        <v>1698.7516931666487</v>
      </c>
      <c r="O26" s="158">
        <f t="shared" si="13"/>
        <v>124.0872502664226</v>
      </c>
      <c r="P26" s="159">
        <f>M26-J26</f>
        <v>0</v>
      </c>
      <c r="Q26" s="160">
        <f>O26-L26</f>
        <v>-29.440222261049925</v>
      </c>
      <c r="R26" s="161">
        <f>O26/L26</f>
        <v>0.80824134093797562</v>
      </c>
      <c r="S26" s="474"/>
      <c r="T26" s="163"/>
      <c r="U26" s="163"/>
      <c r="V26" s="164"/>
      <c r="W26" s="165"/>
      <c r="X26" s="166"/>
      <c r="Y26" s="299"/>
      <c r="Z26" s="334">
        <f>SUM(Z16:Z25)</f>
        <v>2</v>
      </c>
      <c r="AA26" s="334">
        <f>SUM(AA16:AA25)</f>
        <v>18</v>
      </c>
      <c r="AB26" s="467"/>
      <c r="AC26" s="467"/>
      <c r="AD26" s="323">
        <f>SUM(AD16:AD25)</f>
        <v>0</v>
      </c>
      <c r="AE26" s="323">
        <f>SUM(AE16:AE25)</f>
        <v>0</v>
      </c>
      <c r="AF26" s="309">
        <f t="shared" ref="AF26:AF31" si="14">N26-K26</f>
        <v>-389.24830683335131</v>
      </c>
      <c r="AG26" s="124">
        <f t="shared" ref="AG26:AG31" si="15">N26/K26</f>
        <v>0.81357839711046398</v>
      </c>
      <c r="AH26" s="464"/>
    </row>
    <row r="27" spans="1:34" ht="15" customHeight="1">
      <c r="A27" s="469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2207</v>
      </c>
      <c r="H27" s="134">
        <f>F27*G27</f>
        <v>126262.47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1324.1999999999889</v>
      </c>
      <c r="O27" s="141">
        <f>N27/M27</f>
        <v>77.894117647058167</v>
      </c>
      <c r="P27" s="142">
        <f>M27-J27</f>
        <v>0</v>
      </c>
      <c r="Q27" s="143">
        <f>O27-L27</f>
        <v>-14.164705882353601</v>
      </c>
      <c r="R27" s="144">
        <f>O27/L27</f>
        <v>0.84613418530350726</v>
      </c>
      <c r="S27" s="472">
        <f>R37</f>
        <v>0.75436793548821302</v>
      </c>
      <c r="T27" s="171">
        <v>0.33333333333333298</v>
      </c>
      <c r="U27" s="171">
        <v>0.40277777777777801</v>
      </c>
      <c r="V27" s="135"/>
      <c r="W27" s="146">
        <f t="shared" si="5"/>
        <v>100.00000000000084</v>
      </c>
      <c r="X27" s="135"/>
      <c r="Y27" s="300" t="s">
        <v>46</v>
      </c>
      <c r="Z27" s="169"/>
      <c r="AA27" s="169"/>
      <c r="AB27" s="468"/>
      <c r="AC27" s="468"/>
      <c r="AD27" s="135"/>
      <c r="AE27" s="135"/>
      <c r="AF27" s="310">
        <f t="shared" si="14"/>
        <v>-240.8000000000111</v>
      </c>
      <c r="AG27" s="172">
        <f t="shared" si="15"/>
        <v>0.84613418530350726</v>
      </c>
      <c r="AH27" s="461">
        <f>AG37</f>
        <v>0.75436793548821313</v>
      </c>
    </row>
    <row r="28" spans="1:34" ht="15" customHeight="1">
      <c r="A28" s="470"/>
      <c r="B28" s="75" t="s">
        <v>81</v>
      </c>
      <c r="C28" s="173"/>
      <c r="D28" s="59" t="s">
        <v>128</v>
      </c>
      <c r="E28" s="104"/>
      <c r="F28" s="75">
        <f>VLOOKUP(D28,廠價表!$C$1:$E$43,3,0)</f>
        <v>57.21</v>
      </c>
      <c r="G28" s="90">
        <v>2466</v>
      </c>
      <c r="H28" s="91">
        <f>F28*G28</f>
        <v>141079.86000000002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17</v>
      </c>
      <c r="N28" s="95">
        <f>G28/W28*60</f>
        <v>1395.8490566037754</v>
      </c>
      <c r="O28" s="96">
        <f>N28/M28</f>
        <v>82.108768035516192</v>
      </c>
      <c r="P28" s="97">
        <f>M28-J28</f>
        <v>0</v>
      </c>
      <c r="Q28" s="98">
        <f>O28-L28</f>
        <v>-18.83240843507204</v>
      </c>
      <c r="R28" s="99">
        <f>O28/L28</f>
        <v>0.81343185116770123</v>
      </c>
      <c r="S28" s="473"/>
      <c r="T28" s="19">
        <v>0.41388888888888897</v>
      </c>
      <c r="U28" s="19">
        <v>0.48749999999999999</v>
      </c>
      <c r="V28" s="92">
        <f>(T28-U27)*24*60</f>
        <v>15.999999999999783</v>
      </c>
      <c r="W28" s="149">
        <f t="shared" si="5"/>
        <v>105.99999999999986</v>
      </c>
      <c r="X28" s="174">
        <v>0.49305555555555602</v>
      </c>
      <c r="Y28" s="301">
        <v>0.54513888888888895</v>
      </c>
      <c r="Z28" s="335"/>
      <c r="AA28" s="335"/>
      <c r="AB28" s="466"/>
      <c r="AC28" s="466"/>
      <c r="AD28" s="92"/>
      <c r="AE28" s="92"/>
      <c r="AF28" s="311">
        <f t="shared" si="14"/>
        <v>-320.15094339622465</v>
      </c>
      <c r="AG28" s="99">
        <f t="shared" si="15"/>
        <v>0.81343185116770123</v>
      </c>
      <c r="AH28" s="482"/>
    </row>
    <row r="29" spans="1:34" ht="15" customHeight="1">
      <c r="A29" s="470"/>
      <c r="B29" s="75" t="s">
        <v>123</v>
      </c>
      <c r="C29" s="88"/>
      <c r="D29" s="59" t="s">
        <v>124</v>
      </c>
      <c r="E29" s="89"/>
      <c r="F29" s="75">
        <f>VLOOKUP(D29,廠價表!$C$1:$E$43,3,0)</f>
        <v>44.3</v>
      </c>
      <c r="G29" s="90">
        <v>2407</v>
      </c>
      <c r="H29" s="91">
        <f>F29*G29</f>
        <v>106630.09999999999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989.17808219178005</v>
      </c>
      <c r="O29" s="96">
        <f>N29/M29</f>
        <v>58.186946011281179</v>
      </c>
      <c r="P29" s="97">
        <f>M29-J29</f>
        <v>0</v>
      </c>
      <c r="Q29" s="98">
        <f>O29-L29</f>
        <v>-38.048348106365879</v>
      </c>
      <c r="R29" s="99">
        <f>O29/L29</f>
        <v>0.60463207957932763</v>
      </c>
      <c r="S29" s="473"/>
      <c r="T29" s="19">
        <v>0.55208333333333304</v>
      </c>
      <c r="U29" s="19">
        <v>0.65347222222222201</v>
      </c>
      <c r="V29" s="92">
        <f>(T29-U28)*24*60</f>
        <v>92.999999999999588</v>
      </c>
      <c r="W29" s="149">
        <f t="shared" si="5"/>
        <v>146.00000000000011</v>
      </c>
      <c r="X29" s="22"/>
      <c r="Y29" s="84" t="s">
        <v>46</v>
      </c>
      <c r="Z29" s="90">
        <v>2</v>
      </c>
      <c r="AA29" s="90">
        <v>39</v>
      </c>
      <c r="AB29" s="466" t="s">
        <v>201</v>
      </c>
      <c r="AC29" s="466"/>
      <c r="AD29" s="92"/>
      <c r="AE29" s="92"/>
      <c r="AF29" s="312">
        <f t="shared" si="14"/>
        <v>-646.82191780821995</v>
      </c>
      <c r="AG29" s="99">
        <f t="shared" si="15"/>
        <v>0.60463207957932763</v>
      </c>
      <c r="AH29" s="482"/>
    </row>
    <row r="30" spans="1:34" ht="15" customHeight="1">
      <c r="A30" s="470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3"/>
      <c r="T30" s="19"/>
      <c r="U30" s="19"/>
      <c r="V30" s="92"/>
      <c r="W30" s="149">
        <f t="shared" si="5"/>
        <v>0</v>
      </c>
      <c r="X30" s="174"/>
      <c r="Y30" s="301"/>
      <c r="Z30" s="335"/>
      <c r="AA30" s="335"/>
      <c r="AB30" s="466"/>
      <c r="AC30" s="466"/>
      <c r="AD30" s="92"/>
      <c r="AE30" s="92"/>
      <c r="AF30" s="312">
        <f t="shared" si="14"/>
        <v>0</v>
      </c>
      <c r="AG30" s="99" t="e">
        <f t="shared" si="15"/>
        <v>#DIV/0!</v>
      </c>
      <c r="AH30" s="483"/>
    </row>
    <row r="31" spans="1:34" ht="15" customHeight="1">
      <c r="A31" s="47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3"/>
      <c r="T31" s="19"/>
      <c r="U31" s="19"/>
      <c r="V31" s="92"/>
      <c r="W31" s="149">
        <f t="shared" si="5"/>
        <v>0</v>
      </c>
      <c r="X31" s="174"/>
      <c r="Y31" s="301"/>
      <c r="Z31" s="335"/>
      <c r="AA31" s="335"/>
      <c r="AB31" s="466"/>
      <c r="AC31" s="466"/>
      <c r="AD31" s="92"/>
      <c r="AE31" s="92"/>
      <c r="AF31" s="312">
        <f t="shared" si="14"/>
        <v>0</v>
      </c>
      <c r="AG31" s="99" t="e">
        <f t="shared" si="15"/>
        <v>#DIV/0!</v>
      </c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9"/>
      <c r="U32" s="19"/>
      <c r="V32" s="92"/>
      <c r="W32" s="149">
        <f t="shared" si="5"/>
        <v>0</v>
      </c>
      <c r="X32" s="174"/>
      <c r="Y32" s="301"/>
      <c r="Z32" s="335"/>
      <c r="AA32" s="335"/>
      <c r="AB32" s="466"/>
      <c r="AC32" s="466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50"/>
      <c r="U33" s="150"/>
      <c r="V33" s="92"/>
      <c r="W33" s="149">
        <f t="shared" si="5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5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5"/>
        <v>0</v>
      </c>
      <c r="X35" s="174"/>
      <c r="Y35" s="301"/>
      <c r="Z35" s="335"/>
      <c r="AA35" s="335"/>
      <c r="AB35" s="466"/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5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>
        <f t="shared" ref="J37:O37" si="16">AVERAGE(J27:J36)</f>
        <v>17</v>
      </c>
      <c r="K37" s="155">
        <f t="shared" si="16"/>
        <v>1639</v>
      </c>
      <c r="L37" s="158">
        <f t="shared" si="16"/>
        <v>96.411764705882362</v>
      </c>
      <c r="M37" s="155">
        <f t="shared" si="16"/>
        <v>17</v>
      </c>
      <c r="N37" s="155">
        <f t="shared" si="16"/>
        <v>1236.4090462651814</v>
      </c>
      <c r="O37" s="158">
        <f t="shared" si="16"/>
        <v>72.729943897951841</v>
      </c>
      <c r="P37" s="159">
        <f>M37-J37</f>
        <v>0</v>
      </c>
      <c r="Q37" s="160">
        <f>N37-K37</f>
        <v>-402.59095373481864</v>
      </c>
      <c r="R37" s="161">
        <f>O37/L37</f>
        <v>0.75436793548821302</v>
      </c>
      <c r="S37" s="474"/>
      <c r="T37" s="163"/>
      <c r="U37" s="163"/>
      <c r="V37" s="164"/>
      <c r="W37" s="164"/>
      <c r="X37" s="321"/>
      <c r="Y37" s="322"/>
      <c r="Z37" s="334">
        <f>SUM(Z27:Z36)</f>
        <v>2</v>
      </c>
      <c r="AA37" s="334">
        <f>SUM(AA27:AA36)</f>
        <v>39</v>
      </c>
      <c r="AB37" s="477"/>
      <c r="AC37" s="477"/>
      <c r="AD37" s="324">
        <f>SUM(AD27:AD36)</f>
        <v>0</v>
      </c>
      <c r="AE37" s="324">
        <f>SUM(AE27:AE36)</f>
        <v>0</v>
      </c>
      <c r="AF37" s="309">
        <f>N37-K37</f>
        <v>-402.59095373481864</v>
      </c>
      <c r="AG37" s="124">
        <f>N37/K37</f>
        <v>0.75436793548821313</v>
      </c>
      <c r="AH37" s="464"/>
    </row>
    <row r="38" spans="1:34" ht="15" customHeight="1">
      <c r="A38" s="491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2897</v>
      </c>
      <c r="H38" s="134">
        <f>F38*G38</f>
        <v>144589.26999999999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1511.4782608695675</v>
      </c>
      <c r="O38" s="141">
        <f>N38/M38</f>
        <v>100.7652173913045</v>
      </c>
      <c r="P38" s="142">
        <f>M38-J38</f>
        <v>0</v>
      </c>
      <c r="Q38" s="143">
        <f>O38-L38</f>
        <v>-13.501449275362162</v>
      </c>
      <c r="R38" s="144">
        <f>O38/L38</f>
        <v>0.88184262594490526</v>
      </c>
      <c r="S38" s="494">
        <f>R48</f>
        <v>0.84717530253228768</v>
      </c>
      <c r="T38" s="191">
        <v>0.33333333333333298</v>
      </c>
      <c r="U38" s="191">
        <v>0.41319444444444398</v>
      </c>
      <c r="V38" s="192"/>
      <c r="W38" s="193">
        <f t="shared" si="5"/>
        <v>114.99999999999983</v>
      </c>
      <c r="X38" s="194"/>
      <c r="Y38" s="302"/>
      <c r="Z38" s="336"/>
      <c r="AA38" s="336"/>
      <c r="AB38" s="496"/>
      <c r="AC38" s="496"/>
      <c r="AD38" s="192"/>
      <c r="AE38" s="192"/>
      <c r="AF38" s="313">
        <f>N38-K38</f>
        <v>-202.52173913043248</v>
      </c>
      <c r="AG38" s="195">
        <f>N38/K38</f>
        <v>0.88184262594490526</v>
      </c>
      <c r="AH38" s="484">
        <f>AG48</f>
        <v>0.84481033567341302</v>
      </c>
    </row>
    <row r="39" spans="1:34" ht="15" customHeight="1">
      <c r="A39" s="492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1934</v>
      </c>
      <c r="H39" s="91">
        <f>F39*G39</f>
        <v>85676.2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1318.636363636366</v>
      </c>
      <c r="O39" s="203">
        <f>N39/M39</f>
        <v>77.566844919786234</v>
      </c>
      <c r="P39" s="97">
        <f>M39-J39</f>
        <v>0</v>
      </c>
      <c r="Q39" s="98">
        <f>O39-L39</f>
        <v>-18.668449197860824</v>
      </c>
      <c r="R39" s="99">
        <f>O39/L39</f>
        <v>0.8060124472104927</v>
      </c>
      <c r="S39" s="495"/>
      <c r="T39" s="20">
        <v>0.41805555555555601</v>
      </c>
      <c r="U39" s="20">
        <v>0.47916666666666702</v>
      </c>
      <c r="V39" s="92">
        <f>(T39-U38)*24*60</f>
        <v>7.000000000001334</v>
      </c>
      <c r="W39" s="205">
        <f t="shared" si="5"/>
        <v>87.999999999999844</v>
      </c>
      <c r="X39" s="22"/>
      <c r="Y39" s="84"/>
      <c r="Z39" s="90"/>
      <c r="AA39" s="90"/>
      <c r="AB39" s="487"/>
      <c r="AC39" s="487"/>
      <c r="AD39" s="200"/>
      <c r="AE39" s="200"/>
      <c r="AF39" s="314">
        <f>N39-K39</f>
        <v>-317.36363636363399</v>
      </c>
      <c r="AG39" s="206">
        <f>N39/K39</f>
        <v>0.8060124472104927</v>
      </c>
      <c r="AH39" s="485"/>
    </row>
    <row r="40" spans="1:34" ht="15" customHeight="1">
      <c r="A40" s="492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7"/>
      <c r="T40" s="20"/>
      <c r="U40" s="20"/>
      <c r="V40" s="92"/>
      <c r="W40" s="205">
        <f t="shared" si="5"/>
        <v>0</v>
      </c>
      <c r="X40" s="208"/>
      <c r="Y40" s="209"/>
      <c r="Z40" s="337"/>
      <c r="AA40" s="337"/>
      <c r="AB40" s="466"/>
      <c r="AC40" s="466"/>
      <c r="AD40" s="92"/>
      <c r="AE40" s="92"/>
      <c r="AF40" s="314">
        <f>N40-K40</f>
        <v>0</v>
      </c>
      <c r="AG40" s="206" t="e">
        <f>N40/K40</f>
        <v>#DIV/0!</v>
      </c>
      <c r="AH40" s="485"/>
    </row>
    <row r="41" spans="1:34" ht="15" customHeight="1">
      <c r="A41" s="49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7"/>
      <c r="T41" s="20"/>
      <c r="U41" s="210"/>
      <c r="V41" s="92"/>
      <c r="W41" s="205">
        <f t="shared" si="5"/>
        <v>0</v>
      </c>
      <c r="X41" s="208"/>
      <c r="Y41" s="209"/>
      <c r="Z41" s="337"/>
      <c r="AA41" s="337"/>
      <c r="AB41" s="466"/>
      <c r="AC41" s="466"/>
      <c r="AD41" s="92"/>
      <c r="AE41" s="92"/>
      <c r="AF41" s="314">
        <f>N41-K41</f>
        <v>0</v>
      </c>
      <c r="AG41" s="206" t="e">
        <f>N41/K41</f>
        <v>#DIV/0!</v>
      </c>
      <c r="AH41" s="485"/>
    </row>
    <row r="42" spans="1:34" ht="15" customHeight="1">
      <c r="A42" s="49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7"/>
      <c r="T42" s="210"/>
      <c r="U42" s="210"/>
      <c r="V42" s="92"/>
      <c r="W42" s="205">
        <f t="shared" si="5"/>
        <v>0</v>
      </c>
      <c r="X42" s="208"/>
      <c r="Y42" s="211"/>
      <c r="Z42" s="338"/>
      <c r="AA42" s="338"/>
      <c r="AB42" s="466"/>
      <c r="AC42" s="466"/>
      <c r="AD42" s="92"/>
      <c r="AE42" s="92"/>
      <c r="AF42" s="314"/>
      <c r="AG42" s="206"/>
      <c r="AH42" s="485"/>
    </row>
    <row r="43" spans="1:34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si="5"/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5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5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16"/>
      <c r="U46" s="216"/>
      <c r="V46" s="200"/>
      <c r="W46" s="205">
        <f t="shared" si="5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5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>
        <f t="shared" ref="J48:O48" si="17">AVERAGE(J38:J47)</f>
        <v>16</v>
      </c>
      <c r="K48" s="155">
        <f t="shared" si="17"/>
        <v>1675</v>
      </c>
      <c r="L48" s="158">
        <f t="shared" si="17"/>
        <v>105.25098039215686</v>
      </c>
      <c r="M48" s="155">
        <f t="shared" si="17"/>
        <v>16</v>
      </c>
      <c r="N48" s="155">
        <f t="shared" si="17"/>
        <v>1415.0573122529668</v>
      </c>
      <c r="O48" s="158">
        <f t="shared" si="17"/>
        <v>89.166031155545369</v>
      </c>
      <c r="P48" s="221">
        <f>M48-J48</f>
        <v>0</v>
      </c>
      <c r="Q48" s="222">
        <f>N48-K48</f>
        <v>-259.94268774703323</v>
      </c>
      <c r="R48" s="223">
        <f>O48/L48</f>
        <v>0.84717530253228768</v>
      </c>
      <c r="S48" s="420"/>
      <c r="T48" s="224"/>
      <c r="U48" s="224"/>
      <c r="V48" s="225"/>
      <c r="W48" s="226">
        <f t="shared" si="5"/>
        <v>0</v>
      </c>
      <c r="X48" s="227"/>
      <c r="Y48" s="303"/>
      <c r="Z48" s="334">
        <f>SUM(Z38:Z47)</f>
        <v>0</v>
      </c>
      <c r="AA48" s="334">
        <f>SUM(AA38:AA47)</f>
        <v>0</v>
      </c>
      <c r="AB48" s="467"/>
      <c r="AC48" s="467"/>
      <c r="AD48" s="323">
        <f>SUM(AD38:AD47)</f>
        <v>0</v>
      </c>
      <c r="AE48" s="323">
        <f>SUM(AE38:AE47)</f>
        <v>0</v>
      </c>
      <c r="AF48" s="315">
        <f t="shared" ref="AF48:AF53" si="18">N48-K48</f>
        <v>-259.94268774703323</v>
      </c>
      <c r="AG48" s="162">
        <f t="shared" ref="AG48:AG53" si="19">N48/K48</f>
        <v>0.84481033567341302</v>
      </c>
      <c r="AH48" s="486"/>
    </row>
    <row r="49" spans="1:34" ht="15" customHeight="1">
      <c r="A49" s="488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2042</v>
      </c>
      <c r="H49" s="134">
        <f>F49*G49</f>
        <v>101119.84000000001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1591.1688311688386</v>
      </c>
      <c r="O49" s="141">
        <f>N49/M49</f>
        <v>93.598166539343438</v>
      </c>
      <c r="P49" s="229">
        <f>M49-J49</f>
        <v>0</v>
      </c>
      <c r="Q49" s="230">
        <f>O49-L49</f>
        <v>-12.284186401833026</v>
      </c>
      <c r="R49" s="52">
        <f>O49/L49</f>
        <v>0.88398268398268809</v>
      </c>
      <c r="S49" s="416">
        <f>R58</f>
        <v>0.89741868937894331</v>
      </c>
      <c r="T49" s="191">
        <v>0.29166666666666702</v>
      </c>
      <c r="U49" s="191">
        <v>0.34513888888888899</v>
      </c>
      <c r="V49" s="55"/>
      <c r="W49" s="193">
        <f t="shared" si="5"/>
        <v>76.999999999999645</v>
      </c>
      <c r="X49" s="55"/>
      <c r="Y49" s="290"/>
      <c r="Z49" s="169"/>
      <c r="AA49" s="169"/>
      <c r="AB49" s="468"/>
      <c r="AC49" s="468"/>
      <c r="AD49" s="135"/>
      <c r="AE49" s="135"/>
      <c r="AF49" s="229">
        <f t="shared" si="18"/>
        <v>-208.83116883116145</v>
      </c>
      <c r="AG49" s="52">
        <f t="shared" si="19"/>
        <v>0.88398268398268809</v>
      </c>
      <c r="AH49" s="461">
        <f>AG58</f>
        <v>0.89794647573419117</v>
      </c>
    </row>
    <row r="50" spans="1:34" ht="15" customHeight="1">
      <c r="A50" s="489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2503</v>
      </c>
      <c r="H50" s="231">
        <f>F50*G50</f>
        <v>125074.91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1501.7999999999874</v>
      </c>
      <c r="O50" s="235">
        <f>N50/M50</f>
        <v>93.862499999999216</v>
      </c>
      <c r="P50" s="74">
        <f>M50-J50</f>
        <v>0</v>
      </c>
      <c r="Q50" s="83">
        <f>O50-L50</f>
        <v>-18.637500000000784</v>
      </c>
      <c r="R50" s="72">
        <f>O50/L50</f>
        <v>0.83433333333332638</v>
      </c>
      <c r="S50" s="417"/>
      <c r="T50" s="21">
        <v>0.35069444444444398</v>
      </c>
      <c r="U50" s="21">
        <v>0.42013888888888901</v>
      </c>
      <c r="V50" s="30">
        <f>(T50-U49)*24*60</f>
        <v>7.9999999999991722</v>
      </c>
      <c r="W50" s="236">
        <f t="shared" si="5"/>
        <v>100.00000000000084</v>
      </c>
      <c r="X50" s="22"/>
      <c r="Y50" s="84"/>
      <c r="Z50" s="90"/>
      <c r="AA50" s="90"/>
      <c r="AB50" s="466"/>
      <c r="AC50" s="466"/>
      <c r="AD50" s="92"/>
      <c r="AE50" s="92"/>
      <c r="AF50" s="307">
        <f t="shared" si="18"/>
        <v>-298.20000000001255</v>
      </c>
      <c r="AG50" s="72">
        <f t="shared" si="19"/>
        <v>0.83433333333332638</v>
      </c>
      <c r="AH50" s="462"/>
    </row>
    <row r="51" spans="1:34" ht="15" customHeight="1">
      <c r="A51" s="489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1646</v>
      </c>
      <c r="H51" s="231">
        <f>F51*G51</f>
        <v>82775.694000000003</v>
      </c>
      <c r="I51" s="232"/>
      <c r="J51" s="79">
        <v>17</v>
      </c>
      <c r="K51" s="80">
        <f>VLOOKUP(D51,產線配置圖!$A$3:$C$40,3,0)</f>
        <v>1565</v>
      </c>
      <c r="L51" s="81">
        <f>K51/J51</f>
        <v>92.058823529411768</v>
      </c>
      <c r="M51" s="233">
        <v>17</v>
      </c>
      <c r="N51" s="234">
        <f>G51/W51*60</f>
        <v>1474.0298507462614</v>
      </c>
      <c r="O51" s="235">
        <f>N51/M51</f>
        <v>86.707638279191855</v>
      </c>
      <c r="P51" s="74">
        <f>M51-J51</f>
        <v>0</v>
      </c>
      <c r="Q51" s="83">
        <f>O51-L51</f>
        <v>-5.3511852502199133</v>
      </c>
      <c r="R51" s="72">
        <f>O51/L51</f>
        <v>0.94187210910304253</v>
      </c>
      <c r="S51" s="417"/>
      <c r="T51" s="21">
        <v>0.42569444444444399</v>
      </c>
      <c r="U51" s="19">
        <v>0.47222222222222199</v>
      </c>
      <c r="V51" s="30">
        <f>(T51-U50)*24*60</f>
        <v>7.9999999999991722</v>
      </c>
      <c r="W51" s="236">
        <f t="shared" si="5"/>
        <v>67.000000000000327</v>
      </c>
      <c r="X51" s="22">
        <v>0.47638888888888897</v>
      </c>
      <c r="Y51" s="84">
        <v>0.52777777777777801</v>
      </c>
      <c r="Z51" s="90"/>
      <c r="AA51" s="90"/>
      <c r="AB51" s="466"/>
      <c r="AC51" s="466"/>
      <c r="AD51" s="92"/>
      <c r="AE51" s="92"/>
      <c r="AF51" s="307">
        <f t="shared" si="18"/>
        <v>-90.970149253738555</v>
      </c>
      <c r="AG51" s="72">
        <f t="shared" si="19"/>
        <v>0.94187210910304242</v>
      </c>
      <c r="AH51" s="462"/>
    </row>
    <row r="52" spans="1:34" ht="15" customHeight="1">
      <c r="A52" s="489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2651</v>
      </c>
      <c r="H52" s="231">
        <f t="shared" ref="H52:H53" si="20">F52*G52</f>
        <v>132470.47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3" si="21">K52/J52</f>
        <v>112.5</v>
      </c>
      <c r="M52" s="233">
        <v>16</v>
      </c>
      <c r="N52" s="234">
        <f t="shared" ref="N52:N53" si="22">G52/W52*60</f>
        <v>1656.8749999999923</v>
      </c>
      <c r="O52" s="235">
        <f t="shared" ref="O52:O53" si="23">N52/M52</f>
        <v>103.55468749999952</v>
      </c>
      <c r="P52" s="74">
        <f t="shared" ref="P52:P53" si="24">M52-J52</f>
        <v>0</v>
      </c>
      <c r="Q52" s="83">
        <f t="shared" ref="Q52:Q53" si="25">O52-L52</f>
        <v>-8.9453125000004832</v>
      </c>
      <c r="R52" s="72">
        <f t="shared" ref="R52:R53" si="26">O52/L52</f>
        <v>0.92048611111110679</v>
      </c>
      <c r="S52" s="417"/>
      <c r="T52" s="21">
        <v>0.53125</v>
      </c>
      <c r="U52" s="21">
        <v>0.59791666666666698</v>
      </c>
      <c r="V52" s="30">
        <f>(T52-U51)*24*60</f>
        <v>85.000000000000341</v>
      </c>
      <c r="W52" s="236">
        <f t="shared" si="5"/>
        <v>96.000000000000455</v>
      </c>
      <c r="X52" s="22"/>
      <c r="Y52" s="84"/>
      <c r="Z52" s="90"/>
      <c r="AA52" s="90"/>
      <c r="AB52" s="466"/>
      <c r="AC52" s="466"/>
      <c r="AD52" s="92"/>
      <c r="AE52" s="92"/>
      <c r="AF52" s="307">
        <f t="shared" si="18"/>
        <v>-143.12500000000773</v>
      </c>
      <c r="AG52" s="72">
        <f t="shared" si="19"/>
        <v>0.92048611111110679</v>
      </c>
      <c r="AH52" s="462"/>
    </row>
    <row r="53" spans="1:34" ht="15" customHeight="1">
      <c r="A53" s="489"/>
      <c r="B53" s="101" t="s">
        <v>81</v>
      </c>
      <c r="C53" s="102"/>
      <c r="D53" s="103" t="s">
        <v>121</v>
      </c>
      <c r="E53" s="104"/>
      <c r="F53" s="75">
        <f>VLOOKUP(D53,廠價表!$C$1:$E$43,3,0)</f>
        <v>50.289000000000001</v>
      </c>
      <c r="G53" s="202">
        <v>1962</v>
      </c>
      <c r="H53" s="231">
        <f t="shared" si="20"/>
        <v>98667.017999999996</v>
      </c>
      <c r="I53" s="232"/>
      <c r="J53" s="79">
        <v>17</v>
      </c>
      <c r="K53" s="80">
        <f>VLOOKUP(D53,產線配置圖!$A$3:$C$40,3,0)</f>
        <v>1565</v>
      </c>
      <c r="L53" s="81">
        <f t="shared" si="21"/>
        <v>92.058823529411768</v>
      </c>
      <c r="M53" s="108">
        <v>17</v>
      </c>
      <c r="N53" s="234">
        <f t="shared" si="22"/>
        <v>1435.6097560975716</v>
      </c>
      <c r="O53" s="235">
        <f t="shared" si="23"/>
        <v>84.44763271162185</v>
      </c>
      <c r="P53" s="74">
        <f t="shared" si="24"/>
        <v>0</v>
      </c>
      <c r="Q53" s="83">
        <f t="shared" si="25"/>
        <v>-7.6111908177899181</v>
      </c>
      <c r="R53" s="72">
        <f t="shared" si="26"/>
        <v>0.91732252785787305</v>
      </c>
      <c r="S53" s="417"/>
      <c r="T53" s="21">
        <v>0.60277777777777797</v>
      </c>
      <c r="U53" s="21">
        <v>0.65972222222222199</v>
      </c>
      <c r="V53" s="30">
        <f>(T53-U52)*24*60</f>
        <v>6.9999999999998153</v>
      </c>
      <c r="W53" s="236">
        <f t="shared" si="5"/>
        <v>81.999999999999389</v>
      </c>
      <c r="X53" s="30"/>
      <c r="Y53" s="151"/>
      <c r="Z53" s="90"/>
      <c r="AA53" s="90"/>
      <c r="AB53" s="466"/>
      <c r="AC53" s="466"/>
      <c r="AD53" s="92"/>
      <c r="AE53" s="92"/>
      <c r="AF53" s="307">
        <f t="shared" si="18"/>
        <v>-129.39024390242844</v>
      </c>
      <c r="AG53" s="72">
        <f t="shared" si="19"/>
        <v>0.91732252785787316</v>
      </c>
      <c r="AH53" s="462"/>
    </row>
    <row r="54" spans="1:34" ht="15" customHeight="1">
      <c r="A54" s="48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7"/>
      <c r="T54" s="21"/>
      <c r="U54" s="21"/>
      <c r="V54" s="30"/>
      <c r="W54" s="236">
        <f t="shared" si="5"/>
        <v>0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5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5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114"/>
      <c r="U57" s="114"/>
      <c r="V57" s="237"/>
      <c r="W57" s="236">
        <f t="shared" si="5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>
      <c r="A58" s="490"/>
      <c r="B58" s="239"/>
      <c r="C58" s="153" t="s">
        <v>51</v>
      </c>
      <c r="D58" s="437" t="s">
        <v>42</v>
      </c>
      <c r="E58" s="437"/>
      <c r="F58" s="116"/>
      <c r="G58" s="240"/>
      <c r="H58" s="118"/>
      <c r="I58" s="117"/>
      <c r="J58" s="120">
        <f t="shared" ref="J58:O58" si="27">AVERAGE(J49:J57)</f>
        <v>16.600000000000001</v>
      </c>
      <c r="K58" s="120">
        <f t="shared" si="27"/>
        <v>1706</v>
      </c>
      <c r="L58" s="117">
        <f t="shared" si="27"/>
        <v>103</v>
      </c>
      <c r="M58" s="120">
        <f t="shared" si="27"/>
        <v>16.600000000000001</v>
      </c>
      <c r="N58" s="120">
        <f t="shared" si="27"/>
        <v>1531.8966876025302</v>
      </c>
      <c r="O58" s="117">
        <f t="shared" si="27"/>
        <v>92.434125006031167</v>
      </c>
      <c r="P58" s="121">
        <f>M58-J58</f>
        <v>0</v>
      </c>
      <c r="Q58" s="122">
        <f>N58-K58</f>
        <v>-174.10331239746984</v>
      </c>
      <c r="R58" s="123">
        <f>O58/L58</f>
        <v>0.89741868937894331</v>
      </c>
      <c r="S58" s="42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7"/>
      <c r="AC58" s="467"/>
      <c r="AD58" s="323">
        <f>SUM(AD49:AD57)</f>
        <v>0</v>
      </c>
      <c r="AE58" s="323">
        <f>SUM(AE49:AE57)</f>
        <v>0</v>
      </c>
      <c r="AF58" s="309">
        <f>N58-K58</f>
        <v>-174.10331239746984</v>
      </c>
      <c r="AG58" s="124">
        <f>N58/K58</f>
        <v>0.89794647573419117</v>
      </c>
      <c r="AH58" s="464"/>
    </row>
    <row r="59" spans="1:34" ht="15" customHeight="1">
      <c r="A59" s="502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3696</v>
      </c>
      <c r="H59" s="243">
        <f>F59*G59</f>
        <v>99755.04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1478.3999999999949</v>
      </c>
      <c r="O59" s="138">
        <f>N59/M59</f>
        <v>98.559999999999661</v>
      </c>
      <c r="P59" s="56">
        <f>M59-J59</f>
        <v>0</v>
      </c>
      <c r="Q59" s="230">
        <f>O59-L59</f>
        <v>-5.7733333333336674</v>
      </c>
      <c r="R59" s="52">
        <f>O59/L59</f>
        <v>0.94466453674121087</v>
      </c>
      <c r="S59" s="416">
        <f>R69</f>
        <v>0.9065222681247771</v>
      </c>
      <c r="T59" s="245">
        <v>0.28819444444444398</v>
      </c>
      <c r="U59" s="245">
        <v>0.39236111111111099</v>
      </c>
      <c r="V59" s="55"/>
      <c r="W59" s="54">
        <f t="shared" si="5"/>
        <v>150.00000000000051</v>
      </c>
      <c r="X59" s="55"/>
      <c r="Y59" s="290"/>
      <c r="Z59" s="169"/>
      <c r="AA59" s="169"/>
      <c r="AB59" s="468"/>
      <c r="AC59" s="468"/>
      <c r="AD59" s="135"/>
      <c r="AE59" s="135"/>
      <c r="AF59" s="310">
        <f>N59-K59</f>
        <v>-86.600000000005139</v>
      </c>
      <c r="AG59" s="246">
        <f>N59/K59</f>
        <v>0.94466453674121076</v>
      </c>
      <c r="AH59" s="461">
        <f>AG69</f>
        <v>0.90741676666431448</v>
      </c>
    </row>
    <row r="60" spans="1:34" ht="15" customHeight="1">
      <c r="A60" s="503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2271</v>
      </c>
      <c r="H60" s="78">
        <f>F60*G60</f>
        <v>64178.460000000006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1465.1612903225882</v>
      </c>
      <c r="O60" s="81">
        <f>N60/M60</f>
        <v>122.09677419354902</v>
      </c>
      <c r="P60" s="74">
        <f>M60-J60</f>
        <v>0</v>
      </c>
      <c r="Q60" s="83">
        <f>O60-L60</f>
        <v>-8.3198924731176334</v>
      </c>
      <c r="R60" s="72">
        <f>O60/L60</f>
        <v>0.93620529733072744</v>
      </c>
      <c r="S60" s="506"/>
      <c r="T60" s="22">
        <v>0.39930555555555602</v>
      </c>
      <c r="U60" s="22">
        <v>0.46388888888888902</v>
      </c>
      <c r="V60" s="30">
        <f>(T60-U59)*24*60</f>
        <v>10.000000000000844</v>
      </c>
      <c r="W60" s="248">
        <f t="shared" si="5"/>
        <v>92.999999999999517</v>
      </c>
      <c r="X60" s="232"/>
      <c r="Y60" s="177"/>
      <c r="Z60" s="90"/>
      <c r="AA60" s="90"/>
      <c r="AB60" s="466"/>
      <c r="AC60" s="466"/>
      <c r="AD60" s="92"/>
      <c r="AE60" s="92"/>
      <c r="AF60" s="316">
        <f>N60-K60</f>
        <v>-99.838709677411771</v>
      </c>
      <c r="AG60" s="249">
        <f>N60/K60</f>
        <v>0.93620529733072733</v>
      </c>
      <c r="AH60" s="497"/>
    </row>
    <row r="61" spans="1:34" ht="15" customHeight="1">
      <c r="A61" s="504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1083</v>
      </c>
      <c r="H61" s="254">
        <f>F61*G61</f>
        <v>54875.61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13</v>
      </c>
      <c r="N61" s="107">
        <f>G61/W61*60</f>
        <v>1203.3333333333342</v>
      </c>
      <c r="O61" s="238">
        <f>N61/M61</f>
        <v>92.564102564102626</v>
      </c>
      <c r="P61" s="111">
        <f>M61-J61</f>
        <v>0</v>
      </c>
      <c r="Q61" s="255">
        <f>O61-L61</f>
        <v>-18.205128205128148</v>
      </c>
      <c r="R61" s="85">
        <f>O61/L61</f>
        <v>0.8356481481481487</v>
      </c>
      <c r="S61" s="417"/>
      <c r="T61" s="22">
        <v>0.47083333333333299</v>
      </c>
      <c r="U61" s="22">
        <v>0.50833333333333297</v>
      </c>
      <c r="V61" s="30">
        <f>(T61-U60)*24*60</f>
        <v>9.999999999999325</v>
      </c>
      <c r="W61" s="256">
        <f t="shared" si="5"/>
        <v>53.999999999999972</v>
      </c>
      <c r="X61" s="22"/>
      <c r="Y61" s="84"/>
      <c r="Z61" s="90"/>
      <c r="AA61" s="90"/>
      <c r="AB61" s="466"/>
      <c r="AC61" s="466"/>
      <c r="AD61" s="92"/>
      <c r="AE61" s="92"/>
      <c r="AF61" s="317">
        <f>N61-K61</f>
        <v>-236.66666666666583</v>
      </c>
      <c r="AG61" s="247">
        <f>N61/K61</f>
        <v>0.8356481481481487</v>
      </c>
      <c r="AH61" s="462"/>
    </row>
    <row r="62" spans="1:34" ht="15" customHeight="1">
      <c r="A62" s="504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7"/>
      <c r="T62" s="22"/>
      <c r="U62" s="22"/>
      <c r="V62" s="30"/>
      <c r="W62" s="248">
        <f t="shared" si="5"/>
        <v>0</v>
      </c>
      <c r="X62" s="22"/>
      <c r="Y62" s="84"/>
      <c r="Z62" s="90"/>
      <c r="AA62" s="90"/>
      <c r="AB62" s="466" t="s">
        <v>202</v>
      </c>
      <c r="AC62" s="466"/>
      <c r="AD62" s="92"/>
      <c r="AE62" s="92"/>
      <c r="AF62" s="317">
        <f>N62-K62</f>
        <v>0</v>
      </c>
      <c r="AG62" s="247" t="e">
        <f>N62/K62</f>
        <v>#DIV/0!</v>
      </c>
      <c r="AH62" s="462"/>
    </row>
    <row r="63" spans="1:34" ht="15" customHeight="1">
      <c r="A63" s="504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7"/>
      <c r="T63" s="22"/>
      <c r="U63" s="22"/>
      <c r="V63" s="30"/>
      <c r="W63" s="248">
        <f t="shared" si="5"/>
        <v>0</v>
      </c>
      <c r="X63" s="261"/>
      <c r="Y63" s="291"/>
      <c r="Z63" s="335"/>
      <c r="AA63" s="335"/>
      <c r="AB63" s="466"/>
      <c r="AC63" s="466"/>
      <c r="AD63" s="92"/>
      <c r="AE63" s="92"/>
      <c r="AF63" s="317"/>
      <c r="AG63" s="247"/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5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63"/>
      <c r="U65" s="263"/>
      <c r="V65" s="30"/>
      <c r="W65" s="73">
        <f t="shared" si="5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5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5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5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>
        <f t="shared" ref="J69:O69" si="28">AVERAGE(J59:J68)</f>
        <v>13.333333333333334</v>
      </c>
      <c r="K69" s="240">
        <f t="shared" si="28"/>
        <v>1523.3333333333333</v>
      </c>
      <c r="L69" s="268">
        <f t="shared" si="28"/>
        <v>115.17307692307692</v>
      </c>
      <c r="M69" s="240">
        <f t="shared" si="28"/>
        <v>13.333333333333334</v>
      </c>
      <c r="N69" s="240">
        <f t="shared" si="28"/>
        <v>1382.2982078853056</v>
      </c>
      <c r="O69" s="268">
        <f t="shared" si="28"/>
        <v>104.40695891921712</v>
      </c>
      <c r="P69" s="269">
        <f>M69-J69</f>
        <v>0</v>
      </c>
      <c r="Q69" s="222">
        <f>N69-K69</f>
        <v>-141.03512544802766</v>
      </c>
      <c r="R69" s="123">
        <f>O69/L69</f>
        <v>0.9065222681247771</v>
      </c>
      <c r="S69" s="42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7"/>
      <c r="AC69" s="467"/>
      <c r="AD69" s="323">
        <f>SUM(AD59:AD68)</f>
        <v>0</v>
      </c>
      <c r="AE69" s="323">
        <f>SUM(AE59:AE68)</f>
        <v>0</v>
      </c>
      <c r="AF69" s="309">
        <f>N69-K69</f>
        <v>-141.03512544802766</v>
      </c>
      <c r="AG69" s="124">
        <f>N69/K69</f>
        <v>0.90741676666431448</v>
      </c>
      <c r="AH69" s="464"/>
    </row>
    <row r="70" spans="1:36" ht="15" customHeight="1">
      <c r="A70" s="498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6">
        <f>R79</f>
        <v>0</v>
      </c>
      <c r="T70" s="245"/>
      <c r="U70" s="245"/>
      <c r="V70" s="55"/>
      <c r="W70" s="54">
        <f t="shared" si="5"/>
        <v>0</v>
      </c>
      <c r="X70" s="270"/>
      <c r="Y70" s="292"/>
      <c r="Z70" s="169"/>
      <c r="AA70" s="169"/>
      <c r="AB70" s="468"/>
      <c r="AC70" s="468"/>
      <c r="AD70" s="135"/>
      <c r="AE70" s="135"/>
      <c r="AF70" s="310">
        <f>N70-K70</f>
        <v>0</v>
      </c>
      <c r="AG70" s="246" t="e">
        <f>N70/K70</f>
        <v>#DIV/0!</v>
      </c>
      <c r="AH70" s="461" t="e">
        <f>AG79</f>
        <v>#DIV/0!</v>
      </c>
    </row>
    <row r="71" spans="1:36" ht="15" customHeight="1">
      <c r="A71" s="499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7"/>
      <c r="T71" s="22"/>
      <c r="U71" s="22"/>
      <c r="V71" s="30"/>
      <c r="W71" s="73">
        <f t="shared" si="5"/>
        <v>0</v>
      </c>
      <c r="X71" s="271"/>
      <c r="Y71" s="293"/>
      <c r="Z71" s="90"/>
      <c r="AA71" s="90"/>
      <c r="AB71" s="487"/>
      <c r="AC71" s="487"/>
      <c r="AD71" s="200"/>
      <c r="AE71" s="200"/>
      <c r="AF71" s="311">
        <v>-300.31249999999704</v>
      </c>
      <c r="AG71" s="99">
        <v>0.80810702875399554</v>
      </c>
      <c r="AH71" s="482"/>
    </row>
    <row r="72" spans="1:36" ht="15" customHeight="1">
      <c r="A72" s="499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7"/>
      <c r="T72" s="22"/>
      <c r="U72" s="22"/>
      <c r="V72" s="30"/>
      <c r="W72" s="73">
        <f t="shared" si="5"/>
        <v>0</v>
      </c>
      <c r="X72" s="272"/>
      <c r="Y72" s="288"/>
      <c r="Z72" s="90"/>
      <c r="AA72" s="90"/>
      <c r="AB72" s="466"/>
      <c r="AC72" s="466"/>
      <c r="AD72" s="92"/>
      <c r="AE72" s="92"/>
      <c r="AF72" s="311">
        <v>-130.33333333333326</v>
      </c>
      <c r="AG72" s="99">
        <v>0.91671991480298198</v>
      </c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5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5"/>
        <v>0</v>
      </c>
      <c r="X74" s="22"/>
      <c r="Y74" s="84"/>
      <c r="Z74" s="90"/>
      <c r="AA74" s="90"/>
      <c r="AB74" s="466"/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5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5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5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5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>
      <c r="A79" s="500"/>
      <c r="B79" s="239"/>
      <c r="C79" s="153"/>
      <c r="D79" s="437"/>
      <c r="E79" s="437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W3:W4"/>
    <mergeCell ref="X3:Y3"/>
    <mergeCell ref="Z3:AA3"/>
    <mergeCell ref="AB3:AC4"/>
    <mergeCell ref="N3:N4"/>
    <mergeCell ref="O3:O4"/>
    <mergeCell ref="P3:P4"/>
    <mergeCell ref="Q3:Q4"/>
    <mergeCell ref="A16:A26"/>
    <mergeCell ref="S16:S26"/>
    <mergeCell ref="AB16:AC16"/>
    <mergeCell ref="D26:E26"/>
    <mergeCell ref="AB26:AC26"/>
    <mergeCell ref="A5:A15"/>
    <mergeCell ref="S5:S15"/>
    <mergeCell ref="AB5:AC5"/>
    <mergeCell ref="AH5:AH15"/>
    <mergeCell ref="AB6:AC6"/>
    <mergeCell ref="AB7:AC7"/>
    <mergeCell ref="AB14:AC14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R3:R4"/>
    <mergeCell ref="A2:B2"/>
    <mergeCell ref="A3:A4"/>
    <mergeCell ref="B3:B4"/>
    <mergeCell ref="D3:E4"/>
    <mergeCell ref="F3:F4"/>
    <mergeCell ref="P1:S2"/>
    <mergeCell ref="H3:H4"/>
    <mergeCell ref="I3:I4"/>
    <mergeCell ref="G3:G4"/>
    <mergeCell ref="T1:Y2"/>
    <mergeCell ref="AB1:AC2"/>
    <mergeCell ref="AF1:AH2"/>
    <mergeCell ref="J3:J4"/>
    <mergeCell ref="K3:K4"/>
    <mergeCell ref="L3:L4"/>
    <mergeCell ref="M3:M4"/>
    <mergeCell ref="AG3:AG4"/>
    <mergeCell ref="AH3:AH4"/>
    <mergeCell ref="S3:S4"/>
    <mergeCell ref="J1:L2"/>
    <mergeCell ref="M1:O2"/>
    <mergeCell ref="AD3:AE3"/>
    <mergeCell ref="AF3:AF4"/>
    <mergeCell ref="T3:U3"/>
    <mergeCell ref="V3:V4"/>
  </mergeCells>
  <phoneticPr fontId="0" type="noConversion"/>
  <conditionalFormatting sqref="P5:P79">
    <cfRule type="cellIs" dxfId="214" priority="1" operator="greaterThan">
      <formula>0</formula>
    </cfRule>
  </conditionalFormatting>
  <conditionalFormatting sqref="Q5:Q79 AF5:AF79">
    <cfRule type="cellIs" dxfId="213" priority="4" operator="lessThan">
      <formula>0</formula>
    </cfRule>
  </conditionalFormatting>
  <conditionalFormatting sqref="R5:R79 AG5:AG79">
    <cfRule type="cellIs" dxfId="212" priority="2" operator="greaterThan">
      <formula>1</formula>
    </cfRule>
    <cfRule type="cellIs" dxfId="211" priority="3" operator="lessThan">
      <formula>0.8</formula>
    </cfRule>
  </conditionalFormatting>
  <conditionalFormatting sqref="S5:S10 S37:S62 AH59:AH62 S69:S76 AH69:AH76">
    <cfRule type="cellIs" dxfId="210" priority="7" operator="lessThan">
      <formula>0.8</formula>
    </cfRule>
  </conditionalFormatting>
  <conditionalFormatting sqref="S19:S25 AH19:AH25">
    <cfRule type="cellIs" dxfId="209" priority="6" operator="lessThan">
      <formula>0.8</formula>
    </cfRule>
  </conditionalFormatting>
  <conditionalFormatting sqref="S79">
    <cfRule type="cellIs" dxfId="208" priority="5" operator="lessThan">
      <formula>0.8</formula>
    </cfRule>
  </conditionalFormatting>
  <conditionalFormatting sqref="AH5:AH8 S15:S16 AH15:AH16 AH49 AH79">
    <cfRule type="cellIs" dxfId="207" priority="9" operator="lessThan">
      <formula>0.8</formula>
    </cfRule>
  </conditionalFormatting>
  <conditionalFormatting sqref="AH27 S27:S28">
    <cfRule type="cellIs" dxfId="206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43A08E-FD06-419E-A120-3F32661EEA86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5EBE3-18AC-4F4A-BC1C-DA5D69628D77}">
  <dimension ref="B1:O26"/>
  <sheetViews>
    <sheetView zoomScale="70" zoomScaleNormal="70" workbookViewId="0">
      <selection activeCell="X62" sqref="X6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46157</v>
      </c>
      <c r="E3" s="412"/>
      <c r="F3" s="3" t="s">
        <v>72</v>
      </c>
      <c r="G3" s="413">
        <f>'0515'!E1</f>
        <v>46617</v>
      </c>
      <c r="H3" s="413"/>
      <c r="I3" s="3" t="s">
        <v>2</v>
      </c>
      <c r="J3" s="414">
        <f>'0515'!G1</f>
        <v>2277192.0859999997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>
        <f>AVERAGE(D13:I13)</f>
        <v>121.3418067226891</v>
      </c>
      <c r="G6" s="410"/>
      <c r="H6" s="395">
        <f>AVERAGE(D13:H13)</f>
        <v>123.18529627235512</v>
      </c>
      <c r="I6" s="395"/>
      <c r="J6" s="395">
        <f>AVERAGE(I13)</f>
        <v>112.12435897435898</v>
      </c>
      <c r="K6" s="395"/>
      <c r="L6" s="396">
        <f>SUM(D18:J18)</f>
        <v>0</v>
      </c>
      <c r="M6" s="398">
        <f>SUM(D19:J19)</f>
        <v>0</v>
      </c>
      <c r="N6" s="399">
        <f>SUM(D20:J20)</f>
        <v>0</v>
      </c>
      <c r="O6" s="398">
        <f>SUM(D20:J20)</f>
        <v>0</v>
      </c>
    </row>
    <row r="7" spans="2:15" ht="39.6" customHeight="1">
      <c r="B7" s="406"/>
      <c r="C7" s="406"/>
      <c r="D7" s="401" t="s">
        <v>87</v>
      </c>
      <c r="E7" s="401"/>
      <c r="F7" s="402">
        <f>AVERAGE(D14:I14)</f>
        <v>106.42803509756438</v>
      </c>
      <c r="G7" s="402"/>
      <c r="H7" s="403">
        <f>AVERAGE(D14:H14)</f>
        <v>110.61332643276162</v>
      </c>
      <c r="I7" s="403"/>
      <c r="J7" s="403">
        <f>AVERAGE(I14)</f>
        <v>85.501578421578216</v>
      </c>
      <c r="K7" s="403"/>
      <c r="L7" s="397" t="e">
        <f t="shared" ref="L7:O8" si="0">AVERAGE(K14:L14)</f>
        <v>#DIV/0!</v>
      </c>
      <c r="M7" s="398" t="e">
        <f t="shared" si="0"/>
        <v>#DIV/0!</v>
      </c>
      <c r="N7" s="400" t="e">
        <f t="shared" si="0"/>
        <v>#DIV/0!</v>
      </c>
      <c r="O7" s="398" t="e">
        <f t="shared" si="0"/>
        <v>#DIV/0!</v>
      </c>
    </row>
    <row r="8" spans="2:15" ht="39.6" customHeight="1">
      <c r="B8" s="406"/>
      <c r="C8" s="406"/>
      <c r="D8" s="401" t="s">
        <v>27</v>
      </c>
      <c r="E8" s="401"/>
      <c r="F8" s="387">
        <f>F7/F6</f>
        <v>0.87709288308844613</v>
      </c>
      <c r="G8" s="387"/>
      <c r="H8" s="387">
        <f>H7/H6</f>
        <v>0.89794260987287278</v>
      </c>
      <c r="I8" s="387"/>
      <c r="J8" s="387">
        <f>J7/J6</f>
        <v>0.76256024296318192</v>
      </c>
      <c r="K8" s="387"/>
      <c r="L8" s="397" t="e">
        <f t="shared" si="0"/>
        <v>#DIV/0!</v>
      </c>
      <c r="M8" s="398" t="e">
        <f t="shared" si="0"/>
        <v>#DIV/0!</v>
      </c>
      <c r="N8" s="400" t="e">
        <f t="shared" si="0"/>
        <v>#DIV/0!</v>
      </c>
      <c r="O8" s="398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>
        <f>VALUE('0515'!L15)</f>
        <v>150</v>
      </c>
      <c r="E13" s="13">
        <f>VALUE('0515'!L26)</f>
        <v>161.26373626373626</v>
      </c>
      <c r="F13" s="13">
        <f>VALUE('0515'!L37)</f>
        <v>96.411764705882362</v>
      </c>
      <c r="G13" s="13">
        <f>VALUE('0515'!L48)</f>
        <v>105.25098039215686</v>
      </c>
      <c r="H13" s="13">
        <f>VALUE('0515'!L58)</f>
        <v>103</v>
      </c>
      <c r="I13" s="13">
        <f>VALUE('0515'!L69)</f>
        <v>112.12435897435898</v>
      </c>
      <c r="J13" s="13">
        <f>'0515'!L79</f>
        <v>0</v>
      </c>
    </row>
    <row r="14" spans="2:15" ht="39.950000000000003" customHeight="1">
      <c r="B14" s="381"/>
      <c r="C14" s="12" t="s">
        <v>100</v>
      </c>
      <c r="D14" s="13">
        <f>VALUE('0515'!O15)</f>
        <v>139.34094202209329</v>
      </c>
      <c r="E14" s="13">
        <f>VALUE('0515'!O26)</f>
        <v>144.12760588782987</v>
      </c>
      <c r="F14" s="13">
        <f>VALUE('0515'!O37)</f>
        <v>82.652658495309026</v>
      </c>
      <c r="G14" s="13">
        <f>VALUE('0515'!O48)</f>
        <v>90.527903469079689</v>
      </c>
      <c r="H14" s="13">
        <f>VALUE('0515'!O58)</f>
        <v>96.417522289496247</v>
      </c>
      <c r="I14" s="13">
        <f>VALUE('0515'!O69)</f>
        <v>85.501578421578216</v>
      </c>
      <c r="J14" s="13">
        <f>'0515'!O79</f>
        <v>0</v>
      </c>
    </row>
    <row r="15" spans="2:15" ht="39.950000000000003" customHeight="1">
      <c r="B15" s="382"/>
      <c r="C15" s="10" t="s">
        <v>26</v>
      </c>
      <c r="D15" s="14">
        <f t="shared" ref="D15:I15" si="1">D14/D13</f>
        <v>0.92893961348062193</v>
      </c>
      <c r="E15" s="14">
        <f t="shared" si="1"/>
        <v>0.89373847603356171</v>
      </c>
      <c r="F15" s="14">
        <f t="shared" si="1"/>
        <v>0.85728809909716497</v>
      </c>
      <c r="G15" s="14">
        <f t="shared" si="1"/>
        <v>0.86011458640841021</v>
      </c>
      <c r="H15" s="14">
        <f t="shared" si="1"/>
        <v>0.93609244941258496</v>
      </c>
      <c r="I15" s="14">
        <f t="shared" si="1"/>
        <v>0.76256024296318192</v>
      </c>
      <c r="J15" s="15">
        <f>'0515'!S70</f>
        <v>0</v>
      </c>
    </row>
    <row r="16" spans="2:15" ht="17.25" customHeight="1">
      <c r="B16" s="383" t="s">
        <v>101</v>
      </c>
      <c r="C16" s="10" t="s">
        <v>34</v>
      </c>
      <c r="D16" s="16">
        <f>'0515'!T5</f>
        <v>0.29166666666666702</v>
      </c>
      <c r="E16" s="16">
        <f>'0515'!T16</f>
        <v>0.29097222222222202</v>
      </c>
      <c r="F16" s="16">
        <f>'0515'!T27</f>
        <v>0.33333333333333298</v>
      </c>
      <c r="G16" s="16">
        <f>'0515'!T38</f>
        <v>0.33333333333333298</v>
      </c>
      <c r="H16" s="16">
        <f>'0515'!T49</f>
        <v>0.29166666666666702</v>
      </c>
      <c r="I16" s="16">
        <f>'0515'!T59</f>
        <v>0.28819444444444398</v>
      </c>
      <c r="J16" s="16">
        <f>'0515'!T70</f>
        <v>0</v>
      </c>
    </row>
    <row r="17" spans="2:10" ht="17.25" customHeight="1">
      <c r="B17" s="384"/>
      <c r="C17" s="10" t="s">
        <v>35</v>
      </c>
      <c r="D17" s="16">
        <v>0.58194444444444404</v>
      </c>
      <c r="E17" s="19">
        <v>0.47916666666666702</v>
      </c>
      <c r="F17" s="19">
        <v>0.57291666666666696</v>
      </c>
      <c r="G17" s="20">
        <v>0.49305555555555602</v>
      </c>
      <c r="H17" s="21">
        <v>0.61319444444444404</v>
      </c>
      <c r="I17" s="22">
        <v>0.63888888888888895</v>
      </c>
      <c r="J17" s="16">
        <f>'0515'!T71</f>
        <v>0</v>
      </c>
    </row>
    <row r="18" spans="2:10" ht="17.25" customHeight="1">
      <c r="B18" s="385" t="s">
        <v>102</v>
      </c>
      <c r="C18" s="330" t="s">
        <v>36</v>
      </c>
      <c r="D18" s="358">
        <f>'0515'!Z15</f>
        <v>0</v>
      </c>
      <c r="E18" s="359">
        <f>'0515'!Z26</f>
        <v>0</v>
      </c>
      <c r="F18" s="359">
        <f>'0515'!Z37</f>
        <v>0</v>
      </c>
      <c r="G18" s="360">
        <f>'0515'!Z48</f>
        <v>0</v>
      </c>
      <c r="H18" s="360">
        <f>'0515'!Z58</f>
        <v>0</v>
      </c>
      <c r="I18" s="359">
        <f>'0515'!Z69</f>
        <v>0</v>
      </c>
      <c r="J18" s="359">
        <f>'0515'!AA79</f>
        <v>0</v>
      </c>
    </row>
    <row r="19" spans="2:10" ht="17.25" customHeight="1">
      <c r="B19" s="386"/>
      <c r="C19" s="330" t="s">
        <v>37</v>
      </c>
      <c r="D19" s="358">
        <f>'0515'!AA15</f>
        <v>0</v>
      </c>
      <c r="E19" s="359">
        <f>'0515'!AA26</f>
        <v>0</v>
      </c>
      <c r="F19" s="359">
        <f>'0515'!AA37</f>
        <v>0</v>
      </c>
      <c r="G19" s="360">
        <f>'0515'!AA48</f>
        <v>0</v>
      </c>
      <c r="H19" s="360">
        <f>'0515'!AA58</f>
        <v>0</v>
      </c>
      <c r="I19" s="359">
        <f>'0515'!AA69</f>
        <v>0</v>
      </c>
      <c r="J19" s="359">
        <f>'0515'!AB79</f>
        <v>0</v>
      </c>
    </row>
    <row r="20" spans="2:10" ht="17.25" customHeight="1">
      <c r="B20" s="385" t="s">
        <v>103</v>
      </c>
      <c r="C20" s="330" t="s">
        <v>36</v>
      </c>
      <c r="D20" s="358">
        <f>'0515'!AD15</f>
        <v>0</v>
      </c>
      <c r="E20" s="359">
        <f>'0515'!AD26</f>
        <v>0</v>
      </c>
      <c r="F20" s="359">
        <f>'0515'!AD37</f>
        <v>0</v>
      </c>
      <c r="G20" s="360">
        <f>'0515'!AD48</f>
        <v>0</v>
      </c>
      <c r="H20" s="360">
        <f>'0515'!AD58</f>
        <v>0</v>
      </c>
      <c r="I20" s="359">
        <f>'0515'!AD69</f>
        <v>0</v>
      </c>
      <c r="J20" s="359">
        <f>'0515'!AD79</f>
        <v>0</v>
      </c>
    </row>
    <row r="21" spans="2:10" ht="17.25" customHeight="1">
      <c r="B21" s="386"/>
      <c r="C21" s="330" t="s">
        <v>85</v>
      </c>
      <c r="D21" s="358">
        <f>'0515'!AE15</f>
        <v>0</v>
      </c>
      <c r="E21" s="359">
        <f>'0515'!AE26</f>
        <v>0</v>
      </c>
      <c r="F21" s="359">
        <f>'0515'!AE37</f>
        <v>0</v>
      </c>
      <c r="G21" s="360">
        <f>'0515'!AE48</f>
        <v>0</v>
      </c>
      <c r="H21" s="360">
        <f>'0515'!AE58</f>
        <v>0</v>
      </c>
      <c r="I21" s="359">
        <f>'0515'!AE69</f>
        <v>0</v>
      </c>
      <c r="J21" s="359">
        <f>'0515'!AE79</f>
        <v>0</v>
      </c>
    </row>
    <row r="22" spans="2:10" ht="17.25" customHeight="1">
      <c r="B22" s="377" t="s">
        <v>104</v>
      </c>
      <c r="C22" s="378"/>
      <c r="D22" s="23">
        <f>VALUE('0515'!M15)</f>
        <v>15</v>
      </c>
      <c r="E22" s="23">
        <f>VALUE('0515'!M26)</f>
        <v>14</v>
      </c>
      <c r="F22" s="23">
        <f>VALUE('0515'!M37)</f>
        <v>16.666666666666668</v>
      </c>
      <c r="G22" s="23">
        <f>VALUE('0515'!M48)</f>
        <v>16</v>
      </c>
      <c r="H22" s="23">
        <f>VALUE('0515'!M58)</f>
        <v>16.600000000000001</v>
      </c>
      <c r="I22" s="23">
        <f>VALUE('0515'!M69)</f>
        <v>13.6</v>
      </c>
      <c r="J22" s="23">
        <f>'0515'!M79</f>
        <v>0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05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417A9-9BC0-4159-8CC8-C91BD13C1A22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X62" sqref="X62"/>
      <selection pane="topRight" activeCell="X62" sqref="X62"/>
      <selection pane="bottomLeft" activeCell="X62" sqref="X62"/>
      <selection pane="bottomRight" activeCell="U18" sqref="U1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8" width="8.7109375" style="34" customWidth="1"/>
    <col min="109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46617</v>
      </c>
      <c r="F1" s="30" t="s">
        <v>2</v>
      </c>
      <c r="G1" s="31">
        <f>SUM(H5:H79)</f>
        <v>2277192.0859999997</v>
      </c>
      <c r="H1" s="32" t="s">
        <v>3</v>
      </c>
      <c r="I1" s="33">
        <f>M15+M26+M48+M58+M69+M79+M37</f>
        <v>91.866666666666674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203</v>
      </c>
      <c r="B2" s="422"/>
      <c r="C2" s="28"/>
      <c r="D2" s="28" t="s">
        <v>14</v>
      </c>
      <c r="E2" s="35">
        <f>AVERAGE(O15,O26,O37,O48,O58,O69,O79)</f>
        <v>106.42803509756438</v>
      </c>
      <c r="F2" s="36" t="s">
        <v>15</v>
      </c>
      <c r="G2" s="37">
        <f>G1/E1</f>
        <v>48.84896252440096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0</v>
      </c>
      <c r="AA2" s="339">
        <f>AA15+AA26+AA37+AA48+AA58+AA69+AA79</f>
        <v>0</v>
      </c>
      <c r="AB2" s="460"/>
      <c r="AC2" s="460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2676</v>
      </c>
      <c r="H5" s="43">
        <f>F5*G5</f>
        <v>152184.12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2058.4615384615649</v>
      </c>
      <c r="O5" s="47">
        <f>N5/M5</f>
        <v>137.23076923077099</v>
      </c>
      <c r="P5" s="49">
        <f>M5-J5</f>
        <v>0</v>
      </c>
      <c r="Q5" s="50">
        <f>O5-L5</f>
        <v>-12.769230769229011</v>
      </c>
      <c r="R5" s="51">
        <f>O5/L5</f>
        <v>0.91487179487180659</v>
      </c>
      <c r="S5" s="416">
        <f>R15</f>
        <v>0.92893961348062193</v>
      </c>
      <c r="T5" s="319">
        <v>0.29166666666666702</v>
      </c>
      <c r="U5" s="320">
        <v>0.34583333333333299</v>
      </c>
      <c r="V5" s="53"/>
      <c r="W5" s="54">
        <f t="shared" ref="W5:W14" si="0">(U5-T5)*24*60</f>
        <v>77.999999999999005</v>
      </c>
      <c r="X5" s="55"/>
      <c r="Y5" s="290"/>
      <c r="Z5" s="169"/>
      <c r="AA5" s="169"/>
      <c r="AB5" s="468"/>
      <c r="AC5" s="468"/>
      <c r="AD5" s="135"/>
      <c r="AE5" s="135"/>
      <c r="AF5" s="229">
        <f t="shared" ref="AF5:AF11" si="1">N5-K5</f>
        <v>-191.53846153843506</v>
      </c>
      <c r="AG5" s="52">
        <f t="shared" ref="AG5:AG11" si="2">N5/K5</f>
        <v>0.91487179487180659</v>
      </c>
      <c r="AH5" s="461">
        <f>AG15</f>
        <v>0.92893961348062193</v>
      </c>
    </row>
    <row r="6" spans="1:34" ht="15" customHeight="1">
      <c r="A6" s="428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3299</v>
      </c>
      <c r="H6" s="63">
        <f>F6*G6</f>
        <v>191902.83000000002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2128.3870967742046</v>
      </c>
      <c r="O6" s="67">
        <f>N6/M6</f>
        <v>141.89247311828029</v>
      </c>
      <c r="P6" s="69">
        <f>M6-J6</f>
        <v>0</v>
      </c>
      <c r="Q6" s="70">
        <f>O6-L6</f>
        <v>-8.107526881719707</v>
      </c>
      <c r="R6" s="71">
        <f>O6/L6</f>
        <v>0.94594982078853529</v>
      </c>
      <c r="S6" s="417"/>
      <c r="T6" s="16">
        <v>0.35277777777777802</v>
      </c>
      <c r="U6" s="16">
        <v>0.41736111111111102</v>
      </c>
      <c r="V6" s="30">
        <f>(T6-U5)*24*60</f>
        <v>10.000000000000844</v>
      </c>
      <c r="W6" s="73">
        <f t="shared" si="0"/>
        <v>92.999999999999517</v>
      </c>
      <c r="X6" s="22"/>
      <c r="Y6" s="84"/>
      <c r="Z6" s="90"/>
      <c r="AA6" s="90"/>
      <c r="AB6" s="465"/>
      <c r="AC6" s="465"/>
      <c r="AD6" s="149"/>
      <c r="AE6" s="149"/>
      <c r="AF6" s="307">
        <f t="shared" si="1"/>
        <v>-121.61290322579543</v>
      </c>
      <c r="AG6" s="72">
        <f t="shared" si="2"/>
        <v>0.9459498207885354</v>
      </c>
      <c r="AH6" s="462"/>
    </row>
    <row r="7" spans="1:34" ht="15" customHeight="1">
      <c r="A7" s="428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2870</v>
      </c>
      <c r="H7" s="78">
        <f>F7*G7</f>
        <v>141031.79999999999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2074.6987951807182</v>
      </c>
      <c r="O7" s="81">
        <f>N7/M7</f>
        <v>138.31325301204788</v>
      </c>
      <c r="P7" s="74">
        <f>M7-J7</f>
        <v>0</v>
      </c>
      <c r="Q7" s="83">
        <f>O7-L7</f>
        <v>-11.68674698795212</v>
      </c>
      <c r="R7" s="72">
        <f>O7/L7</f>
        <v>0.92208835341365258</v>
      </c>
      <c r="S7" s="417"/>
      <c r="T7" s="18">
        <v>0.42499999999999999</v>
      </c>
      <c r="U7" s="18">
        <v>0.48263888888888901</v>
      </c>
      <c r="V7" s="30">
        <f>(T7-U6)*24*60</f>
        <v>11.000000000000121</v>
      </c>
      <c r="W7" s="73">
        <f t="shared" si="0"/>
        <v>83.000000000000185</v>
      </c>
      <c r="X7" s="22">
        <v>0.49305555555555602</v>
      </c>
      <c r="Y7" s="84">
        <v>0.53472222222222199</v>
      </c>
      <c r="Z7" s="90"/>
      <c r="AA7" s="90"/>
      <c r="AB7" s="466"/>
      <c r="AC7" s="466"/>
      <c r="AD7" s="92"/>
      <c r="AE7" s="92"/>
      <c r="AF7" s="307">
        <f t="shared" si="1"/>
        <v>-175.30120481928179</v>
      </c>
      <c r="AG7" s="72">
        <f t="shared" si="2"/>
        <v>0.92208835341365258</v>
      </c>
      <c r="AH7" s="462"/>
    </row>
    <row r="8" spans="1:34" ht="15" customHeight="1">
      <c r="A8" s="428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1924</v>
      </c>
      <c r="H8" s="78">
        <f>F8*G8</f>
        <v>94545.36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2098.9090909091101</v>
      </c>
      <c r="O8" s="81">
        <f>N8/M8</f>
        <v>139.92727272727402</v>
      </c>
      <c r="P8" s="74">
        <f>M8-J8</f>
        <v>0</v>
      </c>
      <c r="Q8" s="83">
        <f>O8-L8</f>
        <v>-10.072727272725984</v>
      </c>
      <c r="R8" s="72">
        <f>O8/L8</f>
        <v>0.93284848484849348</v>
      </c>
      <c r="S8" s="417"/>
      <c r="T8" s="16">
        <v>0.54374999999999996</v>
      </c>
      <c r="U8" s="16">
        <v>0.58194444444444404</v>
      </c>
      <c r="V8" s="30">
        <f>(T8-U7)*24*60</f>
        <v>87.999999999999773</v>
      </c>
      <c r="W8" s="73">
        <f t="shared" si="0"/>
        <v>54.999999999999488</v>
      </c>
      <c r="X8" s="22"/>
      <c r="Y8" s="84"/>
      <c r="Z8" s="90"/>
      <c r="AA8" s="90"/>
      <c r="AB8" s="465"/>
      <c r="AC8" s="465"/>
      <c r="AD8" s="149"/>
      <c r="AE8" s="149"/>
      <c r="AF8" s="307">
        <f t="shared" si="1"/>
        <v>-151.09090909088991</v>
      </c>
      <c r="AG8" s="72">
        <f t="shared" si="2"/>
        <v>0.93284848484849336</v>
      </c>
      <c r="AH8" s="462"/>
    </row>
    <row r="9" spans="1:34" ht="15" customHeight="1">
      <c r="A9" s="42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8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5"/>
      <c r="AC9" s="465"/>
      <c r="AD9" s="149"/>
      <c r="AE9" s="149"/>
      <c r="AF9" s="307">
        <f t="shared" si="1"/>
        <v>0</v>
      </c>
      <c r="AG9" s="72" t="e">
        <f t="shared" si="2"/>
        <v>#DIV/0!</v>
      </c>
      <c r="AH9" s="463"/>
    </row>
    <row r="10" spans="1:34" ht="15" customHeight="1">
      <c r="A10" s="42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8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6"/>
      <c r="AC10" s="466"/>
      <c r="AD10" s="92"/>
      <c r="AE10" s="92"/>
      <c r="AF10" s="307">
        <f t="shared" si="1"/>
        <v>0</v>
      </c>
      <c r="AG10" s="72" t="e">
        <f t="shared" si="2"/>
        <v>#DIV/0!</v>
      </c>
      <c r="AH10" s="463"/>
    </row>
    <row r="11" spans="1:34" ht="15" customHeight="1">
      <c r="A11" s="42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5"/>
      <c r="AC11" s="465"/>
      <c r="AD11" s="149"/>
      <c r="AE11" s="149"/>
      <c r="AF11" s="307">
        <f t="shared" si="1"/>
        <v>0</v>
      </c>
      <c r="AG11" s="72" t="e">
        <f t="shared" si="2"/>
        <v>#DIV/0!</v>
      </c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2090.1141303313993</v>
      </c>
      <c r="O15" s="117">
        <f t="shared" si="3"/>
        <v>139.34094202209329</v>
      </c>
      <c r="P15" s="121">
        <f>M15-J15</f>
        <v>0</v>
      </c>
      <c r="Q15" s="122">
        <f>O15-L15</f>
        <v>-10.659057977906713</v>
      </c>
      <c r="R15" s="123">
        <f>O15/L15</f>
        <v>0.92893961348062193</v>
      </c>
      <c r="S15" s="42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7"/>
      <c r="AC15" s="467"/>
      <c r="AD15" s="323">
        <f>SUM(AD5:AD14)</f>
        <v>0</v>
      </c>
      <c r="AE15" s="323">
        <f>SUM(AE5:AE14)</f>
        <v>0</v>
      </c>
      <c r="AF15" s="309">
        <f>N15-K15</f>
        <v>-159.88586966860066</v>
      </c>
      <c r="AG15" s="124">
        <f>N15/K15</f>
        <v>0.92893961348062193</v>
      </c>
      <c r="AH15" s="464"/>
    </row>
    <row r="16" spans="1:34" ht="15" customHeight="1">
      <c r="A16" s="47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3099</v>
      </c>
      <c r="H16" s="134">
        <f>F16*G16</f>
        <v>157026.33000000002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2137.2413793103347</v>
      </c>
      <c r="O16" s="141">
        <f>N16/M16</f>
        <v>152.66009852216675</v>
      </c>
      <c r="P16" s="142">
        <f>M16-J16</f>
        <v>0</v>
      </c>
      <c r="Q16" s="143">
        <f>O16-L16</f>
        <v>-8.0541871921189738</v>
      </c>
      <c r="R16" s="144">
        <f>O16/L16</f>
        <v>0.94988505747125973</v>
      </c>
      <c r="S16" s="472">
        <f>R26</f>
        <v>0.89373847603356171</v>
      </c>
      <c r="T16" s="145">
        <v>0.29097222222222202</v>
      </c>
      <c r="U16" s="145">
        <v>0.35138888888888897</v>
      </c>
      <c r="V16" s="135"/>
      <c r="W16" s="146">
        <f t="shared" ref="W16:W78" si="4">(U16-T16)*24*60</f>
        <v>87.000000000000412</v>
      </c>
      <c r="X16" s="141"/>
      <c r="Y16" s="296"/>
      <c r="Z16" s="169"/>
      <c r="AA16" s="169"/>
      <c r="AB16" s="468"/>
      <c r="AC16" s="468"/>
      <c r="AD16" s="135"/>
      <c r="AE16" s="135"/>
      <c r="AF16" s="229">
        <f>N16-K16</f>
        <v>-112.75862068966535</v>
      </c>
      <c r="AG16" s="52">
        <f>N16/K16</f>
        <v>0.94988505747125984</v>
      </c>
      <c r="AH16" s="461">
        <f>AG26</f>
        <v>0.89148795628025468</v>
      </c>
    </row>
    <row r="17" spans="1:34" ht="15" customHeight="1">
      <c r="A17" s="479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1311</v>
      </c>
      <c r="H17" s="78">
        <f>F17*G17</f>
        <v>74215.710000000006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1829.3023255814019</v>
      </c>
      <c r="O17" s="96">
        <f>N17/M17</f>
        <v>121.95348837209346</v>
      </c>
      <c r="P17" s="97">
        <f>M17-J17</f>
        <v>0</v>
      </c>
      <c r="Q17" s="98">
        <f>O17-L17</f>
        <v>-28.04651162790654</v>
      </c>
      <c r="R17" s="99">
        <f>O17/L17</f>
        <v>0.8130232558139564</v>
      </c>
      <c r="S17" s="473"/>
      <c r="T17" s="19">
        <v>0.35763888888888901</v>
      </c>
      <c r="U17" s="19">
        <v>0.38750000000000001</v>
      </c>
      <c r="V17" s="30">
        <f>(T17-U16)*24*60</f>
        <v>9.000000000000048</v>
      </c>
      <c r="W17" s="149">
        <f t="shared" si="4"/>
        <v>42.999999999999844</v>
      </c>
      <c r="X17" s="19"/>
      <c r="Y17" s="297"/>
      <c r="Z17" s="90"/>
      <c r="AA17" s="90"/>
      <c r="AB17" s="466"/>
      <c r="AC17" s="466"/>
      <c r="AD17" s="92"/>
      <c r="AE17" s="92"/>
      <c r="AF17" s="307">
        <f>N17-K17</f>
        <v>-420.69767441859813</v>
      </c>
      <c r="AG17" s="72">
        <f>N17/K17</f>
        <v>0.8130232558139564</v>
      </c>
      <c r="AH17" s="462"/>
    </row>
    <row r="18" spans="1:34" ht="15" customHeight="1">
      <c r="A18" s="479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4102</v>
      </c>
      <c r="H18" s="78">
        <f>F18*G18</f>
        <v>206699.78</v>
      </c>
      <c r="I18" s="30"/>
      <c r="J18" s="79">
        <v>13</v>
      </c>
      <c r="K18" s="80">
        <f>VLOOKUP(D18,產線配置圖!$A$3:$C$40,3,0)</f>
        <v>2250</v>
      </c>
      <c r="L18" s="81">
        <f>K18/J18</f>
        <v>173.07692307692307</v>
      </c>
      <c r="M18" s="148">
        <v>13</v>
      </c>
      <c r="N18" s="95">
        <f>G18/W18*60</f>
        <v>2050.9999999999827</v>
      </c>
      <c r="O18" s="96">
        <f>N18/M18</f>
        <v>157.76923076922944</v>
      </c>
      <c r="P18" s="97">
        <f>M18-J18</f>
        <v>0</v>
      </c>
      <c r="Q18" s="98">
        <f>O18-L18</f>
        <v>-15.307692307693628</v>
      </c>
      <c r="R18" s="99">
        <f>O18/L18</f>
        <v>0.9115555555555479</v>
      </c>
      <c r="S18" s="473"/>
      <c r="T18" s="19">
        <v>0.39583333333333298</v>
      </c>
      <c r="U18" s="19">
        <v>0.47916666666666702</v>
      </c>
      <c r="V18" s="30">
        <f>(T18-U17)*24*60</f>
        <v>11.999999999999478</v>
      </c>
      <c r="W18" s="149">
        <f t="shared" si="4"/>
        <v>120.00000000000101</v>
      </c>
      <c r="X18" s="22"/>
      <c r="Y18" s="84"/>
      <c r="Z18" s="90"/>
      <c r="AA18" s="90"/>
      <c r="AB18" s="466"/>
      <c r="AC18" s="466"/>
      <c r="AD18" s="92"/>
      <c r="AE18" s="92"/>
      <c r="AF18" s="307">
        <f>N18-K18</f>
        <v>-199.00000000001728</v>
      </c>
      <c r="AG18" s="72">
        <f>N18/K18</f>
        <v>0.9115555555555479</v>
      </c>
      <c r="AH18" s="462"/>
    </row>
    <row r="19" spans="1:34" ht="15" customHeight="1">
      <c r="A19" s="479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3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65"/>
      <c r="AC19" s="465"/>
      <c r="AD19" s="149"/>
      <c r="AE19" s="149"/>
      <c r="AF19" s="307">
        <f>N19-K19</f>
        <v>0</v>
      </c>
      <c r="AG19" s="72" t="e">
        <f>N19/K19</f>
        <v>#DIV/0!</v>
      </c>
      <c r="AH19" s="463"/>
    </row>
    <row r="20" spans="1:34" ht="15" customHeight="1">
      <c r="A20" s="47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3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66"/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3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6"/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50"/>
      <c r="U22" s="150"/>
      <c r="V22" s="92"/>
      <c r="W22" s="149"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4"/>
        <v>0</v>
      </c>
      <c r="X23" s="92"/>
      <c r="Y23" s="298"/>
      <c r="Z23" s="90"/>
      <c r="AA23" s="90"/>
      <c r="AB23" s="466"/>
      <c r="AC23" s="46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>
        <f t="shared" ref="J26:O26" si="5">AVERAGE(J16:J25)</f>
        <v>14</v>
      </c>
      <c r="K26" s="155">
        <f t="shared" si="5"/>
        <v>2250</v>
      </c>
      <c r="L26" s="158">
        <f t="shared" si="5"/>
        <v>161.26373626373626</v>
      </c>
      <c r="M26" s="155">
        <f t="shared" si="5"/>
        <v>14</v>
      </c>
      <c r="N26" s="155">
        <f t="shared" si="5"/>
        <v>2005.847901630573</v>
      </c>
      <c r="O26" s="158">
        <f t="shared" si="5"/>
        <v>144.12760588782987</v>
      </c>
      <c r="P26" s="159">
        <f>M26-J26</f>
        <v>0</v>
      </c>
      <c r="Q26" s="160">
        <f>O26-L26</f>
        <v>-17.13613037590639</v>
      </c>
      <c r="R26" s="161">
        <f>O26/L26</f>
        <v>0.89373847603356171</v>
      </c>
      <c r="S26" s="474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7"/>
      <c r="AC26" s="467"/>
      <c r="AD26" s="323">
        <f>SUM(AD16:AD25)</f>
        <v>0</v>
      </c>
      <c r="AE26" s="323">
        <f>SUM(AE16:AE25)</f>
        <v>0</v>
      </c>
      <c r="AF26" s="309">
        <f t="shared" ref="AF26:AF31" si="6">N26-K26</f>
        <v>-244.15209836942699</v>
      </c>
      <c r="AG26" s="124">
        <f t="shared" ref="AG26:AG31" si="7">N26/K26</f>
        <v>0.89148795628025468</v>
      </c>
      <c r="AH26" s="464"/>
    </row>
    <row r="27" spans="1:34" ht="15" customHeight="1">
      <c r="A27" s="469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2570</v>
      </c>
      <c r="H27" s="134">
        <f>F27*G27</f>
        <v>147029.70000000001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1511.7647058823381</v>
      </c>
      <c r="O27" s="141">
        <f>N27/M27</f>
        <v>88.927335640137542</v>
      </c>
      <c r="P27" s="142">
        <f>M27-J27</f>
        <v>0</v>
      </c>
      <c r="Q27" s="143">
        <f>O27-L27</f>
        <v>-3.1314878892742257</v>
      </c>
      <c r="R27" s="144">
        <f>O27/L27</f>
        <v>0.96598383762449724</v>
      </c>
      <c r="S27" s="472">
        <f>R37</f>
        <v>0.85728809909716497</v>
      </c>
      <c r="T27" s="171">
        <v>0.33333333333333298</v>
      </c>
      <c r="U27" s="171">
        <v>0.40416666666666701</v>
      </c>
      <c r="V27" s="135"/>
      <c r="W27" s="146">
        <f t="shared" si="4"/>
        <v>102.00000000000099</v>
      </c>
      <c r="X27" s="135"/>
      <c r="Y27" s="300" t="s">
        <v>46</v>
      </c>
      <c r="Z27" s="169"/>
      <c r="AA27" s="169"/>
      <c r="AB27" s="468"/>
      <c r="AC27" s="468"/>
      <c r="AD27" s="135"/>
      <c r="AE27" s="135"/>
      <c r="AF27" s="310">
        <f t="shared" si="6"/>
        <v>-53.235294117661851</v>
      </c>
      <c r="AG27" s="172">
        <f t="shared" si="7"/>
        <v>0.96598383762449724</v>
      </c>
      <c r="AH27" s="461">
        <f>AG37</f>
        <v>0.84055391631412946</v>
      </c>
    </row>
    <row r="28" spans="1:34" ht="15" customHeight="1">
      <c r="A28" s="470"/>
      <c r="B28" s="75" t="s">
        <v>81</v>
      </c>
      <c r="C28" s="173"/>
      <c r="D28" s="59" t="s">
        <v>128</v>
      </c>
      <c r="E28" s="104"/>
      <c r="F28" s="75">
        <f>VLOOKUP(D28,廠價表!$C$1:$E$43,3,0)</f>
        <v>57.21</v>
      </c>
      <c r="G28" s="90">
        <v>1887</v>
      </c>
      <c r="H28" s="91">
        <f>F28*G28</f>
        <v>107955.27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16</v>
      </c>
      <c r="N28" s="95">
        <f>G28/W28*60</f>
        <v>1316.5116279069816</v>
      </c>
      <c r="O28" s="96">
        <f>N28/M28</f>
        <v>82.281976744186352</v>
      </c>
      <c r="P28" s="97">
        <f>M28-J28</f>
        <v>-1</v>
      </c>
      <c r="Q28" s="98">
        <f>O28-L28</f>
        <v>-18.65919972640188</v>
      </c>
      <c r="R28" s="99">
        <f>O28/L28</f>
        <v>0.8151477882582564</v>
      </c>
      <c r="S28" s="473"/>
      <c r="T28" s="19">
        <v>0.41111111111111098</v>
      </c>
      <c r="U28" s="19">
        <v>0.47083333333333299</v>
      </c>
      <c r="V28" s="92">
        <f>(T28-U27)*24*60</f>
        <v>9.999999999999325</v>
      </c>
      <c r="W28" s="149">
        <f t="shared" si="4"/>
        <v>85.999999999999687</v>
      </c>
      <c r="X28" s="174">
        <v>0.47569444444444398</v>
      </c>
      <c r="Y28" s="301">
        <v>0.52777777777777801</v>
      </c>
      <c r="Z28" s="335"/>
      <c r="AA28" s="335"/>
      <c r="AB28" s="466"/>
      <c r="AC28" s="466"/>
      <c r="AD28" s="92"/>
      <c r="AE28" s="92"/>
      <c r="AF28" s="311">
        <f t="shared" si="6"/>
        <v>-399.48837209301837</v>
      </c>
      <c r="AG28" s="99">
        <f t="shared" si="7"/>
        <v>0.76719791836071194</v>
      </c>
      <c r="AH28" s="482"/>
    </row>
    <row r="29" spans="1:34" ht="15" customHeight="1">
      <c r="A29" s="470"/>
      <c r="B29" s="75" t="s">
        <v>123</v>
      </c>
      <c r="C29" s="88"/>
      <c r="D29" s="59" t="s">
        <v>124</v>
      </c>
      <c r="E29" s="89"/>
      <c r="F29" s="75">
        <f>VLOOKUP(D29,廠價表!$C$1:$E$43,3,0)</f>
        <v>44.3</v>
      </c>
      <c r="G29" s="90">
        <v>1196</v>
      </c>
      <c r="H29" s="91">
        <f>F29*G29</f>
        <v>52982.799999999996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1304.7272727272543</v>
      </c>
      <c r="O29" s="96">
        <f>N29/M29</f>
        <v>76.748663101603199</v>
      </c>
      <c r="P29" s="97">
        <f>M29-J29</f>
        <v>0</v>
      </c>
      <c r="Q29" s="98">
        <f>O29-L29</f>
        <v>-19.486631016043859</v>
      </c>
      <c r="R29" s="99">
        <f>O29/L29</f>
        <v>0.79751055790174474</v>
      </c>
      <c r="S29" s="473"/>
      <c r="T29" s="19">
        <v>0.53472222222222199</v>
      </c>
      <c r="U29" s="19">
        <v>0.57291666666666696</v>
      </c>
      <c r="V29" s="92">
        <f>(T29-U28)*24*60</f>
        <v>92.000000000000156</v>
      </c>
      <c r="W29" s="149">
        <f t="shared" si="4"/>
        <v>55.000000000000767</v>
      </c>
      <c r="X29" s="22"/>
      <c r="Y29" s="84"/>
      <c r="Z29" s="90"/>
      <c r="AA29" s="90"/>
      <c r="AB29" s="466" t="s">
        <v>125</v>
      </c>
      <c r="AC29" s="466"/>
      <c r="AD29" s="92"/>
      <c r="AE29" s="92"/>
      <c r="AF29" s="312">
        <f t="shared" si="6"/>
        <v>-331.27272727274567</v>
      </c>
      <c r="AG29" s="99">
        <f t="shared" si="7"/>
        <v>0.79751055790174474</v>
      </c>
      <c r="AH29" s="482"/>
    </row>
    <row r="30" spans="1:34" ht="15" customHeight="1">
      <c r="A30" s="470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3"/>
      <c r="T30" s="19"/>
      <c r="U30" s="19"/>
      <c r="V30" s="92"/>
      <c r="W30" s="149">
        <f t="shared" si="4"/>
        <v>0</v>
      </c>
      <c r="X30" s="174"/>
      <c r="Y30" s="301"/>
      <c r="Z30" s="335"/>
      <c r="AA30" s="335"/>
      <c r="AB30" s="466"/>
      <c r="AC30" s="466"/>
      <c r="AD30" s="92"/>
      <c r="AE30" s="92"/>
      <c r="AF30" s="312">
        <f t="shared" si="6"/>
        <v>0</v>
      </c>
      <c r="AG30" s="99" t="e">
        <f t="shared" si="7"/>
        <v>#DIV/0!</v>
      </c>
      <c r="AH30" s="483"/>
    </row>
    <row r="31" spans="1:34" ht="15" customHeight="1">
      <c r="A31" s="47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3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6"/>
      <c r="AC31" s="466"/>
      <c r="AD31" s="92"/>
      <c r="AE31" s="92"/>
      <c r="AF31" s="312">
        <f t="shared" si="6"/>
        <v>0</v>
      </c>
      <c r="AG31" s="99" t="e">
        <f t="shared" si="7"/>
        <v>#DIV/0!</v>
      </c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66"/>
      <c r="AC32" s="466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6"/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>
        <f t="shared" ref="J37:O37" si="8">AVERAGE(J27:J36)</f>
        <v>17</v>
      </c>
      <c r="K37" s="155">
        <f t="shared" si="8"/>
        <v>1639</v>
      </c>
      <c r="L37" s="158">
        <f t="shared" si="8"/>
        <v>96.411764705882362</v>
      </c>
      <c r="M37" s="155">
        <f t="shared" si="8"/>
        <v>16.666666666666668</v>
      </c>
      <c r="N37" s="155">
        <f t="shared" si="8"/>
        <v>1377.6678688388581</v>
      </c>
      <c r="O37" s="158">
        <f t="shared" si="8"/>
        <v>82.652658495309026</v>
      </c>
      <c r="P37" s="159">
        <f>M37-J37</f>
        <v>-0.33333333333333215</v>
      </c>
      <c r="Q37" s="160">
        <f>N37-K37</f>
        <v>-261.33213116114189</v>
      </c>
      <c r="R37" s="161">
        <f>O37/L37</f>
        <v>0.85728809909716497</v>
      </c>
      <c r="S37" s="474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7"/>
      <c r="AC37" s="477"/>
      <c r="AD37" s="324">
        <f>SUM(AD27:AD36)</f>
        <v>0</v>
      </c>
      <c r="AE37" s="324">
        <f>SUM(AE27:AE36)</f>
        <v>0</v>
      </c>
      <c r="AF37" s="309">
        <f>N37-K37</f>
        <v>-261.33213116114189</v>
      </c>
      <c r="AG37" s="124">
        <f>N37/K37</f>
        <v>0.84055391631412946</v>
      </c>
      <c r="AH37" s="464"/>
    </row>
    <row r="38" spans="1:34" ht="15" customHeight="1">
      <c r="A38" s="491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2450</v>
      </c>
      <c r="H38" s="134">
        <f>F38*G38</f>
        <v>122279.49999999999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1399.9999999999932</v>
      </c>
      <c r="O38" s="141">
        <f>N38/M38</f>
        <v>93.333333333332874</v>
      </c>
      <c r="P38" s="142">
        <f>M38-J38</f>
        <v>0</v>
      </c>
      <c r="Q38" s="143">
        <f>O38-L38</f>
        <v>-20.933333333333792</v>
      </c>
      <c r="R38" s="144">
        <f>O38/L38</f>
        <v>0.81680280046674048</v>
      </c>
      <c r="S38" s="494">
        <f>R48</f>
        <v>0.86011458640841021</v>
      </c>
      <c r="T38" s="191">
        <v>0.33333333333333298</v>
      </c>
      <c r="U38" s="191">
        <v>0.40625</v>
      </c>
      <c r="V38" s="192"/>
      <c r="W38" s="193">
        <f t="shared" si="4"/>
        <v>105.00000000000051</v>
      </c>
      <c r="X38" s="194"/>
      <c r="Y38" s="302"/>
      <c r="Z38" s="336"/>
      <c r="AA38" s="336"/>
      <c r="AB38" s="496"/>
      <c r="AC38" s="496"/>
      <c r="AD38" s="192"/>
      <c r="AE38" s="192"/>
      <c r="AF38" s="313">
        <f>N38-K38</f>
        <v>-314.00000000000682</v>
      </c>
      <c r="AG38" s="195">
        <f>N38/K38</f>
        <v>0.81680280046674048</v>
      </c>
      <c r="AH38" s="484">
        <f>AG48</f>
        <v>0.86306926903941594</v>
      </c>
    </row>
    <row r="39" spans="1:34" ht="15" customHeight="1">
      <c r="A39" s="492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2908</v>
      </c>
      <c r="H39" s="91">
        <f>F39*G39</f>
        <v>128824.4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1491.2820512820504</v>
      </c>
      <c r="O39" s="203">
        <f>N39/M39</f>
        <v>87.72247360482649</v>
      </c>
      <c r="P39" s="97">
        <f>M39-J39</f>
        <v>0</v>
      </c>
      <c r="Q39" s="98">
        <f>O39-L39</f>
        <v>-8.5128205128205678</v>
      </c>
      <c r="R39" s="99">
        <f>O39/L39</f>
        <v>0.91154159613817254</v>
      </c>
      <c r="S39" s="495"/>
      <c r="T39" s="20">
        <v>0.41180555555555598</v>
      </c>
      <c r="U39" s="20">
        <v>0.49305555555555602</v>
      </c>
      <c r="V39" s="92">
        <f>(T39-U38)*24*60</f>
        <v>8.0000000000006111</v>
      </c>
      <c r="W39" s="205">
        <f t="shared" si="4"/>
        <v>117.00000000000006</v>
      </c>
      <c r="X39" s="22"/>
      <c r="Y39" s="84"/>
      <c r="Z39" s="90"/>
      <c r="AA39" s="90"/>
      <c r="AB39" s="487"/>
      <c r="AC39" s="487"/>
      <c r="AD39" s="200"/>
      <c r="AE39" s="200"/>
      <c r="AF39" s="314">
        <f>N39-K39</f>
        <v>-144.71794871794964</v>
      </c>
      <c r="AG39" s="206">
        <f>N39/K39</f>
        <v>0.91154159613817254</v>
      </c>
      <c r="AH39" s="485"/>
    </row>
    <row r="40" spans="1:34" ht="15" customHeight="1">
      <c r="A40" s="492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7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466"/>
      <c r="AC40" s="466"/>
      <c r="AD40" s="92"/>
      <c r="AE40" s="92"/>
      <c r="AF40" s="314">
        <f>N40-K40</f>
        <v>0</v>
      </c>
      <c r="AG40" s="206" t="e">
        <f>N40/K40</f>
        <v>#DIV/0!</v>
      </c>
      <c r="AH40" s="485"/>
    </row>
    <row r="41" spans="1:34" ht="15" customHeight="1">
      <c r="A41" s="49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7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6"/>
      <c r="AC41" s="466"/>
      <c r="AD41" s="92"/>
      <c r="AE41" s="92"/>
      <c r="AF41" s="314">
        <f>N41-K41</f>
        <v>0</v>
      </c>
      <c r="AG41" s="206" t="e">
        <f>N41/K41</f>
        <v>#DIV/0!</v>
      </c>
      <c r="AH41" s="485"/>
    </row>
    <row r="42" spans="1:34" ht="15" customHeight="1">
      <c r="A42" s="49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7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6"/>
      <c r="AC42" s="466"/>
      <c r="AD42" s="92"/>
      <c r="AE42" s="92"/>
      <c r="AF42" s="314"/>
      <c r="AG42" s="206"/>
      <c r="AH42" s="485"/>
    </row>
    <row r="43" spans="1:34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>
        <f t="shared" ref="J48:O48" si="9">AVERAGE(J38:J47)</f>
        <v>16</v>
      </c>
      <c r="K48" s="155">
        <f t="shared" si="9"/>
        <v>1675</v>
      </c>
      <c r="L48" s="158">
        <f t="shared" si="9"/>
        <v>105.25098039215686</v>
      </c>
      <c r="M48" s="155">
        <f t="shared" si="9"/>
        <v>16</v>
      </c>
      <c r="N48" s="155">
        <f t="shared" si="9"/>
        <v>1445.6410256410218</v>
      </c>
      <c r="O48" s="158">
        <f t="shared" si="9"/>
        <v>90.527903469079689</v>
      </c>
      <c r="P48" s="221">
        <f>M48-J48</f>
        <v>0</v>
      </c>
      <c r="Q48" s="222">
        <f>N48-K48</f>
        <v>-229.35897435897823</v>
      </c>
      <c r="R48" s="223">
        <f>O48/L48</f>
        <v>0.86011458640841021</v>
      </c>
      <c r="S48" s="420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7"/>
      <c r="AC48" s="467"/>
      <c r="AD48" s="323">
        <f>SUM(AD38:AD47)</f>
        <v>0</v>
      </c>
      <c r="AE48" s="323">
        <f>SUM(AE38:AE47)</f>
        <v>0</v>
      </c>
      <c r="AF48" s="315">
        <f t="shared" ref="AF48:AF53" si="10">N48-K48</f>
        <v>-229.35897435897823</v>
      </c>
      <c r="AG48" s="162">
        <f t="shared" ref="AG48:AG53" si="11">N48/K48</f>
        <v>0.86306926903941594</v>
      </c>
      <c r="AH48" s="486"/>
    </row>
    <row r="49" spans="1:34" ht="15" customHeight="1">
      <c r="A49" s="488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1759</v>
      </c>
      <c r="H49" s="134">
        <f>F49*G49</f>
        <v>87105.680000000008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1649.0625000000161</v>
      </c>
      <c r="O49" s="141">
        <f>N49/M49</f>
        <v>97.003676470589184</v>
      </c>
      <c r="P49" s="229">
        <f>M49-J49</f>
        <v>0</v>
      </c>
      <c r="Q49" s="230">
        <f>O49-L49</f>
        <v>-8.8786764705872798</v>
      </c>
      <c r="R49" s="52">
        <f>O49/L49</f>
        <v>0.91614583333334232</v>
      </c>
      <c r="S49" s="416">
        <f>R58</f>
        <v>0.93609244941258496</v>
      </c>
      <c r="T49" s="191">
        <v>0.29166666666666702</v>
      </c>
      <c r="U49" s="191">
        <v>0.33611111111111103</v>
      </c>
      <c r="V49" s="55"/>
      <c r="W49" s="193">
        <f t="shared" si="4"/>
        <v>63.999999999999375</v>
      </c>
      <c r="X49" s="55"/>
      <c r="Y49" s="290"/>
      <c r="Z49" s="169"/>
      <c r="AA49" s="169"/>
      <c r="AB49" s="468"/>
      <c r="AC49" s="468"/>
      <c r="AD49" s="135"/>
      <c r="AE49" s="135"/>
      <c r="AF49" s="229">
        <f t="shared" si="10"/>
        <v>-150.93749999998386</v>
      </c>
      <c r="AG49" s="52">
        <f t="shared" si="11"/>
        <v>0.91614583333334232</v>
      </c>
      <c r="AH49" s="461">
        <f>AG58</f>
        <v>0.93676583147285131</v>
      </c>
    </row>
    <row r="50" spans="1:34" ht="15" customHeight="1">
      <c r="A50" s="489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2833</v>
      </c>
      <c r="H50" s="231">
        <f>F50*G50</f>
        <v>141565.01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1634.4230769230828</v>
      </c>
      <c r="O50" s="235">
        <f>N50/M50</f>
        <v>102.15144230769268</v>
      </c>
      <c r="P50" s="74">
        <f>M50-J50</f>
        <v>0</v>
      </c>
      <c r="Q50" s="83">
        <f>O50-L50</f>
        <v>-10.348557692307324</v>
      </c>
      <c r="R50" s="72">
        <f>O50/L50</f>
        <v>0.90801282051282384</v>
      </c>
      <c r="S50" s="417"/>
      <c r="T50" s="21">
        <v>0.33888888888888902</v>
      </c>
      <c r="U50" s="21">
        <v>0.41111111111111098</v>
      </c>
      <c r="V50" s="30">
        <f>(T50-U49)*24*60</f>
        <v>4.0000000000003055</v>
      </c>
      <c r="W50" s="236">
        <f t="shared" si="4"/>
        <v>103.99999999999963</v>
      </c>
      <c r="X50" s="22"/>
      <c r="Y50" s="84"/>
      <c r="Z50" s="90"/>
      <c r="AA50" s="90"/>
      <c r="AB50" s="466"/>
      <c r="AC50" s="466"/>
      <c r="AD50" s="92"/>
      <c r="AE50" s="92"/>
      <c r="AF50" s="307">
        <f t="shared" si="10"/>
        <v>-165.57692307691718</v>
      </c>
      <c r="AG50" s="72">
        <f t="shared" si="11"/>
        <v>0.90801282051282384</v>
      </c>
      <c r="AH50" s="462"/>
    </row>
    <row r="51" spans="1:34" ht="15" customHeight="1">
      <c r="A51" s="489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2070</v>
      </c>
      <c r="H51" s="231">
        <f>F51*G51</f>
        <v>104098.23</v>
      </c>
      <c r="I51" s="232"/>
      <c r="J51" s="79">
        <v>17</v>
      </c>
      <c r="K51" s="80">
        <f>VLOOKUP(D51,產線配置圖!$A$3:$C$40,3,0)</f>
        <v>1565</v>
      </c>
      <c r="L51" s="81">
        <f>K51/J51</f>
        <v>92.058823529411768</v>
      </c>
      <c r="M51" s="233">
        <v>17</v>
      </c>
      <c r="N51" s="234">
        <f>G51/W51*60</f>
        <v>1552.5000000000161</v>
      </c>
      <c r="O51" s="235">
        <f>N51/M51</f>
        <v>91.323529411765662</v>
      </c>
      <c r="P51" s="74">
        <f>M51-J51</f>
        <v>0</v>
      </c>
      <c r="Q51" s="83">
        <f>O51-L51</f>
        <v>-0.73529411764610586</v>
      </c>
      <c r="R51" s="72">
        <f>O51/L51</f>
        <v>0.99201277955272604</v>
      </c>
      <c r="S51" s="417"/>
      <c r="T51" s="21">
        <v>0.41666666666666702</v>
      </c>
      <c r="U51" s="19">
        <v>0.47222222222222199</v>
      </c>
      <c r="V51" s="30">
        <f>(T51-U50)*24*60</f>
        <v>8.000000000000691</v>
      </c>
      <c r="W51" s="236">
        <f t="shared" si="4"/>
        <v>79.999999999999162</v>
      </c>
      <c r="X51" s="22">
        <v>0.47638888888888897</v>
      </c>
      <c r="Y51" s="84">
        <v>0.52777777777777801</v>
      </c>
      <c r="Z51" s="90"/>
      <c r="AA51" s="90"/>
      <c r="AB51" s="466"/>
      <c r="AC51" s="466"/>
      <c r="AD51" s="92"/>
      <c r="AE51" s="92"/>
      <c r="AF51" s="307">
        <f t="shared" si="10"/>
        <v>-12.499999999983856</v>
      </c>
      <c r="AG51" s="72">
        <f t="shared" si="11"/>
        <v>0.99201277955272593</v>
      </c>
      <c r="AH51" s="462"/>
    </row>
    <row r="52" spans="1:34" ht="15" customHeight="1">
      <c r="A52" s="489"/>
      <c r="B52" s="75" t="s">
        <v>81</v>
      </c>
      <c r="C52" s="86"/>
      <c r="D52" s="59" t="s">
        <v>121</v>
      </c>
      <c r="E52" s="87"/>
      <c r="F52" s="75">
        <f>VLOOKUP(D52,廠價表!$C$1:$E$43,3,0)</f>
        <v>50.289000000000001</v>
      </c>
      <c r="G52" s="202">
        <v>1234</v>
      </c>
      <c r="H52" s="231">
        <f t="shared" ref="H52:H53" si="12">F52*G52</f>
        <v>62056.626000000004</v>
      </c>
      <c r="I52" s="232"/>
      <c r="J52" s="79">
        <v>17</v>
      </c>
      <c r="K52" s="80">
        <f>VLOOKUP(D52,產線配置圖!$A$3:$C$40,3,0)</f>
        <v>1565</v>
      </c>
      <c r="L52" s="81">
        <f t="shared" ref="L52:L53" si="13">K52/J52</f>
        <v>92.058823529411768</v>
      </c>
      <c r="M52" s="233">
        <v>17</v>
      </c>
      <c r="N52" s="234">
        <f t="shared" ref="N52:N53" si="14">G52/W52*60</f>
        <v>1511.020408163256</v>
      </c>
      <c r="O52" s="235">
        <f t="shared" ref="O52:O53" si="15">N52/M52</f>
        <v>88.883553421367992</v>
      </c>
      <c r="P52" s="74">
        <f t="shared" ref="P52:P53" si="16">M52-J52</f>
        <v>0</v>
      </c>
      <c r="Q52" s="83">
        <f t="shared" ref="Q52:Q53" si="17">O52-L52</f>
        <v>-3.175270108043776</v>
      </c>
      <c r="R52" s="72">
        <f t="shared" ref="R52:R53" si="18">O52/L52</f>
        <v>0.96550824802763946</v>
      </c>
      <c r="S52" s="417"/>
      <c r="T52" s="21">
        <v>0.53263888888888899</v>
      </c>
      <c r="U52" s="21">
        <v>0.56666666666666698</v>
      </c>
      <c r="V52" s="30">
        <f>(T52-U51)*24*60</f>
        <v>87.000000000000483</v>
      </c>
      <c r="W52" s="236">
        <f t="shared" si="4"/>
        <v>49.000000000000306</v>
      </c>
      <c r="X52" s="22"/>
      <c r="Y52" s="84"/>
      <c r="Z52" s="90"/>
      <c r="AA52" s="90"/>
      <c r="AB52" s="466"/>
      <c r="AC52" s="466"/>
      <c r="AD52" s="92"/>
      <c r="AE52" s="92"/>
      <c r="AF52" s="307">
        <f t="shared" si="10"/>
        <v>-53.979591836744021</v>
      </c>
      <c r="AG52" s="72">
        <f t="shared" si="11"/>
        <v>0.96550824802763957</v>
      </c>
      <c r="AH52" s="462"/>
    </row>
    <row r="53" spans="1:34" ht="15" customHeight="1">
      <c r="A53" s="489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1671</v>
      </c>
      <c r="H53" s="231">
        <f t="shared" si="12"/>
        <v>83499.87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13"/>
        <v>112.5</v>
      </c>
      <c r="M53" s="108">
        <v>16</v>
      </c>
      <c r="N53" s="234">
        <f t="shared" si="14"/>
        <v>1643.6065573770509</v>
      </c>
      <c r="O53" s="235">
        <f t="shared" si="15"/>
        <v>102.72540983606568</v>
      </c>
      <c r="P53" s="74">
        <f t="shared" si="16"/>
        <v>0</v>
      </c>
      <c r="Q53" s="83">
        <f t="shared" si="17"/>
        <v>-9.7745901639343202</v>
      </c>
      <c r="R53" s="72">
        <f t="shared" si="18"/>
        <v>0.91311475409836163</v>
      </c>
      <c r="S53" s="417"/>
      <c r="T53" s="21">
        <v>0.57083333333333297</v>
      </c>
      <c r="U53" s="21">
        <v>0.61319444444444404</v>
      </c>
      <c r="V53" s="30">
        <f>(T53-U52)*24*60</f>
        <v>5.9999999999990195</v>
      </c>
      <c r="W53" s="236">
        <f t="shared" si="4"/>
        <v>60.999999999999943</v>
      </c>
      <c r="X53" s="30"/>
      <c r="Y53" s="151"/>
      <c r="Z53" s="90"/>
      <c r="AA53" s="90"/>
      <c r="AB53" s="466"/>
      <c r="AC53" s="466"/>
      <c r="AD53" s="92"/>
      <c r="AE53" s="92"/>
      <c r="AF53" s="307">
        <f t="shared" si="10"/>
        <v>-156.39344262294912</v>
      </c>
      <c r="AG53" s="72">
        <f t="shared" si="11"/>
        <v>0.91311475409836163</v>
      </c>
      <c r="AH53" s="462"/>
    </row>
    <row r="54" spans="1:34" ht="15" customHeight="1">
      <c r="A54" s="48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7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>
      <c r="A58" s="490"/>
      <c r="B58" s="239"/>
      <c r="C58" s="153" t="s">
        <v>51</v>
      </c>
      <c r="D58" s="437" t="s">
        <v>42</v>
      </c>
      <c r="E58" s="437"/>
      <c r="F58" s="116"/>
      <c r="G58" s="240"/>
      <c r="H58" s="118"/>
      <c r="I58" s="117"/>
      <c r="J58" s="120">
        <f t="shared" ref="J58:O58" si="19">AVERAGE(J49:J57)</f>
        <v>16.600000000000001</v>
      </c>
      <c r="K58" s="120">
        <f t="shared" si="19"/>
        <v>1706</v>
      </c>
      <c r="L58" s="117">
        <f t="shared" si="19"/>
        <v>103</v>
      </c>
      <c r="M58" s="120">
        <f t="shared" si="19"/>
        <v>16.600000000000001</v>
      </c>
      <c r="N58" s="120">
        <f t="shared" si="19"/>
        <v>1598.1225084926843</v>
      </c>
      <c r="O58" s="117">
        <f t="shared" si="19"/>
        <v>96.417522289496247</v>
      </c>
      <c r="P58" s="121">
        <f>M58-J58</f>
        <v>0</v>
      </c>
      <c r="Q58" s="122">
        <f>N58-K58</f>
        <v>-107.87749150731565</v>
      </c>
      <c r="R58" s="123">
        <f>O58/L58</f>
        <v>0.93609244941258496</v>
      </c>
      <c r="S58" s="42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7"/>
      <c r="AC58" s="467"/>
      <c r="AD58" s="323">
        <f>SUM(AD49:AD57)</f>
        <v>0</v>
      </c>
      <c r="AE58" s="323">
        <f>SUM(AE49:AE57)</f>
        <v>0</v>
      </c>
      <c r="AF58" s="309">
        <f>N58-K58</f>
        <v>-107.87749150731565</v>
      </c>
      <c r="AG58" s="124">
        <f>N58/K58</f>
        <v>0.93676583147285131</v>
      </c>
      <c r="AH58" s="464"/>
    </row>
    <row r="59" spans="1:34" ht="15" customHeight="1">
      <c r="A59" s="502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2686</v>
      </c>
      <c r="H59" s="243">
        <f>F59*G59</f>
        <v>72495.14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1465.0909090909067</v>
      </c>
      <c r="O59" s="138">
        <f>N59/M59</f>
        <v>97.672727272727116</v>
      </c>
      <c r="P59" s="56">
        <f>M59-J59</f>
        <v>0</v>
      </c>
      <c r="Q59" s="230">
        <f>O59-L59</f>
        <v>-6.660606060606213</v>
      </c>
      <c r="R59" s="52">
        <f>O59/L59</f>
        <v>0.93616032529770399</v>
      </c>
      <c r="S59" s="416">
        <f>R69</f>
        <v>0.76256024296318192</v>
      </c>
      <c r="T59" s="245">
        <v>0.28819444444444398</v>
      </c>
      <c r="U59" s="245">
        <v>0.36458333333333298</v>
      </c>
      <c r="V59" s="55"/>
      <c r="W59" s="54">
        <f t="shared" si="4"/>
        <v>110.00000000000017</v>
      </c>
      <c r="X59" s="55"/>
      <c r="Y59" s="290"/>
      <c r="Z59" s="169"/>
      <c r="AA59" s="169"/>
      <c r="AB59" s="468"/>
      <c r="AC59" s="468"/>
      <c r="AD59" s="135"/>
      <c r="AE59" s="135"/>
      <c r="AF59" s="310">
        <f>N59-K59</f>
        <v>-99.909090909093266</v>
      </c>
      <c r="AG59" s="246">
        <f>N59/K59</f>
        <v>0.93616032529770399</v>
      </c>
      <c r="AH59" s="461">
        <f>AG69</f>
        <v>0.75964487877358966</v>
      </c>
    </row>
    <row r="60" spans="1:34" ht="15" customHeight="1">
      <c r="A60" s="503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1927</v>
      </c>
      <c r="H60" s="78">
        <f>F60*G60</f>
        <v>54457.020000000004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1541.6000000000106</v>
      </c>
      <c r="O60" s="81">
        <f>N60/M60</f>
        <v>128.46666666666755</v>
      </c>
      <c r="P60" s="74">
        <f>M60-J60</f>
        <v>0</v>
      </c>
      <c r="Q60" s="83">
        <f>O60-L60</f>
        <v>-1.9499999999991076</v>
      </c>
      <c r="R60" s="72">
        <f>O60/L60</f>
        <v>0.98504792332269053</v>
      </c>
      <c r="S60" s="506"/>
      <c r="T60" s="22">
        <v>0.375</v>
      </c>
      <c r="U60" s="22">
        <v>0.42708333333333298</v>
      </c>
      <c r="V60" s="30">
        <f>(T60-U59)*24*60</f>
        <v>15.000000000000506</v>
      </c>
      <c r="W60" s="248">
        <f t="shared" si="4"/>
        <v>74.999999999999488</v>
      </c>
      <c r="X60" s="232"/>
      <c r="Y60" s="177"/>
      <c r="Z60" s="90"/>
      <c r="AA60" s="90"/>
      <c r="AB60" s="466"/>
      <c r="AC60" s="466"/>
      <c r="AD60" s="92"/>
      <c r="AE60" s="92"/>
      <c r="AF60" s="316">
        <f>N60-K60</f>
        <v>-23.399999999989404</v>
      </c>
      <c r="AG60" s="249">
        <f>N60/K60</f>
        <v>0.98504792332269042</v>
      </c>
      <c r="AH60" s="497"/>
    </row>
    <row r="61" spans="1:34" ht="15" customHeight="1">
      <c r="A61" s="504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1220</v>
      </c>
      <c r="H61" s="254">
        <f>F61*G61</f>
        <v>61817.4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13</v>
      </c>
      <c r="N61" s="107">
        <f>G61/W61*60</f>
        <v>1161.9047619047617</v>
      </c>
      <c r="O61" s="238">
        <f>N61/M61</f>
        <v>89.377289377289358</v>
      </c>
      <c r="P61" s="111">
        <f>M61-J61</f>
        <v>0</v>
      </c>
      <c r="Q61" s="255">
        <f>O61-L61</f>
        <v>-21.391941391941415</v>
      </c>
      <c r="R61" s="85">
        <f>O61/L61</f>
        <v>0.80687830687830664</v>
      </c>
      <c r="S61" s="417"/>
      <c r="T61" s="22">
        <v>0.44097222222222199</v>
      </c>
      <c r="U61" s="22">
        <v>0.484722222222222</v>
      </c>
      <c r="V61" s="30">
        <f>(T61-U60)*24*60</f>
        <v>20.000000000000171</v>
      </c>
      <c r="W61" s="256">
        <f t="shared" si="4"/>
        <v>63.000000000000014</v>
      </c>
      <c r="X61" s="22"/>
      <c r="Y61" s="84"/>
      <c r="Z61" s="90"/>
      <c r="AA61" s="90"/>
      <c r="AB61" s="466"/>
      <c r="AC61" s="466"/>
      <c r="AD61" s="92"/>
      <c r="AE61" s="92"/>
      <c r="AF61" s="317">
        <f>N61-K61</f>
        <v>-278.0952380952383</v>
      </c>
      <c r="AG61" s="247">
        <f>N61/K61</f>
        <v>0.80687830687830675</v>
      </c>
      <c r="AH61" s="462"/>
    </row>
    <row r="62" spans="1:34" ht="15" customHeight="1">
      <c r="A62" s="504"/>
      <c r="B62" s="250" t="s">
        <v>81</v>
      </c>
      <c r="C62" s="251"/>
      <c r="D62" s="257" t="s">
        <v>119</v>
      </c>
      <c r="E62" s="253"/>
      <c r="F62" s="250">
        <f>VLOOKUP(D62,廠價表!$C$1:$E$43,3,0)</f>
        <v>50.67</v>
      </c>
      <c r="G62" s="38">
        <v>357</v>
      </c>
      <c r="H62" s="254">
        <f t="shared" ref="H62:H63" si="20">F62*G62</f>
        <v>18089.190000000002</v>
      </c>
      <c r="I62" s="182"/>
      <c r="J62" s="106">
        <f>VLOOKUP(D62,產線配置圖!$A$3:$C$40,2,0)</f>
        <v>13</v>
      </c>
      <c r="K62" s="107">
        <f>VLOOKUP(D62,產線配置圖!$A$3:$C$40,3,0)</f>
        <v>1440</v>
      </c>
      <c r="L62" s="238">
        <f t="shared" ref="L62:L63" si="21">K62/J62</f>
        <v>110.76923076923077</v>
      </c>
      <c r="M62" s="108">
        <v>13</v>
      </c>
      <c r="N62" s="107">
        <f t="shared" ref="N62:N63" si="22">G62/W62*60</f>
        <v>611.99999999999102</v>
      </c>
      <c r="O62" s="238">
        <f t="shared" ref="O62:O63" si="23">N62/M62</f>
        <v>47.076923076922384</v>
      </c>
      <c r="P62" s="111">
        <f t="shared" ref="P62:P63" si="24">M62-J62</f>
        <v>0</v>
      </c>
      <c r="Q62" s="255">
        <f t="shared" ref="Q62:Q63" si="25">O62-L62</f>
        <v>-63.69230769230839</v>
      </c>
      <c r="R62" s="85">
        <f t="shared" ref="R62:R63" si="26">O62/L62</f>
        <v>0.42499999999999372</v>
      </c>
      <c r="S62" s="417"/>
      <c r="T62" s="22">
        <v>0.55208333333333304</v>
      </c>
      <c r="U62" s="22">
        <v>0.57638888888888895</v>
      </c>
      <c r="V62" s="30">
        <f t="shared" ref="V62:V63" si="27">(T62-U61)*24*60</f>
        <v>96.999999999999901</v>
      </c>
      <c r="W62" s="248">
        <f t="shared" si="4"/>
        <v>35.000000000000512</v>
      </c>
      <c r="X62" s="22">
        <v>0.50347222222222199</v>
      </c>
      <c r="Y62" s="84">
        <v>0.54513888888888895</v>
      </c>
      <c r="Z62" s="90"/>
      <c r="AA62" s="90"/>
      <c r="AB62" s="466" t="s">
        <v>125</v>
      </c>
      <c r="AC62" s="466"/>
      <c r="AD62" s="92"/>
      <c r="AE62" s="92"/>
      <c r="AF62" s="317">
        <f>N62-K62</f>
        <v>-828.00000000000898</v>
      </c>
      <c r="AG62" s="247">
        <f>N62/K62</f>
        <v>0.42499999999999377</v>
      </c>
      <c r="AH62" s="462"/>
    </row>
    <row r="63" spans="1:34" ht="15" customHeight="1">
      <c r="A63" s="504"/>
      <c r="B63" s="258" t="s">
        <v>130</v>
      </c>
      <c r="C63" s="58"/>
      <c r="D63" s="259" t="s">
        <v>131</v>
      </c>
      <c r="E63" s="60"/>
      <c r="F63" s="250">
        <f>VLOOKUP(D63,廠價表!$C$1:$E$43,3,0)</f>
        <v>26.99</v>
      </c>
      <c r="G63" s="260">
        <v>568</v>
      </c>
      <c r="H63" s="254">
        <f t="shared" si="20"/>
        <v>15330.32</v>
      </c>
      <c r="I63" s="182"/>
      <c r="J63" s="106">
        <f>VLOOKUP(D63,產線配置圖!$A$3:$C$40,2,0)</f>
        <v>15</v>
      </c>
      <c r="K63" s="107">
        <f>VLOOKUP(D63,產線配置圖!$A$3:$C$40,3,0)</f>
        <v>1565</v>
      </c>
      <c r="L63" s="238">
        <f t="shared" si="21"/>
        <v>104.33333333333333</v>
      </c>
      <c r="M63" s="68">
        <v>15</v>
      </c>
      <c r="N63" s="107">
        <f t="shared" si="22"/>
        <v>973.71428571427134</v>
      </c>
      <c r="O63" s="238">
        <f t="shared" si="23"/>
        <v>64.914285714284759</v>
      </c>
      <c r="P63" s="111">
        <f t="shared" si="24"/>
        <v>0</v>
      </c>
      <c r="Q63" s="255">
        <f t="shared" si="25"/>
        <v>-39.41904761904857</v>
      </c>
      <c r="R63" s="85">
        <f t="shared" si="26"/>
        <v>0.62218165221359201</v>
      </c>
      <c r="S63" s="417"/>
      <c r="T63" s="22">
        <v>0.61458333333333304</v>
      </c>
      <c r="U63" s="22">
        <v>0.63888888888888895</v>
      </c>
      <c r="V63" s="30">
        <f t="shared" si="27"/>
        <v>54.999999999999488</v>
      </c>
      <c r="W63" s="248">
        <f t="shared" si="4"/>
        <v>35.000000000000512</v>
      </c>
      <c r="X63" s="261"/>
      <c r="Y63" s="291"/>
      <c r="Z63" s="335"/>
      <c r="AA63" s="335"/>
      <c r="AB63" s="466" t="s">
        <v>125</v>
      </c>
      <c r="AC63" s="466"/>
      <c r="AD63" s="92"/>
      <c r="AE63" s="92"/>
      <c r="AF63" s="317"/>
      <c r="AG63" s="247"/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>
        <f t="shared" ref="J69:O69" si="28">AVERAGE(J59:J68)</f>
        <v>13.6</v>
      </c>
      <c r="K69" s="240">
        <f t="shared" si="28"/>
        <v>1515</v>
      </c>
      <c r="L69" s="268">
        <f t="shared" si="28"/>
        <v>112.12435897435898</v>
      </c>
      <c r="M69" s="240">
        <f t="shared" si="28"/>
        <v>13.6</v>
      </c>
      <c r="N69" s="240">
        <f t="shared" si="28"/>
        <v>1150.8619913419884</v>
      </c>
      <c r="O69" s="268">
        <f t="shared" si="28"/>
        <v>85.501578421578216</v>
      </c>
      <c r="P69" s="269">
        <f>M69-J69</f>
        <v>0</v>
      </c>
      <c r="Q69" s="222">
        <f>N69-K69</f>
        <v>-364.13800865801159</v>
      </c>
      <c r="R69" s="123">
        <f>O69/L69</f>
        <v>0.76256024296318192</v>
      </c>
      <c r="S69" s="42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7"/>
      <c r="AC69" s="467"/>
      <c r="AD69" s="323">
        <f>SUM(AD59:AD68)</f>
        <v>0</v>
      </c>
      <c r="AE69" s="323">
        <f>SUM(AE59:AE68)</f>
        <v>0</v>
      </c>
      <c r="AF69" s="309">
        <f>N69-K69</f>
        <v>-364.13800865801159</v>
      </c>
      <c r="AG69" s="124">
        <f>N69/K69</f>
        <v>0.75964487877358966</v>
      </c>
      <c r="AH69" s="464"/>
    </row>
    <row r="70" spans="1:36" ht="15" customHeight="1">
      <c r="A70" s="498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6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68"/>
      <c r="AC70" s="468"/>
      <c r="AD70" s="135"/>
      <c r="AE70" s="135"/>
      <c r="AF70" s="310">
        <f>N70-K70</f>
        <v>0</v>
      </c>
      <c r="AG70" s="246" t="e">
        <f>N70/K70</f>
        <v>#DIV/0!</v>
      </c>
      <c r="AH70" s="461" t="e">
        <f>AG79</f>
        <v>#DIV/0!</v>
      </c>
    </row>
    <row r="71" spans="1:36" ht="15" customHeight="1">
      <c r="A71" s="499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7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7"/>
      <c r="AC71" s="487"/>
      <c r="AD71" s="200"/>
      <c r="AE71" s="200"/>
      <c r="AF71" s="311">
        <v>-300.31249999999704</v>
      </c>
      <c r="AG71" s="99">
        <v>0.80810702875399554</v>
      </c>
      <c r="AH71" s="482"/>
    </row>
    <row r="72" spans="1:36" ht="15" customHeight="1">
      <c r="A72" s="499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7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6"/>
      <c r="AC72" s="466"/>
      <c r="AD72" s="92"/>
      <c r="AE72" s="92"/>
      <c r="AF72" s="311">
        <v>-130.33333333333326</v>
      </c>
      <c r="AG72" s="99">
        <v>0.91671991480298198</v>
      </c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6"/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>
      <c r="A79" s="500"/>
      <c r="B79" s="239"/>
      <c r="C79" s="153" t="s">
        <v>56</v>
      </c>
      <c r="D79" s="437"/>
      <c r="E79" s="437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W3:W4"/>
    <mergeCell ref="X3:Y3"/>
    <mergeCell ref="Z3:AA3"/>
    <mergeCell ref="AB3:AC4"/>
    <mergeCell ref="N3:N4"/>
    <mergeCell ref="O3:O4"/>
    <mergeCell ref="P3:P4"/>
    <mergeCell ref="Q3:Q4"/>
    <mergeCell ref="A16:A26"/>
    <mergeCell ref="S16:S26"/>
    <mergeCell ref="AB16:AC16"/>
    <mergeCell ref="D26:E26"/>
    <mergeCell ref="AB26:AC26"/>
    <mergeCell ref="A5:A15"/>
    <mergeCell ref="S5:S15"/>
    <mergeCell ref="AB5:AC5"/>
    <mergeCell ref="AH5:AH15"/>
    <mergeCell ref="AB6:AC6"/>
    <mergeCell ref="AB7:AC7"/>
    <mergeCell ref="AB14:AC14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R3:R4"/>
    <mergeCell ref="A2:B2"/>
    <mergeCell ref="A3:A4"/>
    <mergeCell ref="B3:B4"/>
    <mergeCell ref="D3:E4"/>
    <mergeCell ref="F3:F4"/>
    <mergeCell ref="P1:S2"/>
    <mergeCell ref="H3:H4"/>
    <mergeCell ref="I3:I4"/>
    <mergeCell ref="G3:G4"/>
    <mergeCell ref="T1:Y2"/>
    <mergeCell ref="AB1:AC2"/>
    <mergeCell ref="AF1:AH2"/>
    <mergeCell ref="J3:J4"/>
    <mergeCell ref="K3:K4"/>
    <mergeCell ref="L3:L4"/>
    <mergeCell ref="M3:M4"/>
    <mergeCell ref="AG3:AG4"/>
    <mergeCell ref="AH3:AH4"/>
    <mergeCell ref="S3:S4"/>
    <mergeCell ref="J1:L2"/>
    <mergeCell ref="M1:O2"/>
    <mergeCell ref="AD3:AE3"/>
    <mergeCell ref="AF3:AF4"/>
    <mergeCell ref="T3:U3"/>
    <mergeCell ref="V3:V4"/>
  </mergeCells>
  <phoneticPr fontId="0" type="noConversion"/>
  <conditionalFormatting sqref="P5:P79">
    <cfRule type="cellIs" dxfId="204" priority="1" operator="greaterThan">
      <formula>0</formula>
    </cfRule>
  </conditionalFormatting>
  <conditionalFormatting sqref="Q5:Q79 AF5:AF79">
    <cfRule type="cellIs" dxfId="203" priority="4" operator="lessThan">
      <formula>0</formula>
    </cfRule>
  </conditionalFormatting>
  <conditionalFormatting sqref="R5:R79 AG5:AG79">
    <cfRule type="cellIs" dxfId="202" priority="2" operator="greaterThan">
      <formula>1</formula>
    </cfRule>
    <cfRule type="cellIs" dxfId="201" priority="3" operator="lessThan">
      <formula>0.8</formula>
    </cfRule>
  </conditionalFormatting>
  <conditionalFormatting sqref="S5:S10 S37:S62 AH59:AH62 S69:S76 AH69:AH76">
    <cfRule type="cellIs" dxfId="200" priority="7" operator="lessThan">
      <formula>0.8</formula>
    </cfRule>
  </conditionalFormatting>
  <conditionalFormatting sqref="S19:S25 AH19:AH25">
    <cfRule type="cellIs" dxfId="199" priority="6" operator="lessThan">
      <formula>0.8</formula>
    </cfRule>
  </conditionalFormatting>
  <conditionalFormatting sqref="S79">
    <cfRule type="cellIs" dxfId="198" priority="5" operator="lessThan">
      <formula>0.8</formula>
    </cfRule>
  </conditionalFormatting>
  <conditionalFormatting sqref="AH5:AH8 S15:S16 AH15:AH16 AH49 AH79">
    <cfRule type="cellIs" dxfId="197" priority="9" operator="lessThan">
      <formula>0.8</formula>
    </cfRule>
  </conditionalFormatting>
  <conditionalFormatting sqref="AH27 S27:S28">
    <cfRule type="cellIs" dxfId="196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CF281C-85E6-4164-BE24-95105EBB21B4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994BC-C879-46C1-B40A-C9A1BB536B81}">
  <dimension ref="B1:O26"/>
  <sheetViews>
    <sheetView zoomScale="70" zoomScaleNormal="70" workbookViewId="0">
      <selection activeCell="U53" sqref="U5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46158</v>
      </c>
      <c r="E3" s="412"/>
      <c r="F3" s="3" t="s">
        <v>72</v>
      </c>
      <c r="G3" s="413">
        <f>'0516'!E1</f>
        <v>50115</v>
      </c>
      <c r="H3" s="413"/>
      <c r="I3" s="3" t="s">
        <v>2</v>
      </c>
      <c r="J3" s="414">
        <f>'0516'!G1</f>
        <v>2451419.139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>
        <f>AVERAGE(D13:I13)</f>
        <v>122.19584455577103</v>
      </c>
      <c r="G6" s="410"/>
      <c r="H6" s="395">
        <f>AVERAGE(D13:H13)</f>
        <v>123.82059039000217</v>
      </c>
      <c r="I6" s="395"/>
      <c r="J6" s="395">
        <f>AVERAGE(I13)</f>
        <v>114.07211538461539</v>
      </c>
      <c r="K6" s="395"/>
      <c r="L6" s="396">
        <f>SUM(D18:J18)</f>
        <v>0</v>
      </c>
      <c r="M6" s="398">
        <f>SUM(D19:J19)</f>
        <v>0</v>
      </c>
      <c r="N6" s="399">
        <f>SUM(D20:J20)</f>
        <v>0</v>
      </c>
      <c r="O6" s="398">
        <f>SUM(D20:J20)</f>
        <v>0</v>
      </c>
    </row>
    <row r="7" spans="2:15" ht="39.6" customHeight="1">
      <c r="B7" s="406"/>
      <c r="C7" s="406"/>
      <c r="D7" s="401" t="s">
        <v>87</v>
      </c>
      <c r="E7" s="401"/>
      <c r="F7" s="402">
        <f>AVERAGE(D14:I14)</f>
        <v>111.05218432740361</v>
      </c>
      <c r="G7" s="402"/>
      <c r="H7" s="403">
        <f>AVERAGE(D14:H14)</f>
        <v>113.96203260237057</v>
      </c>
      <c r="I7" s="403"/>
      <c r="J7" s="403">
        <f>AVERAGE(I14)</f>
        <v>96.502942952568773</v>
      </c>
      <c r="K7" s="403"/>
      <c r="L7" s="397" t="e">
        <f t="shared" ref="L7:O8" si="0">AVERAGE(K14:L14)</f>
        <v>#DIV/0!</v>
      </c>
      <c r="M7" s="398" t="e">
        <f t="shared" si="0"/>
        <v>#DIV/0!</v>
      </c>
      <c r="N7" s="400" t="e">
        <f t="shared" si="0"/>
        <v>#DIV/0!</v>
      </c>
      <c r="O7" s="398" t="e">
        <f t="shared" si="0"/>
        <v>#DIV/0!</v>
      </c>
    </row>
    <row r="8" spans="2:15" ht="39.6" customHeight="1">
      <c r="B8" s="406"/>
      <c r="C8" s="406"/>
      <c r="D8" s="401" t="s">
        <v>27</v>
      </c>
      <c r="E8" s="401"/>
      <c r="F8" s="387">
        <f>F7/F6</f>
        <v>0.90880491665752694</v>
      </c>
      <c r="G8" s="387"/>
      <c r="H8" s="387">
        <f>H7/H6</f>
        <v>0.92038030382039249</v>
      </c>
      <c r="I8" s="387"/>
      <c r="J8" s="387">
        <f>J7/J6</f>
        <v>0.84598188283956266</v>
      </c>
      <c r="K8" s="387"/>
      <c r="L8" s="397" t="e">
        <f t="shared" si="0"/>
        <v>#DIV/0!</v>
      </c>
      <c r="M8" s="398" t="e">
        <f t="shared" si="0"/>
        <v>#DIV/0!</v>
      </c>
      <c r="N8" s="400" t="e">
        <f t="shared" si="0"/>
        <v>#DIV/0!</v>
      </c>
      <c r="O8" s="398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>
        <f>VALUE('0516'!L15)</f>
        <v>150</v>
      </c>
      <c r="E13" s="13">
        <f>VALUE('0516'!L26)</f>
        <v>161.26373626373626</v>
      </c>
      <c r="F13" s="13">
        <f>VALUE('0516'!L37)</f>
        <v>96.411764705882362</v>
      </c>
      <c r="G13" s="13">
        <f>VALUE('0516'!L48)</f>
        <v>105.25098039215686</v>
      </c>
      <c r="H13" s="13">
        <f>VALUE('0516'!L58)</f>
        <v>106.17647058823529</v>
      </c>
      <c r="I13" s="13">
        <f>VALUE('0516'!L69)</f>
        <v>114.07211538461539</v>
      </c>
      <c r="J13" s="13">
        <f>'0516'!L79</f>
        <v>0</v>
      </c>
    </row>
    <row r="14" spans="2:15" ht="39.950000000000003" customHeight="1">
      <c r="B14" s="381"/>
      <c r="C14" s="12" t="s">
        <v>100</v>
      </c>
      <c r="D14" s="13">
        <f>VALUE('0516'!O15)</f>
        <v>138.88095267875747</v>
      </c>
      <c r="E14" s="13">
        <f>VALUE('0516'!O26)</f>
        <v>154.03338159926406</v>
      </c>
      <c r="F14" s="13">
        <f>VALUE('0516'!O37)</f>
        <v>83.571241830064849</v>
      </c>
      <c r="G14" s="13">
        <f>VALUE('0516'!O48)</f>
        <v>97.361624649859309</v>
      </c>
      <c r="H14" s="13">
        <f>VALUE('0516'!O58)</f>
        <v>95.962962253907094</v>
      </c>
      <c r="I14" s="13">
        <f>VALUE('0516'!O69)</f>
        <v>96.502942952568773</v>
      </c>
      <c r="J14" s="13">
        <f>'0516'!O79</f>
        <v>0</v>
      </c>
    </row>
    <row r="15" spans="2:15" ht="39.950000000000003" customHeight="1">
      <c r="B15" s="382"/>
      <c r="C15" s="10" t="s">
        <v>26</v>
      </c>
      <c r="D15" s="14">
        <f t="shared" ref="D15:I15" si="1">D14/D13</f>
        <v>0.92587301785838316</v>
      </c>
      <c r="E15" s="14">
        <f t="shared" si="1"/>
        <v>0.95516441059850288</v>
      </c>
      <c r="F15" s="14">
        <f t="shared" si="1"/>
        <v>0.86681580909768297</v>
      </c>
      <c r="G15" s="14">
        <f t="shared" si="1"/>
        <v>0.92504244888833875</v>
      </c>
      <c r="H15" s="14">
        <f t="shared" si="1"/>
        <v>0.90380629269607793</v>
      </c>
      <c r="I15" s="14">
        <f t="shared" si="1"/>
        <v>0.84598188283956266</v>
      </c>
      <c r="J15" s="15">
        <f>'0516'!S70</f>
        <v>0</v>
      </c>
    </row>
    <row r="16" spans="2:15" ht="17.25" customHeight="1">
      <c r="B16" s="383" t="s">
        <v>101</v>
      </c>
      <c r="C16" s="10" t="s">
        <v>34</v>
      </c>
      <c r="D16" s="16">
        <f>'0516'!T5</f>
        <v>0.29166666666666702</v>
      </c>
      <c r="E16" s="16">
        <f>'0516'!T16</f>
        <v>0.29097222222222202</v>
      </c>
      <c r="F16" s="16">
        <f>'0516'!T27</f>
        <v>0.33333333333333298</v>
      </c>
      <c r="G16" s="16">
        <f>'0516'!T38</f>
        <v>0.33333333333333298</v>
      </c>
      <c r="H16" s="16">
        <f>'0516'!T49</f>
        <v>0.29166666666666702</v>
      </c>
      <c r="I16" s="16">
        <f>'0516'!T59</f>
        <v>0.28819444444444398</v>
      </c>
      <c r="J16" s="16">
        <f>'0516'!T70</f>
        <v>0</v>
      </c>
    </row>
    <row r="17" spans="2:10" ht="17.25" customHeight="1">
      <c r="B17" s="384"/>
      <c r="C17" s="10" t="s">
        <v>35</v>
      </c>
      <c r="D17" s="16">
        <v>0.61111111111111105</v>
      </c>
      <c r="E17" s="19">
        <v>0.47916666666666702</v>
      </c>
      <c r="F17" s="19">
        <v>0.58125000000000004</v>
      </c>
      <c r="G17" s="20">
        <v>0.49305555555555602</v>
      </c>
      <c r="H17" s="21">
        <v>0.64097222222222205</v>
      </c>
      <c r="I17" s="22">
        <v>0.57638888888888895</v>
      </c>
      <c r="J17" s="16">
        <f>'0516'!T71</f>
        <v>0</v>
      </c>
    </row>
    <row r="18" spans="2:10" ht="17.25" customHeight="1">
      <c r="B18" s="385" t="s">
        <v>102</v>
      </c>
      <c r="C18" s="330" t="s">
        <v>36</v>
      </c>
      <c r="D18" s="358">
        <f>'0516'!Z15</f>
        <v>0</v>
      </c>
      <c r="E18" s="359">
        <f>'0516'!Z26</f>
        <v>0</v>
      </c>
      <c r="F18" s="359">
        <f>'0516'!Z37</f>
        <v>0</v>
      </c>
      <c r="G18" s="360">
        <f>'0516'!Z48</f>
        <v>0</v>
      </c>
      <c r="H18" s="360">
        <f>'0516'!Z58</f>
        <v>0</v>
      </c>
      <c r="I18" s="359">
        <f>'0516'!Z69</f>
        <v>0</v>
      </c>
      <c r="J18" s="359">
        <f>'0516'!AA79</f>
        <v>0</v>
      </c>
    </row>
    <row r="19" spans="2:10" ht="17.25" customHeight="1">
      <c r="B19" s="386"/>
      <c r="C19" s="330" t="s">
        <v>37</v>
      </c>
      <c r="D19" s="358">
        <f>'0516'!AA15</f>
        <v>0</v>
      </c>
      <c r="E19" s="359">
        <f>'0516'!AA26</f>
        <v>0</v>
      </c>
      <c r="F19" s="359">
        <f>'0516'!AA37</f>
        <v>0</v>
      </c>
      <c r="G19" s="360">
        <f>'0516'!AA48</f>
        <v>0</v>
      </c>
      <c r="H19" s="360">
        <f>'0516'!AA58</f>
        <v>0</v>
      </c>
      <c r="I19" s="359">
        <f>'0516'!AA69</f>
        <v>0</v>
      </c>
      <c r="J19" s="359">
        <f>'0516'!AB79</f>
        <v>0</v>
      </c>
    </row>
    <row r="20" spans="2:10" ht="17.25" customHeight="1">
      <c r="B20" s="385" t="s">
        <v>103</v>
      </c>
      <c r="C20" s="330" t="s">
        <v>36</v>
      </c>
      <c r="D20" s="358">
        <f>'0516'!AD15</f>
        <v>0</v>
      </c>
      <c r="E20" s="359">
        <f>'0516'!AD26</f>
        <v>0</v>
      </c>
      <c r="F20" s="359">
        <f>'0516'!AD37</f>
        <v>0</v>
      </c>
      <c r="G20" s="360">
        <f>'0516'!AD48</f>
        <v>0</v>
      </c>
      <c r="H20" s="360">
        <f>'0516'!AD58</f>
        <v>0</v>
      </c>
      <c r="I20" s="359">
        <f>'0516'!AD69</f>
        <v>0</v>
      </c>
      <c r="J20" s="359">
        <f>'0516'!AD79</f>
        <v>0</v>
      </c>
    </row>
    <row r="21" spans="2:10" ht="17.25" customHeight="1">
      <c r="B21" s="386"/>
      <c r="C21" s="330" t="s">
        <v>85</v>
      </c>
      <c r="D21" s="358">
        <f>'0516'!AE15</f>
        <v>0</v>
      </c>
      <c r="E21" s="359">
        <f>'0516'!AE26</f>
        <v>0</v>
      </c>
      <c r="F21" s="359">
        <f>'0516'!AE37</f>
        <v>0</v>
      </c>
      <c r="G21" s="360">
        <f>'0516'!AE48</f>
        <v>0</v>
      </c>
      <c r="H21" s="360">
        <f>'0516'!AE58</f>
        <v>0</v>
      </c>
      <c r="I21" s="359">
        <f>'0516'!AE69</f>
        <v>0</v>
      </c>
      <c r="J21" s="359">
        <f>'0516'!AE79</f>
        <v>0</v>
      </c>
    </row>
    <row r="22" spans="2:10" ht="17.25" customHeight="1">
      <c r="B22" s="377" t="s">
        <v>104</v>
      </c>
      <c r="C22" s="378"/>
      <c r="D22" s="23">
        <f>VALUE('0516'!M15)</f>
        <v>15</v>
      </c>
      <c r="E22" s="23">
        <f>VALUE('0516'!M26)</f>
        <v>14</v>
      </c>
      <c r="F22" s="23">
        <f>VALUE('0516'!M37)</f>
        <v>17</v>
      </c>
      <c r="G22" s="23">
        <f>VALUE('0516'!M48)</f>
        <v>16</v>
      </c>
      <c r="H22" s="23">
        <f>VALUE('0516'!M58)</f>
        <v>17</v>
      </c>
      <c r="I22" s="23">
        <f>VALUE('0516'!M69)</f>
        <v>13</v>
      </c>
      <c r="J22" s="23">
        <f>'0516'!M79</f>
        <v>0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95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2DBA0-5931-4A2A-8FDB-9A022EB74A30}">
  <sheetPr>
    <tabColor theme="9" tint="0.79998168889431442"/>
  </sheetPr>
  <dimension ref="A1:AJ92"/>
  <sheetViews>
    <sheetView zoomScale="69" zoomScaleNormal="69" workbookViewId="0">
      <pane xSplit="5" ySplit="4" topLeftCell="F26" activePane="bottomRight" state="frozen"/>
      <selection activeCell="U53" sqref="U53"/>
      <selection pane="topRight" activeCell="U53" sqref="U53"/>
      <selection pane="bottomLeft" activeCell="U53" sqref="U53"/>
      <selection pane="bottomRight" activeCell="U53" sqref="U5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8" width="8.7109375" style="34" customWidth="1"/>
    <col min="109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50115</v>
      </c>
      <c r="F1" s="30" t="s">
        <v>2</v>
      </c>
      <c r="G1" s="31">
        <f>SUM(H5:H79)</f>
        <v>2451419.139</v>
      </c>
      <c r="H1" s="32" t="s">
        <v>3</v>
      </c>
      <c r="I1" s="33">
        <f>M15+M26+M48+M58+M69+M79+M37</f>
        <v>92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204</v>
      </c>
      <c r="B2" s="422"/>
      <c r="C2" s="28"/>
      <c r="D2" s="28" t="s">
        <v>14</v>
      </c>
      <c r="E2" s="35">
        <f>AVERAGE(O15,O26,O37,O48,O58,O69,O79)</f>
        <v>111.05218432740361</v>
      </c>
      <c r="F2" s="36" t="s">
        <v>15</v>
      </c>
      <c r="G2" s="37">
        <f>G1/E1</f>
        <v>48.915876264591439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0</v>
      </c>
      <c r="AA2" s="339">
        <f>AA15+AA26+AA37+AA48+AA58+AA69+AA79</f>
        <v>0</v>
      </c>
      <c r="AB2" s="460"/>
      <c r="AC2" s="460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2715</v>
      </c>
      <c r="H5" s="43">
        <f>F5*G5</f>
        <v>154402.04999999999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1986.5853658536755</v>
      </c>
      <c r="O5" s="47">
        <f>N5/M5</f>
        <v>132.43902439024504</v>
      </c>
      <c r="P5" s="49">
        <f>M5-J5</f>
        <v>0</v>
      </c>
      <c r="Q5" s="50">
        <f>O5-L5</f>
        <v>-17.560975609754962</v>
      </c>
      <c r="R5" s="51">
        <f>O5/L5</f>
        <v>0.88292682926830024</v>
      </c>
      <c r="S5" s="416">
        <f>R15</f>
        <v>0.92587301785838316</v>
      </c>
      <c r="T5" s="319">
        <v>0.29166666666666702</v>
      </c>
      <c r="U5" s="320">
        <v>0.34861111111111098</v>
      </c>
      <c r="V5" s="53"/>
      <c r="W5" s="54">
        <f t="shared" ref="W5:W14" si="0">(U5-T5)*24*60</f>
        <v>81.999999999999304</v>
      </c>
      <c r="X5" s="55"/>
      <c r="Y5" s="290"/>
      <c r="Z5" s="169"/>
      <c r="AA5" s="169"/>
      <c r="AB5" s="468"/>
      <c r="AC5" s="468"/>
      <c r="AD5" s="135"/>
      <c r="AE5" s="135"/>
      <c r="AF5" s="229">
        <f t="shared" ref="AF5:AF11" si="1">N5-K5</f>
        <v>-263.41463414632449</v>
      </c>
      <c r="AG5" s="52">
        <f t="shared" ref="AG5:AG11" si="2">N5/K5</f>
        <v>0.88292682926830024</v>
      </c>
      <c r="AH5" s="461">
        <f>AG15</f>
        <v>0.92587301785838316</v>
      </c>
    </row>
    <row r="6" spans="1:34" ht="15" customHeight="1">
      <c r="A6" s="428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3519</v>
      </c>
      <c r="H6" s="63">
        <f>F6*G6</f>
        <v>204700.23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2111.3999999999837</v>
      </c>
      <c r="O6" s="67">
        <f>N6/M6</f>
        <v>140.75999999999891</v>
      </c>
      <c r="P6" s="69">
        <f>M6-J6</f>
        <v>0</v>
      </c>
      <c r="Q6" s="70">
        <f>O6-L6</f>
        <v>-9.2400000000010891</v>
      </c>
      <c r="R6" s="71">
        <f>O6/L6</f>
        <v>0.93839999999999268</v>
      </c>
      <c r="S6" s="417"/>
      <c r="T6" s="16">
        <v>0.35694444444444401</v>
      </c>
      <c r="U6" s="16">
        <v>0.42638888888888898</v>
      </c>
      <c r="V6" s="30">
        <f>(T6-U5)*24*60</f>
        <v>11.999999999999558</v>
      </c>
      <c r="W6" s="73">
        <f t="shared" si="0"/>
        <v>100.00000000000077</v>
      </c>
      <c r="X6" s="22"/>
      <c r="Y6" s="84"/>
      <c r="Z6" s="90"/>
      <c r="AA6" s="90"/>
      <c r="AB6" s="465"/>
      <c r="AC6" s="465"/>
      <c r="AD6" s="149"/>
      <c r="AE6" s="149"/>
      <c r="AF6" s="307">
        <f t="shared" si="1"/>
        <v>-138.60000000001628</v>
      </c>
      <c r="AG6" s="72">
        <f t="shared" si="2"/>
        <v>0.9383999999999928</v>
      </c>
      <c r="AH6" s="462"/>
    </row>
    <row r="7" spans="1:34" ht="15" customHeight="1">
      <c r="A7" s="428"/>
      <c r="B7" s="75" t="s">
        <v>81</v>
      </c>
      <c r="C7" s="76"/>
      <c r="D7" s="59" t="s">
        <v>114</v>
      </c>
      <c r="E7" s="77"/>
      <c r="F7" s="61">
        <f>VLOOKUP(D7,廠價表!$C$1:$E$43,3,0)</f>
        <v>49.14</v>
      </c>
      <c r="G7" s="66">
        <v>2294</v>
      </c>
      <c r="H7" s="78">
        <f>F7*G7</f>
        <v>112727.16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2117.538461538456</v>
      </c>
      <c r="O7" s="81">
        <f>N7/M7</f>
        <v>141.16923076923041</v>
      </c>
      <c r="P7" s="74">
        <f>M7-J7</f>
        <v>0</v>
      </c>
      <c r="Q7" s="83">
        <f>O7-L7</f>
        <v>-8.8307692307695902</v>
      </c>
      <c r="R7" s="72">
        <f>O7/L7</f>
        <v>0.94112820512820272</v>
      </c>
      <c r="S7" s="417"/>
      <c r="T7" s="18">
        <v>0.43402777777777801</v>
      </c>
      <c r="U7" s="18">
        <v>0.47916666666666702</v>
      </c>
      <c r="V7" s="30">
        <f>(T7-U6)*24*60</f>
        <v>11.000000000000201</v>
      </c>
      <c r="W7" s="73">
        <f t="shared" si="0"/>
        <v>65.000000000000171</v>
      </c>
      <c r="X7" s="22">
        <v>0.5</v>
      </c>
      <c r="Y7" s="84">
        <v>0.54166666666666696</v>
      </c>
      <c r="Z7" s="90"/>
      <c r="AA7" s="90"/>
      <c r="AB7" s="466"/>
      <c r="AC7" s="466"/>
      <c r="AD7" s="92"/>
      <c r="AE7" s="92"/>
      <c r="AF7" s="307">
        <f t="shared" si="1"/>
        <v>-132.46153846154402</v>
      </c>
      <c r="AG7" s="72">
        <f t="shared" si="2"/>
        <v>0.94112820512820261</v>
      </c>
      <c r="AH7" s="462"/>
    </row>
    <row r="8" spans="1:34" ht="15" customHeight="1">
      <c r="A8" s="428"/>
      <c r="B8" s="75" t="s">
        <v>81</v>
      </c>
      <c r="C8" s="76"/>
      <c r="D8" s="59" t="s">
        <v>114</v>
      </c>
      <c r="E8" s="77"/>
      <c r="F8" s="61">
        <f>VLOOKUP(D8,廠價表!$C$1:$E$43,3,0)</f>
        <v>49.14</v>
      </c>
      <c r="G8" s="66">
        <v>3176</v>
      </c>
      <c r="H8" s="78">
        <f>F8*G8</f>
        <v>156068.64000000001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2117.3333333333335</v>
      </c>
      <c r="O8" s="81">
        <f>N8/M8</f>
        <v>141.15555555555557</v>
      </c>
      <c r="P8" s="74">
        <f>M8-J8</f>
        <v>0</v>
      </c>
      <c r="Q8" s="83">
        <f>O8-L8</f>
        <v>-8.8444444444444343</v>
      </c>
      <c r="R8" s="72">
        <f>O8/L8</f>
        <v>0.94103703703703712</v>
      </c>
      <c r="S8" s="417"/>
      <c r="T8" s="16">
        <v>0.54861111111111105</v>
      </c>
      <c r="U8" s="16">
        <v>0.61111111111111105</v>
      </c>
      <c r="V8" s="30">
        <f>(T8-U7)*24*60</f>
        <v>99.999999999999403</v>
      </c>
      <c r="W8" s="73">
        <f t="shared" si="0"/>
        <v>90</v>
      </c>
      <c r="X8" s="22"/>
      <c r="Y8" s="84"/>
      <c r="Z8" s="90"/>
      <c r="AA8" s="90"/>
      <c r="AB8" s="465"/>
      <c r="AC8" s="465"/>
      <c r="AD8" s="149"/>
      <c r="AE8" s="149"/>
      <c r="AF8" s="307">
        <f t="shared" si="1"/>
        <v>-132.66666666666652</v>
      </c>
      <c r="AG8" s="72">
        <f t="shared" si="2"/>
        <v>0.94103703703703712</v>
      </c>
      <c r="AH8" s="462"/>
    </row>
    <row r="9" spans="1:34" ht="15" customHeight="1">
      <c r="A9" s="42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8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5"/>
      <c r="AC9" s="465"/>
      <c r="AD9" s="149"/>
      <c r="AE9" s="149"/>
      <c r="AF9" s="307">
        <f t="shared" si="1"/>
        <v>0</v>
      </c>
      <c r="AG9" s="72" t="e">
        <f t="shared" si="2"/>
        <v>#DIV/0!</v>
      </c>
      <c r="AH9" s="463"/>
    </row>
    <row r="10" spans="1:34" ht="15" customHeight="1">
      <c r="A10" s="42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8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6"/>
      <c r="AC10" s="466"/>
      <c r="AD10" s="92"/>
      <c r="AE10" s="92"/>
      <c r="AF10" s="307">
        <f t="shared" si="1"/>
        <v>0</v>
      </c>
      <c r="AG10" s="72" t="e">
        <f t="shared" si="2"/>
        <v>#DIV/0!</v>
      </c>
      <c r="AH10" s="463"/>
    </row>
    <row r="11" spans="1:34" ht="15" customHeight="1">
      <c r="A11" s="42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5"/>
      <c r="AC11" s="465"/>
      <c r="AD11" s="149"/>
      <c r="AE11" s="149"/>
      <c r="AF11" s="307">
        <f t="shared" si="1"/>
        <v>0</v>
      </c>
      <c r="AG11" s="72" t="e">
        <f t="shared" si="2"/>
        <v>#DIV/0!</v>
      </c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2083.2142901813622</v>
      </c>
      <c r="O15" s="117">
        <f t="shared" si="3"/>
        <v>138.88095267875747</v>
      </c>
      <c r="P15" s="121">
        <f>M15-J15</f>
        <v>0</v>
      </c>
      <c r="Q15" s="122">
        <f>O15-L15</f>
        <v>-11.119047321242533</v>
      </c>
      <c r="R15" s="123">
        <f>O15/L15</f>
        <v>0.92587301785838316</v>
      </c>
      <c r="S15" s="42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7"/>
      <c r="AC15" s="467"/>
      <c r="AD15" s="323">
        <f>SUM(AD5:AD14)</f>
        <v>0</v>
      </c>
      <c r="AE15" s="323">
        <f>SUM(AE5:AE14)</f>
        <v>0</v>
      </c>
      <c r="AF15" s="309">
        <f>N15-K15</f>
        <v>-166.78570981863777</v>
      </c>
      <c r="AG15" s="124">
        <f>N15/K15</f>
        <v>0.92587301785838316</v>
      </c>
      <c r="AH15" s="464"/>
    </row>
    <row r="16" spans="1:34" ht="15" customHeight="1">
      <c r="A16" s="47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3321</v>
      </c>
      <c r="H16" s="134">
        <f>F16*G16</f>
        <v>168275.07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2142.5806451612684</v>
      </c>
      <c r="O16" s="141">
        <f>N16/M16</f>
        <v>153.04147465437632</v>
      </c>
      <c r="P16" s="142">
        <f>M16-J16</f>
        <v>0</v>
      </c>
      <c r="Q16" s="143">
        <f>O16-L16</f>
        <v>-7.6728110599094066</v>
      </c>
      <c r="R16" s="144">
        <f>O16/L16</f>
        <v>0.95225806451611927</v>
      </c>
      <c r="S16" s="472">
        <f>R26</f>
        <v>0.95516441059850288</v>
      </c>
      <c r="T16" s="145">
        <v>0.29097222222222202</v>
      </c>
      <c r="U16" s="145">
        <v>0.35555555555555601</v>
      </c>
      <c r="V16" s="135"/>
      <c r="W16" s="146">
        <f t="shared" ref="W16:W78" si="4">(U16-T16)*24*60</f>
        <v>93.000000000000952</v>
      </c>
      <c r="X16" s="141"/>
      <c r="Y16" s="296"/>
      <c r="Z16" s="169"/>
      <c r="AA16" s="169"/>
      <c r="AB16" s="468"/>
      <c r="AC16" s="468"/>
      <c r="AD16" s="135"/>
      <c r="AE16" s="135"/>
      <c r="AF16" s="229">
        <f>N16-K16</f>
        <v>-107.41935483873158</v>
      </c>
      <c r="AG16" s="52">
        <f>N16/K16</f>
        <v>0.95225806451611927</v>
      </c>
      <c r="AH16" s="461">
        <f>AG26</f>
        <v>0.95531012696676665</v>
      </c>
    </row>
    <row r="17" spans="1:34" ht="15" customHeight="1">
      <c r="A17" s="479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1476</v>
      </c>
      <c r="H17" s="78">
        <f>F17*G17</f>
        <v>83556.36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2160.0000000000164</v>
      </c>
      <c r="O17" s="96">
        <f>N17/M17</f>
        <v>144.00000000000108</v>
      </c>
      <c r="P17" s="97">
        <f>M17-J17</f>
        <v>0</v>
      </c>
      <c r="Q17" s="98">
        <f>O17-L17</f>
        <v>-5.99999999999892</v>
      </c>
      <c r="R17" s="99">
        <f>O17/L17</f>
        <v>0.96000000000000718</v>
      </c>
      <c r="S17" s="473"/>
      <c r="T17" s="19">
        <v>0.36180555555555599</v>
      </c>
      <c r="U17" s="19">
        <v>0.390277777777778</v>
      </c>
      <c r="V17" s="30">
        <f>(T17-U16)*24*60</f>
        <v>8.999999999999968</v>
      </c>
      <c r="W17" s="149">
        <f t="shared" si="4"/>
        <v>40.999999999999694</v>
      </c>
      <c r="X17" s="19"/>
      <c r="Y17" s="297"/>
      <c r="Z17" s="90"/>
      <c r="AA17" s="90"/>
      <c r="AB17" s="466"/>
      <c r="AC17" s="466"/>
      <c r="AD17" s="92"/>
      <c r="AE17" s="92"/>
      <c r="AF17" s="307">
        <f>N17-K17</f>
        <v>-89.999999999983629</v>
      </c>
      <c r="AG17" s="72">
        <f>N17/K17</f>
        <v>0.96000000000000729</v>
      </c>
      <c r="AH17" s="462"/>
    </row>
    <row r="18" spans="1:34" ht="15" customHeight="1">
      <c r="A18" s="479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4220</v>
      </c>
      <c r="H18" s="78">
        <f>F18*G18</f>
        <v>212645.8</v>
      </c>
      <c r="I18" s="30"/>
      <c r="J18" s="79">
        <v>13</v>
      </c>
      <c r="K18" s="80">
        <f>VLOOKUP(D18,產線配置圖!$A$3:$C$40,3,0)</f>
        <v>2250</v>
      </c>
      <c r="L18" s="81">
        <f>K18/J18</f>
        <v>173.07692307692307</v>
      </c>
      <c r="M18" s="148">
        <v>13</v>
      </c>
      <c r="N18" s="95">
        <f>G18/W18*60</f>
        <v>2145.7627118643913</v>
      </c>
      <c r="O18" s="96">
        <f>N18/M18</f>
        <v>165.05867014341473</v>
      </c>
      <c r="P18" s="97">
        <f>M18-J18</f>
        <v>0</v>
      </c>
      <c r="Q18" s="98">
        <f>O18-L18</f>
        <v>-8.0182529335083359</v>
      </c>
      <c r="R18" s="99">
        <f>O18/L18</f>
        <v>0.95367231638417405</v>
      </c>
      <c r="S18" s="473"/>
      <c r="T18" s="19">
        <v>0.39722222222222198</v>
      </c>
      <c r="U18" s="19">
        <v>0.47916666666666702</v>
      </c>
      <c r="V18" s="30">
        <f>(T18-U17)*24*60</f>
        <v>9.999999999999325</v>
      </c>
      <c r="W18" s="149">
        <f t="shared" si="4"/>
        <v>118.00000000000085</v>
      </c>
      <c r="X18" s="22">
        <v>0.49305555555555602</v>
      </c>
      <c r="Y18" s="84">
        <v>0.53472222222222199</v>
      </c>
      <c r="Z18" s="90"/>
      <c r="AA18" s="90"/>
      <c r="AB18" s="466"/>
      <c r="AC18" s="466"/>
      <c r="AD18" s="92"/>
      <c r="AE18" s="92"/>
      <c r="AF18" s="307">
        <f>N18-K18</f>
        <v>-104.23728813560865</v>
      </c>
      <c r="AG18" s="72">
        <f>N18/K18</f>
        <v>0.95367231638417393</v>
      </c>
      <c r="AH18" s="462"/>
    </row>
    <row r="19" spans="1:34" ht="15" customHeight="1">
      <c r="A19" s="479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3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65"/>
      <c r="AC19" s="465"/>
      <c r="AD19" s="149"/>
      <c r="AE19" s="149"/>
      <c r="AF19" s="307">
        <f>N19-K19</f>
        <v>0</v>
      </c>
      <c r="AG19" s="72" t="e">
        <f>N19/K19</f>
        <v>#DIV/0!</v>
      </c>
      <c r="AH19" s="463"/>
    </row>
    <row r="20" spans="1:34" ht="15" customHeight="1">
      <c r="A20" s="47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3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66"/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3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6"/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50"/>
      <c r="U22" s="150"/>
      <c r="V22" s="92"/>
      <c r="W22" s="149"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4"/>
        <v>0</v>
      </c>
      <c r="X23" s="92"/>
      <c r="Y23" s="298"/>
      <c r="Z23" s="90"/>
      <c r="AA23" s="90"/>
      <c r="AB23" s="466"/>
      <c r="AC23" s="46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>
        <f t="shared" ref="J26:O26" si="5">AVERAGE(J16:J25)</f>
        <v>14</v>
      </c>
      <c r="K26" s="155">
        <f t="shared" si="5"/>
        <v>2250</v>
      </c>
      <c r="L26" s="158">
        <f t="shared" si="5"/>
        <v>161.26373626373626</v>
      </c>
      <c r="M26" s="155">
        <f t="shared" si="5"/>
        <v>14</v>
      </c>
      <c r="N26" s="155">
        <f t="shared" si="5"/>
        <v>2149.4477856752251</v>
      </c>
      <c r="O26" s="158">
        <f t="shared" si="5"/>
        <v>154.03338159926406</v>
      </c>
      <c r="P26" s="159">
        <f>M26-J26</f>
        <v>0</v>
      </c>
      <c r="Q26" s="160">
        <f>O26-L26</f>
        <v>-7.2303546644722019</v>
      </c>
      <c r="R26" s="161">
        <f>O26/L26</f>
        <v>0.95516441059850288</v>
      </c>
      <c r="S26" s="474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7"/>
      <c r="AC26" s="467"/>
      <c r="AD26" s="323">
        <f>SUM(AD16:AD25)</f>
        <v>0</v>
      </c>
      <c r="AE26" s="323">
        <f>SUM(AE16:AE25)</f>
        <v>0</v>
      </c>
      <c r="AF26" s="309">
        <f t="shared" ref="AF26:AF31" si="6">N26-K26</f>
        <v>-100.55221432477492</v>
      </c>
      <c r="AG26" s="124">
        <f t="shared" ref="AG26:AG31" si="7">N26/K26</f>
        <v>0.95531012696676665</v>
      </c>
      <c r="AH26" s="464"/>
    </row>
    <row r="27" spans="1:34" ht="15" customHeight="1">
      <c r="A27" s="469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2483</v>
      </c>
      <c r="H27" s="134">
        <f>F27*G27</f>
        <v>142052.43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1489.7999999999874</v>
      </c>
      <c r="O27" s="141">
        <f>N27/M27</f>
        <v>87.635294117646325</v>
      </c>
      <c r="P27" s="142">
        <f>M27-J27</f>
        <v>0</v>
      </c>
      <c r="Q27" s="143">
        <f>O27-L27</f>
        <v>-4.4235294117654433</v>
      </c>
      <c r="R27" s="144">
        <f>O27/L27</f>
        <v>0.9519488817891294</v>
      </c>
      <c r="S27" s="472">
        <f>R37</f>
        <v>0.86681580909768297</v>
      </c>
      <c r="T27" s="171">
        <v>0.33333333333333298</v>
      </c>
      <c r="U27" s="171">
        <v>0.40277777777777801</v>
      </c>
      <c r="V27" s="135"/>
      <c r="W27" s="146">
        <f t="shared" si="4"/>
        <v>100.00000000000084</v>
      </c>
      <c r="X27" s="135"/>
      <c r="Y27" s="300" t="s">
        <v>46</v>
      </c>
      <c r="Z27" s="169"/>
      <c r="AA27" s="169"/>
      <c r="AB27" s="468"/>
      <c r="AC27" s="468"/>
      <c r="AD27" s="135"/>
      <c r="AE27" s="135"/>
      <c r="AF27" s="310">
        <f t="shared" si="6"/>
        <v>-75.200000000012551</v>
      </c>
      <c r="AG27" s="172">
        <f t="shared" si="7"/>
        <v>0.9519488817891294</v>
      </c>
      <c r="AH27" s="461">
        <f>AG37</f>
        <v>0.86681580909768308</v>
      </c>
    </row>
    <row r="28" spans="1:34" ht="15" customHeight="1">
      <c r="A28" s="470"/>
      <c r="B28" s="75" t="s">
        <v>81</v>
      </c>
      <c r="C28" s="173"/>
      <c r="D28" s="59" t="s">
        <v>128</v>
      </c>
      <c r="E28" s="104"/>
      <c r="F28" s="75">
        <f>VLOOKUP(D28,廠價表!$C$1:$E$43,3,0)</f>
        <v>57.21</v>
      </c>
      <c r="G28" s="90">
        <v>2123</v>
      </c>
      <c r="H28" s="91">
        <f>F28*G28</f>
        <v>121456.83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17</v>
      </c>
      <c r="N28" s="95">
        <f>G28/W28*60</f>
        <v>1415.3333333333333</v>
      </c>
      <c r="O28" s="96">
        <f>N28/M28</f>
        <v>83.254901960784309</v>
      </c>
      <c r="P28" s="97">
        <f>M28-J28</f>
        <v>0</v>
      </c>
      <c r="Q28" s="98">
        <f>O28-L28</f>
        <v>-17.686274509803923</v>
      </c>
      <c r="R28" s="99">
        <f>O28/L28</f>
        <v>0.82478632478632474</v>
      </c>
      <c r="S28" s="473"/>
      <c r="T28" s="19">
        <v>0.40972222222222199</v>
      </c>
      <c r="U28" s="19">
        <v>0.47222222222222199</v>
      </c>
      <c r="V28" s="92">
        <f>(T28-U27)*24*60</f>
        <v>9.999999999999325</v>
      </c>
      <c r="W28" s="149">
        <f t="shared" si="4"/>
        <v>90</v>
      </c>
      <c r="X28" s="22">
        <v>0.48263888888888901</v>
      </c>
      <c r="Y28" s="84">
        <v>0.52430555555555602</v>
      </c>
      <c r="Z28" s="335"/>
      <c r="AA28" s="335"/>
      <c r="AB28" s="466"/>
      <c r="AC28" s="466"/>
      <c r="AD28" s="92"/>
      <c r="AE28" s="92"/>
      <c r="AF28" s="311">
        <f t="shared" si="6"/>
        <v>-300.66666666666674</v>
      </c>
      <c r="AG28" s="99">
        <f t="shared" si="7"/>
        <v>0.82478632478632474</v>
      </c>
      <c r="AH28" s="482"/>
    </row>
    <row r="29" spans="1:34" ht="15" customHeight="1">
      <c r="A29" s="470"/>
      <c r="B29" s="75" t="s">
        <v>123</v>
      </c>
      <c r="C29" s="173"/>
      <c r="D29" s="59" t="s">
        <v>124</v>
      </c>
      <c r="E29" s="104"/>
      <c r="F29" s="75">
        <f>VLOOKUP(D29,廠價表!$C$1:$E$43,3,0)</f>
        <v>44.3</v>
      </c>
      <c r="G29" s="90">
        <v>1357</v>
      </c>
      <c r="H29" s="91">
        <f>F29*G29</f>
        <v>60115.1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1356.9999999999868</v>
      </c>
      <c r="O29" s="96">
        <f>N29/M29</f>
        <v>79.823529411763928</v>
      </c>
      <c r="P29" s="97">
        <f>M29-J29</f>
        <v>0</v>
      </c>
      <c r="Q29" s="98">
        <f>O29-L29</f>
        <v>-16.41176470588313</v>
      </c>
      <c r="R29" s="99">
        <f>O29/L29</f>
        <v>0.82946210268947851</v>
      </c>
      <c r="S29" s="473"/>
      <c r="T29" s="19">
        <v>0.53958333333333297</v>
      </c>
      <c r="U29" s="19">
        <v>0.58125000000000004</v>
      </c>
      <c r="V29" s="92">
        <f>(T29-U28)*24*60</f>
        <v>96.999999999999815</v>
      </c>
      <c r="W29" s="149">
        <f t="shared" si="4"/>
        <v>60.000000000000583</v>
      </c>
      <c r="X29" s="22"/>
      <c r="Y29" s="84"/>
      <c r="Z29" s="90"/>
      <c r="AA29" s="90"/>
      <c r="AB29" s="466"/>
      <c r="AC29" s="466"/>
      <c r="AD29" s="92"/>
      <c r="AE29" s="92"/>
      <c r="AF29" s="312">
        <f t="shared" si="6"/>
        <v>-279.00000000001319</v>
      </c>
      <c r="AG29" s="99">
        <f t="shared" si="7"/>
        <v>0.82946210268947851</v>
      </c>
      <c r="AH29" s="482"/>
    </row>
    <row r="30" spans="1:34" ht="15" customHeight="1">
      <c r="A30" s="470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3"/>
      <c r="T30" s="19"/>
      <c r="U30" s="19"/>
      <c r="V30" s="92"/>
      <c r="W30" s="149">
        <f t="shared" si="4"/>
        <v>0</v>
      </c>
      <c r="X30" s="174"/>
      <c r="Y30" s="301"/>
      <c r="Z30" s="335"/>
      <c r="AA30" s="335"/>
      <c r="AB30" s="466"/>
      <c r="AC30" s="466"/>
      <c r="AD30" s="92"/>
      <c r="AE30" s="92"/>
      <c r="AF30" s="312">
        <f t="shared" si="6"/>
        <v>0</v>
      </c>
      <c r="AG30" s="99" t="e">
        <f t="shared" si="7"/>
        <v>#DIV/0!</v>
      </c>
      <c r="AH30" s="483"/>
    </row>
    <row r="31" spans="1:34" ht="15" customHeight="1">
      <c r="A31" s="47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3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6"/>
      <c r="AC31" s="466"/>
      <c r="AD31" s="92"/>
      <c r="AE31" s="92"/>
      <c r="AF31" s="312">
        <f t="shared" si="6"/>
        <v>0</v>
      </c>
      <c r="AG31" s="99" t="e">
        <f t="shared" si="7"/>
        <v>#DIV/0!</v>
      </c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6"/>
      <c r="AC32" s="466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6"/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>
        <f t="shared" ref="J37:O37" si="8">AVERAGE(J27:J36)</f>
        <v>17</v>
      </c>
      <c r="K37" s="155">
        <f t="shared" si="8"/>
        <v>1639</v>
      </c>
      <c r="L37" s="158">
        <f t="shared" si="8"/>
        <v>96.411764705882362</v>
      </c>
      <c r="M37" s="155">
        <f t="shared" si="8"/>
        <v>17</v>
      </c>
      <c r="N37" s="155">
        <f t="shared" si="8"/>
        <v>1420.7111111111026</v>
      </c>
      <c r="O37" s="158">
        <f t="shared" si="8"/>
        <v>83.571241830064849</v>
      </c>
      <c r="P37" s="159">
        <f>M37-J37</f>
        <v>0</v>
      </c>
      <c r="Q37" s="160">
        <f>N37-K37</f>
        <v>-218.28888888889742</v>
      </c>
      <c r="R37" s="161">
        <f>O37/L37</f>
        <v>0.86681580909768297</v>
      </c>
      <c r="S37" s="474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7"/>
      <c r="AC37" s="477"/>
      <c r="AD37" s="324">
        <f>SUM(AD27:AD36)</f>
        <v>0</v>
      </c>
      <c r="AE37" s="324">
        <f>SUM(AE27:AE36)</f>
        <v>0</v>
      </c>
      <c r="AF37" s="309">
        <f>N37-K37</f>
        <v>-218.28888888889742</v>
      </c>
      <c r="AG37" s="124">
        <f>N37/K37</f>
        <v>0.86681580909768308</v>
      </c>
      <c r="AH37" s="464"/>
    </row>
    <row r="38" spans="1:34" ht="15" customHeight="1">
      <c r="A38" s="491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2732</v>
      </c>
      <c r="H38" s="134">
        <f>F38*G38</f>
        <v>136354.12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1561.1428571428494</v>
      </c>
      <c r="O38" s="141">
        <f>N38/M38</f>
        <v>104.07619047618996</v>
      </c>
      <c r="P38" s="142">
        <f>M38-J38</f>
        <v>0</v>
      </c>
      <c r="Q38" s="143">
        <f>O38-L38</f>
        <v>-10.190476190476701</v>
      </c>
      <c r="R38" s="144">
        <f>O38/L38</f>
        <v>0.91081846974495306</v>
      </c>
      <c r="S38" s="494">
        <f>R48</f>
        <v>0.92504244888833875</v>
      </c>
      <c r="T38" s="191">
        <v>0.33333333333333298</v>
      </c>
      <c r="U38" s="191">
        <v>0.40625</v>
      </c>
      <c r="V38" s="192"/>
      <c r="W38" s="193">
        <f t="shared" si="4"/>
        <v>105.00000000000051</v>
      </c>
      <c r="X38" s="194"/>
      <c r="Y38" s="302"/>
      <c r="Z38" s="336"/>
      <c r="AA38" s="336"/>
      <c r="AB38" s="496"/>
      <c r="AC38" s="496"/>
      <c r="AD38" s="192"/>
      <c r="AE38" s="192"/>
      <c r="AF38" s="313">
        <f>N38-K38</f>
        <v>-152.85714285715062</v>
      </c>
      <c r="AG38" s="195">
        <f>N38/K38</f>
        <v>0.91081846974495295</v>
      </c>
      <c r="AH38" s="484">
        <f>AG48</f>
        <v>0.92601279317696605</v>
      </c>
    </row>
    <row r="39" spans="1:34" ht="15" customHeight="1">
      <c r="A39" s="492"/>
      <c r="B39" s="75" t="s">
        <v>123</v>
      </c>
      <c r="C39" s="207"/>
      <c r="D39" s="198" t="s">
        <v>124</v>
      </c>
      <c r="E39" s="178"/>
      <c r="F39" s="75">
        <f>VLOOKUP(D39,廠價表!$C$1:$E$43,3,0)</f>
        <v>44.3</v>
      </c>
      <c r="G39" s="199">
        <v>3082</v>
      </c>
      <c r="H39" s="91">
        <f>F39*G39</f>
        <v>136532.59999999998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1540.999999999987</v>
      </c>
      <c r="O39" s="203">
        <f>N39/M39</f>
        <v>90.647058823528653</v>
      </c>
      <c r="P39" s="97">
        <f>M39-J39</f>
        <v>0</v>
      </c>
      <c r="Q39" s="98">
        <f>O39-L39</f>
        <v>-5.5882352941184052</v>
      </c>
      <c r="R39" s="99">
        <f>O39/L39</f>
        <v>0.94193154034229043</v>
      </c>
      <c r="S39" s="495"/>
      <c r="T39" s="20">
        <v>0.40972222222222199</v>
      </c>
      <c r="U39" s="20">
        <v>0.49305555555555602</v>
      </c>
      <c r="V39" s="92">
        <f>(T39-U38)*24*60</f>
        <v>4.9999999999996625</v>
      </c>
      <c r="W39" s="205">
        <f t="shared" si="4"/>
        <v>120.00000000000101</v>
      </c>
      <c r="X39" s="22"/>
      <c r="Y39" s="84"/>
      <c r="Z39" s="90"/>
      <c r="AA39" s="90"/>
      <c r="AB39" s="487"/>
      <c r="AC39" s="487"/>
      <c r="AD39" s="200"/>
      <c r="AE39" s="200"/>
      <c r="AF39" s="314">
        <f>N39-K39</f>
        <v>-95.00000000001296</v>
      </c>
      <c r="AG39" s="206">
        <f>N39/K39</f>
        <v>0.94193154034229032</v>
      </c>
      <c r="AH39" s="485"/>
    </row>
    <row r="40" spans="1:34" ht="15" customHeight="1">
      <c r="A40" s="492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7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466"/>
      <c r="AC40" s="466"/>
      <c r="AD40" s="92"/>
      <c r="AE40" s="92"/>
      <c r="AF40" s="314">
        <f>N40-K40</f>
        <v>0</v>
      </c>
      <c r="AG40" s="206" t="e">
        <f>N40/K40</f>
        <v>#DIV/0!</v>
      </c>
      <c r="AH40" s="485"/>
    </row>
    <row r="41" spans="1:34" ht="15" customHeight="1">
      <c r="A41" s="49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7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6"/>
      <c r="AC41" s="466"/>
      <c r="AD41" s="92"/>
      <c r="AE41" s="92"/>
      <c r="AF41" s="314">
        <f>N41-K41</f>
        <v>0</v>
      </c>
      <c r="AG41" s="206" t="e">
        <f>N41/K41</f>
        <v>#DIV/0!</v>
      </c>
      <c r="AH41" s="485"/>
    </row>
    <row r="42" spans="1:34" ht="15" customHeight="1">
      <c r="A42" s="49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7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6"/>
      <c r="AC42" s="466"/>
      <c r="AD42" s="92"/>
      <c r="AE42" s="92"/>
      <c r="AF42" s="314"/>
      <c r="AG42" s="206"/>
      <c r="AH42" s="485"/>
    </row>
    <row r="43" spans="1:34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>
        <f t="shared" ref="J48:O48" si="9">AVERAGE(J38:J47)</f>
        <v>16</v>
      </c>
      <c r="K48" s="155">
        <f t="shared" si="9"/>
        <v>1675</v>
      </c>
      <c r="L48" s="158">
        <f t="shared" si="9"/>
        <v>105.25098039215686</v>
      </c>
      <c r="M48" s="155">
        <f t="shared" si="9"/>
        <v>16</v>
      </c>
      <c r="N48" s="155">
        <f t="shared" si="9"/>
        <v>1551.0714285714182</v>
      </c>
      <c r="O48" s="158">
        <f t="shared" si="9"/>
        <v>97.361624649859309</v>
      </c>
      <c r="P48" s="221">
        <f>M48-J48</f>
        <v>0</v>
      </c>
      <c r="Q48" s="222">
        <f>N48-K48</f>
        <v>-123.92857142858179</v>
      </c>
      <c r="R48" s="223">
        <f>O48/L48</f>
        <v>0.92504244888833875</v>
      </c>
      <c r="S48" s="420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7"/>
      <c r="AC48" s="467"/>
      <c r="AD48" s="323">
        <f>SUM(AD38:AD47)</f>
        <v>0</v>
      </c>
      <c r="AE48" s="323">
        <f>SUM(AE38:AE47)</f>
        <v>0</v>
      </c>
      <c r="AF48" s="315">
        <f t="shared" ref="AF48:AF53" si="10">N48-K48</f>
        <v>-123.92857142858179</v>
      </c>
      <c r="AG48" s="162">
        <f t="shared" ref="AG48:AG53" si="11">N48/K48</f>
        <v>0.92601279317696605</v>
      </c>
      <c r="AH48" s="486"/>
    </row>
    <row r="49" spans="1:34" ht="15" customHeight="1">
      <c r="A49" s="488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2060</v>
      </c>
      <c r="H49" s="134">
        <f>F49*G49</f>
        <v>102011.20000000001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1564.5569620253202</v>
      </c>
      <c r="O49" s="141">
        <f>N49/M49</f>
        <v>92.032762472077664</v>
      </c>
      <c r="P49" s="229">
        <f>M49-J49</f>
        <v>0</v>
      </c>
      <c r="Q49" s="230">
        <f>O49-L49</f>
        <v>-13.8495904690988</v>
      </c>
      <c r="R49" s="52">
        <f>O49/L49</f>
        <v>0.86919831223628907</v>
      </c>
      <c r="S49" s="416">
        <f>R58</f>
        <v>0.90380629269607793</v>
      </c>
      <c r="T49" s="191">
        <v>0.29166666666666702</v>
      </c>
      <c r="U49" s="191">
        <v>0.34652777777777799</v>
      </c>
      <c r="V49" s="55"/>
      <c r="W49" s="193">
        <f t="shared" si="4"/>
        <v>78.999999999999801</v>
      </c>
      <c r="X49" s="55"/>
      <c r="Y49" s="290"/>
      <c r="Z49" s="169"/>
      <c r="AA49" s="169"/>
      <c r="AB49" s="468"/>
      <c r="AC49" s="468"/>
      <c r="AD49" s="135"/>
      <c r="AE49" s="135"/>
      <c r="AF49" s="229">
        <f t="shared" si="10"/>
        <v>-235.44303797467978</v>
      </c>
      <c r="AG49" s="52">
        <f t="shared" si="11"/>
        <v>0.86919831223628896</v>
      </c>
      <c r="AH49" s="461">
        <f>AG58</f>
        <v>0.90445283411624733</v>
      </c>
    </row>
    <row r="50" spans="1:34" ht="15" customHeight="1">
      <c r="A50" s="489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2341</v>
      </c>
      <c r="H50" s="231">
        <f>F50*G50</f>
        <v>116979.77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1560.6666666666667</v>
      </c>
      <c r="O50" s="235">
        <f>N50/M50</f>
        <v>97.541666666666671</v>
      </c>
      <c r="P50" s="74">
        <f>M50-J50</f>
        <v>0</v>
      </c>
      <c r="Q50" s="83">
        <f>O50-L50</f>
        <v>-14.958333333333329</v>
      </c>
      <c r="R50" s="72">
        <f>O50/L50</f>
        <v>0.86703703703703705</v>
      </c>
      <c r="S50" s="417"/>
      <c r="T50" s="21">
        <v>0.35208333333333303</v>
      </c>
      <c r="U50" s="21">
        <v>0.41458333333333303</v>
      </c>
      <c r="V50" s="30">
        <f>(T50-U49)*24*60</f>
        <v>7.9999999999992522</v>
      </c>
      <c r="W50" s="236">
        <f t="shared" si="4"/>
        <v>90</v>
      </c>
      <c r="X50" s="22"/>
      <c r="Y50" s="84"/>
      <c r="Z50" s="90"/>
      <c r="AA50" s="90"/>
      <c r="AB50" s="466"/>
      <c r="AC50" s="466"/>
      <c r="AD50" s="92"/>
      <c r="AE50" s="92"/>
      <c r="AF50" s="307">
        <f t="shared" si="10"/>
        <v>-239.33333333333326</v>
      </c>
      <c r="AG50" s="72">
        <f t="shared" si="11"/>
        <v>0.86703703703703705</v>
      </c>
      <c r="AH50" s="462"/>
    </row>
    <row r="51" spans="1:34" ht="15" customHeight="1">
      <c r="A51" s="489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2135</v>
      </c>
      <c r="H51" s="231">
        <f>F51*G51</f>
        <v>107367.015</v>
      </c>
      <c r="I51" s="232"/>
      <c r="J51" s="79">
        <v>18</v>
      </c>
      <c r="K51" s="80">
        <v>1800</v>
      </c>
      <c r="L51" s="81">
        <f>K51/J51</f>
        <v>100</v>
      </c>
      <c r="M51" s="233">
        <v>18</v>
      </c>
      <c r="N51" s="234">
        <f>G51/W51*60</f>
        <v>1642.3076923077133</v>
      </c>
      <c r="O51" s="235">
        <f>N51/M51</f>
        <v>91.239316239317404</v>
      </c>
      <c r="P51" s="74">
        <f>M51-J51</f>
        <v>0</v>
      </c>
      <c r="Q51" s="83">
        <f>O51-L51</f>
        <v>-8.7606837606825962</v>
      </c>
      <c r="R51" s="72">
        <f>O51/L51</f>
        <v>0.91239316239317403</v>
      </c>
      <c r="S51" s="417"/>
      <c r="T51" s="21">
        <v>0.421527777777778</v>
      </c>
      <c r="U51" s="19">
        <v>0.47569444444444398</v>
      </c>
      <c r="V51" s="30">
        <f>(T51-U50)*24*60</f>
        <v>10.000000000000764</v>
      </c>
      <c r="W51" s="236">
        <f t="shared" si="4"/>
        <v>77.999999999999005</v>
      </c>
      <c r="X51" s="22"/>
      <c r="Y51" s="84"/>
      <c r="Z51" s="90"/>
      <c r="AA51" s="90"/>
      <c r="AB51" s="466"/>
      <c r="AC51" s="466"/>
      <c r="AD51" s="92"/>
      <c r="AE51" s="92"/>
      <c r="AF51" s="307">
        <f t="shared" si="10"/>
        <v>-157.6923076922867</v>
      </c>
      <c r="AG51" s="72">
        <f t="shared" si="11"/>
        <v>0.91239316239317403</v>
      </c>
      <c r="AH51" s="462"/>
    </row>
    <row r="52" spans="1:34" ht="15" customHeight="1">
      <c r="A52" s="489"/>
      <c r="B52" s="75" t="s">
        <v>81</v>
      </c>
      <c r="C52" s="86"/>
      <c r="D52" s="59" t="s">
        <v>121</v>
      </c>
      <c r="E52" s="87"/>
      <c r="F52" s="75">
        <f>VLOOKUP(D52,廠價表!$C$1:$E$43,3,0)</f>
        <v>50.289000000000001</v>
      </c>
      <c r="G52" s="202">
        <v>1216</v>
      </c>
      <c r="H52" s="231">
        <f t="shared" ref="H52:H53" si="12">F52*G52</f>
        <v>61151.423999999999</v>
      </c>
      <c r="I52" s="232"/>
      <c r="J52" s="79">
        <v>18</v>
      </c>
      <c r="K52" s="80">
        <v>1800</v>
      </c>
      <c r="L52" s="81">
        <f t="shared" ref="L52:L53" si="13">K52/J52</f>
        <v>100</v>
      </c>
      <c r="M52" s="233">
        <v>18</v>
      </c>
      <c r="N52" s="234">
        <f t="shared" ref="N52:N53" si="14">G52/W52*60</f>
        <v>1696.7441860465178</v>
      </c>
      <c r="O52" s="235">
        <f t="shared" ref="O52:O53" si="15">N52/M52</f>
        <v>94.263565891473206</v>
      </c>
      <c r="P52" s="74">
        <f t="shared" ref="P52:P53" si="16">M52-J52</f>
        <v>0</v>
      </c>
      <c r="Q52" s="83">
        <f t="shared" ref="Q52:Q53" si="17">O52-L52</f>
        <v>-5.7364341085267938</v>
      </c>
      <c r="R52" s="72">
        <f t="shared" ref="R52:R53" si="18">O52/L52</f>
        <v>0.94263565891473211</v>
      </c>
      <c r="S52" s="417"/>
      <c r="T52" s="21">
        <v>0.53611111111111098</v>
      </c>
      <c r="U52" s="21">
        <v>0.56597222222222199</v>
      </c>
      <c r="V52" s="30">
        <f>(T52-U51)*24*60</f>
        <v>87.000000000000483</v>
      </c>
      <c r="W52" s="236">
        <f t="shared" si="4"/>
        <v>42.999999999999844</v>
      </c>
      <c r="X52" s="22">
        <v>0.47916666666666702</v>
      </c>
      <c r="Y52" s="84">
        <v>0.53125</v>
      </c>
      <c r="Z52" s="90"/>
      <c r="AA52" s="90"/>
      <c r="AB52" s="466"/>
      <c r="AC52" s="466"/>
      <c r="AD52" s="92"/>
      <c r="AE52" s="92"/>
      <c r="AF52" s="307">
        <f t="shared" si="10"/>
        <v>-103.25581395348217</v>
      </c>
      <c r="AG52" s="72">
        <f t="shared" si="11"/>
        <v>0.94263565891473211</v>
      </c>
      <c r="AH52" s="462"/>
    </row>
    <row r="53" spans="1:34" ht="15" customHeight="1">
      <c r="A53" s="489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2793</v>
      </c>
      <c r="H53" s="231">
        <f t="shared" si="12"/>
        <v>139566.21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13"/>
        <v>112.5</v>
      </c>
      <c r="M53" s="108">
        <v>16</v>
      </c>
      <c r="N53" s="234">
        <f t="shared" si="14"/>
        <v>1675.8000000000086</v>
      </c>
      <c r="O53" s="235">
        <f t="shared" si="15"/>
        <v>104.73750000000054</v>
      </c>
      <c r="P53" s="74">
        <f t="shared" si="16"/>
        <v>0</v>
      </c>
      <c r="Q53" s="83">
        <f t="shared" si="17"/>
        <v>-7.7624999999994628</v>
      </c>
      <c r="R53" s="72">
        <f t="shared" si="18"/>
        <v>0.93100000000000482</v>
      </c>
      <c r="S53" s="417"/>
      <c r="T53" s="21">
        <v>0.57152777777777797</v>
      </c>
      <c r="U53" s="21">
        <v>0.64097222222222205</v>
      </c>
      <c r="V53" s="30">
        <f>(T53-U52)*24*60</f>
        <v>8.0000000000006111</v>
      </c>
      <c r="W53" s="236">
        <f t="shared" si="4"/>
        <v>99.999999999999488</v>
      </c>
      <c r="X53" s="30"/>
      <c r="Y53" s="151"/>
      <c r="Z53" s="90"/>
      <c r="AA53" s="90"/>
      <c r="AB53" s="466"/>
      <c r="AC53" s="466"/>
      <c r="AD53" s="92"/>
      <c r="AE53" s="92"/>
      <c r="AF53" s="307">
        <f t="shared" si="10"/>
        <v>-124.19999999999141</v>
      </c>
      <c r="AG53" s="72">
        <f t="shared" si="11"/>
        <v>0.93100000000000482</v>
      </c>
      <c r="AH53" s="462"/>
    </row>
    <row r="54" spans="1:34" ht="15" customHeight="1">
      <c r="A54" s="48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7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>
      <c r="A58" s="490"/>
      <c r="B58" s="239"/>
      <c r="C58" s="153" t="s">
        <v>51</v>
      </c>
      <c r="D58" s="437" t="s">
        <v>42</v>
      </c>
      <c r="E58" s="437"/>
      <c r="F58" s="116"/>
      <c r="G58" s="240"/>
      <c r="H58" s="118"/>
      <c r="I58" s="117"/>
      <c r="J58" s="120">
        <f t="shared" ref="J58:O58" si="19">AVERAGE(J49:J57)</f>
        <v>17</v>
      </c>
      <c r="K58" s="120">
        <f t="shared" si="19"/>
        <v>1800</v>
      </c>
      <c r="L58" s="117">
        <f t="shared" si="19"/>
        <v>106.17647058823529</v>
      </c>
      <c r="M58" s="120">
        <f t="shared" si="19"/>
        <v>17</v>
      </c>
      <c r="N58" s="120">
        <f t="shared" si="19"/>
        <v>1628.0151014092453</v>
      </c>
      <c r="O58" s="117">
        <f t="shared" si="19"/>
        <v>95.962962253907094</v>
      </c>
      <c r="P58" s="121">
        <f>M58-J58</f>
        <v>0</v>
      </c>
      <c r="Q58" s="122">
        <f>N58-K58</f>
        <v>-171.98489859075471</v>
      </c>
      <c r="R58" s="123">
        <f>O58/L58</f>
        <v>0.90380629269607793</v>
      </c>
      <c r="S58" s="42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7"/>
      <c r="AC58" s="467"/>
      <c r="AD58" s="323">
        <f>SUM(AD49:AD57)</f>
        <v>0</v>
      </c>
      <c r="AE58" s="323">
        <f>SUM(AE49:AE57)</f>
        <v>0</v>
      </c>
      <c r="AF58" s="309">
        <f>N58-K58</f>
        <v>-171.98489859075471</v>
      </c>
      <c r="AG58" s="124">
        <f>N58/K58</f>
        <v>0.90445283411624733</v>
      </c>
      <c r="AH58" s="464"/>
    </row>
    <row r="59" spans="1:34" ht="15" customHeight="1">
      <c r="A59" s="502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3570</v>
      </c>
      <c r="H59" s="243">
        <f>F59*G59</f>
        <v>96354.299999999988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1497.9020979020906</v>
      </c>
      <c r="O59" s="138">
        <f>N59/M59</f>
        <v>99.86013986013937</v>
      </c>
      <c r="P59" s="56">
        <f>M59-J59</f>
        <v>0</v>
      </c>
      <c r="Q59" s="230">
        <f>O59-L59</f>
        <v>-4.4731934731939589</v>
      </c>
      <c r="R59" s="52">
        <f>O59/L59</f>
        <v>0.95712594115149563</v>
      </c>
      <c r="S59" s="416">
        <f>R69</f>
        <v>0.84598188283956266</v>
      </c>
      <c r="T59" s="245">
        <v>0.28819444444444398</v>
      </c>
      <c r="U59" s="245">
        <v>0.38750000000000001</v>
      </c>
      <c r="V59" s="55"/>
      <c r="W59" s="54">
        <f t="shared" si="4"/>
        <v>143.00000000000068</v>
      </c>
      <c r="X59" s="55"/>
      <c r="Y59" s="290"/>
      <c r="Z59" s="169"/>
      <c r="AA59" s="169"/>
      <c r="AB59" s="468"/>
      <c r="AC59" s="468"/>
      <c r="AD59" s="135"/>
      <c r="AE59" s="135"/>
      <c r="AF59" s="310">
        <f>N59-K59</f>
        <v>-67.097902097909355</v>
      </c>
      <c r="AG59" s="246">
        <f>N59/K59</f>
        <v>0.95712594115149563</v>
      </c>
      <c r="AH59" s="461">
        <f>AG69</f>
        <v>0.83219299884558406</v>
      </c>
    </row>
    <row r="60" spans="1:34" ht="15" customHeight="1">
      <c r="A60" s="503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1711</v>
      </c>
      <c r="H60" s="78">
        <f>F60*G60</f>
        <v>48352.86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1466.5714285714021</v>
      </c>
      <c r="O60" s="81">
        <f>N60/M60</f>
        <v>122.21428571428351</v>
      </c>
      <c r="P60" s="74">
        <f>M60-J60</f>
        <v>0</v>
      </c>
      <c r="Q60" s="83">
        <f>O60-L60</f>
        <v>-8.2023809523831517</v>
      </c>
      <c r="R60" s="72">
        <f>O60/L60</f>
        <v>0.93710634413508132</v>
      </c>
      <c r="S60" s="506"/>
      <c r="T60" s="22">
        <v>0.39444444444444399</v>
      </c>
      <c r="U60" s="22">
        <v>0.44305555555555598</v>
      </c>
      <c r="V60" s="30">
        <f>(T60-U59)*24*60</f>
        <v>9.999999999999325</v>
      </c>
      <c r="W60" s="248">
        <f t="shared" si="4"/>
        <v>70.000000000001265</v>
      </c>
      <c r="X60" s="232"/>
      <c r="Y60" s="177"/>
      <c r="Z60" s="90"/>
      <c r="AA60" s="90"/>
      <c r="AB60" s="466"/>
      <c r="AC60" s="466"/>
      <c r="AD60" s="92"/>
      <c r="AE60" s="92"/>
      <c r="AF60" s="316">
        <f>N60-K60</f>
        <v>-98.428571428597934</v>
      </c>
      <c r="AG60" s="249">
        <f>N60/K60</f>
        <v>0.9371063441350812</v>
      </c>
      <c r="AH60" s="497"/>
    </row>
    <row r="61" spans="1:34" ht="15" customHeight="1">
      <c r="A61" s="504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1262</v>
      </c>
      <c r="H61" s="254">
        <f>F61*G61</f>
        <v>63945.54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12</v>
      </c>
      <c r="N61" s="107">
        <f>G61/W61*60</f>
        <v>1130.1492537313377</v>
      </c>
      <c r="O61" s="238">
        <f>N61/M61</f>
        <v>94.179104477611475</v>
      </c>
      <c r="P61" s="111">
        <f>M61-J61</f>
        <v>-1</v>
      </c>
      <c r="Q61" s="255">
        <f>O61-L61</f>
        <v>-16.590126291619299</v>
      </c>
      <c r="R61" s="85">
        <f>O61/L61</f>
        <v>0.85022802653399243</v>
      </c>
      <c r="S61" s="417"/>
      <c r="T61" s="22">
        <v>0.45</v>
      </c>
      <c r="U61" s="22">
        <v>0.49652777777777801</v>
      </c>
      <c r="V61" s="30">
        <f>(T61-U60)*24*60</f>
        <v>9.9999999999994049</v>
      </c>
      <c r="W61" s="256">
        <f t="shared" si="4"/>
        <v>67.000000000000327</v>
      </c>
      <c r="X61" s="22">
        <v>0.50694444444444398</v>
      </c>
      <c r="Y61" s="84">
        <v>0.54861111111111105</v>
      </c>
      <c r="Z61" s="90"/>
      <c r="AA61" s="90"/>
      <c r="AB61" s="466"/>
      <c r="AC61" s="466"/>
      <c r="AD61" s="92"/>
      <c r="AE61" s="92"/>
      <c r="AF61" s="317">
        <f>N61-K61</f>
        <v>-309.85074626866231</v>
      </c>
      <c r="AG61" s="247">
        <f>N61/K61</f>
        <v>0.78482587064676224</v>
      </c>
      <c r="AH61" s="462"/>
    </row>
    <row r="62" spans="1:34" ht="15" customHeight="1">
      <c r="A62" s="504"/>
      <c r="B62" s="250" t="s">
        <v>81</v>
      </c>
      <c r="C62" s="251"/>
      <c r="D62" s="257" t="s">
        <v>119</v>
      </c>
      <c r="E62" s="253"/>
      <c r="F62" s="250">
        <f>VLOOKUP(D62,廠價表!$C$1:$E$43,3,0)</f>
        <v>50.67</v>
      </c>
      <c r="G62" s="38">
        <v>529</v>
      </c>
      <c r="H62" s="254">
        <f>F62*G62</f>
        <v>26804.43</v>
      </c>
      <c r="I62" s="182"/>
      <c r="J62" s="106">
        <f>VLOOKUP(D62,產線配置圖!$A$3:$C$40,2,0)</f>
        <v>13</v>
      </c>
      <c r="K62" s="107">
        <f>VLOOKUP(D62,產線配置圖!$A$3:$C$40,3,0)</f>
        <v>1440</v>
      </c>
      <c r="L62" s="238">
        <f>K62/J62</f>
        <v>110.76923076923077</v>
      </c>
      <c r="M62" s="108">
        <v>13</v>
      </c>
      <c r="N62" s="107">
        <f>G62/W62*60</f>
        <v>906.85714285712959</v>
      </c>
      <c r="O62" s="238">
        <f>N62/M62</f>
        <v>69.758241758240743</v>
      </c>
      <c r="P62" s="111">
        <f>M62-J62</f>
        <v>0</v>
      </c>
      <c r="Q62" s="255">
        <f>O62-L62</f>
        <v>-41.010989010990031</v>
      </c>
      <c r="R62" s="85">
        <f>O62/L62</f>
        <v>0.62976190476189553</v>
      </c>
      <c r="S62" s="417"/>
      <c r="T62" s="22">
        <v>0.55208333333333304</v>
      </c>
      <c r="U62" s="22">
        <v>0.57638888888888895</v>
      </c>
      <c r="V62" s="30">
        <f>(T62-U61)*24*60</f>
        <v>79.999999999999233</v>
      </c>
      <c r="W62" s="248">
        <f t="shared" si="4"/>
        <v>35.000000000000512</v>
      </c>
      <c r="X62" s="22"/>
      <c r="Y62" s="84"/>
      <c r="Z62" s="90"/>
      <c r="AA62" s="90"/>
      <c r="AB62" s="466" t="s">
        <v>125</v>
      </c>
      <c r="AC62" s="466"/>
      <c r="AD62" s="92"/>
      <c r="AE62" s="92"/>
      <c r="AF62" s="317">
        <f>N62-K62</f>
        <v>-533.14285714287041</v>
      </c>
      <c r="AG62" s="247">
        <f>N62/K62</f>
        <v>0.62976190476189553</v>
      </c>
      <c r="AH62" s="462"/>
    </row>
    <row r="63" spans="1:34" ht="15" customHeight="1">
      <c r="A63" s="504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7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6"/>
      <c r="AC63" s="466"/>
      <c r="AD63" s="92"/>
      <c r="AE63" s="92"/>
      <c r="AF63" s="317"/>
      <c r="AG63" s="247"/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>
        <f t="shared" ref="J69:O69" si="20">AVERAGE(J59:J68)</f>
        <v>13.25</v>
      </c>
      <c r="K69" s="240">
        <f t="shared" si="20"/>
        <v>1502.5</v>
      </c>
      <c r="L69" s="268">
        <f t="shared" si="20"/>
        <v>114.07211538461539</v>
      </c>
      <c r="M69" s="240">
        <f t="shared" si="20"/>
        <v>13</v>
      </c>
      <c r="N69" s="240">
        <f t="shared" si="20"/>
        <v>1250.36998076549</v>
      </c>
      <c r="O69" s="268">
        <f t="shared" si="20"/>
        <v>96.502942952568773</v>
      </c>
      <c r="P69" s="269">
        <f>M69-J69</f>
        <v>-0.25</v>
      </c>
      <c r="Q69" s="222">
        <f>N69-K69</f>
        <v>-252.13001923450997</v>
      </c>
      <c r="R69" s="123">
        <f>O69/L69</f>
        <v>0.84598188283956266</v>
      </c>
      <c r="S69" s="42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7"/>
      <c r="AC69" s="467"/>
      <c r="AD69" s="323">
        <f>SUM(AD59:AD68)</f>
        <v>0</v>
      </c>
      <c r="AE69" s="323">
        <f>SUM(AE59:AE68)</f>
        <v>0</v>
      </c>
      <c r="AF69" s="309">
        <f>N69-K69</f>
        <v>-252.13001923450997</v>
      </c>
      <c r="AG69" s="124">
        <f>N69/K69</f>
        <v>0.83219299884558406</v>
      </c>
      <c r="AH69" s="464"/>
    </row>
    <row r="70" spans="1:36" ht="15" customHeight="1">
      <c r="A70" s="498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6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68"/>
      <c r="AC70" s="468"/>
      <c r="AD70" s="135"/>
      <c r="AE70" s="135"/>
      <c r="AF70" s="310">
        <f>N70-K70</f>
        <v>0</v>
      </c>
      <c r="AG70" s="246" t="e">
        <f>N70/K70</f>
        <v>#DIV/0!</v>
      </c>
      <c r="AH70" s="461" t="e">
        <f>AG79</f>
        <v>#DIV/0!</v>
      </c>
    </row>
    <row r="71" spans="1:36" ht="15" customHeight="1">
      <c r="A71" s="499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7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7"/>
      <c r="AC71" s="487"/>
      <c r="AD71" s="200"/>
      <c r="AE71" s="200"/>
      <c r="AF71" s="311">
        <v>-300.31249999999704</v>
      </c>
      <c r="AG71" s="99">
        <v>0.80810702875399554</v>
      </c>
      <c r="AH71" s="482"/>
    </row>
    <row r="72" spans="1:36" ht="15" customHeight="1">
      <c r="A72" s="499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7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6"/>
      <c r="AC72" s="466"/>
      <c r="AD72" s="92"/>
      <c r="AE72" s="92"/>
      <c r="AF72" s="311">
        <v>-130.33333333333326</v>
      </c>
      <c r="AG72" s="99">
        <v>0.91671991480298198</v>
      </c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6"/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>
      <c r="A79" s="500"/>
      <c r="B79" s="239"/>
      <c r="C79" s="153"/>
      <c r="D79" s="437"/>
      <c r="E79" s="437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F3:AF4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W3:W4"/>
    <mergeCell ref="X3:Y3"/>
    <mergeCell ref="Z3:AA3"/>
    <mergeCell ref="AB13:AC13"/>
    <mergeCell ref="AD3:AE3"/>
    <mergeCell ref="P3:P4"/>
    <mergeCell ref="Q3:Q4"/>
    <mergeCell ref="R3:R4"/>
    <mergeCell ref="T3:U3"/>
    <mergeCell ref="V3:V4"/>
    <mergeCell ref="A2:B2"/>
    <mergeCell ref="A3:A4"/>
    <mergeCell ref="B3:B4"/>
    <mergeCell ref="D3:E4"/>
    <mergeCell ref="F3:F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</mergeCells>
  <phoneticPr fontId="0" type="noConversion"/>
  <conditionalFormatting sqref="P5:P79">
    <cfRule type="cellIs" dxfId="194" priority="1" operator="greaterThan">
      <formula>0</formula>
    </cfRule>
  </conditionalFormatting>
  <conditionalFormatting sqref="Q5:Q79 AF5:AF79">
    <cfRule type="cellIs" dxfId="193" priority="4" operator="lessThan">
      <formula>0</formula>
    </cfRule>
  </conditionalFormatting>
  <conditionalFormatting sqref="R5:R79 AG5:AG79">
    <cfRule type="cellIs" dxfId="192" priority="2" operator="greaterThan">
      <formula>1</formula>
    </cfRule>
    <cfRule type="cellIs" dxfId="191" priority="3" operator="lessThan">
      <formula>0.8</formula>
    </cfRule>
  </conditionalFormatting>
  <conditionalFormatting sqref="S5:S10 S37:S62 AH59:AH62 S69:S76 AH69:AH76">
    <cfRule type="cellIs" dxfId="190" priority="7" operator="lessThan">
      <formula>0.8</formula>
    </cfRule>
  </conditionalFormatting>
  <conditionalFormatting sqref="S19:S25 AH19:AH25">
    <cfRule type="cellIs" dxfId="189" priority="6" operator="lessThan">
      <formula>0.8</formula>
    </cfRule>
  </conditionalFormatting>
  <conditionalFormatting sqref="S79">
    <cfRule type="cellIs" dxfId="188" priority="5" operator="lessThan">
      <formula>0.8</formula>
    </cfRule>
  </conditionalFormatting>
  <conditionalFormatting sqref="AH5:AH8 S15:S16 AH15:AH16 AH49 AH79">
    <cfRule type="cellIs" dxfId="187" priority="9" operator="lessThan">
      <formula>0.8</formula>
    </cfRule>
  </conditionalFormatting>
  <conditionalFormatting sqref="AH27 S27:S28">
    <cfRule type="cellIs" dxfId="186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3D6563-01C3-4B2C-B1DB-7A78D3F2CA77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C394C-315B-468A-927F-B1E3934C9145}">
  <dimension ref="B1:O26"/>
  <sheetViews>
    <sheetView zoomScale="70" zoomScaleNormal="70" workbookViewId="0">
      <selection activeCell="U61" sqref="U6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46159</v>
      </c>
      <c r="E3" s="412"/>
      <c r="F3" s="3" t="s">
        <v>72</v>
      </c>
      <c r="G3" s="413">
        <f>'0517'!E1</f>
        <v>62415</v>
      </c>
      <c r="H3" s="413"/>
      <c r="I3" s="3" t="s">
        <v>2</v>
      </c>
      <c r="J3" s="414">
        <f>'0517'!G1</f>
        <v>3053487.3259999994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>
        <f>AVERAGE(D13:I13)</f>
        <v>122.17847350906175</v>
      </c>
      <c r="G6" s="410"/>
      <c r="H6" s="395">
        <f>AVERAGE(D13:H13)</f>
        <v>123.57955282625872</v>
      </c>
      <c r="I6" s="395"/>
      <c r="J6" s="395">
        <f>AVERAGE(I13)</f>
        <v>115.17307692307692</v>
      </c>
      <c r="K6" s="395"/>
      <c r="L6" s="396">
        <f>SUM(D18:J18)</f>
        <v>1</v>
      </c>
      <c r="M6" s="398">
        <f>SUM(D19:J19)</f>
        <v>20</v>
      </c>
      <c r="N6" s="399">
        <f>SUM(D20:J20)</f>
        <v>0</v>
      </c>
      <c r="O6" s="398">
        <f>SUM(D20:J20)</f>
        <v>0</v>
      </c>
    </row>
    <row r="7" spans="2:15" ht="39.6" customHeight="1">
      <c r="B7" s="406"/>
      <c r="C7" s="406"/>
      <c r="D7" s="401" t="s">
        <v>87</v>
      </c>
      <c r="E7" s="401"/>
      <c r="F7" s="402">
        <f>AVERAGE(D14:I14)</f>
        <v>111.44173512808875</v>
      </c>
      <c r="G7" s="402"/>
      <c r="H7" s="403">
        <f>AVERAGE(D14:H14)</f>
        <v>113.09797010888857</v>
      </c>
      <c r="I7" s="403"/>
      <c r="J7" s="403">
        <f>AVERAGE(I14)</f>
        <v>103.16056022408962</v>
      </c>
      <c r="K7" s="403"/>
      <c r="L7" s="397" t="e">
        <f t="shared" ref="L7:O8" si="0">AVERAGE(K14:L14)</f>
        <v>#DIV/0!</v>
      </c>
      <c r="M7" s="398" t="e">
        <f t="shared" si="0"/>
        <v>#DIV/0!</v>
      </c>
      <c r="N7" s="400" t="e">
        <f t="shared" si="0"/>
        <v>#DIV/0!</v>
      </c>
      <c r="O7" s="398" t="e">
        <f t="shared" si="0"/>
        <v>#DIV/0!</v>
      </c>
    </row>
    <row r="8" spans="2:15" ht="39.6" customHeight="1">
      <c r="B8" s="406"/>
      <c r="C8" s="406"/>
      <c r="D8" s="401" t="s">
        <v>27</v>
      </c>
      <c r="E8" s="401"/>
      <c r="F8" s="387">
        <f>F7/F6</f>
        <v>0.91212250347704116</v>
      </c>
      <c r="G8" s="387"/>
      <c r="H8" s="387">
        <f>H7/H6</f>
        <v>0.91518351962232569</v>
      </c>
      <c r="I8" s="387"/>
      <c r="J8" s="387">
        <f>J7/J6</f>
        <v>0.89570030583614302</v>
      </c>
      <c r="K8" s="387"/>
      <c r="L8" s="397" t="e">
        <f t="shared" si="0"/>
        <v>#DIV/0!</v>
      </c>
      <c r="M8" s="398" t="e">
        <f t="shared" si="0"/>
        <v>#DIV/0!</v>
      </c>
      <c r="N8" s="400" t="e">
        <f t="shared" si="0"/>
        <v>#DIV/0!</v>
      </c>
      <c r="O8" s="398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>
        <f>VALUE('0517'!L15)</f>
        <v>150</v>
      </c>
      <c r="E13" s="13">
        <f>VALUE('0517'!L26)</f>
        <v>161.37362637362637</v>
      </c>
      <c r="F13" s="13">
        <f>VALUE('0517'!L37)</f>
        <v>97.678418803418808</v>
      </c>
      <c r="G13" s="13">
        <f>VALUE('0517'!L48)</f>
        <v>104.38901960784315</v>
      </c>
      <c r="H13" s="13">
        <f>VALUE('0517'!L58)</f>
        <v>104.45669934640523</v>
      </c>
      <c r="I13" s="13">
        <f>VALUE('0517'!L69)</f>
        <v>115.17307692307692</v>
      </c>
      <c r="J13" s="13">
        <f>'0517'!L79</f>
        <v>0</v>
      </c>
    </row>
    <row r="14" spans="2:15" ht="39.950000000000003" customHeight="1">
      <c r="B14" s="381"/>
      <c r="C14" s="12" t="s">
        <v>100</v>
      </c>
      <c r="D14" s="13">
        <f>VALUE('0517'!O15)</f>
        <v>139.35686454068792</v>
      </c>
      <c r="E14" s="13">
        <f>VALUE('0517'!O26)</f>
        <v>151.6698871450233</v>
      </c>
      <c r="F14" s="13">
        <f>VALUE('0517'!O37)</f>
        <v>83.71014554659935</v>
      </c>
      <c r="G14" s="13">
        <f>VALUE('0517'!O48)</f>
        <v>96.77884977552678</v>
      </c>
      <c r="H14" s="13">
        <f>VALUE('0517'!O58)</f>
        <v>93.974103536605554</v>
      </c>
      <c r="I14" s="13">
        <f>VALUE('0517'!O69)</f>
        <v>103.16056022408962</v>
      </c>
      <c r="J14" s="13">
        <f>'0517'!O79</f>
        <v>0</v>
      </c>
    </row>
    <row r="15" spans="2:15" ht="39.950000000000003" customHeight="1">
      <c r="B15" s="382"/>
      <c r="C15" s="10" t="s">
        <v>26</v>
      </c>
      <c r="D15" s="14">
        <f t="shared" ref="D15:I15" si="1">D14/D13</f>
        <v>0.92904576360458613</v>
      </c>
      <c r="E15" s="14">
        <f t="shared" si="1"/>
        <v>0.9398678740345332</v>
      </c>
      <c r="F15" s="14">
        <f t="shared" si="1"/>
        <v>0.85699734467517241</v>
      </c>
      <c r="G15" s="14">
        <f t="shared" si="1"/>
        <v>0.92709798539247334</v>
      </c>
      <c r="H15" s="14">
        <f t="shared" si="1"/>
        <v>0.89964649586488754</v>
      </c>
      <c r="I15" s="14">
        <f t="shared" si="1"/>
        <v>0.89570030583614302</v>
      </c>
      <c r="J15" s="15">
        <f>'0517'!S70</f>
        <v>0</v>
      </c>
    </row>
    <row r="16" spans="2:15" ht="17.25" customHeight="1">
      <c r="B16" s="383" t="s">
        <v>101</v>
      </c>
      <c r="C16" s="10" t="s">
        <v>34</v>
      </c>
      <c r="D16" s="16">
        <f>'0517'!T5</f>
        <v>0.29166666666666702</v>
      </c>
      <c r="E16" s="16">
        <f>'0517'!T16</f>
        <v>0.29166666666666702</v>
      </c>
      <c r="F16" s="16">
        <f>'0517'!T27</f>
        <v>0.33333333333333298</v>
      </c>
      <c r="G16" s="16">
        <f>'0517'!T38</f>
        <v>0.32986111111111099</v>
      </c>
      <c r="H16" s="16">
        <f>'0517'!T49</f>
        <v>0.29027777777777802</v>
      </c>
      <c r="I16" s="16">
        <f>'0517'!T59</f>
        <v>0.28819444444444398</v>
      </c>
      <c r="J16" s="16">
        <f>'0517'!T70</f>
        <v>0</v>
      </c>
    </row>
    <row r="17" spans="2:10" ht="17.25" customHeight="1">
      <c r="B17" s="384"/>
      <c r="C17" s="10" t="s">
        <v>35</v>
      </c>
      <c r="D17" s="16">
        <v>0.63611111111111096</v>
      </c>
      <c r="E17" s="19">
        <v>0.62777777777777799</v>
      </c>
      <c r="F17" s="19">
        <v>0.63541666666666696</v>
      </c>
      <c r="G17" s="210">
        <v>0.68055555555555602</v>
      </c>
      <c r="H17" s="21">
        <v>0.63819444444444395</v>
      </c>
      <c r="I17" s="22">
        <v>0.57638888888888895</v>
      </c>
      <c r="J17" s="16">
        <f>'0517'!T71</f>
        <v>0</v>
      </c>
    </row>
    <row r="18" spans="2:10" ht="17.25" customHeight="1">
      <c r="B18" s="385" t="s">
        <v>102</v>
      </c>
      <c r="C18" s="330" t="s">
        <v>36</v>
      </c>
      <c r="D18" s="358">
        <f>'0517'!Z15</f>
        <v>0</v>
      </c>
      <c r="E18" s="359">
        <f>'0517'!Z26</f>
        <v>0</v>
      </c>
      <c r="F18" s="359">
        <f>'0517'!Z37</f>
        <v>0</v>
      </c>
      <c r="G18" s="360">
        <f>'0517'!Z48</f>
        <v>0</v>
      </c>
      <c r="H18" s="360">
        <f>'0517'!Z58</f>
        <v>0</v>
      </c>
      <c r="I18" s="359">
        <f>'0517'!Z69</f>
        <v>1</v>
      </c>
      <c r="J18" s="359">
        <f>'0517'!AA79</f>
        <v>0</v>
      </c>
    </row>
    <row r="19" spans="2:10" ht="17.25" customHeight="1">
      <c r="B19" s="386"/>
      <c r="C19" s="330" t="s">
        <v>37</v>
      </c>
      <c r="D19" s="358">
        <f>'0517'!AA15</f>
        <v>0</v>
      </c>
      <c r="E19" s="359">
        <f>'0517'!AA26</f>
        <v>0</v>
      </c>
      <c r="F19" s="359">
        <f>'0517'!AA37</f>
        <v>0</v>
      </c>
      <c r="G19" s="360">
        <f>'0517'!AA48</f>
        <v>0</v>
      </c>
      <c r="H19" s="360">
        <f>'0517'!AA58</f>
        <v>0</v>
      </c>
      <c r="I19" s="359">
        <f>'0517'!AA69</f>
        <v>20</v>
      </c>
      <c r="J19" s="359">
        <f>'0517'!AB79</f>
        <v>0</v>
      </c>
    </row>
    <row r="20" spans="2:10" ht="17.25" customHeight="1">
      <c r="B20" s="385" t="s">
        <v>103</v>
      </c>
      <c r="C20" s="330" t="s">
        <v>36</v>
      </c>
      <c r="D20" s="358">
        <f>'0517'!AD15</f>
        <v>0</v>
      </c>
      <c r="E20" s="359">
        <f>'0517'!AD26</f>
        <v>0</v>
      </c>
      <c r="F20" s="359">
        <f>'0517'!AD37</f>
        <v>0</v>
      </c>
      <c r="G20" s="360">
        <f>'0517'!AD48</f>
        <v>0</v>
      </c>
      <c r="H20" s="360">
        <f>'0517'!AD58</f>
        <v>0</v>
      </c>
      <c r="I20" s="359">
        <f>'0517'!AD69</f>
        <v>0</v>
      </c>
      <c r="J20" s="359">
        <f>'0517'!AD79</f>
        <v>0</v>
      </c>
    </row>
    <row r="21" spans="2:10" ht="17.25" customHeight="1">
      <c r="B21" s="386"/>
      <c r="C21" s="330" t="s">
        <v>85</v>
      </c>
      <c r="D21" s="358">
        <f>'0517'!AE15</f>
        <v>0</v>
      </c>
      <c r="E21" s="359">
        <f>'0517'!AE26</f>
        <v>0</v>
      </c>
      <c r="F21" s="359">
        <f>'0517'!AE37</f>
        <v>0</v>
      </c>
      <c r="G21" s="360">
        <f>'0517'!AE48</f>
        <v>0</v>
      </c>
      <c r="H21" s="360">
        <f>'0517'!AE58</f>
        <v>0</v>
      </c>
      <c r="I21" s="359">
        <f>'0517'!AE69</f>
        <v>0</v>
      </c>
      <c r="J21" s="359">
        <f>'0517'!AE79</f>
        <v>0</v>
      </c>
    </row>
    <row r="22" spans="2:10" ht="17.25" customHeight="1">
      <c r="B22" s="377" t="s">
        <v>104</v>
      </c>
      <c r="C22" s="378"/>
      <c r="D22" s="23">
        <f>VALUE('0517'!M15)</f>
        <v>15</v>
      </c>
      <c r="E22" s="23">
        <f>VALUE('0517'!M26)</f>
        <v>14</v>
      </c>
      <c r="F22" s="23">
        <f>VALUE('0517'!M37)</f>
        <v>16</v>
      </c>
      <c r="G22" s="23">
        <f>VALUE('0517'!M48)</f>
        <v>16.2</v>
      </c>
      <c r="H22" s="23">
        <f>VALUE('0517'!M58)</f>
        <v>16.75</v>
      </c>
      <c r="I22" s="23">
        <f>VALUE('0517'!M69)</f>
        <v>13</v>
      </c>
      <c r="J22" s="23">
        <f>'0517'!M79</f>
        <v>0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85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A9A9-DB35-4398-8CA4-C908ADAB0A77}">
  <sheetPr>
    <tabColor theme="9" tint="0.79998168889431442"/>
  </sheetPr>
  <dimension ref="A1:AJ92"/>
  <sheetViews>
    <sheetView zoomScale="69" zoomScaleNormal="69" workbookViewId="0">
      <pane xSplit="5" ySplit="4" topLeftCell="F29" activePane="bottomRight" state="frozen"/>
      <selection activeCell="U61" sqref="U61"/>
      <selection pane="topRight" activeCell="U61" sqref="U61"/>
      <selection pane="bottomLeft" activeCell="U61" sqref="U61"/>
      <selection pane="bottomRight" activeCell="U61" sqref="U6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8" width="8.7109375" style="34" customWidth="1"/>
    <col min="109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62415</v>
      </c>
      <c r="F1" s="30" t="s">
        <v>2</v>
      </c>
      <c r="G1" s="31">
        <f>SUM(H5:H79)</f>
        <v>3053487.3259999994</v>
      </c>
      <c r="H1" s="32" t="s">
        <v>3</v>
      </c>
      <c r="I1" s="33">
        <f>M15+M26+M48+M58+M69+M79+M37</f>
        <v>90.95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205</v>
      </c>
      <c r="B2" s="422"/>
      <c r="C2" s="28"/>
      <c r="D2" s="28" t="s">
        <v>14</v>
      </c>
      <c r="E2" s="35">
        <f>AVERAGE(O15,O26,O37,O48,O58,O69,O79)</f>
        <v>111.44173512808875</v>
      </c>
      <c r="F2" s="36" t="s">
        <v>15</v>
      </c>
      <c r="G2" s="37">
        <f>G1/E1</f>
        <v>48.922331586958251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1</v>
      </c>
      <c r="AA2" s="339">
        <f>AA15+AA26+AA37+AA48+AA58+AA69+AA79</f>
        <v>20</v>
      </c>
      <c r="AB2" s="460"/>
      <c r="AC2" s="460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2012</v>
      </c>
      <c r="H5" s="43">
        <f>F5*G5</f>
        <v>114422.43999999999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2155.7142857142812</v>
      </c>
      <c r="O5" s="47">
        <f>N5/M5</f>
        <v>143.71428571428541</v>
      </c>
      <c r="P5" s="49">
        <f>M5-J5</f>
        <v>0</v>
      </c>
      <c r="Q5" s="50">
        <f>O5-L5</f>
        <v>-6.2857142857145902</v>
      </c>
      <c r="R5" s="51">
        <f>O5/L5</f>
        <v>0.95809523809523611</v>
      </c>
      <c r="S5" s="416">
        <f>R15</f>
        <v>0.92904576360458613</v>
      </c>
      <c r="T5" s="319">
        <v>0.29166666666666702</v>
      </c>
      <c r="U5" s="320">
        <v>0.33055555555555599</v>
      </c>
      <c r="V5" s="53"/>
      <c r="W5" s="54">
        <f t="shared" ref="W5:W14" si="0">(U5-T5)*24*60</f>
        <v>56.000000000000121</v>
      </c>
      <c r="X5" s="55"/>
      <c r="Y5" s="290"/>
      <c r="Z5" s="169"/>
      <c r="AA5" s="169"/>
      <c r="AB5" s="468"/>
      <c r="AC5" s="468"/>
      <c r="AD5" s="135"/>
      <c r="AE5" s="135"/>
      <c r="AF5" s="229">
        <f t="shared" ref="AF5:AF11" si="1">N5-K5</f>
        <v>-94.285714285718768</v>
      </c>
      <c r="AG5" s="52">
        <f t="shared" ref="AG5:AG11" si="2">N5/K5</f>
        <v>0.95809523809523611</v>
      </c>
      <c r="AH5" s="461">
        <f>AG15</f>
        <v>0.92904576360458624</v>
      </c>
    </row>
    <row r="6" spans="1:34" ht="15" customHeight="1">
      <c r="A6" s="428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4208</v>
      </c>
      <c r="H6" s="63">
        <f>F6*G6</f>
        <v>244779.36000000002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2157.9487179487182</v>
      </c>
      <c r="O6" s="67">
        <f>N6/M6</f>
        <v>143.86324786324789</v>
      </c>
      <c r="P6" s="69">
        <f>M6-J6</f>
        <v>0</v>
      </c>
      <c r="Q6" s="70">
        <f>O6-L6</f>
        <v>-6.1367521367521078</v>
      </c>
      <c r="R6" s="71">
        <f>O6/L6</f>
        <v>0.95908831908831926</v>
      </c>
      <c r="S6" s="417"/>
      <c r="T6" s="16">
        <v>0.33680555555555602</v>
      </c>
      <c r="U6" s="16">
        <v>0.41805555555555601</v>
      </c>
      <c r="V6" s="30">
        <f>(T6-U5)*24*60</f>
        <v>9.000000000000048</v>
      </c>
      <c r="W6" s="73">
        <f t="shared" si="0"/>
        <v>116.99999999999999</v>
      </c>
      <c r="X6" s="22"/>
      <c r="Y6" s="84"/>
      <c r="Z6" s="90"/>
      <c r="AA6" s="90"/>
      <c r="AB6" s="465"/>
      <c r="AC6" s="465"/>
      <c r="AD6" s="149"/>
      <c r="AE6" s="149"/>
      <c r="AF6" s="307">
        <f t="shared" si="1"/>
        <v>-92.05128205128176</v>
      </c>
      <c r="AG6" s="72">
        <f t="shared" si="2"/>
        <v>0.95908831908831926</v>
      </c>
      <c r="AH6" s="462"/>
    </row>
    <row r="7" spans="1:34" ht="15" customHeight="1">
      <c r="A7" s="428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2746</v>
      </c>
      <c r="H7" s="78">
        <f>F7*G7</f>
        <v>134938.44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2112.3076923076783</v>
      </c>
      <c r="O7" s="81">
        <f>N7/M7</f>
        <v>140.82051282051188</v>
      </c>
      <c r="P7" s="74">
        <f>M7-J7</f>
        <v>0</v>
      </c>
      <c r="Q7" s="83">
        <f>O7-L7</f>
        <v>-9.1794871794881203</v>
      </c>
      <c r="R7" s="72">
        <f>O7/L7</f>
        <v>0.93880341880341256</v>
      </c>
      <c r="S7" s="417"/>
      <c r="T7" s="18">
        <v>0.42361111111111099</v>
      </c>
      <c r="U7" s="18">
        <v>0.47777777777777802</v>
      </c>
      <c r="V7" s="30">
        <f>(T7-U6)*24*60</f>
        <v>7.9999999999991722</v>
      </c>
      <c r="W7" s="73">
        <f t="shared" si="0"/>
        <v>78.000000000000526</v>
      </c>
      <c r="X7" s="22">
        <v>0.49305555555555602</v>
      </c>
      <c r="Y7" s="84">
        <v>0.53472222222222199</v>
      </c>
      <c r="Z7" s="90"/>
      <c r="AA7" s="90"/>
      <c r="AB7" s="466"/>
      <c r="AC7" s="466"/>
      <c r="AD7" s="92"/>
      <c r="AE7" s="92"/>
      <c r="AF7" s="307">
        <f t="shared" si="1"/>
        <v>-137.69230769232172</v>
      </c>
      <c r="AG7" s="72">
        <f t="shared" si="2"/>
        <v>0.93880341880341256</v>
      </c>
      <c r="AH7" s="462"/>
    </row>
    <row r="8" spans="1:34" ht="15" customHeight="1">
      <c r="A8" s="428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4387</v>
      </c>
      <c r="H8" s="78">
        <f>F8*G8</f>
        <v>215577.18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1935.4411764705976</v>
      </c>
      <c r="O8" s="81">
        <f>N8/M8</f>
        <v>129.02941176470651</v>
      </c>
      <c r="P8" s="74">
        <f>M8-J8</f>
        <v>0</v>
      </c>
      <c r="Q8" s="83">
        <f>O8-L8</f>
        <v>-20.970588235293491</v>
      </c>
      <c r="R8" s="72">
        <f>O8/L8</f>
        <v>0.86019607843137669</v>
      </c>
      <c r="S8" s="417"/>
      <c r="T8" s="16">
        <v>0.54166666666666696</v>
      </c>
      <c r="U8" s="16">
        <v>0.63611111111111096</v>
      </c>
      <c r="V8" s="30">
        <f>(T8-U7)*24*60</f>
        <v>92.000000000000071</v>
      </c>
      <c r="W8" s="73">
        <f t="shared" si="0"/>
        <v>135.99999999999935</v>
      </c>
      <c r="X8" s="22"/>
      <c r="Y8" s="84"/>
      <c r="Z8" s="90"/>
      <c r="AA8" s="90"/>
      <c r="AB8" s="465"/>
      <c r="AC8" s="465"/>
      <c r="AD8" s="149"/>
      <c r="AE8" s="149"/>
      <c r="AF8" s="307">
        <f t="shared" si="1"/>
        <v>-314.55882352940239</v>
      </c>
      <c r="AG8" s="72">
        <f t="shared" si="2"/>
        <v>0.86019607843137669</v>
      </c>
      <c r="AH8" s="462"/>
    </row>
    <row r="9" spans="1:34" ht="15" customHeight="1">
      <c r="A9" s="42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8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5"/>
      <c r="AC9" s="465"/>
      <c r="AD9" s="149"/>
      <c r="AE9" s="149"/>
      <c r="AF9" s="307">
        <f t="shared" si="1"/>
        <v>0</v>
      </c>
      <c r="AG9" s="72" t="e">
        <f t="shared" si="2"/>
        <v>#DIV/0!</v>
      </c>
      <c r="AH9" s="463"/>
    </row>
    <row r="10" spans="1:34" ht="15" customHeight="1">
      <c r="A10" s="42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8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6"/>
      <c r="AC10" s="466"/>
      <c r="AD10" s="92"/>
      <c r="AE10" s="92"/>
      <c r="AF10" s="307">
        <f t="shared" si="1"/>
        <v>0</v>
      </c>
      <c r="AG10" s="72" t="e">
        <f t="shared" si="2"/>
        <v>#DIV/0!</v>
      </c>
      <c r="AH10" s="463"/>
    </row>
    <row r="11" spans="1:34" ht="15" customHeight="1">
      <c r="A11" s="42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5"/>
      <c r="AC11" s="465"/>
      <c r="AD11" s="149"/>
      <c r="AE11" s="149"/>
      <c r="AF11" s="307">
        <f t="shared" si="1"/>
        <v>0</v>
      </c>
      <c r="AG11" s="72" t="e">
        <f t="shared" si="2"/>
        <v>#DIV/0!</v>
      </c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2090.3529681103191</v>
      </c>
      <c r="O15" s="117">
        <f t="shared" si="3"/>
        <v>139.35686454068792</v>
      </c>
      <c r="P15" s="121">
        <f>M15-J15</f>
        <v>0</v>
      </c>
      <c r="Q15" s="122">
        <f>O15-L15</f>
        <v>-10.643135459312077</v>
      </c>
      <c r="R15" s="123">
        <f>O15/L15</f>
        <v>0.92904576360458613</v>
      </c>
      <c r="S15" s="42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7"/>
      <c r="AC15" s="467"/>
      <c r="AD15" s="323">
        <f>SUM(AD5:AD14)</f>
        <v>0</v>
      </c>
      <c r="AE15" s="323">
        <f>SUM(AE5:AE14)</f>
        <v>0</v>
      </c>
      <c r="AF15" s="309">
        <f>N15-K15</f>
        <v>-159.64703188968087</v>
      </c>
      <c r="AG15" s="124">
        <f>N15/K15</f>
        <v>0.92904576360458624</v>
      </c>
      <c r="AH15" s="464"/>
    </row>
    <row r="16" spans="1:34" ht="15" customHeight="1">
      <c r="A16" s="47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4175</v>
      </c>
      <c r="H16" s="134">
        <f>F16*G16</f>
        <v>211547.25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2236.6071428571649</v>
      </c>
      <c r="O16" s="141">
        <f>N16/M16</f>
        <v>159.75765306122608</v>
      </c>
      <c r="P16" s="142">
        <f>M16-J16</f>
        <v>0</v>
      </c>
      <c r="Q16" s="143">
        <f>O16-L16</f>
        <v>-0.95663265305964273</v>
      </c>
      <c r="R16" s="144">
        <f>O16/L16</f>
        <v>0.99404761904762884</v>
      </c>
      <c r="S16" s="472">
        <f>R26</f>
        <v>0.9398678740345332</v>
      </c>
      <c r="T16" s="145">
        <v>0.29166666666666702</v>
      </c>
      <c r="U16" s="145">
        <v>0.36944444444444402</v>
      </c>
      <c r="V16" s="135"/>
      <c r="W16" s="146">
        <f t="shared" ref="W16:W78" si="4">(U16-T16)*24*60</f>
        <v>111.99999999999888</v>
      </c>
      <c r="X16" s="141"/>
      <c r="Y16" s="296"/>
      <c r="Z16" s="169"/>
      <c r="AA16" s="169"/>
      <c r="AB16" s="468"/>
      <c r="AC16" s="468"/>
      <c r="AD16" s="135"/>
      <c r="AE16" s="135"/>
      <c r="AF16" s="229">
        <f>N16-K16</f>
        <v>-13.392857142835055</v>
      </c>
      <c r="AG16" s="52">
        <f>N16/K16</f>
        <v>0.99404761904762884</v>
      </c>
      <c r="AH16" s="461">
        <f>AG26</f>
        <v>0.93631441065786747</v>
      </c>
    </row>
    <row r="17" spans="1:34" ht="15" customHeight="1">
      <c r="A17" s="479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1736</v>
      </c>
      <c r="H17" s="78">
        <f>F17*G17</f>
        <v>98274.959999999992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2042.3529411764523</v>
      </c>
      <c r="O17" s="96">
        <f>N17/M17</f>
        <v>136.15686274509682</v>
      </c>
      <c r="P17" s="97">
        <f>M17-J17</f>
        <v>0</v>
      </c>
      <c r="Q17" s="98">
        <f>O17-L17</f>
        <v>-13.843137254903183</v>
      </c>
      <c r="R17" s="99">
        <f>O17/L17</f>
        <v>0.90771241830064542</v>
      </c>
      <c r="S17" s="473"/>
      <c r="T17" s="19">
        <v>0.37708333333333299</v>
      </c>
      <c r="U17" s="19">
        <v>0.41249999999999998</v>
      </c>
      <c r="V17" s="30">
        <f>(T17-U16)*24*60</f>
        <v>11.000000000000121</v>
      </c>
      <c r="W17" s="149">
        <f t="shared" si="4"/>
        <v>51.000000000000455</v>
      </c>
      <c r="X17" s="19"/>
      <c r="Y17" s="297"/>
      <c r="Z17" s="90"/>
      <c r="AA17" s="90"/>
      <c r="AB17" s="466"/>
      <c r="AC17" s="466"/>
      <c r="AD17" s="92"/>
      <c r="AE17" s="92"/>
      <c r="AF17" s="307">
        <f>N17-K17</f>
        <v>-207.6470588235477</v>
      </c>
      <c r="AG17" s="72">
        <f>N17/K17</f>
        <v>0.90771241830064542</v>
      </c>
      <c r="AH17" s="462"/>
    </row>
    <row r="18" spans="1:34" ht="15" customHeight="1">
      <c r="A18" s="479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3214</v>
      </c>
      <c r="H18" s="78">
        <f>F18*G18</f>
        <v>161953.46</v>
      </c>
      <c r="I18" s="30"/>
      <c r="J18" s="79">
        <v>13</v>
      </c>
      <c r="K18" s="80">
        <f>VLOOKUP(D18,產線配置圖!$A$3:$C$40,3,0)</f>
        <v>2250</v>
      </c>
      <c r="L18" s="81">
        <f>K18/J18</f>
        <v>173.07692307692307</v>
      </c>
      <c r="M18" s="148">
        <v>13</v>
      </c>
      <c r="N18" s="95">
        <f>G18/W18*60</f>
        <v>2191.3636363636401</v>
      </c>
      <c r="O18" s="96">
        <f>N18/M18</f>
        <v>168.56643356643386</v>
      </c>
      <c r="P18" s="97">
        <f>M18-J18</f>
        <v>0</v>
      </c>
      <c r="Q18" s="98">
        <f>O18-L18</f>
        <v>-4.510489510489208</v>
      </c>
      <c r="R18" s="99">
        <f>O18/L18</f>
        <v>0.97393939393939566</v>
      </c>
      <c r="S18" s="473"/>
      <c r="T18" s="19">
        <v>0.41805555555555601</v>
      </c>
      <c r="U18" s="19">
        <v>0.47916666666666702</v>
      </c>
      <c r="V18" s="30">
        <f>(T18-U17)*24*60</f>
        <v>8.000000000000691</v>
      </c>
      <c r="W18" s="149">
        <f t="shared" si="4"/>
        <v>87.999999999999844</v>
      </c>
      <c r="X18" s="22">
        <v>0.49305555555555602</v>
      </c>
      <c r="Y18" s="84">
        <v>0.53472222222222199</v>
      </c>
      <c r="Z18" s="90"/>
      <c r="AA18" s="90"/>
      <c r="AB18" s="466"/>
      <c r="AC18" s="466"/>
      <c r="AD18" s="92"/>
      <c r="AE18" s="92"/>
      <c r="AF18" s="307">
        <f>N18-K18</f>
        <v>-58.636363636359874</v>
      </c>
      <c r="AG18" s="72">
        <f>N18/K18</f>
        <v>0.97393939393939566</v>
      </c>
      <c r="AH18" s="462"/>
    </row>
    <row r="19" spans="1:34" ht="15" customHeight="1">
      <c r="A19" s="479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2316</v>
      </c>
      <c r="H19" s="78">
        <f t="shared" ref="H19:H20" si="5">F19*G19</f>
        <v>116703.24</v>
      </c>
      <c r="I19" s="30"/>
      <c r="J19" s="79">
        <v>13</v>
      </c>
      <c r="K19" s="80">
        <f>VLOOKUP(D19,產線配置圖!$A$3:$C$40,3,0)</f>
        <v>2250</v>
      </c>
      <c r="L19" s="81">
        <f t="shared" ref="L19:L20" si="6">K19/J19</f>
        <v>173.07692307692307</v>
      </c>
      <c r="M19" s="148">
        <v>13</v>
      </c>
      <c r="N19" s="95">
        <f t="shared" ref="N19:N20" si="7">G19/W19*60</f>
        <v>2241.2903225806704</v>
      </c>
      <c r="O19" s="96">
        <f t="shared" ref="O19:O20" si="8">N19/M19</f>
        <v>172.40694789082079</v>
      </c>
      <c r="P19" s="97">
        <f t="shared" ref="P19:P20" si="9">M19-J19</f>
        <v>0</v>
      </c>
      <c r="Q19" s="98">
        <f t="shared" ref="Q19:Q20" si="10">O19-L19</f>
        <v>-0.66997518610227758</v>
      </c>
      <c r="R19" s="99">
        <f t="shared" ref="R19:R20" si="11">O19/L19</f>
        <v>0.9961290322580757</v>
      </c>
      <c r="S19" s="473"/>
      <c r="T19" s="19">
        <v>0.54166666666666696</v>
      </c>
      <c r="U19" s="19">
        <v>0.58472222222222203</v>
      </c>
      <c r="V19" s="30">
        <f>(T19-U18)*24*60</f>
        <v>89.999999999999915</v>
      </c>
      <c r="W19" s="149">
        <f t="shared" si="4"/>
        <v>61.999999999999304</v>
      </c>
      <c r="X19" s="22"/>
      <c r="Y19" s="84"/>
      <c r="Z19" s="90"/>
      <c r="AA19" s="90"/>
      <c r="AB19" s="465"/>
      <c r="AC19" s="465"/>
      <c r="AD19" s="149"/>
      <c r="AE19" s="149"/>
      <c r="AF19" s="307">
        <f>N19-K19</f>
        <v>-8.7096774193296369</v>
      </c>
      <c r="AG19" s="72">
        <f>N19/K19</f>
        <v>0.9961290322580757</v>
      </c>
      <c r="AH19" s="463"/>
    </row>
    <row r="20" spans="1:34" ht="15" customHeight="1">
      <c r="A20" s="479"/>
      <c r="B20" s="75" t="s">
        <v>81</v>
      </c>
      <c r="C20" s="76"/>
      <c r="D20" s="59" t="s">
        <v>113</v>
      </c>
      <c r="E20" s="77"/>
      <c r="F20" s="75">
        <f>VLOOKUP(D20,廠價表!$C$1:$E$43,3,0)</f>
        <v>56.87</v>
      </c>
      <c r="G20" s="147">
        <v>1579</v>
      </c>
      <c r="H20" s="78">
        <f t="shared" si="5"/>
        <v>89797.73</v>
      </c>
      <c r="I20" s="30"/>
      <c r="J20" s="79">
        <f>VLOOKUP(D20,產線配置圖!$A$3:$C$40,2,0)</f>
        <v>15</v>
      </c>
      <c r="K20" s="80">
        <f>VLOOKUP(D20,產線配置圖!$A$3:$C$40,3,0)</f>
        <v>2250</v>
      </c>
      <c r="L20" s="81">
        <f t="shared" si="6"/>
        <v>150</v>
      </c>
      <c r="M20" s="148">
        <v>15</v>
      </c>
      <c r="N20" s="95">
        <f t="shared" si="7"/>
        <v>1821.9230769230835</v>
      </c>
      <c r="O20" s="96">
        <f t="shared" si="8"/>
        <v>121.46153846153889</v>
      </c>
      <c r="P20" s="97">
        <f t="shared" si="9"/>
        <v>0</v>
      </c>
      <c r="Q20" s="98">
        <f t="shared" si="10"/>
        <v>-28.538461538461107</v>
      </c>
      <c r="R20" s="99">
        <f t="shared" si="11"/>
        <v>0.80974358974359262</v>
      </c>
      <c r="S20" s="473"/>
      <c r="T20" s="19">
        <v>0.59166666666666701</v>
      </c>
      <c r="U20" s="19">
        <v>0.62777777777777799</v>
      </c>
      <c r="V20" s="30">
        <f>(T20-U19)*24*60</f>
        <v>10.000000000000764</v>
      </c>
      <c r="W20" s="149">
        <f t="shared" si="4"/>
        <v>51.999999999999815</v>
      </c>
      <c r="X20" s="19"/>
      <c r="Y20" s="297"/>
      <c r="Z20" s="90"/>
      <c r="AA20" s="90"/>
      <c r="AB20" s="466"/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3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6"/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50"/>
      <c r="U22" s="150"/>
      <c r="V22" s="92"/>
      <c r="W22" s="149"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4"/>
        <v>0</v>
      </c>
      <c r="X23" s="92"/>
      <c r="Y23" s="298"/>
      <c r="Z23" s="90"/>
      <c r="AA23" s="90"/>
      <c r="AB23" s="466"/>
      <c r="AC23" s="46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>
        <f t="shared" ref="J26:O26" si="12">AVERAGE(J16:J25)</f>
        <v>14</v>
      </c>
      <c r="K26" s="155">
        <f t="shared" si="12"/>
        <v>2250</v>
      </c>
      <c r="L26" s="158">
        <f t="shared" si="12"/>
        <v>161.37362637362637</v>
      </c>
      <c r="M26" s="155">
        <f t="shared" si="12"/>
        <v>14</v>
      </c>
      <c r="N26" s="155">
        <f t="shared" si="12"/>
        <v>2106.7074239802018</v>
      </c>
      <c r="O26" s="158">
        <f t="shared" si="12"/>
        <v>151.6698871450233</v>
      </c>
      <c r="P26" s="159">
        <f>M26-J26</f>
        <v>0</v>
      </c>
      <c r="Q26" s="160">
        <f>O26-L26</f>
        <v>-9.7037392286030695</v>
      </c>
      <c r="R26" s="161">
        <f>O26/L26</f>
        <v>0.9398678740345332</v>
      </c>
      <c r="S26" s="474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7"/>
      <c r="AC26" s="467"/>
      <c r="AD26" s="323">
        <f>SUM(AD16:AD25)</f>
        <v>0</v>
      </c>
      <c r="AE26" s="323">
        <f>SUM(AE16:AE25)</f>
        <v>0</v>
      </c>
      <c r="AF26" s="309">
        <f t="shared" ref="AF26:AF31" si="13">N26-K26</f>
        <v>-143.29257601979816</v>
      </c>
      <c r="AG26" s="124">
        <f t="shared" ref="AG26:AG31" si="14">N26/K26</f>
        <v>0.93631441065786747</v>
      </c>
      <c r="AH26" s="464"/>
    </row>
    <row r="27" spans="1:34" ht="15" customHeight="1">
      <c r="A27" s="469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2837</v>
      </c>
      <c r="H27" s="134">
        <f>F27*G27</f>
        <v>162304.76999999999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1418.4999999999879</v>
      </c>
      <c r="O27" s="141">
        <f>N27/M27</f>
        <v>83.441176470587521</v>
      </c>
      <c r="P27" s="142">
        <f>M27-J27</f>
        <v>0</v>
      </c>
      <c r="Q27" s="143">
        <f>O27-L27</f>
        <v>-8.6176470588242466</v>
      </c>
      <c r="R27" s="144">
        <f>O27/L27</f>
        <v>0.9063897763578197</v>
      </c>
      <c r="S27" s="472">
        <f>R37</f>
        <v>0.85699734467517241</v>
      </c>
      <c r="T27" s="171">
        <v>0.33333333333333298</v>
      </c>
      <c r="U27" s="171">
        <v>0.41666666666666702</v>
      </c>
      <c r="V27" s="135"/>
      <c r="W27" s="146">
        <f t="shared" si="4"/>
        <v>120.00000000000101</v>
      </c>
      <c r="X27" s="135"/>
      <c r="Y27" s="300" t="s">
        <v>46</v>
      </c>
      <c r="Z27" s="169"/>
      <c r="AA27" s="169"/>
      <c r="AB27" s="468"/>
      <c r="AC27" s="468"/>
      <c r="AD27" s="135"/>
      <c r="AE27" s="135"/>
      <c r="AF27" s="310">
        <f t="shared" si="13"/>
        <v>-146.50000000001205</v>
      </c>
      <c r="AG27" s="172">
        <f t="shared" si="14"/>
        <v>0.90638977635781981</v>
      </c>
      <c r="AH27" s="461">
        <f>AG37</f>
        <v>0.85230074769327968</v>
      </c>
    </row>
    <row r="28" spans="1:34" ht="15" customHeight="1">
      <c r="A28" s="470"/>
      <c r="B28" s="75" t="s">
        <v>81</v>
      </c>
      <c r="C28" s="173"/>
      <c r="D28" s="59" t="s">
        <v>119</v>
      </c>
      <c r="E28" s="104"/>
      <c r="F28" s="75">
        <f>VLOOKUP(D28,廠價表!$C$1:$E$43,3,0)</f>
        <v>50.67</v>
      </c>
      <c r="G28" s="90">
        <v>720</v>
      </c>
      <c r="H28" s="91">
        <f>F28*G28</f>
        <v>36482.400000000001</v>
      </c>
      <c r="I28" s="92"/>
      <c r="J28" s="79">
        <f>VLOOKUP(D28,產線配置圖!$A$3:$C$40,2,0)</f>
        <v>13</v>
      </c>
      <c r="K28" s="80">
        <f>VLOOKUP(D28,產線配置圖!$A$3:$C$40,3,0)</f>
        <v>1440</v>
      </c>
      <c r="L28" s="93">
        <f>K28/J28</f>
        <v>110.76923076923077</v>
      </c>
      <c r="M28" s="94">
        <v>13</v>
      </c>
      <c r="N28" s="95">
        <f>G28/W28*60</f>
        <v>1079.9999999999909</v>
      </c>
      <c r="O28" s="96">
        <f>N28/M28</f>
        <v>83.076923076922384</v>
      </c>
      <c r="P28" s="97">
        <f>M28-J28</f>
        <v>0</v>
      </c>
      <c r="Q28" s="98">
        <f>O28-L28</f>
        <v>-27.69230769230839</v>
      </c>
      <c r="R28" s="99">
        <f>O28/L28</f>
        <v>0.74999999999999367</v>
      </c>
      <c r="S28" s="473"/>
      <c r="T28" s="19">
        <v>0.42361111111111099</v>
      </c>
      <c r="U28" s="19">
        <v>0.45138888888888901</v>
      </c>
      <c r="V28" s="92">
        <f>(T28-U27)*24*60</f>
        <v>9.999999999999325</v>
      </c>
      <c r="W28" s="149">
        <f t="shared" si="4"/>
        <v>40.000000000000341</v>
      </c>
      <c r="X28" s="174">
        <v>0.45833333333333298</v>
      </c>
      <c r="Y28" s="301">
        <v>0.51041666666666696</v>
      </c>
      <c r="Z28" s="335"/>
      <c r="AA28" s="335"/>
      <c r="AB28" s="466" t="s">
        <v>125</v>
      </c>
      <c r="AC28" s="466"/>
      <c r="AD28" s="92"/>
      <c r="AE28" s="92"/>
      <c r="AF28" s="311">
        <f t="shared" si="13"/>
        <v>-360.00000000000909</v>
      </c>
      <c r="AG28" s="99">
        <f t="shared" si="14"/>
        <v>0.74999999999999367</v>
      </c>
      <c r="AH28" s="482"/>
    </row>
    <row r="29" spans="1:34" ht="15" customHeight="1">
      <c r="A29" s="470"/>
      <c r="B29" s="75" t="s">
        <v>81</v>
      </c>
      <c r="C29" s="173"/>
      <c r="D29" s="59" t="s">
        <v>121</v>
      </c>
      <c r="E29" s="104"/>
      <c r="F29" s="75">
        <f>VLOOKUP(D29,廠價表!$C$1:$E$43,3,0)</f>
        <v>50.289000000000001</v>
      </c>
      <c r="G29" s="90">
        <v>2389</v>
      </c>
      <c r="H29" s="91">
        <f>F29*G29</f>
        <v>120140.421</v>
      </c>
      <c r="I29" s="92"/>
      <c r="J29" s="79">
        <v>18</v>
      </c>
      <c r="K29" s="80">
        <f>VLOOKUP(D29,產線配置圖!$A$3:$C$40,3,0)</f>
        <v>1565</v>
      </c>
      <c r="L29" s="93">
        <f>K29/J29</f>
        <v>86.944444444444443</v>
      </c>
      <c r="M29" s="94">
        <v>18</v>
      </c>
      <c r="N29" s="95">
        <f>G29/W29*60</f>
        <v>1493.1249999999927</v>
      </c>
      <c r="O29" s="96">
        <f>N29/M29</f>
        <v>82.951388888888488</v>
      </c>
      <c r="P29" s="97">
        <f>M29-J29</f>
        <v>0</v>
      </c>
      <c r="Q29" s="98">
        <f>O29-L29</f>
        <v>-3.993055555555955</v>
      </c>
      <c r="R29" s="99">
        <f>O29/L29</f>
        <v>0.95407348242811041</v>
      </c>
      <c r="S29" s="473"/>
      <c r="T29" s="19">
        <v>0.51736111111111105</v>
      </c>
      <c r="U29" s="19">
        <v>0.58402777777777803</v>
      </c>
      <c r="V29" s="92">
        <f>(T29-U28)*24*60</f>
        <v>94.999999999999744</v>
      </c>
      <c r="W29" s="149">
        <f t="shared" si="4"/>
        <v>96.000000000000455</v>
      </c>
      <c r="X29" s="22"/>
      <c r="Y29" s="84"/>
      <c r="Z29" s="90"/>
      <c r="AA29" s="90"/>
      <c r="AB29" s="466"/>
      <c r="AC29" s="466"/>
      <c r="AD29" s="92"/>
      <c r="AE29" s="92"/>
      <c r="AF29" s="312">
        <f t="shared" si="13"/>
        <v>-71.875000000007276</v>
      </c>
      <c r="AG29" s="99">
        <f t="shared" si="14"/>
        <v>0.95407348242811041</v>
      </c>
      <c r="AH29" s="482"/>
    </row>
    <row r="30" spans="1:34" ht="15" customHeight="1">
      <c r="A30" s="470"/>
      <c r="B30" s="75" t="s">
        <v>81</v>
      </c>
      <c r="C30" s="88"/>
      <c r="D30" s="59" t="s">
        <v>128</v>
      </c>
      <c r="E30" s="89"/>
      <c r="F30" s="75">
        <f>VLOOKUP(D30,廠價表!$C$1:$E$43,3,0)</f>
        <v>57.21</v>
      </c>
      <c r="G30" s="90">
        <v>1457</v>
      </c>
      <c r="H30" s="91">
        <f>F30*G30</f>
        <v>83354.97</v>
      </c>
      <c r="I30" s="92"/>
      <c r="J30" s="79">
        <f>VLOOKUP(D30,產線配置圖!$A$3:$C$40,2,0)</f>
        <v>17</v>
      </c>
      <c r="K30" s="80">
        <f>VLOOKUP(D30,產線配置圖!$A$3:$C$40,3,0)</f>
        <v>1716</v>
      </c>
      <c r="L30" s="93">
        <f>K30/J30</f>
        <v>100.94117647058823</v>
      </c>
      <c r="M30" s="94">
        <v>16</v>
      </c>
      <c r="N30" s="95">
        <f>G30/W30*60</f>
        <v>1365.9374999999843</v>
      </c>
      <c r="O30" s="96">
        <f>N30/M30</f>
        <v>85.371093749999019</v>
      </c>
      <c r="P30" s="97">
        <f>M30-J30</f>
        <v>-1</v>
      </c>
      <c r="Q30" s="98">
        <f>O30-L30</f>
        <v>-15.570082720589212</v>
      </c>
      <c r="R30" s="99">
        <f>O30/L30</f>
        <v>0.84575092875873159</v>
      </c>
      <c r="S30" s="473"/>
      <c r="T30" s="19">
        <v>0.59097222222222201</v>
      </c>
      <c r="U30" s="19">
        <v>0.63541666666666696</v>
      </c>
      <c r="V30" s="92">
        <f>(T30-U29)*24*60</f>
        <v>9.999999999999325</v>
      </c>
      <c r="W30" s="149">
        <f t="shared" si="4"/>
        <v>64.000000000000739</v>
      </c>
      <c r="X30" s="174"/>
      <c r="Y30" s="301"/>
      <c r="Z30" s="335"/>
      <c r="AA30" s="335"/>
      <c r="AB30" s="466"/>
      <c r="AC30" s="466"/>
      <c r="AD30" s="92"/>
      <c r="AE30" s="92"/>
      <c r="AF30" s="312">
        <f t="shared" si="13"/>
        <v>-350.06250000001569</v>
      </c>
      <c r="AG30" s="99">
        <f t="shared" si="14"/>
        <v>0.79600087412586495</v>
      </c>
      <c r="AH30" s="483"/>
    </row>
    <row r="31" spans="1:34" ht="15" customHeight="1">
      <c r="A31" s="47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3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6"/>
      <c r="AC31" s="466"/>
      <c r="AD31" s="92"/>
      <c r="AE31" s="92"/>
      <c r="AF31" s="312">
        <f t="shared" si="13"/>
        <v>0</v>
      </c>
      <c r="AG31" s="99" t="e">
        <f t="shared" si="14"/>
        <v>#DIV/0!</v>
      </c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6"/>
      <c r="AC32" s="466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6"/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>
        <f t="shared" ref="J37:O37" si="15">AVERAGE(J27:J36)</f>
        <v>16.25</v>
      </c>
      <c r="K37" s="155">
        <f t="shared" si="15"/>
        <v>1571.5</v>
      </c>
      <c r="L37" s="158">
        <f t="shared" si="15"/>
        <v>97.678418803418808</v>
      </c>
      <c r="M37" s="155">
        <f t="shared" si="15"/>
        <v>16</v>
      </c>
      <c r="N37" s="155">
        <f t="shared" si="15"/>
        <v>1339.3906249999891</v>
      </c>
      <c r="O37" s="158">
        <f t="shared" si="15"/>
        <v>83.71014554659935</v>
      </c>
      <c r="P37" s="159">
        <f>M37-J37</f>
        <v>-0.25</v>
      </c>
      <c r="Q37" s="160">
        <f>N37-K37</f>
        <v>-232.10937500001091</v>
      </c>
      <c r="R37" s="161">
        <f>O37/L37</f>
        <v>0.85699734467517241</v>
      </c>
      <c r="S37" s="474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7"/>
      <c r="AC37" s="477"/>
      <c r="AD37" s="324">
        <f>SUM(AD27:AD36)</f>
        <v>0</v>
      </c>
      <c r="AE37" s="324">
        <f>SUM(AE27:AE36)</f>
        <v>0</v>
      </c>
      <c r="AF37" s="309">
        <f>N37-K37</f>
        <v>-232.10937500001091</v>
      </c>
      <c r="AG37" s="124">
        <f>N37/K37</f>
        <v>0.85230074769327968</v>
      </c>
      <c r="AH37" s="464"/>
    </row>
    <row r="38" spans="1:34" ht="15" customHeight="1">
      <c r="A38" s="491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1890</v>
      </c>
      <c r="H38" s="134">
        <f>F38*G38</f>
        <v>94329.9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1553.4246575342299</v>
      </c>
      <c r="O38" s="141">
        <f>N38/M38</f>
        <v>103.56164383561533</v>
      </c>
      <c r="P38" s="142">
        <f>M38-J38</f>
        <v>0</v>
      </c>
      <c r="Q38" s="143">
        <f>O38-L38</f>
        <v>-10.705022831051338</v>
      </c>
      <c r="R38" s="144">
        <f>O38/L38</f>
        <v>0.90631543613432319</v>
      </c>
      <c r="S38" s="494">
        <f>R48</f>
        <v>0.92709798539247334</v>
      </c>
      <c r="T38" s="191">
        <v>0.32986111111111099</v>
      </c>
      <c r="U38" s="191">
        <v>0.38055555555555598</v>
      </c>
      <c r="V38" s="192"/>
      <c r="W38" s="193">
        <f t="shared" si="4"/>
        <v>73.000000000000782</v>
      </c>
      <c r="X38" s="194"/>
      <c r="Y38" s="302"/>
      <c r="Z38" s="336"/>
      <c r="AA38" s="336"/>
      <c r="AB38" s="496"/>
      <c r="AC38" s="496"/>
      <c r="AD38" s="192"/>
      <c r="AE38" s="192"/>
      <c r="AF38" s="313">
        <f>N38-K38</f>
        <v>-160.57534246577006</v>
      </c>
      <c r="AG38" s="195">
        <f>N38/K38</f>
        <v>0.90631543613432319</v>
      </c>
      <c r="AH38" s="484">
        <f>AG48</f>
        <v>0.92747746813450271</v>
      </c>
    </row>
    <row r="39" spans="1:34" ht="15" customHeight="1">
      <c r="A39" s="492"/>
      <c r="B39" s="75" t="s">
        <v>81</v>
      </c>
      <c r="C39" s="197"/>
      <c r="D39" s="198" t="s">
        <v>128</v>
      </c>
      <c r="E39" s="176"/>
      <c r="F39" s="75">
        <f>VLOOKUP(D39,廠價表!$C$1:$E$43,3,0)</f>
        <v>57.21</v>
      </c>
      <c r="G39" s="199">
        <v>1065</v>
      </c>
      <c r="H39" s="91">
        <f>F39*G39</f>
        <v>60928.65</v>
      </c>
      <c r="I39" s="200"/>
      <c r="J39" s="148">
        <f>VLOOKUP(D39,產線配置圖!$A$3:$C$40,2,0)</f>
        <v>17</v>
      </c>
      <c r="K39" s="95">
        <f>VLOOKUP(D39,產線配置圖!$A$3:$C$40,3,0)</f>
        <v>1716</v>
      </c>
      <c r="L39" s="96">
        <f>K39/J39</f>
        <v>100.94117647058823</v>
      </c>
      <c r="M39" s="201">
        <v>17</v>
      </c>
      <c r="N39" s="202">
        <f>G39/W39*60</f>
        <v>1597.5000000000471</v>
      </c>
      <c r="O39" s="203">
        <f>N39/M39</f>
        <v>93.970588235296887</v>
      </c>
      <c r="P39" s="97">
        <f>M39-J39</f>
        <v>0</v>
      </c>
      <c r="Q39" s="98">
        <f>O39-L39</f>
        <v>-6.9705882352913449</v>
      </c>
      <c r="R39" s="99">
        <f>O39/L39</f>
        <v>0.93094405594408336</v>
      </c>
      <c r="S39" s="495"/>
      <c r="T39" s="20">
        <v>0.38541666666666702</v>
      </c>
      <c r="U39" s="20">
        <v>0.41319444444444398</v>
      </c>
      <c r="V39" s="92">
        <f>(T39-U38)*24*60</f>
        <v>6.9999999999998952</v>
      </c>
      <c r="W39" s="205">
        <f t="shared" si="4"/>
        <v>39.99999999999882</v>
      </c>
      <c r="X39" s="22"/>
      <c r="Y39" s="84"/>
      <c r="Z39" s="90"/>
      <c r="AA39" s="90"/>
      <c r="AB39" s="487"/>
      <c r="AC39" s="487"/>
      <c r="AD39" s="200"/>
      <c r="AE39" s="200"/>
      <c r="AF39" s="314">
        <f>N39-K39</f>
        <v>-118.49999999995293</v>
      </c>
      <c r="AG39" s="206">
        <f>N39/K39</f>
        <v>0.93094405594408336</v>
      </c>
      <c r="AH39" s="485"/>
    </row>
    <row r="40" spans="1:34" ht="15" customHeight="1">
      <c r="A40" s="492"/>
      <c r="B40" s="75" t="s">
        <v>123</v>
      </c>
      <c r="C40" s="207"/>
      <c r="D40" s="198" t="s">
        <v>124</v>
      </c>
      <c r="E40" s="178"/>
      <c r="F40" s="75">
        <f>VLOOKUP(D40,廠價表!$C$1:$E$43,3,0)</f>
        <v>44.3</v>
      </c>
      <c r="G40" s="199">
        <v>2612</v>
      </c>
      <c r="H40" s="91">
        <f>F40*G40</f>
        <v>115711.59999999999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1492.5714285714214</v>
      </c>
      <c r="O40" s="203">
        <f>N40/M40</f>
        <v>87.798319327730667</v>
      </c>
      <c r="P40" s="97">
        <f>M40-J40</f>
        <v>0</v>
      </c>
      <c r="Q40" s="98">
        <f>O40-L40</f>
        <v>-8.4369747899163912</v>
      </c>
      <c r="R40" s="99">
        <f>O40/L40</f>
        <v>0.91232972406566093</v>
      </c>
      <c r="S40" s="417"/>
      <c r="T40" s="20">
        <v>0.42013888888888901</v>
      </c>
      <c r="U40" s="20">
        <v>0.49305555555555602</v>
      </c>
      <c r="V40" s="92">
        <f>(T40-U39)*24*60</f>
        <v>10.000000000000844</v>
      </c>
      <c r="W40" s="205">
        <f t="shared" si="4"/>
        <v>105.00000000000051</v>
      </c>
      <c r="X40" s="208">
        <v>0.5</v>
      </c>
      <c r="Y40" s="209">
        <v>0.54166666666666696</v>
      </c>
      <c r="Z40" s="337"/>
      <c r="AA40" s="337"/>
      <c r="AB40" s="466"/>
      <c r="AC40" s="466"/>
      <c r="AD40" s="92"/>
      <c r="AE40" s="92"/>
      <c r="AF40" s="314">
        <f>N40-K40</f>
        <v>-143.42857142857861</v>
      </c>
      <c r="AG40" s="206">
        <f>N40/K40</f>
        <v>0.91232972406566104</v>
      </c>
      <c r="AH40" s="485"/>
    </row>
    <row r="41" spans="1:34" ht="15" customHeight="1">
      <c r="A41" s="492"/>
      <c r="B41" s="75" t="s">
        <v>123</v>
      </c>
      <c r="C41" s="207"/>
      <c r="D41" s="198" t="s">
        <v>124</v>
      </c>
      <c r="E41" s="178"/>
      <c r="F41" s="75">
        <f>VLOOKUP(D41,廠價表!$C$1:$E$43,3,0)</f>
        <v>44.3</v>
      </c>
      <c r="G41" s="199">
        <v>3253</v>
      </c>
      <c r="H41" s="91">
        <f t="shared" ref="H41:H42" si="16">F41*G41</f>
        <v>144107.9</v>
      </c>
      <c r="I41" s="200"/>
      <c r="J41" s="148">
        <f>VLOOKUP(D41,產線配置圖!$A$3:$C$40,2,0)</f>
        <v>17</v>
      </c>
      <c r="K41" s="95">
        <f>VLOOKUP(D41,產線配置圖!$A$3:$C$40,3,0)</f>
        <v>1636</v>
      </c>
      <c r="L41" s="96">
        <f t="shared" ref="L41:L42" si="17">K41/J41</f>
        <v>96.235294117647058</v>
      </c>
      <c r="M41" s="201">
        <v>17</v>
      </c>
      <c r="N41" s="202">
        <f t="shared" ref="N41:N42" si="18">G41/W41*60</f>
        <v>1561.4399999999937</v>
      </c>
      <c r="O41" s="203">
        <f t="shared" ref="O41:O42" si="19">N41/M41</f>
        <v>91.849411764705508</v>
      </c>
      <c r="P41" s="97">
        <f t="shared" ref="P41:P42" si="20">M41-J41</f>
        <v>0</v>
      </c>
      <c r="Q41" s="98">
        <f t="shared" ref="Q41:Q42" si="21">O41-L41</f>
        <v>-4.3858823529415503</v>
      </c>
      <c r="R41" s="99">
        <f t="shared" ref="R41:R42" si="22">O41/L41</f>
        <v>0.95442542787285678</v>
      </c>
      <c r="S41" s="417"/>
      <c r="T41" s="20">
        <v>0.54861111111111105</v>
      </c>
      <c r="U41" s="210">
        <v>0.63541666666666696</v>
      </c>
      <c r="V41" s="92">
        <f t="shared" ref="V41:V42" si="23">(T41-U40)*24*60</f>
        <v>79.999999999999233</v>
      </c>
      <c r="W41" s="205">
        <f t="shared" si="4"/>
        <v>125.00000000000051</v>
      </c>
      <c r="X41" s="208"/>
      <c r="Y41" s="209"/>
      <c r="Z41" s="337"/>
      <c r="AA41" s="337"/>
      <c r="AB41" s="466"/>
      <c r="AC41" s="466"/>
      <c r="AD41" s="92"/>
      <c r="AE41" s="92"/>
      <c r="AF41" s="314">
        <f>N41-K41</f>
        <v>-74.560000000006312</v>
      </c>
      <c r="AG41" s="206">
        <f>N41/K41</f>
        <v>0.95442542787285678</v>
      </c>
      <c r="AH41" s="485"/>
    </row>
    <row r="42" spans="1:34" ht="15" customHeight="1">
      <c r="A42" s="492"/>
      <c r="B42" s="75" t="s">
        <v>123</v>
      </c>
      <c r="C42" s="86"/>
      <c r="D42" s="198" t="s">
        <v>126</v>
      </c>
      <c r="E42" s="87"/>
      <c r="F42" s="75">
        <f>VLOOKUP(D42,廠價表!$C$1:$E$43,3,0)</f>
        <v>49.91</v>
      </c>
      <c r="G42" s="199">
        <v>1494</v>
      </c>
      <c r="H42" s="91">
        <f t="shared" si="16"/>
        <v>74565.539999999994</v>
      </c>
      <c r="I42" s="200"/>
      <c r="J42" s="148">
        <f>VLOOKUP(D42,產線配置圖!$A$3:$C$40,2,0)</f>
        <v>15</v>
      </c>
      <c r="K42" s="95">
        <f>VLOOKUP(D42,產線配置圖!$A$3:$C$40,3,0)</f>
        <v>1714</v>
      </c>
      <c r="L42" s="96">
        <f t="shared" si="17"/>
        <v>114.26666666666667</v>
      </c>
      <c r="M42" s="201">
        <v>15</v>
      </c>
      <c r="N42" s="202">
        <f t="shared" si="18"/>
        <v>1600.7142857142821</v>
      </c>
      <c r="O42" s="203">
        <f t="shared" si="19"/>
        <v>106.71428571428548</v>
      </c>
      <c r="P42" s="97">
        <f t="shared" si="20"/>
        <v>0</v>
      </c>
      <c r="Q42" s="98">
        <f t="shared" si="21"/>
        <v>-7.5523809523811849</v>
      </c>
      <c r="R42" s="99">
        <f t="shared" si="22"/>
        <v>0.93390565094182165</v>
      </c>
      <c r="S42" s="417"/>
      <c r="T42" s="210">
        <v>0.64166666666666705</v>
      </c>
      <c r="U42" s="210">
        <v>0.68055555555555602</v>
      </c>
      <c r="V42" s="92">
        <f t="shared" si="23"/>
        <v>9.0000000000001279</v>
      </c>
      <c r="W42" s="205">
        <f t="shared" si="4"/>
        <v>56.000000000000121</v>
      </c>
      <c r="X42" s="208"/>
      <c r="Y42" s="211"/>
      <c r="Z42" s="338"/>
      <c r="AA42" s="338"/>
      <c r="AB42" s="466"/>
      <c r="AC42" s="466"/>
      <c r="AD42" s="92"/>
      <c r="AE42" s="92"/>
      <c r="AF42" s="314"/>
      <c r="AG42" s="206"/>
      <c r="AH42" s="485"/>
    </row>
    <row r="43" spans="1:34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>
        <f t="shared" ref="J48:O48" si="24">AVERAGE(J38:J47)</f>
        <v>16.2</v>
      </c>
      <c r="K48" s="155">
        <f t="shared" si="24"/>
        <v>1683.2</v>
      </c>
      <c r="L48" s="158">
        <f t="shared" si="24"/>
        <v>104.38901960784315</v>
      </c>
      <c r="M48" s="155">
        <f t="shared" si="24"/>
        <v>16.2</v>
      </c>
      <c r="N48" s="155">
        <f t="shared" si="24"/>
        <v>1561.1300743639949</v>
      </c>
      <c r="O48" s="158">
        <f t="shared" si="24"/>
        <v>96.77884977552678</v>
      </c>
      <c r="P48" s="221">
        <f>M48-J48</f>
        <v>0</v>
      </c>
      <c r="Q48" s="222">
        <f>N48-K48</f>
        <v>-122.06992563600511</v>
      </c>
      <c r="R48" s="223">
        <f>O48/L48</f>
        <v>0.92709798539247334</v>
      </c>
      <c r="S48" s="420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7"/>
      <c r="AC48" s="467"/>
      <c r="AD48" s="323">
        <f>SUM(AD38:AD47)</f>
        <v>0</v>
      </c>
      <c r="AE48" s="323">
        <f>SUM(AE38:AE47)</f>
        <v>0</v>
      </c>
      <c r="AF48" s="315">
        <f t="shared" ref="AF48:AF53" si="25">N48-K48</f>
        <v>-122.06992563600511</v>
      </c>
      <c r="AG48" s="162">
        <f t="shared" ref="AG48:AG53" si="26">N48/K48</f>
        <v>0.92747746813450271</v>
      </c>
      <c r="AH48" s="486"/>
    </row>
    <row r="49" spans="1:34" ht="15" customHeight="1">
      <c r="A49" s="488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2324</v>
      </c>
      <c r="H49" s="134">
        <f>F49*G49</f>
        <v>115084.48000000001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1602.758620689674</v>
      </c>
      <c r="O49" s="141">
        <f>N49/M49</f>
        <v>94.279918864098477</v>
      </c>
      <c r="P49" s="229">
        <f>M49-J49</f>
        <v>0</v>
      </c>
      <c r="Q49" s="230">
        <f>O49-L49</f>
        <v>-11.602434077077987</v>
      </c>
      <c r="R49" s="52">
        <f>O49/L49</f>
        <v>0.89042145593870792</v>
      </c>
      <c r="S49" s="416">
        <f>R58</f>
        <v>0.89964649586488754</v>
      </c>
      <c r="T49" s="191">
        <v>0.29027777777777802</v>
      </c>
      <c r="U49" s="191">
        <v>0.35069444444444398</v>
      </c>
      <c r="V49" s="55"/>
      <c r="W49" s="193">
        <f t="shared" si="4"/>
        <v>86.999999999998977</v>
      </c>
      <c r="X49" s="55"/>
      <c r="Y49" s="290"/>
      <c r="Z49" s="169"/>
      <c r="AA49" s="169"/>
      <c r="AB49" s="468"/>
      <c r="AC49" s="468"/>
      <c r="AD49" s="135"/>
      <c r="AE49" s="135"/>
      <c r="AF49" s="229">
        <f t="shared" si="25"/>
        <v>-197.24137931032601</v>
      </c>
      <c r="AG49" s="52">
        <f t="shared" si="26"/>
        <v>0.89042145593870781</v>
      </c>
      <c r="AH49" s="461">
        <f>AG58</f>
        <v>0.90131660649741174</v>
      </c>
    </row>
    <row r="50" spans="1:34" ht="15" customHeight="1">
      <c r="A50" s="489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2865</v>
      </c>
      <c r="H50" s="231">
        <f>F50*G50</f>
        <v>143164.04999999999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1507.8947368420991</v>
      </c>
      <c r="O50" s="235">
        <f>N50/M50</f>
        <v>94.243421052631192</v>
      </c>
      <c r="P50" s="74">
        <f>M50-J50</f>
        <v>0</v>
      </c>
      <c r="Q50" s="83">
        <f>O50-L50</f>
        <v>-18.256578947368808</v>
      </c>
      <c r="R50" s="72">
        <f>O50/L50</f>
        <v>0.83771929824561064</v>
      </c>
      <c r="S50" s="417"/>
      <c r="T50" s="21">
        <v>0.35486111111111102</v>
      </c>
      <c r="U50" s="21">
        <v>0.43402777777777801</v>
      </c>
      <c r="V50" s="30">
        <f>(T50-U49)*24*60</f>
        <v>6.0000000000005382</v>
      </c>
      <c r="W50" s="236">
        <f t="shared" si="4"/>
        <v>114.00000000000047</v>
      </c>
      <c r="X50" s="22"/>
      <c r="Y50" s="84"/>
      <c r="Z50" s="90"/>
      <c r="AA50" s="90"/>
      <c r="AB50" s="466"/>
      <c r="AC50" s="466"/>
      <c r="AD50" s="92"/>
      <c r="AE50" s="92"/>
      <c r="AF50" s="307">
        <f t="shared" si="25"/>
        <v>-292.10526315790094</v>
      </c>
      <c r="AG50" s="72">
        <f t="shared" si="26"/>
        <v>0.83771929824561064</v>
      </c>
      <c r="AH50" s="462"/>
    </row>
    <row r="51" spans="1:34" ht="15" customHeight="1">
      <c r="A51" s="489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1775</v>
      </c>
      <c r="H51" s="231">
        <f>F51*G51</f>
        <v>89262.975000000006</v>
      </c>
      <c r="I51" s="232"/>
      <c r="J51" s="79">
        <v>18</v>
      </c>
      <c r="K51" s="80">
        <f>VLOOKUP(D51,產線配置圖!$A$3:$C$40,3,0)</f>
        <v>1565</v>
      </c>
      <c r="L51" s="81">
        <f>K51/J51</f>
        <v>86.944444444444443</v>
      </c>
      <c r="M51" s="233">
        <v>18</v>
      </c>
      <c r="N51" s="234">
        <f>G51/W51*60</f>
        <v>1521.4285714285752</v>
      </c>
      <c r="O51" s="235">
        <f>N51/M51</f>
        <v>84.523809523809732</v>
      </c>
      <c r="P51" s="74">
        <f>M51-J51</f>
        <v>0</v>
      </c>
      <c r="Q51" s="83">
        <f>O51-L51</f>
        <v>-2.4206349206347113</v>
      </c>
      <c r="R51" s="72">
        <f>O51/L51</f>
        <v>0.97215883158375416</v>
      </c>
      <c r="S51" s="417"/>
      <c r="T51" s="21">
        <v>0.4375</v>
      </c>
      <c r="U51" s="19">
        <v>0.48611111111111099</v>
      </c>
      <c r="V51" s="30">
        <f>(T51-U50)*24*60</f>
        <v>4.9999999999996625</v>
      </c>
      <c r="W51" s="236">
        <f t="shared" si="4"/>
        <v>69.999999999999829</v>
      </c>
      <c r="X51" s="22">
        <v>0.53125</v>
      </c>
      <c r="Y51" s="84">
        <v>0.54166666666666696</v>
      </c>
      <c r="Z51" s="90"/>
      <c r="AA51" s="90"/>
      <c r="AB51" s="466"/>
      <c r="AC51" s="466"/>
      <c r="AD51" s="92"/>
      <c r="AE51" s="92"/>
      <c r="AF51" s="307">
        <f t="shared" si="25"/>
        <v>-43.571428571424804</v>
      </c>
      <c r="AG51" s="72">
        <f t="shared" si="26"/>
        <v>0.97215883158375416</v>
      </c>
      <c r="AH51" s="462"/>
    </row>
    <row r="52" spans="1:34" ht="15" customHeight="1">
      <c r="A52" s="489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3730</v>
      </c>
      <c r="H52" s="231">
        <f>F52*G52</f>
        <v>186388.1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108">
        <v>16</v>
      </c>
      <c r="N52" s="234">
        <f>G52/W52*60</f>
        <v>1645.5882352941255</v>
      </c>
      <c r="O52" s="235">
        <f>N52/M52</f>
        <v>102.84926470588285</v>
      </c>
      <c r="P52" s="74">
        <f>M52-J52</f>
        <v>0</v>
      </c>
      <c r="Q52" s="83">
        <f>O52-L52</f>
        <v>-9.6507352941171547</v>
      </c>
      <c r="R52" s="72">
        <f>O52/L52</f>
        <v>0.91421568627451422</v>
      </c>
      <c r="S52" s="417"/>
      <c r="T52" s="21">
        <v>0.54374999999999996</v>
      </c>
      <c r="U52" s="21">
        <v>0.63819444444444395</v>
      </c>
      <c r="V52" s="30">
        <f>(T52-U51)*24*60</f>
        <v>83.000000000000099</v>
      </c>
      <c r="W52" s="236">
        <f t="shared" si="4"/>
        <v>135.99999999999935</v>
      </c>
      <c r="X52" s="22"/>
      <c r="Y52" s="84"/>
      <c r="Z52" s="90"/>
      <c r="AA52" s="90"/>
      <c r="AB52" s="466"/>
      <c r="AC52" s="466"/>
      <c r="AD52" s="92"/>
      <c r="AE52" s="92"/>
      <c r="AF52" s="307">
        <f t="shared" si="25"/>
        <v>-154.41176470587448</v>
      </c>
      <c r="AG52" s="72">
        <f t="shared" si="26"/>
        <v>0.91421568627451422</v>
      </c>
      <c r="AH52" s="462"/>
    </row>
    <row r="53" spans="1:34" ht="15" customHeight="1">
      <c r="A53" s="48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7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6"/>
      <c r="AC53" s="466"/>
      <c r="AD53" s="92"/>
      <c r="AE53" s="92"/>
      <c r="AF53" s="307">
        <f t="shared" si="25"/>
        <v>0</v>
      </c>
      <c r="AG53" s="72" t="e">
        <f t="shared" si="26"/>
        <v>#DIV/0!</v>
      </c>
      <c r="AH53" s="462"/>
    </row>
    <row r="54" spans="1:34" ht="15" customHeight="1">
      <c r="A54" s="48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7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>
      <c r="A58" s="490"/>
      <c r="B58" s="239"/>
      <c r="C58" s="153" t="s">
        <v>51</v>
      </c>
      <c r="D58" s="437" t="s">
        <v>42</v>
      </c>
      <c r="E58" s="437"/>
      <c r="F58" s="116"/>
      <c r="G58" s="240"/>
      <c r="H58" s="118"/>
      <c r="I58" s="117"/>
      <c r="J58" s="120">
        <f t="shared" ref="J58:O58" si="27">AVERAGE(J49:J57)</f>
        <v>16.75</v>
      </c>
      <c r="K58" s="120">
        <f t="shared" si="27"/>
        <v>1741.25</v>
      </c>
      <c r="L58" s="117">
        <f t="shared" si="27"/>
        <v>104.45669934640523</v>
      </c>
      <c r="M58" s="120">
        <f t="shared" si="27"/>
        <v>16.75</v>
      </c>
      <c r="N58" s="120">
        <f t="shared" si="27"/>
        <v>1569.4175410636183</v>
      </c>
      <c r="O58" s="117">
        <f t="shared" si="27"/>
        <v>93.974103536605554</v>
      </c>
      <c r="P58" s="121">
        <f>M58-J58</f>
        <v>0</v>
      </c>
      <c r="Q58" s="122">
        <f>N58-K58</f>
        <v>-171.83245893638173</v>
      </c>
      <c r="R58" s="123">
        <f>O58/L58</f>
        <v>0.89964649586488754</v>
      </c>
      <c r="S58" s="42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7"/>
      <c r="AC58" s="467"/>
      <c r="AD58" s="323">
        <f>SUM(AD49:AD57)</f>
        <v>0</v>
      </c>
      <c r="AE58" s="323">
        <f>SUM(AE49:AE57)</f>
        <v>0</v>
      </c>
      <c r="AF58" s="309">
        <f>N58-K58</f>
        <v>-171.83245893638173</v>
      </c>
      <c r="AG58" s="124">
        <f>N58/K58</f>
        <v>0.90131660649741174</v>
      </c>
      <c r="AH58" s="464"/>
    </row>
    <row r="59" spans="1:34" ht="15" customHeight="1">
      <c r="A59" s="502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4506</v>
      </c>
      <c r="H59" s="243">
        <f>F59*G59</f>
        <v>121616.93999999999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1544.9142857142826</v>
      </c>
      <c r="O59" s="138">
        <f>N59/M59</f>
        <v>102.99428571428551</v>
      </c>
      <c r="P59" s="56">
        <f>M59-J59</f>
        <v>0</v>
      </c>
      <c r="Q59" s="230">
        <f>O59-L59</f>
        <v>-1.3390476190478182</v>
      </c>
      <c r="R59" s="52">
        <f>O59/L59</f>
        <v>0.98716567777270459</v>
      </c>
      <c r="S59" s="416">
        <f>R69</f>
        <v>0.89570030583614302</v>
      </c>
      <c r="T59" s="245">
        <v>0.28819444444444398</v>
      </c>
      <c r="U59" s="245">
        <v>0.40972222222222199</v>
      </c>
      <c r="V59" s="55"/>
      <c r="W59" s="54">
        <f t="shared" si="4"/>
        <v>175.00000000000034</v>
      </c>
      <c r="X59" s="55"/>
      <c r="Y59" s="290"/>
      <c r="Z59" s="169"/>
      <c r="AA59" s="169"/>
      <c r="AB59" s="468"/>
      <c r="AC59" s="468"/>
      <c r="AD59" s="135"/>
      <c r="AE59" s="135"/>
      <c r="AF59" s="310">
        <f>N59-K59</f>
        <v>-20.085714285717359</v>
      </c>
      <c r="AG59" s="246">
        <f>N59/K59</f>
        <v>0.98716567777270459</v>
      </c>
      <c r="AH59" s="461">
        <f>AG69</f>
        <v>0.88025449129323474</v>
      </c>
    </row>
    <row r="60" spans="1:34" ht="15" customHeight="1">
      <c r="A60" s="503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1798</v>
      </c>
      <c r="H60" s="78">
        <f>F60*G60</f>
        <v>50811.48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1541.1428571428607</v>
      </c>
      <c r="O60" s="81">
        <f>N60/M60</f>
        <v>128.42857142857173</v>
      </c>
      <c r="P60" s="74">
        <f>M60-J60</f>
        <v>0</v>
      </c>
      <c r="Q60" s="83">
        <f>O60-L60</f>
        <v>-1.9880952380949282</v>
      </c>
      <c r="R60" s="72">
        <f>O60/L60</f>
        <v>0.98475581926061395</v>
      </c>
      <c r="S60" s="506"/>
      <c r="T60" s="22">
        <v>0.41666666666666702</v>
      </c>
      <c r="U60" s="22">
        <v>0.46527777777777801</v>
      </c>
      <c r="V60" s="30">
        <f>(T60-U59)*24*60</f>
        <v>10.000000000000844</v>
      </c>
      <c r="W60" s="248">
        <f t="shared" si="4"/>
        <v>69.999999999999829</v>
      </c>
      <c r="X60" s="272">
        <v>0.47569444444444398</v>
      </c>
      <c r="Y60" s="288">
        <v>0.51736111111111105</v>
      </c>
      <c r="Z60" s="90"/>
      <c r="AA60" s="90"/>
      <c r="AB60" s="507"/>
      <c r="AC60" s="508"/>
      <c r="AD60" s="92"/>
      <c r="AE60" s="92"/>
      <c r="AF60" s="316">
        <f>N60-K60</f>
        <v>-23.857142857139252</v>
      </c>
      <c r="AG60" s="249">
        <f>N60/K60</f>
        <v>0.98475581926061395</v>
      </c>
      <c r="AH60" s="497"/>
    </row>
    <row r="61" spans="1:34" ht="15" customHeight="1">
      <c r="A61" s="504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1327</v>
      </c>
      <c r="H61" s="254">
        <f>F61*G61</f>
        <v>67239.09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12</v>
      </c>
      <c r="N61" s="107">
        <f>G61/W61*60</f>
        <v>936.7058823529394</v>
      </c>
      <c r="O61" s="238">
        <f>N61/M61</f>
        <v>78.058823529411612</v>
      </c>
      <c r="P61" s="111">
        <f>M61-J61</f>
        <v>-1</v>
      </c>
      <c r="Q61" s="255">
        <f>O61-L61</f>
        <v>-32.710407239819162</v>
      </c>
      <c r="R61" s="85">
        <f>O61/L61</f>
        <v>0.70469771241829926</v>
      </c>
      <c r="S61" s="417"/>
      <c r="T61" s="22">
        <v>0.51736111111111105</v>
      </c>
      <c r="U61" s="22">
        <v>0.57638888888888895</v>
      </c>
      <c r="V61" s="30">
        <f>(T61-U60)*24*60</f>
        <v>74.999999999999574</v>
      </c>
      <c r="W61" s="256">
        <f t="shared" si="4"/>
        <v>85.000000000000171</v>
      </c>
      <c r="X61" s="22"/>
      <c r="Y61" s="84"/>
      <c r="Z61" s="90">
        <v>1</v>
      </c>
      <c r="AA61" s="90">
        <v>20</v>
      </c>
      <c r="AB61" s="466" t="s">
        <v>206</v>
      </c>
      <c r="AC61" s="466"/>
      <c r="AD61" s="92"/>
      <c r="AE61" s="92"/>
      <c r="AF61" s="317">
        <f>N61-K61</f>
        <v>-503.2941176470606</v>
      </c>
      <c r="AG61" s="247">
        <f>N61/K61</f>
        <v>0.65049019607843017</v>
      </c>
      <c r="AH61" s="462"/>
    </row>
    <row r="62" spans="1:34" ht="15" customHeight="1">
      <c r="A62" s="504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7"/>
      <c r="T62" s="22"/>
      <c r="U62" s="22"/>
      <c r="V62" s="30"/>
      <c r="W62" s="248">
        <f t="shared" si="4"/>
        <v>0</v>
      </c>
      <c r="X62" s="22"/>
      <c r="Y62" s="84"/>
      <c r="Z62" s="90"/>
      <c r="AA62" s="90"/>
      <c r="AB62" s="466"/>
      <c r="AC62" s="466"/>
      <c r="AD62" s="92"/>
      <c r="AE62" s="92"/>
      <c r="AF62" s="317">
        <f>N62-K62</f>
        <v>0</v>
      </c>
      <c r="AG62" s="247" t="e">
        <f>N62/K62</f>
        <v>#DIV/0!</v>
      </c>
      <c r="AH62" s="462"/>
    </row>
    <row r="63" spans="1:34" ht="15" customHeight="1">
      <c r="A63" s="504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7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6"/>
      <c r="AC63" s="466"/>
      <c r="AD63" s="92"/>
      <c r="AE63" s="92"/>
      <c r="AF63" s="317"/>
      <c r="AG63" s="247"/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>
        <f t="shared" ref="J69:O69" si="28">AVERAGE(J59:J68)</f>
        <v>13.333333333333334</v>
      </c>
      <c r="K69" s="240">
        <f t="shared" si="28"/>
        <v>1523.3333333333333</v>
      </c>
      <c r="L69" s="268">
        <f t="shared" si="28"/>
        <v>115.17307692307692</v>
      </c>
      <c r="M69" s="240">
        <f t="shared" si="28"/>
        <v>13</v>
      </c>
      <c r="N69" s="240">
        <f t="shared" si="28"/>
        <v>1340.9210084033609</v>
      </c>
      <c r="O69" s="268">
        <f t="shared" si="28"/>
        <v>103.16056022408962</v>
      </c>
      <c r="P69" s="269">
        <f>M69-J69</f>
        <v>-0.33333333333333393</v>
      </c>
      <c r="Q69" s="222">
        <f>N69-K69</f>
        <v>-182.41232492997233</v>
      </c>
      <c r="R69" s="123">
        <f>O69/L69</f>
        <v>0.89570030583614302</v>
      </c>
      <c r="S69" s="420"/>
      <c r="T69" s="125"/>
      <c r="U69" s="125"/>
      <c r="V69" s="126"/>
      <c r="W69" s="242"/>
      <c r="X69" s="128"/>
      <c r="Y69" s="295"/>
      <c r="Z69" s="334">
        <f>SUM(Z59:Z68)</f>
        <v>1</v>
      </c>
      <c r="AA69" s="334">
        <f>SUM(AA59:AA68)</f>
        <v>20</v>
      </c>
      <c r="AB69" s="467"/>
      <c r="AC69" s="467"/>
      <c r="AD69" s="323">
        <f>SUM(AD59:AD68)</f>
        <v>0</v>
      </c>
      <c r="AE69" s="323">
        <f>SUM(AE59:AE68)</f>
        <v>0</v>
      </c>
      <c r="AF69" s="309">
        <f>N69-K69</f>
        <v>-182.41232492997233</v>
      </c>
      <c r="AG69" s="124">
        <f>N69/K69</f>
        <v>0.88025449129323474</v>
      </c>
      <c r="AH69" s="464"/>
    </row>
    <row r="70" spans="1:36" ht="15" customHeight="1">
      <c r="A70" s="498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6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68"/>
      <c r="AC70" s="468"/>
      <c r="AD70" s="135"/>
      <c r="AE70" s="135"/>
      <c r="AF70" s="310">
        <f>N70-K70</f>
        <v>0</v>
      </c>
      <c r="AG70" s="246" t="e">
        <f>N70/K70</f>
        <v>#DIV/0!</v>
      </c>
      <c r="AH70" s="461" t="e">
        <f>AG79</f>
        <v>#DIV/0!</v>
      </c>
    </row>
    <row r="71" spans="1:36" ht="15" customHeight="1">
      <c r="A71" s="499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7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7"/>
      <c r="AC71" s="487"/>
      <c r="AD71" s="200"/>
      <c r="AE71" s="200"/>
      <c r="AF71" s="311">
        <v>-300.31249999999704</v>
      </c>
      <c r="AG71" s="99">
        <v>0.80810702875399554</v>
      </c>
      <c r="AH71" s="482"/>
    </row>
    <row r="72" spans="1:36" ht="15" customHeight="1">
      <c r="A72" s="499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7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6"/>
      <c r="AC72" s="466"/>
      <c r="AD72" s="92"/>
      <c r="AE72" s="92"/>
      <c r="AF72" s="311">
        <v>-130.33333333333326</v>
      </c>
      <c r="AG72" s="99">
        <v>0.91671991480298198</v>
      </c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6"/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>
      <c r="A79" s="500"/>
      <c r="B79" s="239"/>
      <c r="C79" s="153"/>
      <c r="D79" s="437"/>
      <c r="E79" s="437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2:B2"/>
    <mergeCell ref="A3:A4"/>
    <mergeCell ref="B3:B4"/>
    <mergeCell ref="D3:E4"/>
    <mergeCell ref="F3:F4"/>
    <mergeCell ref="P3:P4"/>
    <mergeCell ref="Q3:Q4"/>
    <mergeCell ref="R3:R4"/>
    <mergeCell ref="T3:U3"/>
    <mergeCell ref="V3:V4"/>
    <mergeCell ref="W3:W4"/>
    <mergeCell ref="X3:Y3"/>
    <mergeCell ref="Z3:AA3"/>
    <mergeCell ref="AB13:AC13"/>
    <mergeCell ref="AD3:AE3"/>
    <mergeCell ref="AF3:AF4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184" priority="1" operator="greaterThan">
      <formula>0</formula>
    </cfRule>
  </conditionalFormatting>
  <conditionalFormatting sqref="Q5:Q79 AF5:AF79">
    <cfRule type="cellIs" dxfId="183" priority="4" operator="lessThan">
      <formula>0</formula>
    </cfRule>
  </conditionalFormatting>
  <conditionalFormatting sqref="R5:R79 AG5:AG79">
    <cfRule type="cellIs" dxfId="182" priority="2" operator="greaterThan">
      <formula>1</formula>
    </cfRule>
    <cfRule type="cellIs" dxfId="181" priority="3" operator="lessThan">
      <formula>0.8</formula>
    </cfRule>
  </conditionalFormatting>
  <conditionalFormatting sqref="S5:S10 S37:S62 AH59:AH62 S69:S76 AH69:AH76">
    <cfRule type="cellIs" dxfId="180" priority="7" operator="lessThan">
      <formula>0.8</formula>
    </cfRule>
  </conditionalFormatting>
  <conditionalFormatting sqref="S19:S25 AH19:AH25">
    <cfRule type="cellIs" dxfId="179" priority="6" operator="lessThan">
      <formula>0.8</formula>
    </cfRule>
  </conditionalFormatting>
  <conditionalFormatting sqref="S79">
    <cfRule type="cellIs" dxfId="178" priority="5" operator="lessThan">
      <formula>0.8</formula>
    </cfRule>
  </conditionalFormatting>
  <conditionalFormatting sqref="AH5:AH8 S15:S16 AH15:AH16 AH49 AH79">
    <cfRule type="cellIs" dxfId="177" priority="9" operator="lessThan">
      <formula>0.8</formula>
    </cfRule>
  </conditionalFormatting>
  <conditionalFormatting sqref="AH27 S27:S28">
    <cfRule type="cellIs" dxfId="176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4779AC4-719E-4CDA-B8A7-111C0A0DB1B3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D5EDB-95D2-401D-8021-7A279C2C893C}">
  <dimension ref="B1:O26"/>
  <sheetViews>
    <sheetView zoomScale="70" zoomScaleNormal="70" workbookViewId="0">
      <selection activeCell="O44" sqref="O4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46160</v>
      </c>
      <c r="E3" s="412"/>
      <c r="F3" s="3" t="s">
        <v>72</v>
      </c>
      <c r="G3" s="413">
        <f>'0518'!E1</f>
        <v>61187</v>
      </c>
      <c r="H3" s="413"/>
      <c r="I3" s="3" t="s">
        <v>2</v>
      </c>
      <c r="J3" s="414">
        <f>'0518'!G1</f>
        <v>2989829.1149999998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>
        <f>AVERAGE(D13:I13)</f>
        <v>120.46312305136479</v>
      </c>
      <c r="G6" s="410"/>
      <c r="H6" s="395">
        <f>AVERAGE(D13:H13)</f>
        <v>122.06311945650955</v>
      </c>
      <c r="I6" s="395"/>
      <c r="J6" s="395">
        <f>AVERAGE(I13)</f>
        <v>112.46314102564102</v>
      </c>
      <c r="K6" s="395"/>
      <c r="L6" s="396">
        <f>SUM(D18:J18)</f>
        <v>2</v>
      </c>
      <c r="M6" s="398">
        <f>SUM(D19:J19)</f>
        <v>37</v>
      </c>
      <c r="N6" s="399">
        <f>SUM(D20:J20)</f>
        <v>0</v>
      </c>
      <c r="O6" s="398">
        <f>SUM(D20:J20)</f>
        <v>0</v>
      </c>
    </row>
    <row r="7" spans="2:15" ht="39.6" customHeight="1">
      <c r="B7" s="406"/>
      <c r="C7" s="406"/>
      <c r="D7" s="401" t="s">
        <v>87</v>
      </c>
      <c r="E7" s="401"/>
      <c r="F7" s="402">
        <f>AVERAGE(D14:I14)</f>
        <v>116.63803228517953</v>
      </c>
      <c r="G7" s="402"/>
      <c r="H7" s="403">
        <f>AVERAGE(D14:H14)</f>
        <v>119.59244705967208</v>
      </c>
      <c r="I7" s="403"/>
      <c r="J7" s="403">
        <f>AVERAGE(I14)</f>
        <v>101.86595841271685</v>
      </c>
      <c r="K7" s="403"/>
      <c r="L7" s="397" t="e">
        <f t="shared" ref="L7:O8" si="0">AVERAGE(K14:L14)</f>
        <v>#DIV/0!</v>
      </c>
      <c r="M7" s="398" t="e">
        <f t="shared" si="0"/>
        <v>#DIV/0!</v>
      </c>
      <c r="N7" s="400" t="e">
        <f t="shared" si="0"/>
        <v>#DIV/0!</v>
      </c>
      <c r="O7" s="398" t="e">
        <f t="shared" si="0"/>
        <v>#DIV/0!</v>
      </c>
    </row>
    <row r="8" spans="2:15" ht="39.6" customHeight="1">
      <c r="B8" s="406"/>
      <c r="C8" s="406"/>
      <c r="D8" s="401" t="s">
        <v>27</v>
      </c>
      <c r="E8" s="401"/>
      <c r="F8" s="387">
        <f>F7/F6</f>
        <v>0.96824679064186092</v>
      </c>
      <c r="G8" s="387"/>
      <c r="H8" s="387">
        <f>H7/H6</f>
        <v>0.97975905901931537</v>
      </c>
      <c r="I8" s="387"/>
      <c r="J8" s="387">
        <f>J7/J6</f>
        <v>0.90577194878001788</v>
      </c>
      <c r="K8" s="387"/>
      <c r="L8" s="397" t="e">
        <f t="shared" si="0"/>
        <v>#DIV/0!</v>
      </c>
      <c r="M8" s="398" t="e">
        <f t="shared" si="0"/>
        <v>#DIV/0!</v>
      </c>
      <c r="N8" s="400" t="e">
        <f t="shared" si="0"/>
        <v>#DIV/0!</v>
      </c>
      <c r="O8" s="398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>
        <f>VALUE('0518'!L15)</f>
        <v>150</v>
      </c>
      <c r="E13" s="13">
        <f>VALUE('0518'!L26)</f>
        <v>158.90109890109889</v>
      </c>
      <c r="F13" s="13">
        <f>VALUE('0518'!L37)</f>
        <v>95.255818184223756</v>
      </c>
      <c r="G13" s="13">
        <f>VALUE('0518'!L48)</f>
        <v>105.25098039215686</v>
      </c>
      <c r="H13" s="13">
        <f>VALUE('0518'!L58)</f>
        <v>100.90769980506822</v>
      </c>
      <c r="I13" s="13">
        <f>VALUE('0518'!L69)</f>
        <v>112.46314102564102</v>
      </c>
      <c r="J13" s="13">
        <f>'0518'!L79</f>
        <v>0</v>
      </c>
    </row>
    <row r="14" spans="2:15" ht="39.950000000000003" customHeight="1">
      <c r="B14" s="381"/>
      <c r="C14" s="12" t="s">
        <v>100</v>
      </c>
      <c r="D14" s="13">
        <f>VALUE('0518'!O15)</f>
        <v>139.1486412334817</v>
      </c>
      <c r="E14" s="13">
        <f>VALUE('0518'!O26)</f>
        <v>147.37531175738587</v>
      </c>
      <c r="F14" s="13">
        <f>VALUE('0518'!O37)</f>
        <v>76.489887171203165</v>
      </c>
      <c r="G14" s="13">
        <f>VALUE('0518'!O48)</f>
        <v>95.847558722434798</v>
      </c>
      <c r="H14" s="13">
        <f>VALUE('0518'!O58)</f>
        <v>139.10083641385486</v>
      </c>
      <c r="I14" s="13">
        <f>VALUE('0518'!O69)</f>
        <v>101.86595841271685</v>
      </c>
      <c r="J14" s="13">
        <f>'0518'!O79</f>
        <v>0</v>
      </c>
    </row>
    <row r="15" spans="2:15" ht="39.950000000000003" customHeight="1">
      <c r="B15" s="382"/>
      <c r="C15" s="10" t="s">
        <v>26</v>
      </c>
      <c r="D15" s="14">
        <f t="shared" ref="D15:I15" si="1">D14/D13</f>
        <v>0.92765760822321131</v>
      </c>
      <c r="E15" s="14">
        <f t="shared" si="1"/>
        <v>0.92746565490471056</v>
      </c>
      <c r="F15" s="14">
        <f t="shared" si="1"/>
        <v>0.80299438532219125</v>
      </c>
      <c r="G15" s="14">
        <f t="shared" si="1"/>
        <v>0.91065715839714123</v>
      </c>
      <c r="H15" s="14">
        <f t="shared" si="1"/>
        <v>1.3784957608048494</v>
      </c>
      <c r="I15" s="14">
        <f t="shared" si="1"/>
        <v>0.90577194878001788</v>
      </c>
      <c r="J15" s="15">
        <f>'0518'!S70</f>
        <v>0</v>
      </c>
    </row>
    <row r="16" spans="2:15" ht="17.25" customHeight="1">
      <c r="B16" s="383" t="s">
        <v>101</v>
      </c>
      <c r="C16" s="10" t="s">
        <v>34</v>
      </c>
      <c r="D16" s="16">
        <f>'0518'!T5</f>
        <v>0.29166666666666702</v>
      </c>
      <c r="E16" s="16">
        <f>'0518'!T16</f>
        <v>0.29097222222222202</v>
      </c>
      <c r="F16" s="16">
        <f>'0518'!T27</f>
        <v>0.33333333333333298</v>
      </c>
      <c r="G16" s="16">
        <f>'0518'!T38</f>
        <v>0.33333333333333298</v>
      </c>
      <c r="H16" s="16">
        <f>'0518'!T49</f>
        <v>0.29027777777777802</v>
      </c>
      <c r="I16" s="16">
        <f>'0518'!T59</f>
        <v>0.29166666666666702</v>
      </c>
      <c r="J16" s="16">
        <f>'0518'!T70</f>
        <v>0</v>
      </c>
    </row>
    <row r="17" spans="2:10" ht="17.25" customHeight="1">
      <c r="B17" s="384"/>
      <c r="C17" s="10" t="s">
        <v>35</v>
      </c>
      <c r="D17" s="16">
        <v>0.63541666666666696</v>
      </c>
      <c r="E17" s="19">
        <v>0.64652777777777803</v>
      </c>
      <c r="F17" s="19">
        <v>0.67222222222222205</v>
      </c>
      <c r="G17" s="210">
        <v>0.65972222222222199</v>
      </c>
      <c r="H17" s="21">
        <v>0.67500000000000004</v>
      </c>
      <c r="I17" s="22">
        <v>0.65972222222222199</v>
      </c>
      <c r="J17" s="16">
        <f>'0518'!T71</f>
        <v>0</v>
      </c>
    </row>
    <row r="18" spans="2:10" ht="17.25" customHeight="1">
      <c r="B18" s="385" t="s">
        <v>102</v>
      </c>
      <c r="C18" s="330" t="s">
        <v>36</v>
      </c>
      <c r="D18" s="358">
        <f>'0518'!Z15</f>
        <v>1</v>
      </c>
      <c r="E18" s="359">
        <f>'0518'!Z26</f>
        <v>0</v>
      </c>
      <c r="F18" s="359">
        <f>'0518'!Z37</f>
        <v>0</v>
      </c>
      <c r="G18" s="360">
        <f>'0518'!Z48</f>
        <v>0</v>
      </c>
      <c r="H18" s="360">
        <f>'0518'!Z58</f>
        <v>1</v>
      </c>
      <c r="I18" s="359">
        <f>'0518'!Z69</f>
        <v>0</v>
      </c>
      <c r="J18" s="359">
        <f>'0518'!AA79</f>
        <v>0</v>
      </c>
    </row>
    <row r="19" spans="2:10" ht="17.25" customHeight="1">
      <c r="B19" s="386"/>
      <c r="C19" s="330" t="s">
        <v>37</v>
      </c>
      <c r="D19" s="358">
        <f>'0518'!AA15</f>
        <v>15</v>
      </c>
      <c r="E19" s="359">
        <f>'0518'!AA26</f>
        <v>0</v>
      </c>
      <c r="F19" s="359">
        <f>'0518'!AA37</f>
        <v>0</v>
      </c>
      <c r="G19" s="360">
        <f>'0518'!AA48</f>
        <v>0</v>
      </c>
      <c r="H19" s="360">
        <f>'0518'!AA58</f>
        <v>22</v>
      </c>
      <c r="I19" s="359">
        <f>'0518'!AA69</f>
        <v>0</v>
      </c>
      <c r="J19" s="359">
        <f>'0518'!AB79</f>
        <v>0</v>
      </c>
    </row>
    <row r="20" spans="2:10" ht="17.25" customHeight="1">
      <c r="B20" s="385" t="s">
        <v>103</v>
      </c>
      <c r="C20" s="330" t="s">
        <v>36</v>
      </c>
      <c r="D20" s="358">
        <f>'0518'!AD15</f>
        <v>0</v>
      </c>
      <c r="E20" s="359">
        <f>'0518'!AD26</f>
        <v>0</v>
      </c>
      <c r="F20" s="359">
        <f>'0518'!AD37</f>
        <v>0</v>
      </c>
      <c r="G20" s="360">
        <f>'0518'!AD48</f>
        <v>0</v>
      </c>
      <c r="H20" s="360">
        <f>'0518'!AD58</f>
        <v>0</v>
      </c>
      <c r="I20" s="359">
        <f>'0518'!AD69</f>
        <v>0</v>
      </c>
      <c r="J20" s="359">
        <f>'0518'!AD79</f>
        <v>0</v>
      </c>
    </row>
    <row r="21" spans="2:10" ht="17.25" customHeight="1">
      <c r="B21" s="386"/>
      <c r="C21" s="330" t="s">
        <v>85</v>
      </c>
      <c r="D21" s="358">
        <f>'0518'!AE15</f>
        <v>0</v>
      </c>
      <c r="E21" s="359">
        <f>'0518'!AE26</f>
        <v>0</v>
      </c>
      <c r="F21" s="359">
        <f>'0518'!AE37</f>
        <v>0</v>
      </c>
      <c r="G21" s="360">
        <f>'0518'!AE48</f>
        <v>0</v>
      </c>
      <c r="H21" s="360">
        <f>'0518'!AE58</f>
        <v>0</v>
      </c>
      <c r="I21" s="359">
        <f>'0518'!AE69</f>
        <v>0</v>
      </c>
      <c r="J21" s="359">
        <f>'0518'!AE79</f>
        <v>0</v>
      </c>
    </row>
    <row r="22" spans="2:10" ht="17.25" customHeight="1">
      <c r="B22" s="377" t="s">
        <v>104</v>
      </c>
      <c r="C22" s="378"/>
      <c r="D22" s="23">
        <f>VALUE('0518'!M15)</f>
        <v>15</v>
      </c>
      <c r="E22" s="23">
        <f>VALUE('0518'!M26)</f>
        <v>14</v>
      </c>
      <c r="F22" s="23">
        <f>VALUE('0518'!M37)</f>
        <v>16.25</v>
      </c>
      <c r="G22" s="23">
        <f>VALUE('0518'!M48)</f>
        <v>16</v>
      </c>
      <c r="H22" s="23">
        <f>VALUE('0518'!M58)</f>
        <v>14</v>
      </c>
      <c r="I22" s="23">
        <f>VALUE('0518'!M69)</f>
        <v>13.75</v>
      </c>
      <c r="J22" s="23">
        <f>'0518'!M79</f>
        <v>0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75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B5801-480B-454D-9A70-88B9C1A8930C}">
  <sheetPr>
    <tabColor theme="9" tint="0.79998168889431442"/>
  </sheetPr>
  <dimension ref="A1:AJ92"/>
  <sheetViews>
    <sheetView zoomScale="69" zoomScaleNormal="69" workbookViewId="0">
      <pane xSplit="5" ySplit="4" topLeftCell="F35" activePane="bottomRight" state="frozen"/>
      <selection activeCell="O44" sqref="O44"/>
      <selection pane="topRight" activeCell="O44" sqref="O44"/>
      <selection pane="bottomLeft" activeCell="O44" sqref="O44"/>
      <selection pane="bottomRight" activeCell="O44" sqref="O4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8" width="8.7109375" style="34" customWidth="1"/>
    <col min="109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61187</v>
      </c>
      <c r="F1" s="30" t="s">
        <v>2</v>
      </c>
      <c r="G1" s="31">
        <f>SUM(H5:H79)</f>
        <v>2989829.1149999998</v>
      </c>
      <c r="H1" s="32" t="s">
        <v>3</v>
      </c>
      <c r="I1" s="33">
        <f>M15+M26+M48+M58+M69+M79+M37</f>
        <v>89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207</v>
      </c>
      <c r="B2" s="422"/>
      <c r="C2" s="28"/>
      <c r="D2" s="28" t="s">
        <v>14</v>
      </c>
      <c r="E2" s="35">
        <f>AVERAGE(O15,O26,O37,O48,O58,O69,O79)</f>
        <v>116.63803228517953</v>
      </c>
      <c r="F2" s="36" t="s">
        <v>15</v>
      </c>
      <c r="G2" s="37">
        <f>G1/E1</f>
        <v>48.863796476375697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2</v>
      </c>
      <c r="AA2" s="339">
        <f>AA15+AA26+AA37+AA48+AA58+AA69+AA79</f>
        <v>37</v>
      </c>
      <c r="AB2" s="460"/>
      <c r="AC2" s="460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1983</v>
      </c>
      <c r="H5" s="43">
        <f>F5*G5</f>
        <v>112773.20999999999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2163.2727272727539</v>
      </c>
      <c r="O5" s="47">
        <f>N5/M5</f>
        <v>144.21818181818358</v>
      </c>
      <c r="P5" s="49">
        <f>M5-J5</f>
        <v>0</v>
      </c>
      <c r="Q5" s="50">
        <f>O5-L5</f>
        <v>-5.7818181818164192</v>
      </c>
      <c r="R5" s="51">
        <f>O5/L5</f>
        <v>0.96145454545455722</v>
      </c>
      <c r="S5" s="416">
        <f>R15</f>
        <v>0.92765760822321131</v>
      </c>
      <c r="T5" s="319">
        <v>0.29166666666666702</v>
      </c>
      <c r="U5" s="320">
        <v>0.32986111111111099</v>
      </c>
      <c r="V5" s="53"/>
      <c r="W5" s="54">
        <f t="shared" ref="W5:W14" si="0">(U5-T5)*24*60</f>
        <v>54.999999999999325</v>
      </c>
      <c r="X5" s="55"/>
      <c r="Y5" s="290"/>
      <c r="Z5" s="169"/>
      <c r="AA5" s="169"/>
      <c r="AB5" s="468"/>
      <c r="AC5" s="468"/>
      <c r="AD5" s="135"/>
      <c r="AE5" s="135"/>
      <c r="AF5" s="229">
        <f t="shared" ref="AF5:AF11" si="1">N5-K5</f>
        <v>-86.727272727246145</v>
      </c>
      <c r="AG5" s="52">
        <f t="shared" ref="AG5:AG11" si="2">N5/K5</f>
        <v>0.96145454545455722</v>
      </c>
      <c r="AH5" s="461">
        <f>AG15</f>
        <v>0.92765760822321131</v>
      </c>
    </row>
    <row r="6" spans="1:34" ht="15" customHeight="1">
      <c r="A6" s="428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4117</v>
      </c>
      <c r="H6" s="63">
        <f>F6*G6</f>
        <v>239485.89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2129.4827586207043</v>
      </c>
      <c r="O6" s="67">
        <f>N6/M6</f>
        <v>141.9655172413803</v>
      </c>
      <c r="P6" s="69">
        <f>M6-J6</f>
        <v>0</v>
      </c>
      <c r="Q6" s="70">
        <f>O6-L6</f>
        <v>-8.0344827586197027</v>
      </c>
      <c r="R6" s="71">
        <f>O6/L6</f>
        <v>0.94643678160920197</v>
      </c>
      <c r="S6" s="417"/>
      <c r="T6" s="16">
        <v>0.33680555555555602</v>
      </c>
      <c r="U6" s="16">
        <v>0.41736111111111102</v>
      </c>
      <c r="V6" s="30">
        <f>(T6-U5)*24*60</f>
        <v>10.000000000000844</v>
      </c>
      <c r="W6" s="73">
        <f t="shared" si="0"/>
        <v>115.99999999999919</v>
      </c>
      <c r="X6" s="22"/>
      <c r="Y6" s="84"/>
      <c r="Z6" s="90"/>
      <c r="AA6" s="90"/>
      <c r="AB6" s="465"/>
      <c r="AC6" s="465"/>
      <c r="AD6" s="149"/>
      <c r="AE6" s="149"/>
      <c r="AF6" s="307">
        <f t="shared" si="1"/>
        <v>-120.51724137929568</v>
      </c>
      <c r="AG6" s="72">
        <f t="shared" si="2"/>
        <v>0.94643678160920197</v>
      </c>
      <c r="AH6" s="462"/>
    </row>
    <row r="7" spans="1:34" ht="15" customHeight="1">
      <c r="A7" s="428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2734</v>
      </c>
      <c r="H7" s="78">
        <f>F7*G7</f>
        <v>134348.76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2158.4210526315683</v>
      </c>
      <c r="O7" s="81">
        <f>N7/M7</f>
        <v>143.89473684210455</v>
      </c>
      <c r="P7" s="74">
        <f>M7-J7</f>
        <v>0</v>
      </c>
      <c r="Q7" s="83">
        <f>O7-L7</f>
        <v>-6.1052631578954504</v>
      </c>
      <c r="R7" s="72">
        <f>O7/L7</f>
        <v>0.95929824561403032</v>
      </c>
      <c r="S7" s="417"/>
      <c r="T7" s="18">
        <v>0.42638888888888898</v>
      </c>
      <c r="U7" s="18">
        <v>0.47916666666666702</v>
      </c>
      <c r="V7" s="30">
        <f>(T7-U6)*24*60</f>
        <v>13.000000000000274</v>
      </c>
      <c r="W7" s="73">
        <f t="shared" si="0"/>
        <v>76.000000000000369</v>
      </c>
      <c r="X7" s="22">
        <v>0.49305555555555602</v>
      </c>
      <c r="Y7" s="84">
        <v>0.53472222222222199</v>
      </c>
      <c r="Z7" s="90"/>
      <c r="AA7" s="90"/>
      <c r="AB7" s="466"/>
      <c r="AC7" s="466"/>
      <c r="AD7" s="92"/>
      <c r="AE7" s="92"/>
      <c r="AF7" s="307">
        <f t="shared" si="1"/>
        <v>-91.578947368431727</v>
      </c>
      <c r="AG7" s="72">
        <f t="shared" si="2"/>
        <v>0.95929824561403032</v>
      </c>
      <c r="AH7" s="462"/>
    </row>
    <row r="8" spans="1:34" ht="15" customHeight="1">
      <c r="A8" s="428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3922</v>
      </c>
      <c r="H8" s="78">
        <f>F8*G8</f>
        <v>192727.08000000002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1897.7419354838753</v>
      </c>
      <c r="O8" s="81">
        <f>N8/M8</f>
        <v>126.51612903225835</v>
      </c>
      <c r="P8" s="74">
        <f>M8-J8</f>
        <v>0</v>
      </c>
      <c r="Q8" s="83">
        <f>O8-L8</f>
        <v>-23.483870967741652</v>
      </c>
      <c r="R8" s="72">
        <f>O8/L8</f>
        <v>0.84344086021505571</v>
      </c>
      <c r="S8" s="417"/>
      <c r="T8" s="16">
        <v>0.54930555555555605</v>
      </c>
      <c r="U8" s="16">
        <v>0.63541666666666696</v>
      </c>
      <c r="V8" s="30">
        <f>(T8-U7)*24*60</f>
        <v>101.0000000000002</v>
      </c>
      <c r="W8" s="73">
        <f t="shared" si="0"/>
        <v>123.99999999999972</v>
      </c>
      <c r="X8" s="22"/>
      <c r="Y8" s="84"/>
      <c r="Z8" s="90">
        <v>1</v>
      </c>
      <c r="AA8" s="90">
        <v>15</v>
      </c>
      <c r="AB8" s="465" t="s">
        <v>208</v>
      </c>
      <c r="AC8" s="465"/>
      <c r="AD8" s="149"/>
      <c r="AE8" s="149"/>
      <c r="AF8" s="307">
        <f t="shared" si="1"/>
        <v>-352.2580645161247</v>
      </c>
      <c r="AG8" s="72">
        <f t="shared" si="2"/>
        <v>0.84344086021505571</v>
      </c>
      <c r="AH8" s="462"/>
    </row>
    <row r="9" spans="1:34" ht="15" customHeight="1">
      <c r="A9" s="42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8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5"/>
      <c r="AC9" s="465"/>
      <c r="AD9" s="149"/>
      <c r="AE9" s="149"/>
      <c r="AF9" s="307">
        <f t="shared" si="1"/>
        <v>0</v>
      </c>
      <c r="AG9" s="72" t="e">
        <f t="shared" si="2"/>
        <v>#DIV/0!</v>
      </c>
      <c r="AH9" s="463"/>
    </row>
    <row r="10" spans="1:34" ht="15" customHeight="1">
      <c r="A10" s="42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8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6"/>
      <c r="AC10" s="466"/>
      <c r="AD10" s="92"/>
      <c r="AE10" s="92"/>
      <c r="AF10" s="307">
        <f t="shared" si="1"/>
        <v>0</v>
      </c>
      <c r="AG10" s="72" t="e">
        <f t="shared" si="2"/>
        <v>#DIV/0!</v>
      </c>
      <c r="AH10" s="463"/>
    </row>
    <row r="11" spans="1:34" ht="15" customHeight="1">
      <c r="A11" s="42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5"/>
      <c r="AC11" s="465"/>
      <c r="AD11" s="149"/>
      <c r="AE11" s="149"/>
      <c r="AF11" s="307">
        <f t="shared" si="1"/>
        <v>0</v>
      </c>
      <c r="AG11" s="72" t="e">
        <f t="shared" si="2"/>
        <v>#DIV/0!</v>
      </c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2087.2296185022255</v>
      </c>
      <c r="O15" s="117">
        <f t="shared" si="3"/>
        <v>139.1486412334817</v>
      </c>
      <c r="P15" s="121">
        <f>M15-J15</f>
        <v>0</v>
      </c>
      <c r="Q15" s="122">
        <f>O15-L15</f>
        <v>-10.851358766518302</v>
      </c>
      <c r="R15" s="123">
        <f>O15/L15</f>
        <v>0.92765760822321131</v>
      </c>
      <c r="S15" s="420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15</v>
      </c>
      <c r="AB15" s="467"/>
      <c r="AC15" s="467"/>
      <c r="AD15" s="323">
        <f>SUM(AD5:AD14)</f>
        <v>0</v>
      </c>
      <c r="AE15" s="323">
        <f>SUM(AE5:AE14)</f>
        <v>0</v>
      </c>
      <c r="AF15" s="309">
        <f>N15-K15</f>
        <v>-162.77038149777445</v>
      </c>
      <c r="AG15" s="124">
        <f>N15/K15</f>
        <v>0.92765760822321131</v>
      </c>
      <c r="AH15" s="464"/>
    </row>
    <row r="16" spans="1:34" ht="15" customHeight="1">
      <c r="A16" s="47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4083</v>
      </c>
      <c r="H16" s="134">
        <f>F16*G16</f>
        <v>206885.61000000002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2167.9646017699174</v>
      </c>
      <c r="O16" s="141">
        <f>N16/M16</f>
        <v>154.85461441213695</v>
      </c>
      <c r="P16" s="142">
        <f>M16-J16</f>
        <v>0</v>
      </c>
      <c r="Q16" s="143">
        <f>O16-L16</f>
        <v>-5.8596713021487687</v>
      </c>
      <c r="R16" s="144">
        <f>O16/L16</f>
        <v>0.9635398230088521</v>
      </c>
      <c r="S16" s="472">
        <f>R26</f>
        <v>0.92746565490471056</v>
      </c>
      <c r="T16" s="145">
        <v>0.29097222222222202</v>
      </c>
      <c r="U16" s="145">
        <v>0.36944444444444402</v>
      </c>
      <c r="V16" s="135"/>
      <c r="W16" s="146">
        <f t="shared" ref="W16:W78" si="4">(U16-T16)*24*60</f>
        <v>112.99999999999967</v>
      </c>
      <c r="X16" s="141"/>
      <c r="Y16" s="296"/>
      <c r="Z16" s="169"/>
      <c r="AA16" s="169"/>
      <c r="AB16" s="468"/>
      <c r="AC16" s="468"/>
      <c r="AD16" s="135"/>
      <c r="AE16" s="135"/>
      <c r="AF16" s="229">
        <f>N16-K16</f>
        <v>-82.035398230082592</v>
      </c>
      <c r="AG16" s="52">
        <f>N16/K16</f>
        <v>0.96353982300885221</v>
      </c>
      <c r="AH16" s="461">
        <f>AG26</f>
        <v>0.91346139881791677</v>
      </c>
    </row>
    <row r="17" spans="1:34" ht="15" customHeight="1">
      <c r="A17" s="479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1940</v>
      </c>
      <c r="H17" s="78">
        <f>F17*G17</f>
        <v>109823.4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2006.8965517241256</v>
      </c>
      <c r="O17" s="96">
        <f>N17/M17</f>
        <v>133.79310344827505</v>
      </c>
      <c r="P17" s="97">
        <f>M17-J17</f>
        <v>0</v>
      </c>
      <c r="Q17" s="98">
        <f>O17-L17</f>
        <v>-16.206896551724952</v>
      </c>
      <c r="R17" s="99">
        <f>O17/L17</f>
        <v>0.89195402298850035</v>
      </c>
      <c r="S17" s="473"/>
      <c r="T17" s="19">
        <v>0.375</v>
      </c>
      <c r="U17" s="19">
        <v>0.41527777777777802</v>
      </c>
      <c r="V17" s="30">
        <f>(T17-U16)*24*60</f>
        <v>8.0000000000006111</v>
      </c>
      <c r="W17" s="149">
        <f t="shared" si="4"/>
        <v>58.000000000000355</v>
      </c>
      <c r="X17" s="19"/>
      <c r="Y17" s="297"/>
      <c r="Z17" s="90"/>
      <c r="AA17" s="90"/>
      <c r="AB17" s="466"/>
      <c r="AC17" s="466"/>
      <c r="AD17" s="92"/>
      <c r="AE17" s="92"/>
      <c r="AF17" s="307">
        <f>N17-K17</f>
        <v>-243.10344827587437</v>
      </c>
      <c r="AG17" s="72">
        <f>N17/K17</f>
        <v>0.89195402298850024</v>
      </c>
      <c r="AH17" s="462"/>
    </row>
    <row r="18" spans="1:34" ht="15" customHeight="1">
      <c r="A18" s="479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2683</v>
      </c>
      <c r="H18" s="78">
        <f>F18*G18</f>
        <v>135196.37</v>
      </c>
      <c r="I18" s="30"/>
      <c r="J18" s="79">
        <v>13</v>
      </c>
      <c r="K18" s="80">
        <f>VLOOKUP(D18,產線配置圖!$A$3:$C$40,3,0)</f>
        <v>2250</v>
      </c>
      <c r="L18" s="81">
        <f>K18/J18</f>
        <v>173.07692307692307</v>
      </c>
      <c r="M18" s="148">
        <v>13</v>
      </c>
      <c r="N18" s="95">
        <f>G18/W18*60</f>
        <v>2090.6493506493603</v>
      </c>
      <c r="O18" s="96">
        <f>N18/M18</f>
        <v>160.81918081918155</v>
      </c>
      <c r="P18" s="97">
        <f>M18-J18</f>
        <v>0</v>
      </c>
      <c r="Q18" s="98">
        <f>O18-L18</f>
        <v>-12.257742257741512</v>
      </c>
      <c r="R18" s="99">
        <f>O18/L18</f>
        <v>0.92917748917749343</v>
      </c>
      <c r="S18" s="473"/>
      <c r="T18" s="19">
        <v>0.422222222222222</v>
      </c>
      <c r="U18" s="19">
        <v>0.47569444444444398</v>
      </c>
      <c r="V18" s="30">
        <f>(T18-U17)*24*60</f>
        <v>9.999999999999325</v>
      </c>
      <c r="W18" s="149">
        <f t="shared" si="4"/>
        <v>76.999999999999645</v>
      </c>
      <c r="X18" s="22">
        <v>0.48958333333333298</v>
      </c>
      <c r="Y18" s="84">
        <v>0.53125</v>
      </c>
      <c r="Z18" s="90"/>
      <c r="AA18" s="90"/>
      <c r="AB18" s="466"/>
      <c r="AC18" s="466"/>
      <c r="AD18" s="92"/>
      <c r="AE18" s="92"/>
      <c r="AF18" s="307">
        <f>N18-K18</f>
        <v>-159.35064935063974</v>
      </c>
      <c r="AG18" s="72">
        <f>N18/K18</f>
        <v>0.92917748917749343</v>
      </c>
      <c r="AH18" s="462"/>
    </row>
    <row r="19" spans="1:34" ht="15" customHeight="1">
      <c r="A19" s="479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2797</v>
      </c>
      <c r="H19" s="78">
        <f t="shared" ref="H19:H20" si="5">F19*G19</f>
        <v>140940.82999999999</v>
      </c>
      <c r="I19" s="30"/>
      <c r="J19" s="79">
        <v>14</v>
      </c>
      <c r="K19" s="80">
        <f>VLOOKUP(D19,產線配置圖!$A$3:$C$40,3,0)</f>
        <v>2250</v>
      </c>
      <c r="L19" s="81">
        <f t="shared" ref="L19:L20" si="6">K19/J19</f>
        <v>160.71428571428572</v>
      </c>
      <c r="M19" s="148">
        <v>13</v>
      </c>
      <c r="N19" s="95">
        <f t="shared" ref="N19:N20" si="7">G19/W19*60</f>
        <v>1951.3953488372201</v>
      </c>
      <c r="O19" s="96">
        <f t="shared" ref="O19:O20" si="8">N19/M19</f>
        <v>150.10733452594002</v>
      </c>
      <c r="P19" s="97">
        <f t="shared" ref="P19:P20" si="9">M19-J19</f>
        <v>-1</v>
      </c>
      <c r="Q19" s="98">
        <f t="shared" ref="Q19:Q20" si="10">O19-L19</f>
        <v>-10.606951188345704</v>
      </c>
      <c r="R19" s="99">
        <f t="shared" ref="R19:R20" si="11">O19/L19</f>
        <v>0.93400119260584891</v>
      </c>
      <c r="S19" s="473"/>
      <c r="T19" s="19">
        <v>0.54791666666666705</v>
      </c>
      <c r="U19" s="19">
        <v>0.60763888888888895</v>
      </c>
      <c r="V19" s="30">
        <f>(T19-U18)*24*60</f>
        <v>104.00000000000122</v>
      </c>
      <c r="W19" s="149">
        <f t="shared" si="4"/>
        <v>85.999999999999531</v>
      </c>
      <c r="X19" s="22"/>
      <c r="Y19" s="84"/>
      <c r="Z19" s="90"/>
      <c r="AA19" s="90"/>
      <c r="AB19" s="465"/>
      <c r="AC19" s="465"/>
      <c r="AD19" s="149"/>
      <c r="AE19" s="149"/>
      <c r="AF19" s="307">
        <f>N19-K19</f>
        <v>-298.60465116277987</v>
      </c>
      <c r="AG19" s="72">
        <f>N19/K19</f>
        <v>0.86728682170543114</v>
      </c>
      <c r="AH19" s="463"/>
    </row>
    <row r="20" spans="1:34" ht="15" customHeight="1">
      <c r="A20" s="479"/>
      <c r="B20" s="75" t="s">
        <v>81</v>
      </c>
      <c r="C20" s="76"/>
      <c r="D20" s="59" t="s">
        <v>113</v>
      </c>
      <c r="E20" s="77"/>
      <c r="F20" s="75">
        <f>VLOOKUP(D20,廠價表!$C$1:$E$43,3,0)</f>
        <v>56.87</v>
      </c>
      <c r="G20" s="147">
        <v>1476</v>
      </c>
      <c r="H20" s="78">
        <f t="shared" si="5"/>
        <v>83940.12</v>
      </c>
      <c r="I20" s="30"/>
      <c r="J20" s="79">
        <v>15</v>
      </c>
      <c r="K20" s="80">
        <f>VLOOKUP(D20,產線配置圖!$A$3:$C$40,3,0)</f>
        <v>2250</v>
      </c>
      <c r="L20" s="81">
        <f t="shared" si="6"/>
        <v>150</v>
      </c>
      <c r="M20" s="148">
        <v>15</v>
      </c>
      <c r="N20" s="95">
        <f t="shared" si="7"/>
        <v>2059.5348837209376</v>
      </c>
      <c r="O20" s="96">
        <f t="shared" si="8"/>
        <v>137.30232558139585</v>
      </c>
      <c r="P20" s="97">
        <f t="shared" si="9"/>
        <v>0</v>
      </c>
      <c r="Q20" s="98">
        <f t="shared" si="10"/>
        <v>-12.697674418604151</v>
      </c>
      <c r="R20" s="99">
        <f t="shared" si="11"/>
        <v>0.91534883720930571</v>
      </c>
      <c r="S20" s="473"/>
      <c r="T20" s="19">
        <v>0.61666666666666703</v>
      </c>
      <c r="U20" s="19">
        <v>0.64652777777777803</v>
      </c>
      <c r="V20" s="30">
        <f>(T20-U19)*24*60</f>
        <v>13.000000000000433</v>
      </c>
      <c r="W20" s="149">
        <f t="shared" si="4"/>
        <v>42.999999999999844</v>
      </c>
      <c r="X20" s="19"/>
      <c r="Y20" s="297"/>
      <c r="Z20" s="90"/>
      <c r="AA20" s="90"/>
      <c r="AB20" s="466"/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3"/>
      <c r="T21" s="19"/>
      <c r="U21" s="19"/>
      <c r="V21" s="30"/>
      <c r="W21" s="149">
        <f t="shared" si="4"/>
        <v>0</v>
      </c>
      <c r="X21" s="92"/>
      <c r="Y21" s="298"/>
      <c r="Z21" s="90"/>
      <c r="AA21" s="90"/>
      <c r="AB21" s="466"/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9"/>
      <c r="U22" s="19"/>
      <c r="V22" s="92"/>
      <c r="W22" s="149"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4"/>
        <v>0</v>
      </c>
      <c r="X23" s="92"/>
      <c r="Y23" s="298"/>
      <c r="Z23" s="90"/>
      <c r="AA23" s="90"/>
      <c r="AB23" s="466"/>
      <c r="AC23" s="46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/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>
        <f t="shared" ref="J26:O26" si="12">AVERAGE(J16:J25)</f>
        <v>14.2</v>
      </c>
      <c r="K26" s="155">
        <f t="shared" si="12"/>
        <v>2250</v>
      </c>
      <c r="L26" s="158">
        <f t="shared" si="12"/>
        <v>158.90109890109889</v>
      </c>
      <c r="M26" s="155">
        <f t="shared" si="12"/>
        <v>14</v>
      </c>
      <c r="N26" s="155">
        <f t="shared" si="12"/>
        <v>2055.2881473403127</v>
      </c>
      <c r="O26" s="158">
        <f t="shared" si="12"/>
        <v>147.37531175738587</v>
      </c>
      <c r="P26" s="159">
        <f>M26-J26</f>
        <v>-0.19999999999999929</v>
      </c>
      <c r="Q26" s="160">
        <f>O26-L26</f>
        <v>-11.525787143713018</v>
      </c>
      <c r="R26" s="161">
        <f>O26/L26</f>
        <v>0.92746565490471056</v>
      </c>
      <c r="S26" s="474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7"/>
      <c r="AC26" s="467"/>
      <c r="AD26" s="323">
        <f>SUM(AD16:AD25)</f>
        <v>0</v>
      </c>
      <c r="AE26" s="323">
        <f>SUM(AE16:AE25)</f>
        <v>0</v>
      </c>
      <c r="AF26" s="309">
        <f t="shared" ref="AF26:AF31" si="13">N26-K26</f>
        <v>-194.71185265968734</v>
      </c>
      <c r="AG26" s="124">
        <f t="shared" ref="AG26:AG31" si="14">N26/K26</f>
        <v>0.91346139881791677</v>
      </c>
      <c r="AH26" s="464"/>
    </row>
    <row r="27" spans="1:34" ht="15" customHeight="1">
      <c r="A27" s="469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2378</v>
      </c>
      <c r="H27" s="134">
        <f>F27*G27</f>
        <v>136045.38</v>
      </c>
      <c r="I27" s="135"/>
      <c r="J27" s="136">
        <v>18</v>
      </c>
      <c r="K27" s="137">
        <f>VLOOKUP(D27,產線配置圖!$A$3:$C$40,3,0)</f>
        <v>1565</v>
      </c>
      <c r="L27" s="138">
        <f>K27/J27</f>
        <v>86.944444444444443</v>
      </c>
      <c r="M27" s="170">
        <v>18</v>
      </c>
      <c r="N27" s="140">
        <f>G27/W27*60</f>
        <v>1501.8947368420866</v>
      </c>
      <c r="O27" s="141">
        <f>N27/M27</f>
        <v>83.438596491227031</v>
      </c>
      <c r="P27" s="142">
        <f>M27-J27</f>
        <v>0</v>
      </c>
      <c r="Q27" s="143">
        <f>O27-L27</f>
        <v>-3.5058479532174118</v>
      </c>
      <c r="R27" s="144">
        <f>O27/L27</f>
        <v>0.95967714814190841</v>
      </c>
      <c r="S27" s="472">
        <f>R37</f>
        <v>0.80299438532219125</v>
      </c>
      <c r="T27" s="171">
        <v>0.33333333333333298</v>
      </c>
      <c r="U27" s="171">
        <v>0.39930555555555602</v>
      </c>
      <c r="V27" s="135"/>
      <c r="W27" s="146">
        <f t="shared" si="4"/>
        <v>95.00000000000118</v>
      </c>
      <c r="X27" s="135"/>
      <c r="Y27" s="300" t="s">
        <v>46</v>
      </c>
      <c r="Z27" s="169"/>
      <c r="AA27" s="169"/>
      <c r="AB27" s="468"/>
      <c r="AC27" s="468"/>
      <c r="AD27" s="135"/>
      <c r="AE27" s="135"/>
      <c r="AF27" s="310">
        <f t="shared" si="13"/>
        <v>-63.105263157913441</v>
      </c>
      <c r="AG27" s="172">
        <f t="shared" si="14"/>
        <v>0.9596771481419083</v>
      </c>
      <c r="AH27" s="461">
        <f>AG37</f>
        <v>0.79827898399042541</v>
      </c>
    </row>
    <row r="28" spans="1:34" ht="15" customHeight="1">
      <c r="A28" s="470"/>
      <c r="B28" s="75" t="s">
        <v>81</v>
      </c>
      <c r="C28" s="173"/>
      <c r="D28" s="59" t="s">
        <v>128</v>
      </c>
      <c r="E28" s="104"/>
      <c r="F28" s="75">
        <f>VLOOKUP(D28,廠價表!$C$1:$E$43,3,0)</f>
        <v>57.21</v>
      </c>
      <c r="G28" s="90">
        <v>2672</v>
      </c>
      <c r="H28" s="91">
        <f>F28*G28</f>
        <v>152865.12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17</v>
      </c>
      <c r="N28" s="95">
        <f>G28/W28*60</f>
        <v>1394.0869565217411</v>
      </c>
      <c r="O28" s="96">
        <f>N28/M28</f>
        <v>82.005115089514177</v>
      </c>
      <c r="P28" s="97">
        <f>M28-J28</f>
        <v>0</v>
      </c>
      <c r="Q28" s="98">
        <f>O28-L28</f>
        <v>-18.936061381074055</v>
      </c>
      <c r="R28" s="99">
        <f>O28/L28</f>
        <v>0.81240498631803093</v>
      </c>
      <c r="S28" s="473"/>
      <c r="T28" s="19">
        <v>0.40625</v>
      </c>
      <c r="U28" s="19">
        <v>0.48611111111111099</v>
      </c>
      <c r="V28" s="92">
        <f>(T28-U27)*24*60</f>
        <v>9.999999999999325</v>
      </c>
      <c r="W28" s="149">
        <f t="shared" si="4"/>
        <v>114.99999999999983</v>
      </c>
      <c r="X28" s="174">
        <v>0.48958333333333298</v>
      </c>
      <c r="Y28" s="301">
        <v>0.54166666666666696</v>
      </c>
      <c r="Z28" s="335"/>
      <c r="AA28" s="335"/>
      <c r="AB28" s="466"/>
      <c r="AC28" s="466"/>
      <c r="AD28" s="92"/>
      <c r="AE28" s="92"/>
      <c r="AF28" s="311">
        <f t="shared" si="13"/>
        <v>-321.91304347825894</v>
      </c>
      <c r="AG28" s="99">
        <f t="shared" si="14"/>
        <v>0.81240498631803093</v>
      </c>
      <c r="AH28" s="482"/>
    </row>
    <row r="29" spans="1:34" ht="15" customHeight="1">
      <c r="A29" s="470"/>
      <c r="B29" s="75" t="s">
        <v>81</v>
      </c>
      <c r="C29" s="173"/>
      <c r="D29" s="59" t="s">
        <v>121</v>
      </c>
      <c r="E29" s="104"/>
      <c r="F29" s="75">
        <f>VLOOKUP(D29,廠價表!$C$1:$E$43,3,0)</f>
        <v>50.289000000000001</v>
      </c>
      <c r="G29" s="90">
        <v>2008</v>
      </c>
      <c r="H29" s="91">
        <f>F29*G29</f>
        <v>100980.31200000001</v>
      </c>
      <c r="I29" s="92"/>
      <c r="J29" s="79">
        <f>VLOOKUP(D29,產線配置圖!$A$3:$C$40,2,0)</f>
        <v>19</v>
      </c>
      <c r="K29" s="80">
        <f>VLOOKUP(D29,產線配置圖!$A$3:$C$40,3,0)</f>
        <v>1565</v>
      </c>
      <c r="L29" s="93">
        <f>K29/J29</f>
        <v>82.368421052631575</v>
      </c>
      <c r="M29" s="94">
        <v>17</v>
      </c>
      <c r="N29" s="95">
        <f>G29/W29*60</f>
        <v>1254.9999999999941</v>
      </c>
      <c r="O29" s="96">
        <f>N29/M29</f>
        <v>73.823529411764355</v>
      </c>
      <c r="P29" s="97">
        <f>M29-J29</f>
        <v>-2</v>
      </c>
      <c r="Q29" s="98">
        <f>O29-L29</f>
        <v>-8.5448916408672204</v>
      </c>
      <c r="R29" s="99">
        <f>O29/L29</f>
        <v>0.89626010148467916</v>
      </c>
      <c r="S29" s="473"/>
      <c r="T29" s="19">
        <v>0.5625</v>
      </c>
      <c r="U29" s="19">
        <v>0.62916666666666698</v>
      </c>
      <c r="V29" s="92">
        <f>(T29-U28)*24*60</f>
        <v>110.00000000000017</v>
      </c>
      <c r="W29" s="149">
        <f t="shared" si="4"/>
        <v>96.000000000000455</v>
      </c>
      <c r="X29" s="22"/>
      <c r="Y29" s="84"/>
      <c r="Z29" s="90"/>
      <c r="AA29" s="90"/>
      <c r="AB29" s="466"/>
      <c r="AC29" s="466"/>
      <c r="AD29" s="92"/>
      <c r="AE29" s="92"/>
      <c r="AF29" s="312">
        <f t="shared" si="13"/>
        <v>-310.00000000000591</v>
      </c>
      <c r="AG29" s="99">
        <f t="shared" si="14"/>
        <v>0.80191693290734445</v>
      </c>
      <c r="AH29" s="482"/>
    </row>
    <row r="30" spans="1:34" ht="15" customHeight="1">
      <c r="A30" s="470"/>
      <c r="B30" s="75" t="s">
        <v>81</v>
      </c>
      <c r="C30" s="88"/>
      <c r="D30" s="59" t="s">
        <v>119</v>
      </c>
      <c r="E30" s="89"/>
      <c r="F30" s="75">
        <f>VLOOKUP(D30,廠價表!$C$1:$E$43,3,0)</f>
        <v>50.67</v>
      </c>
      <c r="G30" s="90">
        <v>578</v>
      </c>
      <c r="H30" s="91">
        <f>F30*G30</f>
        <v>29287.260000000002</v>
      </c>
      <c r="I30" s="92"/>
      <c r="J30" s="79">
        <f>VLOOKUP(D30,產線配置圖!$A$3:$C$40,2,0)</f>
        <v>13</v>
      </c>
      <c r="K30" s="80">
        <f>VLOOKUP(D30,產線配置圖!$A$3:$C$40,3,0)</f>
        <v>1440</v>
      </c>
      <c r="L30" s="93">
        <f>K30/J30</f>
        <v>110.76923076923077</v>
      </c>
      <c r="M30" s="94">
        <v>13</v>
      </c>
      <c r="N30" s="95">
        <f>G30/W30*60</f>
        <v>866.99999999999261</v>
      </c>
      <c r="O30" s="96">
        <f>N30/M30</f>
        <v>66.692307692307125</v>
      </c>
      <c r="P30" s="97">
        <f>M30-J30</f>
        <v>0</v>
      </c>
      <c r="Q30" s="98">
        <f>O30-L30</f>
        <v>-44.076923076923649</v>
      </c>
      <c r="R30" s="99">
        <f>O30/L30</f>
        <v>0.6020833333333282</v>
      </c>
      <c r="S30" s="473"/>
      <c r="T30" s="19">
        <v>0.64444444444444404</v>
      </c>
      <c r="U30" s="19">
        <v>0.67222222222222205</v>
      </c>
      <c r="V30" s="92">
        <f>(T30-U29)*24*60</f>
        <v>21.999999999998963</v>
      </c>
      <c r="W30" s="149">
        <f t="shared" si="4"/>
        <v>40.000000000000341</v>
      </c>
      <c r="X30" s="174"/>
      <c r="Y30" s="301"/>
      <c r="Z30" s="335"/>
      <c r="AA30" s="335"/>
      <c r="AB30" s="466" t="s">
        <v>125</v>
      </c>
      <c r="AC30" s="466"/>
      <c r="AD30" s="92"/>
      <c r="AE30" s="92"/>
      <c r="AF30" s="312">
        <f t="shared" si="13"/>
        <v>-573.00000000000739</v>
      </c>
      <c r="AG30" s="99">
        <f t="shared" si="14"/>
        <v>0.6020833333333282</v>
      </c>
      <c r="AH30" s="483"/>
    </row>
    <row r="31" spans="1:34" ht="15" customHeight="1">
      <c r="A31" s="47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3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6"/>
      <c r="AC31" s="466"/>
      <c r="AD31" s="92"/>
      <c r="AE31" s="92"/>
      <c r="AF31" s="312">
        <f t="shared" si="13"/>
        <v>0</v>
      </c>
      <c r="AG31" s="99" t="e">
        <f t="shared" si="14"/>
        <v>#DIV/0!</v>
      </c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6"/>
      <c r="AC32" s="466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6"/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>
        <f t="shared" ref="J37:O37" si="15">AVERAGE(J27:J36)</f>
        <v>16.75</v>
      </c>
      <c r="K37" s="155">
        <f t="shared" si="15"/>
        <v>1571.5</v>
      </c>
      <c r="L37" s="158">
        <f t="shared" si="15"/>
        <v>95.255818184223756</v>
      </c>
      <c r="M37" s="155">
        <f t="shared" si="15"/>
        <v>16.25</v>
      </c>
      <c r="N37" s="155">
        <f t="shared" si="15"/>
        <v>1254.4954233409535</v>
      </c>
      <c r="O37" s="158">
        <f t="shared" si="15"/>
        <v>76.489887171203165</v>
      </c>
      <c r="P37" s="159">
        <f>M37-J37</f>
        <v>-0.5</v>
      </c>
      <c r="Q37" s="160">
        <f>N37-K37</f>
        <v>-317.00457665904651</v>
      </c>
      <c r="R37" s="161">
        <f>O37/L37</f>
        <v>0.80299438532219125</v>
      </c>
      <c r="S37" s="474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7"/>
      <c r="AC37" s="477"/>
      <c r="AD37" s="324">
        <f>SUM(AD27:AD36)</f>
        <v>0</v>
      </c>
      <c r="AE37" s="324">
        <f>SUM(AE27:AE36)</f>
        <v>0</v>
      </c>
      <c r="AF37" s="309">
        <f>N37-K37</f>
        <v>-317.00457665904651</v>
      </c>
      <c r="AG37" s="124">
        <f>N37/K37</f>
        <v>0.79827898399042541</v>
      </c>
      <c r="AH37" s="464"/>
    </row>
    <row r="38" spans="1:34" ht="15" customHeight="1">
      <c r="A38" s="491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2735</v>
      </c>
      <c r="H38" s="134">
        <f>F38*G38</f>
        <v>136503.84999999998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1491.8181818181795</v>
      </c>
      <c r="O38" s="141">
        <f>N38/M38</f>
        <v>99.454545454545297</v>
      </c>
      <c r="P38" s="142">
        <f>M38-J38</f>
        <v>0</v>
      </c>
      <c r="Q38" s="143">
        <f>O38-L38</f>
        <v>-14.812121212121369</v>
      </c>
      <c r="R38" s="144">
        <f>O38/L38</f>
        <v>0.87037233478306852</v>
      </c>
      <c r="S38" s="494">
        <f>R48</f>
        <v>0.91065715839714123</v>
      </c>
      <c r="T38" s="191">
        <v>0.33333333333333298</v>
      </c>
      <c r="U38" s="191">
        <v>0.40972222222222199</v>
      </c>
      <c r="V38" s="192"/>
      <c r="W38" s="193">
        <f t="shared" si="4"/>
        <v>110.00000000000017</v>
      </c>
      <c r="X38" s="194"/>
      <c r="Y38" s="302"/>
      <c r="Z38" s="336"/>
      <c r="AA38" s="336"/>
      <c r="AB38" s="496"/>
      <c r="AC38" s="496"/>
      <c r="AD38" s="192"/>
      <c r="AE38" s="192"/>
      <c r="AF38" s="313">
        <f>N38-K38</f>
        <v>-222.18181818182052</v>
      </c>
      <c r="AG38" s="195">
        <f>N38/K38</f>
        <v>0.87037233478306852</v>
      </c>
      <c r="AH38" s="484">
        <f>AG48</f>
        <v>0.91103815991749826</v>
      </c>
    </row>
    <row r="39" spans="1:34" ht="15" customHeight="1">
      <c r="A39" s="492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2677</v>
      </c>
      <c r="H39" s="91">
        <f>F39*G39</f>
        <v>118591.09999999999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1460.1818181818157</v>
      </c>
      <c r="O39" s="203">
        <f>N39/M39</f>
        <v>85.893048128342102</v>
      </c>
      <c r="P39" s="97">
        <f>M39-J39</f>
        <v>0</v>
      </c>
      <c r="Q39" s="98">
        <f>O39-L39</f>
        <v>-10.342245989304956</v>
      </c>
      <c r="R39" s="99">
        <f>O39/L39</f>
        <v>0.89253167370526632</v>
      </c>
      <c r="S39" s="495"/>
      <c r="T39" s="20">
        <v>0.41666666666666702</v>
      </c>
      <c r="U39" s="20">
        <v>0.49305555555555602</v>
      </c>
      <c r="V39" s="92">
        <f>(T39-U38)*24*60</f>
        <v>10.000000000000844</v>
      </c>
      <c r="W39" s="205">
        <f t="shared" si="4"/>
        <v>110.00000000000017</v>
      </c>
      <c r="X39" s="22">
        <v>0.50694444444444398</v>
      </c>
      <c r="Y39" s="84">
        <v>0.54861111111111105</v>
      </c>
      <c r="Z39" s="90"/>
      <c r="AA39" s="90"/>
      <c r="AB39" s="487"/>
      <c r="AC39" s="487"/>
      <c r="AD39" s="200"/>
      <c r="AE39" s="200"/>
      <c r="AF39" s="314">
        <f>N39-K39</f>
        <v>-175.81818181818426</v>
      </c>
      <c r="AG39" s="206">
        <f>N39/K39</f>
        <v>0.89253167370526632</v>
      </c>
      <c r="AH39" s="485"/>
    </row>
    <row r="40" spans="1:34" ht="15" customHeight="1">
      <c r="A40" s="492"/>
      <c r="B40" s="75" t="s">
        <v>123</v>
      </c>
      <c r="C40" s="207"/>
      <c r="D40" s="198" t="s">
        <v>124</v>
      </c>
      <c r="E40" s="178"/>
      <c r="F40" s="75">
        <f>VLOOKUP(D40,廠價表!$C$1:$E$43,3,0)</f>
        <v>44.3</v>
      </c>
      <c r="G40" s="199">
        <v>3031</v>
      </c>
      <c r="H40" s="91">
        <f>F40*G40</f>
        <v>134273.29999999999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1541.1864406779571</v>
      </c>
      <c r="O40" s="203">
        <f>N40/M40</f>
        <v>90.658025922232767</v>
      </c>
      <c r="P40" s="97">
        <f>M40-J40</f>
        <v>0</v>
      </c>
      <c r="Q40" s="98">
        <f>O40-L40</f>
        <v>-5.5772681954142911</v>
      </c>
      <c r="R40" s="99">
        <f>O40/L40</f>
        <v>0.94204550163689305</v>
      </c>
      <c r="S40" s="417"/>
      <c r="T40" s="20">
        <v>0.55208333333333304</v>
      </c>
      <c r="U40" s="20">
        <v>0.63402777777777797</v>
      </c>
      <c r="V40" s="92">
        <f>(T40-U39)*24*60</f>
        <v>84.999999999998892</v>
      </c>
      <c r="W40" s="205">
        <f t="shared" si="4"/>
        <v>118.0000000000007</v>
      </c>
      <c r="X40" s="208"/>
      <c r="Y40" s="209"/>
      <c r="Z40" s="337"/>
      <c r="AA40" s="337"/>
      <c r="AB40" s="466"/>
      <c r="AC40" s="466"/>
      <c r="AD40" s="92"/>
      <c r="AE40" s="92"/>
      <c r="AF40" s="314">
        <f>N40-K40</f>
        <v>-94.81355932204292</v>
      </c>
      <c r="AG40" s="206">
        <f>N40/K40</f>
        <v>0.94204550163689305</v>
      </c>
      <c r="AH40" s="485"/>
    </row>
    <row r="41" spans="1:34" ht="15" customHeight="1">
      <c r="A41" s="492"/>
      <c r="B41" s="75" t="s">
        <v>123</v>
      </c>
      <c r="C41" s="207"/>
      <c r="D41" s="198" t="s">
        <v>126</v>
      </c>
      <c r="E41" s="178"/>
      <c r="F41" s="75">
        <f>VLOOKUP(D41,廠價表!$C$1:$E$43,3,0)</f>
        <v>49.91</v>
      </c>
      <c r="G41" s="199">
        <v>698</v>
      </c>
      <c r="H41" s="91">
        <f>F41*G41</f>
        <v>34837.18</v>
      </c>
      <c r="I41" s="200"/>
      <c r="J41" s="148">
        <f>VLOOKUP(D41,產線配置圖!$A$3:$C$40,2,0)</f>
        <v>15</v>
      </c>
      <c r="K41" s="95">
        <f>VLOOKUP(D41,產線配置圖!$A$3:$C$40,3,0)</f>
        <v>1714</v>
      </c>
      <c r="L41" s="96">
        <f>K41/J41</f>
        <v>114.26666666666667</v>
      </c>
      <c r="M41" s="201">
        <v>15</v>
      </c>
      <c r="N41" s="202">
        <f>G41/W41*60</f>
        <v>1610.769230769286</v>
      </c>
      <c r="O41" s="203">
        <f>N41/M41</f>
        <v>107.38461538461907</v>
      </c>
      <c r="P41" s="97">
        <f>M41-J41</f>
        <v>0</v>
      </c>
      <c r="Q41" s="98">
        <f>O41-L41</f>
        <v>-6.8820512820475983</v>
      </c>
      <c r="R41" s="99">
        <f>O41/L41</f>
        <v>0.9397720132842976</v>
      </c>
      <c r="S41" s="417"/>
      <c r="T41" s="20">
        <v>0.64166666666666705</v>
      </c>
      <c r="U41" s="210">
        <v>0.65972222222222199</v>
      </c>
      <c r="V41" s="92">
        <f>(T41-U40)*24*60</f>
        <v>11.000000000000281</v>
      </c>
      <c r="W41" s="205">
        <f t="shared" si="4"/>
        <v>25.999999999999108</v>
      </c>
      <c r="X41" s="208"/>
      <c r="Y41" s="209"/>
      <c r="Z41" s="337"/>
      <c r="AA41" s="337"/>
      <c r="AB41" s="466"/>
      <c r="AC41" s="466"/>
      <c r="AD41" s="92"/>
      <c r="AE41" s="92"/>
      <c r="AF41" s="314">
        <f>N41-K41</f>
        <v>-103.23076923071403</v>
      </c>
      <c r="AG41" s="206">
        <f>N41/K41</f>
        <v>0.93977201328429749</v>
      </c>
      <c r="AH41" s="485"/>
    </row>
    <row r="42" spans="1:34" ht="15" customHeight="1">
      <c r="A42" s="49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7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6"/>
      <c r="AC42" s="466"/>
      <c r="AD42" s="92"/>
      <c r="AE42" s="92"/>
      <c r="AF42" s="314"/>
      <c r="AG42" s="206"/>
      <c r="AH42" s="485"/>
    </row>
    <row r="43" spans="1:34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>
        <f t="shared" ref="J48:O48" si="16">AVERAGE(J38:J47)</f>
        <v>16</v>
      </c>
      <c r="K48" s="155">
        <f t="shared" si="16"/>
        <v>1675</v>
      </c>
      <c r="L48" s="158">
        <f t="shared" si="16"/>
        <v>105.25098039215686</v>
      </c>
      <c r="M48" s="155">
        <f t="shared" si="16"/>
        <v>16</v>
      </c>
      <c r="N48" s="155">
        <f t="shared" si="16"/>
        <v>1525.9889178618096</v>
      </c>
      <c r="O48" s="158">
        <f t="shared" si="16"/>
        <v>95.847558722434798</v>
      </c>
      <c r="P48" s="221">
        <f>M48-J48</f>
        <v>0</v>
      </c>
      <c r="Q48" s="222">
        <f>N48-K48</f>
        <v>-149.01108213819043</v>
      </c>
      <c r="R48" s="223">
        <f t="shared" ref="R48:R53" si="17">O48/L48</f>
        <v>0.91065715839714123</v>
      </c>
      <c r="S48" s="420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7"/>
      <c r="AC48" s="467"/>
      <c r="AD48" s="323">
        <f>SUM(AD38:AD47)</f>
        <v>0</v>
      </c>
      <c r="AE48" s="323">
        <f>SUM(AE38:AE47)</f>
        <v>0</v>
      </c>
      <c r="AF48" s="315">
        <f t="shared" ref="AF48:AF53" si="18">N48-K48</f>
        <v>-149.01108213819043</v>
      </c>
      <c r="AG48" s="162">
        <f t="shared" ref="AG48:AG53" si="19">N48/K48</f>
        <v>0.91103815991749826</v>
      </c>
      <c r="AH48" s="486"/>
    </row>
    <row r="49" spans="1:34" ht="15" customHeight="1">
      <c r="A49" s="488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2447</v>
      </c>
      <c r="H49" s="134">
        <f>F49*G49</f>
        <v>121175.44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1613.4065934066048</v>
      </c>
      <c r="O49" s="141">
        <f>N49/M49</f>
        <v>94.906270200388519</v>
      </c>
      <c r="P49" s="229">
        <f>M49-J49</f>
        <v>0</v>
      </c>
      <c r="Q49" s="230">
        <f>O49-L49</f>
        <v>-10.976082740787945</v>
      </c>
      <c r="R49" s="52">
        <f t="shared" si="17"/>
        <v>0.8963369963370027</v>
      </c>
      <c r="S49" s="416">
        <f>R58</f>
        <v>1.3784957608048494</v>
      </c>
      <c r="T49" s="191">
        <v>0.29027777777777802</v>
      </c>
      <c r="U49" s="191">
        <v>0.35347222222222202</v>
      </c>
      <c r="V49" s="55"/>
      <c r="W49" s="193">
        <f t="shared" si="4"/>
        <v>90.999999999999361</v>
      </c>
      <c r="X49" s="55"/>
      <c r="Y49" s="290"/>
      <c r="Z49" s="169"/>
      <c r="AA49" s="169"/>
      <c r="AB49" s="468"/>
      <c r="AC49" s="468"/>
      <c r="AD49" s="135"/>
      <c r="AE49" s="135"/>
      <c r="AF49" s="229">
        <f t="shared" si="18"/>
        <v>-186.59340659339523</v>
      </c>
      <c r="AG49" s="52">
        <f t="shared" si="19"/>
        <v>0.8963369963370027</v>
      </c>
      <c r="AH49" s="461">
        <f>AG58</f>
        <v>0.85386984977566571</v>
      </c>
    </row>
    <row r="50" spans="1:34" ht="15" customHeight="1">
      <c r="A50" s="489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2763</v>
      </c>
      <c r="H50" s="231">
        <f>F50*G50</f>
        <v>138067.10999999999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1549.3457943925346</v>
      </c>
      <c r="O50" s="235">
        <f>N50/M50</f>
        <v>96.834112149533411</v>
      </c>
      <c r="P50" s="74">
        <f>M50-J50</f>
        <v>0</v>
      </c>
      <c r="Q50" s="83">
        <f>O50-L50</f>
        <v>-15.665887850466589</v>
      </c>
      <c r="R50" s="72">
        <f t="shared" si="17"/>
        <v>0.86074766355140808</v>
      </c>
      <c r="S50" s="417"/>
      <c r="T50" s="21">
        <v>0.359027777777778</v>
      </c>
      <c r="U50" s="19">
        <v>0.43333333333333302</v>
      </c>
      <c r="V50" s="30"/>
      <c r="W50" s="236">
        <f t="shared" si="4"/>
        <v>106.99999999999922</v>
      </c>
      <c r="X50" s="22"/>
      <c r="Y50" s="84"/>
      <c r="Z50" s="90"/>
      <c r="AA50" s="90"/>
      <c r="AB50" s="466"/>
      <c r="AC50" s="466"/>
      <c r="AD50" s="92"/>
      <c r="AE50" s="92"/>
      <c r="AF50" s="307">
        <f t="shared" si="18"/>
        <v>-250.65420560746543</v>
      </c>
      <c r="AG50" s="72">
        <f t="shared" si="19"/>
        <v>0.86074766355140808</v>
      </c>
      <c r="AH50" s="462"/>
    </row>
    <row r="51" spans="1:34" ht="15" customHeight="1">
      <c r="A51" s="489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1627</v>
      </c>
      <c r="H51" s="231">
        <f>F51*G51</f>
        <v>81820.203000000009</v>
      </c>
      <c r="I51" s="232"/>
      <c r="J51" s="79">
        <v>18</v>
      </c>
      <c r="K51" s="80">
        <f>VLOOKUP(D51,產線配置圖!$A$3:$C$40,3,0)</f>
        <v>1565</v>
      </c>
      <c r="L51" s="81">
        <f>K51/J51</f>
        <v>86.944444444444443</v>
      </c>
      <c r="M51" s="233">
        <v>16</v>
      </c>
      <c r="N51" s="234">
        <f>G51/W51*60</f>
        <v>1267.7922077922124</v>
      </c>
      <c r="O51" s="235">
        <f>N51/M51</f>
        <v>79.237012987013273</v>
      </c>
      <c r="P51" s="74">
        <f>M51-J51</f>
        <v>-2</v>
      </c>
      <c r="Q51" s="83">
        <f>O51-L51</f>
        <v>-7.70743145743117</v>
      </c>
      <c r="R51" s="72">
        <f t="shared" si="17"/>
        <v>0.91135222604871502</v>
      </c>
      <c r="S51" s="417"/>
      <c r="T51" s="21">
        <v>0.44097222222222199</v>
      </c>
      <c r="U51" s="21">
        <v>0.49444444444444402</v>
      </c>
      <c r="V51" s="30">
        <f>(T51-U50)*24*60</f>
        <v>11.000000000000121</v>
      </c>
      <c r="W51" s="236">
        <f t="shared" si="4"/>
        <v>76.99999999999973</v>
      </c>
      <c r="X51" s="22">
        <v>0.49652777777777801</v>
      </c>
      <c r="Y51" s="84">
        <v>0.54861111111111105</v>
      </c>
      <c r="Z51" s="90"/>
      <c r="AA51" s="90"/>
      <c r="AB51" s="466" t="s">
        <v>209</v>
      </c>
      <c r="AC51" s="466"/>
      <c r="AD51" s="92"/>
      <c r="AE51" s="92"/>
      <c r="AF51" s="307">
        <f t="shared" si="18"/>
        <v>-297.20779220778763</v>
      </c>
      <c r="AG51" s="72">
        <f t="shared" si="19"/>
        <v>0.81009086759885773</v>
      </c>
      <c r="AH51" s="462"/>
    </row>
    <row r="52" spans="1:34" ht="15" customHeight="1">
      <c r="A52" s="489"/>
      <c r="B52" s="101" t="s">
        <v>81</v>
      </c>
      <c r="C52" s="102"/>
      <c r="D52" s="103" t="s">
        <v>129</v>
      </c>
      <c r="E52" s="104"/>
      <c r="F52" s="75">
        <f>VLOOKUP(D52,廠價表!$C$1:$E$43,3,0)</f>
        <v>49.97</v>
      </c>
      <c r="G52" s="202">
        <v>3527</v>
      </c>
      <c r="H52" s="231">
        <f>F52*G52</f>
        <v>176244.19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1666.2992125984354</v>
      </c>
      <c r="O52" s="235">
        <f>N52/M52</f>
        <v>104.14370078740221</v>
      </c>
      <c r="P52" s="74">
        <f>M52-J52</f>
        <v>0</v>
      </c>
      <c r="Q52" s="83">
        <f>O52-L52</f>
        <v>-8.35629921259779</v>
      </c>
      <c r="R52" s="72">
        <f t="shared" si="17"/>
        <v>0.92572178477690859</v>
      </c>
      <c r="S52" s="417"/>
      <c r="T52" s="21">
        <v>0.54791666666666705</v>
      </c>
      <c r="U52" s="21">
        <v>0.63611111111111096</v>
      </c>
      <c r="V52" s="30">
        <f>(T52-U51)*24*60</f>
        <v>77.000000000001165</v>
      </c>
      <c r="W52" s="236">
        <f t="shared" si="4"/>
        <v>126.99999999999923</v>
      </c>
      <c r="X52" s="22"/>
      <c r="Y52" s="84"/>
      <c r="Z52" s="90">
        <v>1</v>
      </c>
      <c r="AA52" s="90">
        <v>22</v>
      </c>
      <c r="AB52" s="466"/>
      <c r="AC52" s="466"/>
      <c r="AD52" s="92"/>
      <c r="AE52" s="92"/>
      <c r="AF52" s="307">
        <f t="shared" si="18"/>
        <v>-133.70078740156464</v>
      </c>
      <c r="AG52" s="72">
        <f t="shared" si="19"/>
        <v>0.92572178477690859</v>
      </c>
      <c r="AH52" s="462"/>
    </row>
    <row r="53" spans="1:34" ht="15" customHeight="1">
      <c r="A53" s="489"/>
      <c r="B53" s="101" t="s">
        <v>81</v>
      </c>
      <c r="C53" s="102"/>
      <c r="D53" s="103" t="s">
        <v>121</v>
      </c>
      <c r="E53" s="104"/>
      <c r="F53" s="75">
        <f>VLOOKUP(D53,廠價表!$C$1:$E$43,3,0)</f>
        <v>50.289000000000001</v>
      </c>
      <c r="G53" s="202">
        <v>400</v>
      </c>
      <c r="H53" s="231">
        <f>F53*G53</f>
        <v>20115.600000000002</v>
      </c>
      <c r="I53" s="232"/>
      <c r="J53" s="79">
        <f>VLOOKUP(D53,產線配置圖!$A$3:$C$40,2,0)</f>
        <v>19</v>
      </c>
      <c r="K53" s="80">
        <f>VLOOKUP(D53,產線配置圖!$A$3:$C$40,3,0)</f>
        <v>1565</v>
      </c>
      <c r="L53" s="81">
        <f>K53/J53</f>
        <v>82.368421052631575</v>
      </c>
      <c r="M53" s="108">
        <v>3</v>
      </c>
      <c r="N53" s="234">
        <f>G53/W53*60</f>
        <v>1090.909090909071</v>
      </c>
      <c r="O53" s="235">
        <f>N53/M53</f>
        <v>363.63636363635698</v>
      </c>
      <c r="P53" s="74">
        <f>M53-J53</f>
        <v>-16</v>
      </c>
      <c r="Q53" s="83">
        <f>O53-L53</f>
        <v>281.26794258372541</v>
      </c>
      <c r="R53" s="72">
        <f t="shared" si="17"/>
        <v>4.414754574498903</v>
      </c>
      <c r="S53" s="417"/>
      <c r="T53" s="21">
        <v>0.65972222222222199</v>
      </c>
      <c r="U53" s="21">
        <v>0.67500000000000004</v>
      </c>
      <c r="V53" s="30">
        <f>(T53-U52)*24*60</f>
        <v>33.999999999999879</v>
      </c>
      <c r="W53" s="236">
        <f t="shared" si="4"/>
        <v>22.000000000000401</v>
      </c>
      <c r="X53" s="30"/>
      <c r="Y53" s="151"/>
      <c r="Z53" s="90"/>
      <c r="AA53" s="90"/>
      <c r="AB53" s="466" t="s">
        <v>210</v>
      </c>
      <c r="AC53" s="466"/>
      <c r="AD53" s="92"/>
      <c r="AE53" s="92"/>
      <c r="AF53" s="307">
        <f t="shared" si="18"/>
        <v>-474.09090909092902</v>
      </c>
      <c r="AG53" s="72">
        <f t="shared" si="19"/>
        <v>0.69706651176298462</v>
      </c>
      <c r="AH53" s="462"/>
    </row>
    <row r="54" spans="1:34" ht="15" customHeight="1">
      <c r="A54" s="489"/>
      <c r="B54" s="101"/>
      <c r="C54" s="102"/>
      <c r="D54" s="103"/>
      <c r="E54" s="104"/>
      <c r="F54" s="105"/>
      <c r="G54" s="202"/>
      <c r="H54" s="78"/>
      <c r="I54" s="30"/>
      <c r="J54" s="106"/>
      <c r="K54" s="107"/>
      <c r="L54" s="96"/>
      <c r="M54" s="108"/>
      <c r="N54" s="107"/>
      <c r="O54" s="238"/>
      <c r="P54" s="74"/>
      <c r="Q54" s="83"/>
      <c r="R54" s="72"/>
      <c r="S54" s="417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21"/>
      <c r="U57" s="21"/>
      <c r="V57" s="237"/>
      <c r="W57" s="236">
        <f t="shared" si="4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>
      <c r="A58" s="490"/>
      <c r="B58" s="239"/>
      <c r="C58" s="153"/>
      <c r="D58" s="437" t="s">
        <v>42</v>
      </c>
      <c r="E58" s="437"/>
      <c r="F58" s="116"/>
      <c r="G58" s="117"/>
      <c r="H58" s="118"/>
      <c r="I58" s="267"/>
      <c r="J58" s="240">
        <f t="shared" ref="J58:O58" si="20">AVERAGE(J48:J57)</f>
        <v>17</v>
      </c>
      <c r="K58" s="240">
        <f t="shared" si="20"/>
        <v>1700.8333333333333</v>
      </c>
      <c r="L58" s="268">
        <f t="shared" si="20"/>
        <v>100.90769980506822</v>
      </c>
      <c r="M58" s="240">
        <f t="shared" si="20"/>
        <v>14</v>
      </c>
      <c r="N58" s="240">
        <f t="shared" si="20"/>
        <v>1452.2903028267781</v>
      </c>
      <c r="O58" s="268">
        <f t="shared" si="20"/>
        <v>139.10083641385486</v>
      </c>
      <c r="P58" s="269">
        <f>M58-J58</f>
        <v>-3</v>
      </c>
      <c r="Q58" s="222">
        <f>N58-K58</f>
        <v>-248.54303050655517</v>
      </c>
      <c r="R58" s="123">
        <f>O58/L58</f>
        <v>1.3784957608048494</v>
      </c>
      <c r="S58" s="420"/>
      <c r="T58" s="376"/>
      <c r="U58" s="376"/>
      <c r="V58" s="126"/>
      <c r="W58" s="242"/>
      <c r="X58" s="128"/>
      <c r="Y58" s="295"/>
      <c r="Z58" s="334">
        <f>SUM(Z49:Z57)</f>
        <v>1</v>
      </c>
      <c r="AA58" s="334">
        <f>SUM(AA49:AA57)</f>
        <v>22</v>
      </c>
      <c r="AB58" s="467"/>
      <c r="AC58" s="467"/>
      <c r="AD58" s="323">
        <f>SUM(AD49:AD57)</f>
        <v>0</v>
      </c>
      <c r="AE58" s="323">
        <f>SUM(AE49:AE57)</f>
        <v>0</v>
      </c>
      <c r="AF58" s="309">
        <f>N58-K58</f>
        <v>-248.54303050655517</v>
      </c>
      <c r="AG58" s="124">
        <f>N58/K58</f>
        <v>0.85386984977566571</v>
      </c>
      <c r="AH58" s="464"/>
    </row>
    <row r="59" spans="1:34" ht="15" customHeight="1">
      <c r="A59" s="502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2355</v>
      </c>
      <c r="H59" s="243">
        <f>F59*G59</f>
        <v>63561.45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1487.3684210526369</v>
      </c>
      <c r="O59" s="138">
        <f>N59/M59</f>
        <v>99.157894736842465</v>
      </c>
      <c r="P59" s="56">
        <f>M59-J59</f>
        <v>0</v>
      </c>
      <c r="Q59" s="230">
        <f>O59-L59</f>
        <v>-5.1754385964908636</v>
      </c>
      <c r="R59" s="52">
        <f>O59/L59</f>
        <v>0.9503951572221323</v>
      </c>
      <c r="S59" s="416">
        <f>R69</f>
        <v>0.90577194878001788</v>
      </c>
      <c r="T59" s="245">
        <v>0.29166666666666702</v>
      </c>
      <c r="U59" s="245">
        <v>0.35763888888888901</v>
      </c>
      <c r="V59" s="55"/>
      <c r="W59" s="54">
        <f t="shared" si="4"/>
        <v>94.999999999999659</v>
      </c>
      <c r="X59" s="55"/>
      <c r="Y59" s="290"/>
      <c r="Z59" s="169"/>
      <c r="AA59" s="169"/>
      <c r="AB59" s="468"/>
      <c r="AC59" s="468"/>
      <c r="AD59" s="135"/>
      <c r="AE59" s="135"/>
      <c r="AF59" s="310">
        <f>N59-K59</f>
        <v>-77.631578947363096</v>
      </c>
      <c r="AG59" s="246">
        <f>N59/K59</f>
        <v>0.95039515722213219</v>
      </c>
      <c r="AH59" s="461">
        <f>AG69</f>
        <v>0.9070090911155313</v>
      </c>
    </row>
    <row r="60" spans="1:34" ht="15" customHeight="1">
      <c r="A60" s="503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1961</v>
      </c>
      <c r="H60" s="78">
        <f>F60*G60</f>
        <v>55417.86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1470.7499999999873</v>
      </c>
      <c r="O60" s="81">
        <f>N60/M60</f>
        <v>122.56249999999893</v>
      </c>
      <c r="P60" s="74">
        <f>M60-J60</f>
        <v>0</v>
      </c>
      <c r="Q60" s="83">
        <f>O60-L60</f>
        <v>-7.854166666667723</v>
      </c>
      <c r="R60" s="72">
        <f>O60/L60</f>
        <v>0.93977635782746793</v>
      </c>
      <c r="S60" s="506"/>
      <c r="T60" s="22">
        <v>0.36458333333333298</v>
      </c>
      <c r="U60" s="22">
        <v>0.42013888888888901</v>
      </c>
      <c r="V60" s="30">
        <f>(T60-U59)*24*60</f>
        <v>9.999999999999325</v>
      </c>
      <c r="W60" s="248">
        <f t="shared" si="4"/>
        <v>80.000000000000682</v>
      </c>
      <c r="X60" s="232"/>
      <c r="Y60" s="177"/>
      <c r="Z60" s="90"/>
      <c r="AA60" s="90"/>
      <c r="AB60" s="466"/>
      <c r="AC60" s="466"/>
      <c r="AD60" s="92"/>
      <c r="AE60" s="92"/>
      <c r="AF60" s="316">
        <f>N60-K60</f>
        <v>-94.250000000012733</v>
      </c>
      <c r="AG60" s="249">
        <f>N60/K60</f>
        <v>0.93977635782746793</v>
      </c>
      <c r="AH60" s="497"/>
    </row>
    <row r="61" spans="1:34" ht="15" customHeight="1">
      <c r="A61" s="504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1558</v>
      </c>
      <c r="H61" s="254">
        <f>F61*G61</f>
        <v>78943.86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13</v>
      </c>
      <c r="N61" s="107">
        <f>G61/W61*60</f>
        <v>1168.49999999999</v>
      </c>
      <c r="O61" s="238">
        <f>N61/M61</f>
        <v>89.884615384614619</v>
      </c>
      <c r="P61" s="111">
        <f>M61-J61</f>
        <v>0</v>
      </c>
      <c r="Q61" s="255">
        <f>O61-L61</f>
        <v>-20.884615384616154</v>
      </c>
      <c r="R61" s="85">
        <f>O61/L61</f>
        <v>0.8114583333333264</v>
      </c>
      <c r="S61" s="417"/>
      <c r="T61" s="22">
        <v>0.42708333333333298</v>
      </c>
      <c r="U61" s="22">
        <v>0.48263888888888901</v>
      </c>
      <c r="V61" s="30">
        <f>(T61-U60)*24*60</f>
        <v>9.999999999999325</v>
      </c>
      <c r="W61" s="256">
        <f t="shared" si="4"/>
        <v>80.000000000000682</v>
      </c>
      <c r="X61" s="22"/>
      <c r="Y61" s="84"/>
      <c r="Z61" s="90"/>
      <c r="AA61" s="90"/>
      <c r="AB61" s="519" t="s">
        <v>211</v>
      </c>
      <c r="AC61" s="466"/>
      <c r="AD61" s="92"/>
      <c r="AE61" s="92"/>
      <c r="AF61" s="317">
        <f>N61-K61</f>
        <v>-271.50000000001</v>
      </c>
      <c r="AG61" s="247">
        <f>N61/K61</f>
        <v>0.8114583333333264</v>
      </c>
      <c r="AH61" s="462"/>
    </row>
    <row r="62" spans="1:34" ht="15" customHeight="1">
      <c r="A62" s="504"/>
      <c r="B62" s="75" t="s">
        <v>130</v>
      </c>
      <c r="C62" s="76"/>
      <c r="D62" s="175" t="s">
        <v>131</v>
      </c>
      <c r="E62" s="77"/>
      <c r="F62" s="250">
        <f>VLOOKUP(D62,廠價表!$C$1:$E$43,3,0)</f>
        <v>26.99</v>
      </c>
      <c r="G62" s="30">
        <v>2037</v>
      </c>
      <c r="H62" s="254">
        <f>F62*G62</f>
        <v>54978.63</v>
      </c>
      <c r="I62" s="182"/>
      <c r="J62" s="106">
        <f>VLOOKUP(D62,產線配置圖!$A$3:$C$40,2,0)</f>
        <v>15</v>
      </c>
      <c r="K62" s="107">
        <f>VLOOKUP(D62,產線配置圖!$A$3:$C$40,3,0)</f>
        <v>1565</v>
      </c>
      <c r="L62" s="238">
        <f>K62/J62</f>
        <v>104.33333333333333</v>
      </c>
      <c r="M62" s="82">
        <v>15</v>
      </c>
      <c r="N62" s="107">
        <f>G62/W62*60</f>
        <v>1437.8823529411707</v>
      </c>
      <c r="O62" s="238">
        <f>N62/M62</f>
        <v>95.858823529411382</v>
      </c>
      <c r="P62" s="111">
        <f>M62-J62</f>
        <v>0</v>
      </c>
      <c r="Q62" s="255">
        <f>O62-L62</f>
        <v>-8.4745098039219471</v>
      </c>
      <c r="R62" s="85">
        <f>O62/L62</f>
        <v>0.91877466641608352</v>
      </c>
      <c r="S62" s="417"/>
      <c r="T62" s="22">
        <v>0.60069444444444398</v>
      </c>
      <c r="U62" s="22">
        <v>0.65972222222222199</v>
      </c>
      <c r="V62" s="30">
        <f>(T62-U61)*24*60</f>
        <v>169.99999999999915</v>
      </c>
      <c r="W62" s="248">
        <f t="shared" si="4"/>
        <v>85.000000000000341</v>
      </c>
      <c r="X62" s="22">
        <v>0.50347222222222199</v>
      </c>
      <c r="Y62" s="84">
        <v>0.54513888888888895</v>
      </c>
      <c r="Z62" s="90"/>
      <c r="AA62" s="90"/>
      <c r="AB62" s="466"/>
      <c r="AC62" s="466"/>
      <c r="AD62" s="92"/>
      <c r="AE62" s="92"/>
      <c r="AF62" s="317">
        <f>N62-K62</f>
        <v>-127.11764705882933</v>
      </c>
      <c r="AG62" s="247">
        <f>N62/K62</f>
        <v>0.91877466641608352</v>
      </c>
      <c r="AH62" s="462"/>
    </row>
    <row r="63" spans="1:34" ht="15" customHeight="1">
      <c r="A63" s="504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7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6"/>
      <c r="AC63" s="466"/>
      <c r="AD63" s="92"/>
      <c r="AE63" s="92"/>
      <c r="AF63" s="317"/>
      <c r="AG63" s="247"/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>
        <f t="shared" ref="J69:O69" si="21">AVERAGE(J59:J68)</f>
        <v>13.75</v>
      </c>
      <c r="K69" s="240">
        <f t="shared" si="21"/>
        <v>1533.75</v>
      </c>
      <c r="L69" s="268">
        <f t="shared" si="21"/>
        <v>112.46314102564102</v>
      </c>
      <c r="M69" s="240">
        <f t="shared" si="21"/>
        <v>13.75</v>
      </c>
      <c r="N69" s="240">
        <f t="shared" si="21"/>
        <v>1391.1251934984462</v>
      </c>
      <c r="O69" s="268">
        <f t="shared" si="21"/>
        <v>101.86595841271685</v>
      </c>
      <c r="P69" s="269">
        <f>M69-J69</f>
        <v>0</v>
      </c>
      <c r="Q69" s="222">
        <f>N69-K69</f>
        <v>-142.62480650155385</v>
      </c>
      <c r="R69" s="123">
        <f>O69/L69</f>
        <v>0.90577194878001788</v>
      </c>
      <c r="S69" s="42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7"/>
      <c r="AC69" s="467"/>
      <c r="AD69" s="323">
        <f>SUM(AD59:AD68)</f>
        <v>0</v>
      </c>
      <c r="AE69" s="323">
        <f>SUM(AE59:AE68)</f>
        <v>0</v>
      </c>
      <c r="AF69" s="309">
        <f>N69-K69</f>
        <v>-142.62480650155385</v>
      </c>
      <c r="AG69" s="124">
        <f>N69/K69</f>
        <v>0.9070090911155313</v>
      </c>
      <c r="AH69" s="464"/>
    </row>
    <row r="70" spans="1:36" ht="15" customHeight="1">
      <c r="A70" s="498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6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68"/>
      <c r="AC70" s="468"/>
      <c r="AD70" s="135"/>
      <c r="AE70" s="135"/>
      <c r="AF70" s="310">
        <f>N70-K70</f>
        <v>0</v>
      </c>
      <c r="AG70" s="246" t="e">
        <f>N70/K70</f>
        <v>#DIV/0!</v>
      </c>
      <c r="AH70" s="461" t="e">
        <f>AG79</f>
        <v>#DIV/0!</v>
      </c>
    </row>
    <row r="71" spans="1:36" ht="15" customHeight="1">
      <c r="A71" s="499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7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7"/>
      <c r="AC71" s="487"/>
      <c r="AD71" s="200"/>
      <c r="AE71" s="200"/>
      <c r="AF71" s="311">
        <v>-300.31249999999704</v>
      </c>
      <c r="AG71" s="99">
        <v>0.80810702875399554</v>
      </c>
      <c r="AH71" s="482"/>
    </row>
    <row r="72" spans="1:36" ht="15" customHeight="1">
      <c r="A72" s="499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7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6"/>
      <c r="AC72" s="466"/>
      <c r="AD72" s="92"/>
      <c r="AE72" s="92"/>
      <c r="AF72" s="311">
        <v>-130.33333333333326</v>
      </c>
      <c r="AG72" s="99">
        <v>0.91671991480298198</v>
      </c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6"/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>
      <c r="A79" s="500"/>
      <c r="B79" s="239"/>
      <c r="C79" s="153"/>
      <c r="D79" s="437"/>
      <c r="E79" s="437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2:B2"/>
    <mergeCell ref="A3:A4"/>
    <mergeCell ref="B3:B4"/>
    <mergeCell ref="D3:E4"/>
    <mergeCell ref="F3:F4"/>
    <mergeCell ref="P3:P4"/>
    <mergeCell ref="Q3:Q4"/>
    <mergeCell ref="R3:R4"/>
    <mergeCell ref="T3:U3"/>
    <mergeCell ref="V3:V4"/>
    <mergeCell ref="W3:W4"/>
    <mergeCell ref="X3:Y3"/>
    <mergeCell ref="Z3:AA3"/>
    <mergeCell ref="AB13:AC13"/>
    <mergeCell ref="AD3:AE3"/>
    <mergeCell ref="AF3:AF4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174" priority="1" operator="greaterThan">
      <formula>0</formula>
    </cfRule>
  </conditionalFormatting>
  <conditionalFormatting sqref="Q5:Q79 AF5:AF79">
    <cfRule type="cellIs" dxfId="173" priority="4" operator="lessThan">
      <formula>0</formula>
    </cfRule>
  </conditionalFormatting>
  <conditionalFormatting sqref="R5:R79 AG5:AG79">
    <cfRule type="cellIs" dxfId="172" priority="2" operator="greaterThan">
      <formula>1</formula>
    </cfRule>
    <cfRule type="cellIs" dxfId="171" priority="3" operator="lessThan">
      <formula>0.8</formula>
    </cfRule>
  </conditionalFormatting>
  <conditionalFormatting sqref="S5:S10 S37:S62 AH59:AH62 S69:S76 AH69:AH76">
    <cfRule type="cellIs" dxfId="170" priority="7" operator="lessThan">
      <formula>0.8</formula>
    </cfRule>
  </conditionalFormatting>
  <conditionalFormatting sqref="S19:S25 AH19:AH25">
    <cfRule type="cellIs" dxfId="169" priority="6" operator="lessThan">
      <formula>0.8</formula>
    </cfRule>
  </conditionalFormatting>
  <conditionalFormatting sqref="S79">
    <cfRule type="cellIs" dxfId="168" priority="5" operator="lessThan">
      <formula>0.8</formula>
    </cfRule>
  </conditionalFormatting>
  <conditionalFormatting sqref="AH5:AH8 S15:S16 AH15:AH16 AH49 AH79">
    <cfRule type="cellIs" dxfId="167" priority="9" operator="lessThan">
      <formula>0.8</formula>
    </cfRule>
  </conditionalFormatting>
  <conditionalFormatting sqref="AH27 S27:S28">
    <cfRule type="cellIs" dxfId="166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539656-7032-4E05-9FD2-D2F3298B076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2BA15-A778-4940-9A14-F958919FFE70}">
  <dimension ref="B1:O26"/>
  <sheetViews>
    <sheetView topLeftCell="A8" zoomScale="70" zoomScaleNormal="70" workbookViewId="0">
      <selection activeCell="U52" sqref="U5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46161</v>
      </c>
      <c r="E3" s="412"/>
      <c r="F3" s="3" t="s">
        <v>72</v>
      </c>
      <c r="G3" s="413">
        <f>'0519'!E1</f>
        <v>57965</v>
      </c>
      <c r="H3" s="413"/>
      <c r="I3" s="3" t="s">
        <v>2</v>
      </c>
      <c r="J3" s="414">
        <f>'0519'!G1</f>
        <v>2827370.1080000005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>
        <f>AVERAGE(D13:I13)</f>
        <v>120.68520560503403</v>
      </c>
      <c r="G6" s="410"/>
      <c r="H6" s="395">
        <f>AVERAGE(D13:H13)</f>
        <v>122.32961852091265</v>
      </c>
      <c r="I6" s="395"/>
      <c r="J6" s="395">
        <f>AVERAGE(I13)</f>
        <v>112.46314102564102</v>
      </c>
      <c r="K6" s="395"/>
      <c r="L6" s="396">
        <f>SUM(D18:J18)</f>
        <v>3</v>
      </c>
      <c r="M6" s="398">
        <f>SUM(D19:J19)</f>
        <v>59</v>
      </c>
      <c r="N6" s="399">
        <f>SUM(D20:J20)</f>
        <v>0</v>
      </c>
      <c r="O6" s="398">
        <f>SUM(D20:J20)</f>
        <v>0</v>
      </c>
    </row>
    <row r="7" spans="2:15" ht="39.6" customHeight="1">
      <c r="B7" s="406"/>
      <c r="C7" s="406"/>
      <c r="D7" s="401" t="s">
        <v>87</v>
      </c>
      <c r="E7" s="401"/>
      <c r="F7" s="402">
        <f>AVERAGE(D14:I14)</f>
        <v>108.84272353073585</v>
      </c>
      <c r="G7" s="402"/>
      <c r="H7" s="403">
        <f>AVERAGE(D14:H14)</f>
        <v>110.04525374333438</v>
      </c>
      <c r="I7" s="403"/>
      <c r="J7" s="403">
        <f>AVERAGE(I14)</f>
        <v>102.83007246774322</v>
      </c>
      <c r="K7" s="403"/>
      <c r="L7" s="397" t="e">
        <f t="shared" ref="L7:O8" si="0">AVERAGE(K14:L14)</f>
        <v>#DIV/0!</v>
      </c>
      <c r="M7" s="398" t="e">
        <f t="shared" si="0"/>
        <v>#DIV/0!</v>
      </c>
      <c r="N7" s="400" t="e">
        <f t="shared" si="0"/>
        <v>#DIV/0!</v>
      </c>
      <c r="O7" s="398" t="e">
        <f t="shared" si="0"/>
        <v>#DIV/0!</v>
      </c>
    </row>
    <row r="8" spans="2:15" ht="39.6" customHeight="1">
      <c r="B8" s="406"/>
      <c r="C8" s="406"/>
      <c r="D8" s="401" t="s">
        <v>27</v>
      </c>
      <c r="E8" s="401"/>
      <c r="F8" s="387">
        <f>F7/F6</f>
        <v>0.90187295936624567</v>
      </c>
      <c r="G8" s="387"/>
      <c r="H8" s="387">
        <f>H7/H6</f>
        <v>0.89957979983826886</v>
      </c>
      <c r="I8" s="387"/>
      <c r="J8" s="387">
        <f>J7/J6</f>
        <v>0.91434466021448302</v>
      </c>
      <c r="K8" s="387"/>
      <c r="L8" s="397" t="e">
        <f t="shared" si="0"/>
        <v>#DIV/0!</v>
      </c>
      <c r="M8" s="398" t="e">
        <f t="shared" si="0"/>
        <v>#DIV/0!</v>
      </c>
      <c r="N8" s="400" t="e">
        <f t="shared" si="0"/>
        <v>#DIV/0!</v>
      </c>
      <c r="O8" s="398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>
        <f>VALUE('0519'!L15)</f>
        <v>150</v>
      </c>
      <c r="E13" s="13">
        <f>VALUE('0519'!L26)</f>
        <v>161.37362637362637</v>
      </c>
      <c r="F13" s="13">
        <f>VALUE('0519'!L37)</f>
        <v>91.610021786492382</v>
      </c>
      <c r="G13" s="13">
        <f>VALUE('0519'!L48)</f>
        <v>102.24575163398693</v>
      </c>
      <c r="H13" s="13">
        <f>VALUE('0519'!L58)</f>
        <v>106.41869281045751</v>
      </c>
      <c r="I13" s="13">
        <f>VALUE('0519'!L69)</f>
        <v>112.46314102564102</v>
      </c>
      <c r="J13" s="13">
        <f>'0519'!L79</f>
        <v>0</v>
      </c>
    </row>
    <row r="14" spans="2:15" ht="39.950000000000003" customHeight="1">
      <c r="B14" s="381"/>
      <c r="C14" s="12" t="s">
        <v>100</v>
      </c>
      <c r="D14" s="13">
        <f>VALUE('0519'!O15)</f>
        <v>141.62564102564093</v>
      </c>
      <c r="E14" s="13">
        <f>VALUE('0519'!O26)</f>
        <v>146.55101410124746</v>
      </c>
      <c r="F14" s="13">
        <f>VALUE('0519'!O37)</f>
        <v>75.466624396927202</v>
      </c>
      <c r="G14" s="13">
        <f>VALUE('0519'!O48)</f>
        <v>88.771542295176459</v>
      </c>
      <c r="H14" s="13">
        <f>VALUE('0519'!O58)</f>
        <v>97.811446897679929</v>
      </c>
      <c r="I14" s="13">
        <f>VALUE('0519'!O69)</f>
        <v>102.83007246774322</v>
      </c>
      <c r="J14" s="13">
        <f>'0519'!O79</f>
        <v>0</v>
      </c>
    </row>
    <row r="15" spans="2:15" ht="39.950000000000003" customHeight="1">
      <c r="B15" s="382"/>
      <c r="C15" s="10" t="s">
        <v>26</v>
      </c>
      <c r="D15" s="14">
        <f t="shared" ref="D15:I15" si="1">D14/D13</f>
        <v>0.9441709401709395</v>
      </c>
      <c r="E15" s="14">
        <f t="shared" si="1"/>
        <v>0.90814724434548988</v>
      </c>
      <c r="F15" s="14">
        <f t="shared" si="1"/>
        <v>0.82378131699183288</v>
      </c>
      <c r="G15" s="14">
        <f t="shared" si="1"/>
        <v>0.86821741614219228</v>
      </c>
      <c r="H15" s="14">
        <f t="shared" si="1"/>
        <v>0.91911904116217658</v>
      </c>
      <c r="I15" s="14">
        <f t="shared" si="1"/>
        <v>0.91434466021448302</v>
      </c>
      <c r="J15" s="15">
        <f>'0519'!S70</f>
        <v>0</v>
      </c>
    </row>
    <row r="16" spans="2:15" ht="17.25" customHeight="1">
      <c r="B16" s="383" t="s">
        <v>101</v>
      </c>
      <c r="C16" s="10" t="s">
        <v>34</v>
      </c>
      <c r="D16" s="16">
        <f>'0519'!T5</f>
        <v>0.29166666666666702</v>
      </c>
      <c r="E16" s="16">
        <f>'0519'!T16</f>
        <v>0.29027777777777802</v>
      </c>
      <c r="F16" s="16">
        <f>'0519'!T27</f>
        <v>0.33333333333333298</v>
      </c>
      <c r="G16" s="16">
        <f>'0519'!T38</f>
        <v>0.33333333333333298</v>
      </c>
      <c r="H16" s="16">
        <f>'0519'!T49</f>
        <v>0.29166666666666702</v>
      </c>
      <c r="I16" s="16">
        <f>'0519'!T59</f>
        <v>0.29166666666666702</v>
      </c>
      <c r="J16" s="16">
        <f>'0519'!T70</f>
        <v>0</v>
      </c>
    </row>
    <row r="17" spans="2:10" ht="17.25" customHeight="1">
      <c r="B17" s="384"/>
      <c r="C17" s="10" t="s">
        <v>35</v>
      </c>
      <c r="D17" s="16">
        <v>0.63402777777777797</v>
      </c>
      <c r="E17" s="19">
        <v>0.60763888888888895</v>
      </c>
      <c r="F17" s="19">
        <v>0.59583333333333299</v>
      </c>
      <c r="G17" s="210">
        <v>0.63541666666666696</v>
      </c>
      <c r="H17" s="22">
        <v>0.65277777777777801</v>
      </c>
      <c r="I17" s="22">
        <v>0.62847222222222199</v>
      </c>
      <c r="J17" s="16">
        <f>'0519'!T71</f>
        <v>0</v>
      </c>
    </row>
    <row r="18" spans="2:10" ht="17.25" customHeight="1">
      <c r="B18" s="385" t="s">
        <v>102</v>
      </c>
      <c r="C18" s="330" t="s">
        <v>36</v>
      </c>
      <c r="D18" s="358">
        <f>'0519'!Z15</f>
        <v>0</v>
      </c>
      <c r="E18" s="359">
        <f>'0519'!Z26</f>
        <v>0</v>
      </c>
      <c r="F18" s="359">
        <f>'0519'!Z37</f>
        <v>1</v>
      </c>
      <c r="G18" s="360">
        <f>'0519'!Z48</f>
        <v>2</v>
      </c>
      <c r="H18" s="360">
        <f>'0519'!Z58</f>
        <v>0</v>
      </c>
      <c r="I18" s="359">
        <f>'0519'!Z69</f>
        <v>0</v>
      </c>
      <c r="J18" s="359">
        <f>'0519'!AA79</f>
        <v>0</v>
      </c>
    </row>
    <row r="19" spans="2:10" ht="17.25" customHeight="1">
      <c r="B19" s="386"/>
      <c r="C19" s="330" t="s">
        <v>37</v>
      </c>
      <c r="D19" s="358">
        <f>'0519'!AA15</f>
        <v>0</v>
      </c>
      <c r="E19" s="359">
        <f>'0519'!AA26</f>
        <v>0</v>
      </c>
      <c r="F19" s="359">
        <f>'0519'!AA37</f>
        <v>29</v>
      </c>
      <c r="G19" s="360">
        <f>'0519'!AA48</f>
        <v>30</v>
      </c>
      <c r="H19" s="360">
        <f>'0519'!AA58</f>
        <v>0</v>
      </c>
      <c r="I19" s="359">
        <f>'0519'!AA69</f>
        <v>0</v>
      </c>
      <c r="J19" s="359">
        <f>'0519'!AB79</f>
        <v>0</v>
      </c>
    </row>
    <row r="20" spans="2:10" ht="17.25" customHeight="1">
      <c r="B20" s="385" t="s">
        <v>103</v>
      </c>
      <c r="C20" s="330" t="s">
        <v>36</v>
      </c>
      <c r="D20" s="358">
        <f>'0519'!AD15</f>
        <v>0</v>
      </c>
      <c r="E20" s="359">
        <f>'0519'!AD26</f>
        <v>0</v>
      </c>
      <c r="F20" s="359">
        <f>'0519'!AD37</f>
        <v>0</v>
      </c>
      <c r="G20" s="360">
        <f>'0519'!AD48</f>
        <v>0</v>
      </c>
      <c r="H20" s="360">
        <f>'0519'!AD58</f>
        <v>0</v>
      </c>
      <c r="I20" s="359">
        <f>'0519'!AD69</f>
        <v>0</v>
      </c>
      <c r="J20" s="359">
        <f>'0519'!AD79</f>
        <v>0</v>
      </c>
    </row>
    <row r="21" spans="2:10" ht="17.25" customHeight="1">
      <c r="B21" s="386"/>
      <c r="C21" s="330" t="s">
        <v>85</v>
      </c>
      <c r="D21" s="358">
        <f>'0519'!AE15</f>
        <v>0</v>
      </c>
      <c r="E21" s="359">
        <f>'0519'!AE26</f>
        <v>0</v>
      </c>
      <c r="F21" s="359">
        <f>'0519'!AE37</f>
        <v>0</v>
      </c>
      <c r="G21" s="360">
        <f>'0519'!AE48</f>
        <v>0</v>
      </c>
      <c r="H21" s="360">
        <f>'0519'!AE58</f>
        <v>0</v>
      </c>
      <c r="I21" s="359">
        <f>'0519'!AE69</f>
        <v>0</v>
      </c>
      <c r="J21" s="359">
        <f>'0519'!AE79</f>
        <v>0</v>
      </c>
    </row>
    <row r="22" spans="2:10" ht="17.25" customHeight="1">
      <c r="B22" s="377" t="s">
        <v>104</v>
      </c>
      <c r="C22" s="378"/>
      <c r="D22" s="23">
        <f>VALUE('0519'!M15)</f>
        <v>12.8</v>
      </c>
      <c r="E22" s="23">
        <f>VALUE('0519'!M26)</f>
        <v>14</v>
      </c>
      <c r="F22" s="23">
        <f>VALUE('0519'!M37)</f>
        <v>17.333333333333332</v>
      </c>
      <c r="G22" s="23">
        <f>VALUE('0519'!M48)</f>
        <v>16.333333333333332</v>
      </c>
      <c r="H22" s="23">
        <f>VALUE('0519'!M58)</f>
        <v>16.399999999999999</v>
      </c>
      <c r="I22" s="23">
        <f>VALUE('0519'!M69)</f>
        <v>13.75</v>
      </c>
      <c r="J22" s="23">
        <f>'0519'!M79</f>
        <v>0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D7:E7"/>
    <mergeCell ref="F7:G7"/>
    <mergeCell ref="H7:I7"/>
    <mergeCell ref="J7:K7"/>
    <mergeCell ref="D8:E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65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88B6-F049-4F3F-87EA-0DB162751EFC}">
  <sheetPr>
    <tabColor theme="9" tint="0.79998168889431442"/>
  </sheetPr>
  <dimension ref="A1:AJ92"/>
  <sheetViews>
    <sheetView zoomScale="69" zoomScaleNormal="69" workbookViewId="0">
      <pane xSplit="5" ySplit="4" topLeftCell="F20" activePane="bottomRight" state="frozen"/>
      <selection activeCell="U52" sqref="U52"/>
      <selection pane="topRight" activeCell="U52" sqref="U52"/>
      <selection pane="bottomLeft" activeCell="U52" sqref="U52"/>
      <selection pane="bottomRight" activeCell="U52" sqref="U5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8" width="8.7109375" style="34" customWidth="1"/>
    <col min="109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57965</v>
      </c>
      <c r="F1" s="30" t="s">
        <v>2</v>
      </c>
      <c r="G1" s="31">
        <f>SUM(H5:H79)</f>
        <v>2827370.1080000005</v>
      </c>
      <c r="H1" s="32" t="s">
        <v>3</v>
      </c>
      <c r="I1" s="33">
        <f>M15+M26+M48+M58+M69+M79+M37</f>
        <v>90.61666666666666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212</v>
      </c>
      <c r="B2" s="422"/>
      <c r="C2" s="28"/>
      <c r="D2" s="28" t="s">
        <v>14</v>
      </c>
      <c r="E2" s="35">
        <f>AVERAGE(O15,O26,O37,O48,O58,O69,O79)</f>
        <v>108.84272353073585</v>
      </c>
      <c r="F2" s="36" t="s">
        <v>15</v>
      </c>
      <c r="G2" s="37">
        <f>G1/E1</f>
        <v>48.777194996980946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3</v>
      </c>
      <c r="AA2" s="339">
        <f>AA15+AA26+AA37+AA48+AA58+AA69+AA79</f>
        <v>59</v>
      </c>
      <c r="AB2" s="460"/>
      <c r="AC2" s="460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2376</v>
      </c>
      <c r="H5" s="43">
        <f>F5*G5</f>
        <v>135123.12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2160.0000000000155</v>
      </c>
      <c r="O5" s="47">
        <f>N5/M5</f>
        <v>144.00000000000102</v>
      </c>
      <c r="P5" s="49">
        <f>M5-J5</f>
        <v>0</v>
      </c>
      <c r="Q5" s="50">
        <f>O5-L5</f>
        <v>-5.9999999999989768</v>
      </c>
      <c r="R5" s="51">
        <f>O5/L5</f>
        <v>0.96000000000000685</v>
      </c>
      <c r="S5" s="416">
        <f>R15</f>
        <v>0.9441709401709395</v>
      </c>
      <c r="T5" s="319">
        <v>0.29166666666666702</v>
      </c>
      <c r="U5" s="320">
        <v>0.33750000000000002</v>
      </c>
      <c r="V5" s="53"/>
      <c r="W5" s="54">
        <f t="shared" ref="W5:W14" si="0">(U5-T5)*24*60</f>
        <v>65.999999999999531</v>
      </c>
      <c r="X5" s="55"/>
      <c r="Y5" s="290"/>
      <c r="Z5" s="169"/>
      <c r="AA5" s="169"/>
      <c r="AB5" s="468"/>
      <c r="AC5" s="468"/>
      <c r="AD5" s="135"/>
      <c r="AE5" s="135"/>
      <c r="AF5" s="229">
        <f t="shared" ref="AF5:AF11" si="1">N5-K5</f>
        <v>-89.999999999984539</v>
      </c>
      <c r="AG5" s="52">
        <f t="shared" ref="AG5:AG11" si="2">N5/K5</f>
        <v>0.96000000000000685</v>
      </c>
      <c r="AH5" s="461">
        <f>AG15</f>
        <v>0.79261538461538339</v>
      </c>
    </row>
    <row r="6" spans="1:34" ht="15" customHeight="1">
      <c r="A6" s="428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3727</v>
      </c>
      <c r="H6" s="63">
        <f>F6*G6</f>
        <v>216799.59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2150.1923076922835</v>
      </c>
      <c r="O6" s="67">
        <f>N6/M6</f>
        <v>143.34615384615225</v>
      </c>
      <c r="P6" s="69">
        <f>M6-J6</f>
        <v>0</v>
      </c>
      <c r="Q6" s="70">
        <f>O6-L6</f>
        <v>-6.653846153847752</v>
      </c>
      <c r="R6" s="71">
        <f>O6/L6</f>
        <v>0.95564102564101494</v>
      </c>
      <c r="S6" s="417"/>
      <c r="T6" s="16">
        <v>0.344444444444444</v>
      </c>
      <c r="U6" s="16">
        <v>0.41666666666666702</v>
      </c>
      <c r="V6" s="30">
        <f>(T6-U5)*24*60</f>
        <v>9.999999999999325</v>
      </c>
      <c r="W6" s="73">
        <f t="shared" si="0"/>
        <v>104.00000000000115</v>
      </c>
      <c r="X6" s="22"/>
      <c r="Y6" s="84"/>
      <c r="Z6" s="90"/>
      <c r="AA6" s="90"/>
      <c r="AB6" s="465"/>
      <c r="AC6" s="465"/>
      <c r="AD6" s="149"/>
      <c r="AE6" s="149"/>
      <c r="AF6" s="307">
        <f t="shared" si="1"/>
        <v>-99.807692307716479</v>
      </c>
      <c r="AG6" s="72">
        <f t="shared" si="2"/>
        <v>0.95564102564101494</v>
      </c>
      <c r="AH6" s="462"/>
    </row>
    <row r="7" spans="1:34" ht="15" customHeight="1">
      <c r="A7" s="428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2690</v>
      </c>
      <c r="H7" s="78">
        <f>F7*G7</f>
        <v>132186.6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2069.2307692307554</v>
      </c>
      <c r="O7" s="81">
        <f>N7/M7</f>
        <v>137.94871794871702</v>
      </c>
      <c r="P7" s="74">
        <f>M7-J7</f>
        <v>0</v>
      </c>
      <c r="Q7" s="83">
        <f>O7-L7</f>
        <v>-12.051282051282982</v>
      </c>
      <c r="R7" s="72">
        <f>O7/L7</f>
        <v>0.9196581196581135</v>
      </c>
      <c r="S7" s="417"/>
      <c r="T7" s="18">
        <v>0.42499999999999999</v>
      </c>
      <c r="U7" s="18">
        <v>0.47916666666666702</v>
      </c>
      <c r="V7" s="30">
        <f>(T7-U6)*24*60</f>
        <v>11.999999999999478</v>
      </c>
      <c r="W7" s="73">
        <f t="shared" si="0"/>
        <v>78.000000000000526</v>
      </c>
      <c r="X7" s="22"/>
      <c r="Y7" s="84"/>
      <c r="Z7" s="90"/>
      <c r="AA7" s="90"/>
      <c r="AB7" s="466"/>
      <c r="AC7" s="466"/>
      <c r="AD7" s="92"/>
      <c r="AE7" s="92"/>
      <c r="AF7" s="307">
        <f t="shared" si="1"/>
        <v>-180.76923076924459</v>
      </c>
      <c r="AG7" s="72">
        <f t="shared" si="2"/>
        <v>0.9196581196581135</v>
      </c>
      <c r="AH7" s="462"/>
    </row>
    <row r="8" spans="1:34" ht="15" customHeight="1">
      <c r="A8" s="428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3835</v>
      </c>
      <c r="H8" s="78">
        <f>F8*G8</f>
        <v>188451.9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1917.5000000000068</v>
      </c>
      <c r="O8" s="81">
        <f>N8/M8</f>
        <v>127.83333333333378</v>
      </c>
      <c r="P8" s="74">
        <f>M8-J8</f>
        <v>0</v>
      </c>
      <c r="Q8" s="83">
        <f>O8-L8</f>
        <v>-22.166666666666217</v>
      </c>
      <c r="R8" s="72">
        <f>O8/L8</f>
        <v>0.85222222222222521</v>
      </c>
      <c r="S8" s="417"/>
      <c r="T8" s="16">
        <v>0.54166666666666696</v>
      </c>
      <c r="U8" s="16">
        <v>0.625</v>
      </c>
      <c r="V8" s="30">
        <f>(T8-U7)*24*60</f>
        <v>89.999999999999915</v>
      </c>
      <c r="W8" s="73">
        <f t="shared" si="0"/>
        <v>119.99999999999957</v>
      </c>
      <c r="X8" s="22"/>
      <c r="Y8" s="84"/>
      <c r="Z8" s="90"/>
      <c r="AA8" s="90"/>
      <c r="AB8" s="465"/>
      <c r="AC8" s="465"/>
      <c r="AD8" s="149"/>
      <c r="AE8" s="149"/>
      <c r="AF8" s="307">
        <f t="shared" si="1"/>
        <v>-332.49999999999318</v>
      </c>
      <c r="AG8" s="72">
        <f t="shared" si="2"/>
        <v>0.85222222222222521</v>
      </c>
      <c r="AH8" s="462"/>
    </row>
    <row r="9" spans="1:34" ht="15" customHeight="1">
      <c r="A9" s="429"/>
      <c r="B9" s="57" t="s">
        <v>81</v>
      </c>
      <c r="C9" s="58"/>
      <c r="D9" s="59" t="s">
        <v>115</v>
      </c>
      <c r="E9" s="60"/>
      <c r="F9" s="61">
        <f>VLOOKUP(D9,廠價表!$C$1:$E$43,3,0)</f>
        <v>58.17</v>
      </c>
      <c r="G9" s="66">
        <v>93</v>
      </c>
      <c r="H9" s="63">
        <f>F9*G9</f>
        <v>5409.81</v>
      </c>
      <c r="I9" s="64"/>
      <c r="J9" s="65">
        <f>VLOOKUP(D9,產線配置圖!$A$3:$C$40,2,0)</f>
        <v>15</v>
      </c>
      <c r="K9" s="66">
        <f>VLOOKUP(D9,產線配置圖!$A$3:$C$40,3,0)</f>
        <v>2250</v>
      </c>
      <c r="L9" s="67">
        <f>K9/J9</f>
        <v>150</v>
      </c>
      <c r="M9" s="68">
        <v>4</v>
      </c>
      <c r="N9" s="66">
        <f>G9/W9*60</f>
        <v>620.00000000000216</v>
      </c>
      <c r="O9" s="67">
        <f>N9/M9</f>
        <v>155.00000000000054</v>
      </c>
      <c r="P9" s="69">
        <f>M9-J9</f>
        <v>-11</v>
      </c>
      <c r="Q9" s="70">
        <f>O9-L9</f>
        <v>5.00000000000054</v>
      </c>
      <c r="R9" s="71">
        <f>O9/L9</f>
        <v>1.033333333333337</v>
      </c>
      <c r="S9" s="418"/>
      <c r="T9" s="16">
        <v>0.62777777777777799</v>
      </c>
      <c r="U9" s="16">
        <v>0.63402777777777797</v>
      </c>
      <c r="V9" s="30">
        <f>(T9-U8)*24*60</f>
        <v>4.0000000000003055</v>
      </c>
      <c r="W9" s="73">
        <f t="shared" si="0"/>
        <v>8.999999999999968</v>
      </c>
      <c r="X9" s="22"/>
      <c r="Y9" s="84"/>
      <c r="Z9" s="90"/>
      <c r="AA9" s="90"/>
      <c r="AB9" s="465" t="s">
        <v>213</v>
      </c>
      <c r="AC9" s="465"/>
      <c r="AD9" s="149"/>
      <c r="AE9" s="149"/>
      <c r="AF9" s="307">
        <f t="shared" si="1"/>
        <v>-1629.9999999999977</v>
      </c>
      <c r="AG9" s="72">
        <f t="shared" si="2"/>
        <v>0.2755555555555565</v>
      </c>
      <c r="AH9" s="463"/>
    </row>
    <row r="10" spans="1:34" ht="15" customHeight="1">
      <c r="A10" s="42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8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6" t="s">
        <v>214</v>
      </c>
      <c r="AC10" s="466"/>
      <c r="AD10" s="92"/>
      <c r="AE10" s="92"/>
      <c r="AF10" s="307">
        <f t="shared" si="1"/>
        <v>0</v>
      </c>
      <c r="AG10" s="72" t="e">
        <f t="shared" si="2"/>
        <v>#DIV/0!</v>
      </c>
      <c r="AH10" s="463"/>
    </row>
    <row r="11" spans="1:34" ht="15" customHeight="1">
      <c r="A11" s="42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5"/>
      <c r="AC11" s="465"/>
      <c r="AD11" s="149"/>
      <c r="AE11" s="149"/>
      <c r="AF11" s="307">
        <f t="shared" si="1"/>
        <v>0</v>
      </c>
      <c r="AG11" s="72" t="e">
        <f t="shared" si="2"/>
        <v>#DIV/0!</v>
      </c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12.8</v>
      </c>
      <c r="N15" s="120">
        <f t="shared" si="3"/>
        <v>1783.3846153846127</v>
      </c>
      <c r="O15" s="117">
        <f t="shared" si="3"/>
        <v>141.62564102564093</v>
      </c>
      <c r="P15" s="121">
        <f>M15-J15</f>
        <v>-2.1999999999999993</v>
      </c>
      <c r="Q15" s="122">
        <f>O15-L15</f>
        <v>-8.374358974359069</v>
      </c>
      <c r="R15" s="123">
        <f>O15/L15</f>
        <v>0.9441709401709395</v>
      </c>
      <c r="S15" s="42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7"/>
      <c r="AC15" s="467"/>
      <c r="AD15" s="323">
        <f>SUM(AD5:AD14)</f>
        <v>0</v>
      </c>
      <c r="AE15" s="323">
        <f>SUM(AE5:AE14)</f>
        <v>0</v>
      </c>
      <c r="AF15" s="309">
        <f>N15-K15</f>
        <v>-466.61538461538726</v>
      </c>
      <c r="AG15" s="124">
        <f>N15/K15</f>
        <v>0.79261538461538339</v>
      </c>
      <c r="AH15" s="464"/>
    </row>
    <row r="16" spans="1:34" ht="15" customHeight="1">
      <c r="A16" s="47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3789</v>
      </c>
      <c r="H16" s="134">
        <f>F16*G16</f>
        <v>191988.63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2207.1844660194115</v>
      </c>
      <c r="O16" s="141">
        <f>N16/M16</f>
        <v>157.65603328710083</v>
      </c>
      <c r="P16" s="142">
        <f>M16-J16</f>
        <v>0</v>
      </c>
      <c r="Q16" s="143">
        <f>O16-L16</f>
        <v>-3.0582524271848968</v>
      </c>
      <c r="R16" s="144">
        <f>O16/L16</f>
        <v>0.98097087378640513</v>
      </c>
      <c r="S16" s="472">
        <f>R26</f>
        <v>0.90814724434548988</v>
      </c>
      <c r="T16" s="145">
        <v>0.29027777777777802</v>
      </c>
      <c r="U16" s="145">
        <v>0.36180555555555599</v>
      </c>
      <c r="V16" s="135"/>
      <c r="W16" s="146">
        <f t="shared" ref="W16:W78" si="4">(U16-T16)*24*60</f>
        <v>103.00000000000027</v>
      </c>
      <c r="X16" s="141"/>
      <c r="Y16" s="296"/>
      <c r="Z16" s="169"/>
      <c r="AA16" s="169"/>
      <c r="AB16" s="468"/>
      <c r="AC16" s="468"/>
      <c r="AD16" s="135"/>
      <c r="AE16" s="135"/>
      <c r="AF16" s="229">
        <f>N16-K16</f>
        <v>-42.815533980588498</v>
      </c>
      <c r="AG16" s="52">
        <f>N16/K16</f>
        <v>0.98097087378640513</v>
      </c>
      <c r="AH16" s="461">
        <f>AG26</f>
        <v>0.90524241893565227</v>
      </c>
    </row>
    <row r="17" spans="1:34" ht="15" customHeight="1">
      <c r="A17" s="479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1782</v>
      </c>
      <c r="H17" s="78">
        <f>F17*G17</f>
        <v>100879.02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1875.789473684225</v>
      </c>
      <c r="O17" s="96">
        <f>N17/M17</f>
        <v>125.05263157894834</v>
      </c>
      <c r="P17" s="97">
        <f>M17-J17</f>
        <v>0</v>
      </c>
      <c r="Q17" s="98">
        <f>O17-L17</f>
        <v>-24.947368421051664</v>
      </c>
      <c r="R17" s="99">
        <f>O17/L17</f>
        <v>0.83368421052632224</v>
      </c>
      <c r="S17" s="473"/>
      <c r="T17" s="19">
        <v>0.36666666666666697</v>
      </c>
      <c r="U17" s="19">
        <v>0.40625</v>
      </c>
      <c r="V17" s="30">
        <f>(T17-U16)*24*60</f>
        <v>6.9999999999998153</v>
      </c>
      <c r="W17" s="149">
        <f t="shared" si="4"/>
        <v>56.999999999999559</v>
      </c>
      <c r="X17" s="19"/>
      <c r="Y17" s="297"/>
      <c r="Z17" s="90"/>
      <c r="AA17" s="90"/>
      <c r="AB17" s="466"/>
      <c r="AC17" s="466"/>
      <c r="AD17" s="92"/>
      <c r="AE17" s="92"/>
      <c r="AF17" s="307">
        <f>N17-K17</f>
        <v>-374.21052631577504</v>
      </c>
      <c r="AG17" s="72">
        <f>N17/K17</f>
        <v>0.83368421052632224</v>
      </c>
      <c r="AH17" s="462"/>
    </row>
    <row r="18" spans="1:34" ht="15" customHeight="1">
      <c r="A18" s="479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3411</v>
      </c>
      <c r="H18" s="78">
        <f>F18*G18</f>
        <v>171880.29</v>
      </c>
      <c r="I18" s="30"/>
      <c r="J18" s="79">
        <v>13</v>
      </c>
      <c r="K18" s="80">
        <f>VLOOKUP(D18,產線配置圖!$A$3:$C$40,3,0)</f>
        <v>2250</v>
      </c>
      <c r="L18" s="81">
        <f>K18/J18</f>
        <v>173.07692307692307</v>
      </c>
      <c r="M18" s="148">
        <v>13</v>
      </c>
      <c r="N18" s="95">
        <f>G18/W18*60</f>
        <v>2177.2340425531829</v>
      </c>
      <c r="O18" s="96">
        <f>N18/M18</f>
        <v>167.47954173486022</v>
      </c>
      <c r="P18" s="97">
        <f>M18-J18</f>
        <v>0</v>
      </c>
      <c r="Q18" s="98">
        <f>O18-L18</f>
        <v>-5.597381342062846</v>
      </c>
      <c r="R18" s="99">
        <f>O18/L18</f>
        <v>0.96765957446808137</v>
      </c>
      <c r="S18" s="473"/>
      <c r="T18" s="19">
        <v>0.41388888888888897</v>
      </c>
      <c r="U18" s="19">
        <v>0.47916666666666702</v>
      </c>
      <c r="V18" s="30">
        <f>(T18-U17)*24*60</f>
        <v>11.000000000000121</v>
      </c>
      <c r="W18" s="149">
        <f t="shared" si="4"/>
        <v>94.000000000000384</v>
      </c>
      <c r="X18" s="22"/>
      <c r="Y18" s="84"/>
      <c r="Z18" s="90"/>
      <c r="AA18" s="90"/>
      <c r="AB18" s="466"/>
      <c r="AC18" s="466"/>
      <c r="AD18" s="92"/>
      <c r="AE18" s="92"/>
      <c r="AF18" s="307">
        <f>N18-K18</f>
        <v>-72.765957446817083</v>
      </c>
      <c r="AG18" s="72">
        <f>N18/K18</f>
        <v>0.96765957446808126</v>
      </c>
      <c r="AH18" s="462"/>
    </row>
    <row r="19" spans="1:34" ht="15" customHeight="1">
      <c r="A19" s="479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1773</v>
      </c>
      <c r="H19" s="78">
        <f t="shared" ref="H19:H20" si="5">F19*G19</f>
        <v>89341.47</v>
      </c>
      <c r="I19" s="30"/>
      <c r="J19" s="79">
        <v>13</v>
      </c>
      <c r="K19" s="80">
        <f>VLOOKUP(D19,產線配置圖!$A$3:$C$40,3,0)</f>
        <v>2250</v>
      </c>
      <c r="L19" s="81">
        <f t="shared" ref="L19:L20" si="6">K19/J19</f>
        <v>173.07692307692307</v>
      </c>
      <c r="M19" s="148">
        <v>13</v>
      </c>
      <c r="N19" s="95">
        <f t="shared" ref="N19:N20" si="7">G19/W19*60</f>
        <v>2045.7692307692321</v>
      </c>
      <c r="O19" s="96">
        <f t="shared" ref="O19:O20" si="8">N19/M19</f>
        <v>157.36686390532554</v>
      </c>
      <c r="P19" s="97">
        <f t="shared" ref="P19:P20" si="9">M19-J19</f>
        <v>0</v>
      </c>
      <c r="Q19" s="98">
        <f t="shared" ref="Q19:Q20" si="10">O19-L19</f>
        <v>-15.710059171597521</v>
      </c>
      <c r="R19" s="99">
        <f t="shared" ref="R19:R20" si="11">O19/L19</f>
        <v>0.90923076923076984</v>
      </c>
      <c r="S19" s="473"/>
      <c r="T19" s="19">
        <v>0.54513888888888895</v>
      </c>
      <c r="U19" s="19">
        <v>0.58125000000000004</v>
      </c>
      <c r="V19" s="30">
        <f>(T19-U18)*24*60</f>
        <v>94.999999999999588</v>
      </c>
      <c r="W19" s="149">
        <f t="shared" si="4"/>
        <v>51.999999999999972</v>
      </c>
      <c r="X19" s="22"/>
      <c r="Y19" s="84"/>
      <c r="Z19" s="90"/>
      <c r="AA19" s="90"/>
      <c r="AB19" s="465"/>
      <c r="AC19" s="465"/>
      <c r="AD19" s="149"/>
      <c r="AE19" s="149"/>
      <c r="AF19" s="307">
        <f>N19-K19</f>
        <v>-204.23076923076792</v>
      </c>
      <c r="AG19" s="72">
        <f>N19/K19</f>
        <v>0.90923076923076984</v>
      </c>
      <c r="AH19" s="463"/>
    </row>
    <row r="20" spans="1:34" ht="15" customHeight="1">
      <c r="A20" s="479"/>
      <c r="B20" s="75" t="s">
        <v>81</v>
      </c>
      <c r="C20" s="76"/>
      <c r="D20" s="59" t="s">
        <v>113</v>
      </c>
      <c r="E20" s="77"/>
      <c r="F20" s="75">
        <f>VLOOKUP(D20,廠價表!$C$1:$E$43,3,0)</f>
        <v>56.87</v>
      </c>
      <c r="G20" s="147">
        <v>939</v>
      </c>
      <c r="H20" s="78">
        <f t="shared" si="5"/>
        <v>53400.93</v>
      </c>
      <c r="I20" s="30"/>
      <c r="J20" s="79">
        <f>VLOOKUP(D20,產線配置圖!$A$3:$C$40,2,0)</f>
        <v>15</v>
      </c>
      <c r="K20" s="80">
        <f>VLOOKUP(D20,產線配置圖!$A$3:$C$40,3,0)</f>
        <v>2250</v>
      </c>
      <c r="L20" s="81">
        <f t="shared" si="6"/>
        <v>150</v>
      </c>
      <c r="M20" s="148">
        <v>15</v>
      </c>
      <c r="N20" s="95">
        <f t="shared" si="7"/>
        <v>1878.0000000000366</v>
      </c>
      <c r="O20" s="96">
        <f t="shared" si="8"/>
        <v>125.20000000000245</v>
      </c>
      <c r="P20" s="97">
        <f t="shared" si="9"/>
        <v>0</v>
      </c>
      <c r="Q20" s="98">
        <f t="shared" si="10"/>
        <v>-24.799999999997553</v>
      </c>
      <c r="R20" s="99">
        <f t="shared" si="11"/>
        <v>0.83466666666668299</v>
      </c>
      <c r="S20" s="473"/>
      <c r="T20" s="19">
        <v>0.58680555555555602</v>
      </c>
      <c r="U20" s="19">
        <v>0.60763888888888895</v>
      </c>
      <c r="V20" s="30">
        <f>(T20-U19)*24*60</f>
        <v>8.0000000000006111</v>
      </c>
      <c r="W20" s="149">
        <f t="shared" si="4"/>
        <v>29.999999999999414</v>
      </c>
      <c r="X20" s="19"/>
      <c r="Y20" s="297"/>
      <c r="Z20" s="90"/>
      <c r="AA20" s="90"/>
      <c r="AB20" s="466"/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3"/>
      <c r="T21" s="19"/>
      <c r="U21" s="19"/>
      <c r="V21" s="30"/>
      <c r="W21" s="149">
        <f t="shared" si="4"/>
        <v>0</v>
      </c>
      <c r="X21" s="92"/>
      <c r="Y21" s="298"/>
      <c r="Z21" s="90"/>
      <c r="AA21" s="90"/>
      <c r="AB21" s="466"/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50"/>
      <c r="U22" s="150"/>
      <c r="V22" s="92"/>
      <c r="W22" s="149"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4"/>
        <v>0</v>
      </c>
      <c r="X23" s="92"/>
      <c r="Y23" s="298"/>
      <c r="Z23" s="90"/>
      <c r="AA23" s="90"/>
      <c r="AB23" s="466"/>
      <c r="AC23" s="46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>
        <f t="shared" ref="J26:O26" si="12">AVERAGE(J16:J25)</f>
        <v>14</v>
      </c>
      <c r="K26" s="155">
        <f t="shared" si="12"/>
        <v>2250</v>
      </c>
      <c r="L26" s="158">
        <f t="shared" si="12"/>
        <v>161.37362637362637</v>
      </c>
      <c r="M26" s="155">
        <f t="shared" si="12"/>
        <v>14</v>
      </c>
      <c r="N26" s="155">
        <f t="shared" si="12"/>
        <v>2036.7954426052177</v>
      </c>
      <c r="O26" s="158">
        <f t="shared" si="12"/>
        <v>146.55101410124746</v>
      </c>
      <c r="P26" s="159">
        <f>M26-J26</f>
        <v>0</v>
      </c>
      <c r="Q26" s="160">
        <f>O26-L26</f>
        <v>-14.822612272378905</v>
      </c>
      <c r="R26" s="161">
        <f>O26/L26</f>
        <v>0.90814724434548988</v>
      </c>
      <c r="S26" s="474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7"/>
      <c r="AC26" s="467"/>
      <c r="AD26" s="323">
        <f>SUM(AD16:AD25)</f>
        <v>0</v>
      </c>
      <c r="AE26" s="323">
        <f>SUM(AE16:AE25)</f>
        <v>0</v>
      </c>
      <c r="AF26" s="309">
        <f t="shared" ref="AF26:AF31" si="13">N26-K26</f>
        <v>-213.20455739478234</v>
      </c>
      <c r="AG26" s="124">
        <f t="shared" ref="AG26:AG31" si="14">N26/K26</f>
        <v>0.90524241893565227</v>
      </c>
      <c r="AH26" s="464"/>
    </row>
    <row r="27" spans="1:34" ht="15" customHeight="1">
      <c r="A27" s="469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2119</v>
      </c>
      <c r="H27" s="134">
        <f>F27*G27</f>
        <v>121227.99</v>
      </c>
      <c r="I27" s="135"/>
      <c r="J27" s="136">
        <v>18</v>
      </c>
      <c r="K27" s="137">
        <f>VLOOKUP(D27,產線配置圖!$A$3:$C$40,3,0)</f>
        <v>1565</v>
      </c>
      <c r="L27" s="138">
        <f>K27/J27</f>
        <v>86.944444444444443</v>
      </c>
      <c r="M27" s="170">
        <v>18</v>
      </c>
      <c r="N27" s="140">
        <f>G27/W27*60</f>
        <v>1271.3999999999894</v>
      </c>
      <c r="O27" s="141">
        <f>N27/M27</f>
        <v>70.633333333332743</v>
      </c>
      <c r="P27" s="142">
        <f>M27-J27</f>
        <v>0</v>
      </c>
      <c r="Q27" s="143">
        <f>O27-L27</f>
        <v>-16.3111111111117</v>
      </c>
      <c r="R27" s="144">
        <f>O27/L27</f>
        <v>0.81239616613417853</v>
      </c>
      <c r="S27" s="472">
        <f>R37</f>
        <v>0.82378131699183288</v>
      </c>
      <c r="T27" s="171">
        <v>0.33333333333333298</v>
      </c>
      <c r="U27" s="171">
        <v>0.40277777777777801</v>
      </c>
      <c r="V27" s="135"/>
      <c r="W27" s="146">
        <f t="shared" si="4"/>
        <v>100.00000000000084</v>
      </c>
      <c r="X27" s="135"/>
      <c r="Y27" s="300" t="s">
        <v>46</v>
      </c>
      <c r="Z27" s="169"/>
      <c r="AA27" s="169"/>
      <c r="AB27" s="468" t="s">
        <v>215</v>
      </c>
      <c r="AC27" s="468"/>
      <c r="AD27" s="135"/>
      <c r="AE27" s="135"/>
      <c r="AF27" s="310">
        <f t="shared" si="13"/>
        <v>-293.6000000000106</v>
      </c>
      <c r="AG27" s="172">
        <f t="shared" si="14"/>
        <v>0.81239616613417853</v>
      </c>
      <c r="AH27" s="461">
        <f>AG37</f>
        <v>0.80916854628256463</v>
      </c>
    </row>
    <row r="28" spans="1:34" ht="15" customHeight="1">
      <c r="A28" s="470"/>
      <c r="B28" s="75" t="s">
        <v>81</v>
      </c>
      <c r="C28" s="173"/>
      <c r="D28" s="59" t="s">
        <v>128</v>
      </c>
      <c r="E28" s="104"/>
      <c r="F28" s="75">
        <f>VLOOKUP(D28,廠價表!$C$1:$E$43,3,0)</f>
        <v>57.21</v>
      </c>
      <c r="G28" s="90">
        <v>2484</v>
      </c>
      <c r="H28" s="91">
        <f>F28*G28</f>
        <v>142109.64000000001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16</v>
      </c>
      <c r="N28" s="95">
        <f>G28/W28*60</f>
        <v>1231.7355371900799</v>
      </c>
      <c r="O28" s="96">
        <f>N28/M28</f>
        <v>76.983471074379992</v>
      </c>
      <c r="P28" s="97">
        <f>M28-J28</f>
        <v>-1</v>
      </c>
      <c r="Q28" s="98">
        <f>O28-L28</f>
        <v>-23.95770539620824</v>
      </c>
      <c r="R28" s="99">
        <f>O28/L28</f>
        <v>0.76265676472287869</v>
      </c>
      <c r="S28" s="473"/>
      <c r="T28" s="19">
        <v>0.406944444444444</v>
      </c>
      <c r="U28" s="19">
        <v>0.49097222222222198</v>
      </c>
      <c r="V28" s="92">
        <f>(T28-U27)*24*60</f>
        <v>5.9999999999990195</v>
      </c>
      <c r="W28" s="149">
        <f t="shared" si="4"/>
        <v>121.00000000000028</v>
      </c>
      <c r="X28" s="174"/>
      <c r="Y28" s="301"/>
      <c r="Z28" s="335">
        <v>1</v>
      </c>
      <c r="AA28" s="335">
        <v>29</v>
      </c>
      <c r="AB28" s="466" t="s">
        <v>216</v>
      </c>
      <c r="AC28" s="466"/>
      <c r="AD28" s="92"/>
      <c r="AE28" s="92"/>
      <c r="AF28" s="311">
        <f t="shared" si="13"/>
        <v>-484.26446280992013</v>
      </c>
      <c r="AG28" s="99">
        <f t="shared" si="14"/>
        <v>0.71779460209212109</v>
      </c>
      <c r="AH28" s="482"/>
    </row>
    <row r="29" spans="1:34" ht="15" customHeight="1">
      <c r="A29" s="470"/>
      <c r="B29" s="75" t="s">
        <v>81</v>
      </c>
      <c r="C29" s="88"/>
      <c r="D29" s="59" t="s">
        <v>121</v>
      </c>
      <c r="E29" s="89"/>
      <c r="F29" s="75">
        <f>VLOOKUP(D29,廠價表!$C$1:$E$43,3,0)</f>
        <v>50.289000000000001</v>
      </c>
      <c r="G29" s="90">
        <v>1489</v>
      </c>
      <c r="H29" s="91">
        <f>F29*G29</f>
        <v>74880.320999999996</v>
      </c>
      <c r="I29" s="92"/>
      <c r="J29" s="79">
        <v>18</v>
      </c>
      <c r="K29" s="80">
        <f>VLOOKUP(D29,產線配置圖!$A$3:$C$40,3,0)</f>
        <v>1565</v>
      </c>
      <c r="L29" s="93">
        <f>K29/J29</f>
        <v>86.944444444444443</v>
      </c>
      <c r="M29" s="94">
        <v>18</v>
      </c>
      <c r="N29" s="95">
        <f>G29/W29*60</f>
        <v>1418.0952380952394</v>
      </c>
      <c r="O29" s="96">
        <f>N29/M29</f>
        <v>78.783068783068856</v>
      </c>
      <c r="P29" s="97">
        <f>M29-J29</f>
        <v>0</v>
      </c>
      <c r="Q29" s="98">
        <f>O29-L29</f>
        <v>-8.1613756613755868</v>
      </c>
      <c r="R29" s="99">
        <f>O29/L29</f>
        <v>0.90613114255286864</v>
      </c>
      <c r="S29" s="473"/>
      <c r="T29" s="19">
        <v>0.55208333333333304</v>
      </c>
      <c r="U29" s="19">
        <v>0.59583333333333299</v>
      </c>
      <c r="V29" s="92">
        <f>(T29-U28)*24*60</f>
        <v>87.999999999999929</v>
      </c>
      <c r="W29" s="149">
        <f t="shared" si="4"/>
        <v>62.999999999999936</v>
      </c>
      <c r="X29" s="22"/>
      <c r="Y29" s="84"/>
      <c r="Z29" s="90"/>
      <c r="AA29" s="90"/>
      <c r="AB29" s="466"/>
      <c r="AC29" s="466"/>
      <c r="AD29" s="92"/>
      <c r="AE29" s="92"/>
      <c r="AF29" s="312">
        <f t="shared" si="13"/>
        <v>-146.90476190476056</v>
      </c>
      <c r="AG29" s="99">
        <f t="shared" si="14"/>
        <v>0.90613114255286864</v>
      </c>
      <c r="AH29" s="482"/>
    </row>
    <row r="30" spans="1:34" ht="15" customHeight="1">
      <c r="A30" s="470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3"/>
      <c r="T30" s="19"/>
      <c r="U30" s="19"/>
      <c r="V30" s="92"/>
      <c r="W30" s="149">
        <f t="shared" si="4"/>
        <v>0</v>
      </c>
      <c r="X30" s="174"/>
      <c r="Y30" s="301"/>
      <c r="Z30" s="335"/>
      <c r="AA30" s="335"/>
      <c r="AB30" s="466"/>
      <c r="AC30" s="466"/>
      <c r="AD30" s="92"/>
      <c r="AE30" s="92"/>
      <c r="AF30" s="312">
        <f t="shared" si="13"/>
        <v>0</v>
      </c>
      <c r="AG30" s="99" t="e">
        <f t="shared" si="14"/>
        <v>#DIV/0!</v>
      </c>
      <c r="AH30" s="483"/>
    </row>
    <row r="31" spans="1:34" ht="15" customHeight="1">
      <c r="A31" s="47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3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6"/>
      <c r="AC31" s="466"/>
      <c r="AD31" s="92"/>
      <c r="AE31" s="92"/>
      <c r="AF31" s="312">
        <f t="shared" si="13"/>
        <v>0</v>
      </c>
      <c r="AG31" s="99" t="e">
        <f t="shared" si="14"/>
        <v>#DIV/0!</v>
      </c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66"/>
      <c r="AC32" s="466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6"/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>
        <f t="shared" ref="J37:O37" si="15">AVERAGE(J27:J36)</f>
        <v>17.666666666666668</v>
      </c>
      <c r="K37" s="155">
        <f t="shared" si="15"/>
        <v>1615.3333333333333</v>
      </c>
      <c r="L37" s="158">
        <f t="shared" si="15"/>
        <v>91.610021786492382</v>
      </c>
      <c r="M37" s="155">
        <f t="shared" si="15"/>
        <v>17.333333333333332</v>
      </c>
      <c r="N37" s="155">
        <f t="shared" si="15"/>
        <v>1307.0769250951028</v>
      </c>
      <c r="O37" s="158">
        <f t="shared" si="15"/>
        <v>75.466624396927202</v>
      </c>
      <c r="P37" s="159">
        <f>M37-J37</f>
        <v>-0.3333333333333357</v>
      </c>
      <c r="Q37" s="160">
        <f>N37-K37</f>
        <v>-308.25640823823051</v>
      </c>
      <c r="R37" s="161">
        <f>O37/L37</f>
        <v>0.82378131699183288</v>
      </c>
      <c r="S37" s="474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29</v>
      </c>
      <c r="AB37" s="477"/>
      <c r="AC37" s="477"/>
      <c r="AD37" s="324">
        <f>SUM(AD27:AD36)</f>
        <v>0</v>
      </c>
      <c r="AE37" s="324">
        <f>SUM(AE27:AE36)</f>
        <v>0</v>
      </c>
      <c r="AF37" s="309">
        <f>N37-K37</f>
        <v>-308.25640823823051</v>
      </c>
      <c r="AG37" s="124">
        <f>N37/K37</f>
        <v>0.80916854628256463</v>
      </c>
      <c r="AH37" s="464"/>
    </row>
    <row r="38" spans="1:34" ht="15" customHeight="1">
      <c r="A38" s="491" t="s">
        <v>48</v>
      </c>
      <c r="B38" s="167" t="s">
        <v>123</v>
      </c>
      <c r="C38" s="129"/>
      <c r="D38" s="184" t="s">
        <v>126</v>
      </c>
      <c r="E38" s="363"/>
      <c r="F38" s="39">
        <f>VLOOKUP(D38,廠價表!$C$1:$E$43,3,0)</f>
        <v>49.91</v>
      </c>
      <c r="G38" s="186">
        <v>2750</v>
      </c>
      <c r="H38" s="134">
        <f>F38*G38</f>
        <v>137252.5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1527.7777777777776</v>
      </c>
      <c r="O38" s="141">
        <f>N38/M38</f>
        <v>101.85185185185183</v>
      </c>
      <c r="P38" s="142">
        <f>M38-J38</f>
        <v>0</v>
      </c>
      <c r="Q38" s="143">
        <f>O38-L38</f>
        <v>-12.414814814814832</v>
      </c>
      <c r="R38" s="144">
        <f>O38/L38</f>
        <v>0.89135226241410592</v>
      </c>
      <c r="S38" s="494">
        <f>R48</f>
        <v>0.86821741614219228</v>
      </c>
      <c r="T38" s="191">
        <v>0.33333333333333298</v>
      </c>
      <c r="U38" s="191">
        <v>0.40833333333333299</v>
      </c>
      <c r="V38" s="192"/>
      <c r="W38" s="193">
        <f t="shared" si="4"/>
        <v>108.00000000000001</v>
      </c>
      <c r="X38" s="194"/>
      <c r="Y38" s="302"/>
      <c r="Z38" s="336">
        <v>1</v>
      </c>
      <c r="AA38" s="336">
        <v>10</v>
      </c>
      <c r="AB38" s="496" t="s">
        <v>217</v>
      </c>
      <c r="AC38" s="496"/>
      <c r="AD38" s="192"/>
      <c r="AE38" s="192"/>
      <c r="AF38" s="313">
        <f>N38-K38</f>
        <v>-186.2222222222224</v>
      </c>
      <c r="AG38" s="195">
        <f>N38/K38</f>
        <v>0.89135226241410592</v>
      </c>
      <c r="AH38" s="484">
        <f>AG48</f>
        <v>0.86715703035505343</v>
      </c>
    </row>
    <row r="39" spans="1:34" ht="15" customHeight="1">
      <c r="A39" s="492"/>
      <c r="B39" s="75" t="s">
        <v>123</v>
      </c>
      <c r="C39" s="207"/>
      <c r="D39" s="198" t="s">
        <v>124</v>
      </c>
      <c r="E39" s="178"/>
      <c r="F39" s="75">
        <f>VLOOKUP(D39,廠價表!$C$1:$E$43,3,0)</f>
        <v>44.3</v>
      </c>
      <c r="G39" s="199">
        <v>2601</v>
      </c>
      <c r="H39" s="91">
        <f>F39*G39</f>
        <v>115224.29999999999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1560.6000000000106</v>
      </c>
      <c r="O39" s="203">
        <f>N39/M39</f>
        <v>91.800000000000622</v>
      </c>
      <c r="P39" s="97">
        <f>M39-J39</f>
        <v>0</v>
      </c>
      <c r="Q39" s="98">
        <f>O39-L39</f>
        <v>-4.4352941176464356</v>
      </c>
      <c r="R39" s="99">
        <f>O39/L39</f>
        <v>0.95391198044010428</v>
      </c>
      <c r="S39" s="495"/>
      <c r="T39" s="20">
        <v>0.41666666666666702</v>
      </c>
      <c r="U39" s="20">
        <v>0.48611111111111099</v>
      </c>
      <c r="V39" s="92">
        <f>(T39-U38)*24*60</f>
        <v>12.000000000000997</v>
      </c>
      <c r="W39" s="205">
        <f t="shared" si="4"/>
        <v>99.999999999999318</v>
      </c>
      <c r="X39" s="22"/>
      <c r="Y39" s="84"/>
      <c r="Z39" s="90"/>
      <c r="AA39" s="90"/>
      <c r="AB39" s="487"/>
      <c r="AC39" s="487"/>
      <c r="AD39" s="200"/>
      <c r="AE39" s="200"/>
      <c r="AF39" s="314">
        <f>N39-K39</f>
        <v>-75.399999999989404</v>
      </c>
      <c r="AG39" s="206">
        <f>N39/K39</f>
        <v>0.95391198044010428</v>
      </c>
      <c r="AH39" s="485"/>
    </row>
    <row r="40" spans="1:34" ht="15" customHeight="1">
      <c r="A40" s="492"/>
      <c r="B40" s="75" t="s">
        <v>123</v>
      </c>
      <c r="C40" s="207"/>
      <c r="D40" s="198" t="s">
        <v>124</v>
      </c>
      <c r="E40" s="178"/>
      <c r="F40" s="75">
        <f>VLOOKUP(D40,廠價表!$C$1:$E$43,3,0)</f>
        <v>44.3</v>
      </c>
      <c r="G40" s="199">
        <v>2697</v>
      </c>
      <c r="H40" s="91">
        <f>F40*G40</f>
        <v>119477.09999999999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1235.2671755725082</v>
      </c>
      <c r="O40" s="203">
        <f>N40/M40</f>
        <v>72.662775033676951</v>
      </c>
      <c r="P40" s="97">
        <f>M40-J40</f>
        <v>0</v>
      </c>
      <c r="Q40" s="98">
        <f>O40-L40</f>
        <v>-23.572519083970107</v>
      </c>
      <c r="R40" s="99">
        <f>O40/L40</f>
        <v>0.7550532858022666</v>
      </c>
      <c r="S40" s="417"/>
      <c r="T40" s="20">
        <v>0.54444444444444395</v>
      </c>
      <c r="U40" s="210">
        <v>0.63541666666666696</v>
      </c>
      <c r="V40" s="92">
        <f>(T40-U39)*24*60</f>
        <v>83.99999999999946</v>
      </c>
      <c r="W40" s="205">
        <f t="shared" si="4"/>
        <v>131.00000000000114</v>
      </c>
      <c r="X40" s="208"/>
      <c r="Y40" s="209"/>
      <c r="Z40" s="337">
        <v>1</v>
      </c>
      <c r="AA40" s="337">
        <v>20</v>
      </c>
      <c r="AB40" s="466" t="s">
        <v>218</v>
      </c>
      <c r="AC40" s="466"/>
      <c r="AD40" s="92"/>
      <c r="AE40" s="92"/>
      <c r="AF40" s="314">
        <f>N40-K40</f>
        <v>-400.73282442749178</v>
      </c>
      <c r="AG40" s="206">
        <f>N40/K40</f>
        <v>0.7550532858022666</v>
      </c>
      <c r="AH40" s="485"/>
    </row>
    <row r="41" spans="1:34" ht="15" customHeight="1">
      <c r="A41" s="492"/>
      <c r="B41" s="75"/>
      <c r="C41" s="86"/>
      <c r="D41" s="198"/>
      <c r="E41" s="87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7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6"/>
      <c r="AC41" s="466"/>
      <c r="AD41" s="92"/>
      <c r="AE41" s="92"/>
      <c r="AF41" s="314">
        <f>N41-K41</f>
        <v>0</v>
      </c>
      <c r="AG41" s="206" t="e">
        <f>N41/K41</f>
        <v>#DIV/0!</v>
      </c>
      <c r="AH41" s="485"/>
    </row>
    <row r="42" spans="1:34" ht="15" customHeight="1">
      <c r="A42" s="49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7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6"/>
      <c r="AC42" s="466"/>
      <c r="AD42" s="92"/>
      <c r="AE42" s="92"/>
      <c r="AF42" s="314"/>
      <c r="AG42" s="206"/>
      <c r="AH42" s="485"/>
    </row>
    <row r="43" spans="1:34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>
        <f t="shared" ref="J48:O48" si="16">AVERAGE(J38:J47)</f>
        <v>16.333333333333332</v>
      </c>
      <c r="K48" s="155">
        <f t="shared" si="16"/>
        <v>1662</v>
      </c>
      <c r="L48" s="158">
        <f t="shared" si="16"/>
        <v>102.24575163398693</v>
      </c>
      <c r="M48" s="155">
        <f t="shared" si="16"/>
        <v>16.333333333333332</v>
      </c>
      <c r="N48" s="155">
        <f t="shared" si="16"/>
        <v>1441.2149844500989</v>
      </c>
      <c r="O48" s="158">
        <f t="shared" si="16"/>
        <v>88.771542295176459</v>
      </c>
      <c r="P48" s="221">
        <f>M48-J48</f>
        <v>0</v>
      </c>
      <c r="Q48" s="222">
        <f>N48-K48</f>
        <v>-220.78501554990112</v>
      </c>
      <c r="R48" s="223">
        <f t="shared" ref="R48:R53" si="17">O48/L48</f>
        <v>0.86821741614219228</v>
      </c>
      <c r="S48" s="420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2</v>
      </c>
      <c r="AA48" s="334">
        <f>SUM(AA38:AA47)</f>
        <v>30</v>
      </c>
      <c r="AB48" s="467"/>
      <c r="AC48" s="467"/>
      <c r="AD48" s="323">
        <f>SUM(AD38:AD47)</f>
        <v>0</v>
      </c>
      <c r="AE48" s="323">
        <f>SUM(AE38:AE47)</f>
        <v>0</v>
      </c>
      <c r="AF48" s="315">
        <f t="shared" ref="AF48:AF53" si="18">N48-K48</f>
        <v>-220.78501554990112</v>
      </c>
      <c r="AG48" s="162">
        <f t="shared" ref="AG48:AG53" si="19">N48/K48</f>
        <v>0.86715703035505343</v>
      </c>
      <c r="AH48" s="486"/>
    </row>
    <row r="49" spans="1:34" ht="15" customHeight="1">
      <c r="A49" s="488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2318</v>
      </c>
      <c r="H49" s="134">
        <f>F49*G49</f>
        <v>114787.36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1636.2352941176698</v>
      </c>
      <c r="O49" s="141">
        <f>N49/M49</f>
        <v>96.249134948098231</v>
      </c>
      <c r="P49" s="229">
        <f>M49-J49</f>
        <v>0</v>
      </c>
      <c r="Q49" s="230">
        <f>O49-L49</f>
        <v>-9.6332179930782331</v>
      </c>
      <c r="R49" s="52">
        <f t="shared" si="17"/>
        <v>0.90901960784315006</v>
      </c>
      <c r="S49" s="416">
        <f>R58</f>
        <v>0.91911904116217658</v>
      </c>
      <c r="T49" s="191">
        <v>0.29166666666666702</v>
      </c>
      <c r="U49" s="191">
        <v>0.35069444444444398</v>
      </c>
      <c r="V49" s="55"/>
      <c r="W49" s="193">
        <f t="shared" si="4"/>
        <v>84.99999999999882</v>
      </c>
      <c r="X49" s="55"/>
      <c r="Y49" s="290"/>
      <c r="Z49" s="169"/>
      <c r="AA49" s="169"/>
      <c r="AB49" s="468"/>
      <c r="AC49" s="468"/>
      <c r="AD49" s="135"/>
      <c r="AE49" s="135"/>
      <c r="AF49" s="229">
        <f t="shared" si="18"/>
        <v>-163.76470588233019</v>
      </c>
      <c r="AG49" s="52">
        <f t="shared" si="19"/>
        <v>0.90901960784314995</v>
      </c>
      <c r="AH49" s="461">
        <f>AG58</f>
        <v>0.91960661982543712</v>
      </c>
    </row>
    <row r="50" spans="1:34" ht="15" customHeight="1">
      <c r="A50" s="489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2442</v>
      </c>
      <c r="H50" s="231">
        <f>F50*G50</f>
        <v>122026.73999999999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1703.7209302325643</v>
      </c>
      <c r="O50" s="235">
        <f>N50/M50</f>
        <v>106.48255813953527</v>
      </c>
      <c r="P50" s="74">
        <f>M50-J50</f>
        <v>0</v>
      </c>
      <c r="Q50" s="83">
        <f>O50-L50</f>
        <v>-6.0174418604647286</v>
      </c>
      <c r="R50" s="72">
        <f t="shared" si="17"/>
        <v>0.94651162790698018</v>
      </c>
      <c r="S50" s="417"/>
      <c r="T50" s="21">
        <v>0.35555555555555601</v>
      </c>
      <c r="U50" s="21">
        <v>0.41527777777777802</v>
      </c>
      <c r="V50" s="30">
        <f>(T50-U49)*24*60</f>
        <v>7.000000000001334</v>
      </c>
      <c r="W50" s="236">
        <f t="shared" si="4"/>
        <v>85.999999999999687</v>
      </c>
      <c r="X50" s="22"/>
      <c r="Y50" s="84"/>
      <c r="Z50" s="90"/>
      <c r="AA50" s="90"/>
      <c r="AB50" s="466"/>
      <c r="AC50" s="466"/>
      <c r="AD50" s="92"/>
      <c r="AE50" s="92"/>
      <c r="AF50" s="307">
        <f t="shared" si="18"/>
        <v>-96.279069767435658</v>
      </c>
      <c r="AG50" s="72">
        <f t="shared" si="19"/>
        <v>0.94651162790698018</v>
      </c>
      <c r="AH50" s="462"/>
    </row>
    <row r="51" spans="1:34" ht="15" customHeight="1">
      <c r="A51" s="489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2403</v>
      </c>
      <c r="H51" s="231">
        <f>F51*G51</f>
        <v>120844.467</v>
      </c>
      <c r="I51" s="232"/>
      <c r="J51" s="79">
        <v>18</v>
      </c>
      <c r="K51" s="80">
        <v>1565</v>
      </c>
      <c r="L51" s="81">
        <f>K51/J51</f>
        <v>86.944444444444443</v>
      </c>
      <c r="M51" s="233">
        <v>18</v>
      </c>
      <c r="N51" s="234">
        <f>G51/W51*60</f>
        <v>1471.2244897959306</v>
      </c>
      <c r="O51" s="235">
        <f>N51/M51</f>
        <v>81.734693877551706</v>
      </c>
      <c r="P51" s="74">
        <f>M51-J51</f>
        <v>0</v>
      </c>
      <c r="Q51" s="83">
        <f>O51-L51</f>
        <v>-5.2097505668927369</v>
      </c>
      <c r="R51" s="72">
        <f t="shared" si="17"/>
        <v>0.94007954619548295</v>
      </c>
      <c r="S51" s="417"/>
      <c r="T51" s="21">
        <v>0.421527777777778</v>
      </c>
      <c r="U51" s="19">
        <v>0.48958333333333298</v>
      </c>
      <c r="V51" s="30">
        <f>(T51-U50)*24*60</f>
        <v>8.999999999999968</v>
      </c>
      <c r="W51" s="236">
        <f t="shared" si="4"/>
        <v>97.999999999999176</v>
      </c>
      <c r="X51" s="22"/>
      <c r="Y51" s="84"/>
      <c r="Z51" s="90"/>
      <c r="AA51" s="90"/>
      <c r="AB51" s="466"/>
      <c r="AC51" s="466"/>
      <c r="AD51" s="92"/>
      <c r="AE51" s="92"/>
      <c r="AF51" s="307">
        <f t="shared" si="18"/>
        <v>-93.775510204069406</v>
      </c>
      <c r="AG51" s="72">
        <f t="shared" si="19"/>
        <v>0.94007954619548284</v>
      </c>
      <c r="AH51" s="462"/>
    </row>
    <row r="52" spans="1:34" ht="15" customHeight="1">
      <c r="A52" s="489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3671</v>
      </c>
      <c r="H52" s="231">
        <f>F52*G52</f>
        <v>183439.87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1619.5588235294024</v>
      </c>
      <c r="O52" s="235">
        <f>N52/M52</f>
        <v>101.22242647058765</v>
      </c>
      <c r="P52" s="74">
        <f>M52-J52</f>
        <v>0</v>
      </c>
      <c r="Q52" s="83">
        <f>O52-L52</f>
        <v>-11.277573529412351</v>
      </c>
      <c r="R52" s="72">
        <f t="shared" si="17"/>
        <v>0.89975490196077912</v>
      </c>
      <c r="S52" s="417"/>
      <c r="T52" s="21">
        <v>0.54097222222222197</v>
      </c>
      <c r="U52" s="21">
        <v>0.63541666666666696</v>
      </c>
      <c r="V52" s="30">
        <f>(T52-U51)*24*60</f>
        <v>74.000000000000142</v>
      </c>
      <c r="W52" s="236">
        <f t="shared" si="4"/>
        <v>136.0000000000008</v>
      </c>
      <c r="X52" s="22"/>
      <c r="Y52" s="84"/>
      <c r="Z52" s="90"/>
      <c r="AA52" s="90"/>
      <c r="AB52" s="466"/>
      <c r="AC52" s="466"/>
      <c r="AD52" s="92"/>
      <c r="AE52" s="92"/>
      <c r="AF52" s="307">
        <f t="shared" si="18"/>
        <v>-180.44117647059761</v>
      </c>
      <c r="AG52" s="72">
        <f t="shared" si="19"/>
        <v>0.89975490196077912</v>
      </c>
      <c r="AH52" s="462"/>
    </row>
    <row r="53" spans="1:34" ht="15" customHeight="1">
      <c r="A53" s="489"/>
      <c r="B53" s="101" t="s">
        <v>123</v>
      </c>
      <c r="C53" s="102"/>
      <c r="D53" s="103" t="s">
        <v>126</v>
      </c>
      <c r="E53" s="104"/>
      <c r="F53" s="75">
        <f>VLOOKUP(D53,廠價表!$C$1:$E$43,3,0)</f>
        <v>49.91</v>
      </c>
      <c r="G53" s="202">
        <v>491</v>
      </c>
      <c r="H53" s="231">
        <f>F53*G53</f>
        <v>24505.809999999998</v>
      </c>
      <c r="I53" s="232"/>
      <c r="J53" s="79">
        <f>VLOOKUP(D53,產線配置圖!$A$3:$C$40,2,0)</f>
        <v>15</v>
      </c>
      <c r="K53" s="80">
        <f>VLOOKUP(D53,產線配置圖!$A$3:$C$40,3,0)</f>
        <v>1714</v>
      </c>
      <c r="L53" s="81">
        <f>K53/J53</f>
        <v>114.26666666666667</v>
      </c>
      <c r="M53" s="108">
        <v>15</v>
      </c>
      <c r="N53" s="234">
        <f>G53/W53*60</f>
        <v>1550.526315789401</v>
      </c>
      <c r="O53" s="235">
        <f>N53/M53</f>
        <v>103.36842105262673</v>
      </c>
      <c r="P53" s="74">
        <f>M53-J53</f>
        <v>0</v>
      </c>
      <c r="Q53" s="83">
        <f>O53-L53</f>
        <v>-10.898245614039936</v>
      </c>
      <c r="R53" s="72">
        <f t="shared" si="17"/>
        <v>0.90462445495297605</v>
      </c>
      <c r="S53" s="417"/>
      <c r="T53" s="21">
        <v>0.63958333333333295</v>
      </c>
      <c r="U53" s="21">
        <v>0.65277777777777801</v>
      </c>
      <c r="V53" s="30">
        <f>(T53-U52)*24*60</f>
        <v>5.9999999999990195</v>
      </c>
      <c r="W53" s="236">
        <f t="shared" si="4"/>
        <v>19.000000000000892</v>
      </c>
      <c r="X53" s="30"/>
      <c r="Y53" s="151"/>
      <c r="Z53" s="90"/>
      <c r="AA53" s="90"/>
      <c r="AB53" s="466"/>
      <c r="AC53" s="466"/>
      <c r="AD53" s="92"/>
      <c r="AE53" s="92"/>
      <c r="AF53" s="307">
        <f t="shared" si="18"/>
        <v>-163.473684210599</v>
      </c>
      <c r="AG53" s="72">
        <f t="shared" si="19"/>
        <v>0.90462445495297605</v>
      </c>
      <c r="AH53" s="462"/>
    </row>
    <row r="54" spans="1:34" ht="15" customHeight="1">
      <c r="A54" s="48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7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>
      <c r="A58" s="490"/>
      <c r="B58" s="239"/>
      <c r="C58" s="153" t="s">
        <v>51</v>
      </c>
      <c r="D58" s="437" t="s">
        <v>42</v>
      </c>
      <c r="E58" s="437"/>
      <c r="F58" s="116"/>
      <c r="G58" s="240"/>
      <c r="H58" s="118"/>
      <c r="I58" s="117"/>
      <c r="J58" s="120">
        <f t="shared" ref="J58:O58" si="20">AVERAGE(J49:J57)</f>
        <v>16.399999999999999</v>
      </c>
      <c r="K58" s="120">
        <f t="shared" si="20"/>
        <v>1735.8</v>
      </c>
      <c r="L58" s="117">
        <f t="shared" si="20"/>
        <v>106.41869281045751</v>
      </c>
      <c r="M58" s="120">
        <f t="shared" si="20"/>
        <v>16.399999999999999</v>
      </c>
      <c r="N58" s="120">
        <f t="shared" si="20"/>
        <v>1596.2531706929938</v>
      </c>
      <c r="O58" s="117">
        <f t="shared" si="20"/>
        <v>97.811446897679929</v>
      </c>
      <c r="P58" s="121">
        <f>M58-J58</f>
        <v>0</v>
      </c>
      <c r="Q58" s="122">
        <f>N58-K58</f>
        <v>-139.54682930700619</v>
      </c>
      <c r="R58" s="123">
        <f t="shared" ref="R58:R62" si="21">O58/L58</f>
        <v>0.91911904116217658</v>
      </c>
      <c r="S58" s="42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7"/>
      <c r="AC58" s="467"/>
      <c r="AD58" s="323">
        <f>SUM(AD49:AD57)</f>
        <v>0</v>
      </c>
      <c r="AE58" s="323">
        <f>SUM(AE49:AE57)</f>
        <v>0</v>
      </c>
      <c r="AF58" s="309">
        <f>N58-K58</f>
        <v>-139.54682930700619</v>
      </c>
      <c r="AG58" s="124">
        <f>N58/K58</f>
        <v>0.91960661982543712</v>
      </c>
      <c r="AH58" s="464"/>
    </row>
    <row r="59" spans="1:34" ht="15" customHeight="1">
      <c r="A59" s="502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2862</v>
      </c>
      <c r="H59" s="243">
        <f>F59*G59</f>
        <v>77245.37999999999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1493.21739130435</v>
      </c>
      <c r="O59" s="138">
        <f>N59/M59</f>
        <v>99.547826086956675</v>
      </c>
      <c r="P59" s="56">
        <f>M59-J59</f>
        <v>0</v>
      </c>
      <c r="Q59" s="230">
        <f>O59-L59</f>
        <v>-4.7855072463766533</v>
      </c>
      <c r="R59" s="52">
        <f t="shared" si="21"/>
        <v>0.95413251840533564</v>
      </c>
      <c r="S59" s="416">
        <f>R69</f>
        <v>0.91434466021448302</v>
      </c>
      <c r="T59" s="245">
        <v>0.29166666666666702</v>
      </c>
      <c r="U59" s="245">
        <v>0.37152777777777801</v>
      </c>
      <c r="V59" s="55"/>
      <c r="W59" s="54">
        <f t="shared" si="4"/>
        <v>114.99999999999983</v>
      </c>
      <c r="X59" s="55"/>
      <c r="Y59" s="290"/>
      <c r="Z59" s="169"/>
      <c r="AA59" s="169"/>
      <c r="AB59" s="468"/>
      <c r="AC59" s="468"/>
      <c r="AD59" s="135"/>
      <c r="AE59" s="135"/>
      <c r="AF59" s="310">
        <f>N59-K59</f>
        <v>-71.782608695649969</v>
      </c>
      <c r="AG59" s="246">
        <f>N59/K59</f>
        <v>0.95413251840533553</v>
      </c>
      <c r="AH59" s="461">
        <f>AG69</f>
        <v>0.9155147657810222</v>
      </c>
    </row>
    <row r="60" spans="1:34" ht="15" customHeight="1">
      <c r="A60" s="503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2006</v>
      </c>
      <c r="H60" s="78">
        <f>F60*G60</f>
        <v>56689.560000000005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1467.8048780487657</v>
      </c>
      <c r="O60" s="81">
        <f>N60/M60</f>
        <v>122.31707317073047</v>
      </c>
      <c r="P60" s="74">
        <f>M60-J60</f>
        <v>0</v>
      </c>
      <c r="Q60" s="83">
        <f>O60-L60</f>
        <v>-8.0995934959361904</v>
      </c>
      <c r="R60" s="72">
        <f t="shared" si="21"/>
        <v>0.93789449076598452</v>
      </c>
      <c r="S60" s="506"/>
      <c r="T60" s="22">
        <v>0.37847222222222199</v>
      </c>
      <c r="U60" s="22">
        <v>0.43541666666666701</v>
      </c>
      <c r="V60" s="30">
        <f>(T60-U59)*24*60</f>
        <v>9.999999999999325</v>
      </c>
      <c r="W60" s="248">
        <f t="shared" si="4"/>
        <v>82.000000000000824</v>
      </c>
      <c r="X60" s="232"/>
      <c r="Y60" s="177"/>
      <c r="Z60" s="90"/>
      <c r="AA60" s="90"/>
      <c r="AB60" s="466"/>
      <c r="AC60" s="466"/>
      <c r="AD60" s="92"/>
      <c r="AE60" s="92"/>
      <c r="AF60" s="316">
        <f>N60-K60</f>
        <v>-97.195121951234341</v>
      </c>
      <c r="AG60" s="249">
        <f>N60/K60</f>
        <v>0.93789449076598441</v>
      </c>
      <c r="AH60" s="497"/>
    </row>
    <row r="61" spans="1:34" ht="15" customHeight="1">
      <c r="A61" s="504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1916</v>
      </c>
      <c r="H61" s="254">
        <f>F61*G61</f>
        <v>97083.72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13</v>
      </c>
      <c r="N61" s="107">
        <f>G61/W61*60</f>
        <v>1210.1052631578991</v>
      </c>
      <c r="O61" s="238">
        <f>N61/M61</f>
        <v>93.08502024291532</v>
      </c>
      <c r="P61" s="111">
        <f>M61-J61</f>
        <v>0</v>
      </c>
      <c r="Q61" s="255">
        <f>O61-L61</f>
        <v>-17.684210526315454</v>
      </c>
      <c r="R61" s="85">
        <f t="shared" si="21"/>
        <v>0.84035087719298551</v>
      </c>
      <c r="S61" s="417"/>
      <c r="T61" s="22">
        <v>0.44097222222222199</v>
      </c>
      <c r="U61" s="22">
        <v>0.50694444444444398</v>
      </c>
      <c r="V61" s="30">
        <f>(T61-U60)*24*60</f>
        <v>7.9999999999991722</v>
      </c>
      <c r="W61" s="256">
        <f t="shared" si="4"/>
        <v>94.999999999999659</v>
      </c>
      <c r="X61" s="22"/>
      <c r="Y61" s="84"/>
      <c r="Z61" s="90"/>
      <c r="AA61" s="90"/>
      <c r="AB61" s="466"/>
      <c r="AC61" s="466"/>
      <c r="AD61" s="92"/>
      <c r="AE61" s="92"/>
      <c r="AF61" s="317">
        <f>N61-K61</f>
        <v>-229.89473684210088</v>
      </c>
      <c r="AG61" s="247">
        <f>N61/K61</f>
        <v>0.84035087719298551</v>
      </c>
      <c r="AH61" s="462"/>
    </row>
    <row r="62" spans="1:34" ht="15" customHeight="1">
      <c r="A62" s="504"/>
      <c r="B62" s="250" t="s">
        <v>130</v>
      </c>
      <c r="C62" s="251"/>
      <c r="D62" s="257" t="s">
        <v>131</v>
      </c>
      <c r="E62" s="253"/>
      <c r="F62" s="250">
        <f>VLOOKUP(D62,廠價表!$C$1:$E$43,3,0)</f>
        <v>26.99</v>
      </c>
      <c r="G62" s="38">
        <v>1301</v>
      </c>
      <c r="H62" s="254">
        <f t="shared" ref="H62" si="22">F62*G62</f>
        <v>35113.99</v>
      </c>
      <c r="I62" s="182"/>
      <c r="J62" s="106">
        <f>VLOOKUP(D62,產線配置圖!$A$3:$C$40,2,0)</f>
        <v>15</v>
      </c>
      <c r="K62" s="107">
        <f>VLOOKUP(D62,產線配置圖!$A$3:$C$40,3,0)</f>
        <v>1565</v>
      </c>
      <c r="L62" s="238">
        <f t="shared" ref="L62" si="23">K62/J62</f>
        <v>104.33333333333333</v>
      </c>
      <c r="M62" s="108">
        <v>15</v>
      </c>
      <c r="N62" s="107">
        <f>G62/W62*60</f>
        <v>1445.5555555555563</v>
      </c>
      <c r="O62" s="238">
        <f>N62/M62</f>
        <v>96.370370370370424</v>
      </c>
      <c r="P62" s="111">
        <f>M62-J62</f>
        <v>0</v>
      </c>
      <c r="Q62" s="255">
        <f>O62-L62</f>
        <v>-7.9629629629629051</v>
      </c>
      <c r="R62" s="85">
        <f t="shared" si="21"/>
        <v>0.92367767128150569</v>
      </c>
      <c r="S62" s="417"/>
      <c r="T62" s="22">
        <v>0.59097222222222201</v>
      </c>
      <c r="U62" s="22">
        <v>0.62847222222222199</v>
      </c>
      <c r="V62" s="30">
        <f>(T62-U61)*24*60</f>
        <v>121.00000000000037</v>
      </c>
      <c r="W62" s="248">
        <f t="shared" si="4"/>
        <v>53.999999999999972</v>
      </c>
      <c r="X62" s="22"/>
      <c r="Y62" s="84"/>
      <c r="Z62" s="90"/>
      <c r="AA62" s="90"/>
      <c r="AB62" s="465" t="s">
        <v>219</v>
      </c>
      <c r="AC62" s="466"/>
      <c r="AD62" s="92"/>
      <c r="AE62" s="92"/>
      <c r="AF62" s="317">
        <f>N62-K62</f>
        <v>-119.44444444444366</v>
      </c>
      <c r="AG62" s="247">
        <f>N62/K62</f>
        <v>0.92367767128150569</v>
      </c>
      <c r="AH62" s="462"/>
    </row>
    <row r="63" spans="1:34" ht="15" customHeight="1">
      <c r="A63" s="504"/>
      <c r="B63" s="258"/>
      <c r="C63" s="58"/>
      <c r="D63" s="259"/>
      <c r="E63" s="60"/>
      <c r="F63" s="250"/>
      <c r="G63" s="260"/>
      <c r="H63" s="254"/>
      <c r="I63" s="182"/>
      <c r="J63" s="106"/>
      <c r="K63" s="107"/>
      <c r="L63" s="238"/>
      <c r="M63" s="68"/>
      <c r="N63" s="107"/>
      <c r="O63" s="238"/>
      <c r="P63" s="111"/>
      <c r="Q63" s="255"/>
      <c r="R63" s="85"/>
      <c r="S63" s="417"/>
      <c r="T63" s="22"/>
      <c r="U63" s="22"/>
      <c r="V63" s="30">
        <f>(T63-U62)*24*60</f>
        <v>-904.99999999999977</v>
      </c>
      <c r="W63" s="248">
        <f t="shared" si="4"/>
        <v>0</v>
      </c>
      <c r="X63" s="261"/>
      <c r="Y63" s="291"/>
      <c r="Z63" s="335"/>
      <c r="AA63" s="335"/>
      <c r="AB63" s="466"/>
      <c r="AC63" s="466"/>
      <c r="AD63" s="92"/>
      <c r="AE63" s="92"/>
      <c r="AF63" s="317"/>
      <c r="AG63" s="247"/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>
        <f t="shared" ref="J69:O69" si="24">AVERAGE(J59:J68)</f>
        <v>13.75</v>
      </c>
      <c r="K69" s="240">
        <f t="shared" si="24"/>
        <v>1533.75</v>
      </c>
      <c r="L69" s="268">
        <f t="shared" si="24"/>
        <v>112.46314102564102</v>
      </c>
      <c r="M69" s="240">
        <f t="shared" si="24"/>
        <v>13.75</v>
      </c>
      <c r="N69" s="240">
        <f t="shared" si="24"/>
        <v>1404.1707720166428</v>
      </c>
      <c r="O69" s="268">
        <f t="shared" si="24"/>
        <v>102.83007246774322</v>
      </c>
      <c r="P69" s="269">
        <f>M69-J69</f>
        <v>0</v>
      </c>
      <c r="Q69" s="222">
        <f>N69-K69</f>
        <v>-129.57922798335721</v>
      </c>
      <c r="R69" s="123">
        <f>O69/L69</f>
        <v>0.91434466021448302</v>
      </c>
      <c r="S69" s="42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7"/>
      <c r="AC69" s="467"/>
      <c r="AD69" s="323">
        <f>SUM(AD59:AD68)</f>
        <v>0</v>
      </c>
      <c r="AE69" s="323">
        <f>SUM(AE59:AE68)</f>
        <v>0</v>
      </c>
      <c r="AF69" s="309">
        <f>N69-K69</f>
        <v>-129.57922798335721</v>
      </c>
      <c r="AG69" s="124">
        <f>N69/K69</f>
        <v>0.9155147657810222</v>
      </c>
      <c r="AH69" s="464"/>
    </row>
    <row r="70" spans="1:36" ht="15" customHeight="1">
      <c r="A70" s="498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6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68"/>
      <c r="AC70" s="468"/>
      <c r="AD70" s="135"/>
      <c r="AE70" s="135"/>
      <c r="AF70" s="310">
        <f>N70-K70</f>
        <v>0</v>
      </c>
      <c r="AG70" s="246" t="e">
        <f>N70/K70</f>
        <v>#DIV/0!</v>
      </c>
      <c r="AH70" s="461" t="e">
        <f>AG79</f>
        <v>#DIV/0!</v>
      </c>
    </row>
    <row r="71" spans="1:36" ht="15" customHeight="1">
      <c r="A71" s="499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7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7"/>
      <c r="AC71" s="487"/>
      <c r="AD71" s="200"/>
      <c r="AE71" s="200"/>
      <c r="AF71" s="311">
        <v>-300.31249999999704</v>
      </c>
      <c r="AG71" s="99">
        <v>0.80810702875399554</v>
      </c>
      <c r="AH71" s="482"/>
    </row>
    <row r="72" spans="1:36" ht="15" customHeight="1">
      <c r="A72" s="499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7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6"/>
      <c r="AC72" s="466"/>
      <c r="AD72" s="92"/>
      <c r="AE72" s="92"/>
      <c r="AF72" s="311">
        <v>-130.33333333333326</v>
      </c>
      <c r="AG72" s="99">
        <v>0.91671991480298198</v>
      </c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6"/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>
      <c r="A79" s="500"/>
      <c r="B79" s="239"/>
      <c r="C79" s="153"/>
      <c r="D79" s="437"/>
      <c r="E79" s="437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1:AC2"/>
    <mergeCell ref="AF1:AH2"/>
    <mergeCell ref="G3:G4"/>
    <mergeCell ref="J1:L2"/>
    <mergeCell ref="M1:O2"/>
    <mergeCell ref="P1:S2"/>
    <mergeCell ref="T1:Y2"/>
    <mergeCell ref="A2:B2"/>
    <mergeCell ref="A3:A4"/>
    <mergeCell ref="B3:B4"/>
    <mergeCell ref="D3:E4"/>
    <mergeCell ref="F3:F4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T3:U3"/>
    <mergeCell ref="V3:V4"/>
    <mergeCell ref="W3:W4"/>
    <mergeCell ref="X3:Y3"/>
    <mergeCell ref="Z3:AA3"/>
    <mergeCell ref="AB13:AC13"/>
    <mergeCell ref="AD3:AE3"/>
    <mergeCell ref="AF3:AF4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38:A48"/>
    <mergeCell ref="S38:S48"/>
    <mergeCell ref="AB38:AC38"/>
    <mergeCell ref="D48:E48"/>
    <mergeCell ref="AB48:AC48"/>
    <mergeCell ref="AB34:AC34"/>
    <mergeCell ref="AB35:AC35"/>
    <mergeCell ref="AB36:AC36"/>
    <mergeCell ref="D37:E37"/>
    <mergeCell ref="AB37:AC3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164" priority="1" operator="greaterThan">
      <formula>0</formula>
    </cfRule>
  </conditionalFormatting>
  <conditionalFormatting sqref="Q5:Q79 AF5:AF79">
    <cfRule type="cellIs" dxfId="163" priority="4" operator="lessThan">
      <formula>0</formula>
    </cfRule>
  </conditionalFormatting>
  <conditionalFormatting sqref="R5:R79 AG5:AG79">
    <cfRule type="cellIs" dxfId="162" priority="2" operator="greaterThan">
      <formula>1</formula>
    </cfRule>
    <cfRule type="cellIs" dxfId="161" priority="3" operator="lessThan">
      <formula>0.8</formula>
    </cfRule>
  </conditionalFormatting>
  <conditionalFormatting sqref="S5:S10 S37:S62 AH59:AH62 S69:S76 AH69:AH76">
    <cfRule type="cellIs" dxfId="160" priority="7" operator="lessThan">
      <formula>0.8</formula>
    </cfRule>
  </conditionalFormatting>
  <conditionalFormatting sqref="S19:S25 AH19:AH25">
    <cfRule type="cellIs" dxfId="159" priority="6" operator="lessThan">
      <formula>0.8</formula>
    </cfRule>
  </conditionalFormatting>
  <conditionalFormatting sqref="S79">
    <cfRule type="cellIs" dxfId="158" priority="5" operator="lessThan">
      <formula>0.8</formula>
    </cfRule>
  </conditionalFormatting>
  <conditionalFormatting sqref="AH5:AH8 S15:S16 AH15:AH16 AH49 AH79">
    <cfRule type="cellIs" dxfId="157" priority="9" operator="lessThan">
      <formula>0.8</formula>
    </cfRule>
  </conditionalFormatting>
  <conditionalFormatting sqref="AH27 S27:S28">
    <cfRule type="cellIs" dxfId="156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85CE5B-1A2F-4C2C-A311-3820F3D1EA95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189F9-0DD1-4B90-98DC-B6A13FA42577}">
  <dimension ref="B1:O26"/>
  <sheetViews>
    <sheetView topLeftCell="A5" zoomScale="70" zoomScaleNormal="70" workbookViewId="0">
      <selection activeCell="M10" sqref="M10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46162</v>
      </c>
      <c r="E3" s="412"/>
      <c r="F3" s="3" t="s">
        <v>72</v>
      </c>
      <c r="G3" s="413">
        <f>'0520'!E1</f>
        <v>53250</v>
      </c>
      <c r="H3" s="413"/>
      <c r="I3" s="3" t="s">
        <v>2</v>
      </c>
      <c r="J3" s="414">
        <f>'0520'!G1</f>
        <v>2592404.9159999997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>
        <f>AVERAGE(D13:I13)</f>
        <v>121.05179783451842</v>
      </c>
      <c r="G6" s="410"/>
      <c r="H6" s="395">
        <f>AVERAGE(D13:H13)</f>
        <v>122.76952919629392</v>
      </c>
      <c r="I6" s="395"/>
      <c r="J6" s="395">
        <f>AVERAGE(I13)</f>
        <v>112.46314102564102</v>
      </c>
      <c r="K6" s="395"/>
      <c r="L6" s="396">
        <f>SUM(D18:J18)</f>
        <v>0</v>
      </c>
      <c r="M6" s="398">
        <f>SUM(D19:J19)</f>
        <v>0</v>
      </c>
      <c r="N6" s="399">
        <f>SUM(D20:J20)</f>
        <v>0</v>
      </c>
      <c r="O6" s="398">
        <f>SUM(D20:J20)</f>
        <v>0</v>
      </c>
    </row>
    <row r="7" spans="2:15" ht="39.6" customHeight="1">
      <c r="B7" s="406"/>
      <c r="C7" s="406"/>
      <c r="D7" s="401" t="s">
        <v>87</v>
      </c>
      <c r="E7" s="401"/>
      <c r="F7" s="402">
        <f>AVERAGE(D14:I14)</f>
        <v>110.75985609346885</v>
      </c>
      <c r="G7" s="402"/>
      <c r="H7" s="403">
        <f>AVERAGE(D14:H14)</f>
        <v>112.58195821067588</v>
      </c>
      <c r="I7" s="403"/>
      <c r="J7" s="403">
        <f>AVERAGE(I14)</f>
        <v>101.64934550743376</v>
      </c>
      <c r="K7" s="403"/>
      <c r="L7" s="397" t="e">
        <f t="shared" ref="L7:O8" si="0">AVERAGE(K14:L14)</f>
        <v>#DIV/0!</v>
      </c>
      <c r="M7" s="398" t="e">
        <f t="shared" si="0"/>
        <v>#DIV/0!</v>
      </c>
      <c r="N7" s="400" t="e">
        <f t="shared" si="0"/>
        <v>#DIV/0!</v>
      </c>
      <c r="O7" s="398" t="e">
        <f t="shared" si="0"/>
        <v>#DIV/0!</v>
      </c>
    </row>
    <row r="8" spans="2:15" ht="39.6" customHeight="1">
      <c r="B8" s="406"/>
      <c r="C8" s="406"/>
      <c r="D8" s="401" t="s">
        <v>27</v>
      </c>
      <c r="E8" s="401"/>
      <c r="F8" s="387">
        <f>F7/F6</f>
        <v>0.91497902612632842</v>
      </c>
      <c r="G8" s="387"/>
      <c r="H8" s="387">
        <f>H7/H6</f>
        <v>0.91701873378263654</v>
      </c>
      <c r="I8" s="387"/>
      <c r="J8" s="387">
        <f>J7/J6</f>
        <v>0.9038458696815006</v>
      </c>
      <c r="K8" s="387"/>
      <c r="L8" s="397" t="e">
        <f t="shared" si="0"/>
        <v>#DIV/0!</v>
      </c>
      <c r="M8" s="398" t="e">
        <f t="shared" si="0"/>
        <v>#DIV/0!</v>
      </c>
      <c r="N8" s="400" t="e">
        <f t="shared" si="0"/>
        <v>#DIV/0!</v>
      </c>
      <c r="O8" s="398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>
        <f>VALUE('0520'!L15)</f>
        <v>150</v>
      </c>
      <c r="E13" s="13">
        <f>VALUE('0520'!L26)</f>
        <v>161.37362637362637</v>
      </c>
      <c r="F13" s="13">
        <f>VALUE('0520'!L37)</f>
        <v>92.766339869281055</v>
      </c>
      <c r="G13" s="13">
        <f>VALUE('0520'!L48)</f>
        <v>105.25098039215686</v>
      </c>
      <c r="H13" s="13">
        <f>VALUE('0520'!L58)</f>
        <v>104.45669934640523</v>
      </c>
      <c r="I13" s="13">
        <f>VALUE('0520'!L69)</f>
        <v>112.46314102564102</v>
      </c>
      <c r="J13" s="13">
        <f>'0520'!L79</f>
        <v>0</v>
      </c>
    </row>
    <row r="14" spans="2:15" ht="39.950000000000003" customHeight="1">
      <c r="B14" s="381"/>
      <c r="C14" s="12" t="s">
        <v>100</v>
      </c>
      <c r="D14" s="13">
        <f>VALUE('0520'!O15)</f>
        <v>144.21651726110713</v>
      </c>
      <c r="E14" s="13">
        <f>VALUE('0520'!O26)</f>
        <v>147.80116871747026</v>
      </c>
      <c r="F14" s="13">
        <f>VALUE('0520'!O37)</f>
        <v>82.937770931240863</v>
      </c>
      <c r="G14" s="13">
        <f>VALUE('0520'!O48)</f>
        <v>90.679411764705392</v>
      </c>
      <c r="H14" s="13">
        <f>VALUE('0520'!O58)</f>
        <v>97.274922378855706</v>
      </c>
      <c r="I14" s="13">
        <f>VALUE('0520'!O69)</f>
        <v>101.64934550743376</v>
      </c>
      <c r="J14" s="13">
        <f>'0520'!O79</f>
        <v>0</v>
      </c>
    </row>
    <row r="15" spans="2:15" ht="39.950000000000003" customHeight="1">
      <c r="B15" s="382"/>
      <c r="C15" s="10" t="s">
        <v>26</v>
      </c>
      <c r="D15" s="14">
        <f t="shared" ref="D15:I15" si="1">D14/D13</f>
        <v>0.96144344840738083</v>
      </c>
      <c r="E15" s="14">
        <f t="shared" si="1"/>
        <v>0.91589420179024816</v>
      </c>
      <c r="F15" s="14">
        <f t="shared" si="1"/>
        <v>0.89405026702692125</v>
      </c>
      <c r="G15" s="14">
        <f t="shared" si="1"/>
        <v>0.86155408174670722</v>
      </c>
      <c r="H15" s="14">
        <f t="shared" si="1"/>
        <v>0.93124637277947198</v>
      </c>
      <c r="I15" s="14">
        <f t="shared" si="1"/>
        <v>0.9038458696815006</v>
      </c>
      <c r="J15" s="15">
        <f>'0520'!S70</f>
        <v>0</v>
      </c>
    </row>
    <row r="16" spans="2:15" ht="17.25" customHeight="1">
      <c r="B16" s="383" t="s">
        <v>101</v>
      </c>
      <c r="C16" s="10" t="s">
        <v>34</v>
      </c>
      <c r="D16" s="16">
        <f>'0520'!T5</f>
        <v>0.29166666666666702</v>
      </c>
      <c r="E16" s="16">
        <f>'0520'!T16</f>
        <v>0.29166666666666702</v>
      </c>
      <c r="F16" s="16">
        <f>'0520'!T27</f>
        <v>0.32986111111111099</v>
      </c>
      <c r="G16" s="16">
        <f>'0520'!T38</f>
        <v>0.33333333333333298</v>
      </c>
      <c r="H16" s="16">
        <f>'0520'!T49</f>
        <v>0.29166666666666702</v>
      </c>
      <c r="I16" s="16">
        <f>'0520'!T59</f>
        <v>0.29166666666666702</v>
      </c>
      <c r="J16" s="16">
        <f>'0520'!T70</f>
        <v>0</v>
      </c>
    </row>
    <row r="17" spans="2:10" ht="17.25" customHeight="1">
      <c r="B17" s="384"/>
      <c r="C17" s="10" t="s">
        <v>35</v>
      </c>
      <c r="D17" s="16">
        <v>0.61875000000000002</v>
      </c>
      <c r="E17" s="19">
        <v>0.58333333333333304</v>
      </c>
      <c r="F17" s="19">
        <v>0.62361111111111101</v>
      </c>
      <c r="G17" s="210">
        <v>0.51388888888888895</v>
      </c>
      <c r="H17" s="21">
        <v>0.63194444444444398</v>
      </c>
      <c r="I17" s="22">
        <v>0.625</v>
      </c>
      <c r="J17" s="16">
        <f>'0520'!T71</f>
        <v>0</v>
      </c>
    </row>
    <row r="18" spans="2:10" ht="17.25" customHeight="1">
      <c r="B18" s="385" t="s">
        <v>102</v>
      </c>
      <c r="C18" s="330" t="s">
        <v>36</v>
      </c>
      <c r="D18" s="358">
        <f>'0520'!Z15</f>
        <v>0</v>
      </c>
      <c r="E18" s="359">
        <f>'0520'!Z26</f>
        <v>0</v>
      </c>
      <c r="F18" s="359">
        <f>'0520'!Z37</f>
        <v>0</v>
      </c>
      <c r="G18" s="360">
        <f>'0520'!Z48</f>
        <v>0</v>
      </c>
      <c r="H18" s="360">
        <f>'0520'!Z58</f>
        <v>0</v>
      </c>
      <c r="I18" s="359">
        <f>'0520'!Z69</f>
        <v>0</v>
      </c>
      <c r="J18" s="359">
        <f>'0520'!AA79</f>
        <v>0</v>
      </c>
    </row>
    <row r="19" spans="2:10" ht="17.25" customHeight="1">
      <c r="B19" s="386"/>
      <c r="C19" s="330" t="s">
        <v>37</v>
      </c>
      <c r="D19" s="358">
        <f>'0520'!AA15</f>
        <v>0</v>
      </c>
      <c r="E19" s="359">
        <f>'0520'!AA26</f>
        <v>0</v>
      </c>
      <c r="F19" s="359">
        <f>'0520'!AA37</f>
        <v>0</v>
      </c>
      <c r="G19" s="360">
        <f>'0520'!AA48</f>
        <v>0</v>
      </c>
      <c r="H19" s="360">
        <f>'0520'!AA58</f>
        <v>0</v>
      </c>
      <c r="I19" s="359">
        <f>'0520'!AA69</f>
        <v>0</v>
      </c>
      <c r="J19" s="359">
        <f>'0520'!AB79</f>
        <v>0</v>
      </c>
    </row>
    <row r="20" spans="2:10" ht="17.25" customHeight="1">
      <c r="B20" s="385" t="s">
        <v>103</v>
      </c>
      <c r="C20" s="330" t="s">
        <v>36</v>
      </c>
      <c r="D20" s="358">
        <f>'0520'!AD15</f>
        <v>0</v>
      </c>
      <c r="E20" s="359">
        <f>'0520'!AD26</f>
        <v>0</v>
      </c>
      <c r="F20" s="359">
        <f>'0520'!AD37</f>
        <v>0</v>
      </c>
      <c r="G20" s="360">
        <f>'0520'!AD48</f>
        <v>0</v>
      </c>
      <c r="H20" s="360">
        <f>'0520'!AD58</f>
        <v>0</v>
      </c>
      <c r="I20" s="359">
        <f>'0520'!AD69</f>
        <v>0</v>
      </c>
      <c r="J20" s="359">
        <f>'0520'!AD79</f>
        <v>0</v>
      </c>
    </row>
    <row r="21" spans="2:10" ht="17.25" customHeight="1">
      <c r="B21" s="386"/>
      <c r="C21" s="330" t="s">
        <v>85</v>
      </c>
      <c r="D21" s="358">
        <f>'0520'!AE15</f>
        <v>0</v>
      </c>
      <c r="E21" s="359">
        <f>'0520'!AE26</f>
        <v>0</v>
      </c>
      <c r="F21" s="359">
        <f>'0520'!AE37</f>
        <v>0</v>
      </c>
      <c r="G21" s="360">
        <f>'0520'!AE48</f>
        <v>0</v>
      </c>
      <c r="H21" s="360">
        <f>'0520'!AE58</f>
        <v>0</v>
      </c>
      <c r="I21" s="359">
        <f>'0520'!AE69</f>
        <v>0</v>
      </c>
      <c r="J21" s="359">
        <f>'0520'!AE79</f>
        <v>0</v>
      </c>
    </row>
    <row r="22" spans="2:10" ht="17.25" customHeight="1">
      <c r="B22" s="377" t="s">
        <v>104</v>
      </c>
      <c r="C22" s="378"/>
      <c r="D22" s="23">
        <f>VALUE('0520'!M15)</f>
        <v>13</v>
      </c>
      <c r="E22" s="23">
        <f>VALUE('0520'!M26)</f>
        <v>14</v>
      </c>
      <c r="F22" s="23">
        <f>VALUE('0520'!M37)</f>
        <v>17</v>
      </c>
      <c r="G22" s="23">
        <f>VALUE('0520'!M48)</f>
        <v>16</v>
      </c>
      <c r="H22" s="23">
        <f>VALUE('0520'!M58)</f>
        <v>16.75</v>
      </c>
      <c r="I22" s="23">
        <f>VALUE('0520'!M69)</f>
        <v>13.75</v>
      </c>
      <c r="J22" s="23">
        <f>'0520'!M79</f>
        <v>0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D7:E7"/>
    <mergeCell ref="F7:G7"/>
    <mergeCell ref="H7:I7"/>
    <mergeCell ref="J7:K7"/>
    <mergeCell ref="D8:E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55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3EA87-83F9-4E56-B6BD-7C33D84BA208}">
  <sheetPr>
    <tabColor theme="9" tint="0.79998168889431442"/>
  </sheetPr>
  <dimension ref="A1:AJ92"/>
  <sheetViews>
    <sheetView zoomScale="69" zoomScaleNormal="69" workbookViewId="0">
      <pane xSplit="5" ySplit="4" topLeftCell="F17" activePane="bottomRight" state="frozen"/>
      <selection activeCell="M10" sqref="M10"/>
      <selection pane="topRight" activeCell="M10" sqref="M10"/>
      <selection pane="bottomLeft" activeCell="M10" sqref="M10"/>
      <selection pane="bottomRight" activeCell="M10" sqref="M10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8" width="8.7109375" style="34" customWidth="1"/>
    <col min="109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53250</v>
      </c>
      <c r="F1" s="30" t="s">
        <v>2</v>
      </c>
      <c r="G1" s="31">
        <f>SUM(H5:H79)</f>
        <v>2592404.9159999997</v>
      </c>
      <c r="H1" s="32" t="s">
        <v>3</v>
      </c>
      <c r="I1" s="33">
        <f>M15+M26+M48+M58+M69+M79+M37</f>
        <v>90.5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220</v>
      </c>
      <c r="B2" s="422"/>
      <c r="C2" s="28"/>
      <c r="D2" s="28" t="s">
        <v>14</v>
      </c>
      <c r="E2" s="35">
        <f>AVERAGE(O15,O26,O37,O48,O58,O69,O79)</f>
        <v>110.75985609346885</v>
      </c>
      <c r="F2" s="36" t="s">
        <v>15</v>
      </c>
      <c r="G2" s="37">
        <f>G1/E1</f>
        <v>48.683660394366193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0</v>
      </c>
      <c r="AA2" s="339">
        <f>AA15+AA26+AA37+AA48+AA58+AA69+AA79</f>
        <v>0</v>
      </c>
      <c r="AB2" s="460"/>
      <c r="AC2" s="460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2340</v>
      </c>
      <c r="H5" s="43">
        <f>F5*G5</f>
        <v>133075.79999999999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2005.7142857142906</v>
      </c>
      <c r="O5" s="47">
        <f>N5/M5</f>
        <v>133.71428571428604</v>
      </c>
      <c r="P5" s="49">
        <f>M5-J5</f>
        <v>0</v>
      </c>
      <c r="Q5" s="50">
        <f>O5-L5</f>
        <v>-16.285714285713965</v>
      </c>
      <c r="R5" s="51">
        <f>O5/L5</f>
        <v>0.89142857142857357</v>
      </c>
      <c r="S5" s="416">
        <f>R15</f>
        <v>0.96144344840738083</v>
      </c>
      <c r="T5" s="319">
        <v>0.29166666666666702</v>
      </c>
      <c r="U5" s="320">
        <v>0.34027777777777801</v>
      </c>
      <c r="V5" s="53"/>
      <c r="W5" s="54">
        <f t="shared" ref="W5:W14" si="0">(U5-T5)*24*60</f>
        <v>69.999999999999829</v>
      </c>
      <c r="X5" s="55"/>
      <c r="Y5" s="290"/>
      <c r="Z5" s="169"/>
      <c r="AA5" s="169"/>
      <c r="AB5" s="468"/>
      <c r="AC5" s="468"/>
      <c r="AD5" s="135"/>
      <c r="AE5" s="135"/>
      <c r="AF5" s="229">
        <f t="shared" ref="AF5:AF11" si="1">N5-K5</f>
        <v>-244.28571428570945</v>
      </c>
      <c r="AG5" s="52">
        <f t="shared" ref="AG5:AG11" si="2">N5/K5</f>
        <v>0.89142857142857357</v>
      </c>
      <c r="AH5" s="461">
        <f>AG15</f>
        <v>0.80855455951850386</v>
      </c>
    </row>
    <row r="6" spans="1:34" ht="15" customHeight="1">
      <c r="A6" s="428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3501</v>
      </c>
      <c r="H6" s="63">
        <f>F6*G6</f>
        <v>203653.17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1963.1775700934459</v>
      </c>
      <c r="O6" s="67">
        <f>N6/M6</f>
        <v>130.87850467289638</v>
      </c>
      <c r="P6" s="69">
        <f>M6-J6</f>
        <v>0</v>
      </c>
      <c r="Q6" s="70">
        <f>O6-L6</f>
        <v>-19.121495327103617</v>
      </c>
      <c r="R6" s="71">
        <f>O6/L6</f>
        <v>0.87252336448597589</v>
      </c>
      <c r="S6" s="417"/>
      <c r="T6" s="16">
        <v>0.34722222222222199</v>
      </c>
      <c r="U6" s="16">
        <v>0.421527777777778</v>
      </c>
      <c r="V6" s="30">
        <f>(T6-U5)*24*60</f>
        <v>9.999999999999325</v>
      </c>
      <c r="W6" s="73">
        <f t="shared" si="0"/>
        <v>107.00000000000065</v>
      </c>
      <c r="X6" s="22"/>
      <c r="Y6" s="84"/>
      <c r="Z6" s="90"/>
      <c r="AA6" s="90"/>
      <c r="AB6" s="465" t="s">
        <v>221</v>
      </c>
      <c r="AC6" s="465"/>
      <c r="AD6" s="149"/>
      <c r="AE6" s="149"/>
      <c r="AF6" s="307">
        <f t="shared" si="1"/>
        <v>-286.82242990655413</v>
      </c>
      <c r="AG6" s="72">
        <f t="shared" si="2"/>
        <v>0.87252336448597589</v>
      </c>
      <c r="AH6" s="462"/>
    </row>
    <row r="7" spans="1:34" ht="15" customHeight="1">
      <c r="A7" s="428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2272</v>
      </c>
      <c r="H7" s="78">
        <f>F7*G7</f>
        <v>111646.08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2129.9999999999732</v>
      </c>
      <c r="O7" s="81">
        <f>N7/M7</f>
        <v>141.99999999999821</v>
      </c>
      <c r="P7" s="74">
        <f>M7-J7</f>
        <v>0</v>
      </c>
      <c r="Q7" s="83">
        <f>O7-L7</f>
        <v>-8.0000000000017906</v>
      </c>
      <c r="R7" s="72">
        <f>O7/L7</f>
        <v>0.94666666666665478</v>
      </c>
      <c r="S7" s="417"/>
      <c r="T7" s="18">
        <v>0.43611111111111101</v>
      </c>
      <c r="U7" s="18">
        <v>0.48055555555555601</v>
      </c>
      <c r="V7" s="30">
        <f>(T7-U6)*24*60</f>
        <v>20.999999999999524</v>
      </c>
      <c r="W7" s="73">
        <f t="shared" si="0"/>
        <v>64.00000000000081</v>
      </c>
      <c r="X7" s="22"/>
      <c r="Y7" s="84"/>
      <c r="Z7" s="90"/>
      <c r="AA7" s="90"/>
      <c r="AB7" s="466"/>
      <c r="AC7" s="466"/>
      <c r="AD7" s="92"/>
      <c r="AE7" s="92"/>
      <c r="AF7" s="307">
        <f t="shared" si="1"/>
        <v>-120.00000000002683</v>
      </c>
      <c r="AG7" s="72">
        <f t="shared" si="2"/>
        <v>0.94666666666665478</v>
      </c>
      <c r="AH7" s="462"/>
    </row>
    <row r="8" spans="1:34" ht="15" customHeight="1">
      <c r="A8" s="428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3491</v>
      </c>
      <c r="H8" s="78">
        <f t="shared" ref="H8:H9" si="3">F8*G8</f>
        <v>171547.74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9" si="4">K8/J8</f>
        <v>150</v>
      </c>
      <c r="M8" s="82">
        <v>15</v>
      </c>
      <c r="N8" s="80">
        <f t="shared" ref="N8:N9" si="5">G8/W8*60</f>
        <v>2137.3469387755249</v>
      </c>
      <c r="O8" s="81">
        <f t="shared" ref="O8:O9" si="6">N8/M8</f>
        <v>142.48979591836832</v>
      </c>
      <c r="P8" s="74">
        <f t="shared" ref="P8:P9" si="7">M8-J8</f>
        <v>0</v>
      </c>
      <c r="Q8" s="83">
        <f t="shared" ref="Q8:Q9" si="8">O8-L8</f>
        <v>-7.5102040816316844</v>
      </c>
      <c r="R8" s="72">
        <f t="shared" ref="R8:R9" si="9">O8/L8</f>
        <v>0.94993197278912211</v>
      </c>
      <c r="S8" s="417"/>
      <c r="T8" s="16">
        <v>0.54166666666666696</v>
      </c>
      <c r="U8" s="16">
        <v>0.60972222222222205</v>
      </c>
      <c r="V8" s="30">
        <f>(T8-U7)*24*60</f>
        <v>87.999999999999773</v>
      </c>
      <c r="W8" s="73">
        <f t="shared" si="0"/>
        <v>97.999999999999332</v>
      </c>
      <c r="X8" s="22"/>
      <c r="Y8" s="84"/>
      <c r="Z8" s="90"/>
      <c r="AA8" s="90"/>
      <c r="AB8" s="465"/>
      <c r="AC8" s="465"/>
      <c r="AD8" s="149"/>
      <c r="AE8" s="149"/>
      <c r="AF8" s="307">
        <f t="shared" si="1"/>
        <v>-112.6530612244751</v>
      </c>
      <c r="AG8" s="72">
        <f t="shared" si="2"/>
        <v>0.94993197278912223</v>
      </c>
      <c r="AH8" s="462"/>
    </row>
    <row r="9" spans="1:34" ht="15" customHeight="1">
      <c r="A9" s="429"/>
      <c r="B9" s="75" t="s">
        <v>81</v>
      </c>
      <c r="C9" s="76"/>
      <c r="D9" s="59" t="s">
        <v>115</v>
      </c>
      <c r="E9" s="77"/>
      <c r="F9" s="75">
        <f>VLOOKUP(D9,廠價表!$C$1:$E$43,3,0)</f>
        <v>58.17</v>
      </c>
      <c r="G9" s="66">
        <v>86</v>
      </c>
      <c r="H9" s="78">
        <f t="shared" si="3"/>
        <v>5002.62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5</v>
      </c>
      <c r="N9" s="80">
        <f t="shared" si="5"/>
        <v>859.99999999993429</v>
      </c>
      <c r="O9" s="81">
        <f t="shared" si="6"/>
        <v>171.99999999998687</v>
      </c>
      <c r="P9" s="74">
        <f t="shared" si="7"/>
        <v>-10</v>
      </c>
      <c r="Q9" s="83">
        <f t="shared" si="8"/>
        <v>21.999999999986869</v>
      </c>
      <c r="R9" s="72">
        <f t="shared" si="9"/>
        <v>1.1466666666665792</v>
      </c>
      <c r="S9" s="418"/>
      <c r="T9" s="16">
        <v>0.61458333333333304</v>
      </c>
      <c r="U9" s="16">
        <v>0.61875000000000002</v>
      </c>
      <c r="V9" s="30">
        <f>(T9-U8)*24*60</f>
        <v>6.9999999999998153</v>
      </c>
      <c r="W9" s="73">
        <f t="shared" si="0"/>
        <v>6.0000000000004583</v>
      </c>
      <c r="X9" s="22"/>
      <c r="Y9" s="84"/>
      <c r="Z9" s="90"/>
      <c r="AA9" s="90"/>
      <c r="AB9" s="465" t="s">
        <v>213</v>
      </c>
      <c r="AC9" s="465"/>
      <c r="AD9" s="149"/>
      <c r="AE9" s="149"/>
      <c r="AF9" s="307">
        <f t="shared" si="1"/>
        <v>-1390.0000000000657</v>
      </c>
      <c r="AG9" s="72">
        <f t="shared" si="2"/>
        <v>0.38222222222219304</v>
      </c>
      <c r="AH9" s="463"/>
    </row>
    <row r="10" spans="1:34" ht="15" customHeight="1">
      <c r="A10" s="42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8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6"/>
      <c r="AC10" s="466"/>
      <c r="AD10" s="92"/>
      <c r="AE10" s="92"/>
      <c r="AF10" s="307">
        <f t="shared" si="1"/>
        <v>0</v>
      </c>
      <c r="AG10" s="72" t="e">
        <f t="shared" si="2"/>
        <v>#DIV/0!</v>
      </c>
      <c r="AH10" s="463"/>
    </row>
    <row r="11" spans="1:34" ht="15" customHeight="1">
      <c r="A11" s="42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5"/>
      <c r="AC11" s="465"/>
      <c r="AD11" s="149"/>
      <c r="AE11" s="149"/>
      <c r="AF11" s="307">
        <f t="shared" si="1"/>
        <v>0</v>
      </c>
      <c r="AG11" s="72" t="e">
        <f t="shared" si="2"/>
        <v>#DIV/0!</v>
      </c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>
        <f t="shared" ref="J15:O15" si="10">AVERAGE(J5:J14)</f>
        <v>15</v>
      </c>
      <c r="K15" s="120">
        <f t="shared" si="10"/>
        <v>2250</v>
      </c>
      <c r="L15" s="117">
        <f t="shared" si="10"/>
        <v>150</v>
      </c>
      <c r="M15" s="120">
        <f t="shared" si="10"/>
        <v>13</v>
      </c>
      <c r="N15" s="120">
        <f t="shared" si="10"/>
        <v>1819.2477589166338</v>
      </c>
      <c r="O15" s="117">
        <f t="shared" si="10"/>
        <v>144.21651726110713</v>
      </c>
      <c r="P15" s="121">
        <f>M15-J15</f>
        <v>-2</v>
      </c>
      <c r="Q15" s="122">
        <f>O15-L15</f>
        <v>-5.7834827388928716</v>
      </c>
      <c r="R15" s="123">
        <f>O15/L15</f>
        <v>0.96144344840738083</v>
      </c>
      <c r="S15" s="42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7"/>
      <c r="AC15" s="467"/>
      <c r="AD15" s="323">
        <f>SUM(AD5:AD14)</f>
        <v>0</v>
      </c>
      <c r="AE15" s="323">
        <f>SUM(AE5:AE14)</f>
        <v>0</v>
      </c>
      <c r="AF15" s="309">
        <f>N15-K15</f>
        <v>-430.75224108336624</v>
      </c>
      <c r="AG15" s="124">
        <f>N15/K15</f>
        <v>0.80855455951850386</v>
      </c>
      <c r="AH15" s="464"/>
    </row>
    <row r="16" spans="1:34" ht="15" customHeight="1">
      <c r="A16" s="47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3313</v>
      </c>
      <c r="H16" s="134">
        <f>F16*G16</f>
        <v>167869.71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2160.6521739130394</v>
      </c>
      <c r="O16" s="141">
        <f>N16/M16</f>
        <v>154.33229813664568</v>
      </c>
      <c r="P16" s="142">
        <f>M16-J16</f>
        <v>0</v>
      </c>
      <c r="Q16" s="143">
        <f>O16-L16</f>
        <v>-6.3819875776400465</v>
      </c>
      <c r="R16" s="144">
        <f>O16/L16</f>
        <v>0.9602898550724619</v>
      </c>
      <c r="S16" s="472">
        <f>R26</f>
        <v>0.91589420179024816</v>
      </c>
      <c r="T16" s="145">
        <v>0.29166666666666702</v>
      </c>
      <c r="U16" s="145">
        <v>0.35555555555555601</v>
      </c>
      <c r="V16" s="135"/>
      <c r="W16" s="146">
        <f t="shared" ref="W16:W78" si="11">(U16-T16)*24*60</f>
        <v>92.000000000000156</v>
      </c>
      <c r="X16" s="141"/>
      <c r="Y16" s="296"/>
      <c r="Z16" s="169"/>
      <c r="AA16" s="169"/>
      <c r="AB16" s="468"/>
      <c r="AC16" s="468"/>
      <c r="AD16" s="135"/>
      <c r="AE16" s="135"/>
      <c r="AF16" s="229">
        <f>N16-K16</f>
        <v>-89.347826086960595</v>
      </c>
      <c r="AG16" s="52">
        <f>N16/K16</f>
        <v>0.96028985507246201</v>
      </c>
      <c r="AH16" s="461">
        <f>AG26</f>
        <v>0.91597758999233159</v>
      </c>
    </row>
    <row r="17" spans="1:34" ht="15" customHeight="1">
      <c r="A17" s="479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1791</v>
      </c>
      <c r="H17" s="78">
        <f>F17*G17</f>
        <v>101388.51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2027.5471698112942</v>
      </c>
      <c r="O17" s="96">
        <f>N17/M17</f>
        <v>135.16981132075296</v>
      </c>
      <c r="P17" s="97">
        <f>M17-J17</f>
        <v>0</v>
      </c>
      <c r="Q17" s="98">
        <f>O17-L17</f>
        <v>-14.830188679247044</v>
      </c>
      <c r="R17" s="99">
        <f>O17/L17</f>
        <v>0.90113207547168639</v>
      </c>
      <c r="S17" s="473"/>
      <c r="T17" s="19">
        <v>0.36319444444444399</v>
      </c>
      <c r="U17" s="19">
        <v>0.4</v>
      </c>
      <c r="V17" s="30">
        <f>(T17-U16)*24*60</f>
        <v>10.999999999998682</v>
      </c>
      <c r="W17" s="149">
        <f t="shared" si="11"/>
        <v>53.000000000000689</v>
      </c>
      <c r="X17" s="19"/>
      <c r="Y17" s="297"/>
      <c r="Z17" s="90"/>
      <c r="AA17" s="90"/>
      <c r="AB17" s="466"/>
      <c r="AC17" s="466"/>
      <c r="AD17" s="92"/>
      <c r="AE17" s="92"/>
      <c r="AF17" s="307">
        <f>N17-K17</f>
        <v>-222.45283018870578</v>
      </c>
      <c r="AG17" s="72">
        <f>N17/K17</f>
        <v>0.90113207547168628</v>
      </c>
      <c r="AH17" s="462"/>
    </row>
    <row r="18" spans="1:34" ht="15" customHeight="1">
      <c r="A18" s="479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3751</v>
      </c>
      <c r="H18" s="78">
        <f t="shared" ref="H18:H20" si="12">F18*G18</f>
        <v>189012.89</v>
      </c>
      <c r="I18" s="30"/>
      <c r="J18" s="79">
        <v>13</v>
      </c>
      <c r="K18" s="80">
        <f>VLOOKUP(D18,產線配置圖!$A$3:$C$40,3,0)</f>
        <v>2250</v>
      </c>
      <c r="L18" s="81">
        <f t="shared" ref="L18:L20" si="13">K18/J18</f>
        <v>173.07692307692307</v>
      </c>
      <c r="M18" s="148">
        <v>13</v>
      </c>
      <c r="N18" s="95">
        <f t="shared" ref="N18:N20" si="14">G18/W18*60</f>
        <v>2185.0485436893132</v>
      </c>
      <c r="O18" s="96">
        <f t="shared" ref="O18:O20" si="15">N18/M18</f>
        <v>168.08065720687026</v>
      </c>
      <c r="P18" s="97">
        <f t="shared" ref="P18:P20" si="16">M18-J18</f>
        <v>0</v>
      </c>
      <c r="Q18" s="98">
        <f t="shared" ref="Q18:Q20" si="17">O18-L18</f>
        <v>-4.9962658700528095</v>
      </c>
      <c r="R18" s="99">
        <f t="shared" ref="R18:R20" si="18">O18/L18</f>
        <v>0.97113268608413927</v>
      </c>
      <c r="S18" s="473"/>
      <c r="T18" s="19">
        <v>0.40763888888888899</v>
      </c>
      <c r="U18" s="19">
        <v>0.47916666666666702</v>
      </c>
      <c r="V18" s="30">
        <f>(T18-U17)*24*60</f>
        <v>11.000000000000121</v>
      </c>
      <c r="W18" s="149">
        <f t="shared" si="11"/>
        <v>103.00000000000036</v>
      </c>
      <c r="X18" s="22"/>
      <c r="Y18" s="84"/>
      <c r="Z18" s="90"/>
      <c r="AA18" s="90"/>
      <c r="AB18" s="466"/>
      <c r="AC18" s="466"/>
      <c r="AD18" s="92"/>
      <c r="AE18" s="92"/>
      <c r="AF18" s="307">
        <f>N18-K18</f>
        <v>-64.951456310686808</v>
      </c>
      <c r="AG18" s="72">
        <f>N18/K18</f>
        <v>0.97113268608413916</v>
      </c>
      <c r="AH18" s="462"/>
    </row>
    <row r="19" spans="1:34" ht="15" customHeight="1">
      <c r="A19" s="479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785</v>
      </c>
      <c r="H19" s="78">
        <f t="shared" si="12"/>
        <v>39556.15</v>
      </c>
      <c r="I19" s="30"/>
      <c r="J19" s="79">
        <v>13</v>
      </c>
      <c r="K19" s="80">
        <f>VLOOKUP(D19,產線配置圖!$A$3:$C$40,3,0)</f>
        <v>2250</v>
      </c>
      <c r="L19" s="81">
        <f t="shared" si="13"/>
        <v>173.07692307692307</v>
      </c>
      <c r="M19" s="148">
        <v>13</v>
      </c>
      <c r="N19" s="95">
        <f t="shared" si="14"/>
        <v>1884.0000000000068</v>
      </c>
      <c r="O19" s="96">
        <f t="shared" si="15"/>
        <v>144.92307692307745</v>
      </c>
      <c r="P19" s="97">
        <f t="shared" si="16"/>
        <v>0</v>
      </c>
      <c r="Q19" s="98">
        <f t="shared" si="17"/>
        <v>-28.15384615384562</v>
      </c>
      <c r="R19" s="99">
        <f t="shared" si="18"/>
        <v>0.83733333333333637</v>
      </c>
      <c r="S19" s="473"/>
      <c r="T19" s="19">
        <v>0.54166666666666696</v>
      </c>
      <c r="U19" s="19">
        <v>0.55902777777777801</v>
      </c>
      <c r="V19" s="30">
        <f>(T19-U18)*24*60</f>
        <v>89.999999999999915</v>
      </c>
      <c r="W19" s="149">
        <f t="shared" si="11"/>
        <v>24.999999999999911</v>
      </c>
      <c r="X19" s="22"/>
      <c r="Y19" s="84"/>
      <c r="Z19" s="90"/>
      <c r="AA19" s="90"/>
      <c r="AB19" s="465"/>
      <c r="AC19" s="465"/>
      <c r="AD19" s="149"/>
      <c r="AE19" s="149"/>
      <c r="AF19" s="307">
        <f>N19-K19</f>
        <v>-365.99999999999318</v>
      </c>
      <c r="AG19" s="72">
        <f>N19/K19</f>
        <v>0.83733333333333637</v>
      </c>
      <c r="AH19" s="463"/>
    </row>
    <row r="20" spans="1:34" ht="15" customHeight="1">
      <c r="A20" s="479"/>
      <c r="B20" s="75" t="s">
        <v>81</v>
      </c>
      <c r="C20" s="76"/>
      <c r="D20" s="59" t="s">
        <v>113</v>
      </c>
      <c r="E20" s="77"/>
      <c r="F20" s="75">
        <f>VLOOKUP(D20,廠價表!$C$1:$E$43,3,0)</f>
        <v>56.87</v>
      </c>
      <c r="G20" s="147">
        <v>819</v>
      </c>
      <c r="H20" s="78">
        <f t="shared" si="12"/>
        <v>46576.53</v>
      </c>
      <c r="I20" s="30"/>
      <c r="J20" s="79">
        <f>VLOOKUP(D20,產線配置圖!$A$3:$C$40,2,0)</f>
        <v>15</v>
      </c>
      <c r="K20" s="80">
        <f>VLOOKUP(D20,產線配置圖!$A$3:$C$40,3,0)</f>
        <v>2250</v>
      </c>
      <c r="L20" s="81">
        <f t="shared" si="13"/>
        <v>150</v>
      </c>
      <c r="M20" s="148">
        <v>15</v>
      </c>
      <c r="N20" s="95">
        <f t="shared" si="14"/>
        <v>2047.5000000000755</v>
      </c>
      <c r="O20" s="96">
        <f t="shared" si="15"/>
        <v>136.50000000000503</v>
      </c>
      <c r="P20" s="97">
        <f t="shared" si="16"/>
        <v>0</v>
      </c>
      <c r="Q20" s="98">
        <f t="shared" si="17"/>
        <v>-13.499999999994969</v>
      </c>
      <c r="R20" s="99">
        <f t="shared" si="18"/>
        <v>0.91000000000003356</v>
      </c>
      <c r="S20" s="473"/>
      <c r="T20" s="19">
        <v>0.56666666666666698</v>
      </c>
      <c r="U20" s="19">
        <v>0.58333333333333304</v>
      </c>
      <c r="V20" s="30">
        <f>(T20-U19)*24*60</f>
        <v>11.000000000000121</v>
      </c>
      <c r="W20" s="149">
        <f t="shared" si="11"/>
        <v>23.999999999999115</v>
      </c>
      <c r="X20" s="19"/>
      <c r="Y20" s="297"/>
      <c r="Z20" s="90"/>
      <c r="AA20" s="90"/>
      <c r="AB20" s="466"/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3"/>
      <c r="T21" s="19"/>
      <c r="U21" s="19"/>
      <c r="V21" s="30"/>
      <c r="W21" s="149">
        <f t="shared" si="11"/>
        <v>0</v>
      </c>
      <c r="X21" s="92"/>
      <c r="Y21" s="298"/>
      <c r="Z21" s="90"/>
      <c r="AA21" s="90"/>
      <c r="AB21" s="466"/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9"/>
      <c r="U22" s="19"/>
      <c r="V22" s="92"/>
      <c r="W22" s="149"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11"/>
        <v>0</v>
      </c>
      <c r="X23" s="92"/>
      <c r="Y23" s="298"/>
      <c r="Z23" s="90"/>
      <c r="AA23" s="90"/>
      <c r="AB23" s="466"/>
      <c r="AC23" s="46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11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11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>
        <f t="shared" ref="J26:O26" si="19">AVERAGE(J16:J25)</f>
        <v>14</v>
      </c>
      <c r="K26" s="155">
        <f t="shared" si="19"/>
        <v>2250</v>
      </c>
      <c r="L26" s="158">
        <f t="shared" si="19"/>
        <v>161.37362637362637</v>
      </c>
      <c r="M26" s="155">
        <f t="shared" si="19"/>
        <v>14</v>
      </c>
      <c r="N26" s="155">
        <f t="shared" si="19"/>
        <v>2060.949577482746</v>
      </c>
      <c r="O26" s="158">
        <f t="shared" si="19"/>
        <v>147.80116871747026</v>
      </c>
      <c r="P26" s="159">
        <f>M26-J26</f>
        <v>0</v>
      </c>
      <c r="Q26" s="160">
        <f>O26-L26</f>
        <v>-13.572457656156104</v>
      </c>
      <c r="R26" s="161">
        <f>O26/L26</f>
        <v>0.91589420179024816</v>
      </c>
      <c r="S26" s="474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7"/>
      <c r="AC26" s="467"/>
      <c r="AD26" s="323">
        <f>SUM(AD16:AD25)</f>
        <v>0</v>
      </c>
      <c r="AE26" s="323">
        <f>SUM(AE16:AE25)</f>
        <v>0</v>
      </c>
      <c r="AF26" s="309">
        <f t="shared" ref="AF26:AF31" si="20">N26-K26</f>
        <v>-189.05042251725399</v>
      </c>
      <c r="AG26" s="124">
        <f t="shared" ref="AG26:AG31" si="21">N26/K26</f>
        <v>0.91597758999233159</v>
      </c>
      <c r="AH26" s="464"/>
    </row>
    <row r="27" spans="1:34" ht="15" customHeight="1">
      <c r="A27" s="469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2214</v>
      </c>
      <c r="H27" s="134">
        <f>F27*G27</f>
        <v>126662.94</v>
      </c>
      <c r="I27" s="135"/>
      <c r="J27" s="136">
        <v>18</v>
      </c>
      <c r="K27" s="137">
        <f>VLOOKUP(D27,產線配置圖!$A$3:$C$40,3,0)</f>
        <v>1565</v>
      </c>
      <c r="L27" s="138">
        <f>K27/J27</f>
        <v>86.944444444444443</v>
      </c>
      <c r="M27" s="170">
        <v>17</v>
      </c>
      <c r="N27" s="140">
        <f>G27/W27*60</f>
        <v>1492.5842696629106</v>
      </c>
      <c r="O27" s="141">
        <f>N27/M27</f>
        <v>87.799074686053572</v>
      </c>
      <c r="P27" s="142">
        <f>M27-J27</f>
        <v>-1</v>
      </c>
      <c r="Q27" s="143">
        <f>O27-L27</f>
        <v>0.85463024160912937</v>
      </c>
      <c r="R27" s="144">
        <f>O27/L27</f>
        <v>1.009829613002533</v>
      </c>
      <c r="S27" s="472">
        <f>R37</f>
        <v>0.89405026702692125</v>
      </c>
      <c r="T27" s="171">
        <v>0.32986111111111099</v>
      </c>
      <c r="U27" s="171">
        <v>0.391666666666667</v>
      </c>
      <c r="V27" s="135"/>
      <c r="W27" s="146">
        <f t="shared" si="11"/>
        <v>89.000000000000639</v>
      </c>
      <c r="X27" s="135"/>
      <c r="Y27" s="300" t="s">
        <v>46</v>
      </c>
      <c r="Z27" s="169"/>
      <c r="AA27" s="169"/>
      <c r="AB27" s="468"/>
      <c r="AC27" s="468"/>
      <c r="AD27" s="135"/>
      <c r="AE27" s="135"/>
      <c r="AF27" s="310">
        <f t="shared" si="20"/>
        <v>-72.415730337089371</v>
      </c>
      <c r="AG27" s="172">
        <f t="shared" si="21"/>
        <v>0.95372796783572567</v>
      </c>
      <c r="AH27" s="461">
        <f>AG37</f>
        <v>0.8700660943110734</v>
      </c>
    </row>
    <row r="28" spans="1:34" ht="15" customHeight="1">
      <c r="A28" s="470"/>
      <c r="B28" s="75" t="s">
        <v>81</v>
      </c>
      <c r="C28" s="173"/>
      <c r="D28" s="59" t="s">
        <v>128</v>
      </c>
      <c r="E28" s="104"/>
      <c r="F28" s="75">
        <f>VLOOKUP(D28,廠價表!$C$1:$E$43,3,0)</f>
        <v>57.21</v>
      </c>
      <c r="G28" s="90">
        <v>2368</v>
      </c>
      <c r="H28" s="91">
        <f>F28*G28</f>
        <v>135473.28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17</v>
      </c>
      <c r="N28" s="95">
        <f>G28/W28*60</f>
        <v>1449.7959183673365</v>
      </c>
      <c r="O28" s="96">
        <f>N28/M28</f>
        <v>85.282112845137448</v>
      </c>
      <c r="P28" s="97">
        <f>M28-J28</f>
        <v>0</v>
      </c>
      <c r="Q28" s="98">
        <f>O28-L28</f>
        <v>-15.659063625450784</v>
      </c>
      <c r="R28" s="99">
        <f>O28/L28</f>
        <v>0.84486941629798173</v>
      </c>
      <c r="S28" s="473"/>
      <c r="T28" s="19">
        <v>0.39722222222222198</v>
      </c>
      <c r="U28" s="19">
        <v>0.46527777777777801</v>
      </c>
      <c r="V28" s="92">
        <f>(T28-U27)*24*60</f>
        <v>7.9999999999991722</v>
      </c>
      <c r="W28" s="149">
        <f t="shared" si="11"/>
        <v>98.000000000000696</v>
      </c>
      <c r="X28" s="174"/>
      <c r="Y28" s="301"/>
      <c r="Z28" s="335"/>
      <c r="AA28" s="335"/>
      <c r="AB28" s="466"/>
      <c r="AC28" s="466"/>
      <c r="AD28" s="92"/>
      <c r="AE28" s="92"/>
      <c r="AF28" s="311">
        <f t="shared" si="20"/>
        <v>-266.20408163266347</v>
      </c>
      <c r="AG28" s="99">
        <f t="shared" si="21"/>
        <v>0.84486941629798162</v>
      </c>
      <c r="AH28" s="482"/>
    </row>
    <row r="29" spans="1:34" ht="15" customHeight="1">
      <c r="A29" s="470"/>
      <c r="B29" s="75" t="s">
        <v>81</v>
      </c>
      <c r="C29" s="173"/>
      <c r="D29" s="59" t="s">
        <v>121</v>
      </c>
      <c r="E29" s="104"/>
      <c r="F29" s="75">
        <f>VLOOKUP(D29,廠價表!$C$1:$E$43,3,0)</f>
        <v>50.289000000000001</v>
      </c>
      <c r="G29" s="90">
        <v>1089</v>
      </c>
      <c r="H29" s="91">
        <f>F29*G29</f>
        <v>54764.721000000005</v>
      </c>
      <c r="I29" s="92"/>
      <c r="J29" s="79">
        <v>18</v>
      </c>
      <c r="K29" s="80">
        <f>VLOOKUP(D29,產線配置圖!$A$3:$C$40,3,0)</f>
        <v>1565</v>
      </c>
      <c r="L29" s="93">
        <f>K29/J29</f>
        <v>86.944444444444443</v>
      </c>
      <c r="M29" s="94">
        <v>17</v>
      </c>
      <c r="N29" s="95">
        <f>G29/W29*60</f>
        <v>1306.8000000000088</v>
      </c>
      <c r="O29" s="96">
        <f>N29/M29</f>
        <v>76.870588235294633</v>
      </c>
      <c r="P29" s="97">
        <f>M29-J29</f>
        <v>-1</v>
      </c>
      <c r="Q29" s="98">
        <f>O29-L29</f>
        <v>-10.07385620914981</v>
      </c>
      <c r="R29" s="99">
        <f>O29/L29</f>
        <v>0.88413456117271783</v>
      </c>
      <c r="S29" s="473"/>
      <c r="T29" s="19">
        <v>0.53472222222222199</v>
      </c>
      <c r="U29" s="19">
        <v>0.56944444444444398</v>
      </c>
      <c r="V29" s="92">
        <f>(T29-U28)*24*60</f>
        <v>99.999999999999318</v>
      </c>
      <c r="W29" s="149">
        <f t="shared" si="11"/>
        <v>49.999999999999659</v>
      </c>
      <c r="X29" s="22"/>
      <c r="Y29" s="84"/>
      <c r="Z29" s="90"/>
      <c r="AA29" s="90"/>
      <c r="AB29" s="466"/>
      <c r="AC29" s="466"/>
      <c r="AD29" s="92"/>
      <c r="AE29" s="92"/>
      <c r="AF29" s="312">
        <f t="shared" si="20"/>
        <v>-258.19999999999118</v>
      </c>
      <c r="AG29" s="99">
        <f t="shared" si="21"/>
        <v>0.83501597444090025</v>
      </c>
      <c r="AH29" s="482"/>
    </row>
    <row r="30" spans="1:34" ht="15" customHeight="1">
      <c r="A30" s="470"/>
      <c r="B30" s="75" t="s">
        <v>123</v>
      </c>
      <c r="C30" s="88"/>
      <c r="D30" s="59" t="s">
        <v>124</v>
      </c>
      <c r="E30" s="89"/>
      <c r="F30" s="75">
        <f>VLOOKUP(D30,廠價表!$C$1:$E$43,3,0)</f>
        <v>44.3</v>
      </c>
      <c r="G30" s="90">
        <v>1576</v>
      </c>
      <c r="H30" s="91">
        <f>F30*G30</f>
        <v>69816.799999999988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>K30/J30</f>
        <v>96.235294117647058</v>
      </c>
      <c r="M30" s="94">
        <v>17</v>
      </c>
      <c r="N30" s="95">
        <f>G30/W30*60</f>
        <v>1390.5882352941226</v>
      </c>
      <c r="O30" s="96">
        <f>N30/M30</f>
        <v>81.799307958477797</v>
      </c>
      <c r="P30" s="97">
        <f>M30-J30</f>
        <v>0</v>
      </c>
      <c r="Q30" s="98">
        <f>O30-L30</f>
        <v>-14.435986159169261</v>
      </c>
      <c r="R30" s="99">
        <f>O30/L30</f>
        <v>0.84999280885948814</v>
      </c>
      <c r="S30" s="473"/>
      <c r="T30" s="19">
        <v>0.57638888888888895</v>
      </c>
      <c r="U30" s="19">
        <v>0.62361111111111101</v>
      </c>
      <c r="V30" s="92">
        <f>(T30-U29)*24*60</f>
        <v>10.000000000000764</v>
      </c>
      <c r="W30" s="149">
        <f t="shared" si="11"/>
        <v>67.999999999999758</v>
      </c>
      <c r="X30" s="174"/>
      <c r="Y30" s="301"/>
      <c r="Z30" s="335"/>
      <c r="AA30" s="335"/>
      <c r="AB30" s="466"/>
      <c r="AC30" s="466"/>
      <c r="AD30" s="92"/>
      <c r="AE30" s="92"/>
      <c r="AF30" s="312">
        <f t="shared" si="20"/>
        <v>-245.41176470587743</v>
      </c>
      <c r="AG30" s="99">
        <f t="shared" si="21"/>
        <v>0.84999280885948814</v>
      </c>
      <c r="AH30" s="483"/>
    </row>
    <row r="31" spans="1:34" ht="15" customHeight="1">
      <c r="A31" s="47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3"/>
      <c r="T31" s="19"/>
      <c r="U31" s="19"/>
      <c r="V31" s="92"/>
      <c r="W31" s="149">
        <f t="shared" si="11"/>
        <v>0</v>
      </c>
      <c r="X31" s="174"/>
      <c r="Y31" s="301"/>
      <c r="Z31" s="335"/>
      <c r="AA31" s="335"/>
      <c r="AB31" s="466"/>
      <c r="AC31" s="466"/>
      <c r="AD31" s="92"/>
      <c r="AE31" s="92"/>
      <c r="AF31" s="312">
        <f t="shared" si="20"/>
        <v>0</v>
      </c>
      <c r="AG31" s="99" t="e">
        <f t="shared" si="21"/>
        <v>#DIV/0!</v>
      </c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50"/>
      <c r="U32" s="150"/>
      <c r="V32" s="92"/>
      <c r="W32" s="149">
        <f t="shared" si="11"/>
        <v>0</v>
      </c>
      <c r="X32" s="174"/>
      <c r="Y32" s="301"/>
      <c r="Z32" s="335"/>
      <c r="AA32" s="335"/>
      <c r="AB32" s="466"/>
      <c r="AC32" s="466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50"/>
      <c r="U33" s="150"/>
      <c r="V33" s="92"/>
      <c r="W33" s="149">
        <f t="shared" si="11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11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11"/>
        <v>0</v>
      </c>
      <c r="X35" s="174"/>
      <c r="Y35" s="301"/>
      <c r="Z35" s="335"/>
      <c r="AA35" s="335"/>
      <c r="AB35" s="466"/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11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>
        <f t="shared" ref="J37:O37" si="22">AVERAGE(J27:J36)</f>
        <v>17.5</v>
      </c>
      <c r="K37" s="155">
        <f t="shared" si="22"/>
        <v>1620.5</v>
      </c>
      <c r="L37" s="158">
        <f t="shared" si="22"/>
        <v>92.766339869281055</v>
      </c>
      <c r="M37" s="155">
        <f t="shared" si="22"/>
        <v>17</v>
      </c>
      <c r="N37" s="155">
        <f t="shared" si="22"/>
        <v>1409.9421058310945</v>
      </c>
      <c r="O37" s="158">
        <f t="shared" si="22"/>
        <v>82.937770931240863</v>
      </c>
      <c r="P37" s="159">
        <f>M37-J37</f>
        <v>-0.5</v>
      </c>
      <c r="Q37" s="160">
        <f>N37-K37</f>
        <v>-210.55789416890548</v>
      </c>
      <c r="R37" s="161">
        <f>O37/L37</f>
        <v>0.89405026702692125</v>
      </c>
      <c r="S37" s="474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7"/>
      <c r="AC37" s="477"/>
      <c r="AD37" s="324">
        <f>SUM(AD27:AD36)</f>
        <v>0</v>
      </c>
      <c r="AE37" s="324">
        <f>SUM(AE27:AE36)</f>
        <v>0</v>
      </c>
      <c r="AF37" s="309">
        <f>N37-K37</f>
        <v>-210.55789416890548</v>
      </c>
      <c r="AG37" s="124">
        <f>N37/K37</f>
        <v>0.8700660943110734</v>
      </c>
      <c r="AH37" s="464"/>
    </row>
    <row r="38" spans="1:34" ht="15" customHeight="1">
      <c r="A38" s="491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2889</v>
      </c>
      <c r="H38" s="134">
        <f>F38*G38</f>
        <v>144189.99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1444.4999999999877</v>
      </c>
      <c r="O38" s="141">
        <f>N38/M38</f>
        <v>96.299999999999187</v>
      </c>
      <c r="P38" s="142">
        <f>M38-J38</f>
        <v>0</v>
      </c>
      <c r="Q38" s="143">
        <f>O38-L38</f>
        <v>-17.966666666667479</v>
      </c>
      <c r="R38" s="144">
        <f>O38/L38</f>
        <v>0.84276546091014459</v>
      </c>
      <c r="S38" s="494">
        <f>R48</f>
        <v>0.86155408174670722</v>
      </c>
      <c r="T38" s="191">
        <v>0.33333333333333298</v>
      </c>
      <c r="U38" s="191">
        <v>0.41666666666666702</v>
      </c>
      <c r="V38" s="192"/>
      <c r="W38" s="193">
        <f t="shared" si="11"/>
        <v>120.00000000000101</v>
      </c>
      <c r="X38" s="194"/>
      <c r="Y38" s="302"/>
      <c r="Z38" s="336"/>
      <c r="AA38" s="336"/>
      <c r="AB38" s="496"/>
      <c r="AC38" s="496"/>
      <c r="AD38" s="192"/>
      <c r="AE38" s="192"/>
      <c r="AF38" s="313">
        <f>N38-K38</f>
        <v>-269.50000000001228</v>
      </c>
      <c r="AG38" s="195">
        <f>N38/K38</f>
        <v>0.84276546091014448</v>
      </c>
      <c r="AH38" s="484">
        <f>AG48</f>
        <v>0.8628358208955178</v>
      </c>
    </row>
    <row r="39" spans="1:34" ht="15" customHeight="1">
      <c r="A39" s="492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3133</v>
      </c>
      <c r="H39" s="91">
        <f>F39*G39</f>
        <v>138791.9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1445.999999999997</v>
      </c>
      <c r="O39" s="203">
        <f>N39/M39</f>
        <v>85.058823529411598</v>
      </c>
      <c r="P39" s="97">
        <f>M39-J39</f>
        <v>0</v>
      </c>
      <c r="Q39" s="98">
        <f>O39-L39</f>
        <v>-11.17647058823546</v>
      </c>
      <c r="R39" s="99">
        <f>O39/L39</f>
        <v>0.88386308068459485</v>
      </c>
      <c r="S39" s="495"/>
      <c r="T39" s="20">
        <v>0.42361111111111099</v>
      </c>
      <c r="U39" s="20">
        <v>0.51388888888888895</v>
      </c>
      <c r="V39" s="92">
        <f>(T39-U38)*24*60</f>
        <v>9.999999999999325</v>
      </c>
      <c r="W39" s="205">
        <f t="shared" si="11"/>
        <v>130.00000000000026</v>
      </c>
      <c r="X39" s="22"/>
      <c r="Y39" s="84"/>
      <c r="Z39" s="90"/>
      <c r="AA39" s="90"/>
      <c r="AB39" s="487"/>
      <c r="AC39" s="487"/>
      <c r="AD39" s="200"/>
      <c r="AE39" s="200"/>
      <c r="AF39" s="314">
        <f>N39-K39</f>
        <v>-190.00000000000296</v>
      </c>
      <c r="AG39" s="206">
        <f>N39/K39</f>
        <v>0.88386308068459474</v>
      </c>
      <c r="AH39" s="485"/>
    </row>
    <row r="40" spans="1:34" ht="15" customHeight="1">
      <c r="A40" s="492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7"/>
      <c r="T40" s="20"/>
      <c r="U40" s="20"/>
      <c r="V40" s="92"/>
      <c r="W40" s="205">
        <f t="shared" si="11"/>
        <v>0</v>
      </c>
      <c r="X40" s="208"/>
      <c r="Y40" s="209"/>
      <c r="Z40" s="337"/>
      <c r="AA40" s="337"/>
      <c r="AB40" s="466"/>
      <c r="AC40" s="466"/>
      <c r="AD40" s="92"/>
      <c r="AE40" s="92"/>
      <c r="AF40" s="314">
        <f>N40-K40</f>
        <v>0</v>
      </c>
      <c r="AG40" s="206" t="e">
        <f>N40/K40</f>
        <v>#DIV/0!</v>
      </c>
      <c r="AH40" s="485"/>
    </row>
    <row r="41" spans="1:34" ht="15" customHeight="1">
      <c r="A41" s="49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7"/>
      <c r="T41" s="20"/>
      <c r="U41" s="210"/>
      <c r="V41" s="92"/>
      <c r="W41" s="205">
        <f t="shared" si="11"/>
        <v>0</v>
      </c>
      <c r="X41" s="208"/>
      <c r="Y41" s="209"/>
      <c r="Z41" s="337"/>
      <c r="AA41" s="337"/>
      <c r="AB41" s="466"/>
      <c r="AC41" s="466"/>
      <c r="AD41" s="92"/>
      <c r="AE41" s="92"/>
      <c r="AF41" s="314">
        <f>N41-K41</f>
        <v>0</v>
      </c>
      <c r="AG41" s="206" t="e">
        <f>N41/K41</f>
        <v>#DIV/0!</v>
      </c>
      <c r="AH41" s="485"/>
    </row>
    <row r="42" spans="1:34" ht="15" customHeight="1">
      <c r="A42" s="49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7"/>
      <c r="T42" s="210"/>
      <c r="U42" s="210"/>
      <c r="V42" s="92"/>
      <c r="W42" s="205">
        <f t="shared" si="11"/>
        <v>0</v>
      </c>
      <c r="X42" s="208"/>
      <c r="Y42" s="211"/>
      <c r="Z42" s="338"/>
      <c r="AA42" s="338"/>
      <c r="AB42" s="466"/>
      <c r="AC42" s="466"/>
      <c r="AD42" s="92"/>
      <c r="AE42" s="92"/>
      <c r="AF42" s="314"/>
      <c r="AG42" s="206"/>
      <c r="AH42" s="485"/>
    </row>
    <row r="43" spans="1:34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si="11"/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11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11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16"/>
      <c r="U46" s="216"/>
      <c r="V46" s="200"/>
      <c r="W46" s="205">
        <f t="shared" si="11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11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>
        <f t="shared" ref="J48:O48" si="23">AVERAGE(J38:J47)</f>
        <v>16</v>
      </c>
      <c r="K48" s="155">
        <f t="shared" si="23"/>
        <v>1675</v>
      </c>
      <c r="L48" s="158">
        <f t="shared" si="23"/>
        <v>105.25098039215686</v>
      </c>
      <c r="M48" s="155">
        <f t="shared" si="23"/>
        <v>16</v>
      </c>
      <c r="N48" s="155">
        <f t="shared" si="23"/>
        <v>1445.2499999999923</v>
      </c>
      <c r="O48" s="158">
        <f t="shared" si="23"/>
        <v>90.679411764705392</v>
      </c>
      <c r="P48" s="221">
        <f>M48-J48</f>
        <v>0</v>
      </c>
      <c r="Q48" s="222">
        <f>N48-K48</f>
        <v>-229.75000000000773</v>
      </c>
      <c r="R48" s="223">
        <f>O48/L48</f>
        <v>0.86155408174670722</v>
      </c>
      <c r="S48" s="420"/>
      <c r="T48" s="224"/>
      <c r="U48" s="224"/>
      <c r="V48" s="225"/>
      <c r="W48" s="226">
        <f t="shared" si="11"/>
        <v>0</v>
      </c>
      <c r="X48" s="227"/>
      <c r="Y48" s="303"/>
      <c r="Z48" s="334">
        <f>SUM(Z38:Z47)</f>
        <v>0</v>
      </c>
      <c r="AA48" s="334">
        <f>SUM(AA38:AA47)</f>
        <v>0</v>
      </c>
      <c r="AB48" s="467"/>
      <c r="AC48" s="467"/>
      <c r="AD48" s="323">
        <f>SUM(AD38:AD47)</f>
        <v>0</v>
      </c>
      <c r="AE48" s="323">
        <f>SUM(AE38:AE47)</f>
        <v>0</v>
      </c>
      <c r="AF48" s="315">
        <f t="shared" ref="AF48:AF53" si="24">N48-K48</f>
        <v>-229.75000000000773</v>
      </c>
      <c r="AG48" s="162">
        <f t="shared" ref="AG48:AG53" si="25">N48/K48</f>
        <v>0.8628358208955178</v>
      </c>
      <c r="AH48" s="486"/>
    </row>
    <row r="49" spans="1:34" ht="15" customHeight="1">
      <c r="A49" s="488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2076</v>
      </c>
      <c r="H49" s="134">
        <f>F49*G49</f>
        <v>102803.52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1638.9473684210775</v>
      </c>
      <c r="O49" s="141">
        <f>N49/M49</f>
        <v>96.408668730651613</v>
      </c>
      <c r="P49" s="229">
        <f>M49-J49</f>
        <v>0</v>
      </c>
      <c r="Q49" s="230">
        <f>O49-L49</f>
        <v>-9.4736842105248513</v>
      </c>
      <c r="R49" s="52">
        <f>O49/L49</f>
        <v>0.91052631578948751</v>
      </c>
      <c r="S49" s="416">
        <f>R58</f>
        <v>0.93124637277947198</v>
      </c>
      <c r="T49" s="191">
        <v>0.29166666666666702</v>
      </c>
      <c r="U49" s="191">
        <v>0.344444444444444</v>
      </c>
      <c r="V49" s="55"/>
      <c r="W49" s="193">
        <f t="shared" si="11"/>
        <v>75.999999999998849</v>
      </c>
      <c r="X49" s="55"/>
      <c r="Y49" s="290"/>
      <c r="Z49" s="169"/>
      <c r="AA49" s="169"/>
      <c r="AB49" s="468"/>
      <c r="AC49" s="468"/>
      <c r="AD49" s="135"/>
      <c r="AE49" s="135"/>
      <c r="AF49" s="229">
        <f t="shared" si="24"/>
        <v>-161.0526315789225</v>
      </c>
      <c r="AG49" s="52">
        <f t="shared" si="25"/>
        <v>0.91052631578948751</v>
      </c>
      <c r="AH49" s="461">
        <f>AG58</f>
        <v>0.93132091394456307</v>
      </c>
    </row>
    <row r="50" spans="1:34" ht="15" customHeight="1">
      <c r="A50" s="489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2457</v>
      </c>
      <c r="H50" s="231">
        <f>F50*G50</f>
        <v>122776.29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1638</v>
      </c>
      <c r="O50" s="235">
        <f>N50/M50</f>
        <v>102.375</v>
      </c>
      <c r="P50" s="74">
        <f>M50-J50</f>
        <v>0</v>
      </c>
      <c r="Q50" s="83">
        <f>O50-L50</f>
        <v>-10.125</v>
      </c>
      <c r="R50" s="72">
        <f>O50/L50</f>
        <v>0.91</v>
      </c>
      <c r="S50" s="417"/>
      <c r="T50" s="21">
        <v>0.35208333333333303</v>
      </c>
      <c r="U50" s="21">
        <v>0.41458333333333303</v>
      </c>
      <c r="V50" s="30">
        <f>(T50-U49)*24*60</f>
        <v>11.000000000000201</v>
      </c>
      <c r="W50" s="236">
        <f t="shared" si="11"/>
        <v>90</v>
      </c>
      <c r="X50" s="22"/>
      <c r="Y50" s="84"/>
      <c r="Z50" s="90"/>
      <c r="AA50" s="90"/>
      <c r="AB50" s="466"/>
      <c r="AC50" s="466"/>
      <c r="AD50" s="92"/>
      <c r="AE50" s="92"/>
      <c r="AF50" s="307">
        <f t="shared" si="24"/>
        <v>-162</v>
      </c>
      <c r="AG50" s="72">
        <f t="shared" si="25"/>
        <v>0.91</v>
      </c>
      <c r="AH50" s="462"/>
    </row>
    <row r="51" spans="1:34" ht="15" customHeight="1">
      <c r="A51" s="489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2445</v>
      </c>
      <c r="H51" s="231">
        <f>F51*G51</f>
        <v>122956.60500000001</v>
      </c>
      <c r="I51" s="232"/>
      <c r="J51" s="79">
        <v>18</v>
      </c>
      <c r="K51" s="80">
        <v>1565</v>
      </c>
      <c r="L51" s="81">
        <f>K51/J51</f>
        <v>86.944444444444443</v>
      </c>
      <c r="M51" s="233">
        <v>18</v>
      </c>
      <c r="N51" s="234">
        <f>G51/W51*60</f>
        <v>1481.8181818181822</v>
      </c>
      <c r="O51" s="235">
        <f>N51/M51</f>
        <v>82.323232323232347</v>
      </c>
      <c r="P51" s="74">
        <f>M51-J51</f>
        <v>0</v>
      </c>
      <c r="Q51" s="83">
        <f>O51-L51</f>
        <v>-4.6212121212120962</v>
      </c>
      <c r="R51" s="72">
        <f>O51/L51</f>
        <v>0.94684867847807175</v>
      </c>
      <c r="S51" s="417"/>
      <c r="T51" s="21">
        <v>0.420833333333333</v>
      </c>
      <c r="U51" s="19">
        <v>0.48958333333333298</v>
      </c>
      <c r="V51" s="30">
        <f>(T51-U50)*24*60</f>
        <v>8.999999999999968</v>
      </c>
      <c r="W51" s="236">
        <f t="shared" si="11"/>
        <v>98.999999999999972</v>
      </c>
      <c r="X51" s="22"/>
      <c r="Y51" s="84"/>
      <c r="Z51" s="90"/>
      <c r="AA51" s="90"/>
      <c r="AB51" s="466"/>
      <c r="AC51" s="466"/>
      <c r="AD51" s="92"/>
      <c r="AE51" s="92"/>
      <c r="AF51" s="307">
        <f t="shared" si="24"/>
        <v>-83.181818181817789</v>
      </c>
      <c r="AG51" s="72">
        <f t="shared" si="25"/>
        <v>0.94684867847807175</v>
      </c>
      <c r="AH51" s="462"/>
    </row>
    <row r="52" spans="1:34" ht="15" customHeight="1">
      <c r="A52" s="489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2995</v>
      </c>
      <c r="H52" s="231">
        <f>F52*G52</f>
        <v>149660.15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1727.8846153846216</v>
      </c>
      <c r="O52" s="235">
        <f>N52/M52</f>
        <v>107.99278846153885</v>
      </c>
      <c r="P52" s="74">
        <f>M52-J52</f>
        <v>0</v>
      </c>
      <c r="Q52" s="83">
        <f>O52-L52</f>
        <v>-4.5072115384611493</v>
      </c>
      <c r="R52" s="72">
        <f>O52/L52</f>
        <v>0.95993589743590091</v>
      </c>
      <c r="S52" s="417"/>
      <c r="T52" s="21">
        <v>0.55972222222222201</v>
      </c>
      <c r="U52" s="21">
        <v>0.63194444444444398</v>
      </c>
      <c r="V52" s="30">
        <f>(T52-U51)*24*60</f>
        <v>101.0000000000002</v>
      </c>
      <c r="W52" s="236">
        <f t="shared" si="11"/>
        <v>103.99999999999963</v>
      </c>
      <c r="X52" s="22">
        <v>0.47916666666666702</v>
      </c>
      <c r="Y52" s="84">
        <v>0.52083333333333304</v>
      </c>
      <c r="Z52" s="90"/>
      <c r="AA52" s="90"/>
      <c r="AB52" s="466"/>
      <c r="AC52" s="466"/>
      <c r="AD52" s="92"/>
      <c r="AE52" s="92"/>
      <c r="AF52" s="307">
        <f t="shared" si="24"/>
        <v>-72.115384615378389</v>
      </c>
      <c r="AG52" s="72">
        <f t="shared" si="25"/>
        <v>0.95993589743590091</v>
      </c>
      <c r="AH52" s="462"/>
    </row>
    <row r="53" spans="1:34" ht="15" customHeight="1">
      <c r="A53" s="48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7"/>
      <c r="T53" s="21"/>
      <c r="U53" s="21"/>
      <c r="V53" s="30"/>
      <c r="W53" s="236">
        <f t="shared" si="11"/>
        <v>0</v>
      </c>
      <c r="X53" s="30"/>
      <c r="Y53" s="151"/>
      <c r="Z53" s="90"/>
      <c r="AA53" s="90"/>
      <c r="AB53" s="466"/>
      <c r="AC53" s="466"/>
      <c r="AD53" s="92"/>
      <c r="AE53" s="92"/>
      <c r="AF53" s="307">
        <f t="shared" si="24"/>
        <v>0</v>
      </c>
      <c r="AG53" s="72" t="e">
        <f t="shared" si="25"/>
        <v>#DIV/0!</v>
      </c>
      <c r="AH53" s="462"/>
    </row>
    <row r="54" spans="1:34" ht="15" customHeight="1">
      <c r="A54" s="48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7"/>
      <c r="T54" s="21"/>
      <c r="U54" s="21"/>
      <c r="V54" s="30"/>
      <c r="W54" s="236">
        <f t="shared" si="11"/>
        <v>0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11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11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114"/>
      <c r="U57" s="114"/>
      <c r="V57" s="237"/>
      <c r="W57" s="236">
        <f t="shared" si="11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>
      <c r="A58" s="490"/>
      <c r="B58" s="239"/>
      <c r="C58" s="153" t="s">
        <v>51</v>
      </c>
      <c r="D58" s="437" t="s">
        <v>42</v>
      </c>
      <c r="E58" s="437"/>
      <c r="F58" s="116"/>
      <c r="G58" s="240"/>
      <c r="H58" s="118"/>
      <c r="I58" s="117"/>
      <c r="J58" s="120">
        <f t="shared" ref="J58:O58" si="26">AVERAGE(J49:J57)</f>
        <v>16.75</v>
      </c>
      <c r="K58" s="120">
        <f t="shared" si="26"/>
        <v>1741.25</v>
      </c>
      <c r="L58" s="117">
        <f t="shared" si="26"/>
        <v>104.45669934640523</v>
      </c>
      <c r="M58" s="120">
        <f t="shared" si="26"/>
        <v>16.75</v>
      </c>
      <c r="N58" s="120">
        <f t="shared" si="26"/>
        <v>1621.6625414059704</v>
      </c>
      <c r="O58" s="117">
        <f t="shared" si="26"/>
        <v>97.274922378855706</v>
      </c>
      <c r="P58" s="121">
        <f>M58-J58</f>
        <v>0</v>
      </c>
      <c r="Q58" s="122">
        <f>N58-K58</f>
        <v>-119.58745859402961</v>
      </c>
      <c r="R58" s="123">
        <f>O58/L58</f>
        <v>0.93124637277947198</v>
      </c>
      <c r="S58" s="42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7"/>
      <c r="AC58" s="467"/>
      <c r="AD58" s="323">
        <f>SUM(AD49:AD57)</f>
        <v>0</v>
      </c>
      <c r="AE58" s="323">
        <f>SUM(AE49:AE57)</f>
        <v>0</v>
      </c>
      <c r="AF58" s="309">
        <f>N58-K58</f>
        <v>-119.58745859402961</v>
      </c>
      <c r="AG58" s="124">
        <f>N58/K58</f>
        <v>0.93132091394456307</v>
      </c>
      <c r="AH58" s="464"/>
    </row>
    <row r="59" spans="1:34" ht="15" customHeight="1">
      <c r="A59" s="502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2025</v>
      </c>
      <c r="H59" s="243">
        <f>F59*G59</f>
        <v>54654.75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1429.4117647059022</v>
      </c>
      <c r="O59" s="138">
        <f>N59/M59</f>
        <v>95.294117647060148</v>
      </c>
      <c r="P59" s="56">
        <f>M59-J59</f>
        <v>0</v>
      </c>
      <c r="Q59" s="230">
        <f>O59-L59</f>
        <v>-9.0392156862731809</v>
      </c>
      <c r="R59" s="52">
        <f>O59/L59</f>
        <v>0.91336214997182252</v>
      </c>
      <c r="S59" s="416">
        <f>R69</f>
        <v>0.9038458696815006</v>
      </c>
      <c r="T59" s="245">
        <v>0.29166666666666702</v>
      </c>
      <c r="U59" s="245">
        <v>0.35069444444444398</v>
      </c>
      <c r="V59" s="55"/>
      <c r="W59" s="54">
        <f t="shared" si="11"/>
        <v>84.99999999999882</v>
      </c>
      <c r="X59" s="55"/>
      <c r="Y59" s="290"/>
      <c r="Z59" s="169"/>
      <c r="AA59" s="169"/>
      <c r="AB59" s="468"/>
      <c r="AC59" s="468"/>
      <c r="AD59" s="135"/>
      <c r="AE59" s="135"/>
      <c r="AF59" s="310">
        <f>N59-K59</f>
        <v>-135.58823529409779</v>
      </c>
      <c r="AG59" s="246">
        <f>N59/K59</f>
        <v>0.91336214997182252</v>
      </c>
      <c r="AH59" s="461">
        <f>AG69</f>
        <v>0.90513283063836858</v>
      </c>
    </row>
    <row r="60" spans="1:34" ht="15" customHeight="1">
      <c r="A60" s="503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2417</v>
      </c>
      <c r="H60" s="78">
        <f>F60*G60</f>
        <v>68304.42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1450.1999999999878</v>
      </c>
      <c r="O60" s="81">
        <f>N60/M60</f>
        <v>120.84999999999899</v>
      </c>
      <c r="P60" s="74">
        <f>M60-J60</f>
        <v>0</v>
      </c>
      <c r="Q60" s="83">
        <f>O60-L60</f>
        <v>-9.5666666666676718</v>
      </c>
      <c r="R60" s="72">
        <f>O60/L60</f>
        <v>0.92664536741213288</v>
      </c>
      <c r="S60" s="506"/>
      <c r="T60" s="22">
        <v>0.36111111111111099</v>
      </c>
      <c r="U60" s="22">
        <v>0.43055555555555602</v>
      </c>
      <c r="V60" s="30">
        <f>(T60-U59)*24*60</f>
        <v>15.000000000000506</v>
      </c>
      <c r="W60" s="248">
        <f t="shared" si="11"/>
        <v>100.00000000000084</v>
      </c>
      <c r="X60" s="232"/>
      <c r="Y60" s="177"/>
      <c r="Z60" s="90"/>
      <c r="AA60" s="90"/>
      <c r="AB60" s="466"/>
      <c r="AC60" s="466"/>
      <c r="AD60" s="92"/>
      <c r="AE60" s="92"/>
      <c r="AF60" s="316">
        <f>N60-K60</f>
        <v>-114.80000000001223</v>
      </c>
      <c r="AG60" s="249">
        <f>N60/K60</f>
        <v>0.92664536741213277</v>
      </c>
      <c r="AH60" s="497"/>
    </row>
    <row r="61" spans="1:34" ht="15" customHeight="1">
      <c r="A61" s="504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1689</v>
      </c>
      <c r="H61" s="254">
        <f>F61*G61</f>
        <v>85581.63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13</v>
      </c>
      <c r="N61" s="107">
        <f>G61/W61*60</f>
        <v>1192.2352941176423</v>
      </c>
      <c r="O61" s="238">
        <f>N61/M61</f>
        <v>91.710407239818636</v>
      </c>
      <c r="P61" s="111">
        <f>M61-J61</f>
        <v>0</v>
      </c>
      <c r="Q61" s="255">
        <f>O61-L61</f>
        <v>-19.058823529412138</v>
      </c>
      <c r="R61" s="85">
        <f>O61/L61</f>
        <v>0.82794117647058485</v>
      </c>
      <c r="S61" s="417"/>
      <c r="T61" s="22">
        <v>0.4375</v>
      </c>
      <c r="U61" s="22">
        <v>0.49652777777777801</v>
      </c>
      <c r="V61" s="30">
        <f>(T61-U60)*24*60</f>
        <v>9.999999999999325</v>
      </c>
      <c r="W61" s="256">
        <f t="shared" si="11"/>
        <v>85.000000000000341</v>
      </c>
      <c r="X61" s="22"/>
      <c r="Y61" s="84"/>
      <c r="Z61" s="90"/>
      <c r="AA61" s="90"/>
      <c r="AB61" s="466"/>
      <c r="AC61" s="466"/>
      <c r="AD61" s="92"/>
      <c r="AE61" s="92"/>
      <c r="AF61" s="317">
        <f>N61-K61</f>
        <v>-247.7647058823577</v>
      </c>
      <c r="AG61" s="247">
        <f>N61/K61</f>
        <v>0.82794117647058496</v>
      </c>
      <c r="AH61" s="462"/>
    </row>
    <row r="62" spans="1:34" ht="15" customHeight="1">
      <c r="A62" s="504"/>
      <c r="B62" s="250" t="s">
        <v>130</v>
      </c>
      <c r="C62" s="251"/>
      <c r="D62" s="257" t="s">
        <v>131</v>
      </c>
      <c r="E62" s="253"/>
      <c r="F62" s="250">
        <f>VLOOKUP(D62,廠價表!$C$1:$E$43,3,0)</f>
        <v>26.99</v>
      </c>
      <c r="G62" s="38">
        <v>1728</v>
      </c>
      <c r="H62" s="254">
        <f>F62*G62</f>
        <v>46638.719999999994</v>
      </c>
      <c r="I62" s="182"/>
      <c r="J62" s="106">
        <f>VLOOKUP(D62,產線配置圖!$A$3:$C$40,2,0)</f>
        <v>15</v>
      </c>
      <c r="K62" s="107">
        <f>VLOOKUP(D62,產線配置圖!$A$3:$C$40,3,0)</f>
        <v>1565</v>
      </c>
      <c r="L62" s="238">
        <f>K62/J62</f>
        <v>104.33333333333333</v>
      </c>
      <c r="M62" s="108">
        <v>15</v>
      </c>
      <c r="N62" s="107">
        <f>G62/W62*60</f>
        <v>1481.1428571428589</v>
      </c>
      <c r="O62" s="238">
        <f>N62/M62</f>
        <v>98.742857142857261</v>
      </c>
      <c r="P62" s="111">
        <f>M62-J62</f>
        <v>0</v>
      </c>
      <c r="Q62" s="255">
        <f>O62-L62</f>
        <v>-5.5904761904760676</v>
      </c>
      <c r="R62" s="85">
        <f>O62/L62</f>
        <v>0.94641716111364793</v>
      </c>
      <c r="S62" s="417"/>
      <c r="T62" s="22">
        <v>0.57638888888888895</v>
      </c>
      <c r="U62" s="22">
        <v>0.625</v>
      </c>
      <c r="V62" s="30">
        <f>(T62-U61)*24*60</f>
        <v>114.99999999999974</v>
      </c>
      <c r="W62" s="248">
        <f t="shared" si="11"/>
        <v>69.999999999999915</v>
      </c>
      <c r="X62" s="22"/>
      <c r="Y62" s="84"/>
      <c r="Z62" s="90"/>
      <c r="AA62" s="90"/>
      <c r="AB62" s="466"/>
      <c r="AC62" s="466"/>
      <c r="AD62" s="92"/>
      <c r="AE62" s="92"/>
      <c r="AF62" s="317">
        <f>N62-K62</f>
        <v>-83.857142857141071</v>
      </c>
      <c r="AG62" s="247">
        <f>N62/K62</f>
        <v>0.94641716111364793</v>
      </c>
      <c r="AH62" s="462"/>
    </row>
    <row r="63" spans="1:34" ht="15" customHeight="1">
      <c r="A63" s="504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7"/>
      <c r="T63" s="22"/>
      <c r="U63" s="22"/>
      <c r="V63" s="30"/>
      <c r="W63" s="248">
        <f t="shared" si="11"/>
        <v>0</v>
      </c>
      <c r="X63" s="261"/>
      <c r="Y63" s="291"/>
      <c r="Z63" s="335"/>
      <c r="AA63" s="335"/>
      <c r="AB63" s="466"/>
      <c r="AC63" s="466"/>
      <c r="AD63" s="92"/>
      <c r="AE63" s="92"/>
      <c r="AF63" s="317"/>
      <c r="AG63" s="247"/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11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63"/>
      <c r="U65" s="263"/>
      <c r="V65" s="30"/>
      <c r="W65" s="73">
        <f t="shared" si="11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11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11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11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>
        <f t="shared" ref="J69:O69" si="27">AVERAGE(J59:J68)</f>
        <v>13.75</v>
      </c>
      <c r="K69" s="240">
        <f t="shared" si="27"/>
        <v>1533.75</v>
      </c>
      <c r="L69" s="268">
        <f t="shared" si="27"/>
        <v>112.46314102564102</v>
      </c>
      <c r="M69" s="240">
        <f t="shared" si="27"/>
        <v>13.75</v>
      </c>
      <c r="N69" s="240">
        <f t="shared" si="27"/>
        <v>1388.2474789915977</v>
      </c>
      <c r="O69" s="268">
        <f t="shared" si="27"/>
        <v>101.64934550743376</v>
      </c>
      <c r="P69" s="269">
        <f>M69-J69</f>
        <v>0</v>
      </c>
      <c r="Q69" s="222">
        <f>N69-K69</f>
        <v>-145.50252100840225</v>
      </c>
      <c r="R69" s="123">
        <f>O69/L69</f>
        <v>0.9038458696815006</v>
      </c>
      <c r="S69" s="42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7"/>
      <c r="AC69" s="467"/>
      <c r="AD69" s="323">
        <f>SUM(AD59:AD68)</f>
        <v>0</v>
      </c>
      <c r="AE69" s="323">
        <f>SUM(AE59:AE68)</f>
        <v>0</v>
      </c>
      <c r="AF69" s="309">
        <f>N69-K69</f>
        <v>-145.50252100840225</v>
      </c>
      <c r="AG69" s="124">
        <f>N69/K69</f>
        <v>0.90513283063836858</v>
      </c>
      <c r="AH69" s="464"/>
    </row>
    <row r="70" spans="1:36" ht="15" customHeight="1">
      <c r="A70" s="498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6">
        <f>R79</f>
        <v>0</v>
      </c>
      <c r="T70" s="245"/>
      <c r="U70" s="245"/>
      <c r="V70" s="55"/>
      <c r="W70" s="54">
        <f t="shared" si="11"/>
        <v>0</v>
      </c>
      <c r="X70" s="270"/>
      <c r="Y70" s="292"/>
      <c r="Z70" s="169"/>
      <c r="AA70" s="169"/>
      <c r="AB70" s="468"/>
      <c r="AC70" s="468"/>
      <c r="AD70" s="135"/>
      <c r="AE70" s="135"/>
      <c r="AF70" s="310">
        <f>N70-K70</f>
        <v>0</v>
      </c>
      <c r="AG70" s="246" t="e">
        <f>N70/K70</f>
        <v>#DIV/0!</v>
      </c>
      <c r="AH70" s="461" t="e">
        <f>AG79</f>
        <v>#DIV/0!</v>
      </c>
    </row>
    <row r="71" spans="1:36" ht="15" customHeight="1">
      <c r="A71" s="499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7"/>
      <c r="T71" s="22"/>
      <c r="U71" s="22"/>
      <c r="V71" s="30"/>
      <c r="W71" s="73">
        <f t="shared" si="11"/>
        <v>0</v>
      </c>
      <c r="X71" s="271"/>
      <c r="Y71" s="293"/>
      <c r="Z71" s="90"/>
      <c r="AA71" s="90"/>
      <c r="AB71" s="487"/>
      <c r="AC71" s="487"/>
      <c r="AD71" s="200"/>
      <c r="AE71" s="200"/>
      <c r="AF71" s="311">
        <v>-300.31249999999704</v>
      </c>
      <c r="AG71" s="99">
        <v>0.80810702875399554</v>
      </c>
      <c r="AH71" s="482"/>
    </row>
    <row r="72" spans="1:36" ht="15" customHeight="1">
      <c r="A72" s="499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7"/>
      <c r="T72" s="22"/>
      <c r="U72" s="22"/>
      <c r="V72" s="30"/>
      <c r="W72" s="73">
        <f t="shared" si="11"/>
        <v>0</v>
      </c>
      <c r="X72" s="272"/>
      <c r="Y72" s="288"/>
      <c r="Z72" s="90"/>
      <c r="AA72" s="90"/>
      <c r="AB72" s="466"/>
      <c r="AC72" s="466"/>
      <c r="AD72" s="92"/>
      <c r="AE72" s="92"/>
      <c r="AF72" s="311">
        <v>-130.33333333333326</v>
      </c>
      <c r="AG72" s="99">
        <v>0.91671991480298198</v>
      </c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11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11"/>
        <v>0</v>
      </c>
      <c r="X74" s="22"/>
      <c r="Y74" s="84"/>
      <c r="Z74" s="90"/>
      <c r="AA74" s="90"/>
      <c r="AB74" s="466"/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11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11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11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11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>
      <c r="A79" s="500"/>
      <c r="B79" s="239"/>
      <c r="C79" s="153"/>
      <c r="D79" s="437"/>
      <c r="E79" s="437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1:AC2"/>
    <mergeCell ref="AF1:AH2"/>
    <mergeCell ref="G3:G4"/>
    <mergeCell ref="J1:L2"/>
    <mergeCell ref="M1:O2"/>
    <mergeCell ref="P1:S2"/>
    <mergeCell ref="T1:Y2"/>
    <mergeCell ref="A2:B2"/>
    <mergeCell ref="A3:A4"/>
    <mergeCell ref="B3:B4"/>
    <mergeCell ref="D3:E4"/>
    <mergeCell ref="F3:F4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T3:U3"/>
    <mergeCell ref="V3:V4"/>
    <mergeCell ref="W3:W4"/>
    <mergeCell ref="X3:Y3"/>
    <mergeCell ref="Z3:AA3"/>
    <mergeCell ref="AB13:AC13"/>
    <mergeCell ref="AD3:AE3"/>
    <mergeCell ref="AF3:AF4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38:A48"/>
    <mergeCell ref="S38:S48"/>
    <mergeCell ref="AB38:AC38"/>
    <mergeCell ref="D48:E48"/>
    <mergeCell ref="AB48:AC48"/>
    <mergeCell ref="AB34:AC34"/>
    <mergeCell ref="AB35:AC35"/>
    <mergeCell ref="AB36:AC36"/>
    <mergeCell ref="D37:E37"/>
    <mergeCell ref="AB37:AC3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154" priority="1" operator="greaterThan">
      <formula>0</formula>
    </cfRule>
  </conditionalFormatting>
  <conditionalFormatting sqref="Q5:Q79 AF5:AF79">
    <cfRule type="cellIs" dxfId="153" priority="4" operator="lessThan">
      <formula>0</formula>
    </cfRule>
  </conditionalFormatting>
  <conditionalFormatting sqref="R5:R79 AG5:AG79">
    <cfRule type="cellIs" dxfId="152" priority="2" operator="greaterThan">
      <formula>1</formula>
    </cfRule>
    <cfRule type="cellIs" dxfId="151" priority="3" operator="lessThan">
      <formula>0.8</formula>
    </cfRule>
  </conditionalFormatting>
  <conditionalFormatting sqref="S5:S10 S37:S62 AH59:AH62 S69:S76 AH69:AH76">
    <cfRule type="cellIs" dxfId="150" priority="7" operator="lessThan">
      <formula>0.8</formula>
    </cfRule>
  </conditionalFormatting>
  <conditionalFormatting sqref="S19:S25 AH19:AH25">
    <cfRule type="cellIs" dxfId="149" priority="6" operator="lessThan">
      <formula>0.8</formula>
    </cfRule>
  </conditionalFormatting>
  <conditionalFormatting sqref="S79">
    <cfRule type="cellIs" dxfId="148" priority="5" operator="lessThan">
      <formula>0.8</formula>
    </cfRule>
  </conditionalFormatting>
  <conditionalFormatting sqref="AH5:AH8 S15:S16 AH15:AH16 AH49 AH79">
    <cfRule type="cellIs" dxfId="147" priority="9" operator="lessThan">
      <formula>0.8</formula>
    </cfRule>
  </conditionalFormatting>
  <conditionalFormatting sqref="AH27 S27:S28">
    <cfRule type="cellIs" dxfId="146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D014E5-E927-4369-A62B-0D44E302D422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15373-A82A-497B-86D0-A48E84E82A03}">
  <dimension ref="B1:O26"/>
  <sheetViews>
    <sheetView zoomScale="70" zoomScaleNormal="70" workbookViewId="0">
      <selection activeCell="M70" sqref="M70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46163</v>
      </c>
      <c r="E3" s="412"/>
      <c r="F3" s="3" t="s">
        <v>72</v>
      </c>
      <c r="G3" s="413">
        <f>'0521'!E1</f>
        <v>46578</v>
      </c>
      <c r="H3" s="413"/>
      <c r="I3" s="3" t="s">
        <v>2</v>
      </c>
      <c r="J3" s="414">
        <f>'0521'!G1</f>
        <v>2264986.9689999996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>
        <f>AVERAGE(D13:I13)</f>
        <v>120.8148784585059</v>
      </c>
      <c r="G6" s="410"/>
      <c r="H6" s="395">
        <f>AVERAGE(D13:H13)</f>
        <v>121.9432387655917</v>
      </c>
      <c r="I6" s="395"/>
      <c r="J6" s="395">
        <f>AVERAGE(I13)</f>
        <v>115.17307692307691</v>
      </c>
      <c r="K6" s="395"/>
      <c r="L6" s="396">
        <f>SUM(D18:J18)</f>
        <v>2</v>
      </c>
      <c r="M6" s="398">
        <f>SUM(D19:J19)</f>
        <v>16</v>
      </c>
      <c r="N6" s="399">
        <f>SUM(D20:J20)</f>
        <v>0</v>
      </c>
      <c r="O6" s="398">
        <f>SUM(D20:J20)</f>
        <v>0</v>
      </c>
    </row>
    <row r="7" spans="2:15" ht="39.6" customHeight="1">
      <c r="B7" s="406"/>
      <c r="C7" s="406"/>
      <c r="D7" s="401" t="s">
        <v>87</v>
      </c>
      <c r="E7" s="401"/>
      <c r="F7" s="402">
        <f>AVERAGE(D14:I14)</f>
        <v>109.19731806763606</v>
      </c>
      <c r="G7" s="402"/>
      <c r="H7" s="403">
        <f>AVERAGE(D14:H14)</f>
        <v>109.00024589725913</v>
      </c>
      <c r="I7" s="403"/>
      <c r="J7" s="403">
        <f>AVERAGE(I14)</f>
        <v>110.18267891952075</v>
      </c>
      <c r="K7" s="403"/>
      <c r="L7" s="397" t="e">
        <f t="shared" ref="L7:O8" si="0">AVERAGE(K14:L14)</f>
        <v>#DIV/0!</v>
      </c>
      <c r="M7" s="398" t="e">
        <f t="shared" si="0"/>
        <v>#DIV/0!</v>
      </c>
      <c r="N7" s="400" t="e">
        <f t="shared" si="0"/>
        <v>#DIV/0!</v>
      </c>
      <c r="O7" s="398" t="e">
        <f t="shared" si="0"/>
        <v>#DIV/0!</v>
      </c>
    </row>
    <row r="8" spans="2:15" ht="39.6" customHeight="1">
      <c r="B8" s="406"/>
      <c r="C8" s="406"/>
      <c r="D8" s="401" t="s">
        <v>27</v>
      </c>
      <c r="E8" s="401"/>
      <c r="F8" s="387">
        <f>F7/F6</f>
        <v>0.9038399861084998</v>
      </c>
      <c r="G8" s="387"/>
      <c r="H8" s="387">
        <f>H7/H6</f>
        <v>0.89386051248636633</v>
      </c>
      <c r="I8" s="387"/>
      <c r="J8" s="387">
        <f>J7/J6</f>
        <v>0.95667044645434629</v>
      </c>
      <c r="K8" s="387"/>
      <c r="L8" s="397" t="e">
        <f t="shared" si="0"/>
        <v>#DIV/0!</v>
      </c>
      <c r="M8" s="398" t="e">
        <f t="shared" si="0"/>
        <v>#DIV/0!</v>
      </c>
      <c r="N8" s="400" t="e">
        <f t="shared" si="0"/>
        <v>#DIV/0!</v>
      </c>
      <c r="O8" s="398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>
        <f>VALUE('0521'!L15)</f>
        <v>150</v>
      </c>
      <c r="E13" s="13">
        <f>VALUE('0521'!L26)</f>
        <v>156.75824175824178</v>
      </c>
      <c r="F13" s="13">
        <f>VALUE('0521'!L37)</f>
        <v>94.70697167755992</v>
      </c>
      <c r="G13" s="13">
        <f>VALUE('0521'!L48)</f>
        <v>105.25098039215686</v>
      </c>
      <c r="H13" s="13">
        <f>VALUE('0521'!L58)</f>
        <v>103</v>
      </c>
      <c r="I13" s="13">
        <f>VALUE('0521'!L69)</f>
        <v>115.17307692307691</v>
      </c>
      <c r="J13" s="13">
        <f>'0521'!L79</f>
        <v>0</v>
      </c>
    </row>
    <row r="14" spans="2:15" ht="39.950000000000003" customHeight="1">
      <c r="B14" s="381"/>
      <c r="C14" s="12" t="s">
        <v>100</v>
      </c>
      <c r="D14" s="13">
        <f>VALUE('0521'!O15)</f>
        <v>138.30805361545558</v>
      </c>
      <c r="E14" s="13">
        <f>VALUE('0521'!O26)</f>
        <v>126.79599820607848</v>
      </c>
      <c r="F14" s="13">
        <f>VALUE('0521'!O37)</f>
        <v>83.541172122951096</v>
      </c>
      <c r="G14" s="13">
        <f>VALUE('0521'!O48)</f>
        <v>99.813749999999331</v>
      </c>
      <c r="H14" s="13">
        <f>VALUE('0521'!O58)</f>
        <v>96.542255541811159</v>
      </c>
      <c r="I14" s="13">
        <f>VALUE('0521'!O69)</f>
        <v>110.18267891952075</v>
      </c>
      <c r="J14" s="13">
        <f>'0521'!O79</f>
        <v>0</v>
      </c>
    </row>
    <row r="15" spans="2:15" ht="39.950000000000003" customHeight="1">
      <c r="B15" s="382"/>
      <c r="C15" s="10" t="s">
        <v>26</v>
      </c>
      <c r="D15" s="14">
        <f t="shared" ref="D15:I15" si="1">D14/D13</f>
        <v>0.92205369076970389</v>
      </c>
      <c r="E15" s="14">
        <f t="shared" si="1"/>
        <v>0.80886336044536555</v>
      </c>
      <c r="F15" s="14">
        <f t="shared" si="1"/>
        <v>0.88210160923924386</v>
      </c>
      <c r="G15" s="14">
        <f t="shared" si="1"/>
        <v>0.94834033496031256</v>
      </c>
      <c r="H15" s="14">
        <f t="shared" si="1"/>
        <v>0.93730345186224429</v>
      </c>
      <c r="I15" s="14">
        <f t="shared" si="1"/>
        <v>0.95667044645434629</v>
      </c>
      <c r="J15" s="15">
        <f>'0521'!S70</f>
        <v>0</v>
      </c>
    </row>
    <row r="16" spans="2:15" ht="17.25" customHeight="1">
      <c r="B16" s="383" t="s">
        <v>101</v>
      </c>
      <c r="C16" s="10" t="s">
        <v>34</v>
      </c>
      <c r="D16" s="16">
        <f>'0521'!T5</f>
        <v>0.29166666666666702</v>
      </c>
      <c r="E16" s="16">
        <f>'0521'!T16</f>
        <v>0.29166666666666702</v>
      </c>
      <c r="F16" s="16">
        <f>'0521'!T27</f>
        <v>0.33333333333333298</v>
      </c>
      <c r="G16" s="16">
        <f>'0521'!T38</f>
        <v>0.33333333333333298</v>
      </c>
      <c r="H16" s="16">
        <f>'0521'!T49</f>
        <v>0.29166666666666702</v>
      </c>
      <c r="I16" s="16">
        <f>'0521'!T59</f>
        <v>0.29166666666666702</v>
      </c>
      <c r="J16" s="16">
        <f>'0521'!T70</f>
        <v>0</v>
      </c>
    </row>
    <row r="17" spans="2:10" ht="17.25" customHeight="1">
      <c r="B17" s="384"/>
      <c r="C17" s="10" t="s">
        <v>35</v>
      </c>
      <c r="D17" s="22">
        <v>0.59027777777777801</v>
      </c>
      <c r="E17" s="19">
        <v>0.4861111111111111</v>
      </c>
      <c r="F17" s="19">
        <v>0.59027777777777779</v>
      </c>
      <c r="G17" s="210">
        <v>0.46875</v>
      </c>
      <c r="H17" s="21">
        <v>0.60416666666666663</v>
      </c>
      <c r="I17" s="22">
        <v>0.51736111111111116</v>
      </c>
      <c r="J17" s="16">
        <f>'0521'!T71</f>
        <v>0</v>
      </c>
    </row>
    <row r="18" spans="2:10" ht="17.25" customHeight="1">
      <c r="B18" s="385" t="s">
        <v>102</v>
      </c>
      <c r="C18" s="330" t="s">
        <v>36</v>
      </c>
      <c r="D18" s="358">
        <f>'0521'!Z15</f>
        <v>1</v>
      </c>
      <c r="E18" s="359">
        <f>'0521'!Z26</f>
        <v>1</v>
      </c>
      <c r="F18" s="359">
        <f>'0521'!Z37</f>
        <v>0</v>
      </c>
      <c r="G18" s="360">
        <f>'0521'!Z48</f>
        <v>0</v>
      </c>
      <c r="H18" s="360">
        <f>'0521'!Z58</f>
        <v>0</v>
      </c>
      <c r="I18" s="359">
        <f>'0521'!Z69</f>
        <v>0</v>
      </c>
      <c r="J18" s="359">
        <f>'0521'!AA79</f>
        <v>0</v>
      </c>
    </row>
    <row r="19" spans="2:10" ht="17.25" customHeight="1">
      <c r="B19" s="386"/>
      <c r="C19" s="330" t="s">
        <v>37</v>
      </c>
      <c r="D19" s="358">
        <f>'0521'!AA15</f>
        <v>8</v>
      </c>
      <c r="E19" s="359">
        <f>'0521'!AA26</f>
        <v>8</v>
      </c>
      <c r="F19" s="359">
        <f>'0521'!AA37</f>
        <v>0</v>
      </c>
      <c r="G19" s="360">
        <f>'0521'!AA48</f>
        <v>0</v>
      </c>
      <c r="H19" s="360">
        <f>'0521'!AA58</f>
        <v>0</v>
      </c>
      <c r="I19" s="359">
        <f>'0521'!AA69</f>
        <v>0</v>
      </c>
      <c r="J19" s="359">
        <f>'0521'!AB79</f>
        <v>0</v>
      </c>
    </row>
    <row r="20" spans="2:10" ht="17.25" customHeight="1">
      <c r="B20" s="385" t="s">
        <v>103</v>
      </c>
      <c r="C20" s="330" t="s">
        <v>36</v>
      </c>
      <c r="D20" s="358">
        <f>'0521'!AD15</f>
        <v>0</v>
      </c>
      <c r="E20" s="359">
        <f>'0521'!AD26</f>
        <v>0</v>
      </c>
      <c r="F20" s="359">
        <f>'0521'!AD37</f>
        <v>0</v>
      </c>
      <c r="G20" s="360">
        <f>'0521'!AD48</f>
        <v>0</v>
      </c>
      <c r="H20" s="360">
        <f>'0521'!AD58</f>
        <v>0</v>
      </c>
      <c r="I20" s="359">
        <f>'0521'!AD69</f>
        <v>0</v>
      </c>
      <c r="J20" s="359">
        <f>'0521'!AD79</f>
        <v>0</v>
      </c>
    </row>
    <row r="21" spans="2:10" ht="17.25" customHeight="1">
      <c r="B21" s="386"/>
      <c r="C21" s="330" t="s">
        <v>85</v>
      </c>
      <c r="D21" s="358">
        <f>'0521'!AE15</f>
        <v>0</v>
      </c>
      <c r="E21" s="359">
        <f>'0521'!AE26</f>
        <v>0</v>
      </c>
      <c r="F21" s="359">
        <f>'0521'!AE37</f>
        <v>0</v>
      </c>
      <c r="G21" s="360">
        <f>'0521'!AE48</f>
        <v>0</v>
      </c>
      <c r="H21" s="360">
        <f>'0521'!AE58</f>
        <v>0</v>
      </c>
      <c r="I21" s="359">
        <f>'0521'!AE69</f>
        <v>0</v>
      </c>
      <c r="J21" s="359">
        <f>'0521'!AE79</f>
        <v>0</v>
      </c>
    </row>
    <row r="22" spans="2:10" ht="17.25" customHeight="1">
      <c r="B22" s="377" t="s">
        <v>104</v>
      </c>
      <c r="C22" s="378"/>
      <c r="D22" s="23">
        <f>VALUE('0521'!M15)</f>
        <v>13.571428571428571</v>
      </c>
      <c r="E22" s="23">
        <f>VALUE('0521'!M26)</f>
        <v>14.6</v>
      </c>
      <c r="F22" s="23">
        <f>VALUE('0521'!M37)</f>
        <v>17.333333333333332</v>
      </c>
      <c r="G22" s="23">
        <f>VALUE('0521'!M48)</f>
        <v>15.5</v>
      </c>
      <c r="H22" s="23">
        <f>VALUE('0521'!M58)</f>
        <v>16.600000000000001</v>
      </c>
      <c r="I22" s="23">
        <f>VALUE('0521'!M69)</f>
        <v>13.333333333333334</v>
      </c>
      <c r="J22" s="23">
        <f>'0521'!M79</f>
        <v>0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F8:G8"/>
    <mergeCell ref="H8:I8"/>
    <mergeCell ref="J8:K8"/>
    <mergeCell ref="B10:C10"/>
    <mergeCell ref="D10:J10"/>
    <mergeCell ref="B11:C12"/>
    <mergeCell ref="J6:K6"/>
    <mergeCell ref="L6:L8"/>
    <mergeCell ref="M6:M8"/>
    <mergeCell ref="N6:N8"/>
    <mergeCell ref="O6:O8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33" type="noConversion"/>
  <conditionalFormatting sqref="D15:J15">
    <cfRule type="cellIs" dxfId="145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63BB-3E34-4170-ADBE-BE9065B59D0C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M70" sqref="M70"/>
      <selection pane="topRight" activeCell="M70" sqref="M70"/>
      <selection pane="bottomLeft" activeCell="M70" sqref="M70"/>
      <selection pane="bottomRight" activeCell="AA7" sqref="AA7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8" width="8.7109375" style="34" customWidth="1"/>
    <col min="109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46578</v>
      </c>
      <c r="F1" s="30" t="s">
        <v>2</v>
      </c>
      <c r="G1" s="31">
        <f>SUM(H5:H79)</f>
        <v>2264986.9689999996</v>
      </c>
      <c r="H1" s="32" t="s">
        <v>3</v>
      </c>
      <c r="I1" s="33">
        <f>M15+M26+M48+M58+M69+M79+M37</f>
        <v>90.938095238095229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255</v>
      </c>
      <c r="B2" s="422"/>
      <c r="C2" s="28"/>
      <c r="D2" s="28" t="s">
        <v>14</v>
      </c>
      <c r="E2" s="35">
        <f>AVERAGE(O15,O26,O37,O48,O58,O69,O79)</f>
        <v>109.19731806763606</v>
      </c>
      <c r="F2" s="36" t="s">
        <v>15</v>
      </c>
      <c r="G2" s="37">
        <f>G1/E1</f>
        <v>48.627827923053793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2</v>
      </c>
      <c r="AA2" s="339">
        <f>AA15+AA26+AA37+AA48+AA58+AA69+AA79</f>
        <v>16</v>
      </c>
      <c r="AB2" s="460"/>
      <c r="AC2" s="460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 ht="16.5" thickBot="1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2999</v>
      </c>
      <c r="H5" s="43">
        <f>F5*G5</f>
        <v>170553.13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2167.9518072289129</v>
      </c>
      <c r="O5" s="47">
        <f>N5/M5</f>
        <v>144.53012048192753</v>
      </c>
      <c r="P5" s="49">
        <f>M5-J5</f>
        <v>0</v>
      </c>
      <c r="Q5" s="50">
        <f>O5-L5</f>
        <v>-5.4698795180724744</v>
      </c>
      <c r="R5" s="51">
        <f>O5/L5</f>
        <v>0.96353413654618347</v>
      </c>
      <c r="S5" s="416">
        <f>R15</f>
        <v>0.92205369076970389</v>
      </c>
      <c r="T5" s="319">
        <v>0.29166666666666702</v>
      </c>
      <c r="U5" s="320">
        <v>0.34930555555555598</v>
      </c>
      <c r="V5" s="53"/>
      <c r="W5" s="54">
        <f t="shared" ref="W5:W14" si="0">(U5-T5)*24*60</f>
        <v>83.000000000000099</v>
      </c>
      <c r="X5" s="55"/>
      <c r="Y5" s="290"/>
      <c r="Z5" s="169"/>
      <c r="AA5" s="169"/>
      <c r="AB5" s="468"/>
      <c r="AC5" s="468"/>
      <c r="AD5" s="135"/>
      <c r="AE5" s="135"/>
      <c r="AF5" s="229">
        <f t="shared" ref="AF5:AF11" si="1">N5-K5</f>
        <v>-82.048192771087088</v>
      </c>
      <c r="AG5" s="52">
        <f t="shared" ref="AG5:AG11" si="2">N5/K5</f>
        <v>0.96353413654618347</v>
      </c>
      <c r="AH5" s="461">
        <f>AG15</f>
        <v>0.80624416696017231</v>
      </c>
    </row>
    <row r="6" spans="1:34" ht="15" customHeight="1">
      <c r="A6" s="428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216</v>
      </c>
      <c r="H6" s="63">
        <f>F6*G6</f>
        <v>12564.720000000001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1619.9999999998763</v>
      </c>
      <c r="O6" s="67">
        <f>N6/M6</f>
        <v>107.99999999999176</v>
      </c>
      <c r="P6" s="69">
        <f>M6-J6</f>
        <v>0</v>
      </c>
      <c r="Q6" s="70">
        <f>O6-L6</f>
        <v>-42.000000000008242</v>
      </c>
      <c r="R6" s="71">
        <f>O6/L6</f>
        <v>0.71999999999994502</v>
      </c>
      <c r="S6" s="417"/>
      <c r="T6" s="16">
        <v>0.35694444444444401</v>
      </c>
      <c r="U6" s="16">
        <v>0.36249999999999999</v>
      </c>
      <c r="V6" s="30">
        <f>(T6-U5)*24*60</f>
        <v>10.999999999998762</v>
      </c>
      <c r="W6" s="73">
        <f t="shared" si="0"/>
        <v>8.0000000000006111</v>
      </c>
      <c r="X6" s="22"/>
      <c r="Y6" s="84"/>
      <c r="Z6" s="90">
        <v>1</v>
      </c>
      <c r="AA6" s="90">
        <v>8</v>
      </c>
      <c r="AB6" s="465" t="s">
        <v>251</v>
      </c>
      <c r="AC6" s="465"/>
      <c r="AD6" s="149"/>
      <c r="AE6" s="149"/>
      <c r="AF6" s="307">
        <f t="shared" si="1"/>
        <v>-630.00000000012369</v>
      </c>
      <c r="AG6" s="72">
        <f t="shared" si="2"/>
        <v>0.71999999999994502</v>
      </c>
      <c r="AH6" s="462"/>
    </row>
    <row r="7" spans="1:34" ht="15" customHeight="1">
      <c r="A7" s="428"/>
      <c r="B7" s="75" t="s">
        <v>81</v>
      </c>
      <c r="C7" s="76"/>
      <c r="D7" s="59" t="s">
        <v>115</v>
      </c>
      <c r="E7" s="77"/>
      <c r="F7" s="75">
        <f>VLOOKUP(D7,廠價表!$C$1:$E$43,3,0)</f>
        <v>58.17</v>
      </c>
      <c r="G7" s="66">
        <v>564</v>
      </c>
      <c r="H7" s="78">
        <f>F7*G7</f>
        <v>32807.879999999997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1611.4285714286139</v>
      </c>
      <c r="O7" s="81">
        <f>N7/M7</f>
        <v>107.42857142857426</v>
      </c>
      <c r="P7" s="74">
        <f>M7-J7</f>
        <v>0</v>
      </c>
      <c r="Q7" s="83">
        <f>O7-L7</f>
        <v>-42.571428571425741</v>
      </c>
      <c r="R7" s="72">
        <f>O7/L7</f>
        <v>0.71619047619049503</v>
      </c>
      <c r="S7" s="417"/>
      <c r="T7" s="18">
        <v>0.36736111111111103</v>
      </c>
      <c r="U7" s="18">
        <v>0.38194444444444398</v>
      </c>
      <c r="V7" s="30">
        <f>(T7-U6)*24*60</f>
        <v>6.9999999999998952</v>
      </c>
      <c r="W7" s="73">
        <f t="shared" si="0"/>
        <v>20.999999999999446</v>
      </c>
      <c r="X7" s="22"/>
      <c r="Y7" s="84"/>
      <c r="Z7" s="90"/>
      <c r="AA7" s="90"/>
      <c r="AB7" s="466" t="s">
        <v>252</v>
      </c>
      <c r="AC7" s="466"/>
      <c r="AD7" s="92"/>
      <c r="AE7" s="92"/>
      <c r="AF7" s="307">
        <f t="shared" si="1"/>
        <v>-638.57142857138615</v>
      </c>
      <c r="AG7" s="72">
        <f t="shared" si="2"/>
        <v>0.71619047619049503</v>
      </c>
      <c r="AH7" s="462"/>
    </row>
    <row r="8" spans="1:34" ht="15" customHeight="1">
      <c r="A8" s="428"/>
      <c r="B8" s="75" t="s">
        <v>81</v>
      </c>
      <c r="C8" s="76"/>
      <c r="D8" s="59" t="s">
        <v>115</v>
      </c>
      <c r="E8" s="77"/>
      <c r="F8" s="75">
        <f>VLOOKUP(D8,廠價表!$C$1:$E$43,3,0)</f>
        <v>58.17</v>
      </c>
      <c r="G8" s="66">
        <v>2494</v>
      </c>
      <c r="H8" s="78">
        <f t="shared" ref="H8:H11" si="3">F8*G8</f>
        <v>145075.98000000001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11" si="4">K8/J8</f>
        <v>150</v>
      </c>
      <c r="M8" s="82">
        <v>15</v>
      </c>
      <c r="N8" s="80">
        <f t="shared" ref="N8:N11" si="5">G8/W8*60</f>
        <v>2137.7142857142449</v>
      </c>
      <c r="O8" s="81">
        <f t="shared" ref="O8:O11" si="6">N8/M8</f>
        <v>142.51428571428298</v>
      </c>
      <c r="P8" s="74">
        <f t="shared" ref="P8:P11" si="7">M8-J8</f>
        <v>0</v>
      </c>
      <c r="Q8" s="83">
        <f t="shared" ref="Q8:Q11" si="8">O8-L8</f>
        <v>-7.4857142857170231</v>
      </c>
      <c r="R8" s="72">
        <f t="shared" ref="R8:R11" si="9">O8/L8</f>
        <v>0.9500952380952199</v>
      </c>
      <c r="S8" s="417"/>
      <c r="T8" s="16">
        <v>0.38194444444444398</v>
      </c>
      <c r="U8" s="16">
        <v>0.43055555555555602</v>
      </c>
      <c r="V8" s="30">
        <f t="shared" ref="V8:V11" si="10">(T8-U7)*24*60</f>
        <v>0</v>
      </c>
      <c r="W8" s="73">
        <f t="shared" si="0"/>
        <v>70.00000000000135</v>
      </c>
      <c r="X8" s="22"/>
      <c r="Y8" s="84"/>
      <c r="Z8" s="90"/>
      <c r="AA8" s="90"/>
      <c r="AB8" s="465"/>
      <c r="AC8" s="465"/>
      <c r="AD8" s="149"/>
      <c r="AE8" s="149"/>
      <c r="AF8" s="307">
        <f t="shared" si="1"/>
        <v>-112.28571428575515</v>
      </c>
      <c r="AG8" s="72">
        <f t="shared" si="2"/>
        <v>0.9500952380952199</v>
      </c>
      <c r="AH8" s="462"/>
    </row>
    <row r="9" spans="1:34" ht="15" customHeight="1">
      <c r="A9" s="429"/>
      <c r="B9" s="75" t="s">
        <v>81</v>
      </c>
      <c r="C9" s="76"/>
      <c r="D9" s="59" t="s">
        <v>114</v>
      </c>
      <c r="E9" s="77"/>
      <c r="F9" s="75">
        <f>VLOOKUP(D9,廠價表!$C$1:$E$43,3,0)</f>
        <v>49.14</v>
      </c>
      <c r="G9" s="66">
        <v>2498</v>
      </c>
      <c r="H9" s="78">
        <f t="shared" si="3"/>
        <v>122751.72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2141.1428571428623</v>
      </c>
      <c r="O9" s="81">
        <f t="shared" si="6"/>
        <v>142.7428571428575</v>
      </c>
      <c r="P9" s="74">
        <f t="shared" si="7"/>
        <v>0</v>
      </c>
      <c r="Q9" s="83">
        <f t="shared" si="8"/>
        <v>-7.2571428571424974</v>
      </c>
      <c r="R9" s="72">
        <f t="shared" si="9"/>
        <v>0.95161904761905003</v>
      </c>
      <c r="S9" s="418"/>
      <c r="T9" s="16">
        <v>0.4375</v>
      </c>
      <c r="U9" s="16">
        <v>0.48611111111111099</v>
      </c>
      <c r="V9" s="30">
        <f t="shared" si="10"/>
        <v>9.999999999999325</v>
      </c>
      <c r="W9" s="73">
        <f t="shared" si="0"/>
        <v>69.999999999999829</v>
      </c>
      <c r="X9" s="22"/>
      <c r="Y9" s="84"/>
      <c r="Z9" s="90"/>
      <c r="AA9" s="90"/>
      <c r="AB9" s="465"/>
      <c r="AC9" s="465"/>
      <c r="AD9" s="149"/>
      <c r="AE9" s="149"/>
      <c r="AF9" s="307">
        <f t="shared" si="1"/>
        <v>-108.85714285713766</v>
      </c>
      <c r="AG9" s="72">
        <f t="shared" si="2"/>
        <v>0.95161904761904992</v>
      </c>
      <c r="AH9" s="463"/>
    </row>
    <row r="10" spans="1:34" ht="15" customHeight="1">
      <c r="A10" s="429"/>
      <c r="B10" s="75" t="s">
        <v>81</v>
      </c>
      <c r="C10" s="86"/>
      <c r="D10" s="59" t="s">
        <v>114</v>
      </c>
      <c r="E10" s="87"/>
      <c r="F10" s="75">
        <f>VLOOKUP(D10,廠價表!$C$1:$E$43,3,0)</f>
        <v>49.14</v>
      </c>
      <c r="G10" s="62">
        <v>1300</v>
      </c>
      <c r="H10" s="78">
        <f t="shared" si="3"/>
        <v>63882</v>
      </c>
      <c r="I10" s="73"/>
      <c r="J10" s="79">
        <f>VLOOKUP(D10,產線配置圖!$A$3:$C$40,2,0)</f>
        <v>15</v>
      </c>
      <c r="K10" s="80">
        <f>VLOOKUP(D10,產線配置圖!$A$3:$C$40,3,0)</f>
        <v>2250</v>
      </c>
      <c r="L10" s="81">
        <f t="shared" si="4"/>
        <v>150</v>
      </c>
      <c r="M10" s="82">
        <v>15</v>
      </c>
      <c r="N10" s="80">
        <f t="shared" si="5"/>
        <v>2108.1081081081429</v>
      </c>
      <c r="O10" s="81">
        <f t="shared" si="6"/>
        <v>140.54054054054285</v>
      </c>
      <c r="P10" s="74">
        <f t="shared" si="7"/>
        <v>0</v>
      </c>
      <c r="Q10" s="83">
        <f t="shared" si="8"/>
        <v>-9.4594594594571504</v>
      </c>
      <c r="R10" s="72">
        <f t="shared" si="9"/>
        <v>0.93693693693695235</v>
      </c>
      <c r="S10" s="418"/>
      <c r="T10" s="22">
        <v>0.55555555555555602</v>
      </c>
      <c r="U10" s="22">
        <v>0.58125000000000004</v>
      </c>
      <c r="V10" s="30">
        <f t="shared" si="10"/>
        <v>100.00000000000084</v>
      </c>
      <c r="W10" s="73">
        <f t="shared" si="0"/>
        <v>36.999999999999389</v>
      </c>
      <c r="X10" s="22"/>
      <c r="Y10" s="84"/>
      <c r="Z10" s="90"/>
      <c r="AA10" s="90"/>
      <c r="AB10" s="466"/>
      <c r="AC10" s="466"/>
      <c r="AD10" s="92"/>
      <c r="AE10" s="92"/>
      <c r="AF10" s="307">
        <f t="shared" si="1"/>
        <v>-141.89189189185709</v>
      </c>
      <c r="AG10" s="72">
        <f t="shared" si="2"/>
        <v>0.93693693693695246</v>
      </c>
      <c r="AH10" s="463"/>
    </row>
    <row r="11" spans="1:34" ht="15" customHeight="1">
      <c r="A11" s="429"/>
      <c r="B11" s="75" t="s">
        <v>81</v>
      </c>
      <c r="C11" s="88"/>
      <c r="D11" s="59" t="s">
        <v>115</v>
      </c>
      <c r="E11" s="89"/>
      <c r="F11" s="75">
        <f>VLOOKUP(D11,廠價表!$C$1:$E$43,3,0)</f>
        <v>58.17</v>
      </c>
      <c r="G11" s="90">
        <v>76</v>
      </c>
      <c r="H11" s="78">
        <f t="shared" si="3"/>
        <v>4420.92</v>
      </c>
      <c r="I11" s="73"/>
      <c r="J11" s="79">
        <f>VLOOKUP(D11,產線配置圖!$A$3:$C$40,2,0)</f>
        <v>15</v>
      </c>
      <c r="K11" s="80">
        <f>VLOOKUP(D11,產線配置圖!$A$3:$C$40,3,0)</f>
        <v>2250</v>
      </c>
      <c r="L11" s="81">
        <f t="shared" si="4"/>
        <v>150</v>
      </c>
      <c r="M11" s="94">
        <v>5</v>
      </c>
      <c r="N11" s="80">
        <f t="shared" si="5"/>
        <v>912.00000000006162</v>
      </c>
      <c r="O11" s="81">
        <f t="shared" si="6"/>
        <v>182.40000000001231</v>
      </c>
      <c r="P11" s="74">
        <f t="shared" si="7"/>
        <v>-10</v>
      </c>
      <c r="Q11" s="83">
        <f t="shared" si="8"/>
        <v>32.400000000012312</v>
      </c>
      <c r="R11" s="72">
        <f t="shared" si="9"/>
        <v>1.2160000000000821</v>
      </c>
      <c r="S11" s="418"/>
      <c r="T11" s="22">
        <v>0.58680555555555602</v>
      </c>
      <c r="U11" s="22">
        <v>0.59027777777777801</v>
      </c>
      <c r="V11" s="30">
        <f t="shared" si="10"/>
        <v>8.0000000000006111</v>
      </c>
      <c r="W11" s="100">
        <f t="shared" si="0"/>
        <v>4.9999999999996625</v>
      </c>
      <c r="X11" s="22"/>
      <c r="Y11" s="84"/>
      <c r="Z11" s="90"/>
      <c r="AA11" s="90"/>
      <c r="AB11" s="465" t="s">
        <v>253</v>
      </c>
      <c r="AC11" s="465"/>
      <c r="AD11" s="149"/>
      <c r="AE11" s="149"/>
      <c r="AF11" s="307">
        <f t="shared" si="1"/>
        <v>-1337.9999999999384</v>
      </c>
      <c r="AG11" s="72">
        <f t="shared" si="2"/>
        <v>0.40533333333336075</v>
      </c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 thickBo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150</v>
      </c>
      <c r="M15" s="120">
        <f t="shared" si="11"/>
        <v>13.571428571428571</v>
      </c>
      <c r="N15" s="120">
        <f t="shared" si="11"/>
        <v>1814.0493756603878</v>
      </c>
      <c r="O15" s="117">
        <f t="shared" si="11"/>
        <v>138.30805361545558</v>
      </c>
      <c r="P15" s="121">
        <f>M15-J15</f>
        <v>-1.4285714285714288</v>
      </c>
      <c r="Q15" s="122">
        <f>O15-L15</f>
        <v>-11.691946384544423</v>
      </c>
      <c r="R15" s="123">
        <f>O15/L15</f>
        <v>0.92205369076970389</v>
      </c>
      <c r="S15" s="420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8</v>
      </c>
      <c r="AB15" s="467"/>
      <c r="AC15" s="467"/>
      <c r="AD15" s="323">
        <f>SUM(AD5:AD14)</f>
        <v>0</v>
      </c>
      <c r="AE15" s="323">
        <f>SUM(AE5:AE14)</f>
        <v>0</v>
      </c>
      <c r="AF15" s="309">
        <f>N15-K15</f>
        <v>-435.9506243396122</v>
      </c>
      <c r="AG15" s="124">
        <f>N15/K15</f>
        <v>0.80624416696017231</v>
      </c>
      <c r="AH15" s="464"/>
    </row>
    <row r="16" spans="1:34" ht="15" customHeight="1">
      <c r="A16" s="47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3130</v>
      </c>
      <c r="H16" s="134">
        <f>F16*G16</f>
        <v>158597.1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2183.7209302325682</v>
      </c>
      <c r="O16" s="141">
        <f>N16/M16</f>
        <v>155.98006644518344</v>
      </c>
      <c r="P16" s="142">
        <f>M16-J16</f>
        <v>0</v>
      </c>
      <c r="Q16" s="143">
        <f>O16-L16</f>
        <v>-4.7342192691022831</v>
      </c>
      <c r="R16" s="144">
        <f>O16/L16</f>
        <v>0.97054263565891918</v>
      </c>
      <c r="S16" s="472">
        <f>R26</f>
        <v>0.80886336044536555</v>
      </c>
      <c r="T16" s="145">
        <v>0.29166666666666702</v>
      </c>
      <c r="U16" s="145">
        <v>0.35138888888888897</v>
      </c>
      <c r="V16" s="135"/>
      <c r="W16" s="146">
        <f t="shared" ref="W16:W78" si="12">(U16-T16)*24*60</f>
        <v>85.999999999999616</v>
      </c>
      <c r="X16" s="141"/>
      <c r="Y16" s="296"/>
      <c r="Z16" s="169"/>
      <c r="AA16" s="169"/>
      <c r="AB16" s="468"/>
      <c r="AC16" s="468"/>
      <c r="AD16" s="135"/>
      <c r="AE16" s="135"/>
      <c r="AF16" s="229">
        <f>N16-K16</f>
        <v>-66.279069767431793</v>
      </c>
      <c r="AG16" s="52">
        <f>N16/K16</f>
        <v>0.97054263565891918</v>
      </c>
      <c r="AH16" s="461">
        <f>AG26</f>
        <v>0.80872122554447046</v>
      </c>
    </row>
    <row r="17" spans="1:34" ht="15" customHeight="1">
      <c r="A17" s="479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78</v>
      </c>
      <c r="H17" s="78">
        <f>F17*G17</f>
        <v>4415.58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14</v>
      </c>
      <c r="N17" s="95">
        <f>G17/W17*60</f>
        <v>1169.9999999999106</v>
      </c>
      <c r="O17" s="96">
        <f>N17/M17</f>
        <v>83.571428571422189</v>
      </c>
      <c r="P17" s="97">
        <f>M17-J17</f>
        <v>-1</v>
      </c>
      <c r="Q17" s="98">
        <f>O17-L17</f>
        <v>-66.428571428577811</v>
      </c>
      <c r="R17" s="99">
        <f>O17/L17</f>
        <v>0.55714285714281464</v>
      </c>
      <c r="S17" s="473"/>
      <c r="T17" s="19">
        <v>0.358333333333333</v>
      </c>
      <c r="U17" s="19">
        <v>0.36111111111111099</v>
      </c>
      <c r="V17" s="30">
        <f>(T17-U16)*24*60</f>
        <v>9.9999999999994049</v>
      </c>
      <c r="W17" s="149">
        <f t="shared" si="12"/>
        <v>4.0000000000003055</v>
      </c>
      <c r="X17" s="19"/>
      <c r="Y17" s="297"/>
      <c r="Z17" s="90"/>
      <c r="AA17" s="90"/>
      <c r="AB17" s="507"/>
      <c r="AC17" s="508"/>
      <c r="AD17" s="92"/>
      <c r="AE17" s="92"/>
      <c r="AF17" s="307">
        <f>N17-K17</f>
        <v>-1080.0000000000894</v>
      </c>
      <c r="AG17" s="72">
        <f>N17/K17</f>
        <v>0.51999999999996027</v>
      </c>
      <c r="AH17" s="462"/>
    </row>
    <row r="18" spans="1:34" ht="15" customHeight="1">
      <c r="A18" s="479"/>
      <c r="B18" s="75" t="s">
        <v>81</v>
      </c>
      <c r="C18" s="76"/>
      <c r="D18" s="59" t="s">
        <v>117</v>
      </c>
      <c r="E18" s="77"/>
      <c r="F18" s="75">
        <f>VLOOKUP(D18,廠價表!$C$1:$E$43,3,0)</f>
        <v>56.61</v>
      </c>
      <c r="G18" s="147">
        <v>480</v>
      </c>
      <c r="H18" s="78">
        <f>F18*G18</f>
        <v>27172.799999999999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17</v>
      </c>
      <c r="N18" s="95">
        <f>G18/W18*60</f>
        <v>1371.4285714286077</v>
      </c>
      <c r="O18" s="96">
        <f>N18/M18</f>
        <v>80.672268907565154</v>
      </c>
      <c r="P18" s="97">
        <f>M18-J18</f>
        <v>2</v>
      </c>
      <c r="Q18" s="98">
        <f>O18-L18</f>
        <v>-69.327731092434846</v>
      </c>
      <c r="R18" s="99">
        <f>O18/L18</f>
        <v>0.53781512605043436</v>
      </c>
      <c r="S18" s="473"/>
      <c r="T18" s="19">
        <v>0.36736111111111103</v>
      </c>
      <c r="U18" s="19">
        <v>0.38194444444444398</v>
      </c>
      <c r="V18" s="30">
        <f>(T18-U17)*24*60</f>
        <v>9.000000000000048</v>
      </c>
      <c r="W18" s="149">
        <f t="shared" si="12"/>
        <v>20.999999999999446</v>
      </c>
      <c r="X18" s="22"/>
      <c r="Y18" s="84"/>
      <c r="Z18" s="90">
        <v>1</v>
      </c>
      <c r="AA18" s="90">
        <v>8</v>
      </c>
      <c r="AB18" s="465" t="s">
        <v>254</v>
      </c>
      <c r="AC18" s="465"/>
      <c r="AD18" s="92"/>
      <c r="AE18" s="92"/>
      <c r="AF18" s="307">
        <f>N18-K18</f>
        <v>-878.57142857139229</v>
      </c>
      <c r="AG18" s="72">
        <f>N18/K18</f>
        <v>0.60952380952382568</v>
      </c>
      <c r="AH18" s="462"/>
    </row>
    <row r="19" spans="1:34" ht="15" customHeight="1">
      <c r="A19" s="479"/>
      <c r="B19" s="75" t="s">
        <v>81</v>
      </c>
      <c r="C19" s="76"/>
      <c r="D19" s="59" t="s">
        <v>117</v>
      </c>
      <c r="E19" s="77"/>
      <c r="F19" s="75">
        <f>VLOOKUP(D19,廠價表!$C$1:$E$43,3,0)</f>
        <v>56.61</v>
      </c>
      <c r="G19" s="147">
        <v>1103</v>
      </c>
      <c r="H19" s="78">
        <f t="shared" ref="H19:H20" si="13">F19*G19</f>
        <v>62440.83</v>
      </c>
      <c r="I19" s="30"/>
      <c r="J19" s="79">
        <f>VLOOKUP(D19,產線配置圖!$A$3:$C$40,2,0)</f>
        <v>15</v>
      </c>
      <c r="K19" s="80">
        <f>VLOOKUP(D19,產線配置圖!$A$3:$C$40,3,0)</f>
        <v>2250</v>
      </c>
      <c r="L19" s="81">
        <f t="shared" ref="L19:L20" si="14">K19/J19</f>
        <v>150</v>
      </c>
      <c r="M19" s="148">
        <v>15</v>
      </c>
      <c r="N19" s="95">
        <f t="shared" ref="N19:N20" si="15">G19/W19*60</f>
        <v>2205.9999999999254</v>
      </c>
      <c r="O19" s="96">
        <f t="shared" ref="O19:O20" si="16">N19/M19</f>
        <v>147.06666666666169</v>
      </c>
      <c r="P19" s="97">
        <f t="shared" ref="P19:P20" si="17">M19-J19</f>
        <v>0</v>
      </c>
      <c r="Q19" s="98">
        <f t="shared" ref="Q19:Q20" si="18">O19-L19</f>
        <v>-2.9333333333383109</v>
      </c>
      <c r="R19" s="99">
        <f t="shared" ref="R19:R20" si="19">O19/L19</f>
        <v>0.98044444444441126</v>
      </c>
      <c r="S19" s="473"/>
      <c r="T19" s="19">
        <v>0.38194444444444398</v>
      </c>
      <c r="U19" s="19">
        <v>0.40277777777777801</v>
      </c>
      <c r="V19" s="30">
        <f>(T19-U18)*24*60</f>
        <v>0</v>
      </c>
      <c r="W19" s="149">
        <f t="shared" si="12"/>
        <v>30.000000000001013</v>
      </c>
      <c r="X19" s="22"/>
      <c r="Y19" s="84"/>
      <c r="Z19" s="90"/>
      <c r="AA19" s="90"/>
      <c r="AB19" s="466"/>
      <c r="AC19" s="466"/>
      <c r="AD19" s="149"/>
      <c r="AE19" s="149"/>
      <c r="AF19" s="307">
        <f>N19-K19</f>
        <v>-44.000000000074579</v>
      </c>
      <c r="AG19" s="72">
        <f>N19/K19</f>
        <v>0.98044444444441126</v>
      </c>
      <c r="AH19" s="463"/>
    </row>
    <row r="20" spans="1:34" ht="15" customHeight="1">
      <c r="A20" s="479"/>
      <c r="B20" s="75" t="s">
        <v>81</v>
      </c>
      <c r="C20" s="76"/>
      <c r="D20" s="59" t="s">
        <v>118</v>
      </c>
      <c r="E20" s="77"/>
      <c r="F20" s="75">
        <f>VLOOKUP(D20,廠價表!$C$1:$E$43,3,0)</f>
        <v>50.39</v>
      </c>
      <c r="G20" s="147">
        <v>4045</v>
      </c>
      <c r="H20" s="78">
        <f t="shared" si="13"/>
        <v>203827.55</v>
      </c>
      <c r="I20" s="30"/>
      <c r="J20" s="79">
        <v>13</v>
      </c>
      <c r="K20" s="80">
        <f>VLOOKUP(D20,產線配置圖!$A$3:$C$40,3,0)</f>
        <v>2250</v>
      </c>
      <c r="L20" s="81">
        <f t="shared" si="14"/>
        <v>173.07692307692307</v>
      </c>
      <c r="M20" s="148">
        <v>13</v>
      </c>
      <c r="N20" s="95">
        <f t="shared" si="15"/>
        <v>2166.9642857142794</v>
      </c>
      <c r="O20" s="96">
        <f t="shared" si="16"/>
        <v>166.68956043955995</v>
      </c>
      <c r="P20" s="97">
        <f t="shared" si="17"/>
        <v>0</v>
      </c>
      <c r="Q20" s="98">
        <f t="shared" si="18"/>
        <v>-6.3873626373631112</v>
      </c>
      <c r="R20" s="99">
        <f t="shared" si="19"/>
        <v>0.96309523809523534</v>
      </c>
      <c r="S20" s="473"/>
      <c r="T20" s="19">
        <v>0.40833333333333299</v>
      </c>
      <c r="U20" s="19">
        <v>0.48611111111111099</v>
      </c>
      <c r="V20" s="30">
        <f>(T20-U19)*24*60</f>
        <v>7.9999999999991722</v>
      </c>
      <c r="W20" s="149">
        <f t="shared" si="12"/>
        <v>112.00000000000033</v>
      </c>
      <c r="X20" s="19"/>
      <c r="Y20" s="297"/>
      <c r="Z20" s="90"/>
      <c r="AA20" s="90"/>
      <c r="AB20" s="466"/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3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466"/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50"/>
      <c r="U22" s="150"/>
      <c r="V22" s="92"/>
      <c r="W22" s="149"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12"/>
        <v>0</v>
      </c>
      <c r="X23" s="92"/>
      <c r="Y23" s="298"/>
      <c r="Z23" s="90"/>
      <c r="AA23" s="90"/>
      <c r="AB23" s="466"/>
      <c r="AC23" s="46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 thickBo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>
        <f t="shared" ref="J26:O26" si="20">AVERAGE(J16:J25)</f>
        <v>14.4</v>
      </c>
      <c r="K26" s="155">
        <f t="shared" si="20"/>
        <v>2250</v>
      </c>
      <c r="L26" s="158">
        <f t="shared" si="20"/>
        <v>156.75824175824178</v>
      </c>
      <c r="M26" s="155">
        <f t="shared" si="20"/>
        <v>14.6</v>
      </c>
      <c r="N26" s="155">
        <f t="shared" si="20"/>
        <v>1819.6227574750585</v>
      </c>
      <c r="O26" s="158">
        <f t="shared" si="20"/>
        <v>126.79599820607848</v>
      </c>
      <c r="P26" s="159">
        <f>M26-J26</f>
        <v>0.19999999999999929</v>
      </c>
      <c r="Q26" s="160">
        <f>O26-L26</f>
        <v>-29.962243552163301</v>
      </c>
      <c r="R26" s="161">
        <f>O26/L26</f>
        <v>0.80886336044536555</v>
      </c>
      <c r="S26" s="474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8</v>
      </c>
      <c r="AB26" s="467"/>
      <c r="AC26" s="467"/>
      <c r="AD26" s="323">
        <f>SUM(AD16:AD25)</f>
        <v>0</v>
      </c>
      <c r="AE26" s="323">
        <f>SUM(AE16:AE25)</f>
        <v>0</v>
      </c>
      <c r="AF26" s="309">
        <f t="shared" ref="AF26:AF31" si="21">N26-K26</f>
        <v>-430.37724252494149</v>
      </c>
      <c r="AG26" s="124">
        <f t="shared" ref="AG26:AG31" si="22">N26/K26</f>
        <v>0.80872122554447046</v>
      </c>
      <c r="AH26" s="464"/>
    </row>
    <row r="27" spans="1:34" ht="15" customHeight="1">
      <c r="A27" s="469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2028</v>
      </c>
      <c r="H27" s="134">
        <f>F27*G27</f>
        <v>116021.88</v>
      </c>
      <c r="I27" s="135"/>
      <c r="J27" s="136">
        <v>18</v>
      </c>
      <c r="K27" s="137">
        <f>VLOOKUP(D27,產線配置圖!$A$3:$C$40,3,0)</f>
        <v>1565</v>
      </c>
      <c r="L27" s="138">
        <f>K27/J27</f>
        <v>86.944444444444443</v>
      </c>
      <c r="M27" s="170">
        <v>18</v>
      </c>
      <c r="N27" s="140">
        <f>G27/W27*60</f>
        <v>1483.902439024381</v>
      </c>
      <c r="O27" s="141">
        <f>N27/M27</f>
        <v>82.439024390243389</v>
      </c>
      <c r="P27" s="142">
        <f>M27-J27</f>
        <v>0</v>
      </c>
      <c r="Q27" s="143">
        <f>O27-L27</f>
        <v>-4.5054200542010534</v>
      </c>
      <c r="R27" s="144">
        <f>O27/L27</f>
        <v>0.94818047222005175</v>
      </c>
      <c r="S27" s="472">
        <f>R37</f>
        <v>0.88210160923924386</v>
      </c>
      <c r="T27" s="171">
        <v>0.33333333333333298</v>
      </c>
      <c r="U27" s="171">
        <v>0.39027777777777778</v>
      </c>
      <c r="V27" s="135"/>
      <c r="W27" s="146">
        <f t="shared" si="12"/>
        <v>82.000000000000512</v>
      </c>
      <c r="X27" s="135"/>
      <c r="Y27" s="300" t="s">
        <v>46</v>
      </c>
      <c r="Z27" s="169"/>
      <c r="AA27" s="169"/>
      <c r="AB27" s="468"/>
      <c r="AC27" s="468"/>
      <c r="AD27" s="135"/>
      <c r="AE27" s="135"/>
      <c r="AF27" s="310">
        <f t="shared" si="21"/>
        <v>-81.09756097561899</v>
      </c>
      <c r="AG27" s="172">
        <f t="shared" si="22"/>
        <v>0.94818047222005175</v>
      </c>
      <c r="AH27" s="461">
        <f>AG37</f>
        <v>0.88327004325010139</v>
      </c>
    </row>
    <row r="28" spans="1:34" ht="15" customHeight="1">
      <c r="A28" s="470"/>
      <c r="B28" s="75" t="s">
        <v>81</v>
      </c>
      <c r="C28" s="173"/>
      <c r="D28" s="59" t="s">
        <v>128</v>
      </c>
      <c r="E28" s="104"/>
      <c r="F28" s="75">
        <f>VLOOKUP(D28,廠價表!$C$1:$E$43,3,0)</f>
        <v>57.21</v>
      </c>
      <c r="G28" s="90">
        <v>2231</v>
      </c>
      <c r="H28" s="91">
        <f>F28*G28</f>
        <v>127635.51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17</v>
      </c>
      <c r="N28" s="95">
        <f>G28/W28*60</f>
        <v>1521.1363636363744</v>
      </c>
      <c r="O28" s="96">
        <f>N28/M28</f>
        <v>89.47860962566908</v>
      </c>
      <c r="P28" s="97">
        <f>M28-J28</f>
        <v>0</v>
      </c>
      <c r="Q28" s="98">
        <f>O28-L28</f>
        <v>-11.462566844919152</v>
      </c>
      <c r="R28" s="99">
        <f>O28/L28</f>
        <v>0.88644310235219959</v>
      </c>
      <c r="S28" s="473"/>
      <c r="T28" s="19">
        <v>0.39583333333333331</v>
      </c>
      <c r="U28" s="19">
        <v>0.45694444444444399</v>
      </c>
      <c r="V28" s="92">
        <f>(T28-U27)*24*60</f>
        <v>7.9999999999999716</v>
      </c>
      <c r="W28" s="149">
        <f t="shared" si="12"/>
        <v>87.999999999999375</v>
      </c>
      <c r="X28" s="174"/>
      <c r="Y28" s="301"/>
      <c r="Z28" s="335"/>
      <c r="AA28" s="335"/>
      <c r="AB28" s="466"/>
      <c r="AC28" s="466"/>
      <c r="AD28" s="92"/>
      <c r="AE28" s="92"/>
      <c r="AF28" s="311">
        <f t="shared" si="21"/>
        <v>-194.86363636362557</v>
      </c>
      <c r="AG28" s="99">
        <f t="shared" si="22"/>
        <v>0.88644310235219959</v>
      </c>
      <c r="AH28" s="482"/>
    </row>
    <row r="29" spans="1:34" ht="15" customHeight="1">
      <c r="A29" s="470"/>
      <c r="B29" s="75" t="s">
        <v>123</v>
      </c>
      <c r="C29" s="173"/>
      <c r="D29" s="59" t="s">
        <v>124</v>
      </c>
      <c r="E29" s="104"/>
      <c r="F29" s="75">
        <f>VLOOKUP(D29,廠價表!$C$1:$E$43,3,0)</f>
        <v>44.3</v>
      </c>
      <c r="G29" s="90">
        <v>2230</v>
      </c>
      <c r="H29" s="91">
        <f>F29*G29</f>
        <v>98789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1337.9999999999941</v>
      </c>
      <c r="O29" s="96">
        <f>N29/M29</f>
        <v>78.705882352940833</v>
      </c>
      <c r="P29" s="97">
        <f>M29-J29</f>
        <v>0</v>
      </c>
      <c r="Q29" s="98">
        <f>O29-L29</f>
        <v>-17.529411764706225</v>
      </c>
      <c r="R29" s="99">
        <f>O29/L29</f>
        <v>0.81784841075794268</v>
      </c>
      <c r="S29" s="473"/>
      <c r="T29" s="19">
        <v>0.52083333333333304</v>
      </c>
      <c r="U29" s="19">
        <v>0.59027777777777779</v>
      </c>
      <c r="V29" s="92">
        <f>(T29-U28)*24*60</f>
        <v>92.000000000000227</v>
      </c>
      <c r="W29" s="149">
        <f t="shared" si="12"/>
        <v>100.00000000000044</v>
      </c>
      <c r="X29" s="22"/>
      <c r="Y29" s="84"/>
      <c r="Z29" s="90"/>
      <c r="AA29" s="90"/>
      <c r="AB29" s="466"/>
      <c r="AC29" s="466"/>
      <c r="AD29" s="92"/>
      <c r="AE29" s="92"/>
      <c r="AF29" s="312">
        <f t="shared" si="21"/>
        <v>-298.00000000000591</v>
      </c>
      <c r="AG29" s="99">
        <f t="shared" si="22"/>
        <v>0.81784841075794257</v>
      </c>
      <c r="AH29" s="482"/>
    </row>
    <row r="30" spans="1:34" ht="15" customHeight="1">
      <c r="A30" s="470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3"/>
      <c r="T30" s="19"/>
      <c r="U30" s="19"/>
      <c r="V30" s="92"/>
      <c r="W30" s="149">
        <f t="shared" si="12"/>
        <v>0</v>
      </c>
      <c r="X30" s="174"/>
      <c r="Y30" s="301"/>
      <c r="Z30" s="335"/>
      <c r="AA30" s="335"/>
      <c r="AB30" s="466"/>
      <c r="AC30" s="466"/>
      <c r="AD30" s="92"/>
      <c r="AE30" s="92"/>
      <c r="AF30" s="312">
        <f t="shared" si="21"/>
        <v>0</v>
      </c>
      <c r="AG30" s="99" t="e">
        <f t="shared" si="22"/>
        <v>#DIV/0!</v>
      </c>
      <c r="AH30" s="483"/>
    </row>
    <row r="31" spans="1:34" ht="15" customHeight="1">
      <c r="A31" s="47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3"/>
      <c r="T31" s="19"/>
      <c r="U31" s="19"/>
      <c r="V31" s="92"/>
      <c r="W31" s="149">
        <f t="shared" si="12"/>
        <v>0</v>
      </c>
      <c r="X31" s="174"/>
      <c r="Y31" s="301"/>
      <c r="Z31" s="335"/>
      <c r="AA31" s="335"/>
      <c r="AB31" s="466"/>
      <c r="AC31" s="466"/>
      <c r="AD31" s="92"/>
      <c r="AE31" s="92"/>
      <c r="AF31" s="312">
        <f t="shared" si="21"/>
        <v>0</v>
      </c>
      <c r="AG31" s="99" t="e">
        <f t="shared" si="22"/>
        <v>#DIV/0!</v>
      </c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50"/>
      <c r="U32" s="150"/>
      <c r="V32" s="92"/>
      <c r="W32" s="149">
        <f t="shared" si="12"/>
        <v>0</v>
      </c>
      <c r="X32" s="174"/>
      <c r="Y32" s="301"/>
      <c r="Z32" s="335"/>
      <c r="AA32" s="335"/>
      <c r="AB32" s="466"/>
      <c r="AC32" s="466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466"/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 thickBo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>
        <f t="shared" ref="J37:O37" si="23">AVERAGE(J27:J36)</f>
        <v>17.333333333333332</v>
      </c>
      <c r="K37" s="155">
        <f t="shared" si="23"/>
        <v>1639</v>
      </c>
      <c r="L37" s="158">
        <f t="shared" si="23"/>
        <v>94.70697167755992</v>
      </c>
      <c r="M37" s="155">
        <f t="shared" si="23"/>
        <v>17.333333333333332</v>
      </c>
      <c r="N37" s="155">
        <f t="shared" si="23"/>
        <v>1447.6796008869162</v>
      </c>
      <c r="O37" s="158">
        <f t="shared" si="23"/>
        <v>83.541172122951096</v>
      </c>
      <c r="P37" s="159">
        <f>M37-J37</f>
        <v>0</v>
      </c>
      <c r="Q37" s="160">
        <f>N37-K37</f>
        <v>-191.32039911308379</v>
      </c>
      <c r="R37" s="161">
        <f>O37/L37</f>
        <v>0.88210160923924386</v>
      </c>
      <c r="S37" s="474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7"/>
      <c r="AC37" s="477"/>
      <c r="AD37" s="324">
        <f>SUM(AD27:AD36)</f>
        <v>0</v>
      </c>
      <c r="AE37" s="324">
        <f>SUM(AE27:AE36)</f>
        <v>0</v>
      </c>
      <c r="AF37" s="309">
        <f>N37-K37</f>
        <v>-191.32039911308379</v>
      </c>
      <c r="AG37" s="124">
        <f>N37/K37</f>
        <v>0.88327004325010139</v>
      </c>
      <c r="AH37" s="464"/>
    </row>
    <row r="38" spans="1:34" ht="15" customHeight="1">
      <c r="A38" s="491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2736</v>
      </c>
      <c r="H38" s="134">
        <f>F38*G38</f>
        <v>136553.75999999998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1641.5999999999915</v>
      </c>
      <c r="O38" s="141">
        <f>N38/M38</f>
        <v>109.43999999999943</v>
      </c>
      <c r="P38" s="142">
        <f>M38-J38</f>
        <v>0</v>
      </c>
      <c r="Q38" s="143">
        <f>O38-L38</f>
        <v>-4.8266666666672364</v>
      </c>
      <c r="R38" s="144">
        <f>O38/L38</f>
        <v>0.95775962660442904</v>
      </c>
      <c r="S38" s="494">
        <f>R48</f>
        <v>0.94834033496031256</v>
      </c>
      <c r="T38" s="191">
        <v>0.33333333333333298</v>
      </c>
      <c r="U38" s="191">
        <v>0.40277777777777779</v>
      </c>
      <c r="V38" s="192"/>
      <c r="W38" s="193">
        <f t="shared" si="12"/>
        <v>100.00000000000053</v>
      </c>
      <c r="X38" s="194"/>
      <c r="Y38" s="302"/>
      <c r="Z38" s="336"/>
      <c r="AA38" s="336"/>
      <c r="AB38" s="496"/>
      <c r="AC38" s="496"/>
      <c r="AD38" s="192"/>
      <c r="AE38" s="192"/>
      <c r="AF38" s="313">
        <f>N38-K38</f>
        <v>-72.400000000008504</v>
      </c>
      <c r="AG38" s="195">
        <f>N38/K38</f>
        <v>0.95775962660442915</v>
      </c>
      <c r="AH38" s="484">
        <f>AG48</f>
        <v>0.92077611940297899</v>
      </c>
    </row>
    <row r="39" spans="1:34" ht="15" customHeight="1">
      <c r="A39" s="492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1924</v>
      </c>
      <c r="H39" s="91">
        <f>F39*G39</f>
        <v>85233.2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16</v>
      </c>
      <c r="N39" s="202">
        <f>G39/W39*60</f>
        <v>1442.9999999999877</v>
      </c>
      <c r="O39" s="203">
        <f>N39/M39</f>
        <v>90.187499999999233</v>
      </c>
      <c r="P39" s="97">
        <f>M39-J39</f>
        <v>-1</v>
      </c>
      <c r="Q39" s="98">
        <f>O39-L39</f>
        <v>-6.0477941176478254</v>
      </c>
      <c r="R39" s="99">
        <f>O39/L39</f>
        <v>0.93715617359412406</v>
      </c>
      <c r="S39" s="495"/>
      <c r="T39" s="20">
        <v>0.41319444444444398</v>
      </c>
      <c r="U39" s="20">
        <v>0.46875</v>
      </c>
      <c r="V39" s="92">
        <f>(T39-U38)*24*60</f>
        <v>14.999999999999307</v>
      </c>
      <c r="W39" s="205">
        <f t="shared" si="12"/>
        <v>80.000000000000682</v>
      </c>
      <c r="X39" s="22"/>
      <c r="Y39" s="84"/>
      <c r="Z39" s="90"/>
      <c r="AA39" s="90"/>
      <c r="AB39" s="487"/>
      <c r="AC39" s="487"/>
      <c r="AD39" s="200"/>
      <c r="AE39" s="200"/>
      <c r="AF39" s="314">
        <f>N39-K39</f>
        <v>-193.00000000001228</v>
      </c>
      <c r="AG39" s="206">
        <f>N39/K39</f>
        <v>0.88202933985329324</v>
      </c>
      <c r="AH39" s="485"/>
    </row>
    <row r="40" spans="1:34" ht="15" customHeight="1">
      <c r="A40" s="492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7"/>
      <c r="T40" s="20"/>
      <c r="U40" s="20"/>
      <c r="V40" s="92"/>
      <c r="W40" s="205">
        <f t="shared" si="12"/>
        <v>0</v>
      </c>
      <c r="X40" s="208"/>
      <c r="Y40" s="209"/>
      <c r="Z40" s="337"/>
      <c r="AA40" s="337"/>
      <c r="AB40" s="466"/>
      <c r="AC40" s="466"/>
      <c r="AD40" s="92"/>
      <c r="AE40" s="92"/>
      <c r="AF40" s="314">
        <f>N40-K40</f>
        <v>0</v>
      </c>
      <c r="AG40" s="206" t="e">
        <f>N40/K40</f>
        <v>#DIV/0!</v>
      </c>
      <c r="AH40" s="485"/>
    </row>
    <row r="41" spans="1:34" ht="15" customHeight="1">
      <c r="A41" s="49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7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466"/>
      <c r="AC41" s="466"/>
      <c r="AD41" s="92"/>
      <c r="AE41" s="92"/>
      <c r="AF41" s="314">
        <f>N41-K41</f>
        <v>0</v>
      </c>
      <c r="AG41" s="206" t="e">
        <f>N41/K41</f>
        <v>#DIV/0!</v>
      </c>
      <c r="AH41" s="485"/>
    </row>
    <row r="42" spans="1:34" ht="15" customHeight="1">
      <c r="A42" s="49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7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466"/>
      <c r="AC42" s="466"/>
      <c r="AD42" s="92"/>
      <c r="AE42" s="92"/>
      <c r="AF42" s="314"/>
      <c r="AG42" s="206"/>
      <c r="AH42" s="485"/>
    </row>
    <row r="43" spans="1:34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 thickBo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>
        <f t="shared" ref="J48:O48" si="24">AVERAGE(J38:J47)</f>
        <v>16</v>
      </c>
      <c r="K48" s="155">
        <f t="shared" si="24"/>
        <v>1675</v>
      </c>
      <c r="L48" s="158">
        <f t="shared" si="24"/>
        <v>105.25098039215686</v>
      </c>
      <c r="M48" s="155">
        <f t="shared" si="24"/>
        <v>15.5</v>
      </c>
      <c r="N48" s="155">
        <f t="shared" si="24"/>
        <v>1542.2999999999897</v>
      </c>
      <c r="O48" s="158">
        <f t="shared" si="24"/>
        <v>99.813749999999331</v>
      </c>
      <c r="P48" s="221">
        <f>M48-J48</f>
        <v>-0.5</v>
      </c>
      <c r="Q48" s="222">
        <f>N48-K48</f>
        <v>-132.70000000001028</v>
      </c>
      <c r="R48" s="223">
        <f>O48/L48</f>
        <v>0.94834033496031256</v>
      </c>
      <c r="S48" s="420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67"/>
      <c r="AC48" s="467"/>
      <c r="AD48" s="323">
        <f>SUM(AD38:AD47)</f>
        <v>0</v>
      </c>
      <c r="AE48" s="323">
        <f>SUM(AE38:AE47)</f>
        <v>0</v>
      </c>
      <c r="AF48" s="315">
        <f t="shared" ref="AF48:AF53" si="25">N48-K48</f>
        <v>-132.70000000001028</v>
      </c>
      <c r="AG48" s="162">
        <f t="shared" ref="AG48:AG53" si="26">N48/K48</f>
        <v>0.92077611940297899</v>
      </c>
      <c r="AH48" s="486"/>
    </row>
    <row r="49" spans="1:34" ht="15" customHeight="1">
      <c r="A49" s="488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2045</v>
      </c>
      <c r="H49" s="134">
        <f>F49*G49</f>
        <v>101268.40000000001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1680.8219178082343</v>
      </c>
      <c r="O49" s="141">
        <f>N49/M49</f>
        <v>98.871877518131427</v>
      </c>
      <c r="P49" s="229">
        <f>M49-J49</f>
        <v>0</v>
      </c>
      <c r="Q49" s="230">
        <f>O49-L49</f>
        <v>-7.0104754230450368</v>
      </c>
      <c r="R49" s="52">
        <f>O49/L49</f>
        <v>0.93378995433790801</v>
      </c>
      <c r="S49" s="416">
        <f>R58</f>
        <v>0.93730345186224429</v>
      </c>
      <c r="T49" s="191">
        <v>0.29166666666666702</v>
      </c>
      <c r="U49" s="191">
        <v>0.34236111111111101</v>
      </c>
      <c r="V49" s="55"/>
      <c r="W49" s="193">
        <f t="shared" si="12"/>
        <v>72.999999999999346</v>
      </c>
      <c r="X49" s="55"/>
      <c r="Y49" s="290"/>
      <c r="Z49" s="169"/>
      <c r="AA49" s="169"/>
      <c r="AB49" s="468"/>
      <c r="AC49" s="468"/>
      <c r="AD49" s="135"/>
      <c r="AE49" s="135"/>
      <c r="AF49" s="229">
        <f t="shared" si="25"/>
        <v>-119.17808219176572</v>
      </c>
      <c r="AG49" s="52">
        <f t="shared" si="26"/>
        <v>0.9337899543379079</v>
      </c>
      <c r="AH49" s="461">
        <f>AG58</f>
        <v>0.9378457050306086</v>
      </c>
    </row>
    <row r="50" spans="1:34" ht="15" customHeight="1">
      <c r="A50" s="489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2832</v>
      </c>
      <c r="H50" s="231">
        <f>F50*G50</f>
        <v>141515.04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1618.2857142857065</v>
      </c>
      <c r="O50" s="235">
        <f>N50/M50</f>
        <v>101.14285714285666</v>
      </c>
      <c r="P50" s="74">
        <f>M50-J50</f>
        <v>0</v>
      </c>
      <c r="Q50" s="83">
        <f>O50-L50</f>
        <v>-11.357142857143344</v>
      </c>
      <c r="R50" s="72">
        <f>O50/L50</f>
        <v>0.89904761904761477</v>
      </c>
      <c r="S50" s="417"/>
      <c r="T50" s="21">
        <v>0.34722222222222199</v>
      </c>
      <c r="U50" s="21">
        <v>0.42013888888888901</v>
      </c>
      <c r="V50" s="30">
        <f>(T50-U49)*24*60</f>
        <v>6.9999999999998153</v>
      </c>
      <c r="W50" s="236">
        <f t="shared" si="12"/>
        <v>105.00000000000051</v>
      </c>
      <c r="X50" s="22"/>
      <c r="Y50" s="84"/>
      <c r="Z50" s="90"/>
      <c r="AA50" s="90"/>
      <c r="AB50" s="466"/>
      <c r="AC50" s="466"/>
      <c r="AD50" s="92"/>
      <c r="AE50" s="92"/>
      <c r="AF50" s="307">
        <f t="shared" si="25"/>
        <v>-181.71428571429351</v>
      </c>
      <c r="AG50" s="72">
        <f t="shared" si="26"/>
        <v>0.89904761904761477</v>
      </c>
      <c r="AH50" s="462"/>
    </row>
    <row r="51" spans="1:34" ht="15" customHeight="1">
      <c r="A51" s="489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1532</v>
      </c>
      <c r="H51" s="231">
        <f>F51*G51</f>
        <v>77042.748000000007</v>
      </c>
      <c r="I51" s="232"/>
      <c r="J51" s="79">
        <v>17</v>
      </c>
      <c r="K51" s="80">
        <f>VLOOKUP(D51,產線配置圖!$A$3:$C$40,3,0)</f>
        <v>1565</v>
      </c>
      <c r="L51" s="81">
        <f>K51/J51</f>
        <v>92.058823529411768</v>
      </c>
      <c r="M51" s="233">
        <v>17</v>
      </c>
      <c r="N51" s="234">
        <f>G51/W51*60</f>
        <v>1506.8852459016427</v>
      </c>
      <c r="O51" s="235">
        <f>N51/M51</f>
        <v>88.640308582449578</v>
      </c>
      <c r="P51" s="74">
        <f>M51-J51</f>
        <v>0</v>
      </c>
      <c r="Q51" s="83">
        <f>O51-L51</f>
        <v>-3.4185149469621905</v>
      </c>
      <c r="R51" s="72">
        <f>O51/L51</f>
        <v>0.96286597182213596</v>
      </c>
      <c r="S51" s="417"/>
      <c r="T51" s="21">
        <v>0.42638888888888898</v>
      </c>
      <c r="U51" s="19">
        <v>0.46875</v>
      </c>
      <c r="V51" s="30">
        <f>(T51-U50)*24*60</f>
        <v>8.999999999999968</v>
      </c>
      <c r="W51" s="236">
        <f t="shared" si="12"/>
        <v>60.999999999999865</v>
      </c>
      <c r="X51" s="22"/>
      <c r="Y51" s="84"/>
      <c r="Z51" s="90"/>
      <c r="AA51" s="90"/>
      <c r="AB51" s="466"/>
      <c r="AC51" s="466"/>
      <c r="AD51" s="92"/>
      <c r="AE51" s="92"/>
      <c r="AF51" s="307">
        <f t="shared" si="25"/>
        <v>-58.114754098357253</v>
      </c>
      <c r="AG51" s="72">
        <f t="shared" si="26"/>
        <v>0.96286597182213596</v>
      </c>
      <c r="AH51" s="462"/>
    </row>
    <row r="52" spans="1:34" ht="15" customHeight="1">
      <c r="A52" s="489"/>
      <c r="B52" s="75" t="s">
        <v>81</v>
      </c>
      <c r="C52" s="86"/>
      <c r="D52" s="59" t="s">
        <v>121</v>
      </c>
      <c r="E52" s="87"/>
      <c r="F52" s="75">
        <f>VLOOKUP(D52,廠價表!$C$1:$E$43,3,0)</f>
        <v>50.289000000000001</v>
      </c>
      <c r="G52" s="202">
        <v>1789</v>
      </c>
      <c r="H52" s="231">
        <f t="shared" ref="H52:H53" si="27">F52*G52</f>
        <v>89967.021000000008</v>
      </c>
      <c r="I52" s="232"/>
      <c r="J52" s="79">
        <v>17</v>
      </c>
      <c r="K52" s="80">
        <f>VLOOKUP(D52,產線配置圖!$A$3:$C$40,3,0)</f>
        <v>1565</v>
      </c>
      <c r="L52" s="81">
        <f t="shared" ref="L52:L53" si="28">K52/J52</f>
        <v>92.058823529411768</v>
      </c>
      <c r="M52" s="233">
        <v>17</v>
      </c>
      <c r="N52" s="234">
        <f t="shared" ref="N52:N53" si="29">G52/W52*60</f>
        <v>1511.8309859155015</v>
      </c>
      <c r="O52" s="235">
        <f t="shared" ref="O52:O53" si="30">N52/M52</f>
        <v>88.931234465617734</v>
      </c>
      <c r="P52" s="74">
        <f t="shared" ref="P52:P53" si="31">M52-J52</f>
        <v>0</v>
      </c>
      <c r="Q52" s="83">
        <f t="shared" ref="Q52:Q53" si="32">O52-L52</f>
        <v>-3.1275890637940336</v>
      </c>
      <c r="R52" s="72">
        <f t="shared" ref="R52:R53" si="33">O52/L52</f>
        <v>0.96602618908338744</v>
      </c>
      <c r="S52" s="417"/>
      <c r="T52" s="21">
        <v>0.52916666666666701</v>
      </c>
      <c r="U52" s="21">
        <v>0.57847222222222228</v>
      </c>
      <c r="V52" s="30">
        <f>(T52-U51)*24*60</f>
        <v>87.000000000000483</v>
      </c>
      <c r="W52" s="236">
        <f t="shared" si="12"/>
        <v>70.999999999999588</v>
      </c>
      <c r="X52" s="22"/>
      <c r="Y52" s="84"/>
      <c r="Z52" s="90"/>
      <c r="AA52" s="90"/>
      <c r="AB52" s="466"/>
      <c r="AC52" s="466"/>
      <c r="AD52" s="92"/>
      <c r="AE52" s="92"/>
      <c r="AF52" s="307">
        <f t="shared" si="25"/>
        <v>-53.169014084498485</v>
      </c>
      <c r="AG52" s="72">
        <f t="shared" si="26"/>
        <v>0.96602618908338755</v>
      </c>
      <c r="AH52" s="462"/>
    </row>
    <row r="53" spans="1:34" ht="15" customHeight="1">
      <c r="A53" s="489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841</v>
      </c>
      <c r="H53" s="231">
        <f t="shared" si="27"/>
        <v>42024.77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28"/>
        <v>112.5</v>
      </c>
      <c r="M53" s="108">
        <v>16</v>
      </c>
      <c r="N53" s="234">
        <f t="shared" si="29"/>
        <v>1682.0000000000061</v>
      </c>
      <c r="O53" s="235">
        <f t="shared" si="30"/>
        <v>105.12500000000038</v>
      </c>
      <c r="P53" s="74">
        <f t="shared" si="31"/>
        <v>0</v>
      </c>
      <c r="Q53" s="83">
        <f t="shared" si="32"/>
        <v>-7.3749999999996163</v>
      </c>
      <c r="R53" s="72">
        <f t="shared" si="33"/>
        <v>0.93444444444444785</v>
      </c>
      <c r="S53" s="417"/>
      <c r="T53" s="21">
        <v>0.58333333333333337</v>
      </c>
      <c r="U53" s="21">
        <v>0.60416666666666663</v>
      </c>
      <c r="V53" s="30">
        <f>(T53-U52)*24*60</f>
        <v>6.9999999999999751</v>
      </c>
      <c r="W53" s="236">
        <f t="shared" si="12"/>
        <v>29.999999999999893</v>
      </c>
      <c r="X53" s="30"/>
      <c r="Y53" s="151"/>
      <c r="Z53" s="90"/>
      <c r="AA53" s="90"/>
      <c r="AB53" s="466"/>
      <c r="AC53" s="466"/>
      <c r="AD53" s="92"/>
      <c r="AE53" s="92"/>
      <c r="AF53" s="307">
        <f t="shared" si="25"/>
        <v>-117.99999999999386</v>
      </c>
      <c r="AG53" s="72">
        <f t="shared" si="26"/>
        <v>0.93444444444444785</v>
      </c>
      <c r="AH53" s="462"/>
    </row>
    <row r="54" spans="1:34" ht="15" customHeight="1">
      <c r="A54" s="48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7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 thickBot="1">
      <c r="A58" s="490"/>
      <c r="B58" s="239"/>
      <c r="C58" s="153" t="s">
        <v>51</v>
      </c>
      <c r="D58" s="437" t="s">
        <v>42</v>
      </c>
      <c r="E58" s="437"/>
      <c r="F58" s="116"/>
      <c r="G58" s="240"/>
      <c r="H58" s="118"/>
      <c r="I58" s="117"/>
      <c r="J58" s="120">
        <f t="shared" ref="J58:O58" si="34">AVERAGE(J49:J57)</f>
        <v>16.600000000000001</v>
      </c>
      <c r="K58" s="120">
        <f t="shared" si="34"/>
        <v>1706</v>
      </c>
      <c r="L58" s="117">
        <f t="shared" si="34"/>
        <v>103</v>
      </c>
      <c r="M58" s="120">
        <f t="shared" si="34"/>
        <v>16.600000000000001</v>
      </c>
      <c r="N58" s="120">
        <f t="shared" si="34"/>
        <v>1599.9647727822182</v>
      </c>
      <c r="O58" s="117">
        <f t="shared" si="34"/>
        <v>96.542255541811159</v>
      </c>
      <c r="P58" s="121">
        <f>M58-J58</f>
        <v>0</v>
      </c>
      <c r="Q58" s="122">
        <f>N58-K58</f>
        <v>-106.03522721778177</v>
      </c>
      <c r="R58" s="123">
        <f>O58/L58</f>
        <v>0.93730345186224429</v>
      </c>
      <c r="S58" s="42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7"/>
      <c r="AC58" s="467"/>
      <c r="AD58" s="323">
        <f>SUM(AD49:AD57)</f>
        <v>0</v>
      </c>
      <c r="AE58" s="323">
        <f>SUM(AE49:AE57)</f>
        <v>0</v>
      </c>
      <c r="AF58" s="309">
        <f>N58-K58</f>
        <v>-106.03522721778177</v>
      </c>
      <c r="AG58" s="124">
        <f>N58/K58</f>
        <v>0.9378457050306086</v>
      </c>
      <c r="AH58" s="464"/>
    </row>
    <row r="59" spans="1:34" ht="15" customHeight="1">
      <c r="A59" s="502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3495</v>
      </c>
      <c r="H59" s="243">
        <f>F59*G59</f>
        <v>94330.049999999988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1553.3333333333333</v>
      </c>
      <c r="O59" s="138">
        <f>N59/M59</f>
        <v>103.55555555555556</v>
      </c>
      <c r="P59" s="56">
        <f>M59-J59</f>
        <v>0</v>
      </c>
      <c r="Q59" s="230">
        <f>O59-L59</f>
        <v>-0.77777777777777146</v>
      </c>
      <c r="R59" s="52">
        <f>O59/L59</f>
        <v>0.99254526091586803</v>
      </c>
      <c r="S59" s="416">
        <f>R69</f>
        <v>0.95667044645434629</v>
      </c>
      <c r="T59" s="245">
        <v>0.29166666666666702</v>
      </c>
      <c r="U59" s="245">
        <v>0.38541666666666702</v>
      </c>
      <c r="V59" s="55"/>
      <c r="W59" s="54">
        <f t="shared" si="12"/>
        <v>135</v>
      </c>
      <c r="X59" s="55"/>
      <c r="Y59" s="290"/>
      <c r="Z59" s="169"/>
      <c r="AA59" s="169"/>
      <c r="AB59" s="468"/>
      <c r="AC59" s="468"/>
      <c r="AD59" s="135"/>
      <c r="AE59" s="135"/>
      <c r="AF59" s="310">
        <f>N59-K59</f>
        <v>-11.666666666666742</v>
      </c>
      <c r="AG59" s="246">
        <f>N59/K59</f>
        <v>0.99254526091586792</v>
      </c>
      <c r="AH59" s="461">
        <f>AG69</f>
        <v>0.9588215615625475</v>
      </c>
    </row>
    <row r="60" spans="1:34" ht="15" customHeight="1">
      <c r="A60" s="503"/>
      <c r="B60" s="75" t="s">
        <v>81</v>
      </c>
      <c r="C60" s="86"/>
      <c r="D60" s="175" t="s">
        <v>119</v>
      </c>
      <c r="E60" s="87"/>
      <c r="F60" s="75">
        <f>VLOOKUP(D60,廠價表!$C$1:$E$43,3,0)</f>
        <v>50.67</v>
      </c>
      <c r="G60" s="30">
        <v>1586</v>
      </c>
      <c r="H60" s="78">
        <f>F60*G60</f>
        <v>80362.62000000001</v>
      </c>
      <c r="I60" s="30"/>
      <c r="J60" s="79">
        <f>VLOOKUP(D60,產線配置圖!$A$3:$C$40,2,0)</f>
        <v>13</v>
      </c>
      <c r="K60" s="80">
        <f>VLOOKUP(D60,產線配置圖!$A$3:$C$40,3,0)</f>
        <v>1440</v>
      </c>
      <c r="L60" s="81">
        <f>K60/J60</f>
        <v>110.76923076923077</v>
      </c>
      <c r="M60" s="82">
        <v>13</v>
      </c>
      <c r="N60" s="80">
        <f>G60/W60*60</f>
        <v>1359.4285714285622</v>
      </c>
      <c r="O60" s="81">
        <f>N60/M60</f>
        <v>104.57142857142786</v>
      </c>
      <c r="P60" s="74">
        <f>M60-J60</f>
        <v>0</v>
      </c>
      <c r="Q60" s="83">
        <f>O60-L60</f>
        <v>-6.1978021978029147</v>
      </c>
      <c r="R60" s="72">
        <f>O60/L60</f>
        <v>0.94404761904761259</v>
      </c>
      <c r="S60" s="506"/>
      <c r="T60" s="22">
        <v>0.39583333333333298</v>
      </c>
      <c r="U60" s="22">
        <v>0.44444444444444442</v>
      </c>
      <c r="V60" s="30">
        <f>(T60-U59)*24*60</f>
        <v>14.999999999998987</v>
      </c>
      <c r="W60" s="248">
        <f t="shared" si="12"/>
        <v>70.000000000000469</v>
      </c>
      <c r="X60" s="232"/>
      <c r="Y60" s="177"/>
      <c r="Z60" s="90"/>
      <c r="AA60" s="90"/>
      <c r="AB60" s="466"/>
      <c r="AC60" s="466"/>
      <c r="AD60" s="92"/>
      <c r="AE60" s="92"/>
      <c r="AF60" s="316">
        <f>N60-K60</f>
        <v>-80.571428571437764</v>
      </c>
      <c r="AG60" s="249">
        <f>N60/K60</f>
        <v>0.9440476190476127</v>
      </c>
      <c r="AH60" s="497"/>
    </row>
    <row r="61" spans="1:34" ht="15" customHeight="1">
      <c r="A61" s="504"/>
      <c r="B61" s="250" t="s">
        <v>130</v>
      </c>
      <c r="C61" s="251"/>
      <c r="D61" s="252" t="s">
        <v>132</v>
      </c>
      <c r="E61" s="253"/>
      <c r="F61" s="250">
        <f>VLOOKUP(D61,廠價表!$C$1:$E$43,3,0)</f>
        <v>28.26</v>
      </c>
      <c r="G61" s="38">
        <v>2326</v>
      </c>
      <c r="H61" s="254">
        <f>F61*G61</f>
        <v>65732.760000000009</v>
      </c>
      <c r="I61" s="182"/>
      <c r="J61" s="106">
        <f>VLOOKUP(D61,產線配置圖!$A$3:$C$40,2,0)</f>
        <v>12</v>
      </c>
      <c r="K61" s="107">
        <f>VLOOKUP(D61,產線配置圖!$A$3:$C$40,3,0)</f>
        <v>1565</v>
      </c>
      <c r="L61" s="238">
        <f>K61/J61</f>
        <v>130.41666666666666</v>
      </c>
      <c r="M61" s="108">
        <v>12</v>
      </c>
      <c r="N61" s="107">
        <f>G61/W61*60</f>
        <v>1469.0526315789464</v>
      </c>
      <c r="O61" s="238">
        <f>N61/M61</f>
        <v>122.42105263157886</v>
      </c>
      <c r="P61" s="111">
        <f>M61-J61</f>
        <v>0</v>
      </c>
      <c r="Q61" s="255">
        <f>O61-L61</f>
        <v>-7.9956140350877973</v>
      </c>
      <c r="R61" s="85">
        <f>O61/L61</f>
        <v>0.93869177736673892</v>
      </c>
      <c r="S61" s="417"/>
      <c r="T61" s="22">
        <v>0.4513888888888889</v>
      </c>
      <c r="U61" s="22">
        <v>0.51736111111111116</v>
      </c>
      <c r="V61" s="30">
        <f>(T61-U60)*24*60</f>
        <v>10.000000000000044</v>
      </c>
      <c r="W61" s="256">
        <f t="shared" si="12"/>
        <v>95.000000000000057</v>
      </c>
      <c r="X61" s="22"/>
      <c r="Y61" s="84"/>
      <c r="Z61" s="90"/>
      <c r="AA61" s="90"/>
      <c r="AB61" s="466"/>
      <c r="AC61" s="466"/>
      <c r="AD61" s="92"/>
      <c r="AE61" s="92"/>
      <c r="AF61" s="317">
        <f>N61-K61</f>
        <v>-95.947368421053625</v>
      </c>
      <c r="AG61" s="247">
        <f>N61/K61</f>
        <v>0.93869177736673892</v>
      </c>
      <c r="AH61" s="462"/>
    </row>
    <row r="62" spans="1:34" ht="15" customHeight="1">
      <c r="A62" s="504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7"/>
      <c r="T62" s="22"/>
      <c r="U62" s="22"/>
      <c r="V62" s="30"/>
      <c r="W62" s="248">
        <f t="shared" si="12"/>
        <v>0</v>
      </c>
      <c r="X62" s="22"/>
      <c r="Y62" s="84"/>
      <c r="Z62" s="90"/>
      <c r="AA62" s="90"/>
      <c r="AB62" s="466"/>
      <c r="AC62" s="466"/>
      <c r="AD62" s="92"/>
      <c r="AE62" s="92"/>
      <c r="AF62" s="317">
        <f>N62-K62</f>
        <v>0</v>
      </c>
      <c r="AG62" s="247" t="e">
        <f>N62/K62</f>
        <v>#DIV/0!</v>
      </c>
      <c r="AH62" s="462"/>
    </row>
    <row r="63" spans="1:34" ht="15" customHeight="1">
      <c r="A63" s="504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7"/>
      <c r="T63" s="22"/>
      <c r="U63" s="22"/>
      <c r="V63" s="30"/>
      <c r="W63" s="248">
        <f t="shared" si="12"/>
        <v>0</v>
      </c>
      <c r="X63" s="261"/>
      <c r="Y63" s="291"/>
      <c r="Z63" s="335"/>
      <c r="AA63" s="335"/>
      <c r="AB63" s="466"/>
      <c r="AC63" s="466"/>
      <c r="AD63" s="92"/>
      <c r="AE63" s="92"/>
      <c r="AF63" s="317"/>
      <c r="AG63" s="247"/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 thickBo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>
        <f t="shared" ref="J69:O69" si="35">AVERAGE(J59:J68)</f>
        <v>13.333333333333334</v>
      </c>
      <c r="K69" s="240">
        <f t="shared" si="35"/>
        <v>1523.3333333333333</v>
      </c>
      <c r="L69" s="268">
        <f t="shared" si="35"/>
        <v>115.17307692307691</v>
      </c>
      <c r="M69" s="240">
        <f t="shared" si="35"/>
        <v>13.333333333333334</v>
      </c>
      <c r="N69" s="240">
        <f t="shared" si="35"/>
        <v>1460.6048454469474</v>
      </c>
      <c r="O69" s="268">
        <f t="shared" si="35"/>
        <v>110.18267891952075</v>
      </c>
      <c r="P69" s="269">
        <f>M69-J69</f>
        <v>0</v>
      </c>
      <c r="Q69" s="222">
        <f>N69-K69</f>
        <v>-62.728487886385892</v>
      </c>
      <c r="R69" s="123">
        <f>O69/L69</f>
        <v>0.95667044645434629</v>
      </c>
      <c r="S69" s="42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7"/>
      <c r="AC69" s="467"/>
      <c r="AD69" s="323">
        <f>SUM(AD59:AD68)</f>
        <v>0</v>
      </c>
      <c r="AE69" s="323">
        <f>SUM(AE59:AE68)</f>
        <v>0</v>
      </c>
      <c r="AF69" s="309">
        <f>N69-K69</f>
        <v>-62.728487886385892</v>
      </c>
      <c r="AG69" s="124">
        <f>N69/K69</f>
        <v>0.9588215615625475</v>
      </c>
      <c r="AH69" s="464"/>
    </row>
    <row r="70" spans="1:36" ht="15" customHeight="1">
      <c r="A70" s="498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6">
        <f>R79</f>
        <v>0</v>
      </c>
      <c r="T70" s="245"/>
      <c r="U70" s="245"/>
      <c r="V70" s="55"/>
      <c r="W70" s="54">
        <f t="shared" si="12"/>
        <v>0</v>
      </c>
      <c r="X70" s="270"/>
      <c r="Y70" s="292"/>
      <c r="Z70" s="169"/>
      <c r="AA70" s="169"/>
      <c r="AB70" s="468"/>
      <c r="AC70" s="468"/>
      <c r="AD70" s="135"/>
      <c r="AE70" s="135"/>
      <c r="AF70" s="310">
        <f>N70-K70</f>
        <v>0</v>
      </c>
      <c r="AG70" s="246" t="e">
        <f>N70/K70</f>
        <v>#DIV/0!</v>
      </c>
      <c r="AH70" s="461" t="e">
        <f>AG79</f>
        <v>#DIV/0!</v>
      </c>
    </row>
    <row r="71" spans="1:36" ht="15" customHeight="1">
      <c r="A71" s="499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7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487"/>
      <c r="AC71" s="487"/>
      <c r="AD71" s="200"/>
      <c r="AE71" s="200"/>
      <c r="AF71" s="311">
        <v>-300.31249999999704</v>
      </c>
      <c r="AG71" s="99">
        <v>0.80810702875399554</v>
      </c>
      <c r="AH71" s="482"/>
    </row>
    <row r="72" spans="1:36" ht="15" customHeight="1">
      <c r="A72" s="499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7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466"/>
      <c r="AC72" s="466"/>
      <c r="AD72" s="92"/>
      <c r="AE72" s="92"/>
      <c r="AF72" s="311">
        <v>-130.33333333333326</v>
      </c>
      <c r="AG72" s="99">
        <v>0.91671991480298198</v>
      </c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466"/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 thickBot="1">
      <c r="A79" s="500"/>
      <c r="B79" s="239"/>
      <c r="C79" s="153"/>
      <c r="D79" s="437"/>
      <c r="E79" s="437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77:AC77"/>
    <mergeCell ref="AB78:AC7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B8:AC8"/>
    <mergeCell ref="AB9:AC9"/>
    <mergeCell ref="AB10:AC10"/>
    <mergeCell ref="AB11:AC11"/>
    <mergeCell ref="AB12:AC12"/>
    <mergeCell ref="AB13:AC13"/>
    <mergeCell ref="AD3:AE3"/>
    <mergeCell ref="AF3:AF4"/>
    <mergeCell ref="AG3:AG4"/>
    <mergeCell ref="AH3:AH4"/>
    <mergeCell ref="A5:A15"/>
    <mergeCell ref="S5:S15"/>
    <mergeCell ref="AB5:AC5"/>
    <mergeCell ref="AH5:AH15"/>
    <mergeCell ref="AB6:AC6"/>
    <mergeCell ref="AB7:AC7"/>
    <mergeCell ref="T3:U3"/>
    <mergeCell ref="V3:V4"/>
    <mergeCell ref="W3:W4"/>
    <mergeCell ref="X3:Y3"/>
    <mergeCell ref="Z3:AA3"/>
    <mergeCell ref="AB3:AC4"/>
    <mergeCell ref="N3:N4"/>
    <mergeCell ref="O3:O4"/>
    <mergeCell ref="P3:P4"/>
    <mergeCell ref="Q3:Q4"/>
    <mergeCell ref="R3:R4"/>
    <mergeCell ref="S3:S4"/>
    <mergeCell ref="H3:H4"/>
    <mergeCell ref="I3:I4"/>
    <mergeCell ref="J3:J4"/>
    <mergeCell ref="K3:K4"/>
    <mergeCell ref="L3:L4"/>
    <mergeCell ref="M3:M4"/>
    <mergeCell ref="A2:B2"/>
    <mergeCell ref="A3:A4"/>
    <mergeCell ref="B3:B4"/>
    <mergeCell ref="D3:E4"/>
    <mergeCell ref="F3:F4"/>
    <mergeCell ref="G3:G4"/>
    <mergeCell ref="J1:L2"/>
    <mergeCell ref="M1:O2"/>
    <mergeCell ref="P1:S2"/>
    <mergeCell ref="T1:Y2"/>
    <mergeCell ref="AB1:AC2"/>
    <mergeCell ref="AF1:AH2"/>
  </mergeCells>
  <phoneticPr fontId="33" type="noConversion"/>
  <conditionalFormatting sqref="P5:P79">
    <cfRule type="cellIs" dxfId="135" priority="1" operator="greaterThan">
      <formula>0</formula>
    </cfRule>
  </conditionalFormatting>
  <conditionalFormatting sqref="AF5:AF79 Q5:Q79">
    <cfRule type="cellIs" dxfId="134" priority="4" operator="lessThan">
      <formula>0</formula>
    </cfRule>
  </conditionalFormatting>
  <conditionalFormatting sqref="AG5:AG79 R5:R79">
    <cfRule type="cellIs" dxfId="133" priority="2" operator="greaterThan">
      <formula>1</formula>
    </cfRule>
    <cfRule type="cellIs" dxfId="132" priority="3" operator="lessThan">
      <formula>0.8</formula>
    </cfRule>
  </conditionalFormatting>
  <conditionalFormatting sqref="S5:S10 S37:S62 AH59:AH62 S69:S76 AH69:AH76">
    <cfRule type="cellIs" dxfId="131" priority="7" operator="lessThan">
      <formula>0.8</formula>
    </cfRule>
  </conditionalFormatting>
  <conditionalFormatting sqref="S19:S25 AH19:AH25">
    <cfRule type="cellIs" dxfId="130" priority="6" operator="lessThan">
      <formula>0.8</formula>
    </cfRule>
  </conditionalFormatting>
  <conditionalFormatting sqref="S79">
    <cfRule type="cellIs" dxfId="129" priority="5" operator="lessThan">
      <formula>0.8</formula>
    </cfRule>
  </conditionalFormatting>
  <conditionalFormatting sqref="AH5:AH8 S15:S16 AH15:AH16 AH49 AH79">
    <cfRule type="cellIs" dxfId="128" priority="9" operator="lessThan">
      <formula>0.8</formula>
    </cfRule>
  </conditionalFormatting>
  <conditionalFormatting sqref="AH27 S27:S28">
    <cfRule type="cellIs" dxfId="127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517002-50A9-4659-8D30-460D7D3684DA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F1C1E-7A14-422C-9D40-13865F5D87D5}">
  <dimension ref="B1:O26"/>
  <sheetViews>
    <sheetView topLeftCell="A5" zoomScale="70" zoomScaleNormal="70" workbookViewId="0">
      <selection activeCell="AA61" sqref="AA6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46164</v>
      </c>
      <c r="E3" s="412"/>
      <c r="F3" s="3" t="s">
        <v>72</v>
      </c>
      <c r="G3" s="413">
        <f>'0522'!E1</f>
        <v>41415</v>
      </c>
      <c r="H3" s="413"/>
      <c r="I3" s="3" t="s">
        <v>2</v>
      </c>
      <c r="J3" s="414">
        <f>'0522'!G1</f>
        <v>2003505.9490000005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>
        <f>AVERAGE(D13:I13)</f>
        <v>120.32058674159423</v>
      </c>
      <c r="G6" s="410"/>
      <c r="H6" s="395">
        <f>AVERAGE(D13:H13)</f>
        <v>121.89207588478487</v>
      </c>
      <c r="I6" s="395"/>
      <c r="J6" s="395">
        <f>AVERAGE(I13)</f>
        <v>112.46314102564101</v>
      </c>
      <c r="K6" s="395"/>
      <c r="L6" s="396">
        <f>SUM(D18:J18)</f>
        <v>2</v>
      </c>
      <c r="M6" s="398">
        <f>SUM(D19:J19)</f>
        <v>12</v>
      </c>
      <c r="N6" s="399">
        <f>SUM(D20:J20)</f>
        <v>0</v>
      </c>
      <c r="O6" s="398">
        <f>SUM(D20:J20)</f>
        <v>0</v>
      </c>
    </row>
    <row r="7" spans="2:15" ht="39.6" customHeight="1">
      <c r="B7" s="406"/>
      <c r="C7" s="406"/>
      <c r="D7" s="401" t="s">
        <v>87</v>
      </c>
      <c r="E7" s="401"/>
      <c r="F7" s="402">
        <f>AVERAGE(D14:I14)</f>
        <v>108.95018884853441</v>
      </c>
      <c r="G7" s="402"/>
      <c r="H7" s="403">
        <f>AVERAGE(D14:H14)</f>
        <v>111.84362659081766</v>
      </c>
      <c r="I7" s="403"/>
      <c r="J7" s="403">
        <f>AVERAGE(I14)</f>
        <v>94.483000137118083</v>
      </c>
      <c r="K7" s="403"/>
      <c r="L7" s="397" t="e">
        <f t="shared" ref="L7:O8" si="0">AVERAGE(K14:L14)</f>
        <v>#DIV/0!</v>
      </c>
      <c r="M7" s="398" t="e">
        <f t="shared" si="0"/>
        <v>#DIV/0!</v>
      </c>
      <c r="N7" s="400" t="e">
        <f t="shared" si="0"/>
        <v>#DIV/0!</v>
      </c>
      <c r="O7" s="398" t="e">
        <f t="shared" si="0"/>
        <v>#DIV/0!</v>
      </c>
    </row>
    <row r="8" spans="2:15" ht="39.6" customHeight="1">
      <c r="B8" s="406"/>
      <c r="C8" s="406"/>
      <c r="D8" s="401" t="s">
        <v>27</v>
      </c>
      <c r="E8" s="401"/>
      <c r="F8" s="387">
        <f>F7/F6</f>
        <v>0.90549914855818159</v>
      </c>
      <c r="G8" s="387"/>
      <c r="H8" s="387">
        <f>H7/H6</f>
        <v>0.91756273555087187</v>
      </c>
      <c r="I8" s="387"/>
      <c r="J8" s="387">
        <f>J7/J6</f>
        <v>0.84012414445703998</v>
      </c>
      <c r="K8" s="387"/>
      <c r="L8" s="397" t="e">
        <f t="shared" si="0"/>
        <v>#DIV/0!</v>
      </c>
      <c r="M8" s="398" t="e">
        <f t="shared" si="0"/>
        <v>#DIV/0!</v>
      </c>
      <c r="N8" s="400" t="e">
        <f t="shared" si="0"/>
        <v>#DIV/0!</v>
      </c>
      <c r="O8" s="398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>
        <f>VALUE('0522'!L15)</f>
        <v>150</v>
      </c>
      <c r="E13" s="13">
        <f>VALUE('0522'!L26)</f>
        <v>161.26373626373626</v>
      </c>
      <c r="F13" s="13">
        <f>VALUE('0522'!L37)</f>
        <v>95.089052287581708</v>
      </c>
      <c r="G13" s="13">
        <f>VALUE('0522'!L48)</f>
        <v>105.25098039215686</v>
      </c>
      <c r="H13" s="13">
        <f>VALUE('0522'!L58)</f>
        <v>97.85661048044949</v>
      </c>
      <c r="I13" s="13">
        <f>VALUE('0522'!L69)</f>
        <v>112.46314102564101</v>
      </c>
      <c r="J13" s="13">
        <f>'0522'!L79</f>
        <v>0</v>
      </c>
    </row>
    <row r="14" spans="2:15" ht="39.950000000000003" customHeight="1">
      <c r="B14" s="381"/>
      <c r="C14" s="12" t="s">
        <v>100</v>
      </c>
      <c r="D14" s="13">
        <f>VALUE('0522'!O15)</f>
        <v>142.04339693228602</v>
      </c>
      <c r="E14" s="13">
        <f>VALUE('0522'!O26)</f>
        <v>149.07678219216709</v>
      </c>
      <c r="F14" s="13">
        <f>VALUE('0522'!O37)</f>
        <v>81.488123617464069</v>
      </c>
      <c r="G14" s="13">
        <f>VALUE('0522'!O48)</f>
        <v>98.278129713423766</v>
      </c>
      <c r="H14" s="13">
        <f>VALUE('0522'!O58)</f>
        <v>88.331700498747466</v>
      </c>
      <c r="I14" s="13">
        <f>VALUE('0522'!O69)</f>
        <v>94.483000137118083</v>
      </c>
      <c r="J14" s="13">
        <f>'0522'!O79</f>
        <v>0</v>
      </c>
    </row>
    <row r="15" spans="2:15" ht="39.950000000000003" customHeight="1">
      <c r="B15" s="382"/>
      <c r="C15" s="10" t="s">
        <v>26</v>
      </c>
      <c r="D15" s="14">
        <f t="shared" ref="D15:I15" si="1">D14/D13</f>
        <v>0.94695597954857347</v>
      </c>
      <c r="E15" s="14">
        <f t="shared" si="1"/>
        <v>0.92442842790372781</v>
      </c>
      <c r="F15" s="14">
        <f t="shared" si="1"/>
        <v>0.85696640840436822</v>
      </c>
      <c r="G15" s="14">
        <f t="shared" si="1"/>
        <v>0.93375025436577597</v>
      </c>
      <c r="H15" s="14">
        <f t="shared" si="1"/>
        <v>0.90266462393355651</v>
      </c>
      <c r="I15" s="14">
        <f t="shared" si="1"/>
        <v>0.84012414445703998</v>
      </c>
      <c r="J15" s="15">
        <f>'0522'!S70</f>
        <v>0</v>
      </c>
    </row>
    <row r="16" spans="2:15" ht="17.25" customHeight="1">
      <c r="B16" s="383" t="s">
        <v>101</v>
      </c>
      <c r="C16" s="10" t="s">
        <v>34</v>
      </c>
      <c r="D16" s="16">
        <f>'0522'!T5</f>
        <v>0.29166666666666702</v>
      </c>
      <c r="E16" s="16">
        <f>'0522'!T16</f>
        <v>0.29097222222222202</v>
      </c>
      <c r="F16" s="16">
        <f>'0522'!T27</f>
        <v>0.33333333333333298</v>
      </c>
      <c r="G16" s="16">
        <f>'0522'!T38</f>
        <v>0.33333333333333298</v>
      </c>
      <c r="H16" s="16">
        <f>'0522'!T49</f>
        <v>0.29166666666666702</v>
      </c>
      <c r="I16" s="16">
        <f>'0522'!T59</f>
        <v>0.29513888888888901</v>
      </c>
      <c r="J16" s="16">
        <f>'0522'!T70</f>
        <v>0</v>
      </c>
    </row>
    <row r="17" spans="2:10" ht="17.25" customHeight="1">
      <c r="B17" s="384"/>
      <c r="C17" s="10" t="s">
        <v>35</v>
      </c>
      <c r="D17" s="18">
        <v>0.4909722222222222</v>
      </c>
      <c r="E17" s="19">
        <v>0.4548611111111111</v>
      </c>
      <c r="F17" s="19">
        <v>0.58888888888888902</v>
      </c>
      <c r="G17" s="20">
        <v>0.44791666666666669</v>
      </c>
      <c r="H17" s="21">
        <v>0.60972222222222228</v>
      </c>
      <c r="I17" s="22">
        <v>0.58333333333333337</v>
      </c>
      <c r="J17" s="16">
        <f>'0522'!T71</f>
        <v>0</v>
      </c>
    </row>
    <row r="18" spans="2:10" ht="17.25" customHeight="1">
      <c r="B18" s="385" t="s">
        <v>102</v>
      </c>
      <c r="C18" s="330" t="s">
        <v>36</v>
      </c>
      <c r="D18" s="358">
        <f>'0522'!Z15</f>
        <v>0</v>
      </c>
      <c r="E18" s="359">
        <f>'0522'!Z26</f>
        <v>0</v>
      </c>
      <c r="F18" s="359">
        <f>'0522'!Z37</f>
        <v>1</v>
      </c>
      <c r="G18" s="360">
        <f>'0522'!Z48</f>
        <v>0</v>
      </c>
      <c r="H18" s="360">
        <f>'0522'!Z58</f>
        <v>0</v>
      </c>
      <c r="I18" s="359">
        <f>'0522'!Z69</f>
        <v>1</v>
      </c>
      <c r="J18" s="359">
        <f>'0522'!AA79</f>
        <v>0</v>
      </c>
    </row>
    <row r="19" spans="2:10" ht="17.25" customHeight="1">
      <c r="B19" s="386"/>
      <c r="C19" s="330" t="s">
        <v>37</v>
      </c>
      <c r="D19" s="358">
        <f>'0522'!AA15</f>
        <v>0</v>
      </c>
      <c r="E19" s="359">
        <f>'0522'!AA26</f>
        <v>0</v>
      </c>
      <c r="F19" s="359">
        <f>'0522'!AA37</f>
        <v>7</v>
      </c>
      <c r="G19" s="360">
        <f>'0522'!AA48</f>
        <v>0</v>
      </c>
      <c r="H19" s="360">
        <f>'0522'!AA58</f>
        <v>0</v>
      </c>
      <c r="I19" s="359">
        <f>'0522'!AA69</f>
        <v>5</v>
      </c>
      <c r="J19" s="359">
        <f>'0522'!AB79</f>
        <v>0</v>
      </c>
    </row>
    <row r="20" spans="2:10" ht="17.25" customHeight="1">
      <c r="B20" s="385" t="s">
        <v>103</v>
      </c>
      <c r="C20" s="330" t="s">
        <v>36</v>
      </c>
      <c r="D20" s="358">
        <f>'0522'!AD15</f>
        <v>0</v>
      </c>
      <c r="E20" s="359">
        <f>'0522'!AD26</f>
        <v>0</v>
      </c>
      <c r="F20" s="359">
        <f>'0522'!AD37</f>
        <v>0</v>
      </c>
      <c r="G20" s="360">
        <f>'0522'!AD48</f>
        <v>0</v>
      </c>
      <c r="H20" s="360">
        <f>'0522'!AD58</f>
        <v>0</v>
      </c>
      <c r="I20" s="359">
        <f>'0522'!AD69</f>
        <v>0</v>
      </c>
      <c r="J20" s="359">
        <f>'0522'!AD79</f>
        <v>0</v>
      </c>
    </row>
    <row r="21" spans="2:10" ht="17.25" customHeight="1">
      <c r="B21" s="386"/>
      <c r="C21" s="330" t="s">
        <v>85</v>
      </c>
      <c r="D21" s="358">
        <f>'0522'!AE15</f>
        <v>0</v>
      </c>
      <c r="E21" s="359">
        <f>'0522'!AE26</f>
        <v>0</v>
      </c>
      <c r="F21" s="359">
        <f>'0522'!AE37</f>
        <v>0</v>
      </c>
      <c r="G21" s="360">
        <f>'0522'!AE48</f>
        <v>0</v>
      </c>
      <c r="H21" s="360">
        <f>'0522'!AE58</f>
        <v>0</v>
      </c>
      <c r="I21" s="359">
        <f>'0522'!AE69</f>
        <v>0</v>
      </c>
      <c r="J21" s="359">
        <f>'0522'!AE79</f>
        <v>0</v>
      </c>
    </row>
    <row r="22" spans="2:10" ht="17.25" customHeight="1">
      <c r="B22" s="377" t="s">
        <v>104</v>
      </c>
      <c r="C22" s="378"/>
      <c r="D22" s="23">
        <f>VALUE('0522'!M15)</f>
        <v>15</v>
      </c>
      <c r="E22" s="23">
        <f>VALUE('0522'!M26)</f>
        <v>14</v>
      </c>
      <c r="F22" s="23">
        <f>VALUE('0522'!M37)</f>
        <v>17.25</v>
      </c>
      <c r="G22" s="23">
        <f>VALUE('0522'!M48)</f>
        <v>16</v>
      </c>
      <c r="H22" s="23">
        <f>VALUE('0522'!M58)</f>
        <v>17.166666666666668</v>
      </c>
      <c r="I22" s="23">
        <f>VALUE('0522'!M69)</f>
        <v>13.5</v>
      </c>
      <c r="J22" s="23">
        <f>'0522'!M79</f>
        <v>0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F8:G8"/>
    <mergeCell ref="H8:I8"/>
    <mergeCell ref="J8:K8"/>
    <mergeCell ref="B10:C10"/>
    <mergeCell ref="D10:J10"/>
    <mergeCell ref="B11:C12"/>
    <mergeCell ref="J6:K6"/>
    <mergeCell ref="L6:L8"/>
    <mergeCell ref="M6:M8"/>
    <mergeCell ref="N6:N8"/>
    <mergeCell ref="O6:O8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33" type="noConversion"/>
  <conditionalFormatting sqref="D15:J15">
    <cfRule type="cellIs" dxfId="126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FFC8D-1E01-4F7D-833B-440897AD30A1}">
  <sheetPr>
    <tabColor theme="9" tint="0.79998168889431442"/>
  </sheetPr>
  <dimension ref="A1:AJ92"/>
  <sheetViews>
    <sheetView zoomScale="69" zoomScaleNormal="69" workbookViewId="0">
      <pane xSplit="5" ySplit="4" topLeftCell="F32" activePane="bottomRight" state="frozen"/>
      <selection activeCell="AA61" sqref="AA61"/>
      <selection pane="topRight" activeCell="AA61" sqref="AA61"/>
      <selection pane="bottomLeft" activeCell="AA61" sqref="AA61"/>
      <selection pane="bottomRight" activeCell="AA61" sqref="AA6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8" width="8.7109375" style="34" customWidth="1"/>
    <col min="109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41415</v>
      </c>
      <c r="F1" s="30" t="s">
        <v>2</v>
      </c>
      <c r="G1" s="31">
        <f>SUM(H5:H79)</f>
        <v>2003505.9490000005</v>
      </c>
      <c r="H1" s="32" t="s">
        <v>3</v>
      </c>
      <c r="I1" s="33">
        <f>M15+M26+M48+M58+M69+M79+M37</f>
        <v>92.916666666666671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259</v>
      </c>
      <c r="B2" s="422"/>
      <c r="C2" s="28"/>
      <c r="D2" s="28" t="s">
        <v>14</v>
      </c>
      <c r="E2" s="35">
        <f>AVERAGE(O15,O26,O37,O48,O58,O69,O79)</f>
        <v>108.95018884853441</v>
      </c>
      <c r="F2" s="36" t="s">
        <v>15</v>
      </c>
      <c r="G2" s="37">
        <f>G1/E1</f>
        <v>48.376335844500794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2</v>
      </c>
      <c r="AA2" s="339">
        <f>AA15+AA26+AA37+AA48+AA58+AA69+AA79</f>
        <v>12</v>
      </c>
      <c r="AB2" s="460"/>
      <c r="AC2" s="460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 ht="16.5" thickBot="1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2337</v>
      </c>
      <c r="H5" s="43">
        <f>F5*G5</f>
        <v>132905.19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2124.5454545454695</v>
      </c>
      <c r="O5" s="47">
        <f>N5/M5</f>
        <v>141.63636363636462</v>
      </c>
      <c r="P5" s="49">
        <f>M5-J5</f>
        <v>0</v>
      </c>
      <c r="Q5" s="50">
        <f>O5-L5</f>
        <v>-8.3636363636353792</v>
      </c>
      <c r="R5" s="51">
        <f>O5/L5</f>
        <v>0.94424242424243077</v>
      </c>
      <c r="S5" s="416">
        <f>R15</f>
        <v>0.94695597954857347</v>
      </c>
      <c r="T5" s="319">
        <v>0.29166666666666702</v>
      </c>
      <c r="U5" s="320">
        <v>0.33750000000000002</v>
      </c>
      <c r="V5" s="53"/>
      <c r="W5" s="54">
        <f t="shared" ref="W5:W14" si="0">(U5-T5)*24*60</f>
        <v>65.999999999999531</v>
      </c>
      <c r="X5" s="55"/>
      <c r="Y5" s="290"/>
      <c r="Z5" s="169"/>
      <c r="AA5" s="169"/>
      <c r="AB5" s="468"/>
      <c r="AC5" s="468"/>
      <c r="AD5" s="135"/>
      <c r="AE5" s="135"/>
      <c r="AF5" s="229">
        <f t="shared" ref="AF5:AF11" si="1">N5-K5</f>
        <v>-125.45454545453049</v>
      </c>
      <c r="AG5" s="52">
        <f t="shared" ref="AG5:AG11" si="2">N5/K5</f>
        <v>0.94424242424243088</v>
      </c>
      <c r="AH5" s="461">
        <f>AG15</f>
        <v>0.94695597954857358</v>
      </c>
    </row>
    <row r="6" spans="1:34" ht="15" customHeight="1">
      <c r="A6" s="428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2881</v>
      </c>
      <c r="H6" s="63">
        <f>F6*G6</f>
        <v>167587.77000000002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2134.0740740740735</v>
      </c>
      <c r="O6" s="67">
        <f>N6/M6</f>
        <v>142.27160493827157</v>
      </c>
      <c r="P6" s="69">
        <f>M6-J6</f>
        <v>0</v>
      </c>
      <c r="Q6" s="70">
        <f>O6-L6</f>
        <v>-7.7283950617284347</v>
      </c>
      <c r="R6" s="71">
        <f>O6/L6</f>
        <v>0.94847736625514378</v>
      </c>
      <c r="S6" s="417"/>
      <c r="T6" s="16">
        <v>0.34722222222222199</v>
      </c>
      <c r="U6" s="16">
        <v>0.40347222222222201</v>
      </c>
      <c r="V6" s="30">
        <f>(T6-U5)*24*60</f>
        <v>13.999999999999631</v>
      </c>
      <c r="W6" s="73">
        <f t="shared" si="0"/>
        <v>81.000000000000028</v>
      </c>
      <c r="X6" s="22"/>
      <c r="Y6" s="84"/>
      <c r="Z6" s="90"/>
      <c r="AA6" s="90"/>
      <c r="AB6" s="465"/>
      <c r="AC6" s="465"/>
      <c r="AD6" s="149"/>
      <c r="AE6" s="149"/>
      <c r="AF6" s="307">
        <f t="shared" si="1"/>
        <v>-115.92592592592655</v>
      </c>
      <c r="AG6" s="72">
        <f t="shared" si="2"/>
        <v>0.94847736625514378</v>
      </c>
      <c r="AH6" s="462"/>
    </row>
    <row r="7" spans="1:34" ht="15" customHeight="1">
      <c r="A7" s="428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4160</v>
      </c>
      <c r="H7" s="78">
        <f>F7*G7</f>
        <v>204422.39999999999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2133.333333333328</v>
      </c>
      <c r="O7" s="81">
        <f>N7/M7</f>
        <v>142.22222222222186</v>
      </c>
      <c r="P7" s="74">
        <f>M7-J7</f>
        <v>0</v>
      </c>
      <c r="Q7" s="83">
        <f>O7-L7</f>
        <v>-7.7777777777781409</v>
      </c>
      <c r="R7" s="72">
        <f>O7/L7</f>
        <v>0.94814814814814574</v>
      </c>
      <c r="S7" s="417"/>
      <c r="T7" s="18">
        <v>0.40972222222222199</v>
      </c>
      <c r="U7" s="18">
        <v>0.4909722222222222</v>
      </c>
      <c r="V7" s="30">
        <f>(T7-U6)*24*60</f>
        <v>8.999999999999968</v>
      </c>
      <c r="W7" s="73">
        <f t="shared" si="0"/>
        <v>117.0000000000003</v>
      </c>
      <c r="X7" s="22"/>
      <c r="Y7" s="84"/>
      <c r="Z7" s="90"/>
      <c r="AA7" s="90"/>
      <c r="AB7" s="466"/>
      <c r="AC7" s="466"/>
      <c r="AD7" s="92"/>
      <c r="AE7" s="92"/>
      <c r="AF7" s="307">
        <f t="shared" si="1"/>
        <v>-116.66666666667197</v>
      </c>
      <c r="AG7" s="72">
        <f t="shared" si="2"/>
        <v>0.94814814814814574</v>
      </c>
      <c r="AH7" s="462"/>
    </row>
    <row r="8" spans="1:34" ht="15" customHeight="1">
      <c r="A8" s="428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7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65"/>
      <c r="AC8" s="465"/>
      <c r="AD8" s="149"/>
      <c r="AE8" s="149"/>
      <c r="AF8" s="307">
        <f t="shared" si="1"/>
        <v>0</v>
      </c>
      <c r="AG8" s="72" t="e">
        <f t="shared" si="2"/>
        <v>#DIV/0!</v>
      </c>
      <c r="AH8" s="462"/>
    </row>
    <row r="9" spans="1:34" ht="15" customHeight="1">
      <c r="A9" s="42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8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5"/>
      <c r="AC9" s="465"/>
      <c r="AD9" s="149"/>
      <c r="AE9" s="149"/>
      <c r="AF9" s="307">
        <f t="shared" si="1"/>
        <v>0</v>
      </c>
      <c r="AG9" s="72" t="e">
        <f t="shared" si="2"/>
        <v>#DIV/0!</v>
      </c>
      <c r="AH9" s="463"/>
    </row>
    <row r="10" spans="1:34" ht="15" customHeight="1">
      <c r="A10" s="42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8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6"/>
      <c r="AC10" s="466"/>
      <c r="AD10" s="92"/>
      <c r="AE10" s="92"/>
      <c r="AF10" s="307">
        <f t="shared" si="1"/>
        <v>0</v>
      </c>
      <c r="AG10" s="72" t="e">
        <f t="shared" si="2"/>
        <v>#DIV/0!</v>
      </c>
      <c r="AH10" s="463"/>
    </row>
    <row r="11" spans="1:34" ht="15" customHeight="1">
      <c r="A11" s="42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5"/>
      <c r="AC11" s="465"/>
      <c r="AD11" s="149"/>
      <c r="AE11" s="149"/>
      <c r="AF11" s="307">
        <f t="shared" si="1"/>
        <v>0</v>
      </c>
      <c r="AG11" s="72" t="e">
        <f t="shared" si="2"/>
        <v>#DIV/0!</v>
      </c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 thickBo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2130.6509539842905</v>
      </c>
      <c r="O15" s="117">
        <f t="shared" si="3"/>
        <v>142.04339693228602</v>
      </c>
      <c r="P15" s="121">
        <f>M15-J15</f>
        <v>0</v>
      </c>
      <c r="Q15" s="122">
        <f>O15-L15</f>
        <v>-7.956603067713985</v>
      </c>
      <c r="R15" s="123">
        <f>O15/L15</f>
        <v>0.94695597954857347</v>
      </c>
      <c r="S15" s="42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7"/>
      <c r="AC15" s="467"/>
      <c r="AD15" s="323">
        <f>SUM(AD5:AD14)</f>
        <v>0</v>
      </c>
      <c r="AE15" s="323">
        <f>SUM(AE5:AE14)</f>
        <v>0</v>
      </c>
      <c r="AF15" s="309">
        <f>N15-K15</f>
        <v>-119.34904601570952</v>
      </c>
      <c r="AG15" s="124">
        <f>N15/K15</f>
        <v>0.94695597954857358</v>
      </c>
      <c r="AH15" s="464"/>
    </row>
    <row r="16" spans="1:34" ht="15" customHeight="1">
      <c r="A16" s="47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2833</v>
      </c>
      <c r="H16" s="134">
        <f>F16*G16</f>
        <v>143548.11000000002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2179.2307692307572</v>
      </c>
      <c r="O16" s="141">
        <f>N16/M16</f>
        <v>155.65934065933979</v>
      </c>
      <c r="P16" s="142">
        <f>M16-J16</f>
        <v>0</v>
      </c>
      <c r="Q16" s="143">
        <f>O16-L16</f>
        <v>-5.0549450549459323</v>
      </c>
      <c r="R16" s="144">
        <f>O16/L16</f>
        <v>0.96854700854700304</v>
      </c>
      <c r="S16" s="472">
        <f>R26</f>
        <v>0.92442842790372781</v>
      </c>
      <c r="T16" s="145">
        <v>0.29097222222222202</v>
      </c>
      <c r="U16" s="145">
        <v>0.34513888888888899</v>
      </c>
      <c r="V16" s="135"/>
      <c r="W16" s="146">
        <f t="shared" ref="W16:W78" si="4">(U16-T16)*24*60</f>
        <v>78.000000000000441</v>
      </c>
      <c r="X16" s="141"/>
      <c r="Y16" s="296"/>
      <c r="Z16" s="169"/>
      <c r="AA16" s="169"/>
      <c r="AB16" s="468"/>
      <c r="AC16" s="468"/>
      <c r="AD16" s="135"/>
      <c r="AE16" s="135"/>
      <c r="AF16" s="229">
        <f>N16-K16</f>
        <v>-70.769230769242768</v>
      </c>
      <c r="AG16" s="52">
        <f>N16/K16</f>
        <v>0.96854700854700326</v>
      </c>
      <c r="AH16" s="461">
        <f>AG26</f>
        <v>0.92276353276353462</v>
      </c>
    </row>
    <row r="17" spans="1:34" ht="15" customHeight="1">
      <c r="A17" s="479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1036</v>
      </c>
      <c r="H17" s="78">
        <f>F17*G17</f>
        <v>58647.96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1942.5000000000218</v>
      </c>
      <c r="O17" s="96">
        <f>N17/M17</f>
        <v>129.50000000000145</v>
      </c>
      <c r="P17" s="97">
        <f>M17-J17</f>
        <v>0</v>
      </c>
      <c r="Q17" s="98">
        <f>O17-L17</f>
        <v>-20.49999999999855</v>
      </c>
      <c r="R17" s="99">
        <f>O17/L17</f>
        <v>0.86333333333334294</v>
      </c>
      <c r="S17" s="473"/>
      <c r="T17" s="19">
        <v>0.35277777777777802</v>
      </c>
      <c r="U17" s="19">
        <v>0.375</v>
      </c>
      <c r="V17" s="30">
        <f>(T17-U16)*24*60</f>
        <v>11.000000000000201</v>
      </c>
      <c r="W17" s="149">
        <f t="shared" si="4"/>
        <v>31.999999999999645</v>
      </c>
      <c r="X17" s="19"/>
      <c r="Y17" s="297"/>
      <c r="Z17" s="90"/>
      <c r="AA17" s="90"/>
      <c r="AB17" s="466"/>
      <c r="AC17" s="466"/>
      <c r="AD17" s="92"/>
      <c r="AE17" s="92"/>
      <c r="AF17" s="307">
        <f>N17-K17</f>
        <v>-307.49999999997817</v>
      </c>
      <c r="AG17" s="72">
        <f>N17/K17</f>
        <v>0.86333333333334306</v>
      </c>
      <c r="AH17" s="462"/>
    </row>
    <row r="18" spans="1:34" ht="15" customHeight="1">
      <c r="A18" s="479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3652</v>
      </c>
      <c r="H18" s="78">
        <f>F18*G18</f>
        <v>184024.28</v>
      </c>
      <c r="I18" s="30"/>
      <c r="J18" s="79">
        <v>13</v>
      </c>
      <c r="K18" s="80">
        <f>VLOOKUP(D18,產線配置圖!$A$3:$C$40,3,0)</f>
        <v>2250</v>
      </c>
      <c r="L18" s="81">
        <f>K18/J18</f>
        <v>173.07692307692307</v>
      </c>
      <c r="M18" s="148">
        <v>13</v>
      </c>
      <c r="N18" s="95">
        <f>G18/W18*60</f>
        <v>2106.9230769230794</v>
      </c>
      <c r="O18" s="96">
        <f>N18/M18</f>
        <v>162.07100591715997</v>
      </c>
      <c r="P18" s="97">
        <f>M18-J18</f>
        <v>0</v>
      </c>
      <c r="Q18" s="98">
        <f>O18-L18</f>
        <v>-11.005917159763101</v>
      </c>
      <c r="R18" s="99">
        <f>O18/L18</f>
        <v>0.93641025641025766</v>
      </c>
      <c r="S18" s="473"/>
      <c r="T18" s="19">
        <v>0.38263888888888897</v>
      </c>
      <c r="U18" s="19">
        <v>0.4548611111111111</v>
      </c>
      <c r="V18" s="30">
        <f>(T18-U17)*24*60</f>
        <v>11.000000000000121</v>
      </c>
      <c r="W18" s="149">
        <f t="shared" si="4"/>
        <v>103.99999999999987</v>
      </c>
      <c r="X18" s="22"/>
      <c r="Y18" s="84"/>
      <c r="Z18" s="90"/>
      <c r="AA18" s="90"/>
      <c r="AB18" s="466"/>
      <c r="AC18" s="466"/>
      <c r="AD18" s="92"/>
      <c r="AE18" s="92"/>
      <c r="AF18" s="307">
        <f>N18-K18</f>
        <v>-143.07692307692059</v>
      </c>
      <c r="AG18" s="72">
        <f>N18/K18</f>
        <v>0.93641025641025755</v>
      </c>
      <c r="AH18" s="462"/>
    </row>
    <row r="19" spans="1:34" ht="15" customHeight="1">
      <c r="A19" s="479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3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65"/>
      <c r="AC19" s="465"/>
      <c r="AD19" s="149"/>
      <c r="AE19" s="149"/>
      <c r="AF19" s="307">
        <f>N19-K19</f>
        <v>0</v>
      </c>
      <c r="AG19" s="72" t="e">
        <f>N19/K19</f>
        <v>#DIV/0!</v>
      </c>
      <c r="AH19" s="463"/>
    </row>
    <row r="20" spans="1:34" ht="15" customHeight="1">
      <c r="A20" s="47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3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66"/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3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6"/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50"/>
      <c r="U22" s="150"/>
      <c r="V22" s="92"/>
      <c r="W22" s="149"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4"/>
        <v>0</v>
      </c>
      <c r="X23" s="92"/>
      <c r="Y23" s="298"/>
      <c r="Z23" s="90"/>
      <c r="AA23" s="90"/>
      <c r="AB23" s="466"/>
      <c r="AC23" s="46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 thickBo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>
        <f t="shared" ref="J26:O26" si="5">AVERAGE(J16:J25)</f>
        <v>14</v>
      </c>
      <c r="K26" s="155">
        <f t="shared" si="5"/>
        <v>2250</v>
      </c>
      <c r="L26" s="158">
        <f t="shared" si="5"/>
        <v>161.26373626373626</v>
      </c>
      <c r="M26" s="155">
        <f t="shared" si="5"/>
        <v>14</v>
      </c>
      <c r="N26" s="155">
        <f t="shared" si="5"/>
        <v>2076.2179487179528</v>
      </c>
      <c r="O26" s="158">
        <f t="shared" si="5"/>
        <v>149.07678219216709</v>
      </c>
      <c r="P26" s="159">
        <f>M26-J26</f>
        <v>0</v>
      </c>
      <c r="Q26" s="160">
        <f>O26-L26</f>
        <v>-12.186954071569176</v>
      </c>
      <c r="R26" s="161">
        <f>O26/L26</f>
        <v>0.92442842790372781</v>
      </c>
      <c r="S26" s="474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7"/>
      <c r="AC26" s="467"/>
      <c r="AD26" s="323">
        <f>SUM(AD16:AD25)</f>
        <v>0</v>
      </c>
      <c r="AE26" s="323">
        <f>SUM(AE16:AE25)</f>
        <v>0</v>
      </c>
      <c r="AF26" s="309">
        <f t="shared" ref="AF26:AF31" si="6">N26-K26</f>
        <v>-173.78205128204718</v>
      </c>
      <c r="AG26" s="124">
        <f t="shared" ref="AG26:AG31" si="7">N26/K26</f>
        <v>0.92276353276353462</v>
      </c>
      <c r="AH26" s="464"/>
    </row>
    <row r="27" spans="1:34" ht="15" customHeight="1">
      <c r="A27" s="469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1650</v>
      </c>
      <c r="H27" s="134">
        <f>F27*G27</f>
        <v>94396.5</v>
      </c>
      <c r="I27" s="135"/>
      <c r="J27" s="136">
        <v>18</v>
      </c>
      <c r="K27" s="137">
        <f>VLOOKUP(D27,產線配置圖!$A$3:$C$40,3,0)</f>
        <v>1565</v>
      </c>
      <c r="L27" s="138">
        <f>K27/J27</f>
        <v>86.944444444444443</v>
      </c>
      <c r="M27" s="170">
        <v>18</v>
      </c>
      <c r="N27" s="140">
        <f>G27/W27*60</f>
        <v>1499.9999999999779</v>
      </c>
      <c r="O27" s="141">
        <f>N27/M27</f>
        <v>83.333333333332106</v>
      </c>
      <c r="P27" s="142">
        <f>M27-J27</f>
        <v>0</v>
      </c>
      <c r="Q27" s="143">
        <f>O27-L27</f>
        <v>-3.6111111111123364</v>
      </c>
      <c r="R27" s="144">
        <f>O27/L27</f>
        <v>0.95846645367410732</v>
      </c>
      <c r="S27" s="472">
        <f>R37</f>
        <v>0.85696640840436822</v>
      </c>
      <c r="T27" s="171">
        <v>0.33333333333333298</v>
      </c>
      <c r="U27" s="171">
        <v>0.37916666666666698</v>
      </c>
      <c r="V27" s="135"/>
      <c r="W27" s="146">
        <f t="shared" si="4"/>
        <v>66.000000000000966</v>
      </c>
      <c r="X27" s="135"/>
      <c r="Y27" s="300" t="s">
        <v>46</v>
      </c>
      <c r="Z27" s="169"/>
      <c r="AA27" s="169"/>
      <c r="AB27" s="468"/>
      <c r="AC27" s="468"/>
      <c r="AD27" s="135"/>
      <c r="AE27" s="135"/>
      <c r="AF27" s="310">
        <f t="shared" si="6"/>
        <v>-65.000000000022055</v>
      </c>
      <c r="AG27" s="172">
        <f t="shared" si="7"/>
        <v>0.95846645367410732</v>
      </c>
      <c r="AH27" s="461">
        <f>AG37</f>
        <v>0.85831309924017851</v>
      </c>
    </row>
    <row r="28" spans="1:34" ht="15" customHeight="1">
      <c r="A28" s="470"/>
      <c r="B28" s="75" t="s">
        <v>81</v>
      </c>
      <c r="C28" s="173"/>
      <c r="D28" s="59" t="s">
        <v>128</v>
      </c>
      <c r="E28" s="104"/>
      <c r="F28" s="75">
        <f>VLOOKUP(D28,廠價表!$C$1:$E$43,3,0)</f>
        <v>57.21</v>
      </c>
      <c r="G28" s="90">
        <v>1623</v>
      </c>
      <c r="H28" s="91">
        <f>F28*G28</f>
        <v>92851.83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17</v>
      </c>
      <c r="N28" s="95">
        <f>G28/W28*60</f>
        <v>1173.2530120481913</v>
      </c>
      <c r="O28" s="96">
        <f>N28/M28</f>
        <v>69.01488306165831</v>
      </c>
      <c r="P28" s="97">
        <f>M28-J28</f>
        <v>0</v>
      </c>
      <c r="Q28" s="98">
        <f>O28-L28</f>
        <v>-31.926293408929922</v>
      </c>
      <c r="R28" s="99">
        <f>O28/L28</f>
        <v>0.68371387648495996</v>
      </c>
      <c r="S28" s="473"/>
      <c r="T28" s="19">
        <v>0.38541666666666702</v>
      </c>
      <c r="U28" s="19">
        <v>0.44305555555555598</v>
      </c>
      <c r="V28" s="92">
        <f>(T28-U27)*24*60</f>
        <v>9.000000000000048</v>
      </c>
      <c r="W28" s="149">
        <f t="shared" si="4"/>
        <v>83.000000000000099</v>
      </c>
      <c r="X28" s="174"/>
      <c r="Y28" s="301"/>
      <c r="Z28" s="335">
        <v>1</v>
      </c>
      <c r="AA28" s="335">
        <v>7</v>
      </c>
      <c r="AB28" s="466" t="s">
        <v>256</v>
      </c>
      <c r="AC28" s="466"/>
      <c r="AD28" s="92"/>
      <c r="AE28" s="92"/>
      <c r="AF28" s="311">
        <f t="shared" si="6"/>
        <v>-542.74698795180871</v>
      </c>
      <c r="AG28" s="99">
        <f t="shared" si="7"/>
        <v>0.68371387648495996</v>
      </c>
      <c r="AH28" s="482"/>
    </row>
    <row r="29" spans="1:34" ht="15" customHeight="1">
      <c r="A29" s="470"/>
      <c r="B29" s="75" t="s">
        <v>123</v>
      </c>
      <c r="C29" s="88"/>
      <c r="D29" s="59" t="s">
        <v>124</v>
      </c>
      <c r="E29" s="89"/>
      <c r="F29" s="75">
        <f>VLOOKUP(D29,廠價表!$C$1:$E$43,3,0)</f>
        <v>44.3</v>
      </c>
      <c r="G29" s="90">
        <v>1504</v>
      </c>
      <c r="H29" s="91">
        <f>F29*G29</f>
        <v>66627.199999999997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1504.0000000000014</v>
      </c>
      <c r="O29" s="96">
        <f>N29/M29</f>
        <v>88.470588235294201</v>
      </c>
      <c r="P29" s="97">
        <f>M29-J29</f>
        <v>0</v>
      </c>
      <c r="Q29" s="98">
        <f>O29-L29</f>
        <v>-7.7647058823528567</v>
      </c>
      <c r="R29" s="99">
        <f>O29/L29</f>
        <v>0.91931540342298379</v>
      </c>
      <c r="S29" s="473"/>
      <c r="T29" s="19">
        <v>0.44791666666666669</v>
      </c>
      <c r="U29" s="19">
        <v>0.48958333333333331</v>
      </c>
      <c r="V29" s="92">
        <f>(T29-U28)*24*60</f>
        <v>6.9999999999994156</v>
      </c>
      <c r="W29" s="149">
        <f t="shared" si="4"/>
        <v>59.999999999999943</v>
      </c>
      <c r="X29" s="22">
        <v>0.50347222222222221</v>
      </c>
      <c r="Y29" s="84">
        <v>0.55555555555555558</v>
      </c>
      <c r="Z29" s="90"/>
      <c r="AA29" s="90"/>
      <c r="AB29" s="466" t="s">
        <v>257</v>
      </c>
      <c r="AC29" s="466"/>
      <c r="AD29" s="92"/>
      <c r="AE29" s="92"/>
      <c r="AF29" s="312">
        <f t="shared" si="6"/>
        <v>-131.99999999999864</v>
      </c>
      <c r="AG29" s="99">
        <f t="shared" si="7"/>
        <v>0.91931540342298368</v>
      </c>
      <c r="AH29" s="482"/>
    </row>
    <row r="30" spans="1:34" ht="15" customHeight="1">
      <c r="A30" s="470"/>
      <c r="B30" s="75" t="s">
        <v>123</v>
      </c>
      <c r="C30" s="102"/>
      <c r="D30" s="175" t="s">
        <v>124</v>
      </c>
      <c r="E30" s="176"/>
      <c r="F30" s="75">
        <f>VLOOKUP(D30,廠價表!$C$1:$E$43,3,0)</f>
        <v>44.3</v>
      </c>
      <c r="G30" s="90">
        <v>796</v>
      </c>
      <c r="H30" s="91">
        <f>F30*G30</f>
        <v>35262.799999999996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>K30/J30</f>
        <v>96.235294117647058</v>
      </c>
      <c r="M30" s="94">
        <v>17</v>
      </c>
      <c r="N30" s="95">
        <f>G30/W30*60</f>
        <v>1447.2727272727186</v>
      </c>
      <c r="O30" s="96">
        <f>N30/M30</f>
        <v>85.133689839571687</v>
      </c>
      <c r="P30" s="97">
        <f>M30-J30</f>
        <v>0</v>
      </c>
      <c r="Q30" s="98">
        <f>O30-L30</f>
        <v>-11.101604278075371</v>
      </c>
      <c r="R30" s="99">
        <f>O30/L30</f>
        <v>0.88464103134029259</v>
      </c>
      <c r="S30" s="473"/>
      <c r="T30" s="19">
        <v>0.56597222222222221</v>
      </c>
      <c r="U30" s="19">
        <v>0.58888888888888902</v>
      </c>
      <c r="V30" s="92">
        <f>(T30-U29)*24*60</f>
        <v>110.00000000000001</v>
      </c>
      <c r="W30" s="149">
        <f t="shared" si="4"/>
        <v>33.000000000000199</v>
      </c>
      <c r="X30" s="174"/>
      <c r="Y30" s="301"/>
      <c r="Z30" s="335"/>
      <c r="AA30" s="335"/>
      <c r="AB30" s="466"/>
      <c r="AC30" s="466"/>
      <c r="AD30" s="92"/>
      <c r="AE30" s="92"/>
      <c r="AF30" s="312">
        <f t="shared" si="6"/>
        <v>-188.72727272728139</v>
      </c>
      <c r="AG30" s="99">
        <f t="shared" si="7"/>
        <v>0.88464103134029259</v>
      </c>
      <c r="AH30" s="483"/>
    </row>
    <row r="31" spans="1:34" ht="15" customHeight="1">
      <c r="A31" s="47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3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6"/>
      <c r="AC31" s="466"/>
      <c r="AD31" s="92"/>
      <c r="AE31" s="92"/>
      <c r="AF31" s="312">
        <f t="shared" si="6"/>
        <v>0</v>
      </c>
      <c r="AG31" s="99" t="e">
        <f t="shared" si="7"/>
        <v>#DIV/0!</v>
      </c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66"/>
      <c r="AC32" s="466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6"/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 thickBo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>
        <f t="shared" ref="J37:O37" si="8">AVERAGE(J27:J36)</f>
        <v>17.25</v>
      </c>
      <c r="K37" s="155">
        <f t="shared" si="8"/>
        <v>1638.25</v>
      </c>
      <c r="L37" s="158">
        <f t="shared" si="8"/>
        <v>95.089052287581708</v>
      </c>
      <c r="M37" s="155">
        <f t="shared" si="8"/>
        <v>17.25</v>
      </c>
      <c r="N37" s="155">
        <f t="shared" si="8"/>
        <v>1406.1314348302224</v>
      </c>
      <c r="O37" s="158">
        <f t="shared" si="8"/>
        <v>81.488123617464069</v>
      </c>
      <c r="P37" s="159">
        <f>M37-J37</f>
        <v>0</v>
      </c>
      <c r="Q37" s="160">
        <f>N37-K37</f>
        <v>-232.11856516977764</v>
      </c>
      <c r="R37" s="161">
        <f>O37/L37</f>
        <v>0.85696640840436822</v>
      </c>
      <c r="S37" s="474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7</v>
      </c>
      <c r="AB37" s="477"/>
      <c r="AC37" s="477"/>
      <c r="AD37" s="324">
        <f>SUM(AD27:AD36)</f>
        <v>0</v>
      </c>
      <c r="AE37" s="324">
        <f>SUM(AE27:AE36)</f>
        <v>0</v>
      </c>
      <c r="AF37" s="309">
        <f>N37-K37</f>
        <v>-232.11856516977764</v>
      </c>
      <c r="AG37" s="124">
        <f>N37/K37</f>
        <v>0.85831309924017851</v>
      </c>
      <c r="AH37" s="464"/>
    </row>
    <row r="38" spans="1:34" ht="15" customHeight="1">
      <c r="A38" s="491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2436</v>
      </c>
      <c r="H38" s="134">
        <f>F38*G38</f>
        <v>121580.76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1623.9999999999914</v>
      </c>
      <c r="O38" s="141">
        <f>N38/M38</f>
        <v>108.2666666666661</v>
      </c>
      <c r="P38" s="142">
        <f>M38-J38</f>
        <v>0</v>
      </c>
      <c r="Q38" s="143">
        <f>O38-L38</f>
        <v>-6.0000000000005684</v>
      </c>
      <c r="R38" s="144">
        <f>O38/L38</f>
        <v>0.94749124854141864</v>
      </c>
      <c r="S38" s="494">
        <f>R48</f>
        <v>0.93375025436577597</v>
      </c>
      <c r="T38" s="191">
        <v>0.33333333333333298</v>
      </c>
      <c r="U38" s="191">
        <v>0.39583333333333331</v>
      </c>
      <c r="V38" s="192"/>
      <c r="W38" s="193">
        <f t="shared" si="4"/>
        <v>90.000000000000483</v>
      </c>
      <c r="X38" s="194"/>
      <c r="Y38" s="302"/>
      <c r="Z38" s="336"/>
      <c r="AA38" s="336"/>
      <c r="AB38" s="496"/>
      <c r="AC38" s="496"/>
      <c r="AD38" s="192"/>
      <c r="AE38" s="192"/>
      <c r="AF38" s="313">
        <f>N38-K38</f>
        <v>-90.00000000000864</v>
      </c>
      <c r="AG38" s="195">
        <f>N38/K38</f>
        <v>0.94749124854141853</v>
      </c>
      <c r="AH38" s="484">
        <f>AG48</f>
        <v>0.93281285878300757</v>
      </c>
    </row>
    <row r="39" spans="1:34" ht="15" customHeight="1">
      <c r="A39" s="492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1626</v>
      </c>
      <c r="H39" s="91">
        <f>F39*G39</f>
        <v>72031.799999999988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1500.9230769230842</v>
      </c>
      <c r="O39" s="203">
        <f>N39/M39</f>
        <v>88.289592760181421</v>
      </c>
      <c r="P39" s="97">
        <f>M39-J39</f>
        <v>0</v>
      </c>
      <c r="Q39" s="98">
        <f>O39-L39</f>
        <v>-7.9457013574656372</v>
      </c>
      <c r="R39" s="99">
        <f>O39/L39</f>
        <v>0.91743464359601723</v>
      </c>
      <c r="S39" s="495"/>
      <c r="T39" s="20">
        <v>0.40277777777777801</v>
      </c>
      <c r="U39" s="20">
        <v>0.44791666666666669</v>
      </c>
      <c r="V39" s="92">
        <f>(T39-U38)*24*60</f>
        <v>10.000000000000364</v>
      </c>
      <c r="W39" s="205">
        <f t="shared" si="4"/>
        <v>64.999999999999687</v>
      </c>
      <c r="X39" s="22"/>
      <c r="Y39" s="84"/>
      <c r="Z39" s="90"/>
      <c r="AA39" s="90"/>
      <c r="AB39" s="487"/>
      <c r="AC39" s="487"/>
      <c r="AD39" s="200"/>
      <c r="AE39" s="200"/>
      <c r="AF39" s="314">
        <f>N39-K39</f>
        <v>-135.07692307691582</v>
      </c>
      <c r="AG39" s="206">
        <f>N39/K39</f>
        <v>0.91743464359601723</v>
      </c>
      <c r="AH39" s="485"/>
    </row>
    <row r="40" spans="1:34" ht="15" customHeight="1">
      <c r="A40" s="492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7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466"/>
      <c r="AC40" s="466"/>
      <c r="AD40" s="92"/>
      <c r="AE40" s="92"/>
      <c r="AF40" s="314">
        <f>N40-K40</f>
        <v>0</v>
      </c>
      <c r="AG40" s="206" t="e">
        <f>N40/K40</f>
        <v>#DIV/0!</v>
      </c>
      <c r="AH40" s="485"/>
    </row>
    <row r="41" spans="1:34" ht="15" customHeight="1">
      <c r="A41" s="49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7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6"/>
      <c r="AC41" s="466"/>
      <c r="AD41" s="92"/>
      <c r="AE41" s="92"/>
      <c r="AF41" s="314">
        <f>N41-K41</f>
        <v>0</v>
      </c>
      <c r="AG41" s="206" t="e">
        <f>N41/K41</f>
        <v>#DIV/0!</v>
      </c>
      <c r="AH41" s="485"/>
    </row>
    <row r="42" spans="1:34" ht="15" customHeight="1">
      <c r="A42" s="49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7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6"/>
      <c r="AC42" s="466"/>
      <c r="AD42" s="92"/>
      <c r="AE42" s="92"/>
      <c r="AF42" s="314"/>
      <c r="AG42" s="206"/>
      <c r="AH42" s="485"/>
    </row>
    <row r="43" spans="1:34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 thickBo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>
        <f t="shared" ref="J48:O48" si="9">AVERAGE(J38:J47)</f>
        <v>16</v>
      </c>
      <c r="K48" s="155">
        <f t="shared" si="9"/>
        <v>1675</v>
      </c>
      <c r="L48" s="158">
        <f t="shared" si="9"/>
        <v>105.25098039215686</v>
      </c>
      <c r="M48" s="155">
        <f t="shared" si="9"/>
        <v>16</v>
      </c>
      <c r="N48" s="155">
        <f t="shared" si="9"/>
        <v>1562.4615384615377</v>
      </c>
      <c r="O48" s="158">
        <f t="shared" si="9"/>
        <v>98.278129713423766</v>
      </c>
      <c r="P48" s="221">
        <f>M48-J48</f>
        <v>0</v>
      </c>
      <c r="Q48" s="222">
        <f>N48-K48</f>
        <v>-112.53846153846234</v>
      </c>
      <c r="R48" s="223">
        <f>O48/L48</f>
        <v>0.93375025436577597</v>
      </c>
      <c r="S48" s="420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7"/>
      <c r="AC48" s="467"/>
      <c r="AD48" s="323">
        <f>SUM(AD38:AD47)</f>
        <v>0</v>
      </c>
      <c r="AE48" s="323">
        <f>SUM(AE38:AE47)</f>
        <v>0</v>
      </c>
      <c r="AF48" s="315">
        <f t="shared" ref="AF48:AF53" si="10">N48-K48</f>
        <v>-112.53846153846234</v>
      </c>
      <c r="AG48" s="162">
        <f t="shared" ref="AG48:AG53" si="11">N48/K48</f>
        <v>0.93281285878300757</v>
      </c>
      <c r="AH48" s="486"/>
    </row>
    <row r="49" spans="1:34" ht="15" customHeight="1">
      <c r="A49" s="488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1618</v>
      </c>
      <c r="H49" s="134">
        <f>F49*G49</f>
        <v>80123.360000000001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1565.806451612925</v>
      </c>
      <c r="O49" s="141">
        <f>N49/M49</f>
        <v>92.106261859583825</v>
      </c>
      <c r="P49" s="229">
        <f>M49-J49</f>
        <v>0</v>
      </c>
      <c r="Q49" s="230">
        <f>O49-L49</f>
        <v>-13.776091081592639</v>
      </c>
      <c r="R49" s="52">
        <f>O49/L49</f>
        <v>0.86989247311829176</v>
      </c>
      <c r="S49" s="416">
        <f>R58</f>
        <v>0.90266462393355651</v>
      </c>
      <c r="T49" s="191">
        <v>0.29166666666666702</v>
      </c>
      <c r="U49" s="191">
        <v>0.33472222222222198</v>
      </c>
      <c r="V49" s="55"/>
      <c r="W49" s="193">
        <f t="shared" si="4"/>
        <v>61.99999999999914</v>
      </c>
      <c r="X49" s="55"/>
      <c r="Y49" s="290"/>
      <c r="Z49" s="169"/>
      <c r="AA49" s="169"/>
      <c r="AB49" s="468"/>
      <c r="AC49" s="468"/>
      <c r="AD49" s="135"/>
      <c r="AE49" s="135"/>
      <c r="AF49" s="229">
        <f t="shared" si="10"/>
        <v>-234.193548387075</v>
      </c>
      <c r="AG49" s="52">
        <f t="shared" si="11"/>
        <v>0.86989247311829165</v>
      </c>
      <c r="AH49" s="461">
        <f>AG58</f>
        <v>0.89602340232351918</v>
      </c>
    </row>
    <row r="50" spans="1:34" ht="15" customHeight="1">
      <c r="A50" s="489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3049</v>
      </c>
      <c r="H50" s="231">
        <f>F50*G50</f>
        <v>152358.53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1678.3486238532205</v>
      </c>
      <c r="O50" s="235">
        <f>N50/M50</f>
        <v>104.89678899082628</v>
      </c>
      <c r="P50" s="74">
        <f>M50-J50</f>
        <v>0</v>
      </c>
      <c r="Q50" s="83">
        <f>O50-L50</f>
        <v>-7.6032110091737195</v>
      </c>
      <c r="R50" s="72">
        <f>O50/L50</f>
        <v>0.93241590214067804</v>
      </c>
      <c r="S50" s="417"/>
      <c r="T50" s="21">
        <v>0.33888888888888902</v>
      </c>
      <c r="U50" s="21">
        <v>0.41458333333333303</v>
      </c>
      <c r="V50" s="30">
        <f>(T50-U49)*24*60</f>
        <v>6.0000000000005382</v>
      </c>
      <c r="W50" s="236">
        <f t="shared" si="4"/>
        <v>108.99999999999937</v>
      </c>
      <c r="X50" s="22"/>
      <c r="Y50" s="84"/>
      <c r="Z50" s="90"/>
      <c r="AA50" s="90"/>
      <c r="AB50" s="466"/>
      <c r="AC50" s="466"/>
      <c r="AD50" s="92"/>
      <c r="AE50" s="92"/>
      <c r="AF50" s="307">
        <f t="shared" si="10"/>
        <v>-121.65137614677951</v>
      </c>
      <c r="AG50" s="72">
        <f t="shared" si="11"/>
        <v>0.93241590214067804</v>
      </c>
      <c r="AH50" s="462"/>
    </row>
    <row r="51" spans="1:34" ht="15" customHeight="1">
      <c r="A51" s="489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1740</v>
      </c>
      <c r="H51" s="231">
        <f>F51*G51</f>
        <v>87502.86</v>
      </c>
      <c r="I51" s="232"/>
      <c r="J51" s="79">
        <v>18</v>
      </c>
      <c r="K51" s="80">
        <f>VLOOKUP(D51,產線配置圖!$A$3:$C$40,3,0)</f>
        <v>1565</v>
      </c>
      <c r="L51" s="81">
        <f>K51/J51</f>
        <v>86.944444444444443</v>
      </c>
      <c r="M51" s="233">
        <v>18</v>
      </c>
      <c r="N51" s="234">
        <f>G51/W51*60</f>
        <v>1470.4225352112546</v>
      </c>
      <c r="O51" s="235">
        <f>N51/M51</f>
        <v>81.690140845069706</v>
      </c>
      <c r="P51" s="74">
        <f>M51-J51</f>
        <v>0</v>
      </c>
      <c r="Q51" s="83">
        <f>O51-L51</f>
        <v>-5.2543035993747367</v>
      </c>
      <c r="R51" s="72">
        <f>O51/L51</f>
        <v>0.93956711515096147</v>
      </c>
      <c r="S51" s="417"/>
      <c r="T51" s="21">
        <v>0.420833333333333</v>
      </c>
      <c r="U51" s="19">
        <v>0.47013888888888899</v>
      </c>
      <c r="V51" s="30">
        <f>(T51-U50)*24*60</f>
        <v>8.999999999999968</v>
      </c>
      <c r="W51" s="236">
        <f t="shared" si="4"/>
        <v>71.000000000000625</v>
      </c>
      <c r="X51" s="22">
        <v>0.47638888888888886</v>
      </c>
      <c r="Y51" s="84">
        <v>0.52777777777777779</v>
      </c>
      <c r="Z51" s="90"/>
      <c r="AA51" s="90"/>
      <c r="AB51" s="466"/>
      <c r="AC51" s="466"/>
      <c r="AD51" s="92"/>
      <c r="AE51" s="92"/>
      <c r="AF51" s="307">
        <f t="shared" si="10"/>
        <v>-94.577464788745374</v>
      </c>
      <c r="AG51" s="72">
        <f t="shared" si="11"/>
        <v>0.93956711515096147</v>
      </c>
      <c r="AH51" s="462"/>
    </row>
    <row r="52" spans="1:34" ht="15" customHeight="1">
      <c r="A52" s="489"/>
      <c r="B52" s="75" t="s">
        <v>81</v>
      </c>
      <c r="C52" s="86"/>
      <c r="D52" s="59" t="s">
        <v>121</v>
      </c>
      <c r="E52" s="87"/>
      <c r="F52" s="75">
        <f>VLOOKUP(D52,廠價表!$C$1:$E$43,3,0)</f>
        <v>50.289000000000001</v>
      </c>
      <c r="G52" s="202">
        <v>711</v>
      </c>
      <c r="H52" s="231">
        <f t="shared" ref="H52:H54" si="12">F52*G52</f>
        <v>35755.478999999999</v>
      </c>
      <c r="I52" s="232"/>
      <c r="J52" s="79">
        <v>18</v>
      </c>
      <c r="K52" s="80">
        <f>VLOOKUP(D52,產線配置圖!$A$3:$C$40,3,0)</f>
        <v>1565</v>
      </c>
      <c r="L52" s="81">
        <f t="shared" ref="L52:L54" si="13">K52/J52</f>
        <v>86.944444444444443</v>
      </c>
      <c r="M52" s="233">
        <v>18</v>
      </c>
      <c r="N52" s="234">
        <f t="shared" ref="N52:N54" si="14">G52/W52*60</f>
        <v>1523.5714285713818</v>
      </c>
      <c r="O52" s="235">
        <f t="shared" ref="O52:O54" si="15">N52/M52</f>
        <v>84.642857142854552</v>
      </c>
      <c r="P52" s="74">
        <f t="shared" ref="P52:P54" si="16">M52-J52</f>
        <v>0</v>
      </c>
      <c r="Q52" s="83">
        <f t="shared" ref="Q52:Q54" si="17">O52-L52</f>
        <v>-2.3015873015898904</v>
      </c>
      <c r="R52" s="72">
        <f t="shared" ref="R52:R54" si="18">O52/L52</f>
        <v>0.97352806937468495</v>
      </c>
      <c r="S52" s="417"/>
      <c r="T52" s="21">
        <v>0.531944444444444</v>
      </c>
      <c r="U52" s="21">
        <v>0.55138888888888904</v>
      </c>
      <c r="V52" s="30">
        <f>(T52-U51)*24*60</f>
        <v>88.999999999999204</v>
      </c>
      <c r="W52" s="236">
        <f t="shared" si="4"/>
        <v>28.00000000000086</v>
      </c>
      <c r="X52" s="22"/>
      <c r="Y52" s="84"/>
      <c r="Z52" s="90"/>
      <c r="AA52" s="90"/>
      <c r="AB52" s="466"/>
      <c r="AC52" s="466"/>
      <c r="AD52" s="92"/>
      <c r="AE52" s="92"/>
      <c r="AF52" s="307">
        <f t="shared" si="10"/>
        <v>-41.42857142861817</v>
      </c>
      <c r="AG52" s="72">
        <f t="shared" si="11"/>
        <v>0.97352806937468483</v>
      </c>
      <c r="AH52" s="462"/>
    </row>
    <row r="53" spans="1:34" ht="15" customHeight="1">
      <c r="A53" s="489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950</v>
      </c>
      <c r="H53" s="231">
        <f t="shared" si="12"/>
        <v>47471.5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13"/>
        <v>112.5</v>
      </c>
      <c r="M53" s="108">
        <v>16</v>
      </c>
      <c r="N53" s="234">
        <f t="shared" si="14"/>
        <v>1540.5405405405063</v>
      </c>
      <c r="O53" s="235">
        <f t="shared" si="15"/>
        <v>96.283783783781644</v>
      </c>
      <c r="P53" s="74">
        <f t="shared" si="16"/>
        <v>0</v>
      </c>
      <c r="Q53" s="83">
        <f t="shared" si="17"/>
        <v>-16.216216216218356</v>
      </c>
      <c r="R53" s="72">
        <f t="shared" si="18"/>
        <v>0.85585585585583679</v>
      </c>
      <c r="S53" s="417"/>
      <c r="T53" s="21">
        <v>0.56458333333333299</v>
      </c>
      <c r="U53" s="21">
        <v>0.59027777777777801</v>
      </c>
      <c r="V53" s="30">
        <f>(T53-U52)*24*60</f>
        <v>18.999999999999293</v>
      </c>
      <c r="W53" s="236">
        <f t="shared" si="4"/>
        <v>37.000000000000824</v>
      </c>
      <c r="X53" s="30"/>
      <c r="Y53" s="151"/>
      <c r="Z53" s="90"/>
      <c r="AA53" s="90"/>
      <c r="AB53" s="466"/>
      <c r="AC53" s="466"/>
      <c r="AD53" s="92"/>
      <c r="AE53" s="92"/>
      <c r="AF53" s="307">
        <f t="shared" si="10"/>
        <v>-259.4594594594937</v>
      </c>
      <c r="AG53" s="72">
        <f t="shared" si="11"/>
        <v>0.85585585585583679</v>
      </c>
      <c r="AH53" s="462"/>
    </row>
    <row r="54" spans="1:34" ht="15" customHeight="1">
      <c r="A54" s="489"/>
      <c r="B54" s="101" t="s">
        <v>81</v>
      </c>
      <c r="C54" s="102"/>
      <c r="D54" s="103" t="s">
        <v>121</v>
      </c>
      <c r="E54" s="104"/>
      <c r="F54" s="75">
        <f>VLOOKUP(D54,廠價表!$C$1:$E$43,3,0)</f>
        <v>50.289000000000001</v>
      </c>
      <c r="G54" s="202">
        <v>380</v>
      </c>
      <c r="H54" s="231">
        <f t="shared" si="12"/>
        <v>19109.82</v>
      </c>
      <c r="I54" s="232"/>
      <c r="J54" s="79">
        <f>VLOOKUP(D54,產線配置圖!$A$3:$C$40,2,0)</f>
        <v>19</v>
      </c>
      <c r="K54" s="80">
        <f>VLOOKUP(D54,產線配置圖!$A$3:$C$40,3,0)</f>
        <v>1565</v>
      </c>
      <c r="L54" s="81">
        <f t="shared" si="13"/>
        <v>82.368421052631575</v>
      </c>
      <c r="M54" s="108">
        <v>18</v>
      </c>
      <c r="N54" s="234">
        <f t="shared" si="14"/>
        <v>1266.6666666666374</v>
      </c>
      <c r="O54" s="235">
        <f t="shared" si="15"/>
        <v>70.370370370368747</v>
      </c>
      <c r="P54" s="74">
        <f t="shared" si="16"/>
        <v>-1</v>
      </c>
      <c r="Q54" s="83">
        <f t="shared" si="17"/>
        <v>-11.998050682262829</v>
      </c>
      <c r="R54" s="72">
        <f t="shared" si="18"/>
        <v>0.8543367648798762</v>
      </c>
      <c r="S54" s="417"/>
      <c r="T54" s="21">
        <v>0.59722222222222199</v>
      </c>
      <c r="U54" s="21">
        <v>0.60972222222222228</v>
      </c>
      <c r="V54" s="30">
        <f>(T54-U53)*24*60</f>
        <v>9.999999999999325</v>
      </c>
      <c r="W54" s="236">
        <f t="shared" si="4"/>
        <v>18.000000000000416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 thickBot="1">
      <c r="A58" s="490"/>
      <c r="B58" s="239"/>
      <c r="C58" s="153" t="s">
        <v>51</v>
      </c>
      <c r="D58" s="437" t="s">
        <v>42</v>
      </c>
      <c r="E58" s="437"/>
      <c r="F58" s="116"/>
      <c r="G58" s="240"/>
      <c r="H58" s="118"/>
      <c r="I58" s="117"/>
      <c r="J58" s="120">
        <f t="shared" ref="J58:O58" si="19">AVERAGE(J49:J57)</f>
        <v>17.333333333333332</v>
      </c>
      <c r="K58" s="120">
        <f t="shared" si="19"/>
        <v>1682.5</v>
      </c>
      <c r="L58" s="117">
        <f t="shared" si="19"/>
        <v>97.85661048044949</v>
      </c>
      <c r="M58" s="120">
        <f t="shared" si="19"/>
        <v>17.166666666666668</v>
      </c>
      <c r="N58" s="120">
        <f t="shared" si="19"/>
        <v>1507.559374409321</v>
      </c>
      <c r="O58" s="117">
        <f t="shared" si="19"/>
        <v>88.331700498747466</v>
      </c>
      <c r="P58" s="121">
        <f>M58-J58</f>
        <v>-0.1666666666666643</v>
      </c>
      <c r="Q58" s="122">
        <f>N58-K58</f>
        <v>-174.94062559067902</v>
      </c>
      <c r="R58" s="123">
        <f>O58/L58</f>
        <v>0.90266462393355651</v>
      </c>
      <c r="S58" s="42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7"/>
      <c r="AC58" s="467"/>
      <c r="AD58" s="323">
        <f>SUM(AD49:AD57)</f>
        <v>0</v>
      </c>
      <c r="AE58" s="323">
        <f>SUM(AE49:AE57)</f>
        <v>0</v>
      </c>
      <c r="AF58" s="309">
        <f>N58-K58</f>
        <v>-174.94062559067902</v>
      </c>
      <c r="AG58" s="124">
        <f>N58/K58</f>
        <v>0.89602340232351918</v>
      </c>
      <c r="AH58" s="464"/>
    </row>
    <row r="59" spans="1:34" ht="15" customHeight="1">
      <c r="A59" s="502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1329</v>
      </c>
      <c r="H59" s="243">
        <f>F59*G59</f>
        <v>35869.71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1449.8181818181995</v>
      </c>
      <c r="O59" s="138">
        <f>N59/M59</f>
        <v>96.654545454546636</v>
      </c>
      <c r="P59" s="56">
        <f>M59-J59</f>
        <v>0</v>
      </c>
      <c r="Q59" s="230">
        <f>O59-L59</f>
        <v>-7.678787878786693</v>
      </c>
      <c r="R59" s="52">
        <f>O59/L59</f>
        <v>0.92640139413303491</v>
      </c>
      <c r="S59" s="416">
        <f>R69</f>
        <v>0.84012414445703998</v>
      </c>
      <c r="T59" s="245">
        <v>0.29513888888888901</v>
      </c>
      <c r="U59" s="245">
        <v>0.33333333333333298</v>
      </c>
      <c r="V59" s="55"/>
      <c r="W59" s="54">
        <f t="shared" si="4"/>
        <v>54.999999999999325</v>
      </c>
      <c r="X59" s="55"/>
      <c r="Y59" s="290"/>
      <c r="Z59" s="169"/>
      <c r="AA59" s="169"/>
      <c r="AB59" s="468"/>
      <c r="AC59" s="468"/>
      <c r="AD59" s="135"/>
      <c r="AE59" s="135"/>
      <c r="AF59" s="310">
        <f>N59-K59</f>
        <v>-115.18181818180051</v>
      </c>
      <c r="AG59" s="246">
        <f>N59/K59</f>
        <v>0.92640139413303479</v>
      </c>
      <c r="AH59" s="461">
        <f>AG69</f>
        <v>0.82254862736381829</v>
      </c>
    </row>
    <row r="60" spans="1:34" ht="15" customHeight="1">
      <c r="A60" s="503"/>
      <c r="B60" s="75" t="s">
        <v>81</v>
      </c>
      <c r="C60" s="86"/>
      <c r="D60" s="175" t="s">
        <v>119</v>
      </c>
      <c r="E60" s="87"/>
      <c r="F60" s="75">
        <f>VLOOKUP(D60,廠價表!$C$1:$E$43,3,0)</f>
        <v>50.67</v>
      </c>
      <c r="G60" s="30">
        <v>1316</v>
      </c>
      <c r="H60" s="78">
        <f>F60*G60</f>
        <v>66681.72</v>
      </c>
      <c r="I60" s="30"/>
      <c r="J60" s="79">
        <f>VLOOKUP(D60,產線配置圖!$A$3:$C$40,2,0)</f>
        <v>13</v>
      </c>
      <c r="K60" s="80">
        <f>VLOOKUP(D60,產線配置圖!$A$3:$C$40,3,0)</f>
        <v>1440</v>
      </c>
      <c r="L60" s="81">
        <f>K60/J60</f>
        <v>110.76923076923077</v>
      </c>
      <c r="M60" s="82">
        <v>13</v>
      </c>
      <c r="N60" s="80">
        <f>G60/W60*60</f>
        <v>751.99999999999636</v>
      </c>
      <c r="O60" s="81">
        <f>N60/M60</f>
        <v>57.84615384615357</v>
      </c>
      <c r="P60" s="74">
        <f>M60-J60</f>
        <v>0</v>
      </c>
      <c r="Q60" s="83">
        <f>O60-L60</f>
        <v>-52.923076923077204</v>
      </c>
      <c r="R60" s="72">
        <f>O60/L60</f>
        <v>0.5222222222222197</v>
      </c>
      <c r="S60" s="506"/>
      <c r="T60" s="22">
        <v>0.34375</v>
      </c>
      <c r="U60" s="22">
        <v>0.41666666666666702</v>
      </c>
      <c r="V60" s="30">
        <f>(T60-U59)*24*60</f>
        <v>15.000000000000506</v>
      </c>
      <c r="W60" s="248">
        <f t="shared" si="4"/>
        <v>105.00000000000051</v>
      </c>
      <c r="X60" s="232"/>
      <c r="Y60" s="177"/>
      <c r="Z60" s="90">
        <v>1</v>
      </c>
      <c r="AA60" s="90">
        <v>5</v>
      </c>
      <c r="AB60" s="466" t="s">
        <v>258</v>
      </c>
      <c r="AC60" s="466"/>
      <c r="AD60" s="92"/>
      <c r="AE60" s="92"/>
      <c r="AF60" s="316">
        <f>N60-K60</f>
        <v>-688.00000000000364</v>
      </c>
      <c r="AG60" s="249">
        <f>N60/K60</f>
        <v>0.5222222222222197</v>
      </c>
      <c r="AH60" s="497"/>
    </row>
    <row r="61" spans="1:34" ht="15" customHeight="1">
      <c r="A61" s="504"/>
      <c r="B61" s="250" t="s">
        <v>130</v>
      </c>
      <c r="C61" s="251"/>
      <c r="D61" s="252" t="s">
        <v>132</v>
      </c>
      <c r="E61" s="253"/>
      <c r="F61" s="250">
        <f>VLOOKUP(D61,廠價表!$C$1:$E$43,3,0)</f>
        <v>28.26</v>
      </c>
      <c r="G61" s="38">
        <v>1975</v>
      </c>
      <c r="H61" s="254">
        <f>F61*G61</f>
        <v>55813.5</v>
      </c>
      <c r="I61" s="182"/>
      <c r="J61" s="106">
        <f>VLOOKUP(D61,產線配置圖!$A$3:$C$40,2,0)</f>
        <v>12</v>
      </c>
      <c r="K61" s="107">
        <f>VLOOKUP(D61,產線配置圖!$A$3:$C$40,3,0)</f>
        <v>1565</v>
      </c>
      <c r="L61" s="238">
        <f>K61/J61</f>
        <v>130.41666666666666</v>
      </c>
      <c r="M61" s="108">
        <v>11</v>
      </c>
      <c r="N61" s="107">
        <f>G61/W61*60</f>
        <v>1394.1176470588207</v>
      </c>
      <c r="O61" s="238">
        <f>N61/M61</f>
        <v>126.73796791443824</v>
      </c>
      <c r="P61" s="111">
        <f>M61-J61</f>
        <v>-1</v>
      </c>
      <c r="Q61" s="255">
        <f>O61-L61</f>
        <v>-3.6786987522284136</v>
      </c>
      <c r="R61" s="85">
        <f>O61/L61</f>
        <v>0.97179272522252969</v>
      </c>
      <c r="S61" s="417"/>
      <c r="T61" s="22">
        <v>0.42361111111111099</v>
      </c>
      <c r="U61" s="22">
        <v>0.4826388888888889</v>
      </c>
      <c r="V61" s="30">
        <f>(T61-U60)*24*60</f>
        <v>9.999999999999325</v>
      </c>
      <c r="W61" s="256">
        <f t="shared" si="4"/>
        <v>85.000000000000171</v>
      </c>
      <c r="X61" s="22"/>
      <c r="Y61" s="84"/>
      <c r="Z61" s="90"/>
      <c r="AA61" s="90"/>
      <c r="AB61" s="466"/>
      <c r="AC61" s="466"/>
      <c r="AD61" s="92"/>
      <c r="AE61" s="92"/>
      <c r="AF61" s="317">
        <f>N61-K61</f>
        <v>-170.88235294117931</v>
      </c>
      <c r="AG61" s="247">
        <f>N61/K61</f>
        <v>0.8908099981206522</v>
      </c>
      <c r="AH61" s="462"/>
    </row>
    <row r="62" spans="1:34" ht="15" customHeight="1">
      <c r="A62" s="504"/>
      <c r="B62" s="250" t="s">
        <v>130</v>
      </c>
      <c r="C62" s="251"/>
      <c r="D62" s="257" t="s">
        <v>131</v>
      </c>
      <c r="E62" s="253"/>
      <c r="F62" s="250">
        <f>VLOOKUP(D62,廠價表!$C$1:$E$43,3,0)</f>
        <v>26.99</v>
      </c>
      <c r="G62" s="38">
        <v>1813</v>
      </c>
      <c r="H62" s="254">
        <f>F62*G62</f>
        <v>48932.869999999995</v>
      </c>
      <c r="I62" s="182"/>
      <c r="J62" s="106">
        <f>VLOOKUP(D62,產線配置圖!$A$3:$C$40,2,0)</f>
        <v>15</v>
      </c>
      <c r="K62" s="107">
        <f>VLOOKUP(D62,產線配置圖!$A$3:$C$40,3,0)</f>
        <v>1565</v>
      </c>
      <c r="L62" s="238">
        <f>K62/J62</f>
        <v>104.33333333333333</v>
      </c>
      <c r="M62" s="108">
        <v>15</v>
      </c>
      <c r="N62" s="107">
        <f>G62/W62*60</f>
        <v>1450.4000000000083</v>
      </c>
      <c r="O62" s="238">
        <f>N62/M62</f>
        <v>96.693333333333882</v>
      </c>
      <c r="P62" s="111">
        <f>M62-J62</f>
        <v>0</v>
      </c>
      <c r="Q62" s="255">
        <f>O62-L62</f>
        <v>-7.6399999999994463</v>
      </c>
      <c r="R62" s="85">
        <f>O62/L62</f>
        <v>0.92677316293930245</v>
      </c>
      <c r="S62" s="417"/>
      <c r="T62" s="22">
        <v>0.53125</v>
      </c>
      <c r="U62" s="22">
        <v>0.58333333333333304</v>
      </c>
      <c r="V62" s="30">
        <f>(T62-U61)*24*60</f>
        <v>69.999999999999986</v>
      </c>
      <c r="W62" s="248">
        <f t="shared" si="4"/>
        <v>74.999999999999574</v>
      </c>
      <c r="X62" s="22">
        <v>0.48958333333333331</v>
      </c>
      <c r="Y62" s="84">
        <v>0.53125</v>
      </c>
      <c r="Z62" s="90"/>
      <c r="AA62" s="90"/>
      <c r="AB62" s="466"/>
      <c r="AC62" s="466"/>
      <c r="AD62" s="92"/>
      <c r="AE62" s="92"/>
      <c r="AF62" s="317">
        <f>N62-K62</f>
        <v>-114.59999999999172</v>
      </c>
      <c r="AG62" s="247">
        <f>N62/K62</f>
        <v>0.92677316293930245</v>
      </c>
      <c r="AH62" s="462"/>
    </row>
    <row r="63" spans="1:34" ht="15" customHeight="1">
      <c r="A63" s="504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7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6"/>
      <c r="AC63" s="466"/>
      <c r="AD63" s="92"/>
      <c r="AE63" s="92"/>
      <c r="AF63" s="317"/>
      <c r="AG63" s="247"/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 thickBo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>
        <f t="shared" ref="J69:O69" si="20">AVERAGE(J59:J68)</f>
        <v>13.75</v>
      </c>
      <c r="K69" s="240">
        <f t="shared" si="20"/>
        <v>1533.75</v>
      </c>
      <c r="L69" s="268">
        <f t="shared" si="20"/>
        <v>112.46314102564101</v>
      </c>
      <c r="M69" s="240">
        <f t="shared" si="20"/>
        <v>13.5</v>
      </c>
      <c r="N69" s="240">
        <f t="shared" si="20"/>
        <v>1261.5839572192563</v>
      </c>
      <c r="O69" s="268">
        <f t="shared" si="20"/>
        <v>94.483000137118083</v>
      </c>
      <c r="P69" s="269">
        <f>M69-J69</f>
        <v>-0.25</v>
      </c>
      <c r="Q69" s="222">
        <f>N69-K69</f>
        <v>-272.16604278074374</v>
      </c>
      <c r="R69" s="123">
        <f>O69/L69</f>
        <v>0.84012414445703998</v>
      </c>
      <c r="S69" s="420"/>
      <c r="T69" s="125"/>
      <c r="U69" s="125"/>
      <c r="V69" s="126"/>
      <c r="W69" s="242"/>
      <c r="X69" s="128"/>
      <c r="Y69" s="295"/>
      <c r="Z69" s="334">
        <f>SUM(Z59:Z68)</f>
        <v>1</v>
      </c>
      <c r="AA69" s="334">
        <f>SUM(AA59:AA68)</f>
        <v>5</v>
      </c>
      <c r="AB69" s="467"/>
      <c r="AC69" s="467"/>
      <c r="AD69" s="323">
        <f>SUM(AD59:AD68)</f>
        <v>0</v>
      </c>
      <c r="AE69" s="323">
        <f>SUM(AE59:AE68)</f>
        <v>0</v>
      </c>
      <c r="AF69" s="309">
        <f>N69-K69</f>
        <v>-272.16604278074374</v>
      </c>
      <c r="AG69" s="124">
        <f>N69/K69</f>
        <v>0.82254862736381829</v>
      </c>
      <c r="AH69" s="464"/>
    </row>
    <row r="70" spans="1:36" ht="15" customHeight="1">
      <c r="A70" s="498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6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68"/>
      <c r="AC70" s="468"/>
      <c r="AD70" s="135"/>
      <c r="AE70" s="135"/>
      <c r="AF70" s="310">
        <f>N70-K70</f>
        <v>0</v>
      </c>
      <c r="AG70" s="246" t="e">
        <f>N70/K70</f>
        <v>#DIV/0!</v>
      </c>
      <c r="AH70" s="461" t="e">
        <f>AG79</f>
        <v>#DIV/0!</v>
      </c>
    </row>
    <row r="71" spans="1:36" ht="15" customHeight="1">
      <c r="A71" s="499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7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7"/>
      <c r="AC71" s="487"/>
      <c r="AD71" s="200"/>
      <c r="AE71" s="200"/>
      <c r="AF71" s="311">
        <v>-300.31249999999704</v>
      </c>
      <c r="AG71" s="99">
        <v>0.80810702875399554</v>
      </c>
      <c r="AH71" s="482"/>
    </row>
    <row r="72" spans="1:36" ht="15" customHeight="1">
      <c r="A72" s="499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7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6"/>
      <c r="AC72" s="466"/>
      <c r="AD72" s="92"/>
      <c r="AE72" s="92"/>
      <c r="AF72" s="311">
        <v>-130.33333333333326</v>
      </c>
      <c r="AG72" s="99">
        <v>0.91671991480298198</v>
      </c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6"/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 thickBot="1">
      <c r="A79" s="500"/>
      <c r="B79" s="239"/>
      <c r="C79" s="153"/>
      <c r="D79" s="437"/>
      <c r="E79" s="437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77:AC77"/>
    <mergeCell ref="AB78:AC7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B8:AC8"/>
    <mergeCell ref="AB9:AC9"/>
    <mergeCell ref="AB10:AC10"/>
    <mergeCell ref="AB11:AC11"/>
    <mergeCell ref="AB12:AC12"/>
    <mergeCell ref="AB13:AC13"/>
    <mergeCell ref="AD3:AE3"/>
    <mergeCell ref="AF3:AF4"/>
    <mergeCell ref="AG3:AG4"/>
    <mergeCell ref="AH3:AH4"/>
    <mergeCell ref="A5:A15"/>
    <mergeCell ref="S5:S15"/>
    <mergeCell ref="AB5:AC5"/>
    <mergeCell ref="AH5:AH15"/>
    <mergeCell ref="AB6:AC6"/>
    <mergeCell ref="AB7:AC7"/>
    <mergeCell ref="T3:U3"/>
    <mergeCell ref="V3:V4"/>
    <mergeCell ref="W3:W4"/>
    <mergeCell ref="X3:Y3"/>
    <mergeCell ref="Z3:AA3"/>
    <mergeCell ref="AB3:AC4"/>
    <mergeCell ref="N3:N4"/>
    <mergeCell ref="O3:O4"/>
    <mergeCell ref="P3:P4"/>
    <mergeCell ref="Q3:Q4"/>
    <mergeCell ref="R3:R4"/>
    <mergeCell ref="S3:S4"/>
    <mergeCell ref="H3:H4"/>
    <mergeCell ref="I3:I4"/>
    <mergeCell ref="J3:J4"/>
    <mergeCell ref="K3:K4"/>
    <mergeCell ref="L3:L4"/>
    <mergeCell ref="M3:M4"/>
    <mergeCell ref="A2:B2"/>
    <mergeCell ref="A3:A4"/>
    <mergeCell ref="B3:B4"/>
    <mergeCell ref="D3:E4"/>
    <mergeCell ref="F3:F4"/>
    <mergeCell ref="G3:G4"/>
    <mergeCell ref="J1:L2"/>
    <mergeCell ref="M1:O2"/>
    <mergeCell ref="P1:S2"/>
    <mergeCell ref="T1:Y2"/>
    <mergeCell ref="AB1:AC2"/>
    <mergeCell ref="AF1:AH2"/>
  </mergeCells>
  <phoneticPr fontId="33" type="noConversion"/>
  <conditionalFormatting sqref="P5:P79">
    <cfRule type="cellIs" dxfId="116" priority="1" operator="greaterThan">
      <formula>0</formula>
    </cfRule>
  </conditionalFormatting>
  <conditionalFormatting sqref="AF5:AF79 Q5:Q79">
    <cfRule type="cellIs" dxfId="115" priority="4" operator="lessThan">
      <formula>0</formula>
    </cfRule>
  </conditionalFormatting>
  <conditionalFormatting sqref="AG5:AG79 R5:R79">
    <cfRule type="cellIs" dxfId="114" priority="2" operator="greaterThan">
      <formula>1</formula>
    </cfRule>
    <cfRule type="cellIs" dxfId="113" priority="3" operator="lessThan">
      <formula>0.8</formula>
    </cfRule>
  </conditionalFormatting>
  <conditionalFormatting sqref="S5:S10 S37:S62 AH59:AH62 S69:S76 AH69:AH76">
    <cfRule type="cellIs" dxfId="112" priority="7" operator="lessThan">
      <formula>0.8</formula>
    </cfRule>
  </conditionalFormatting>
  <conditionalFormatting sqref="S19:S25 AH19:AH25">
    <cfRule type="cellIs" dxfId="111" priority="6" operator="lessThan">
      <formula>0.8</formula>
    </cfRule>
  </conditionalFormatting>
  <conditionalFormatting sqref="S79">
    <cfRule type="cellIs" dxfId="110" priority="5" operator="lessThan">
      <formula>0.8</formula>
    </cfRule>
  </conditionalFormatting>
  <conditionalFormatting sqref="AH5:AH8 S15:S16 AH15:AH16 AH49 AH79">
    <cfRule type="cellIs" dxfId="109" priority="9" operator="lessThan">
      <formula>0.8</formula>
    </cfRule>
  </conditionalFormatting>
  <conditionalFormatting sqref="AH27 S27:S28">
    <cfRule type="cellIs" dxfId="108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B98F23-8DF2-4B92-A160-73B792CA50FD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AC7E7-FE90-4313-BFC9-72AA26469DD4}">
  <dimension ref="B1:O26"/>
  <sheetViews>
    <sheetView zoomScale="70" zoomScaleNormal="70" workbookViewId="0">
      <selection activeCell="A3" sqref="A3:A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46165</v>
      </c>
      <c r="E3" s="412"/>
      <c r="F3" s="3" t="s">
        <v>72</v>
      </c>
      <c r="G3" s="413">
        <f>'0523'!E1</f>
        <v>45793</v>
      </c>
      <c r="H3" s="413"/>
      <c r="I3" s="3" t="s">
        <v>2</v>
      </c>
      <c r="J3" s="414">
        <f>'0523'!G1</f>
        <v>2229987.5409999997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>
        <f>AVERAGE(D13:I13)</f>
        <v>121.32547418540067</v>
      </c>
      <c r="G6" s="410"/>
      <c r="H6" s="395">
        <f>AVERAGE(D13:H13)</f>
        <v>122.77614594555773</v>
      </c>
      <c r="I6" s="395"/>
      <c r="J6" s="395">
        <f>AVERAGE(I13)</f>
        <v>114.07211538461539</v>
      </c>
      <c r="K6" s="395"/>
      <c r="L6" s="396">
        <f>SUM(D18:J18)</f>
        <v>0</v>
      </c>
      <c r="M6" s="398">
        <f>SUM(D19:J19)</f>
        <v>0</v>
      </c>
      <c r="N6" s="399">
        <f>SUM(D20:J20)</f>
        <v>0</v>
      </c>
      <c r="O6" s="398">
        <f>SUM(D20:J20)</f>
        <v>0</v>
      </c>
    </row>
    <row r="7" spans="2:15" ht="39.6" customHeight="1">
      <c r="B7" s="406"/>
      <c r="C7" s="406"/>
      <c r="D7" s="401" t="s">
        <v>87</v>
      </c>
      <c r="E7" s="401"/>
      <c r="F7" s="402">
        <f>AVERAGE(D14:I14)</f>
        <v>108.03174234997982</v>
      </c>
      <c r="G7" s="402"/>
      <c r="H7" s="403">
        <f>AVERAGE(D14:H14)</f>
        <v>110.9856199975392</v>
      </c>
      <c r="I7" s="403"/>
      <c r="J7" s="403">
        <f>AVERAGE(I14)</f>
        <v>93.262354112183004</v>
      </c>
      <c r="K7" s="403"/>
      <c r="L7" s="397" t="e">
        <f t="shared" ref="L7:O8" si="0">AVERAGE(K14:L14)</f>
        <v>#DIV/0!</v>
      </c>
      <c r="M7" s="398" t="e">
        <f t="shared" si="0"/>
        <v>#DIV/0!</v>
      </c>
      <c r="N7" s="400" t="e">
        <f t="shared" si="0"/>
        <v>#DIV/0!</v>
      </c>
      <c r="O7" s="398" t="e">
        <f t="shared" si="0"/>
        <v>#DIV/0!</v>
      </c>
    </row>
    <row r="8" spans="2:15" ht="39.6" customHeight="1">
      <c r="B8" s="406"/>
      <c r="C8" s="406"/>
      <c r="D8" s="401" t="s">
        <v>27</v>
      </c>
      <c r="E8" s="401"/>
      <c r="F8" s="387">
        <f>F7/F6</f>
        <v>0.89042917882928407</v>
      </c>
      <c r="G8" s="387"/>
      <c r="H8" s="387">
        <f>H7/H6</f>
        <v>0.90396729057412528</v>
      </c>
      <c r="I8" s="387"/>
      <c r="J8" s="387">
        <f>J7/J6</f>
        <v>0.81757363574552466</v>
      </c>
      <c r="K8" s="387"/>
      <c r="L8" s="397" t="e">
        <f t="shared" si="0"/>
        <v>#DIV/0!</v>
      </c>
      <c r="M8" s="398" t="e">
        <f t="shared" si="0"/>
        <v>#DIV/0!</v>
      </c>
      <c r="N8" s="400" t="e">
        <f t="shared" si="0"/>
        <v>#DIV/0!</v>
      </c>
      <c r="O8" s="398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>
        <f>VALUE('0523'!L15)</f>
        <v>150</v>
      </c>
      <c r="E13" s="13">
        <f>VALUE('0523'!L26)</f>
        <v>161.26373626373626</v>
      </c>
      <c r="F13" s="13">
        <f>VALUE('0523'!L37)</f>
        <v>96.411764705882362</v>
      </c>
      <c r="G13" s="13">
        <f>VALUE('0523'!L48)</f>
        <v>105.25098039215686</v>
      </c>
      <c r="H13" s="13">
        <f>VALUE('0523'!L58)</f>
        <v>100.95424836601308</v>
      </c>
      <c r="I13" s="13">
        <f>VALUE('0523'!L69)</f>
        <v>114.07211538461539</v>
      </c>
      <c r="J13" s="13">
        <f>'0523'!L79</f>
        <v>0</v>
      </c>
    </row>
    <row r="14" spans="2:15" ht="39.950000000000003" customHeight="1">
      <c r="B14" s="381"/>
      <c r="C14" s="12" t="s">
        <v>100</v>
      </c>
      <c r="D14" s="13">
        <f>VALUE('0523'!O15)</f>
        <v>139.74396568344019</v>
      </c>
      <c r="E14" s="13">
        <f>VALUE('0523'!O26)</f>
        <v>150.48942396085272</v>
      </c>
      <c r="F14" s="13">
        <f>VALUE('0523'!O37)</f>
        <v>77.522178484187805</v>
      </c>
      <c r="G14" s="13">
        <f>VALUE('0523'!O48)</f>
        <v>93.882352941176265</v>
      </c>
      <c r="H14" s="13">
        <f>VALUE('0523'!O58)</f>
        <v>93.290178918039089</v>
      </c>
      <c r="I14" s="13">
        <f>VALUE('0523'!O69)</f>
        <v>93.262354112183004</v>
      </c>
      <c r="J14" s="13">
        <f>'0523'!O79</f>
        <v>0</v>
      </c>
    </row>
    <row r="15" spans="2:15" ht="39.950000000000003" customHeight="1">
      <c r="B15" s="382"/>
      <c r="C15" s="10" t="s">
        <v>26</v>
      </c>
      <c r="D15" s="14">
        <f t="shared" ref="D15:I15" si="1">D14/D13</f>
        <v>0.93162643788960131</v>
      </c>
      <c r="E15" s="14">
        <f t="shared" si="1"/>
        <v>0.93318825079642909</v>
      </c>
      <c r="F15" s="14">
        <f t="shared" si="1"/>
        <v>0.80407384638876911</v>
      </c>
      <c r="G15" s="14">
        <f t="shared" si="1"/>
        <v>0.89198554342560998</v>
      </c>
      <c r="H15" s="14">
        <f t="shared" si="1"/>
        <v>0.92408373523630583</v>
      </c>
      <c r="I15" s="14">
        <f t="shared" si="1"/>
        <v>0.81757363574552466</v>
      </c>
      <c r="J15" s="15">
        <f>'0523'!S70</f>
        <v>0</v>
      </c>
    </row>
    <row r="16" spans="2:15" ht="17.25" customHeight="1">
      <c r="B16" s="383" t="s">
        <v>101</v>
      </c>
      <c r="C16" s="10" t="s">
        <v>34</v>
      </c>
      <c r="D16" s="16">
        <f>'0523'!T5</f>
        <v>0.29166666666666702</v>
      </c>
      <c r="E16" s="16">
        <f>'0523'!T16</f>
        <v>0.29027777777777802</v>
      </c>
      <c r="F16" s="16">
        <f>'0523'!T27</f>
        <v>0.33333333333333298</v>
      </c>
      <c r="G16" s="16">
        <f>'0523'!T38</f>
        <v>0.3298611111111111</v>
      </c>
      <c r="H16" s="16">
        <f>'0523'!T49</f>
        <v>0.29166666666666702</v>
      </c>
      <c r="I16" s="16">
        <f>'0523'!T59</f>
        <v>0.28819444444444442</v>
      </c>
      <c r="J16" s="16">
        <f>'0523'!T70</f>
        <v>0</v>
      </c>
    </row>
    <row r="17" spans="2:10" ht="17.25" customHeight="1">
      <c r="B17" s="384"/>
      <c r="C17" s="10" t="s">
        <v>35</v>
      </c>
      <c r="D17" s="18">
        <v>0.4909722222222222</v>
      </c>
      <c r="E17" s="19">
        <v>0.4548611111111111</v>
      </c>
      <c r="F17" s="19">
        <v>0.58888888888888902</v>
      </c>
      <c r="G17" s="20">
        <v>0.44791666666666669</v>
      </c>
      <c r="H17" s="21">
        <v>0.60972222222222228</v>
      </c>
      <c r="I17" s="22">
        <v>0.58333333333333337</v>
      </c>
      <c r="J17" s="16">
        <f>'0523'!T71</f>
        <v>0</v>
      </c>
    </row>
    <row r="18" spans="2:10" ht="17.25" customHeight="1">
      <c r="B18" s="385" t="s">
        <v>102</v>
      </c>
      <c r="C18" s="330" t="s">
        <v>36</v>
      </c>
      <c r="D18" s="358">
        <f>'0523'!Z15</f>
        <v>0</v>
      </c>
      <c r="E18" s="359">
        <f>'0523'!Z26</f>
        <v>0</v>
      </c>
      <c r="F18" s="359">
        <f>'0523'!Z37</f>
        <v>0</v>
      </c>
      <c r="G18" s="360">
        <f>'0523'!Z48</f>
        <v>0</v>
      </c>
      <c r="H18" s="360">
        <f>'0523'!Z58</f>
        <v>0</v>
      </c>
      <c r="I18" s="359">
        <f>'0523'!Z69</f>
        <v>0</v>
      </c>
      <c r="J18" s="359">
        <f>'0523'!AA79</f>
        <v>0</v>
      </c>
    </row>
    <row r="19" spans="2:10" ht="17.25" customHeight="1">
      <c r="B19" s="386"/>
      <c r="C19" s="330" t="s">
        <v>37</v>
      </c>
      <c r="D19" s="358">
        <f>'0523'!AA15</f>
        <v>0</v>
      </c>
      <c r="E19" s="359">
        <f>'0523'!AA26</f>
        <v>0</v>
      </c>
      <c r="F19" s="359">
        <f>'0523'!AA37</f>
        <v>0</v>
      </c>
      <c r="G19" s="360">
        <f>'0523'!AA48</f>
        <v>0</v>
      </c>
      <c r="H19" s="360">
        <f>'0523'!AA58</f>
        <v>0</v>
      </c>
      <c r="I19" s="359">
        <f>'0523'!AA69</f>
        <v>0</v>
      </c>
      <c r="J19" s="359">
        <f>'0523'!AB79</f>
        <v>0</v>
      </c>
    </row>
    <row r="20" spans="2:10" ht="17.25" customHeight="1">
      <c r="B20" s="385" t="s">
        <v>103</v>
      </c>
      <c r="C20" s="330" t="s">
        <v>36</v>
      </c>
      <c r="D20" s="358">
        <f>'0523'!AD15</f>
        <v>0</v>
      </c>
      <c r="E20" s="359">
        <f>'0523'!AD26</f>
        <v>0</v>
      </c>
      <c r="F20" s="359">
        <f>'0523'!AD37</f>
        <v>0</v>
      </c>
      <c r="G20" s="360">
        <f>'0523'!AD48</f>
        <v>0</v>
      </c>
      <c r="H20" s="360">
        <f>'0523'!AD58</f>
        <v>0</v>
      </c>
      <c r="I20" s="359">
        <f>'0523'!AD69</f>
        <v>0</v>
      </c>
      <c r="J20" s="359">
        <f>'0523'!AD79</f>
        <v>0</v>
      </c>
    </row>
    <row r="21" spans="2:10" ht="17.25" customHeight="1">
      <c r="B21" s="386"/>
      <c r="C21" s="330" t="s">
        <v>85</v>
      </c>
      <c r="D21" s="358">
        <f>'0523'!AE15</f>
        <v>0</v>
      </c>
      <c r="E21" s="359">
        <f>'0523'!AE26</f>
        <v>0</v>
      </c>
      <c r="F21" s="359">
        <f>'0523'!AE37</f>
        <v>0</v>
      </c>
      <c r="G21" s="360">
        <f>'0523'!AE48</f>
        <v>0</v>
      </c>
      <c r="H21" s="360">
        <f>'0523'!AE58</f>
        <v>0</v>
      </c>
      <c r="I21" s="359">
        <f>'0523'!AE69</f>
        <v>0</v>
      </c>
      <c r="J21" s="359">
        <f>'0523'!AE79</f>
        <v>0</v>
      </c>
    </row>
    <row r="22" spans="2:10" ht="17.25" customHeight="1">
      <c r="B22" s="377" t="s">
        <v>104</v>
      </c>
      <c r="C22" s="378"/>
      <c r="D22" s="23">
        <f>VALUE('0523'!M15)</f>
        <v>15</v>
      </c>
      <c r="E22" s="23">
        <f>VALUE('0523'!M26)</f>
        <v>14</v>
      </c>
      <c r="F22" s="23">
        <f>VALUE('0523'!M37)</f>
        <v>16</v>
      </c>
      <c r="G22" s="23">
        <f>VALUE('0523'!M48)</f>
        <v>16</v>
      </c>
      <c r="H22" s="23">
        <f>VALUE('0523'!M58)</f>
        <v>17</v>
      </c>
      <c r="I22" s="23">
        <f>VALUE('0523'!M69)</f>
        <v>12</v>
      </c>
      <c r="J22" s="23">
        <f>'0523'!M79</f>
        <v>0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F8:G8"/>
    <mergeCell ref="H8:I8"/>
    <mergeCell ref="J8:K8"/>
    <mergeCell ref="B10:C10"/>
    <mergeCell ref="D10:J10"/>
    <mergeCell ref="B11:C12"/>
    <mergeCell ref="J6:K6"/>
    <mergeCell ref="L6:L8"/>
    <mergeCell ref="M6:M8"/>
    <mergeCell ref="N6:N8"/>
    <mergeCell ref="O6:O8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33" type="noConversion"/>
  <conditionalFormatting sqref="D15:J15">
    <cfRule type="cellIs" dxfId="107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6FB3-B77A-4378-B286-6FA4E5D339AD}">
  <sheetPr>
    <tabColor theme="9" tint="0.79998168889431442"/>
  </sheetPr>
  <dimension ref="A1:AJ92"/>
  <sheetViews>
    <sheetView zoomScale="69" zoomScaleNormal="69" workbookViewId="0">
      <pane xSplit="5" ySplit="4" topLeftCell="F17" activePane="bottomRight" state="frozen"/>
      <selection activeCell="A3" sqref="A3:A4"/>
      <selection pane="topRight" activeCell="A3" sqref="A3:A4"/>
      <selection pane="bottomLeft" activeCell="A3" sqref="A3:A4"/>
      <selection pane="bottomRight" activeCell="A3" sqref="A3:A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8" width="8.7109375" style="34" customWidth="1"/>
    <col min="109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45793</v>
      </c>
      <c r="F1" s="30" t="s">
        <v>2</v>
      </c>
      <c r="G1" s="31">
        <f>SUM(H5:H79)</f>
        <v>2229987.5409999997</v>
      </c>
      <c r="H1" s="32" t="s">
        <v>3</v>
      </c>
      <c r="I1" s="33">
        <f>M15+M26+M48+M58+M69+M79+M37</f>
        <v>90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263</v>
      </c>
      <c r="B2" s="422"/>
      <c r="C2" s="28"/>
      <c r="D2" s="28" t="s">
        <v>14</v>
      </c>
      <c r="E2" s="35">
        <f>AVERAGE(O15,O26,O37,O48,O58,O69,O79)</f>
        <v>108.03174234997982</v>
      </c>
      <c r="F2" s="36" t="s">
        <v>15</v>
      </c>
      <c r="G2" s="37">
        <f>G1/E1</f>
        <v>48.697127093660598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0</v>
      </c>
      <c r="AA2" s="339">
        <f>AA15+AA26+AA37+AA48+AA58+AA69+AA79</f>
        <v>0</v>
      </c>
      <c r="AB2" s="460"/>
      <c r="AC2" s="460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 ht="16.5" thickBot="1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2571</v>
      </c>
      <c r="H5" s="43">
        <f>F5*G5</f>
        <v>146212.76999999999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2029.736842105294</v>
      </c>
      <c r="O5" s="47">
        <f>N5/M5</f>
        <v>135.31578947368627</v>
      </c>
      <c r="P5" s="49">
        <f>M5-J5</f>
        <v>0</v>
      </c>
      <c r="Q5" s="50">
        <f>O5-L5</f>
        <v>-14.684210526313734</v>
      </c>
      <c r="R5" s="51">
        <f>O5/L5</f>
        <v>0.9021052631579084</v>
      </c>
      <c r="S5" s="416">
        <f>R15</f>
        <v>0.93162643788960131</v>
      </c>
      <c r="T5" s="319">
        <v>0.29166666666666702</v>
      </c>
      <c r="U5" s="320">
        <v>0.344444444444444</v>
      </c>
      <c r="V5" s="53"/>
      <c r="W5" s="54">
        <f t="shared" ref="W5:W14" si="0">(U5-T5)*24*60</f>
        <v>75.999999999998849</v>
      </c>
      <c r="X5" s="55"/>
      <c r="Y5" s="290"/>
      <c r="Z5" s="169"/>
      <c r="AA5" s="169"/>
      <c r="AB5" s="468"/>
      <c r="AC5" s="468"/>
      <c r="AD5" s="135"/>
      <c r="AE5" s="135"/>
      <c r="AF5" s="229">
        <f t="shared" ref="AF5:AF11" si="1">N5-K5</f>
        <v>-220.26315789470596</v>
      </c>
      <c r="AG5" s="52">
        <f t="shared" ref="AG5:AG11" si="2">N5/K5</f>
        <v>0.90210526315790851</v>
      </c>
      <c r="AH5" s="461">
        <f>AG15</f>
        <v>0.9316264378896012</v>
      </c>
    </row>
    <row r="6" spans="1:34" ht="15" customHeight="1">
      <c r="A6" s="428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3210</v>
      </c>
      <c r="H6" s="63">
        <f>F6*G6</f>
        <v>186725.7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2140</v>
      </c>
      <c r="O6" s="67">
        <f>N6/M6</f>
        <v>142.66666666666666</v>
      </c>
      <c r="P6" s="69">
        <f>M6-J6</f>
        <v>0</v>
      </c>
      <c r="Q6" s="70">
        <f>O6-L6</f>
        <v>-7.3333333333333428</v>
      </c>
      <c r="R6" s="71">
        <f>O6/L6</f>
        <v>0.95111111111111102</v>
      </c>
      <c r="S6" s="417"/>
      <c r="T6" s="16">
        <v>0.35277777777777802</v>
      </c>
      <c r="U6" s="16">
        <v>0.41527777777777802</v>
      </c>
      <c r="V6" s="30">
        <f>(T6-U5)*24*60</f>
        <v>12.000000000000997</v>
      </c>
      <c r="W6" s="73">
        <f t="shared" si="0"/>
        <v>90</v>
      </c>
      <c r="X6" s="22"/>
      <c r="Y6" s="84"/>
      <c r="Z6" s="90"/>
      <c r="AA6" s="90"/>
      <c r="AB6" s="465"/>
      <c r="AC6" s="465"/>
      <c r="AD6" s="149"/>
      <c r="AE6" s="149"/>
      <c r="AF6" s="307">
        <f t="shared" si="1"/>
        <v>-110</v>
      </c>
      <c r="AG6" s="72">
        <f t="shared" si="2"/>
        <v>0.95111111111111113</v>
      </c>
      <c r="AH6" s="462"/>
    </row>
    <row r="7" spans="1:34" ht="15" customHeight="1">
      <c r="A7" s="428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2434</v>
      </c>
      <c r="H7" s="78">
        <f>F7*G7</f>
        <v>119606.76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2086.2857142857192</v>
      </c>
      <c r="O7" s="81">
        <f>N7/M7</f>
        <v>139.0857142857146</v>
      </c>
      <c r="P7" s="74">
        <f>M7-J7</f>
        <v>0</v>
      </c>
      <c r="Q7" s="83">
        <f>O7-L7</f>
        <v>-10.914285714285398</v>
      </c>
      <c r="R7" s="72">
        <f>O7/L7</f>
        <v>0.9272380952380973</v>
      </c>
      <c r="S7" s="417"/>
      <c r="T7" s="18">
        <v>0.422222222222222</v>
      </c>
      <c r="U7" s="18">
        <v>0.47083333333333299</v>
      </c>
      <c r="V7" s="30">
        <f>(T7-U6)*24*60</f>
        <v>9.999999999999325</v>
      </c>
      <c r="W7" s="73">
        <f t="shared" si="0"/>
        <v>69.999999999999829</v>
      </c>
      <c r="X7" s="22">
        <v>0.49305555555555558</v>
      </c>
      <c r="Y7" s="84">
        <v>0.5</v>
      </c>
      <c r="Z7" s="90"/>
      <c r="AA7" s="90"/>
      <c r="AB7" s="466"/>
      <c r="AC7" s="466"/>
      <c r="AD7" s="92"/>
      <c r="AE7" s="92"/>
      <c r="AF7" s="307">
        <f t="shared" si="1"/>
        <v>-163.71428571428078</v>
      </c>
      <c r="AG7" s="72">
        <f t="shared" si="2"/>
        <v>0.92723809523809742</v>
      </c>
      <c r="AH7" s="462"/>
    </row>
    <row r="8" spans="1:34" ht="15" customHeight="1">
      <c r="A8" s="428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2306</v>
      </c>
      <c r="H8" s="78">
        <f>F8*G8</f>
        <v>113316.84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2128.6153846153975</v>
      </c>
      <c r="O8" s="81">
        <f>N8/M8</f>
        <v>141.90769230769317</v>
      </c>
      <c r="P8" s="74">
        <f>M8-J8</f>
        <v>0</v>
      </c>
      <c r="Q8" s="83">
        <f>O8-L8</f>
        <v>-8.0923076923068322</v>
      </c>
      <c r="R8" s="72">
        <f>O8/L8</f>
        <v>0.94605128205128775</v>
      </c>
      <c r="S8" s="417"/>
      <c r="T8" s="16">
        <v>0.54166666666666696</v>
      </c>
      <c r="U8" s="16">
        <v>0.58680555555555558</v>
      </c>
      <c r="V8" s="30">
        <f>(T8-U7)*24*60</f>
        <v>102.00000000000091</v>
      </c>
      <c r="W8" s="73">
        <f t="shared" si="0"/>
        <v>64.999999999999602</v>
      </c>
      <c r="X8" s="22"/>
      <c r="Y8" s="84"/>
      <c r="Z8" s="90"/>
      <c r="AA8" s="90"/>
      <c r="AB8" s="465"/>
      <c r="AC8" s="465"/>
      <c r="AD8" s="149"/>
      <c r="AE8" s="149"/>
      <c r="AF8" s="307">
        <f t="shared" si="1"/>
        <v>-121.38461538460251</v>
      </c>
      <c r="AG8" s="72">
        <f t="shared" si="2"/>
        <v>0.94605128205128775</v>
      </c>
      <c r="AH8" s="462"/>
    </row>
    <row r="9" spans="1:34" ht="15" customHeight="1">
      <c r="A9" s="42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8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5"/>
      <c r="AC9" s="465"/>
      <c r="AD9" s="149"/>
      <c r="AE9" s="149"/>
      <c r="AF9" s="307">
        <f t="shared" si="1"/>
        <v>0</v>
      </c>
      <c r="AG9" s="72" t="e">
        <f t="shared" si="2"/>
        <v>#DIV/0!</v>
      </c>
      <c r="AH9" s="463"/>
    </row>
    <row r="10" spans="1:34" ht="15" customHeight="1">
      <c r="A10" s="42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8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6"/>
      <c r="AC10" s="466"/>
      <c r="AD10" s="92"/>
      <c r="AE10" s="92"/>
      <c r="AF10" s="307">
        <f t="shared" si="1"/>
        <v>0</v>
      </c>
      <c r="AG10" s="72" t="e">
        <f t="shared" si="2"/>
        <v>#DIV/0!</v>
      </c>
      <c r="AH10" s="463"/>
    </row>
    <row r="11" spans="1:34" ht="15" customHeight="1">
      <c r="A11" s="42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5"/>
      <c r="AC11" s="465"/>
      <c r="AD11" s="149"/>
      <c r="AE11" s="149"/>
      <c r="AF11" s="307">
        <f t="shared" si="1"/>
        <v>0</v>
      </c>
      <c r="AG11" s="72" t="e">
        <f t="shared" si="2"/>
        <v>#DIV/0!</v>
      </c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 thickBo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2096.1594852516027</v>
      </c>
      <c r="O15" s="117">
        <f t="shared" si="3"/>
        <v>139.74396568344019</v>
      </c>
      <c r="P15" s="121">
        <f>M15-J15</f>
        <v>0</v>
      </c>
      <c r="Q15" s="122">
        <f>O15-L15</f>
        <v>-10.256034316559806</v>
      </c>
      <c r="R15" s="123">
        <f>O15/L15</f>
        <v>0.93162643788960131</v>
      </c>
      <c r="S15" s="42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7"/>
      <c r="AC15" s="467"/>
      <c r="AD15" s="323">
        <f>SUM(AD5:AD14)</f>
        <v>0</v>
      </c>
      <c r="AE15" s="323">
        <f>SUM(AE5:AE14)</f>
        <v>0</v>
      </c>
      <c r="AF15" s="309">
        <f>N15-K15</f>
        <v>-153.84051474839725</v>
      </c>
      <c r="AG15" s="124">
        <f>N15/K15</f>
        <v>0.9316264378896012</v>
      </c>
      <c r="AH15" s="464"/>
    </row>
    <row r="16" spans="1:34" ht="15" customHeight="1">
      <c r="A16" s="47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3165</v>
      </c>
      <c r="H16" s="134">
        <f>F16*G16</f>
        <v>160370.55000000002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2086.8131868132014</v>
      </c>
      <c r="O16" s="141">
        <f>N16/M16</f>
        <v>149.05808477237153</v>
      </c>
      <c r="P16" s="142">
        <f>M16-J16</f>
        <v>0</v>
      </c>
      <c r="Q16" s="143">
        <f>O16-L16</f>
        <v>-11.656200941914193</v>
      </c>
      <c r="R16" s="144">
        <f>O16/L16</f>
        <v>0.92747252747253395</v>
      </c>
      <c r="S16" s="472">
        <f>R26</f>
        <v>0.93318825079642909</v>
      </c>
      <c r="T16" s="145">
        <v>0.29027777777777802</v>
      </c>
      <c r="U16" s="145">
        <v>0.35347222222222202</v>
      </c>
      <c r="V16" s="135"/>
      <c r="W16" s="146">
        <f t="shared" ref="W16:W78" si="4">(U16-T16)*24*60</f>
        <v>90.999999999999361</v>
      </c>
      <c r="X16" s="141"/>
      <c r="Y16" s="296"/>
      <c r="Z16" s="169"/>
      <c r="AA16" s="169"/>
      <c r="AB16" s="468"/>
      <c r="AC16" s="468"/>
      <c r="AD16" s="135"/>
      <c r="AE16" s="135"/>
      <c r="AF16" s="229">
        <f>N16-K16</f>
        <v>-163.18681318679864</v>
      </c>
      <c r="AG16" s="52">
        <f>N16/K16</f>
        <v>0.92747252747253395</v>
      </c>
      <c r="AH16" s="461">
        <f>AG26</f>
        <v>0.93166601766601864</v>
      </c>
    </row>
    <row r="17" spans="1:34" ht="15" customHeight="1">
      <c r="A17" s="479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1353</v>
      </c>
      <c r="H17" s="78">
        <f>F17*G17</f>
        <v>76593.33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2029.4999999999827</v>
      </c>
      <c r="O17" s="96">
        <f>N17/M17</f>
        <v>135.29999999999885</v>
      </c>
      <c r="P17" s="97">
        <f>M17-J17</f>
        <v>0</v>
      </c>
      <c r="Q17" s="98">
        <f>O17-L17</f>
        <v>-14.700000000001154</v>
      </c>
      <c r="R17" s="99">
        <f>O17/L17</f>
        <v>0.90199999999999225</v>
      </c>
      <c r="S17" s="473"/>
      <c r="T17" s="19">
        <v>0.36111111111111099</v>
      </c>
      <c r="U17" s="19">
        <v>0.38888888888888901</v>
      </c>
      <c r="V17" s="30">
        <f>(T17-U16)*24*60</f>
        <v>11.000000000000121</v>
      </c>
      <c r="W17" s="149">
        <f t="shared" si="4"/>
        <v>40.000000000000341</v>
      </c>
      <c r="X17" s="19"/>
      <c r="Y17" s="297"/>
      <c r="Z17" s="90"/>
      <c r="AA17" s="90"/>
      <c r="AB17" s="466"/>
      <c r="AC17" s="466"/>
      <c r="AD17" s="92"/>
      <c r="AE17" s="92"/>
      <c r="AF17" s="307">
        <f>N17-K17</f>
        <v>-220.50000000001728</v>
      </c>
      <c r="AG17" s="72">
        <f>N17/K17</f>
        <v>0.90199999999999236</v>
      </c>
      <c r="AH17" s="462"/>
    </row>
    <row r="18" spans="1:34" ht="15" customHeight="1">
      <c r="A18" s="479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4019</v>
      </c>
      <c r="H18" s="78">
        <f>F18*G18</f>
        <v>202517.41</v>
      </c>
      <c r="I18" s="30"/>
      <c r="J18" s="79">
        <v>13</v>
      </c>
      <c r="K18" s="80">
        <f>VLOOKUP(D18,產線配置圖!$A$3:$C$40,3,0)</f>
        <v>2250</v>
      </c>
      <c r="L18" s="81">
        <f>K18/J18</f>
        <v>173.07692307692307</v>
      </c>
      <c r="M18" s="148">
        <v>13</v>
      </c>
      <c r="N18" s="95">
        <f>G18/W18*60</f>
        <v>2172.4324324324416</v>
      </c>
      <c r="O18" s="96">
        <f>N18/M18</f>
        <v>167.11018711018781</v>
      </c>
      <c r="P18" s="97">
        <f>M18-J18</f>
        <v>0</v>
      </c>
      <c r="Q18" s="98">
        <f>O18-L18</f>
        <v>-5.9667359667352571</v>
      </c>
      <c r="R18" s="99">
        <f>O18/L18</f>
        <v>0.96552552552552962</v>
      </c>
      <c r="S18" s="473"/>
      <c r="T18" s="19">
        <v>0.39305555555555599</v>
      </c>
      <c r="U18" s="19">
        <v>0.47013888888888899</v>
      </c>
      <c r="V18" s="30">
        <f>(T18-U17)*24*60</f>
        <v>6.0000000000004583</v>
      </c>
      <c r="W18" s="149">
        <f t="shared" si="4"/>
        <v>110.99999999999953</v>
      </c>
      <c r="X18" s="22">
        <v>0.48402777777777778</v>
      </c>
      <c r="Y18" s="84">
        <v>0.52569444444444446</v>
      </c>
      <c r="Z18" s="90"/>
      <c r="AA18" s="90"/>
      <c r="AB18" s="466"/>
      <c r="AC18" s="466"/>
      <c r="AD18" s="92"/>
      <c r="AE18" s="92"/>
      <c r="AF18" s="307">
        <f>N18-K18</f>
        <v>-77.567567567558399</v>
      </c>
      <c r="AG18" s="72">
        <f>N18/K18</f>
        <v>0.96552552552552962</v>
      </c>
      <c r="AH18" s="462"/>
    </row>
    <row r="19" spans="1:34" ht="15" customHeight="1">
      <c r="A19" s="479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3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65"/>
      <c r="AC19" s="465"/>
      <c r="AD19" s="149"/>
      <c r="AE19" s="149"/>
      <c r="AF19" s="307">
        <f>N19-K19</f>
        <v>0</v>
      </c>
      <c r="AG19" s="72" t="e">
        <f>N19/K19</f>
        <v>#DIV/0!</v>
      </c>
      <c r="AH19" s="463"/>
    </row>
    <row r="20" spans="1:34" ht="15" customHeight="1">
      <c r="A20" s="47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3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66"/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3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6"/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50"/>
      <c r="U22" s="150"/>
      <c r="V22" s="92"/>
      <c r="W22" s="149"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4"/>
        <v>0</v>
      </c>
      <c r="X23" s="92"/>
      <c r="Y23" s="298"/>
      <c r="Z23" s="90"/>
      <c r="AA23" s="90"/>
      <c r="AB23" s="466"/>
      <c r="AC23" s="46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 thickBo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>
        <f t="shared" ref="J26:O26" si="5">AVERAGE(J16:J25)</f>
        <v>14</v>
      </c>
      <c r="K26" s="155">
        <f t="shared" si="5"/>
        <v>2250</v>
      </c>
      <c r="L26" s="158">
        <f t="shared" si="5"/>
        <v>161.26373626373626</v>
      </c>
      <c r="M26" s="155">
        <f t="shared" si="5"/>
        <v>14</v>
      </c>
      <c r="N26" s="155">
        <f t="shared" si="5"/>
        <v>2096.248539748542</v>
      </c>
      <c r="O26" s="158">
        <f t="shared" si="5"/>
        <v>150.48942396085272</v>
      </c>
      <c r="P26" s="159">
        <f>M26-J26</f>
        <v>0</v>
      </c>
      <c r="Q26" s="160">
        <f>O26-L26</f>
        <v>-10.774312302883544</v>
      </c>
      <c r="R26" s="161">
        <f>O26/L26</f>
        <v>0.93318825079642909</v>
      </c>
      <c r="S26" s="474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7"/>
      <c r="AC26" s="467"/>
      <c r="AD26" s="323">
        <f>SUM(AD16:AD25)</f>
        <v>0</v>
      </c>
      <c r="AE26" s="323">
        <f>SUM(AE16:AE25)</f>
        <v>0</v>
      </c>
      <c r="AF26" s="309">
        <f t="shared" ref="AF26:AF31" si="6">N26-K26</f>
        <v>-153.75146025145796</v>
      </c>
      <c r="AG26" s="124">
        <f t="shared" ref="AG26:AG31" si="7">N26/K26</f>
        <v>0.93166601766601864</v>
      </c>
      <c r="AH26" s="464"/>
    </row>
    <row r="27" spans="1:34" ht="15" customHeight="1">
      <c r="A27" s="469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1555</v>
      </c>
      <c r="H27" s="134">
        <f>F27*G27</f>
        <v>88961.55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16</v>
      </c>
      <c r="N27" s="140">
        <f>G27/W27*60</f>
        <v>1097.6470588235252</v>
      </c>
      <c r="O27" s="141">
        <f>N27/M27</f>
        <v>68.602941176470324</v>
      </c>
      <c r="P27" s="142">
        <f>M27-J27</f>
        <v>-1</v>
      </c>
      <c r="Q27" s="143">
        <f>O27-L27</f>
        <v>-23.455882352941444</v>
      </c>
      <c r="R27" s="144">
        <f>O27/L27</f>
        <v>0.7452076677316265</v>
      </c>
      <c r="S27" s="472">
        <f>R37</f>
        <v>0.80407384638876911</v>
      </c>
      <c r="T27" s="171">
        <v>0.33333333333333298</v>
      </c>
      <c r="U27" s="171">
        <v>0.39236111111111099</v>
      </c>
      <c r="V27" s="135"/>
      <c r="W27" s="146">
        <f t="shared" si="4"/>
        <v>85.000000000000341</v>
      </c>
      <c r="X27" s="135"/>
      <c r="Y27" s="300" t="s">
        <v>46</v>
      </c>
      <c r="Z27" s="169"/>
      <c r="AA27" s="169"/>
      <c r="AB27" s="468" t="s">
        <v>260</v>
      </c>
      <c r="AC27" s="468"/>
      <c r="AD27" s="135"/>
      <c r="AE27" s="135"/>
      <c r="AF27" s="310">
        <f t="shared" si="6"/>
        <v>-467.35294117647481</v>
      </c>
      <c r="AG27" s="172">
        <f t="shared" si="7"/>
        <v>0.70137192257094261</v>
      </c>
      <c r="AH27" s="461">
        <f>AG37</f>
        <v>0.75677538483648865</v>
      </c>
    </row>
    <row r="28" spans="1:34" ht="15" customHeight="1">
      <c r="A28" s="470"/>
      <c r="B28" s="75" t="s">
        <v>81</v>
      </c>
      <c r="C28" s="173"/>
      <c r="D28" s="59" t="s">
        <v>128</v>
      </c>
      <c r="E28" s="104"/>
      <c r="F28" s="75">
        <f>VLOOKUP(D28,廠價表!$C$1:$E$43,3,0)</f>
        <v>57.21</v>
      </c>
      <c r="G28" s="90">
        <v>1813</v>
      </c>
      <c r="H28" s="91">
        <f>F28*G28</f>
        <v>103721.73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16</v>
      </c>
      <c r="N28" s="95">
        <f>G28/W28*60</f>
        <v>1342.9629629629626</v>
      </c>
      <c r="O28" s="96">
        <f>N28/M28</f>
        <v>83.935185185185162</v>
      </c>
      <c r="P28" s="97">
        <f>M28-J28</f>
        <v>-1</v>
      </c>
      <c r="Q28" s="98">
        <f>O28-L28</f>
        <v>-17.00599128540307</v>
      </c>
      <c r="R28" s="99">
        <f>O28/L28</f>
        <v>0.8315257273590605</v>
      </c>
      <c r="S28" s="473"/>
      <c r="T28" s="19">
        <v>0.39722222222222198</v>
      </c>
      <c r="U28" s="19">
        <v>0.453472222222222</v>
      </c>
      <c r="V28" s="92">
        <f>(T28-U27)*24*60</f>
        <v>6.9999999999998153</v>
      </c>
      <c r="W28" s="149">
        <f t="shared" si="4"/>
        <v>81.000000000000028</v>
      </c>
      <c r="X28" s="174">
        <v>0.46180555555555558</v>
      </c>
      <c r="Y28" s="301">
        <v>0.50347222222222221</v>
      </c>
      <c r="Z28" s="335"/>
      <c r="AA28" s="335"/>
      <c r="AB28" s="466"/>
      <c r="AC28" s="466"/>
      <c r="AD28" s="92"/>
      <c r="AE28" s="92"/>
      <c r="AF28" s="311">
        <f t="shared" si="6"/>
        <v>-373.03703703703741</v>
      </c>
      <c r="AG28" s="99">
        <f t="shared" si="7"/>
        <v>0.78261244927911577</v>
      </c>
      <c r="AH28" s="482"/>
    </row>
    <row r="29" spans="1:34" ht="15" customHeight="1">
      <c r="A29" s="470"/>
      <c r="B29" s="75" t="s">
        <v>123</v>
      </c>
      <c r="C29" s="88"/>
      <c r="D29" s="59" t="s">
        <v>124</v>
      </c>
      <c r="E29" s="89"/>
      <c r="F29" s="75">
        <f>VLOOKUP(D29,廠價表!$C$1:$E$43,3,0)</f>
        <v>44.3</v>
      </c>
      <c r="G29" s="90">
        <v>1878</v>
      </c>
      <c r="H29" s="91">
        <f>F29*G29</f>
        <v>83195.399999999994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16</v>
      </c>
      <c r="N29" s="95">
        <f>G29/W29*60</f>
        <v>1280.4545454545269</v>
      </c>
      <c r="O29" s="96">
        <f>N29/M29</f>
        <v>80.028409090907928</v>
      </c>
      <c r="P29" s="97">
        <f>M29-J29</f>
        <v>-1</v>
      </c>
      <c r="Q29" s="98">
        <f>O29-L29</f>
        <v>-16.20688502673913</v>
      </c>
      <c r="R29" s="99">
        <f>O29/L29</f>
        <v>0.83159104801065697</v>
      </c>
      <c r="S29" s="473"/>
      <c r="T29" s="19">
        <v>0.51944444444444404</v>
      </c>
      <c r="U29" s="19">
        <v>0.58055555555555605</v>
      </c>
      <c r="V29" s="92">
        <f>(T29-U28)*24*60</f>
        <v>94.999999999999744</v>
      </c>
      <c r="W29" s="149">
        <f t="shared" si="4"/>
        <v>88.000000000001279</v>
      </c>
      <c r="X29" s="22"/>
      <c r="Y29" s="84"/>
      <c r="Z29" s="90"/>
      <c r="AA29" s="90"/>
      <c r="AB29" s="466"/>
      <c r="AC29" s="466"/>
      <c r="AD29" s="92"/>
      <c r="AE29" s="92"/>
      <c r="AF29" s="312">
        <f t="shared" si="6"/>
        <v>-355.54545454547315</v>
      </c>
      <c r="AG29" s="99">
        <f t="shared" si="7"/>
        <v>0.78267392753944187</v>
      </c>
      <c r="AH29" s="482"/>
    </row>
    <row r="30" spans="1:34" ht="15" customHeight="1">
      <c r="A30" s="470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3"/>
      <c r="T30" s="19"/>
      <c r="U30" s="19"/>
      <c r="V30" s="92"/>
      <c r="W30" s="149">
        <f t="shared" si="4"/>
        <v>0</v>
      </c>
      <c r="X30" s="174"/>
      <c r="Y30" s="301"/>
      <c r="Z30" s="335"/>
      <c r="AA30" s="335"/>
      <c r="AB30" s="466"/>
      <c r="AC30" s="466"/>
      <c r="AD30" s="92"/>
      <c r="AE30" s="92"/>
      <c r="AF30" s="312">
        <f t="shared" si="6"/>
        <v>0</v>
      </c>
      <c r="AG30" s="99" t="e">
        <f t="shared" si="7"/>
        <v>#DIV/0!</v>
      </c>
      <c r="AH30" s="483"/>
    </row>
    <row r="31" spans="1:34" ht="15" customHeight="1">
      <c r="A31" s="47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3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6"/>
      <c r="AC31" s="466"/>
      <c r="AD31" s="92"/>
      <c r="AE31" s="92"/>
      <c r="AF31" s="312">
        <f t="shared" si="6"/>
        <v>0</v>
      </c>
      <c r="AG31" s="99" t="e">
        <f t="shared" si="7"/>
        <v>#DIV/0!</v>
      </c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66"/>
      <c r="AC32" s="466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6"/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 thickBo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>
        <f t="shared" ref="J37:O37" si="8">AVERAGE(J27:J36)</f>
        <v>17</v>
      </c>
      <c r="K37" s="155">
        <f t="shared" si="8"/>
        <v>1639</v>
      </c>
      <c r="L37" s="158">
        <f t="shared" si="8"/>
        <v>96.411764705882362</v>
      </c>
      <c r="M37" s="155">
        <f t="shared" si="8"/>
        <v>16</v>
      </c>
      <c r="N37" s="155">
        <f t="shared" si="8"/>
        <v>1240.3548557470049</v>
      </c>
      <c r="O37" s="158">
        <f t="shared" si="8"/>
        <v>77.522178484187805</v>
      </c>
      <c r="P37" s="159">
        <f>M37-J37</f>
        <v>-1</v>
      </c>
      <c r="Q37" s="160">
        <f>N37-K37</f>
        <v>-398.64514425299512</v>
      </c>
      <c r="R37" s="161">
        <f>O37/L37</f>
        <v>0.80407384638876911</v>
      </c>
      <c r="S37" s="474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7"/>
      <c r="AC37" s="477"/>
      <c r="AD37" s="324">
        <f>SUM(AD27:AD36)</f>
        <v>0</v>
      </c>
      <c r="AE37" s="324">
        <f>SUM(AE27:AE36)</f>
        <v>0</v>
      </c>
      <c r="AF37" s="309">
        <f>N37-K37</f>
        <v>-398.64514425299512</v>
      </c>
      <c r="AG37" s="124">
        <f>N37/K37</f>
        <v>0.75677538483648865</v>
      </c>
      <c r="AH37" s="464"/>
    </row>
    <row r="38" spans="1:34" ht="15" customHeight="1">
      <c r="A38" s="491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2805</v>
      </c>
      <c r="H38" s="134">
        <f>F38*G38</f>
        <v>139997.54999999999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1602.8571428571424</v>
      </c>
      <c r="O38" s="141">
        <f>N38/M38</f>
        <v>106.85714285714283</v>
      </c>
      <c r="P38" s="142">
        <f>M38-J38</f>
        <v>0</v>
      </c>
      <c r="Q38" s="143">
        <f>O38-L38</f>
        <v>-7.4095238095238329</v>
      </c>
      <c r="R38" s="144">
        <f>O38/L38</f>
        <v>0.93515585930988476</v>
      </c>
      <c r="S38" s="494">
        <f>R48</f>
        <v>0.89198554342560998</v>
      </c>
      <c r="T38" s="191">
        <v>0.3298611111111111</v>
      </c>
      <c r="U38" s="191">
        <v>0.40277777777777779</v>
      </c>
      <c r="V38" s="192"/>
      <c r="W38" s="193">
        <f t="shared" si="4"/>
        <v>105.00000000000003</v>
      </c>
      <c r="X38" s="194"/>
      <c r="Y38" s="302"/>
      <c r="Z38" s="336"/>
      <c r="AA38" s="336"/>
      <c r="AB38" s="496"/>
      <c r="AC38" s="496"/>
      <c r="AD38" s="192"/>
      <c r="AE38" s="192"/>
      <c r="AF38" s="313">
        <f>N38-K38</f>
        <v>-111.14285714285757</v>
      </c>
      <c r="AG38" s="195">
        <f>N38/K38</f>
        <v>0.93515585930988476</v>
      </c>
      <c r="AH38" s="484">
        <f>AG48</f>
        <v>0.88904051172707688</v>
      </c>
    </row>
    <row r="39" spans="1:34" ht="15" customHeight="1">
      <c r="A39" s="492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2407</v>
      </c>
      <c r="H39" s="91">
        <f>F39*G39</f>
        <v>106630.09999999999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1375.4285714285647</v>
      </c>
      <c r="O39" s="203">
        <f>N39/M39</f>
        <v>80.907563025209697</v>
      </c>
      <c r="P39" s="97">
        <f>M39-J39</f>
        <v>0</v>
      </c>
      <c r="Q39" s="98">
        <f>O39-L39</f>
        <v>-15.327731092437361</v>
      </c>
      <c r="R39" s="99">
        <f>O39/L39</f>
        <v>0.84072651065315696</v>
      </c>
      <c r="S39" s="495"/>
      <c r="T39" s="20">
        <v>0.40972222222222199</v>
      </c>
      <c r="U39" s="20">
        <v>0.48263888888888901</v>
      </c>
      <c r="V39" s="92">
        <f>(T39-U38)*24*60</f>
        <v>9.9999999999996447</v>
      </c>
      <c r="W39" s="205">
        <f t="shared" si="4"/>
        <v>105.00000000000051</v>
      </c>
      <c r="X39" s="22"/>
      <c r="Y39" s="84"/>
      <c r="Z39" s="90"/>
      <c r="AA39" s="90"/>
      <c r="AB39" s="487"/>
      <c r="AC39" s="487"/>
      <c r="AD39" s="200"/>
      <c r="AE39" s="200"/>
      <c r="AF39" s="314">
        <f>N39-K39</f>
        <v>-260.57142857143526</v>
      </c>
      <c r="AG39" s="206">
        <f>N39/K39</f>
        <v>0.84072651065315696</v>
      </c>
      <c r="AH39" s="485"/>
    </row>
    <row r="40" spans="1:34" ht="15" customHeight="1">
      <c r="A40" s="492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17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466"/>
      <c r="AC40" s="466"/>
      <c r="AD40" s="92"/>
      <c r="AE40" s="92"/>
      <c r="AF40" s="314">
        <f>N40-K40</f>
        <v>0</v>
      </c>
      <c r="AG40" s="206" t="e">
        <f>N40/K40</f>
        <v>#DIV/0!</v>
      </c>
      <c r="AH40" s="485"/>
    </row>
    <row r="41" spans="1:34" ht="15" customHeight="1">
      <c r="A41" s="49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7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6"/>
      <c r="AC41" s="466"/>
      <c r="AD41" s="92"/>
      <c r="AE41" s="92"/>
      <c r="AF41" s="314">
        <f>N41-K41</f>
        <v>0</v>
      </c>
      <c r="AG41" s="206" t="e">
        <f>N41/K41</f>
        <v>#DIV/0!</v>
      </c>
      <c r="AH41" s="485"/>
    </row>
    <row r="42" spans="1:34" ht="15" customHeight="1">
      <c r="A42" s="49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7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6"/>
      <c r="AC42" s="466"/>
      <c r="AD42" s="92"/>
      <c r="AE42" s="92"/>
      <c r="AF42" s="314"/>
      <c r="AG42" s="206"/>
      <c r="AH42" s="485"/>
    </row>
    <row r="43" spans="1:34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 thickBo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>
        <f t="shared" ref="J48:O48" si="9">AVERAGE(J38:J47)</f>
        <v>16</v>
      </c>
      <c r="K48" s="155">
        <f t="shared" si="9"/>
        <v>1675</v>
      </c>
      <c r="L48" s="158">
        <f t="shared" si="9"/>
        <v>105.25098039215686</v>
      </c>
      <c r="M48" s="155">
        <f t="shared" si="9"/>
        <v>16</v>
      </c>
      <c r="N48" s="155">
        <f t="shared" si="9"/>
        <v>1489.1428571428537</v>
      </c>
      <c r="O48" s="158">
        <f t="shared" si="9"/>
        <v>93.882352941176265</v>
      </c>
      <c r="P48" s="221">
        <f>M48-J48</f>
        <v>0</v>
      </c>
      <c r="Q48" s="222">
        <f>N48-K48</f>
        <v>-185.8571428571463</v>
      </c>
      <c r="R48" s="223">
        <f>O48/L48</f>
        <v>0.89198554342560998</v>
      </c>
      <c r="S48" s="420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67"/>
      <c r="AC48" s="467"/>
      <c r="AD48" s="323">
        <f>SUM(AD38:AD47)</f>
        <v>0</v>
      </c>
      <c r="AE48" s="323">
        <f>SUM(AE38:AE47)</f>
        <v>0</v>
      </c>
      <c r="AF48" s="315">
        <f t="shared" ref="AF48:AF53" si="10">N48-K48</f>
        <v>-185.8571428571463</v>
      </c>
      <c r="AG48" s="162">
        <f t="shared" ref="AG48:AG53" si="11">N48/K48</f>
        <v>0.88904051172707688</v>
      </c>
      <c r="AH48" s="486"/>
    </row>
    <row r="49" spans="1:34" ht="15" customHeight="1">
      <c r="A49" s="488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1976</v>
      </c>
      <c r="H49" s="134">
        <f>F49*G49</f>
        <v>97851.520000000004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1580.8000000000106</v>
      </c>
      <c r="O49" s="141">
        <f>N49/M49</f>
        <v>92.988235294118269</v>
      </c>
      <c r="P49" s="229">
        <f>M49-J49</f>
        <v>0</v>
      </c>
      <c r="Q49" s="230">
        <f>O49-L49</f>
        <v>-12.894117647058195</v>
      </c>
      <c r="R49" s="52">
        <f>O49/L49</f>
        <v>0.87822222222222812</v>
      </c>
      <c r="S49" s="416">
        <f>R58</f>
        <v>0.92408373523630583</v>
      </c>
      <c r="T49" s="191">
        <v>0.29166666666666702</v>
      </c>
      <c r="U49" s="191">
        <v>0.34375</v>
      </c>
      <c r="V49" s="55"/>
      <c r="W49" s="193">
        <f t="shared" si="4"/>
        <v>74.999999999999488</v>
      </c>
      <c r="X49" s="55"/>
      <c r="Y49" s="290"/>
      <c r="Z49" s="169"/>
      <c r="AA49" s="169"/>
      <c r="AB49" s="468"/>
      <c r="AC49" s="468"/>
      <c r="AD49" s="135"/>
      <c r="AE49" s="135"/>
      <c r="AF49" s="229">
        <f t="shared" si="10"/>
        <v>-219.19999999998936</v>
      </c>
      <c r="AG49" s="52">
        <f t="shared" si="11"/>
        <v>0.87822222222222812</v>
      </c>
      <c r="AH49" s="461">
        <f>AG58</f>
        <v>0.92427199859685272</v>
      </c>
    </row>
    <row r="50" spans="1:34" ht="15" customHeight="1">
      <c r="A50" s="489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2150</v>
      </c>
      <c r="H50" s="231">
        <f>F50*G50</f>
        <v>107435.5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1697.3684210526303</v>
      </c>
      <c r="O50" s="235">
        <f>N50/M50</f>
        <v>106.08552631578939</v>
      </c>
      <c r="P50" s="74">
        <f>M50-J50</f>
        <v>0</v>
      </c>
      <c r="Q50" s="83">
        <f>O50-L50</f>
        <v>-6.4144736842106056</v>
      </c>
      <c r="R50" s="72">
        <f>O50/L50</f>
        <v>0.94298245614035014</v>
      </c>
      <c r="S50" s="417"/>
      <c r="T50" s="21">
        <v>0.34930555555555554</v>
      </c>
      <c r="U50" s="21">
        <v>0.40208333333333335</v>
      </c>
      <c r="V50" s="30">
        <f>(T50-U49)*24*60</f>
        <v>7.9999999999999716</v>
      </c>
      <c r="W50" s="236">
        <f t="shared" si="4"/>
        <v>76.000000000000057</v>
      </c>
      <c r="X50" s="22"/>
      <c r="Y50" s="84"/>
      <c r="Z50" s="90"/>
      <c r="AA50" s="90"/>
      <c r="AB50" s="466"/>
      <c r="AC50" s="466"/>
      <c r="AD50" s="92"/>
      <c r="AE50" s="92"/>
      <c r="AF50" s="307">
        <f t="shared" si="10"/>
        <v>-102.63157894736969</v>
      </c>
      <c r="AG50" s="72">
        <f t="shared" si="11"/>
        <v>0.94298245614035014</v>
      </c>
      <c r="AH50" s="462"/>
    </row>
    <row r="51" spans="1:34" ht="15" customHeight="1">
      <c r="A51" s="489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2565</v>
      </c>
      <c r="H51" s="231">
        <f>F51*G51</f>
        <v>128991.285</v>
      </c>
      <c r="I51" s="232"/>
      <c r="J51" s="79">
        <v>18</v>
      </c>
      <c r="K51" s="80">
        <f>VLOOKUP(D51,產線配置圖!$A$3:$C$40,3,0)</f>
        <v>1565</v>
      </c>
      <c r="L51" s="81">
        <f>K51/J51</f>
        <v>86.944444444444443</v>
      </c>
      <c r="M51" s="233">
        <v>18</v>
      </c>
      <c r="N51" s="234">
        <f>G51/W51*60</f>
        <v>1494.174757281553</v>
      </c>
      <c r="O51" s="235">
        <f>N51/M51</f>
        <v>83.009708737864059</v>
      </c>
      <c r="P51" s="74">
        <f>M51-J51</f>
        <v>0</v>
      </c>
      <c r="Q51" s="83">
        <f>O51-L51</f>
        <v>-3.9347357065803834</v>
      </c>
      <c r="R51" s="72">
        <f>O51/L51</f>
        <v>0.9547442538540275</v>
      </c>
      <c r="S51" s="417"/>
      <c r="T51" s="21">
        <v>0.40763888888888888</v>
      </c>
      <c r="U51" s="19">
        <v>0.47916666666666669</v>
      </c>
      <c r="V51" s="30">
        <f>(T51-U50)*24*60</f>
        <v>7.9999999999999716</v>
      </c>
      <c r="W51" s="236">
        <f t="shared" si="4"/>
        <v>103.00000000000003</v>
      </c>
      <c r="X51" s="22">
        <v>0.4826388888888889</v>
      </c>
      <c r="Y51" s="84">
        <v>0.53472222222222221</v>
      </c>
      <c r="Z51" s="90"/>
      <c r="AA51" s="90"/>
      <c r="AB51" s="466"/>
      <c r="AC51" s="466"/>
      <c r="AD51" s="92"/>
      <c r="AE51" s="92"/>
      <c r="AF51" s="307">
        <f t="shared" si="10"/>
        <v>-70.825242718447043</v>
      </c>
      <c r="AG51" s="72">
        <f t="shared" si="11"/>
        <v>0.9547442538540275</v>
      </c>
      <c r="AH51" s="462"/>
    </row>
    <row r="52" spans="1:34" ht="15" customHeight="1">
      <c r="A52" s="489"/>
      <c r="B52" s="75" t="s">
        <v>81</v>
      </c>
      <c r="C52" s="86"/>
      <c r="D52" s="59" t="s">
        <v>121</v>
      </c>
      <c r="E52" s="87"/>
      <c r="F52" s="75">
        <f>VLOOKUP(D52,廠價表!$C$1:$E$43,3,0)</f>
        <v>50.289000000000001</v>
      </c>
      <c r="G52" s="202">
        <v>534</v>
      </c>
      <c r="H52" s="231">
        <f>F52*G52</f>
        <v>26854.326000000001</v>
      </c>
      <c r="I52" s="232"/>
      <c r="J52" s="79">
        <v>18</v>
      </c>
      <c r="K52" s="80">
        <f>VLOOKUP(D52,產線配置圖!$A$3:$C$40,3,0)</f>
        <v>1565</v>
      </c>
      <c r="L52" s="81">
        <f>K52/J52</f>
        <v>86.944444444444443</v>
      </c>
      <c r="M52" s="233">
        <v>18</v>
      </c>
      <c r="N52" s="234">
        <f>G52/W52*60</f>
        <v>1456.3636363636203</v>
      </c>
      <c r="O52" s="235">
        <f>N52/M52</f>
        <v>80.909090909090025</v>
      </c>
      <c r="P52" s="74">
        <f>M52-J52</f>
        <v>0</v>
      </c>
      <c r="Q52" s="83">
        <f>O52-L52</f>
        <v>-6.0353535353544174</v>
      </c>
      <c r="R52" s="72">
        <f>O52/L52</f>
        <v>0.93058379320359141</v>
      </c>
      <c r="S52" s="417"/>
      <c r="T52" s="21">
        <v>0.53611111111111109</v>
      </c>
      <c r="U52" s="21">
        <v>0.55138888888888904</v>
      </c>
      <c r="V52" s="30">
        <f>(T52-U51)*24*60</f>
        <v>81.999999999999943</v>
      </c>
      <c r="W52" s="236">
        <f t="shared" si="4"/>
        <v>22.000000000000242</v>
      </c>
      <c r="X52" s="22"/>
      <c r="Y52" s="84"/>
      <c r="Z52" s="90"/>
      <c r="AA52" s="90"/>
      <c r="AB52" s="466"/>
      <c r="AC52" s="466"/>
      <c r="AD52" s="92"/>
      <c r="AE52" s="92"/>
      <c r="AF52" s="307">
        <f t="shared" si="10"/>
        <v>-108.63636363637966</v>
      </c>
      <c r="AG52" s="72">
        <f t="shared" si="11"/>
        <v>0.9305837932035913</v>
      </c>
      <c r="AH52" s="462"/>
    </row>
    <row r="53" spans="1:34" ht="15" customHeight="1">
      <c r="A53" s="489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2483</v>
      </c>
      <c r="H53" s="231">
        <f>F53*G53</f>
        <v>124075.51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>K53/J53</f>
        <v>112.5</v>
      </c>
      <c r="M53" s="108">
        <v>16</v>
      </c>
      <c r="N53" s="234">
        <f>G53/W53*60</f>
        <v>1655.3333333333392</v>
      </c>
      <c r="O53" s="235">
        <f>N53/M53</f>
        <v>103.4583333333337</v>
      </c>
      <c r="P53" s="74">
        <f>M53-J53</f>
        <v>0</v>
      </c>
      <c r="Q53" s="83">
        <f>O53-L53</f>
        <v>-9.0416666666663019</v>
      </c>
      <c r="R53" s="72">
        <f>O53/L53</f>
        <v>0.91962962962963291</v>
      </c>
      <c r="S53" s="417"/>
      <c r="T53" s="21">
        <v>0.55902777777777801</v>
      </c>
      <c r="U53" s="21">
        <v>0.62152777777777779</v>
      </c>
      <c r="V53" s="30">
        <f>(T53-U52)*24*60</f>
        <v>11.000000000000121</v>
      </c>
      <c r="W53" s="236">
        <f t="shared" si="4"/>
        <v>89.999999999999687</v>
      </c>
      <c r="X53" s="30"/>
      <c r="Y53" s="151"/>
      <c r="Z53" s="90"/>
      <c r="AA53" s="90"/>
      <c r="AB53" s="466"/>
      <c r="AC53" s="466"/>
      <c r="AD53" s="92"/>
      <c r="AE53" s="92"/>
      <c r="AF53" s="307">
        <f t="shared" si="10"/>
        <v>-144.66666666666083</v>
      </c>
      <c r="AG53" s="72">
        <f t="shared" si="11"/>
        <v>0.91962962962963291</v>
      </c>
      <c r="AH53" s="462"/>
    </row>
    <row r="54" spans="1:34" ht="15" customHeight="1">
      <c r="A54" s="48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7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 thickBot="1">
      <c r="A58" s="490"/>
      <c r="B58" s="239"/>
      <c r="C58" s="153" t="s">
        <v>51</v>
      </c>
      <c r="D58" s="437" t="s">
        <v>42</v>
      </c>
      <c r="E58" s="437"/>
      <c r="F58" s="116"/>
      <c r="G58" s="240"/>
      <c r="H58" s="118"/>
      <c r="I58" s="117"/>
      <c r="J58" s="120">
        <f t="shared" ref="J58:O58" si="12">AVERAGE(J49:J57)</f>
        <v>17</v>
      </c>
      <c r="K58" s="120">
        <f t="shared" si="12"/>
        <v>1706</v>
      </c>
      <c r="L58" s="117">
        <f t="shared" si="12"/>
        <v>100.95424836601308</v>
      </c>
      <c r="M58" s="120">
        <f t="shared" si="12"/>
        <v>17</v>
      </c>
      <c r="N58" s="120">
        <f t="shared" si="12"/>
        <v>1576.8080296062308</v>
      </c>
      <c r="O58" s="117">
        <f t="shared" si="12"/>
        <v>93.290178918039089</v>
      </c>
      <c r="P58" s="121">
        <f>M58-J58</f>
        <v>0</v>
      </c>
      <c r="Q58" s="122">
        <f>N58-K58</f>
        <v>-129.19197039376922</v>
      </c>
      <c r="R58" s="123">
        <f>O58/L58</f>
        <v>0.92408373523630583</v>
      </c>
      <c r="S58" s="42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7"/>
      <c r="AC58" s="467"/>
      <c r="AD58" s="323">
        <f>SUM(AD49:AD57)</f>
        <v>0</v>
      </c>
      <c r="AE58" s="323">
        <f>SUM(AE49:AE57)</f>
        <v>0</v>
      </c>
      <c r="AF58" s="309">
        <f>N58-K58</f>
        <v>-129.19197039376922</v>
      </c>
      <c r="AG58" s="124">
        <f>N58/K58</f>
        <v>0.92427199859685272</v>
      </c>
      <c r="AH58" s="464"/>
    </row>
    <row r="59" spans="1:34" ht="15" customHeight="1">
      <c r="A59" s="502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3419</v>
      </c>
      <c r="H59" s="243">
        <f>F59*G59</f>
        <v>92278.81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1497.3722627737216</v>
      </c>
      <c r="O59" s="138">
        <f>N59/M59</f>
        <v>99.824817518248111</v>
      </c>
      <c r="P59" s="56">
        <f>M59-J59</f>
        <v>0</v>
      </c>
      <c r="Q59" s="230">
        <f>O59-L59</f>
        <v>-4.508515815085218</v>
      </c>
      <c r="R59" s="52">
        <f>O59/L59</f>
        <v>0.95678738835381583</v>
      </c>
      <c r="S59" s="416">
        <f>R69</f>
        <v>0.81757363574552466</v>
      </c>
      <c r="T59" s="245">
        <v>0.28819444444444442</v>
      </c>
      <c r="U59" s="245">
        <v>0.38333333333333336</v>
      </c>
      <c r="V59" s="55"/>
      <c r="W59" s="54">
        <f t="shared" si="4"/>
        <v>137.00000000000009</v>
      </c>
      <c r="X59" s="55"/>
      <c r="Y59" s="290"/>
      <c r="Z59" s="169"/>
      <c r="AA59" s="169"/>
      <c r="AB59" s="468"/>
      <c r="AC59" s="468"/>
      <c r="AD59" s="135"/>
      <c r="AE59" s="135"/>
      <c r="AF59" s="310">
        <f>N59-K59</f>
        <v>-67.627737226278441</v>
      </c>
      <c r="AG59" s="246">
        <f>N59/K59</f>
        <v>0.95678738835381572</v>
      </c>
      <c r="AH59" s="461">
        <f>AG69</f>
        <v>0.74922510000150488</v>
      </c>
    </row>
    <row r="60" spans="1:34" ht="15" customHeight="1">
      <c r="A60" s="503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1560</v>
      </c>
      <c r="H60" s="78">
        <f>F60*G60</f>
        <v>44085.600000000006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11</v>
      </c>
      <c r="N60" s="80">
        <f>G60/W60*60</f>
        <v>1376.4705882352941</v>
      </c>
      <c r="O60" s="81">
        <f>N60/M60</f>
        <v>125.1336898395722</v>
      </c>
      <c r="P60" s="74">
        <f>M60-J60</f>
        <v>-1</v>
      </c>
      <c r="Q60" s="83">
        <f>O60-L60</f>
        <v>-5.2829768270944584</v>
      </c>
      <c r="R60" s="72">
        <f>O60/L60</f>
        <v>0.95949155148553766</v>
      </c>
      <c r="S60" s="506"/>
      <c r="T60" s="22">
        <v>0.39027777777777778</v>
      </c>
      <c r="U60" s="22">
        <v>0.4375</v>
      </c>
      <c r="V60" s="30">
        <f>(T60-U59)*24*60</f>
        <v>9.9999999999999645</v>
      </c>
      <c r="W60" s="248">
        <f t="shared" si="4"/>
        <v>68</v>
      </c>
      <c r="X60" s="232"/>
      <c r="Y60" s="177"/>
      <c r="Z60" s="90"/>
      <c r="AA60" s="90"/>
      <c r="AB60" s="466"/>
      <c r="AC60" s="466"/>
      <c r="AD60" s="92"/>
      <c r="AE60" s="92"/>
      <c r="AF60" s="316">
        <f>N60-K60</f>
        <v>-188.52941176470586</v>
      </c>
      <c r="AG60" s="249">
        <f>N60/K60</f>
        <v>0.87953392219507609</v>
      </c>
      <c r="AH60" s="497"/>
    </row>
    <row r="61" spans="1:34" ht="15" customHeight="1">
      <c r="A61" s="504"/>
      <c r="B61" s="250" t="s">
        <v>81</v>
      </c>
      <c r="C61" s="251"/>
      <c r="D61" s="252" t="s">
        <v>119</v>
      </c>
      <c r="E61" s="253"/>
      <c r="F61" s="250">
        <f>VLOOKUP(D61,廠價表!$C$1:$E$43,3,0)</f>
        <v>50.67</v>
      </c>
      <c r="G61" s="38">
        <v>952</v>
      </c>
      <c r="H61" s="254">
        <f>F61*G61</f>
        <v>48237.840000000004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11</v>
      </c>
      <c r="N61" s="107">
        <f>G61/W61*60</f>
        <v>672.00000000000239</v>
      </c>
      <c r="O61" s="238">
        <f>N61/M61</f>
        <v>61.090909090909307</v>
      </c>
      <c r="P61" s="111">
        <f>M61-J61</f>
        <v>-2</v>
      </c>
      <c r="Q61" s="255">
        <f>O61-L61</f>
        <v>-49.678321678321467</v>
      </c>
      <c r="R61" s="85">
        <f>O61/L61</f>
        <v>0.5515151515151534</v>
      </c>
      <c r="S61" s="417"/>
      <c r="T61" s="22">
        <v>0.44444444444444442</v>
      </c>
      <c r="U61" s="22">
        <v>0.50347222222222199</v>
      </c>
      <c r="V61" s="30">
        <f>(T61-U60)*24*60</f>
        <v>9.9999999999999645</v>
      </c>
      <c r="W61" s="256">
        <f t="shared" si="4"/>
        <v>84.999999999999702</v>
      </c>
      <c r="X61" s="22">
        <v>0.51388888888888884</v>
      </c>
      <c r="Y61" s="84">
        <v>0.55555555555555558</v>
      </c>
      <c r="Z61" s="90"/>
      <c r="AA61" s="90"/>
      <c r="AB61" s="466" t="s">
        <v>261</v>
      </c>
      <c r="AC61" s="466"/>
      <c r="AD61" s="92"/>
      <c r="AE61" s="92"/>
      <c r="AF61" s="317">
        <f>N61-K61</f>
        <v>-767.99999999999761</v>
      </c>
      <c r="AG61" s="247">
        <f>N61/K61</f>
        <v>0.46666666666666834</v>
      </c>
      <c r="AH61" s="462"/>
    </row>
    <row r="62" spans="1:34" ht="15" customHeight="1">
      <c r="A62" s="504"/>
      <c r="B62" s="250" t="s">
        <v>81</v>
      </c>
      <c r="C62" s="251"/>
      <c r="D62" s="257" t="s">
        <v>119</v>
      </c>
      <c r="E62" s="253"/>
      <c r="F62" s="250">
        <f>VLOOKUP(D62,廠價表!$C$1:$E$43,3,0)</f>
        <v>50.67</v>
      </c>
      <c r="G62" s="38">
        <v>638</v>
      </c>
      <c r="H62" s="254">
        <f>F62*G62</f>
        <v>32327.460000000003</v>
      </c>
      <c r="I62" s="182"/>
      <c r="J62" s="106">
        <f>VLOOKUP(D62,產線配置圖!$A$3:$C$40,2,0)</f>
        <v>13</v>
      </c>
      <c r="K62" s="107">
        <f>VLOOKUP(D62,產線配置圖!$A$3:$C$40,3,0)</f>
        <v>1440</v>
      </c>
      <c r="L62" s="238">
        <f>K62/J62</f>
        <v>110.76923076923077</v>
      </c>
      <c r="M62" s="108">
        <v>11</v>
      </c>
      <c r="N62" s="107">
        <f>G62/W62*60</f>
        <v>957.00000000002638</v>
      </c>
      <c r="O62" s="238">
        <f>N62/M62</f>
        <v>87.000000000002402</v>
      </c>
      <c r="P62" s="111">
        <f>M62-J62</f>
        <v>-2</v>
      </c>
      <c r="Q62" s="255">
        <f>O62-L62</f>
        <v>-23.769230769228372</v>
      </c>
      <c r="R62" s="85">
        <f>O62/L62</f>
        <v>0.7854166666666883</v>
      </c>
      <c r="S62" s="417"/>
      <c r="T62" s="22">
        <v>0.55555555555555602</v>
      </c>
      <c r="U62" s="22">
        <v>0.58333333333333304</v>
      </c>
      <c r="V62" s="30">
        <f>(T62-U61)*24*60</f>
        <v>75.000000000001009</v>
      </c>
      <c r="W62" s="248">
        <f t="shared" si="4"/>
        <v>39.999999999998899</v>
      </c>
      <c r="X62" s="22"/>
      <c r="Y62" s="84"/>
      <c r="Z62" s="90"/>
      <c r="AA62" s="90"/>
      <c r="AB62" s="466" t="s">
        <v>262</v>
      </c>
      <c r="AC62" s="466"/>
      <c r="AD62" s="92"/>
      <c r="AE62" s="92"/>
      <c r="AF62" s="317">
        <f>N62-K62</f>
        <v>-482.99999999997362</v>
      </c>
      <c r="AG62" s="247">
        <f>N62/K62</f>
        <v>0.66458333333335162</v>
      </c>
      <c r="AH62" s="462"/>
    </row>
    <row r="63" spans="1:34" ht="15" customHeight="1">
      <c r="A63" s="504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7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6"/>
      <c r="AC63" s="466"/>
      <c r="AD63" s="92"/>
      <c r="AE63" s="92"/>
      <c r="AF63" s="317"/>
      <c r="AG63" s="247"/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 thickBo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>
        <f t="shared" ref="J69:O69" si="13">AVERAGE(J59:J68)</f>
        <v>13.25</v>
      </c>
      <c r="K69" s="240">
        <f t="shared" si="13"/>
        <v>1502.5</v>
      </c>
      <c r="L69" s="268">
        <f t="shared" si="13"/>
        <v>114.07211538461539</v>
      </c>
      <c r="M69" s="240">
        <f t="shared" si="13"/>
        <v>12</v>
      </c>
      <c r="N69" s="240">
        <f t="shared" si="13"/>
        <v>1125.7107127522611</v>
      </c>
      <c r="O69" s="268">
        <f t="shared" si="13"/>
        <v>93.262354112183004</v>
      </c>
      <c r="P69" s="269">
        <f>M69-J69</f>
        <v>-1.25</v>
      </c>
      <c r="Q69" s="222">
        <f>N69-K69</f>
        <v>-376.78928724773891</v>
      </c>
      <c r="R69" s="123">
        <f>O69/L69</f>
        <v>0.81757363574552466</v>
      </c>
      <c r="S69" s="42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7"/>
      <c r="AC69" s="467"/>
      <c r="AD69" s="323">
        <f>SUM(AD59:AD68)</f>
        <v>0</v>
      </c>
      <c r="AE69" s="323">
        <f>SUM(AE59:AE68)</f>
        <v>0</v>
      </c>
      <c r="AF69" s="309">
        <f>N69-K69</f>
        <v>-376.78928724773891</v>
      </c>
      <c r="AG69" s="124">
        <f>N69/K69</f>
        <v>0.74922510000150488</v>
      </c>
      <c r="AH69" s="464"/>
    </row>
    <row r="70" spans="1:36" ht="15" customHeight="1">
      <c r="A70" s="498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6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68"/>
      <c r="AC70" s="468"/>
      <c r="AD70" s="135"/>
      <c r="AE70" s="135"/>
      <c r="AF70" s="310">
        <f>N70-K70</f>
        <v>0</v>
      </c>
      <c r="AG70" s="246" t="e">
        <f>N70/K70</f>
        <v>#DIV/0!</v>
      </c>
      <c r="AH70" s="461" t="e">
        <f>AG79</f>
        <v>#DIV/0!</v>
      </c>
    </row>
    <row r="71" spans="1:36" ht="15" customHeight="1">
      <c r="A71" s="499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7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7"/>
      <c r="AC71" s="487"/>
      <c r="AD71" s="200"/>
      <c r="AE71" s="200"/>
      <c r="AF71" s="311">
        <v>-300.31249999999704</v>
      </c>
      <c r="AG71" s="99">
        <v>0.80810702875399554</v>
      </c>
      <c r="AH71" s="482"/>
    </row>
    <row r="72" spans="1:36" ht="15" customHeight="1">
      <c r="A72" s="499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7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6"/>
      <c r="AC72" s="466"/>
      <c r="AD72" s="92"/>
      <c r="AE72" s="92"/>
      <c r="AF72" s="311">
        <v>-130.33333333333326</v>
      </c>
      <c r="AG72" s="99">
        <v>0.91671991480298198</v>
      </c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6"/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 thickBot="1">
      <c r="A79" s="500"/>
      <c r="B79" s="239"/>
      <c r="C79" s="153"/>
      <c r="D79" s="437"/>
      <c r="E79" s="437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77:AC77"/>
    <mergeCell ref="AB78:AC7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B8:AC8"/>
    <mergeCell ref="AB9:AC9"/>
    <mergeCell ref="AB10:AC10"/>
    <mergeCell ref="AB11:AC11"/>
    <mergeCell ref="AB12:AC12"/>
    <mergeCell ref="AB13:AC13"/>
    <mergeCell ref="AD3:AE3"/>
    <mergeCell ref="AF3:AF4"/>
    <mergeCell ref="AG3:AG4"/>
    <mergeCell ref="AH3:AH4"/>
    <mergeCell ref="A5:A15"/>
    <mergeCell ref="S5:S15"/>
    <mergeCell ref="AB5:AC5"/>
    <mergeCell ref="AH5:AH15"/>
    <mergeCell ref="AB6:AC6"/>
    <mergeCell ref="AB7:AC7"/>
    <mergeCell ref="T3:U3"/>
    <mergeCell ref="V3:V4"/>
    <mergeCell ref="W3:W4"/>
    <mergeCell ref="X3:Y3"/>
    <mergeCell ref="Z3:AA3"/>
    <mergeCell ref="AB3:AC4"/>
    <mergeCell ref="N3:N4"/>
    <mergeCell ref="O3:O4"/>
    <mergeCell ref="P3:P4"/>
    <mergeCell ref="Q3:Q4"/>
    <mergeCell ref="R3:R4"/>
    <mergeCell ref="S3:S4"/>
    <mergeCell ref="H3:H4"/>
    <mergeCell ref="I3:I4"/>
    <mergeCell ref="J3:J4"/>
    <mergeCell ref="K3:K4"/>
    <mergeCell ref="L3:L4"/>
    <mergeCell ref="M3:M4"/>
    <mergeCell ref="A2:B2"/>
    <mergeCell ref="A3:A4"/>
    <mergeCell ref="B3:B4"/>
    <mergeCell ref="D3:E4"/>
    <mergeCell ref="F3:F4"/>
    <mergeCell ref="G3:G4"/>
    <mergeCell ref="J1:L2"/>
    <mergeCell ref="M1:O2"/>
    <mergeCell ref="P1:S2"/>
    <mergeCell ref="T1:Y2"/>
    <mergeCell ref="AB1:AC2"/>
    <mergeCell ref="AF1:AH2"/>
  </mergeCells>
  <phoneticPr fontId="33" type="noConversion"/>
  <conditionalFormatting sqref="P5:P79">
    <cfRule type="cellIs" dxfId="97" priority="1" operator="greaterThan">
      <formula>0</formula>
    </cfRule>
  </conditionalFormatting>
  <conditionalFormatting sqref="AF5:AF79 Q5:Q79">
    <cfRule type="cellIs" dxfId="96" priority="4" operator="lessThan">
      <formula>0</formula>
    </cfRule>
  </conditionalFormatting>
  <conditionalFormatting sqref="AG5:AG79 R5:R79">
    <cfRule type="cellIs" dxfId="95" priority="2" operator="greaterThan">
      <formula>1</formula>
    </cfRule>
    <cfRule type="cellIs" dxfId="94" priority="3" operator="lessThan">
      <formula>0.8</formula>
    </cfRule>
  </conditionalFormatting>
  <conditionalFormatting sqref="S5:S10 S37:S62 AH59:AH62 S69:S76 AH69:AH76">
    <cfRule type="cellIs" dxfId="93" priority="7" operator="lessThan">
      <formula>0.8</formula>
    </cfRule>
  </conditionalFormatting>
  <conditionalFormatting sqref="S19:S25 AH19:AH25">
    <cfRule type="cellIs" dxfId="92" priority="6" operator="lessThan">
      <formula>0.8</formula>
    </cfRule>
  </conditionalFormatting>
  <conditionalFormatting sqref="S79">
    <cfRule type="cellIs" dxfId="91" priority="5" operator="lessThan">
      <formula>0.8</formula>
    </cfRule>
  </conditionalFormatting>
  <conditionalFormatting sqref="AH5:AH8 S15:S16 AH15:AH16 AH49 AH79">
    <cfRule type="cellIs" dxfId="90" priority="9" operator="lessThan">
      <formula>0.8</formula>
    </cfRule>
  </conditionalFormatting>
  <conditionalFormatting sqref="AH27 S27:S28">
    <cfRule type="cellIs" dxfId="8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CE4DC19-3659-42B4-A81D-65B1E6C2A67E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A4F3-E65A-474A-BB15-979EF743E92D}">
  <dimension ref="B1:O26"/>
  <sheetViews>
    <sheetView zoomScale="70" zoomScaleNormal="70" workbookViewId="0">
      <selection activeCell="I17" sqref="I1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46166</v>
      </c>
      <c r="E3" s="412"/>
      <c r="F3" s="3" t="s">
        <v>72</v>
      </c>
      <c r="G3" s="413">
        <f>'0524'!E1</f>
        <v>54707</v>
      </c>
      <c r="H3" s="413"/>
      <c r="I3" s="3" t="s">
        <v>2</v>
      </c>
      <c r="J3" s="414">
        <f>'0524'!G1</f>
        <v>2667571.4970000009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>
        <f>AVERAGE(D13:I13)</f>
        <v>121.33152472527473</v>
      </c>
      <c r="G6" s="410"/>
      <c r="H6" s="395">
        <f>AVERAGE(D13:H13)</f>
        <v>122.78340659340661</v>
      </c>
      <c r="I6" s="395"/>
      <c r="J6" s="395">
        <f>AVERAGE(I13)</f>
        <v>114.07211538461537</v>
      </c>
      <c r="K6" s="395"/>
      <c r="L6" s="396">
        <f>SUM(D18:J18)</f>
        <v>0</v>
      </c>
      <c r="M6" s="398">
        <f>SUM(D19:J19)</f>
        <v>0</v>
      </c>
      <c r="N6" s="399">
        <f>SUM(D20:J20)</f>
        <v>0</v>
      </c>
      <c r="O6" s="398">
        <f>SUM(D20:J20)</f>
        <v>0</v>
      </c>
    </row>
    <row r="7" spans="2:15" ht="39.6" customHeight="1">
      <c r="B7" s="406"/>
      <c r="C7" s="406"/>
      <c r="D7" s="401" t="s">
        <v>87</v>
      </c>
      <c r="E7" s="401"/>
      <c r="F7" s="402">
        <f>AVERAGE(D14:I14)</f>
        <v>110.10960893358289</v>
      </c>
      <c r="G7" s="402"/>
      <c r="H7" s="403">
        <f>AVERAGE(D14:H14)</f>
        <v>112.0105500343188</v>
      </c>
      <c r="I7" s="403"/>
      <c r="J7" s="403">
        <f>AVERAGE(I14)</f>
        <v>100.60490342990343</v>
      </c>
      <c r="K7" s="403"/>
      <c r="L7" s="397" t="e">
        <f t="shared" ref="L7:O8" si="0">AVERAGE(K14:L14)</f>
        <v>#DIV/0!</v>
      </c>
      <c r="M7" s="398" t="e">
        <f t="shared" si="0"/>
        <v>#DIV/0!</v>
      </c>
      <c r="N7" s="400" t="e">
        <f t="shared" si="0"/>
        <v>#DIV/0!</v>
      </c>
      <c r="O7" s="398" t="e">
        <f t="shared" si="0"/>
        <v>#DIV/0!</v>
      </c>
    </row>
    <row r="8" spans="2:15" ht="39.6" customHeight="1">
      <c r="B8" s="406"/>
      <c r="C8" s="406"/>
      <c r="D8" s="401" t="s">
        <v>27</v>
      </c>
      <c r="E8" s="401"/>
      <c r="F8" s="387">
        <f>F7/F6</f>
        <v>0.90751030437389546</v>
      </c>
      <c r="G8" s="387"/>
      <c r="H8" s="387">
        <f>H7/H6</f>
        <v>0.91226129932392419</v>
      </c>
      <c r="I8" s="387"/>
      <c r="J8" s="387">
        <f>J7/J6</f>
        <v>0.88194124471782842</v>
      </c>
      <c r="K8" s="387"/>
      <c r="L8" s="397" t="e">
        <f t="shared" si="0"/>
        <v>#DIV/0!</v>
      </c>
      <c r="M8" s="398" t="e">
        <f t="shared" si="0"/>
        <v>#DIV/0!</v>
      </c>
      <c r="N8" s="400" t="e">
        <f t="shared" si="0"/>
        <v>#DIV/0!</v>
      </c>
      <c r="O8" s="398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>
        <f>VALUE('0524'!L15)</f>
        <v>150</v>
      </c>
      <c r="E13" s="13">
        <f>VALUE('0524'!L26)</f>
        <v>164.21703296703296</v>
      </c>
      <c r="F13" s="13">
        <f>VALUE('0524'!L37)</f>
        <v>96.5</v>
      </c>
      <c r="G13" s="13">
        <f>VALUE('0524'!L48)</f>
        <v>102.24575163398693</v>
      </c>
      <c r="H13" s="13">
        <f>VALUE('0524'!L58)</f>
        <v>100.95424836601308</v>
      </c>
      <c r="I13" s="13">
        <f>VALUE('0524'!L69)</f>
        <v>114.07211538461537</v>
      </c>
      <c r="J13" s="13">
        <f>'0524'!L79</f>
        <v>0</v>
      </c>
    </row>
    <row r="14" spans="2:15" ht="39.950000000000003" customHeight="1">
      <c r="B14" s="381"/>
      <c r="C14" s="12" t="s">
        <v>100</v>
      </c>
      <c r="D14" s="13">
        <f>VALUE('0524'!O15)</f>
        <v>128.29793719113641</v>
      </c>
      <c r="E14" s="13">
        <f>VALUE('0524'!O26)</f>
        <v>153.38184705757601</v>
      </c>
      <c r="F14" s="13">
        <f>VALUE('0524'!O37)</f>
        <v>87.645529894584158</v>
      </c>
      <c r="G14" s="13">
        <f>VALUE('0524'!O48)</f>
        <v>94.570515162586773</v>
      </c>
      <c r="H14" s="13">
        <f>VALUE('0524'!O58)</f>
        <v>96.156920865710674</v>
      </c>
      <c r="I14" s="13">
        <f>VALUE('0524'!O69)</f>
        <v>100.60490342990343</v>
      </c>
      <c r="J14" s="13">
        <f>'0524'!O79</f>
        <v>0</v>
      </c>
    </row>
    <row r="15" spans="2:15" ht="39.950000000000003" customHeight="1">
      <c r="B15" s="382"/>
      <c r="C15" s="10" t="s">
        <v>26</v>
      </c>
      <c r="D15" s="14">
        <f t="shared" ref="D15:I15" si="1">D14/D13</f>
        <v>0.85531958127424279</v>
      </c>
      <c r="E15" s="14">
        <f t="shared" si="1"/>
        <v>0.93401911048026209</v>
      </c>
      <c r="F15" s="14">
        <f t="shared" si="1"/>
        <v>0.90824383310449908</v>
      </c>
      <c r="G15" s="14">
        <f t="shared" si="1"/>
        <v>0.92493344370066843</v>
      </c>
      <c r="H15" s="14">
        <f t="shared" si="1"/>
        <v>0.95248018208298157</v>
      </c>
      <c r="I15" s="14">
        <f t="shared" si="1"/>
        <v>0.88194124471782842</v>
      </c>
      <c r="J15" s="15">
        <f>'0524'!S70</f>
        <v>0</v>
      </c>
    </row>
    <row r="16" spans="2:15" ht="17.25" customHeight="1">
      <c r="B16" s="383" t="s">
        <v>101</v>
      </c>
      <c r="C16" s="10" t="s">
        <v>34</v>
      </c>
      <c r="D16" s="16">
        <f>'0524'!T5</f>
        <v>0.29166666666666702</v>
      </c>
      <c r="E16" s="16">
        <f>'0524'!T16</f>
        <v>0.29166666666666702</v>
      </c>
      <c r="F16" s="16">
        <f>'0524'!T27</f>
        <v>0.33333333333333298</v>
      </c>
      <c r="G16" s="16">
        <f>'0524'!T38</f>
        <v>0.33333333333333298</v>
      </c>
      <c r="H16" s="16">
        <f>'0524'!T49</f>
        <v>0.29166666666666702</v>
      </c>
      <c r="I16" s="16">
        <f>'0524'!T59</f>
        <v>0.29166666666666702</v>
      </c>
      <c r="J16" s="16">
        <f>'0524'!T70</f>
        <v>0</v>
      </c>
    </row>
    <row r="17" spans="2:10" ht="17.25" customHeight="1">
      <c r="B17" s="384"/>
      <c r="C17" s="10" t="s">
        <v>35</v>
      </c>
      <c r="D17" s="16">
        <v>0.63124999999999998</v>
      </c>
      <c r="E17" s="19">
        <v>0.60208333333333297</v>
      </c>
      <c r="F17" s="19">
        <v>0.45833333333333331</v>
      </c>
      <c r="G17" s="20">
        <v>0.63888888888888895</v>
      </c>
      <c r="H17" s="21">
        <v>0.64583333333333304</v>
      </c>
      <c r="I17" s="22">
        <v>0.59722222222222221</v>
      </c>
      <c r="J17" s="16">
        <f>'0524'!T71</f>
        <v>0</v>
      </c>
    </row>
    <row r="18" spans="2:10" ht="17.25" customHeight="1">
      <c r="B18" s="385" t="s">
        <v>102</v>
      </c>
      <c r="C18" s="330" t="s">
        <v>36</v>
      </c>
      <c r="D18" s="358">
        <f>'0524'!Z15</f>
        <v>0</v>
      </c>
      <c r="E18" s="359">
        <f>'0524'!Z26</f>
        <v>0</v>
      </c>
      <c r="F18" s="359">
        <f>'0524'!Z37</f>
        <v>0</v>
      </c>
      <c r="G18" s="360">
        <f>'0524'!Z48</f>
        <v>0</v>
      </c>
      <c r="H18" s="360">
        <f>'0524'!Z58</f>
        <v>0</v>
      </c>
      <c r="I18" s="359">
        <f>'0524'!Z69</f>
        <v>0</v>
      </c>
      <c r="J18" s="359">
        <f>'0524'!AA79</f>
        <v>0</v>
      </c>
    </row>
    <row r="19" spans="2:10" ht="17.25" customHeight="1">
      <c r="B19" s="386"/>
      <c r="C19" s="330" t="s">
        <v>37</v>
      </c>
      <c r="D19" s="358">
        <f>'0524'!AA15</f>
        <v>0</v>
      </c>
      <c r="E19" s="359">
        <f>'0524'!AA26</f>
        <v>0</v>
      </c>
      <c r="F19" s="359">
        <f>'0524'!AA37</f>
        <v>0</v>
      </c>
      <c r="G19" s="360">
        <f>'0524'!AA48</f>
        <v>0</v>
      </c>
      <c r="H19" s="360">
        <f>'0524'!AA58</f>
        <v>0</v>
      </c>
      <c r="I19" s="359">
        <f>'0524'!AA69</f>
        <v>0</v>
      </c>
      <c r="J19" s="359">
        <f>'0524'!AB79</f>
        <v>0</v>
      </c>
    </row>
    <row r="20" spans="2:10" ht="17.25" customHeight="1">
      <c r="B20" s="385" t="s">
        <v>103</v>
      </c>
      <c r="C20" s="330" t="s">
        <v>36</v>
      </c>
      <c r="D20" s="358">
        <f>'0524'!AD15</f>
        <v>0</v>
      </c>
      <c r="E20" s="359">
        <f>'0524'!AD26</f>
        <v>0</v>
      </c>
      <c r="F20" s="359">
        <f>'0524'!AD37</f>
        <v>0</v>
      </c>
      <c r="G20" s="360">
        <f>'0524'!AD48</f>
        <v>0</v>
      </c>
      <c r="H20" s="360">
        <f>'0524'!AD58</f>
        <v>0</v>
      </c>
      <c r="I20" s="359">
        <f>'0524'!AD69</f>
        <v>0</v>
      </c>
      <c r="J20" s="359">
        <f>'0524'!AD79</f>
        <v>0</v>
      </c>
    </row>
    <row r="21" spans="2:10" ht="17.25" customHeight="1">
      <c r="B21" s="386"/>
      <c r="C21" s="330" t="s">
        <v>85</v>
      </c>
      <c r="D21" s="358">
        <f>'0524'!AE15</f>
        <v>0</v>
      </c>
      <c r="E21" s="359">
        <f>'0524'!AE26</f>
        <v>0</v>
      </c>
      <c r="F21" s="359">
        <f>'0524'!AE37</f>
        <v>0</v>
      </c>
      <c r="G21" s="360">
        <f>'0524'!AE48</f>
        <v>0</v>
      </c>
      <c r="H21" s="360">
        <f>'0524'!AE58</f>
        <v>0</v>
      </c>
      <c r="I21" s="359">
        <f>'0524'!AE69</f>
        <v>0</v>
      </c>
      <c r="J21" s="359">
        <f>'0524'!AE79</f>
        <v>0</v>
      </c>
    </row>
    <row r="22" spans="2:10" ht="17.25" customHeight="1">
      <c r="B22" s="377" t="s">
        <v>104</v>
      </c>
      <c r="C22" s="378"/>
      <c r="D22" s="23">
        <f>VALUE('0524'!M15)</f>
        <v>13</v>
      </c>
      <c r="E22" s="23">
        <f>VALUE('0524'!M26)</f>
        <v>13.75</v>
      </c>
      <c r="F22" s="23">
        <f>VALUE('0524'!M37)</f>
        <v>17</v>
      </c>
      <c r="G22" s="23">
        <f>VALUE('0524'!M48)</f>
        <v>15.666666666666666</v>
      </c>
      <c r="H22" s="23">
        <f>VALUE('0524'!M58)</f>
        <v>16.8</v>
      </c>
      <c r="I22" s="23">
        <f>VALUE('0524'!M69)</f>
        <v>13.25</v>
      </c>
      <c r="J22" s="23">
        <f>'0524'!M79</f>
        <v>0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F8:G8"/>
    <mergeCell ref="H8:I8"/>
    <mergeCell ref="J8:K8"/>
    <mergeCell ref="B10:C10"/>
    <mergeCell ref="D10:J10"/>
    <mergeCell ref="B11:C12"/>
    <mergeCell ref="J6:K6"/>
    <mergeCell ref="L6:L8"/>
    <mergeCell ref="M6:M8"/>
    <mergeCell ref="N6:N8"/>
    <mergeCell ref="O6:O8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33" type="noConversion"/>
  <conditionalFormatting sqref="D15:J15">
    <cfRule type="cellIs" dxfId="1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2876D-B5C6-4B55-9D43-CBF9564EA787}">
  <sheetPr>
    <tabColor theme="9" tint="0.79998168889431442"/>
  </sheetPr>
  <dimension ref="A1:AJ92"/>
  <sheetViews>
    <sheetView tabSelected="1" zoomScale="69" zoomScaleNormal="69" workbookViewId="0">
      <pane xSplit="5" ySplit="4" topLeftCell="J51" activePane="bottomRight" state="frozen"/>
      <selection activeCell="A3" sqref="A3:A4"/>
      <selection pane="topRight" activeCell="A3" sqref="A3:A4"/>
      <selection pane="bottomLeft" activeCell="A3" sqref="A3:A4"/>
      <selection pane="bottomRight" activeCell="Y62" sqref="Y6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8" width="8.7109375" style="34" customWidth="1"/>
    <col min="109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54707</v>
      </c>
      <c r="F1" s="30" t="s">
        <v>2</v>
      </c>
      <c r="G1" s="31">
        <f>SUM(H5:H79)</f>
        <v>2667571.4970000009</v>
      </c>
      <c r="H1" s="32" t="s">
        <v>3</v>
      </c>
      <c r="I1" s="33">
        <f>M15+M26+M48+M58+M69+M79+M37</f>
        <v>89.466666666666669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266</v>
      </c>
      <c r="B2" s="422"/>
      <c r="C2" s="28"/>
      <c r="D2" s="28" t="s">
        <v>14</v>
      </c>
      <c r="E2" s="35">
        <f>AVERAGE(O15,O26,O37,O48,O58,O69,O79)</f>
        <v>110.10960893358289</v>
      </c>
      <c r="F2" s="36" t="s">
        <v>15</v>
      </c>
      <c r="G2" s="37">
        <f>G1/E1</f>
        <v>48.761063428811688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0</v>
      </c>
      <c r="AA2" s="339">
        <f>AA15+AA26+AA37+AA48+AA58+AA69+AA79</f>
        <v>0</v>
      </c>
      <c r="AB2" s="460"/>
      <c r="AC2" s="460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 ht="16.5" thickBot="1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3128</v>
      </c>
      <c r="H5" s="43">
        <f>F5*G5</f>
        <v>177889.36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2085.333333333333</v>
      </c>
      <c r="O5" s="47">
        <f>N5/M5</f>
        <v>139.02222222222221</v>
      </c>
      <c r="P5" s="49">
        <f>M5-J5</f>
        <v>0</v>
      </c>
      <c r="Q5" s="50">
        <f>O5-L5</f>
        <v>-10.977777777777789</v>
      </c>
      <c r="R5" s="51">
        <f>O5/L5</f>
        <v>0.92681481481481476</v>
      </c>
      <c r="S5" s="416">
        <f>R15</f>
        <v>0.85531958127424279</v>
      </c>
      <c r="T5" s="319">
        <v>0.29166666666666702</v>
      </c>
      <c r="U5" s="320">
        <v>0.35416666666666702</v>
      </c>
      <c r="V5" s="53"/>
      <c r="W5" s="54">
        <f t="shared" ref="W5:W14" si="0">(U5-T5)*24*60</f>
        <v>90</v>
      </c>
      <c r="X5" s="55"/>
      <c r="Y5" s="290"/>
      <c r="Z5" s="169"/>
      <c r="AA5" s="169"/>
      <c r="AB5" s="468"/>
      <c r="AC5" s="468"/>
      <c r="AD5" s="135"/>
      <c r="AE5" s="135"/>
      <c r="AF5" s="229">
        <f t="shared" ref="AF5:AF11" si="1">N5-K5</f>
        <v>-164.66666666666697</v>
      </c>
      <c r="AG5" s="52">
        <f t="shared" ref="AG5:AG11" si="2">N5/K5</f>
        <v>0.92681481481481465</v>
      </c>
      <c r="AH5" s="461">
        <f>AG15</f>
        <v>0.77828254423720555</v>
      </c>
    </row>
    <row r="6" spans="1:34" ht="15" customHeight="1">
      <c r="A6" s="428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3679</v>
      </c>
      <c r="H6" s="63">
        <f>F6*G6</f>
        <v>214007.43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2164.117647058823</v>
      </c>
      <c r="O6" s="67">
        <f>N6/M6</f>
        <v>144.27450980392152</v>
      </c>
      <c r="P6" s="69">
        <f>M6-J6</f>
        <v>0</v>
      </c>
      <c r="Q6" s="70">
        <f>O6-L6</f>
        <v>-5.7254901960784821</v>
      </c>
      <c r="R6" s="71">
        <f>O6/L6</f>
        <v>0.96183006535947679</v>
      </c>
      <c r="S6" s="417"/>
      <c r="T6" s="16">
        <v>0.35972222222222222</v>
      </c>
      <c r="U6" s="16">
        <v>0.43055555555555558</v>
      </c>
      <c r="V6" s="30">
        <f>(T6-U5)*24*60</f>
        <v>7.999999999999492</v>
      </c>
      <c r="W6" s="73">
        <f t="shared" si="0"/>
        <v>102.00000000000004</v>
      </c>
      <c r="X6" s="22"/>
      <c r="Y6" s="84"/>
      <c r="Z6" s="90"/>
      <c r="AA6" s="90"/>
      <c r="AB6" s="465"/>
      <c r="AC6" s="465"/>
      <c r="AD6" s="149"/>
      <c r="AE6" s="149"/>
      <c r="AF6" s="307">
        <f t="shared" si="1"/>
        <v>-85.882352941177032</v>
      </c>
      <c r="AG6" s="72">
        <f t="shared" si="2"/>
        <v>0.9618300653594769</v>
      </c>
      <c r="AH6" s="462"/>
    </row>
    <row r="7" spans="1:34" ht="15" customHeight="1">
      <c r="A7" s="428"/>
      <c r="B7" s="75" t="s">
        <v>81</v>
      </c>
      <c r="C7" s="76"/>
      <c r="D7" s="59" t="s">
        <v>114</v>
      </c>
      <c r="E7" s="77"/>
      <c r="F7" s="75">
        <f>VLOOKUP(D7,廠價表!$C$1:$E$43,3,0)</f>
        <v>49.14</v>
      </c>
      <c r="G7" s="66">
        <v>3113</v>
      </c>
      <c r="H7" s="78">
        <f>F7*G7</f>
        <v>152972.82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2075.3333333333335</v>
      </c>
      <c r="O7" s="81">
        <f>N7/M7</f>
        <v>138.35555555555555</v>
      </c>
      <c r="P7" s="74">
        <f>M7-J7</f>
        <v>0</v>
      </c>
      <c r="Q7" s="83">
        <f>O7-L7</f>
        <v>-11.644444444444446</v>
      </c>
      <c r="R7" s="72">
        <f>O7/L7</f>
        <v>0.9223703703703704</v>
      </c>
      <c r="S7" s="417"/>
      <c r="T7" s="18">
        <v>0.4375</v>
      </c>
      <c r="U7" s="18">
        <v>0.5</v>
      </c>
      <c r="V7" s="30">
        <f>(T7-U6)*24*60</f>
        <v>9.9999999999999645</v>
      </c>
      <c r="W7" s="73">
        <f t="shared" si="0"/>
        <v>90</v>
      </c>
      <c r="X7" s="22">
        <v>0.51388888888888884</v>
      </c>
      <c r="Y7" s="84">
        <v>0.55555555555555558</v>
      </c>
      <c r="Z7" s="90"/>
      <c r="AA7" s="90"/>
      <c r="AB7" s="466"/>
      <c r="AC7" s="466"/>
      <c r="AD7" s="92"/>
      <c r="AE7" s="92"/>
      <c r="AF7" s="307">
        <f t="shared" si="1"/>
        <v>-174.66666666666652</v>
      </c>
      <c r="AG7" s="72">
        <f t="shared" si="2"/>
        <v>0.9223703703703704</v>
      </c>
      <c r="AH7" s="462"/>
    </row>
    <row r="8" spans="1:34" ht="15" customHeight="1">
      <c r="A8" s="428"/>
      <c r="B8" s="75" t="s">
        <v>81</v>
      </c>
      <c r="C8" s="76"/>
      <c r="D8" s="59" t="s">
        <v>114</v>
      </c>
      <c r="E8" s="77"/>
      <c r="F8" s="75">
        <f>VLOOKUP(D8,廠價表!$C$1:$E$43,3,0)</f>
        <v>49.14</v>
      </c>
      <c r="G8" s="66">
        <v>2730</v>
      </c>
      <c r="H8" s="78">
        <f t="shared" ref="H8:H9" si="3">F8*G8</f>
        <v>134152.20000000001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9" si="4">K8/J8</f>
        <v>150</v>
      </c>
      <c r="M8" s="82">
        <v>15</v>
      </c>
      <c r="N8" s="80">
        <f t="shared" ref="N8:N9" si="5">G8/W8*60</f>
        <v>1997.5609756097358</v>
      </c>
      <c r="O8" s="81">
        <f t="shared" ref="O8:O9" si="6">N8/M8</f>
        <v>133.17073170731572</v>
      </c>
      <c r="P8" s="74">
        <f t="shared" ref="P8:P9" si="7">M8-J8</f>
        <v>0</v>
      </c>
      <c r="Q8" s="83">
        <f t="shared" ref="Q8:Q9" si="8">O8-L8</f>
        <v>-16.829268292684276</v>
      </c>
      <c r="R8" s="72">
        <f t="shared" ref="R8:R9" si="9">O8/L8</f>
        <v>0.88780487804877151</v>
      </c>
      <c r="S8" s="417"/>
      <c r="T8" s="16">
        <v>0.563194444444444</v>
      </c>
      <c r="U8" s="16">
        <v>0.62013888888888902</v>
      </c>
      <c r="V8" s="30">
        <f>(T8-U7)*24*60</f>
        <v>90.999999999999361</v>
      </c>
      <c r="W8" s="73">
        <f t="shared" si="0"/>
        <v>82.000000000000824</v>
      </c>
      <c r="X8" s="22"/>
      <c r="Y8" s="84"/>
      <c r="Z8" s="90"/>
      <c r="AA8" s="90"/>
      <c r="AB8" s="465"/>
      <c r="AC8" s="465"/>
      <c r="AD8" s="149"/>
      <c r="AE8" s="149"/>
      <c r="AF8" s="307">
        <f t="shared" si="1"/>
        <v>-252.43902439026419</v>
      </c>
      <c r="AG8" s="72">
        <f t="shared" si="2"/>
        <v>0.88780487804877151</v>
      </c>
      <c r="AH8" s="462"/>
    </row>
    <row r="9" spans="1:34" ht="15" customHeight="1">
      <c r="A9" s="429"/>
      <c r="B9" s="75" t="s">
        <v>81</v>
      </c>
      <c r="C9" s="76"/>
      <c r="D9" s="59" t="s">
        <v>115</v>
      </c>
      <c r="E9" s="77"/>
      <c r="F9" s="75">
        <f>VLOOKUP(D9,廠價表!$C$1:$E$43,3,0)</f>
        <v>58.17</v>
      </c>
      <c r="G9" s="66">
        <v>65</v>
      </c>
      <c r="H9" s="78">
        <f t="shared" si="3"/>
        <v>3781.05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5</v>
      </c>
      <c r="N9" s="80">
        <f t="shared" si="5"/>
        <v>433.33333333333491</v>
      </c>
      <c r="O9" s="81">
        <f t="shared" si="6"/>
        <v>86.666666666666984</v>
      </c>
      <c r="P9" s="74">
        <f t="shared" si="7"/>
        <v>-10</v>
      </c>
      <c r="Q9" s="83">
        <f t="shared" si="8"/>
        <v>-63.333333333333016</v>
      </c>
      <c r="R9" s="72">
        <f t="shared" si="9"/>
        <v>0.57777777777777994</v>
      </c>
      <c r="S9" s="418"/>
      <c r="T9" s="16">
        <v>0.625</v>
      </c>
      <c r="U9" s="16">
        <v>0.63124999999999998</v>
      </c>
      <c r="V9" s="30">
        <f>(T9-U8)*24*60</f>
        <v>6.9999999999998153</v>
      </c>
      <c r="W9" s="73">
        <f t="shared" si="0"/>
        <v>8.999999999999968</v>
      </c>
      <c r="X9" s="22"/>
      <c r="Y9" s="84"/>
      <c r="Z9" s="90"/>
      <c r="AA9" s="90"/>
      <c r="AB9" s="465" t="s">
        <v>265</v>
      </c>
      <c r="AC9" s="465"/>
      <c r="AD9" s="149"/>
      <c r="AE9" s="149"/>
      <c r="AF9" s="307">
        <f t="shared" si="1"/>
        <v>-1816.6666666666652</v>
      </c>
      <c r="AG9" s="72">
        <f t="shared" si="2"/>
        <v>0.19259259259259329</v>
      </c>
      <c r="AH9" s="463"/>
    </row>
    <row r="10" spans="1:34" ht="15" customHeight="1">
      <c r="A10" s="42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8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6"/>
      <c r="AC10" s="466"/>
      <c r="AD10" s="92"/>
      <c r="AE10" s="92"/>
      <c r="AF10" s="307">
        <f t="shared" si="1"/>
        <v>0</v>
      </c>
      <c r="AG10" s="72" t="e">
        <f t="shared" si="2"/>
        <v>#DIV/0!</v>
      </c>
      <c r="AH10" s="463"/>
    </row>
    <row r="11" spans="1:34" ht="15" customHeight="1">
      <c r="A11" s="42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5"/>
      <c r="AC11" s="465"/>
      <c r="AD11" s="149"/>
      <c r="AE11" s="149"/>
      <c r="AF11" s="307">
        <f t="shared" si="1"/>
        <v>0</v>
      </c>
      <c r="AG11" s="72" t="e">
        <f t="shared" si="2"/>
        <v>#DIV/0!</v>
      </c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 thickBo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>
        <f t="shared" ref="J15:O15" si="10">AVERAGE(J5:J14)</f>
        <v>15</v>
      </c>
      <c r="K15" s="120">
        <f t="shared" si="10"/>
        <v>2250</v>
      </c>
      <c r="L15" s="117">
        <f t="shared" si="10"/>
        <v>150</v>
      </c>
      <c r="M15" s="120">
        <f t="shared" si="10"/>
        <v>13</v>
      </c>
      <c r="N15" s="120">
        <f t="shared" si="10"/>
        <v>1751.1357245337124</v>
      </c>
      <c r="O15" s="117">
        <f t="shared" si="10"/>
        <v>128.29793719113641</v>
      </c>
      <c r="P15" s="121">
        <f>M15-J15</f>
        <v>-2</v>
      </c>
      <c r="Q15" s="122">
        <f>O15-L15</f>
        <v>-21.702062808863587</v>
      </c>
      <c r="R15" s="123">
        <f>O15/L15</f>
        <v>0.85531958127424279</v>
      </c>
      <c r="S15" s="42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7"/>
      <c r="AC15" s="467"/>
      <c r="AD15" s="323">
        <f>SUM(AD5:AD14)</f>
        <v>0</v>
      </c>
      <c r="AE15" s="323">
        <f>SUM(AE5:AE14)</f>
        <v>0</v>
      </c>
      <c r="AF15" s="309">
        <f>N15-K15</f>
        <v>-498.86427546628761</v>
      </c>
      <c r="AG15" s="124">
        <f>N15/K15</f>
        <v>0.77828254423720555</v>
      </c>
      <c r="AH15" s="464"/>
    </row>
    <row r="16" spans="1:34" ht="15" customHeight="1">
      <c r="A16" s="47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3751</v>
      </c>
      <c r="H16" s="134">
        <f>F16*G16</f>
        <v>190063.17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2164.0384615384728</v>
      </c>
      <c r="O16" s="141">
        <f>N16/M16</f>
        <v>154.57417582417662</v>
      </c>
      <c r="P16" s="142">
        <f>M16-J16</f>
        <v>0</v>
      </c>
      <c r="Q16" s="143">
        <f>O16-L16</f>
        <v>-6.1401098901091018</v>
      </c>
      <c r="R16" s="144">
        <f>O16/L16</f>
        <v>0.96179487179487666</v>
      </c>
      <c r="S16" s="472">
        <f>R26</f>
        <v>0.93401911048026209</v>
      </c>
      <c r="T16" s="145">
        <v>0.29166666666666702</v>
      </c>
      <c r="U16" s="145">
        <v>0.36388888888888887</v>
      </c>
      <c r="V16" s="135"/>
      <c r="W16" s="146">
        <f t="shared" ref="W16:W78" si="11">(U16-T16)*24*60</f>
        <v>103.99999999999947</v>
      </c>
      <c r="X16" s="141"/>
      <c r="Y16" s="296"/>
      <c r="Z16" s="169"/>
      <c r="AA16" s="169"/>
      <c r="AB16" s="468"/>
      <c r="AC16" s="468"/>
      <c r="AD16" s="135"/>
      <c r="AE16" s="135"/>
      <c r="AF16" s="229">
        <f>N16-K16</f>
        <v>-85.961538461527198</v>
      </c>
      <c r="AG16" s="52">
        <f>N16/K16</f>
        <v>0.96179487179487677</v>
      </c>
      <c r="AH16" s="461">
        <f>AG26</f>
        <v>0.93397545111415825</v>
      </c>
    </row>
    <row r="17" spans="1:34" ht="15" customHeight="1">
      <c r="A17" s="479"/>
      <c r="B17" s="75" t="s">
        <v>81</v>
      </c>
      <c r="C17" s="76"/>
      <c r="D17" s="59" t="s">
        <v>117</v>
      </c>
      <c r="E17" s="77"/>
      <c r="F17" s="75">
        <f>VLOOKUP(D17,廠價表!$C$1:$E$43,3,0)</f>
        <v>56.61</v>
      </c>
      <c r="G17" s="147">
        <v>1480</v>
      </c>
      <c r="H17" s="78">
        <f>F17*G17</f>
        <v>83782.8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2065.1162790697058</v>
      </c>
      <c r="O17" s="96">
        <f>N17/M17</f>
        <v>137.67441860464706</v>
      </c>
      <c r="P17" s="97">
        <f>M17-J17</f>
        <v>0</v>
      </c>
      <c r="Q17" s="98">
        <f>O17-L17</f>
        <v>-12.325581395352941</v>
      </c>
      <c r="R17" s="99">
        <f>O17/L17</f>
        <v>0.91782945736431376</v>
      </c>
      <c r="S17" s="473"/>
      <c r="T17" s="19">
        <v>0.36944444444444402</v>
      </c>
      <c r="U17" s="19">
        <v>0.39930555555555602</v>
      </c>
      <c r="V17" s="30">
        <f>(T17-U16)*24*60</f>
        <v>7.999999999999412</v>
      </c>
      <c r="W17" s="149">
        <f t="shared" si="11"/>
        <v>43.000000000001286</v>
      </c>
      <c r="X17" s="19"/>
      <c r="Y17" s="297"/>
      <c r="Z17" s="90"/>
      <c r="AA17" s="90"/>
      <c r="AB17" s="466"/>
      <c r="AC17" s="466"/>
      <c r="AD17" s="92"/>
      <c r="AE17" s="92"/>
      <c r="AF17" s="307">
        <f>N17-K17</f>
        <v>-184.8837209302942</v>
      </c>
      <c r="AG17" s="72">
        <f>N17/K17</f>
        <v>0.91782945736431365</v>
      </c>
      <c r="AH17" s="462"/>
    </row>
    <row r="18" spans="1:34" ht="15" customHeight="1">
      <c r="A18" s="479"/>
      <c r="B18" s="75" t="s">
        <v>81</v>
      </c>
      <c r="C18" s="76"/>
      <c r="D18" s="59" t="s">
        <v>118</v>
      </c>
      <c r="E18" s="77"/>
      <c r="F18" s="75">
        <f>VLOOKUP(D18,廠價表!$C$1:$E$43,3,0)</f>
        <v>50.39</v>
      </c>
      <c r="G18" s="147">
        <v>3063</v>
      </c>
      <c r="H18" s="78">
        <f>F18*G18</f>
        <v>154344.57</v>
      </c>
      <c r="I18" s="30"/>
      <c r="J18" s="79">
        <v>13</v>
      </c>
      <c r="K18" s="80">
        <f>VLOOKUP(D18,產線配置圖!$A$3:$C$40,3,0)</f>
        <v>2250</v>
      </c>
      <c r="L18" s="81">
        <f>K18/J18</f>
        <v>173.07692307692307</v>
      </c>
      <c r="M18" s="148">
        <v>13</v>
      </c>
      <c r="N18" s="95">
        <f>G18/W18*60</f>
        <v>2112.4137931034365</v>
      </c>
      <c r="O18" s="96">
        <f>N18/M18</f>
        <v>162.49336870026434</v>
      </c>
      <c r="P18" s="97">
        <f>M18-J18</f>
        <v>0</v>
      </c>
      <c r="Q18" s="98">
        <f>O18-L18</f>
        <v>-10.583554376658725</v>
      </c>
      <c r="R18" s="99">
        <f>O18/L18</f>
        <v>0.93885057471263844</v>
      </c>
      <c r="S18" s="473"/>
      <c r="T18" s="19">
        <v>0.40486111111111101</v>
      </c>
      <c r="U18" s="19">
        <v>0.46527777777777801</v>
      </c>
      <c r="V18" s="30">
        <f>(T18-U17)*24*60</f>
        <v>7.9999999999991722</v>
      </c>
      <c r="W18" s="149">
        <f t="shared" si="11"/>
        <v>87.000000000000483</v>
      </c>
      <c r="X18" s="22">
        <v>0.47916666666666669</v>
      </c>
      <c r="Y18" s="84">
        <v>0.52083333333333337</v>
      </c>
      <c r="Z18" s="90"/>
      <c r="AA18" s="90"/>
      <c r="AB18" s="466"/>
      <c r="AC18" s="466"/>
      <c r="AD18" s="92"/>
      <c r="AE18" s="92"/>
      <c r="AF18" s="307">
        <f>N18-K18</f>
        <v>-137.58620689656345</v>
      </c>
      <c r="AG18" s="72">
        <f>N18/K18</f>
        <v>0.93885057471263844</v>
      </c>
      <c r="AH18" s="462"/>
    </row>
    <row r="19" spans="1:34" ht="15" customHeight="1">
      <c r="A19" s="479"/>
      <c r="B19" s="75" t="s">
        <v>81</v>
      </c>
      <c r="C19" s="76"/>
      <c r="D19" s="59" t="s">
        <v>118</v>
      </c>
      <c r="E19" s="77"/>
      <c r="F19" s="75">
        <f>VLOOKUP(D19,廠價表!$C$1:$E$43,3,0)</f>
        <v>50.39</v>
      </c>
      <c r="G19" s="147">
        <v>1961</v>
      </c>
      <c r="H19" s="78">
        <f>F19*G19</f>
        <v>98814.790000000008</v>
      </c>
      <c r="I19" s="30"/>
      <c r="J19" s="79">
        <v>13</v>
      </c>
      <c r="K19" s="80">
        <f>VLOOKUP(D19,產線配置圖!$A$3:$C$40,3,0)</f>
        <v>2250</v>
      </c>
      <c r="L19" s="81">
        <f>K19/J19</f>
        <v>173.07692307692307</v>
      </c>
      <c r="M19" s="148">
        <v>13</v>
      </c>
      <c r="N19" s="95">
        <f>G19/W19*60</f>
        <v>2064.2105263158087</v>
      </c>
      <c r="O19" s="96">
        <f>N19/M19</f>
        <v>158.78542510121605</v>
      </c>
      <c r="P19" s="97">
        <f>M19-J19</f>
        <v>0</v>
      </c>
      <c r="Q19" s="98">
        <f>O19-L19</f>
        <v>-14.291497975707017</v>
      </c>
      <c r="R19" s="99">
        <f>O19/L19</f>
        <v>0.91742690058480392</v>
      </c>
      <c r="S19" s="473"/>
      <c r="T19" s="19">
        <v>0.5625</v>
      </c>
      <c r="U19" s="19">
        <v>0.60208333333333297</v>
      </c>
      <c r="V19" s="30">
        <f>(T19-U18)*24*60</f>
        <v>139.99999999999966</v>
      </c>
      <c r="W19" s="149">
        <f t="shared" si="11"/>
        <v>56.999999999999474</v>
      </c>
      <c r="X19" s="22"/>
      <c r="Y19" s="84"/>
      <c r="Z19" s="90"/>
      <c r="AA19" s="90"/>
      <c r="AB19" s="465"/>
      <c r="AC19" s="465"/>
      <c r="AD19" s="149"/>
      <c r="AE19" s="149"/>
      <c r="AF19" s="307">
        <f>N19-K19</f>
        <v>-185.78947368419131</v>
      </c>
      <c r="AG19" s="72">
        <f>N19/K19</f>
        <v>0.91742690058480392</v>
      </c>
      <c r="AH19" s="463"/>
    </row>
    <row r="20" spans="1:34" ht="15" customHeight="1">
      <c r="A20" s="47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3"/>
      <c r="T20" s="19"/>
      <c r="U20" s="19"/>
      <c r="V20" s="30"/>
      <c r="W20" s="149">
        <f t="shared" si="11"/>
        <v>0</v>
      </c>
      <c r="X20" s="19"/>
      <c r="Y20" s="297"/>
      <c r="Z20" s="90"/>
      <c r="AA20" s="90"/>
      <c r="AB20" s="466"/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3"/>
      <c r="T21" s="150"/>
      <c r="U21" s="150"/>
      <c r="V21" s="30"/>
      <c r="W21" s="149">
        <f t="shared" si="11"/>
        <v>0</v>
      </c>
      <c r="X21" s="92"/>
      <c r="Y21" s="298"/>
      <c r="Z21" s="90"/>
      <c r="AA21" s="90"/>
      <c r="AB21" s="466"/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50"/>
      <c r="U22" s="150"/>
      <c r="V22" s="92"/>
      <c r="W22" s="149"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11"/>
        <v>0</v>
      </c>
      <c r="X23" s="92"/>
      <c r="Y23" s="298"/>
      <c r="Z23" s="90"/>
      <c r="AA23" s="90"/>
      <c r="AB23" s="466"/>
      <c r="AC23" s="46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11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11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 thickBo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>
        <f t="shared" ref="J26:O26" si="12">AVERAGE(J16:J25)</f>
        <v>13.75</v>
      </c>
      <c r="K26" s="155">
        <f t="shared" si="12"/>
        <v>2250</v>
      </c>
      <c r="L26" s="158">
        <f t="shared" si="12"/>
        <v>164.21703296703296</v>
      </c>
      <c r="M26" s="155">
        <f t="shared" si="12"/>
        <v>13.75</v>
      </c>
      <c r="N26" s="155">
        <f t="shared" si="12"/>
        <v>2101.444765006856</v>
      </c>
      <c r="O26" s="158">
        <f t="shared" si="12"/>
        <v>153.38184705757601</v>
      </c>
      <c r="P26" s="159">
        <f>M26-J26</f>
        <v>0</v>
      </c>
      <c r="Q26" s="160">
        <f>O26-L26</f>
        <v>-10.835185909456953</v>
      </c>
      <c r="R26" s="161">
        <f>O26/L26</f>
        <v>0.93401911048026209</v>
      </c>
      <c r="S26" s="474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7"/>
      <c r="AC26" s="467"/>
      <c r="AD26" s="323">
        <f>SUM(AD16:AD25)</f>
        <v>0</v>
      </c>
      <c r="AE26" s="323">
        <f>SUM(AE16:AE25)</f>
        <v>0</v>
      </c>
      <c r="AF26" s="309">
        <f t="shared" ref="AF26:AF31" si="13">N26-K26</f>
        <v>-148.55523499314404</v>
      </c>
      <c r="AG26" s="124">
        <f t="shared" ref="AG26:AG31" si="14">N26/K26</f>
        <v>0.93397545111415825</v>
      </c>
      <c r="AH26" s="464"/>
    </row>
    <row r="27" spans="1:34" ht="15" customHeight="1">
      <c r="A27" s="469" t="s">
        <v>45</v>
      </c>
      <c r="B27" s="167" t="s">
        <v>81</v>
      </c>
      <c r="C27" s="130"/>
      <c r="D27" s="168" t="s">
        <v>145</v>
      </c>
      <c r="E27" s="132"/>
      <c r="F27" s="129">
        <f>VLOOKUP(D27,廠價表!$C$1:$E$43,3,0)</f>
        <v>57.21</v>
      </c>
      <c r="G27" s="169">
        <v>2062</v>
      </c>
      <c r="H27" s="134">
        <f>F27*G27</f>
        <v>117967.02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1455.5294117646972</v>
      </c>
      <c r="O27" s="141">
        <f>N27/M27</f>
        <v>85.619377162629249</v>
      </c>
      <c r="P27" s="142">
        <f>M27-J27</f>
        <v>0</v>
      </c>
      <c r="Q27" s="143">
        <f>O27-L27</f>
        <v>-6.4394463667825192</v>
      </c>
      <c r="R27" s="144">
        <f>O27/L27</f>
        <v>0.93005074234165952</v>
      </c>
      <c r="S27" s="472">
        <f>R37</f>
        <v>0.90824383310449908</v>
      </c>
      <c r="T27" s="171">
        <v>0.33333333333333298</v>
      </c>
      <c r="U27" s="171">
        <v>0.3923611111111111</v>
      </c>
      <c r="V27" s="135"/>
      <c r="W27" s="146">
        <f t="shared" si="11"/>
        <v>85.000000000000497</v>
      </c>
      <c r="X27" s="135"/>
      <c r="Y27" s="300" t="s">
        <v>46</v>
      </c>
      <c r="Z27" s="169"/>
      <c r="AA27" s="169"/>
      <c r="AB27" s="468"/>
      <c r="AC27" s="468"/>
      <c r="AD27" s="135"/>
      <c r="AE27" s="135"/>
      <c r="AF27" s="310">
        <f t="shared" si="13"/>
        <v>-109.47058823530278</v>
      </c>
      <c r="AG27" s="172">
        <f t="shared" si="14"/>
        <v>0.93005074234165952</v>
      </c>
      <c r="AH27" s="461">
        <f>AG37</f>
        <v>0.90824383310449897</v>
      </c>
    </row>
    <row r="28" spans="1:34" ht="15" customHeight="1">
      <c r="A28" s="470"/>
      <c r="B28" s="75" t="s">
        <v>81</v>
      </c>
      <c r="C28" s="173"/>
      <c r="D28" s="59" t="s">
        <v>128</v>
      </c>
      <c r="E28" s="104"/>
      <c r="F28" s="75">
        <f>VLOOKUP(D28,廠價表!$C$1:$E$43,3,0)</f>
        <v>57.21</v>
      </c>
      <c r="G28" s="90">
        <v>2185</v>
      </c>
      <c r="H28" s="91">
        <f>F28*G28</f>
        <v>125003.85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17</v>
      </c>
      <c r="N28" s="95">
        <f>G28/W28*60</f>
        <v>1524.4186046511641</v>
      </c>
      <c r="O28" s="96">
        <f>N28/M28</f>
        <v>89.671682626539067</v>
      </c>
      <c r="P28" s="97">
        <f>M28-J28</f>
        <v>0</v>
      </c>
      <c r="Q28" s="98">
        <f>O28-L28</f>
        <v>-11.269493844049165</v>
      </c>
      <c r="R28" s="99">
        <f>O28/L28</f>
        <v>0.88835583021629616</v>
      </c>
      <c r="S28" s="473"/>
      <c r="T28" s="19">
        <v>0.39861111111111114</v>
      </c>
      <c r="U28" s="19">
        <v>0.45833333333333331</v>
      </c>
      <c r="V28" s="92">
        <f>(T28-U27)*24*60</f>
        <v>9.000000000000048</v>
      </c>
      <c r="W28" s="149">
        <f t="shared" si="11"/>
        <v>85.999999999999929</v>
      </c>
      <c r="X28" s="22">
        <v>0.46875</v>
      </c>
      <c r="Y28" s="84">
        <v>0.52083333333333337</v>
      </c>
      <c r="Z28" s="335"/>
      <c r="AA28" s="335"/>
      <c r="AB28" s="466"/>
      <c r="AC28" s="466"/>
      <c r="AD28" s="92"/>
      <c r="AE28" s="92"/>
      <c r="AF28" s="311">
        <f t="shared" si="13"/>
        <v>-191.58139534883594</v>
      </c>
      <c r="AG28" s="99">
        <f t="shared" si="14"/>
        <v>0.88835583021629605</v>
      </c>
      <c r="AH28" s="482"/>
    </row>
    <row r="29" spans="1:34" ht="15" customHeight="1">
      <c r="A29" s="470"/>
      <c r="B29" s="75"/>
      <c r="C29" s="173"/>
      <c r="D29" s="59"/>
      <c r="E29" s="104"/>
      <c r="F29" s="75"/>
      <c r="G29" s="90"/>
      <c r="H29" s="91"/>
      <c r="I29" s="92"/>
      <c r="J29" s="79"/>
      <c r="K29" s="80"/>
      <c r="L29" s="93"/>
      <c r="M29" s="94"/>
      <c r="N29" s="95"/>
      <c r="O29" s="96"/>
      <c r="P29" s="97"/>
      <c r="Q29" s="98"/>
      <c r="R29" s="99"/>
      <c r="S29" s="473"/>
      <c r="T29" s="19"/>
      <c r="U29" s="19"/>
      <c r="V29" s="92"/>
      <c r="W29" s="149">
        <f t="shared" si="11"/>
        <v>0</v>
      </c>
      <c r="X29" s="22"/>
      <c r="Y29" s="84"/>
      <c r="Z29" s="90"/>
      <c r="AA29" s="90"/>
      <c r="AB29" s="466"/>
      <c r="AC29" s="466"/>
      <c r="AD29" s="92"/>
      <c r="AE29" s="92"/>
      <c r="AF29" s="312">
        <f t="shared" si="13"/>
        <v>0</v>
      </c>
      <c r="AG29" s="99" t="e">
        <f t="shared" si="14"/>
        <v>#DIV/0!</v>
      </c>
      <c r="AH29" s="482"/>
    </row>
    <row r="30" spans="1:34" ht="15" customHeight="1">
      <c r="A30" s="470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3"/>
      <c r="T30" s="19"/>
      <c r="U30" s="19"/>
      <c r="V30" s="92"/>
      <c r="W30" s="149">
        <f t="shared" si="11"/>
        <v>0</v>
      </c>
      <c r="X30" s="174"/>
      <c r="Y30" s="301"/>
      <c r="Z30" s="335"/>
      <c r="AA30" s="335"/>
      <c r="AB30" s="466"/>
      <c r="AC30" s="466"/>
      <c r="AD30" s="92"/>
      <c r="AE30" s="92"/>
      <c r="AF30" s="312">
        <f t="shared" si="13"/>
        <v>0</v>
      </c>
      <c r="AG30" s="99" t="e">
        <f t="shared" si="14"/>
        <v>#DIV/0!</v>
      </c>
      <c r="AH30" s="483"/>
    </row>
    <row r="31" spans="1:34" ht="15" customHeight="1">
      <c r="A31" s="47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3"/>
      <c r="T31" s="19"/>
      <c r="U31" s="19"/>
      <c r="V31" s="92"/>
      <c r="W31" s="149">
        <f t="shared" si="11"/>
        <v>0</v>
      </c>
      <c r="X31" s="174"/>
      <c r="Y31" s="301"/>
      <c r="Z31" s="335"/>
      <c r="AA31" s="335"/>
      <c r="AB31" s="466"/>
      <c r="AC31" s="466"/>
      <c r="AD31" s="92"/>
      <c r="AE31" s="92"/>
      <c r="AF31" s="312">
        <f t="shared" si="13"/>
        <v>0</v>
      </c>
      <c r="AG31" s="99" t="e">
        <f t="shared" si="14"/>
        <v>#DIV/0!</v>
      </c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50"/>
      <c r="U32" s="150"/>
      <c r="V32" s="92"/>
      <c r="W32" s="149">
        <f t="shared" si="11"/>
        <v>0</v>
      </c>
      <c r="X32" s="174"/>
      <c r="Y32" s="301"/>
      <c r="Z32" s="335"/>
      <c r="AA32" s="335"/>
      <c r="AB32" s="466"/>
      <c r="AC32" s="466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50"/>
      <c r="U33" s="150"/>
      <c r="V33" s="92"/>
      <c r="W33" s="149">
        <f t="shared" si="11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11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11"/>
        <v>0</v>
      </c>
      <c r="X35" s="174"/>
      <c r="Y35" s="301"/>
      <c r="Z35" s="335"/>
      <c r="AA35" s="335"/>
      <c r="AB35" s="466"/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11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 thickBo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>
        <f t="shared" ref="J37:O37" si="15">AVERAGE(J27:J36)</f>
        <v>17</v>
      </c>
      <c r="K37" s="155">
        <f t="shared" si="15"/>
        <v>1640.5</v>
      </c>
      <c r="L37" s="158">
        <f t="shared" si="15"/>
        <v>96.5</v>
      </c>
      <c r="M37" s="155">
        <f t="shared" si="15"/>
        <v>17</v>
      </c>
      <c r="N37" s="155">
        <f t="shared" si="15"/>
        <v>1489.9740082079306</v>
      </c>
      <c r="O37" s="158">
        <f t="shared" si="15"/>
        <v>87.645529894584158</v>
      </c>
      <c r="P37" s="159">
        <f>M37-J37</f>
        <v>0</v>
      </c>
      <c r="Q37" s="160">
        <f>N37-K37</f>
        <v>-150.52599179206936</v>
      </c>
      <c r="R37" s="161">
        <f>O37/L37</f>
        <v>0.90824383310449908</v>
      </c>
      <c r="S37" s="474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7"/>
      <c r="AC37" s="477"/>
      <c r="AD37" s="324">
        <f>SUM(AD27:AD36)</f>
        <v>0</v>
      </c>
      <c r="AE37" s="324">
        <f>SUM(AE27:AE36)</f>
        <v>0</v>
      </c>
      <c r="AF37" s="309">
        <f>N37-K37</f>
        <v>-150.52599179206936</v>
      </c>
      <c r="AG37" s="124">
        <f>N37/K37</f>
        <v>0.90824383310449897</v>
      </c>
      <c r="AH37" s="464"/>
    </row>
    <row r="38" spans="1:34" ht="15" customHeight="1">
      <c r="A38" s="491" t="s">
        <v>48</v>
      </c>
      <c r="B38" s="167" t="s">
        <v>123</v>
      </c>
      <c r="C38" s="129"/>
      <c r="D38" s="184" t="s">
        <v>126</v>
      </c>
      <c r="E38" s="185"/>
      <c r="F38" s="39">
        <f>VLOOKUP(D38,廠價表!$C$1:$E$43,3,0)</f>
        <v>49.91</v>
      </c>
      <c r="G38" s="186">
        <v>3315</v>
      </c>
      <c r="H38" s="134">
        <f>F38*G38</f>
        <v>165451.65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13</v>
      </c>
      <c r="N38" s="140">
        <f>G38/W38*60</f>
        <v>1420.7142857142803</v>
      </c>
      <c r="O38" s="141">
        <f>N38/M38</f>
        <v>109.28571428571387</v>
      </c>
      <c r="P38" s="142">
        <f>M38-J38</f>
        <v>-2</v>
      </c>
      <c r="Q38" s="143">
        <f>O38-L38</f>
        <v>-4.9809523809528002</v>
      </c>
      <c r="R38" s="144">
        <f>O38/L38</f>
        <v>0.95640940156692411</v>
      </c>
      <c r="S38" s="494">
        <f>R48</f>
        <v>0.92493344370066843</v>
      </c>
      <c r="T38" s="191">
        <v>0.33333333333333298</v>
      </c>
      <c r="U38" s="191">
        <v>0.43055555555555558</v>
      </c>
      <c r="V38" s="192"/>
      <c r="W38" s="193">
        <f t="shared" si="11"/>
        <v>140.00000000000054</v>
      </c>
      <c r="X38" s="194"/>
      <c r="Y38" s="302"/>
      <c r="Z38" s="336"/>
      <c r="AA38" s="336"/>
      <c r="AB38" s="496"/>
      <c r="AC38" s="496"/>
      <c r="AD38" s="192"/>
      <c r="AE38" s="192"/>
      <c r="AF38" s="313">
        <f>N38-K38</f>
        <v>-293.28571428571968</v>
      </c>
      <c r="AG38" s="195">
        <f>N38/K38</f>
        <v>0.82888814802466759</v>
      </c>
      <c r="AH38" s="484">
        <f>AG48</f>
        <v>0.8796537136279724</v>
      </c>
    </row>
    <row r="39" spans="1:34" ht="15" customHeight="1">
      <c r="A39" s="492"/>
      <c r="B39" s="75" t="s">
        <v>123</v>
      </c>
      <c r="C39" s="197"/>
      <c r="D39" s="198" t="s">
        <v>124</v>
      </c>
      <c r="E39" s="176"/>
      <c r="F39" s="75">
        <f>VLOOKUP(D39,廠價表!$C$1:$E$43,3,0)</f>
        <v>44.3</v>
      </c>
      <c r="G39" s="199">
        <v>2249</v>
      </c>
      <c r="H39" s="91">
        <f>F39*G39</f>
        <v>99630.7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1466.7391304347825</v>
      </c>
      <c r="O39" s="203">
        <f>N39/M39</f>
        <v>86.278772378516621</v>
      </c>
      <c r="P39" s="97">
        <f>M39-J39</f>
        <v>0</v>
      </c>
      <c r="Q39" s="98">
        <f>O39-L39</f>
        <v>-9.9565217391304373</v>
      </c>
      <c r="R39" s="99">
        <f>O39/L39</f>
        <v>0.89653981077920697</v>
      </c>
      <c r="S39" s="495"/>
      <c r="T39" s="20">
        <v>0.43611111111111112</v>
      </c>
      <c r="U39" s="20">
        <v>0.5</v>
      </c>
      <c r="V39" s="92">
        <f>(T39-U38)*24*60</f>
        <v>7.9999999999999716</v>
      </c>
      <c r="W39" s="205">
        <f t="shared" si="11"/>
        <v>92</v>
      </c>
      <c r="X39" s="22">
        <v>0.50694444444444442</v>
      </c>
      <c r="Y39" s="84">
        <v>0.54861111111111116</v>
      </c>
      <c r="Z39" s="90"/>
      <c r="AA39" s="90"/>
      <c r="AB39" s="487"/>
      <c r="AC39" s="487"/>
      <c r="AD39" s="200"/>
      <c r="AE39" s="200"/>
      <c r="AF39" s="314">
        <f>N39-K39</f>
        <v>-169.26086956521749</v>
      </c>
      <c r="AG39" s="206">
        <f>N39/K39</f>
        <v>0.89653981077920686</v>
      </c>
      <c r="AH39" s="485"/>
    </row>
    <row r="40" spans="1:34" ht="15" customHeight="1">
      <c r="A40" s="492"/>
      <c r="B40" s="75" t="s">
        <v>123</v>
      </c>
      <c r="C40" s="207"/>
      <c r="D40" s="198" t="s">
        <v>124</v>
      </c>
      <c r="E40" s="178"/>
      <c r="F40" s="75">
        <f>VLOOKUP(D40,廠價表!$C$1:$E$43,3,0)</f>
        <v>44.3</v>
      </c>
      <c r="G40" s="199">
        <v>2997</v>
      </c>
      <c r="H40" s="91">
        <f>F40*G40</f>
        <v>132767.1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1498.5000000000073</v>
      </c>
      <c r="O40" s="203">
        <f>N40/M40</f>
        <v>88.147058823529846</v>
      </c>
      <c r="P40" s="97">
        <f>M40-J40</f>
        <v>0</v>
      </c>
      <c r="Q40" s="98">
        <f>O40-L40</f>
        <v>-8.0882352941172115</v>
      </c>
      <c r="R40" s="99">
        <f>O40/L40</f>
        <v>0.91595354523227834</v>
      </c>
      <c r="S40" s="417"/>
      <c r="T40" s="20">
        <v>0.55555555555555602</v>
      </c>
      <c r="U40" s="20">
        <v>0.63888888888888895</v>
      </c>
      <c r="V40" s="92">
        <f>(T40-U39)*24*60</f>
        <v>80.000000000000682</v>
      </c>
      <c r="W40" s="205">
        <f t="shared" si="11"/>
        <v>119.99999999999942</v>
      </c>
      <c r="X40" s="208"/>
      <c r="Y40" s="209"/>
      <c r="Z40" s="337"/>
      <c r="AA40" s="337"/>
      <c r="AB40" s="466"/>
      <c r="AC40" s="466"/>
      <c r="AD40" s="92"/>
      <c r="AE40" s="92"/>
      <c r="AF40" s="314">
        <f>N40-K40</f>
        <v>-137.49999999999272</v>
      </c>
      <c r="AG40" s="206">
        <f>N40/K40</f>
        <v>0.91595354523227823</v>
      </c>
      <c r="AH40" s="485"/>
    </row>
    <row r="41" spans="1:34" ht="15" customHeight="1">
      <c r="A41" s="49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7"/>
      <c r="T41" s="20"/>
      <c r="U41" s="210"/>
      <c r="V41" s="92"/>
      <c r="W41" s="205">
        <f t="shared" si="11"/>
        <v>0</v>
      </c>
      <c r="X41" s="208"/>
      <c r="Y41" s="209"/>
      <c r="Z41" s="337"/>
      <c r="AA41" s="337"/>
      <c r="AB41" s="466"/>
      <c r="AC41" s="466"/>
      <c r="AD41" s="92"/>
      <c r="AE41" s="92"/>
      <c r="AF41" s="314">
        <f>N41-K41</f>
        <v>0</v>
      </c>
      <c r="AG41" s="206" t="e">
        <f>N41/K41</f>
        <v>#DIV/0!</v>
      </c>
      <c r="AH41" s="485"/>
    </row>
    <row r="42" spans="1:34" ht="15" customHeight="1">
      <c r="A42" s="49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7"/>
      <c r="T42" s="210"/>
      <c r="U42" s="210"/>
      <c r="V42" s="92"/>
      <c r="W42" s="205">
        <f t="shared" si="11"/>
        <v>0</v>
      </c>
      <c r="X42" s="208"/>
      <c r="Y42" s="211"/>
      <c r="Z42" s="338"/>
      <c r="AA42" s="338"/>
      <c r="AB42" s="466"/>
      <c r="AC42" s="466"/>
      <c r="AD42" s="92"/>
      <c r="AE42" s="92"/>
      <c r="AF42" s="314"/>
      <c r="AG42" s="206"/>
      <c r="AH42" s="485"/>
    </row>
    <row r="43" spans="1:34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si="11"/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11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11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16"/>
      <c r="U46" s="216"/>
      <c r="V46" s="200"/>
      <c r="W46" s="205">
        <f t="shared" si="11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11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 thickBo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>
        <f t="shared" ref="J48:O48" si="16">AVERAGE(J38:J47)</f>
        <v>16.333333333333332</v>
      </c>
      <c r="K48" s="155">
        <f t="shared" si="16"/>
        <v>1662</v>
      </c>
      <c r="L48" s="158">
        <f t="shared" si="16"/>
        <v>102.24575163398693</v>
      </c>
      <c r="M48" s="155">
        <f t="shared" si="16"/>
        <v>15.666666666666666</v>
      </c>
      <c r="N48" s="155">
        <f t="shared" si="16"/>
        <v>1461.9844720496901</v>
      </c>
      <c r="O48" s="158">
        <f t="shared" si="16"/>
        <v>94.570515162586773</v>
      </c>
      <c r="P48" s="221">
        <f>M48-J48</f>
        <v>-0.66666666666666607</v>
      </c>
      <c r="Q48" s="222">
        <f>N48-K48</f>
        <v>-200.01552795030989</v>
      </c>
      <c r="R48" s="223">
        <f>O48/L48</f>
        <v>0.92493344370066843</v>
      </c>
      <c r="S48" s="420"/>
      <c r="T48" s="224"/>
      <c r="U48" s="224"/>
      <c r="V48" s="225"/>
      <c r="W48" s="226">
        <f t="shared" si="11"/>
        <v>0</v>
      </c>
      <c r="X48" s="227"/>
      <c r="Y48" s="303"/>
      <c r="Z48" s="334">
        <f>SUM(Z38:Z47)</f>
        <v>0</v>
      </c>
      <c r="AA48" s="334">
        <f>SUM(AA38:AA47)</f>
        <v>0</v>
      </c>
      <c r="AB48" s="467"/>
      <c r="AC48" s="467"/>
      <c r="AD48" s="323">
        <f>SUM(AD38:AD47)</f>
        <v>0</v>
      </c>
      <c r="AE48" s="323">
        <f>SUM(AE38:AE47)</f>
        <v>0</v>
      </c>
      <c r="AF48" s="315">
        <f t="shared" ref="AF48:AF53" si="17">N48-K48</f>
        <v>-200.01552795030989</v>
      </c>
      <c r="AG48" s="162">
        <f t="shared" ref="AG48:AG53" si="18">N48/K48</f>
        <v>0.8796537136279724</v>
      </c>
      <c r="AH48" s="486"/>
    </row>
    <row r="49" spans="1:34" ht="15" customHeight="1">
      <c r="A49" s="488" t="s">
        <v>50</v>
      </c>
      <c r="B49" s="129" t="s">
        <v>123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2215</v>
      </c>
      <c r="H49" s="134">
        <f>F49*G49</f>
        <v>109686.8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16</v>
      </c>
      <c r="N49" s="140">
        <f>G49/W49*60</f>
        <v>1640.7407407407418</v>
      </c>
      <c r="O49" s="141">
        <f>N49/M49</f>
        <v>102.54629629629636</v>
      </c>
      <c r="P49" s="229">
        <f>M49-J49</f>
        <v>-1</v>
      </c>
      <c r="Q49" s="230">
        <f>O49-L49</f>
        <v>-3.3360566448801023</v>
      </c>
      <c r="R49" s="52">
        <f>O49/L49</f>
        <v>0.96849279835391011</v>
      </c>
      <c r="S49" s="416">
        <f>R58</f>
        <v>0.95248018208298157</v>
      </c>
      <c r="T49" s="191">
        <v>0.29166666666666702</v>
      </c>
      <c r="U49" s="191">
        <v>0.34791666666666698</v>
      </c>
      <c r="V49" s="55"/>
      <c r="W49" s="193">
        <f t="shared" si="11"/>
        <v>80.999999999999957</v>
      </c>
      <c r="X49" s="55"/>
      <c r="Y49" s="290"/>
      <c r="Z49" s="169"/>
      <c r="AA49" s="169"/>
      <c r="AB49" s="468"/>
      <c r="AC49" s="468"/>
      <c r="AD49" s="135"/>
      <c r="AE49" s="135"/>
      <c r="AF49" s="229">
        <f t="shared" si="17"/>
        <v>-159.25925925925822</v>
      </c>
      <c r="AG49" s="52">
        <f t="shared" si="18"/>
        <v>0.91152263374485654</v>
      </c>
      <c r="AH49" s="461">
        <f>AG58</f>
        <v>0.94092355760822433</v>
      </c>
    </row>
    <row r="50" spans="1:34" ht="15" customHeight="1">
      <c r="A50" s="489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2432</v>
      </c>
      <c r="H50" s="231">
        <f>F50*G50</f>
        <v>121527.03999999999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1658.1818181818212</v>
      </c>
      <c r="O50" s="235">
        <f>N50/M50</f>
        <v>103.63636363636382</v>
      </c>
      <c r="P50" s="74">
        <f>M50-J50</f>
        <v>0</v>
      </c>
      <c r="Q50" s="83">
        <f>O50-L50</f>
        <v>-8.863636363636175</v>
      </c>
      <c r="R50" s="72">
        <f>O50/L50</f>
        <v>0.92121212121212293</v>
      </c>
      <c r="S50" s="417"/>
      <c r="T50" s="21">
        <v>0.35347222222222202</v>
      </c>
      <c r="U50" s="21">
        <v>0.41458333333333303</v>
      </c>
      <c r="V50" s="30">
        <f>(T50-U49)*24*60</f>
        <v>7.9999999999992522</v>
      </c>
      <c r="W50" s="236">
        <f t="shared" si="11"/>
        <v>87.999999999999844</v>
      </c>
      <c r="X50" s="22"/>
      <c r="Y50" s="84"/>
      <c r="Z50" s="90"/>
      <c r="AA50" s="90"/>
      <c r="AB50" s="466"/>
      <c r="AC50" s="466"/>
      <c r="AD50" s="92"/>
      <c r="AE50" s="92"/>
      <c r="AF50" s="307">
        <f t="shared" si="17"/>
        <v>-141.8181818181788</v>
      </c>
      <c r="AG50" s="72">
        <f t="shared" si="18"/>
        <v>0.92121212121212293</v>
      </c>
      <c r="AH50" s="462"/>
    </row>
    <row r="51" spans="1:34" ht="15" customHeight="1">
      <c r="A51" s="489"/>
      <c r="B51" s="75" t="s">
        <v>81</v>
      </c>
      <c r="C51" s="76"/>
      <c r="D51" s="59" t="s">
        <v>121</v>
      </c>
      <c r="E51" s="77"/>
      <c r="F51" s="75">
        <f>VLOOKUP(D51,廠價表!$C$1:$E$43,3,0)</f>
        <v>50.289000000000001</v>
      </c>
      <c r="G51" s="202">
        <v>2331</v>
      </c>
      <c r="H51" s="231">
        <f>F51*G51</f>
        <v>117223.659</v>
      </c>
      <c r="I51" s="232"/>
      <c r="J51" s="79">
        <v>18</v>
      </c>
      <c r="K51" s="80">
        <f>VLOOKUP(D51,產線配置圖!$A$3:$C$40,3,0)</f>
        <v>1565</v>
      </c>
      <c r="L51" s="81">
        <f>K51/J51</f>
        <v>86.944444444444443</v>
      </c>
      <c r="M51" s="233">
        <v>18</v>
      </c>
      <c r="N51" s="234">
        <f>G51/W51*60</f>
        <v>1487.8723404255347</v>
      </c>
      <c r="O51" s="235">
        <f>N51/M51</f>
        <v>82.659574468085268</v>
      </c>
      <c r="P51" s="74">
        <f>M51-J51</f>
        <v>0</v>
      </c>
      <c r="Q51" s="83">
        <f>O51-L51</f>
        <v>-4.2848699763591753</v>
      </c>
      <c r="R51" s="72">
        <f>O51/L51</f>
        <v>0.95071715043165161</v>
      </c>
      <c r="S51" s="417"/>
      <c r="T51" s="21">
        <v>0.42013888888888901</v>
      </c>
      <c r="U51" s="19">
        <v>0.48541666666666666</v>
      </c>
      <c r="V51" s="30">
        <f>(T51-U50)*24*60</f>
        <v>8.0000000000006111</v>
      </c>
      <c r="W51" s="236">
        <f t="shared" si="11"/>
        <v>93.999999999999829</v>
      </c>
      <c r="X51" s="22">
        <v>0.4826388888888889</v>
      </c>
      <c r="Y51" s="84">
        <v>0.53125</v>
      </c>
      <c r="Z51" s="90"/>
      <c r="AA51" s="90"/>
      <c r="AB51" s="466"/>
      <c r="AC51" s="466"/>
      <c r="AD51" s="92"/>
      <c r="AE51" s="92"/>
      <c r="AF51" s="307">
        <f t="shared" si="17"/>
        <v>-77.12765957446527</v>
      </c>
      <c r="AG51" s="72">
        <f t="shared" si="18"/>
        <v>0.95071715043165161</v>
      </c>
      <c r="AH51" s="462"/>
    </row>
    <row r="52" spans="1:34" ht="15" customHeight="1">
      <c r="A52" s="489"/>
      <c r="B52" s="75" t="s">
        <v>81</v>
      </c>
      <c r="C52" s="86"/>
      <c r="D52" s="59" t="s">
        <v>121</v>
      </c>
      <c r="E52" s="87"/>
      <c r="F52" s="75">
        <f>VLOOKUP(D52,廠價表!$C$1:$E$43,3,0)</f>
        <v>50.289000000000001</v>
      </c>
      <c r="G52" s="202">
        <v>1312</v>
      </c>
      <c r="H52" s="231">
        <f t="shared" ref="H52:H53" si="19">F52*G52</f>
        <v>65979.168000000005</v>
      </c>
      <c r="I52" s="232"/>
      <c r="J52" s="79">
        <v>18</v>
      </c>
      <c r="K52" s="80">
        <f>VLOOKUP(D52,產線配置圖!$A$3:$C$40,3,0)</f>
        <v>1565</v>
      </c>
      <c r="L52" s="81">
        <f t="shared" ref="L52:L53" si="20">K52/J52</f>
        <v>86.944444444444443</v>
      </c>
      <c r="M52" s="233">
        <v>18</v>
      </c>
      <c r="N52" s="234">
        <f t="shared" ref="N52:N53" si="21">G52/W52*60</f>
        <v>1513.8461538461547</v>
      </c>
      <c r="O52" s="235">
        <f t="shared" ref="O52:O53" si="22">N52/M52</f>
        <v>84.102564102564145</v>
      </c>
      <c r="P52" s="74">
        <f t="shared" ref="P52:P53" si="23">M52-J52</f>
        <v>0</v>
      </c>
      <c r="Q52" s="83">
        <f t="shared" ref="Q52:Q53" si="24">O52-L52</f>
        <v>-2.841880341880298</v>
      </c>
      <c r="R52" s="72">
        <f t="shared" ref="R52:R53" si="25">O52/L52</f>
        <v>0.96731383632342149</v>
      </c>
      <c r="S52" s="417"/>
      <c r="T52" s="21">
        <v>0.53263888888888888</v>
      </c>
      <c r="U52" s="21">
        <v>0.56874999999999998</v>
      </c>
      <c r="V52" s="30">
        <f>(T52-U51)*24*60</f>
        <v>68</v>
      </c>
      <c r="W52" s="236">
        <f t="shared" si="11"/>
        <v>51.999999999999972</v>
      </c>
      <c r="X52" s="22"/>
      <c r="Y52" s="84"/>
      <c r="Z52" s="90"/>
      <c r="AA52" s="90"/>
      <c r="AB52" s="466"/>
      <c r="AC52" s="466"/>
      <c r="AD52" s="92"/>
      <c r="AE52" s="92"/>
      <c r="AF52" s="307">
        <f t="shared" si="17"/>
        <v>-51.153846153845279</v>
      </c>
      <c r="AG52" s="72">
        <f t="shared" si="18"/>
        <v>0.96731383632342149</v>
      </c>
      <c r="AH52" s="462"/>
    </row>
    <row r="53" spans="1:34" ht="15" customHeight="1">
      <c r="A53" s="489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2962</v>
      </c>
      <c r="H53" s="231">
        <f t="shared" si="19"/>
        <v>148011.13999999998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20"/>
        <v>112.5</v>
      </c>
      <c r="M53" s="108">
        <v>16</v>
      </c>
      <c r="N53" s="234">
        <f t="shared" si="21"/>
        <v>1725.4368932039004</v>
      </c>
      <c r="O53" s="235">
        <f t="shared" si="22"/>
        <v>107.83980582524377</v>
      </c>
      <c r="P53" s="74">
        <f t="shared" si="23"/>
        <v>0</v>
      </c>
      <c r="Q53" s="83">
        <f t="shared" si="24"/>
        <v>-4.6601941747562279</v>
      </c>
      <c r="R53" s="72">
        <f t="shared" si="25"/>
        <v>0.95857605177994465</v>
      </c>
      <c r="S53" s="417"/>
      <c r="T53" s="21">
        <v>0.57430555555555596</v>
      </c>
      <c r="U53" s="21">
        <v>0.64583333333333304</v>
      </c>
      <c r="V53" s="30">
        <f>(T53-U52)*24*60</f>
        <v>8.0000000000006111</v>
      </c>
      <c r="W53" s="236">
        <f>(U53-T53)*24*60</f>
        <v>102.99999999999899</v>
      </c>
      <c r="X53" s="30"/>
      <c r="Y53" s="151"/>
      <c r="Z53" s="90"/>
      <c r="AA53" s="90"/>
      <c r="AB53" s="466"/>
      <c r="AC53" s="466"/>
      <c r="AD53" s="92"/>
      <c r="AE53" s="92"/>
      <c r="AF53" s="307">
        <f t="shared" si="17"/>
        <v>-74.563106796099646</v>
      </c>
      <c r="AG53" s="72">
        <f t="shared" si="18"/>
        <v>0.95857605177994465</v>
      </c>
      <c r="AH53" s="462"/>
    </row>
    <row r="54" spans="1:34" ht="15" customHeight="1">
      <c r="A54" s="48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7"/>
      <c r="T54" s="21"/>
      <c r="U54" s="21"/>
      <c r="V54" s="30"/>
      <c r="W54" s="236">
        <f>(U54-T54)*24*60</f>
        <v>0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11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11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114"/>
      <c r="U57" s="114"/>
      <c r="V57" s="237"/>
      <c r="W57" s="236">
        <f t="shared" si="11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 thickBot="1">
      <c r="A58" s="490"/>
      <c r="B58" s="239"/>
      <c r="C58" s="153" t="s">
        <v>51</v>
      </c>
      <c r="D58" s="437" t="s">
        <v>42</v>
      </c>
      <c r="E58" s="437"/>
      <c r="F58" s="116"/>
      <c r="G58" s="240"/>
      <c r="H58" s="118"/>
      <c r="I58" s="117"/>
      <c r="J58" s="120">
        <f t="shared" ref="J58:O58" si="26">AVERAGE(J49:J57)</f>
        <v>17</v>
      </c>
      <c r="K58" s="120">
        <f t="shared" si="26"/>
        <v>1706</v>
      </c>
      <c r="L58" s="117">
        <f t="shared" si="26"/>
        <v>100.95424836601308</v>
      </c>
      <c r="M58" s="120">
        <f t="shared" si="26"/>
        <v>16.8</v>
      </c>
      <c r="N58" s="120">
        <f t="shared" si="26"/>
        <v>1605.2155892796306</v>
      </c>
      <c r="O58" s="117">
        <f t="shared" si="26"/>
        <v>96.156920865710674</v>
      </c>
      <c r="P58" s="121">
        <f>M58-J58</f>
        <v>-0.19999999999999929</v>
      </c>
      <c r="Q58" s="122">
        <f>N58-K58</f>
        <v>-100.78441072036935</v>
      </c>
      <c r="R58" s="123">
        <f>O58/L58</f>
        <v>0.95248018208298157</v>
      </c>
      <c r="S58" s="42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7"/>
      <c r="AC58" s="467"/>
      <c r="AD58" s="323">
        <f>SUM(AD49:AD57)</f>
        <v>0</v>
      </c>
      <c r="AE58" s="323">
        <f>SUM(AE49:AE57)</f>
        <v>0</v>
      </c>
      <c r="AF58" s="309">
        <f>N58-K58</f>
        <v>-100.78441072036935</v>
      </c>
      <c r="AG58" s="124">
        <f>N58/K58</f>
        <v>0.94092355760822433</v>
      </c>
      <c r="AH58" s="464"/>
    </row>
    <row r="59" spans="1:34" ht="15" customHeight="1">
      <c r="A59" s="502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4073</v>
      </c>
      <c r="H59" s="243">
        <f>F59*G59</f>
        <v>109930.26999999999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1481.0909090909138</v>
      </c>
      <c r="O59" s="138">
        <f>N59/M59</f>
        <v>98.739393939394247</v>
      </c>
      <c r="P59" s="56">
        <f>M59-J59</f>
        <v>0</v>
      </c>
      <c r="Q59" s="230">
        <f>O59-L59</f>
        <v>-5.5939393939390811</v>
      </c>
      <c r="R59" s="52">
        <f>O59/L59</f>
        <v>0.94638396747023246</v>
      </c>
      <c r="S59" s="416">
        <f>R69</f>
        <v>0.88194124471782842</v>
      </c>
      <c r="T59" s="245">
        <v>0.29166666666666702</v>
      </c>
      <c r="U59" s="245">
        <v>0.40625</v>
      </c>
      <c r="V59" s="55"/>
      <c r="W59" s="54">
        <f t="shared" si="11"/>
        <v>164.99999999999949</v>
      </c>
      <c r="X59" s="55"/>
      <c r="Y59" s="290"/>
      <c r="Z59" s="169"/>
      <c r="AA59" s="169"/>
      <c r="AB59" s="468"/>
      <c r="AC59" s="468"/>
      <c r="AD59" s="135"/>
      <c r="AE59" s="135"/>
      <c r="AF59" s="310">
        <f>N59-K59</f>
        <v>-83.909090909086217</v>
      </c>
      <c r="AG59" s="246">
        <f>N59/K59</f>
        <v>0.94638396747023246</v>
      </c>
      <c r="AH59" s="461">
        <f>AG69</f>
        <v>0.88314800008643612</v>
      </c>
    </row>
    <row r="60" spans="1:34" ht="15" customHeight="1">
      <c r="A60" s="503"/>
      <c r="B60" s="75" t="s">
        <v>81</v>
      </c>
      <c r="C60" s="86"/>
      <c r="D60" s="175" t="s">
        <v>119</v>
      </c>
      <c r="E60" s="87"/>
      <c r="F60" s="75">
        <f>VLOOKUP(D60,廠價表!$C$1:$E$43,3,0)</f>
        <v>50.67</v>
      </c>
      <c r="G60" s="30">
        <v>478</v>
      </c>
      <c r="H60" s="78">
        <f>F60*G60</f>
        <v>24220.260000000002</v>
      </c>
      <c r="I60" s="30"/>
      <c r="J60" s="79">
        <f>VLOOKUP(D60,產線配置圖!$A$3:$C$40,2,0)</f>
        <v>13</v>
      </c>
      <c r="K60" s="80">
        <f>VLOOKUP(D60,產線配置圖!$A$3:$C$40,3,0)</f>
        <v>1440</v>
      </c>
      <c r="L60" s="81">
        <f>K60/J60</f>
        <v>110.76923076923077</v>
      </c>
      <c r="M60" s="82">
        <v>13</v>
      </c>
      <c r="N60" s="80">
        <f>G60/W60*60</f>
        <v>1147.1999999999966</v>
      </c>
      <c r="O60" s="81">
        <f>N60/M60</f>
        <v>88.246153846153589</v>
      </c>
      <c r="P60" s="74">
        <f>M60-J60</f>
        <v>0</v>
      </c>
      <c r="Q60" s="83">
        <f>O60-L60</f>
        <v>-22.523076923077184</v>
      </c>
      <c r="R60" s="72">
        <f>O60/L60</f>
        <v>0.7966666666666643</v>
      </c>
      <c r="S60" s="506"/>
      <c r="T60" s="22">
        <v>0.41319444444444442</v>
      </c>
      <c r="U60" s="22">
        <v>0.43055555555555558</v>
      </c>
      <c r="V60" s="30">
        <f>(T60-U59)*24*60</f>
        <v>9.9999999999999645</v>
      </c>
      <c r="W60" s="248">
        <f t="shared" si="11"/>
        <v>25.000000000000071</v>
      </c>
      <c r="X60" s="232"/>
      <c r="Y60" s="177"/>
      <c r="Z60" s="90"/>
      <c r="AA60" s="90"/>
      <c r="AB60" s="466" t="s">
        <v>264</v>
      </c>
      <c r="AC60" s="466"/>
      <c r="AD60" s="92"/>
      <c r="AE60" s="92"/>
      <c r="AF60" s="316">
        <f>N60-K60</f>
        <v>-292.80000000000337</v>
      </c>
      <c r="AG60" s="249">
        <f>N60/K60</f>
        <v>0.7966666666666643</v>
      </c>
      <c r="AH60" s="497"/>
    </row>
    <row r="61" spans="1:34" ht="15" customHeight="1">
      <c r="A61" s="504"/>
      <c r="B61" s="250" t="s">
        <v>130</v>
      </c>
      <c r="C61" s="251"/>
      <c r="D61" s="252" t="s">
        <v>132</v>
      </c>
      <c r="E61" s="253"/>
      <c r="F61" s="250">
        <f>VLOOKUP(D61,廠價表!$C$1:$E$43,3,0)</f>
        <v>28.26</v>
      </c>
      <c r="G61" s="38">
        <v>1697</v>
      </c>
      <c r="H61" s="254">
        <f>F61*G61</f>
        <v>47957.22</v>
      </c>
      <c r="I61" s="182"/>
      <c r="J61" s="106">
        <f>VLOOKUP(D61,產線配置圖!$A$3:$C$40,2,0)</f>
        <v>12</v>
      </c>
      <c r="K61" s="107">
        <f>VLOOKUP(D61,產線配置圖!$A$3:$C$40,3,0)</f>
        <v>1565</v>
      </c>
      <c r="L61" s="238">
        <f>K61/J61</f>
        <v>130.41666666666666</v>
      </c>
      <c r="M61" s="108">
        <v>12</v>
      </c>
      <c r="N61" s="107">
        <f>G61/W61*60</f>
        <v>1454.5714285714289</v>
      </c>
      <c r="O61" s="238">
        <f>N61/M61</f>
        <v>121.21428571428574</v>
      </c>
      <c r="P61" s="111">
        <f>M61-J61</f>
        <v>0</v>
      </c>
      <c r="Q61" s="255">
        <f>O61-L61</f>
        <v>-9.2023809523809206</v>
      </c>
      <c r="R61" s="85">
        <f>O61/L61</f>
        <v>0.92943861250570536</v>
      </c>
      <c r="S61" s="417"/>
      <c r="T61" s="22">
        <v>0.43402777777777779</v>
      </c>
      <c r="U61" s="22">
        <v>0.4826388888888889</v>
      </c>
      <c r="V61" s="30">
        <f>(T61-U60)*24*60</f>
        <v>4.9999999999999822</v>
      </c>
      <c r="W61" s="256">
        <f t="shared" si="11"/>
        <v>69.999999999999986</v>
      </c>
      <c r="X61" s="22">
        <v>0.50347222222222221</v>
      </c>
      <c r="Y61" s="84">
        <v>0.54513888888888884</v>
      </c>
      <c r="Z61" s="90"/>
      <c r="AA61" s="90"/>
      <c r="AB61" s="466"/>
      <c r="AC61" s="466"/>
      <c r="AD61" s="92"/>
      <c r="AE61" s="92"/>
      <c r="AF61" s="317">
        <f>N61-K61</f>
        <v>-110.4285714285711</v>
      </c>
      <c r="AG61" s="247">
        <f>N61/K61</f>
        <v>0.92943861250570536</v>
      </c>
      <c r="AH61" s="462"/>
    </row>
    <row r="62" spans="1:34" ht="15" customHeight="1">
      <c r="A62" s="504"/>
      <c r="B62" s="250" t="s">
        <v>81</v>
      </c>
      <c r="C62" s="251"/>
      <c r="D62" s="257" t="s">
        <v>119</v>
      </c>
      <c r="E62" s="253"/>
      <c r="F62" s="250">
        <f>VLOOKUP(D62,廠價表!$C$1:$E$43,3,0)</f>
        <v>50.67</v>
      </c>
      <c r="G62" s="38">
        <v>1429</v>
      </c>
      <c r="H62" s="254">
        <f>F62*G62</f>
        <v>72407.430000000008</v>
      </c>
      <c r="I62" s="182"/>
      <c r="J62" s="106">
        <f>VLOOKUP(D62,產線配置圖!$A$3:$C$40,2,0)</f>
        <v>13</v>
      </c>
      <c r="K62" s="107">
        <f>VLOOKUP(D62,產線配置圖!$A$3:$C$40,3,0)</f>
        <v>1440</v>
      </c>
      <c r="L62" s="238">
        <f>K62/J62</f>
        <v>110.76923076923077</v>
      </c>
      <c r="M62" s="108">
        <v>13</v>
      </c>
      <c r="N62" s="107">
        <f>G62/W62*60</f>
        <v>1224.8571428571415</v>
      </c>
      <c r="O62" s="238">
        <f>N62/M62</f>
        <v>94.21978021978012</v>
      </c>
      <c r="P62" s="111">
        <f>M62-J62</f>
        <v>0</v>
      </c>
      <c r="Q62" s="255">
        <f>O62-L62</f>
        <v>-16.549450549450654</v>
      </c>
      <c r="R62" s="85">
        <f>O62/L62</f>
        <v>0.85059523809523718</v>
      </c>
      <c r="S62" s="417"/>
      <c r="T62" s="22">
        <v>0.54861111111111105</v>
      </c>
      <c r="U62" s="22">
        <v>0.59722222222222221</v>
      </c>
      <c r="V62" s="30">
        <f>(T62-U61)*24*60</f>
        <v>94.999999999999901</v>
      </c>
      <c r="W62" s="248">
        <f t="shared" si="11"/>
        <v>70.000000000000071</v>
      </c>
      <c r="X62" s="22"/>
      <c r="Y62" s="84"/>
      <c r="Z62" s="90"/>
      <c r="AA62" s="90"/>
      <c r="AB62" s="466"/>
      <c r="AC62" s="466"/>
      <c r="AD62" s="92"/>
      <c r="AE62" s="92"/>
      <c r="AF62" s="317">
        <f>N62-K62</f>
        <v>-215.14285714285847</v>
      </c>
      <c r="AG62" s="247">
        <f>N62/K62</f>
        <v>0.85059523809523718</v>
      </c>
      <c r="AH62" s="462"/>
    </row>
    <row r="63" spans="1:34" ht="15" customHeight="1">
      <c r="A63" s="504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7"/>
      <c r="T63" s="22"/>
      <c r="U63" s="22"/>
      <c r="V63" s="30"/>
      <c r="W63" s="248">
        <f t="shared" si="11"/>
        <v>0</v>
      </c>
      <c r="X63" s="261"/>
      <c r="Y63" s="291"/>
      <c r="Z63" s="335"/>
      <c r="AA63" s="335"/>
      <c r="AB63" s="466"/>
      <c r="AC63" s="466"/>
      <c r="AD63" s="92"/>
      <c r="AE63" s="92"/>
      <c r="AF63" s="317"/>
      <c r="AG63" s="247"/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11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63"/>
      <c r="U65" s="263"/>
      <c r="V65" s="30"/>
      <c r="W65" s="73">
        <f t="shared" si="11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11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11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11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 thickBo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>
        <f t="shared" ref="J69:O69" si="27">AVERAGE(J59:J68)</f>
        <v>13.25</v>
      </c>
      <c r="K69" s="240">
        <f t="shared" si="27"/>
        <v>1502.5</v>
      </c>
      <c r="L69" s="268">
        <f t="shared" si="27"/>
        <v>114.07211538461537</v>
      </c>
      <c r="M69" s="240">
        <f t="shared" si="27"/>
        <v>13.25</v>
      </c>
      <c r="N69" s="240">
        <f t="shared" si="27"/>
        <v>1326.9298701298703</v>
      </c>
      <c r="O69" s="268">
        <f t="shared" si="27"/>
        <v>100.60490342990343</v>
      </c>
      <c r="P69" s="269">
        <f>M69-J69</f>
        <v>0</v>
      </c>
      <c r="Q69" s="222">
        <f>N69-K69</f>
        <v>-175.57012987012968</v>
      </c>
      <c r="R69" s="123">
        <f>O69/L69</f>
        <v>0.88194124471782842</v>
      </c>
      <c r="S69" s="42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7"/>
      <c r="AC69" s="467"/>
      <c r="AD69" s="323">
        <f>SUM(AD59:AD68)</f>
        <v>0</v>
      </c>
      <c r="AE69" s="323">
        <f>SUM(AE59:AE68)</f>
        <v>0</v>
      </c>
      <c r="AF69" s="309">
        <f>N69-K69</f>
        <v>-175.57012987012968</v>
      </c>
      <c r="AG69" s="124">
        <f>N69/K69</f>
        <v>0.88314800008643612</v>
      </c>
      <c r="AH69" s="464"/>
    </row>
    <row r="70" spans="1:36" ht="15" customHeight="1">
      <c r="A70" s="498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16">
        <f>R79</f>
        <v>0</v>
      </c>
      <c r="T70" s="245"/>
      <c r="U70" s="245"/>
      <c r="V70" s="55"/>
      <c r="W70" s="54">
        <f t="shared" si="11"/>
        <v>0</v>
      </c>
      <c r="X70" s="270"/>
      <c r="Y70" s="292"/>
      <c r="Z70" s="169"/>
      <c r="AA70" s="169"/>
      <c r="AB70" s="468"/>
      <c r="AC70" s="468"/>
      <c r="AD70" s="135"/>
      <c r="AE70" s="135"/>
      <c r="AF70" s="310">
        <f>N70-K70</f>
        <v>0</v>
      </c>
      <c r="AG70" s="246" t="e">
        <f>N70/K70</f>
        <v>#DIV/0!</v>
      </c>
      <c r="AH70" s="461" t="e">
        <f>AG79</f>
        <v>#DIV/0!</v>
      </c>
    </row>
    <row r="71" spans="1:36" ht="15" customHeight="1">
      <c r="A71" s="499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7"/>
      <c r="T71" s="22"/>
      <c r="U71" s="22"/>
      <c r="V71" s="30"/>
      <c r="W71" s="73">
        <f t="shared" si="11"/>
        <v>0</v>
      </c>
      <c r="X71" s="271"/>
      <c r="Y71" s="293"/>
      <c r="Z71" s="90"/>
      <c r="AA71" s="90"/>
      <c r="AB71" s="487"/>
      <c r="AC71" s="487"/>
      <c r="AD71" s="200"/>
      <c r="AE71" s="200"/>
      <c r="AF71" s="311">
        <v>-300.31249999999704</v>
      </c>
      <c r="AG71" s="99">
        <v>0.80810702875399554</v>
      </c>
      <c r="AH71" s="482"/>
    </row>
    <row r="72" spans="1:36" ht="15" customHeight="1">
      <c r="A72" s="499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7"/>
      <c r="T72" s="22"/>
      <c r="U72" s="22"/>
      <c r="V72" s="30"/>
      <c r="W72" s="73">
        <f t="shared" si="11"/>
        <v>0</v>
      </c>
      <c r="X72" s="272"/>
      <c r="Y72" s="288"/>
      <c r="Z72" s="90"/>
      <c r="AA72" s="90"/>
      <c r="AB72" s="466"/>
      <c r="AC72" s="466"/>
      <c r="AD72" s="92"/>
      <c r="AE72" s="92"/>
      <c r="AF72" s="311">
        <v>-130.33333333333326</v>
      </c>
      <c r="AG72" s="99">
        <v>0.91671991480298198</v>
      </c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11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11"/>
        <v>0</v>
      </c>
      <c r="X74" s="22"/>
      <c r="Y74" s="84"/>
      <c r="Z74" s="90"/>
      <c r="AA74" s="90"/>
      <c r="AB74" s="466"/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11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11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11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11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 thickBot="1">
      <c r="A79" s="500"/>
      <c r="B79" s="239"/>
      <c r="C79" s="153"/>
      <c r="D79" s="437"/>
      <c r="E79" s="437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77:AC77"/>
    <mergeCell ref="AB78:AC7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B8:AC8"/>
    <mergeCell ref="AB9:AC9"/>
    <mergeCell ref="AB10:AC10"/>
    <mergeCell ref="AB11:AC11"/>
    <mergeCell ref="AB12:AC12"/>
    <mergeCell ref="AB13:AC13"/>
    <mergeCell ref="AD3:AE3"/>
    <mergeCell ref="AF3:AF4"/>
    <mergeCell ref="AG3:AG4"/>
    <mergeCell ref="AH3:AH4"/>
    <mergeCell ref="A5:A15"/>
    <mergeCell ref="S5:S15"/>
    <mergeCell ref="AB5:AC5"/>
    <mergeCell ref="AH5:AH15"/>
    <mergeCell ref="AB6:AC6"/>
    <mergeCell ref="AB7:AC7"/>
    <mergeCell ref="T3:U3"/>
    <mergeCell ref="V3:V4"/>
    <mergeCell ref="W3:W4"/>
    <mergeCell ref="X3:Y3"/>
    <mergeCell ref="Z3:AA3"/>
    <mergeCell ref="AB3:AC4"/>
    <mergeCell ref="N3:N4"/>
    <mergeCell ref="O3:O4"/>
    <mergeCell ref="P3:P4"/>
    <mergeCell ref="Q3:Q4"/>
    <mergeCell ref="R3:R4"/>
    <mergeCell ref="S3:S4"/>
    <mergeCell ref="H3:H4"/>
    <mergeCell ref="I3:I4"/>
    <mergeCell ref="J3:J4"/>
    <mergeCell ref="K3:K4"/>
    <mergeCell ref="L3:L4"/>
    <mergeCell ref="M3:M4"/>
    <mergeCell ref="A2:B2"/>
    <mergeCell ref="A3:A4"/>
    <mergeCell ref="B3:B4"/>
    <mergeCell ref="D3:E4"/>
    <mergeCell ref="F3:F4"/>
    <mergeCell ref="G3:G4"/>
    <mergeCell ref="J1:L2"/>
    <mergeCell ref="M1:O2"/>
    <mergeCell ref="P1:S2"/>
    <mergeCell ref="T1:Y2"/>
    <mergeCell ref="AB1:AC2"/>
    <mergeCell ref="AF1:AH2"/>
  </mergeCells>
  <phoneticPr fontId="33" type="noConversion"/>
  <conditionalFormatting sqref="P5:P79">
    <cfRule type="cellIs" dxfId="8" priority="1" operator="greaterThan">
      <formula>0</formula>
    </cfRule>
  </conditionalFormatting>
  <conditionalFormatting sqref="AF5:AF79 Q5:Q79">
    <cfRule type="cellIs" dxfId="7" priority="4" operator="lessThan">
      <formula>0</formula>
    </cfRule>
  </conditionalFormatting>
  <conditionalFormatting sqref="AG5:AG79 R5:R79">
    <cfRule type="cellIs" dxfId="6" priority="2" operator="greaterThan">
      <formula>1</formula>
    </cfRule>
    <cfRule type="cellIs" dxfId="5" priority="3" operator="lessThan">
      <formula>0.8</formula>
    </cfRule>
  </conditionalFormatting>
  <conditionalFormatting sqref="S5:S10 S37:S62 AH59:AH62 S69:S76 AH69:AH76">
    <cfRule type="cellIs" dxfId="4" priority="7" operator="lessThan">
      <formula>0.8</formula>
    </cfRule>
  </conditionalFormatting>
  <conditionalFormatting sqref="S19:S25 AH19:AH25">
    <cfRule type="cellIs" dxfId="3" priority="6" operator="lessThan">
      <formula>0.8</formula>
    </cfRule>
  </conditionalFormatting>
  <conditionalFormatting sqref="S79">
    <cfRule type="cellIs" dxfId="2" priority="5" operator="lessThan">
      <formula>0.8</formula>
    </cfRule>
  </conditionalFormatting>
  <conditionalFormatting sqref="AH5:AH8 S15:S16 AH15:AH16 AH49 AH79">
    <cfRule type="cellIs" dxfId="1" priority="9" operator="lessThan">
      <formula>0.8</formula>
    </cfRule>
  </conditionalFormatting>
  <conditionalFormatting sqref="AH27 S27:S28">
    <cfRule type="cellIs" dxfId="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1B7129C-7F05-4EB4-A42B-913FC7287ABE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99A5B-1612-4235-9284-50356AF4F00B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46015</v>
      </c>
      <c r="E3" s="412"/>
      <c r="F3" s="3" t="s">
        <v>72</v>
      </c>
      <c r="G3" s="413">
        <f>範本!E1</f>
        <v>43309</v>
      </c>
      <c r="H3" s="413"/>
      <c r="I3" s="3" t="s">
        <v>2</v>
      </c>
      <c r="J3" s="414" t="e">
        <f>範本!G1</f>
        <v>#N/A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 t="e">
        <f>AVERAGE(D13:J13)</f>
        <v>#N/A</v>
      </c>
      <c r="G6" s="410"/>
      <c r="H6" s="395" t="e">
        <f>AVERAGE(D13:H13)</f>
        <v>#N/A</v>
      </c>
      <c r="I6" s="395"/>
      <c r="J6" s="395" t="e">
        <f>AVERAGE(I13:J13)</f>
        <v>#N/A</v>
      </c>
      <c r="K6" s="395"/>
      <c r="L6" s="397">
        <f>範本!Z2</f>
        <v>0</v>
      </c>
      <c r="M6" s="398">
        <f>範本!AA2</f>
        <v>0</v>
      </c>
      <c r="N6" s="400">
        <f>範本!AD2</f>
        <v>0</v>
      </c>
      <c r="O6" s="398">
        <f>範本!AE2</f>
        <v>0</v>
      </c>
    </row>
    <row r="7" spans="2:15" ht="39.6" customHeight="1">
      <c r="B7" s="406"/>
      <c r="C7" s="406"/>
      <c r="D7" s="401" t="s">
        <v>87</v>
      </c>
      <c r="E7" s="401"/>
      <c r="F7" s="402">
        <f>AVERAGE(D14:J14)</f>
        <v>116.11474837607263</v>
      </c>
      <c r="G7" s="402"/>
      <c r="H7" s="403">
        <f>AVERAGE(D14:H14)</f>
        <v>117.36074805627914</v>
      </c>
      <c r="I7" s="403"/>
      <c r="J7" s="403">
        <f>AVERAGE(I14:J14)</f>
        <v>112.99974917555633</v>
      </c>
      <c r="K7" s="403"/>
      <c r="L7" s="397"/>
      <c r="M7" s="398"/>
      <c r="N7" s="400"/>
      <c r="O7" s="398"/>
    </row>
    <row r="8" spans="2:15" ht="39.6" customHeight="1">
      <c r="B8" s="406"/>
      <c r="C8" s="406"/>
      <c r="D8" s="401" t="s">
        <v>27</v>
      </c>
      <c r="E8" s="401"/>
      <c r="F8" s="387" t="e">
        <f>AVERAGE(D15:J15)</f>
        <v>#N/A</v>
      </c>
      <c r="G8" s="387"/>
      <c r="H8" s="387" t="e">
        <f>AVERAGE(D15:H15)</f>
        <v>#N/A</v>
      </c>
      <c r="I8" s="387"/>
      <c r="J8" s="387" t="e">
        <f>AVERAGE(I15:J15)</f>
        <v>#N/A</v>
      </c>
      <c r="K8" s="387"/>
      <c r="L8" s="397"/>
      <c r="M8" s="398"/>
      <c r="N8" s="400"/>
      <c r="O8" s="39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381"/>
      <c r="C14" s="12" t="s">
        <v>100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382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383" t="s">
        <v>101</v>
      </c>
      <c r="C16" s="10" t="s">
        <v>34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384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85" t="s">
        <v>102</v>
      </c>
      <c r="C18" s="330" t="s">
        <v>36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386"/>
      <c r="C19" s="330" t="s">
        <v>37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385" t="s">
        <v>103</v>
      </c>
      <c r="C20" s="330" t="s">
        <v>36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386"/>
      <c r="C21" s="330" t="s">
        <v>85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377" t="s">
        <v>104</v>
      </c>
      <c r="C22" s="378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8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86FB2-AF66-4C7B-B003-1B1521B7CCF2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21" width="8.7109375" style="34" customWidth="1"/>
    <col min="12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13</v>
      </c>
      <c r="B2" s="422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0</v>
      </c>
      <c r="AA2" s="339">
        <f>AA15+AA26+AA37+AA48+AA58+AA69+AA79</f>
        <v>0</v>
      </c>
      <c r="AB2" s="460"/>
      <c r="AC2" s="460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16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68"/>
      <c r="AC5" s="468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61" t="e">
        <f>AG15</f>
        <v>#N/A</v>
      </c>
    </row>
    <row r="6" spans="1:34" ht="15" customHeight="1">
      <c r="A6" s="428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17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65"/>
      <c r="AC6" s="465"/>
      <c r="AD6" s="149"/>
      <c r="AE6" s="149"/>
      <c r="AF6" s="307" t="e">
        <f t="shared" si="1"/>
        <v>#N/A</v>
      </c>
      <c r="AG6" s="72" t="e">
        <f t="shared" si="2"/>
        <v>#N/A</v>
      </c>
      <c r="AH6" s="462"/>
    </row>
    <row r="7" spans="1:34" ht="15" customHeight="1">
      <c r="A7" s="428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17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66"/>
      <c r="AC7" s="466"/>
      <c r="AD7" s="92"/>
      <c r="AE7" s="92"/>
      <c r="AF7" s="307" t="e">
        <f t="shared" si="1"/>
        <v>#N/A</v>
      </c>
      <c r="AG7" s="72" t="e">
        <f t="shared" si="2"/>
        <v>#N/A</v>
      </c>
      <c r="AH7" s="462"/>
    </row>
    <row r="8" spans="1:34" ht="15" customHeight="1">
      <c r="A8" s="428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7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65"/>
      <c r="AC8" s="465"/>
      <c r="AD8" s="149"/>
      <c r="AE8" s="149"/>
      <c r="AF8" s="307">
        <f t="shared" si="1"/>
        <v>0</v>
      </c>
      <c r="AG8" s="72" t="e">
        <f t="shared" si="2"/>
        <v>#DIV/0!</v>
      </c>
      <c r="AH8" s="462"/>
    </row>
    <row r="9" spans="1:34" ht="15" customHeight="1">
      <c r="A9" s="42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8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5"/>
      <c r="AC9" s="465"/>
      <c r="AD9" s="149"/>
      <c r="AE9" s="149"/>
      <c r="AF9" s="307">
        <f t="shared" si="1"/>
        <v>0</v>
      </c>
      <c r="AG9" s="72" t="e">
        <f t="shared" si="2"/>
        <v>#DIV/0!</v>
      </c>
      <c r="AH9" s="463"/>
    </row>
    <row r="10" spans="1:34" ht="15" customHeight="1">
      <c r="A10" s="42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8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6"/>
      <c r="AC10" s="466"/>
      <c r="AD10" s="92"/>
      <c r="AE10" s="92"/>
      <c r="AF10" s="307">
        <f t="shared" si="1"/>
        <v>0</v>
      </c>
      <c r="AG10" s="72" t="e">
        <f t="shared" si="2"/>
        <v>#DIV/0!</v>
      </c>
      <c r="AH10" s="463"/>
    </row>
    <row r="11" spans="1:34" ht="15" customHeight="1">
      <c r="A11" s="42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5"/>
      <c r="AC11" s="465"/>
      <c r="AD11" s="149"/>
      <c r="AE11" s="149"/>
      <c r="AF11" s="307">
        <f t="shared" si="1"/>
        <v>0</v>
      </c>
      <c r="AG11" s="72" t="e">
        <f t="shared" si="2"/>
        <v>#DIV/0!</v>
      </c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7"/>
      <c r="AC15" s="467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64"/>
    </row>
    <row r="16" spans="1:34" ht="15" customHeight="1">
      <c r="A16" s="478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72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68"/>
      <c r="AC16" s="468"/>
      <c r="AD16" s="135"/>
      <c r="AE16" s="135"/>
      <c r="AF16" s="229" t="e">
        <f>N16-K16</f>
        <v>#N/A</v>
      </c>
      <c r="AG16" s="52" t="e">
        <f>N16/K16</f>
        <v>#N/A</v>
      </c>
      <c r="AH16" s="461" t="e">
        <f>AG26</f>
        <v>#N/A</v>
      </c>
    </row>
    <row r="17" spans="1:34" ht="15" customHeight="1">
      <c r="A17" s="479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73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66"/>
      <c r="AC17" s="466"/>
      <c r="AD17" s="92"/>
      <c r="AE17" s="92"/>
      <c r="AF17" s="307" t="e">
        <f>N17-K17</f>
        <v>#N/A</v>
      </c>
      <c r="AG17" s="72" t="e">
        <f>N17/K17</f>
        <v>#N/A</v>
      </c>
      <c r="AH17" s="462"/>
    </row>
    <row r="18" spans="1:34" ht="15" customHeight="1">
      <c r="A18" s="479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73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66"/>
      <c r="AC18" s="466"/>
      <c r="AD18" s="92"/>
      <c r="AE18" s="92"/>
      <c r="AF18" s="307" t="e">
        <f>N18-K18</f>
        <v>#N/A</v>
      </c>
      <c r="AG18" s="72" t="e">
        <f>N18/K18</f>
        <v>#N/A</v>
      </c>
      <c r="AH18" s="462"/>
    </row>
    <row r="19" spans="1:34" ht="15" customHeight="1">
      <c r="A19" s="479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3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65"/>
      <c r="AC19" s="465"/>
      <c r="AD19" s="149"/>
      <c r="AE19" s="149"/>
      <c r="AF19" s="307">
        <f>N19-K19</f>
        <v>0</v>
      </c>
      <c r="AG19" s="72" t="e">
        <f>N19/K19</f>
        <v>#DIV/0!</v>
      </c>
      <c r="AH19" s="463"/>
    </row>
    <row r="20" spans="1:34" ht="15" customHeight="1">
      <c r="A20" s="47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3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66"/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3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6"/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50"/>
      <c r="U22" s="150"/>
      <c r="V22" s="92"/>
      <c r="W22" s="149"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4"/>
        <v>0</v>
      </c>
      <c r="X23" s="92"/>
      <c r="Y23" s="298"/>
      <c r="Z23" s="90"/>
      <c r="AA23" s="90"/>
      <c r="AB23" s="466"/>
      <c r="AC23" s="46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74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7"/>
      <c r="AC26" s="467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64"/>
    </row>
    <row r="27" spans="1:34" ht="15" customHeight="1">
      <c r="A27" s="469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72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68"/>
      <c r="AC27" s="468"/>
      <c r="AD27" s="135"/>
      <c r="AE27" s="135"/>
      <c r="AF27" s="310" t="e">
        <f t="shared" si="6"/>
        <v>#N/A</v>
      </c>
      <c r="AG27" s="172" t="e">
        <f t="shared" si="7"/>
        <v>#N/A</v>
      </c>
      <c r="AH27" s="461" t="e">
        <f>AG37</f>
        <v>#N/A</v>
      </c>
    </row>
    <row r="28" spans="1:34" ht="15" customHeight="1">
      <c r="A28" s="470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73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66"/>
      <c r="AC28" s="466"/>
      <c r="AD28" s="92"/>
      <c r="AE28" s="92"/>
      <c r="AF28" s="311" t="e">
        <f t="shared" si="6"/>
        <v>#N/A</v>
      </c>
      <c r="AG28" s="99" t="e">
        <f t="shared" si="7"/>
        <v>#N/A</v>
      </c>
      <c r="AH28" s="482"/>
    </row>
    <row r="29" spans="1:34" ht="15" customHeight="1">
      <c r="A29" s="470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73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66"/>
      <c r="AC29" s="466"/>
      <c r="AD29" s="92"/>
      <c r="AE29" s="92"/>
      <c r="AF29" s="312" t="e">
        <f t="shared" si="6"/>
        <v>#N/A</v>
      </c>
      <c r="AG29" s="99" t="e">
        <f t="shared" si="7"/>
        <v>#N/A</v>
      </c>
      <c r="AH29" s="482"/>
    </row>
    <row r="30" spans="1:34" ht="15" customHeight="1">
      <c r="A30" s="470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3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66"/>
      <c r="AC30" s="466"/>
      <c r="AD30" s="92"/>
      <c r="AE30" s="92"/>
      <c r="AF30" s="312">
        <f t="shared" si="6"/>
        <v>0</v>
      </c>
      <c r="AG30" s="99" t="e">
        <f t="shared" si="7"/>
        <v>#DIV/0!</v>
      </c>
      <c r="AH30" s="483"/>
    </row>
    <row r="31" spans="1:34" ht="15" customHeight="1">
      <c r="A31" s="47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3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6"/>
      <c r="AC31" s="466"/>
      <c r="AD31" s="92"/>
      <c r="AE31" s="92"/>
      <c r="AF31" s="312">
        <f t="shared" si="6"/>
        <v>0</v>
      </c>
      <c r="AG31" s="99" t="e">
        <f t="shared" si="7"/>
        <v>#DIV/0!</v>
      </c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6"/>
      <c r="AC32" s="466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6"/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74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7"/>
      <c r="AC37" s="477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64"/>
    </row>
    <row r="38" spans="1:34" ht="15" customHeight="1">
      <c r="A38" s="491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94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96"/>
      <c r="AC38" s="496"/>
      <c r="AD38" s="192"/>
      <c r="AE38" s="192"/>
      <c r="AF38" s="313" t="e">
        <f>N38-K38</f>
        <v>#N/A</v>
      </c>
      <c r="AG38" s="195" t="e">
        <f>N38/K38</f>
        <v>#N/A</v>
      </c>
      <c r="AH38" s="484" t="e">
        <f>AG48</f>
        <v>#N/A</v>
      </c>
    </row>
    <row r="39" spans="1:34" ht="15" customHeight="1">
      <c r="A39" s="492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95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87"/>
      <c r="AC39" s="487"/>
      <c r="AD39" s="200"/>
      <c r="AE39" s="200"/>
      <c r="AF39" s="314" t="e">
        <f>N39-K39</f>
        <v>#N/A</v>
      </c>
      <c r="AG39" s="206" t="e">
        <f>N39/K39</f>
        <v>#N/A</v>
      </c>
      <c r="AH39" s="485"/>
    </row>
    <row r="40" spans="1:34" ht="15" customHeight="1">
      <c r="A40" s="492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17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66"/>
      <c r="AC40" s="466"/>
      <c r="AD40" s="92"/>
      <c r="AE40" s="92"/>
      <c r="AF40" s="314" t="e">
        <f>N40-K40</f>
        <v>#N/A</v>
      </c>
      <c r="AG40" s="206" t="e">
        <f>N40/K40</f>
        <v>#N/A</v>
      </c>
      <c r="AH40" s="485"/>
    </row>
    <row r="41" spans="1:34" ht="15" customHeight="1">
      <c r="A41" s="49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7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6"/>
      <c r="AC41" s="466"/>
      <c r="AD41" s="92"/>
      <c r="AE41" s="92"/>
      <c r="AF41" s="314">
        <f>N41-K41</f>
        <v>0</v>
      </c>
      <c r="AG41" s="206" t="e">
        <f>N41/K41</f>
        <v>#DIV/0!</v>
      </c>
      <c r="AH41" s="485"/>
    </row>
    <row r="42" spans="1:34" ht="15" customHeight="1">
      <c r="A42" s="49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7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6"/>
      <c r="AC42" s="466"/>
      <c r="AD42" s="92"/>
      <c r="AE42" s="92"/>
      <c r="AF42" s="314"/>
      <c r="AG42" s="206"/>
      <c r="AH42" s="485"/>
    </row>
    <row r="43" spans="1:34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0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67"/>
      <c r="AC48" s="467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86"/>
    </row>
    <row r="49" spans="1:34" ht="15" customHeight="1">
      <c r="A49" s="488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16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68"/>
      <c r="AC49" s="468"/>
      <c r="AD49" s="135"/>
      <c r="AE49" s="135"/>
      <c r="AF49" s="229" t="e">
        <f t="shared" si="11"/>
        <v>#N/A</v>
      </c>
      <c r="AG49" s="52" t="e">
        <f t="shared" si="12"/>
        <v>#N/A</v>
      </c>
      <c r="AH49" s="461" t="e">
        <f>AG58</f>
        <v>#N/A</v>
      </c>
    </row>
    <row r="50" spans="1:34" ht="15" customHeight="1">
      <c r="A50" s="489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17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66"/>
      <c r="AC50" s="466"/>
      <c r="AD50" s="92"/>
      <c r="AE50" s="92"/>
      <c r="AF50" s="307" t="e">
        <f t="shared" si="11"/>
        <v>#N/A</v>
      </c>
      <c r="AG50" s="72" t="e">
        <f t="shared" si="12"/>
        <v>#N/A</v>
      </c>
      <c r="AH50" s="462"/>
    </row>
    <row r="51" spans="1:34" ht="15" customHeight="1">
      <c r="A51" s="489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17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66"/>
      <c r="AC51" s="466"/>
      <c r="AD51" s="92"/>
      <c r="AE51" s="92"/>
      <c r="AF51" s="307" t="e">
        <f t="shared" si="11"/>
        <v>#N/A</v>
      </c>
      <c r="AG51" s="72" t="e">
        <f t="shared" si="12"/>
        <v>#N/A</v>
      </c>
      <c r="AH51" s="462"/>
    </row>
    <row r="52" spans="1:34" ht="15" customHeight="1">
      <c r="A52" s="489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7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66"/>
      <c r="AC52" s="466"/>
      <c r="AD52" s="92"/>
      <c r="AE52" s="92"/>
      <c r="AF52" s="307">
        <f t="shared" si="11"/>
        <v>0</v>
      </c>
      <c r="AG52" s="72" t="e">
        <f t="shared" si="12"/>
        <v>#DIV/0!</v>
      </c>
      <c r="AH52" s="462"/>
    </row>
    <row r="53" spans="1:34" ht="15" customHeight="1">
      <c r="A53" s="48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7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6"/>
      <c r="AC53" s="466"/>
      <c r="AD53" s="92"/>
      <c r="AE53" s="92"/>
      <c r="AF53" s="307">
        <f t="shared" si="11"/>
        <v>0</v>
      </c>
      <c r="AG53" s="72" t="e">
        <f t="shared" si="12"/>
        <v>#DIV/0!</v>
      </c>
      <c r="AH53" s="462"/>
    </row>
    <row r="54" spans="1:34" ht="15" customHeight="1">
      <c r="A54" s="48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7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>
      <c r="A58" s="490"/>
      <c r="B58" s="239"/>
      <c r="C58" s="153" t="s">
        <v>51</v>
      </c>
      <c r="D58" s="437" t="s">
        <v>42</v>
      </c>
      <c r="E58" s="437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7"/>
      <c r="AC58" s="467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64"/>
    </row>
    <row r="59" spans="1:34" ht="15" customHeight="1">
      <c r="A59" s="502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16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68"/>
      <c r="AC59" s="468"/>
      <c r="AD59" s="135"/>
      <c r="AE59" s="135"/>
      <c r="AF59" s="310" t="e">
        <f>N59-K59</f>
        <v>#N/A</v>
      </c>
      <c r="AG59" s="246" t="e">
        <f>N59/K59</f>
        <v>#N/A</v>
      </c>
      <c r="AH59" s="461" t="e">
        <f>AG69</f>
        <v>#N/A</v>
      </c>
    </row>
    <row r="60" spans="1:34" ht="15" customHeight="1">
      <c r="A60" s="503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506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66"/>
      <c r="AC60" s="466"/>
      <c r="AD60" s="92"/>
      <c r="AE60" s="92"/>
      <c r="AF60" s="316" t="e">
        <f>N60-K60</f>
        <v>#N/A</v>
      </c>
      <c r="AG60" s="249" t="e">
        <f>N60/K60</f>
        <v>#N/A</v>
      </c>
      <c r="AH60" s="497"/>
    </row>
    <row r="61" spans="1:34" ht="15" customHeight="1">
      <c r="A61" s="504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17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66"/>
      <c r="AC61" s="466"/>
      <c r="AD61" s="92"/>
      <c r="AE61" s="92"/>
      <c r="AF61" s="317" t="e">
        <f>N61-K61</f>
        <v>#N/A</v>
      </c>
      <c r="AG61" s="247" t="e">
        <f>N61/K61</f>
        <v>#N/A</v>
      </c>
      <c r="AH61" s="462"/>
    </row>
    <row r="62" spans="1:34" ht="15" customHeight="1">
      <c r="A62" s="504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7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66"/>
      <c r="AC62" s="466"/>
      <c r="AD62" s="92"/>
      <c r="AE62" s="92"/>
      <c r="AF62" s="317">
        <f>N62-K62</f>
        <v>0</v>
      </c>
      <c r="AG62" s="247" t="e">
        <f>N62/K62</f>
        <v>#DIV/0!</v>
      </c>
      <c r="AH62" s="462"/>
    </row>
    <row r="63" spans="1:34" ht="15" customHeight="1">
      <c r="A63" s="504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7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6"/>
      <c r="AC63" s="466"/>
      <c r="AD63" s="92"/>
      <c r="AE63" s="92"/>
      <c r="AF63" s="317"/>
      <c r="AG63" s="247"/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7"/>
      <c r="AC69" s="467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64"/>
    </row>
    <row r="70" spans="1:36" ht="15" customHeight="1">
      <c r="A70" s="498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16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68"/>
      <c r="AC70" s="468"/>
      <c r="AD70" s="135"/>
      <c r="AE70" s="135"/>
      <c r="AF70" s="310" t="e">
        <f>N70-K70</f>
        <v>#N/A</v>
      </c>
      <c r="AG70" s="246" t="e">
        <f>N70/K70</f>
        <v>#N/A</v>
      </c>
      <c r="AH70" s="461" t="e">
        <f>AG79</f>
        <v>#N/A</v>
      </c>
    </row>
    <row r="71" spans="1:36" ht="15" customHeight="1">
      <c r="A71" s="499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7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7"/>
      <c r="AC71" s="487"/>
      <c r="AD71" s="200"/>
      <c r="AE71" s="200"/>
      <c r="AF71" s="311">
        <v>-300.31249999999704</v>
      </c>
      <c r="AG71" s="99">
        <v>0.80810702875399554</v>
      </c>
      <c r="AH71" s="482"/>
    </row>
    <row r="72" spans="1:36" ht="15" customHeight="1">
      <c r="A72" s="499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7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6"/>
      <c r="AC72" s="466"/>
      <c r="AD72" s="92"/>
      <c r="AE72" s="92"/>
      <c r="AF72" s="311">
        <v>-130.33333333333326</v>
      </c>
      <c r="AG72" s="99">
        <v>0.91671991480298198</v>
      </c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6"/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>
      <c r="A79" s="500"/>
      <c r="B79" s="239"/>
      <c r="C79" s="153" t="s">
        <v>56</v>
      </c>
      <c r="D79" s="437" t="s">
        <v>42</v>
      </c>
      <c r="E79" s="437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T3:U3"/>
    <mergeCell ref="P1:S2"/>
    <mergeCell ref="AB1:AC2"/>
    <mergeCell ref="P3:P4"/>
    <mergeCell ref="Q3:Q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</mergeCells>
  <phoneticPr fontId="6" type="noConversion"/>
  <conditionalFormatting sqref="P5:P79">
    <cfRule type="cellIs" dxfId="87" priority="1" operator="greaterThan">
      <formula>0</formula>
    </cfRule>
  </conditionalFormatting>
  <conditionalFormatting sqref="Q5:Q79 AF5:AF79">
    <cfRule type="cellIs" dxfId="86" priority="4" operator="lessThan">
      <formula>0</formula>
    </cfRule>
  </conditionalFormatting>
  <conditionalFormatting sqref="R5:R79 AG5:AG79">
    <cfRule type="cellIs" dxfId="85" priority="2" operator="greaterThan">
      <formula>1</formula>
    </cfRule>
    <cfRule type="cellIs" dxfId="84" priority="3" operator="lessThan">
      <formula>0.8</formula>
    </cfRule>
  </conditionalFormatting>
  <conditionalFormatting sqref="S5:S10 S37:S62 AH59:AH62 S69:S76 AH69:AH76">
    <cfRule type="cellIs" dxfId="83" priority="7" operator="lessThan">
      <formula>0.8</formula>
    </cfRule>
  </conditionalFormatting>
  <conditionalFormatting sqref="S19:S25 AH19:AH25">
    <cfRule type="cellIs" dxfId="82" priority="6" operator="lessThan">
      <formula>0.8</formula>
    </cfRule>
  </conditionalFormatting>
  <conditionalFormatting sqref="S79">
    <cfRule type="cellIs" dxfId="81" priority="5" operator="lessThan">
      <formula>0.8</formula>
    </cfRule>
  </conditionalFormatting>
  <conditionalFormatting sqref="AH5:AH8 S15:S16 AH15:AH16 AH49 AH79">
    <cfRule type="cellIs" dxfId="80" priority="9" operator="lessThan">
      <formula>0.8</formula>
    </cfRule>
  </conditionalFormatting>
  <conditionalFormatting sqref="AH27 S27:S28">
    <cfRule type="cellIs" dxfId="7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9DDE1-42D8-4BF8-B109-EC6A9B72AFC3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46015</v>
      </c>
      <c r="E3" s="412"/>
      <c r="F3" s="3" t="s">
        <v>72</v>
      </c>
      <c r="G3" s="413">
        <f>範本!E1</f>
        <v>43309</v>
      </c>
      <c r="H3" s="413"/>
      <c r="I3" s="3" t="s">
        <v>2</v>
      </c>
      <c r="J3" s="414" t="e">
        <f>範本!G1</f>
        <v>#N/A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 t="e">
        <f>AVERAGE(D13:J13)</f>
        <v>#N/A</v>
      </c>
      <c r="G6" s="410"/>
      <c r="H6" s="395" t="e">
        <f>AVERAGE(D13:H13)</f>
        <v>#N/A</v>
      </c>
      <c r="I6" s="395"/>
      <c r="J6" s="395" t="e">
        <f>AVERAGE(I13:J13)</f>
        <v>#N/A</v>
      </c>
      <c r="K6" s="395"/>
      <c r="L6" s="397">
        <f>範本!Z2</f>
        <v>0</v>
      </c>
      <c r="M6" s="398">
        <f>範本!AA2</f>
        <v>0</v>
      </c>
      <c r="N6" s="400">
        <f>範本!AD2</f>
        <v>0</v>
      </c>
      <c r="O6" s="398">
        <f>範本!AE2</f>
        <v>0</v>
      </c>
    </row>
    <row r="7" spans="2:15" ht="39.6" customHeight="1">
      <c r="B7" s="406"/>
      <c r="C7" s="406"/>
      <c r="D7" s="401" t="s">
        <v>87</v>
      </c>
      <c r="E7" s="401"/>
      <c r="F7" s="402">
        <f>AVERAGE(D14:J14)</f>
        <v>116.11474837607263</v>
      </c>
      <c r="G7" s="402"/>
      <c r="H7" s="403">
        <f>AVERAGE(D14:H14)</f>
        <v>117.36074805627914</v>
      </c>
      <c r="I7" s="403"/>
      <c r="J7" s="403">
        <f>AVERAGE(I14:J14)</f>
        <v>112.99974917555633</v>
      </c>
      <c r="K7" s="403"/>
      <c r="L7" s="397"/>
      <c r="M7" s="398"/>
      <c r="N7" s="400"/>
      <c r="O7" s="398"/>
    </row>
    <row r="8" spans="2:15" ht="39.6" customHeight="1">
      <c r="B8" s="406"/>
      <c r="C8" s="406"/>
      <c r="D8" s="401" t="s">
        <v>27</v>
      </c>
      <c r="E8" s="401"/>
      <c r="F8" s="387" t="e">
        <f>AVERAGE(D15:J15)</f>
        <v>#N/A</v>
      </c>
      <c r="G8" s="387"/>
      <c r="H8" s="387" t="e">
        <f>AVERAGE(D15:H15)</f>
        <v>#N/A</v>
      </c>
      <c r="I8" s="387"/>
      <c r="J8" s="387" t="e">
        <f>AVERAGE(I15:J15)</f>
        <v>#N/A</v>
      </c>
      <c r="K8" s="387"/>
      <c r="L8" s="397"/>
      <c r="M8" s="398"/>
      <c r="N8" s="400"/>
      <c r="O8" s="39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381"/>
      <c r="C14" s="12" t="s">
        <v>100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382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383" t="s">
        <v>101</v>
      </c>
      <c r="C16" s="10" t="s">
        <v>34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384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85" t="s">
        <v>102</v>
      </c>
      <c r="C18" s="330" t="s">
        <v>36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386"/>
      <c r="C19" s="330" t="s">
        <v>37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385" t="s">
        <v>103</v>
      </c>
      <c r="C20" s="330" t="s">
        <v>36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386"/>
      <c r="C21" s="330" t="s">
        <v>85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377" t="s">
        <v>104</v>
      </c>
      <c r="C22" s="378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7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58FC4-EEFC-4E70-9D7C-B8F1327776B8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21" width="8.7109375" style="34" customWidth="1"/>
    <col min="12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13</v>
      </c>
      <c r="B2" s="422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0</v>
      </c>
      <c r="AA2" s="339">
        <f>AA15+AA26+AA37+AA48+AA58+AA69+AA79</f>
        <v>0</v>
      </c>
      <c r="AB2" s="460"/>
      <c r="AC2" s="460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16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68"/>
      <c r="AC5" s="468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61" t="e">
        <f>AG15</f>
        <v>#N/A</v>
      </c>
    </row>
    <row r="6" spans="1:34" ht="15" customHeight="1">
      <c r="A6" s="428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17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65"/>
      <c r="AC6" s="465"/>
      <c r="AD6" s="149"/>
      <c r="AE6" s="149"/>
      <c r="AF6" s="307" t="e">
        <f t="shared" si="1"/>
        <v>#N/A</v>
      </c>
      <c r="AG6" s="72" t="e">
        <f t="shared" si="2"/>
        <v>#N/A</v>
      </c>
      <c r="AH6" s="462"/>
    </row>
    <row r="7" spans="1:34" ht="15" customHeight="1">
      <c r="A7" s="428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17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66"/>
      <c r="AC7" s="466"/>
      <c r="AD7" s="92"/>
      <c r="AE7" s="92"/>
      <c r="AF7" s="307" t="e">
        <f t="shared" si="1"/>
        <v>#N/A</v>
      </c>
      <c r="AG7" s="72" t="e">
        <f t="shared" si="2"/>
        <v>#N/A</v>
      </c>
      <c r="AH7" s="462"/>
    </row>
    <row r="8" spans="1:34" ht="15" customHeight="1">
      <c r="A8" s="428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7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65"/>
      <c r="AC8" s="465"/>
      <c r="AD8" s="149"/>
      <c r="AE8" s="149"/>
      <c r="AF8" s="307">
        <f t="shared" si="1"/>
        <v>0</v>
      </c>
      <c r="AG8" s="72" t="e">
        <f t="shared" si="2"/>
        <v>#DIV/0!</v>
      </c>
      <c r="AH8" s="462"/>
    </row>
    <row r="9" spans="1:34" ht="15" customHeight="1">
      <c r="A9" s="42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8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5"/>
      <c r="AC9" s="465"/>
      <c r="AD9" s="149"/>
      <c r="AE9" s="149"/>
      <c r="AF9" s="307">
        <f t="shared" si="1"/>
        <v>0</v>
      </c>
      <c r="AG9" s="72" t="e">
        <f t="shared" si="2"/>
        <v>#DIV/0!</v>
      </c>
      <c r="AH9" s="463"/>
    </row>
    <row r="10" spans="1:34" ht="15" customHeight="1">
      <c r="A10" s="42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8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6"/>
      <c r="AC10" s="466"/>
      <c r="AD10" s="92"/>
      <c r="AE10" s="92"/>
      <c r="AF10" s="307">
        <f t="shared" si="1"/>
        <v>0</v>
      </c>
      <c r="AG10" s="72" t="e">
        <f t="shared" si="2"/>
        <v>#DIV/0!</v>
      </c>
      <c r="AH10" s="463"/>
    </row>
    <row r="11" spans="1:34" ht="15" customHeight="1">
      <c r="A11" s="42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5"/>
      <c r="AC11" s="465"/>
      <c r="AD11" s="149"/>
      <c r="AE11" s="149"/>
      <c r="AF11" s="307">
        <f t="shared" si="1"/>
        <v>0</v>
      </c>
      <c r="AG11" s="72" t="e">
        <f t="shared" si="2"/>
        <v>#DIV/0!</v>
      </c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7"/>
      <c r="AC15" s="467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64"/>
    </row>
    <row r="16" spans="1:34" ht="15" customHeight="1">
      <c r="A16" s="478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72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68"/>
      <c r="AC16" s="468"/>
      <c r="AD16" s="135"/>
      <c r="AE16" s="135"/>
      <c r="AF16" s="229" t="e">
        <f>N16-K16</f>
        <v>#N/A</v>
      </c>
      <c r="AG16" s="52" t="e">
        <f>N16/K16</f>
        <v>#N/A</v>
      </c>
      <c r="AH16" s="461" t="e">
        <f>AG26</f>
        <v>#N/A</v>
      </c>
    </row>
    <row r="17" spans="1:34" ht="15" customHeight="1">
      <c r="A17" s="479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73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66"/>
      <c r="AC17" s="466"/>
      <c r="AD17" s="92"/>
      <c r="AE17" s="92"/>
      <c r="AF17" s="307" t="e">
        <f>N17-K17</f>
        <v>#N/A</v>
      </c>
      <c r="AG17" s="72" t="e">
        <f>N17/K17</f>
        <v>#N/A</v>
      </c>
      <c r="AH17" s="462"/>
    </row>
    <row r="18" spans="1:34" ht="15" customHeight="1">
      <c r="A18" s="479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73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66"/>
      <c r="AC18" s="466"/>
      <c r="AD18" s="92"/>
      <c r="AE18" s="92"/>
      <c r="AF18" s="307" t="e">
        <f>N18-K18</f>
        <v>#N/A</v>
      </c>
      <c r="AG18" s="72" t="e">
        <f>N18/K18</f>
        <v>#N/A</v>
      </c>
      <c r="AH18" s="462"/>
    </row>
    <row r="19" spans="1:34" ht="15" customHeight="1">
      <c r="A19" s="479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3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65"/>
      <c r="AC19" s="465"/>
      <c r="AD19" s="149"/>
      <c r="AE19" s="149"/>
      <c r="AF19" s="307">
        <f>N19-K19</f>
        <v>0</v>
      </c>
      <c r="AG19" s="72" t="e">
        <f>N19/K19</f>
        <v>#DIV/0!</v>
      </c>
      <c r="AH19" s="463"/>
    </row>
    <row r="20" spans="1:34" ht="15" customHeight="1">
      <c r="A20" s="47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3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66"/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3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6"/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50"/>
      <c r="U22" s="150"/>
      <c r="V22" s="92"/>
      <c r="W22" s="149"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4"/>
        <v>0</v>
      </c>
      <c r="X23" s="92"/>
      <c r="Y23" s="298"/>
      <c r="Z23" s="90"/>
      <c r="AA23" s="90"/>
      <c r="AB23" s="466"/>
      <c r="AC23" s="46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74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7"/>
      <c r="AC26" s="467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64"/>
    </row>
    <row r="27" spans="1:34" ht="15" customHeight="1">
      <c r="A27" s="469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72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68"/>
      <c r="AC27" s="468"/>
      <c r="AD27" s="135"/>
      <c r="AE27" s="135"/>
      <c r="AF27" s="310" t="e">
        <f t="shared" si="6"/>
        <v>#N/A</v>
      </c>
      <c r="AG27" s="172" t="e">
        <f t="shared" si="7"/>
        <v>#N/A</v>
      </c>
      <c r="AH27" s="461" t="e">
        <f>AG37</f>
        <v>#N/A</v>
      </c>
    </row>
    <row r="28" spans="1:34" ht="15" customHeight="1">
      <c r="A28" s="470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73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66"/>
      <c r="AC28" s="466"/>
      <c r="AD28" s="92"/>
      <c r="AE28" s="92"/>
      <c r="AF28" s="311" t="e">
        <f t="shared" si="6"/>
        <v>#N/A</v>
      </c>
      <c r="AG28" s="99" t="e">
        <f t="shared" si="7"/>
        <v>#N/A</v>
      </c>
      <c r="AH28" s="482"/>
    </row>
    <row r="29" spans="1:34" ht="15" customHeight="1">
      <c r="A29" s="470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73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66"/>
      <c r="AC29" s="466"/>
      <c r="AD29" s="92"/>
      <c r="AE29" s="92"/>
      <c r="AF29" s="312" t="e">
        <f t="shared" si="6"/>
        <v>#N/A</v>
      </c>
      <c r="AG29" s="99" t="e">
        <f t="shared" si="7"/>
        <v>#N/A</v>
      </c>
      <c r="AH29" s="482"/>
    </row>
    <row r="30" spans="1:34" ht="15" customHeight="1">
      <c r="A30" s="470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3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66"/>
      <c r="AC30" s="466"/>
      <c r="AD30" s="92"/>
      <c r="AE30" s="92"/>
      <c r="AF30" s="312">
        <f t="shared" si="6"/>
        <v>0</v>
      </c>
      <c r="AG30" s="99" t="e">
        <f t="shared" si="7"/>
        <v>#DIV/0!</v>
      </c>
      <c r="AH30" s="483"/>
    </row>
    <row r="31" spans="1:34" ht="15" customHeight="1">
      <c r="A31" s="47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3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6"/>
      <c r="AC31" s="466"/>
      <c r="AD31" s="92"/>
      <c r="AE31" s="92"/>
      <c r="AF31" s="312">
        <f t="shared" si="6"/>
        <v>0</v>
      </c>
      <c r="AG31" s="99" t="e">
        <f t="shared" si="7"/>
        <v>#DIV/0!</v>
      </c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6"/>
      <c r="AC32" s="466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6"/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74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7"/>
      <c r="AC37" s="477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64"/>
    </row>
    <row r="38" spans="1:34" ht="15" customHeight="1">
      <c r="A38" s="491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94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96"/>
      <c r="AC38" s="496"/>
      <c r="AD38" s="192"/>
      <c r="AE38" s="192"/>
      <c r="AF38" s="313" t="e">
        <f>N38-K38</f>
        <v>#N/A</v>
      </c>
      <c r="AG38" s="195" t="e">
        <f>N38/K38</f>
        <v>#N/A</v>
      </c>
      <c r="AH38" s="484" t="e">
        <f>AG48</f>
        <v>#N/A</v>
      </c>
    </row>
    <row r="39" spans="1:34" ht="15" customHeight="1">
      <c r="A39" s="492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95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87"/>
      <c r="AC39" s="487"/>
      <c r="AD39" s="200"/>
      <c r="AE39" s="200"/>
      <c r="AF39" s="314" t="e">
        <f>N39-K39</f>
        <v>#N/A</v>
      </c>
      <c r="AG39" s="206" t="e">
        <f>N39/K39</f>
        <v>#N/A</v>
      </c>
      <c r="AH39" s="485"/>
    </row>
    <row r="40" spans="1:34" ht="15" customHeight="1">
      <c r="A40" s="492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17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66"/>
      <c r="AC40" s="466"/>
      <c r="AD40" s="92"/>
      <c r="AE40" s="92"/>
      <c r="AF40" s="314" t="e">
        <f>N40-K40</f>
        <v>#N/A</v>
      </c>
      <c r="AG40" s="206" t="e">
        <f>N40/K40</f>
        <v>#N/A</v>
      </c>
      <c r="AH40" s="485"/>
    </row>
    <row r="41" spans="1:34" ht="15" customHeight="1">
      <c r="A41" s="49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7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6"/>
      <c r="AC41" s="466"/>
      <c r="AD41" s="92"/>
      <c r="AE41" s="92"/>
      <c r="AF41" s="314">
        <f>N41-K41</f>
        <v>0</v>
      </c>
      <c r="AG41" s="206" t="e">
        <f>N41/K41</f>
        <v>#DIV/0!</v>
      </c>
      <c r="AH41" s="485"/>
    </row>
    <row r="42" spans="1:34" ht="15" customHeight="1">
      <c r="A42" s="49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7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6"/>
      <c r="AC42" s="466"/>
      <c r="AD42" s="92"/>
      <c r="AE42" s="92"/>
      <c r="AF42" s="314"/>
      <c r="AG42" s="206"/>
      <c r="AH42" s="485"/>
    </row>
    <row r="43" spans="1:34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0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67"/>
      <c r="AC48" s="467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86"/>
    </row>
    <row r="49" spans="1:34" ht="15" customHeight="1">
      <c r="A49" s="488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16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68"/>
      <c r="AC49" s="468"/>
      <c r="AD49" s="135"/>
      <c r="AE49" s="135"/>
      <c r="AF49" s="229" t="e">
        <f t="shared" si="11"/>
        <v>#N/A</v>
      </c>
      <c r="AG49" s="52" t="e">
        <f t="shared" si="12"/>
        <v>#N/A</v>
      </c>
      <c r="AH49" s="461" t="e">
        <f>AG58</f>
        <v>#N/A</v>
      </c>
    </row>
    <row r="50" spans="1:34" ht="15" customHeight="1">
      <c r="A50" s="489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17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66"/>
      <c r="AC50" s="466"/>
      <c r="AD50" s="92"/>
      <c r="AE50" s="92"/>
      <c r="AF50" s="307" t="e">
        <f t="shared" si="11"/>
        <v>#N/A</v>
      </c>
      <c r="AG50" s="72" t="e">
        <f t="shared" si="12"/>
        <v>#N/A</v>
      </c>
      <c r="AH50" s="462"/>
    </row>
    <row r="51" spans="1:34" ht="15" customHeight="1">
      <c r="A51" s="489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17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66"/>
      <c r="AC51" s="466"/>
      <c r="AD51" s="92"/>
      <c r="AE51" s="92"/>
      <c r="AF51" s="307" t="e">
        <f t="shared" si="11"/>
        <v>#N/A</v>
      </c>
      <c r="AG51" s="72" t="e">
        <f t="shared" si="12"/>
        <v>#N/A</v>
      </c>
      <c r="AH51" s="462"/>
    </row>
    <row r="52" spans="1:34" ht="15" customHeight="1">
      <c r="A52" s="489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7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66"/>
      <c r="AC52" s="466"/>
      <c r="AD52" s="92"/>
      <c r="AE52" s="92"/>
      <c r="AF52" s="307">
        <f t="shared" si="11"/>
        <v>0</v>
      </c>
      <c r="AG52" s="72" t="e">
        <f t="shared" si="12"/>
        <v>#DIV/0!</v>
      </c>
      <c r="AH52" s="462"/>
    </row>
    <row r="53" spans="1:34" ht="15" customHeight="1">
      <c r="A53" s="48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7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6"/>
      <c r="AC53" s="466"/>
      <c r="AD53" s="92"/>
      <c r="AE53" s="92"/>
      <c r="AF53" s="307">
        <f t="shared" si="11"/>
        <v>0</v>
      </c>
      <c r="AG53" s="72" t="e">
        <f t="shared" si="12"/>
        <v>#DIV/0!</v>
      </c>
      <c r="AH53" s="462"/>
    </row>
    <row r="54" spans="1:34" ht="15" customHeight="1">
      <c r="A54" s="48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7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>
      <c r="A58" s="490"/>
      <c r="B58" s="239"/>
      <c r="C58" s="153" t="s">
        <v>51</v>
      </c>
      <c r="D58" s="437" t="s">
        <v>42</v>
      </c>
      <c r="E58" s="437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7"/>
      <c r="AC58" s="467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64"/>
    </row>
    <row r="59" spans="1:34" ht="15" customHeight="1">
      <c r="A59" s="502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16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68"/>
      <c r="AC59" s="468"/>
      <c r="AD59" s="135"/>
      <c r="AE59" s="135"/>
      <c r="AF59" s="310" t="e">
        <f>N59-K59</f>
        <v>#N/A</v>
      </c>
      <c r="AG59" s="246" t="e">
        <f>N59/K59</f>
        <v>#N/A</v>
      </c>
      <c r="AH59" s="461" t="e">
        <f>AG69</f>
        <v>#N/A</v>
      </c>
    </row>
    <row r="60" spans="1:34" ht="15" customHeight="1">
      <c r="A60" s="503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506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66"/>
      <c r="AC60" s="466"/>
      <c r="AD60" s="92"/>
      <c r="AE60" s="92"/>
      <c r="AF60" s="316" t="e">
        <f>N60-K60</f>
        <v>#N/A</v>
      </c>
      <c r="AG60" s="249" t="e">
        <f>N60/K60</f>
        <v>#N/A</v>
      </c>
      <c r="AH60" s="497"/>
    </row>
    <row r="61" spans="1:34" ht="15" customHeight="1">
      <c r="A61" s="504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17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66"/>
      <c r="AC61" s="466"/>
      <c r="AD61" s="92"/>
      <c r="AE61" s="92"/>
      <c r="AF61" s="317" t="e">
        <f>N61-K61</f>
        <v>#N/A</v>
      </c>
      <c r="AG61" s="247" t="e">
        <f>N61/K61</f>
        <v>#N/A</v>
      </c>
      <c r="AH61" s="462"/>
    </row>
    <row r="62" spans="1:34" ht="15" customHeight="1">
      <c r="A62" s="504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7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66"/>
      <c r="AC62" s="466"/>
      <c r="AD62" s="92"/>
      <c r="AE62" s="92"/>
      <c r="AF62" s="317">
        <f>N62-K62</f>
        <v>0</v>
      </c>
      <c r="AG62" s="247" t="e">
        <f>N62/K62</f>
        <v>#DIV/0!</v>
      </c>
      <c r="AH62" s="462"/>
    </row>
    <row r="63" spans="1:34" ht="15" customHeight="1">
      <c r="A63" s="504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7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6"/>
      <c r="AC63" s="466"/>
      <c r="AD63" s="92"/>
      <c r="AE63" s="92"/>
      <c r="AF63" s="317"/>
      <c r="AG63" s="247"/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7"/>
      <c r="AC69" s="467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64"/>
    </row>
    <row r="70" spans="1:36" ht="15" customHeight="1">
      <c r="A70" s="498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16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68"/>
      <c r="AC70" s="468"/>
      <c r="AD70" s="135"/>
      <c r="AE70" s="135"/>
      <c r="AF70" s="310" t="e">
        <f>N70-K70</f>
        <v>#N/A</v>
      </c>
      <c r="AG70" s="246" t="e">
        <f>N70/K70</f>
        <v>#N/A</v>
      </c>
      <c r="AH70" s="461" t="e">
        <f>AG79</f>
        <v>#N/A</v>
      </c>
    </row>
    <row r="71" spans="1:36" ht="15" customHeight="1">
      <c r="A71" s="499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7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7"/>
      <c r="AC71" s="487"/>
      <c r="AD71" s="200"/>
      <c r="AE71" s="200"/>
      <c r="AF71" s="311">
        <v>-300.31249999999704</v>
      </c>
      <c r="AG71" s="99">
        <v>0.80810702875399554</v>
      </c>
      <c r="AH71" s="482"/>
    </row>
    <row r="72" spans="1:36" ht="15" customHeight="1">
      <c r="A72" s="499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7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6"/>
      <c r="AC72" s="466"/>
      <c r="AD72" s="92"/>
      <c r="AE72" s="92"/>
      <c r="AF72" s="311">
        <v>-130.33333333333326</v>
      </c>
      <c r="AG72" s="99">
        <v>0.91671991480298198</v>
      </c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6"/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>
      <c r="A79" s="500"/>
      <c r="B79" s="239"/>
      <c r="C79" s="153" t="s">
        <v>56</v>
      </c>
      <c r="D79" s="437" t="s">
        <v>42</v>
      </c>
      <c r="E79" s="437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T3:U3"/>
    <mergeCell ref="P1:S2"/>
    <mergeCell ref="AB1:AC2"/>
    <mergeCell ref="P3:P4"/>
    <mergeCell ref="Q3:Q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</mergeCells>
  <phoneticPr fontId="6" type="noConversion"/>
  <conditionalFormatting sqref="P5:P79">
    <cfRule type="cellIs" dxfId="77" priority="1" operator="greaterThan">
      <formula>0</formula>
    </cfRule>
  </conditionalFormatting>
  <conditionalFormatting sqref="Q5:Q79 AF5:AF79">
    <cfRule type="cellIs" dxfId="76" priority="4" operator="lessThan">
      <formula>0</formula>
    </cfRule>
  </conditionalFormatting>
  <conditionalFormatting sqref="R5:R79 AG5:AG79">
    <cfRule type="cellIs" dxfId="75" priority="2" operator="greaterThan">
      <formula>1</formula>
    </cfRule>
    <cfRule type="cellIs" dxfId="74" priority="3" operator="lessThan">
      <formula>0.8</formula>
    </cfRule>
  </conditionalFormatting>
  <conditionalFormatting sqref="S5:S10 S37:S62 AH59:AH62 S69:S76 AH69:AH76">
    <cfRule type="cellIs" dxfId="73" priority="7" operator="lessThan">
      <formula>0.8</formula>
    </cfRule>
  </conditionalFormatting>
  <conditionalFormatting sqref="S19:S25 AH19:AH25">
    <cfRule type="cellIs" dxfId="72" priority="6" operator="lessThan">
      <formula>0.8</formula>
    </cfRule>
  </conditionalFormatting>
  <conditionalFormatting sqref="S79">
    <cfRule type="cellIs" dxfId="71" priority="5" operator="lessThan">
      <formula>0.8</formula>
    </cfRule>
  </conditionalFormatting>
  <conditionalFormatting sqref="AH5:AH8 S15:S16 AH15:AH16 AH49 AH79">
    <cfRule type="cellIs" dxfId="70" priority="9" operator="lessThan">
      <formula>0.8</formula>
    </cfRule>
  </conditionalFormatting>
  <conditionalFormatting sqref="AH27 S27:S28">
    <cfRule type="cellIs" dxfId="6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71A8-B963-4D9A-BFE0-F897D205FC27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46015</v>
      </c>
      <c r="E3" s="412"/>
      <c r="F3" s="3" t="s">
        <v>72</v>
      </c>
      <c r="G3" s="413">
        <f>範本!E1</f>
        <v>43309</v>
      </c>
      <c r="H3" s="413"/>
      <c r="I3" s="3" t="s">
        <v>2</v>
      </c>
      <c r="J3" s="414" t="e">
        <f>範本!G1</f>
        <v>#N/A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 t="e">
        <f>AVERAGE(D13:J13)</f>
        <v>#N/A</v>
      </c>
      <c r="G6" s="410"/>
      <c r="H6" s="395" t="e">
        <f>AVERAGE(D13:H13)</f>
        <v>#N/A</v>
      </c>
      <c r="I6" s="395"/>
      <c r="J6" s="395" t="e">
        <f>AVERAGE(I13:J13)</f>
        <v>#N/A</v>
      </c>
      <c r="K6" s="395"/>
      <c r="L6" s="397">
        <f>範本!Z2</f>
        <v>0</v>
      </c>
      <c r="M6" s="398">
        <f>範本!AA2</f>
        <v>0</v>
      </c>
      <c r="N6" s="400">
        <f>範本!AD2</f>
        <v>0</v>
      </c>
      <c r="O6" s="398">
        <f>範本!AE2</f>
        <v>0</v>
      </c>
    </row>
    <row r="7" spans="2:15" ht="39.6" customHeight="1">
      <c r="B7" s="406"/>
      <c r="C7" s="406"/>
      <c r="D7" s="401" t="s">
        <v>87</v>
      </c>
      <c r="E7" s="401"/>
      <c r="F7" s="402">
        <f>AVERAGE(D14:J14)</f>
        <v>116.11474837607263</v>
      </c>
      <c r="G7" s="402"/>
      <c r="H7" s="403">
        <f>AVERAGE(D14:H14)</f>
        <v>117.36074805627914</v>
      </c>
      <c r="I7" s="403"/>
      <c r="J7" s="403">
        <f>AVERAGE(I14:J14)</f>
        <v>112.99974917555633</v>
      </c>
      <c r="K7" s="403"/>
      <c r="L7" s="397"/>
      <c r="M7" s="398"/>
      <c r="N7" s="400"/>
      <c r="O7" s="398"/>
    </row>
    <row r="8" spans="2:15" ht="39.6" customHeight="1">
      <c r="B8" s="406"/>
      <c r="C8" s="406"/>
      <c r="D8" s="401" t="s">
        <v>27</v>
      </c>
      <c r="E8" s="401"/>
      <c r="F8" s="387" t="e">
        <f>AVERAGE(D15:J15)</f>
        <v>#N/A</v>
      </c>
      <c r="G8" s="387"/>
      <c r="H8" s="387" t="e">
        <f>AVERAGE(D15:H15)</f>
        <v>#N/A</v>
      </c>
      <c r="I8" s="387"/>
      <c r="J8" s="387" t="e">
        <f>AVERAGE(I15:J15)</f>
        <v>#N/A</v>
      </c>
      <c r="K8" s="387"/>
      <c r="L8" s="397"/>
      <c r="M8" s="398"/>
      <c r="N8" s="400"/>
      <c r="O8" s="39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381"/>
      <c r="C14" s="12" t="s">
        <v>100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382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383" t="s">
        <v>101</v>
      </c>
      <c r="C16" s="10" t="s">
        <v>34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384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85" t="s">
        <v>102</v>
      </c>
      <c r="C18" s="330" t="s">
        <v>36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386"/>
      <c r="C19" s="330" t="s">
        <v>37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385" t="s">
        <v>103</v>
      </c>
      <c r="C20" s="330" t="s">
        <v>36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386"/>
      <c r="C21" s="330" t="s">
        <v>85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377" t="s">
        <v>104</v>
      </c>
      <c r="C22" s="378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6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5DA3-5A16-4108-AF7A-65735575C1D9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21" width="8.7109375" style="34" customWidth="1"/>
    <col min="12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13</v>
      </c>
      <c r="B2" s="422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0</v>
      </c>
      <c r="AA2" s="339">
        <f>AA15+AA26+AA37+AA48+AA58+AA69+AA79</f>
        <v>0</v>
      </c>
      <c r="AB2" s="460"/>
      <c r="AC2" s="460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16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68"/>
      <c r="AC5" s="468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61" t="e">
        <f>AG15</f>
        <v>#N/A</v>
      </c>
    </row>
    <row r="6" spans="1:34" ht="15" customHeight="1">
      <c r="A6" s="428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17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65"/>
      <c r="AC6" s="465"/>
      <c r="AD6" s="149"/>
      <c r="AE6" s="149"/>
      <c r="AF6" s="307" t="e">
        <f t="shared" si="1"/>
        <v>#N/A</v>
      </c>
      <c r="AG6" s="72" t="e">
        <f t="shared" si="2"/>
        <v>#N/A</v>
      </c>
      <c r="AH6" s="462"/>
    </row>
    <row r="7" spans="1:34" ht="15" customHeight="1">
      <c r="A7" s="428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17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66"/>
      <c r="AC7" s="466"/>
      <c r="AD7" s="92"/>
      <c r="AE7" s="92"/>
      <c r="AF7" s="307" t="e">
        <f t="shared" si="1"/>
        <v>#N/A</v>
      </c>
      <c r="AG7" s="72" t="e">
        <f t="shared" si="2"/>
        <v>#N/A</v>
      </c>
      <c r="AH7" s="462"/>
    </row>
    <row r="8" spans="1:34" ht="15" customHeight="1">
      <c r="A8" s="428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7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65"/>
      <c r="AC8" s="465"/>
      <c r="AD8" s="149"/>
      <c r="AE8" s="149"/>
      <c r="AF8" s="307">
        <f t="shared" si="1"/>
        <v>0</v>
      </c>
      <c r="AG8" s="72" t="e">
        <f t="shared" si="2"/>
        <v>#DIV/0!</v>
      </c>
      <c r="AH8" s="462"/>
    </row>
    <row r="9" spans="1:34" ht="15" customHeight="1">
      <c r="A9" s="42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8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5"/>
      <c r="AC9" s="465"/>
      <c r="AD9" s="149"/>
      <c r="AE9" s="149"/>
      <c r="AF9" s="307">
        <f t="shared" si="1"/>
        <v>0</v>
      </c>
      <c r="AG9" s="72" t="e">
        <f t="shared" si="2"/>
        <v>#DIV/0!</v>
      </c>
      <c r="AH9" s="463"/>
    </row>
    <row r="10" spans="1:34" ht="15" customHeight="1">
      <c r="A10" s="42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8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6"/>
      <c r="AC10" s="466"/>
      <c r="AD10" s="92"/>
      <c r="AE10" s="92"/>
      <c r="AF10" s="307">
        <f t="shared" si="1"/>
        <v>0</v>
      </c>
      <c r="AG10" s="72" t="e">
        <f t="shared" si="2"/>
        <v>#DIV/0!</v>
      </c>
      <c r="AH10" s="463"/>
    </row>
    <row r="11" spans="1:34" ht="15" customHeight="1">
      <c r="A11" s="42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5"/>
      <c r="AC11" s="465"/>
      <c r="AD11" s="149"/>
      <c r="AE11" s="149"/>
      <c r="AF11" s="307">
        <f t="shared" si="1"/>
        <v>0</v>
      </c>
      <c r="AG11" s="72" t="e">
        <f t="shared" si="2"/>
        <v>#DIV/0!</v>
      </c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7"/>
      <c r="AC15" s="467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64"/>
    </row>
    <row r="16" spans="1:34" ht="15" customHeight="1">
      <c r="A16" s="478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72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68"/>
      <c r="AC16" s="468"/>
      <c r="AD16" s="135"/>
      <c r="AE16" s="135"/>
      <c r="AF16" s="229" t="e">
        <f>N16-K16</f>
        <v>#N/A</v>
      </c>
      <c r="AG16" s="52" t="e">
        <f>N16/K16</f>
        <v>#N/A</v>
      </c>
      <c r="AH16" s="461" t="e">
        <f>AG26</f>
        <v>#N/A</v>
      </c>
    </row>
    <row r="17" spans="1:34" ht="15" customHeight="1">
      <c r="A17" s="479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73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66"/>
      <c r="AC17" s="466"/>
      <c r="AD17" s="92"/>
      <c r="AE17" s="92"/>
      <c r="AF17" s="307" t="e">
        <f>N17-K17</f>
        <v>#N/A</v>
      </c>
      <c r="AG17" s="72" t="e">
        <f>N17/K17</f>
        <v>#N/A</v>
      </c>
      <c r="AH17" s="462"/>
    </row>
    <row r="18" spans="1:34" ht="15" customHeight="1">
      <c r="A18" s="479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73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66"/>
      <c r="AC18" s="466"/>
      <c r="AD18" s="92"/>
      <c r="AE18" s="92"/>
      <c r="AF18" s="307" t="e">
        <f>N18-K18</f>
        <v>#N/A</v>
      </c>
      <c r="AG18" s="72" t="e">
        <f>N18/K18</f>
        <v>#N/A</v>
      </c>
      <c r="AH18" s="462"/>
    </row>
    <row r="19" spans="1:34" ht="15" customHeight="1">
      <c r="A19" s="479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3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65"/>
      <c r="AC19" s="465"/>
      <c r="AD19" s="149"/>
      <c r="AE19" s="149"/>
      <c r="AF19" s="307">
        <f>N19-K19</f>
        <v>0</v>
      </c>
      <c r="AG19" s="72" t="e">
        <f>N19/K19</f>
        <v>#DIV/0!</v>
      </c>
      <c r="AH19" s="463"/>
    </row>
    <row r="20" spans="1:34" ht="15" customHeight="1">
      <c r="A20" s="47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3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66"/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3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6"/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50"/>
      <c r="U22" s="150"/>
      <c r="V22" s="92"/>
      <c r="W22" s="149"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4"/>
        <v>0</v>
      </c>
      <c r="X23" s="92"/>
      <c r="Y23" s="298"/>
      <c r="Z23" s="90"/>
      <c r="AA23" s="90"/>
      <c r="AB23" s="466"/>
      <c r="AC23" s="46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74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7"/>
      <c r="AC26" s="467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64"/>
    </row>
    <row r="27" spans="1:34" ht="15" customHeight="1">
      <c r="A27" s="469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72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68"/>
      <c r="AC27" s="468"/>
      <c r="AD27" s="135"/>
      <c r="AE27" s="135"/>
      <c r="AF27" s="310" t="e">
        <f t="shared" si="6"/>
        <v>#N/A</v>
      </c>
      <c r="AG27" s="172" t="e">
        <f t="shared" si="7"/>
        <v>#N/A</v>
      </c>
      <c r="AH27" s="461" t="e">
        <f>AG37</f>
        <v>#N/A</v>
      </c>
    </row>
    <row r="28" spans="1:34" ht="15" customHeight="1">
      <c r="A28" s="470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73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66"/>
      <c r="AC28" s="466"/>
      <c r="AD28" s="92"/>
      <c r="AE28" s="92"/>
      <c r="AF28" s="311" t="e">
        <f t="shared" si="6"/>
        <v>#N/A</v>
      </c>
      <c r="AG28" s="99" t="e">
        <f t="shared" si="7"/>
        <v>#N/A</v>
      </c>
      <c r="AH28" s="482"/>
    </row>
    <row r="29" spans="1:34" ht="15" customHeight="1">
      <c r="A29" s="470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73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66"/>
      <c r="AC29" s="466"/>
      <c r="AD29" s="92"/>
      <c r="AE29" s="92"/>
      <c r="AF29" s="312" t="e">
        <f t="shared" si="6"/>
        <v>#N/A</v>
      </c>
      <c r="AG29" s="99" t="e">
        <f t="shared" si="7"/>
        <v>#N/A</v>
      </c>
      <c r="AH29" s="482"/>
    </row>
    <row r="30" spans="1:34" ht="15" customHeight="1">
      <c r="A30" s="470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3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66"/>
      <c r="AC30" s="466"/>
      <c r="AD30" s="92"/>
      <c r="AE30" s="92"/>
      <c r="AF30" s="312">
        <f t="shared" si="6"/>
        <v>0</v>
      </c>
      <c r="AG30" s="99" t="e">
        <f t="shared" si="7"/>
        <v>#DIV/0!</v>
      </c>
      <c r="AH30" s="483"/>
    </row>
    <row r="31" spans="1:34" ht="15" customHeight="1">
      <c r="A31" s="47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3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6"/>
      <c r="AC31" s="466"/>
      <c r="AD31" s="92"/>
      <c r="AE31" s="92"/>
      <c r="AF31" s="312">
        <f t="shared" si="6"/>
        <v>0</v>
      </c>
      <c r="AG31" s="99" t="e">
        <f t="shared" si="7"/>
        <v>#DIV/0!</v>
      </c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6"/>
      <c r="AC32" s="466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6"/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74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7"/>
      <c r="AC37" s="477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64"/>
    </row>
    <row r="38" spans="1:34" ht="15" customHeight="1">
      <c r="A38" s="491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94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96"/>
      <c r="AC38" s="496"/>
      <c r="AD38" s="192"/>
      <c r="AE38" s="192"/>
      <c r="AF38" s="313" t="e">
        <f>N38-K38</f>
        <v>#N/A</v>
      </c>
      <c r="AG38" s="195" t="e">
        <f>N38/K38</f>
        <v>#N/A</v>
      </c>
      <c r="AH38" s="484" t="e">
        <f>AG48</f>
        <v>#N/A</v>
      </c>
    </row>
    <row r="39" spans="1:34" ht="15" customHeight="1">
      <c r="A39" s="492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95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87"/>
      <c r="AC39" s="487"/>
      <c r="AD39" s="200"/>
      <c r="AE39" s="200"/>
      <c r="AF39" s="314" t="e">
        <f>N39-K39</f>
        <v>#N/A</v>
      </c>
      <c r="AG39" s="206" t="e">
        <f>N39/K39</f>
        <v>#N/A</v>
      </c>
      <c r="AH39" s="485"/>
    </row>
    <row r="40" spans="1:34" ht="15" customHeight="1">
      <c r="A40" s="492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17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66"/>
      <c r="AC40" s="466"/>
      <c r="AD40" s="92"/>
      <c r="AE40" s="92"/>
      <c r="AF40" s="314" t="e">
        <f>N40-K40</f>
        <v>#N/A</v>
      </c>
      <c r="AG40" s="206" t="e">
        <f>N40/K40</f>
        <v>#N/A</v>
      </c>
      <c r="AH40" s="485"/>
    </row>
    <row r="41" spans="1:34" ht="15" customHeight="1">
      <c r="A41" s="49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7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6"/>
      <c r="AC41" s="466"/>
      <c r="AD41" s="92"/>
      <c r="AE41" s="92"/>
      <c r="AF41" s="314">
        <f>N41-K41</f>
        <v>0</v>
      </c>
      <c r="AG41" s="206" t="e">
        <f>N41/K41</f>
        <v>#DIV/0!</v>
      </c>
      <c r="AH41" s="485"/>
    </row>
    <row r="42" spans="1:34" ht="15" customHeight="1">
      <c r="A42" s="49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7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6"/>
      <c r="AC42" s="466"/>
      <c r="AD42" s="92"/>
      <c r="AE42" s="92"/>
      <c r="AF42" s="314"/>
      <c r="AG42" s="206"/>
      <c r="AH42" s="485"/>
    </row>
    <row r="43" spans="1:34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0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67"/>
      <c r="AC48" s="467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86"/>
    </row>
    <row r="49" spans="1:34" ht="15" customHeight="1">
      <c r="A49" s="488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16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68"/>
      <c r="AC49" s="468"/>
      <c r="AD49" s="135"/>
      <c r="AE49" s="135"/>
      <c r="AF49" s="229" t="e">
        <f t="shared" si="11"/>
        <v>#N/A</v>
      </c>
      <c r="AG49" s="52" t="e">
        <f t="shared" si="12"/>
        <v>#N/A</v>
      </c>
      <c r="AH49" s="461" t="e">
        <f>AG58</f>
        <v>#N/A</v>
      </c>
    </row>
    <row r="50" spans="1:34" ht="15" customHeight="1">
      <c r="A50" s="489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17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66"/>
      <c r="AC50" s="466"/>
      <c r="AD50" s="92"/>
      <c r="AE50" s="92"/>
      <c r="AF50" s="307" t="e">
        <f t="shared" si="11"/>
        <v>#N/A</v>
      </c>
      <c r="AG50" s="72" t="e">
        <f t="shared" si="12"/>
        <v>#N/A</v>
      </c>
      <c r="AH50" s="462"/>
    </row>
    <row r="51" spans="1:34" ht="15" customHeight="1">
      <c r="A51" s="489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17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66"/>
      <c r="AC51" s="466"/>
      <c r="AD51" s="92"/>
      <c r="AE51" s="92"/>
      <c r="AF51" s="307" t="e">
        <f t="shared" si="11"/>
        <v>#N/A</v>
      </c>
      <c r="AG51" s="72" t="e">
        <f t="shared" si="12"/>
        <v>#N/A</v>
      </c>
      <c r="AH51" s="462"/>
    </row>
    <row r="52" spans="1:34" ht="15" customHeight="1">
      <c r="A52" s="489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7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66"/>
      <c r="AC52" s="466"/>
      <c r="AD52" s="92"/>
      <c r="AE52" s="92"/>
      <c r="AF52" s="307">
        <f t="shared" si="11"/>
        <v>0</v>
      </c>
      <c r="AG52" s="72" t="e">
        <f t="shared" si="12"/>
        <v>#DIV/0!</v>
      </c>
      <c r="AH52" s="462"/>
    </row>
    <row r="53" spans="1:34" ht="15" customHeight="1">
      <c r="A53" s="48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7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6"/>
      <c r="AC53" s="466"/>
      <c r="AD53" s="92"/>
      <c r="AE53" s="92"/>
      <c r="AF53" s="307">
        <f t="shared" si="11"/>
        <v>0</v>
      </c>
      <c r="AG53" s="72" t="e">
        <f t="shared" si="12"/>
        <v>#DIV/0!</v>
      </c>
      <c r="AH53" s="462"/>
    </row>
    <row r="54" spans="1:34" ht="15" customHeight="1">
      <c r="A54" s="48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7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>
      <c r="A58" s="490"/>
      <c r="B58" s="239"/>
      <c r="C58" s="153" t="s">
        <v>51</v>
      </c>
      <c r="D58" s="437" t="s">
        <v>42</v>
      </c>
      <c r="E58" s="437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7"/>
      <c r="AC58" s="467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64"/>
    </row>
    <row r="59" spans="1:34" ht="15" customHeight="1">
      <c r="A59" s="502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16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68"/>
      <c r="AC59" s="468"/>
      <c r="AD59" s="135"/>
      <c r="AE59" s="135"/>
      <c r="AF59" s="310" t="e">
        <f>N59-K59</f>
        <v>#N/A</v>
      </c>
      <c r="AG59" s="246" t="e">
        <f>N59/K59</f>
        <v>#N/A</v>
      </c>
      <c r="AH59" s="461" t="e">
        <f>AG69</f>
        <v>#N/A</v>
      </c>
    </row>
    <row r="60" spans="1:34" ht="15" customHeight="1">
      <c r="A60" s="503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506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66"/>
      <c r="AC60" s="466"/>
      <c r="AD60" s="92"/>
      <c r="AE60" s="92"/>
      <c r="AF60" s="316" t="e">
        <f>N60-K60</f>
        <v>#N/A</v>
      </c>
      <c r="AG60" s="249" t="e">
        <f>N60/K60</f>
        <v>#N/A</v>
      </c>
      <c r="AH60" s="497"/>
    </row>
    <row r="61" spans="1:34" ht="15" customHeight="1">
      <c r="A61" s="504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17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66"/>
      <c r="AC61" s="466"/>
      <c r="AD61" s="92"/>
      <c r="AE61" s="92"/>
      <c r="AF61" s="317" t="e">
        <f>N61-K61</f>
        <v>#N/A</v>
      </c>
      <c r="AG61" s="247" t="e">
        <f>N61/K61</f>
        <v>#N/A</v>
      </c>
      <c r="AH61" s="462"/>
    </row>
    <row r="62" spans="1:34" ht="15" customHeight="1">
      <c r="A62" s="504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7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66"/>
      <c r="AC62" s="466"/>
      <c r="AD62" s="92"/>
      <c r="AE62" s="92"/>
      <c r="AF62" s="317">
        <f>N62-K62</f>
        <v>0</v>
      </c>
      <c r="AG62" s="247" t="e">
        <f>N62/K62</f>
        <v>#DIV/0!</v>
      </c>
      <c r="AH62" s="462"/>
    </row>
    <row r="63" spans="1:34" ht="15" customHeight="1">
      <c r="A63" s="504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7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6"/>
      <c r="AC63" s="466"/>
      <c r="AD63" s="92"/>
      <c r="AE63" s="92"/>
      <c r="AF63" s="317"/>
      <c r="AG63" s="247"/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7"/>
      <c r="AC69" s="467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64"/>
    </row>
    <row r="70" spans="1:36" ht="15" customHeight="1">
      <c r="A70" s="498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16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68"/>
      <c r="AC70" s="468"/>
      <c r="AD70" s="135"/>
      <c r="AE70" s="135"/>
      <c r="AF70" s="310" t="e">
        <f>N70-K70</f>
        <v>#N/A</v>
      </c>
      <c r="AG70" s="246" t="e">
        <f>N70/K70</f>
        <v>#N/A</v>
      </c>
      <c r="AH70" s="461" t="e">
        <f>AG79</f>
        <v>#N/A</v>
      </c>
    </row>
    <row r="71" spans="1:36" ht="15" customHeight="1">
      <c r="A71" s="499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7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7"/>
      <c r="AC71" s="487"/>
      <c r="AD71" s="200"/>
      <c r="AE71" s="200"/>
      <c r="AF71" s="311">
        <v>-300.31249999999704</v>
      </c>
      <c r="AG71" s="99">
        <v>0.80810702875399554</v>
      </c>
      <c r="AH71" s="482"/>
    </row>
    <row r="72" spans="1:36" ht="15" customHeight="1">
      <c r="A72" s="499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7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6"/>
      <c r="AC72" s="466"/>
      <c r="AD72" s="92"/>
      <c r="AE72" s="92"/>
      <c r="AF72" s="311">
        <v>-130.33333333333326</v>
      </c>
      <c r="AG72" s="99">
        <v>0.91671991480298198</v>
      </c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6"/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>
      <c r="A79" s="500"/>
      <c r="B79" s="239"/>
      <c r="C79" s="153" t="s">
        <v>56</v>
      </c>
      <c r="D79" s="437" t="s">
        <v>42</v>
      </c>
      <c r="E79" s="437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T3:U3"/>
    <mergeCell ref="P1:S2"/>
    <mergeCell ref="AB1:AC2"/>
    <mergeCell ref="P3:P4"/>
    <mergeCell ref="Q3:Q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</mergeCells>
  <phoneticPr fontId="6" type="noConversion"/>
  <conditionalFormatting sqref="P5:P79">
    <cfRule type="cellIs" dxfId="67" priority="1" operator="greaterThan">
      <formula>0</formula>
    </cfRule>
  </conditionalFormatting>
  <conditionalFormatting sqref="Q5:Q79 AF5:AF79">
    <cfRule type="cellIs" dxfId="66" priority="4" operator="lessThan">
      <formula>0</formula>
    </cfRule>
  </conditionalFormatting>
  <conditionalFormatting sqref="R5:R79 AG5:AG79">
    <cfRule type="cellIs" dxfId="65" priority="2" operator="greaterThan">
      <formula>1</formula>
    </cfRule>
    <cfRule type="cellIs" dxfId="64" priority="3" operator="lessThan">
      <formula>0.8</formula>
    </cfRule>
  </conditionalFormatting>
  <conditionalFormatting sqref="S5:S10 S37:S62 AH59:AH62 S69:S76 AH69:AH76">
    <cfRule type="cellIs" dxfId="63" priority="7" operator="lessThan">
      <formula>0.8</formula>
    </cfRule>
  </conditionalFormatting>
  <conditionalFormatting sqref="S19:S25 AH19:AH25">
    <cfRule type="cellIs" dxfId="62" priority="6" operator="lessThan">
      <formula>0.8</formula>
    </cfRule>
  </conditionalFormatting>
  <conditionalFormatting sqref="S79">
    <cfRule type="cellIs" dxfId="61" priority="5" operator="lessThan">
      <formula>0.8</formula>
    </cfRule>
  </conditionalFormatting>
  <conditionalFormatting sqref="AH5:AH8 S15:S16 AH15:AH16 AH49 AH79">
    <cfRule type="cellIs" dxfId="60" priority="9" operator="lessThan">
      <formula>0.8</formula>
    </cfRule>
  </conditionalFormatting>
  <conditionalFormatting sqref="AH27 S27:S28">
    <cfRule type="cellIs" dxfId="5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E293C-CD74-4F03-8C27-C18CE8A6A8DF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46015</v>
      </c>
      <c r="E3" s="412"/>
      <c r="F3" s="3" t="s">
        <v>72</v>
      </c>
      <c r="G3" s="413">
        <f>範本!E1</f>
        <v>43309</v>
      </c>
      <c r="H3" s="413"/>
      <c r="I3" s="3" t="s">
        <v>2</v>
      </c>
      <c r="J3" s="414" t="e">
        <f>範本!G1</f>
        <v>#N/A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 t="e">
        <f>AVERAGE(D13:J13)</f>
        <v>#N/A</v>
      </c>
      <c r="G6" s="410"/>
      <c r="H6" s="395" t="e">
        <f>AVERAGE(D13:H13)</f>
        <v>#N/A</v>
      </c>
      <c r="I6" s="395"/>
      <c r="J6" s="395" t="e">
        <f>AVERAGE(I13:J13)</f>
        <v>#N/A</v>
      </c>
      <c r="K6" s="395"/>
      <c r="L6" s="397">
        <f>範本!Z2</f>
        <v>0</v>
      </c>
      <c r="M6" s="398">
        <f>範本!AA2</f>
        <v>0</v>
      </c>
      <c r="N6" s="400">
        <f>範本!AD2</f>
        <v>0</v>
      </c>
      <c r="O6" s="398">
        <f>範本!AE2</f>
        <v>0</v>
      </c>
    </row>
    <row r="7" spans="2:15" ht="39.6" customHeight="1">
      <c r="B7" s="406"/>
      <c r="C7" s="406"/>
      <c r="D7" s="401" t="s">
        <v>87</v>
      </c>
      <c r="E7" s="401"/>
      <c r="F7" s="402">
        <f>AVERAGE(D14:J14)</f>
        <v>116.11474837607263</v>
      </c>
      <c r="G7" s="402"/>
      <c r="H7" s="403">
        <f>AVERAGE(D14:H14)</f>
        <v>117.36074805627914</v>
      </c>
      <c r="I7" s="403"/>
      <c r="J7" s="403">
        <f>AVERAGE(I14:J14)</f>
        <v>112.99974917555633</v>
      </c>
      <c r="K7" s="403"/>
      <c r="L7" s="397"/>
      <c r="M7" s="398"/>
      <c r="N7" s="400"/>
      <c r="O7" s="398"/>
    </row>
    <row r="8" spans="2:15" ht="39.6" customHeight="1">
      <c r="B8" s="406"/>
      <c r="C8" s="406"/>
      <c r="D8" s="401" t="s">
        <v>27</v>
      </c>
      <c r="E8" s="401"/>
      <c r="F8" s="387" t="e">
        <f>AVERAGE(D15:J15)</f>
        <v>#N/A</v>
      </c>
      <c r="G8" s="387"/>
      <c r="H8" s="387" t="e">
        <f>AVERAGE(D15:H15)</f>
        <v>#N/A</v>
      </c>
      <c r="I8" s="387"/>
      <c r="J8" s="387" t="e">
        <f>AVERAGE(I15:J15)</f>
        <v>#N/A</v>
      </c>
      <c r="K8" s="387"/>
      <c r="L8" s="397"/>
      <c r="M8" s="398"/>
      <c r="N8" s="400"/>
      <c r="O8" s="39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381"/>
      <c r="C14" s="12" t="s">
        <v>100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382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383" t="s">
        <v>101</v>
      </c>
      <c r="C16" s="10" t="s">
        <v>34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384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85" t="s">
        <v>102</v>
      </c>
      <c r="C18" s="330" t="s">
        <v>36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386"/>
      <c r="C19" s="330" t="s">
        <v>37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385" t="s">
        <v>103</v>
      </c>
      <c r="C20" s="330" t="s">
        <v>36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386"/>
      <c r="C21" s="330" t="s">
        <v>85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377" t="s">
        <v>104</v>
      </c>
      <c r="C22" s="378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5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3D83-2D8B-44BD-9668-D93F33523EBE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21" width="8.7109375" style="34" customWidth="1"/>
    <col min="12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13</v>
      </c>
      <c r="B2" s="422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0</v>
      </c>
      <c r="AA2" s="339">
        <f>AA15+AA26+AA37+AA48+AA58+AA69+AA79</f>
        <v>0</v>
      </c>
      <c r="AB2" s="460"/>
      <c r="AC2" s="460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16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68"/>
      <c r="AC5" s="468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61" t="e">
        <f>AG15</f>
        <v>#N/A</v>
      </c>
    </row>
    <row r="6" spans="1:34" ht="15" customHeight="1">
      <c r="A6" s="428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17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65"/>
      <c r="AC6" s="465"/>
      <c r="AD6" s="149"/>
      <c r="AE6" s="149"/>
      <c r="AF6" s="307" t="e">
        <f t="shared" si="1"/>
        <v>#N/A</v>
      </c>
      <c r="AG6" s="72" t="e">
        <f t="shared" si="2"/>
        <v>#N/A</v>
      </c>
      <c r="AH6" s="462"/>
    </row>
    <row r="7" spans="1:34" ht="15" customHeight="1">
      <c r="A7" s="428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17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66"/>
      <c r="AC7" s="466"/>
      <c r="AD7" s="92"/>
      <c r="AE7" s="92"/>
      <c r="AF7" s="307" t="e">
        <f t="shared" si="1"/>
        <v>#N/A</v>
      </c>
      <c r="AG7" s="72" t="e">
        <f t="shared" si="2"/>
        <v>#N/A</v>
      </c>
      <c r="AH7" s="462"/>
    </row>
    <row r="8" spans="1:34" ht="15" customHeight="1">
      <c r="A8" s="428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7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65"/>
      <c r="AC8" s="465"/>
      <c r="AD8" s="149"/>
      <c r="AE8" s="149"/>
      <c r="AF8" s="307">
        <f t="shared" si="1"/>
        <v>0</v>
      </c>
      <c r="AG8" s="72" t="e">
        <f t="shared" si="2"/>
        <v>#DIV/0!</v>
      </c>
      <c r="AH8" s="462"/>
    </row>
    <row r="9" spans="1:34" ht="15" customHeight="1">
      <c r="A9" s="42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8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5"/>
      <c r="AC9" s="465"/>
      <c r="AD9" s="149"/>
      <c r="AE9" s="149"/>
      <c r="AF9" s="307">
        <f t="shared" si="1"/>
        <v>0</v>
      </c>
      <c r="AG9" s="72" t="e">
        <f t="shared" si="2"/>
        <v>#DIV/0!</v>
      </c>
      <c r="AH9" s="463"/>
    </row>
    <row r="10" spans="1:34" ht="15" customHeight="1">
      <c r="A10" s="42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8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6"/>
      <c r="AC10" s="466"/>
      <c r="AD10" s="92"/>
      <c r="AE10" s="92"/>
      <c r="AF10" s="307">
        <f t="shared" si="1"/>
        <v>0</v>
      </c>
      <c r="AG10" s="72" t="e">
        <f t="shared" si="2"/>
        <v>#DIV/0!</v>
      </c>
      <c r="AH10" s="463"/>
    </row>
    <row r="11" spans="1:34" ht="15" customHeight="1">
      <c r="A11" s="42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5"/>
      <c r="AC11" s="465"/>
      <c r="AD11" s="149"/>
      <c r="AE11" s="149"/>
      <c r="AF11" s="307">
        <f t="shared" si="1"/>
        <v>0</v>
      </c>
      <c r="AG11" s="72" t="e">
        <f t="shared" si="2"/>
        <v>#DIV/0!</v>
      </c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7"/>
      <c r="AC15" s="467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64"/>
    </row>
    <row r="16" spans="1:34" ht="15" customHeight="1">
      <c r="A16" s="478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72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68"/>
      <c r="AC16" s="468"/>
      <c r="AD16" s="135"/>
      <c r="AE16" s="135"/>
      <c r="AF16" s="229" t="e">
        <f>N16-K16</f>
        <v>#N/A</v>
      </c>
      <c r="AG16" s="52" t="e">
        <f>N16/K16</f>
        <v>#N/A</v>
      </c>
      <c r="AH16" s="461" t="e">
        <f>AG26</f>
        <v>#N/A</v>
      </c>
    </row>
    <row r="17" spans="1:34" ht="15" customHeight="1">
      <c r="A17" s="479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73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66"/>
      <c r="AC17" s="466"/>
      <c r="AD17" s="92"/>
      <c r="AE17" s="92"/>
      <c r="AF17" s="307" t="e">
        <f>N17-K17</f>
        <v>#N/A</v>
      </c>
      <c r="AG17" s="72" t="e">
        <f>N17/K17</f>
        <v>#N/A</v>
      </c>
      <c r="AH17" s="462"/>
    </row>
    <row r="18" spans="1:34" ht="15" customHeight="1">
      <c r="A18" s="479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73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66"/>
      <c r="AC18" s="466"/>
      <c r="AD18" s="92"/>
      <c r="AE18" s="92"/>
      <c r="AF18" s="307" t="e">
        <f>N18-K18</f>
        <v>#N/A</v>
      </c>
      <c r="AG18" s="72" t="e">
        <f>N18/K18</f>
        <v>#N/A</v>
      </c>
      <c r="AH18" s="462"/>
    </row>
    <row r="19" spans="1:34" ht="15" customHeight="1">
      <c r="A19" s="479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3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65"/>
      <c r="AC19" s="465"/>
      <c r="AD19" s="149"/>
      <c r="AE19" s="149"/>
      <c r="AF19" s="307">
        <f>N19-K19</f>
        <v>0</v>
      </c>
      <c r="AG19" s="72" t="e">
        <f>N19/K19</f>
        <v>#DIV/0!</v>
      </c>
      <c r="AH19" s="463"/>
    </row>
    <row r="20" spans="1:34" ht="15" customHeight="1">
      <c r="A20" s="47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3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66"/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3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6"/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50"/>
      <c r="U22" s="150"/>
      <c r="V22" s="92"/>
      <c r="W22" s="149"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4"/>
        <v>0</v>
      </c>
      <c r="X23" s="92"/>
      <c r="Y23" s="298"/>
      <c r="Z23" s="90"/>
      <c r="AA23" s="90"/>
      <c r="AB23" s="466"/>
      <c r="AC23" s="46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74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7"/>
      <c r="AC26" s="467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64"/>
    </row>
    <row r="27" spans="1:34" ht="15" customHeight="1">
      <c r="A27" s="469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72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68"/>
      <c r="AC27" s="468"/>
      <c r="AD27" s="135"/>
      <c r="AE27" s="135"/>
      <c r="AF27" s="310" t="e">
        <f t="shared" si="6"/>
        <v>#N/A</v>
      </c>
      <c r="AG27" s="172" t="e">
        <f t="shared" si="7"/>
        <v>#N/A</v>
      </c>
      <c r="AH27" s="461" t="e">
        <f>AG37</f>
        <v>#N/A</v>
      </c>
    </row>
    <row r="28" spans="1:34" ht="15" customHeight="1">
      <c r="A28" s="470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73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66"/>
      <c r="AC28" s="466"/>
      <c r="AD28" s="92"/>
      <c r="AE28" s="92"/>
      <c r="AF28" s="311" t="e">
        <f t="shared" si="6"/>
        <v>#N/A</v>
      </c>
      <c r="AG28" s="99" t="e">
        <f t="shared" si="7"/>
        <v>#N/A</v>
      </c>
      <c r="AH28" s="482"/>
    </row>
    <row r="29" spans="1:34" ht="15" customHeight="1">
      <c r="A29" s="470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73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66"/>
      <c r="AC29" s="466"/>
      <c r="AD29" s="92"/>
      <c r="AE29" s="92"/>
      <c r="AF29" s="312" t="e">
        <f t="shared" si="6"/>
        <v>#N/A</v>
      </c>
      <c r="AG29" s="99" t="e">
        <f t="shared" si="7"/>
        <v>#N/A</v>
      </c>
      <c r="AH29" s="482"/>
    </row>
    <row r="30" spans="1:34" ht="15" customHeight="1">
      <c r="A30" s="470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3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66"/>
      <c r="AC30" s="466"/>
      <c r="AD30" s="92"/>
      <c r="AE30" s="92"/>
      <c r="AF30" s="312">
        <f t="shared" si="6"/>
        <v>0</v>
      </c>
      <c r="AG30" s="99" t="e">
        <f t="shared" si="7"/>
        <v>#DIV/0!</v>
      </c>
      <c r="AH30" s="483"/>
    </row>
    <row r="31" spans="1:34" ht="15" customHeight="1">
      <c r="A31" s="47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3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6"/>
      <c r="AC31" s="466"/>
      <c r="AD31" s="92"/>
      <c r="AE31" s="92"/>
      <c r="AF31" s="312">
        <f t="shared" si="6"/>
        <v>0</v>
      </c>
      <c r="AG31" s="99" t="e">
        <f t="shared" si="7"/>
        <v>#DIV/0!</v>
      </c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6"/>
      <c r="AC32" s="466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6"/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74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7"/>
      <c r="AC37" s="477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64"/>
    </row>
    <row r="38" spans="1:34" ht="15" customHeight="1">
      <c r="A38" s="491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94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96"/>
      <c r="AC38" s="496"/>
      <c r="AD38" s="192"/>
      <c r="AE38" s="192"/>
      <c r="AF38" s="313" t="e">
        <f>N38-K38</f>
        <v>#N/A</v>
      </c>
      <c r="AG38" s="195" t="e">
        <f>N38/K38</f>
        <v>#N/A</v>
      </c>
      <c r="AH38" s="484" t="e">
        <f>AG48</f>
        <v>#N/A</v>
      </c>
    </row>
    <row r="39" spans="1:34" ht="15" customHeight="1">
      <c r="A39" s="492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95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87"/>
      <c r="AC39" s="487"/>
      <c r="AD39" s="200"/>
      <c r="AE39" s="200"/>
      <c r="AF39" s="314" t="e">
        <f>N39-K39</f>
        <v>#N/A</v>
      </c>
      <c r="AG39" s="206" t="e">
        <f>N39/K39</f>
        <v>#N/A</v>
      </c>
      <c r="AH39" s="485"/>
    </row>
    <row r="40" spans="1:34" ht="15" customHeight="1">
      <c r="A40" s="492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17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66"/>
      <c r="AC40" s="466"/>
      <c r="AD40" s="92"/>
      <c r="AE40" s="92"/>
      <c r="AF40" s="314" t="e">
        <f>N40-K40</f>
        <v>#N/A</v>
      </c>
      <c r="AG40" s="206" t="e">
        <f>N40/K40</f>
        <v>#N/A</v>
      </c>
      <c r="AH40" s="485"/>
    </row>
    <row r="41" spans="1:34" ht="15" customHeight="1">
      <c r="A41" s="49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7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6"/>
      <c r="AC41" s="466"/>
      <c r="AD41" s="92"/>
      <c r="AE41" s="92"/>
      <c r="AF41" s="314">
        <f>N41-K41</f>
        <v>0</v>
      </c>
      <c r="AG41" s="206" t="e">
        <f>N41/K41</f>
        <v>#DIV/0!</v>
      </c>
      <c r="AH41" s="485"/>
    </row>
    <row r="42" spans="1:34" ht="15" customHeight="1">
      <c r="A42" s="49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7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6"/>
      <c r="AC42" s="466"/>
      <c r="AD42" s="92"/>
      <c r="AE42" s="92"/>
      <c r="AF42" s="314"/>
      <c r="AG42" s="206"/>
      <c r="AH42" s="485"/>
    </row>
    <row r="43" spans="1:34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0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67"/>
      <c r="AC48" s="467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86"/>
    </row>
    <row r="49" spans="1:34" ht="15" customHeight="1">
      <c r="A49" s="488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16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68"/>
      <c r="AC49" s="468"/>
      <c r="AD49" s="135"/>
      <c r="AE49" s="135"/>
      <c r="AF49" s="229" t="e">
        <f t="shared" si="11"/>
        <v>#N/A</v>
      </c>
      <c r="AG49" s="52" t="e">
        <f t="shared" si="12"/>
        <v>#N/A</v>
      </c>
      <c r="AH49" s="461" t="e">
        <f>AG58</f>
        <v>#N/A</v>
      </c>
    </row>
    <row r="50" spans="1:34" ht="15" customHeight="1">
      <c r="A50" s="489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17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66"/>
      <c r="AC50" s="466"/>
      <c r="AD50" s="92"/>
      <c r="AE50" s="92"/>
      <c r="AF50" s="307" t="e">
        <f t="shared" si="11"/>
        <v>#N/A</v>
      </c>
      <c r="AG50" s="72" t="e">
        <f t="shared" si="12"/>
        <v>#N/A</v>
      </c>
      <c r="AH50" s="462"/>
    </row>
    <row r="51" spans="1:34" ht="15" customHeight="1">
      <c r="A51" s="489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17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66"/>
      <c r="AC51" s="466"/>
      <c r="AD51" s="92"/>
      <c r="AE51" s="92"/>
      <c r="AF51" s="307" t="e">
        <f t="shared" si="11"/>
        <v>#N/A</v>
      </c>
      <c r="AG51" s="72" t="e">
        <f t="shared" si="12"/>
        <v>#N/A</v>
      </c>
      <c r="AH51" s="462"/>
    </row>
    <row r="52" spans="1:34" ht="15" customHeight="1">
      <c r="A52" s="489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7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66"/>
      <c r="AC52" s="466"/>
      <c r="AD52" s="92"/>
      <c r="AE52" s="92"/>
      <c r="AF52" s="307">
        <f t="shared" si="11"/>
        <v>0</v>
      </c>
      <c r="AG52" s="72" t="e">
        <f t="shared" si="12"/>
        <v>#DIV/0!</v>
      </c>
      <c r="AH52" s="462"/>
    </row>
    <row r="53" spans="1:34" ht="15" customHeight="1">
      <c r="A53" s="48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7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6"/>
      <c r="AC53" s="466"/>
      <c r="AD53" s="92"/>
      <c r="AE53" s="92"/>
      <c r="AF53" s="307">
        <f t="shared" si="11"/>
        <v>0</v>
      </c>
      <c r="AG53" s="72" t="e">
        <f t="shared" si="12"/>
        <v>#DIV/0!</v>
      </c>
      <c r="AH53" s="462"/>
    </row>
    <row r="54" spans="1:34" ht="15" customHeight="1">
      <c r="A54" s="48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7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>
      <c r="A58" s="490"/>
      <c r="B58" s="239"/>
      <c r="C58" s="153" t="s">
        <v>51</v>
      </c>
      <c r="D58" s="437" t="s">
        <v>42</v>
      </c>
      <c r="E58" s="437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7"/>
      <c r="AC58" s="467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64"/>
    </row>
    <row r="59" spans="1:34" ht="15" customHeight="1">
      <c r="A59" s="502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16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68"/>
      <c r="AC59" s="468"/>
      <c r="AD59" s="135"/>
      <c r="AE59" s="135"/>
      <c r="AF59" s="310" t="e">
        <f>N59-K59</f>
        <v>#N/A</v>
      </c>
      <c r="AG59" s="246" t="e">
        <f>N59/K59</f>
        <v>#N/A</v>
      </c>
      <c r="AH59" s="461" t="e">
        <f>AG69</f>
        <v>#N/A</v>
      </c>
    </row>
    <row r="60" spans="1:34" ht="15" customHeight="1">
      <c r="A60" s="503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506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66"/>
      <c r="AC60" s="466"/>
      <c r="AD60" s="92"/>
      <c r="AE60" s="92"/>
      <c r="AF60" s="316" t="e">
        <f>N60-K60</f>
        <v>#N/A</v>
      </c>
      <c r="AG60" s="249" t="e">
        <f>N60/K60</f>
        <v>#N/A</v>
      </c>
      <c r="AH60" s="497"/>
    </row>
    <row r="61" spans="1:34" ht="15" customHeight="1">
      <c r="A61" s="504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17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66"/>
      <c r="AC61" s="466"/>
      <c r="AD61" s="92"/>
      <c r="AE61" s="92"/>
      <c r="AF61" s="317" t="e">
        <f>N61-K61</f>
        <v>#N/A</v>
      </c>
      <c r="AG61" s="247" t="e">
        <f>N61/K61</f>
        <v>#N/A</v>
      </c>
      <c r="AH61" s="462"/>
    </row>
    <row r="62" spans="1:34" ht="15" customHeight="1">
      <c r="A62" s="504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7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66"/>
      <c r="AC62" s="466"/>
      <c r="AD62" s="92"/>
      <c r="AE62" s="92"/>
      <c r="AF62" s="317">
        <f>N62-K62</f>
        <v>0</v>
      </c>
      <c r="AG62" s="247" t="e">
        <f>N62/K62</f>
        <v>#DIV/0!</v>
      </c>
      <c r="AH62" s="462"/>
    </row>
    <row r="63" spans="1:34" ht="15" customHeight="1">
      <c r="A63" s="504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7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6"/>
      <c r="AC63" s="466"/>
      <c r="AD63" s="92"/>
      <c r="AE63" s="92"/>
      <c r="AF63" s="317"/>
      <c r="AG63" s="247"/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7"/>
      <c r="AC69" s="467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64"/>
    </row>
    <row r="70" spans="1:36" ht="15" customHeight="1">
      <c r="A70" s="498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16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68"/>
      <c r="AC70" s="468"/>
      <c r="AD70" s="135"/>
      <c r="AE70" s="135"/>
      <c r="AF70" s="310" t="e">
        <f>N70-K70</f>
        <v>#N/A</v>
      </c>
      <c r="AG70" s="246" t="e">
        <f>N70/K70</f>
        <v>#N/A</v>
      </c>
      <c r="AH70" s="461" t="e">
        <f>AG79</f>
        <v>#N/A</v>
      </c>
    </row>
    <row r="71" spans="1:36" ht="15" customHeight="1">
      <c r="A71" s="499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7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7"/>
      <c r="AC71" s="487"/>
      <c r="AD71" s="200"/>
      <c r="AE71" s="200"/>
      <c r="AF71" s="311">
        <v>-300.31249999999704</v>
      </c>
      <c r="AG71" s="99">
        <v>0.80810702875399554</v>
      </c>
      <c r="AH71" s="482"/>
    </row>
    <row r="72" spans="1:36" ht="15" customHeight="1">
      <c r="A72" s="499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7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6"/>
      <c r="AC72" s="466"/>
      <c r="AD72" s="92"/>
      <c r="AE72" s="92"/>
      <c r="AF72" s="311">
        <v>-130.33333333333326</v>
      </c>
      <c r="AG72" s="99">
        <v>0.91671991480298198</v>
      </c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6"/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>
      <c r="A79" s="500"/>
      <c r="B79" s="239"/>
      <c r="C79" s="153" t="s">
        <v>56</v>
      </c>
      <c r="D79" s="437" t="s">
        <v>42</v>
      </c>
      <c r="E79" s="437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T3:U3"/>
    <mergeCell ref="P1:S2"/>
    <mergeCell ref="AB1:AC2"/>
    <mergeCell ref="P3:P4"/>
    <mergeCell ref="Q3:Q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</mergeCells>
  <phoneticPr fontId="6" type="noConversion"/>
  <conditionalFormatting sqref="P5:P79">
    <cfRule type="cellIs" dxfId="57" priority="1" operator="greaterThan">
      <formula>0</formula>
    </cfRule>
  </conditionalFormatting>
  <conditionalFormatting sqref="Q5:Q79 AF5:AF79">
    <cfRule type="cellIs" dxfId="56" priority="4" operator="lessThan">
      <formula>0</formula>
    </cfRule>
  </conditionalFormatting>
  <conditionalFormatting sqref="R5:R79 AG5:AG79">
    <cfRule type="cellIs" dxfId="55" priority="2" operator="greaterThan">
      <formula>1</formula>
    </cfRule>
    <cfRule type="cellIs" dxfId="54" priority="3" operator="lessThan">
      <formula>0.8</formula>
    </cfRule>
  </conditionalFormatting>
  <conditionalFormatting sqref="S5:S10 S37:S62 AH59:AH62 S69:S76 AH69:AH76">
    <cfRule type="cellIs" dxfId="53" priority="7" operator="lessThan">
      <formula>0.8</formula>
    </cfRule>
  </conditionalFormatting>
  <conditionalFormatting sqref="S19:S25 AH19:AH25">
    <cfRule type="cellIs" dxfId="52" priority="6" operator="lessThan">
      <formula>0.8</formula>
    </cfRule>
  </conditionalFormatting>
  <conditionalFormatting sqref="S79">
    <cfRule type="cellIs" dxfId="51" priority="5" operator="lessThan">
      <formula>0.8</formula>
    </cfRule>
  </conditionalFormatting>
  <conditionalFormatting sqref="AH5:AH8 S15:S16 AH15:AH16 AH49 AH79">
    <cfRule type="cellIs" dxfId="50" priority="9" operator="lessThan">
      <formula>0.8</formula>
    </cfRule>
  </conditionalFormatting>
  <conditionalFormatting sqref="AH27 S27:S28">
    <cfRule type="cellIs" dxfId="4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129EF-E12F-4454-84FF-149DEC7B1205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46015</v>
      </c>
      <c r="E3" s="412"/>
      <c r="F3" s="3" t="s">
        <v>72</v>
      </c>
      <c r="G3" s="413">
        <f>範本!E1</f>
        <v>43309</v>
      </c>
      <c r="H3" s="413"/>
      <c r="I3" s="3" t="s">
        <v>2</v>
      </c>
      <c r="J3" s="414" t="e">
        <f>範本!G1</f>
        <v>#N/A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 t="e">
        <f>AVERAGE(D13:J13)</f>
        <v>#N/A</v>
      </c>
      <c r="G6" s="410"/>
      <c r="H6" s="395" t="e">
        <f>AVERAGE(D13:H13)</f>
        <v>#N/A</v>
      </c>
      <c r="I6" s="395"/>
      <c r="J6" s="395" t="e">
        <f>AVERAGE(I13:J13)</f>
        <v>#N/A</v>
      </c>
      <c r="K6" s="395"/>
      <c r="L6" s="397">
        <f>範本!Z2</f>
        <v>0</v>
      </c>
      <c r="M6" s="398">
        <f>範本!AA2</f>
        <v>0</v>
      </c>
      <c r="N6" s="400">
        <f>範本!AD2</f>
        <v>0</v>
      </c>
      <c r="O6" s="398">
        <f>範本!AE2</f>
        <v>0</v>
      </c>
    </row>
    <row r="7" spans="2:15" ht="39.6" customHeight="1">
      <c r="B7" s="406"/>
      <c r="C7" s="406"/>
      <c r="D7" s="401" t="s">
        <v>87</v>
      </c>
      <c r="E7" s="401"/>
      <c r="F7" s="402">
        <f>AVERAGE(D14:J14)</f>
        <v>116.11474837607263</v>
      </c>
      <c r="G7" s="402"/>
      <c r="H7" s="403">
        <f>AVERAGE(D14:H14)</f>
        <v>117.36074805627914</v>
      </c>
      <c r="I7" s="403"/>
      <c r="J7" s="403">
        <f>AVERAGE(I14:J14)</f>
        <v>112.99974917555633</v>
      </c>
      <c r="K7" s="403"/>
      <c r="L7" s="397"/>
      <c r="M7" s="398"/>
      <c r="N7" s="400"/>
      <c r="O7" s="398"/>
    </row>
    <row r="8" spans="2:15" ht="39.6" customHeight="1">
      <c r="B8" s="406"/>
      <c r="C8" s="406"/>
      <c r="D8" s="401" t="s">
        <v>27</v>
      </c>
      <c r="E8" s="401"/>
      <c r="F8" s="387" t="e">
        <f>AVERAGE(D15:J15)</f>
        <v>#N/A</v>
      </c>
      <c r="G8" s="387"/>
      <c r="H8" s="387" t="e">
        <f>AVERAGE(D15:H15)</f>
        <v>#N/A</v>
      </c>
      <c r="I8" s="387"/>
      <c r="J8" s="387" t="e">
        <f>AVERAGE(I15:J15)</f>
        <v>#N/A</v>
      </c>
      <c r="K8" s="387"/>
      <c r="L8" s="397"/>
      <c r="M8" s="398"/>
      <c r="N8" s="400"/>
      <c r="O8" s="39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381"/>
      <c r="C14" s="12" t="s">
        <v>100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382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383" t="s">
        <v>101</v>
      </c>
      <c r="C16" s="10" t="s">
        <v>34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384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85" t="s">
        <v>102</v>
      </c>
      <c r="C18" s="330" t="s">
        <v>36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386"/>
      <c r="C19" s="330" t="s">
        <v>37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385" t="s">
        <v>103</v>
      </c>
      <c r="C20" s="330" t="s">
        <v>36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386"/>
      <c r="C21" s="330" t="s">
        <v>85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377" t="s">
        <v>104</v>
      </c>
      <c r="C22" s="378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4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8A8E5-40CE-423D-BCBC-59A0866A0A3A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21" width="8.7109375" style="34" customWidth="1"/>
    <col min="12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13</v>
      </c>
      <c r="B2" s="422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0</v>
      </c>
      <c r="AA2" s="339">
        <f>AA15+AA26+AA37+AA48+AA58+AA69+AA79</f>
        <v>0</v>
      </c>
      <c r="AB2" s="460"/>
      <c r="AC2" s="460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16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68"/>
      <c r="AC5" s="468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61" t="e">
        <f>AG15</f>
        <v>#N/A</v>
      </c>
    </row>
    <row r="6" spans="1:34" ht="15" customHeight="1">
      <c r="A6" s="428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17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65"/>
      <c r="AC6" s="465"/>
      <c r="AD6" s="149"/>
      <c r="AE6" s="149"/>
      <c r="AF6" s="307" t="e">
        <f t="shared" si="1"/>
        <v>#N/A</v>
      </c>
      <c r="AG6" s="72" t="e">
        <f t="shared" si="2"/>
        <v>#N/A</v>
      </c>
      <c r="AH6" s="462"/>
    </row>
    <row r="7" spans="1:34" ht="15" customHeight="1">
      <c r="A7" s="428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17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66"/>
      <c r="AC7" s="466"/>
      <c r="AD7" s="92"/>
      <c r="AE7" s="92"/>
      <c r="AF7" s="307" t="e">
        <f t="shared" si="1"/>
        <v>#N/A</v>
      </c>
      <c r="AG7" s="72" t="e">
        <f t="shared" si="2"/>
        <v>#N/A</v>
      </c>
      <c r="AH7" s="462"/>
    </row>
    <row r="8" spans="1:34" ht="15" customHeight="1">
      <c r="A8" s="428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7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65"/>
      <c r="AC8" s="465"/>
      <c r="AD8" s="149"/>
      <c r="AE8" s="149"/>
      <c r="AF8" s="307">
        <f t="shared" si="1"/>
        <v>0</v>
      </c>
      <c r="AG8" s="72" t="e">
        <f t="shared" si="2"/>
        <v>#DIV/0!</v>
      </c>
      <c r="AH8" s="462"/>
    </row>
    <row r="9" spans="1:34" ht="15" customHeight="1">
      <c r="A9" s="42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8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5"/>
      <c r="AC9" s="465"/>
      <c r="AD9" s="149"/>
      <c r="AE9" s="149"/>
      <c r="AF9" s="307">
        <f t="shared" si="1"/>
        <v>0</v>
      </c>
      <c r="AG9" s="72" t="e">
        <f t="shared" si="2"/>
        <v>#DIV/0!</v>
      </c>
      <c r="AH9" s="463"/>
    </row>
    <row r="10" spans="1:34" ht="15" customHeight="1">
      <c r="A10" s="42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8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6"/>
      <c r="AC10" s="466"/>
      <c r="AD10" s="92"/>
      <c r="AE10" s="92"/>
      <c r="AF10" s="307">
        <f t="shared" si="1"/>
        <v>0</v>
      </c>
      <c r="AG10" s="72" t="e">
        <f t="shared" si="2"/>
        <v>#DIV/0!</v>
      </c>
      <c r="AH10" s="463"/>
    </row>
    <row r="11" spans="1:34" ht="15" customHeight="1">
      <c r="A11" s="42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5"/>
      <c r="AC11" s="465"/>
      <c r="AD11" s="149"/>
      <c r="AE11" s="149"/>
      <c r="AF11" s="307">
        <f t="shared" si="1"/>
        <v>0</v>
      </c>
      <c r="AG11" s="72" t="e">
        <f t="shared" si="2"/>
        <v>#DIV/0!</v>
      </c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7"/>
      <c r="AC15" s="467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64"/>
    </row>
    <row r="16" spans="1:34" ht="15" customHeight="1">
      <c r="A16" s="478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72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68"/>
      <c r="AC16" s="468"/>
      <c r="AD16" s="135"/>
      <c r="AE16" s="135"/>
      <c r="AF16" s="229" t="e">
        <f>N16-K16</f>
        <v>#N/A</v>
      </c>
      <c r="AG16" s="52" t="e">
        <f>N16/K16</f>
        <v>#N/A</v>
      </c>
      <c r="AH16" s="461" t="e">
        <f>AG26</f>
        <v>#N/A</v>
      </c>
    </row>
    <row r="17" spans="1:34" ht="15" customHeight="1">
      <c r="A17" s="479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73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66"/>
      <c r="AC17" s="466"/>
      <c r="AD17" s="92"/>
      <c r="AE17" s="92"/>
      <c r="AF17" s="307" t="e">
        <f>N17-K17</f>
        <v>#N/A</v>
      </c>
      <c r="AG17" s="72" t="e">
        <f>N17/K17</f>
        <v>#N/A</v>
      </c>
      <c r="AH17" s="462"/>
    </row>
    <row r="18" spans="1:34" ht="15" customHeight="1">
      <c r="A18" s="479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73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66"/>
      <c r="AC18" s="466"/>
      <c r="AD18" s="92"/>
      <c r="AE18" s="92"/>
      <c r="AF18" s="307" t="e">
        <f>N18-K18</f>
        <v>#N/A</v>
      </c>
      <c r="AG18" s="72" t="e">
        <f>N18/K18</f>
        <v>#N/A</v>
      </c>
      <c r="AH18" s="462"/>
    </row>
    <row r="19" spans="1:34" ht="15" customHeight="1">
      <c r="A19" s="479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3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65"/>
      <c r="AC19" s="465"/>
      <c r="AD19" s="149"/>
      <c r="AE19" s="149"/>
      <c r="AF19" s="307">
        <f>N19-K19</f>
        <v>0</v>
      </c>
      <c r="AG19" s="72" t="e">
        <f>N19/K19</f>
        <v>#DIV/0!</v>
      </c>
      <c r="AH19" s="463"/>
    </row>
    <row r="20" spans="1:34" ht="15" customHeight="1">
      <c r="A20" s="47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3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66"/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3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6"/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50"/>
      <c r="U22" s="150"/>
      <c r="V22" s="92"/>
      <c r="W22" s="149"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4"/>
        <v>0</v>
      </c>
      <c r="X23" s="92"/>
      <c r="Y23" s="298"/>
      <c r="Z23" s="90"/>
      <c r="AA23" s="90"/>
      <c r="AB23" s="466"/>
      <c r="AC23" s="46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74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7"/>
      <c r="AC26" s="467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64"/>
    </row>
    <row r="27" spans="1:34" ht="15" customHeight="1">
      <c r="A27" s="469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72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68"/>
      <c r="AC27" s="468"/>
      <c r="AD27" s="135"/>
      <c r="AE27" s="135"/>
      <c r="AF27" s="310" t="e">
        <f t="shared" si="6"/>
        <v>#N/A</v>
      </c>
      <c r="AG27" s="172" t="e">
        <f t="shared" si="7"/>
        <v>#N/A</v>
      </c>
      <c r="AH27" s="461" t="e">
        <f>AG37</f>
        <v>#N/A</v>
      </c>
    </row>
    <row r="28" spans="1:34" ht="15" customHeight="1">
      <c r="A28" s="470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73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66"/>
      <c r="AC28" s="466"/>
      <c r="AD28" s="92"/>
      <c r="AE28" s="92"/>
      <c r="AF28" s="311" t="e">
        <f t="shared" si="6"/>
        <v>#N/A</v>
      </c>
      <c r="AG28" s="99" t="e">
        <f t="shared" si="7"/>
        <v>#N/A</v>
      </c>
      <c r="AH28" s="482"/>
    </row>
    <row r="29" spans="1:34" ht="15" customHeight="1">
      <c r="A29" s="470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73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66"/>
      <c r="AC29" s="466"/>
      <c r="AD29" s="92"/>
      <c r="AE29" s="92"/>
      <c r="AF29" s="312" t="e">
        <f t="shared" si="6"/>
        <v>#N/A</v>
      </c>
      <c r="AG29" s="99" t="e">
        <f t="shared" si="7"/>
        <v>#N/A</v>
      </c>
      <c r="AH29" s="482"/>
    </row>
    <row r="30" spans="1:34" ht="15" customHeight="1">
      <c r="A30" s="470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3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66"/>
      <c r="AC30" s="466"/>
      <c r="AD30" s="92"/>
      <c r="AE30" s="92"/>
      <c r="AF30" s="312">
        <f t="shared" si="6"/>
        <v>0</v>
      </c>
      <c r="AG30" s="99" t="e">
        <f t="shared" si="7"/>
        <v>#DIV/0!</v>
      </c>
      <c r="AH30" s="483"/>
    </row>
    <row r="31" spans="1:34" ht="15" customHeight="1">
      <c r="A31" s="47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3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6"/>
      <c r="AC31" s="466"/>
      <c r="AD31" s="92"/>
      <c r="AE31" s="92"/>
      <c r="AF31" s="312">
        <f t="shared" si="6"/>
        <v>0</v>
      </c>
      <c r="AG31" s="99" t="e">
        <f t="shared" si="7"/>
        <v>#DIV/0!</v>
      </c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6"/>
      <c r="AC32" s="466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6"/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74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7"/>
      <c r="AC37" s="477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64"/>
    </row>
    <row r="38" spans="1:34" ht="15" customHeight="1">
      <c r="A38" s="491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94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96"/>
      <c r="AC38" s="496"/>
      <c r="AD38" s="192"/>
      <c r="AE38" s="192"/>
      <c r="AF38" s="313" t="e">
        <f>N38-K38</f>
        <v>#N/A</v>
      </c>
      <c r="AG38" s="195" t="e">
        <f>N38/K38</f>
        <v>#N/A</v>
      </c>
      <c r="AH38" s="484" t="e">
        <f>AG48</f>
        <v>#N/A</v>
      </c>
    </row>
    <row r="39" spans="1:34" ht="15" customHeight="1">
      <c r="A39" s="492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95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87"/>
      <c r="AC39" s="487"/>
      <c r="AD39" s="200"/>
      <c r="AE39" s="200"/>
      <c r="AF39" s="314" t="e">
        <f>N39-K39</f>
        <v>#N/A</v>
      </c>
      <c r="AG39" s="206" t="e">
        <f>N39/K39</f>
        <v>#N/A</v>
      </c>
      <c r="AH39" s="485"/>
    </row>
    <row r="40" spans="1:34" ht="15" customHeight="1">
      <c r="A40" s="492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17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66"/>
      <c r="AC40" s="466"/>
      <c r="AD40" s="92"/>
      <c r="AE40" s="92"/>
      <c r="AF40" s="314" t="e">
        <f>N40-K40</f>
        <v>#N/A</v>
      </c>
      <c r="AG40" s="206" t="e">
        <f>N40/K40</f>
        <v>#N/A</v>
      </c>
      <c r="AH40" s="485"/>
    </row>
    <row r="41" spans="1:34" ht="15" customHeight="1">
      <c r="A41" s="49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7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6"/>
      <c r="AC41" s="466"/>
      <c r="AD41" s="92"/>
      <c r="AE41" s="92"/>
      <c r="AF41" s="314">
        <f>N41-K41</f>
        <v>0</v>
      </c>
      <c r="AG41" s="206" t="e">
        <f>N41/K41</f>
        <v>#DIV/0!</v>
      </c>
      <c r="AH41" s="485"/>
    </row>
    <row r="42" spans="1:34" ht="15" customHeight="1">
      <c r="A42" s="49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7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6"/>
      <c r="AC42" s="466"/>
      <c r="AD42" s="92"/>
      <c r="AE42" s="92"/>
      <c r="AF42" s="314"/>
      <c r="AG42" s="206"/>
      <c r="AH42" s="485"/>
    </row>
    <row r="43" spans="1:34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0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67"/>
      <c r="AC48" s="467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86"/>
    </row>
    <row r="49" spans="1:34" ht="15" customHeight="1">
      <c r="A49" s="488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16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68"/>
      <c r="AC49" s="468"/>
      <c r="AD49" s="135"/>
      <c r="AE49" s="135"/>
      <c r="AF49" s="229" t="e">
        <f t="shared" si="11"/>
        <v>#N/A</v>
      </c>
      <c r="AG49" s="52" t="e">
        <f t="shared" si="12"/>
        <v>#N/A</v>
      </c>
      <c r="AH49" s="461" t="e">
        <f>AG58</f>
        <v>#N/A</v>
      </c>
    </row>
    <row r="50" spans="1:34" ht="15" customHeight="1">
      <c r="A50" s="489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17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66"/>
      <c r="AC50" s="466"/>
      <c r="AD50" s="92"/>
      <c r="AE50" s="92"/>
      <c r="AF50" s="307" t="e">
        <f t="shared" si="11"/>
        <v>#N/A</v>
      </c>
      <c r="AG50" s="72" t="e">
        <f t="shared" si="12"/>
        <v>#N/A</v>
      </c>
      <c r="AH50" s="462"/>
    </row>
    <row r="51" spans="1:34" ht="15" customHeight="1">
      <c r="A51" s="489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17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66"/>
      <c r="AC51" s="466"/>
      <c r="AD51" s="92"/>
      <c r="AE51" s="92"/>
      <c r="AF51" s="307" t="e">
        <f t="shared" si="11"/>
        <v>#N/A</v>
      </c>
      <c r="AG51" s="72" t="e">
        <f t="shared" si="12"/>
        <v>#N/A</v>
      </c>
      <c r="AH51" s="462"/>
    </row>
    <row r="52" spans="1:34" ht="15" customHeight="1">
      <c r="A52" s="489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7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66"/>
      <c r="AC52" s="466"/>
      <c r="AD52" s="92"/>
      <c r="AE52" s="92"/>
      <c r="AF52" s="307">
        <f t="shared" si="11"/>
        <v>0</v>
      </c>
      <c r="AG52" s="72" t="e">
        <f t="shared" si="12"/>
        <v>#DIV/0!</v>
      </c>
      <c r="AH52" s="462"/>
    </row>
    <row r="53" spans="1:34" ht="15" customHeight="1">
      <c r="A53" s="48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7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6"/>
      <c r="AC53" s="466"/>
      <c r="AD53" s="92"/>
      <c r="AE53" s="92"/>
      <c r="AF53" s="307">
        <f t="shared" si="11"/>
        <v>0</v>
      </c>
      <c r="AG53" s="72" t="e">
        <f t="shared" si="12"/>
        <v>#DIV/0!</v>
      </c>
      <c r="AH53" s="462"/>
    </row>
    <row r="54" spans="1:34" ht="15" customHeight="1">
      <c r="A54" s="48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7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>
      <c r="A58" s="490"/>
      <c r="B58" s="239"/>
      <c r="C58" s="153" t="s">
        <v>51</v>
      </c>
      <c r="D58" s="437" t="s">
        <v>42</v>
      </c>
      <c r="E58" s="437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7"/>
      <c r="AC58" s="467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64"/>
    </row>
    <row r="59" spans="1:34" ht="15" customHeight="1">
      <c r="A59" s="502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16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68"/>
      <c r="AC59" s="468"/>
      <c r="AD59" s="135"/>
      <c r="AE59" s="135"/>
      <c r="AF59" s="310" t="e">
        <f>N59-K59</f>
        <v>#N/A</v>
      </c>
      <c r="AG59" s="246" t="e">
        <f>N59/K59</f>
        <v>#N/A</v>
      </c>
      <c r="AH59" s="461" t="e">
        <f>AG69</f>
        <v>#N/A</v>
      </c>
    </row>
    <row r="60" spans="1:34" ht="15" customHeight="1">
      <c r="A60" s="503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506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66"/>
      <c r="AC60" s="466"/>
      <c r="AD60" s="92"/>
      <c r="AE60" s="92"/>
      <c r="AF60" s="316" t="e">
        <f>N60-K60</f>
        <v>#N/A</v>
      </c>
      <c r="AG60" s="249" t="e">
        <f>N60/K60</f>
        <v>#N/A</v>
      </c>
      <c r="AH60" s="497"/>
    </row>
    <row r="61" spans="1:34" ht="15" customHeight="1">
      <c r="A61" s="504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17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66"/>
      <c r="AC61" s="466"/>
      <c r="AD61" s="92"/>
      <c r="AE61" s="92"/>
      <c r="AF61" s="317" t="e">
        <f>N61-K61</f>
        <v>#N/A</v>
      </c>
      <c r="AG61" s="247" t="e">
        <f>N61/K61</f>
        <v>#N/A</v>
      </c>
      <c r="AH61" s="462"/>
    </row>
    <row r="62" spans="1:34" ht="15" customHeight="1">
      <c r="A62" s="504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7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66"/>
      <c r="AC62" s="466"/>
      <c r="AD62" s="92"/>
      <c r="AE62" s="92"/>
      <c r="AF62" s="317">
        <f>N62-K62</f>
        <v>0</v>
      </c>
      <c r="AG62" s="247" t="e">
        <f>N62/K62</f>
        <v>#DIV/0!</v>
      </c>
      <c r="AH62" s="462"/>
    </row>
    <row r="63" spans="1:34" ht="15" customHeight="1">
      <c r="A63" s="504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7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6"/>
      <c r="AC63" s="466"/>
      <c r="AD63" s="92"/>
      <c r="AE63" s="92"/>
      <c r="AF63" s="317"/>
      <c r="AG63" s="247"/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7"/>
      <c r="AC69" s="467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64"/>
    </row>
    <row r="70" spans="1:36" ht="15" customHeight="1">
      <c r="A70" s="498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16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68"/>
      <c r="AC70" s="468"/>
      <c r="AD70" s="135"/>
      <c r="AE70" s="135"/>
      <c r="AF70" s="310" t="e">
        <f>N70-K70</f>
        <v>#N/A</v>
      </c>
      <c r="AG70" s="246" t="e">
        <f>N70/K70</f>
        <v>#N/A</v>
      </c>
      <c r="AH70" s="461" t="e">
        <f>AG79</f>
        <v>#N/A</v>
      </c>
    </row>
    <row r="71" spans="1:36" ht="15" customHeight="1">
      <c r="A71" s="499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7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7"/>
      <c r="AC71" s="487"/>
      <c r="AD71" s="200"/>
      <c r="AE71" s="200"/>
      <c r="AF71" s="311">
        <v>-300.31249999999704</v>
      </c>
      <c r="AG71" s="99">
        <v>0.80810702875399554</v>
      </c>
      <c r="AH71" s="482"/>
    </row>
    <row r="72" spans="1:36" ht="15" customHeight="1">
      <c r="A72" s="499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7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6"/>
      <c r="AC72" s="466"/>
      <c r="AD72" s="92"/>
      <c r="AE72" s="92"/>
      <c r="AF72" s="311">
        <v>-130.33333333333326</v>
      </c>
      <c r="AG72" s="99">
        <v>0.91671991480298198</v>
      </c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6"/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>
      <c r="A79" s="500"/>
      <c r="B79" s="239"/>
      <c r="C79" s="153" t="s">
        <v>56</v>
      </c>
      <c r="D79" s="437" t="s">
        <v>42</v>
      </c>
      <c r="E79" s="437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T3:U3"/>
    <mergeCell ref="P1:S2"/>
    <mergeCell ref="AB1:AC2"/>
    <mergeCell ref="P3:P4"/>
    <mergeCell ref="Q3:Q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</mergeCells>
  <phoneticPr fontId="6" type="noConversion"/>
  <conditionalFormatting sqref="P5:P79">
    <cfRule type="cellIs" dxfId="47" priority="1" operator="greaterThan">
      <formula>0</formula>
    </cfRule>
  </conditionalFormatting>
  <conditionalFormatting sqref="Q5:Q79 AF5:AF79">
    <cfRule type="cellIs" dxfId="46" priority="4" operator="lessThan">
      <formula>0</formula>
    </cfRule>
  </conditionalFormatting>
  <conditionalFormatting sqref="R5:R79 AG5:AG79">
    <cfRule type="cellIs" dxfId="45" priority="2" operator="greaterThan">
      <formula>1</formula>
    </cfRule>
    <cfRule type="cellIs" dxfId="44" priority="3" operator="lessThan">
      <formula>0.8</formula>
    </cfRule>
  </conditionalFormatting>
  <conditionalFormatting sqref="S5:S10 S37:S62 AH59:AH62 S69:S76 AH69:AH76">
    <cfRule type="cellIs" dxfId="43" priority="7" operator="lessThan">
      <formula>0.8</formula>
    </cfRule>
  </conditionalFormatting>
  <conditionalFormatting sqref="S19:S25 AH19:AH25">
    <cfRule type="cellIs" dxfId="42" priority="6" operator="lessThan">
      <formula>0.8</formula>
    </cfRule>
  </conditionalFormatting>
  <conditionalFormatting sqref="S79">
    <cfRule type="cellIs" dxfId="41" priority="5" operator="lessThan">
      <formula>0.8</formula>
    </cfRule>
  </conditionalFormatting>
  <conditionalFormatting sqref="AH5:AH8 S15:S16 AH15:AH16 AH49 AH79">
    <cfRule type="cellIs" dxfId="40" priority="9" operator="lessThan">
      <formula>0.8</formula>
    </cfRule>
  </conditionalFormatting>
  <conditionalFormatting sqref="AH27 S27:S28">
    <cfRule type="cellIs" dxfId="3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BBAF2-4F92-4E4D-B524-D33B469BD6F1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46015</v>
      </c>
      <c r="E3" s="412"/>
      <c r="F3" s="3" t="s">
        <v>72</v>
      </c>
      <c r="G3" s="413">
        <f>範本!E1</f>
        <v>43309</v>
      </c>
      <c r="H3" s="413"/>
      <c r="I3" s="3" t="s">
        <v>2</v>
      </c>
      <c r="J3" s="414" t="e">
        <f>範本!G1</f>
        <v>#N/A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 t="e">
        <f>AVERAGE(D13:J13)</f>
        <v>#N/A</v>
      </c>
      <c r="G6" s="410"/>
      <c r="H6" s="395" t="e">
        <f>AVERAGE(D13:H13)</f>
        <v>#N/A</v>
      </c>
      <c r="I6" s="395"/>
      <c r="J6" s="395" t="e">
        <f>AVERAGE(I13:J13)</f>
        <v>#N/A</v>
      </c>
      <c r="K6" s="395"/>
      <c r="L6" s="397">
        <f>範本!Z2</f>
        <v>0</v>
      </c>
      <c r="M6" s="398">
        <f>範本!AA2</f>
        <v>0</v>
      </c>
      <c r="N6" s="400">
        <f>範本!AD2</f>
        <v>0</v>
      </c>
      <c r="O6" s="398">
        <f>範本!AE2</f>
        <v>0</v>
      </c>
    </row>
    <row r="7" spans="2:15" ht="39.6" customHeight="1">
      <c r="B7" s="406"/>
      <c r="C7" s="406"/>
      <c r="D7" s="401" t="s">
        <v>87</v>
      </c>
      <c r="E7" s="401"/>
      <c r="F7" s="402">
        <f>AVERAGE(D14:J14)</f>
        <v>116.11474837607263</v>
      </c>
      <c r="G7" s="402"/>
      <c r="H7" s="403">
        <f>AVERAGE(D14:H14)</f>
        <v>117.36074805627914</v>
      </c>
      <c r="I7" s="403"/>
      <c r="J7" s="403">
        <f>AVERAGE(I14:J14)</f>
        <v>112.99974917555633</v>
      </c>
      <c r="K7" s="403"/>
      <c r="L7" s="397"/>
      <c r="M7" s="398"/>
      <c r="N7" s="400"/>
      <c r="O7" s="398"/>
    </row>
    <row r="8" spans="2:15" ht="39.6" customHeight="1">
      <c r="B8" s="406"/>
      <c r="C8" s="406"/>
      <c r="D8" s="401" t="s">
        <v>27</v>
      </c>
      <c r="E8" s="401"/>
      <c r="F8" s="387" t="e">
        <f>AVERAGE(D15:J15)</f>
        <v>#N/A</v>
      </c>
      <c r="G8" s="387"/>
      <c r="H8" s="387" t="e">
        <f>AVERAGE(D15:H15)</f>
        <v>#N/A</v>
      </c>
      <c r="I8" s="387"/>
      <c r="J8" s="387" t="e">
        <f>AVERAGE(I15:J15)</f>
        <v>#N/A</v>
      </c>
      <c r="K8" s="387"/>
      <c r="L8" s="397"/>
      <c r="M8" s="398"/>
      <c r="N8" s="400"/>
      <c r="O8" s="39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381"/>
      <c r="C14" s="12" t="s">
        <v>100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382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383" t="s">
        <v>101</v>
      </c>
      <c r="C16" s="10" t="s">
        <v>34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384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85" t="s">
        <v>102</v>
      </c>
      <c r="C18" s="330" t="s">
        <v>36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386"/>
      <c r="C19" s="330" t="s">
        <v>37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385" t="s">
        <v>103</v>
      </c>
      <c r="C20" s="330" t="s">
        <v>36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386"/>
      <c r="C21" s="330" t="s">
        <v>85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377" t="s">
        <v>104</v>
      </c>
      <c r="C22" s="378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3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68C50-646B-442B-A6E5-5EEA9F5A5E81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21" width="8.7109375" style="34" customWidth="1"/>
    <col min="12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13</v>
      </c>
      <c r="B2" s="422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0</v>
      </c>
      <c r="AA2" s="339">
        <f>AA15+AA26+AA37+AA48+AA58+AA69+AA79</f>
        <v>0</v>
      </c>
      <c r="AB2" s="460"/>
      <c r="AC2" s="460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16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68"/>
      <c r="AC5" s="468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61" t="e">
        <f>AG15</f>
        <v>#N/A</v>
      </c>
    </row>
    <row r="6" spans="1:34" ht="15" customHeight="1">
      <c r="A6" s="428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17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65"/>
      <c r="AC6" s="465"/>
      <c r="AD6" s="149"/>
      <c r="AE6" s="149"/>
      <c r="AF6" s="307" t="e">
        <f t="shared" si="1"/>
        <v>#N/A</v>
      </c>
      <c r="AG6" s="72" t="e">
        <f t="shared" si="2"/>
        <v>#N/A</v>
      </c>
      <c r="AH6" s="462"/>
    </row>
    <row r="7" spans="1:34" ht="15" customHeight="1">
      <c r="A7" s="428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17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66"/>
      <c r="AC7" s="466"/>
      <c r="AD7" s="92"/>
      <c r="AE7" s="92"/>
      <c r="AF7" s="307" t="e">
        <f t="shared" si="1"/>
        <v>#N/A</v>
      </c>
      <c r="AG7" s="72" t="e">
        <f t="shared" si="2"/>
        <v>#N/A</v>
      </c>
      <c r="AH7" s="462"/>
    </row>
    <row r="8" spans="1:34" ht="15" customHeight="1">
      <c r="A8" s="428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7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65"/>
      <c r="AC8" s="465"/>
      <c r="AD8" s="149"/>
      <c r="AE8" s="149"/>
      <c r="AF8" s="307">
        <f t="shared" si="1"/>
        <v>0</v>
      </c>
      <c r="AG8" s="72" t="e">
        <f t="shared" si="2"/>
        <v>#DIV/0!</v>
      </c>
      <c r="AH8" s="462"/>
    </row>
    <row r="9" spans="1:34" ht="15" customHeight="1">
      <c r="A9" s="42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8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5"/>
      <c r="AC9" s="465"/>
      <c r="AD9" s="149"/>
      <c r="AE9" s="149"/>
      <c r="AF9" s="307">
        <f t="shared" si="1"/>
        <v>0</v>
      </c>
      <c r="AG9" s="72" t="e">
        <f t="shared" si="2"/>
        <v>#DIV/0!</v>
      </c>
      <c r="AH9" s="463"/>
    </row>
    <row r="10" spans="1:34" ht="15" customHeight="1">
      <c r="A10" s="42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8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6"/>
      <c r="AC10" s="466"/>
      <c r="AD10" s="92"/>
      <c r="AE10" s="92"/>
      <c r="AF10" s="307">
        <f t="shared" si="1"/>
        <v>0</v>
      </c>
      <c r="AG10" s="72" t="e">
        <f t="shared" si="2"/>
        <v>#DIV/0!</v>
      </c>
      <c r="AH10" s="463"/>
    </row>
    <row r="11" spans="1:34" ht="15" customHeight="1">
      <c r="A11" s="42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5"/>
      <c r="AC11" s="465"/>
      <c r="AD11" s="149"/>
      <c r="AE11" s="149"/>
      <c r="AF11" s="307">
        <f t="shared" si="1"/>
        <v>0</v>
      </c>
      <c r="AG11" s="72" t="e">
        <f t="shared" si="2"/>
        <v>#DIV/0!</v>
      </c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7"/>
      <c r="AC15" s="467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64"/>
    </row>
    <row r="16" spans="1:34" ht="15" customHeight="1">
      <c r="A16" s="478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72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68"/>
      <c r="AC16" s="468"/>
      <c r="AD16" s="135"/>
      <c r="AE16" s="135"/>
      <c r="AF16" s="229" t="e">
        <f>N16-K16</f>
        <v>#N/A</v>
      </c>
      <c r="AG16" s="52" t="e">
        <f>N16/K16</f>
        <v>#N/A</v>
      </c>
      <c r="AH16" s="461" t="e">
        <f>AG26</f>
        <v>#N/A</v>
      </c>
    </row>
    <row r="17" spans="1:34" ht="15" customHeight="1">
      <c r="A17" s="479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73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66"/>
      <c r="AC17" s="466"/>
      <c r="AD17" s="92"/>
      <c r="AE17" s="92"/>
      <c r="AF17" s="307" t="e">
        <f>N17-K17</f>
        <v>#N/A</v>
      </c>
      <c r="AG17" s="72" t="e">
        <f>N17/K17</f>
        <v>#N/A</v>
      </c>
      <c r="AH17" s="462"/>
    </row>
    <row r="18" spans="1:34" ht="15" customHeight="1">
      <c r="A18" s="479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73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66"/>
      <c r="AC18" s="466"/>
      <c r="AD18" s="92"/>
      <c r="AE18" s="92"/>
      <c r="AF18" s="307" t="e">
        <f>N18-K18</f>
        <v>#N/A</v>
      </c>
      <c r="AG18" s="72" t="e">
        <f>N18/K18</f>
        <v>#N/A</v>
      </c>
      <c r="AH18" s="462"/>
    </row>
    <row r="19" spans="1:34" ht="15" customHeight="1">
      <c r="A19" s="479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3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65"/>
      <c r="AC19" s="465"/>
      <c r="AD19" s="149"/>
      <c r="AE19" s="149"/>
      <c r="AF19" s="307">
        <f>N19-K19</f>
        <v>0</v>
      </c>
      <c r="AG19" s="72" t="e">
        <f>N19/K19</f>
        <v>#DIV/0!</v>
      </c>
      <c r="AH19" s="463"/>
    </row>
    <row r="20" spans="1:34" ht="15" customHeight="1">
      <c r="A20" s="47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3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66"/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3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6"/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50"/>
      <c r="U22" s="150"/>
      <c r="V22" s="92"/>
      <c r="W22" s="149"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4"/>
        <v>0</v>
      </c>
      <c r="X23" s="92"/>
      <c r="Y23" s="298"/>
      <c r="Z23" s="90"/>
      <c r="AA23" s="90"/>
      <c r="AB23" s="466"/>
      <c r="AC23" s="46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74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7"/>
      <c r="AC26" s="467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64"/>
    </row>
    <row r="27" spans="1:34" ht="15" customHeight="1">
      <c r="A27" s="469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72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68"/>
      <c r="AC27" s="468"/>
      <c r="AD27" s="135"/>
      <c r="AE27" s="135"/>
      <c r="AF27" s="310" t="e">
        <f t="shared" si="6"/>
        <v>#N/A</v>
      </c>
      <c r="AG27" s="172" t="e">
        <f t="shared" si="7"/>
        <v>#N/A</v>
      </c>
      <c r="AH27" s="461" t="e">
        <f>AG37</f>
        <v>#N/A</v>
      </c>
    </row>
    <row r="28" spans="1:34" ht="15" customHeight="1">
      <c r="A28" s="470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73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66"/>
      <c r="AC28" s="466"/>
      <c r="AD28" s="92"/>
      <c r="AE28" s="92"/>
      <c r="AF28" s="311" t="e">
        <f t="shared" si="6"/>
        <v>#N/A</v>
      </c>
      <c r="AG28" s="99" t="e">
        <f t="shared" si="7"/>
        <v>#N/A</v>
      </c>
      <c r="AH28" s="482"/>
    </row>
    <row r="29" spans="1:34" ht="15" customHeight="1">
      <c r="A29" s="470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73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66"/>
      <c r="AC29" s="466"/>
      <c r="AD29" s="92"/>
      <c r="AE29" s="92"/>
      <c r="AF29" s="312" t="e">
        <f t="shared" si="6"/>
        <v>#N/A</v>
      </c>
      <c r="AG29" s="99" t="e">
        <f t="shared" si="7"/>
        <v>#N/A</v>
      </c>
      <c r="AH29" s="482"/>
    </row>
    <row r="30" spans="1:34" ht="15" customHeight="1">
      <c r="A30" s="470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3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66"/>
      <c r="AC30" s="466"/>
      <c r="AD30" s="92"/>
      <c r="AE30" s="92"/>
      <c r="AF30" s="312">
        <f t="shared" si="6"/>
        <v>0</v>
      </c>
      <c r="AG30" s="99" t="e">
        <f t="shared" si="7"/>
        <v>#DIV/0!</v>
      </c>
      <c r="AH30" s="483"/>
    </row>
    <row r="31" spans="1:34" ht="15" customHeight="1">
      <c r="A31" s="47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3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6"/>
      <c r="AC31" s="466"/>
      <c r="AD31" s="92"/>
      <c r="AE31" s="92"/>
      <c r="AF31" s="312">
        <f t="shared" si="6"/>
        <v>0</v>
      </c>
      <c r="AG31" s="99" t="e">
        <f t="shared" si="7"/>
        <v>#DIV/0!</v>
      </c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6"/>
      <c r="AC32" s="466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6"/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74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7"/>
      <c r="AC37" s="477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64"/>
    </row>
    <row r="38" spans="1:34" ht="15" customHeight="1">
      <c r="A38" s="491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94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96"/>
      <c r="AC38" s="496"/>
      <c r="AD38" s="192"/>
      <c r="AE38" s="192"/>
      <c r="AF38" s="313" t="e">
        <f>N38-K38</f>
        <v>#N/A</v>
      </c>
      <c r="AG38" s="195" t="e">
        <f>N38/K38</f>
        <v>#N/A</v>
      </c>
      <c r="AH38" s="484" t="e">
        <f>AG48</f>
        <v>#N/A</v>
      </c>
    </row>
    <row r="39" spans="1:34" ht="15" customHeight="1">
      <c r="A39" s="492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95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87"/>
      <c r="AC39" s="487"/>
      <c r="AD39" s="200"/>
      <c r="AE39" s="200"/>
      <c r="AF39" s="314" t="e">
        <f>N39-K39</f>
        <v>#N/A</v>
      </c>
      <c r="AG39" s="206" t="e">
        <f>N39/K39</f>
        <v>#N/A</v>
      </c>
      <c r="AH39" s="485"/>
    </row>
    <row r="40" spans="1:34" ht="15" customHeight="1">
      <c r="A40" s="492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17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66"/>
      <c r="AC40" s="466"/>
      <c r="AD40" s="92"/>
      <c r="AE40" s="92"/>
      <c r="AF40" s="314" t="e">
        <f>N40-K40</f>
        <v>#N/A</v>
      </c>
      <c r="AG40" s="206" t="e">
        <f>N40/K40</f>
        <v>#N/A</v>
      </c>
      <c r="AH40" s="485"/>
    </row>
    <row r="41" spans="1:34" ht="15" customHeight="1">
      <c r="A41" s="49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7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6"/>
      <c r="AC41" s="466"/>
      <c r="AD41" s="92"/>
      <c r="AE41" s="92"/>
      <c r="AF41" s="314">
        <f>N41-K41</f>
        <v>0</v>
      </c>
      <c r="AG41" s="206" t="e">
        <f>N41/K41</f>
        <v>#DIV/0!</v>
      </c>
      <c r="AH41" s="485"/>
    </row>
    <row r="42" spans="1:34" ht="15" customHeight="1">
      <c r="A42" s="49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7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6"/>
      <c r="AC42" s="466"/>
      <c r="AD42" s="92"/>
      <c r="AE42" s="92"/>
      <c r="AF42" s="314"/>
      <c r="AG42" s="206"/>
      <c r="AH42" s="485"/>
    </row>
    <row r="43" spans="1:34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0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67"/>
      <c r="AC48" s="467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86"/>
    </row>
    <row r="49" spans="1:34" ht="15" customHeight="1">
      <c r="A49" s="488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16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68"/>
      <c r="AC49" s="468"/>
      <c r="AD49" s="135"/>
      <c r="AE49" s="135"/>
      <c r="AF49" s="229" t="e">
        <f t="shared" si="11"/>
        <v>#N/A</v>
      </c>
      <c r="AG49" s="52" t="e">
        <f t="shared" si="12"/>
        <v>#N/A</v>
      </c>
      <c r="AH49" s="461" t="e">
        <f>AG58</f>
        <v>#N/A</v>
      </c>
    </row>
    <row r="50" spans="1:34" ht="15" customHeight="1">
      <c r="A50" s="489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17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66"/>
      <c r="AC50" s="466"/>
      <c r="AD50" s="92"/>
      <c r="AE50" s="92"/>
      <c r="AF50" s="307" t="e">
        <f t="shared" si="11"/>
        <v>#N/A</v>
      </c>
      <c r="AG50" s="72" t="e">
        <f t="shared" si="12"/>
        <v>#N/A</v>
      </c>
      <c r="AH50" s="462"/>
    </row>
    <row r="51" spans="1:34" ht="15" customHeight="1">
      <c r="A51" s="489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17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66"/>
      <c r="AC51" s="466"/>
      <c r="AD51" s="92"/>
      <c r="AE51" s="92"/>
      <c r="AF51" s="307" t="e">
        <f t="shared" si="11"/>
        <v>#N/A</v>
      </c>
      <c r="AG51" s="72" t="e">
        <f t="shared" si="12"/>
        <v>#N/A</v>
      </c>
      <c r="AH51" s="462"/>
    </row>
    <row r="52" spans="1:34" ht="15" customHeight="1">
      <c r="A52" s="489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7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66"/>
      <c r="AC52" s="466"/>
      <c r="AD52" s="92"/>
      <c r="AE52" s="92"/>
      <c r="AF52" s="307">
        <f t="shared" si="11"/>
        <v>0</v>
      </c>
      <c r="AG52" s="72" t="e">
        <f t="shared" si="12"/>
        <v>#DIV/0!</v>
      </c>
      <c r="AH52" s="462"/>
    </row>
    <row r="53" spans="1:34" ht="15" customHeight="1">
      <c r="A53" s="48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7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6"/>
      <c r="AC53" s="466"/>
      <c r="AD53" s="92"/>
      <c r="AE53" s="92"/>
      <c r="AF53" s="307">
        <f t="shared" si="11"/>
        <v>0</v>
      </c>
      <c r="AG53" s="72" t="e">
        <f t="shared" si="12"/>
        <v>#DIV/0!</v>
      </c>
      <c r="AH53" s="462"/>
    </row>
    <row r="54" spans="1:34" ht="15" customHeight="1">
      <c r="A54" s="48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7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>
      <c r="A58" s="490"/>
      <c r="B58" s="239"/>
      <c r="C58" s="153" t="s">
        <v>51</v>
      </c>
      <c r="D58" s="437" t="s">
        <v>42</v>
      </c>
      <c r="E58" s="437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7"/>
      <c r="AC58" s="467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64"/>
    </row>
    <row r="59" spans="1:34" ht="15" customHeight="1">
      <c r="A59" s="502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16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68"/>
      <c r="AC59" s="468"/>
      <c r="AD59" s="135"/>
      <c r="AE59" s="135"/>
      <c r="AF59" s="310" t="e">
        <f>N59-K59</f>
        <v>#N/A</v>
      </c>
      <c r="AG59" s="246" t="e">
        <f>N59/K59</f>
        <v>#N/A</v>
      </c>
      <c r="AH59" s="461" t="e">
        <f>AG69</f>
        <v>#N/A</v>
      </c>
    </row>
    <row r="60" spans="1:34" ht="15" customHeight="1">
      <c r="A60" s="503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506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66"/>
      <c r="AC60" s="466"/>
      <c r="AD60" s="92"/>
      <c r="AE60" s="92"/>
      <c r="AF60" s="316" t="e">
        <f>N60-K60</f>
        <v>#N/A</v>
      </c>
      <c r="AG60" s="249" t="e">
        <f>N60/K60</f>
        <v>#N/A</v>
      </c>
      <c r="AH60" s="497"/>
    </row>
    <row r="61" spans="1:34" ht="15" customHeight="1">
      <c r="A61" s="504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17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66"/>
      <c r="AC61" s="466"/>
      <c r="AD61" s="92"/>
      <c r="AE61" s="92"/>
      <c r="AF61" s="317" t="e">
        <f>N61-K61</f>
        <v>#N/A</v>
      </c>
      <c r="AG61" s="247" t="e">
        <f>N61/K61</f>
        <v>#N/A</v>
      </c>
      <c r="AH61" s="462"/>
    </row>
    <row r="62" spans="1:34" ht="15" customHeight="1">
      <c r="A62" s="504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7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66"/>
      <c r="AC62" s="466"/>
      <c r="AD62" s="92"/>
      <c r="AE62" s="92"/>
      <c r="AF62" s="317">
        <f>N62-K62</f>
        <v>0</v>
      </c>
      <c r="AG62" s="247" t="e">
        <f>N62/K62</f>
        <v>#DIV/0!</v>
      </c>
      <c r="AH62" s="462"/>
    </row>
    <row r="63" spans="1:34" ht="15" customHeight="1">
      <c r="A63" s="504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7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6"/>
      <c r="AC63" s="466"/>
      <c r="AD63" s="92"/>
      <c r="AE63" s="92"/>
      <c r="AF63" s="317"/>
      <c r="AG63" s="247"/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7"/>
      <c r="AC69" s="467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64"/>
    </row>
    <row r="70" spans="1:36" ht="15" customHeight="1">
      <c r="A70" s="498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16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68"/>
      <c r="AC70" s="468"/>
      <c r="AD70" s="135"/>
      <c r="AE70" s="135"/>
      <c r="AF70" s="310" t="e">
        <f>N70-K70</f>
        <v>#N/A</v>
      </c>
      <c r="AG70" s="246" t="e">
        <f>N70/K70</f>
        <v>#N/A</v>
      </c>
      <c r="AH70" s="461" t="e">
        <f>AG79</f>
        <v>#N/A</v>
      </c>
    </row>
    <row r="71" spans="1:36" ht="15" customHeight="1">
      <c r="A71" s="499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7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7"/>
      <c r="AC71" s="487"/>
      <c r="AD71" s="200"/>
      <c r="AE71" s="200"/>
      <c r="AF71" s="311">
        <v>-300.31249999999704</v>
      </c>
      <c r="AG71" s="99">
        <v>0.80810702875399554</v>
      </c>
      <c r="AH71" s="482"/>
    </row>
    <row r="72" spans="1:36" ht="15" customHeight="1">
      <c r="A72" s="499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7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6"/>
      <c r="AC72" s="466"/>
      <c r="AD72" s="92"/>
      <c r="AE72" s="92"/>
      <c r="AF72" s="311">
        <v>-130.33333333333326</v>
      </c>
      <c r="AG72" s="99">
        <v>0.91671991480298198</v>
      </c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6"/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>
      <c r="A79" s="500"/>
      <c r="B79" s="239"/>
      <c r="C79" s="153" t="s">
        <v>56</v>
      </c>
      <c r="D79" s="437" t="s">
        <v>42</v>
      </c>
      <c r="E79" s="437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T3:U3"/>
    <mergeCell ref="P1:S2"/>
    <mergeCell ref="AB1:AC2"/>
    <mergeCell ref="P3:P4"/>
    <mergeCell ref="Q3:Q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</mergeCells>
  <phoneticPr fontId="6" type="noConversion"/>
  <conditionalFormatting sqref="P5:P79">
    <cfRule type="cellIs" dxfId="37" priority="1" operator="greaterThan">
      <formula>0</formula>
    </cfRule>
  </conditionalFormatting>
  <conditionalFormatting sqref="Q5:Q79 AF5:AF79">
    <cfRule type="cellIs" dxfId="36" priority="4" operator="lessThan">
      <formula>0</formula>
    </cfRule>
  </conditionalFormatting>
  <conditionalFormatting sqref="R5:R79 AG5:AG79">
    <cfRule type="cellIs" dxfId="35" priority="2" operator="greaterThan">
      <formula>1</formula>
    </cfRule>
    <cfRule type="cellIs" dxfId="34" priority="3" operator="lessThan">
      <formula>0.8</formula>
    </cfRule>
  </conditionalFormatting>
  <conditionalFormatting sqref="S5:S10 S37:S62 AH59:AH62 S69:S76 AH69:AH76">
    <cfRule type="cellIs" dxfId="33" priority="7" operator="lessThan">
      <formula>0.8</formula>
    </cfRule>
  </conditionalFormatting>
  <conditionalFormatting sqref="S19:S25 AH19:AH25">
    <cfRule type="cellIs" dxfId="32" priority="6" operator="lessThan">
      <formula>0.8</formula>
    </cfRule>
  </conditionalFormatting>
  <conditionalFormatting sqref="S79">
    <cfRule type="cellIs" dxfId="31" priority="5" operator="lessThan">
      <formula>0.8</formula>
    </cfRule>
  </conditionalFormatting>
  <conditionalFormatting sqref="AH5:AH8 S15:S16 AH15:AH16 AH49 AH79">
    <cfRule type="cellIs" dxfId="30" priority="9" operator="lessThan">
      <formula>0.8</formula>
    </cfRule>
  </conditionalFormatting>
  <conditionalFormatting sqref="AH27 S27:S28">
    <cfRule type="cellIs" dxfId="2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1CFB-A36A-4A40-99D2-C8E13A971EF9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8" width="8.85546875" style="2" customWidth="1"/>
    <col min="109" max="16384" width="8.85546875" style="2"/>
  </cols>
  <sheetData>
    <row r="1" spans="2:15" ht="27.75" customHeight="1">
      <c r="B1" s="411" t="s">
        <v>70</v>
      </c>
      <c r="C1" s="411"/>
      <c r="D1" s="411"/>
      <c r="E1" s="411"/>
      <c r="F1" s="411"/>
      <c r="G1" s="411"/>
      <c r="H1" s="411"/>
      <c r="I1" s="411"/>
      <c r="J1" s="411"/>
      <c r="K1" s="411"/>
      <c r="L1" s="1"/>
      <c r="M1" s="1"/>
    </row>
    <row r="2" spans="2:15" ht="27.75" customHeight="1"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1"/>
      <c r="M2" s="1"/>
    </row>
    <row r="3" spans="2:15" ht="46.5" customHeight="1">
      <c r="B3" s="406" t="s">
        <v>71</v>
      </c>
      <c r="C3" s="406"/>
      <c r="D3" s="412">
        <v>46015</v>
      </c>
      <c r="E3" s="412"/>
      <c r="F3" s="3" t="s">
        <v>72</v>
      </c>
      <c r="G3" s="413">
        <f>範本!E1</f>
        <v>43309</v>
      </c>
      <c r="H3" s="413"/>
      <c r="I3" s="3" t="s">
        <v>2</v>
      </c>
      <c r="J3" s="414" t="e">
        <f>範本!G1</f>
        <v>#N/A</v>
      </c>
      <c r="K3" s="414"/>
      <c r="L3" s="4"/>
    </row>
    <row r="4" spans="2:15" ht="24" customHeight="1">
      <c r="B4" s="406" t="s">
        <v>73</v>
      </c>
      <c r="C4" s="406"/>
      <c r="D4" s="407">
        <v>3</v>
      </c>
      <c r="E4" s="407"/>
      <c r="F4" s="415" t="s">
        <v>74</v>
      </c>
      <c r="G4" s="415"/>
      <c r="H4" s="415" t="s">
        <v>75</v>
      </c>
      <c r="I4" s="415"/>
      <c r="J4" s="407" t="s">
        <v>76</v>
      </c>
      <c r="K4" s="415"/>
      <c r="L4" s="404" t="s">
        <v>77</v>
      </c>
      <c r="M4" s="405"/>
      <c r="N4" s="405" t="s">
        <v>78</v>
      </c>
      <c r="O4" s="405"/>
    </row>
    <row r="5" spans="2:15" ht="24" customHeight="1">
      <c r="B5" s="406" t="s">
        <v>14</v>
      </c>
      <c r="C5" s="406"/>
      <c r="D5" s="407" t="s">
        <v>79</v>
      </c>
      <c r="E5" s="407"/>
      <c r="F5" s="407" t="s">
        <v>80</v>
      </c>
      <c r="G5" s="407"/>
      <c r="H5" s="408" t="s">
        <v>81</v>
      </c>
      <c r="I5" s="408"/>
      <c r="J5" s="409" t="s">
        <v>82</v>
      </c>
      <c r="K5" s="40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06"/>
      <c r="C6" s="406"/>
      <c r="D6" s="406" t="s">
        <v>86</v>
      </c>
      <c r="E6" s="406"/>
      <c r="F6" s="410" t="e">
        <f>AVERAGE(D13:J13)</f>
        <v>#N/A</v>
      </c>
      <c r="G6" s="410"/>
      <c r="H6" s="395" t="e">
        <f>AVERAGE(D13:H13)</f>
        <v>#N/A</v>
      </c>
      <c r="I6" s="395"/>
      <c r="J6" s="395" t="e">
        <f>AVERAGE(I13:J13)</f>
        <v>#N/A</v>
      </c>
      <c r="K6" s="395"/>
      <c r="L6" s="397">
        <f>範本!Z2</f>
        <v>0</v>
      </c>
      <c r="M6" s="398">
        <f>範本!AA2</f>
        <v>0</v>
      </c>
      <c r="N6" s="400">
        <f>範本!AD2</f>
        <v>0</v>
      </c>
      <c r="O6" s="398">
        <f>範本!AE2</f>
        <v>0</v>
      </c>
    </row>
    <row r="7" spans="2:15" ht="39.6" customHeight="1">
      <c r="B7" s="406"/>
      <c r="C7" s="406"/>
      <c r="D7" s="401" t="s">
        <v>87</v>
      </c>
      <c r="E7" s="401"/>
      <c r="F7" s="402">
        <f>AVERAGE(D14:J14)</f>
        <v>116.11474837607263</v>
      </c>
      <c r="G7" s="402"/>
      <c r="H7" s="403">
        <f>AVERAGE(D14:H14)</f>
        <v>117.36074805627914</v>
      </c>
      <c r="I7" s="403"/>
      <c r="J7" s="403">
        <f>AVERAGE(I14:J14)</f>
        <v>112.99974917555633</v>
      </c>
      <c r="K7" s="403"/>
      <c r="L7" s="397"/>
      <c r="M7" s="398"/>
      <c r="N7" s="400"/>
      <c r="O7" s="398"/>
    </row>
    <row r="8" spans="2:15" ht="39.6" customHeight="1">
      <c r="B8" s="406"/>
      <c r="C8" s="406"/>
      <c r="D8" s="401" t="s">
        <v>27</v>
      </c>
      <c r="E8" s="401"/>
      <c r="F8" s="387" t="e">
        <f>AVERAGE(D15:J15)</f>
        <v>#N/A</v>
      </c>
      <c r="G8" s="387"/>
      <c r="H8" s="387" t="e">
        <f>AVERAGE(D15:H15)</f>
        <v>#N/A</v>
      </c>
      <c r="I8" s="387"/>
      <c r="J8" s="387" t="e">
        <f>AVERAGE(I15:J15)</f>
        <v>#N/A</v>
      </c>
      <c r="K8" s="387"/>
      <c r="L8" s="397"/>
      <c r="M8" s="398"/>
      <c r="N8" s="400"/>
      <c r="O8" s="39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77" t="s">
        <v>89</v>
      </c>
      <c r="C10" s="378"/>
      <c r="D10" s="388" t="s">
        <v>90</v>
      </c>
      <c r="E10" s="389"/>
      <c r="F10" s="389"/>
      <c r="G10" s="389"/>
      <c r="H10" s="389"/>
      <c r="I10" s="389"/>
      <c r="J10" s="390"/>
    </row>
    <row r="11" spans="2:15" ht="17.25" customHeight="1">
      <c r="B11" s="391" t="s">
        <v>91</v>
      </c>
      <c r="C11" s="392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93"/>
      <c r="C12" s="394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80" t="s">
        <v>14</v>
      </c>
      <c r="C13" s="12" t="s">
        <v>99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381"/>
      <c r="C14" s="12" t="s">
        <v>100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382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383" t="s">
        <v>101</v>
      </c>
      <c r="C16" s="10" t="s">
        <v>34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384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85" t="s">
        <v>102</v>
      </c>
      <c r="C18" s="330" t="s">
        <v>36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386"/>
      <c r="C19" s="330" t="s">
        <v>37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385" t="s">
        <v>103</v>
      </c>
      <c r="C20" s="330" t="s">
        <v>36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386"/>
      <c r="C21" s="330" t="s">
        <v>85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377" t="s">
        <v>104</v>
      </c>
      <c r="C22" s="378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77" t="s">
        <v>105</v>
      </c>
      <c r="C23" s="3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77" t="s">
        <v>109</v>
      </c>
      <c r="C24" s="378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77" t="s">
        <v>111</v>
      </c>
      <c r="C25" s="378"/>
      <c r="D25" s="25"/>
      <c r="E25" s="25"/>
      <c r="F25" s="25"/>
      <c r="G25" s="25"/>
      <c r="H25" s="25"/>
      <c r="I25" s="25"/>
      <c r="J25" s="25"/>
    </row>
    <row r="26" spans="2:10">
      <c r="B26" s="379"/>
      <c r="C26" s="379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2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63302-CCF8-4628-B49B-B841EC02E1F4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21" width="8.7109375" style="34" customWidth="1"/>
    <col min="12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1" t="s">
        <v>4</v>
      </c>
      <c r="K1" s="421"/>
      <c r="L1" s="421"/>
      <c r="M1" s="421" t="s">
        <v>5</v>
      </c>
      <c r="N1" s="421"/>
      <c r="O1" s="421"/>
      <c r="P1" s="421" t="s">
        <v>6</v>
      </c>
      <c r="Q1" s="421"/>
      <c r="R1" s="421"/>
      <c r="S1" s="421"/>
      <c r="T1" s="421" t="s">
        <v>7</v>
      </c>
      <c r="U1" s="421"/>
      <c r="V1" s="421"/>
      <c r="W1" s="421"/>
      <c r="X1" s="421"/>
      <c r="Y1" s="421"/>
      <c r="Z1" s="294" t="s">
        <v>8</v>
      </c>
      <c r="AA1" s="294" t="s">
        <v>9</v>
      </c>
      <c r="AB1" s="421" t="s">
        <v>10</v>
      </c>
      <c r="AC1" s="421"/>
      <c r="AD1" s="294" t="s">
        <v>8</v>
      </c>
      <c r="AE1" s="294" t="s">
        <v>11</v>
      </c>
      <c r="AF1" s="421" t="s">
        <v>12</v>
      </c>
      <c r="AG1" s="442"/>
      <c r="AH1" s="442"/>
    </row>
    <row r="2" spans="1:34" ht="23.25">
      <c r="A2" s="422" t="s">
        <v>13</v>
      </c>
      <c r="B2" s="422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339">
        <f>Z15+Z26+Z37+Z48+Z58+Z69+Z79</f>
        <v>0</v>
      </c>
      <c r="AA2" s="339">
        <f>AA15+AA26+AA37+AA48+AA58+AA69+AA79</f>
        <v>0</v>
      </c>
      <c r="AB2" s="460"/>
      <c r="AC2" s="460"/>
      <c r="AD2" s="340">
        <f>AD15+AD26+AD37+AD48+AD58+AD69+AD79</f>
        <v>0</v>
      </c>
      <c r="AE2" s="340">
        <f>AE15+AE26+AE37+AE48+AE58+AE69+AE79</f>
        <v>0</v>
      </c>
      <c r="AF2" s="442"/>
      <c r="AG2" s="442"/>
      <c r="AH2" s="442"/>
    </row>
    <row r="3" spans="1:34" ht="32.1" customHeight="1">
      <c r="A3" s="423" t="s">
        <v>17</v>
      </c>
      <c r="B3" s="423" t="s">
        <v>18</v>
      </c>
      <c r="C3" s="30"/>
      <c r="D3" s="423" t="s">
        <v>19</v>
      </c>
      <c r="E3" s="423"/>
      <c r="F3" s="425" t="s">
        <v>20</v>
      </c>
      <c r="G3" s="435" t="s">
        <v>21</v>
      </c>
      <c r="H3" s="425" t="s">
        <v>22</v>
      </c>
      <c r="I3" s="438" t="s">
        <v>23</v>
      </c>
      <c r="J3" s="440" t="s">
        <v>24</v>
      </c>
      <c r="K3" s="431" t="s">
        <v>25</v>
      </c>
      <c r="L3" s="433" t="s">
        <v>14</v>
      </c>
      <c r="M3" s="435" t="s">
        <v>24</v>
      </c>
      <c r="N3" s="431" t="s">
        <v>25</v>
      </c>
      <c r="O3" s="433" t="s">
        <v>14</v>
      </c>
      <c r="P3" s="440" t="s">
        <v>24</v>
      </c>
      <c r="Q3" s="433" t="s">
        <v>14</v>
      </c>
      <c r="R3" s="443" t="s">
        <v>26</v>
      </c>
      <c r="S3" s="445" t="s">
        <v>27</v>
      </c>
      <c r="T3" s="435" t="s">
        <v>28</v>
      </c>
      <c r="U3" s="435"/>
      <c r="V3" s="458" t="s">
        <v>29</v>
      </c>
      <c r="W3" s="438" t="s">
        <v>30</v>
      </c>
      <c r="X3" s="435" t="s">
        <v>31</v>
      </c>
      <c r="Y3" s="459"/>
      <c r="Z3" s="452" t="s">
        <v>32</v>
      </c>
      <c r="AA3" s="453"/>
      <c r="AB3" s="447"/>
      <c r="AC3" s="448"/>
      <c r="AD3" s="452" t="s">
        <v>33</v>
      </c>
      <c r="AE3" s="453"/>
      <c r="AF3" s="450" t="s">
        <v>25</v>
      </c>
      <c r="AG3" s="454" t="s">
        <v>26</v>
      </c>
      <c r="AH3" s="456" t="s">
        <v>27</v>
      </c>
    </row>
    <row r="4" spans="1:34">
      <c r="A4" s="424"/>
      <c r="B4" s="424"/>
      <c r="C4" s="38"/>
      <c r="D4" s="424"/>
      <c r="E4" s="424"/>
      <c r="F4" s="426"/>
      <c r="G4" s="436"/>
      <c r="H4" s="426"/>
      <c r="I4" s="439"/>
      <c r="J4" s="441"/>
      <c r="K4" s="432"/>
      <c r="L4" s="434"/>
      <c r="M4" s="436"/>
      <c r="N4" s="432"/>
      <c r="O4" s="434"/>
      <c r="P4" s="441"/>
      <c r="Q4" s="434"/>
      <c r="R4" s="444"/>
      <c r="S4" s="446"/>
      <c r="T4" s="342" t="s">
        <v>34</v>
      </c>
      <c r="U4" s="342" t="s">
        <v>35</v>
      </c>
      <c r="V4" s="436"/>
      <c r="W4" s="439"/>
      <c r="X4" s="341" t="s">
        <v>34</v>
      </c>
      <c r="Y4" s="343" t="s">
        <v>35</v>
      </c>
      <c r="Z4" s="344" t="s">
        <v>36</v>
      </c>
      <c r="AA4" s="344" t="s">
        <v>37</v>
      </c>
      <c r="AB4" s="449"/>
      <c r="AC4" s="449"/>
      <c r="AD4" s="344" t="s">
        <v>38</v>
      </c>
      <c r="AE4" s="344" t="s">
        <v>39</v>
      </c>
      <c r="AF4" s="451"/>
      <c r="AG4" s="455"/>
      <c r="AH4" s="457"/>
    </row>
    <row r="5" spans="1:34" ht="15" customHeight="1">
      <c r="A5" s="427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16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68"/>
      <c r="AC5" s="468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61" t="e">
        <f>AG15</f>
        <v>#N/A</v>
      </c>
    </row>
    <row r="6" spans="1:34" ht="15" customHeight="1">
      <c r="A6" s="428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17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65"/>
      <c r="AC6" s="465"/>
      <c r="AD6" s="149"/>
      <c r="AE6" s="149"/>
      <c r="AF6" s="307" t="e">
        <f t="shared" si="1"/>
        <v>#N/A</v>
      </c>
      <c r="AG6" s="72" t="e">
        <f t="shared" si="2"/>
        <v>#N/A</v>
      </c>
      <c r="AH6" s="462"/>
    </row>
    <row r="7" spans="1:34" ht="15" customHeight="1">
      <c r="A7" s="428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17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66"/>
      <c r="AC7" s="466"/>
      <c r="AD7" s="92"/>
      <c r="AE7" s="92"/>
      <c r="AF7" s="307" t="e">
        <f t="shared" si="1"/>
        <v>#N/A</v>
      </c>
      <c r="AG7" s="72" t="e">
        <f t="shared" si="2"/>
        <v>#N/A</v>
      </c>
      <c r="AH7" s="462"/>
    </row>
    <row r="8" spans="1:34" ht="15" customHeight="1">
      <c r="A8" s="428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17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65"/>
      <c r="AC8" s="465"/>
      <c r="AD8" s="149"/>
      <c r="AE8" s="149"/>
      <c r="AF8" s="307">
        <f t="shared" si="1"/>
        <v>0</v>
      </c>
      <c r="AG8" s="72" t="e">
        <f t="shared" si="2"/>
        <v>#DIV/0!</v>
      </c>
      <c r="AH8" s="462"/>
    </row>
    <row r="9" spans="1:34" ht="15" customHeight="1">
      <c r="A9" s="42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18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65"/>
      <c r="AC9" s="465"/>
      <c r="AD9" s="149"/>
      <c r="AE9" s="149"/>
      <c r="AF9" s="307">
        <f t="shared" si="1"/>
        <v>0</v>
      </c>
      <c r="AG9" s="72" t="e">
        <f t="shared" si="2"/>
        <v>#DIV/0!</v>
      </c>
      <c r="AH9" s="463"/>
    </row>
    <row r="10" spans="1:34" ht="15" customHeight="1">
      <c r="A10" s="42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18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66"/>
      <c r="AC10" s="466"/>
      <c r="AD10" s="92"/>
      <c r="AE10" s="92"/>
      <c r="AF10" s="307">
        <f t="shared" si="1"/>
        <v>0</v>
      </c>
      <c r="AG10" s="72" t="e">
        <f t="shared" si="2"/>
        <v>#DIV/0!</v>
      </c>
      <c r="AH10" s="463"/>
    </row>
    <row r="11" spans="1:34" ht="15" customHeight="1">
      <c r="A11" s="42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1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65"/>
      <c r="AC11" s="465"/>
      <c r="AD11" s="149"/>
      <c r="AE11" s="149"/>
      <c r="AF11" s="307">
        <f t="shared" si="1"/>
        <v>0</v>
      </c>
      <c r="AG11" s="72" t="e">
        <f t="shared" si="2"/>
        <v>#DIV/0!</v>
      </c>
      <c r="AH11" s="463"/>
    </row>
    <row r="12" spans="1:34" ht="15" customHeight="1">
      <c r="A12" s="42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1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65"/>
      <c r="AC12" s="465"/>
      <c r="AD12" s="149"/>
      <c r="AE12" s="149"/>
      <c r="AF12" s="308"/>
      <c r="AG12" s="85"/>
      <c r="AH12" s="463"/>
    </row>
    <row r="13" spans="1:34" ht="15" customHeight="1">
      <c r="A13" s="42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19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66"/>
      <c r="AC13" s="466"/>
      <c r="AD13" s="92"/>
      <c r="AE13" s="92"/>
      <c r="AF13" s="308"/>
      <c r="AG13" s="85"/>
      <c r="AH13" s="463"/>
    </row>
    <row r="14" spans="1:34" ht="15" customHeight="1">
      <c r="A14" s="42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1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66"/>
      <c r="AC14" s="466"/>
      <c r="AD14" s="92"/>
      <c r="AE14" s="92"/>
      <c r="AF14" s="308"/>
      <c r="AG14" s="85"/>
      <c r="AH14" s="463"/>
    </row>
    <row r="15" spans="1:34" ht="15" customHeight="1">
      <c r="A15" s="430"/>
      <c r="B15" s="115"/>
      <c r="C15" s="115" t="s">
        <v>41</v>
      </c>
      <c r="D15" s="437" t="s">
        <v>42</v>
      </c>
      <c r="E15" s="437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67"/>
      <c r="AC15" s="467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64"/>
    </row>
    <row r="16" spans="1:34" ht="15" customHeight="1">
      <c r="A16" s="478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72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68"/>
      <c r="AC16" s="468"/>
      <c r="AD16" s="135"/>
      <c r="AE16" s="135"/>
      <c r="AF16" s="229" t="e">
        <f>N16-K16</f>
        <v>#N/A</v>
      </c>
      <c r="AG16" s="52" t="e">
        <f>N16/K16</f>
        <v>#N/A</v>
      </c>
      <c r="AH16" s="461" t="e">
        <f>AG26</f>
        <v>#N/A</v>
      </c>
    </row>
    <row r="17" spans="1:34" ht="15" customHeight="1">
      <c r="A17" s="479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73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66"/>
      <c r="AC17" s="466"/>
      <c r="AD17" s="92"/>
      <c r="AE17" s="92"/>
      <c r="AF17" s="307" t="e">
        <f>N17-K17</f>
        <v>#N/A</v>
      </c>
      <c r="AG17" s="72" t="e">
        <f>N17/K17</f>
        <v>#N/A</v>
      </c>
      <c r="AH17" s="462"/>
    </row>
    <row r="18" spans="1:34" ht="15" customHeight="1">
      <c r="A18" s="479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73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66"/>
      <c r="AC18" s="466"/>
      <c r="AD18" s="92"/>
      <c r="AE18" s="92"/>
      <c r="AF18" s="307" t="e">
        <f>N18-K18</f>
        <v>#N/A</v>
      </c>
      <c r="AG18" s="72" t="e">
        <f>N18/K18</f>
        <v>#N/A</v>
      </c>
      <c r="AH18" s="462"/>
    </row>
    <row r="19" spans="1:34" ht="15" customHeight="1">
      <c r="A19" s="479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73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65"/>
      <c r="AC19" s="465"/>
      <c r="AD19" s="149"/>
      <c r="AE19" s="149"/>
      <c r="AF19" s="307">
        <f>N19-K19</f>
        <v>0</v>
      </c>
      <c r="AG19" s="72" t="e">
        <f>N19/K19</f>
        <v>#DIV/0!</v>
      </c>
      <c r="AH19" s="463"/>
    </row>
    <row r="20" spans="1:34" ht="15" customHeight="1">
      <c r="A20" s="47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73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66"/>
      <c r="AC20" s="466"/>
      <c r="AD20" s="92"/>
      <c r="AE20" s="92"/>
      <c r="AF20" s="307"/>
      <c r="AG20" s="72"/>
      <c r="AH20" s="463"/>
    </row>
    <row r="21" spans="1:34" ht="15" customHeight="1">
      <c r="A21" s="48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73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66"/>
      <c r="AC21" s="466"/>
      <c r="AD21" s="92"/>
      <c r="AE21" s="92"/>
      <c r="AF21" s="308"/>
      <c r="AG21" s="85"/>
      <c r="AH21" s="463"/>
    </row>
    <row r="22" spans="1:34" ht="15" customHeight="1">
      <c r="A22" s="48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73"/>
      <c r="T22" s="150"/>
      <c r="U22" s="150"/>
      <c r="V22" s="92"/>
      <c r="W22" s="149">
        <v>0</v>
      </c>
      <c r="X22" s="92"/>
      <c r="Y22" s="298"/>
      <c r="Z22" s="90"/>
      <c r="AA22" s="90"/>
      <c r="AB22" s="466"/>
      <c r="AC22" s="466"/>
      <c r="AD22" s="92"/>
      <c r="AE22" s="92"/>
      <c r="AF22" s="308"/>
      <c r="AG22" s="85"/>
      <c r="AH22" s="463"/>
    </row>
    <row r="23" spans="1:34" ht="15" customHeight="1">
      <c r="A23" s="48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73"/>
      <c r="T23" s="150"/>
      <c r="U23" s="150"/>
      <c r="W23" s="149">
        <f t="shared" si="4"/>
        <v>0</v>
      </c>
      <c r="X23" s="92"/>
      <c r="Y23" s="298"/>
      <c r="Z23" s="90"/>
      <c r="AA23" s="90"/>
      <c r="AB23" s="466"/>
      <c r="AC23" s="466"/>
      <c r="AD23" s="92"/>
      <c r="AE23" s="92"/>
      <c r="AF23" s="308"/>
      <c r="AG23" s="85"/>
      <c r="AH23" s="463"/>
    </row>
    <row r="24" spans="1:34" ht="15" customHeight="1">
      <c r="A24" s="480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73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66"/>
      <c r="AC24" s="466"/>
      <c r="AD24" s="92"/>
      <c r="AE24" s="92"/>
      <c r="AF24" s="308"/>
      <c r="AG24" s="85"/>
      <c r="AH24" s="463"/>
    </row>
    <row r="25" spans="1:34" ht="15" customHeight="1">
      <c r="A25" s="480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73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66"/>
      <c r="AC25" s="466"/>
      <c r="AD25" s="92"/>
      <c r="AE25" s="92"/>
      <c r="AF25" s="308"/>
      <c r="AG25" s="85"/>
      <c r="AH25" s="463"/>
    </row>
    <row r="26" spans="1:34" ht="15" customHeight="1">
      <c r="A26" s="481"/>
      <c r="B26" s="152"/>
      <c r="C26" s="153" t="s">
        <v>44</v>
      </c>
      <c r="D26" s="437" t="s">
        <v>42</v>
      </c>
      <c r="E26" s="437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74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67"/>
      <c r="AC26" s="467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64"/>
    </row>
    <row r="27" spans="1:34" ht="15" customHeight="1">
      <c r="A27" s="469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72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68"/>
      <c r="AC27" s="468"/>
      <c r="AD27" s="135"/>
      <c r="AE27" s="135"/>
      <c r="AF27" s="310" t="e">
        <f t="shared" si="6"/>
        <v>#N/A</v>
      </c>
      <c r="AG27" s="172" t="e">
        <f t="shared" si="7"/>
        <v>#N/A</v>
      </c>
      <c r="AH27" s="461" t="e">
        <f>AG37</f>
        <v>#N/A</v>
      </c>
    </row>
    <row r="28" spans="1:34" ht="15" customHeight="1">
      <c r="A28" s="470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73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66"/>
      <c r="AC28" s="466"/>
      <c r="AD28" s="92"/>
      <c r="AE28" s="92"/>
      <c r="AF28" s="311" t="e">
        <f t="shared" si="6"/>
        <v>#N/A</v>
      </c>
      <c r="AG28" s="99" t="e">
        <f t="shared" si="7"/>
        <v>#N/A</v>
      </c>
      <c r="AH28" s="482"/>
    </row>
    <row r="29" spans="1:34" ht="15" customHeight="1">
      <c r="A29" s="470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73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66"/>
      <c r="AC29" s="466"/>
      <c r="AD29" s="92"/>
      <c r="AE29" s="92"/>
      <c r="AF29" s="312" t="e">
        <f t="shared" si="6"/>
        <v>#N/A</v>
      </c>
      <c r="AG29" s="99" t="e">
        <f t="shared" si="7"/>
        <v>#N/A</v>
      </c>
      <c r="AH29" s="482"/>
    </row>
    <row r="30" spans="1:34" ht="15" customHeight="1">
      <c r="A30" s="470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73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66"/>
      <c r="AC30" s="466"/>
      <c r="AD30" s="92"/>
      <c r="AE30" s="92"/>
      <c r="AF30" s="312">
        <f t="shared" si="6"/>
        <v>0</v>
      </c>
      <c r="AG30" s="99" t="e">
        <f t="shared" si="7"/>
        <v>#DIV/0!</v>
      </c>
      <c r="AH30" s="483"/>
    </row>
    <row r="31" spans="1:34" ht="15" customHeight="1">
      <c r="A31" s="47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73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66"/>
      <c r="AC31" s="466"/>
      <c r="AD31" s="92"/>
      <c r="AE31" s="92"/>
      <c r="AF31" s="312">
        <f t="shared" si="6"/>
        <v>0</v>
      </c>
      <c r="AG31" s="99" t="e">
        <f t="shared" si="7"/>
        <v>#DIV/0!</v>
      </c>
      <c r="AH31" s="463"/>
    </row>
    <row r="32" spans="1:34" ht="15" customHeight="1">
      <c r="A32" s="47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73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66"/>
      <c r="AC32" s="466"/>
      <c r="AD32" s="92"/>
      <c r="AE32" s="92"/>
      <c r="AF32" s="307"/>
      <c r="AG32" s="72"/>
      <c r="AH32" s="463"/>
    </row>
    <row r="33" spans="1:34" ht="15" customHeight="1">
      <c r="A33" s="47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73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66"/>
      <c r="AC33" s="466"/>
      <c r="AD33" s="92"/>
      <c r="AE33" s="92"/>
      <c r="AF33" s="307"/>
      <c r="AG33" s="112"/>
      <c r="AH33" s="463"/>
    </row>
    <row r="34" spans="1:34" ht="15" customHeight="1">
      <c r="A34" s="47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73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66"/>
      <c r="AC34" s="466"/>
      <c r="AD34" s="92"/>
      <c r="AE34" s="92"/>
      <c r="AF34" s="307"/>
      <c r="AG34" s="112"/>
      <c r="AH34" s="463"/>
    </row>
    <row r="35" spans="1:34" ht="15" customHeight="1">
      <c r="A35" s="47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73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66"/>
      <c r="AC35" s="466"/>
      <c r="AD35" s="92"/>
      <c r="AE35" s="92"/>
      <c r="AF35" s="307"/>
      <c r="AG35" s="112"/>
      <c r="AH35" s="463"/>
    </row>
    <row r="36" spans="1:34" ht="15" customHeight="1">
      <c r="A36" s="470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73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66"/>
      <c r="AC36" s="466"/>
      <c r="AD36" s="92"/>
      <c r="AE36" s="92"/>
      <c r="AF36" s="307"/>
      <c r="AG36" s="112"/>
      <c r="AH36" s="463"/>
    </row>
    <row r="37" spans="1:34" ht="15" customHeight="1">
      <c r="A37" s="471"/>
      <c r="B37" s="152"/>
      <c r="C37" s="153" t="s">
        <v>47</v>
      </c>
      <c r="D37" s="475" t="s">
        <v>42</v>
      </c>
      <c r="E37" s="476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74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77"/>
      <c r="AC37" s="477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64"/>
    </row>
    <row r="38" spans="1:34" ht="15" customHeight="1">
      <c r="A38" s="491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94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96"/>
      <c r="AC38" s="496"/>
      <c r="AD38" s="192"/>
      <c r="AE38" s="192"/>
      <c r="AF38" s="313" t="e">
        <f>N38-K38</f>
        <v>#N/A</v>
      </c>
      <c r="AG38" s="195" t="e">
        <f>N38/K38</f>
        <v>#N/A</v>
      </c>
      <c r="AH38" s="484" t="e">
        <f>AG48</f>
        <v>#N/A</v>
      </c>
    </row>
    <row r="39" spans="1:34" ht="15" customHeight="1">
      <c r="A39" s="492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95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87"/>
      <c r="AC39" s="487"/>
      <c r="AD39" s="200"/>
      <c r="AE39" s="200"/>
      <c r="AF39" s="314" t="e">
        <f>N39-K39</f>
        <v>#N/A</v>
      </c>
      <c r="AG39" s="206" t="e">
        <f>N39/K39</f>
        <v>#N/A</v>
      </c>
      <c r="AH39" s="485"/>
    </row>
    <row r="40" spans="1:34" ht="15" customHeight="1">
      <c r="A40" s="492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17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66"/>
      <c r="AC40" s="466"/>
      <c r="AD40" s="92"/>
      <c r="AE40" s="92"/>
      <c r="AF40" s="314" t="e">
        <f>N40-K40</f>
        <v>#N/A</v>
      </c>
      <c r="AG40" s="206" t="e">
        <f>N40/K40</f>
        <v>#N/A</v>
      </c>
      <c r="AH40" s="485"/>
    </row>
    <row r="41" spans="1:34" ht="15" customHeight="1">
      <c r="A41" s="49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17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66"/>
      <c r="AC41" s="466"/>
      <c r="AD41" s="92"/>
      <c r="AE41" s="92"/>
      <c r="AF41" s="314">
        <f>N41-K41</f>
        <v>0</v>
      </c>
      <c r="AG41" s="206" t="e">
        <f>N41/K41</f>
        <v>#DIV/0!</v>
      </c>
      <c r="AH41" s="485"/>
    </row>
    <row r="42" spans="1:34" ht="15" customHeight="1">
      <c r="A42" s="49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17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66"/>
      <c r="AC42" s="466"/>
      <c r="AD42" s="92"/>
      <c r="AE42" s="92"/>
      <c r="AF42" s="314"/>
      <c r="AG42" s="206"/>
      <c r="AH42" s="485"/>
    </row>
    <row r="43" spans="1:34" ht="15" customHeight="1">
      <c r="A43" s="49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17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66"/>
      <c r="AC43" s="466"/>
      <c r="AD43" s="92"/>
      <c r="AE43" s="92"/>
      <c r="AF43" s="213"/>
      <c r="AG43" s="206"/>
      <c r="AH43" s="485"/>
    </row>
    <row r="44" spans="1:34" ht="15" customHeight="1">
      <c r="A44" s="49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17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66"/>
      <c r="AC44" s="466"/>
      <c r="AD44" s="92"/>
      <c r="AE44" s="92"/>
      <c r="AF44" s="213"/>
      <c r="AG44" s="206"/>
      <c r="AH44" s="485"/>
    </row>
    <row r="45" spans="1:34" ht="15" customHeight="1">
      <c r="A45" s="49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17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66"/>
      <c r="AC45" s="466"/>
      <c r="AD45" s="92"/>
      <c r="AE45" s="92"/>
      <c r="AF45" s="213"/>
      <c r="AG45" s="206"/>
      <c r="AH45" s="485"/>
    </row>
    <row r="46" spans="1:34" ht="15" customHeight="1">
      <c r="A46" s="49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17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66"/>
      <c r="AC46" s="466"/>
      <c r="AD46" s="92"/>
      <c r="AE46" s="92"/>
      <c r="AF46" s="213"/>
      <c r="AG46" s="206"/>
      <c r="AH46" s="485"/>
    </row>
    <row r="47" spans="1:34" ht="15" customHeight="1">
      <c r="A47" s="49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17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66"/>
      <c r="AC47" s="466"/>
      <c r="AD47" s="92"/>
      <c r="AE47" s="92"/>
      <c r="AF47" s="213"/>
      <c r="AG47" s="206"/>
      <c r="AH47" s="485"/>
    </row>
    <row r="48" spans="1:34" ht="15" customHeight="1">
      <c r="A48" s="493"/>
      <c r="B48" s="219"/>
      <c r="C48" s="153" t="s">
        <v>49</v>
      </c>
      <c r="D48" s="437" t="s">
        <v>42</v>
      </c>
      <c r="E48" s="437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0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67"/>
      <c r="AC48" s="467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86"/>
    </row>
    <row r="49" spans="1:34" ht="15" customHeight="1">
      <c r="A49" s="488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16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68"/>
      <c r="AC49" s="468"/>
      <c r="AD49" s="135"/>
      <c r="AE49" s="135"/>
      <c r="AF49" s="229" t="e">
        <f t="shared" si="11"/>
        <v>#N/A</v>
      </c>
      <c r="AG49" s="52" t="e">
        <f t="shared" si="12"/>
        <v>#N/A</v>
      </c>
      <c r="AH49" s="461" t="e">
        <f>AG58</f>
        <v>#N/A</v>
      </c>
    </row>
    <row r="50" spans="1:34" ht="15" customHeight="1">
      <c r="A50" s="489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17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66"/>
      <c r="AC50" s="466"/>
      <c r="AD50" s="92"/>
      <c r="AE50" s="92"/>
      <c r="AF50" s="307" t="e">
        <f t="shared" si="11"/>
        <v>#N/A</v>
      </c>
      <c r="AG50" s="72" t="e">
        <f t="shared" si="12"/>
        <v>#N/A</v>
      </c>
      <c r="AH50" s="462"/>
    </row>
    <row r="51" spans="1:34" ht="15" customHeight="1">
      <c r="A51" s="489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17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66"/>
      <c r="AC51" s="466"/>
      <c r="AD51" s="92"/>
      <c r="AE51" s="92"/>
      <c r="AF51" s="307" t="e">
        <f t="shared" si="11"/>
        <v>#N/A</v>
      </c>
      <c r="AG51" s="72" t="e">
        <f t="shared" si="12"/>
        <v>#N/A</v>
      </c>
      <c r="AH51" s="462"/>
    </row>
    <row r="52" spans="1:34" ht="15" customHeight="1">
      <c r="A52" s="489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17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66"/>
      <c r="AC52" s="466"/>
      <c r="AD52" s="92"/>
      <c r="AE52" s="92"/>
      <c r="AF52" s="307">
        <f t="shared" si="11"/>
        <v>0</v>
      </c>
      <c r="AG52" s="72" t="e">
        <f t="shared" si="12"/>
        <v>#DIV/0!</v>
      </c>
      <c r="AH52" s="462"/>
    </row>
    <row r="53" spans="1:34" ht="15" customHeight="1">
      <c r="A53" s="48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17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66"/>
      <c r="AC53" s="466"/>
      <c r="AD53" s="92"/>
      <c r="AE53" s="92"/>
      <c r="AF53" s="307">
        <f t="shared" si="11"/>
        <v>0</v>
      </c>
      <c r="AG53" s="72" t="e">
        <f t="shared" si="12"/>
        <v>#DIV/0!</v>
      </c>
      <c r="AH53" s="462"/>
    </row>
    <row r="54" spans="1:34" ht="15" customHeight="1">
      <c r="A54" s="48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17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66"/>
      <c r="AC54" s="466"/>
      <c r="AD54" s="92"/>
      <c r="AE54" s="92"/>
      <c r="AF54" s="307"/>
      <c r="AG54" s="72"/>
      <c r="AH54" s="462"/>
    </row>
    <row r="55" spans="1:34" ht="15" customHeight="1">
      <c r="A55" s="4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17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66"/>
      <c r="AC55" s="466"/>
      <c r="AD55" s="92"/>
      <c r="AE55" s="92"/>
      <c r="AF55" s="307"/>
      <c r="AG55" s="72"/>
      <c r="AH55" s="462"/>
    </row>
    <row r="56" spans="1:34" ht="15" customHeight="1">
      <c r="A56" s="4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17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66"/>
      <c r="AC56" s="466"/>
      <c r="AD56" s="92"/>
      <c r="AE56" s="92"/>
      <c r="AF56" s="307"/>
      <c r="AG56" s="72"/>
      <c r="AH56" s="462"/>
    </row>
    <row r="57" spans="1:34" ht="15" customHeight="1">
      <c r="A57" s="4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17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66"/>
      <c r="AC57" s="466"/>
      <c r="AD57" s="92"/>
      <c r="AE57" s="92"/>
      <c r="AF57" s="307"/>
      <c r="AG57" s="72"/>
      <c r="AH57" s="462"/>
    </row>
    <row r="58" spans="1:34" ht="15" customHeight="1">
      <c r="A58" s="490"/>
      <c r="B58" s="239"/>
      <c r="C58" s="153" t="s">
        <v>51</v>
      </c>
      <c r="D58" s="437" t="s">
        <v>42</v>
      </c>
      <c r="E58" s="437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67"/>
      <c r="AC58" s="467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64"/>
    </row>
    <row r="59" spans="1:34" ht="15" customHeight="1">
      <c r="A59" s="502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16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68"/>
      <c r="AC59" s="468"/>
      <c r="AD59" s="135"/>
      <c r="AE59" s="135"/>
      <c r="AF59" s="310" t="e">
        <f>N59-K59</f>
        <v>#N/A</v>
      </c>
      <c r="AG59" s="246" t="e">
        <f>N59/K59</f>
        <v>#N/A</v>
      </c>
      <c r="AH59" s="461" t="e">
        <f>AG69</f>
        <v>#N/A</v>
      </c>
    </row>
    <row r="60" spans="1:34" ht="15" customHeight="1">
      <c r="A60" s="503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506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66"/>
      <c r="AC60" s="466"/>
      <c r="AD60" s="92"/>
      <c r="AE60" s="92"/>
      <c r="AF60" s="316" t="e">
        <f>N60-K60</f>
        <v>#N/A</v>
      </c>
      <c r="AG60" s="249" t="e">
        <f>N60/K60</f>
        <v>#N/A</v>
      </c>
      <c r="AH60" s="497"/>
    </row>
    <row r="61" spans="1:34" ht="15" customHeight="1">
      <c r="A61" s="504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17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66"/>
      <c r="AC61" s="466"/>
      <c r="AD61" s="92"/>
      <c r="AE61" s="92"/>
      <c r="AF61" s="317" t="e">
        <f>N61-K61</f>
        <v>#N/A</v>
      </c>
      <c r="AG61" s="247" t="e">
        <f>N61/K61</f>
        <v>#N/A</v>
      </c>
      <c r="AH61" s="462"/>
    </row>
    <row r="62" spans="1:34" ht="15" customHeight="1">
      <c r="A62" s="504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17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66"/>
      <c r="AC62" s="466"/>
      <c r="AD62" s="92"/>
      <c r="AE62" s="92"/>
      <c r="AF62" s="317">
        <f>N62-K62</f>
        <v>0</v>
      </c>
      <c r="AG62" s="247" t="e">
        <f>N62/K62</f>
        <v>#DIV/0!</v>
      </c>
      <c r="AH62" s="462"/>
    </row>
    <row r="63" spans="1:34" ht="15" customHeight="1">
      <c r="A63" s="504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17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66"/>
      <c r="AC63" s="466"/>
      <c r="AD63" s="92"/>
      <c r="AE63" s="92"/>
      <c r="AF63" s="317"/>
      <c r="AG63" s="247"/>
      <c r="AH63" s="462"/>
    </row>
    <row r="64" spans="1:34" ht="15" customHeight="1">
      <c r="A64" s="504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17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66"/>
      <c r="AC64" s="466"/>
      <c r="AD64" s="92"/>
      <c r="AE64" s="92"/>
      <c r="AF64" s="307"/>
      <c r="AG64" s="262"/>
      <c r="AH64" s="462"/>
    </row>
    <row r="65" spans="1:36" ht="15" customHeight="1">
      <c r="A65" s="504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17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66"/>
      <c r="AC65" s="466"/>
      <c r="AD65" s="92"/>
      <c r="AE65" s="92"/>
      <c r="AF65" s="307"/>
      <c r="AG65" s="262"/>
      <c r="AH65" s="462"/>
    </row>
    <row r="66" spans="1:36" ht="15" customHeight="1">
      <c r="A66" s="504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17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66"/>
      <c r="AC66" s="466"/>
      <c r="AD66" s="92"/>
      <c r="AE66" s="92"/>
      <c r="AF66" s="307"/>
      <c r="AG66" s="262"/>
      <c r="AH66" s="462"/>
    </row>
    <row r="67" spans="1:36" ht="15" customHeight="1">
      <c r="A67" s="504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17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66"/>
      <c r="AC67" s="466"/>
      <c r="AD67" s="92"/>
      <c r="AE67" s="92"/>
      <c r="AF67" s="307"/>
      <c r="AG67" s="262"/>
      <c r="AH67" s="462"/>
    </row>
    <row r="68" spans="1:36" ht="15" customHeight="1">
      <c r="A68" s="504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17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66" t="s">
        <v>53</v>
      </c>
      <c r="AC68" s="466"/>
      <c r="AD68" s="92"/>
      <c r="AE68" s="92"/>
      <c r="AF68" s="307"/>
      <c r="AG68" s="262"/>
      <c r="AH68" s="462"/>
    </row>
    <row r="69" spans="1:36" ht="15" customHeight="1">
      <c r="A69" s="505"/>
      <c r="B69" s="239"/>
      <c r="C69" s="153" t="s">
        <v>54</v>
      </c>
      <c r="D69" s="437" t="s">
        <v>42</v>
      </c>
      <c r="E69" s="437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67"/>
      <c r="AC69" s="467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64"/>
    </row>
    <row r="70" spans="1:36" ht="15" customHeight="1">
      <c r="A70" s="498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16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68"/>
      <c r="AC70" s="468"/>
      <c r="AD70" s="135"/>
      <c r="AE70" s="135"/>
      <c r="AF70" s="310" t="e">
        <f>N70-K70</f>
        <v>#N/A</v>
      </c>
      <c r="AG70" s="246" t="e">
        <f>N70/K70</f>
        <v>#N/A</v>
      </c>
      <c r="AH70" s="461" t="e">
        <f>AG79</f>
        <v>#N/A</v>
      </c>
    </row>
    <row r="71" spans="1:36" ht="15" customHeight="1">
      <c r="A71" s="499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17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87"/>
      <c r="AC71" s="487"/>
      <c r="AD71" s="200"/>
      <c r="AE71" s="200"/>
      <c r="AF71" s="311">
        <v>-300.31249999999704</v>
      </c>
      <c r="AG71" s="99">
        <v>0.80810702875399554</v>
      </c>
      <c r="AH71" s="482"/>
    </row>
    <row r="72" spans="1:36" ht="15" customHeight="1">
      <c r="A72" s="499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17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66"/>
      <c r="AC72" s="466"/>
      <c r="AD72" s="92"/>
      <c r="AE72" s="92"/>
      <c r="AF72" s="311">
        <v>-130.33333333333326</v>
      </c>
      <c r="AG72" s="99">
        <v>0.91671991480298198</v>
      </c>
      <c r="AH72" s="482"/>
    </row>
    <row r="73" spans="1:36" ht="15" customHeight="1">
      <c r="A73" s="499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17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66"/>
      <c r="AC73" s="466"/>
      <c r="AD73" s="92"/>
      <c r="AE73" s="92"/>
      <c r="AF73" s="311"/>
      <c r="AG73" s="99"/>
      <c r="AH73" s="482"/>
    </row>
    <row r="74" spans="1:36" ht="15" customHeight="1">
      <c r="A74" s="499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17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66"/>
      <c r="AC74" s="466"/>
      <c r="AD74" s="92"/>
      <c r="AE74" s="92"/>
      <c r="AF74" s="311"/>
      <c r="AG74" s="99"/>
      <c r="AH74" s="482"/>
    </row>
    <row r="75" spans="1:36" ht="15" customHeight="1">
      <c r="A75" s="499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17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66"/>
      <c r="AC75" s="466"/>
      <c r="AD75" s="92"/>
      <c r="AE75" s="92"/>
      <c r="AF75" s="318"/>
      <c r="AG75" s="280"/>
      <c r="AH75" s="462"/>
    </row>
    <row r="76" spans="1:36" ht="15" customHeight="1">
      <c r="A76" s="499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18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66"/>
      <c r="AC76" s="466"/>
      <c r="AD76" s="92"/>
      <c r="AE76" s="92"/>
      <c r="AF76" s="317"/>
      <c r="AG76" s="247"/>
      <c r="AH76" s="463"/>
    </row>
    <row r="77" spans="1:36" ht="15" customHeight="1">
      <c r="A77" s="499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18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66"/>
      <c r="AC77" s="466"/>
      <c r="AD77" s="92"/>
      <c r="AE77" s="92"/>
      <c r="AF77" s="307"/>
      <c r="AG77" s="262"/>
      <c r="AH77" s="463"/>
    </row>
    <row r="78" spans="1:36" ht="15" customHeight="1">
      <c r="A78" s="499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0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66"/>
      <c r="AC78" s="466"/>
      <c r="AD78" s="92"/>
      <c r="AE78" s="92"/>
      <c r="AF78" s="308"/>
      <c r="AG78" s="112"/>
      <c r="AH78" s="463"/>
    </row>
    <row r="79" spans="1:36" ht="15" customHeight="1">
      <c r="A79" s="500"/>
      <c r="B79" s="239"/>
      <c r="C79" s="153" t="s">
        <v>56</v>
      </c>
      <c r="D79" s="437" t="s">
        <v>42</v>
      </c>
      <c r="E79" s="437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67"/>
      <c r="AC79" s="467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64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T3:U3"/>
    <mergeCell ref="P1:S2"/>
    <mergeCell ref="AB1:AC2"/>
    <mergeCell ref="P3:P4"/>
    <mergeCell ref="Q3:Q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</mergeCells>
  <phoneticPr fontId="6" type="noConversion"/>
  <conditionalFormatting sqref="P5:P79">
    <cfRule type="cellIs" dxfId="27" priority="1" operator="greaterThan">
      <formula>0</formula>
    </cfRule>
  </conditionalFormatting>
  <conditionalFormatting sqref="Q5:Q79 AF5:AF79">
    <cfRule type="cellIs" dxfId="26" priority="4" operator="lessThan">
      <formula>0</formula>
    </cfRule>
  </conditionalFormatting>
  <conditionalFormatting sqref="R5:R79 AG5:AG79">
    <cfRule type="cellIs" dxfId="25" priority="2" operator="greaterThan">
      <formula>1</formula>
    </cfRule>
    <cfRule type="cellIs" dxfId="24" priority="3" operator="lessThan">
      <formula>0.8</formula>
    </cfRule>
  </conditionalFormatting>
  <conditionalFormatting sqref="S5:S10 S37:S62 AH59:AH62 S69:S76 AH69:AH76">
    <cfRule type="cellIs" dxfId="23" priority="7" operator="lessThan">
      <formula>0.8</formula>
    </cfRule>
  </conditionalFormatting>
  <conditionalFormatting sqref="S19:S25 AH19:AH25">
    <cfRule type="cellIs" dxfId="22" priority="6" operator="lessThan">
      <formula>0.8</formula>
    </cfRule>
  </conditionalFormatting>
  <conditionalFormatting sqref="S79">
    <cfRule type="cellIs" dxfId="21" priority="5" operator="lessThan">
      <formula>0.8</formula>
    </cfRule>
  </conditionalFormatting>
  <conditionalFormatting sqref="AH5:AH8 S15:S16 AH15:AH16 AH49 AH79">
    <cfRule type="cellIs" dxfId="20" priority="9" operator="lessThan">
      <formula>0.8</formula>
    </cfRule>
  </conditionalFormatting>
  <conditionalFormatting sqref="AH27 S27:S28">
    <cfRule type="cellIs" dxfId="1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66</vt:i4>
      </vt:variant>
      <vt:variant>
        <vt:lpstr>具名範圍</vt:lpstr>
      </vt:variant>
      <vt:variant>
        <vt:i4>94</vt:i4>
      </vt:variant>
    </vt:vector>
  </HeadingPairs>
  <TitlesOfParts>
    <vt:vector size="160" baseType="lpstr">
      <vt:lpstr>廠價表</vt:lpstr>
      <vt:lpstr>產線配置圖</vt:lpstr>
      <vt:lpstr>範本總</vt:lpstr>
      <vt:lpstr>範本</vt:lpstr>
      <vt:lpstr>0501總</vt:lpstr>
      <vt:lpstr>0501</vt:lpstr>
      <vt:lpstr>0502總</vt:lpstr>
      <vt:lpstr>0502</vt:lpstr>
      <vt:lpstr>0503總</vt:lpstr>
      <vt:lpstr>0503</vt:lpstr>
      <vt:lpstr>0504總</vt:lpstr>
      <vt:lpstr>0504</vt:lpstr>
      <vt:lpstr>0505總</vt:lpstr>
      <vt:lpstr>0505</vt:lpstr>
      <vt:lpstr>0506總</vt:lpstr>
      <vt:lpstr>0506</vt:lpstr>
      <vt:lpstr>0507總</vt:lpstr>
      <vt:lpstr>0507</vt:lpstr>
      <vt:lpstr>0508總</vt:lpstr>
      <vt:lpstr>0508</vt:lpstr>
      <vt:lpstr>0509總</vt:lpstr>
      <vt:lpstr>0509</vt:lpstr>
      <vt:lpstr>0510總</vt:lpstr>
      <vt:lpstr>0510</vt:lpstr>
      <vt:lpstr>0511總</vt:lpstr>
      <vt:lpstr>0511</vt:lpstr>
      <vt:lpstr>0512總</vt:lpstr>
      <vt:lpstr>0512</vt:lpstr>
      <vt:lpstr>0513總</vt:lpstr>
      <vt:lpstr>0513</vt:lpstr>
      <vt:lpstr>0514總</vt:lpstr>
      <vt:lpstr>0514</vt:lpstr>
      <vt:lpstr>0515總</vt:lpstr>
      <vt:lpstr>0515</vt:lpstr>
      <vt:lpstr>0516總 </vt:lpstr>
      <vt:lpstr>0516</vt:lpstr>
      <vt:lpstr>0517總</vt:lpstr>
      <vt:lpstr>0517</vt:lpstr>
      <vt:lpstr>0518總 </vt:lpstr>
      <vt:lpstr>0518</vt:lpstr>
      <vt:lpstr>0519總 </vt:lpstr>
      <vt:lpstr>0519</vt:lpstr>
      <vt:lpstr>0520總</vt:lpstr>
      <vt:lpstr>0520</vt:lpstr>
      <vt:lpstr>0521總</vt:lpstr>
      <vt:lpstr>0521</vt:lpstr>
      <vt:lpstr>0522總</vt:lpstr>
      <vt:lpstr>0522</vt:lpstr>
      <vt:lpstr>0523總</vt:lpstr>
      <vt:lpstr>0523</vt:lpstr>
      <vt:lpstr>0524總</vt:lpstr>
      <vt:lpstr>0524</vt:lpstr>
      <vt:lpstr>0525總</vt:lpstr>
      <vt:lpstr>0525</vt:lpstr>
      <vt:lpstr>0526總</vt:lpstr>
      <vt:lpstr>0526</vt:lpstr>
      <vt:lpstr>0527總</vt:lpstr>
      <vt:lpstr>0527</vt:lpstr>
      <vt:lpstr>0528總</vt:lpstr>
      <vt:lpstr>0528</vt:lpstr>
      <vt:lpstr>0529總</vt:lpstr>
      <vt:lpstr>0529</vt:lpstr>
      <vt:lpstr>0530總</vt:lpstr>
      <vt:lpstr>0530</vt:lpstr>
      <vt:lpstr>0531總</vt:lpstr>
      <vt:lpstr>0531</vt:lpstr>
      <vt:lpstr>'0501'!_FilterDatabase</vt:lpstr>
      <vt:lpstr>'0501總'!_FilterDatabase</vt:lpstr>
      <vt:lpstr>'0502'!_FilterDatabase</vt:lpstr>
      <vt:lpstr>'0502總'!_FilterDatabase</vt:lpstr>
      <vt:lpstr>'0503'!_FilterDatabase</vt:lpstr>
      <vt:lpstr>'0503總'!_FilterDatabase</vt:lpstr>
      <vt:lpstr>'0504'!_FilterDatabase</vt:lpstr>
      <vt:lpstr>'0504總'!_FilterDatabase</vt:lpstr>
      <vt:lpstr>'0505'!_FilterDatabase</vt:lpstr>
      <vt:lpstr>'0505總'!_FilterDatabase</vt:lpstr>
      <vt:lpstr>'0506'!_FilterDatabase</vt:lpstr>
      <vt:lpstr>'0506總'!_FilterDatabase</vt:lpstr>
      <vt:lpstr>'0507'!_FilterDatabase</vt:lpstr>
      <vt:lpstr>'0507總'!_FilterDatabase</vt:lpstr>
      <vt:lpstr>'0508'!_FilterDatabase</vt:lpstr>
      <vt:lpstr>'0508總'!_FilterDatabase</vt:lpstr>
      <vt:lpstr>'0509'!_FilterDatabase</vt:lpstr>
      <vt:lpstr>'0509總'!_FilterDatabase</vt:lpstr>
      <vt:lpstr>'0510'!_FilterDatabase</vt:lpstr>
      <vt:lpstr>'0510總'!_FilterDatabase</vt:lpstr>
      <vt:lpstr>'0511'!_FilterDatabase</vt:lpstr>
      <vt:lpstr>'0511總'!_FilterDatabase</vt:lpstr>
      <vt:lpstr>'0512'!_FilterDatabase</vt:lpstr>
      <vt:lpstr>'0512總'!_FilterDatabase</vt:lpstr>
      <vt:lpstr>'0513'!_FilterDatabase</vt:lpstr>
      <vt:lpstr>'0513總'!_FilterDatabase</vt:lpstr>
      <vt:lpstr>'0514'!_FilterDatabase</vt:lpstr>
      <vt:lpstr>'0514總'!_FilterDatabase</vt:lpstr>
      <vt:lpstr>'0515'!_FilterDatabase</vt:lpstr>
      <vt:lpstr>'0515總'!_FilterDatabase</vt:lpstr>
      <vt:lpstr>'0516'!_FilterDatabase</vt:lpstr>
      <vt:lpstr>'0516總 '!_FilterDatabase</vt:lpstr>
      <vt:lpstr>'0517'!_FilterDatabase</vt:lpstr>
      <vt:lpstr>'0517總'!_FilterDatabase</vt:lpstr>
      <vt:lpstr>'0518'!_FilterDatabase</vt:lpstr>
      <vt:lpstr>'0518總 '!_FilterDatabase</vt:lpstr>
      <vt:lpstr>'0519'!_FilterDatabase</vt:lpstr>
      <vt:lpstr>'0519總 '!_FilterDatabase</vt:lpstr>
      <vt:lpstr>'0520'!_FilterDatabase</vt:lpstr>
      <vt:lpstr>'0520總'!_FilterDatabase</vt:lpstr>
      <vt:lpstr>'0521'!_FilterDatabase</vt:lpstr>
      <vt:lpstr>'0521總'!_FilterDatabase</vt:lpstr>
      <vt:lpstr>'0522'!_FilterDatabase</vt:lpstr>
      <vt:lpstr>'0522總'!_FilterDatabase</vt:lpstr>
      <vt:lpstr>'0523'!_FilterDatabase</vt:lpstr>
      <vt:lpstr>'0523總'!_FilterDatabase</vt:lpstr>
      <vt:lpstr>'0524'!_FilterDatabase</vt:lpstr>
      <vt:lpstr>'0524總'!_FilterDatabase</vt:lpstr>
      <vt:lpstr>'0525'!_FilterDatabase</vt:lpstr>
      <vt:lpstr>'0525總'!_FilterDatabase</vt:lpstr>
      <vt:lpstr>'0526'!_FilterDatabase</vt:lpstr>
      <vt:lpstr>'0526總'!_FilterDatabase</vt:lpstr>
      <vt:lpstr>'0527'!_FilterDatabase</vt:lpstr>
      <vt:lpstr>'0527總'!_FilterDatabase</vt:lpstr>
      <vt:lpstr>'0528'!_FilterDatabase</vt:lpstr>
      <vt:lpstr>'0528總'!_FilterDatabase</vt:lpstr>
      <vt:lpstr>'0529'!_FilterDatabase</vt:lpstr>
      <vt:lpstr>'0529總'!_FilterDatabase</vt:lpstr>
      <vt:lpstr>'0530'!_FilterDatabase</vt:lpstr>
      <vt:lpstr>'0530總'!_FilterDatabase</vt:lpstr>
      <vt:lpstr>'0531'!_FilterDatabase</vt:lpstr>
      <vt:lpstr>'0531總'!_FilterDatabase</vt:lpstr>
      <vt:lpstr>'0501'!Print_Area</vt:lpstr>
      <vt:lpstr>'0502'!Print_Area</vt:lpstr>
      <vt:lpstr>'0503'!Print_Area</vt:lpstr>
      <vt:lpstr>'0504'!Print_Area</vt:lpstr>
      <vt:lpstr>'0505'!Print_Area</vt:lpstr>
      <vt:lpstr>'0506'!Print_Area</vt:lpstr>
      <vt:lpstr>'0507'!Print_Area</vt:lpstr>
      <vt:lpstr>'0508'!Print_Area</vt:lpstr>
      <vt:lpstr>'0509'!Print_Area</vt:lpstr>
      <vt:lpstr>'0510'!Print_Area</vt:lpstr>
      <vt:lpstr>'0511'!Print_Area</vt:lpstr>
      <vt:lpstr>'0512'!Print_Area</vt:lpstr>
      <vt:lpstr>'0513'!Print_Area</vt:lpstr>
      <vt:lpstr>'0514'!Print_Area</vt:lpstr>
      <vt:lpstr>'0515'!Print_Area</vt:lpstr>
      <vt:lpstr>'0516'!Print_Area</vt:lpstr>
      <vt:lpstr>'0517'!Print_Area</vt:lpstr>
      <vt:lpstr>'0518'!Print_Area</vt:lpstr>
      <vt:lpstr>'0519'!Print_Area</vt:lpstr>
      <vt:lpstr>'0520'!Print_Area</vt:lpstr>
      <vt:lpstr>'0521'!Print_Area</vt:lpstr>
      <vt:lpstr>'0522'!Print_Area</vt:lpstr>
      <vt:lpstr>'0523'!Print_Area</vt:lpstr>
      <vt:lpstr>'0524'!Print_Area</vt:lpstr>
      <vt:lpstr>'0525'!Print_Area</vt:lpstr>
      <vt:lpstr>'0526'!Print_Area</vt:lpstr>
      <vt:lpstr>'0527'!Print_Area</vt:lpstr>
      <vt:lpstr>'0528'!Print_Area</vt:lpstr>
      <vt:lpstr>'0529'!Print_Area</vt:lpstr>
      <vt:lpstr>'0530'!Print_Area</vt:lpstr>
      <vt:lpstr>'0531'!Print_Area</vt:lpstr>
      <vt:lpstr>範本!Print_Area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2026-05-25T07:30:31Z</dcterms:modified>
</cp:coreProperties>
</file>